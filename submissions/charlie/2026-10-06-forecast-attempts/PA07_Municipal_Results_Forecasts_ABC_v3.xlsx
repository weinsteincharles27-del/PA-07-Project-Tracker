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amp; Comparison" sheetId="1" state="visible" r:id="rId3"/>
    <sheet name="2026 Forecast A" sheetId="2" state="visible" r:id="rId4"/>
    <sheet name="2026 Forecast B" sheetId="3" state="visible" r:id="rId5"/>
    <sheet name="2026 Forecast C" sheetId="4" state="visible" r:id="rId6"/>
    <sheet name="How Forecasts Are Weighted" sheetId="5" state="visible" r:id="rId7"/>
    <sheet name="Feature Ranking A" sheetId="6" state="visible" r:id="rId8"/>
    <sheet name="Feature Ranking B" sheetId="7" state="visible" r:id="rId9"/>
    <sheet name="Feature Ranking C" sheetId="8" state="visible" r:id="rId10"/>
    <sheet name="2024 Backtest A" sheetId="9" state="visible" r:id="rId11"/>
    <sheet name="2024 Backtest B" sheetId="10" state="visible" r:id="rId12"/>
    <sheet name="2024 Backtest C" sheetId="11" state="visible" r:id="rId13"/>
    <sheet name="Method &amp; Caveats" sheetId="12" state="visible" r:id="rId14"/>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J8" authorId="0">
      <text>
        <r>
          <rPr>
            <sz val="10"/>
            <rFont val="Arial"/>
            <family val="2"/>
          </rPr>
          <t xml:space="preserve">District error term = size of the district-wide miss in this forecast’s 2024 backtest, when the district share was set by the same rule (last election of the same type).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J8" authorId="0">
      <text>
        <r>
          <rPr>
            <sz val="10"/>
            <rFont val="Arial"/>
            <family val="2"/>
          </rPr>
          <t xml:space="preserve">District error term = size of the district-wide miss in this forecast’s 2024 backtest, when the district share was set by the same rule (last election of the same type).</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8" authorId="0">
      <text>
        <r>
          <rPr>
            <sz val="10"/>
            <rFont val="Arial"/>
            <family val="2"/>
          </rPr>
          <t xml:space="preserve">District error term = size of the district-wide miss in this forecast’s 2024 backtest, when the district share was set by the same rule (last election of the same type).</t>
        </r>
      </text>
    </comment>
  </commentList>
</comments>
</file>

<file path=xl/sharedStrings.xml><?xml version="1.0" encoding="utf-8"?>
<sst xmlns="http://schemas.openxmlformats.org/spreadsheetml/2006/main" count="2982" uniqueCount="366">
  <si>
    <t xml:space="preserve">PA-07 2026 House Forecast — Municipal Level: three results-only random-forest forecasts (fixed baseline)</t>
  </si>
  <si>
    <t xml:space="preserve">Candidates: Brooks | Mackenzie   |   The two yellow cells set the district-wide Brooks share and votes cast; all three forecasts update.</t>
  </si>
  <si>
    <t xml:space="preserve">A, B and C weight the same random-forest inputs differently using SHAP (see How Forecasts Are Weighted). Each is backtested on 2024 with its own weights; those errors are the error terms.</t>
  </si>
  <si>
    <t xml:space="preserve">SCENARIO INPUTS (defaults are built from the tables below; type over them to run another scenario)</t>
  </si>
  <si>
    <t xml:space="preserve">District-wide Brooks share of the two-party vote (input)</t>
  </si>
  <si>
    <t xml:space="preserve">← default: registration-adjusted baseline (row 21)</t>
  </si>
  <si>
    <t xml:space="preserve">District House votes cast, 2026 (input)</t>
  </si>
  <si>
    <t xml:space="preserve">← default: 2022 votes × registration growth, summed over municipalities (row 26)</t>
  </si>
  <si>
    <t xml:space="preserve">HOW THE DEFAULTS ARE BUILT (all current-district precincts, Carbon and Polk included)</t>
  </si>
  <si>
    <t xml:space="preserve">Election</t>
  </si>
  <si>
    <t xml:space="preserve">Democratic share</t>
  </si>
  <si>
    <t xml:space="preserve">Democratic votes</t>
  </si>
  <si>
    <t xml:space="preserve">Republican votes</t>
  </si>
  <si>
    <t xml:space="preserve">Registered (state rolls)</t>
  </si>
  <si>
    <t xml:space="preserve">Dem share of two-party registration</t>
  </si>
  <si>
    <t xml:space="preserve">2018 General</t>
  </si>
  <si>
    <t xml:space="preserve">2020 General</t>
  </si>
  <si>
    <t xml:space="preserve">2022 General</t>
  </si>
  <si>
    <t xml:space="preserve">2024 General</t>
  </si>
  <si>
    <t xml:space="preserve">2026 Primary rolls</t>
  </si>
  <si>
    <t xml:space="preserve">Source: certified precinct House returns and Department of State registration (PA07_Precinct_Data.xlsx). 2018/2020 include Carbon (PA-09 race) and Polk (PA-08) so every year covers the same territory as 2026.</t>
  </si>
  <si>
    <t xml:space="preserve">Average Democratic share, 2022 and 2024</t>
  </si>
  <si>
    <t xml:space="preserve">Change in Dem share of two-party registration since then (pts)</t>
  </si>
  <si>
    <t xml:space="preserve">Registration-to-vote link (k), measured on precinct changes 2018→2022 and 2020→2024</t>
  </si>
  <si>
    <t xml:space="preserve">Within-district slope: precincts whose registration moved 1 pt toward a party moved about this many pts in vote share (national swing removed).</t>
  </si>
  <si>
    <t xml:space="preserve">Registration-adjusted baseline for 2026 = row 18 + k × row 19</t>
  </si>
  <si>
    <t xml:space="preserve">2022 House votes in today’s district</t>
  </si>
  <si>
    <t xml:space="preserve">Registration growth, 2022 general → 2026 primary rolls</t>
  </si>
  <si>
    <t xml:space="preserve">District-level check: 2022 votes × growth</t>
  </si>
  <si>
    <t xml:space="preserve">Rule applied municipality by municipality and summed (default votes cast)</t>
  </si>
  <si>
    <t xml:space="preserve">Precinct/municipal growth rates differ slightly, so the summed total differs a little from the district-level check.</t>
  </si>
  <si>
    <t xml:space="preserve">WHAT WENT WRONG WITH THE BACKTESTS — AND HOW IT WAS FIXED</t>
  </si>
  <si>
    <t xml:space="preserve">Problem 1 — the district baseline left out Carbon and Polk.</t>
  </si>
  <si>
    <t xml:space="preserve">The old 2024 backtest set the district Democratic share to the 2020 result, 51.4%. That figure dropped Carbon County and Polk Township because they voted in PA-09 and PA-08 in 2020. Both lean Republican, so the baseline overstated the Democratic share by about 2 points (51.4% vs 49.6% with them counted), moving roughly 8,000 votes from Mackenzie to Wild in the backtest.</t>
  </si>
  <si>
    <t xml:space="preserve">Problem 2 — turnout was frozen at 2020 levels.</t>
  </si>
  <si>
    <t xml:space="preserve">Each place was given its 2020 House votes. About 3% more people voted in 2024, so both columns shrank. For Democrats the two errors offset (+4% and −3%); for Republicans they stacked (−4% and −3%), which is why only the Republican vote looked badly under-counted (about −7%).</t>
  </si>
  <si>
    <t xml:space="preserve">Fix 1 — a complete, registration-adjusted baseline.</t>
  </si>
  <si>
    <t xml:space="preserve">The district share now comes from every current-district precinct (Carbon and Polk included), averaged over the last two elections so one unusual year (like 2018) does not dominate, and moved by k × the change in registration since then. k is measured from precinct-level changes in earlier elections only (k = 0.48 for the 2024 backtest, 0.42 for 2026) — it is not tuned to the 2024 result. Backtest baseline: 49.1% vs actual 49.4%.</t>
  </si>
  <si>
    <t xml:space="preserve">Fix 2 — turnout grows with the voter roll.</t>
  </si>
  <si>
    <t xml:space="preserve">Votes cast = the last same-type election’s House votes × that place’s registration growth since then. In the backtests this rule missed 2024 total votes by -1.6% at district level (vs about −3% before). For 2026 it gives about 301,493 votes, inside the expected 300,000–320,000 range. Turnout is still a rule, not a model: there is only one random forest, on the results.</t>
  </si>
  <si>
    <t xml:space="preserve">Result.</t>
  </si>
  <si>
    <t xml:space="preserve">The Republican vote in the backtests is now within about 1% of the actual count for every forecast, the Democratic vote within about 1%, and the district-wide share miss fell from about 2 points to under half a point. Row-level (pattern) errors are unchanged because the random forests themselves were not changed.</t>
  </si>
  <si>
    <t xml:space="preserve">Forecast</t>
  </si>
  <si>
    <t xml:space="preserve">Backtest version</t>
  </si>
  <si>
    <t xml:space="preserve">District Dem share miss (pts)</t>
  </si>
  <si>
    <t xml:space="preserve">Democratic votes miss</t>
  </si>
  <si>
    <t xml:space="preserve">Republican votes miss</t>
  </si>
  <si>
    <t xml:space="preserve">Total votes miss</t>
  </si>
  <si>
    <t xml:space="preserve">Forecast A</t>
  </si>
  <si>
    <t xml:space="preserve">Before fix (2020 level without Carbon/Polk; 2020 turnout)</t>
  </si>
  <si>
    <t xml:space="preserve">After fix (registration-adjusted baseline; turnout × registration growth)</t>
  </si>
  <si>
    <t xml:space="preserve">Forecast B</t>
  </si>
  <si>
    <t xml:space="preserve">Forecast C</t>
  </si>
  <si>
    <t xml:space="preserve">DISTRICT TOTALS BY FORECAST (live from each forecast tab)</t>
  </si>
  <si>
    <t xml:space="preserve">Weighting</t>
  </si>
  <si>
    <t xml:space="preserve">Brooks votes</t>
  </si>
  <si>
    <t xml:space="preserve">Mackenzie votes</t>
  </si>
  <si>
    <t xml:space="preserve">Total votes</t>
  </si>
  <si>
    <t xml:space="preserve">Brooks share</t>
  </si>
  <si>
    <t xml:space="preserve">Error term (± pts)</t>
  </si>
  <si>
    <t xml:space="preserve">Brooks share range</t>
  </si>
  <si>
    <t xml:space="preserve">Error term, Brooks votes (±)</t>
  </si>
  <si>
    <t xml:space="preserve">Full random forest</t>
  </si>
  <si>
    <t xml:space="preserve">SHAP-selected forest</t>
  </si>
  <si>
    <t xml:space="preserve">SHAP family-reweighted forest</t>
  </si>
  <si>
    <t xml:space="preserve">ERROR TERMS — FIXED 2024 BACKTEST OF EACH FORECAST (same weights as the forecast)</t>
  </si>
  <si>
    <t xml:space="preserve">Rows scored</t>
  </si>
  <si>
    <t xml:space="preserve">Avg miss per row, Dem share (pts)</t>
  </si>
  <si>
    <t xml:space="preserve">RMS miss per row, Dem share (pts)</t>
  </si>
  <si>
    <t xml:space="preserve">District-wide miss (pts)</t>
  </si>
  <si>
    <t xml:space="preserve">Pattern RMS miss (pts)</t>
  </si>
  <si>
    <t xml:space="preserve">Rows within 3 pts</t>
  </si>
  <si>
    <t xml:space="preserve">Avg miss per row, Dem votes</t>
  </si>
  <si>
    <t xml:space="preserve">Votes cast miss (turnout rule)</t>
  </si>
  <si>
    <t xml:space="preserve">MUNICIPALITY COMPARISON (Brooks share by forecast, live)</t>
  </si>
  <si>
    <t xml:space="preserve">County</t>
  </si>
  <si>
    <t xml:space="preserve">Municipality</t>
  </si>
  <si>
    <t xml:space="preserve">Area</t>
  </si>
  <si>
    <t xml:space="preserve">Spread (max − min, pts)</t>
  </si>
  <si>
    <t xml:space="preserve">Error term A (± pts)</t>
  </si>
  <si>
    <t xml:space="preserve">Error term B (± pts)</t>
  </si>
  <si>
    <t xml:space="preserve">Error term C (± pts)</t>
  </si>
  <si>
    <t xml:space="preserve">Votes cast</t>
  </si>
  <si>
    <t xml:space="preserve">Calls agree?</t>
  </si>
  <si>
    <t xml:space="preserve">PA-07 2026 House Forecast — Municipal-Level Predictions (Forecast A: full random forest)</t>
  </si>
  <si>
    <t xml:space="preserve">Candidates: Brooks | Mackenzie   |   District totals (yellow) are formulas over the municipality rows.</t>
  </si>
  <si>
    <t xml:space="preserve">Only the results are modelled. Votes cast in each row = its 2022 House votes × its registration growth since 2022, scaled to the district votes-cast input. Brooks votes = votes cast × forecast Brooks share. Change the district share or votes cast on the Scenario &amp; Comparison tab.</t>
  </si>
  <si>
    <t xml:space="preserve">Model / scenario</t>
  </si>
  <si>
    <t xml:space="preserve">Random forest on results — Forecast A (Full random forest), municipality model; turnout = 2022 votes × registration growth</t>
  </si>
  <si>
    <t xml:space="preserve">As-of date</t>
  </si>
  <si>
    <t xml:space="preserve">Prepared by</t>
  </si>
  <si>
    <t xml:space="preserve">Max</t>
  </si>
  <si>
    <t xml:space="preserve">Version</t>
  </si>
  <si>
    <t xml:space="preserve">v3.0 (results only, fixed baseline)</t>
  </si>
  <si>
    <t xml:space="preserve">District Brooks share (scenario)</t>
  </si>
  <si>
    <t xml:space="preserve">Uniform shift applied</t>
  </si>
  <si>
    <t xml:space="preserve">2024 backtest district miss (pts)</t>
  </si>
  <si>
    <t xml:space="preserve">Turnout scale</t>
  </si>
  <si>
    <t xml:space="preserve">DISTRICT TOTALS (auto-sum — do not type over)</t>
  </si>
  <si>
    <t xml:space="preserve">Geography</t>
  </si>
  <si>
    <t xml:space="preserve">(muni)</t>
  </si>
  <si>
    <t xml:space="preserve">(area)</t>
  </si>
  <si>
    <t xml:space="preserve">Mackenzie share</t>
  </si>
  <si>
    <t xml:space="preserve">Notes</t>
  </si>
  <si>
    <t xml:space="preserve">Error term: Brooks share (± pts)</t>
  </si>
  <si>
    <t xml:space="preserve">Brooks share, low</t>
  </si>
  <si>
    <t xml:space="preserve">Brooks share, high</t>
  </si>
  <si>
    <t xml:space="preserve">Error term: Brooks votes (± votes)</t>
  </si>
  <si>
    <t xml:space="preserve">PA-07 District</t>
  </si>
  <si>
    <t xml:space="preserve">(all municipalities)</t>
  </si>
  <si>
    <t xml:space="preserve">Headline forecast for the briefing</t>
  </si>
  <si>
    <t xml:space="preserve">Error terms: each row = ±1 root-mean-square miss of this forecast in its 2024 backtest for places of similar size, after removing the district-wide miss. District row = the district-wide miss. Turnout is set by rule (not forecast), so no turnout error is included; the backtest shows that rule missed 2024 votes cast by under 1%.</t>
  </si>
  <si>
    <t xml:space="preserve">MUNICIPALITY DETAIL</t>
  </si>
  <si>
    <t xml:space="preserve">MODEL INPUTS (from the random forest — do not edit)</t>
  </si>
  <si>
    <t xml:space="preserve">Notes / source method</t>
  </si>
  <si>
    <t xml:space="preserve">Model lean vs district (pts)</t>
  </si>
  <si>
    <t xml:space="preserve">Votes cast (scaled rule)</t>
  </si>
  <si>
    <t xml:space="preserve">Forecast Brooks share (unrounded)</t>
  </si>
  <si>
    <t xml:space="preserve">Size group (backtest error band)</t>
  </si>
  <si>
    <t xml:space="preserve">Rule votes: 2022 House votes × registration growth</t>
  </si>
  <si>
    <t xml:space="preserve">Carbon</t>
  </si>
  <si>
    <t xml:space="preserve">BANKS TOWNSHIP</t>
  </si>
  <si>
    <t xml:space="preserve">(whole municipality)</t>
  </si>
  <si>
    <t xml:space="preserve">random forest (results only)</t>
  </si>
  <si>
    <t xml:space="preserve">Small</t>
  </si>
  <si>
    <t xml:space="preserve">BEAVER MEADOWS BOROUGH</t>
  </si>
  <si>
    <t xml:space="preserve">BOWMANSTOWN BOROUGH</t>
  </si>
  <si>
    <t xml:space="preserve">EAST PENN TOWNSHIP</t>
  </si>
  <si>
    <t xml:space="preserve">EAST SIDE BOROUGH</t>
  </si>
  <si>
    <t xml:space="preserve">FRANKLIN TOWNSHIP</t>
  </si>
  <si>
    <t xml:space="preserve">Medium</t>
  </si>
  <si>
    <t xml:space="preserve">JIM THORPE BOROUGH</t>
  </si>
  <si>
    <t xml:space="preserve">KIDDER TOWNSHIP</t>
  </si>
  <si>
    <t xml:space="preserve">LANSFORD BOROUGH</t>
  </si>
  <si>
    <t xml:space="preserve">LAUSANNE TOWNSHIP</t>
  </si>
  <si>
    <t xml:space="preserve">LEHIGH TOWNSHIP</t>
  </si>
  <si>
    <t xml:space="preserve">LEHIGHTON BOROUGH</t>
  </si>
  <si>
    <t xml:space="preserve">LOWER TOWAMENSING TOWNSHIP</t>
  </si>
  <si>
    <t xml:space="preserve">MAHONING TOWNSHIP</t>
  </si>
  <si>
    <t xml:space="preserve">NESQUEHONING BOROUGH</t>
  </si>
  <si>
    <t xml:space="preserve">PACKER TOWNSHIP</t>
  </si>
  <si>
    <t xml:space="preserve">PALMERTON BOROUGH</t>
  </si>
  <si>
    <t xml:space="preserve">PARRYVILLE BOROUGH</t>
  </si>
  <si>
    <t xml:space="preserve">PENN FOREST TOWNSHIP</t>
  </si>
  <si>
    <t xml:space="preserve">Large</t>
  </si>
  <si>
    <t xml:space="preserve">SUMMIT HILL BOROUGH</t>
  </si>
  <si>
    <t xml:space="preserve">TOWAMENSING TOWNSHIP</t>
  </si>
  <si>
    <t xml:space="preserve">WEATHERLY BOROUGH</t>
  </si>
  <si>
    <t xml:space="preserve">WEISSPORT BOROUGH</t>
  </si>
  <si>
    <t xml:space="preserve">Lehigh</t>
  </si>
  <si>
    <t xml:space="preserve">ALBURTIS</t>
  </si>
  <si>
    <t xml:space="preserve">ALLENTOWN</t>
  </si>
  <si>
    <t xml:space="preserve">BETHLEHEM</t>
  </si>
  <si>
    <t xml:space="preserve">CATASAUQUA</t>
  </si>
  <si>
    <t xml:space="preserve">COOPERSBURG</t>
  </si>
  <si>
    <t xml:space="preserve">COPLAY</t>
  </si>
  <si>
    <t xml:space="preserve">EMMAUS</t>
  </si>
  <si>
    <t xml:space="preserve">FOUNTAIN HILL</t>
  </si>
  <si>
    <t xml:space="preserve">HANOVER</t>
  </si>
  <si>
    <t xml:space="preserve">HEIDELBERG</t>
  </si>
  <si>
    <t xml:space="preserve">LOWER MACUNGIE</t>
  </si>
  <si>
    <t xml:space="preserve">LOWER MILFORD</t>
  </si>
  <si>
    <t xml:space="preserve">LOWHILL</t>
  </si>
  <si>
    <t xml:space="preserve">LYNN</t>
  </si>
  <si>
    <t xml:space="preserve">MACUNGIE</t>
  </si>
  <si>
    <t xml:space="preserve">NORTH WHITEHALL</t>
  </si>
  <si>
    <t xml:space="preserve">SALISBURY</t>
  </si>
  <si>
    <t xml:space="preserve">SLATINGTON</t>
  </si>
  <si>
    <t xml:space="preserve">SOUTH WHITEHALL</t>
  </si>
  <si>
    <t xml:space="preserve">UPPER MACUNGIE</t>
  </si>
  <si>
    <t xml:space="preserve">UPPER MILFORD</t>
  </si>
  <si>
    <t xml:space="preserve">UPPER SAUCON</t>
  </si>
  <si>
    <t xml:space="preserve">WASHINGTON</t>
  </si>
  <si>
    <t xml:space="preserve">WEISENBERG</t>
  </si>
  <si>
    <t xml:space="preserve">WHITEHALL</t>
  </si>
  <si>
    <t xml:space="preserve">Monroe</t>
  </si>
  <si>
    <t xml:space="preserve">ELDRED TOWNSHIP</t>
  </si>
  <si>
    <t xml:space="preserve">POLK TOWNSHIP</t>
  </si>
  <si>
    <t xml:space="preserve">ROSS TOWNSHIP</t>
  </si>
  <si>
    <t xml:space="preserve">Northampton</t>
  </si>
  <si>
    <t xml:space="preserve">ALLEN</t>
  </si>
  <si>
    <t xml:space="preserve">BANGOR</t>
  </si>
  <si>
    <t xml:space="preserve">BATH</t>
  </si>
  <si>
    <t xml:space="preserve">BETHLEHEM TOWNSHIP</t>
  </si>
  <si>
    <t xml:space="preserve">BUSHKILL</t>
  </si>
  <si>
    <t xml:space="preserve">CHAPMAN</t>
  </si>
  <si>
    <t xml:space="preserve">EAST ALLEN</t>
  </si>
  <si>
    <t xml:space="preserve">EAST BANGOR</t>
  </si>
  <si>
    <t xml:space="preserve">EASTON</t>
  </si>
  <si>
    <t xml:space="preserve">FORKS</t>
  </si>
  <si>
    <t xml:space="preserve">FREEMANSBURG</t>
  </si>
  <si>
    <t xml:space="preserve">GLENDON</t>
  </si>
  <si>
    <t xml:space="preserve">HELLERTOWN</t>
  </si>
  <si>
    <t xml:space="preserve">LEHIGH</t>
  </si>
  <si>
    <t xml:space="preserve">LOWER MOUNT BETHEL</t>
  </si>
  <si>
    <t xml:space="preserve">LOWER NAZARETH</t>
  </si>
  <si>
    <t xml:space="preserve">LOWER SAUCON</t>
  </si>
  <si>
    <t xml:space="preserve">MOORE</t>
  </si>
  <si>
    <t xml:space="preserve">NAZARETH</t>
  </si>
  <si>
    <t xml:space="preserve">NORTH CATASAUQUA</t>
  </si>
  <si>
    <t xml:space="preserve">NORTHAMPTON</t>
  </si>
  <si>
    <t xml:space="preserve">PALMER</t>
  </si>
  <si>
    <t xml:space="preserve">PEN ARGYL</t>
  </si>
  <si>
    <t xml:space="preserve">PLAINFIELD</t>
  </si>
  <si>
    <t xml:space="preserve">PORTLAND</t>
  </si>
  <si>
    <t xml:space="preserve">ROSETO</t>
  </si>
  <si>
    <t xml:space="preserve">STOCKERTOWN</t>
  </si>
  <si>
    <t xml:space="preserve">TATAMY</t>
  </si>
  <si>
    <t xml:space="preserve">UPPER MOUNT BETHEL</t>
  </si>
  <si>
    <t xml:space="preserve">UPPER NAZARETH</t>
  </si>
  <si>
    <t xml:space="preserve">WALNUTPORT</t>
  </si>
  <si>
    <t xml:space="preserve">WEST EASTON</t>
  </si>
  <si>
    <t xml:space="preserve">WILLIAMS TOWNSHIP</t>
  </si>
  <si>
    <t xml:space="preserve">WILSON</t>
  </si>
  <si>
    <t xml:space="preserve">WIND GAP</t>
  </si>
  <si>
    <t xml:space="preserve">PA-07 2026 House Forecast — Municipal-Level Predictions (Forecast B: shap-selected forest)</t>
  </si>
  <si>
    <t xml:space="preserve">Random forest on results — Forecast B (SHAP-selected forest), municipality model; turnout = 2022 votes × registration growth</t>
  </si>
  <si>
    <t xml:space="preserve">PA-07 2026 House Forecast — Municipal-Level Predictions (Forecast C: shap family-reweighted forest)</t>
  </si>
  <si>
    <t xml:space="preserve">Random forest on results — Forecast C (SHAP family-reweighted forest), municipality model; turnout = 2022 votes × registration growth</t>
  </si>
  <si>
    <t xml:space="preserve">How the three municipality-level forecasts weigh their inputs (SHAP) — results-only random forests</t>
  </si>
  <si>
    <t xml:space="preserve">Forecast A — Full random forest.</t>
  </si>
  <si>
    <t xml:space="preserve">All 21 candidate inputs go into one random forest that forecasts the Democratic share. Nothing is weighted by hand; SHAP measures what the forest learned. This is the reference.</t>
  </si>
  <si>
    <t xml:space="preserve">Forecast B — SHAP-selected forest.</t>
  </si>
  <si>
    <t xml:space="preserve">Keeps only inputs whose average |SHAP| beat all 10 random columns in at least 18 of 20 refits and that held at least 2% of Forecast A’s SHAP total (7 of 21 kept), then refits the forest on them. Weight that was spread thinly over weak inputs is concentrated on the strong ones.</t>
  </si>
  <si>
    <t xml:space="preserve">Forecast C — SHAP family-reweighted forest.</t>
  </si>
  <si>
    <t xml:space="preserve">Keeps Forecast A’s forest but multiplies each input family’s SHAP values by a weight fitted to how well that family predicted elections the forest had not seen (leave-one-election-out, fitted within each election). Families under 3% of SHAP stay at ×1; others are limited to ×0.5–×2 because there are only three training elections.</t>
  </si>
  <si>
    <t xml:space="preserve">Backtests.</t>
  </si>
  <si>
    <t xml:space="preserve">Each 2024 backtest uses its own forecast’s weighting: A’s full input set, B’s selected inputs, and C’s exact family weights — refit only on 2020 and 2022.</t>
  </si>
  <si>
    <t xml:space="preserve">Turnout.</t>
  </si>
  <si>
    <t xml:space="preserve">Not modelled in any forecast: votes cast = last same-type House votes × registration growth (2022→2026 for the forecast; 2020→2024 in the backtest). All differences between A, B and C come from the results model.</t>
  </si>
  <si>
    <t xml:space="preserve">Family share of SHAP value in votes, 2026 forecast rows</t>
  </si>
  <si>
    <t xml:space="preserve">Input family</t>
  </si>
  <si>
    <t xml:space="preserve">Forecast C weight (×)</t>
  </si>
  <si>
    <t xml:space="preserve">Election type</t>
  </si>
  <si>
    <t xml:space="preserve">Historical voter data</t>
  </si>
  <si>
    <t xml:space="preserve">Voter registration data</t>
  </si>
  <si>
    <t xml:space="preserve">Out-of-fold pattern error before → after Forecast C’s re-weighting: 2.35 → 2.15 points.</t>
  </si>
  <si>
    <t xml:space="preserve">Top inputs in each forecast (share of SHAP value in votes)</t>
  </si>
  <si>
    <t xml:space="preserve">#</t>
  </si>
  <si>
    <t xml:space="preserve">Share</t>
  </si>
  <si>
    <t xml:space="preserve">House lean, last election (t−2)</t>
  </si>
  <si>
    <t xml:space="preserve">Top-of-ticket lean, last election (t−2)</t>
  </si>
  <si>
    <t xml:space="preserve">Registration: R % (voter file)</t>
  </si>
  <si>
    <t xml:space="preserve">Senate lean, most recent Senate race</t>
  </si>
  <si>
    <t xml:space="preserve">Electorate last election: R % of ballots</t>
  </si>
  <si>
    <t xml:space="preserve">Registration: D % (voter file)</t>
  </si>
  <si>
    <t xml:space="preserve">House lean, last same-type election (t−4)</t>
  </si>
  <si>
    <t xml:space="preserve">Turnout, last election (certified)</t>
  </si>
  <si>
    <t xml:space="preserve">Registrants: female % (known sex)</t>
  </si>
  <si>
    <t xml:space="preserve">Registered voters (log)</t>
  </si>
  <si>
    <t xml:space="preserve">Forecast B — random-column test and selection</t>
  </si>
  <si>
    <t xml:space="preserve">Input</t>
  </si>
  <si>
    <t xml:space="preserve">Beat random columns (of 20)</t>
  </si>
  <si>
    <t xml:space="preserve">Share of SHAP in A</t>
  </si>
  <si>
    <t xml:space="preserve">Kept in B?</t>
  </si>
  <si>
    <t xml:space="preserve">Yes</t>
  </si>
  <si>
    <t xml:space="preserve">No</t>
  </si>
  <si>
    <t xml:space="preserve">Turnout last election: R registrants</t>
  </si>
  <si>
    <t xml:space="preserve">Turnout last election: unaffiliated</t>
  </si>
  <si>
    <t xml:space="preserve">Mail use last election: D voters</t>
  </si>
  <si>
    <t xml:space="preserve">Lean trend (t−2 minus t−4)</t>
  </si>
  <si>
    <t xml:space="preserve">Ticket-splitting, last election (House − top of ticket)</t>
  </si>
  <si>
    <t xml:space="preserve">Registration: unaffiliated/other %</t>
  </si>
  <si>
    <t xml:space="preserve">Turnout last election: D registrants</t>
  </si>
  <si>
    <t xml:space="preserve">Registration: change in D−R margin since t−2</t>
  </si>
  <si>
    <t xml:space="preserve">Midterm year (1/0)</t>
  </si>
  <si>
    <t xml:space="preserve">Registrants: Boomer + Silent %</t>
  </si>
  <si>
    <t xml:space="preserve">Registrants: Millennial + Gen Z %</t>
  </si>
  <si>
    <t xml:space="preserve">Rank</t>
  </si>
  <si>
    <t xml:space="preserve">Feature</t>
  </si>
  <si>
    <t xml:space="preserve">Share of model</t>
  </si>
  <si>
    <t xml:space="preserve">Share within its family</t>
  </si>
  <si>
    <t xml:space="preserve">SHAP value in votes</t>
  </si>
  <si>
    <t xml:space="preserve">Used to forecast</t>
  </si>
  <si>
    <t xml:space="preserve">Significance test result</t>
  </si>
  <si>
    <t xml:space="preserve">Variable (short name)</t>
  </si>
  <si>
    <t xml:space="preserve">Status in Forecast B</t>
  </si>
  <si>
    <t xml:space="preserve">Democratic percent of the two-party House vote, 2024 (certified municipal results), above or below the district average for that election</t>
  </si>
  <si>
    <t xml:space="preserve">Democratic percent of the two-party vote</t>
  </si>
  <si>
    <t xml:space="preserve">Beat all 10 random comparison columns in 20 of 20 refits.</t>
  </si>
  <si>
    <t xml:space="preserve">Kept in B</t>
  </si>
  <si>
    <t xml:space="preserve">Democratic percent of the two-party vote for President, 2024 (the top race on the ballot), above or below the district average</t>
  </si>
  <si>
    <t xml:space="preserve">Democratic percent of the two-party U.S. Senate vote, 2024 (most recent Senate race), above or below the district average</t>
  </si>
  <si>
    <t xml:space="preserve">Registered Republicans as a percent of all registered voters, 2026 (voter file)</t>
  </si>
  <si>
    <t xml:space="preserve">Registered Republicans as a percent of everyone who voted, 2024 (voter file)</t>
  </si>
  <si>
    <t xml:space="preserve">Registered Democrats as a percent of all registered voters, 2026 (voter file)</t>
  </si>
  <si>
    <t xml:space="preserve">Democratic percent of the two-party House vote, 2022 — the last midterm (certified municipal results), above or below the district average</t>
  </si>
  <si>
    <t xml:space="preserve">Ballots cast as a percent of registered voters, 2024 (certified municipal results)</t>
  </si>
  <si>
    <t xml:space="preserve">Dropped from B</t>
  </si>
  <si>
    <t xml:space="preserve">Women as a percent of registered voters whose sex is recorded, 2026 (voter file)</t>
  </si>
  <si>
    <t xml:space="preserve">Beat all 10 random comparison columns in 18 of 20 refits.</t>
  </si>
  <si>
    <t xml:space="preserve">Number of registered voters, 2026, on a log scale (voter file)</t>
  </si>
  <si>
    <t xml:space="preserve">Percent of registered Republicans who voted, 2024 (voter file)</t>
  </si>
  <si>
    <t xml:space="preserve">Percent of registered voters in neither major party who voted, 2024 (voter file)</t>
  </si>
  <si>
    <t xml:space="preserve">Change in the place’s House lean from 2022 to 2024, in points</t>
  </si>
  <si>
    <t xml:space="preserve">Percent of Democratic voters who voted by mail, 2024 (voter file)</t>
  </si>
  <si>
    <t xml:space="preserve">House Democratic percent minus presidential Democratic percent, 2024, in points (how much the place split its ticket)</t>
  </si>
  <si>
    <t xml:space="preserve">Registered voters in neither major party, as a percent of all registered voters, 2026 (voter file)</t>
  </si>
  <si>
    <t xml:space="preserve">Beat all 10 random comparison columns in 19 of 20 refits.</t>
  </si>
  <si>
    <t xml:space="preserve">Percent of registered Democrats who voted, 2024 (voter file)</t>
  </si>
  <si>
    <t xml:space="preserve">Change in registered Democrats minus registered Republicans (percent of registered) from 2024 to 2026 (voter file)</t>
  </si>
  <si>
    <t xml:space="preserve">Registered voters born 1964 or earlier, as a percent of all registered voters, 2026 (voter file)</t>
  </si>
  <si>
    <t xml:space="preserve">Beat all 10 random comparison columns in 5 of 20 refits.</t>
  </si>
  <si>
    <t xml:space="preserve">Registered voters born 1981 or later, as a percent of all registered voters, 2026 (voter file)</t>
  </si>
  <si>
    <t xml:space="preserve">Beat all 10 random comparison columns in 10 of 20 refits.</t>
  </si>
  <si>
    <t xml:space="preserve">Election type: 1 for a midterm year (2026), 0 for a presidential year</t>
  </si>
  <si>
    <t xml:space="preserve">Beat all 10 random comparison columns in 6 of 20 refits.</t>
  </si>
  <si>
    <t xml:space="preserve">Historical voter data, total</t>
  </si>
  <si>
    <t xml:space="preserve">Voter registration data, total</t>
  </si>
  <si>
    <t xml:space="preserve">Election type, total</t>
  </si>
  <si>
    <t xml:space="preserve">All features, total</t>
  </si>
  <si>
    <t xml:space="preserve">How to read this table. Each row is one input that this forecast uses, ranked by SHAP value in votes on the 2026 forecast rows.</t>
  </si>
  <si>
    <t xml:space="preserve">SHAP value: for one place, the number of votes that one input added to or took away from that place’s forecast, measured from the model’s starting value (the average over the places and years it was trained on). Exact TreeSHAP over every tree.</t>
  </si>
  <si>
    <t xml:space="preserve">SHAP value in votes is the average over the 89 municipalities of the votes the input moved, ignoring direction. Brooks votes and Mackenzie votes are counted together (moving 10 votes from Mackenzie to Brooks counts as 20). Votes cast are each place’s 2022 House votes × its registration growth since 2022.</t>
  </si>
  <si>
    <t xml:space="preserve">Share of model = the input’s SHAP value in votes ÷ the total for all inputs. Share within its family divides by its family’s total instead.</t>
  </si>
  <si>
    <t xml:space="preserve">What the model forecasts. One random forest forecasts each place’s Democratic percent of the two-party House vote, above or below the district average for that election. Turnout is not forecast: each place casts its 2022 House votes × its registration growth since 2022. Brooks share = forecast pattern + one uniform shift so the district total equals the scenario (default: registration-adjusted baseline).</t>
  </si>
  <si>
    <t xml:space="preserve">Forecast A weighting: none imposed. Each input’s weight is exactly what the full forest learned; SHAP shows it after the fact.</t>
  </si>
  <si>
    <t xml:space="preserve">Significance test. The full forest was refit 20 times with 10 extra columns of random numbers (5 that change row to row, 5 that keep one value per place). The column counts the refits in which the input’s average |SHAP| on the 2026 rows beat every random column.</t>
  </si>
  <si>
    <t xml:space="preserve">Settings: max_features=0.33, min_samples_leaf=1, 500 trees, trained on 243 municipality-elections (2020, 2022, 2024).</t>
  </si>
  <si>
    <t xml:space="preserve">Forecast B weighting: SHAP-selected. Only inputs that beat all 10 random columns in at least 18 of 20 refits AND held at least 2% of Forecast A’s SHAP total were kept; the forest was refit on those inputs alone, so weight that was spread over weak inputs is concentrated on the strong ones.</t>
  </si>
  <si>
    <t xml:space="preserve">Forecast C weighting: SHAP family re-weighting. Forecast A’s forest is kept, but each input family’s SHAP contribution is multiplied by a weight fitted to out-of-sample accuracy: Election type ×1.00; Historical voter data ×0.91; Voter registration data ×1.69. The forecast is the forest’s starting value plus the re-weighted SHAP values, so the SHAP values here are already re-weighted.</t>
  </si>
  <si>
    <t xml:space="preserve">Predicted Democratic (Wild) votes</t>
  </si>
  <si>
    <t xml:space="preserve">Actual Democratic votes</t>
  </si>
  <si>
    <t xml:space="preserve">Error, Democratic votes (predicted minus actual)</t>
  </si>
  <si>
    <t xml:space="preserve">Predicted Republican (Mackenzie) votes</t>
  </si>
  <si>
    <t xml:space="preserve">Actual Republican votes</t>
  </si>
  <si>
    <t xml:space="preserve">Error, Republican votes (predicted minus actual)</t>
  </si>
  <si>
    <t xml:space="preserve">Predicted Democratic share of the two-party vote</t>
  </si>
  <si>
    <t xml:space="preserve">Actual Democratic share of the two-party vote</t>
  </si>
  <si>
    <t xml:space="preserve">Error in Democratic share, percentage points (predicted minus actual)</t>
  </si>
  <si>
    <t xml:space="preserve">Note</t>
  </si>
  <si>
    <t xml:space="preserve">PA-07 District (municipalities compared)</t>
  </si>
  <si>
    <t xml:space="preserve">All rows (predicted only)</t>
  </si>
  <si>
    <t xml:space="preserve">Average miss per row, Democratic votes (sign removed)</t>
  </si>
  <si>
    <t xml:space="preserve">Average miss per row, Republican votes (sign removed)</t>
  </si>
  <si>
    <t xml:space="preserve">Average miss per row, Democratic share (points, sign removed)</t>
  </si>
  <si>
    <t xml:space="preserve">Root-mean-square miss per row, Democratic share (points)</t>
  </si>
  <si>
    <t xml:space="preserve">District-wide miss, Democratic share (points) — the level part of the error</t>
  </si>
  <si>
    <t xml:space="preserve">Root-mean-square miss per row after removing the district-wide miss (points) — the pattern part</t>
  </si>
  <si>
    <t xml:space="preserve">Votes cast miss from the turnout assumption (2020 votes vs actual 2024), percent</t>
  </si>
  <si>
    <t xml:space="preserve">Rows within 3 points on Democratic share</t>
  </si>
  <si>
    <t xml:space="preserve">Rows with a comparable 2024 result</t>
  </si>
  <si>
    <t xml:space="preserve">Rows in the table</t>
  </si>
  <si>
    <t xml:space="preserve">What this tab is: the same forecast, run as if it were the week before the 2024 general election, compared with the actual 2024 House results.</t>
  </si>
  <si>
    <t xml:space="preserve">The backtest forest was trained only on the 2020 and 2022 elections. Registration as of the 2024 election was kept; 2024 results were removed.</t>
  </si>
  <si>
    <t xml:space="preserve">Weights: Forecast A’s full forest, refit on 2020 and 2022 only (same inputs and settings as the 2026 forecast).</t>
  </si>
  <si>
    <t xml:space="preserve">Turnout, as in the 2026 forecast, is not modelled: each row’s votes cast = its House votes in the last election of the same type × its registration growth since then (2020 votes × 2020→2024 growth here; 2022 votes × 2022→2026 growth for 2026). Previously the backtest used 2020 votes with no growth, which under-counted 2024 votes cast by about 3%.</t>
  </si>
  <si>
    <t xml:space="preserve">District level (fixed): average of the two previous elections in today’s district WITH Carbon and Polk counted (2020 49.6%, 2022 50.9%), moved by 0.48 × the change in Democratic share of two-party registration since then (-2.5 pts) = 49.1%. Actual 2024: 49.4%. The 0.48 is the precinct-level link between registration change and vote change measured on 2018→2022 only. The old backtest used 2020 without Carbon/Polk (51.4%), which overstated the Democratic share by about 2 points.</t>
  </si>
  <si>
    <t xml:space="preserve">Actual votes are the 2024 House results exactly as given in the data. Error = predicted minus actual. Shares are of the two-party vote. Wild was the 2024 Democratic candidate and Mackenzie the 2024 Republican candidate.</t>
  </si>
  <si>
    <t xml:space="preserve">Rows marked 'No comparable 2024 result' are left out of the district total row and the error figures.</t>
  </si>
  <si>
    <t xml:space="preserve">These errors set the error terms on the 2026 forecast tab: each row gets the root-mean-square pattern miss of backtest rows of similar size (small / medium / large thirds by votes cast).</t>
  </si>
  <si>
    <t xml:space="preserve">Weights: Forecast B’s SHAP-selected inputs and settings, refit on 2020 and 2022 only.</t>
  </si>
  <si>
    <t xml:space="preserve">Weights: the SAME family weights as the 2026 Forecast C (Election type ×1.00; Historical voter data ×0.91; Voter registration data ×1.69), applied to the SHAP values of a forest refit on 2020 and 2022 only. Those weights were fitted on out-of-fold SHAP that included 2024, so this backtest is slightly optimistic for C.</t>
  </si>
  <si>
    <t xml:space="preserve">What changed in this version (v3.0)</t>
  </si>
  <si>
    <t xml:space="preserve">1. District baseline: every current-district precinct is counted in every year (Carbon and Polk were previously left out of 2018/2020 because they voted in PA-09/PA-08). The default share = average of the last two elections + k × change in two-party registration since then, with k = 0.419 measured from precinct-level changes (national swing removed). 2026 default: 49.52%.</t>
  </si>
  <si>
    <t xml:space="preserve">2. Turnout: each place’s votes cast = its House votes in the last same-type election × its registration growth since then. 2026 default ≈ 301,493. In the 2022 test this rule was -8.0% off and in 2024 -1.6% (district level).</t>
  </si>
  <si>
    <t xml:space="preserve">3. The random forests, their SHAP weights and the three weightings (A, B, C) are unchanged; there is still only one random forest per forecast, on the results. Backtests were re-run with the fixed baseline and turnout rule and the same weights as each forecast.</t>
  </si>
  <si>
    <t xml:space="preserve">Data</t>
  </si>
  <si>
    <t xml:space="preserve">Source: PA07_Municipal_Data_without_Demographics.xlsx (Master Data, Muni Consolidated); district baseline and registration from PA07_Precinct_Data.xlsx. Forest training rows: 2020, 2022, 2024 (2018 history only); rows where the House race was not PA-07 are not training targets, but they ARE counted in the district baseline.</t>
  </si>
  <si>
    <t xml:space="preserve">Model and error terms</t>
  </si>
  <si>
    <t xml:space="preserve">Random forest (500 trees) forecasting each place’s Democratic share above/below the district average; Brooks share = forecast + a uniform shift to the district input. SHAP: exact TreeSHAP over every tree (implemented in C; matches brute-force Shapley values).</t>
  </si>
  <si>
    <t xml:space="preserve">Row error term = ±1 RMS pattern miss of that forecast’s 2024 backtest for rows of similar size. District error term = the district-wide miss of the fixed backtest. Turnout error is not included in row terms (turnout is a rule).</t>
  </si>
  <si>
    <t xml:space="preserve">Caveats</t>
  </si>
  <si>
    <t xml:space="preserve">• The baseline contains no national-environment signal. Midterms under a sitting president often swing against the president’s party; the registration trend in PA-07 points the other way. The default is a starting point — override it for the environment you expect.</t>
  </si>
  <si>
    <t xml:space="preserve">• k and the turnout rule were checked on two elections (2022, 2024). The baseline rule was chosen because it is complete (same territory every year) and uses only pre-election information; the 2022 check (51.47% avg → registration-adjusted ≈ 50.7% vs actual 50.9%) was also close.</t>
  </si>
  <si>
    <t xml:space="preserve">• Forecast C’s backtest uses the same family weights as its 2026 forecast, which were fitted with 2024 among the held-out elections, so C’s backtest is slightly optimistic.</t>
  </si>
</sst>
</file>

<file path=xl/styles.xml><?xml version="1.0" encoding="utf-8"?>
<styleSheet xmlns="http://schemas.openxmlformats.org/spreadsheetml/2006/main">
  <numFmts count="16">
    <numFmt numFmtId="164" formatCode="General"/>
    <numFmt numFmtId="165" formatCode="0.0%"/>
    <numFmt numFmtId="166" formatCode="#,##0"/>
    <numFmt numFmtId="167" formatCode="0.00%"/>
    <numFmt numFmtId="168" formatCode="\+0.00;\-0.00"/>
    <numFmt numFmtId="169" formatCode="0.000"/>
    <numFmt numFmtId="170" formatCode="\+0.0%;\-0.0%"/>
    <numFmt numFmtId="171" formatCode="0.0"/>
    <numFmt numFmtId="172" formatCode="0"/>
    <numFmt numFmtId="173" formatCode="0.00"/>
    <numFmt numFmtId="174" formatCode="0%"/>
    <numFmt numFmtId="175" formatCode="yyyy\-mm\-dd"/>
    <numFmt numFmtId="176" formatCode="\+0.0;\-0.0"/>
    <numFmt numFmtId="177" formatCode="\+#,##0;\-#,##0;0"/>
    <numFmt numFmtId="178" formatCode="\+#,##0;\-#,##0"/>
    <numFmt numFmtId="179" formatCode="#,##0.0"/>
  </numFmts>
  <fonts count="13">
    <font>
      <sz val="11"/>
      <color theme="1"/>
      <name val="Calibri"/>
      <family val="2"/>
      <charset val="1"/>
    </font>
    <font>
      <sz val="10"/>
      <name val="Arial"/>
      <family val="0"/>
    </font>
    <font>
      <sz val="10"/>
      <name val="Arial"/>
      <family val="0"/>
    </font>
    <font>
      <sz val="10"/>
      <name val="Arial"/>
      <family val="0"/>
    </font>
    <font>
      <b val="true"/>
      <sz val="14"/>
      <color rgb="FF1F4E79"/>
      <name val="Calibri"/>
      <family val="0"/>
      <charset val="1"/>
    </font>
    <font>
      <sz val="11"/>
      <name val="Calibri"/>
      <family val="0"/>
      <charset val="1"/>
    </font>
    <font>
      <i val="true"/>
      <sz val="10"/>
      <color rgb="FF666666"/>
      <name val="Calibri"/>
      <family val="0"/>
      <charset val="1"/>
    </font>
    <font>
      <b val="true"/>
      <sz val="11"/>
      <name val="Calibri"/>
      <family val="0"/>
      <charset val="1"/>
    </font>
    <font>
      <b val="true"/>
      <sz val="11"/>
      <color rgb="FF0000FF"/>
      <name val="Calibri"/>
      <family val="0"/>
      <charset val="1"/>
    </font>
    <font>
      <b val="true"/>
      <sz val="11"/>
      <color rgb="FFFFFFFF"/>
      <name val="Calibri"/>
      <family val="0"/>
      <charset val="1"/>
    </font>
    <font>
      <sz val="11"/>
      <color rgb="FF008000"/>
      <name val="Calibri"/>
      <family val="0"/>
      <charset val="1"/>
    </font>
    <font>
      <sz val="10"/>
      <name val="Arial"/>
      <family val="2"/>
    </font>
    <font>
      <b val="true"/>
      <sz val="11"/>
      <color rgb="FF1F4E79"/>
      <name val="Calibri"/>
      <family val="0"/>
      <charset val="1"/>
    </font>
  </fonts>
  <fills count="9">
    <fill>
      <patternFill patternType="none"/>
    </fill>
    <fill>
      <patternFill patternType="gray125"/>
    </fill>
    <fill>
      <patternFill patternType="solid">
        <fgColor rgb="FFD6E3F0"/>
        <bgColor rgb="FFE2EFDA"/>
      </patternFill>
    </fill>
    <fill>
      <patternFill patternType="solid">
        <fgColor rgb="FFFFFF00"/>
        <bgColor rgb="FFFFFF00"/>
      </patternFill>
    </fill>
    <fill>
      <patternFill patternType="solid">
        <fgColor rgb="FF1F4E79"/>
        <bgColor rgb="FF003366"/>
      </patternFill>
    </fill>
    <fill>
      <patternFill patternType="solid">
        <fgColor rgb="FFE2EFDA"/>
        <bgColor rgb="FFF2F2F2"/>
      </patternFill>
    </fill>
    <fill>
      <patternFill patternType="solid">
        <fgColor rgb="FFFFF2CC"/>
        <bgColor rgb="FFF2F2F2"/>
      </patternFill>
    </fill>
    <fill>
      <patternFill patternType="solid">
        <fgColor rgb="FFF2F2F2"/>
        <bgColor rgb="FFE2EFDA"/>
      </patternFill>
    </fill>
    <fill>
      <patternFill patternType="solid">
        <fgColor rgb="FF7F7F7F"/>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8" fontId="5" fillId="5" borderId="1" xfId="0" applyFont="true" applyBorder="true" applyAlignment="false" applyProtection="false">
      <alignment horizontal="general" vertical="bottom" textRotation="0" wrapText="false" indent="0" shrinkToFit="false"/>
      <protection locked="true" hidden="false"/>
    </xf>
    <xf numFmtId="170" fontId="5" fillId="5" borderId="1" xfId="0" applyFont="true" applyBorder="true" applyAlignment="false" applyProtection="false">
      <alignment horizontal="general" vertical="bottom" textRotation="0" wrapText="false" indent="0" shrinkToFit="false"/>
      <protection locked="true" hidden="false"/>
    </xf>
    <xf numFmtId="170" fontId="7" fillId="5"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6" fontId="5" fillId="6" borderId="1" xfId="0" applyFont="true" applyBorder="true" applyAlignment="false" applyProtection="false">
      <alignment horizontal="general" vertical="bottom" textRotation="0" wrapText="false" indent="0" shrinkToFit="false"/>
      <protection locked="true" hidden="false"/>
    </xf>
    <xf numFmtId="165" fontId="5" fillId="6" borderId="1" xfId="0" applyFont="true" applyBorder="true" applyAlignment="false" applyProtection="false">
      <alignment horizontal="general" vertical="bottom" textRotation="0" wrapText="false" indent="0" shrinkToFit="false"/>
      <protection locked="true" hidden="false"/>
    </xf>
    <xf numFmtId="171" fontId="5" fillId="6"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73" fontId="5" fillId="0" borderId="1" xfId="0" applyFont="true" applyBorder="true" applyAlignment="false" applyProtection="false">
      <alignment horizontal="general" vertical="bottom" textRotation="0" wrapText="false" indent="0" shrinkToFit="false"/>
      <protection locked="true" hidden="false"/>
    </xf>
    <xf numFmtId="174"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71" fontId="7" fillId="6" borderId="1" xfId="0" applyFont="true" applyBorder="tru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6" fontId="5" fillId="7" borderId="0" xfId="0" applyFont="true" applyBorder="false" applyAlignment="false" applyProtection="false">
      <alignment horizontal="general" vertical="bottom" textRotation="0" wrapText="false" indent="0" shrinkToFit="false"/>
      <protection locked="true" hidden="false"/>
    </xf>
    <xf numFmtId="166" fontId="5" fillId="7" borderId="0" xfId="0" applyFont="true" applyBorder="false" applyAlignment="false" applyProtection="false">
      <alignment horizontal="general" vertical="bottom" textRotation="0" wrapText="false" indent="0" shrinkToFit="false"/>
      <protection locked="true" hidden="false"/>
    </xf>
    <xf numFmtId="165" fontId="5" fillId="7"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7" fontId="5" fillId="0" borderId="1" xfId="0" applyFont="true" applyBorder="true" applyAlignment="false" applyProtection="false">
      <alignment horizontal="general" vertical="bottom" textRotation="0" wrapText="false" indent="0" shrinkToFit="false"/>
      <protection locked="true" hidden="false"/>
    </xf>
    <xf numFmtId="176" fontId="5" fillId="0"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6" fontId="0" fillId="6" borderId="1" xfId="0" applyFont="false" applyBorder="true" applyAlignment="false" applyProtection="false">
      <alignment horizontal="general" vertical="bottom" textRotation="0" wrapText="false" indent="0" shrinkToFit="false"/>
      <protection locked="true" hidden="false"/>
    </xf>
    <xf numFmtId="178" fontId="0" fillId="6" borderId="1" xfId="0" applyFont="false" applyBorder="true" applyAlignment="false" applyProtection="false">
      <alignment horizontal="general" vertical="bottom" textRotation="0" wrapText="false" indent="0" shrinkToFit="false"/>
      <protection locked="true" hidden="false"/>
    </xf>
    <xf numFmtId="165" fontId="0" fillId="6" borderId="1" xfId="0" applyFont="false" applyBorder="true" applyAlignment="false" applyProtection="false">
      <alignment horizontal="general" vertical="bottom" textRotation="0" wrapText="false" indent="0" shrinkToFit="false"/>
      <protection locked="true" hidden="false"/>
    </xf>
    <xf numFmtId="176" fontId="0" fillId="6" borderId="1" xfId="0" applyFont="false" applyBorder="tru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2EFDA"/>
      <rgbColor rgb="FF660066"/>
      <rgbColor rgb="FFFF8080"/>
      <rgbColor rgb="FF0066CC"/>
      <rgbColor rgb="FFD6E3F0"/>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160560</xdr:rowOff>
    </xdr:from>
    <xdr:to>
      <xdr:col>18</xdr:col>
      <xdr:colOff>532800</xdr:colOff>
      <xdr:row>10</xdr:row>
      <xdr:rowOff>68760</xdr:rowOff>
    </xdr:to>
    <xdr:pic>
      <xdr:nvPicPr>
        <xdr:cNvPr id="0" name="Image 1" descr="Picture"/>
        <xdr:cNvPicPr/>
      </xdr:nvPicPr>
      <xdr:blipFill>
        <a:blip r:embed="rId1"/>
        <a:stretch/>
      </xdr:blipFill>
      <xdr:spPr>
        <a:xfrm>
          <a:off x="14333400" y="380880"/>
          <a:ext cx="6036120" cy="2575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20"/>
    <col collapsed="false" customWidth="true" hidden="false" outlineLevel="0" max="6" min="4" style="0" width="15"/>
    <col collapsed="false" customWidth="true" hidden="false" outlineLevel="0" max="7" min="7" style="0" width="16"/>
    <col collapsed="false" customWidth="true" hidden="false" outlineLevel="0" max="11" min="8" style="0" width="13"/>
    <col collapsed="false" customWidth="true" hidden="false" outlineLevel="0" max="12" min="1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c r="C5" s="4"/>
      <c r="D5" s="4"/>
      <c r="E5" s="4"/>
      <c r="F5" s="4"/>
      <c r="G5" s="4"/>
      <c r="H5" s="4"/>
      <c r="I5" s="4"/>
    </row>
    <row r="6" customFormat="false" ht="15" hidden="false" customHeight="false" outlineLevel="0" collapsed="false">
      <c r="A6" s="5" t="s">
        <v>4</v>
      </c>
      <c r="C6" s="6" t="n">
        <f aca="false">C21</f>
        <v>0.495158447761038</v>
      </c>
      <c r="D6" s="3" t="s">
        <v>5</v>
      </c>
    </row>
    <row r="7" customFormat="false" ht="15" hidden="false" customHeight="false" outlineLevel="0" collapsed="false">
      <c r="A7" s="5" t="s">
        <v>6</v>
      </c>
      <c r="C7" s="7" t="n">
        <f aca="false">C26</f>
        <v>301492.84737841</v>
      </c>
      <c r="D7" s="3" t="s">
        <v>7</v>
      </c>
    </row>
    <row r="9" customFormat="false" ht="15" hidden="false" customHeight="false" outlineLevel="0" collapsed="false">
      <c r="A9" s="4" t="s">
        <v>8</v>
      </c>
      <c r="B9" s="4"/>
      <c r="C9" s="4"/>
      <c r="D9" s="4"/>
      <c r="E9" s="4"/>
      <c r="F9" s="4"/>
      <c r="G9" s="4"/>
      <c r="H9" s="4"/>
      <c r="I9" s="4"/>
    </row>
    <row r="10" customFormat="false" ht="31.5" hidden="false" customHeight="true" outlineLevel="0" collapsed="false">
      <c r="A10" s="8" t="s">
        <v>9</v>
      </c>
      <c r="B10" s="8"/>
      <c r="C10" s="8" t="s">
        <v>10</v>
      </c>
      <c r="D10" s="8" t="s">
        <v>11</v>
      </c>
      <c r="E10" s="8" t="s">
        <v>12</v>
      </c>
      <c r="F10" s="8" t="s">
        <v>13</v>
      </c>
      <c r="G10" s="8" t="s">
        <v>14</v>
      </c>
    </row>
    <row r="11" customFormat="false" ht="15" hidden="false" customHeight="false" outlineLevel="0" collapsed="false">
      <c r="A11" s="9" t="s">
        <v>15</v>
      </c>
      <c r="B11" s="9"/>
      <c r="C11" s="10" t="n">
        <f aca="false">D11/(D11+E11)</f>
        <v>0.532994467712696</v>
      </c>
      <c r="D11" s="11" t="n">
        <v>136421</v>
      </c>
      <c r="E11" s="11" t="n">
        <v>119531</v>
      </c>
      <c r="F11" s="11" t="n">
        <v>483877</v>
      </c>
      <c r="G11" s="12" t="n">
        <v>0.567987991914153</v>
      </c>
    </row>
    <row r="12" customFormat="false" ht="15" hidden="false" customHeight="false" outlineLevel="0" collapsed="false">
      <c r="A12" s="9" t="s">
        <v>16</v>
      </c>
      <c r="B12" s="9"/>
      <c r="C12" s="10" t="n">
        <f aca="false">D12/(D12+E12)</f>
        <v>0.496465248197039</v>
      </c>
      <c r="D12" s="11" t="n">
        <v>188347</v>
      </c>
      <c r="E12" s="11" t="n">
        <v>191029</v>
      </c>
      <c r="F12" s="11" t="n">
        <v>518873</v>
      </c>
      <c r="G12" s="12" t="n">
        <v>0.55685757853579</v>
      </c>
    </row>
    <row r="13" customFormat="false" ht="15" hidden="false" customHeight="false" outlineLevel="0" collapsed="false">
      <c r="A13" s="9" t="s">
        <v>17</v>
      </c>
      <c r="B13" s="9"/>
      <c r="C13" s="10" t="n">
        <f aca="false">D13/(D13+E13)</f>
        <v>0.508965719508369</v>
      </c>
      <c r="D13" s="11" t="n">
        <v>149243</v>
      </c>
      <c r="E13" s="11" t="n">
        <v>143985</v>
      </c>
      <c r="F13" s="11" t="n">
        <v>510119</v>
      </c>
      <c r="G13" s="12" t="n">
        <v>0.547664742647325</v>
      </c>
    </row>
    <row r="14" customFormat="false" ht="15" hidden="false" customHeight="false" outlineLevel="0" collapsed="false">
      <c r="A14" s="9" t="s">
        <v>18</v>
      </c>
      <c r="B14" s="9"/>
      <c r="C14" s="10" t="n">
        <f aca="false">D14/(D14+E14)</f>
        <v>0.494248133629371</v>
      </c>
      <c r="D14" s="11" t="n">
        <v>196561</v>
      </c>
      <c r="E14" s="11" t="n">
        <v>201136</v>
      </c>
      <c r="F14" s="11" t="n">
        <v>535177</v>
      </c>
      <c r="G14" s="12" t="n">
        <v>0.527582575305696</v>
      </c>
    </row>
    <row r="15" customFormat="false" ht="15" hidden="false" customHeight="false" outlineLevel="0" collapsed="false">
      <c r="A15" s="9" t="s">
        <v>19</v>
      </c>
      <c r="B15" s="9"/>
      <c r="C15" s="9"/>
      <c r="D15" s="9"/>
      <c r="E15" s="9"/>
      <c r="F15" s="11" t="n">
        <v>517956</v>
      </c>
      <c r="G15" s="12" t="n">
        <v>0.522234252255227</v>
      </c>
    </row>
    <row r="16" customFormat="false" ht="15" hidden="false" customHeight="false" outlineLevel="0" collapsed="false">
      <c r="A16" s="13" t="s">
        <v>20</v>
      </c>
      <c r="B16" s="13"/>
      <c r="C16" s="13"/>
      <c r="D16" s="13"/>
      <c r="E16" s="13"/>
      <c r="F16" s="13"/>
      <c r="G16" s="13"/>
      <c r="H16" s="13"/>
      <c r="I16" s="13"/>
    </row>
    <row r="18" customFormat="false" ht="15" hidden="false" customHeight="false" outlineLevel="0" collapsed="false">
      <c r="A18" s="2" t="s">
        <v>21</v>
      </c>
      <c r="C18" s="14" t="n">
        <f aca="false">AVERAGE(C13,C14)</f>
        <v>0.50160692656887</v>
      </c>
    </row>
    <row r="19" customFormat="false" ht="15" hidden="false" customHeight="false" outlineLevel="0" collapsed="false">
      <c r="A19" s="2" t="s">
        <v>22</v>
      </c>
      <c r="C19" s="15" t="n">
        <f aca="false">(G15-AVERAGE(G13,G14))*100</f>
        <v>-1.53894067212842</v>
      </c>
    </row>
    <row r="20" customFormat="false" ht="15" hidden="false" customHeight="false" outlineLevel="0" collapsed="false">
      <c r="A20" s="2" t="s">
        <v>23</v>
      </c>
      <c r="C20" s="16" t="n">
        <v>0.419020624031851</v>
      </c>
      <c r="D20" s="3" t="s">
        <v>24</v>
      </c>
    </row>
    <row r="21" customFormat="false" ht="15" hidden="false" customHeight="false" outlineLevel="0" collapsed="false">
      <c r="A21" s="5" t="s">
        <v>25</v>
      </c>
      <c r="C21" s="17" t="n">
        <f aca="false">C18+C20*C19/100</f>
        <v>0.495158447761038</v>
      </c>
    </row>
    <row r="23" customFormat="false" ht="15" hidden="false" customHeight="false" outlineLevel="0" collapsed="false">
      <c r="A23" s="2" t="s">
        <v>26</v>
      </c>
      <c r="C23" s="18" t="n">
        <f aca="false">D13+E13</f>
        <v>293228</v>
      </c>
    </row>
    <row r="24" customFormat="false" ht="15" hidden="false" customHeight="false" outlineLevel="0" collapsed="false">
      <c r="A24" s="2" t="s">
        <v>27</v>
      </c>
      <c r="C24" s="19" t="n">
        <f aca="false">F15/F13</f>
        <v>1.01536308194755</v>
      </c>
    </row>
    <row r="25" customFormat="false" ht="15" hidden="false" customHeight="false" outlineLevel="0" collapsed="false">
      <c r="A25" s="2" t="s">
        <v>28</v>
      </c>
      <c r="C25" s="18" t="n">
        <f aca="false">C23*C24</f>
        <v>297732.885793315</v>
      </c>
    </row>
    <row r="26" customFormat="false" ht="15" hidden="false" customHeight="false" outlineLevel="0" collapsed="false">
      <c r="A26" s="5" t="s">
        <v>29</v>
      </c>
      <c r="C26" s="11" t="n">
        <v>301492.84737841</v>
      </c>
      <c r="D26" s="3" t="s">
        <v>30</v>
      </c>
    </row>
    <row r="28" customFormat="false" ht="15" hidden="false" customHeight="false" outlineLevel="0" collapsed="false">
      <c r="A28" s="4" t="s">
        <v>31</v>
      </c>
      <c r="B28" s="4"/>
      <c r="C28" s="4"/>
      <c r="D28" s="4"/>
      <c r="E28" s="4"/>
      <c r="F28" s="4"/>
      <c r="G28" s="4"/>
      <c r="H28" s="4"/>
      <c r="I28" s="4"/>
    </row>
    <row r="29" customFormat="false" ht="15" hidden="false" customHeight="false" outlineLevel="0" collapsed="false">
      <c r="A29" s="5" t="s">
        <v>32</v>
      </c>
    </row>
    <row r="30" customFormat="false" ht="45.75" hidden="false" customHeight="true" outlineLevel="0" collapsed="false">
      <c r="A30" s="20" t="s">
        <v>33</v>
      </c>
      <c r="B30" s="20"/>
      <c r="C30" s="20"/>
      <c r="D30" s="20"/>
      <c r="E30" s="20"/>
      <c r="F30" s="20"/>
      <c r="G30" s="20"/>
      <c r="H30" s="20"/>
      <c r="I30" s="20"/>
    </row>
    <row r="31" customFormat="false" ht="15" hidden="false" customHeight="false" outlineLevel="0" collapsed="false">
      <c r="A31" s="5" t="s">
        <v>34</v>
      </c>
    </row>
    <row r="32" customFormat="false" ht="45.75" hidden="false" customHeight="true" outlineLevel="0" collapsed="false">
      <c r="A32" s="20" t="s">
        <v>35</v>
      </c>
      <c r="B32" s="20"/>
      <c r="C32" s="20"/>
      <c r="D32" s="20"/>
      <c r="E32" s="20"/>
      <c r="F32" s="20"/>
      <c r="G32" s="20"/>
      <c r="H32" s="20"/>
      <c r="I32" s="20"/>
    </row>
    <row r="33" customFormat="false" ht="15" hidden="false" customHeight="false" outlineLevel="0" collapsed="false">
      <c r="A33" s="5" t="s">
        <v>36</v>
      </c>
    </row>
    <row r="34" customFormat="false" ht="45.75" hidden="false" customHeight="true" outlineLevel="0" collapsed="false">
      <c r="A34" s="20" t="s">
        <v>37</v>
      </c>
      <c r="B34" s="20"/>
      <c r="C34" s="20"/>
      <c r="D34" s="20"/>
      <c r="E34" s="20"/>
      <c r="F34" s="20"/>
      <c r="G34" s="20"/>
      <c r="H34" s="20"/>
      <c r="I34" s="20"/>
    </row>
    <row r="35" customFormat="false" ht="15" hidden="false" customHeight="false" outlineLevel="0" collapsed="false">
      <c r="A35" s="5" t="s">
        <v>38</v>
      </c>
    </row>
    <row r="36" customFormat="false" ht="45.75" hidden="false" customHeight="true" outlineLevel="0" collapsed="false">
      <c r="A36" s="20" t="s">
        <v>39</v>
      </c>
      <c r="B36" s="20"/>
      <c r="C36" s="20"/>
      <c r="D36" s="20"/>
      <c r="E36" s="20"/>
      <c r="F36" s="20"/>
      <c r="G36" s="20"/>
      <c r="H36" s="20"/>
      <c r="I36" s="20"/>
    </row>
    <row r="37" customFormat="false" ht="15" hidden="false" customHeight="false" outlineLevel="0" collapsed="false">
      <c r="A37" s="5" t="s">
        <v>40</v>
      </c>
    </row>
    <row r="38" customFormat="false" ht="45.75" hidden="false" customHeight="true" outlineLevel="0" collapsed="false">
      <c r="A38" s="20" t="s">
        <v>41</v>
      </c>
      <c r="B38" s="20"/>
      <c r="C38" s="20"/>
      <c r="D38" s="20"/>
      <c r="E38" s="20"/>
      <c r="F38" s="20"/>
      <c r="G38" s="20"/>
      <c r="H38" s="20"/>
      <c r="I38" s="20"/>
    </row>
    <row r="40" customFormat="false" ht="45" hidden="false" customHeight="true" outlineLevel="0" collapsed="false">
      <c r="A40" s="8" t="s">
        <v>42</v>
      </c>
      <c r="B40" s="8" t="s">
        <v>43</v>
      </c>
      <c r="C40" s="8" t="s">
        <v>44</v>
      </c>
      <c r="D40" s="8" t="s">
        <v>45</v>
      </c>
      <c r="E40" s="8" t="s">
        <v>46</v>
      </c>
      <c r="F40" s="8" t="s">
        <v>47</v>
      </c>
    </row>
    <row r="41" customFormat="false" ht="15" hidden="false" customHeight="false" outlineLevel="0" collapsed="false">
      <c r="A41" s="21" t="s">
        <v>48</v>
      </c>
      <c r="B41" s="21" t="s">
        <v>49</v>
      </c>
      <c r="C41" s="22" t="n">
        <v>1.94099821797907</v>
      </c>
      <c r="D41" s="23" t="n">
        <v>0.00500936751725734</v>
      </c>
      <c r="E41" s="23" t="n">
        <v>-0.0700826754644358</v>
      </c>
      <c r="F41" s="23" t="n">
        <v>-0.0329148008747526</v>
      </c>
    </row>
    <row r="42" customFormat="false" ht="15" hidden="false" customHeight="false" outlineLevel="0" collapsed="false">
      <c r="A42" s="24" t="s">
        <v>48</v>
      </c>
      <c r="B42" s="24" t="s">
        <v>50</v>
      </c>
      <c r="C42" s="25" t="n">
        <v>-0.41247959417598</v>
      </c>
      <c r="D42" s="26" t="n">
        <v>-0.00983338843637605</v>
      </c>
      <c r="E42" s="27" t="n">
        <v>0.0066425120772946</v>
      </c>
      <c r="F42" s="26" t="n">
        <v>-0.00151246919273818</v>
      </c>
    </row>
    <row r="43" customFormat="false" ht="15" hidden="false" customHeight="false" outlineLevel="0" collapsed="false">
      <c r="A43" s="21" t="s">
        <v>51</v>
      </c>
      <c r="B43" s="21" t="s">
        <v>49</v>
      </c>
      <c r="C43" s="22" t="n">
        <v>1.94022906412522</v>
      </c>
      <c r="D43" s="23" t="n">
        <v>0.0049943394147054</v>
      </c>
      <c r="E43" s="23" t="n">
        <v>-0.0700679470562822</v>
      </c>
      <c r="F43" s="23" t="n">
        <v>-0.0329148008747526</v>
      </c>
    </row>
    <row r="44" customFormat="false" ht="15" hidden="false" customHeight="false" outlineLevel="0" collapsed="false">
      <c r="A44" s="24" t="s">
        <v>51</v>
      </c>
      <c r="B44" s="24" t="s">
        <v>50</v>
      </c>
      <c r="C44" s="25" t="n">
        <v>-0.4144661649575</v>
      </c>
      <c r="D44" s="26" t="n">
        <v>-0.00987346337651407</v>
      </c>
      <c r="E44" s="27" t="n">
        <v>0.00668178783237106</v>
      </c>
      <c r="F44" s="26" t="n">
        <v>-0.00151246919273818</v>
      </c>
    </row>
    <row r="45" customFormat="false" ht="15" hidden="false" customHeight="false" outlineLevel="0" collapsed="false">
      <c r="A45" s="21" t="s">
        <v>52</v>
      </c>
      <c r="B45" s="21" t="s">
        <v>49</v>
      </c>
      <c r="C45" s="22" t="n">
        <v>1.94125460259702</v>
      </c>
      <c r="D45" s="23" t="n">
        <v>0.00501437688477457</v>
      </c>
      <c r="E45" s="23" t="n">
        <v>-0.0700875849338204</v>
      </c>
      <c r="F45" s="23" t="n">
        <v>-0.0329148008747526</v>
      </c>
    </row>
    <row r="46" customFormat="false" ht="15" hidden="false" customHeight="false" outlineLevel="0" collapsed="false">
      <c r="A46" s="24" t="s">
        <v>52</v>
      </c>
      <c r="B46" s="24" t="s">
        <v>50</v>
      </c>
      <c r="C46" s="25" t="n">
        <v>-0.41173463013291</v>
      </c>
      <c r="D46" s="26" t="n">
        <v>-0.00981836033382422</v>
      </c>
      <c r="E46" s="27" t="n">
        <v>0.00662778366914107</v>
      </c>
      <c r="F46" s="26" t="n">
        <v>-0.00151246919273818</v>
      </c>
    </row>
    <row r="48" customFormat="false" ht="15" hidden="false" customHeight="false" outlineLevel="0" collapsed="false">
      <c r="A48" s="4" t="s">
        <v>53</v>
      </c>
      <c r="B48" s="4"/>
      <c r="C48" s="4"/>
      <c r="D48" s="4"/>
      <c r="E48" s="4"/>
      <c r="F48" s="4"/>
      <c r="G48" s="4"/>
      <c r="H48" s="4"/>
      <c r="I48" s="4"/>
    </row>
    <row r="49" customFormat="false" ht="31.5" hidden="false" customHeight="true" outlineLevel="0" collapsed="false">
      <c r="A49" s="8" t="s">
        <v>42</v>
      </c>
      <c r="B49" s="8" t="s">
        <v>54</v>
      </c>
      <c r="C49" s="8" t="s">
        <v>55</v>
      </c>
      <c r="D49" s="8" t="s">
        <v>56</v>
      </c>
      <c r="E49" s="8" t="s">
        <v>57</v>
      </c>
      <c r="F49" s="8" t="s">
        <v>58</v>
      </c>
      <c r="G49" s="8" t="s">
        <v>59</v>
      </c>
      <c r="H49" s="8" t="s">
        <v>60</v>
      </c>
      <c r="I49" s="8" t="s">
        <v>61</v>
      </c>
    </row>
    <row r="50" customFormat="false" ht="15" hidden="false" customHeight="false" outlineLevel="0" collapsed="false">
      <c r="A50" s="28" t="s">
        <v>48</v>
      </c>
      <c r="B50" s="29" t="s">
        <v>62</v>
      </c>
      <c r="C50" s="30" t="n">
        <f aca="false">'2026 Forecast A'!D8</f>
        <v>149285</v>
      </c>
      <c r="D50" s="30" t="n">
        <f aca="false">'2026 Forecast A'!E8</f>
        <v>152205</v>
      </c>
      <c r="E50" s="30" t="n">
        <f aca="false">'2026 Forecast A'!F8</f>
        <v>301490</v>
      </c>
      <c r="F50" s="31" t="n">
        <f aca="false">'2026 Forecast A'!G8</f>
        <v>0.495157384987893</v>
      </c>
      <c r="G50" s="32" t="n">
        <f aca="false">'2026 Forecast A'!J8</f>
        <v>0.412479594175977</v>
      </c>
      <c r="H50" s="29" t="str">
        <f aca="false">TEXT('2026 Forecast A'!K8,"0.0%")&amp;" – "&amp;TEXT('2026 Forecast A'!L8,"0.0%")</f>
        <v>49.1% – 49.9%</v>
      </c>
      <c r="I50" s="30" t="n">
        <f aca="false">'2026 Forecast A'!M8</f>
        <v>1244</v>
      </c>
    </row>
    <row r="51" customFormat="false" ht="15" hidden="false" customHeight="false" outlineLevel="0" collapsed="false">
      <c r="A51" s="28" t="s">
        <v>51</v>
      </c>
      <c r="B51" s="29" t="s">
        <v>63</v>
      </c>
      <c r="C51" s="30" t="n">
        <f aca="false">'2026 Forecast B'!D8</f>
        <v>149292</v>
      </c>
      <c r="D51" s="30" t="n">
        <f aca="false">'2026 Forecast B'!E8</f>
        <v>152198</v>
      </c>
      <c r="E51" s="30" t="n">
        <f aca="false">'2026 Forecast B'!F8</f>
        <v>301490</v>
      </c>
      <c r="F51" s="31" t="n">
        <f aca="false">'2026 Forecast B'!G8</f>
        <v>0.495180603005075</v>
      </c>
      <c r="G51" s="32" t="n">
        <f aca="false">'2026 Forecast B'!J8</f>
        <v>0.414466164957503</v>
      </c>
      <c r="H51" s="29" t="str">
        <f aca="false">TEXT('2026 Forecast B'!K8,"0.0%")&amp;" – "&amp;TEXT('2026 Forecast B'!L8,"0.0%")</f>
        <v>49.1% – 49.9%</v>
      </c>
      <c r="I51" s="30" t="n">
        <f aca="false">'2026 Forecast B'!M8</f>
        <v>1250</v>
      </c>
    </row>
    <row r="52" customFormat="false" ht="15" hidden="false" customHeight="false" outlineLevel="0" collapsed="false">
      <c r="A52" s="28" t="s">
        <v>52</v>
      </c>
      <c r="B52" s="29" t="s">
        <v>64</v>
      </c>
      <c r="C52" s="30" t="n">
        <f aca="false">'2026 Forecast C'!D8</f>
        <v>149287</v>
      </c>
      <c r="D52" s="30" t="n">
        <f aca="false">'2026 Forecast C'!E8</f>
        <v>152203</v>
      </c>
      <c r="E52" s="30" t="n">
        <f aca="false">'2026 Forecast C'!F8</f>
        <v>301490</v>
      </c>
      <c r="F52" s="31" t="n">
        <f aca="false">'2026 Forecast C'!G8</f>
        <v>0.495164018707088</v>
      </c>
      <c r="G52" s="32" t="n">
        <f aca="false">'2026 Forecast C'!J8</f>
        <v>0.411734630132912</v>
      </c>
      <c r="H52" s="29" t="str">
        <f aca="false">TEXT('2026 Forecast C'!K8,"0.0%")&amp;" – "&amp;TEXT('2026 Forecast C'!L8,"0.0%")</f>
        <v>49.1% – 49.9%</v>
      </c>
      <c r="I52" s="30" t="n">
        <f aca="false">'2026 Forecast C'!M8</f>
        <v>1241</v>
      </c>
    </row>
    <row r="54" customFormat="false" ht="15" hidden="false" customHeight="false" outlineLevel="0" collapsed="false">
      <c r="A54" s="4" t="s">
        <v>65</v>
      </c>
      <c r="B54" s="4"/>
      <c r="C54" s="4"/>
      <c r="D54" s="4"/>
      <c r="E54" s="4"/>
      <c r="F54" s="4"/>
      <c r="G54" s="4"/>
      <c r="H54" s="4"/>
      <c r="I54" s="4"/>
    </row>
    <row r="55" customFormat="false" ht="45" hidden="false" customHeight="true" outlineLevel="0" collapsed="false">
      <c r="A55" s="8" t="s">
        <v>42</v>
      </c>
      <c r="B55" s="8" t="s">
        <v>66</v>
      </c>
      <c r="C55" s="8" t="s">
        <v>67</v>
      </c>
      <c r="D55" s="8" t="s">
        <v>68</v>
      </c>
      <c r="E55" s="8" t="s">
        <v>69</v>
      </c>
      <c r="F55" s="8" t="s">
        <v>70</v>
      </c>
      <c r="G55" s="8" t="s">
        <v>71</v>
      </c>
      <c r="H55" s="8" t="s">
        <v>72</v>
      </c>
      <c r="I55" s="8" t="s">
        <v>73</v>
      </c>
    </row>
    <row r="56" customFormat="false" ht="15" hidden="false" customHeight="false" outlineLevel="0" collapsed="false">
      <c r="A56" s="33" t="s">
        <v>48</v>
      </c>
      <c r="B56" s="34" t="n">
        <f aca="false">'2024 Backtest A'!F103</f>
        <v>89</v>
      </c>
      <c r="C56" s="35" t="n">
        <f aca="false">'2024 Backtest A'!F97</f>
        <v>1.30619824675094</v>
      </c>
      <c r="D56" s="35" t="n">
        <f aca="false">'2024 Backtest A'!F98</f>
        <v>1.79591474088555</v>
      </c>
      <c r="E56" s="22" t="n">
        <f aca="false">'2024 Backtest A'!F99</f>
        <v>-0.41247959417598</v>
      </c>
      <c r="F56" s="35" t="n">
        <f aca="false">'2024 Backtest A'!F100</f>
        <v>1.8252383150264</v>
      </c>
      <c r="G56" s="36" t="n">
        <f aca="false">'2024 Backtest A'!F102</f>
        <v>0.943820224719101</v>
      </c>
      <c r="H56" s="37" t="n">
        <f aca="false">'2024 Backtest A'!F95</f>
        <v>68.6629213483146</v>
      </c>
      <c r="I56" s="23" t="n">
        <f aca="false">'2024 Backtest A'!F101</f>
        <v>-0.00151246919273818</v>
      </c>
    </row>
    <row r="57" customFormat="false" ht="15" hidden="false" customHeight="false" outlineLevel="0" collapsed="false">
      <c r="A57" s="33" t="s">
        <v>51</v>
      </c>
      <c r="B57" s="34" t="n">
        <f aca="false">'2024 Backtest B'!F103</f>
        <v>89</v>
      </c>
      <c r="C57" s="35" t="n">
        <f aca="false">'2024 Backtest B'!F97</f>
        <v>1.4793996987161</v>
      </c>
      <c r="D57" s="35" t="n">
        <f aca="false">'2024 Backtest B'!F98</f>
        <v>1.97896357753325</v>
      </c>
      <c r="E57" s="22" t="n">
        <f aca="false">'2024 Backtest B'!F99</f>
        <v>-0.4144661649575</v>
      </c>
      <c r="F57" s="35" t="n">
        <f aca="false">'2024 Backtest B'!F100</f>
        <v>2.01525083584947</v>
      </c>
      <c r="G57" s="36" t="n">
        <f aca="false">'2024 Backtest B'!F102</f>
        <v>0.865168539325843</v>
      </c>
      <c r="H57" s="37" t="n">
        <f aca="false">'2024 Backtest B'!F95</f>
        <v>66.3483146067416</v>
      </c>
      <c r="I57" s="23" t="n">
        <f aca="false">'2024 Backtest B'!F101</f>
        <v>-0.00151246919273818</v>
      </c>
    </row>
    <row r="58" customFormat="false" ht="15" hidden="false" customHeight="false" outlineLevel="0" collapsed="false">
      <c r="A58" s="33" t="s">
        <v>52</v>
      </c>
      <c r="B58" s="34" t="n">
        <f aca="false">'2024 Backtest C'!F103</f>
        <v>89</v>
      </c>
      <c r="C58" s="35" t="n">
        <f aca="false">'2024 Backtest C'!F97</f>
        <v>1.67461745363806</v>
      </c>
      <c r="D58" s="35" t="n">
        <f aca="false">'2024 Backtest C'!F98</f>
        <v>2.07748866726988</v>
      </c>
      <c r="E58" s="22" t="n">
        <f aca="false">'2024 Backtest C'!F99</f>
        <v>-0.411734630132909</v>
      </c>
      <c r="F58" s="35" t="n">
        <f aca="false">'2024 Backtest C'!F100</f>
        <v>1.9217578582195</v>
      </c>
      <c r="G58" s="36" t="n">
        <f aca="false">'2024 Backtest C'!F102</f>
        <v>0.853932584269663</v>
      </c>
      <c r="H58" s="37" t="n">
        <f aca="false">'2024 Backtest C'!F95</f>
        <v>96.9438202247191</v>
      </c>
      <c r="I58" s="23" t="n">
        <f aca="false">'2024 Backtest C'!F101</f>
        <v>-0.00151246919273818</v>
      </c>
    </row>
    <row r="60" customFormat="false" ht="15" hidden="false" customHeight="false" outlineLevel="0" collapsed="false">
      <c r="A60" s="4" t="s">
        <v>74</v>
      </c>
      <c r="B60" s="4"/>
      <c r="C60" s="4"/>
      <c r="D60" s="4"/>
      <c r="E60" s="4"/>
      <c r="F60" s="4"/>
      <c r="G60" s="4"/>
      <c r="H60" s="4"/>
      <c r="I60" s="4"/>
      <c r="J60" s="4"/>
      <c r="K60" s="4"/>
      <c r="L60" s="4"/>
    </row>
    <row r="61" customFormat="false" ht="31.5" hidden="false" customHeight="true" outlineLevel="0" collapsed="false">
      <c r="A61" s="8" t="s">
        <v>75</v>
      </c>
      <c r="B61" s="8" t="s">
        <v>76</v>
      </c>
      <c r="C61" s="8" t="s">
        <v>77</v>
      </c>
      <c r="D61" s="8" t="s">
        <v>48</v>
      </c>
      <c r="E61" s="8" t="s">
        <v>51</v>
      </c>
      <c r="F61" s="8" t="s">
        <v>52</v>
      </c>
      <c r="G61" s="8" t="s">
        <v>78</v>
      </c>
      <c r="H61" s="8" t="s">
        <v>79</v>
      </c>
      <c r="I61" s="8" t="s">
        <v>80</v>
      </c>
      <c r="J61" s="8" t="s">
        <v>81</v>
      </c>
      <c r="K61" s="8" t="s">
        <v>82</v>
      </c>
      <c r="L61" s="8" t="s">
        <v>83</v>
      </c>
    </row>
    <row r="62" customFormat="false" ht="15" hidden="false" customHeight="false" outlineLevel="0" collapsed="false">
      <c r="A62" s="9" t="str">
        <f aca="false">'2026 Forecast A'!A12</f>
        <v>Carbon</v>
      </c>
      <c r="B62" s="9" t="str">
        <f aca="false">'2026 Forecast A'!B12</f>
        <v>BANKS TOWNSHIP</v>
      </c>
      <c r="C62" s="9" t="str">
        <f aca="false">'2026 Forecast A'!C12</f>
        <v>(whole municipality)</v>
      </c>
      <c r="D62" s="10" t="n">
        <f aca="false">'2026 Forecast A'!G12</f>
        <v>0.39010989010989</v>
      </c>
      <c r="E62" s="10" t="n">
        <f aca="false">'2026 Forecast B'!G12</f>
        <v>0.395604395604396</v>
      </c>
      <c r="F62" s="10" t="n">
        <f aca="false">'2026 Forecast C'!G12</f>
        <v>0.392857142857143</v>
      </c>
      <c r="G62" s="38" t="n">
        <f aca="false">(MAX(D62:F62)-MIN(D62:F62))*100</f>
        <v>0.549450549450548</v>
      </c>
      <c r="H62" s="38" t="n">
        <f aca="false">'2026 Forecast A'!J12</f>
        <v>2.52149049515553</v>
      </c>
      <c r="I62" s="38" t="n">
        <f aca="false">'2026 Forecast B'!J12</f>
        <v>2.69963061572276</v>
      </c>
      <c r="J62" s="38" t="n">
        <f aca="false">'2026 Forecast C'!J12</f>
        <v>2.40839232344956</v>
      </c>
      <c r="K62" s="18" t="n">
        <f aca="false">'2026 Forecast A'!F12</f>
        <v>364</v>
      </c>
      <c r="L62" s="39" t="str">
        <f aca="false">IF(OR(AND(D62&gt;0.5,E62&gt;0.5,F62&gt;0.5),AND(D62&lt;0.5,E62&lt;0.5,F62&lt;0.5)),"Yes","No — toss-up")</f>
        <v>Yes</v>
      </c>
    </row>
    <row r="63" customFormat="false" ht="15" hidden="false" customHeight="false" outlineLevel="0" collapsed="false">
      <c r="A63" s="9" t="str">
        <f aca="false">'2026 Forecast A'!A13</f>
        <v>Carbon</v>
      </c>
      <c r="B63" s="9" t="str">
        <f aca="false">'2026 Forecast A'!B13</f>
        <v>BEAVER MEADOWS BOROUGH</v>
      </c>
      <c r="C63" s="9" t="str">
        <f aca="false">'2026 Forecast A'!C13</f>
        <v>(whole municipality)</v>
      </c>
      <c r="D63" s="10" t="n">
        <f aca="false">'2026 Forecast A'!G13</f>
        <v>0.287878787878788</v>
      </c>
      <c r="E63" s="10" t="n">
        <f aca="false">'2026 Forecast B'!G13</f>
        <v>0.290909090909091</v>
      </c>
      <c r="F63" s="10" t="n">
        <f aca="false">'2026 Forecast C'!G13</f>
        <v>0.278787878787879</v>
      </c>
      <c r="G63" s="38" t="n">
        <f aca="false">(MAX(D63:F63)-MIN(D63:F63))*100</f>
        <v>1.21212121212121</v>
      </c>
      <c r="H63" s="38" t="n">
        <f aca="false">'2026 Forecast A'!J13</f>
        <v>2.52149049515553</v>
      </c>
      <c r="I63" s="38" t="n">
        <f aca="false">'2026 Forecast B'!J13</f>
        <v>2.69963061572276</v>
      </c>
      <c r="J63" s="38" t="n">
        <f aca="false">'2026 Forecast C'!J13</f>
        <v>2.40839232344956</v>
      </c>
      <c r="K63" s="18" t="n">
        <f aca="false">'2026 Forecast A'!F13</f>
        <v>330</v>
      </c>
      <c r="L63" s="39" t="str">
        <f aca="false">IF(OR(AND(D63&gt;0.5,E63&gt;0.5,F63&gt;0.5),AND(D63&lt;0.5,E63&lt;0.5,F63&lt;0.5)),"Yes","No — toss-up")</f>
        <v>Yes</v>
      </c>
    </row>
    <row r="64" customFormat="false" ht="15" hidden="false" customHeight="false" outlineLevel="0" collapsed="false">
      <c r="A64" s="9" t="str">
        <f aca="false">'2026 Forecast A'!A14</f>
        <v>Carbon</v>
      </c>
      <c r="B64" s="9" t="str">
        <f aca="false">'2026 Forecast A'!B14</f>
        <v>BOWMANSTOWN BOROUGH</v>
      </c>
      <c r="C64" s="9" t="str">
        <f aca="false">'2026 Forecast A'!C14</f>
        <v>(whole municipality)</v>
      </c>
      <c r="D64" s="10" t="n">
        <f aca="false">'2026 Forecast A'!G14</f>
        <v>0.331460674157303</v>
      </c>
      <c r="E64" s="10" t="n">
        <f aca="false">'2026 Forecast B'!G14</f>
        <v>0.334269662921348</v>
      </c>
      <c r="F64" s="10" t="n">
        <f aca="false">'2026 Forecast C'!G14</f>
        <v>0.317415730337079</v>
      </c>
      <c r="G64" s="38" t="n">
        <f aca="false">(MAX(D64:F64)-MIN(D64:F64))*100</f>
        <v>1.68539325842696</v>
      </c>
      <c r="H64" s="38" t="n">
        <f aca="false">'2026 Forecast A'!J14</f>
        <v>2.52149049515553</v>
      </c>
      <c r="I64" s="38" t="n">
        <f aca="false">'2026 Forecast B'!J14</f>
        <v>2.69963061572276</v>
      </c>
      <c r="J64" s="38" t="n">
        <f aca="false">'2026 Forecast C'!J14</f>
        <v>2.40839232344956</v>
      </c>
      <c r="K64" s="18" t="n">
        <f aca="false">'2026 Forecast A'!F14</f>
        <v>356</v>
      </c>
      <c r="L64" s="39" t="str">
        <f aca="false">IF(OR(AND(D64&gt;0.5,E64&gt;0.5,F64&gt;0.5),AND(D64&lt;0.5,E64&lt;0.5,F64&lt;0.5)),"Yes","No — toss-up")</f>
        <v>Yes</v>
      </c>
    </row>
    <row r="65" customFormat="false" ht="15" hidden="false" customHeight="false" outlineLevel="0" collapsed="false">
      <c r="A65" s="9" t="str">
        <f aca="false">'2026 Forecast A'!A15</f>
        <v>Carbon</v>
      </c>
      <c r="B65" s="9" t="str">
        <f aca="false">'2026 Forecast A'!B15</f>
        <v>EAST PENN TOWNSHIP</v>
      </c>
      <c r="C65" s="9" t="str">
        <f aca="false">'2026 Forecast A'!C15</f>
        <v>(whole municipality)</v>
      </c>
      <c r="D65" s="10" t="n">
        <f aca="false">'2026 Forecast A'!G15</f>
        <v>0.277902621722846</v>
      </c>
      <c r="E65" s="10" t="n">
        <f aca="false">'2026 Forecast B'!G15</f>
        <v>0.281647940074906</v>
      </c>
      <c r="F65" s="10" t="n">
        <f aca="false">'2026 Forecast C'!G15</f>
        <v>0.262172284644195</v>
      </c>
      <c r="G65" s="38" t="n">
        <f aca="false">(MAX(D65:F65)-MIN(D65:F65))*100</f>
        <v>1.94756554307116</v>
      </c>
      <c r="H65" s="38" t="n">
        <f aca="false">'2026 Forecast A'!J15</f>
        <v>2.52149049515553</v>
      </c>
      <c r="I65" s="38" t="n">
        <f aca="false">'2026 Forecast B'!J15</f>
        <v>2.69963061572276</v>
      </c>
      <c r="J65" s="38" t="n">
        <f aca="false">'2026 Forecast C'!J15</f>
        <v>2.40839232344956</v>
      </c>
      <c r="K65" s="18" t="n">
        <f aca="false">'2026 Forecast A'!F15</f>
        <v>1335</v>
      </c>
      <c r="L65" s="39" t="str">
        <f aca="false">IF(OR(AND(D65&gt;0.5,E65&gt;0.5,F65&gt;0.5),AND(D65&lt;0.5,E65&lt;0.5,F65&lt;0.5)),"Yes","No — toss-up")</f>
        <v>Yes</v>
      </c>
    </row>
    <row r="66" customFormat="false" ht="15" hidden="false" customHeight="false" outlineLevel="0" collapsed="false">
      <c r="A66" s="9" t="str">
        <f aca="false">'2026 Forecast A'!A16</f>
        <v>Carbon</v>
      </c>
      <c r="B66" s="9" t="str">
        <f aca="false">'2026 Forecast A'!B16</f>
        <v>EAST SIDE BOROUGH</v>
      </c>
      <c r="C66" s="9" t="str">
        <f aca="false">'2026 Forecast A'!C16</f>
        <v>(whole municipality)</v>
      </c>
      <c r="D66" s="10" t="n">
        <f aca="false">'2026 Forecast A'!G16</f>
        <v>0.354838709677419</v>
      </c>
      <c r="E66" s="10" t="n">
        <f aca="false">'2026 Forecast B'!G16</f>
        <v>0.354838709677419</v>
      </c>
      <c r="F66" s="10" t="n">
        <f aca="false">'2026 Forecast C'!G16</f>
        <v>0.344086021505376</v>
      </c>
      <c r="G66" s="38" t="n">
        <f aca="false">(MAX(D66:F66)-MIN(D66:F66))*100</f>
        <v>1.0752688172043</v>
      </c>
      <c r="H66" s="38" t="n">
        <f aca="false">'2026 Forecast A'!J16</f>
        <v>2.52149049515553</v>
      </c>
      <c r="I66" s="38" t="n">
        <f aca="false">'2026 Forecast B'!J16</f>
        <v>2.69963061572276</v>
      </c>
      <c r="J66" s="38" t="n">
        <f aca="false">'2026 Forecast C'!J16</f>
        <v>2.40839232344956</v>
      </c>
      <c r="K66" s="18" t="n">
        <f aca="false">'2026 Forecast A'!F16</f>
        <v>93</v>
      </c>
      <c r="L66" s="39" t="str">
        <f aca="false">IF(OR(AND(D66&gt;0.5,E66&gt;0.5,F66&gt;0.5),AND(D66&lt;0.5,E66&lt;0.5,F66&lt;0.5)),"Yes","No — toss-up")</f>
        <v>Yes</v>
      </c>
    </row>
    <row r="67" customFormat="false" ht="15" hidden="false" customHeight="false" outlineLevel="0" collapsed="false">
      <c r="A67" s="9" t="str">
        <f aca="false">'2026 Forecast A'!A17</f>
        <v>Carbon</v>
      </c>
      <c r="B67" s="9" t="str">
        <f aca="false">'2026 Forecast A'!B17</f>
        <v>FRANKLIN TOWNSHIP</v>
      </c>
      <c r="C67" s="9" t="str">
        <f aca="false">'2026 Forecast A'!C17</f>
        <v>(whole municipality)</v>
      </c>
      <c r="D67" s="10" t="n">
        <f aca="false">'2026 Forecast A'!G17</f>
        <v>0.288597376387487</v>
      </c>
      <c r="E67" s="10" t="n">
        <f aca="false">'2026 Forecast B'!G17</f>
        <v>0.286074672048436</v>
      </c>
      <c r="F67" s="10" t="n">
        <f aca="false">'2026 Forecast C'!G17</f>
        <v>0.27547931382442</v>
      </c>
      <c r="G67" s="38" t="n">
        <f aca="false">(MAX(D67:F67)-MIN(D67:F67))*100</f>
        <v>1.31180625630676</v>
      </c>
      <c r="H67" s="38" t="n">
        <f aca="false">'2026 Forecast A'!J17</f>
        <v>1.46865275115369</v>
      </c>
      <c r="I67" s="38" t="n">
        <f aca="false">'2026 Forecast B'!J17</f>
        <v>1.78126663688824</v>
      </c>
      <c r="J67" s="38" t="n">
        <f aca="false">'2026 Forecast C'!J17</f>
        <v>1.32461619797241</v>
      </c>
      <c r="K67" s="18" t="n">
        <f aca="false">'2026 Forecast A'!F17</f>
        <v>1982</v>
      </c>
      <c r="L67" s="39" t="str">
        <f aca="false">IF(OR(AND(D67&gt;0.5,E67&gt;0.5,F67&gt;0.5),AND(D67&lt;0.5,E67&lt;0.5,F67&lt;0.5)),"Yes","No — toss-up")</f>
        <v>Yes</v>
      </c>
    </row>
    <row r="68" customFormat="false" ht="15" hidden="false" customHeight="false" outlineLevel="0" collapsed="false">
      <c r="A68" s="9" t="str">
        <f aca="false">'2026 Forecast A'!A18</f>
        <v>Carbon</v>
      </c>
      <c r="B68" s="9" t="str">
        <f aca="false">'2026 Forecast A'!B18</f>
        <v>JIM THORPE BOROUGH</v>
      </c>
      <c r="C68" s="9" t="str">
        <f aca="false">'2026 Forecast A'!C18</f>
        <v>(whole municipality)</v>
      </c>
      <c r="D68" s="10" t="n">
        <f aca="false">'2026 Forecast A'!G18</f>
        <v>0.447817836812144</v>
      </c>
      <c r="E68" s="10" t="n">
        <f aca="false">'2026 Forecast B'!G18</f>
        <v>0.447817836812144</v>
      </c>
      <c r="F68" s="10" t="n">
        <f aca="false">'2026 Forecast C'!G18</f>
        <v>0.443074003795066</v>
      </c>
      <c r="G68" s="38" t="n">
        <f aca="false">(MAX(D68:F68)-MIN(D68:F68))*100</f>
        <v>0.474383301707781</v>
      </c>
      <c r="H68" s="38" t="n">
        <f aca="false">'2026 Forecast A'!J18</f>
        <v>1.46865275115369</v>
      </c>
      <c r="I68" s="38" t="n">
        <f aca="false">'2026 Forecast B'!J18</f>
        <v>1.78126663688824</v>
      </c>
      <c r="J68" s="38" t="n">
        <f aca="false">'2026 Forecast C'!J18</f>
        <v>1.32461619797241</v>
      </c>
      <c r="K68" s="18" t="n">
        <f aca="false">'2026 Forecast A'!F18</f>
        <v>2108</v>
      </c>
      <c r="L68" s="39" t="str">
        <f aca="false">IF(OR(AND(D68&gt;0.5,E68&gt;0.5,F68&gt;0.5),AND(D68&lt;0.5,E68&lt;0.5,F68&lt;0.5)),"Yes","No — toss-up")</f>
        <v>Yes</v>
      </c>
    </row>
    <row r="69" customFormat="false" ht="15" hidden="false" customHeight="false" outlineLevel="0" collapsed="false">
      <c r="A69" s="9" t="str">
        <f aca="false">'2026 Forecast A'!A19</f>
        <v>Carbon</v>
      </c>
      <c r="B69" s="9" t="str">
        <f aca="false">'2026 Forecast A'!B19</f>
        <v>KIDDER TOWNSHIP</v>
      </c>
      <c r="C69" s="9" t="str">
        <f aca="false">'2026 Forecast A'!C19</f>
        <v>(whole municipality)</v>
      </c>
      <c r="D69" s="10" t="n">
        <f aca="false">'2026 Forecast A'!G19</f>
        <v>0.337888198757764</v>
      </c>
      <c r="E69" s="10" t="n">
        <f aca="false">'2026 Forecast B'!G19</f>
        <v>0.340372670807453</v>
      </c>
      <c r="F69" s="10" t="n">
        <f aca="false">'2026 Forecast C'!G19</f>
        <v>0.322981366459627</v>
      </c>
      <c r="G69" s="38" t="n">
        <f aca="false">(MAX(D69:F69)-MIN(D69:F69))*100</f>
        <v>1.73913043478261</v>
      </c>
      <c r="H69" s="38" t="n">
        <f aca="false">'2026 Forecast A'!J19</f>
        <v>2.52149049515553</v>
      </c>
      <c r="I69" s="38" t="n">
        <f aca="false">'2026 Forecast B'!J19</f>
        <v>2.69963061572276</v>
      </c>
      <c r="J69" s="38" t="n">
        <f aca="false">'2026 Forecast C'!J19</f>
        <v>2.40839232344956</v>
      </c>
      <c r="K69" s="18" t="n">
        <f aca="false">'2026 Forecast A'!F19</f>
        <v>805</v>
      </c>
      <c r="L69" s="39" t="str">
        <f aca="false">IF(OR(AND(D69&gt;0.5,E69&gt;0.5,F69&gt;0.5),AND(D69&lt;0.5,E69&lt;0.5,F69&lt;0.5)),"Yes","No — toss-up")</f>
        <v>Yes</v>
      </c>
    </row>
    <row r="70" customFormat="false" ht="15" hidden="false" customHeight="false" outlineLevel="0" collapsed="false">
      <c r="A70" s="9" t="str">
        <f aca="false">'2026 Forecast A'!A20</f>
        <v>Carbon</v>
      </c>
      <c r="B70" s="9" t="str">
        <f aca="false">'2026 Forecast A'!B20</f>
        <v>LANSFORD BOROUGH</v>
      </c>
      <c r="C70" s="9" t="str">
        <f aca="false">'2026 Forecast A'!C20</f>
        <v>(whole municipality)</v>
      </c>
      <c r="D70" s="10" t="n">
        <f aca="false">'2026 Forecast A'!G20</f>
        <v>0.405355493998153</v>
      </c>
      <c r="E70" s="10" t="n">
        <f aca="false">'2026 Forecast B'!G20</f>
        <v>0.411819021237304</v>
      </c>
      <c r="F70" s="10" t="n">
        <f aca="false">'2026 Forecast C'!G20</f>
        <v>0.406278855032318</v>
      </c>
      <c r="G70" s="38" t="n">
        <f aca="false">(MAX(D70:F70)-MIN(D70:F70))*100</f>
        <v>0.64635272391505</v>
      </c>
      <c r="H70" s="38" t="n">
        <f aca="false">'2026 Forecast A'!J20</f>
        <v>2.52149049515553</v>
      </c>
      <c r="I70" s="38" t="n">
        <f aca="false">'2026 Forecast B'!J20</f>
        <v>2.69963061572276</v>
      </c>
      <c r="J70" s="38" t="n">
        <f aca="false">'2026 Forecast C'!J20</f>
        <v>2.40839232344956</v>
      </c>
      <c r="K70" s="18" t="n">
        <f aca="false">'2026 Forecast A'!F20</f>
        <v>1083</v>
      </c>
      <c r="L70" s="39" t="str">
        <f aca="false">IF(OR(AND(D70&gt;0.5,E70&gt;0.5,F70&gt;0.5),AND(D70&lt;0.5,E70&lt;0.5,F70&lt;0.5)),"Yes","No — toss-up")</f>
        <v>Yes</v>
      </c>
    </row>
    <row r="71" customFormat="false" ht="15" hidden="false" customHeight="false" outlineLevel="0" collapsed="false">
      <c r="A71" s="9" t="str">
        <f aca="false">'2026 Forecast A'!A21</f>
        <v>Carbon</v>
      </c>
      <c r="B71" s="9" t="str">
        <f aca="false">'2026 Forecast A'!B21</f>
        <v>LAUSANNE TOWNSHIP</v>
      </c>
      <c r="C71" s="9" t="str">
        <f aca="false">'2026 Forecast A'!C21</f>
        <v>(whole municipality)</v>
      </c>
      <c r="D71" s="10" t="n">
        <f aca="false">'2026 Forecast A'!G21</f>
        <v>0.288135593220339</v>
      </c>
      <c r="E71" s="10" t="n">
        <f aca="false">'2026 Forecast B'!G21</f>
        <v>0.288135593220339</v>
      </c>
      <c r="F71" s="10" t="n">
        <f aca="false">'2026 Forecast C'!G21</f>
        <v>0.271186440677966</v>
      </c>
      <c r="G71" s="38" t="n">
        <f aca="false">(MAX(D71:F71)-MIN(D71:F71))*100</f>
        <v>1.69491525423729</v>
      </c>
      <c r="H71" s="38" t="n">
        <f aca="false">'2026 Forecast A'!J21</f>
        <v>2.52149049515553</v>
      </c>
      <c r="I71" s="38" t="n">
        <f aca="false">'2026 Forecast B'!J21</f>
        <v>2.69963061572276</v>
      </c>
      <c r="J71" s="38" t="n">
        <f aca="false">'2026 Forecast C'!J21</f>
        <v>2.40839232344956</v>
      </c>
      <c r="K71" s="18" t="n">
        <f aca="false">'2026 Forecast A'!F21</f>
        <v>118</v>
      </c>
      <c r="L71" s="39" t="str">
        <f aca="false">IF(OR(AND(D71&gt;0.5,E71&gt;0.5,F71&gt;0.5),AND(D71&lt;0.5,E71&lt;0.5,F71&lt;0.5)),"Yes","No — toss-up")</f>
        <v>Yes</v>
      </c>
    </row>
    <row r="72" customFormat="false" ht="15" hidden="false" customHeight="false" outlineLevel="0" collapsed="false">
      <c r="A72" s="9" t="str">
        <f aca="false">'2026 Forecast A'!A22</f>
        <v>Carbon</v>
      </c>
      <c r="B72" s="9" t="str">
        <f aca="false">'2026 Forecast A'!B22</f>
        <v>LEHIGH TOWNSHIP</v>
      </c>
      <c r="C72" s="9" t="str">
        <f aca="false">'2026 Forecast A'!C22</f>
        <v>(whole municipality)</v>
      </c>
      <c r="D72" s="10" t="n">
        <f aca="false">'2026 Forecast A'!G22</f>
        <v>0.210970464135021</v>
      </c>
      <c r="E72" s="10" t="n">
        <f aca="false">'2026 Forecast B'!G22</f>
        <v>0.219409282700422</v>
      </c>
      <c r="F72" s="10" t="n">
        <f aca="false">'2026 Forecast C'!G22</f>
        <v>0.181434599156118</v>
      </c>
      <c r="G72" s="38" t="n">
        <f aca="false">(MAX(D72:F72)-MIN(D72:F72))*100</f>
        <v>3.79746835443038</v>
      </c>
      <c r="H72" s="38" t="n">
        <f aca="false">'2026 Forecast A'!J22</f>
        <v>2.52149049515553</v>
      </c>
      <c r="I72" s="38" t="n">
        <f aca="false">'2026 Forecast B'!J22</f>
        <v>2.69963061572276</v>
      </c>
      <c r="J72" s="38" t="n">
        <f aca="false">'2026 Forecast C'!J22</f>
        <v>2.40839232344956</v>
      </c>
      <c r="K72" s="18" t="n">
        <f aca="false">'2026 Forecast A'!F22</f>
        <v>237</v>
      </c>
      <c r="L72" s="39" t="str">
        <f aca="false">IF(OR(AND(D72&gt;0.5,E72&gt;0.5,F72&gt;0.5),AND(D72&lt;0.5,E72&lt;0.5,F72&lt;0.5)),"Yes","No — toss-up")</f>
        <v>Yes</v>
      </c>
    </row>
    <row r="73" customFormat="false" ht="15" hidden="false" customHeight="false" outlineLevel="0" collapsed="false">
      <c r="A73" s="9" t="str">
        <f aca="false">'2026 Forecast A'!A23</f>
        <v>Carbon</v>
      </c>
      <c r="B73" s="9" t="str">
        <f aca="false">'2026 Forecast A'!B23</f>
        <v>LEHIGHTON BOROUGH</v>
      </c>
      <c r="C73" s="9" t="str">
        <f aca="false">'2026 Forecast A'!C23</f>
        <v>(whole municipality)</v>
      </c>
      <c r="D73" s="10" t="n">
        <f aca="false">'2026 Forecast A'!G23</f>
        <v>0.403648802736602</v>
      </c>
      <c r="E73" s="10" t="n">
        <f aca="false">'2026 Forecast B'!G23</f>
        <v>0.408779931584949</v>
      </c>
      <c r="F73" s="10" t="n">
        <f aca="false">'2026 Forecast C'!G23</f>
        <v>0.395096921322691</v>
      </c>
      <c r="G73" s="38" t="n">
        <f aca="false">(MAX(D73:F73)-MIN(D73:F73))*100</f>
        <v>1.36830102622577</v>
      </c>
      <c r="H73" s="38" t="n">
        <f aca="false">'2026 Forecast A'!J23</f>
        <v>1.46865275115369</v>
      </c>
      <c r="I73" s="38" t="n">
        <f aca="false">'2026 Forecast B'!J23</f>
        <v>1.78126663688824</v>
      </c>
      <c r="J73" s="38" t="n">
        <f aca="false">'2026 Forecast C'!J23</f>
        <v>1.32461619797241</v>
      </c>
      <c r="K73" s="18" t="n">
        <f aca="false">'2026 Forecast A'!F23</f>
        <v>1754</v>
      </c>
      <c r="L73" s="39" t="str">
        <f aca="false">IF(OR(AND(D73&gt;0.5,E73&gt;0.5,F73&gt;0.5),AND(D73&lt;0.5,E73&lt;0.5,F73&lt;0.5)),"Yes","No — toss-up")</f>
        <v>Yes</v>
      </c>
    </row>
    <row r="74" customFormat="false" ht="15" hidden="false" customHeight="false" outlineLevel="0" collapsed="false">
      <c r="A74" s="9" t="str">
        <f aca="false">'2026 Forecast A'!A24</f>
        <v>Carbon</v>
      </c>
      <c r="B74" s="9" t="str">
        <f aca="false">'2026 Forecast A'!B24</f>
        <v>LOWER TOWAMENSING TOWNSHIP</v>
      </c>
      <c r="C74" s="9" t="str">
        <f aca="false">'2026 Forecast A'!C24</f>
        <v>(whole municipality)</v>
      </c>
      <c r="D74" s="10" t="n">
        <f aca="false">'2026 Forecast A'!G24</f>
        <v>0.301927194860814</v>
      </c>
      <c r="E74" s="10" t="n">
        <f aca="false">'2026 Forecast B'!G24</f>
        <v>0.306209850107066</v>
      </c>
      <c r="F74" s="10" t="n">
        <f aca="false">'2026 Forecast C'!G24</f>
        <v>0.289793004996431</v>
      </c>
      <c r="G74" s="38" t="n">
        <f aca="false">(MAX(D74:F74)-MIN(D74:F74))*100</f>
        <v>1.64168451106352</v>
      </c>
      <c r="H74" s="38" t="n">
        <f aca="false">'2026 Forecast A'!J24</f>
        <v>2.52149049515553</v>
      </c>
      <c r="I74" s="38" t="n">
        <f aca="false">'2026 Forecast B'!J24</f>
        <v>2.69963061572276</v>
      </c>
      <c r="J74" s="38" t="n">
        <f aca="false">'2026 Forecast C'!J24</f>
        <v>2.40839232344956</v>
      </c>
      <c r="K74" s="18" t="n">
        <f aca="false">'2026 Forecast A'!F24</f>
        <v>1401</v>
      </c>
      <c r="L74" s="39" t="str">
        <f aca="false">IF(OR(AND(D74&gt;0.5,E74&gt;0.5,F74&gt;0.5),AND(D74&lt;0.5,E74&lt;0.5,F74&lt;0.5)),"Yes","No — toss-up")</f>
        <v>Yes</v>
      </c>
    </row>
    <row r="75" customFormat="false" ht="15" hidden="false" customHeight="false" outlineLevel="0" collapsed="false">
      <c r="A75" s="9" t="str">
        <f aca="false">'2026 Forecast A'!A25</f>
        <v>Carbon</v>
      </c>
      <c r="B75" s="9" t="str">
        <f aca="false">'2026 Forecast A'!B25</f>
        <v>MAHONING TOWNSHIP</v>
      </c>
      <c r="C75" s="9" t="str">
        <f aca="false">'2026 Forecast A'!C25</f>
        <v>(whole municipality)</v>
      </c>
      <c r="D75" s="10" t="n">
        <f aca="false">'2026 Forecast A'!G25</f>
        <v>0.302449414270501</v>
      </c>
      <c r="E75" s="10" t="n">
        <f aca="false">'2026 Forecast B'!G25</f>
        <v>0.30457933972311</v>
      </c>
      <c r="F75" s="10" t="n">
        <f aca="false">'2026 Forecast C'!G25</f>
        <v>0.288604898828541</v>
      </c>
      <c r="G75" s="38" t="n">
        <f aca="false">(MAX(D75:F75)-MIN(D75:F75))*100</f>
        <v>1.59744408945687</v>
      </c>
      <c r="H75" s="38" t="n">
        <f aca="false">'2026 Forecast A'!J25</f>
        <v>1.46865275115369</v>
      </c>
      <c r="I75" s="38" t="n">
        <f aca="false">'2026 Forecast B'!J25</f>
        <v>1.78126663688824</v>
      </c>
      <c r="J75" s="38" t="n">
        <f aca="false">'2026 Forecast C'!J25</f>
        <v>1.32461619797241</v>
      </c>
      <c r="K75" s="18" t="n">
        <f aca="false">'2026 Forecast A'!F25</f>
        <v>1878</v>
      </c>
      <c r="L75" s="39" t="str">
        <f aca="false">IF(OR(AND(D75&gt;0.5,E75&gt;0.5,F75&gt;0.5),AND(D75&lt;0.5,E75&lt;0.5,F75&lt;0.5)),"Yes","No — toss-up")</f>
        <v>Yes</v>
      </c>
    </row>
    <row r="76" customFormat="false" ht="15" hidden="false" customHeight="false" outlineLevel="0" collapsed="false">
      <c r="A76" s="9" t="str">
        <f aca="false">'2026 Forecast A'!A26</f>
        <v>Carbon</v>
      </c>
      <c r="B76" s="9" t="str">
        <f aca="false">'2026 Forecast A'!B26</f>
        <v>NESQUEHONING BOROUGH</v>
      </c>
      <c r="C76" s="9" t="str">
        <f aca="false">'2026 Forecast A'!C26</f>
        <v>(whole municipality)</v>
      </c>
      <c r="D76" s="10" t="n">
        <f aca="false">'2026 Forecast A'!G26</f>
        <v>0.408566721581549</v>
      </c>
      <c r="E76" s="10" t="n">
        <f aca="false">'2026 Forecast B'!G26</f>
        <v>0.408566721581549</v>
      </c>
      <c r="F76" s="10" t="n">
        <f aca="false">'2026 Forecast C'!G26</f>
        <v>0.404448105436573</v>
      </c>
      <c r="G76" s="38" t="n">
        <f aca="false">(MAX(D76:F76)-MIN(D76:F76))*100</f>
        <v>0.411861614497527</v>
      </c>
      <c r="H76" s="38" t="n">
        <f aca="false">'2026 Forecast A'!J26</f>
        <v>2.52149049515553</v>
      </c>
      <c r="I76" s="38" t="n">
        <f aca="false">'2026 Forecast B'!J26</f>
        <v>2.69963061572276</v>
      </c>
      <c r="J76" s="38" t="n">
        <f aca="false">'2026 Forecast C'!J26</f>
        <v>2.40839232344956</v>
      </c>
      <c r="K76" s="18" t="n">
        <f aca="false">'2026 Forecast A'!F26</f>
        <v>1214</v>
      </c>
      <c r="L76" s="39" t="str">
        <f aca="false">IF(OR(AND(D76&gt;0.5,E76&gt;0.5,F76&gt;0.5),AND(D76&lt;0.5,E76&lt;0.5,F76&lt;0.5)),"Yes","No — toss-up")</f>
        <v>Yes</v>
      </c>
    </row>
    <row r="77" customFormat="false" ht="15" hidden="false" customHeight="false" outlineLevel="0" collapsed="false">
      <c r="A77" s="9" t="str">
        <f aca="false">'2026 Forecast A'!A27</f>
        <v>Carbon</v>
      </c>
      <c r="B77" s="9" t="str">
        <f aca="false">'2026 Forecast A'!B27</f>
        <v>PACKER TOWNSHIP</v>
      </c>
      <c r="C77" s="9" t="str">
        <f aca="false">'2026 Forecast A'!C27</f>
        <v>(whole municipality)</v>
      </c>
      <c r="D77" s="10" t="n">
        <f aca="false">'2026 Forecast A'!G27</f>
        <v>0.19811320754717</v>
      </c>
      <c r="E77" s="10" t="n">
        <f aca="false">'2026 Forecast B'!G27</f>
        <v>0.205660377358491</v>
      </c>
      <c r="F77" s="10" t="n">
        <f aca="false">'2026 Forecast C'!G27</f>
        <v>0.171698113207547</v>
      </c>
      <c r="G77" s="38" t="n">
        <f aca="false">(MAX(D77:F77)-MIN(D77:F77))*100</f>
        <v>3.39622641509434</v>
      </c>
      <c r="H77" s="38" t="n">
        <f aca="false">'2026 Forecast A'!J27</f>
        <v>2.52149049515553</v>
      </c>
      <c r="I77" s="38" t="n">
        <f aca="false">'2026 Forecast B'!J27</f>
        <v>2.69963061572276</v>
      </c>
      <c r="J77" s="38" t="n">
        <f aca="false">'2026 Forecast C'!J27</f>
        <v>2.40839232344956</v>
      </c>
      <c r="K77" s="18" t="n">
        <f aca="false">'2026 Forecast A'!F27</f>
        <v>530</v>
      </c>
      <c r="L77" s="39" t="str">
        <f aca="false">IF(OR(AND(D77&gt;0.5,E77&gt;0.5,F77&gt;0.5),AND(D77&lt;0.5,E77&lt;0.5,F77&lt;0.5)),"Yes","No — toss-up")</f>
        <v>Yes</v>
      </c>
    </row>
    <row r="78" customFormat="false" ht="15" hidden="false" customHeight="false" outlineLevel="0" collapsed="false">
      <c r="A78" s="9" t="str">
        <f aca="false">'2026 Forecast A'!A28</f>
        <v>Carbon</v>
      </c>
      <c r="B78" s="9" t="str">
        <f aca="false">'2026 Forecast A'!B28</f>
        <v>PALMERTON BOROUGH</v>
      </c>
      <c r="C78" s="9" t="str">
        <f aca="false">'2026 Forecast A'!C28</f>
        <v>(whole municipality)</v>
      </c>
      <c r="D78" s="10" t="n">
        <f aca="false">'2026 Forecast A'!G28</f>
        <v>0.385735811150176</v>
      </c>
      <c r="E78" s="10" t="n">
        <f aca="false">'2026 Forecast B'!G28</f>
        <v>0.38121546961326</v>
      </c>
      <c r="F78" s="10" t="n">
        <f aca="false">'2026 Forecast C'!G28</f>
        <v>0.378201908588649</v>
      </c>
      <c r="G78" s="38" t="n">
        <f aca="false">(MAX(D78:F78)-MIN(D78:F78))*100</f>
        <v>0.753390256152686</v>
      </c>
      <c r="H78" s="38" t="n">
        <f aca="false">'2026 Forecast A'!J28</f>
        <v>1.46865275115369</v>
      </c>
      <c r="I78" s="38" t="n">
        <f aca="false">'2026 Forecast B'!J28</f>
        <v>1.78126663688824</v>
      </c>
      <c r="J78" s="38" t="n">
        <f aca="false">'2026 Forecast C'!J28</f>
        <v>1.32461619797241</v>
      </c>
      <c r="K78" s="18" t="n">
        <f aca="false">'2026 Forecast A'!F28</f>
        <v>1991</v>
      </c>
      <c r="L78" s="39" t="str">
        <f aca="false">IF(OR(AND(D78&gt;0.5,E78&gt;0.5,F78&gt;0.5),AND(D78&lt;0.5,E78&lt;0.5,F78&lt;0.5)),"Yes","No — toss-up")</f>
        <v>Yes</v>
      </c>
    </row>
    <row r="79" customFormat="false" ht="15" hidden="false" customHeight="false" outlineLevel="0" collapsed="false">
      <c r="A79" s="9" t="str">
        <f aca="false">'2026 Forecast A'!A29</f>
        <v>Carbon</v>
      </c>
      <c r="B79" s="9" t="str">
        <f aca="false">'2026 Forecast A'!B29</f>
        <v>PARRYVILLE BOROUGH</v>
      </c>
      <c r="C79" s="9" t="str">
        <f aca="false">'2026 Forecast A'!C29</f>
        <v>(whole municipality)</v>
      </c>
      <c r="D79" s="10" t="n">
        <f aca="false">'2026 Forecast A'!G29</f>
        <v>0.313513513513514</v>
      </c>
      <c r="E79" s="10" t="n">
        <f aca="false">'2026 Forecast B'!G29</f>
        <v>0.318918918918919</v>
      </c>
      <c r="F79" s="10" t="n">
        <f aca="false">'2026 Forecast C'!G29</f>
        <v>0.297297297297297</v>
      </c>
      <c r="G79" s="38" t="n">
        <f aca="false">(MAX(D79:F79)-MIN(D79:F79))*100</f>
        <v>2.16216216216216</v>
      </c>
      <c r="H79" s="38" t="n">
        <f aca="false">'2026 Forecast A'!J29</f>
        <v>2.52149049515553</v>
      </c>
      <c r="I79" s="38" t="n">
        <f aca="false">'2026 Forecast B'!J29</f>
        <v>2.69963061572276</v>
      </c>
      <c r="J79" s="38" t="n">
        <f aca="false">'2026 Forecast C'!J29</f>
        <v>2.40839232344956</v>
      </c>
      <c r="K79" s="18" t="n">
        <f aca="false">'2026 Forecast A'!F29</f>
        <v>185</v>
      </c>
      <c r="L79" s="39" t="str">
        <f aca="false">IF(OR(AND(D79&gt;0.5,E79&gt;0.5,F79&gt;0.5),AND(D79&lt;0.5,E79&lt;0.5,F79&lt;0.5)),"Yes","No — toss-up")</f>
        <v>Yes</v>
      </c>
    </row>
    <row r="80" customFormat="false" ht="15" hidden="false" customHeight="false" outlineLevel="0" collapsed="false">
      <c r="A80" s="9" t="str">
        <f aca="false">'2026 Forecast A'!A30</f>
        <v>Carbon</v>
      </c>
      <c r="B80" s="9" t="str">
        <f aca="false">'2026 Forecast A'!B30</f>
        <v>PENN FOREST TOWNSHIP</v>
      </c>
      <c r="C80" s="9" t="str">
        <f aca="false">'2026 Forecast A'!C30</f>
        <v>(whole municipality)</v>
      </c>
      <c r="D80" s="10" t="n">
        <f aca="false">'2026 Forecast A'!G30</f>
        <v>0.371869409660107</v>
      </c>
      <c r="E80" s="10" t="n">
        <f aca="false">'2026 Forecast B'!G30</f>
        <v>0.365161001788909</v>
      </c>
      <c r="F80" s="10" t="n">
        <f aca="false">'2026 Forecast C'!G30</f>
        <v>0.361583184257603</v>
      </c>
      <c r="G80" s="38" t="n">
        <f aca="false">(MAX(D80:F80)-MIN(D80:F80))*100</f>
        <v>1.02862254025045</v>
      </c>
      <c r="H80" s="38" t="n">
        <f aca="false">'2026 Forecast A'!J30</f>
        <v>1.1425091106871</v>
      </c>
      <c r="I80" s="38" t="n">
        <f aca="false">'2026 Forecast B'!J30</f>
        <v>1.22829950997111</v>
      </c>
      <c r="J80" s="38" t="n">
        <f aca="false">'2026 Forecast C'!J30</f>
        <v>1.84350043958238</v>
      </c>
      <c r="K80" s="18" t="n">
        <f aca="false">'2026 Forecast A'!F30</f>
        <v>4472</v>
      </c>
      <c r="L80" s="39" t="str">
        <f aca="false">IF(OR(AND(D80&gt;0.5,E80&gt;0.5,F80&gt;0.5),AND(D80&lt;0.5,E80&lt;0.5,F80&lt;0.5)),"Yes","No — toss-up")</f>
        <v>Yes</v>
      </c>
    </row>
    <row r="81" customFormat="false" ht="15" hidden="false" customHeight="false" outlineLevel="0" collapsed="false">
      <c r="A81" s="9" t="str">
        <f aca="false">'2026 Forecast A'!A31</f>
        <v>Carbon</v>
      </c>
      <c r="B81" s="9" t="str">
        <f aca="false">'2026 Forecast A'!B31</f>
        <v>SUMMIT HILL BOROUGH</v>
      </c>
      <c r="C81" s="9" t="str">
        <f aca="false">'2026 Forecast A'!C31</f>
        <v>(whole municipality)</v>
      </c>
      <c r="D81" s="10" t="n">
        <f aca="false">'2026 Forecast A'!G31</f>
        <v>0.440061871616396</v>
      </c>
      <c r="E81" s="10" t="n">
        <f aca="false">'2026 Forecast B'!G31</f>
        <v>0.442382057231245</v>
      </c>
      <c r="F81" s="10" t="n">
        <f aca="false">'2026 Forecast C'!G31</f>
        <v>0.438515081206497</v>
      </c>
      <c r="G81" s="38" t="n">
        <f aca="false">(MAX(D81:F81)-MIN(D81:F81))*100</f>
        <v>0.386697602474867</v>
      </c>
      <c r="H81" s="38" t="n">
        <f aca="false">'2026 Forecast A'!J31</f>
        <v>2.52149049515553</v>
      </c>
      <c r="I81" s="38" t="n">
        <f aca="false">'2026 Forecast B'!J31</f>
        <v>2.69963061572276</v>
      </c>
      <c r="J81" s="38" t="n">
        <f aca="false">'2026 Forecast C'!J31</f>
        <v>2.40839232344956</v>
      </c>
      <c r="K81" s="18" t="n">
        <f aca="false">'2026 Forecast A'!F31</f>
        <v>1293</v>
      </c>
      <c r="L81" s="39" t="str">
        <f aca="false">IF(OR(AND(D81&gt;0.5,E81&gt;0.5,F81&gt;0.5),AND(D81&lt;0.5,E81&lt;0.5,F81&lt;0.5)),"Yes","No — toss-up")</f>
        <v>Yes</v>
      </c>
    </row>
    <row r="82" customFormat="false" ht="15" hidden="false" customHeight="false" outlineLevel="0" collapsed="false">
      <c r="A82" s="9" t="str">
        <f aca="false">'2026 Forecast A'!A32</f>
        <v>Carbon</v>
      </c>
      <c r="B82" s="9" t="str">
        <f aca="false">'2026 Forecast A'!B32</f>
        <v>TOWAMENSING TOWNSHIP</v>
      </c>
      <c r="C82" s="9" t="str">
        <f aca="false">'2026 Forecast A'!C32</f>
        <v>(whole municipality)</v>
      </c>
      <c r="D82" s="10" t="n">
        <f aca="false">'2026 Forecast A'!G32</f>
        <v>0.301594331266608</v>
      </c>
      <c r="E82" s="10" t="n">
        <f aca="false">'2026 Forecast B'!G32</f>
        <v>0.297165633303809</v>
      </c>
      <c r="F82" s="10" t="n">
        <f aca="false">'2026 Forecast C'!G32</f>
        <v>0.289193976970771</v>
      </c>
      <c r="G82" s="38" t="n">
        <f aca="false">(MAX(D82:F82)-MIN(D82:F82))*100</f>
        <v>1.2400354295837</v>
      </c>
      <c r="H82" s="38" t="n">
        <f aca="false">'2026 Forecast A'!J32</f>
        <v>1.46865275115369</v>
      </c>
      <c r="I82" s="38" t="n">
        <f aca="false">'2026 Forecast B'!J32</f>
        <v>1.78126663688824</v>
      </c>
      <c r="J82" s="38" t="n">
        <f aca="false">'2026 Forecast C'!J32</f>
        <v>1.32461619797241</v>
      </c>
      <c r="K82" s="18" t="n">
        <f aca="false">'2026 Forecast A'!F32</f>
        <v>2258</v>
      </c>
      <c r="L82" s="39" t="str">
        <f aca="false">IF(OR(AND(D82&gt;0.5,E82&gt;0.5,F82&gt;0.5),AND(D82&lt;0.5,E82&lt;0.5,F82&lt;0.5)),"Yes","No — toss-up")</f>
        <v>Yes</v>
      </c>
    </row>
    <row r="83" customFormat="false" ht="15" hidden="false" customHeight="false" outlineLevel="0" collapsed="false">
      <c r="A83" s="9" t="str">
        <f aca="false">'2026 Forecast A'!A33</f>
        <v>Carbon</v>
      </c>
      <c r="B83" s="9" t="str">
        <f aca="false">'2026 Forecast A'!B33</f>
        <v>WEATHERLY BOROUGH</v>
      </c>
      <c r="C83" s="9" t="str">
        <f aca="false">'2026 Forecast A'!C33</f>
        <v>(whole municipality)</v>
      </c>
      <c r="D83" s="10" t="n">
        <f aca="false">'2026 Forecast A'!G33</f>
        <v>0.293216630196937</v>
      </c>
      <c r="E83" s="10" t="n">
        <f aca="false">'2026 Forecast B'!G33</f>
        <v>0.293216630196937</v>
      </c>
      <c r="F83" s="10" t="n">
        <f aca="false">'2026 Forecast C'!G33</f>
        <v>0.283369803063457</v>
      </c>
      <c r="G83" s="38" t="n">
        <f aca="false">(MAX(D83:F83)-MIN(D83:F83))*100</f>
        <v>0.984682713347923</v>
      </c>
      <c r="H83" s="38" t="n">
        <f aca="false">'2026 Forecast A'!J33</f>
        <v>2.52149049515553</v>
      </c>
      <c r="I83" s="38" t="n">
        <f aca="false">'2026 Forecast B'!J33</f>
        <v>2.69963061572276</v>
      </c>
      <c r="J83" s="38" t="n">
        <f aca="false">'2026 Forecast C'!J33</f>
        <v>2.40839232344956</v>
      </c>
      <c r="K83" s="18" t="n">
        <f aca="false">'2026 Forecast A'!F33</f>
        <v>914</v>
      </c>
      <c r="L83" s="39" t="str">
        <f aca="false">IF(OR(AND(D83&gt;0.5,E83&gt;0.5,F83&gt;0.5),AND(D83&lt;0.5,E83&lt;0.5,F83&lt;0.5)),"Yes","No — toss-up")</f>
        <v>Yes</v>
      </c>
    </row>
    <row r="84" customFormat="false" ht="15" hidden="false" customHeight="false" outlineLevel="0" collapsed="false">
      <c r="A84" s="9" t="str">
        <f aca="false">'2026 Forecast A'!A34</f>
        <v>Carbon</v>
      </c>
      <c r="B84" s="9" t="str">
        <f aca="false">'2026 Forecast A'!B34</f>
        <v>WEISSPORT BOROUGH</v>
      </c>
      <c r="C84" s="9" t="str">
        <f aca="false">'2026 Forecast A'!C34</f>
        <v>(whole municipality)</v>
      </c>
      <c r="D84" s="10" t="n">
        <f aca="false">'2026 Forecast A'!G34</f>
        <v>0.345794392523364</v>
      </c>
      <c r="E84" s="10" t="n">
        <f aca="false">'2026 Forecast B'!G34</f>
        <v>0.345794392523364</v>
      </c>
      <c r="F84" s="10" t="n">
        <f aca="false">'2026 Forecast C'!G34</f>
        <v>0.336448598130841</v>
      </c>
      <c r="G84" s="38" t="n">
        <f aca="false">(MAX(D84:F84)-MIN(D84:F84))*100</f>
        <v>0.934579439252337</v>
      </c>
      <c r="H84" s="38" t="n">
        <f aca="false">'2026 Forecast A'!J34</f>
        <v>2.52149049515553</v>
      </c>
      <c r="I84" s="38" t="n">
        <f aca="false">'2026 Forecast B'!J34</f>
        <v>2.69963061572276</v>
      </c>
      <c r="J84" s="38" t="n">
        <f aca="false">'2026 Forecast C'!J34</f>
        <v>2.40839232344956</v>
      </c>
      <c r="K84" s="18" t="n">
        <f aca="false">'2026 Forecast A'!F34</f>
        <v>107</v>
      </c>
      <c r="L84" s="39" t="str">
        <f aca="false">IF(OR(AND(D84&gt;0.5,E84&gt;0.5,F84&gt;0.5),AND(D84&lt;0.5,E84&lt;0.5,F84&lt;0.5)),"Yes","No — toss-up")</f>
        <v>Yes</v>
      </c>
    </row>
    <row r="85" customFormat="false" ht="15" hidden="false" customHeight="false" outlineLevel="0" collapsed="false">
      <c r="A85" s="9" t="str">
        <f aca="false">'2026 Forecast A'!A35</f>
        <v>Lehigh</v>
      </c>
      <c r="B85" s="9" t="str">
        <f aca="false">'2026 Forecast A'!B35</f>
        <v>ALBURTIS</v>
      </c>
      <c r="C85" s="9" t="str">
        <f aca="false">'2026 Forecast A'!C35</f>
        <v>(whole municipality)</v>
      </c>
      <c r="D85" s="10" t="n">
        <f aca="false">'2026 Forecast A'!G35</f>
        <v>0.474081055607917</v>
      </c>
      <c r="E85" s="10" t="n">
        <f aca="false">'2026 Forecast B'!G35</f>
        <v>0.476908576814326</v>
      </c>
      <c r="F85" s="10" t="n">
        <f aca="false">'2026 Forecast C'!G35</f>
        <v>0.466540999057493</v>
      </c>
      <c r="G85" s="38" t="n">
        <f aca="false">(MAX(D85:F85)-MIN(D85:F85))*100</f>
        <v>1.03675777568332</v>
      </c>
      <c r="H85" s="38" t="n">
        <f aca="false">'2026 Forecast A'!J35</f>
        <v>2.52149049515553</v>
      </c>
      <c r="I85" s="38" t="n">
        <f aca="false">'2026 Forecast B'!J35</f>
        <v>2.69963061572276</v>
      </c>
      <c r="J85" s="38" t="n">
        <f aca="false">'2026 Forecast C'!J35</f>
        <v>2.40839232344956</v>
      </c>
      <c r="K85" s="18" t="n">
        <f aca="false">'2026 Forecast A'!F35</f>
        <v>1061</v>
      </c>
      <c r="L85" s="39" t="str">
        <f aca="false">IF(OR(AND(D85&gt;0.5,E85&gt;0.5,F85&gt;0.5),AND(D85&lt;0.5,E85&lt;0.5,F85&lt;0.5)),"Yes","No — toss-up")</f>
        <v>Yes</v>
      </c>
    </row>
    <row r="86" customFormat="false" ht="15" hidden="false" customHeight="false" outlineLevel="0" collapsed="false">
      <c r="A86" s="9" t="str">
        <f aca="false">'2026 Forecast A'!A36</f>
        <v>Lehigh</v>
      </c>
      <c r="B86" s="9" t="str">
        <f aca="false">'2026 Forecast A'!B36</f>
        <v>ALLENTOWN</v>
      </c>
      <c r="C86" s="9" t="str">
        <f aca="false">'2026 Forecast A'!C36</f>
        <v>(whole municipality)</v>
      </c>
      <c r="D86" s="10" t="n">
        <f aca="false">'2026 Forecast A'!G36</f>
        <v>0.652675967525814</v>
      </c>
      <c r="E86" s="10" t="n">
        <f aca="false">'2026 Forecast B'!G36</f>
        <v>0.653148892567195</v>
      </c>
      <c r="F86" s="10" t="n">
        <f aca="false">'2026 Forecast C'!G36</f>
        <v>0.679514463624182</v>
      </c>
      <c r="G86" s="38" t="n">
        <f aca="false">(MAX(D86:F86)-MIN(D86:F86))*100</f>
        <v>2.68384960983684</v>
      </c>
      <c r="H86" s="38" t="n">
        <f aca="false">'2026 Forecast A'!J36</f>
        <v>1.1425091106871</v>
      </c>
      <c r="I86" s="38" t="n">
        <f aca="false">'2026 Forecast B'!J36</f>
        <v>1.22829950997111</v>
      </c>
      <c r="J86" s="38" t="n">
        <f aca="false">'2026 Forecast C'!J36</f>
        <v>1.84350043958238</v>
      </c>
      <c r="K86" s="18" t="n">
        <f aca="false">'2026 Forecast A'!F36</f>
        <v>25374</v>
      </c>
      <c r="L86" s="39" t="str">
        <f aca="false">IF(OR(AND(D86&gt;0.5,E86&gt;0.5,F86&gt;0.5),AND(D86&lt;0.5,E86&lt;0.5,F86&lt;0.5)),"Yes","No — toss-up")</f>
        <v>Yes</v>
      </c>
    </row>
    <row r="87" customFormat="false" ht="15" hidden="false" customHeight="false" outlineLevel="0" collapsed="false">
      <c r="A87" s="9" t="str">
        <f aca="false">'2026 Forecast A'!A37</f>
        <v>Lehigh</v>
      </c>
      <c r="B87" s="9" t="str">
        <f aca="false">'2026 Forecast A'!B37</f>
        <v>BETHLEHEM</v>
      </c>
      <c r="C87" s="9" t="str">
        <f aca="false">'2026 Forecast A'!C37</f>
        <v>(whole municipality)</v>
      </c>
      <c r="D87" s="10" t="n">
        <f aca="false">'2026 Forecast A'!G37</f>
        <v>0.637583051272408</v>
      </c>
      <c r="E87" s="10" t="n">
        <f aca="false">'2026 Forecast B'!G37</f>
        <v>0.634699761815219</v>
      </c>
      <c r="F87" s="10" t="n">
        <f aca="false">'2026 Forecast C'!G37</f>
        <v>0.65927040240692</v>
      </c>
      <c r="G87" s="38" t="n">
        <f aca="false">(MAX(D87:F87)-MIN(D87:F87))*100</f>
        <v>2.45706405917012</v>
      </c>
      <c r="H87" s="38" t="n">
        <f aca="false">'2026 Forecast A'!J37</f>
        <v>1.1425091106871</v>
      </c>
      <c r="I87" s="38" t="n">
        <f aca="false">'2026 Forecast B'!J37</f>
        <v>1.22829950997111</v>
      </c>
      <c r="J87" s="38" t="n">
        <f aca="false">'2026 Forecast C'!J37</f>
        <v>1.84350043958238</v>
      </c>
      <c r="K87" s="18" t="n">
        <f aca="false">'2026 Forecast A'!F37</f>
        <v>7977</v>
      </c>
      <c r="L87" s="39" t="str">
        <f aca="false">IF(OR(AND(D87&gt;0.5,E87&gt;0.5,F87&gt;0.5),AND(D87&lt;0.5,E87&lt;0.5,F87&lt;0.5)),"Yes","No — toss-up")</f>
        <v>Yes</v>
      </c>
    </row>
    <row r="88" customFormat="false" ht="15" hidden="false" customHeight="false" outlineLevel="0" collapsed="false">
      <c r="A88" s="9" t="str">
        <f aca="false">'2026 Forecast A'!A38</f>
        <v>Lehigh</v>
      </c>
      <c r="B88" s="9" t="str">
        <f aca="false">'2026 Forecast A'!B38</f>
        <v>CATASAUQUA</v>
      </c>
      <c r="C88" s="9" t="str">
        <f aca="false">'2026 Forecast A'!C38</f>
        <v>(whole municipality)</v>
      </c>
      <c r="D88" s="10" t="n">
        <f aca="false">'2026 Forecast A'!G38</f>
        <v>0.517447199265381</v>
      </c>
      <c r="E88" s="10" t="n">
        <f aca="false">'2026 Forecast B'!G38</f>
        <v>0.515151515151515</v>
      </c>
      <c r="F88" s="10" t="n">
        <f aca="false">'2026 Forecast C'!G38</f>
        <v>0.517906336088154</v>
      </c>
      <c r="G88" s="38" t="n">
        <f aca="false">(MAX(D88:F88)-MIN(D88:F88))*100</f>
        <v>0.275482093663915</v>
      </c>
      <c r="H88" s="38" t="n">
        <f aca="false">'2026 Forecast A'!J38</f>
        <v>1.46865275115369</v>
      </c>
      <c r="I88" s="38" t="n">
        <f aca="false">'2026 Forecast B'!J38</f>
        <v>1.78126663688824</v>
      </c>
      <c r="J88" s="38" t="n">
        <f aca="false">'2026 Forecast C'!J38</f>
        <v>1.32461619797241</v>
      </c>
      <c r="K88" s="18" t="n">
        <f aca="false">'2026 Forecast A'!F38</f>
        <v>2178</v>
      </c>
      <c r="L88" s="39" t="str">
        <f aca="false">IF(OR(AND(D88&gt;0.5,E88&gt;0.5,F88&gt;0.5),AND(D88&lt;0.5,E88&lt;0.5,F88&lt;0.5)),"Yes","No — toss-up")</f>
        <v>Yes</v>
      </c>
    </row>
    <row r="89" customFormat="false" ht="15" hidden="false" customHeight="false" outlineLevel="0" collapsed="false">
      <c r="A89" s="9" t="str">
        <f aca="false">'2026 Forecast A'!A39</f>
        <v>Lehigh</v>
      </c>
      <c r="B89" s="9" t="str">
        <f aca="false">'2026 Forecast A'!B39</f>
        <v>COOPERSBURG</v>
      </c>
      <c r="C89" s="9" t="str">
        <f aca="false">'2026 Forecast A'!C39</f>
        <v>(whole municipality)</v>
      </c>
      <c r="D89" s="10" t="n">
        <f aca="false">'2026 Forecast A'!G39</f>
        <v>0.48740157480315</v>
      </c>
      <c r="E89" s="10" t="n">
        <f aca="false">'2026 Forecast B'!G39</f>
        <v>0.488976377952756</v>
      </c>
      <c r="F89" s="10" t="n">
        <f aca="false">'2026 Forecast C'!G39</f>
        <v>0.477165354330709</v>
      </c>
      <c r="G89" s="38" t="n">
        <f aca="false">(MAX(D89:F89)-MIN(D89:F89))*100</f>
        <v>1.18110236220472</v>
      </c>
      <c r="H89" s="38" t="n">
        <f aca="false">'2026 Forecast A'!J39</f>
        <v>2.52149049515553</v>
      </c>
      <c r="I89" s="38" t="n">
        <f aca="false">'2026 Forecast B'!J39</f>
        <v>2.69963061572276</v>
      </c>
      <c r="J89" s="38" t="n">
        <f aca="false">'2026 Forecast C'!J39</f>
        <v>2.40839232344956</v>
      </c>
      <c r="K89" s="18" t="n">
        <f aca="false">'2026 Forecast A'!F39</f>
        <v>1270</v>
      </c>
      <c r="L89" s="39" t="str">
        <f aca="false">IF(OR(AND(D89&gt;0.5,E89&gt;0.5,F89&gt;0.5),AND(D89&lt;0.5,E89&lt;0.5,F89&lt;0.5)),"Yes","No — toss-up")</f>
        <v>Yes</v>
      </c>
    </row>
    <row r="90" customFormat="false" ht="15" hidden="false" customHeight="false" outlineLevel="0" collapsed="false">
      <c r="A90" s="9" t="str">
        <f aca="false">'2026 Forecast A'!A40</f>
        <v>Lehigh</v>
      </c>
      <c r="B90" s="9" t="str">
        <f aca="false">'2026 Forecast A'!B40</f>
        <v>COPLAY</v>
      </c>
      <c r="C90" s="9" t="str">
        <f aca="false">'2026 Forecast A'!C40</f>
        <v>(whole municipality)</v>
      </c>
      <c r="D90" s="10" t="n">
        <f aca="false">'2026 Forecast A'!G40</f>
        <v>0.509530791788856</v>
      </c>
      <c r="E90" s="10" t="n">
        <f aca="false">'2026 Forecast B'!G40</f>
        <v>0.516129032258065</v>
      </c>
      <c r="F90" s="10" t="n">
        <f aca="false">'2026 Forecast C'!G40</f>
        <v>0.509530791788856</v>
      </c>
      <c r="G90" s="38" t="n">
        <f aca="false">(MAX(D90:F90)-MIN(D90:F90))*100</f>
        <v>0.659824046920821</v>
      </c>
      <c r="H90" s="38" t="n">
        <f aca="false">'2026 Forecast A'!J40</f>
        <v>2.52149049515553</v>
      </c>
      <c r="I90" s="38" t="n">
        <f aca="false">'2026 Forecast B'!J40</f>
        <v>2.69963061572276</v>
      </c>
      <c r="J90" s="38" t="n">
        <f aca="false">'2026 Forecast C'!J40</f>
        <v>2.40839232344956</v>
      </c>
      <c r="K90" s="18" t="n">
        <f aca="false">'2026 Forecast A'!F40</f>
        <v>1364</v>
      </c>
      <c r="L90" s="39" t="str">
        <f aca="false">IF(OR(AND(D90&gt;0.5,E90&gt;0.5,F90&gt;0.5),AND(D90&lt;0.5,E90&lt;0.5,F90&lt;0.5)),"Yes","No — toss-up")</f>
        <v>Yes</v>
      </c>
    </row>
    <row r="91" customFormat="false" ht="15" hidden="false" customHeight="false" outlineLevel="0" collapsed="false">
      <c r="A91" s="9" t="str">
        <f aca="false">'2026 Forecast A'!A41</f>
        <v>Lehigh</v>
      </c>
      <c r="B91" s="9" t="str">
        <f aca="false">'2026 Forecast A'!B41</f>
        <v>EMMAUS</v>
      </c>
      <c r="C91" s="9" t="str">
        <f aca="false">'2026 Forecast A'!C41</f>
        <v>(whole municipality)</v>
      </c>
      <c r="D91" s="10" t="n">
        <f aca="false">'2026 Forecast A'!G41</f>
        <v>0.528767631774313</v>
      </c>
      <c r="E91" s="10" t="n">
        <f aca="false">'2026 Forecast B'!G41</f>
        <v>0.533593170007424</v>
      </c>
      <c r="F91" s="10" t="n">
        <f aca="false">'2026 Forecast C'!G41</f>
        <v>0.529510022271715</v>
      </c>
      <c r="G91" s="38" t="n">
        <f aca="false">(MAX(D91:F91)-MIN(D91:F91))*100</f>
        <v>0.48255382331106</v>
      </c>
      <c r="H91" s="38" t="n">
        <f aca="false">'2026 Forecast A'!J41</f>
        <v>1.1425091106871</v>
      </c>
      <c r="I91" s="38" t="n">
        <f aca="false">'2026 Forecast B'!J41</f>
        <v>1.22829950997111</v>
      </c>
      <c r="J91" s="38" t="n">
        <f aca="false">'2026 Forecast C'!J41</f>
        <v>1.84350043958238</v>
      </c>
      <c r="K91" s="18" t="n">
        <f aca="false">'2026 Forecast A'!F41</f>
        <v>5388</v>
      </c>
      <c r="L91" s="39" t="str">
        <f aca="false">IF(OR(AND(D91&gt;0.5,E91&gt;0.5,F91&gt;0.5),AND(D91&lt;0.5,E91&lt;0.5,F91&lt;0.5)),"Yes","No — toss-up")</f>
        <v>Yes</v>
      </c>
    </row>
    <row r="92" customFormat="false" ht="15" hidden="false" customHeight="false" outlineLevel="0" collapsed="false">
      <c r="A92" s="9" t="str">
        <f aca="false">'2026 Forecast A'!A42</f>
        <v>Lehigh</v>
      </c>
      <c r="B92" s="9" t="str">
        <f aca="false">'2026 Forecast A'!B42</f>
        <v>FOUNTAIN HILL</v>
      </c>
      <c r="C92" s="9" t="str">
        <f aca="false">'2026 Forecast A'!C42</f>
        <v>(whole municipality)</v>
      </c>
      <c r="D92" s="10" t="n">
        <f aca="false">'2026 Forecast A'!G42</f>
        <v>0.65607476635514</v>
      </c>
      <c r="E92" s="10" t="n">
        <f aca="false">'2026 Forecast B'!G42</f>
        <v>0.655451713395639</v>
      </c>
      <c r="F92" s="10" t="n">
        <f aca="false">'2026 Forecast C'!G42</f>
        <v>0.679750778816199</v>
      </c>
      <c r="G92" s="38" t="n">
        <f aca="false">(MAX(D92:F92)-MIN(D92:F92))*100</f>
        <v>2.42990654205607</v>
      </c>
      <c r="H92" s="38" t="n">
        <f aca="false">'2026 Forecast A'!J42</f>
        <v>1.46865275115369</v>
      </c>
      <c r="I92" s="38" t="n">
        <f aca="false">'2026 Forecast B'!J42</f>
        <v>1.78126663688824</v>
      </c>
      <c r="J92" s="38" t="n">
        <f aca="false">'2026 Forecast C'!J42</f>
        <v>1.32461619797241</v>
      </c>
      <c r="K92" s="18" t="n">
        <f aca="false">'2026 Forecast A'!F42</f>
        <v>1605</v>
      </c>
      <c r="L92" s="39" t="str">
        <f aca="false">IF(OR(AND(D92&gt;0.5,E92&gt;0.5,F92&gt;0.5),AND(D92&lt;0.5,E92&lt;0.5,F92&lt;0.5)),"Yes","No — toss-up")</f>
        <v>Yes</v>
      </c>
    </row>
    <row r="93" customFormat="false" ht="15" hidden="false" customHeight="false" outlineLevel="0" collapsed="false">
      <c r="A93" s="9" t="str">
        <f aca="false">'2026 Forecast A'!A43</f>
        <v>Lehigh</v>
      </c>
      <c r="B93" s="9" t="str">
        <f aca="false">'2026 Forecast A'!B43</f>
        <v>HANOVER</v>
      </c>
      <c r="C93" s="9" t="str">
        <f aca="false">'2026 Forecast A'!C43</f>
        <v>(whole municipality)</v>
      </c>
      <c r="D93" s="10" t="n">
        <f aca="false">'2026 Forecast A'!G43</f>
        <v>0.533057851239669</v>
      </c>
      <c r="E93" s="10" t="n">
        <f aca="false">'2026 Forecast B'!G43</f>
        <v>0.537190082644628</v>
      </c>
      <c r="F93" s="10" t="n">
        <f aca="false">'2026 Forecast C'!G43</f>
        <v>0.537190082644628</v>
      </c>
      <c r="G93" s="38" t="n">
        <f aca="false">(MAX(D93:F93)-MIN(D93:F93))*100</f>
        <v>0.413223140495866</v>
      </c>
      <c r="H93" s="38" t="n">
        <f aca="false">'2026 Forecast A'!J43</f>
        <v>2.52149049515553</v>
      </c>
      <c r="I93" s="38" t="n">
        <f aca="false">'2026 Forecast B'!J43</f>
        <v>2.69963061572276</v>
      </c>
      <c r="J93" s="38" t="n">
        <f aca="false">'2026 Forecast C'!J43</f>
        <v>2.40839232344956</v>
      </c>
      <c r="K93" s="18" t="n">
        <f aca="false">'2026 Forecast A'!F43</f>
        <v>484</v>
      </c>
      <c r="L93" s="39" t="str">
        <f aca="false">IF(OR(AND(D93&gt;0.5,E93&gt;0.5,F93&gt;0.5),AND(D93&lt;0.5,E93&lt;0.5,F93&lt;0.5)),"Yes","No — toss-up")</f>
        <v>Yes</v>
      </c>
    </row>
    <row r="94" customFormat="false" ht="15" hidden="false" customHeight="false" outlineLevel="0" collapsed="false">
      <c r="A94" s="9" t="str">
        <f aca="false">'2026 Forecast A'!A44</f>
        <v>Lehigh</v>
      </c>
      <c r="B94" s="9" t="str">
        <f aca="false">'2026 Forecast A'!B44</f>
        <v>HEIDELBERG</v>
      </c>
      <c r="C94" s="9" t="str">
        <f aca="false">'2026 Forecast A'!C44</f>
        <v>(whole municipality)</v>
      </c>
      <c r="D94" s="10" t="n">
        <f aca="false">'2026 Forecast A'!G44</f>
        <v>0.324079662039831</v>
      </c>
      <c r="E94" s="10" t="n">
        <f aca="false">'2026 Forecast B'!G44</f>
        <v>0.324683162341581</v>
      </c>
      <c r="F94" s="10" t="n">
        <f aca="false">'2026 Forecast C'!G44</f>
        <v>0.312009656004828</v>
      </c>
      <c r="G94" s="38" t="n">
        <f aca="false">(MAX(D94:F94)-MIN(D94:F94))*100</f>
        <v>1.26735063367532</v>
      </c>
      <c r="H94" s="38" t="n">
        <f aca="false">'2026 Forecast A'!J44</f>
        <v>1.46865275115369</v>
      </c>
      <c r="I94" s="38" t="n">
        <f aca="false">'2026 Forecast B'!J44</f>
        <v>1.78126663688824</v>
      </c>
      <c r="J94" s="38" t="n">
        <f aca="false">'2026 Forecast C'!J44</f>
        <v>1.32461619797241</v>
      </c>
      <c r="K94" s="18" t="n">
        <f aca="false">'2026 Forecast A'!F44</f>
        <v>1657</v>
      </c>
      <c r="L94" s="39" t="str">
        <f aca="false">IF(OR(AND(D94&gt;0.5,E94&gt;0.5,F94&gt;0.5),AND(D94&lt;0.5,E94&lt;0.5,F94&lt;0.5)),"Yes","No — toss-up")</f>
        <v>Yes</v>
      </c>
    </row>
    <row r="95" customFormat="false" ht="15" hidden="false" customHeight="false" outlineLevel="0" collapsed="false">
      <c r="A95" s="9" t="str">
        <f aca="false">'2026 Forecast A'!A45</f>
        <v>Lehigh</v>
      </c>
      <c r="B95" s="9" t="str">
        <f aca="false">'2026 Forecast A'!B45</f>
        <v>LOWER MACUNGIE</v>
      </c>
      <c r="C95" s="9" t="str">
        <f aca="false">'2026 Forecast A'!C45</f>
        <v>(whole municipality)</v>
      </c>
      <c r="D95" s="10" t="n">
        <f aca="false">'2026 Forecast A'!G45</f>
        <v>0.500948882767065</v>
      </c>
      <c r="E95" s="10" t="n">
        <f aca="false">'2026 Forecast B'!G45</f>
        <v>0.500459136822773</v>
      </c>
      <c r="F95" s="10" t="n">
        <f aca="false">'2026 Forecast C'!G45</f>
        <v>0.492500765228038</v>
      </c>
      <c r="G95" s="38" t="n">
        <f aca="false">(MAX(D95:F95)-MIN(D95:F95))*100</f>
        <v>0.844811753902669</v>
      </c>
      <c r="H95" s="38" t="n">
        <f aca="false">'2026 Forecast A'!J45</f>
        <v>1.1425091106871</v>
      </c>
      <c r="I95" s="38" t="n">
        <f aca="false">'2026 Forecast B'!J45</f>
        <v>1.22829950997111</v>
      </c>
      <c r="J95" s="38" t="n">
        <f aca="false">'2026 Forecast C'!J45</f>
        <v>1.84350043958238</v>
      </c>
      <c r="K95" s="18" t="n">
        <f aca="false">'2026 Forecast A'!F45</f>
        <v>16335</v>
      </c>
      <c r="L95" s="39" t="str">
        <f aca="false">IF(OR(AND(D95&gt;0.5,E95&gt;0.5,F95&gt;0.5),AND(D95&lt;0.5,E95&lt;0.5,F95&lt;0.5)),"Yes","No — toss-up")</f>
        <v>No — toss-up</v>
      </c>
    </row>
    <row r="96" customFormat="false" ht="15" hidden="false" customHeight="false" outlineLevel="0" collapsed="false">
      <c r="A96" s="9" t="str">
        <f aca="false">'2026 Forecast A'!A46</f>
        <v>Lehigh</v>
      </c>
      <c r="B96" s="9" t="str">
        <f aca="false">'2026 Forecast A'!B46</f>
        <v>LOWER MILFORD</v>
      </c>
      <c r="C96" s="9" t="str">
        <f aca="false">'2026 Forecast A'!C46</f>
        <v>(whole municipality)</v>
      </c>
      <c r="D96" s="10" t="n">
        <f aca="false">'2026 Forecast A'!G46</f>
        <v>0.383847549909256</v>
      </c>
      <c r="E96" s="10" t="n">
        <f aca="false">'2026 Forecast B'!G46</f>
        <v>0.377495462794918</v>
      </c>
      <c r="F96" s="10" t="n">
        <f aca="false">'2026 Forecast C'!G46</f>
        <v>0.366606170598911</v>
      </c>
      <c r="G96" s="38" t="n">
        <f aca="false">(MAX(D96:F96)-MIN(D96:F96))*100</f>
        <v>1.72413793103448</v>
      </c>
      <c r="H96" s="38" t="n">
        <f aca="false">'2026 Forecast A'!J46</f>
        <v>1.46865275115369</v>
      </c>
      <c r="I96" s="38" t="n">
        <f aca="false">'2026 Forecast B'!J46</f>
        <v>1.78126663688824</v>
      </c>
      <c r="J96" s="38" t="n">
        <f aca="false">'2026 Forecast C'!J46</f>
        <v>1.32461619797241</v>
      </c>
      <c r="K96" s="18" t="n">
        <f aca="false">'2026 Forecast A'!F46</f>
        <v>2204</v>
      </c>
      <c r="L96" s="39" t="str">
        <f aca="false">IF(OR(AND(D96&gt;0.5,E96&gt;0.5,F96&gt;0.5),AND(D96&lt;0.5,E96&lt;0.5,F96&lt;0.5)),"Yes","No — toss-up")</f>
        <v>Yes</v>
      </c>
    </row>
    <row r="97" customFormat="false" ht="15" hidden="false" customHeight="false" outlineLevel="0" collapsed="false">
      <c r="A97" s="9" t="str">
        <f aca="false">'2026 Forecast A'!A47</f>
        <v>Lehigh</v>
      </c>
      <c r="B97" s="9" t="str">
        <f aca="false">'2026 Forecast A'!B47</f>
        <v>LOWHILL</v>
      </c>
      <c r="C97" s="9" t="str">
        <f aca="false">'2026 Forecast A'!C47</f>
        <v>(whole municipality)</v>
      </c>
      <c r="D97" s="10" t="n">
        <f aca="false">'2026 Forecast A'!G47</f>
        <v>0.366208569118836</v>
      </c>
      <c r="E97" s="10" t="n">
        <f aca="false">'2026 Forecast B'!G47</f>
        <v>0.362974939369442</v>
      </c>
      <c r="F97" s="10" t="n">
        <f aca="false">'2026 Forecast C'!G47</f>
        <v>0.350040420371867</v>
      </c>
      <c r="G97" s="38" t="n">
        <f aca="false">(MAX(D97:F97)-MIN(D97:F97))*100</f>
        <v>1.61681487469684</v>
      </c>
      <c r="H97" s="38" t="n">
        <f aca="false">'2026 Forecast A'!J47</f>
        <v>2.52149049515553</v>
      </c>
      <c r="I97" s="38" t="n">
        <f aca="false">'2026 Forecast B'!J47</f>
        <v>2.69963061572276</v>
      </c>
      <c r="J97" s="38" t="n">
        <f aca="false">'2026 Forecast C'!J47</f>
        <v>2.40839232344956</v>
      </c>
      <c r="K97" s="18" t="n">
        <f aca="false">'2026 Forecast A'!F47</f>
        <v>1237</v>
      </c>
      <c r="L97" s="39" t="str">
        <f aca="false">IF(OR(AND(D97&gt;0.5,E97&gt;0.5,F97&gt;0.5),AND(D97&lt;0.5,E97&lt;0.5,F97&lt;0.5)),"Yes","No — toss-up")</f>
        <v>Yes</v>
      </c>
    </row>
    <row r="98" customFormat="false" ht="15" hidden="false" customHeight="false" outlineLevel="0" collapsed="false">
      <c r="A98" s="9" t="str">
        <f aca="false">'2026 Forecast A'!A48</f>
        <v>Lehigh</v>
      </c>
      <c r="B98" s="9" t="str">
        <f aca="false">'2026 Forecast A'!B48</f>
        <v>LYNN</v>
      </c>
      <c r="C98" s="9" t="str">
        <f aca="false">'2026 Forecast A'!C48</f>
        <v>(whole municipality)</v>
      </c>
      <c r="D98" s="10" t="n">
        <f aca="false">'2026 Forecast A'!G48</f>
        <v>0.325729927007299</v>
      </c>
      <c r="E98" s="10" t="n">
        <f aca="false">'2026 Forecast B'!G48</f>
        <v>0.320711678832117</v>
      </c>
      <c r="F98" s="10" t="n">
        <f aca="false">'2026 Forecast C'!G48</f>
        <v>0.3125</v>
      </c>
      <c r="G98" s="38" t="n">
        <f aca="false">(MAX(D98:F98)-MIN(D98:F98))*100</f>
        <v>1.32299270072992</v>
      </c>
      <c r="H98" s="38" t="n">
        <f aca="false">'2026 Forecast A'!J48</f>
        <v>1.46865275115369</v>
      </c>
      <c r="I98" s="38" t="n">
        <f aca="false">'2026 Forecast B'!J48</f>
        <v>1.78126663688824</v>
      </c>
      <c r="J98" s="38" t="n">
        <f aca="false">'2026 Forecast C'!J48</f>
        <v>1.32461619797241</v>
      </c>
      <c r="K98" s="18" t="n">
        <f aca="false">'2026 Forecast A'!F48</f>
        <v>2192</v>
      </c>
      <c r="L98" s="39" t="str">
        <f aca="false">IF(OR(AND(D98&gt;0.5,E98&gt;0.5,F98&gt;0.5),AND(D98&lt;0.5,E98&lt;0.5,F98&lt;0.5)),"Yes","No — toss-up")</f>
        <v>Yes</v>
      </c>
    </row>
    <row r="99" customFormat="false" ht="15" hidden="false" customHeight="false" outlineLevel="0" collapsed="false">
      <c r="A99" s="9" t="str">
        <f aca="false">'2026 Forecast A'!A49</f>
        <v>Lehigh</v>
      </c>
      <c r="B99" s="9" t="str">
        <f aca="false">'2026 Forecast A'!B49</f>
        <v>MACUNGIE</v>
      </c>
      <c r="C99" s="9" t="str">
        <f aca="false">'2026 Forecast A'!C49</f>
        <v>(whole municipality)</v>
      </c>
      <c r="D99" s="10" t="n">
        <f aca="false">'2026 Forecast A'!G49</f>
        <v>0.522802379378718</v>
      </c>
      <c r="E99" s="10" t="n">
        <f aca="false">'2026 Forecast B'!G49</f>
        <v>0.524785194976867</v>
      </c>
      <c r="F99" s="10" t="n">
        <f aca="false">'2026 Forecast C'!G49</f>
        <v>0.520819563780568</v>
      </c>
      <c r="G99" s="38" t="n">
        <f aca="false">(MAX(D99:F99)-MIN(D99:F99))*100</f>
        <v>0.396563119629878</v>
      </c>
      <c r="H99" s="38" t="n">
        <f aca="false">'2026 Forecast A'!J49</f>
        <v>2.52149049515553</v>
      </c>
      <c r="I99" s="38" t="n">
        <f aca="false">'2026 Forecast B'!J49</f>
        <v>2.69963061572276</v>
      </c>
      <c r="J99" s="38" t="n">
        <f aca="false">'2026 Forecast C'!J49</f>
        <v>2.40839232344956</v>
      </c>
      <c r="K99" s="18" t="n">
        <f aca="false">'2026 Forecast A'!F49</f>
        <v>1513</v>
      </c>
      <c r="L99" s="39" t="str">
        <f aca="false">IF(OR(AND(D99&gt;0.5,E99&gt;0.5,F99&gt;0.5),AND(D99&lt;0.5,E99&lt;0.5,F99&lt;0.5)),"Yes","No — toss-up")</f>
        <v>Yes</v>
      </c>
    </row>
    <row r="100" customFormat="false" ht="15" hidden="false" customHeight="false" outlineLevel="0" collapsed="false">
      <c r="A100" s="9" t="str">
        <f aca="false">'2026 Forecast A'!A50</f>
        <v>Lehigh</v>
      </c>
      <c r="B100" s="9" t="str">
        <f aca="false">'2026 Forecast A'!B50</f>
        <v>NORTH WHITEHALL</v>
      </c>
      <c r="C100" s="9" t="str">
        <f aca="false">'2026 Forecast A'!C50</f>
        <v>(whole municipality)</v>
      </c>
      <c r="D100" s="10" t="n">
        <f aca="false">'2026 Forecast A'!G50</f>
        <v>0.417500316575915</v>
      </c>
      <c r="E100" s="10" t="n">
        <f aca="false">'2026 Forecast B'!G50</f>
        <v>0.412181841205521</v>
      </c>
      <c r="F100" s="10" t="n">
        <f aca="false">'2026 Forecast C'!G50</f>
        <v>0.407623148030898</v>
      </c>
      <c r="G100" s="38" t="n">
        <f aca="false">(MAX(D100:F100)-MIN(D100:F100))*100</f>
        <v>0.987716854501708</v>
      </c>
      <c r="H100" s="38" t="n">
        <f aca="false">'2026 Forecast A'!J50</f>
        <v>1.1425091106871</v>
      </c>
      <c r="I100" s="38" t="n">
        <f aca="false">'2026 Forecast B'!J50</f>
        <v>1.22829950997111</v>
      </c>
      <c r="J100" s="38" t="n">
        <f aca="false">'2026 Forecast C'!J50</f>
        <v>1.84350043958238</v>
      </c>
      <c r="K100" s="18" t="n">
        <f aca="false">'2026 Forecast A'!F50</f>
        <v>7897</v>
      </c>
      <c r="L100" s="39" t="str">
        <f aca="false">IF(OR(AND(D100&gt;0.5,E100&gt;0.5,F100&gt;0.5),AND(D100&lt;0.5,E100&lt;0.5,F100&lt;0.5)),"Yes","No — toss-up")</f>
        <v>Yes</v>
      </c>
    </row>
    <row r="101" customFormat="false" ht="15" hidden="false" customHeight="false" outlineLevel="0" collapsed="false">
      <c r="A101" s="9" t="str">
        <f aca="false">'2026 Forecast A'!A51</f>
        <v>Lehigh</v>
      </c>
      <c r="B101" s="9" t="str">
        <f aca="false">'2026 Forecast A'!B51</f>
        <v>SALISBURY</v>
      </c>
      <c r="C101" s="9" t="str">
        <f aca="false">'2026 Forecast A'!C51</f>
        <v>(whole municipality)</v>
      </c>
      <c r="D101" s="10" t="n">
        <f aca="false">'2026 Forecast A'!G51</f>
        <v>0.498755832037325</v>
      </c>
      <c r="E101" s="10" t="n">
        <f aca="false">'2026 Forecast B'!G51</f>
        <v>0.501088646967341</v>
      </c>
      <c r="F101" s="10" t="n">
        <f aca="false">'2026 Forecast C'!G51</f>
        <v>0.492690513219285</v>
      </c>
      <c r="G101" s="38" t="n">
        <f aca="false">(MAX(D101:F101)-MIN(D101:F101))*100</f>
        <v>0.839813374805598</v>
      </c>
      <c r="H101" s="38" t="n">
        <f aca="false">'2026 Forecast A'!J51</f>
        <v>1.1425091106871</v>
      </c>
      <c r="I101" s="38" t="n">
        <f aca="false">'2026 Forecast B'!J51</f>
        <v>1.22829950997111</v>
      </c>
      <c r="J101" s="38" t="n">
        <f aca="false">'2026 Forecast C'!J51</f>
        <v>1.84350043958238</v>
      </c>
      <c r="K101" s="18" t="n">
        <f aca="false">'2026 Forecast A'!F51</f>
        <v>6430</v>
      </c>
      <c r="L101" s="39" t="str">
        <f aca="false">IF(OR(AND(D101&gt;0.5,E101&gt;0.5,F101&gt;0.5),AND(D101&lt;0.5,E101&lt;0.5,F101&lt;0.5)),"Yes","No — toss-up")</f>
        <v>No — toss-up</v>
      </c>
    </row>
    <row r="102" customFormat="false" ht="15" hidden="false" customHeight="false" outlineLevel="0" collapsed="false">
      <c r="A102" s="9" t="str">
        <f aca="false">'2026 Forecast A'!A52</f>
        <v>Lehigh</v>
      </c>
      <c r="B102" s="9" t="str">
        <f aca="false">'2026 Forecast A'!B52</f>
        <v>SLATINGTON</v>
      </c>
      <c r="C102" s="9" t="str">
        <f aca="false">'2026 Forecast A'!C52</f>
        <v>(whole municipality)</v>
      </c>
      <c r="D102" s="10" t="n">
        <f aca="false">'2026 Forecast A'!G52</f>
        <v>0.424460431654676</v>
      </c>
      <c r="E102" s="10" t="n">
        <f aca="false">'2026 Forecast B'!G52</f>
        <v>0.423021582733813</v>
      </c>
      <c r="F102" s="10" t="n">
        <f aca="false">'2026 Forecast C'!G52</f>
        <v>0.420143884892086</v>
      </c>
      <c r="G102" s="38" t="n">
        <f aca="false">(MAX(D102:F102)-MIN(D102:F102))*100</f>
        <v>0.431654676258997</v>
      </c>
      <c r="H102" s="38" t="n">
        <f aca="false">'2026 Forecast A'!J52</f>
        <v>2.52149049515553</v>
      </c>
      <c r="I102" s="38" t="n">
        <f aca="false">'2026 Forecast B'!J52</f>
        <v>2.69963061572276</v>
      </c>
      <c r="J102" s="38" t="n">
        <f aca="false">'2026 Forecast C'!J52</f>
        <v>2.40839232344956</v>
      </c>
      <c r="K102" s="18" t="n">
        <f aca="false">'2026 Forecast A'!F52</f>
        <v>1390</v>
      </c>
      <c r="L102" s="39" t="str">
        <f aca="false">IF(OR(AND(D102&gt;0.5,E102&gt;0.5,F102&gt;0.5),AND(D102&lt;0.5,E102&lt;0.5,F102&lt;0.5)),"Yes","No — toss-up")</f>
        <v>Yes</v>
      </c>
    </row>
    <row r="103" customFormat="false" ht="15" hidden="false" customHeight="false" outlineLevel="0" collapsed="false">
      <c r="A103" s="9" t="str">
        <f aca="false">'2026 Forecast A'!A53</f>
        <v>Lehigh</v>
      </c>
      <c r="B103" s="9" t="str">
        <f aca="false">'2026 Forecast A'!B53</f>
        <v>SOUTH WHITEHALL</v>
      </c>
      <c r="C103" s="9" t="str">
        <f aca="false">'2026 Forecast A'!C53</f>
        <v>(whole municipality)</v>
      </c>
      <c r="D103" s="10" t="n">
        <f aca="false">'2026 Forecast A'!G53</f>
        <v>0.527560556933054</v>
      </c>
      <c r="E103" s="10" t="n">
        <f aca="false">'2026 Forecast B'!G53</f>
        <v>0.530993705893572</v>
      </c>
      <c r="F103" s="10" t="n">
        <f aca="false">'2026 Forecast C'!G53</f>
        <v>0.52746519168415</v>
      </c>
      <c r="G103" s="38" t="n">
        <f aca="false">(MAX(D103:F103)-MIN(D103:F103))*100</f>
        <v>0.352851420942213</v>
      </c>
      <c r="H103" s="38" t="n">
        <f aca="false">'2026 Forecast A'!J53</f>
        <v>1.1425091106871</v>
      </c>
      <c r="I103" s="38" t="n">
        <f aca="false">'2026 Forecast B'!J53</f>
        <v>1.22829950997111</v>
      </c>
      <c r="J103" s="38" t="n">
        <f aca="false">'2026 Forecast C'!J53</f>
        <v>1.84350043958238</v>
      </c>
      <c r="K103" s="18" t="n">
        <f aca="false">'2026 Forecast A'!F53</f>
        <v>10486</v>
      </c>
      <c r="L103" s="39" t="str">
        <f aca="false">IF(OR(AND(D103&gt;0.5,E103&gt;0.5,F103&gt;0.5),AND(D103&lt;0.5,E103&lt;0.5,F103&lt;0.5)),"Yes","No — toss-up")</f>
        <v>Yes</v>
      </c>
    </row>
    <row r="104" customFormat="false" ht="15" hidden="false" customHeight="false" outlineLevel="0" collapsed="false">
      <c r="A104" s="9" t="str">
        <f aca="false">'2026 Forecast A'!A54</f>
        <v>Lehigh</v>
      </c>
      <c r="B104" s="9" t="str">
        <f aca="false">'2026 Forecast A'!B54</f>
        <v>UPPER MACUNGIE</v>
      </c>
      <c r="C104" s="9" t="str">
        <f aca="false">'2026 Forecast A'!C54</f>
        <v>(whole municipality)</v>
      </c>
      <c r="D104" s="10" t="n">
        <f aca="false">'2026 Forecast A'!G54</f>
        <v>0.518620116375727</v>
      </c>
      <c r="E104" s="10" t="n">
        <f aca="false">'2026 Forecast B'!G54</f>
        <v>0.51571072319202</v>
      </c>
      <c r="F104" s="10" t="n">
        <f aca="false">'2026 Forecast C'!G54</f>
        <v>0.517040731504572</v>
      </c>
      <c r="G104" s="38" t="n">
        <f aca="false">(MAX(D104:F104)-MIN(D104:F104))*100</f>
        <v>0.290939318370742</v>
      </c>
      <c r="H104" s="38" t="n">
        <f aca="false">'2026 Forecast A'!J54</f>
        <v>1.1425091106871</v>
      </c>
      <c r="I104" s="38" t="n">
        <f aca="false">'2026 Forecast B'!J54</f>
        <v>1.22829950997111</v>
      </c>
      <c r="J104" s="38" t="n">
        <f aca="false">'2026 Forecast C'!J54</f>
        <v>1.84350043958238</v>
      </c>
      <c r="K104" s="18" t="n">
        <f aca="false">'2026 Forecast A'!F54</f>
        <v>12030</v>
      </c>
      <c r="L104" s="39" t="str">
        <f aca="false">IF(OR(AND(D104&gt;0.5,E104&gt;0.5,F104&gt;0.5),AND(D104&lt;0.5,E104&lt;0.5,F104&lt;0.5)),"Yes","No — toss-up")</f>
        <v>Yes</v>
      </c>
    </row>
    <row r="105" customFormat="false" ht="15" hidden="false" customHeight="false" outlineLevel="0" collapsed="false">
      <c r="A105" s="9" t="str">
        <f aca="false">'2026 Forecast A'!A55</f>
        <v>Lehigh</v>
      </c>
      <c r="B105" s="9" t="str">
        <f aca="false">'2026 Forecast A'!B55</f>
        <v>UPPER MILFORD</v>
      </c>
      <c r="C105" s="9" t="str">
        <f aca="false">'2026 Forecast A'!C55</f>
        <v>(whole municipality)</v>
      </c>
      <c r="D105" s="10" t="n">
        <f aca="false">'2026 Forecast A'!G55</f>
        <v>0.451018638925011</v>
      </c>
      <c r="E105" s="10" t="n">
        <f aca="false">'2026 Forecast B'!G55</f>
        <v>0.441048981361075</v>
      </c>
      <c r="F105" s="10" t="n">
        <f aca="false">'2026 Forecast C'!G55</f>
        <v>0.433029908972692</v>
      </c>
      <c r="G105" s="38" t="n">
        <f aca="false">(MAX(D105:F105)-MIN(D105:F105))*100</f>
        <v>1.7988729952319</v>
      </c>
      <c r="H105" s="38" t="n">
        <f aca="false">'2026 Forecast A'!J55</f>
        <v>1.1425091106871</v>
      </c>
      <c r="I105" s="38" t="n">
        <f aca="false">'2026 Forecast B'!J55</f>
        <v>1.22829950997111</v>
      </c>
      <c r="J105" s="38" t="n">
        <f aca="false">'2026 Forecast C'!J55</f>
        <v>1.84350043958238</v>
      </c>
      <c r="K105" s="18" t="n">
        <f aca="false">'2026 Forecast A'!F55</f>
        <v>4614</v>
      </c>
      <c r="L105" s="39" t="str">
        <f aca="false">IF(OR(AND(D105&gt;0.5,E105&gt;0.5,F105&gt;0.5),AND(D105&lt;0.5,E105&lt;0.5,F105&lt;0.5)),"Yes","No — toss-up")</f>
        <v>Yes</v>
      </c>
    </row>
    <row r="106" customFormat="false" ht="15" hidden="false" customHeight="false" outlineLevel="0" collapsed="false">
      <c r="A106" s="9" t="str">
        <f aca="false">'2026 Forecast A'!A56</f>
        <v>Lehigh</v>
      </c>
      <c r="B106" s="9" t="str">
        <f aca="false">'2026 Forecast A'!B56</f>
        <v>UPPER SAUCON</v>
      </c>
      <c r="C106" s="9" t="str">
        <f aca="false">'2026 Forecast A'!C56</f>
        <v>(whole municipality)</v>
      </c>
      <c r="D106" s="10" t="n">
        <f aca="false">'2026 Forecast A'!G56</f>
        <v>0.494970034246575</v>
      </c>
      <c r="E106" s="10" t="n">
        <f aca="false">'2026 Forecast B'!G56</f>
        <v>0.493685787671233</v>
      </c>
      <c r="F106" s="10" t="n">
        <f aca="false">'2026 Forecast C'!G56</f>
        <v>0.485659246575343</v>
      </c>
      <c r="G106" s="38" t="n">
        <f aca="false">(MAX(D106:F106)-MIN(D106:F106))*100</f>
        <v>0.931078767123283</v>
      </c>
      <c r="H106" s="38" t="n">
        <f aca="false">'2026 Forecast A'!J56</f>
        <v>1.1425091106871</v>
      </c>
      <c r="I106" s="38" t="n">
        <f aca="false">'2026 Forecast B'!J56</f>
        <v>1.22829950997111</v>
      </c>
      <c r="J106" s="38" t="n">
        <f aca="false">'2026 Forecast C'!J56</f>
        <v>1.84350043958238</v>
      </c>
      <c r="K106" s="18" t="n">
        <f aca="false">'2026 Forecast A'!F56</f>
        <v>9344</v>
      </c>
      <c r="L106" s="39" t="str">
        <f aca="false">IF(OR(AND(D106&gt;0.5,E106&gt;0.5,F106&gt;0.5),AND(D106&lt;0.5,E106&lt;0.5,F106&lt;0.5)),"Yes","No — toss-up")</f>
        <v>Yes</v>
      </c>
    </row>
    <row r="107" customFormat="false" ht="15" hidden="false" customHeight="false" outlineLevel="0" collapsed="false">
      <c r="A107" s="9" t="str">
        <f aca="false">'2026 Forecast A'!A57</f>
        <v>Lehigh</v>
      </c>
      <c r="B107" s="9" t="str">
        <f aca="false">'2026 Forecast A'!B57</f>
        <v>WASHINGTON</v>
      </c>
      <c r="C107" s="9" t="str">
        <f aca="false">'2026 Forecast A'!C57</f>
        <v>(whole municipality)</v>
      </c>
      <c r="D107" s="10" t="n">
        <f aca="false">'2026 Forecast A'!G57</f>
        <v>0.337737673219465</v>
      </c>
      <c r="E107" s="10" t="n">
        <f aca="false">'2026 Forecast B'!G57</f>
        <v>0.337737673219465</v>
      </c>
      <c r="F107" s="10" t="n">
        <f aca="false">'2026 Forecast C'!G57</f>
        <v>0.325169191105382</v>
      </c>
      <c r="G107" s="38" t="n">
        <f aca="false">(MAX(D107:F107)-MIN(D107:F107))*100</f>
        <v>1.25684821140831</v>
      </c>
      <c r="H107" s="38" t="n">
        <f aca="false">'2026 Forecast A'!J57</f>
        <v>1.46865275115369</v>
      </c>
      <c r="I107" s="38" t="n">
        <f aca="false">'2026 Forecast B'!J57</f>
        <v>1.78126663688824</v>
      </c>
      <c r="J107" s="38" t="n">
        <f aca="false">'2026 Forecast C'!J57</f>
        <v>1.32461619797241</v>
      </c>
      <c r="K107" s="18" t="n">
        <f aca="false">'2026 Forecast A'!F57</f>
        <v>3103</v>
      </c>
      <c r="L107" s="39" t="str">
        <f aca="false">IF(OR(AND(D107&gt;0.5,E107&gt;0.5,F107&gt;0.5),AND(D107&lt;0.5,E107&lt;0.5,F107&lt;0.5)),"Yes","No — toss-up")</f>
        <v>Yes</v>
      </c>
    </row>
    <row r="108" customFormat="false" ht="15" hidden="false" customHeight="false" outlineLevel="0" collapsed="false">
      <c r="A108" s="9" t="str">
        <f aca="false">'2026 Forecast A'!A58</f>
        <v>Lehigh</v>
      </c>
      <c r="B108" s="9" t="str">
        <f aca="false">'2026 Forecast A'!B58</f>
        <v>WEISENBERG</v>
      </c>
      <c r="C108" s="9" t="str">
        <f aca="false">'2026 Forecast A'!C58</f>
        <v>(whole municipality)</v>
      </c>
      <c r="D108" s="10" t="n">
        <f aca="false">'2026 Forecast A'!G58</f>
        <v>0.358394160583942</v>
      </c>
      <c r="E108" s="10" t="n">
        <f aca="false">'2026 Forecast B'!G58</f>
        <v>0.35036496350365</v>
      </c>
      <c r="F108" s="10" t="n">
        <f aca="false">'2026 Forecast C'!G58</f>
        <v>0.343065693430657</v>
      </c>
      <c r="G108" s="38" t="n">
        <f aca="false">(MAX(D108:F108)-MIN(D108:F108))*100</f>
        <v>1.53284671532846</v>
      </c>
      <c r="H108" s="38" t="n">
        <f aca="false">'2026 Forecast A'!J58</f>
        <v>1.46865275115369</v>
      </c>
      <c r="I108" s="38" t="n">
        <f aca="false">'2026 Forecast B'!J58</f>
        <v>1.78126663688824</v>
      </c>
      <c r="J108" s="38" t="n">
        <f aca="false">'2026 Forecast C'!J58</f>
        <v>1.32461619797241</v>
      </c>
      <c r="K108" s="18" t="n">
        <f aca="false">'2026 Forecast A'!F58</f>
        <v>2740</v>
      </c>
      <c r="L108" s="39" t="str">
        <f aca="false">IF(OR(AND(D108&gt;0.5,E108&gt;0.5,F108&gt;0.5),AND(D108&lt;0.5,E108&lt;0.5,F108&lt;0.5)),"Yes","No — toss-up")</f>
        <v>Yes</v>
      </c>
    </row>
    <row r="109" customFormat="false" ht="15" hidden="false" customHeight="false" outlineLevel="0" collapsed="false">
      <c r="A109" s="9" t="str">
        <f aca="false">'2026 Forecast A'!A59</f>
        <v>Lehigh</v>
      </c>
      <c r="B109" s="9" t="str">
        <f aca="false">'2026 Forecast A'!B59</f>
        <v>WHITEHALL</v>
      </c>
      <c r="C109" s="9" t="str">
        <f aca="false">'2026 Forecast A'!C59</f>
        <v>(whole municipality)</v>
      </c>
      <c r="D109" s="10" t="n">
        <f aca="false">'2026 Forecast A'!G59</f>
        <v>0.51532749428789</v>
      </c>
      <c r="E109" s="10" t="n">
        <f aca="false">'2026 Forecast B'!G59</f>
        <v>0.513899466869764</v>
      </c>
      <c r="F109" s="10" t="n">
        <f aca="false">'2026 Forecast C'!G59</f>
        <v>0.515613099771516</v>
      </c>
      <c r="G109" s="38" t="n">
        <f aca="false">(MAX(D109:F109)-MIN(D109:F109))*100</f>
        <v>0.171363290175164</v>
      </c>
      <c r="H109" s="38" t="n">
        <f aca="false">'2026 Forecast A'!J59</f>
        <v>1.1425091106871</v>
      </c>
      <c r="I109" s="38" t="n">
        <f aca="false">'2026 Forecast B'!J59</f>
        <v>1.22829950997111</v>
      </c>
      <c r="J109" s="38" t="n">
        <f aca="false">'2026 Forecast C'!J59</f>
        <v>1.84350043958238</v>
      </c>
      <c r="K109" s="18" t="n">
        <f aca="false">'2026 Forecast A'!F59</f>
        <v>10504</v>
      </c>
      <c r="L109" s="39" t="str">
        <f aca="false">IF(OR(AND(D109&gt;0.5,E109&gt;0.5,F109&gt;0.5),AND(D109&lt;0.5,E109&lt;0.5,F109&lt;0.5)),"Yes","No — toss-up")</f>
        <v>Yes</v>
      </c>
    </row>
    <row r="110" customFormat="false" ht="15" hidden="false" customHeight="false" outlineLevel="0" collapsed="false">
      <c r="A110" s="9" t="str">
        <f aca="false">'2026 Forecast A'!A60</f>
        <v>Monroe</v>
      </c>
      <c r="B110" s="9" t="str">
        <f aca="false">'2026 Forecast A'!B60</f>
        <v>ELDRED TOWNSHIP</v>
      </c>
      <c r="C110" s="9" t="str">
        <f aca="false">'2026 Forecast A'!C60</f>
        <v>(whole municipality)</v>
      </c>
      <c r="D110" s="10" t="n">
        <f aca="false">'2026 Forecast A'!G60</f>
        <v>0.313614262560778</v>
      </c>
      <c r="E110" s="10" t="n">
        <f aca="false">'2026 Forecast B'!G60</f>
        <v>0.313614262560778</v>
      </c>
      <c r="F110" s="10" t="n">
        <f aca="false">'2026 Forecast C'!G60</f>
        <v>0.301458670988655</v>
      </c>
      <c r="G110" s="38" t="n">
        <f aca="false">(MAX(D110:F110)-MIN(D110:F110))*100</f>
        <v>1.21555915721231</v>
      </c>
      <c r="H110" s="38" t="n">
        <f aca="false">'2026 Forecast A'!J60</f>
        <v>2.52149049515553</v>
      </c>
      <c r="I110" s="38" t="n">
        <f aca="false">'2026 Forecast B'!J60</f>
        <v>2.69963061572276</v>
      </c>
      <c r="J110" s="38" t="n">
        <f aca="false">'2026 Forecast C'!J60</f>
        <v>2.40839232344956</v>
      </c>
      <c r="K110" s="18" t="n">
        <f aca="false">'2026 Forecast A'!F60</f>
        <v>1234</v>
      </c>
      <c r="L110" s="39" t="str">
        <f aca="false">IF(OR(AND(D110&gt;0.5,E110&gt;0.5,F110&gt;0.5),AND(D110&lt;0.5,E110&lt;0.5,F110&lt;0.5)),"Yes","No — toss-up")</f>
        <v>Yes</v>
      </c>
    </row>
    <row r="111" customFormat="false" ht="15" hidden="false" customHeight="false" outlineLevel="0" collapsed="false">
      <c r="A111" s="9" t="str">
        <f aca="false">'2026 Forecast A'!A61</f>
        <v>Monroe</v>
      </c>
      <c r="B111" s="9" t="str">
        <f aca="false">'2026 Forecast A'!B61</f>
        <v>POLK TOWNSHIP</v>
      </c>
      <c r="C111" s="9" t="str">
        <f aca="false">'2026 Forecast A'!C61</f>
        <v>(whole municipality)</v>
      </c>
      <c r="D111" s="10" t="n">
        <f aca="false">'2026 Forecast A'!G61</f>
        <v>0.339365079365079</v>
      </c>
      <c r="E111" s="10" t="n">
        <f aca="false">'2026 Forecast B'!G61</f>
        <v>0.340952380952381</v>
      </c>
      <c r="F111" s="10" t="n">
        <f aca="false">'2026 Forecast C'!G61</f>
        <v>0.328888888888889</v>
      </c>
      <c r="G111" s="38" t="n">
        <f aca="false">(MAX(D111:F111)-MIN(D111:F111))*100</f>
        <v>1.20634920634921</v>
      </c>
      <c r="H111" s="38" t="n">
        <f aca="false">'2026 Forecast A'!J61</f>
        <v>1.46865275115369</v>
      </c>
      <c r="I111" s="38" t="n">
        <f aca="false">'2026 Forecast B'!J61</f>
        <v>1.78126663688824</v>
      </c>
      <c r="J111" s="38" t="n">
        <f aca="false">'2026 Forecast C'!J61</f>
        <v>1.32461619797241</v>
      </c>
      <c r="K111" s="18" t="n">
        <f aca="false">'2026 Forecast A'!F61</f>
        <v>3150</v>
      </c>
      <c r="L111" s="39" t="str">
        <f aca="false">IF(OR(AND(D111&gt;0.5,E111&gt;0.5,F111&gt;0.5),AND(D111&lt;0.5,E111&lt;0.5,F111&lt;0.5)),"Yes","No — toss-up")</f>
        <v>Yes</v>
      </c>
    </row>
    <row r="112" customFormat="false" ht="15" hidden="false" customHeight="false" outlineLevel="0" collapsed="false">
      <c r="A112" s="9" t="str">
        <f aca="false">'2026 Forecast A'!A62</f>
        <v>Monroe</v>
      </c>
      <c r="B112" s="9" t="str">
        <f aca="false">'2026 Forecast A'!B62</f>
        <v>ROSS TOWNSHIP</v>
      </c>
      <c r="C112" s="9" t="str">
        <f aca="false">'2026 Forecast A'!C62</f>
        <v>(whole municipality)</v>
      </c>
      <c r="D112" s="10" t="n">
        <f aca="false">'2026 Forecast A'!G62</f>
        <v>0.341588385994876</v>
      </c>
      <c r="E112" s="10" t="n">
        <f aca="false">'2026 Forecast B'!G62</f>
        <v>0.339880444064902</v>
      </c>
      <c r="F112" s="10" t="n">
        <f aca="false">'2026 Forecast C'!G62</f>
        <v>0.327924850555081</v>
      </c>
      <c r="G112" s="38" t="n">
        <f aca="false">(MAX(D112:F112)-MIN(D112:F112))*100</f>
        <v>1.3663535439795</v>
      </c>
      <c r="H112" s="38" t="n">
        <f aca="false">'2026 Forecast A'!J62</f>
        <v>2.52149049515553</v>
      </c>
      <c r="I112" s="38" t="n">
        <f aca="false">'2026 Forecast B'!J62</f>
        <v>2.69963061572276</v>
      </c>
      <c r="J112" s="38" t="n">
        <f aca="false">'2026 Forecast C'!J62</f>
        <v>2.40839232344956</v>
      </c>
      <c r="K112" s="18" t="n">
        <f aca="false">'2026 Forecast A'!F62</f>
        <v>1171</v>
      </c>
      <c r="L112" s="39" t="str">
        <f aca="false">IF(OR(AND(D112&gt;0.5,E112&gt;0.5,F112&gt;0.5),AND(D112&lt;0.5,E112&lt;0.5,F112&lt;0.5)),"Yes","No — toss-up")</f>
        <v>Yes</v>
      </c>
    </row>
    <row r="113" customFormat="false" ht="15" hidden="false" customHeight="false" outlineLevel="0" collapsed="false">
      <c r="A113" s="9" t="str">
        <f aca="false">'2026 Forecast A'!A63</f>
        <v>Northampton</v>
      </c>
      <c r="B113" s="9" t="str">
        <f aca="false">'2026 Forecast A'!B63</f>
        <v>ALLEN</v>
      </c>
      <c r="C113" s="9" t="str">
        <f aca="false">'2026 Forecast A'!C63</f>
        <v>(whole municipality)</v>
      </c>
      <c r="D113" s="10" t="n">
        <f aca="false">'2026 Forecast A'!G63</f>
        <v>0.444403398596232</v>
      </c>
      <c r="E113" s="10" t="n">
        <f aca="false">'2026 Forecast B'!G63</f>
        <v>0.438492796453639</v>
      </c>
      <c r="F113" s="10" t="n">
        <f aca="false">'2026 Forecast C'!G63</f>
        <v>0.439970446989287</v>
      </c>
      <c r="G113" s="38" t="n">
        <f aca="false">(MAX(D113:F113)-MIN(D113:F113))*100</f>
        <v>0.591060214259331</v>
      </c>
      <c r="H113" s="38" t="n">
        <f aca="false">'2026 Forecast A'!J63</f>
        <v>1.46865275115369</v>
      </c>
      <c r="I113" s="38" t="n">
        <f aca="false">'2026 Forecast B'!J63</f>
        <v>1.78126663688824</v>
      </c>
      <c r="J113" s="38" t="n">
        <f aca="false">'2026 Forecast C'!J63</f>
        <v>1.32461619797241</v>
      </c>
      <c r="K113" s="18" t="n">
        <f aca="false">'2026 Forecast A'!F63</f>
        <v>2707</v>
      </c>
      <c r="L113" s="39" t="str">
        <f aca="false">IF(OR(AND(D113&gt;0.5,E113&gt;0.5,F113&gt;0.5),AND(D113&lt;0.5,E113&lt;0.5,F113&lt;0.5)),"Yes","No — toss-up")</f>
        <v>Yes</v>
      </c>
    </row>
    <row r="114" customFormat="false" ht="15" hidden="false" customHeight="false" outlineLevel="0" collapsed="false">
      <c r="A114" s="9" t="str">
        <f aca="false">'2026 Forecast A'!A64</f>
        <v>Northampton</v>
      </c>
      <c r="B114" s="9" t="str">
        <f aca="false">'2026 Forecast A'!B64</f>
        <v>BANGOR</v>
      </c>
      <c r="C114" s="9" t="str">
        <f aca="false">'2026 Forecast A'!C64</f>
        <v>(whole municipality)</v>
      </c>
      <c r="D114" s="10" t="n">
        <f aca="false">'2026 Forecast A'!G64</f>
        <v>0.417054263565892</v>
      </c>
      <c r="E114" s="10" t="n">
        <f aca="false">'2026 Forecast B'!G64</f>
        <v>0.416124031007752</v>
      </c>
      <c r="F114" s="10" t="n">
        <f aca="false">'2026 Forecast C'!G64</f>
        <v>0.410542635658915</v>
      </c>
      <c r="G114" s="38" t="n">
        <f aca="false">(MAX(D114:F114)-MIN(D114:F114))*100</f>
        <v>0.651162790697674</v>
      </c>
      <c r="H114" s="38" t="n">
        <f aca="false">'2026 Forecast A'!J64</f>
        <v>1.46865275115369</v>
      </c>
      <c r="I114" s="38" t="n">
        <f aca="false">'2026 Forecast B'!J64</f>
        <v>1.78126663688824</v>
      </c>
      <c r="J114" s="38" t="n">
        <f aca="false">'2026 Forecast C'!J64</f>
        <v>1.32461619797241</v>
      </c>
      <c r="K114" s="18" t="n">
        <f aca="false">'2026 Forecast A'!F64</f>
        <v>3225</v>
      </c>
      <c r="L114" s="39" t="str">
        <f aca="false">IF(OR(AND(D114&gt;0.5,E114&gt;0.5,F114&gt;0.5),AND(D114&lt;0.5,E114&lt;0.5,F114&lt;0.5)),"Yes","No — toss-up")</f>
        <v>Yes</v>
      </c>
    </row>
    <row r="115" customFormat="false" ht="15" hidden="false" customHeight="false" outlineLevel="0" collapsed="false">
      <c r="A115" s="9" t="str">
        <f aca="false">'2026 Forecast A'!A65</f>
        <v>Northampton</v>
      </c>
      <c r="B115" s="9" t="str">
        <f aca="false">'2026 Forecast A'!B65</f>
        <v>BATH</v>
      </c>
      <c r="C115" s="9" t="str">
        <f aca="false">'2026 Forecast A'!C65</f>
        <v>(whole municipality)</v>
      </c>
      <c r="D115" s="10" t="n">
        <f aca="false">'2026 Forecast A'!G65</f>
        <v>0.471456692913386</v>
      </c>
      <c r="E115" s="10" t="n">
        <f aca="false">'2026 Forecast B'!G65</f>
        <v>0.476377952755906</v>
      </c>
      <c r="F115" s="10" t="n">
        <f aca="false">'2026 Forecast C'!G65</f>
        <v>0.465551181102362</v>
      </c>
      <c r="G115" s="38" t="n">
        <f aca="false">(MAX(D115:F115)-MIN(D115:F115))*100</f>
        <v>1.08267716535433</v>
      </c>
      <c r="H115" s="38" t="n">
        <f aca="false">'2026 Forecast A'!J65</f>
        <v>2.52149049515553</v>
      </c>
      <c r="I115" s="38" t="n">
        <f aca="false">'2026 Forecast B'!J65</f>
        <v>2.69963061572276</v>
      </c>
      <c r="J115" s="38" t="n">
        <f aca="false">'2026 Forecast C'!J65</f>
        <v>2.40839232344956</v>
      </c>
      <c r="K115" s="18" t="n">
        <f aca="false">'2026 Forecast A'!F65</f>
        <v>1016</v>
      </c>
      <c r="L115" s="39" t="str">
        <f aca="false">IF(OR(AND(D115&gt;0.5,E115&gt;0.5,F115&gt;0.5),AND(D115&lt;0.5,E115&lt;0.5,F115&lt;0.5)),"Yes","No — toss-up")</f>
        <v>Yes</v>
      </c>
    </row>
    <row r="116" customFormat="false" ht="15" hidden="false" customHeight="false" outlineLevel="0" collapsed="false">
      <c r="A116" s="9" t="str">
        <f aca="false">'2026 Forecast A'!A66</f>
        <v>Northampton</v>
      </c>
      <c r="B116" s="9" t="str">
        <f aca="false">'2026 Forecast A'!B66</f>
        <v>BETHLEHEM</v>
      </c>
      <c r="C116" s="9" t="str">
        <f aca="false">'2026 Forecast A'!C66</f>
        <v>(whole municipality)</v>
      </c>
      <c r="D116" s="10" t="n">
        <f aca="false">'2026 Forecast A'!G66</f>
        <v>0.666192283364959</v>
      </c>
      <c r="E116" s="10" t="n">
        <f aca="false">'2026 Forecast B'!G66</f>
        <v>0.666455829643685</v>
      </c>
      <c r="F116" s="10" t="n">
        <f aca="false">'2026 Forecast C'!G66</f>
        <v>0.693917351886991</v>
      </c>
      <c r="G116" s="38" t="n">
        <f aca="false">(MAX(D116:F116)-MIN(D116:F116))*100</f>
        <v>2.77250685220325</v>
      </c>
      <c r="H116" s="38" t="n">
        <f aca="false">'2026 Forecast A'!J66</f>
        <v>1.1425091106871</v>
      </c>
      <c r="I116" s="38" t="n">
        <f aca="false">'2026 Forecast B'!J66</f>
        <v>1.22829950997111</v>
      </c>
      <c r="J116" s="38" t="n">
        <f aca="false">'2026 Forecast C'!J66</f>
        <v>1.84350043958238</v>
      </c>
      <c r="K116" s="18" t="n">
        <f aca="false">'2026 Forecast A'!F66</f>
        <v>18972</v>
      </c>
      <c r="L116" s="39" t="str">
        <f aca="false">IF(OR(AND(D116&gt;0.5,E116&gt;0.5,F116&gt;0.5),AND(D116&lt;0.5,E116&lt;0.5,F116&lt;0.5)),"Yes","No — toss-up")</f>
        <v>Yes</v>
      </c>
    </row>
    <row r="117" customFormat="false" ht="15" hidden="false" customHeight="false" outlineLevel="0" collapsed="false">
      <c r="A117" s="9" t="str">
        <f aca="false">'2026 Forecast A'!A67</f>
        <v>Northampton</v>
      </c>
      <c r="B117" s="9" t="str">
        <f aca="false">'2026 Forecast A'!B67</f>
        <v>BETHLEHEM TOWNSHIP</v>
      </c>
      <c r="C117" s="9" t="str">
        <f aca="false">'2026 Forecast A'!C67</f>
        <v>(whole municipality)</v>
      </c>
      <c r="D117" s="10" t="n">
        <f aca="false">'2026 Forecast A'!G67</f>
        <v>0.526158914424661</v>
      </c>
      <c r="E117" s="10" t="n">
        <f aca="false">'2026 Forecast B'!G67</f>
        <v>0.531335791042435</v>
      </c>
      <c r="F117" s="10" t="n">
        <f aca="false">'2026 Forecast C'!G67</f>
        <v>0.525609851753079</v>
      </c>
      <c r="G117" s="38" t="n">
        <f aca="false">(MAX(D117:F117)-MIN(D117:F117))*100</f>
        <v>0.572593928935594</v>
      </c>
      <c r="H117" s="38" t="n">
        <f aca="false">'2026 Forecast A'!J67</f>
        <v>1.1425091106871</v>
      </c>
      <c r="I117" s="38" t="n">
        <f aca="false">'2026 Forecast B'!J67</f>
        <v>1.22829950997111</v>
      </c>
      <c r="J117" s="38" t="n">
        <f aca="false">'2026 Forecast C'!J67</f>
        <v>1.84350043958238</v>
      </c>
      <c r="K117" s="18" t="n">
        <f aca="false">'2026 Forecast A'!F67</f>
        <v>12749</v>
      </c>
      <c r="L117" s="39" t="str">
        <f aca="false">IF(OR(AND(D117&gt;0.5,E117&gt;0.5,F117&gt;0.5),AND(D117&lt;0.5,E117&lt;0.5,F117&lt;0.5)),"Yes","No — toss-up")</f>
        <v>Yes</v>
      </c>
    </row>
    <row r="118" customFormat="false" ht="15" hidden="false" customHeight="false" outlineLevel="0" collapsed="false">
      <c r="A118" s="9" t="str">
        <f aca="false">'2026 Forecast A'!A68</f>
        <v>Northampton</v>
      </c>
      <c r="B118" s="9" t="str">
        <f aca="false">'2026 Forecast A'!B68</f>
        <v>BUSHKILL</v>
      </c>
      <c r="C118" s="9" t="str">
        <f aca="false">'2026 Forecast A'!C68</f>
        <v>(whole municipality)</v>
      </c>
      <c r="D118" s="10" t="n">
        <f aca="false">'2026 Forecast A'!G68</f>
        <v>0.392493782500565</v>
      </c>
      <c r="E118" s="10" t="n">
        <f aca="false">'2026 Forecast B'!G68</f>
        <v>0.388198055618359</v>
      </c>
      <c r="F118" s="10" t="n">
        <f aca="false">'2026 Forecast C'!G68</f>
        <v>0.377345692968573</v>
      </c>
      <c r="G118" s="38" t="n">
        <f aca="false">(MAX(D118:F118)-MIN(D118:F118))*100</f>
        <v>1.51480895319919</v>
      </c>
      <c r="H118" s="38" t="n">
        <f aca="false">'2026 Forecast A'!J68</f>
        <v>1.1425091106871</v>
      </c>
      <c r="I118" s="38" t="n">
        <f aca="false">'2026 Forecast B'!J68</f>
        <v>1.22829950997111</v>
      </c>
      <c r="J118" s="38" t="n">
        <f aca="false">'2026 Forecast C'!J68</f>
        <v>1.84350043958238</v>
      </c>
      <c r="K118" s="18" t="n">
        <f aca="false">'2026 Forecast A'!F68</f>
        <v>4423</v>
      </c>
      <c r="L118" s="39" t="str">
        <f aca="false">IF(OR(AND(D118&gt;0.5,E118&gt;0.5,F118&gt;0.5),AND(D118&lt;0.5,E118&lt;0.5,F118&lt;0.5)),"Yes","No — toss-up")</f>
        <v>Yes</v>
      </c>
    </row>
    <row r="119" customFormat="false" ht="15" hidden="false" customHeight="false" outlineLevel="0" collapsed="false">
      <c r="A119" s="9" t="str">
        <f aca="false">'2026 Forecast A'!A69</f>
        <v>Northampton</v>
      </c>
      <c r="B119" s="9" t="str">
        <f aca="false">'2026 Forecast A'!B69</f>
        <v>CHAPMAN</v>
      </c>
      <c r="C119" s="9" t="str">
        <f aca="false">'2026 Forecast A'!C69</f>
        <v>(whole municipality)</v>
      </c>
      <c r="D119" s="10" t="n">
        <f aca="false">'2026 Forecast A'!G69</f>
        <v>0.350515463917526</v>
      </c>
      <c r="E119" s="10" t="n">
        <f aca="false">'2026 Forecast B'!G69</f>
        <v>0.350515463917526</v>
      </c>
      <c r="F119" s="10" t="n">
        <f aca="false">'2026 Forecast C'!G69</f>
        <v>0.34020618556701</v>
      </c>
      <c r="G119" s="38" t="n">
        <f aca="false">(MAX(D119:F119)-MIN(D119:F119))*100</f>
        <v>1.03092783505154</v>
      </c>
      <c r="H119" s="38" t="n">
        <f aca="false">'2026 Forecast A'!J69</f>
        <v>2.52149049515553</v>
      </c>
      <c r="I119" s="38" t="n">
        <f aca="false">'2026 Forecast B'!J69</f>
        <v>2.69963061572276</v>
      </c>
      <c r="J119" s="38" t="n">
        <f aca="false">'2026 Forecast C'!J69</f>
        <v>2.40839232344956</v>
      </c>
      <c r="K119" s="18" t="n">
        <f aca="false">'2026 Forecast A'!F69</f>
        <v>97</v>
      </c>
      <c r="L119" s="39" t="str">
        <f aca="false">IF(OR(AND(D119&gt;0.5,E119&gt;0.5,F119&gt;0.5),AND(D119&lt;0.5,E119&lt;0.5,F119&lt;0.5)),"Yes","No — toss-up")</f>
        <v>Yes</v>
      </c>
    </row>
    <row r="120" customFormat="false" ht="15" hidden="false" customHeight="false" outlineLevel="0" collapsed="false">
      <c r="A120" s="9" t="str">
        <f aca="false">'2026 Forecast A'!A70</f>
        <v>Northampton</v>
      </c>
      <c r="B120" s="9" t="str">
        <f aca="false">'2026 Forecast A'!B70</f>
        <v>EAST ALLEN</v>
      </c>
      <c r="C120" s="9" t="str">
        <f aca="false">'2026 Forecast A'!C70</f>
        <v>(whole municipality)</v>
      </c>
      <c r="D120" s="10" t="n">
        <f aca="false">'2026 Forecast A'!G70</f>
        <v>0.436198409693298</v>
      </c>
      <c r="E120" s="10" t="n">
        <f aca="false">'2026 Forecast B'!G70</f>
        <v>0.431654676258993</v>
      </c>
      <c r="F120" s="10" t="n">
        <f aca="false">'2026 Forecast C'!G70</f>
        <v>0.424081787201818</v>
      </c>
      <c r="G120" s="38" t="n">
        <f aca="false">(MAX(D120:F120)-MIN(D120:F120))*100</f>
        <v>1.21166224914805</v>
      </c>
      <c r="H120" s="38" t="n">
        <f aca="false">'2026 Forecast A'!J70</f>
        <v>1.46865275115369</v>
      </c>
      <c r="I120" s="38" t="n">
        <f aca="false">'2026 Forecast B'!J70</f>
        <v>1.78126663688824</v>
      </c>
      <c r="J120" s="38" t="n">
        <f aca="false">'2026 Forecast C'!J70</f>
        <v>1.32461619797241</v>
      </c>
      <c r="K120" s="18" t="n">
        <f aca="false">'2026 Forecast A'!F70</f>
        <v>2641</v>
      </c>
      <c r="L120" s="39" t="str">
        <f aca="false">IF(OR(AND(D120&gt;0.5,E120&gt;0.5,F120&gt;0.5),AND(D120&lt;0.5,E120&lt;0.5,F120&lt;0.5)),"Yes","No — toss-up")</f>
        <v>Yes</v>
      </c>
    </row>
    <row r="121" customFormat="false" ht="15" hidden="false" customHeight="false" outlineLevel="0" collapsed="false">
      <c r="A121" s="9" t="str">
        <f aca="false">'2026 Forecast A'!A71</f>
        <v>Northampton</v>
      </c>
      <c r="B121" s="9" t="str">
        <f aca="false">'2026 Forecast A'!B71</f>
        <v>EAST BANGOR</v>
      </c>
      <c r="C121" s="9" t="str">
        <f aca="false">'2026 Forecast A'!C71</f>
        <v>(whole municipality)</v>
      </c>
      <c r="D121" s="10" t="n">
        <f aca="false">'2026 Forecast A'!G71</f>
        <v>0.405555555555556</v>
      </c>
      <c r="E121" s="10" t="n">
        <f aca="false">'2026 Forecast B'!G71</f>
        <v>0.405555555555556</v>
      </c>
      <c r="F121" s="10" t="n">
        <f aca="false">'2026 Forecast C'!G71</f>
        <v>0.388888888888889</v>
      </c>
      <c r="G121" s="38" t="n">
        <f aca="false">(MAX(D121:F121)-MIN(D121:F121))*100</f>
        <v>1.66666666666667</v>
      </c>
      <c r="H121" s="38" t="n">
        <f aca="false">'2026 Forecast A'!J71</f>
        <v>2.52149049515553</v>
      </c>
      <c r="I121" s="38" t="n">
        <f aca="false">'2026 Forecast B'!J71</f>
        <v>2.69963061572276</v>
      </c>
      <c r="J121" s="38" t="n">
        <f aca="false">'2026 Forecast C'!J71</f>
        <v>2.40839232344956</v>
      </c>
      <c r="K121" s="18" t="n">
        <f aca="false">'2026 Forecast A'!F71</f>
        <v>360</v>
      </c>
      <c r="L121" s="39" t="str">
        <f aca="false">IF(OR(AND(D121&gt;0.5,E121&gt;0.5,F121&gt;0.5),AND(D121&lt;0.5,E121&lt;0.5,F121&lt;0.5)),"Yes","No — toss-up")</f>
        <v>Yes</v>
      </c>
    </row>
    <row r="122" customFormat="false" ht="15" hidden="false" customHeight="false" outlineLevel="0" collapsed="false">
      <c r="A122" s="9" t="str">
        <f aca="false">'2026 Forecast A'!A72</f>
        <v>Northampton</v>
      </c>
      <c r="B122" s="9" t="str">
        <f aca="false">'2026 Forecast A'!B72</f>
        <v>EASTON</v>
      </c>
      <c r="C122" s="9" t="str">
        <f aca="false">'2026 Forecast A'!C72</f>
        <v>(whole municipality)</v>
      </c>
      <c r="D122" s="10" t="n">
        <f aca="false">'2026 Forecast A'!G72</f>
        <v>0.679127371889558</v>
      </c>
      <c r="E122" s="10" t="n">
        <f aca="false">'2026 Forecast B'!G72</f>
        <v>0.688898988751278</v>
      </c>
      <c r="F122" s="10" t="n">
        <f aca="false">'2026 Forecast C'!G72</f>
        <v>0.709123963186002</v>
      </c>
      <c r="G122" s="38" t="n">
        <f aca="false">(MAX(D122:F122)-MIN(D122:F122))*100</f>
        <v>2.99965912964436</v>
      </c>
      <c r="H122" s="38" t="n">
        <f aca="false">'2026 Forecast A'!J72</f>
        <v>1.1425091106871</v>
      </c>
      <c r="I122" s="38" t="n">
        <f aca="false">'2026 Forecast B'!J72</f>
        <v>1.22829950997111</v>
      </c>
      <c r="J122" s="38" t="n">
        <f aca="false">'2026 Forecast C'!J72</f>
        <v>1.84350043958238</v>
      </c>
      <c r="K122" s="18" t="n">
        <f aca="false">'2026 Forecast A'!F72</f>
        <v>8801</v>
      </c>
      <c r="L122" s="39" t="str">
        <f aca="false">IF(OR(AND(D122&gt;0.5,E122&gt;0.5,F122&gt;0.5),AND(D122&lt;0.5,E122&lt;0.5,F122&lt;0.5)),"Yes","No — toss-up")</f>
        <v>Yes</v>
      </c>
    </row>
    <row r="123" customFormat="false" ht="15" hidden="false" customHeight="false" outlineLevel="0" collapsed="false">
      <c r="A123" s="9" t="str">
        <f aca="false">'2026 Forecast A'!A73</f>
        <v>Northampton</v>
      </c>
      <c r="B123" s="9" t="str">
        <f aca="false">'2026 Forecast A'!B73</f>
        <v>FORKS</v>
      </c>
      <c r="C123" s="9" t="str">
        <f aca="false">'2026 Forecast A'!C73</f>
        <v>(whole municipality)</v>
      </c>
      <c r="D123" s="10" t="n">
        <f aca="false">'2026 Forecast A'!G73</f>
        <v>0.518723404255319</v>
      </c>
      <c r="E123" s="10" t="n">
        <f aca="false">'2026 Forecast B'!G73</f>
        <v>0.517872340425532</v>
      </c>
      <c r="F123" s="10" t="n">
        <f aca="false">'2026 Forecast C'!G73</f>
        <v>0.516595744680851</v>
      </c>
      <c r="G123" s="38" t="n">
        <f aca="false">(MAX(D123:F123)-MIN(D123:F123))*100</f>
        <v>0.212765957446814</v>
      </c>
      <c r="H123" s="38" t="n">
        <f aca="false">'2026 Forecast A'!J73</f>
        <v>1.1425091106871</v>
      </c>
      <c r="I123" s="38" t="n">
        <f aca="false">'2026 Forecast B'!J73</f>
        <v>1.22829950997111</v>
      </c>
      <c r="J123" s="38" t="n">
        <f aca="false">'2026 Forecast C'!J73</f>
        <v>1.84350043958238</v>
      </c>
      <c r="K123" s="18" t="n">
        <f aca="false">'2026 Forecast A'!F73</f>
        <v>4700</v>
      </c>
      <c r="L123" s="39" t="str">
        <f aca="false">IF(OR(AND(D123&gt;0.5,E123&gt;0.5,F123&gt;0.5),AND(D123&lt;0.5,E123&lt;0.5,F123&lt;0.5)),"Yes","No — toss-up")</f>
        <v>Yes</v>
      </c>
    </row>
    <row r="124" customFormat="false" ht="15" hidden="false" customHeight="false" outlineLevel="0" collapsed="false">
      <c r="A124" s="9" t="str">
        <f aca="false">'2026 Forecast A'!A74</f>
        <v>Northampton</v>
      </c>
      <c r="B124" s="9" t="str">
        <f aca="false">'2026 Forecast A'!B74</f>
        <v>FREEMANSBURG</v>
      </c>
      <c r="C124" s="9" t="str">
        <f aca="false">'2026 Forecast A'!C74</f>
        <v>(whole municipality)</v>
      </c>
      <c r="D124" s="10" t="n">
        <f aca="false">'2026 Forecast A'!G74</f>
        <v>0.591861898890259</v>
      </c>
      <c r="E124" s="10" t="n">
        <f aca="false">'2026 Forecast B'!G74</f>
        <v>0.593094944512947</v>
      </c>
      <c r="F124" s="10" t="n">
        <f aca="false">'2026 Forecast C'!G74</f>
        <v>0.600493218249075</v>
      </c>
      <c r="G124" s="38" t="n">
        <f aca="false">(MAX(D124:F124)-MIN(D124:F124))*100</f>
        <v>0.863131935881623</v>
      </c>
      <c r="H124" s="38" t="n">
        <f aca="false">'2026 Forecast A'!J74</f>
        <v>2.52149049515553</v>
      </c>
      <c r="I124" s="38" t="n">
        <f aca="false">'2026 Forecast B'!J74</f>
        <v>2.69963061572276</v>
      </c>
      <c r="J124" s="38" t="n">
        <f aca="false">'2026 Forecast C'!J74</f>
        <v>2.40839232344956</v>
      </c>
      <c r="K124" s="18" t="n">
        <f aca="false">'2026 Forecast A'!F74</f>
        <v>811</v>
      </c>
      <c r="L124" s="39" t="str">
        <f aca="false">IF(OR(AND(D124&gt;0.5,E124&gt;0.5,F124&gt;0.5),AND(D124&lt;0.5,E124&lt;0.5,F124&lt;0.5)),"Yes","No — toss-up")</f>
        <v>Yes</v>
      </c>
    </row>
    <row r="125" customFormat="false" ht="15" hidden="false" customHeight="false" outlineLevel="0" collapsed="false">
      <c r="A125" s="9" t="str">
        <f aca="false">'2026 Forecast A'!A75</f>
        <v>Northampton</v>
      </c>
      <c r="B125" s="9" t="str">
        <f aca="false">'2026 Forecast A'!B75</f>
        <v>GLENDON</v>
      </c>
      <c r="C125" s="9" t="str">
        <f aca="false">'2026 Forecast A'!C75</f>
        <v>(whole municipality)</v>
      </c>
      <c r="D125" s="10" t="n">
        <f aca="false">'2026 Forecast A'!G75</f>
        <v>0.513888888888889</v>
      </c>
      <c r="E125" s="10" t="n">
        <f aca="false">'2026 Forecast B'!G75</f>
        <v>0.520833333333333</v>
      </c>
      <c r="F125" s="10" t="n">
        <f aca="false">'2026 Forecast C'!G75</f>
        <v>0.513888888888889</v>
      </c>
      <c r="G125" s="38" t="n">
        <f aca="false">(MAX(D125:F125)-MIN(D125:F125))*100</f>
        <v>0.694444444444453</v>
      </c>
      <c r="H125" s="38" t="n">
        <f aca="false">'2026 Forecast A'!J75</f>
        <v>2.52149049515553</v>
      </c>
      <c r="I125" s="38" t="n">
        <f aca="false">'2026 Forecast B'!J75</f>
        <v>2.69963061572276</v>
      </c>
      <c r="J125" s="38" t="n">
        <f aca="false">'2026 Forecast C'!J75</f>
        <v>2.40839232344956</v>
      </c>
      <c r="K125" s="18" t="n">
        <f aca="false">'2026 Forecast A'!F75</f>
        <v>144</v>
      </c>
      <c r="L125" s="39" t="str">
        <f aca="false">IF(OR(AND(D125&gt;0.5,E125&gt;0.5,F125&gt;0.5),AND(D125&lt;0.5,E125&lt;0.5,F125&lt;0.5)),"Yes","No — toss-up")</f>
        <v>Yes</v>
      </c>
    </row>
    <row r="126" customFormat="false" ht="15" hidden="false" customHeight="false" outlineLevel="0" collapsed="false">
      <c r="A126" s="9" t="str">
        <f aca="false">'2026 Forecast A'!A76</f>
        <v>Northampton</v>
      </c>
      <c r="B126" s="9" t="str">
        <f aca="false">'2026 Forecast A'!B76</f>
        <v>HANOVER</v>
      </c>
      <c r="C126" s="9" t="str">
        <f aca="false">'2026 Forecast A'!C76</f>
        <v>(whole municipality)</v>
      </c>
      <c r="D126" s="10" t="n">
        <f aca="false">'2026 Forecast A'!G76</f>
        <v>0.529659037832788</v>
      </c>
      <c r="E126" s="10" t="n">
        <f aca="false">'2026 Forecast B'!G76</f>
        <v>0.531215942705901</v>
      </c>
      <c r="F126" s="10" t="n">
        <f aca="false">'2026 Forecast C'!G76</f>
        <v>0.530281799782033</v>
      </c>
      <c r="G126" s="38" t="n">
        <f aca="false">(MAX(D126:F126)-MIN(D126:F126))*100</f>
        <v>0.155690487311222</v>
      </c>
      <c r="H126" s="38" t="n">
        <f aca="false">'2026 Forecast A'!J76</f>
        <v>1.1425091106871</v>
      </c>
      <c r="I126" s="38" t="n">
        <f aca="false">'2026 Forecast B'!J76</f>
        <v>1.22829950997111</v>
      </c>
      <c r="J126" s="38" t="n">
        <f aca="false">'2026 Forecast C'!J76</f>
        <v>1.84350043958238</v>
      </c>
      <c r="K126" s="18" t="n">
        <f aca="false">'2026 Forecast A'!F76</f>
        <v>6423</v>
      </c>
      <c r="L126" s="39" t="str">
        <f aca="false">IF(OR(AND(D126&gt;0.5,E126&gt;0.5,F126&gt;0.5),AND(D126&lt;0.5,E126&lt;0.5,F126&lt;0.5)),"Yes","No — toss-up")</f>
        <v>Yes</v>
      </c>
    </row>
    <row r="127" customFormat="false" ht="15" hidden="false" customHeight="false" outlineLevel="0" collapsed="false">
      <c r="A127" s="9" t="str">
        <f aca="false">'2026 Forecast A'!A77</f>
        <v>Northampton</v>
      </c>
      <c r="B127" s="9" t="str">
        <f aca="false">'2026 Forecast A'!B77</f>
        <v>HELLERTOWN</v>
      </c>
      <c r="C127" s="9" t="str">
        <f aca="false">'2026 Forecast A'!C77</f>
        <v>(whole municipality)</v>
      </c>
      <c r="D127" s="10" t="n">
        <f aca="false">'2026 Forecast A'!G77</f>
        <v>0.514079147640791</v>
      </c>
      <c r="E127" s="10" t="n">
        <f aca="false">'2026 Forecast B'!G77</f>
        <v>0.516362252663623</v>
      </c>
      <c r="F127" s="10" t="n">
        <f aca="false">'2026 Forecast C'!G77</f>
        <v>0.512557077625571</v>
      </c>
      <c r="G127" s="38" t="n">
        <f aca="false">(MAX(D127:F127)-MIN(D127:F127))*100</f>
        <v>0.380517503805178</v>
      </c>
      <c r="H127" s="38" t="n">
        <f aca="false">'2026 Forecast A'!J77</f>
        <v>1.46865275115369</v>
      </c>
      <c r="I127" s="38" t="n">
        <f aca="false">'2026 Forecast B'!J77</f>
        <v>1.78126663688824</v>
      </c>
      <c r="J127" s="38" t="n">
        <f aca="false">'2026 Forecast C'!J77</f>
        <v>1.32461619797241</v>
      </c>
      <c r="K127" s="18" t="n">
        <f aca="false">'2026 Forecast A'!F77</f>
        <v>2628</v>
      </c>
      <c r="L127" s="39" t="str">
        <f aca="false">IF(OR(AND(D127&gt;0.5,E127&gt;0.5,F127&gt;0.5),AND(D127&lt;0.5,E127&lt;0.5,F127&lt;0.5)),"Yes","No — toss-up")</f>
        <v>Yes</v>
      </c>
    </row>
    <row r="128" customFormat="false" ht="15" hidden="false" customHeight="false" outlineLevel="0" collapsed="false">
      <c r="A128" s="9" t="str">
        <f aca="false">'2026 Forecast A'!A78</f>
        <v>Northampton</v>
      </c>
      <c r="B128" s="9" t="str">
        <f aca="false">'2026 Forecast A'!B78</f>
        <v>LEHIGH</v>
      </c>
      <c r="C128" s="9" t="str">
        <f aca="false">'2026 Forecast A'!C78</f>
        <v>(whole municipality)</v>
      </c>
      <c r="D128" s="10" t="n">
        <f aca="false">'2026 Forecast A'!G78</f>
        <v>0.346319535493538</v>
      </c>
      <c r="E128" s="10" t="n">
        <f aca="false">'2026 Forecast B'!G78</f>
        <v>0.341075107698071</v>
      </c>
      <c r="F128" s="10" t="n">
        <f aca="false">'2026 Forecast C'!G78</f>
        <v>0.333957669975651</v>
      </c>
      <c r="G128" s="38" t="n">
        <f aca="false">(MAX(D128:F128)-MIN(D128:F128))*100</f>
        <v>1.23618655178873</v>
      </c>
      <c r="H128" s="38" t="n">
        <f aca="false">'2026 Forecast A'!J78</f>
        <v>1.1425091106871</v>
      </c>
      <c r="I128" s="38" t="n">
        <f aca="false">'2026 Forecast B'!J78</f>
        <v>1.22829950997111</v>
      </c>
      <c r="J128" s="38" t="n">
        <f aca="false">'2026 Forecast C'!J78</f>
        <v>1.84350043958238</v>
      </c>
      <c r="K128" s="18" t="n">
        <f aca="false">'2026 Forecast A'!F78</f>
        <v>5339</v>
      </c>
      <c r="L128" s="39" t="str">
        <f aca="false">IF(OR(AND(D128&gt;0.5,E128&gt;0.5,F128&gt;0.5),AND(D128&lt;0.5,E128&lt;0.5,F128&lt;0.5)),"Yes","No — toss-up")</f>
        <v>Yes</v>
      </c>
    </row>
    <row r="129" customFormat="false" ht="15" hidden="false" customHeight="false" outlineLevel="0" collapsed="false">
      <c r="A129" s="9" t="str">
        <f aca="false">'2026 Forecast A'!A79</f>
        <v>Northampton</v>
      </c>
      <c r="B129" s="9" t="str">
        <f aca="false">'2026 Forecast A'!B79</f>
        <v>LOWER MOUNT BETHEL</v>
      </c>
      <c r="C129" s="9" t="str">
        <f aca="false">'2026 Forecast A'!C79</f>
        <v>(whole municipality)</v>
      </c>
      <c r="D129" s="10" t="n">
        <f aca="false">'2026 Forecast A'!G79</f>
        <v>0.338297872340426</v>
      </c>
      <c r="E129" s="10" t="n">
        <f aca="false">'2026 Forecast B'!G79</f>
        <v>0.339007092198582</v>
      </c>
      <c r="F129" s="10" t="n">
        <f aca="false">'2026 Forecast C'!G79</f>
        <v>0.324822695035461</v>
      </c>
      <c r="G129" s="38" t="n">
        <f aca="false">(MAX(D129:F129)-MIN(D129:F129))*100</f>
        <v>1.41843971631205</v>
      </c>
      <c r="H129" s="38" t="n">
        <f aca="false">'2026 Forecast A'!J79</f>
        <v>2.52149049515553</v>
      </c>
      <c r="I129" s="38" t="n">
        <f aca="false">'2026 Forecast B'!J79</f>
        <v>2.69963061572276</v>
      </c>
      <c r="J129" s="38" t="n">
        <f aca="false">'2026 Forecast C'!J79</f>
        <v>2.40839232344956</v>
      </c>
      <c r="K129" s="18" t="n">
        <f aca="false">'2026 Forecast A'!F79</f>
        <v>1410</v>
      </c>
      <c r="L129" s="39" t="str">
        <f aca="false">IF(OR(AND(D129&gt;0.5,E129&gt;0.5,F129&gt;0.5),AND(D129&lt;0.5,E129&lt;0.5,F129&lt;0.5)),"Yes","No — toss-up")</f>
        <v>Yes</v>
      </c>
    </row>
    <row r="130" customFormat="false" ht="15" hidden="false" customHeight="false" outlineLevel="0" collapsed="false">
      <c r="A130" s="9" t="str">
        <f aca="false">'2026 Forecast A'!A80</f>
        <v>Northampton</v>
      </c>
      <c r="B130" s="9" t="str">
        <f aca="false">'2026 Forecast A'!B80</f>
        <v>LOWER NAZARETH</v>
      </c>
      <c r="C130" s="9" t="str">
        <f aca="false">'2026 Forecast A'!C80</f>
        <v>(whole municipality)</v>
      </c>
      <c r="D130" s="10" t="n">
        <f aca="false">'2026 Forecast A'!G80</f>
        <v>0.458972648432288</v>
      </c>
      <c r="E130" s="10" t="n">
        <f aca="false">'2026 Forecast B'!G80</f>
        <v>0.449633088725817</v>
      </c>
      <c r="F130" s="10" t="n">
        <f aca="false">'2026 Forecast C'!G80</f>
        <v>0.443629086057372</v>
      </c>
      <c r="G130" s="38" t="n">
        <f aca="false">(MAX(D130:F130)-MIN(D130:F130))*100</f>
        <v>1.53435623749166</v>
      </c>
      <c r="H130" s="38" t="n">
        <f aca="false">'2026 Forecast A'!J80</f>
        <v>2.52149049515553</v>
      </c>
      <c r="I130" s="38" t="n">
        <f aca="false">'2026 Forecast B'!J80</f>
        <v>2.69963061572276</v>
      </c>
      <c r="J130" s="38" t="n">
        <f aca="false">'2026 Forecast C'!J80</f>
        <v>2.40839232344956</v>
      </c>
      <c r="K130" s="18" t="n">
        <f aca="false">'2026 Forecast A'!F80</f>
        <v>1499</v>
      </c>
      <c r="L130" s="39" t="str">
        <f aca="false">IF(OR(AND(D130&gt;0.5,E130&gt;0.5,F130&gt;0.5),AND(D130&lt;0.5,E130&lt;0.5,F130&lt;0.5)),"Yes","No — toss-up")</f>
        <v>Yes</v>
      </c>
    </row>
    <row r="131" customFormat="false" ht="15" hidden="false" customHeight="false" outlineLevel="0" collapsed="false">
      <c r="A131" s="9" t="str">
        <f aca="false">'2026 Forecast A'!A81</f>
        <v>Northampton</v>
      </c>
      <c r="B131" s="9" t="str">
        <f aca="false">'2026 Forecast A'!B81</f>
        <v>LOWER SAUCON</v>
      </c>
      <c r="C131" s="9" t="str">
        <f aca="false">'2026 Forecast A'!C81</f>
        <v>(whole municipality)</v>
      </c>
      <c r="D131" s="10" t="n">
        <f aca="false">'2026 Forecast A'!G81</f>
        <v>0.488258449843899</v>
      </c>
      <c r="E131" s="10" t="n">
        <f aca="false">'2026 Forecast B'!G81</f>
        <v>0.488122709379666</v>
      </c>
      <c r="F131" s="10" t="n">
        <f aca="false">'2026 Forecast C'!G81</f>
        <v>0.477399212705307</v>
      </c>
      <c r="G131" s="38" t="n">
        <f aca="false">(MAX(D131:F131)-MIN(D131:F131))*100</f>
        <v>1.08592371385911</v>
      </c>
      <c r="H131" s="38" t="n">
        <f aca="false">'2026 Forecast A'!J81</f>
        <v>1.1425091106871</v>
      </c>
      <c r="I131" s="38" t="n">
        <f aca="false">'2026 Forecast B'!J81</f>
        <v>1.22829950997111</v>
      </c>
      <c r="J131" s="38" t="n">
        <f aca="false">'2026 Forecast C'!J81</f>
        <v>1.84350043958238</v>
      </c>
      <c r="K131" s="18" t="n">
        <f aca="false">'2026 Forecast A'!F81</f>
        <v>7367</v>
      </c>
      <c r="L131" s="39" t="str">
        <f aca="false">IF(OR(AND(D131&gt;0.5,E131&gt;0.5,F131&gt;0.5),AND(D131&lt;0.5,E131&lt;0.5,F131&lt;0.5)),"Yes","No — toss-up")</f>
        <v>Yes</v>
      </c>
    </row>
    <row r="132" customFormat="false" ht="15" hidden="false" customHeight="false" outlineLevel="0" collapsed="false">
      <c r="A132" s="9" t="str">
        <f aca="false">'2026 Forecast A'!A82</f>
        <v>Northampton</v>
      </c>
      <c r="B132" s="9" t="str">
        <f aca="false">'2026 Forecast A'!B82</f>
        <v>MOORE</v>
      </c>
      <c r="C132" s="9" t="str">
        <f aca="false">'2026 Forecast A'!C82</f>
        <v>(whole municipality)</v>
      </c>
      <c r="D132" s="10" t="n">
        <f aca="false">'2026 Forecast A'!G82</f>
        <v>0.341584158415842</v>
      </c>
      <c r="E132" s="10" t="n">
        <f aca="false">'2026 Forecast B'!G82</f>
        <v>0.339315181518152</v>
      </c>
      <c r="F132" s="10" t="n">
        <f aca="false">'2026 Forecast C'!G82</f>
        <v>0.328795379537954</v>
      </c>
      <c r="G132" s="38" t="n">
        <f aca="false">(MAX(D132:F132)-MIN(D132:F132))*100</f>
        <v>1.27887788778878</v>
      </c>
      <c r="H132" s="38" t="n">
        <f aca="false">'2026 Forecast A'!J82</f>
        <v>1.1425091106871</v>
      </c>
      <c r="I132" s="38" t="n">
        <f aca="false">'2026 Forecast B'!J82</f>
        <v>1.22829950997111</v>
      </c>
      <c r="J132" s="38" t="n">
        <f aca="false">'2026 Forecast C'!J82</f>
        <v>1.84350043958238</v>
      </c>
      <c r="K132" s="18" t="n">
        <f aca="false">'2026 Forecast A'!F82</f>
        <v>4848</v>
      </c>
      <c r="L132" s="39" t="str">
        <f aca="false">IF(OR(AND(D132&gt;0.5,E132&gt;0.5,F132&gt;0.5),AND(D132&lt;0.5,E132&lt;0.5,F132&lt;0.5)),"Yes","No — toss-up")</f>
        <v>Yes</v>
      </c>
    </row>
    <row r="133" customFormat="false" ht="15" hidden="false" customHeight="false" outlineLevel="0" collapsed="false">
      <c r="A133" s="9" t="str">
        <f aca="false">'2026 Forecast A'!A83</f>
        <v>Northampton</v>
      </c>
      <c r="B133" s="9" t="str">
        <f aca="false">'2026 Forecast A'!B83</f>
        <v>NAZARETH</v>
      </c>
      <c r="C133" s="9" t="str">
        <f aca="false">'2026 Forecast A'!C83</f>
        <v>(whole municipality)</v>
      </c>
      <c r="D133" s="10" t="n">
        <f aca="false">'2026 Forecast A'!G83</f>
        <v>0.495427435387674</v>
      </c>
      <c r="E133" s="10" t="n">
        <f aca="false">'2026 Forecast B'!G83</f>
        <v>0.495825049701789</v>
      </c>
      <c r="F133" s="10" t="n">
        <f aca="false">'2026 Forecast C'!G83</f>
        <v>0.488270377733598</v>
      </c>
      <c r="G133" s="38" t="n">
        <f aca="false">(MAX(D133:F133)-MIN(D133:F133))*100</f>
        <v>0.755467196819087</v>
      </c>
      <c r="H133" s="38" t="n">
        <f aca="false">'2026 Forecast A'!J83</f>
        <v>1.46865275115369</v>
      </c>
      <c r="I133" s="38" t="n">
        <f aca="false">'2026 Forecast B'!J83</f>
        <v>1.78126663688824</v>
      </c>
      <c r="J133" s="38" t="n">
        <f aca="false">'2026 Forecast C'!J83</f>
        <v>1.32461619797241</v>
      </c>
      <c r="K133" s="18" t="n">
        <f aca="false">'2026 Forecast A'!F83</f>
        <v>2515</v>
      </c>
      <c r="L133" s="39" t="str">
        <f aca="false">IF(OR(AND(D133&gt;0.5,E133&gt;0.5,F133&gt;0.5),AND(D133&lt;0.5,E133&lt;0.5,F133&lt;0.5)),"Yes","No — toss-up")</f>
        <v>Yes</v>
      </c>
    </row>
    <row r="134" customFormat="false" ht="15" hidden="false" customHeight="false" outlineLevel="0" collapsed="false">
      <c r="A134" s="9" t="str">
        <f aca="false">'2026 Forecast A'!A84</f>
        <v>Northampton</v>
      </c>
      <c r="B134" s="9" t="str">
        <f aca="false">'2026 Forecast A'!B84</f>
        <v>NORTH CATASAUQUA</v>
      </c>
      <c r="C134" s="9" t="str">
        <f aca="false">'2026 Forecast A'!C84</f>
        <v>(whole municipality)</v>
      </c>
      <c r="D134" s="10" t="n">
        <f aca="false">'2026 Forecast A'!G84</f>
        <v>0.499299719887955</v>
      </c>
      <c r="E134" s="10" t="n">
        <f aca="false">'2026 Forecast B'!G84</f>
        <v>0.508403361344538</v>
      </c>
      <c r="F134" s="10" t="n">
        <f aca="false">'2026 Forecast C'!G84</f>
        <v>0.495098039215686</v>
      </c>
      <c r="G134" s="38" t="n">
        <f aca="false">(MAX(D134:F134)-MIN(D134:F134))*100</f>
        <v>1.33053221288515</v>
      </c>
      <c r="H134" s="38" t="n">
        <f aca="false">'2026 Forecast A'!J84</f>
        <v>2.52149049515553</v>
      </c>
      <c r="I134" s="38" t="n">
        <f aca="false">'2026 Forecast B'!J84</f>
        <v>2.69963061572276</v>
      </c>
      <c r="J134" s="38" t="n">
        <f aca="false">'2026 Forecast C'!J84</f>
        <v>2.40839232344956</v>
      </c>
      <c r="K134" s="18" t="n">
        <f aca="false">'2026 Forecast A'!F84</f>
        <v>1428</v>
      </c>
      <c r="L134" s="39" t="str">
        <f aca="false">IF(OR(AND(D134&gt;0.5,E134&gt;0.5,F134&gt;0.5),AND(D134&lt;0.5,E134&lt;0.5,F134&lt;0.5)),"Yes","No — toss-up")</f>
        <v>No — toss-up</v>
      </c>
    </row>
    <row r="135" customFormat="false" ht="15" hidden="false" customHeight="false" outlineLevel="0" collapsed="false">
      <c r="A135" s="9" t="str">
        <f aca="false">'2026 Forecast A'!A85</f>
        <v>Northampton</v>
      </c>
      <c r="B135" s="9" t="str">
        <f aca="false">'2026 Forecast A'!B85</f>
        <v>NORTHAMPTON</v>
      </c>
      <c r="C135" s="9" t="str">
        <f aca="false">'2026 Forecast A'!C85</f>
        <v>(whole municipality)</v>
      </c>
      <c r="D135" s="10" t="n">
        <f aca="false">'2026 Forecast A'!G85</f>
        <v>0.480547550432277</v>
      </c>
      <c r="E135" s="10" t="n">
        <f aca="false">'2026 Forecast B'!G85</f>
        <v>0.484870317002882</v>
      </c>
      <c r="F135" s="10" t="n">
        <f aca="false">'2026 Forecast C'!G85</f>
        <v>0.475744476464938</v>
      </c>
      <c r="G135" s="38" t="n">
        <f aca="false">(MAX(D135:F135)-MIN(D135:F135))*100</f>
        <v>0.91258405379443</v>
      </c>
      <c r="H135" s="38" t="n">
        <f aca="false">'2026 Forecast A'!J85</f>
        <v>1.1425091106871</v>
      </c>
      <c r="I135" s="38" t="n">
        <f aca="false">'2026 Forecast B'!J85</f>
        <v>1.22829950997111</v>
      </c>
      <c r="J135" s="38" t="n">
        <f aca="false">'2026 Forecast C'!J85</f>
        <v>1.84350043958238</v>
      </c>
      <c r="K135" s="18" t="n">
        <f aca="false">'2026 Forecast A'!F85</f>
        <v>4164</v>
      </c>
      <c r="L135" s="39" t="str">
        <f aca="false">IF(OR(AND(D135&gt;0.5,E135&gt;0.5,F135&gt;0.5),AND(D135&lt;0.5,E135&lt;0.5,F135&lt;0.5)),"Yes","No — toss-up")</f>
        <v>Yes</v>
      </c>
    </row>
    <row r="136" customFormat="false" ht="15" hidden="false" customHeight="false" outlineLevel="0" collapsed="false">
      <c r="A136" s="9" t="str">
        <f aca="false">'2026 Forecast A'!A86</f>
        <v>Northampton</v>
      </c>
      <c r="B136" s="9" t="str">
        <f aca="false">'2026 Forecast A'!B86</f>
        <v>PALMER</v>
      </c>
      <c r="C136" s="9" t="str">
        <f aca="false">'2026 Forecast A'!C86</f>
        <v>(whole municipality)</v>
      </c>
      <c r="D136" s="10" t="n">
        <f aca="false">'2026 Forecast A'!G86</f>
        <v>0.510748792270531</v>
      </c>
      <c r="E136" s="10" t="n">
        <f aca="false">'2026 Forecast B'!G86</f>
        <v>0.514613526570048</v>
      </c>
      <c r="F136" s="10" t="n">
        <f aca="false">'2026 Forecast C'!G86</f>
        <v>0.507246376811594</v>
      </c>
      <c r="G136" s="38" t="n">
        <f aca="false">(MAX(D136:F136)-MIN(D136:F136))*100</f>
        <v>0.73671497584541</v>
      </c>
      <c r="H136" s="38" t="n">
        <f aca="false">'2026 Forecast A'!J86</f>
        <v>1.1425091106871</v>
      </c>
      <c r="I136" s="38" t="n">
        <f aca="false">'2026 Forecast B'!J86</f>
        <v>1.22829950997111</v>
      </c>
      <c r="J136" s="38" t="n">
        <f aca="false">'2026 Forecast C'!J86</f>
        <v>1.84350043958238</v>
      </c>
      <c r="K136" s="18" t="n">
        <f aca="false">'2026 Forecast A'!F86</f>
        <v>8280</v>
      </c>
      <c r="L136" s="39" t="str">
        <f aca="false">IF(OR(AND(D136&gt;0.5,E136&gt;0.5,F136&gt;0.5),AND(D136&lt;0.5,E136&lt;0.5,F136&lt;0.5)),"Yes","No — toss-up")</f>
        <v>Yes</v>
      </c>
    </row>
    <row r="137" customFormat="false" ht="15" hidden="false" customHeight="false" outlineLevel="0" collapsed="false">
      <c r="A137" s="9" t="str">
        <f aca="false">'2026 Forecast A'!A87</f>
        <v>Northampton</v>
      </c>
      <c r="B137" s="9" t="str">
        <f aca="false">'2026 Forecast A'!B87</f>
        <v>PEN ARGYL</v>
      </c>
      <c r="C137" s="9" t="str">
        <f aca="false">'2026 Forecast A'!C87</f>
        <v>(whole municipality)</v>
      </c>
      <c r="D137" s="10" t="n">
        <f aca="false">'2026 Forecast A'!G87</f>
        <v>0.38913362701909</v>
      </c>
      <c r="E137" s="10" t="n">
        <f aca="false">'2026 Forecast B'!G87</f>
        <v>0.387665198237886</v>
      </c>
      <c r="F137" s="10" t="n">
        <f aca="false">'2026 Forecast C'!G87</f>
        <v>0.378120411160059</v>
      </c>
      <c r="G137" s="38" t="n">
        <f aca="false">(MAX(D137:F137)-MIN(D137:F137))*100</f>
        <v>1.10132158590309</v>
      </c>
      <c r="H137" s="38" t="n">
        <f aca="false">'2026 Forecast A'!J87</f>
        <v>2.52149049515553</v>
      </c>
      <c r="I137" s="38" t="n">
        <f aca="false">'2026 Forecast B'!J87</f>
        <v>2.69963061572276</v>
      </c>
      <c r="J137" s="38" t="n">
        <f aca="false">'2026 Forecast C'!J87</f>
        <v>2.40839232344956</v>
      </c>
      <c r="K137" s="18" t="n">
        <f aca="false">'2026 Forecast A'!F87</f>
        <v>1362</v>
      </c>
      <c r="L137" s="39" t="str">
        <f aca="false">IF(OR(AND(D137&gt;0.5,E137&gt;0.5,F137&gt;0.5),AND(D137&lt;0.5,E137&lt;0.5,F137&lt;0.5)),"Yes","No — toss-up")</f>
        <v>Yes</v>
      </c>
    </row>
    <row r="138" customFormat="false" ht="15" hidden="false" customHeight="false" outlineLevel="0" collapsed="false">
      <c r="A138" s="9" t="str">
        <f aca="false">'2026 Forecast A'!A88</f>
        <v>Northampton</v>
      </c>
      <c r="B138" s="9" t="str">
        <f aca="false">'2026 Forecast A'!B88</f>
        <v>PLAINFIELD</v>
      </c>
      <c r="C138" s="9" t="str">
        <f aca="false">'2026 Forecast A'!C88</f>
        <v>(whole municipality)</v>
      </c>
      <c r="D138" s="10" t="n">
        <f aca="false">'2026 Forecast A'!G88</f>
        <v>0.344120474206985</v>
      </c>
      <c r="E138" s="10" t="n">
        <f aca="false">'2026 Forecast B'!G88</f>
        <v>0.341236783082345</v>
      </c>
      <c r="F138" s="10" t="n">
        <f aca="false">'2026 Forecast C'!G88</f>
        <v>0.330342838833707</v>
      </c>
      <c r="G138" s="38" t="n">
        <f aca="false">(MAX(D138:F138)-MIN(D138:F138))*100</f>
        <v>1.37776353732778</v>
      </c>
      <c r="H138" s="38" t="n">
        <f aca="false">'2026 Forecast A'!J88</f>
        <v>1.46865275115369</v>
      </c>
      <c r="I138" s="38" t="n">
        <f aca="false">'2026 Forecast B'!J88</f>
        <v>1.78126663688824</v>
      </c>
      <c r="J138" s="38" t="n">
        <f aca="false">'2026 Forecast C'!J88</f>
        <v>1.32461619797241</v>
      </c>
      <c r="K138" s="18" t="n">
        <f aca="false">'2026 Forecast A'!F88</f>
        <v>3121</v>
      </c>
      <c r="L138" s="39" t="str">
        <f aca="false">IF(OR(AND(D138&gt;0.5,E138&gt;0.5,F138&gt;0.5),AND(D138&lt;0.5,E138&lt;0.5,F138&lt;0.5)),"Yes","No — toss-up")</f>
        <v>Yes</v>
      </c>
    </row>
    <row r="139" customFormat="false" ht="15" hidden="false" customHeight="false" outlineLevel="0" collapsed="false">
      <c r="A139" s="9" t="str">
        <f aca="false">'2026 Forecast A'!A89</f>
        <v>Northampton</v>
      </c>
      <c r="B139" s="9" t="str">
        <f aca="false">'2026 Forecast A'!B89</f>
        <v>PORTLAND</v>
      </c>
      <c r="C139" s="9" t="str">
        <f aca="false">'2026 Forecast A'!C89</f>
        <v>(whole municipality)</v>
      </c>
      <c r="D139" s="10" t="n">
        <f aca="false">'2026 Forecast A'!G89</f>
        <v>0.357142857142857</v>
      </c>
      <c r="E139" s="10" t="n">
        <f aca="false">'2026 Forecast B'!G89</f>
        <v>0.352040816326531</v>
      </c>
      <c r="F139" s="10" t="n">
        <f aca="false">'2026 Forecast C'!G89</f>
        <v>0.341836734693878</v>
      </c>
      <c r="G139" s="38" t="n">
        <f aca="false">(MAX(D139:F139)-MIN(D139:F139))*100</f>
        <v>1.53061224489796</v>
      </c>
      <c r="H139" s="38" t="n">
        <f aca="false">'2026 Forecast A'!J89</f>
        <v>2.52149049515553</v>
      </c>
      <c r="I139" s="38" t="n">
        <f aca="false">'2026 Forecast B'!J89</f>
        <v>2.69963061572276</v>
      </c>
      <c r="J139" s="38" t="n">
        <f aca="false">'2026 Forecast C'!J89</f>
        <v>2.40839232344956</v>
      </c>
      <c r="K139" s="18" t="n">
        <f aca="false">'2026 Forecast A'!F89</f>
        <v>196</v>
      </c>
      <c r="L139" s="39" t="str">
        <f aca="false">IF(OR(AND(D139&gt;0.5,E139&gt;0.5,F139&gt;0.5),AND(D139&lt;0.5,E139&lt;0.5,F139&lt;0.5)),"Yes","No — toss-up")</f>
        <v>Yes</v>
      </c>
    </row>
    <row r="140" customFormat="false" ht="15" hidden="false" customHeight="false" outlineLevel="0" collapsed="false">
      <c r="A140" s="9" t="str">
        <f aca="false">'2026 Forecast A'!A90</f>
        <v>Northampton</v>
      </c>
      <c r="B140" s="9" t="str">
        <f aca="false">'2026 Forecast A'!B90</f>
        <v>ROSETO</v>
      </c>
      <c r="C140" s="9" t="str">
        <f aca="false">'2026 Forecast A'!C90</f>
        <v>(whole municipality)</v>
      </c>
      <c r="D140" s="10" t="n">
        <f aca="false">'2026 Forecast A'!G90</f>
        <v>0.396198830409357</v>
      </c>
      <c r="E140" s="10" t="n">
        <f aca="false">'2026 Forecast B'!G90</f>
        <v>0.394736842105263</v>
      </c>
      <c r="F140" s="10" t="n">
        <f aca="false">'2026 Forecast C'!G90</f>
        <v>0.391812865497076</v>
      </c>
      <c r="G140" s="38" t="n">
        <f aca="false">(MAX(D140:F140)-MIN(D140:F140))*100</f>
        <v>0.438596491228072</v>
      </c>
      <c r="H140" s="38" t="n">
        <f aca="false">'2026 Forecast A'!J90</f>
        <v>2.52149049515553</v>
      </c>
      <c r="I140" s="38" t="n">
        <f aca="false">'2026 Forecast B'!J90</f>
        <v>2.69963061572276</v>
      </c>
      <c r="J140" s="38" t="n">
        <f aca="false">'2026 Forecast C'!J90</f>
        <v>2.40839232344956</v>
      </c>
      <c r="K140" s="18" t="n">
        <f aca="false">'2026 Forecast A'!F90</f>
        <v>684</v>
      </c>
      <c r="L140" s="39" t="str">
        <f aca="false">IF(OR(AND(D140&gt;0.5,E140&gt;0.5,F140&gt;0.5),AND(D140&lt;0.5,E140&lt;0.5,F140&lt;0.5)),"Yes","No — toss-up")</f>
        <v>Yes</v>
      </c>
    </row>
    <row r="141" customFormat="false" ht="15" hidden="false" customHeight="false" outlineLevel="0" collapsed="false">
      <c r="A141" s="9" t="str">
        <f aca="false">'2026 Forecast A'!A91</f>
        <v>Northampton</v>
      </c>
      <c r="B141" s="9" t="str">
        <f aca="false">'2026 Forecast A'!B91</f>
        <v>STOCKERTOWN</v>
      </c>
      <c r="C141" s="9" t="str">
        <f aca="false">'2026 Forecast A'!C91</f>
        <v>(whole municipality)</v>
      </c>
      <c r="D141" s="10" t="n">
        <f aca="false">'2026 Forecast A'!G91</f>
        <v>0.408740359897172</v>
      </c>
      <c r="E141" s="10" t="n">
        <f aca="false">'2026 Forecast B'!G91</f>
        <v>0.408740359897172</v>
      </c>
      <c r="F141" s="10" t="n">
        <f aca="false">'2026 Forecast C'!G91</f>
        <v>0.395886889460154</v>
      </c>
      <c r="G141" s="38" t="n">
        <f aca="false">(MAX(D141:F141)-MIN(D141:F141))*100</f>
        <v>1.2853470437018</v>
      </c>
      <c r="H141" s="38" t="n">
        <f aca="false">'2026 Forecast A'!J91</f>
        <v>2.52149049515553</v>
      </c>
      <c r="I141" s="38" t="n">
        <f aca="false">'2026 Forecast B'!J91</f>
        <v>2.69963061572276</v>
      </c>
      <c r="J141" s="38" t="n">
        <f aca="false">'2026 Forecast C'!J91</f>
        <v>2.40839232344956</v>
      </c>
      <c r="K141" s="18" t="n">
        <f aca="false">'2026 Forecast A'!F91</f>
        <v>389</v>
      </c>
      <c r="L141" s="39" t="str">
        <f aca="false">IF(OR(AND(D141&gt;0.5,E141&gt;0.5,F141&gt;0.5),AND(D141&lt;0.5,E141&lt;0.5,F141&lt;0.5)),"Yes","No — toss-up")</f>
        <v>Yes</v>
      </c>
    </row>
    <row r="142" customFormat="false" ht="15" hidden="false" customHeight="false" outlineLevel="0" collapsed="false">
      <c r="A142" s="9" t="str">
        <f aca="false">'2026 Forecast A'!A92</f>
        <v>Northampton</v>
      </c>
      <c r="B142" s="9" t="str">
        <f aca="false">'2026 Forecast A'!B92</f>
        <v>TATAMY</v>
      </c>
      <c r="C142" s="9" t="str">
        <f aca="false">'2026 Forecast A'!C92</f>
        <v>(whole municipality)</v>
      </c>
      <c r="D142" s="10" t="n">
        <f aca="false">'2026 Forecast A'!G92</f>
        <v>0.430232558139535</v>
      </c>
      <c r="E142" s="10" t="n">
        <f aca="false">'2026 Forecast B'!G92</f>
        <v>0.431893687707641</v>
      </c>
      <c r="F142" s="10" t="n">
        <f aca="false">'2026 Forecast C'!G92</f>
        <v>0.421926910299003</v>
      </c>
      <c r="G142" s="38" t="n">
        <f aca="false">(MAX(D142:F142)-MIN(D142:F142))*100</f>
        <v>0.996677740863788</v>
      </c>
      <c r="H142" s="38" t="n">
        <f aca="false">'2026 Forecast A'!J92</f>
        <v>2.52149049515553</v>
      </c>
      <c r="I142" s="38" t="n">
        <f aca="false">'2026 Forecast B'!J92</f>
        <v>2.69963061572276</v>
      </c>
      <c r="J142" s="38" t="n">
        <f aca="false">'2026 Forecast C'!J92</f>
        <v>2.40839232344956</v>
      </c>
      <c r="K142" s="18" t="n">
        <f aca="false">'2026 Forecast A'!F92</f>
        <v>602</v>
      </c>
      <c r="L142" s="39" t="str">
        <f aca="false">IF(OR(AND(D142&gt;0.5,E142&gt;0.5,F142&gt;0.5),AND(D142&lt;0.5,E142&lt;0.5,F142&lt;0.5)),"Yes","No — toss-up")</f>
        <v>Yes</v>
      </c>
    </row>
    <row r="143" customFormat="false" ht="15" hidden="false" customHeight="false" outlineLevel="0" collapsed="false">
      <c r="A143" s="9" t="str">
        <f aca="false">'2026 Forecast A'!A93</f>
        <v>Northampton</v>
      </c>
      <c r="B143" s="9" t="str">
        <f aca="false">'2026 Forecast A'!B93</f>
        <v>UPPER MOUNT BETHEL</v>
      </c>
      <c r="C143" s="9" t="str">
        <f aca="false">'2026 Forecast A'!C93</f>
        <v>(whole municipality)</v>
      </c>
      <c r="D143" s="10" t="n">
        <f aca="false">'2026 Forecast A'!G93</f>
        <v>0.325174825174825</v>
      </c>
      <c r="E143" s="10" t="n">
        <f aca="false">'2026 Forecast B'!G93</f>
        <v>0.329942784488239</v>
      </c>
      <c r="F143" s="10" t="n">
        <f aca="false">'2026 Forecast C'!G93</f>
        <v>0.312460267005722</v>
      </c>
      <c r="G143" s="38" t="n">
        <f aca="false">(MAX(D143:F143)-MIN(D143:F143))*100</f>
        <v>1.74825174825175</v>
      </c>
      <c r="H143" s="38" t="n">
        <f aca="false">'2026 Forecast A'!J93</f>
        <v>1.46865275115369</v>
      </c>
      <c r="I143" s="38" t="n">
        <f aca="false">'2026 Forecast B'!J93</f>
        <v>1.78126663688824</v>
      </c>
      <c r="J143" s="38" t="n">
        <f aca="false">'2026 Forecast C'!J93</f>
        <v>1.32461619797241</v>
      </c>
      <c r="K143" s="18" t="n">
        <f aca="false">'2026 Forecast A'!F93</f>
        <v>3146</v>
      </c>
      <c r="L143" s="39" t="str">
        <f aca="false">IF(OR(AND(D143&gt;0.5,E143&gt;0.5,F143&gt;0.5),AND(D143&lt;0.5,E143&lt;0.5,F143&lt;0.5)),"Yes","No — toss-up")</f>
        <v>Yes</v>
      </c>
    </row>
    <row r="144" customFormat="false" ht="15" hidden="false" customHeight="false" outlineLevel="0" collapsed="false">
      <c r="A144" s="9" t="str">
        <f aca="false">'2026 Forecast A'!A94</f>
        <v>Northampton</v>
      </c>
      <c r="B144" s="9" t="str">
        <f aca="false">'2026 Forecast A'!B94</f>
        <v>UPPER NAZARETH</v>
      </c>
      <c r="C144" s="9" t="str">
        <f aca="false">'2026 Forecast A'!C94</f>
        <v>(whole municipality)</v>
      </c>
      <c r="D144" s="10" t="n">
        <f aca="false">'2026 Forecast A'!G94</f>
        <v>0.484929078014184</v>
      </c>
      <c r="E144" s="10" t="n">
        <f aca="false">'2026 Forecast B'!G94</f>
        <v>0.48758865248227</v>
      </c>
      <c r="F144" s="10" t="n">
        <f aca="false">'2026 Forecast C'!G94</f>
        <v>0.470744680851064</v>
      </c>
      <c r="G144" s="38" t="n">
        <f aca="false">(MAX(D144:F144)-MIN(D144:F144))*100</f>
        <v>1.68439716312057</v>
      </c>
      <c r="H144" s="38" t="n">
        <f aca="false">'2026 Forecast A'!J94</f>
        <v>1.46865275115369</v>
      </c>
      <c r="I144" s="38" t="n">
        <f aca="false">'2026 Forecast B'!J94</f>
        <v>1.78126663688824</v>
      </c>
      <c r="J144" s="38" t="n">
        <f aca="false">'2026 Forecast C'!J94</f>
        <v>1.32461619797241</v>
      </c>
      <c r="K144" s="18" t="n">
        <f aca="false">'2026 Forecast A'!F94</f>
        <v>2256</v>
      </c>
      <c r="L144" s="39" t="str">
        <f aca="false">IF(OR(AND(D144&gt;0.5,E144&gt;0.5,F144&gt;0.5),AND(D144&lt;0.5,E144&lt;0.5,F144&lt;0.5)),"Yes","No — toss-up")</f>
        <v>Yes</v>
      </c>
    </row>
    <row r="145" customFormat="false" ht="15" hidden="false" customHeight="false" outlineLevel="0" collapsed="false">
      <c r="A145" s="9" t="str">
        <f aca="false">'2026 Forecast A'!A95</f>
        <v>Northampton</v>
      </c>
      <c r="B145" s="9" t="str">
        <f aca="false">'2026 Forecast A'!B95</f>
        <v>WALNUTPORT</v>
      </c>
      <c r="C145" s="9" t="str">
        <f aca="false">'2026 Forecast A'!C95</f>
        <v>(whole municipality)</v>
      </c>
      <c r="D145" s="10" t="n">
        <f aca="false">'2026 Forecast A'!G95</f>
        <v>0.400788436268068</v>
      </c>
      <c r="E145" s="10" t="n">
        <f aca="false">'2026 Forecast B'!G95</f>
        <v>0.406044678055191</v>
      </c>
      <c r="F145" s="10" t="n">
        <f aca="false">'2026 Forecast C'!G95</f>
        <v>0.390275952693824</v>
      </c>
      <c r="G145" s="38" t="n">
        <f aca="false">(MAX(D145:F145)-MIN(D145:F145))*100</f>
        <v>1.57687253613666</v>
      </c>
      <c r="H145" s="38" t="n">
        <f aca="false">'2026 Forecast A'!J95</f>
        <v>2.52149049515553</v>
      </c>
      <c r="I145" s="38" t="n">
        <f aca="false">'2026 Forecast B'!J95</f>
        <v>2.69963061572276</v>
      </c>
      <c r="J145" s="38" t="n">
        <f aca="false">'2026 Forecast C'!J95</f>
        <v>2.40839232344956</v>
      </c>
      <c r="K145" s="18" t="n">
        <f aca="false">'2026 Forecast A'!F95</f>
        <v>761</v>
      </c>
      <c r="L145" s="39" t="str">
        <f aca="false">IF(OR(AND(D145&gt;0.5,E145&gt;0.5,F145&gt;0.5),AND(D145&lt;0.5,E145&lt;0.5,F145&lt;0.5)),"Yes","No — toss-up")</f>
        <v>Yes</v>
      </c>
    </row>
    <row r="146" customFormat="false" ht="15" hidden="false" customHeight="false" outlineLevel="0" collapsed="false">
      <c r="A146" s="9" t="str">
        <f aca="false">'2026 Forecast A'!A96</f>
        <v>Northampton</v>
      </c>
      <c r="B146" s="9" t="str">
        <f aca="false">'2026 Forecast A'!B96</f>
        <v>WASHINGTON</v>
      </c>
      <c r="C146" s="9" t="str">
        <f aca="false">'2026 Forecast A'!C96</f>
        <v>(whole municipality)</v>
      </c>
      <c r="D146" s="10" t="n">
        <f aca="false">'2026 Forecast A'!G96</f>
        <v>0.333472978634269</v>
      </c>
      <c r="E146" s="10" t="n">
        <f aca="false">'2026 Forecast B'!G96</f>
        <v>0.336824465856724</v>
      </c>
      <c r="F146" s="10" t="n">
        <f aca="false">'2026 Forecast C'!G96</f>
        <v>0.32132383745287</v>
      </c>
      <c r="G146" s="38" t="n">
        <f aca="false">(MAX(D146:F146)-MIN(D146:F146))*100</f>
        <v>1.55006284038542</v>
      </c>
      <c r="H146" s="38" t="n">
        <f aca="false">'2026 Forecast A'!J96</f>
        <v>1.46865275115369</v>
      </c>
      <c r="I146" s="38" t="n">
        <f aca="false">'2026 Forecast B'!J96</f>
        <v>1.78126663688824</v>
      </c>
      <c r="J146" s="38" t="n">
        <f aca="false">'2026 Forecast C'!J96</f>
        <v>1.32461619797241</v>
      </c>
      <c r="K146" s="18" t="n">
        <f aca="false">'2026 Forecast A'!F96</f>
        <v>2387</v>
      </c>
      <c r="L146" s="39" t="str">
        <f aca="false">IF(OR(AND(D146&gt;0.5,E146&gt;0.5,F146&gt;0.5),AND(D146&lt;0.5,E146&lt;0.5,F146&lt;0.5)),"Yes","No — toss-up")</f>
        <v>Yes</v>
      </c>
    </row>
    <row r="147" customFormat="false" ht="15" hidden="false" customHeight="false" outlineLevel="0" collapsed="false">
      <c r="A147" s="9" t="str">
        <f aca="false">'2026 Forecast A'!A97</f>
        <v>Northampton</v>
      </c>
      <c r="B147" s="9" t="str">
        <f aca="false">'2026 Forecast A'!B97</f>
        <v>WEST EASTON</v>
      </c>
      <c r="C147" s="9" t="str">
        <f aca="false">'2026 Forecast A'!C97</f>
        <v>(whole municipality)</v>
      </c>
      <c r="D147" s="10" t="n">
        <f aca="false">'2026 Forecast A'!G97</f>
        <v>0.486301369863014</v>
      </c>
      <c r="E147" s="10" t="n">
        <f aca="false">'2026 Forecast B'!G97</f>
        <v>0.488584474885845</v>
      </c>
      <c r="F147" s="10" t="n">
        <f aca="false">'2026 Forecast C'!G97</f>
        <v>0.481735159817352</v>
      </c>
      <c r="G147" s="38" t="n">
        <f aca="false">(MAX(D147:F147)-MIN(D147:F147))*100</f>
        <v>0.684931506849312</v>
      </c>
      <c r="H147" s="38" t="n">
        <f aca="false">'2026 Forecast A'!J97</f>
        <v>2.52149049515553</v>
      </c>
      <c r="I147" s="38" t="n">
        <f aca="false">'2026 Forecast B'!J97</f>
        <v>2.69963061572276</v>
      </c>
      <c r="J147" s="38" t="n">
        <f aca="false">'2026 Forecast C'!J97</f>
        <v>2.40839232344956</v>
      </c>
      <c r="K147" s="18" t="n">
        <f aca="false">'2026 Forecast A'!F97</f>
        <v>438</v>
      </c>
      <c r="L147" s="39" t="str">
        <f aca="false">IF(OR(AND(D147&gt;0.5,E147&gt;0.5,F147&gt;0.5),AND(D147&lt;0.5,E147&lt;0.5,F147&lt;0.5)),"Yes","No — toss-up")</f>
        <v>Yes</v>
      </c>
    </row>
    <row r="148" customFormat="false" ht="15" hidden="false" customHeight="false" outlineLevel="0" collapsed="false">
      <c r="A148" s="9" t="str">
        <f aca="false">'2026 Forecast A'!A98</f>
        <v>Northampton</v>
      </c>
      <c r="B148" s="9" t="str">
        <f aca="false">'2026 Forecast A'!B98</f>
        <v>WILLIAMS TOWNSHIP</v>
      </c>
      <c r="C148" s="9" t="str">
        <f aca="false">'2026 Forecast A'!C98</f>
        <v>(whole municipality)</v>
      </c>
      <c r="D148" s="10" t="n">
        <f aca="false">'2026 Forecast A'!G98</f>
        <v>0.45513963161022</v>
      </c>
      <c r="E148" s="10" t="n">
        <f aca="false">'2026 Forecast B'!G98</f>
        <v>0.450980392156863</v>
      </c>
      <c r="F148" s="10" t="n">
        <f aca="false">'2026 Forecast C'!G98</f>
        <v>0.442364824717766</v>
      </c>
      <c r="G148" s="38" t="n">
        <f aca="false">(MAX(D148:F148)-MIN(D148:F148))*100</f>
        <v>1.2774806892454</v>
      </c>
      <c r="H148" s="38" t="n">
        <f aca="false">'2026 Forecast A'!J98</f>
        <v>1.46865275115369</v>
      </c>
      <c r="I148" s="38" t="n">
        <f aca="false">'2026 Forecast B'!J98</f>
        <v>1.78126663688824</v>
      </c>
      <c r="J148" s="38" t="n">
        <f aca="false">'2026 Forecast C'!J98</f>
        <v>1.32461619797241</v>
      </c>
      <c r="K148" s="18" t="n">
        <f aca="false">'2026 Forecast A'!F98</f>
        <v>3366</v>
      </c>
      <c r="L148" s="39" t="str">
        <f aca="false">IF(OR(AND(D148&gt;0.5,E148&gt;0.5,F148&gt;0.5),AND(D148&lt;0.5,E148&lt;0.5,F148&lt;0.5)),"Yes","No — toss-up")</f>
        <v>Yes</v>
      </c>
    </row>
    <row r="149" customFormat="false" ht="15" hidden="false" customHeight="false" outlineLevel="0" collapsed="false">
      <c r="A149" s="9" t="str">
        <f aca="false">'2026 Forecast A'!A99</f>
        <v>Northampton</v>
      </c>
      <c r="B149" s="9" t="str">
        <f aca="false">'2026 Forecast A'!B99</f>
        <v>WILSON</v>
      </c>
      <c r="C149" s="9" t="str">
        <f aca="false">'2026 Forecast A'!C99</f>
        <v>(whole municipality)</v>
      </c>
      <c r="D149" s="10" t="n">
        <f aca="false">'2026 Forecast A'!G99</f>
        <v>0.54468085106383</v>
      </c>
      <c r="E149" s="10" t="n">
        <f aca="false">'2026 Forecast B'!G99</f>
        <v>0.54468085106383</v>
      </c>
      <c r="F149" s="10" t="n">
        <f aca="false">'2026 Forecast C'!G99</f>
        <v>0.552765957446809</v>
      </c>
      <c r="G149" s="38" t="n">
        <f aca="false">(MAX(D149:F149)-MIN(D149:F149))*100</f>
        <v>0.808510638297877</v>
      </c>
      <c r="H149" s="38" t="n">
        <f aca="false">'2026 Forecast A'!J99</f>
        <v>1.46865275115369</v>
      </c>
      <c r="I149" s="38" t="n">
        <f aca="false">'2026 Forecast B'!J99</f>
        <v>1.78126663688824</v>
      </c>
      <c r="J149" s="38" t="n">
        <f aca="false">'2026 Forecast C'!J99</f>
        <v>1.32461619797241</v>
      </c>
      <c r="K149" s="18" t="n">
        <f aca="false">'2026 Forecast A'!F99</f>
        <v>2350</v>
      </c>
      <c r="L149" s="39" t="str">
        <f aca="false">IF(OR(AND(D149&gt;0.5,E149&gt;0.5,F149&gt;0.5),AND(D149&lt;0.5,E149&lt;0.5,F149&lt;0.5)),"Yes","No — toss-up")</f>
        <v>Yes</v>
      </c>
    </row>
    <row r="150" customFormat="false" ht="15" hidden="false" customHeight="false" outlineLevel="0" collapsed="false">
      <c r="A150" s="9" t="str">
        <f aca="false">'2026 Forecast A'!A100</f>
        <v>Northampton</v>
      </c>
      <c r="B150" s="9" t="str">
        <f aca="false">'2026 Forecast A'!B100</f>
        <v>WIND GAP</v>
      </c>
      <c r="C150" s="9" t="str">
        <f aca="false">'2026 Forecast A'!C100</f>
        <v>(whole municipality)</v>
      </c>
      <c r="D150" s="10" t="n">
        <f aca="false">'2026 Forecast A'!G100</f>
        <v>0.436681222707424</v>
      </c>
      <c r="E150" s="10" t="n">
        <f aca="false">'2026 Forecast B'!G100</f>
        <v>0.434061135371179</v>
      </c>
      <c r="F150" s="10" t="n">
        <f aca="false">'2026 Forecast C'!G100</f>
        <v>0.427947598253275</v>
      </c>
      <c r="G150" s="38" t="n">
        <f aca="false">(MAX(D150:F150)-MIN(D150:F150))*100</f>
        <v>0.873362445414849</v>
      </c>
      <c r="H150" s="38" t="n">
        <f aca="false">'2026 Forecast A'!J100</f>
        <v>2.52149049515553</v>
      </c>
      <c r="I150" s="38" t="n">
        <f aca="false">'2026 Forecast B'!J100</f>
        <v>2.69963061572276</v>
      </c>
      <c r="J150" s="38" t="n">
        <f aca="false">'2026 Forecast C'!J100</f>
        <v>2.40839232344956</v>
      </c>
      <c r="K150" s="18" t="n">
        <f aca="false">'2026 Forecast A'!F100</f>
        <v>1145</v>
      </c>
      <c r="L150" s="39" t="str">
        <f aca="false">IF(OR(AND(D150&gt;0.5,E150&gt;0.5,F150&gt;0.5),AND(D150&lt;0.5,E150&lt;0.5,F150&lt;0.5)),"Yes","No — toss-up")</f>
        <v>Yes</v>
      </c>
    </row>
  </sheetData>
  <mergeCells count="12">
    <mergeCell ref="A5:I5"/>
    <mergeCell ref="A9:I9"/>
    <mergeCell ref="A16:I16"/>
    <mergeCell ref="A28:I28"/>
    <mergeCell ref="A30:I30"/>
    <mergeCell ref="A32:I32"/>
    <mergeCell ref="A34:I34"/>
    <mergeCell ref="A36:I36"/>
    <mergeCell ref="A38:I38"/>
    <mergeCell ref="A48:I48"/>
    <mergeCell ref="A54:I54"/>
    <mergeCell ref="A60:L60"/>
  </mergeCells>
  <conditionalFormatting sqref="F56:F58">
    <cfRule type="colorScale" priority="2">
      <colorScale>
        <cfvo type="min" val="0"/>
        <cfvo type="max" val="0"/>
        <color rgb="FF63BE7B"/>
        <color rgb="FFF8696B"/>
      </colorScale>
    </cfRule>
  </conditionalFormatting>
  <conditionalFormatting sqref="D62:F150">
    <cfRule type="colorScale" priority="3">
      <colorScale>
        <cfvo type="num" val="0.25"/>
        <cfvo type="num" val="0.5"/>
        <cfvo type="num" val="0.75"/>
        <color rgb="FFF4B6B6"/>
        <color rgb="FFFFFFFF"/>
        <color rgb="FFB4C7E7"/>
      </colorScale>
    </cfRule>
  </conditionalFormatting>
  <conditionalFormatting sqref="L62:L150">
    <cfRule type="cellIs" priority="4" operator="not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5"/>
    <col collapsed="false" customWidth="true" hidden="false" outlineLevel="0" max="9" min="9" style="0" width="52"/>
    <col collapsed="false" customWidth="true" hidden="false" outlineLevel="0" max="10" min="10" style="0" width="14"/>
    <col collapsed="false" customWidth="true" hidden="false" outlineLevel="0" max="12" min="11" style="0" width="12"/>
    <col collapsed="false" customWidth="true" hidden="false" outlineLevel="0" max="13" min="13" style="0" width="14"/>
    <col collapsed="false" customWidth="true" hidden="false" outlineLevel="0" max="15" min="14" style="0" width="3"/>
    <col collapsed="false" customWidth="true" hidden="false" outlineLevel="0" max="16" min="16" style="0" width="13"/>
    <col collapsed="false" customWidth="true" hidden="false" outlineLevel="0" max="18" min="17" style="0" width="14"/>
    <col collapsed="false" customWidth="true" hidden="false" outlineLevel="0" max="19" min="19" style="0" width="13"/>
    <col collapsed="false" customWidth="true" hidden="false" outlineLevel="0" max="20" min="20" style="0" width="16"/>
  </cols>
  <sheetData>
    <row r="1" customFormat="false" ht="17.35" hidden="false" customHeight="false" outlineLevel="0" collapsed="false">
      <c r="A1" s="1" t="s">
        <v>84</v>
      </c>
    </row>
    <row r="2" customFormat="false" ht="15" hidden="false" customHeight="false" outlineLevel="0" collapsed="false">
      <c r="A2" s="2" t="s">
        <v>85</v>
      </c>
    </row>
    <row r="3" customFormat="false" ht="15" hidden="false" customHeight="false" outlineLevel="0" collapsed="false">
      <c r="A3" s="13" t="s">
        <v>86</v>
      </c>
      <c r="B3" s="13"/>
      <c r="C3" s="13"/>
      <c r="D3" s="13"/>
      <c r="E3" s="13"/>
      <c r="F3" s="13"/>
      <c r="G3" s="13"/>
      <c r="H3" s="13"/>
      <c r="I3" s="13"/>
    </row>
    <row r="4" customFormat="false" ht="15" hidden="false" customHeight="false" outlineLevel="0" collapsed="false">
      <c r="A4" s="0" t="s">
        <v>87</v>
      </c>
      <c r="B4" s="0" t="s">
        <v>88</v>
      </c>
      <c r="C4" s="0" t="s">
        <v>89</v>
      </c>
      <c r="D4" s="40" t="n">
        <v>46300</v>
      </c>
      <c r="E4" s="41" t="s">
        <v>90</v>
      </c>
      <c r="F4" s="41" t="s">
        <v>91</v>
      </c>
      <c r="G4" s="41" t="s">
        <v>92</v>
      </c>
      <c r="H4" s="41" t="s">
        <v>93</v>
      </c>
    </row>
    <row r="5" customFormat="false" ht="15" hidden="false" customHeight="false" outlineLevel="0" collapsed="false">
      <c r="A5" s="0" t="s">
        <v>94</v>
      </c>
      <c r="B5" s="42" t="n">
        <f aca="false">'Scenario &amp; Comparison'!$C$6</f>
        <v>0.495158447761038</v>
      </c>
      <c r="C5" s="41" t="s">
        <v>95</v>
      </c>
      <c r="D5" s="43" t="n">
        <f aca="false">B5-SUMPRODUCT(P12:P100,Q12:Q100)/SUM(Q12:Q100)/100</f>
        <v>0.407762245771303</v>
      </c>
      <c r="E5" s="41" t="s">
        <v>96</v>
      </c>
      <c r="F5" s="44" t="n">
        <v>-0.412479594175977</v>
      </c>
      <c r="G5" s="41" t="s">
        <v>97</v>
      </c>
      <c r="H5" s="45" t="n">
        <f aca="false">'Scenario &amp; Comparison'!$C$7/SUM(T12:T100)</f>
        <v>1</v>
      </c>
    </row>
    <row r="6" customFormat="false" ht="15" hidden="false" customHeight="false" outlineLevel="0" collapsed="false">
      <c r="A6" s="4" t="s">
        <v>98</v>
      </c>
      <c r="B6" s="4"/>
      <c r="C6" s="4"/>
      <c r="D6" s="4"/>
      <c r="E6" s="4"/>
      <c r="F6" s="4"/>
      <c r="G6" s="4"/>
      <c r="H6" s="4"/>
      <c r="I6" s="4"/>
      <c r="J6" s="4"/>
      <c r="K6" s="4"/>
      <c r="L6" s="4"/>
      <c r="M6" s="4"/>
    </row>
    <row r="7" customFormat="false" ht="31.5" hidden="false" customHeight="true" outlineLevel="0" collapsed="false">
      <c r="A7" s="8" t="s">
        <v>99</v>
      </c>
      <c r="B7" s="8" t="s">
        <v>100</v>
      </c>
      <c r="C7" s="8" t="s">
        <v>101</v>
      </c>
      <c r="D7" s="8" t="s">
        <v>55</v>
      </c>
      <c r="E7" s="8" t="s">
        <v>56</v>
      </c>
      <c r="F7" s="8" t="s">
        <v>57</v>
      </c>
      <c r="G7" s="8" t="s">
        <v>58</v>
      </c>
      <c r="H7" s="8" t="s">
        <v>102</v>
      </c>
      <c r="I7" s="8" t="s">
        <v>103</v>
      </c>
      <c r="J7" s="8" t="s">
        <v>104</v>
      </c>
      <c r="K7" s="8" t="s">
        <v>105</v>
      </c>
      <c r="L7" s="8" t="s">
        <v>106</v>
      </c>
      <c r="M7" s="8" t="s">
        <v>107</v>
      </c>
    </row>
    <row r="8" customFormat="false" ht="15" hidden="false" customHeight="false" outlineLevel="0" collapsed="false">
      <c r="A8" s="28" t="s">
        <v>108</v>
      </c>
      <c r="B8" s="28" t="s">
        <v>109</v>
      </c>
      <c r="C8" s="28"/>
      <c r="D8" s="46" t="n">
        <f aca="false">SUM(D12:D100)</f>
        <v>149285</v>
      </c>
      <c r="E8" s="46" t="n">
        <f aca="false">SUM(E12:E100)</f>
        <v>152205</v>
      </c>
      <c r="F8" s="46" t="n">
        <f aca="false">D8+E8</f>
        <v>301490</v>
      </c>
      <c r="G8" s="47" t="n">
        <f aca="false">IF(F8=0,"",D8/F8)</f>
        <v>0.495157384987893</v>
      </c>
      <c r="H8" s="47" t="n">
        <f aca="false">IF(F8=0,"",E8/F8)</f>
        <v>0.504842615012107</v>
      </c>
      <c r="I8" s="28" t="s">
        <v>110</v>
      </c>
      <c r="J8" s="48" t="n">
        <v>0.412479594175977</v>
      </c>
      <c r="K8" s="47" t="n">
        <f aca="false">G8-J8/100</f>
        <v>0.491032589046134</v>
      </c>
      <c r="L8" s="47" t="n">
        <f aca="false">G8+J8/100</f>
        <v>0.499282180929653</v>
      </c>
      <c r="M8" s="46" t="n">
        <f aca="false">ROUND(F8*J8/100,0)</f>
        <v>1244</v>
      </c>
    </row>
    <row r="9" customFormat="false" ht="15" hidden="false" customHeight="false" outlineLevel="0" collapsed="false">
      <c r="A9" s="13" t="s">
        <v>111</v>
      </c>
      <c r="B9" s="13"/>
      <c r="C9" s="13"/>
      <c r="D9" s="13"/>
      <c r="E9" s="13"/>
      <c r="F9" s="13"/>
      <c r="G9" s="13"/>
      <c r="H9" s="13"/>
      <c r="I9" s="13"/>
      <c r="J9" s="13"/>
      <c r="K9" s="13"/>
      <c r="L9" s="13"/>
      <c r="M9" s="13"/>
    </row>
    <row r="10" customFormat="false" ht="15" hidden="false" customHeight="false" outlineLevel="0" collapsed="false">
      <c r="A10" s="4" t="s">
        <v>112</v>
      </c>
      <c r="B10" s="4"/>
      <c r="C10" s="4"/>
      <c r="D10" s="4"/>
      <c r="E10" s="4"/>
      <c r="F10" s="4"/>
      <c r="G10" s="4"/>
      <c r="H10" s="4"/>
      <c r="I10" s="4"/>
      <c r="J10" s="4"/>
      <c r="K10" s="4"/>
      <c r="L10" s="4"/>
      <c r="M10" s="4"/>
      <c r="P10" s="49" t="s">
        <v>113</v>
      </c>
      <c r="Q10" s="50"/>
      <c r="R10" s="50"/>
      <c r="S10" s="50"/>
      <c r="T10" s="50"/>
    </row>
    <row r="11" customFormat="false" ht="31.5" hidden="false" customHeight="true" outlineLevel="0" collapsed="false">
      <c r="A11" s="8" t="s">
        <v>75</v>
      </c>
      <c r="B11" s="8" t="s">
        <v>76</v>
      </c>
      <c r="C11" s="8" t="s">
        <v>77</v>
      </c>
      <c r="D11" s="8" t="s">
        <v>55</v>
      </c>
      <c r="E11" s="8" t="s">
        <v>56</v>
      </c>
      <c r="F11" s="8" t="s">
        <v>57</v>
      </c>
      <c r="G11" s="8" t="s">
        <v>58</v>
      </c>
      <c r="H11" s="8" t="s">
        <v>102</v>
      </c>
      <c r="I11" s="8" t="s">
        <v>114</v>
      </c>
      <c r="J11" s="8" t="s">
        <v>104</v>
      </c>
      <c r="K11" s="8" t="s">
        <v>105</v>
      </c>
      <c r="L11" s="8" t="s">
        <v>106</v>
      </c>
      <c r="M11" s="8" t="s">
        <v>107</v>
      </c>
      <c r="P11" s="51" t="s">
        <v>115</v>
      </c>
      <c r="Q11" s="51" t="s">
        <v>116</v>
      </c>
      <c r="R11" s="51" t="s">
        <v>117</v>
      </c>
      <c r="S11" s="51" t="s">
        <v>118</v>
      </c>
      <c r="T11" s="51" t="s">
        <v>119</v>
      </c>
    </row>
    <row r="12" customFormat="false" ht="15" hidden="false" customHeight="false" outlineLevel="0" collapsed="false">
      <c r="A12" s="21" t="s">
        <v>120</v>
      </c>
      <c r="B12" s="21" t="s">
        <v>121</v>
      </c>
      <c r="C12" s="21" t="s">
        <v>122</v>
      </c>
      <c r="D12" s="37" t="n">
        <f aca="false">ROUND(Q12*R12,0)</f>
        <v>142</v>
      </c>
      <c r="E12" s="37" t="n">
        <f aca="false">ROUND(Q12,0)-D12</f>
        <v>222</v>
      </c>
      <c r="F12" s="37" t="n">
        <f aca="false">IF(COUNTA(D12:E12)=0,"",SUM(D12:E12))</f>
        <v>364</v>
      </c>
      <c r="G12" s="52" t="n">
        <f aca="false">IF(OR(F12="",F12=0),"",D12/F12)</f>
        <v>0.39010989010989</v>
      </c>
      <c r="H12" s="52" t="n">
        <f aca="false">IF(OR(F12="",F12=0),"",E12/F12)</f>
        <v>0.60989010989011</v>
      </c>
      <c r="I12" s="21" t="s">
        <v>123</v>
      </c>
      <c r="J12" s="53" t="n">
        <v>2.52149049515553</v>
      </c>
      <c r="K12" s="52" t="n">
        <f aca="false">IF(G12="","",MAX(0,G12-J12/100))</f>
        <v>0.364894985158335</v>
      </c>
      <c r="L12" s="52" t="n">
        <f aca="false">IF(G12="","",MIN(1,G12+J12/100))</f>
        <v>0.415324795061445</v>
      </c>
      <c r="M12" s="37" t="n">
        <f aca="false">IF(F12="","",ROUND(F12*J12/100,0))</f>
        <v>9</v>
      </c>
      <c r="P12" s="54" t="n">
        <v>-1.94949896393325</v>
      </c>
      <c r="Q12" s="55" t="n">
        <f aca="false">T12*$H$5</f>
        <v>364.490963855422</v>
      </c>
      <c r="R12" s="56" t="n">
        <f aca="false">MAX(0,MIN(1,P12/100+$D$5))</f>
        <v>0.388267256131971</v>
      </c>
      <c r="S12" s="57" t="s">
        <v>124</v>
      </c>
      <c r="T12" s="55" t="n">
        <v>364.490963855422</v>
      </c>
    </row>
    <row r="13" customFormat="false" ht="15" hidden="false" customHeight="false" outlineLevel="0" collapsed="false">
      <c r="A13" s="21" t="s">
        <v>120</v>
      </c>
      <c r="B13" s="21" t="s">
        <v>125</v>
      </c>
      <c r="C13" s="21" t="s">
        <v>122</v>
      </c>
      <c r="D13" s="37" t="n">
        <f aca="false">ROUND(Q13*R13,0)</f>
        <v>95</v>
      </c>
      <c r="E13" s="37" t="n">
        <f aca="false">ROUND(Q13,0)-D13</f>
        <v>235</v>
      </c>
      <c r="F13" s="37" t="n">
        <f aca="false">IF(COUNTA(D13:E13)=0,"",SUM(D13:E13))</f>
        <v>330</v>
      </c>
      <c r="G13" s="52" t="n">
        <f aca="false">IF(OR(F13="",F13=0),"",D13/F13)</f>
        <v>0.287878787878788</v>
      </c>
      <c r="H13" s="52" t="n">
        <f aca="false">IF(OR(F13="",F13=0),"",E13/F13)</f>
        <v>0.712121212121212</v>
      </c>
      <c r="I13" s="21" t="s">
        <v>123</v>
      </c>
      <c r="J13" s="53" t="n">
        <v>2.52149049515553</v>
      </c>
      <c r="K13" s="52" t="n">
        <f aca="false">IF(G13="","",MAX(0,G13-J13/100))</f>
        <v>0.262663882927233</v>
      </c>
      <c r="L13" s="52" t="n">
        <f aca="false">IF(G13="","",MIN(1,G13+J13/100))</f>
        <v>0.313093692830343</v>
      </c>
      <c r="M13" s="37" t="n">
        <f aca="false">IF(F13="","",ROUND(F13*J13/100,0))</f>
        <v>8</v>
      </c>
      <c r="P13" s="54" t="n">
        <v>-11.9049937131594</v>
      </c>
      <c r="Q13" s="55" t="n">
        <f aca="false">T13*$H$5</f>
        <v>330.130136986302</v>
      </c>
      <c r="R13" s="56" t="n">
        <f aca="false">MAX(0,MIN(1,P13/100+$D$5))</f>
        <v>0.288712308639709</v>
      </c>
      <c r="S13" s="57" t="s">
        <v>124</v>
      </c>
      <c r="T13" s="55" t="n">
        <v>330.130136986301</v>
      </c>
    </row>
    <row r="14" customFormat="false" ht="15" hidden="false" customHeight="false" outlineLevel="0" collapsed="false">
      <c r="A14" s="21" t="s">
        <v>120</v>
      </c>
      <c r="B14" s="21" t="s">
        <v>126</v>
      </c>
      <c r="C14" s="21" t="s">
        <v>122</v>
      </c>
      <c r="D14" s="37" t="n">
        <f aca="false">ROUND(Q14*R14,0)</f>
        <v>118</v>
      </c>
      <c r="E14" s="37" t="n">
        <f aca="false">ROUND(Q14,0)-D14</f>
        <v>238</v>
      </c>
      <c r="F14" s="37" t="n">
        <f aca="false">IF(COUNTA(D14:E14)=0,"",SUM(D14:E14))</f>
        <v>356</v>
      </c>
      <c r="G14" s="52" t="n">
        <f aca="false">IF(OR(F14="",F14=0),"",D14/F14)</f>
        <v>0.331460674157303</v>
      </c>
      <c r="H14" s="52" t="n">
        <f aca="false">IF(OR(F14="",F14=0),"",E14/F14)</f>
        <v>0.668539325842697</v>
      </c>
      <c r="I14" s="21" t="s">
        <v>123</v>
      </c>
      <c r="J14" s="53" t="n">
        <v>2.52149049515553</v>
      </c>
      <c r="K14" s="52" t="n">
        <f aca="false">IF(G14="","",MAX(0,G14-J14/100))</f>
        <v>0.306245769205748</v>
      </c>
      <c r="L14" s="52" t="n">
        <f aca="false">IF(G14="","",MIN(1,G14+J14/100))</f>
        <v>0.356675579108859</v>
      </c>
      <c r="M14" s="37" t="n">
        <f aca="false">IF(F14="","",ROUND(F14*J14/100,0))</f>
        <v>9</v>
      </c>
      <c r="P14" s="54" t="n">
        <v>-7.58563828048723</v>
      </c>
      <c r="Q14" s="55" t="n">
        <f aca="false">T14*$H$5</f>
        <v>355.63436928702</v>
      </c>
      <c r="R14" s="56" t="n">
        <f aca="false">MAX(0,MIN(1,P14/100+$D$5))</f>
        <v>0.331905862966431</v>
      </c>
      <c r="S14" s="57" t="s">
        <v>124</v>
      </c>
      <c r="T14" s="55" t="n">
        <v>355.63436928702</v>
      </c>
    </row>
    <row r="15" customFormat="false" ht="15" hidden="false" customHeight="false" outlineLevel="0" collapsed="false">
      <c r="A15" s="21" t="s">
        <v>120</v>
      </c>
      <c r="B15" s="21" t="s">
        <v>127</v>
      </c>
      <c r="C15" s="21" t="s">
        <v>122</v>
      </c>
      <c r="D15" s="37" t="n">
        <f aca="false">ROUND(Q15*R15,0)</f>
        <v>371</v>
      </c>
      <c r="E15" s="37" t="n">
        <f aca="false">ROUND(Q15,0)-D15</f>
        <v>964</v>
      </c>
      <c r="F15" s="37" t="n">
        <f aca="false">IF(COUNTA(D15:E15)=0,"",SUM(D15:E15))</f>
        <v>1335</v>
      </c>
      <c r="G15" s="52" t="n">
        <f aca="false">IF(OR(F15="",F15=0),"",D15/F15)</f>
        <v>0.277902621722846</v>
      </c>
      <c r="H15" s="52" t="n">
        <f aca="false">IF(OR(F15="",F15=0),"",E15/F15)</f>
        <v>0.722097378277154</v>
      </c>
      <c r="I15" s="21" t="s">
        <v>123</v>
      </c>
      <c r="J15" s="53" t="n">
        <v>2.52149049515553</v>
      </c>
      <c r="K15" s="52" t="n">
        <f aca="false">IF(G15="","",MAX(0,G15-J15/100))</f>
        <v>0.252687716771291</v>
      </c>
      <c r="L15" s="52" t="n">
        <f aca="false">IF(G15="","",MIN(1,G15+J15/100))</f>
        <v>0.303117526674402</v>
      </c>
      <c r="M15" s="37" t="n">
        <f aca="false">IF(F15="","",ROUND(F15*J15/100,0))</f>
        <v>34</v>
      </c>
      <c r="P15" s="54" t="n">
        <v>-12.9725550267221</v>
      </c>
      <c r="Q15" s="55" t="n">
        <f aca="false">T15*$H$5</f>
        <v>1334.82101558572</v>
      </c>
      <c r="R15" s="56" t="n">
        <f aca="false">MAX(0,MIN(1,P15/100+$D$5))</f>
        <v>0.278036695504083</v>
      </c>
      <c r="S15" s="57" t="s">
        <v>124</v>
      </c>
      <c r="T15" s="55" t="n">
        <v>1334.82101558572</v>
      </c>
    </row>
    <row r="16" customFormat="false" ht="15" hidden="false" customHeight="false" outlineLevel="0" collapsed="false">
      <c r="A16" s="21" t="s">
        <v>120</v>
      </c>
      <c r="B16" s="21" t="s">
        <v>128</v>
      </c>
      <c r="C16" s="21" t="s">
        <v>122</v>
      </c>
      <c r="D16" s="37" t="n">
        <f aca="false">ROUND(Q16*R16,0)</f>
        <v>33</v>
      </c>
      <c r="E16" s="37" t="n">
        <f aca="false">ROUND(Q16,0)-D16</f>
        <v>60</v>
      </c>
      <c r="F16" s="37" t="n">
        <f aca="false">IF(COUNTA(D16:E16)=0,"",SUM(D16:E16))</f>
        <v>93</v>
      </c>
      <c r="G16" s="52" t="n">
        <f aca="false">IF(OR(F16="",F16=0),"",D16/F16)</f>
        <v>0.354838709677419</v>
      </c>
      <c r="H16" s="52" t="n">
        <f aca="false">IF(OR(F16="",F16=0),"",E16/F16)</f>
        <v>0.645161290322581</v>
      </c>
      <c r="I16" s="21" t="s">
        <v>123</v>
      </c>
      <c r="J16" s="53" t="n">
        <v>2.52149049515553</v>
      </c>
      <c r="K16" s="52" t="n">
        <f aca="false">IF(G16="","",MAX(0,G16-J16/100))</f>
        <v>0.329623804725864</v>
      </c>
      <c r="L16" s="52" t="n">
        <f aca="false">IF(G16="","",MIN(1,G16+J16/100))</f>
        <v>0.380053614628975</v>
      </c>
      <c r="M16" s="37" t="n">
        <f aca="false">IF(F16="","",ROUND(F16*J16/100,0))</f>
        <v>2</v>
      </c>
      <c r="P16" s="54" t="n">
        <v>-5.67964334704866</v>
      </c>
      <c r="Q16" s="55" t="n">
        <f aca="false">T16*$H$5</f>
        <v>93.4268292682927</v>
      </c>
      <c r="R16" s="56" t="n">
        <f aca="false">MAX(0,MIN(1,P16/100+$D$5))</f>
        <v>0.350965812300817</v>
      </c>
      <c r="S16" s="57" t="s">
        <v>124</v>
      </c>
      <c r="T16" s="55" t="n">
        <v>93.4268292682927</v>
      </c>
    </row>
    <row r="17" customFormat="false" ht="15" hidden="false" customHeight="false" outlineLevel="0" collapsed="false">
      <c r="A17" s="21" t="s">
        <v>120</v>
      </c>
      <c r="B17" s="21" t="s">
        <v>129</v>
      </c>
      <c r="C17" s="21" t="s">
        <v>122</v>
      </c>
      <c r="D17" s="37" t="n">
        <f aca="false">ROUND(Q17*R17,0)</f>
        <v>572</v>
      </c>
      <c r="E17" s="37" t="n">
        <f aca="false">ROUND(Q17,0)-D17</f>
        <v>1410</v>
      </c>
      <c r="F17" s="37" t="n">
        <f aca="false">IF(COUNTA(D17:E17)=0,"",SUM(D17:E17))</f>
        <v>1982</v>
      </c>
      <c r="G17" s="52" t="n">
        <f aca="false">IF(OR(F17="",F17=0),"",D17/F17)</f>
        <v>0.288597376387487</v>
      </c>
      <c r="H17" s="52" t="n">
        <f aca="false">IF(OR(F17="",F17=0),"",E17/F17)</f>
        <v>0.711402623612513</v>
      </c>
      <c r="I17" s="21" t="s">
        <v>123</v>
      </c>
      <c r="J17" s="53" t="n">
        <v>1.46865275115369</v>
      </c>
      <c r="K17" s="52" t="n">
        <f aca="false">IF(G17="","",MAX(0,G17-J17/100))</f>
        <v>0.27391084887595</v>
      </c>
      <c r="L17" s="52" t="n">
        <f aca="false">IF(G17="","",MIN(1,G17+J17/100))</f>
        <v>0.303283903899024</v>
      </c>
      <c r="M17" s="37" t="n">
        <f aca="false">IF(F17="","",ROUND(F17*J17/100,0))</f>
        <v>29</v>
      </c>
      <c r="P17" s="54" t="n">
        <v>-11.9024697006845</v>
      </c>
      <c r="Q17" s="55" t="n">
        <f aca="false">T17*$H$5</f>
        <v>1982.00903517264</v>
      </c>
      <c r="R17" s="56" t="n">
        <f aca="false">MAX(0,MIN(1,P17/100+$D$5))</f>
        <v>0.288737548764459</v>
      </c>
      <c r="S17" s="57" t="s">
        <v>130</v>
      </c>
      <c r="T17" s="55" t="n">
        <v>1982.00903517264</v>
      </c>
    </row>
    <row r="18" customFormat="false" ht="15" hidden="false" customHeight="false" outlineLevel="0" collapsed="false">
      <c r="A18" s="21" t="s">
        <v>120</v>
      </c>
      <c r="B18" s="21" t="s">
        <v>131</v>
      </c>
      <c r="C18" s="21" t="s">
        <v>122</v>
      </c>
      <c r="D18" s="37" t="n">
        <f aca="false">ROUND(Q18*R18,0)</f>
        <v>944</v>
      </c>
      <c r="E18" s="37" t="n">
        <f aca="false">ROUND(Q18,0)-D18</f>
        <v>1164</v>
      </c>
      <c r="F18" s="37" t="n">
        <f aca="false">IF(COUNTA(D18:E18)=0,"",SUM(D18:E18))</f>
        <v>2108</v>
      </c>
      <c r="G18" s="52" t="n">
        <f aca="false">IF(OR(F18="",F18=0),"",D18/F18)</f>
        <v>0.447817836812144</v>
      </c>
      <c r="H18" s="52" t="n">
        <f aca="false">IF(OR(F18="",F18=0),"",E18/F18)</f>
        <v>0.552182163187856</v>
      </c>
      <c r="I18" s="21" t="s">
        <v>123</v>
      </c>
      <c r="J18" s="53" t="n">
        <v>1.46865275115369</v>
      </c>
      <c r="K18" s="52" t="n">
        <f aca="false">IF(G18="","",MAX(0,G18-J18/100))</f>
        <v>0.433131309300607</v>
      </c>
      <c r="L18" s="52" t="n">
        <f aca="false">IF(G18="","",MIN(1,G18+J18/100))</f>
        <v>0.462504364323681</v>
      </c>
      <c r="M18" s="37" t="n">
        <f aca="false">IF(F18="","",ROUND(F18*J18/100,0))</f>
        <v>31</v>
      </c>
      <c r="P18" s="54" t="n">
        <v>3.99474591273859</v>
      </c>
      <c r="Q18" s="55" t="n">
        <f aca="false">T18*$H$5</f>
        <v>2107.72563176895</v>
      </c>
      <c r="R18" s="56" t="n">
        <f aca="false">MAX(0,MIN(1,P18/100+$D$5))</f>
        <v>0.447709704898689</v>
      </c>
      <c r="S18" s="57" t="s">
        <v>130</v>
      </c>
      <c r="T18" s="55" t="n">
        <v>2107.72563176895</v>
      </c>
    </row>
    <row r="19" customFormat="false" ht="15" hidden="false" customHeight="false" outlineLevel="0" collapsed="false">
      <c r="A19" s="21" t="s">
        <v>120</v>
      </c>
      <c r="B19" s="21" t="s">
        <v>132</v>
      </c>
      <c r="C19" s="21" t="s">
        <v>122</v>
      </c>
      <c r="D19" s="37" t="n">
        <f aca="false">ROUND(Q19*R19,0)</f>
        <v>272</v>
      </c>
      <c r="E19" s="37" t="n">
        <f aca="false">ROUND(Q19,0)-D19</f>
        <v>533</v>
      </c>
      <c r="F19" s="37" t="n">
        <f aca="false">IF(COUNTA(D19:E19)=0,"",SUM(D19:E19))</f>
        <v>805</v>
      </c>
      <c r="G19" s="52" t="n">
        <f aca="false">IF(OR(F19="",F19=0),"",D19/F19)</f>
        <v>0.337888198757764</v>
      </c>
      <c r="H19" s="52" t="n">
        <f aca="false">IF(OR(F19="",F19=0),"",E19/F19)</f>
        <v>0.662111801242236</v>
      </c>
      <c r="I19" s="21" t="s">
        <v>123</v>
      </c>
      <c r="J19" s="53" t="n">
        <v>2.52149049515553</v>
      </c>
      <c r="K19" s="52" t="n">
        <f aca="false">IF(G19="","",MAX(0,G19-J19/100))</f>
        <v>0.312673293806209</v>
      </c>
      <c r="L19" s="52" t="n">
        <f aca="false">IF(G19="","",MIN(1,G19+J19/100))</f>
        <v>0.363103103709319</v>
      </c>
      <c r="M19" s="37" t="n">
        <f aca="false">IF(F19="","",ROUND(F19*J19/100,0))</f>
        <v>20</v>
      </c>
      <c r="P19" s="54" t="n">
        <v>-6.98940184066776</v>
      </c>
      <c r="Q19" s="55" t="n">
        <f aca="false">T19*$H$5</f>
        <v>804.850331125828</v>
      </c>
      <c r="R19" s="56" t="n">
        <f aca="false">MAX(0,MIN(1,P19/100+$D$5))</f>
        <v>0.337868227364626</v>
      </c>
      <c r="S19" s="57" t="s">
        <v>124</v>
      </c>
      <c r="T19" s="55" t="n">
        <v>804.850331125827</v>
      </c>
    </row>
    <row r="20" customFormat="false" ht="15" hidden="false" customHeight="false" outlineLevel="0" collapsed="false">
      <c r="A20" s="21" t="s">
        <v>120</v>
      </c>
      <c r="B20" s="21" t="s">
        <v>133</v>
      </c>
      <c r="C20" s="21" t="s">
        <v>122</v>
      </c>
      <c r="D20" s="37" t="n">
        <f aca="false">ROUND(Q20*R20,0)</f>
        <v>439</v>
      </c>
      <c r="E20" s="37" t="n">
        <f aca="false">ROUND(Q20,0)-D20</f>
        <v>644</v>
      </c>
      <c r="F20" s="37" t="n">
        <f aca="false">IF(COUNTA(D20:E20)=0,"",SUM(D20:E20))</f>
        <v>1083</v>
      </c>
      <c r="G20" s="52" t="n">
        <f aca="false">IF(OR(F20="",F20=0),"",D20/F20)</f>
        <v>0.405355493998153</v>
      </c>
      <c r="H20" s="52" t="n">
        <f aca="false">IF(OR(F20="",F20=0),"",E20/F20)</f>
        <v>0.594644506001847</v>
      </c>
      <c r="I20" s="21" t="s">
        <v>123</v>
      </c>
      <c r="J20" s="53" t="n">
        <v>2.52149049515553</v>
      </c>
      <c r="K20" s="52" t="n">
        <f aca="false">IF(G20="","",MAX(0,G20-J20/100))</f>
        <v>0.380140589046598</v>
      </c>
      <c r="L20" s="52" t="n">
        <f aca="false">IF(G20="","",MIN(1,G20+J20/100))</f>
        <v>0.430570398949709</v>
      </c>
      <c r="M20" s="37" t="n">
        <f aca="false">IF(F20="","",ROUND(F20*J20/100,0))</f>
        <v>27</v>
      </c>
      <c r="P20" s="54" t="n">
        <v>-0.280595313615892</v>
      </c>
      <c r="Q20" s="55" t="n">
        <f aca="false">T20*$H$5</f>
        <v>1083.4829443447</v>
      </c>
      <c r="R20" s="56" t="n">
        <f aca="false">MAX(0,MIN(1,P20/100+$D$5))</f>
        <v>0.404956292635145</v>
      </c>
      <c r="S20" s="57" t="s">
        <v>124</v>
      </c>
      <c r="T20" s="55" t="n">
        <v>1083.4829443447</v>
      </c>
    </row>
    <row r="21" customFormat="false" ht="15" hidden="false" customHeight="false" outlineLevel="0" collapsed="false">
      <c r="A21" s="21" t="s">
        <v>120</v>
      </c>
      <c r="B21" s="21" t="s">
        <v>134</v>
      </c>
      <c r="C21" s="21" t="s">
        <v>122</v>
      </c>
      <c r="D21" s="37" t="n">
        <f aca="false">ROUND(Q21*R21,0)</f>
        <v>34</v>
      </c>
      <c r="E21" s="37" t="n">
        <f aca="false">ROUND(Q21,0)-D21</f>
        <v>84</v>
      </c>
      <c r="F21" s="37" t="n">
        <f aca="false">IF(COUNTA(D21:E21)=0,"",SUM(D21:E21))</f>
        <v>118</v>
      </c>
      <c r="G21" s="52" t="n">
        <f aca="false">IF(OR(F21="",F21=0),"",D21/F21)</f>
        <v>0.288135593220339</v>
      </c>
      <c r="H21" s="52" t="n">
        <f aca="false">IF(OR(F21="",F21=0),"",E21/F21)</f>
        <v>0.711864406779661</v>
      </c>
      <c r="I21" s="21" t="s">
        <v>123</v>
      </c>
      <c r="J21" s="53" t="n">
        <v>2.52149049515553</v>
      </c>
      <c r="K21" s="52" t="n">
        <f aca="false">IF(G21="","",MAX(0,G21-J21/100))</f>
        <v>0.262920688268784</v>
      </c>
      <c r="L21" s="52" t="n">
        <f aca="false">IF(G21="","",MIN(1,G21+J21/100))</f>
        <v>0.313350498171894</v>
      </c>
      <c r="M21" s="37" t="n">
        <f aca="false">IF(F21="","",ROUND(F21*J21/100,0))</f>
        <v>3</v>
      </c>
      <c r="P21" s="54" t="n">
        <v>-11.9888027624821</v>
      </c>
      <c r="Q21" s="55" t="n">
        <f aca="false">T21*$H$5</f>
        <v>118.285714285714</v>
      </c>
      <c r="R21" s="56" t="n">
        <f aca="false">MAX(0,MIN(1,P21/100+$D$5))</f>
        <v>0.287874218146482</v>
      </c>
      <c r="S21" s="57" t="s">
        <v>124</v>
      </c>
      <c r="T21" s="55" t="n">
        <v>118.285714285714</v>
      </c>
    </row>
    <row r="22" customFormat="false" ht="15" hidden="false" customHeight="false" outlineLevel="0" collapsed="false">
      <c r="A22" s="21" t="s">
        <v>120</v>
      </c>
      <c r="B22" s="21" t="s">
        <v>135</v>
      </c>
      <c r="C22" s="21" t="s">
        <v>122</v>
      </c>
      <c r="D22" s="37" t="n">
        <f aca="false">ROUND(Q22*R22,0)</f>
        <v>50</v>
      </c>
      <c r="E22" s="37" t="n">
        <f aca="false">ROUND(Q22,0)-D22</f>
        <v>187</v>
      </c>
      <c r="F22" s="37" t="n">
        <f aca="false">IF(COUNTA(D22:E22)=0,"",SUM(D22:E22))</f>
        <v>237</v>
      </c>
      <c r="G22" s="52" t="n">
        <f aca="false">IF(OR(F22="",F22=0),"",D22/F22)</f>
        <v>0.210970464135021</v>
      </c>
      <c r="H22" s="52" t="n">
        <f aca="false">IF(OR(F22="",F22=0),"",E22/F22)</f>
        <v>0.789029535864979</v>
      </c>
      <c r="I22" s="21" t="s">
        <v>123</v>
      </c>
      <c r="J22" s="53" t="n">
        <v>2.52149049515553</v>
      </c>
      <c r="K22" s="52" t="n">
        <f aca="false">IF(G22="","",MAX(0,G22-J22/100))</f>
        <v>0.185755559183466</v>
      </c>
      <c r="L22" s="52" t="n">
        <f aca="false">IF(G22="","",MIN(1,G22+J22/100))</f>
        <v>0.236185369086576</v>
      </c>
      <c r="M22" s="37" t="n">
        <f aca="false">IF(F22="","",ROUND(F22*J22/100,0))</f>
        <v>6</v>
      </c>
      <c r="P22" s="54" t="n">
        <v>-19.8046414303663</v>
      </c>
      <c r="Q22" s="55" t="n">
        <f aca="false">T22*$H$5</f>
        <v>236.844827586207</v>
      </c>
      <c r="R22" s="56" t="n">
        <f aca="false">MAX(0,MIN(1,P22/100+$D$5))</f>
        <v>0.209715831467641</v>
      </c>
      <c r="S22" s="57" t="s">
        <v>124</v>
      </c>
      <c r="T22" s="55" t="n">
        <v>236.844827586207</v>
      </c>
    </row>
    <row r="23" customFormat="false" ht="15" hidden="false" customHeight="false" outlineLevel="0" collapsed="false">
      <c r="A23" s="21" t="s">
        <v>120</v>
      </c>
      <c r="B23" s="21" t="s">
        <v>136</v>
      </c>
      <c r="C23" s="21" t="s">
        <v>122</v>
      </c>
      <c r="D23" s="37" t="n">
        <f aca="false">ROUND(Q23*R23,0)</f>
        <v>708</v>
      </c>
      <c r="E23" s="37" t="n">
        <f aca="false">ROUND(Q23,0)-D23</f>
        <v>1046</v>
      </c>
      <c r="F23" s="37" t="n">
        <f aca="false">IF(COUNTA(D23:E23)=0,"",SUM(D23:E23))</f>
        <v>1754</v>
      </c>
      <c r="G23" s="52" t="n">
        <f aca="false">IF(OR(F23="",F23=0),"",D23/F23)</f>
        <v>0.403648802736602</v>
      </c>
      <c r="H23" s="52" t="n">
        <f aca="false">IF(OR(F23="",F23=0),"",E23/F23)</f>
        <v>0.596351197263398</v>
      </c>
      <c r="I23" s="21" t="s">
        <v>123</v>
      </c>
      <c r="J23" s="53" t="n">
        <v>1.46865275115369</v>
      </c>
      <c r="K23" s="52" t="n">
        <f aca="false">IF(G23="","",MAX(0,G23-J23/100))</f>
        <v>0.388962275225065</v>
      </c>
      <c r="L23" s="52" t="n">
        <f aca="false">IF(G23="","",MIN(1,G23+J23/100))</f>
        <v>0.418335330248139</v>
      </c>
      <c r="M23" s="37" t="n">
        <f aca="false">IF(F23="","",ROUND(F23*J23/100,0))</f>
        <v>26</v>
      </c>
      <c r="P23" s="54" t="n">
        <v>-0.385751021730289</v>
      </c>
      <c r="Q23" s="55" t="n">
        <f aca="false">T23*$H$5</f>
        <v>1753.74077578051</v>
      </c>
      <c r="R23" s="56" t="n">
        <f aca="false">MAX(0,MIN(1,P23/100+$D$5))</f>
        <v>0.403904735554001</v>
      </c>
      <c r="S23" s="57" t="s">
        <v>130</v>
      </c>
      <c r="T23" s="55" t="n">
        <v>1753.74077578051</v>
      </c>
    </row>
    <row r="24" customFormat="false" ht="15" hidden="false" customHeight="false" outlineLevel="0" collapsed="false">
      <c r="A24" s="21" t="s">
        <v>120</v>
      </c>
      <c r="B24" s="21" t="s">
        <v>137</v>
      </c>
      <c r="C24" s="21" t="s">
        <v>122</v>
      </c>
      <c r="D24" s="37" t="n">
        <f aca="false">ROUND(Q24*R24,0)</f>
        <v>423</v>
      </c>
      <c r="E24" s="37" t="n">
        <f aca="false">ROUND(Q24,0)-D24</f>
        <v>978</v>
      </c>
      <c r="F24" s="37" t="n">
        <f aca="false">IF(COUNTA(D24:E24)=0,"",SUM(D24:E24))</f>
        <v>1401</v>
      </c>
      <c r="G24" s="52" t="n">
        <f aca="false">IF(OR(F24="",F24=0),"",D24/F24)</f>
        <v>0.301927194860814</v>
      </c>
      <c r="H24" s="52" t="n">
        <f aca="false">IF(OR(F24="",F24=0),"",E24/F24)</f>
        <v>0.698072805139186</v>
      </c>
      <c r="I24" s="21" t="s">
        <v>123</v>
      </c>
      <c r="J24" s="53" t="n">
        <v>2.52149049515553</v>
      </c>
      <c r="K24" s="52" t="n">
        <f aca="false">IF(G24="","",MAX(0,G24-J24/100))</f>
        <v>0.276712289909258</v>
      </c>
      <c r="L24" s="52" t="n">
        <f aca="false">IF(G24="","",MIN(1,G24+J24/100))</f>
        <v>0.327142099812369</v>
      </c>
      <c r="M24" s="37" t="n">
        <f aca="false">IF(F24="","",ROUND(F24*J24/100,0))</f>
        <v>35</v>
      </c>
      <c r="P24" s="54" t="n">
        <v>-10.5642136561719</v>
      </c>
      <c r="Q24" s="55" t="n">
        <f aca="false">T24*$H$5</f>
        <v>1401.11772917636</v>
      </c>
      <c r="R24" s="56" t="n">
        <f aca="false">MAX(0,MIN(1,P24/100+$D$5))</f>
        <v>0.302120109209584</v>
      </c>
      <c r="S24" s="57" t="s">
        <v>124</v>
      </c>
      <c r="T24" s="55" t="n">
        <v>1401.11772917636</v>
      </c>
    </row>
    <row r="25" customFormat="false" ht="15" hidden="false" customHeight="false" outlineLevel="0" collapsed="false">
      <c r="A25" s="21" t="s">
        <v>120</v>
      </c>
      <c r="B25" s="21" t="s">
        <v>138</v>
      </c>
      <c r="C25" s="21" t="s">
        <v>122</v>
      </c>
      <c r="D25" s="37" t="n">
        <f aca="false">ROUND(Q25*R25,0)</f>
        <v>568</v>
      </c>
      <c r="E25" s="37" t="n">
        <f aca="false">ROUND(Q25,0)-D25</f>
        <v>1310</v>
      </c>
      <c r="F25" s="37" t="n">
        <f aca="false">IF(COUNTA(D25:E25)=0,"",SUM(D25:E25))</f>
        <v>1878</v>
      </c>
      <c r="G25" s="52" t="n">
        <f aca="false">IF(OR(F25="",F25=0),"",D25/F25)</f>
        <v>0.302449414270501</v>
      </c>
      <c r="H25" s="52" t="n">
        <f aca="false">IF(OR(F25="",F25=0),"",E25/F25)</f>
        <v>0.6975505857295</v>
      </c>
      <c r="I25" s="21" t="s">
        <v>123</v>
      </c>
      <c r="J25" s="53" t="n">
        <v>1.46865275115369</v>
      </c>
      <c r="K25" s="52" t="n">
        <f aca="false">IF(G25="","",MAX(0,G25-J25/100))</f>
        <v>0.287762886758964</v>
      </c>
      <c r="L25" s="52" t="n">
        <f aca="false">IF(G25="","",MIN(1,G25+J25/100))</f>
        <v>0.317135941782037</v>
      </c>
      <c r="M25" s="37" t="n">
        <f aca="false">IF(F25="","",ROUND(F25*J25/100,0))</f>
        <v>28</v>
      </c>
      <c r="P25" s="54" t="n">
        <v>-10.5577207367626</v>
      </c>
      <c r="Q25" s="55" t="n">
        <f aca="false">T25*$H$5</f>
        <v>1878.41828929068</v>
      </c>
      <c r="R25" s="56" t="n">
        <f aca="false">MAX(0,MIN(1,P25/100+$D$5))</f>
        <v>0.302185038403678</v>
      </c>
      <c r="S25" s="57" t="s">
        <v>130</v>
      </c>
      <c r="T25" s="55" t="n">
        <v>1878.41828929068</v>
      </c>
    </row>
    <row r="26" customFormat="false" ht="15" hidden="false" customHeight="false" outlineLevel="0" collapsed="false">
      <c r="A26" s="21" t="s">
        <v>120</v>
      </c>
      <c r="B26" s="21" t="s">
        <v>139</v>
      </c>
      <c r="C26" s="21" t="s">
        <v>122</v>
      </c>
      <c r="D26" s="37" t="n">
        <f aca="false">ROUND(Q26*R26,0)</f>
        <v>496</v>
      </c>
      <c r="E26" s="37" t="n">
        <f aca="false">ROUND(Q26,0)-D26</f>
        <v>718</v>
      </c>
      <c r="F26" s="37" t="n">
        <f aca="false">IF(COUNTA(D26:E26)=0,"",SUM(D26:E26))</f>
        <v>1214</v>
      </c>
      <c r="G26" s="52" t="n">
        <f aca="false">IF(OR(F26="",F26=0),"",D26/F26)</f>
        <v>0.408566721581549</v>
      </c>
      <c r="H26" s="52" t="n">
        <f aca="false">IF(OR(F26="",F26=0),"",E26/F26)</f>
        <v>0.591433278418451</v>
      </c>
      <c r="I26" s="21" t="s">
        <v>123</v>
      </c>
      <c r="J26" s="53" t="n">
        <v>2.52149049515553</v>
      </c>
      <c r="K26" s="52" t="n">
        <f aca="false">IF(G26="","",MAX(0,G26-J26/100))</f>
        <v>0.383351816629993</v>
      </c>
      <c r="L26" s="52" t="n">
        <f aca="false">IF(G26="","",MIN(1,G26+J26/100))</f>
        <v>0.433781626533104</v>
      </c>
      <c r="M26" s="37" t="n">
        <f aca="false">IF(F26="","",ROUND(F26*J26/100,0))</f>
        <v>31</v>
      </c>
      <c r="P26" s="54" t="n">
        <v>0.0547068127685819</v>
      </c>
      <c r="Q26" s="55" t="n">
        <f aca="false">T26*$H$5</f>
        <v>1214.17865765331</v>
      </c>
      <c r="R26" s="56" t="n">
        <f aca="false">MAX(0,MIN(1,P26/100+$D$5))</f>
        <v>0.408309313898989</v>
      </c>
      <c r="S26" s="57" t="s">
        <v>124</v>
      </c>
      <c r="T26" s="55" t="n">
        <v>1214.17865765331</v>
      </c>
    </row>
    <row r="27" customFormat="false" ht="15" hidden="false" customHeight="false" outlineLevel="0" collapsed="false">
      <c r="A27" s="21" t="s">
        <v>120</v>
      </c>
      <c r="B27" s="21" t="s">
        <v>140</v>
      </c>
      <c r="C27" s="21" t="s">
        <v>122</v>
      </c>
      <c r="D27" s="37" t="n">
        <f aca="false">ROUND(Q27*R27,0)</f>
        <v>105</v>
      </c>
      <c r="E27" s="37" t="n">
        <f aca="false">ROUND(Q27,0)-D27</f>
        <v>425</v>
      </c>
      <c r="F27" s="37" t="n">
        <f aca="false">IF(COUNTA(D27:E27)=0,"",SUM(D27:E27))</f>
        <v>530</v>
      </c>
      <c r="G27" s="52" t="n">
        <f aca="false">IF(OR(F27="",F27=0),"",D27/F27)</f>
        <v>0.19811320754717</v>
      </c>
      <c r="H27" s="52" t="n">
        <f aca="false">IF(OR(F27="",F27=0),"",E27/F27)</f>
        <v>0.80188679245283</v>
      </c>
      <c r="I27" s="21" t="s">
        <v>123</v>
      </c>
      <c r="J27" s="53" t="n">
        <v>2.52149049515553</v>
      </c>
      <c r="K27" s="52" t="n">
        <f aca="false">IF(G27="","",MAX(0,G27-J27/100))</f>
        <v>0.172898302595615</v>
      </c>
      <c r="L27" s="52" t="n">
        <f aca="false">IF(G27="","",MIN(1,G27+J27/100))</f>
        <v>0.223328112498725</v>
      </c>
      <c r="M27" s="37" t="n">
        <f aca="false">IF(F27="","",ROUND(F27*J27/100,0))</f>
        <v>13</v>
      </c>
      <c r="P27" s="54" t="n">
        <v>-21.0182760992073</v>
      </c>
      <c r="Q27" s="55" t="n">
        <f aca="false">T27*$H$5</f>
        <v>530.117647058824</v>
      </c>
      <c r="R27" s="56" t="n">
        <f aca="false">MAX(0,MIN(1,P27/100+$D$5))</f>
        <v>0.197579484779231</v>
      </c>
      <c r="S27" s="57" t="s">
        <v>124</v>
      </c>
      <c r="T27" s="55" t="n">
        <v>530.117647058823</v>
      </c>
    </row>
    <row r="28" customFormat="false" ht="15" hidden="false" customHeight="false" outlineLevel="0" collapsed="false">
      <c r="A28" s="21" t="s">
        <v>120</v>
      </c>
      <c r="B28" s="21" t="s">
        <v>141</v>
      </c>
      <c r="C28" s="21" t="s">
        <v>122</v>
      </c>
      <c r="D28" s="37" t="n">
        <f aca="false">ROUND(Q28*R28,0)</f>
        <v>768</v>
      </c>
      <c r="E28" s="37" t="n">
        <f aca="false">ROUND(Q28,0)-D28</f>
        <v>1223</v>
      </c>
      <c r="F28" s="37" t="n">
        <f aca="false">IF(COUNTA(D28:E28)=0,"",SUM(D28:E28))</f>
        <v>1991</v>
      </c>
      <c r="G28" s="52" t="n">
        <f aca="false">IF(OR(F28="",F28=0),"",D28/F28)</f>
        <v>0.385735811150176</v>
      </c>
      <c r="H28" s="52" t="n">
        <f aca="false">IF(OR(F28="",F28=0),"",E28/F28)</f>
        <v>0.614264188849824</v>
      </c>
      <c r="I28" s="21" t="s">
        <v>123</v>
      </c>
      <c r="J28" s="53" t="n">
        <v>1.46865275115369</v>
      </c>
      <c r="K28" s="52" t="n">
        <f aca="false">IF(G28="","",MAX(0,G28-J28/100))</f>
        <v>0.371049283638639</v>
      </c>
      <c r="L28" s="52" t="n">
        <f aca="false">IF(G28="","",MIN(1,G28+J28/100))</f>
        <v>0.400422338661713</v>
      </c>
      <c r="M28" s="37" t="n">
        <f aca="false">IF(F28="","",ROUND(F28*J28/100,0))</f>
        <v>29</v>
      </c>
      <c r="P28" s="54" t="n">
        <v>-2.222793585667</v>
      </c>
      <c r="Q28" s="55" t="n">
        <f aca="false">T28*$H$5</f>
        <v>1991.47057118005</v>
      </c>
      <c r="R28" s="56" t="n">
        <f aca="false">MAX(0,MIN(1,P28/100+$D$5))</f>
        <v>0.385534309914633</v>
      </c>
      <c r="S28" s="57" t="s">
        <v>130</v>
      </c>
      <c r="T28" s="55" t="n">
        <v>1991.47057118005</v>
      </c>
    </row>
    <row r="29" customFormat="false" ht="15" hidden="false" customHeight="false" outlineLevel="0" collapsed="false">
      <c r="A29" s="21" t="s">
        <v>120</v>
      </c>
      <c r="B29" s="21" t="s">
        <v>142</v>
      </c>
      <c r="C29" s="21" t="s">
        <v>122</v>
      </c>
      <c r="D29" s="37" t="n">
        <f aca="false">ROUND(Q29*R29,0)</f>
        <v>58</v>
      </c>
      <c r="E29" s="37" t="n">
        <f aca="false">ROUND(Q29,0)-D29</f>
        <v>127</v>
      </c>
      <c r="F29" s="37" t="n">
        <f aca="false">IF(COUNTA(D29:E29)=0,"",SUM(D29:E29))</f>
        <v>185</v>
      </c>
      <c r="G29" s="52" t="n">
        <f aca="false">IF(OR(F29="",F29=0),"",D29/F29)</f>
        <v>0.313513513513514</v>
      </c>
      <c r="H29" s="52" t="n">
        <f aca="false">IF(OR(F29="",F29=0),"",E29/F29)</f>
        <v>0.686486486486487</v>
      </c>
      <c r="I29" s="21" t="s">
        <v>123</v>
      </c>
      <c r="J29" s="53" t="n">
        <v>2.52149049515553</v>
      </c>
      <c r="K29" s="52" t="n">
        <f aca="false">IF(G29="","",MAX(0,G29-J29/100))</f>
        <v>0.288298608561958</v>
      </c>
      <c r="L29" s="52" t="n">
        <f aca="false">IF(G29="","",MIN(1,G29+J29/100))</f>
        <v>0.338728418465069</v>
      </c>
      <c r="M29" s="37" t="n">
        <f aca="false">IF(F29="","",ROUND(F29*J29/100,0))</f>
        <v>5</v>
      </c>
      <c r="P29" s="54" t="n">
        <v>-9.42580241653222</v>
      </c>
      <c r="Q29" s="55" t="n">
        <f aca="false">T29*$H$5</f>
        <v>184.547540983607</v>
      </c>
      <c r="R29" s="56" t="n">
        <f aca="false">MAX(0,MIN(1,P29/100+$D$5))</f>
        <v>0.313504221605981</v>
      </c>
      <c r="S29" s="57" t="s">
        <v>124</v>
      </c>
      <c r="T29" s="55" t="n">
        <v>184.547540983607</v>
      </c>
    </row>
    <row r="30" customFormat="false" ht="15" hidden="false" customHeight="false" outlineLevel="0" collapsed="false">
      <c r="A30" s="21" t="s">
        <v>120</v>
      </c>
      <c r="B30" s="21" t="s">
        <v>143</v>
      </c>
      <c r="C30" s="21" t="s">
        <v>122</v>
      </c>
      <c r="D30" s="37" t="n">
        <f aca="false">ROUND(Q30*R30,0)</f>
        <v>1663</v>
      </c>
      <c r="E30" s="37" t="n">
        <f aca="false">ROUND(Q30,0)-D30</f>
        <v>2809</v>
      </c>
      <c r="F30" s="37" t="n">
        <f aca="false">IF(COUNTA(D30:E30)=0,"",SUM(D30:E30))</f>
        <v>4472</v>
      </c>
      <c r="G30" s="52" t="n">
        <f aca="false">IF(OR(F30="",F30=0),"",D30/F30)</f>
        <v>0.371869409660107</v>
      </c>
      <c r="H30" s="52" t="n">
        <f aca="false">IF(OR(F30="",F30=0),"",E30/F30)</f>
        <v>0.628130590339893</v>
      </c>
      <c r="I30" s="21" t="s">
        <v>123</v>
      </c>
      <c r="J30" s="53" t="n">
        <v>1.1425091106871</v>
      </c>
      <c r="K30" s="52" t="n">
        <f aca="false">IF(G30="","",MAX(0,G30-J30/100))</f>
        <v>0.360444318553236</v>
      </c>
      <c r="L30" s="52" t="n">
        <f aca="false">IF(G30="","",MIN(1,G30+J30/100))</f>
        <v>0.383294500766978</v>
      </c>
      <c r="M30" s="37" t="n">
        <f aca="false">IF(F30="","",ROUND(F30*J30/100,0))</f>
        <v>51</v>
      </c>
      <c r="P30" s="54" t="n">
        <v>-3.60313983328634</v>
      </c>
      <c r="Q30" s="55" t="n">
        <f aca="false">T30*$H$5</f>
        <v>4472.46592381446</v>
      </c>
      <c r="R30" s="56" t="n">
        <f aca="false">MAX(0,MIN(1,P30/100+$D$5))</f>
        <v>0.37173084743844</v>
      </c>
      <c r="S30" s="57" t="s">
        <v>144</v>
      </c>
      <c r="T30" s="55" t="n">
        <v>4472.46592381446</v>
      </c>
    </row>
    <row r="31" customFormat="false" ht="15" hidden="false" customHeight="false" outlineLevel="0" collapsed="false">
      <c r="A31" s="21" t="s">
        <v>120</v>
      </c>
      <c r="B31" s="21" t="s">
        <v>145</v>
      </c>
      <c r="C31" s="21" t="s">
        <v>122</v>
      </c>
      <c r="D31" s="37" t="n">
        <f aca="false">ROUND(Q31*R31,0)</f>
        <v>569</v>
      </c>
      <c r="E31" s="37" t="n">
        <f aca="false">ROUND(Q31,0)-D31</f>
        <v>724</v>
      </c>
      <c r="F31" s="37" t="n">
        <f aca="false">IF(COUNTA(D31:E31)=0,"",SUM(D31:E31))</f>
        <v>1293</v>
      </c>
      <c r="G31" s="52" t="n">
        <f aca="false">IF(OR(F31="",F31=0),"",D31/F31)</f>
        <v>0.440061871616396</v>
      </c>
      <c r="H31" s="52" t="n">
        <f aca="false">IF(OR(F31="",F31=0),"",E31/F31)</f>
        <v>0.559938128383604</v>
      </c>
      <c r="I31" s="21" t="s">
        <v>123</v>
      </c>
      <c r="J31" s="53" t="n">
        <v>2.52149049515553</v>
      </c>
      <c r="K31" s="52" t="n">
        <f aca="false">IF(G31="","",MAX(0,G31-J31/100))</f>
        <v>0.414846966664841</v>
      </c>
      <c r="L31" s="52" t="n">
        <f aca="false">IF(G31="","",MIN(1,G31+J31/100))</f>
        <v>0.465276776567951</v>
      </c>
      <c r="M31" s="37" t="n">
        <f aca="false">IF(F31="","",ROUND(F31*J31/100,0))</f>
        <v>33</v>
      </c>
      <c r="P31" s="54" t="n">
        <v>3.2323548980958</v>
      </c>
      <c r="Q31" s="55" t="n">
        <f aca="false">T31*$H$5</f>
        <v>1293.28908554572</v>
      </c>
      <c r="R31" s="56" t="n">
        <f aca="false">MAX(0,MIN(1,P31/100+$D$5))</f>
        <v>0.440085794752261</v>
      </c>
      <c r="S31" s="57" t="s">
        <v>124</v>
      </c>
      <c r="T31" s="55" t="n">
        <v>1293.28908554572</v>
      </c>
    </row>
    <row r="32" customFormat="false" ht="15" hidden="false" customHeight="false" outlineLevel="0" collapsed="false">
      <c r="A32" s="21" t="s">
        <v>120</v>
      </c>
      <c r="B32" s="21" t="s">
        <v>146</v>
      </c>
      <c r="C32" s="21" t="s">
        <v>122</v>
      </c>
      <c r="D32" s="37" t="n">
        <f aca="false">ROUND(Q32*R32,0)</f>
        <v>681</v>
      </c>
      <c r="E32" s="37" t="n">
        <f aca="false">ROUND(Q32,0)-D32</f>
        <v>1577</v>
      </c>
      <c r="F32" s="37" t="n">
        <f aca="false">IF(COUNTA(D32:E32)=0,"",SUM(D32:E32))</f>
        <v>2258</v>
      </c>
      <c r="G32" s="52" t="n">
        <f aca="false">IF(OR(F32="",F32=0),"",D32/F32)</f>
        <v>0.301594331266608</v>
      </c>
      <c r="H32" s="52" t="n">
        <f aca="false">IF(OR(F32="",F32=0),"",E32/F32)</f>
        <v>0.698405668733392</v>
      </c>
      <c r="I32" s="21" t="s">
        <v>123</v>
      </c>
      <c r="J32" s="53" t="n">
        <v>1.46865275115369</v>
      </c>
      <c r="K32" s="52" t="n">
        <f aca="false">IF(G32="","",MAX(0,G32-J32/100))</f>
        <v>0.286907803755071</v>
      </c>
      <c r="L32" s="52" t="n">
        <f aca="false">IF(G32="","",MIN(1,G32+J32/100))</f>
        <v>0.316280858778145</v>
      </c>
      <c r="M32" s="37" t="n">
        <f aca="false">IF(F32="","",ROUND(F32*J32/100,0))</f>
        <v>33</v>
      </c>
      <c r="P32" s="54" t="n">
        <v>-10.6048351863839</v>
      </c>
      <c r="Q32" s="55" t="n">
        <f aca="false">T32*$H$5</f>
        <v>2258.11685530744</v>
      </c>
      <c r="R32" s="56" t="n">
        <f aca="false">MAX(0,MIN(1,P32/100+$D$5))</f>
        <v>0.301713893907464</v>
      </c>
      <c r="S32" s="57" t="s">
        <v>130</v>
      </c>
      <c r="T32" s="55" t="n">
        <v>2258.11685530743</v>
      </c>
    </row>
    <row r="33" customFormat="false" ht="15" hidden="false" customHeight="false" outlineLevel="0" collapsed="false">
      <c r="A33" s="21" t="s">
        <v>120</v>
      </c>
      <c r="B33" s="21" t="s">
        <v>147</v>
      </c>
      <c r="C33" s="21" t="s">
        <v>122</v>
      </c>
      <c r="D33" s="37" t="n">
        <f aca="false">ROUND(Q33*R33,0)</f>
        <v>268</v>
      </c>
      <c r="E33" s="37" t="n">
        <f aca="false">ROUND(Q33,0)-D33</f>
        <v>646</v>
      </c>
      <c r="F33" s="37" t="n">
        <f aca="false">IF(COUNTA(D33:E33)=0,"",SUM(D33:E33))</f>
        <v>914</v>
      </c>
      <c r="G33" s="52" t="n">
        <f aca="false">IF(OR(F33="",F33=0),"",D33/F33)</f>
        <v>0.293216630196937</v>
      </c>
      <c r="H33" s="52" t="n">
        <f aca="false">IF(OR(F33="",F33=0),"",E33/F33)</f>
        <v>0.706783369803063</v>
      </c>
      <c r="I33" s="21" t="s">
        <v>123</v>
      </c>
      <c r="J33" s="53" t="n">
        <v>2.52149049515553</v>
      </c>
      <c r="K33" s="52" t="n">
        <f aca="false">IF(G33="","",MAX(0,G33-J33/100))</f>
        <v>0.268001725245381</v>
      </c>
      <c r="L33" s="52" t="n">
        <f aca="false">IF(G33="","",MIN(1,G33+J33/100))</f>
        <v>0.318431535148492</v>
      </c>
      <c r="M33" s="37" t="n">
        <f aca="false">IF(F33="","",ROUND(F33*J33/100,0))</f>
        <v>23</v>
      </c>
      <c r="P33" s="54" t="n">
        <v>-11.478866674356</v>
      </c>
      <c r="Q33" s="55" t="n">
        <f aca="false">T33*$H$5</f>
        <v>913.771907216495</v>
      </c>
      <c r="R33" s="56" t="n">
        <f aca="false">MAX(0,MIN(1,P33/100+$D$5))</f>
        <v>0.292973579027743</v>
      </c>
      <c r="S33" s="57" t="s">
        <v>124</v>
      </c>
      <c r="T33" s="55" t="n">
        <v>913.771907216495</v>
      </c>
    </row>
    <row r="34" customFormat="false" ht="15" hidden="false" customHeight="false" outlineLevel="0" collapsed="false">
      <c r="A34" s="21" t="s">
        <v>120</v>
      </c>
      <c r="B34" s="21" t="s">
        <v>148</v>
      </c>
      <c r="C34" s="21" t="s">
        <v>122</v>
      </c>
      <c r="D34" s="37" t="n">
        <f aca="false">ROUND(Q34*R34,0)</f>
        <v>37</v>
      </c>
      <c r="E34" s="37" t="n">
        <f aca="false">ROUND(Q34,0)-D34</f>
        <v>70</v>
      </c>
      <c r="F34" s="37" t="n">
        <f aca="false">IF(COUNTA(D34:E34)=0,"",SUM(D34:E34))</f>
        <v>107</v>
      </c>
      <c r="G34" s="52" t="n">
        <f aca="false">IF(OR(F34="",F34=0),"",D34/F34)</f>
        <v>0.345794392523364</v>
      </c>
      <c r="H34" s="52" t="n">
        <f aca="false">IF(OR(F34="",F34=0),"",E34/F34)</f>
        <v>0.654205607476636</v>
      </c>
      <c r="I34" s="21" t="s">
        <v>123</v>
      </c>
      <c r="J34" s="53" t="n">
        <v>2.52149049515553</v>
      </c>
      <c r="K34" s="52" t="n">
        <f aca="false">IF(G34="","",MAX(0,G34-J34/100))</f>
        <v>0.320579487571809</v>
      </c>
      <c r="L34" s="52" t="n">
        <f aca="false">IF(G34="","",MIN(1,G34+J34/100))</f>
        <v>0.37100929747492</v>
      </c>
      <c r="M34" s="37" t="n">
        <f aca="false">IF(F34="","",ROUND(F34*J34/100,0))</f>
        <v>3</v>
      </c>
      <c r="P34" s="54" t="n">
        <v>-5.9155774997644</v>
      </c>
      <c r="Q34" s="55" t="n">
        <f aca="false">T34*$H$5</f>
        <v>106.666666666667</v>
      </c>
      <c r="R34" s="56" t="n">
        <f aca="false">MAX(0,MIN(1,P34/100+$D$5))</f>
        <v>0.348606470773659</v>
      </c>
      <c r="S34" s="57" t="s">
        <v>124</v>
      </c>
      <c r="T34" s="55" t="n">
        <v>106.666666666667</v>
      </c>
    </row>
    <row r="35" customFormat="false" ht="15" hidden="false" customHeight="false" outlineLevel="0" collapsed="false">
      <c r="A35" s="21" t="s">
        <v>149</v>
      </c>
      <c r="B35" s="21" t="s">
        <v>150</v>
      </c>
      <c r="C35" s="21" t="s">
        <v>122</v>
      </c>
      <c r="D35" s="37" t="n">
        <f aca="false">ROUND(Q35*R35,0)</f>
        <v>503</v>
      </c>
      <c r="E35" s="37" t="n">
        <f aca="false">ROUND(Q35,0)-D35</f>
        <v>558</v>
      </c>
      <c r="F35" s="37" t="n">
        <f aca="false">IF(COUNTA(D35:E35)=0,"",SUM(D35:E35))</f>
        <v>1061</v>
      </c>
      <c r="G35" s="52" t="n">
        <f aca="false">IF(OR(F35="",F35=0),"",D35/F35)</f>
        <v>0.474081055607917</v>
      </c>
      <c r="H35" s="52" t="n">
        <f aca="false">IF(OR(F35="",F35=0),"",E35/F35)</f>
        <v>0.525918944392083</v>
      </c>
      <c r="I35" s="21" t="s">
        <v>123</v>
      </c>
      <c r="J35" s="53" t="n">
        <v>2.52149049515553</v>
      </c>
      <c r="K35" s="52" t="n">
        <f aca="false">IF(G35="","",MAX(0,G35-J35/100))</f>
        <v>0.448866150656362</v>
      </c>
      <c r="L35" s="52" t="n">
        <f aca="false">IF(G35="","",MIN(1,G35+J35/100))</f>
        <v>0.499295960559472</v>
      </c>
      <c r="M35" s="37" t="n">
        <f aca="false">IF(F35="","",ROUND(F35*J35/100,0))</f>
        <v>27</v>
      </c>
      <c r="P35" s="54" t="n">
        <v>6.63929430084309</v>
      </c>
      <c r="Q35" s="55" t="n">
        <f aca="false">T35*$H$5</f>
        <v>1060.80585424134</v>
      </c>
      <c r="R35" s="56" t="n">
        <f aca="false">MAX(0,MIN(1,P35/100+$D$5))</f>
        <v>0.474155188779734</v>
      </c>
      <c r="S35" s="57" t="s">
        <v>124</v>
      </c>
      <c r="T35" s="55" t="n">
        <v>1060.80585424134</v>
      </c>
    </row>
    <row r="36" customFormat="false" ht="15" hidden="false" customHeight="false" outlineLevel="0" collapsed="false">
      <c r="A36" s="21" t="s">
        <v>149</v>
      </c>
      <c r="B36" s="21" t="s">
        <v>151</v>
      </c>
      <c r="C36" s="21" t="s">
        <v>122</v>
      </c>
      <c r="D36" s="37" t="n">
        <f aca="false">ROUND(Q36*R36,0)</f>
        <v>16561</v>
      </c>
      <c r="E36" s="37" t="n">
        <f aca="false">ROUND(Q36,0)-D36</f>
        <v>8813</v>
      </c>
      <c r="F36" s="37" t="n">
        <f aca="false">IF(COUNTA(D36:E36)=0,"",SUM(D36:E36))</f>
        <v>25374</v>
      </c>
      <c r="G36" s="52" t="n">
        <f aca="false">IF(OR(F36="",F36=0),"",D36/F36)</f>
        <v>0.652675967525814</v>
      </c>
      <c r="H36" s="52" t="n">
        <f aca="false">IF(OR(F36="",F36=0),"",E36/F36)</f>
        <v>0.347324032474186</v>
      </c>
      <c r="I36" s="21" t="s">
        <v>123</v>
      </c>
      <c r="J36" s="53" t="n">
        <v>1.1425091106871</v>
      </c>
      <c r="K36" s="52" t="n">
        <f aca="false">IF(G36="","",MAX(0,G36-J36/100))</f>
        <v>0.641250876418943</v>
      </c>
      <c r="L36" s="52" t="n">
        <f aca="false">IF(G36="","",MIN(1,G36+J36/100))</f>
        <v>0.664101058632685</v>
      </c>
      <c r="M36" s="37" t="n">
        <f aca="false">IF(F36="","",ROUND(F36*J36/100,0))</f>
        <v>290</v>
      </c>
      <c r="P36" s="54" t="n">
        <v>24.4918421768058</v>
      </c>
      <c r="Q36" s="55" t="n">
        <f aca="false">T36*$H$5</f>
        <v>25374.4394084886</v>
      </c>
      <c r="R36" s="56" t="n">
        <f aca="false">MAX(0,MIN(1,P36/100+$D$5))</f>
        <v>0.652680667539361</v>
      </c>
      <c r="S36" s="57" t="s">
        <v>144</v>
      </c>
      <c r="T36" s="55" t="n">
        <v>25374.4394084886</v>
      </c>
    </row>
    <row r="37" customFormat="false" ht="15" hidden="false" customHeight="false" outlineLevel="0" collapsed="false">
      <c r="A37" s="21" t="s">
        <v>149</v>
      </c>
      <c r="B37" s="21" t="s">
        <v>152</v>
      </c>
      <c r="C37" s="21" t="s">
        <v>122</v>
      </c>
      <c r="D37" s="37" t="n">
        <f aca="false">ROUND(Q37*R37,0)</f>
        <v>5086</v>
      </c>
      <c r="E37" s="37" t="n">
        <f aca="false">ROUND(Q37,0)-D37</f>
        <v>2891</v>
      </c>
      <c r="F37" s="37" t="n">
        <f aca="false">IF(COUNTA(D37:E37)=0,"",SUM(D37:E37))</f>
        <v>7977</v>
      </c>
      <c r="G37" s="52" t="n">
        <f aca="false">IF(OR(F37="",F37=0),"",D37/F37)</f>
        <v>0.637583051272408</v>
      </c>
      <c r="H37" s="52" t="n">
        <f aca="false">IF(OR(F37="",F37=0),"",E37/F37)</f>
        <v>0.362416948727592</v>
      </c>
      <c r="I37" s="21" t="s">
        <v>123</v>
      </c>
      <c r="J37" s="53" t="n">
        <v>1.1425091106871</v>
      </c>
      <c r="K37" s="52" t="n">
        <f aca="false">IF(G37="","",MAX(0,G37-J37/100))</f>
        <v>0.626157960165537</v>
      </c>
      <c r="L37" s="52" t="n">
        <f aca="false">IF(G37="","",MIN(1,G37+J37/100))</f>
        <v>0.649008142379279</v>
      </c>
      <c r="M37" s="37" t="n">
        <f aca="false">IF(F37="","",ROUND(F37*J37/100,0))</f>
        <v>91</v>
      </c>
      <c r="P37" s="54" t="n">
        <v>22.9885547010676</v>
      </c>
      <c r="Q37" s="55" t="n">
        <f aca="false">T37*$H$5</f>
        <v>7976.55329986175</v>
      </c>
      <c r="R37" s="56" t="n">
        <f aca="false">MAX(0,MIN(1,P37/100+$D$5))</f>
        <v>0.637647792781979</v>
      </c>
      <c r="S37" s="57" t="s">
        <v>144</v>
      </c>
      <c r="T37" s="55" t="n">
        <v>7976.55329986175</v>
      </c>
    </row>
    <row r="38" customFormat="false" ht="15" hidden="false" customHeight="false" outlineLevel="0" collapsed="false">
      <c r="A38" s="21" t="s">
        <v>149</v>
      </c>
      <c r="B38" s="21" t="s">
        <v>153</v>
      </c>
      <c r="C38" s="21" t="s">
        <v>122</v>
      </c>
      <c r="D38" s="37" t="n">
        <f aca="false">ROUND(Q38*R38,0)</f>
        <v>1127</v>
      </c>
      <c r="E38" s="37" t="n">
        <f aca="false">ROUND(Q38,0)-D38</f>
        <v>1051</v>
      </c>
      <c r="F38" s="37" t="n">
        <f aca="false">IF(COUNTA(D38:E38)=0,"",SUM(D38:E38))</f>
        <v>2178</v>
      </c>
      <c r="G38" s="52" t="n">
        <f aca="false">IF(OR(F38="",F38=0),"",D38/F38)</f>
        <v>0.517447199265381</v>
      </c>
      <c r="H38" s="52" t="n">
        <f aca="false">IF(OR(F38="",F38=0),"",E38/F38)</f>
        <v>0.482552800734619</v>
      </c>
      <c r="I38" s="21" t="s">
        <v>123</v>
      </c>
      <c r="J38" s="53" t="n">
        <v>1.46865275115369</v>
      </c>
      <c r="K38" s="52" t="n">
        <f aca="false">IF(G38="","",MAX(0,G38-J38/100))</f>
        <v>0.502760671753844</v>
      </c>
      <c r="L38" s="52" t="n">
        <f aca="false">IF(G38="","",MIN(1,G38+J38/100))</f>
        <v>0.532133726776918</v>
      </c>
      <c r="M38" s="37" t="n">
        <f aca="false">IF(F38="","",ROUND(F38*J38/100,0))</f>
        <v>32</v>
      </c>
      <c r="P38" s="54" t="n">
        <v>10.9663414736809</v>
      </c>
      <c r="Q38" s="55" t="n">
        <f aca="false">T38*$H$5</f>
        <v>2177.82706204834</v>
      </c>
      <c r="R38" s="56" t="n">
        <f aca="false">MAX(0,MIN(1,P38/100+$D$5))</f>
        <v>0.517425660508113</v>
      </c>
      <c r="S38" s="57" t="s">
        <v>130</v>
      </c>
      <c r="T38" s="55" t="n">
        <v>2177.82706204834</v>
      </c>
    </row>
    <row r="39" customFormat="false" ht="15" hidden="false" customHeight="false" outlineLevel="0" collapsed="false">
      <c r="A39" s="21" t="s">
        <v>149</v>
      </c>
      <c r="B39" s="21" t="s">
        <v>154</v>
      </c>
      <c r="C39" s="21" t="s">
        <v>122</v>
      </c>
      <c r="D39" s="37" t="n">
        <f aca="false">ROUND(Q39*R39,0)</f>
        <v>619</v>
      </c>
      <c r="E39" s="37" t="n">
        <f aca="false">ROUND(Q39,0)-D39</f>
        <v>651</v>
      </c>
      <c r="F39" s="37" t="n">
        <f aca="false">IF(COUNTA(D39:E39)=0,"",SUM(D39:E39))</f>
        <v>1270</v>
      </c>
      <c r="G39" s="52" t="n">
        <f aca="false">IF(OR(F39="",F39=0),"",D39/F39)</f>
        <v>0.48740157480315</v>
      </c>
      <c r="H39" s="52" t="n">
        <f aca="false">IF(OR(F39="",F39=0),"",E39/F39)</f>
        <v>0.51259842519685</v>
      </c>
      <c r="I39" s="21" t="s">
        <v>123</v>
      </c>
      <c r="J39" s="53" t="n">
        <v>2.52149049515553</v>
      </c>
      <c r="K39" s="52" t="n">
        <f aca="false">IF(G39="","",MAX(0,G39-J39/100))</f>
        <v>0.462186669851594</v>
      </c>
      <c r="L39" s="52" t="n">
        <f aca="false">IF(G39="","",MIN(1,G39+J39/100))</f>
        <v>0.512616479754705</v>
      </c>
      <c r="M39" s="37" t="n">
        <f aca="false">IF(F39="","",ROUND(F39*J39/100,0))</f>
        <v>32</v>
      </c>
      <c r="P39" s="54" t="n">
        <v>7.96030635921993</v>
      </c>
      <c r="Q39" s="55" t="n">
        <f aca="false">T39*$H$5</f>
        <v>1270.44031093837</v>
      </c>
      <c r="R39" s="56" t="n">
        <f aca="false">MAX(0,MIN(1,P39/100+$D$5))</f>
        <v>0.487365309363503</v>
      </c>
      <c r="S39" s="57" t="s">
        <v>124</v>
      </c>
      <c r="T39" s="55" t="n">
        <v>1270.44031093837</v>
      </c>
    </row>
    <row r="40" customFormat="false" ht="15" hidden="false" customHeight="false" outlineLevel="0" collapsed="false">
      <c r="A40" s="21" t="s">
        <v>149</v>
      </c>
      <c r="B40" s="21" t="s">
        <v>155</v>
      </c>
      <c r="C40" s="21" t="s">
        <v>122</v>
      </c>
      <c r="D40" s="37" t="n">
        <f aca="false">ROUND(Q40*R40,0)</f>
        <v>695</v>
      </c>
      <c r="E40" s="37" t="n">
        <f aca="false">ROUND(Q40,0)-D40</f>
        <v>669</v>
      </c>
      <c r="F40" s="37" t="n">
        <f aca="false">IF(COUNTA(D40:E40)=0,"",SUM(D40:E40))</f>
        <v>1364</v>
      </c>
      <c r="G40" s="52" t="n">
        <f aca="false">IF(OR(F40="",F40=0),"",D40/F40)</f>
        <v>0.509530791788856</v>
      </c>
      <c r="H40" s="52" t="n">
        <f aca="false">IF(OR(F40="",F40=0),"",E40/F40)</f>
        <v>0.490469208211144</v>
      </c>
      <c r="I40" s="21" t="s">
        <v>123</v>
      </c>
      <c r="J40" s="53" t="n">
        <v>2.52149049515553</v>
      </c>
      <c r="K40" s="52" t="n">
        <f aca="false">IF(G40="","",MAX(0,G40-J40/100))</f>
        <v>0.484315886837301</v>
      </c>
      <c r="L40" s="52" t="n">
        <f aca="false">IF(G40="","",MIN(1,G40+J40/100))</f>
        <v>0.534745696740412</v>
      </c>
      <c r="M40" s="37" t="n">
        <f aca="false">IF(F40="","",ROUND(F40*J40/100,0))</f>
        <v>34</v>
      </c>
      <c r="P40" s="54" t="n">
        <v>10.2120203859512</v>
      </c>
      <c r="Q40" s="55" t="n">
        <f aca="false">T40*$H$5</f>
        <v>1363.93435943866</v>
      </c>
      <c r="R40" s="56" t="n">
        <f aca="false">MAX(0,MIN(1,P40/100+$D$5))</f>
        <v>0.509882449630815</v>
      </c>
      <c r="S40" s="57" t="s">
        <v>124</v>
      </c>
      <c r="T40" s="55" t="n">
        <v>1363.93435943866</v>
      </c>
    </row>
    <row r="41" customFormat="false" ht="15" hidden="false" customHeight="false" outlineLevel="0" collapsed="false">
      <c r="A41" s="21" t="s">
        <v>149</v>
      </c>
      <c r="B41" s="21" t="s">
        <v>156</v>
      </c>
      <c r="C41" s="21" t="s">
        <v>122</v>
      </c>
      <c r="D41" s="37" t="n">
        <f aca="false">ROUND(Q41*R41,0)</f>
        <v>2849</v>
      </c>
      <c r="E41" s="37" t="n">
        <f aca="false">ROUND(Q41,0)-D41</f>
        <v>2539</v>
      </c>
      <c r="F41" s="37" t="n">
        <f aca="false">IF(COUNTA(D41:E41)=0,"",SUM(D41:E41))</f>
        <v>5388</v>
      </c>
      <c r="G41" s="52" t="n">
        <f aca="false">IF(OR(F41="",F41=0),"",D41/F41)</f>
        <v>0.528767631774313</v>
      </c>
      <c r="H41" s="52" t="n">
        <f aca="false">IF(OR(F41="",F41=0),"",E41/F41)</f>
        <v>0.471232368225687</v>
      </c>
      <c r="I41" s="21" t="s">
        <v>123</v>
      </c>
      <c r="J41" s="53" t="n">
        <v>1.1425091106871</v>
      </c>
      <c r="K41" s="52" t="n">
        <f aca="false">IF(G41="","",MAX(0,G41-J41/100))</f>
        <v>0.517342540667442</v>
      </c>
      <c r="L41" s="52" t="n">
        <f aca="false">IF(G41="","",MIN(1,G41+J41/100))</f>
        <v>0.540192722881184</v>
      </c>
      <c r="M41" s="37" t="n">
        <f aca="false">IF(F41="","",ROUND(F41*J41/100,0))</f>
        <v>62</v>
      </c>
      <c r="P41" s="54" t="n">
        <v>12.1004364161245</v>
      </c>
      <c r="Q41" s="55" t="n">
        <f aca="false">T41*$H$5</f>
        <v>5388.18679314119</v>
      </c>
      <c r="R41" s="56" t="n">
        <f aca="false">MAX(0,MIN(1,P41/100+$D$5))</f>
        <v>0.528766609932549</v>
      </c>
      <c r="S41" s="57" t="s">
        <v>144</v>
      </c>
      <c r="T41" s="55" t="n">
        <v>5388.18679314119</v>
      </c>
    </row>
    <row r="42" customFormat="false" ht="15" hidden="false" customHeight="false" outlineLevel="0" collapsed="false">
      <c r="A42" s="21" t="s">
        <v>149</v>
      </c>
      <c r="B42" s="21" t="s">
        <v>157</v>
      </c>
      <c r="C42" s="21" t="s">
        <v>122</v>
      </c>
      <c r="D42" s="37" t="n">
        <f aca="false">ROUND(Q42*R42,0)</f>
        <v>1053</v>
      </c>
      <c r="E42" s="37" t="n">
        <f aca="false">ROUND(Q42,0)-D42</f>
        <v>552</v>
      </c>
      <c r="F42" s="37" t="n">
        <f aca="false">IF(COUNTA(D42:E42)=0,"",SUM(D42:E42))</f>
        <v>1605</v>
      </c>
      <c r="G42" s="52" t="n">
        <f aca="false">IF(OR(F42="",F42=0),"",D42/F42)</f>
        <v>0.65607476635514</v>
      </c>
      <c r="H42" s="52" t="n">
        <f aca="false">IF(OR(F42="",F42=0),"",E42/F42)</f>
        <v>0.34392523364486</v>
      </c>
      <c r="I42" s="21" t="s">
        <v>123</v>
      </c>
      <c r="J42" s="53" t="n">
        <v>1.46865275115369</v>
      </c>
      <c r="K42" s="52" t="n">
        <f aca="false">IF(G42="","",MAX(0,G42-J42/100))</f>
        <v>0.641388238843603</v>
      </c>
      <c r="L42" s="52" t="n">
        <f aca="false">IF(G42="","",MIN(1,G42+J42/100))</f>
        <v>0.670761293866677</v>
      </c>
      <c r="M42" s="37" t="n">
        <f aca="false">IF(F42="","",ROUND(F42*J42/100,0))</f>
        <v>24</v>
      </c>
      <c r="P42" s="54" t="n">
        <v>24.8378193040051</v>
      </c>
      <c r="Q42" s="55" t="n">
        <f aca="false">T42*$H$5</f>
        <v>1605.4392182842</v>
      </c>
      <c r="R42" s="56" t="n">
        <f aca="false">MAX(0,MIN(1,P42/100+$D$5))</f>
        <v>0.656140438811355</v>
      </c>
      <c r="S42" s="57" t="s">
        <v>130</v>
      </c>
      <c r="T42" s="55" t="n">
        <v>1605.4392182842</v>
      </c>
    </row>
    <row r="43" customFormat="false" ht="15" hidden="false" customHeight="false" outlineLevel="0" collapsed="false">
      <c r="A43" s="21" t="s">
        <v>149</v>
      </c>
      <c r="B43" s="21" t="s">
        <v>158</v>
      </c>
      <c r="C43" s="21" t="s">
        <v>122</v>
      </c>
      <c r="D43" s="37" t="n">
        <f aca="false">ROUND(Q43*R43,0)</f>
        <v>258</v>
      </c>
      <c r="E43" s="37" t="n">
        <f aca="false">ROUND(Q43,0)-D43</f>
        <v>226</v>
      </c>
      <c r="F43" s="37" t="n">
        <f aca="false">IF(COUNTA(D43:E43)=0,"",SUM(D43:E43))</f>
        <v>484</v>
      </c>
      <c r="G43" s="52" t="n">
        <f aca="false">IF(OR(F43="",F43=0),"",D43/F43)</f>
        <v>0.533057851239669</v>
      </c>
      <c r="H43" s="52" t="n">
        <f aca="false">IF(OR(F43="",F43=0),"",E43/F43)</f>
        <v>0.466942148760331</v>
      </c>
      <c r="I43" s="21" t="s">
        <v>123</v>
      </c>
      <c r="J43" s="53" t="n">
        <v>2.52149049515553</v>
      </c>
      <c r="K43" s="52" t="n">
        <f aca="false">IF(G43="","",MAX(0,G43-J43/100))</f>
        <v>0.507842946288114</v>
      </c>
      <c r="L43" s="52" t="n">
        <f aca="false">IF(G43="","",MIN(1,G43+J43/100))</f>
        <v>0.558272756191225</v>
      </c>
      <c r="M43" s="37" t="n">
        <f aca="false">IF(F43="","",ROUND(F43*J43/100,0))</f>
        <v>12</v>
      </c>
      <c r="P43" s="54" t="n">
        <v>12.5765837353238</v>
      </c>
      <c r="Q43" s="55" t="n">
        <f aca="false">T43*$H$5</f>
        <v>483.913480885312</v>
      </c>
      <c r="R43" s="56" t="n">
        <f aca="false">MAX(0,MIN(1,P43/100+$D$5))</f>
        <v>0.533528083124542</v>
      </c>
      <c r="S43" s="57" t="s">
        <v>124</v>
      </c>
      <c r="T43" s="55" t="n">
        <v>483.913480885312</v>
      </c>
    </row>
    <row r="44" customFormat="false" ht="15" hidden="false" customHeight="false" outlineLevel="0" collapsed="false">
      <c r="A44" s="21" t="s">
        <v>149</v>
      </c>
      <c r="B44" s="21" t="s">
        <v>159</v>
      </c>
      <c r="C44" s="21" t="s">
        <v>122</v>
      </c>
      <c r="D44" s="37" t="n">
        <f aca="false">ROUND(Q44*R44,0)</f>
        <v>537</v>
      </c>
      <c r="E44" s="37" t="n">
        <f aca="false">ROUND(Q44,0)-D44</f>
        <v>1120</v>
      </c>
      <c r="F44" s="37" t="n">
        <f aca="false">IF(COUNTA(D44:E44)=0,"",SUM(D44:E44))</f>
        <v>1657</v>
      </c>
      <c r="G44" s="52" t="n">
        <f aca="false">IF(OR(F44="",F44=0),"",D44/F44)</f>
        <v>0.324079662039831</v>
      </c>
      <c r="H44" s="52" t="n">
        <f aca="false">IF(OR(F44="",F44=0),"",E44/F44)</f>
        <v>0.675920337960169</v>
      </c>
      <c r="I44" s="21" t="s">
        <v>123</v>
      </c>
      <c r="J44" s="53" t="n">
        <v>1.46865275115369</v>
      </c>
      <c r="K44" s="52" t="n">
        <f aca="false">IF(G44="","",MAX(0,G44-J44/100))</f>
        <v>0.309393134528294</v>
      </c>
      <c r="L44" s="52" t="n">
        <f aca="false">IF(G44="","",MIN(1,G44+J44/100))</f>
        <v>0.338766189551368</v>
      </c>
      <c r="M44" s="37" t="n">
        <f aca="false">IF(F44="","",ROUND(F44*J44/100,0))</f>
        <v>24</v>
      </c>
      <c r="P44" s="54" t="n">
        <v>-8.33779942171289</v>
      </c>
      <c r="Q44" s="55" t="n">
        <f aca="false">T44*$H$5</f>
        <v>1656.73758865248</v>
      </c>
      <c r="R44" s="56" t="n">
        <f aca="false">MAX(0,MIN(1,P44/100+$D$5))</f>
        <v>0.324384251554175</v>
      </c>
      <c r="S44" s="57" t="s">
        <v>130</v>
      </c>
      <c r="T44" s="55" t="n">
        <v>1656.73758865248</v>
      </c>
    </row>
    <row r="45" customFormat="false" ht="15" hidden="false" customHeight="false" outlineLevel="0" collapsed="false">
      <c r="A45" s="21" t="s">
        <v>149</v>
      </c>
      <c r="B45" s="21" t="s">
        <v>160</v>
      </c>
      <c r="C45" s="21" t="s">
        <v>122</v>
      </c>
      <c r="D45" s="37" t="n">
        <f aca="false">ROUND(Q45*R45,0)</f>
        <v>8183</v>
      </c>
      <c r="E45" s="37" t="n">
        <f aca="false">ROUND(Q45,0)-D45</f>
        <v>8152</v>
      </c>
      <c r="F45" s="37" t="n">
        <f aca="false">IF(COUNTA(D45:E45)=0,"",SUM(D45:E45))</f>
        <v>16335</v>
      </c>
      <c r="G45" s="52" t="n">
        <f aca="false">IF(OR(F45="",F45=0),"",D45/F45)</f>
        <v>0.500948882767065</v>
      </c>
      <c r="H45" s="52" t="n">
        <f aca="false">IF(OR(F45="",F45=0),"",E45/F45)</f>
        <v>0.499051117232935</v>
      </c>
      <c r="I45" s="21" t="s">
        <v>123</v>
      </c>
      <c r="J45" s="53" t="n">
        <v>1.1425091106871</v>
      </c>
      <c r="K45" s="52" t="n">
        <f aca="false">IF(G45="","",MAX(0,G45-J45/100))</f>
        <v>0.489523791660194</v>
      </c>
      <c r="L45" s="52" t="n">
        <f aca="false">IF(G45="","",MIN(1,G45+J45/100))</f>
        <v>0.512373973873936</v>
      </c>
      <c r="M45" s="37" t="n">
        <f aca="false">IF(F45="","",ROUND(F45*J45/100,0))</f>
        <v>187</v>
      </c>
      <c r="P45" s="54" t="n">
        <v>9.32028183110676</v>
      </c>
      <c r="Q45" s="55" t="n">
        <f aca="false">T45*$H$5</f>
        <v>16334.7109624891</v>
      </c>
      <c r="R45" s="56" t="n">
        <f aca="false">MAX(0,MIN(1,P45/100+$D$5))</f>
        <v>0.500965064082371</v>
      </c>
      <c r="S45" s="57" t="s">
        <v>144</v>
      </c>
      <c r="T45" s="55" t="n">
        <v>16334.7109624891</v>
      </c>
    </row>
    <row r="46" customFormat="false" ht="15" hidden="false" customHeight="false" outlineLevel="0" collapsed="false">
      <c r="A46" s="21" t="s">
        <v>149</v>
      </c>
      <c r="B46" s="21" t="s">
        <v>161</v>
      </c>
      <c r="C46" s="21" t="s">
        <v>122</v>
      </c>
      <c r="D46" s="37" t="n">
        <f aca="false">ROUND(Q46*R46,0)</f>
        <v>846</v>
      </c>
      <c r="E46" s="37" t="n">
        <f aca="false">ROUND(Q46,0)-D46</f>
        <v>1358</v>
      </c>
      <c r="F46" s="37" t="n">
        <f aca="false">IF(COUNTA(D46:E46)=0,"",SUM(D46:E46))</f>
        <v>2204</v>
      </c>
      <c r="G46" s="52" t="n">
        <f aca="false">IF(OR(F46="",F46=0),"",D46/F46)</f>
        <v>0.383847549909256</v>
      </c>
      <c r="H46" s="52" t="n">
        <f aca="false">IF(OR(F46="",F46=0),"",E46/F46)</f>
        <v>0.616152450090744</v>
      </c>
      <c r="I46" s="21" t="s">
        <v>123</v>
      </c>
      <c r="J46" s="53" t="n">
        <v>1.46865275115369</v>
      </c>
      <c r="K46" s="52" t="n">
        <f aca="false">IF(G46="","",MAX(0,G46-J46/100))</f>
        <v>0.369161022397719</v>
      </c>
      <c r="L46" s="52" t="n">
        <f aca="false">IF(G46="","",MIN(1,G46+J46/100))</f>
        <v>0.398534077420793</v>
      </c>
      <c r="M46" s="37" t="n">
        <f aca="false">IF(F46="","",ROUND(F46*J46/100,0))</f>
        <v>32</v>
      </c>
      <c r="P46" s="54" t="n">
        <v>-2.39429155498353</v>
      </c>
      <c r="Q46" s="55" t="n">
        <f aca="false">T46*$H$5</f>
        <v>2204.10505319149</v>
      </c>
      <c r="R46" s="56" t="n">
        <f aca="false">MAX(0,MIN(1,P46/100+$D$5))</f>
        <v>0.383819330221468</v>
      </c>
      <c r="S46" s="57" t="s">
        <v>130</v>
      </c>
      <c r="T46" s="55" t="n">
        <v>2204.10505319149</v>
      </c>
    </row>
    <row r="47" customFormat="false" ht="15" hidden="false" customHeight="false" outlineLevel="0" collapsed="false">
      <c r="A47" s="21" t="s">
        <v>149</v>
      </c>
      <c r="B47" s="21" t="s">
        <v>162</v>
      </c>
      <c r="C47" s="21" t="s">
        <v>122</v>
      </c>
      <c r="D47" s="37" t="n">
        <f aca="false">ROUND(Q47*R47,0)</f>
        <v>453</v>
      </c>
      <c r="E47" s="37" t="n">
        <f aca="false">ROUND(Q47,0)-D47</f>
        <v>784</v>
      </c>
      <c r="F47" s="37" t="n">
        <f aca="false">IF(COUNTA(D47:E47)=0,"",SUM(D47:E47))</f>
        <v>1237</v>
      </c>
      <c r="G47" s="52" t="n">
        <f aca="false">IF(OR(F47="",F47=0),"",D47/F47)</f>
        <v>0.366208569118836</v>
      </c>
      <c r="H47" s="52" t="n">
        <f aca="false">IF(OR(F47="",F47=0),"",E47/F47)</f>
        <v>0.633791430881164</v>
      </c>
      <c r="I47" s="21" t="s">
        <v>123</v>
      </c>
      <c r="J47" s="53" t="n">
        <v>2.52149049515553</v>
      </c>
      <c r="K47" s="52" t="n">
        <f aca="false">IF(G47="","",MAX(0,G47-J47/100))</f>
        <v>0.340993664167281</v>
      </c>
      <c r="L47" s="52" t="n">
        <f aca="false">IF(G47="","",MIN(1,G47+J47/100))</f>
        <v>0.391423474070391</v>
      </c>
      <c r="M47" s="37" t="n">
        <f aca="false">IF(F47="","",ROUND(F47*J47/100,0))</f>
        <v>31</v>
      </c>
      <c r="P47" s="54" t="n">
        <v>-4.15615855709222</v>
      </c>
      <c r="Q47" s="55" t="n">
        <f aca="false">T47*$H$5</f>
        <v>1236.97340124505</v>
      </c>
      <c r="R47" s="56" t="n">
        <f aca="false">MAX(0,MIN(1,P47/100+$D$5))</f>
        <v>0.366200660200381</v>
      </c>
      <c r="S47" s="57" t="s">
        <v>124</v>
      </c>
      <c r="T47" s="55" t="n">
        <v>1236.97340124505</v>
      </c>
    </row>
    <row r="48" customFormat="false" ht="15" hidden="false" customHeight="false" outlineLevel="0" collapsed="false">
      <c r="A48" s="21" t="s">
        <v>149</v>
      </c>
      <c r="B48" s="21" t="s">
        <v>163</v>
      </c>
      <c r="C48" s="21" t="s">
        <v>122</v>
      </c>
      <c r="D48" s="37" t="n">
        <f aca="false">ROUND(Q48*R48,0)</f>
        <v>714</v>
      </c>
      <c r="E48" s="37" t="n">
        <f aca="false">ROUND(Q48,0)-D48</f>
        <v>1478</v>
      </c>
      <c r="F48" s="37" t="n">
        <f aca="false">IF(COUNTA(D48:E48)=0,"",SUM(D48:E48))</f>
        <v>2192</v>
      </c>
      <c r="G48" s="52" t="n">
        <f aca="false">IF(OR(F48="",F48=0),"",D48/F48)</f>
        <v>0.325729927007299</v>
      </c>
      <c r="H48" s="52" t="n">
        <f aca="false">IF(OR(F48="",F48=0),"",E48/F48)</f>
        <v>0.674270072992701</v>
      </c>
      <c r="I48" s="21" t="s">
        <v>123</v>
      </c>
      <c r="J48" s="53" t="n">
        <v>1.46865275115369</v>
      </c>
      <c r="K48" s="52" t="n">
        <f aca="false">IF(G48="","",MAX(0,G48-J48/100))</f>
        <v>0.311043399495762</v>
      </c>
      <c r="L48" s="52" t="n">
        <f aca="false">IF(G48="","",MIN(1,G48+J48/100))</f>
        <v>0.340416454518836</v>
      </c>
      <c r="M48" s="37" t="n">
        <f aca="false">IF(F48="","",ROUND(F48*J48/100,0))</f>
        <v>32</v>
      </c>
      <c r="P48" s="54" t="n">
        <v>-8.20169028404295</v>
      </c>
      <c r="Q48" s="55" t="n">
        <f aca="false">T48*$H$5</f>
        <v>2191.88036117382</v>
      </c>
      <c r="R48" s="56" t="n">
        <f aca="false">MAX(0,MIN(1,P48/100+$D$5))</f>
        <v>0.325745342930874</v>
      </c>
      <c r="S48" s="57" t="s">
        <v>130</v>
      </c>
      <c r="T48" s="55" t="n">
        <v>2191.88036117382</v>
      </c>
    </row>
    <row r="49" customFormat="false" ht="15" hidden="false" customHeight="false" outlineLevel="0" collapsed="false">
      <c r="A49" s="21" t="s">
        <v>149</v>
      </c>
      <c r="B49" s="21" t="s">
        <v>164</v>
      </c>
      <c r="C49" s="21" t="s">
        <v>122</v>
      </c>
      <c r="D49" s="37" t="n">
        <f aca="false">ROUND(Q49*R49,0)</f>
        <v>791</v>
      </c>
      <c r="E49" s="37" t="n">
        <f aca="false">ROUND(Q49,0)-D49</f>
        <v>722</v>
      </c>
      <c r="F49" s="37" t="n">
        <f aca="false">IF(COUNTA(D49:E49)=0,"",SUM(D49:E49))</f>
        <v>1513</v>
      </c>
      <c r="G49" s="52" t="n">
        <f aca="false">IF(OR(F49="",F49=0),"",D49/F49)</f>
        <v>0.522802379378718</v>
      </c>
      <c r="H49" s="52" t="n">
        <f aca="false">IF(OR(F49="",F49=0),"",E49/F49)</f>
        <v>0.477197620621282</v>
      </c>
      <c r="I49" s="21" t="s">
        <v>123</v>
      </c>
      <c r="J49" s="53" t="n">
        <v>2.52149049515553</v>
      </c>
      <c r="K49" s="52" t="n">
        <f aca="false">IF(G49="","",MAX(0,G49-J49/100))</f>
        <v>0.497587474427163</v>
      </c>
      <c r="L49" s="52" t="n">
        <f aca="false">IF(G49="","",MIN(1,G49+J49/100))</f>
        <v>0.548017284330273</v>
      </c>
      <c r="M49" s="37" t="n">
        <f aca="false">IF(F49="","",ROUND(F49*J49/100,0))</f>
        <v>38</v>
      </c>
      <c r="P49" s="54" t="n">
        <v>11.5275797218019</v>
      </c>
      <c r="Q49" s="55" t="n">
        <f aca="false">T49*$H$5</f>
        <v>1512.74151436031</v>
      </c>
      <c r="R49" s="56" t="n">
        <f aca="false">MAX(0,MIN(1,P49/100+$D$5))</f>
        <v>0.523038042989323</v>
      </c>
      <c r="S49" s="57" t="s">
        <v>124</v>
      </c>
      <c r="T49" s="55" t="n">
        <v>1512.74151436031</v>
      </c>
    </row>
    <row r="50" customFormat="false" ht="15" hidden="false" customHeight="false" outlineLevel="0" collapsed="false">
      <c r="A50" s="21" t="s">
        <v>149</v>
      </c>
      <c r="B50" s="21" t="s">
        <v>165</v>
      </c>
      <c r="C50" s="21" t="s">
        <v>122</v>
      </c>
      <c r="D50" s="37" t="n">
        <f aca="false">ROUND(Q50*R50,0)</f>
        <v>3297</v>
      </c>
      <c r="E50" s="37" t="n">
        <f aca="false">ROUND(Q50,0)-D50</f>
        <v>4600</v>
      </c>
      <c r="F50" s="37" t="n">
        <f aca="false">IF(COUNTA(D50:E50)=0,"",SUM(D50:E50))</f>
        <v>7897</v>
      </c>
      <c r="G50" s="52" t="n">
        <f aca="false">IF(OR(F50="",F50=0),"",D50/F50)</f>
        <v>0.417500316575915</v>
      </c>
      <c r="H50" s="52" t="n">
        <f aca="false">IF(OR(F50="",F50=0),"",E50/F50)</f>
        <v>0.582499683424085</v>
      </c>
      <c r="I50" s="21" t="s">
        <v>123</v>
      </c>
      <c r="J50" s="53" t="n">
        <v>1.1425091106871</v>
      </c>
      <c r="K50" s="52" t="n">
        <f aca="false">IF(G50="","",MAX(0,G50-J50/100))</f>
        <v>0.406075225469044</v>
      </c>
      <c r="L50" s="52" t="n">
        <f aca="false">IF(G50="","",MIN(1,G50+J50/100))</f>
        <v>0.428925407682786</v>
      </c>
      <c r="M50" s="37" t="n">
        <f aca="false">IF(F50="","",ROUND(F50*J50/100,0))</f>
        <v>90</v>
      </c>
      <c r="P50" s="54" t="n">
        <v>0.982379290056311</v>
      </c>
      <c r="Q50" s="55" t="n">
        <f aca="false">T50*$H$5</f>
        <v>7896.51133047211</v>
      </c>
      <c r="R50" s="56" t="n">
        <f aca="false">MAX(0,MIN(1,P50/100+$D$5))</f>
        <v>0.417586038671867</v>
      </c>
      <c r="S50" s="57" t="s">
        <v>144</v>
      </c>
      <c r="T50" s="55" t="n">
        <v>7896.5113304721</v>
      </c>
    </row>
    <row r="51" customFormat="false" ht="15" hidden="false" customHeight="false" outlineLevel="0" collapsed="false">
      <c r="A51" s="21" t="s">
        <v>149</v>
      </c>
      <c r="B51" s="21" t="s">
        <v>166</v>
      </c>
      <c r="C51" s="21" t="s">
        <v>122</v>
      </c>
      <c r="D51" s="37" t="n">
        <f aca="false">ROUND(Q51*R51,0)</f>
        <v>3207</v>
      </c>
      <c r="E51" s="37" t="n">
        <f aca="false">ROUND(Q51,0)-D51</f>
        <v>3223</v>
      </c>
      <c r="F51" s="37" t="n">
        <f aca="false">IF(COUNTA(D51:E51)=0,"",SUM(D51:E51))</f>
        <v>6430</v>
      </c>
      <c r="G51" s="52" t="n">
        <f aca="false">IF(OR(F51="",F51=0),"",D51/F51)</f>
        <v>0.498755832037325</v>
      </c>
      <c r="H51" s="52" t="n">
        <f aca="false">IF(OR(F51="",F51=0),"",E51/F51)</f>
        <v>0.501244167962675</v>
      </c>
      <c r="I51" s="21" t="s">
        <v>123</v>
      </c>
      <c r="J51" s="53" t="n">
        <v>1.1425091106871</v>
      </c>
      <c r="K51" s="52" t="n">
        <f aca="false">IF(G51="","",MAX(0,G51-J51/100))</f>
        <v>0.487330740930454</v>
      </c>
      <c r="L51" s="52" t="n">
        <f aca="false">IF(G51="","",MIN(1,G51+J51/100))</f>
        <v>0.510180923144196</v>
      </c>
      <c r="M51" s="37" t="n">
        <f aca="false">IF(F51="","",ROUND(F51*J51/100,0))</f>
        <v>73</v>
      </c>
      <c r="P51" s="54" t="n">
        <v>9.09651864844943</v>
      </c>
      <c r="Q51" s="55" t="n">
        <f aca="false">T51*$H$5</f>
        <v>6429.97090760091</v>
      </c>
      <c r="R51" s="56" t="n">
        <f aca="false">MAX(0,MIN(1,P51/100+$D$5))</f>
        <v>0.498727432255798</v>
      </c>
      <c r="S51" s="57" t="s">
        <v>144</v>
      </c>
      <c r="T51" s="55" t="n">
        <v>6429.9709076009</v>
      </c>
    </row>
    <row r="52" customFormat="false" ht="15" hidden="false" customHeight="false" outlineLevel="0" collapsed="false">
      <c r="A52" s="21" t="s">
        <v>149</v>
      </c>
      <c r="B52" s="21" t="s">
        <v>167</v>
      </c>
      <c r="C52" s="21" t="s">
        <v>122</v>
      </c>
      <c r="D52" s="37" t="n">
        <f aca="false">ROUND(Q52*R52,0)</f>
        <v>590</v>
      </c>
      <c r="E52" s="37" t="n">
        <f aca="false">ROUND(Q52,0)-D52</f>
        <v>800</v>
      </c>
      <c r="F52" s="37" t="n">
        <f aca="false">IF(COUNTA(D52:E52)=0,"",SUM(D52:E52))</f>
        <v>1390</v>
      </c>
      <c r="G52" s="52" t="n">
        <f aca="false">IF(OR(F52="",F52=0),"",D52/F52)</f>
        <v>0.424460431654676</v>
      </c>
      <c r="H52" s="52" t="n">
        <f aca="false">IF(OR(F52="",F52=0),"",E52/F52)</f>
        <v>0.575539568345324</v>
      </c>
      <c r="I52" s="21" t="s">
        <v>123</v>
      </c>
      <c r="J52" s="53" t="n">
        <v>2.52149049515553</v>
      </c>
      <c r="K52" s="52" t="n">
        <f aca="false">IF(G52="","",MAX(0,G52-J52/100))</f>
        <v>0.399245526703121</v>
      </c>
      <c r="L52" s="52" t="n">
        <f aca="false">IF(G52="","",MIN(1,G52+J52/100))</f>
        <v>0.449675336606232</v>
      </c>
      <c r="M52" s="37" t="n">
        <f aca="false">IF(F52="","",ROUND(F52*J52/100,0))</f>
        <v>35</v>
      </c>
      <c r="P52" s="54" t="n">
        <v>1.65869562536131</v>
      </c>
      <c r="Q52" s="55" t="n">
        <f aca="false">T52*$H$5</f>
        <v>1390.15942028985</v>
      </c>
      <c r="R52" s="56" t="n">
        <f aca="false">MAX(0,MIN(1,P52/100+$D$5))</f>
        <v>0.424349202024917</v>
      </c>
      <c r="S52" s="57" t="s">
        <v>124</v>
      </c>
      <c r="T52" s="55" t="n">
        <v>1390.15942028985</v>
      </c>
    </row>
    <row r="53" customFormat="false" ht="15" hidden="false" customHeight="false" outlineLevel="0" collapsed="false">
      <c r="A53" s="21" t="s">
        <v>149</v>
      </c>
      <c r="B53" s="21" t="s">
        <v>168</v>
      </c>
      <c r="C53" s="21" t="s">
        <v>122</v>
      </c>
      <c r="D53" s="37" t="n">
        <f aca="false">ROUND(Q53*R53,0)</f>
        <v>5532</v>
      </c>
      <c r="E53" s="37" t="n">
        <f aca="false">ROUND(Q53,0)-D53</f>
        <v>4954</v>
      </c>
      <c r="F53" s="37" t="n">
        <f aca="false">IF(COUNTA(D53:E53)=0,"",SUM(D53:E53))</f>
        <v>10486</v>
      </c>
      <c r="G53" s="52" t="n">
        <f aca="false">IF(OR(F53="",F53=0),"",D53/F53)</f>
        <v>0.527560556933054</v>
      </c>
      <c r="H53" s="52" t="n">
        <f aca="false">IF(OR(F53="",F53=0),"",E53/F53)</f>
        <v>0.472439443066946</v>
      </c>
      <c r="I53" s="21" t="s">
        <v>123</v>
      </c>
      <c r="J53" s="53" t="n">
        <v>1.1425091106871</v>
      </c>
      <c r="K53" s="52" t="n">
        <f aca="false">IF(G53="","",MAX(0,G53-J53/100))</f>
        <v>0.516135465826183</v>
      </c>
      <c r="L53" s="52" t="n">
        <f aca="false">IF(G53="","",MIN(1,G53+J53/100))</f>
        <v>0.538985648039925</v>
      </c>
      <c r="M53" s="37" t="n">
        <f aca="false">IF(F53="","",ROUND(F53*J53/100,0))</f>
        <v>120</v>
      </c>
      <c r="P53" s="54" t="n">
        <v>11.9833988618109</v>
      </c>
      <c r="Q53" s="55" t="n">
        <f aca="false">T53*$H$5</f>
        <v>10486.1559171025</v>
      </c>
      <c r="R53" s="56" t="n">
        <f aca="false">MAX(0,MIN(1,P53/100+$D$5))</f>
        <v>0.527596234389412</v>
      </c>
      <c r="S53" s="57" t="s">
        <v>144</v>
      </c>
      <c r="T53" s="55" t="n">
        <v>10486.1559171025</v>
      </c>
    </row>
    <row r="54" customFormat="false" ht="15" hidden="false" customHeight="false" outlineLevel="0" collapsed="false">
      <c r="A54" s="21" t="s">
        <v>149</v>
      </c>
      <c r="B54" s="21" t="s">
        <v>169</v>
      </c>
      <c r="C54" s="21" t="s">
        <v>122</v>
      </c>
      <c r="D54" s="37" t="n">
        <f aca="false">ROUND(Q54*R54,0)</f>
        <v>6239</v>
      </c>
      <c r="E54" s="37" t="n">
        <f aca="false">ROUND(Q54,0)-D54</f>
        <v>5791</v>
      </c>
      <c r="F54" s="37" t="n">
        <f aca="false">IF(COUNTA(D54:E54)=0,"",SUM(D54:E54))</f>
        <v>12030</v>
      </c>
      <c r="G54" s="52" t="n">
        <f aca="false">IF(OR(F54="",F54=0),"",D54/F54)</f>
        <v>0.518620116375727</v>
      </c>
      <c r="H54" s="52" t="n">
        <f aca="false">IF(OR(F54="",F54=0),"",E54/F54)</f>
        <v>0.481379883624273</v>
      </c>
      <c r="I54" s="21" t="s">
        <v>123</v>
      </c>
      <c r="J54" s="53" t="n">
        <v>1.1425091106871</v>
      </c>
      <c r="K54" s="52" t="n">
        <f aca="false">IF(G54="","",MAX(0,G54-J54/100))</f>
        <v>0.507195025268856</v>
      </c>
      <c r="L54" s="52" t="n">
        <f aca="false">IF(G54="","",MIN(1,G54+J54/100))</f>
        <v>0.530045207482598</v>
      </c>
      <c r="M54" s="37" t="n">
        <f aca="false">IF(F54="","",ROUND(F54*J54/100,0))</f>
        <v>137</v>
      </c>
      <c r="P54" s="54" t="n">
        <v>11.0864197979405</v>
      </c>
      <c r="Q54" s="55" t="n">
        <f aca="false">T54*$H$5</f>
        <v>12030.3346699902</v>
      </c>
      <c r="R54" s="56" t="n">
        <f aca="false">MAX(0,MIN(1,P54/100+$D$5))</f>
        <v>0.518626443750708</v>
      </c>
      <c r="S54" s="57" t="s">
        <v>144</v>
      </c>
      <c r="T54" s="55" t="n">
        <v>12030.3346699902</v>
      </c>
    </row>
    <row r="55" customFormat="false" ht="15" hidden="false" customHeight="false" outlineLevel="0" collapsed="false">
      <c r="A55" s="21" t="s">
        <v>149</v>
      </c>
      <c r="B55" s="21" t="s">
        <v>170</v>
      </c>
      <c r="C55" s="21" t="s">
        <v>122</v>
      </c>
      <c r="D55" s="37" t="n">
        <f aca="false">ROUND(Q55*R55,0)</f>
        <v>2081</v>
      </c>
      <c r="E55" s="37" t="n">
        <f aca="false">ROUND(Q55,0)-D55</f>
        <v>2533</v>
      </c>
      <c r="F55" s="37" t="n">
        <f aca="false">IF(COUNTA(D55:E55)=0,"",SUM(D55:E55))</f>
        <v>4614</v>
      </c>
      <c r="G55" s="52" t="n">
        <f aca="false">IF(OR(F55="",F55=0),"",D55/F55)</f>
        <v>0.451018638925011</v>
      </c>
      <c r="H55" s="52" t="n">
        <f aca="false">IF(OR(F55="",F55=0),"",E55/F55)</f>
        <v>0.548981361074989</v>
      </c>
      <c r="I55" s="21" t="s">
        <v>123</v>
      </c>
      <c r="J55" s="53" t="n">
        <v>1.1425091106871</v>
      </c>
      <c r="K55" s="52" t="n">
        <f aca="false">IF(G55="","",MAX(0,G55-J55/100))</f>
        <v>0.43959354781814</v>
      </c>
      <c r="L55" s="52" t="n">
        <f aca="false">IF(G55="","",MIN(1,G55+J55/100))</f>
        <v>0.462443730031882</v>
      </c>
      <c r="M55" s="37" t="n">
        <f aca="false">IF(F55="","",ROUND(F55*J55/100,0))</f>
        <v>53</v>
      </c>
      <c r="P55" s="54" t="n">
        <v>4.32752638825304</v>
      </c>
      <c r="Q55" s="55" t="n">
        <f aca="false">T55*$H$5</f>
        <v>4613.50991276765</v>
      </c>
      <c r="R55" s="56" t="n">
        <f aca="false">MAX(0,MIN(1,P55/100+$D$5))</f>
        <v>0.451037509653834</v>
      </c>
      <c r="S55" s="57" t="s">
        <v>144</v>
      </c>
      <c r="T55" s="55" t="n">
        <v>4613.50991276765</v>
      </c>
    </row>
    <row r="56" customFormat="false" ht="15" hidden="false" customHeight="false" outlineLevel="0" collapsed="false">
      <c r="A56" s="21" t="s">
        <v>149</v>
      </c>
      <c r="B56" s="21" t="s">
        <v>171</v>
      </c>
      <c r="C56" s="21" t="s">
        <v>122</v>
      </c>
      <c r="D56" s="37" t="n">
        <f aca="false">ROUND(Q56*R56,0)</f>
        <v>4625</v>
      </c>
      <c r="E56" s="37" t="n">
        <f aca="false">ROUND(Q56,0)-D56</f>
        <v>4719</v>
      </c>
      <c r="F56" s="37" t="n">
        <f aca="false">IF(COUNTA(D56:E56)=0,"",SUM(D56:E56))</f>
        <v>9344</v>
      </c>
      <c r="G56" s="52" t="n">
        <f aca="false">IF(OR(F56="",F56=0),"",D56/F56)</f>
        <v>0.494970034246575</v>
      </c>
      <c r="H56" s="52" t="n">
        <f aca="false">IF(OR(F56="",F56=0),"",E56/F56)</f>
        <v>0.505029965753425</v>
      </c>
      <c r="I56" s="21" t="s">
        <v>123</v>
      </c>
      <c r="J56" s="53" t="n">
        <v>1.1425091106871</v>
      </c>
      <c r="K56" s="52" t="n">
        <f aca="false">IF(G56="","",MAX(0,G56-J56/100))</f>
        <v>0.483544943139704</v>
      </c>
      <c r="L56" s="52" t="n">
        <f aca="false">IF(G56="","",MIN(1,G56+J56/100))</f>
        <v>0.506395125353446</v>
      </c>
      <c r="M56" s="37" t="n">
        <f aca="false">IF(F56="","",ROUND(F56*J56/100,0))</f>
        <v>107</v>
      </c>
      <c r="P56" s="54" t="n">
        <v>8.72042198930291</v>
      </c>
      <c r="Q56" s="55" t="n">
        <f aca="false">T56*$H$5</f>
        <v>9343.93860561915</v>
      </c>
      <c r="R56" s="56" t="n">
        <f aca="false">MAX(0,MIN(1,P56/100+$D$5))</f>
        <v>0.494966465664333</v>
      </c>
      <c r="S56" s="57" t="s">
        <v>144</v>
      </c>
      <c r="T56" s="55" t="n">
        <v>9343.93860561915</v>
      </c>
    </row>
    <row r="57" customFormat="false" ht="15" hidden="false" customHeight="false" outlineLevel="0" collapsed="false">
      <c r="A57" s="21" t="s">
        <v>149</v>
      </c>
      <c r="B57" s="21" t="s">
        <v>172</v>
      </c>
      <c r="C57" s="21" t="s">
        <v>122</v>
      </c>
      <c r="D57" s="37" t="n">
        <f aca="false">ROUND(Q57*R57,0)</f>
        <v>1048</v>
      </c>
      <c r="E57" s="37" t="n">
        <f aca="false">ROUND(Q57,0)-D57</f>
        <v>2055</v>
      </c>
      <c r="F57" s="37" t="n">
        <f aca="false">IF(COUNTA(D57:E57)=0,"",SUM(D57:E57))</f>
        <v>3103</v>
      </c>
      <c r="G57" s="52" t="n">
        <f aca="false">IF(OR(F57="",F57=0),"",D57/F57)</f>
        <v>0.337737673219465</v>
      </c>
      <c r="H57" s="52" t="n">
        <f aca="false">IF(OR(F57="",F57=0),"",E57/F57)</f>
        <v>0.662262326780535</v>
      </c>
      <c r="I57" s="21" t="s">
        <v>123</v>
      </c>
      <c r="J57" s="53" t="n">
        <v>1.46865275115369</v>
      </c>
      <c r="K57" s="52" t="n">
        <f aca="false">IF(G57="","",MAX(0,G57-J57/100))</f>
        <v>0.323051145707928</v>
      </c>
      <c r="L57" s="52" t="n">
        <f aca="false">IF(G57="","",MIN(1,G57+J57/100))</f>
        <v>0.352424200731002</v>
      </c>
      <c r="M57" s="37" t="n">
        <f aca="false">IF(F57="","",ROUND(F57*J57/100,0))</f>
        <v>46</v>
      </c>
      <c r="P57" s="54" t="n">
        <v>-7.00972360291474</v>
      </c>
      <c r="Q57" s="55" t="n">
        <f aca="false">T57*$H$5</f>
        <v>3102.86358754028</v>
      </c>
      <c r="R57" s="56" t="n">
        <f aca="false">MAX(0,MIN(1,P57/100+$D$5))</f>
        <v>0.337665009742156</v>
      </c>
      <c r="S57" s="57" t="s">
        <v>130</v>
      </c>
      <c r="T57" s="55" t="n">
        <v>3102.86358754028</v>
      </c>
    </row>
    <row r="58" customFormat="false" ht="15" hidden="false" customHeight="false" outlineLevel="0" collapsed="false">
      <c r="A58" s="21" t="s">
        <v>149</v>
      </c>
      <c r="B58" s="21" t="s">
        <v>173</v>
      </c>
      <c r="C58" s="21" t="s">
        <v>122</v>
      </c>
      <c r="D58" s="37" t="n">
        <f aca="false">ROUND(Q58*R58,0)</f>
        <v>982</v>
      </c>
      <c r="E58" s="37" t="n">
        <f aca="false">ROUND(Q58,0)-D58</f>
        <v>1758</v>
      </c>
      <c r="F58" s="37" t="n">
        <f aca="false">IF(COUNTA(D58:E58)=0,"",SUM(D58:E58))</f>
        <v>2740</v>
      </c>
      <c r="G58" s="52" t="n">
        <f aca="false">IF(OR(F58="",F58=0),"",D58/F58)</f>
        <v>0.358394160583942</v>
      </c>
      <c r="H58" s="52" t="n">
        <f aca="false">IF(OR(F58="",F58=0),"",E58/F58)</f>
        <v>0.641605839416058</v>
      </c>
      <c r="I58" s="21" t="s">
        <v>123</v>
      </c>
      <c r="J58" s="53" t="n">
        <v>1.46865275115369</v>
      </c>
      <c r="K58" s="52" t="n">
        <f aca="false">IF(G58="","",MAX(0,G58-J58/100))</f>
        <v>0.343707633072405</v>
      </c>
      <c r="L58" s="52" t="n">
        <f aca="false">IF(G58="","",MIN(1,G58+J58/100))</f>
        <v>0.373080688095479</v>
      </c>
      <c r="M58" s="37" t="n">
        <f aca="false">IF(F58="","",ROUND(F58*J58/100,0))</f>
        <v>40</v>
      </c>
      <c r="P58" s="54" t="n">
        <v>-4.92582213207067</v>
      </c>
      <c r="Q58" s="55" t="n">
        <f aca="false">T58*$H$5</f>
        <v>2739.5017118778</v>
      </c>
      <c r="R58" s="56" t="n">
        <f aca="false">MAX(0,MIN(1,P58/100+$D$5))</f>
        <v>0.358504024450597</v>
      </c>
      <c r="S58" s="57" t="s">
        <v>130</v>
      </c>
      <c r="T58" s="55" t="n">
        <v>2739.5017118778</v>
      </c>
    </row>
    <row r="59" customFormat="false" ht="15" hidden="false" customHeight="false" outlineLevel="0" collapsed="false">
      <c r="A59" s="21" t="s">
        <v>149</v>
      </c>
      <c r="B59" s="21" t="s">
        <v>174</v>
      </c>
      <c r="C59" s="21" t="s">
        <v>122</v>
      </c>
      <c r="D59" s="37" t="n">
        <f aca="false">ROUND(Q59*R59,0)</f>
        <v>5413</v>
      </c>
      <c r="E59" s="37" t="n">
        <f aca="false">ROUND(Q59,0)-D59</f>
        <v>5091</v>
      </c>
      <c r="F59" s="37" t="n">
        <f aca="false">IF(COUNTA(D59:E59)=0,"",SUM(D59:E59))</f>
        <v>10504</v>
      </c>
      <c r="G59" s="52" t="n">
        <f aca="false">IF(OR(F59="",F59=0),"",D59/F59)</f>
        <v>0.51532749428789</v>
      </c>
      <c r="H59" s="52" t="n">
        <f aca="false">IF(OR(F59="",F59=0),"",E59/F59)</f>
        <v>0.48467250571211</v>
      </c>
      <c r="I59" s="21" t="s">
        <v>123</v>
      </c>
      <c r="J59" s="53" t="n">
        <v>1.1425091106871</v>
      </c>
      <c r="K59" s="52" t="n">
        <f aca="false">IF(G59="","",MAX(0,G59-J59/100))</f>
        <v>0.503902403181019</v>
      </c>
      <c r="L59" s="52" t="n">
        <f aca="false">IF(G59="","",MIN(1,G59+J59/100))</f>
        <v>0.526752585394761</v>
      </c>
      <c r="M59" s="37" t="n">
        <f aca="false">IF(F59="","",ROUND(F59*J59/100,0))</f>
        <v>120</v>
      </c>
      <c r="P59" s="54" t="n">
        <v>10.7568567922539</v>
      </c>
      <c r="Q59" s="55" t="n">
        <f aca="false">T59*$H$5</f>
        <v>10504.2978562557</v>
      </c>
      <c r="R59" s="56" t="n">
        <f aca="false">MAX(0,MIN(1,P59/100+$D$5))</f>
        <v>0.515330813693843</v>
      </c>
      <c r="S59" s="57" t="s">
        <v>144</v>
      </c>
      <c r="T59" s="55" t="n">
        <v>10504.2978562557</v>
      </c>
    </row>
    <row r="60" customFormat="false" ht="15" hidden="false" customHeight="false" outlineLevel="0" collapsed="false">
      <c r="A60" s="21" t="s">
        <v>175</v>
      </c>
      <c r="B60" s="21" t="s">
        <v>176</v>
      </c>
      <c r="C60" s="21" t="s">
        <v>122</v>
      </c>
      <c r="D60" s="37" t="n">
        <f aca="false">ROUND(Q60*R60,0)</f>
        <v>387</v>
      </c>
      <c r="E60" s="37" t="n">
        <f aca="false">ROUND(Q60,0)-D60</f>
        <v>847</v>
      </c>
      <c r="F60" s="37" t="n">
        <f aca="false">IF(COUNTA(D60:E60)=0,"",SUM(D60:E60))</f>
        <v>1234</v>
      </c>
      <c r="G60" s="52" t="n">
        <f aca="false">IF(OR(F60="",F60=0),"",D60/F60)</f>
        <v>0.313614262560778</v>
      </c>
      <c r="H60" s="52" t="n">
        <f aca="false">IF(OR(F60="",F60=0),"",E60/F60)</f>
        <v>0.686385737439222</v>
      </c>
      <c r="I60" s="21" t="s">
        <v>123</v>
      </c>
      <c r="J60" s="53" t="n">
        <v>2.52149049515553</v>
      </c>
      <c r="K60" s="52" t="n">
        <f aca="false">IF(G60="","",MAX(0,G60-J60/100))</f>
        <v>0.288399357609223</v>
      </c>
      <c r="L60" s="52" t="n">
        <f aca="false">IF(G60="","",MIN(1,G60+J60/100))</f>
        <v>0.338829167512333</v>
      </c>
      <c r="M60" s="37" t="n">
        <f aca="false">IF(F60="","",ROUND(F60*J60/100,0))</f>
        <v>31</v>
      </c>
      <c r="P60" s="54" t="n">
        <v>-9.43130270698304</v>
      </c>
      <c r="Q60" s="55" t="n">
        <f aca="false">T60*$H$5</f>
        <v>1234.45226917058</v>
      </c>
      <c r="R60" s="56" t="n">
        <f aca="false">MAX(0,MIN(1,P60/100+$D$5))</f>
        <v>0.313449218701473</v>
      </c>
      <c r="S60" s="57" t="s">
        <v>124</v>
      </c>
      <c r="T60" s="55" t="n">
        <v>1234.45226917058</v>
      </c>
    </row>
    <row r="61" customFormat="false" ht="15" hidden="false" customHeight="false" outlineLevel="0" collapsed="false">
      <c r="A61" s="21" t="s">
        <v>175</v>
      </c>
      <c r="B61" s="21" t="s">
        <v>177</v>
      </c>
      <c r="C61" s="21" t="s">
        <v>122</v>
      </c>
      <c r="D61" s="37" t="n">
        <f aca="false">ROUND(Q61*R61,0)</f>
        <v>1069</v>
      </c>
      <c r="E61" s="37" t="n">
        <f aca="false">ROUND(Q61,0)-D61</f>
        <v>2081</v>
      </c>
      <c r="F61" s="37" t="n">
        <f aca="false">IF(COUNTA(D61:E61)=0,"",SUM(D61:E61))</f>
        <v>3150</v>
      </c>
      <c r="G61" s="52" t="n">
        <f aca="false">IF(OR(F61="",F61=0),"",D61/F61)</f>
        <v>0.339365079365079</v>
      </c>
      <c r="H61" s="52" t="n">
        <f aca="false">IF(OR(F61="",F61=0),"",E61/F61)</f>
        <v>0.660634920634921</v>
      </c>
      <c r="I61" s="21" t="s">
        <v>123</v>
      </c>
      <c r="J61" s="53" t="n">
        <v>1.46865275115369</v>
      </c>
      <c r="K61" s="52" t="n">
        <f aca="false">IF(G61="","",MAX(0,G61-J61/100))</f>
        <v>0.324678551853542</v>
      </c>
      <c r="L61" s="52" t="n">
        <f aca="false">IF(G61="","",MIN(1,G61+J61/100))</f>
        <v>0.354051606876616</v>
      </c>
      <c r="M61" s="37" t="n">
        <f aca="false">IF(F61="","",ROUND(F61*J61/100,0))</f>
        <v>46</v>
      </c>
      <c r="P61" s="54" t="n">
        <v>-6.83094079255657</v>
      </c>
      <c r="Q61" s="55" t="n">
        <f aca="false">T61*$H$5</f>
        <v>3150.4485142964</v>
      </c>
      <c r="R61" s="56" t="n">
        <f aca="false">MAX(0,MIN(1,P61/100+$D$5))</f>
        <v>0.339452837845738</v>
      </c>
      <c r="S61" s="57" t="s">
        <v>130</v>
      </c>
      <c r="T61" s="55" t="n">
        <v>3150.44851429639</v>
      </c>
    </row>
    <row r="62" customFormat="false" ht="15" hidden="false" customHeight="false" outlineLevel="0" collapsed="false">
      <c r="A62" s="21" t="s">
        <v>175</v>
      </c>
      <c r="B62" s="21" t="s">
        <v>178</v>
      </c>
      <c r="C62" s="21" t="s">
        <v>122</v>
      </c>
      <c r="D62" s="37" t="n">
        <f aca="false">ROUND(Q62*R62,0)</f>
        <v>400</v>
      </c>
      <c r="E62" s="37" t="n">
        <f aca="false">ROUND(Q62,0)-D62</f>
        <v>771</v>
      </c>
      <c r="F62" s="37" t="n">
        <f aca="false">IF(COUNTA(D62:E62)=0,"",SUM(D62:E62))</f>
        <v>1171</v>
      </c>
      <c r="G62" s="52" t="n">
        <f aca="false">IF(OR(F62="",F62=0),"",D62/F62)</f>
        <v>0.341588385994876</v>
      </c>
      <c r="H62" s="52" t="n">
        <f aca="false">IF(OR(F62="",F62=0),"",E62/F62)</f>
        <v>0.658411614005124</v>
      </c>
      <c r="I62" s="21" t="s">
        <v>123</v>
      </c>
      <c r="J62" s="53" t="n">
        <v>2.52149049515553</v>
      </c>
      <c r="K62" s="52" t="n">
        <f aca="false">IF(G62="","",MAX(0,G62-J62/100))</f>
        <v>0.316373481043321</v>
      </c>
      <c r="L62" s="52" t="n">
        <f aca="false">IF(G62="","",MIN(1,G62+J62/100))</f>
        <v>0.366803290946431</v>
      </c>
      <c r="M62" s="37" t="n">
        <f aca="false">IF(F62="","",ROUND(F62*J62/100,0))</f>
        <v>30</v>
      </c>
      <c r="P62" s="54" t="n">
        <v>-6.60127786290231</v>
      </c>
      <c r="Q62" s="55" t="n">
        <f aca="false">T62*$H$5</f>
        <v>1170.82273494654</v>
      </c>
      <c r="R62" s="56" t="n">
        <f aca="false">MAX(0,MIN(1,P62/100+$D$5))</f>
        <v>0.34174946714228</v>
      </c>
      <c r="S62" s="57" t="s">
        <v>124</v>
      </c>
      <c r="T62" s="55" t="n">
        <v>1170.82273494654</v>
      </c>
    </row>
    <row r="63" customFormat="false" ht="15" hidden="false" customHeight="false" outlineLevel="0" collapsed="false">
      <c r="A63" s="21" t="s">
        <v>179</v>
      </c>
      <c r="B63" s="21" t="s">
        <v>180</v>
      </c>
      <c r="C63" s="21" t="s">
        <v>122</v>
      </c>
      <c r="D63" s="37" t="n">
        <f aca="false">ROUND(Q63*R63,0)</f>
        <v>1203</v>
      </c>
      <c r="E63" s="37" t="n">
        <f aca="false">ROUND(Q63,0)-D63</f>
        <v>1504</v>
      </c>
      <c r="F63" s="37" t="n">
        <f aca="false">IF(COUNTA(D63:E63)=0,"",SUM(D63:E63))</f>
        <v>2707</v>
      </c>
      <c r="G63" s="52" t="n">
        <f aca="false">IF(OR(F63="",F63=0),"",D63/F63)</f>
        <v>0.444403398596232</v>
      </c>
      <c r="H63" s="52" t="n">
        <f aca="false">IF(OR(F63="",F63=0),"",E63/F63)</f>
        <v>0.555596601403768</v>
      </c>
      <c r="I63" s="21" t="s">
        <v>123</v>
      </c>
      <c r="J63" s="53" t="n">
        <v>1.46865275115369</v>
      </c>
      <c r="K63" s="52" t="n">
        <f aca="false">IF(G63="","",MAX(0,G63-J63/100))</f>
        <v>0.429716871084695</v>
      </c>
      <c r="L63" s="52" t="n">
        <f aca="false">IF(G63="","",MIN(1,G63+J63/100))</f>
        <v>0.459089926107769</v>
      </c>
      <c r="M63" s="37" t="n">
        <f aca="false">IF(F63="","",ROUND(F63*J63/100,0))</f>
        <v>40</v>
      </c>
      <c r="P63" s="54" t="n">
        <v>3.66414055623079</v>
      </c>
      <c r="Q63" s="55" t="n">
        <f aca="false">T63*$H$5</f>
        <v>2707.41725054361</v>
      </c>
      <c r="R63" s="56" t="n">
        <f aca="false">MAX(0,MIN(1,P63/100+$D$5))</f>
        <v>0.444403651333611</v>
      </c>
      <c r="S63" s="57" t="s">
        <v>130</v>
      </c>
      <c r="T63" s="55" t="n">
        <v>2707.41725054361</v>
      </c>
    </row>
    <row r="64" customFormat="false" ht="15" hidden="false" customHeight="false" outlineLevel="0" collapsed="false">
      <c r="A64" s="21" t="s">
        <v>179</v>
      </c>
      <c r="B64" s="21" t="s">
        <v>181</v>
      </c>
      <c r="C64" s="21" t="s">
        <v>122</v>
      </c>
      <c r="D64" s="37" t="n">
        <f aca="false">ROUND(Q64*R64,0)</f>
        <v>1345</v>
      </c>
      <c r="E64" s="37" t="n">
        <f aca="false">ROUND(Q64,0)-D64</f>
        <v>1880</v>
      </c>
      <c r="F64" s="37" t="n">
        <f aca="false">IF(COUNTA(D64:E64)=0,"",SUM(D64:E64))</f>
        <v>3225</v>
      </c>
      <c r="G64" s="52" t="n">
        <f aca="false">IF(OR(F64="",F64=0),"",D64/F64)</f>
        <v>0.417054263565892</v>
      </c>
      <c r="H64" s="52" t="n">
        <f aca="false">IF(OR(F64="",F64=0),"",E64/F64)</f>
        <v>0.582945736434109</v>
      </c>
      <c r="I64" s="21" t="s">
        <v>123</v>
      </c>
      <c r="J64" s="53" t="n">
        <v>1.46865275115369</v>
      </c>
      <c r="K64" s="52" t="n">
        <f aca="false">IF(G64="","",MAX(0,G64-J64/100))</f>
        <v>0.402367736054355</v>
      </c>
      <c r="L64" s="52" t="n">
        <f aca="false">IF(G64="","",MIN(1,G64+J64/100))</f>
        <v>0.431740791077428</v>
      </c>
      <c r="M64" s="37" t="n">
        <f aca="false">IF(F64="","",ROUND(F64*J64/100,0))</f>
        <v>47</v>
      </c>
      <c r="P64" s="54" t="n">
        <v>0.928642348984008</v>
      </c>
      <c r="Q64" s="55" t="n">
        <f aca="false">T64*$H$5</f>
        <v>3224.76247165533</v>
      </c>
      <c r="R64" s="56" t="n">
        <f aca="false">MAX(0,MIN(1,P64/100+$D$5))</f>
        <v>0.417048669261144</v>
      </c>
      <c r="S64" s="57" t="s">
        <v>130</v>
      </c>
      <c r="T64" s="55" t="n">
        <v>3224.76247165533</v>
      </c>
    </row>
    <row r="65" customFormat="false" ht="15" hidden="false" customHeight="false" outlineLevel="0" collapsed="false">
      <c r="A65" s="21" t="s">
        <v>179</v>
      </c>
      <c r="B65" s="21" t="s">
        <v>182</v>
      </c>
      <c r="C65" s="21" t="s">
        <v>122</v>
      </c>
      <c r="D65" s="37" t="n">
        <f aca="false">ROUND(Q65*R65,0)</f>
        <v>479</v>
      </c>
      <c r="E65" s="37" t="n">
        <f aca="false">ROUND(Q65,0)-D65</f>
        <v>537</v>
      </c>
      <c r="F65" s="37" t="n">
        <f aca="false">IF(COUNTA(D65:E65)=0,"",SUM(D65:E65))</f>
        <v>1016</v>
      </c>
      <c r="G65" s="52" t="n">
        <f aca="false">IF(OR(F65="",F65=0),"",D65/F65)</f>
        <v>0.471456692913386</v>
      </c>
      <c r="H65" s="52" t="n">
        <f aca="false">IF(OR(F65="",F65=0),"",E65/F65)</f>
        <v>0.528543307086614</v>
      </c>
      <c r="I65" s="21" t="s">
        <v>123</v>
      </c>
      <c r="J65" s="53" t="n">
        <v>2.52149049515553</v>
      </c>
      <c r="K65" s="52" t="n">
        <f aca="false">IF(G65="","",MAX(0,G65-J65/100))</f>
        <v>0.446241787961831</v>
      </c>
      <c r="L65" s="52" t="n">
        <f aca="false">IF(G65="","",MIN(1,G65+J65/100))</f>
        <v>0.496671597864941</v>
      </c>
      <c r="M65" s="37" t="n">
        <f aca="false">IF(F65="","",ROUND(F65*J65/100,0))</f>
        <v>26</v>
      </c>
      <c r="P65" s="54" t="n">
        <v>6.33406560905899</v>
      </c>
      <c r="Q65" s="55" t="n">
        <f aca="false">T65*$H$5</f>
        <v>1015.97556912826</v>
      </c>
      <c r="R65" s="56" t="n">
        <f aca="false">MAX(0,MIN(1,P65/100+$D$5))</f>
        <v>0.471102901861893</v>
      </c>
      <c r="S65" s="57" t="s">
        <v>124</v>
      </c>
      <c r="T65" s="55" t="n">
        <v>1015.97556912826</v>
      </c>
    </row>
    <row r="66" customFormat="false" ht="15" hidden="false" customHeight="false" outlineLevel="0" collapsed="false">
      <c r="A66" s="21" t="s">
        <v>179</v>
      </c>
      <c r="B66" s="21" t="s">
        <v>152</v>
      </c>
      <c r="C66" s="21" t="s">
        <v>122</v>
      </c>
      <c r="D66" s="37" t="n">
        <f aca="false">ROUND(Q66*R66,0)</f>
        <v>12639</v>
      </c>
      <c r="E66" s="37" t="n">
        <f aca="false">ROUND(Q66,0)-D66</f>
        <v>6333</v>
      </c>
      <c r="F66" s="37" t="n">
        <f aca="false">IF(COUNTA(D66:E66)=0,"",SUM(D66:E66))</f>
        <v>18972</v>
      </c>
      <c r="G66" s="52" t="n">
        <f aca="false">IF(OR(F66="",F66=0),"",D66/F66)</f>
        <v>0.666192283364959</v>
      </c>
      <c r="H66" s="52" t="n">
        <f aca="false">IF(OR(F66="",F66=0),"",E66/F66)</f>
        <v>0.333807716635041</v>
      </c>
      <c r="I66" s="21" t="s">
        <v>123</v>
      </c>
      <c r="J66" s="53" t="n">
        <v>1.1425091106871</v>
      </c>
      <c r="K66" s="52" t="n">
        <f aca="false">IF(G66="","",MAX(0,G66-J66/100))</f>
        <v>0.654767192258088</v>
      </c>
      <c r="L66" s="52" t="n">
        <f aca="false">IF(G66="","",MIN(1,G66+J66/100))</f>
        <v>0.67761737447183</v>
      </c>
      <c r="M66" s="37" t="n">
        <f aca="false">IF(F66="","",ROUND(F66*J66/100,0))</f>
        <v>217</v>
      </c>
      <c r="P66" s="54" t="n">
        <v>25.8412911276482</v>
      </c>
      <c r="Q66" s="55" t="n">
        <f aca="false">T66*$H$5</f>
        <v>18972.4050126369</v>
      </c>
      <c r="R66" s="56" t="n">
        <f aca="false">MAX(0,MIN(1,P66/100+$D$5))</f>
        <v>0.666175157047786</v>
      </c>
      <c r="S66" s="57" t="s">
        <v>144</v>
      </c>
      <c r="T66" s="55" t="n">
        <v>18972.4050126369</v>
      </c>
    </row>
    <row r="67" customFormat="false" ht="15" hidden="false" customHeight="false" outlineLevel="0" collapsed="false">
      <c r="A67" s="21" t="s">
        <v>179</v>
      </c>
      <c r="B67" s="21" t="s">
        <v>183</v>
      </c>
      <c r="C67" s="21" t="s">
        <v>122</v>
      </c>
      <c r="D67" s="37" t="n">
        <f aca="false">ROUND(Q67*R67,0)</f>
        <v>6708</v>
      </c>
      <c r="E67" s="37" t="n">
        <f aca="false">ROUND(Q67,0)-D67</f>
        <v>6041</v>
      </c>
      <c r="F67" s="37" t="n">
        <f aca="false">IF(COUNTA(D67:E67)=0,"",SUM(D67:E67))</f>
        <v>12749</v>
      </c>
      <c r="G67" s="52" t="n">
        <f aca="false">IF(OR(F67="",F67=0),"",D67/F67)</f>
        <v>0.526158914424661</v>
      </c>
      <c r="H67" s="52" t="n">
        <f aca="false">IF(OR(F67="",F67=0),"",E67/F67)</f>
        <v>0.473841085575339</v>
      </c>
      <c r="I67" s="21" t="s">
        <v>123</v>
      </c>
      <c r="J67" s="53" t="n">
        <v>1.1425091106871</v>
      </c>
      <c r="K67" s="52" t="n">
        <f aca="false">IF(G67="","",MAX(0,G67-J67/100))</f>
        <v>0.51473382331779</v>
      </c>
      <c r="L67" s="52" t="n">
        <f aca="false">IF(G67="","",MIN(1,G67+J67/100))</f>
        <v>0.537584005531532</v>
      </c>
      <c r="M67" s="37" t="n">
        <f aca="false">IF(F67="","",ROUND(F67*J67/100,0))</f>
        <v>146</v>
      </c>
      <c r="P67" s="54" t="n">
        <v>11.8398644588889</v>
      </c>
      <c r="Q67" s="55" t="n">
        <f aca="false">T67*$H$5</f>
        <v>12748.560475162</v>
      </c>
      <c r="R67" s="56" t="n">
        <f aca="false">MAX(0,MIN(1,P67/100+$D$5))</f>
        <v>0.526160890360192</v>
      </c>
      <c r="S67" s="57" t="s">
        <v>144</v>
      </c>
      <c r="T67" s="55" t="n">
        <v>12748.560475162</v>
      </c>
    </row>
    <row r="68" customFormat="false" ht="15" hidden="false" customHeight="false" outlineLevel="0" collapsed="false">
      <c r="A68" s="21" t="s">
        <v>179</v>
      </c>
      <c r="B68" s="21" t="s">
        <v>184</v>
      </c>
      <c r="C68" s="21" t="s">
        <v>122</v>
      </c>
      <c r="D68" s="37" t="n">
        <f aca="false">ROUND(Q68*R68,0)</f>
        <v>1736</v>
      </c>
      <c r="E68" s="37" t="n">
        <f aca="false">ROUND(Q68,0)-D68</f>
        <v>2687</v>
      </c>
      <c r="F68" s="37" t="n">
        <f aca="false">IF(COUNTA(D68:E68)=0,"",SUM(D68:E68))</f>
        <v>4423</v>
      </c>
      <c r="G68" s="52" t="n">
        <f aca="false">IF(OR(F68="",F68=0),"",D68/F68)</f>
        <v>0.392493782500565</v>
      </c>
      <c r="H68" s="52" t="n">
        <f aca="false">IF(OR(F68="",F68=0),"",E68/F68)</f>
        <v>0.607506217499435</v>
      </c>
      <c r="I68" s="21" t="s">
        <v>123</v>
      </c>
      <c r="J68" s="53" t="n">
        <v>1.1425091106871</v>
      </c>
      <c r="K68" s="52" t="n">
        <f aca="false">IF(G68="","",MAX(0,G68-J68/100))</f>
        <v>0.381068691393694</v>
      </c>
      <c r="L68" s="52" t="n">
        <f aca="false">IF(G68="","",MIN(1,G68+J68/100))</f>
        <v>0.403918873607436</v>
      </c>
      <c r="M68" s="37" t="n">
        <f aca="false">IF(F68="","",ROUND(F68*J68/100,0))</f>
        <v>51</v>
      </c>
      <c r="P68" s="54" t="n">
        <v>-1.51408736946939</v>
      </c>
      <c r="Q68" s="55" t="n">
        <f aca="false">T68*$H$5</f>
        <v>4422.68236877524</v>
      </c>
      <c r="R68" s="56" t="n">
        <f aca="false">MAX(0,MIN(1,P68/100+$D$5))</f>
        <v>0.39262137207661</v>
      </c>
      <c r="S68" s="57" t="s">
        <v>144</v>
      </c>
      <c r="T68" s="55" t="n">
        <v>4422.68236877524</v>
      </c>
    </row>
    <row r="69" customFormat="false" ht="15" hidden="false" customHeight="false" outlineLevel="0" collapsed="false">
      <c r="A69" s="21" t="s">
        <v>179</v>
      </c>
      <c r="B69" s="21" t="s">
        <v>185</v>
      </c>
      <c r="C69" s="21" t="s">
        <v>122</v>
      </c>
      <c r="D69" s="37" t="n">
        <f aca="false">ROUND(Q69*R69,0)</f>
        <v>34</v>
      </c>
      <c r="E69" s="37" t="n">
        <f aca="false">ROUND(Q69,0)-D69</f>
        <v>63</v>
      </c>
      <c r="F69" s="37" t="n">
        <f aca="false">IF(COUNTA(D69:E69)=0,"",SUM(D69:E69))</f>
        <v>97</v>
      </c>
      <c r="G69" s="52" t="n">
        <f aca="false">IF(OR(F69="",F69=0),"",D69/F69)</f>
        <v>0.350515463917526</v>
      </c>
      <c r="H69" s="52" t="n">
        <f aca="false">IF(OR(F69="",F69=0),"",E69/F69)</f>
        <v>0.649484536082474</v>
      </c>
      <c r="I69" s="21" t="s">
        <v>123</v>
      </c>
      <c r="J69" s="53" t="n">
        <v>2.52149049515553</v>
      </c>
      <c r="K69" s="52" t="n">
        <f aca="false">IF(G69="","",MAX(0,G69-J69/100))</f>
        <v>0.325300558965971</v>
      </c>
      <c r="L69" s="52" t="n">
        <f aca="false">IF(G69="","",MIN(1,G69+J69/100))</f>
        <v>0.375730368869081</v>
      </c>
      <c r="M69" s="37" t="n">
        <f aca="false">IF(F69="","",ROUND(F69*J69/100,0))</f>
        <v>2</v>
      </c>
      <c r="P69" s="54" t="n">
        <v>-5.35723724984915</v>
      </c>
      <c r="Q69" s="55" t="n">
        <f aca="false">T69*$H$5</f>
        <v>97.2992700729928</v>
      </c>
      <c r="R69" s="56" t="n">
        <f aca="false">MAX(0,MIN(1,P69/100+$D$5))</f>
        <v>0.354189873272812</v>
      </c>
      <c r="S69" s="57" t="s">
        <v>124</v>
      </c>
      <c r="T69" s="55" t="n">
        <v>97.2992700729927</v>
      </c>
    </row>
    <row r="70" customFormat="false" ht="15" hidden="false" customHeight="false" outlineLevel="0" collapsed="false">
      <c r="A70" s="21" t="s">
        <v>179</v>
      </c>
      <c r="B70" s="21" t="s">
        <v>186</v>
      </c>
      <c r="C70" s="21" t="s">
        <v>122</v>
      </c>
      <c r="D70" s="37" t="n">
        <f aca="false">ROUND(Q70*R70,0)</f>
        <v>1152</v>
      </c>
      <c r="E70" s="37" t="n">
        <f aca="false">ROUND(Q70,0)-D70</f>
        <v>1489</v>
      </c>
      <c r="F70" s="37" t="n">
        <f aca="false">IF(COUNTA(D70:E70)=0,"",SUM(D70:E70))</f>
        <v>2641</v>
      </c>
      <c r="G70" s="52" t="n">
        <f aca="false">IF(OR(F70="",F70=0),"",D70/F70)</f>
        <v>0.436198409693298</v>
      </c>
      <c r="H70" s="52" t="n">
        <f aca="false">IF(OR(F70="",F70=0),"",E70/F70)</f>
        <v>0.563801590306702</v>
      </c>
      <c r="I70" s="21" t="s">
        <v>123</v>
      </c>
      <c r="J70" s="53" t="n">
        <v>1.46865275115369</v>
      </c>
      <c r="K70" s="52" t="n">
        <f aca="false">IF(G70="","",MAX(0,G70-J70/100))</f>
        <v>0.421511882181761</v>
      </c>
      <c r="L70" s="52" t="n">
        <f aca="false">IF(G70="","",MIN(1,G70+J70/100))</f>
        <v>0.450884937204835</v>
      </c>
      <c r="M70" s="37" t="n">
        <f aca="false">IF(F70="","",ROUND(F70*J70/100,0))</f>
        <v>39</v>
      </c>
      <c r="P70" s="54" t="n">
        <v>2.84353863089873</v>
      </c>
      <c r="Q70" s="55" t="n">
        <f aca="false">T70*$H$5</f>
        <v>2640.91189093663</v>
      </c>
      <c r="R70" s="56" t="n">
        <f aca="false">MAX(0,MIN(1,P70/100+$D$5))</f>
        <v>0.436197632080291</v>
      </c>
      <c r="S70" s="57" t="s">
        <v>130</v>
      </c>
      <c r="T70" s="55" t="n">
        <v>2640.91189093663</v>
      </c>
    </row>
    <row r="71" customFormat="false" ht="15" hidden="false" customHeight="false" outlineLevel="0" collapsed="false">
      <c r="A71" s="21" t="s">
        <v>179</v>
      </c>
      <c r="B71" s="21" t="s">
        <v>187</v>
      </c>
      <c r="C71" s="21" t="s">
        <v>122</v>
      </c>
      <c r="D71" s="37" t="n">
        <f aca="false">ROUND(Q71*R71,0)</f>
        <v>146</v>
      </c>
      <c r="E71" s="37" t="n">
        <f aca="false">ROUND(Q71,0)-D71</f>
        <v>214</v>
      </c>
      <c r="F71" s="37" t="n">
        <f aca="false">IF(COUNTA(D71:E71)=0,"",SUM(D71:E71))</f>
        <v>360</v>
      </c>
      <c r="G71" s="52" t="n">
        <f aca="false">IF(OR(F71="",F71=0),"",D71/F71)</f>
        <v>0.405555555555556</v>
      </c>
      <c r="H71" s="52" t="n">
        <f aca="false">IF(OR(F71="",F71=0),"",E71/F71)</f>
        <v>0.594444444444444</v>
      </c>
      <c r="I71" s="21" t="s">
        <v>123</v>
      </c>
      <c r="J71" s="53" t="n">
        <v>2.52149049515553</v>
      </c>
      <c r="K71" s="52" t="n">
        <f aca="false">IF(G71="","",MAX(0,G71-J71/100))</f>
        <v>0.380340650604</v>
      </c>
      <c r="L71" s="52" t="n">
        <f aca="false">IF(G71="","",MIN(1,G71+J71/100))</f>
        <v>0.430770460507111</v>
      </c>
      <c r="M71" s="37" t="n">
        <f aca="false">IF(F71="","",ROUND(F71*J71/100,0))</f>
        <v>9</v>
      </c>
      <c r="P71" s="54" t="n">
        <v>-0.208646432843695</v>
      </c>
      <c r="Q71" s="55" t="n">
        <f aca="false">T71*$H$5</f>
        <v>360.236842105263</v>
      </c>
      <c r="R71" s="56" t="n">
        <f aca="false">MAX(0,MIN(1,P71/100+$D$5))</f>
        <v>0.405675781442867</v>
      </c>
      <c r="S71" s="57" t="s">
        <v>124</v>
      </c>
      <c r="T71" s="55" t="n">
        <v>360.236842105263</v>
      </c>
    </row>
    <row r="72" customFormat="false" ht="15" hidden="false" customHeight="false" outlineLevel="0" collapsed="false">
      <c r="A72" s="21" t="s">
        <v>179</v>
      </c>
      <c r="B72" s="21" t="s">
        <v>188</v>
      </c>
      <c r="C72" s="21" t="s">
        <v>122</v>
      </c>
      <c r="D72" s="37" t="n">
        <f aca="false">ROUND(Q72*R72,0)</f>
        <v>5977</v>
      </c>
      <c r="E72" s="37" t="n">
        <f aca="false">ROUND(Q72,0)-D72</f>
        <v>2824</v>
      </c>
      <c r="F72" s="37" t="n">
        <f aca="false">IF(COUNTA(D72:E72)=0,"",SUM(D72:E72))</f>
        <v>8801</v>
      </c>
      <c r="G72" s="52" t="n">
        <f aca="false">IF(OR(F72="",F72=0),"",D72/F72)</f>
        <v>0.679127371889558</v>
      </c>
      <c r="H72" s="52" t="n">
        <f aca="false">IF(OR(F72="",F72=0),"",E72/F72)</f>
        <v>0.320872628110442</v>
      </c>
      <c r="I72" s="21" t="s">
        <v>123</v>
      </c>
      <c r="J72" s="53" t="n">
        <v>1.1425091106871</v>
      </c>
      <c r="K72" s="52" t="n">
        <f aca="false">IF(G72="","",MAX(0,G72-J72/100))</f>
        <v>0.667702280782687</v>
      </c>
      <c r="L72" s="52" t="n">
        <f aca="false">IF(G72="","",MIN(1,G72+J72/100))</f>
        <v>0.690552462996429</v>
      </c>
      <c r="M72" s="37" t="n">
        <f aca="false">IF(F72="","",ROUND(F72*J72/100,0))</f>
        <v>101</v>
      </c>
      <c r="P72" s="54" t="n">
        <v>27.1323571494524</v>
      </c>
      <c r="Q72" s="55" t="n">
        <f aca="false">T72*$H$5</f>
        <v>8801.19378916978</v>
      </c>
      <c r="R72" s="56" t="n">
        <f aca="false">MAX(0,MIN(1,P72/100+$D$5))</f>
        <v>0.679085817265828</v>
      </c>
      <c r="S72" s="57" t="s">
        <v>144</v>
      </c>
      <c r="T72" s="55" t="n">
        <v>8801.19378916978</v>
      </c>
    </row>
    <row r="73" customFormat="false" ht="15" hidden="false" customHeight="false" outlineLevel="0" collapsed="false">
      <c r="A73" s="21" t="s">
        <v>179</v>
      </c>
      <c r="B73" s="21" t="s">
        <v>189</v>
      </c>
      <c r="C73" s="21" t="s">
        <v>122</v>
      </c>
      <c r="D73" s="37" t="n">
        <f aca="false">ROUND(Q73*R73,0)</f>
        <v>2438</v>
      </c>
      <c r="E73" s="37" t="n">
        <f aca="false">ROUND(Q73,0)-D73</f>
        <v>2262</v>
      </c>
      <c r="F73" s="37" t="n">
        <f aca="false">IF(COUNTA(D73:E73)=0,"",SUM(D73:E73))</f>
        <v>4700</v>
      </c>
      <c r="G73" s="52" t="n">
        <f aca="false">IF(OR(F73="",F73=0),"",D73/F73)</f>
        <v>0.518723404255319</v>
      </c>
      <c r="H73" s="52" t="n">
        <f aca="false">IF(OR(F73="",F73=0),"",E73/F73)</f>
        <v>0.481276595744681</v>
      </c>
      <c r="I73" s="21" t="s">
        <v>123</v>
      </c>
      <c r="J73" s="53" t="n">
        <v>1.1425091106871</v>
      </c>
      <c r="K73" s="52" t="n">
        <f aca="false">IF(G73="","",MAX(0,G73-J73/100))</f>
        <v>0.507298313148448</v>
      </c>
      <c r="L73" s="52" t="n">
        <f aca="false">IF(G73="","",MIN(1,G73+J73/100))</f>
        <v>0.53014849536219</v>
      </c>
      <c r="M73" s="37" t="n">
        <f aca="false">IF(F73="","",ROUND(F73*J73/100,0))</f>
        <v>54</v>
      </c>
      <c r="P73" s="54" t="n">
        <v>11.0893205746994</v>
      </c>
      <c r="Q73" s="55" t="n">
        <f aca="false">T73*$H$5</f>
        <v>4700.05452138017</v>
      </c>
      <c r="R73" s="56" t="n">
        <f aca="false">MAX(0,MIN(1,P73/100+$D$5))</f>
        <v>0.518655451518297</v>
      </c>
      <c r="S73" s="57" t="s">
        <v>144</v>
      </c>
      <c r="T73" s="55" t="n">
        <v>4700.05452138017</v>
      </c>
    </row>
    <row r="74" customFormat="false" ht="15" hidden="false" customHeight="false" outlineLevel="0" collapsed="false">
      <c r="A74" s="21" t="s">
        <v>179</v>
      </c>
      <c r="B74" s="21" t="s">
        <v>190</v>
      </c>
      <c r="C74" s="21" t="s">
        <v>122</v>
      </c>
      <c r="D74" s="37" t="n">
        <f aca="false">ROUND(Q74*R74,0)</f>
        <v>480</v>
      </c>
      <c r="E74" s="37" t="n">
        <f aca="false">ROUND(Q74,0)-D74</f>
        <v>331</v>
      </c>
      <c r="F74" s="37" t="n">
        <f aca="false">IF(COUNTA(D74:E74)=0,"",SUM(D74:E74))</f>
        <v>811</v>
      </c>
      <c r="G74" s="52" t="n">
        <f aca="false">IF(OR(F74="",F74=0),"",D74/F74)</f>
        <v>0.591861898890259</v>
      </c>
      <c r="H74" s="52" t="n">
        <f aca="false">IF(OR(F74="",F74=0),"",E74/F74)</f>
        <v>0.408138101109741</v>
      </c>
      <c r="I74" s="21" t="s">
        <v>123</v>
      </c>
      <c r="J74" s="53" t="n">
        <v>2.52149049515553</v>
      </c>
      <c r="K74" s="52" t="n">
        <f aca="false">IF(G74="","",MAX(0,G74-J74/100))</f>
        <v>0.566646993938704</v>
      </c>
      <c r="L74" s="52" t="n">
        <f aca="false">IF(G74="","",MIN(1,G74+J74/100))</f>
        <v>0.617076803841814</v>
      </c>
      <c r="M74" s="37" t="n">
        <f aca="false">IF(F74="","",ROUND(F74*J74/100,0))</f>
        <v>20</v>
      </c>
      <c r="P74" s="54" t="n">
        <v>18.4491978849235</v>
      </c>
      <c r="Q74" s="55" t="n">
        <f aca="false">T74*$H$5</f>
        <v>811.272251308901</v>
      </c>
      <c r="R74" s="56" t="n">
        <f aca="false">MAX(0,MIN(1,P74/100+$D$5))</f>
        <v>0.592254224620538</v>
      </c>
      <c r="S74" s="57" t="s">
        <v>124</v>
      </c>
      <c r="T74" s="55" t="n">
        <v>811.2722513089</v>
      </c>
    </row>
    <row r="75" customFormat="false" ht="15" hidden="false" customHeight="false" outlineLevel="0" collapsed="false">
      <c r="A75" s="21" t="s">
        <v>179</v>
      </c>
      <c r="B75" s="21" t="s">
        <v>191</v>
      </c>
      <c r="C75" s="21" t="s">
        <v>122</v>
      </c>
      <c r="D75" s="37" t="n">
        <f aca="false">ROUND(Q75*R75,0)</f>
        <v>74</v>
      </c>
      <c r="E75" s="37" t="n">
        <f aca="false">ROUND(Q75,0)-D75</f>
        <v>70</v>
      </c>
      <c r="F75" s="37" t="n">
        <f aca="false">IF(COUNTA(D75:E75)=0,"",SUM(D75:E75))</f>
        <v>144</v>
      </c>
      <c r="G75" s="52" t="n">
        <f aca="false">IF(OR(F75="",F75=0),"",D75/F75)</f>
        <v>0.513888888888889</v>
      </c>
      <c r="H75" s="52" t="n">
        <f aca="false">IF(OR(F75="",F75=0),"",E75/F75)</f>
        <v>0.486111111111111</v>
      </c>
      <c r="I75" s="21" t="s">
        <v>123</v>
      </c>
      <c r="J75" s="53" t="n">
        <v>2.52149049515553</v>
      </c>
      <c r="K75" s="52" t="n">
        <f aca="false">IF(G75="","",MAX(0,G75-J75/100))</f>
        <v>0.488673983937334</v>
      </c>
      <c r="L75" s="52" t="n">
        <f aca="false">IF(G75="","",MIN(1,G75+J75/100))</f>
        <v>0.539103793840444</v>
      </c>
      <c r="M75" s="37" t="n">
        <f aca="false">IF(F75="","",ROUND(F75*J75/100,0))</f>
        <v>4</v>
      </c>
      <c r="P75" s="54" t="n">
        <v>10.7325100641195</v>
      </c>
      <c r="Q75" s="55" t="n">
        <f aca="false">T75*$H$5</f>
        <v>143.630597014925</v>
      </c>
      <c r="R75" s="56" t="n">
        <f aca="false">MAX(0,MIN(1,P75/100+$D$5))</f>
        <v>0.515087346412499</v>
      </c>
      <c r="S75" s="57" t="s">
        <v>124</v>
      </c>
      <c r="T75" s="55" t="n">
        <v>143.630597014925</v>
      </c>
    </row>
    <row r="76" customFormat="false" ht="15" hidden="false" customHeight="false" outlineLevel="0" collapsed="false">
      <c r="A76" s="21" t="s">
        <v>179</v>
      </c>
      <c r="B76" s="21" t="s">
        <v>158</v>
      </c>
      <c r="C76" s="21" t="s">
        <v>122</v>
      </c>
      <c r="D76" s="37" t="n">
        <f aca="false">ROUND(Q76*R76,0)</f>
        <v>3402</v>
      </c>
      <c r="E76" s="37" t="n">
        <f aca="false">ROUND(Q76,0)-D76</f>
        <v>3021</v>
      </c>
      <c r="F76" s="37" t="n">
        <f aca="false">IF(COUNTA(D76:E76)=0,"",SUM(D76:E76))</f>
        <v>6423</v>
      </c>
      <c r="G76" s="52" t="n">
        <f aca="false">IF(OR(F76="",F76=0),"",D76/F76)</f>
        <v>0.529659037832788</v>
      </c>
      <c r="H76" s="52" t="n">
        <f aca="false">IF(OR(F76="",F76=0),"",E76/F76)</f>
        <v>0.470340962167212</v>
      </c>
      <c r="I76" s="21" t="s">
        <v>123</v>
      </c>
      <c r="J76" s="53" t="n">
        <v>1.1425091106871</v>
      </c>
      <c r="K76" s="52" t="n">
        <f aca="false">IF(G76="","",MAX(0,G76-J76/100))</f>
        <v>0.518233946725917</v>
      </c>
      <c r="L76" s="52" t="n">
        <f aca="false">IF(G76="","",MIN(1,G76+J76/100))</f>
        <v>0.54108412893966</v>
      </c>
      <c r="M76" s="37" t="n">
        <f aca="false">IF(F76="","",ROUND(F76*J76/100,0))</f>
        <v>73</v>
      </c>
      <c r="P76" s="54" t="n">
        <v>12.1984643962749</v>
      </c>
      <c r="Q76" s="55" t="n">
        <f aca="false">T76*$H$5</f>
        <v>6422.70106427379</v>
      </c>
      <c r="R76" s="56" t="n">
        <f aca="false">MAX(0,MIN(1,P76/100+$D$5))</f>
        <v>0.529746889734052</v>
      </c>
      <c r="S76" s="57" t="s">
        <v>144</v>
      </c>
      <c r="T76" s="55" t="n">
        <v>6422.70106427379</v>
      </c>
    </row>
    <row r="77" customFormat="false" ht="15" hidden="false" customHeight="false" outlineLevel="0" collapsed="false">
      <c r="A77" s="21" t="s">
        <v>179</v>
      </c>
      <c r="B77" s="21" t="s">
        <v>192</v>
      </c>
      <c r="C77" s="21" t="s">
        <v>122</v>
      </c>
      <c r="D77" s="37" t="n">
        <f aca="false">ROUND(Q77*R77,0)</f>
        <v>1351</v>
      </c>
      <c r="E77" s="37" t="n">
        <f aca="false">ROUND(Q77,0)-D77</f>
        <v>1277</v>
      </c>
      <c r="F77" s="37" t="n">
        <f aca="false">IF(COUNTA(D77:E77)=0,"",SUM(D77:E77))</f>
        <v>2628</v>
      </c>
      <c r="G77" s="52" t="n">
        <f aca="false">IF(OR(F77="",F77=0),"",D77/F77)</f>
        <v>0.514079147640791</v>
      </c>
      <c r="H77" s="52" t="n">
        <f aca="false">IF(OR(F77="",F77=0),"",E77/F77)</f>
        <v>0.485920852359209</v>
      </c>
      <c r="I77" s="21" t="s">
        <v>123</v>
      </c>
      <c r="J77" s="53" t="n">
        <v>1.46865275115369</v>
      </c>
      <c r="K77" s="52" t="n">
        <f aca="false">IF(G77="","",MAX(0,G77-J77/100))</f>
        <v>0.499392620129255</v>
      </c>
      <c r="L77" s="52" t="n">
        <f aca="false">IF(G77="","",MIN(1,G77+J77/100))</f>
        <v>0.528765675152328</v>
      </c>
      <c r="M77" s="37" t="n">
        <f aca="false">IF(F77="","",ROUND(F77*J77/100,0))</f>
        <v>39</v>
      </c>
      <c r="P77" s="54" t="n">
        <v>10.6397699418177</v>
      </c>
      <c r="Q77" s="55" t="n">
        <f aca="false">T77*$H$5</f>
        <v>2628.02463970247</v>
      </c>
      <c r="R77" s="56" t="n">
        <f aca="false">MAX(0,MIN(1,P77/100+$D$5))</f>
        <v>0.51415994518948</v>
      </c>
      <c r="S77" s="57" t="s">
        <v>130</v>
      </c>
      <c r="T77" s="55" t="n">
        <v>2628.02463970247</v>
      </c>
    </row>
    <row r="78" customFormat="false" ht="15" hidden="false" customHeight="false" outlineLevel="0" collapsed="false">
      <c r="A78" s="21" t="s">
        <v>179</v>
      </c>
      <c r="B78" s="21" t="s">
        <v>193</v>
      </c>
      <c r="C78" s="21" t="s">
        <v>122</v>
      </c>
      <c r="D78" s="37" t="n">
        <f aca="false">ROUND(Q78*R78,0)</f>
        <v>1849</v>
      </c>
      <c r="E78" s="37" t="n">
        <f aca="false">ROUND(Q78,0)-D78</f>
        <v>3490</v>
      </c>
      <c r="F78" s="37" t="n">
        <f aca="false">IF(COUNTA(D78:E78)=0,"",SUM(D78:E78))</f>
        <v>5339</v>
      </c>
      <c r="G78" s="52" t="n">
        <f aca="false">IF(OR(F78="",F78=0),"",D78/F78)</f>
        <v>0.346319535493538</v>
      </c>
      <c r="H78" s="52" t="n">
        <f aca="false">IF(OR(F78="",F78=0),"",E78/F78)</f>
        <v>0.653680464506462</v>
      </c>
      <c r="I78" s="21" t="s">
        <v>123</v>
      </c>
      <c r="J78" s="53" t="n">
        <v>1.1425091106871</v>
      </c>
      <c r="K78" s="52" t="n">
        <f aca="false">IF(G78="","",MAX(0,G78-J78/100))</f>
        <v>0.334894444386667</v>
      </c>
      <c r="L78" s="52" t="n">
        <f aca="false">IF(G78="","",MIN(1,G78+J78/100))</f>
        <v>0.357744626600409</v>
      </c>
      <c r="M78" s="37" t="n">
        <f aca="false">IF(F78="","",ROUND(F78*J78/100,0))</f>
        <v>61</v>
      </c>
      <c r="P78" s="54" t="n">
        <v>-6.14778166275024</v>
      </c>
      <c r="Q78" s="55" t="n">
        <f aca="false">T78*$H$5</f>
        <v>5339.13569131833</v>
      </c>
      <c r="R78" s="56" t="n">
        <f aca="false">MAX(0,MIN(1,P78/100+$D$5))</f>
        <v>0.346284429143801</v>
      </c>
      <c r="S78" s="57" t="s">
        <v>144</v>
      </c>
      <c r="T78" s="55" t="n">
        <v>5339.13569131833</v>
      </c>
    </row>
    <row r="79" customFormat="false" ht="15" hidden="false" customHeight="false" outlineLevel="0" collapsed="false">
      <c r="A79" s="21" t="s">
        <v>179</v>
      </c>
      <c r="B79" s="21" t="s">
        <v>194</v>
      </c>
      <c r="C79" s="21" t="s">
        <v>122</v>
      </c>
      <c r="D79" s="37" t="n">
        <f aca="false">ROUND(Q79*R79,0)</f>
        <v>477</v>
      </c>
      <c r="E79" s="37" t="n">
        <f aca="false">ROUND(Q79,0)-D79</f>
        <v>933</v>
      </c>
      <c r="F79" s="37" t="n">
        <f aca="false">IF(COUNTA(D79:E79)=0,"",SUM(D79:E79))</f>
        <v>1410</v>
      </c>
      <c r="G79" s="52" t="n">
        <f aca="false">IF(OR(F79="",F79=0),"",D79/F79)</f>
        <v>0.338297872340426</v>
      </c>
      <c r="H79" s="52" t="n">
        <f aca="false">IF(OR(F79="",F79=0),"",E79/F79)</f>
        <v>0.661702127659575</v>
      </c>
      <c r="I79" s="21" t="s">
        <v>123</v>
      </c>
      <c r="J79" s="53" t="n">
        <v>2.52149049515553</v>
      </c>
      <c r="K79" s="52" t="n">
        <f aca="false">IF(G79="","",MAX(0,G79-J79/100))</f>
        <v>0.31308296738887</v>
      </c>
      <c r="L79" s="52" t="n">
        <f aca="false">IF(G79="","",MIN(1,G79+J79/100))</f>
        <v>0.363512777291981</v>
      </c>
      <c r="M79" s="37" t="n">
        <f aca="false">IF(F79="","",ROUND(F79*J79/100,0))</f>
        <v>36</v>
      </c>
      <c r="P79" s="54" t="n">
        <v>-6.9245648587279</v>
      </c>
      <c r="Q79" s="55" t="n">
        <f aca="false">T79*$H$5</f>
        <v>1409.9805573558</v>
      </c>
      <c r="R79" s="56" t="n">
        <f aca="false">MAX(0,MIN(1,P79/100+$D$5))</f>
        <v>0.338516597184025</v>
      </c>
      <c r="S79" s="57" t="s">
        <v>124</v>
      </c>
      <c r="T79" s="55" t="n">
        <v>1409.9805573558</v>
      </c>
    </row>
    <row r="80" customFormat="false" ht="15" hidden="false" customHeight="false" outlineLevel="0" collapsed="false">
      <c r="A80" s="21" t="s">
        <v>179</v>
      </c>
      <c r="B80" s="21" t="s">
        <v>195</v>
      </c>
      <c r="C80" s="21" t="s">
        <v>122</v>
      </c>
      <c r="D80" s="37" t="n">
        <f aca="false">ROUND(Q80*R80,0)</f>
        <v>688</v>
      </c>
      <c r="E80" s="37" t="n">
        <f aca="false">ROUND(Q80,0)-D80</f>
        <v>811</v>
      </c>
      <c r="F80" s="37" t="n">
        <f aca="false">IF(COUNTA(D80:E80)=0,"",SUM(D80:E80))</f>
        <v>1499</v>
      </c>
      <c r="G80" s="52" t="n">
        <f aca="false">IF(OR(F80="",F80=0),"",D80/F80)</f>
        <v>0.458972648432288</v>
      </c>
      <c r="H80" s="52" t="n">
        <f aca="false">IF(OR(F80="",F80=0),"",E80/F80)</f>
        <v>0.541027351567712</v>
      </c>
      <c r="I80" s="21" t="s">
        <v>123</v>
      </c>
      <c r="J80" s="53" t="n">
        <v>2.52149049515553</v>
      </c>
      <c r="K80" s="52" t="n">
        <f aca="false">IF(G80="","",MAX(0,G80-J80/100))</f>
        <v>0.433757743480733</v>
      </c>
      <c r="L80" s="52" t="n">
        <f aca="false">IF(G80="","",MIN(1,G80+J80/100))</f>
        <v>0.484187553383843</v>
      </c>
      <c r="M80" s="37" t="n">
        <f aca="false">IF(F80="","",ROUND(F80*J80/100,0))</f>
        <v>38</v>
      </c>
      <c r="P80" s="54" t="n">
        <v>5.12926277649835</v>
      </c>
      <c r="Q80" s="55" t="n">
        <f aca="false">T80*$H$5</f>
        <v>1499.1692563818</v>
      </c>
      <c r="R80" s="56" t="n">
        <f aca="false">MAX(0,MIN(1,P80/100+$D$5))</f>
        <v>0.459054873536287</v>
      </c>
      <c r="S80" s="57" t="s">
        <v>124</v>
      </c>
      <c r="T80" s="55" t="n">
        <v>1499.1692563818</v>
      </c>
    </row>
    <row r="81" customFormat="false" ht="15" hidden="false" customHeight="false" outlineLevel="0" collapsed="false">
      <c r="A81" s="21" t="s">
        <v>179</v>
      </c>
      <c r="B81" s="21" t="s">
        <v>196</v>
      </c>
      <c r="C81" s="21" t="s">
        <v>122</v>
      </c>
      <c r="D81" s="37" t="n">
        <f aca="false">ROUND(Q81*R81,0)</f>
        <v>3597</v>
      </c>
      <c r="E81" s="37" t="n">
        <f aca="false">ROUND(Q81,0)-D81</f>
        <v>3770</v>
      </c>
      <c r="F81" s="37" t="n">
        <f aca="false">IF(COUNTA(D81:E81)=0,"",SUM(D81:E81))</f>
        <v>7367</v>
      </c>
      <c r="G81" s="52" t="n">
        <f aca="false">IF(OR(F81="",F81=0),"",D81/F81)</f>
        <v>0.488258449843899</v>
      </c>
      <c r="H81" s="52" t="n">
        <f aca="false">IF(OR(F81="",F81=0),"",E81/F81)</f>
        <v>0.511741550156102</v>
      </c>
      <c r="I81" s="21" t="s">
        <v>123</v>
      </c>
      <c r="J81" s="53" t="n">
        <v>1.1425091106871</v>
      </c>
      <c r="K81" s="52" t="n">
        <f aca="false">IF(G81="","",MAX(0,G81-J81/100))</f>
        <v>0.476833358737028</v>
      </c>
      <c r="L81" s="52" t="n">
        <f aca="false">IF(G81="","",MIN(1,G81+J81/100))</f>
        <v>0.49968354095077</v>
      </c>
      <c r="M81" s="37" t="n">
        <f aca="false">IF(F81="","",ROUND(F81*J81/100,0))</f>
        <v>84</v>
      </c>
      <c r="P81" s="54" t="n">
        <v>8.04719166518367</v>
      </c>
      <c r="Q81" s="55" t="n">
        <f aca="false">T81*$H$5</f>
        <v>7366.54626611875</v>
      </c>
      <c r="R81" s="56" t="n">
        <f aca="false">MAX(0,MIN(1,P81/100+$D$5))</f>
        <v>0.48823416242314</v>
      </c>
      <c r="S81" s="57" t="s">
        <v>144</v>
      </c>
      <c r="T81" s="55" t="n">
        <v>7366.54626611875</v>
      </c>
    </row>
    <row r="82" customFormat="false" ht="15" hidden="false" customHeight="false" outlineLevel="0" collapsed="false">
      <c r="A82" s="21" t="s">
        <v>179</v>
      </c>
      <c r="B82" s="21" t="s">
        <v>197</v>
      </c>
      <c r="C82" s="21" t="s">
        <v>122</v>
      </c>
      <c r="D82" s="37" t="n">
        <f aca="false">ROUND(Q82*R82,0)</f>
        <v>1656</v>
      </c>
      <c r="E82" s="37" t="n">
        <f aca="false">ROUND(Q82,0)-D82</f>
        <v>3192</v>
      </c>
      <c r="F82" s="37" t="n">
        <f aca="false">IF(COUNTA(D82:E82)=0,"",SUM(D82:E82))</f>
        <v>4848</v>
      </c>
      <c r="G82" s="52" t="n">
        <f aca="false">IF(OR(F82="",F82=0),"",D82/F82)</f>
        <v>0.341584158415842</v>
      </c>
      <c r="H82" s="52" t="n">
        <f aca="false">IF(OR(F82="",F82=0),"",E82/F82)</f>
        <v>0.658415841584158</v>
      </c>
      <c r="I82" s="21" t="s">
        <v>123</v>
      </c>
      <c r="J82" s="53" t="n">
        <v>1.1425091106871</v>
      </c>
      <c r="K82" s="52" t="n">
        <f aca="false">IF(G82="","",MAX(0,G82-J82/100))</f>
        <v>0.330159067308971</v>
      </c>
      <c r="L82" s="52" t="n">
        <f aca="false">IF(G82="","",MIN(1,G82+J82/100))</f>
        <v>0.353009249522713</v>
      </c>
      <c r="M82" s="37" t="n">
        <f aca="false">IF(F82="","",ROUND(F82*J82/100,0))</f>
        <v>55</v>
      </c>
      <c r="P82" s="54" t="n">
        <v>-6.61149729571558</v>
      </c>
      <c r="Q82" s="55" t="n">
        <f aca="false">T82*$H$5</f>
        <v>4848.29721362229</v>
      </c>
      <c r="R82" s="56" t="n">
        <f aca="false">MAX(0,MIN(1,P82/100+$D$5))</f>
        <v>0.341647272814148</v>
      </c>
      <c r="S82" s="57" t="s">
        <v>144</v>
      </c>
      <c r="T82" s="55" t="n">
        <v>4848.29721362229</v>
      </c>
    </row>
    <row r="83" customFormat="false" ht="15" hidden="false" customHeight="false" outlineLevel="0" collapsed="false">
      <c r="A83" s="21" t="s">
        <v>179</v>
      </c>
      <c r="B83" s="21" t="s">
        <v>198</v>
      </c>
      <c r="C83" s="21" t="s">
        <v>122</v>
      </c>
      <c r="D83" s="37" t="n">
        <f aca="false">ROUND(Q83*R83,0)</f>
        <v>1246</v>
      </c>
      <c r="E83" s="37" t="n">
        <f aca="false">ROUND(Q83,0)-D83</f>
        <v>1269</v>
      </c>
      <c r="F83" s="37" t="n">
        <f aca="false">IF(COUNTA(D83:E83)=0,"",SUM(D83:E83))</f>
        <v>2515</v>
      </c>
      <c r="G83" s="52" t="n">
        <f aca="false">IF(OR(F83="",F83=0),"",D83/F83)</f>
        <v>0.495427435387674</v>
      </c>
      <c r="H83" s="52" t="n">
        <f aca="false">IF(OR(F83="",F83=0),"",E83/F83)</f>
        <v>0.504572564612326</v>
      </c>
      <c r="I83" s="21" t="s">
        <v>123</v>
      </c>
      <c r="J83" s="53" t="n">
        <v>1.46865275115369</v>
      </c>
      <c r="K83" s="52" t="n">
        <f aca="false">IF(G83="","",MAX(0,G83-J83/100))</f>
        <v>0.480740907876137</v>
      </c>
      <c r="L83" s="52" t="n">
        <f aca="false">IF(G83="","",MIN(1,G83+J83/100))</f>
        <v>0.510113962899211</v>
      </c>
      <c r="M83" s="37" t="n">
        <f aca="false">IF(F83="","",ROUND(F83*J83/100,0))</f>
        <v>37</v>
      </c>
      <c r="P83" s="54" t="n">
        <v>8.76477239560834</v>
      </c>
      <c r="Q83" s="55" t="n">
        <f aca="false">T83*$H$5</f>
        <v>2514.75925477861</v>
      </c>
      <c r="R83" s="56" t="n">
        <f aca="false">MAX(0,MIN(1,P83/100+$D$5))</f>
        <v>0.495409969727387</v>
      </c>
      <c r="S83" s="57" t="s">
        <v>130</v>
      </c>
      <c r="T83" s="55" t="n">
        <v>2514.75925477861</v>
      </c>
    </row>
    <row r="84" customFormat="false" ht="15" hidden="false" customHeight="false" outlineLevel="0" collapsed="false">
      <c r="A84" s="21" t="s">
        <v>179</v>
      </c>
      <c r="B84" s="21" t="s">
        <v>199</v>
      </c>
      <c r="C84" s="21" t="s">
        <v>122</v>
      </c>
      <c r="D84" s="37" t="n">
        <f aca="false">ROUND(Q84*R84,0)</f>
        <v>713</v>
      </c>
      <c r="E84" s="37" t="n">
        <f aca="false">ROUND(Q84,0)-D84</f>
        <v>715</v>
      </c>
      <c r="F84" s="37" t="n">
        <f aca="false">IF(COUNTA(D84:E84)=0,"",SUM(D84:E84))</f>
        <v>1428</v>
      </c>
      <c r="G84" s="52" t="n">
        <f aca="false">IF(OR(F84="",F84=0),"",D84/F84)</f>
        <v>0.499299719887955</v>
      </c>
      <c r="H84" s="52" t="n">
        <f aca="false">IF(OR(F84="",F84=0),"",E84/F84)</f>
        <v>0.500700280112045</v>
      </c>
      <c r="I84" s="21" t="s">
        <v>123</v>
      </c>
      <c r="J84" s="53" t="n">
        <v>2.52149049515553</v>
      </c>
      <c r="K84" s="52" t="n">
        <f aca="false">IF(G84="","",MAX(0,G84-J84/100))</f>
        <v>0.4740848149364</v>
      </c>
      <c r="L84" s="52" t="n">
        <f aca="false">IF(G84="","",MIN(1,G84+J84/100))</f>
        <v>0.524514624839511</v>
      </c>
      <c r="M84" s="37" t="n">
        <f aca="false">IF(F84="","",ROUND(F84*J84/100,0))</f>
        <v>36</v>
      </c>
      <c r="P84" s="54" t="n">
        <v>9.18782024903047</v>
      </c>
      <c r="Q84" s="55" t="n">
        <f aca="false">T84*$H$5</f>
        <v>1427.54656265236</v>
      </c>
      <c r="R84" s="56" t="n">
        <f aca="false">MAX(0,MIN(1,P84/100+$D$5))</f>
        <v>0.499640448261608</v>
      </c>
      <c r="S84" s="57" t="s">
        <v>124</v>
      </c>
      <c r="T84" s="55" t="n">
        <v>1427.54656265236</v>
      </c>
    </row>
    <row r="85" customFormat="false" ht="15" hidden="false" customHeight="false" outlineLevel="0" collapsed="false">
      <c r="A85" s="21" t="s">
        <v>179</v>
      </c>
      <c r="B85" s="21" t="s">
        <v>200</v>
      </c>
      <c r="C85" s="21" t="s">
        <v>122</v>
      </c>
      <c r="D85" s="37" t="n">
        <f aca="false">ROUND(Q85*R85,0)</f>
        <v>2001</v>
      </c>
      <c r="E85" s="37" t="n">
        <f aca="false">ROUND(Q85,0)-D85</f>
        <v>2163</v>
      </c>
      <c r="F85" s="37" t="n">
        <f aca="false">IF(COUNTA(D85:E85)=0,"",SUM(D85:E85))</f>
        <v>4164</v>
      </c>
      <c r="G85" s="52" t="n">
        <f aca="false">IF(OR(F85="",F85=0),"",D85/F85)</f>
        <v>0.480547550432277</v>
      </c>
      <c r="H85" s="52" t="n">
        <f aca="false">IF(OR(F85="",F85=0),"",E85/F85)</f>
        <v>0.519452449567723</v>
      </c>
      <c r="I85" s="21" t="s">
        <v>123</v>
      </c>
      <c r="J85" s="53" t="n">
        <v>1.1425091106871</v>
      </c>
      <c r="K85" s="52" t="n">
        <f aca="false">IF(G85="","",MAX(0,G85-J85/100))</f>
        <v>0.469122459325406</v>
      </c>
      <c r="L85" s="52" t="n">
        <f aca="false">IF(G85="","",MIN(1,G85+J85/100))</f>
        <v>0.491972641539148</v>
      </c>
      <c r="M85" s="37" t="n">
        <f aca="false">IF(F85="","",ROUND(F85*J85/100,0))</f>
        <v>48</v>
      </c>
      <c r="P85" s="54" t="n">
        <v>7.28414574426194</v>
      </c>
      <c r="Q85" s="55" t="n">
        <f aca="false">T85*$H$5</f>
        <v>4163.88109359179</v>
      </c>
      <c r="R85" s="56" t="n">
        <f aca="false">MAX(0,MIN(1,P85/100+$D$5))</f>
        <v>0.480603703213923</v>
      </c>
      <c r="S85" s="57" t="s">
        <v>144</v>
      </c>
      <c r="T85" s="55" t="n">
        <v>4163.88109359178</v>
      </c>
    </row>
    <row r="86" customFormat="false" ht="15" hidden="false" customHeight="false" outlineLevel="0" collapsed="false">
      <c r="A86" s="21" t="s">
        <v>179</v>
      </c>
      <c r="B86" s="21" t="s">
        <v>201</v>
      </c>
      <c r="C86" s="21" t="s">
        <v>122</v>
      </c>
      <c r="D86" s="37" t="n">
        <f aca="false">ROUND(Q86*R86,0)</f>
        <v>4229</v>
      </c>
      <c r="E86" s="37" t="n">
        <f aca="false">ROUND(Q86,0)-D86</f>
        <v>4051</v>
      </c>
      <c r="F86" s="37" t="n">
        <f aca="false">IF(COUNTA(D86:E86)=0,"",SUM(D86:E86))</f>
        <v>8280</v>
      </c>
      <c r="G86" s="52" t="n">
        <f aca="false">IF(OR(F86="",F86=0),"",D86/F86)</f>
        <v>0.510748792270531</v>
      </c>
      <c r="H86" s="52" t="n">
        <f aca="false">IF(OR(F86="",F86=0),"",E86/F86)</f>
        <v>0.489251207729469</v>
      </c>
      <c r="I86" s="21" t="s">
        <v>123</v>
      </c>
      <c r="J86" s="53" t="n">
        <v>1.1425091106871</v>
      </c>
      <c r="K86" s="52" t="n">
        <f aca="false">IF(G86="","",MAX(0,G86-J86/100))</f>
        <v>0.49932370116366</v>
      </c>
      <c r="L86" s="52" t="n">
        <f aca="false">IF(G86="","",MIN(1,G86+J86/100))</f>
        <v>0.522173883377402</v>
      </c>
      <c r="M86" s="37" t="n">
        <f aca="false">IF(F86="","",ROUND(F86*J86/100,0))</f>
        <v>95</v>
      </c>
      <c r="P86" s="54" t="n">
        <v>10.291230168714</v>
      </c>
      <c r="Q86" s="55" t="n">
        <f aca="false">T86*$H$5</f>
        <v>8280.34349938536</v>
      </c>
      <c r="R86" s="56" t="n">
        <f aca="false">MAX(0,MIN(1,P86/100+$D$5))</f>
        <v>0.510674547458444</v>
      </c>
      <c r="S86" s="57" t="s">
        <v>144</v>
      </c>
      <c r="T86" s="55" t="n">
        <v>8280.34349938535</v>
      </c>
    </row>
    <row r="87" customFormat="false" ht="15" hidden="false" customHeight="false" outlineLevel="0" collapsed="false">
      <c r="A87" s="21" t="s">
        <v>179</v>
      </c>
      <c r="B87" s="21" t="s">
        <v>202</v>
      </c>
      <c r="C87" s="21" t="s">
        <v>122</v>
      </c>
      <c r="D87" s="37" t="n">
        <f aca="false">ROUND(Q87*R87,0)</f>
        <v>530</v>
      </c>
      <c r="E87" s="37" t="n">
        <f aca="false">ROUND(Q87,0)-D87</f>
        <v>832</v>
      </c>
      <c r="F87" s="37" t="n">
        <f aca="false">IF(COUNTA(D87:E87)=0,"",SUM(D87:E87))</f>
        <v>1362</v>
      </c>
      <c r="G87" s="52" t="n">
        <f aca="false">IF(OR(F87="",F87=0),"",D87/F87)</f>
        <v>0.38913362701909</v>
      </c>
      <c r="H87" s="52" t="n">
        <f aca="false">IF(OR(F87="",F87=0),"",E87/F87)</f>
        <v>0.61086637298091</v>
      </c>
      <c r="I87" s="21" t="s">
        <v>123</v>
      </c>
      <c r="J87" s="53" t="n">
        <v>2.52149049515553</v>
      </c>
      <c r="K87" s="52" t="n">
        <f aca="false">IF(G87="","",MAX(0,G87-J87/100))</f>
        <v>0.363918722067534</v>
      </c>
      <c r="L87" s="52" t="n">
        <f aca="false">IF(G87="","",MIN(1,G87+J87/100))</f>
        <v>0.414348531970645</v>
      </c>
      <c r="M87" s="37" t="n">
        <f aca="false">IF(F87="","",ROUND(F87*J87/100,0))</f>
        <v>34</v>
      </c>
      <c r="P87" s="54" t="n">
        <v>-1.86205254287425</v>
      </c>
      <c r="Q87" s="55" t="n">
        <f aca="false">T87*$H$5</f>
        <v>1362.06750324535</v>
      </c>
      <c r="R87" s="56" t="n">
        <f aca="false">MAX(0,MIN(1,P87/100+$D$5))</f>
        <v>0.389141720342561</v>
      </c>
      <c r="S87" s="57" t="s">
        <v>124</v>
      </c>
      <c r="T87" s="55" t="n">
        <v>1362.06750324535</v>
      </c>
    </row>
    <row r="88" customFormat="false" ht="15" hidden="false" customHeight="false" outlineLevel="0" collapsed="false">
      <c r="A88" s="21" t="s">
        <v>179</v>
      </c>
      <c r="B88" s="21" t="s">
        <v>203</v>
      </c>
      <c r="C88" s="21" t="s">
        <v>122</v>
      </c>
      <c r="D88" s="37" t="n">
        <f aca="false">ROUND(Q88*R88,0)</f>
        <v>1074</v>
      </c>
      <c r="E88" s="37" t="n">
        <f aca="false">ROUND(Q88,0)-D88</f>
        <v>2047</v>
      </c>
      <c r="F88" s="37" t="n">
        <f aca="false">IF(COUNTA(D88:E88)=0,"",SUM(D88:E88))</f>
        <v>3121</v>
      </c>
      <c r="G88" s="52" t="n">
        <f aca="false">IF(OR(F88="",F88=0),"",D88/F88)</f>
        <v>0.344120474206985</v>
      </c>
      <c r="H88" s="52" t="n">
        <f aca="false">IF(OR(F88="",F88=0),"",E88/F88)</f>
        <v>0.655879525793015</v>
      </c>
      <c r="I88" s="21" t="s">
        <v>123</v>
      </c>
      <c r="J88" s="53" t="n">
        <v>1.46865275115369</v>
      </c>
      <c r="K88" s="52" t="n">
        <f aca="false">IF(G88="","",MAX(0,G88-J88/100))</f>
        <v>0.329433946695448</v>
      </c>
      <c r="L88" s="52" t="n">
        <f aca="false">IF(G88="","",MIN(1,G88+J88/100))</f>
        <v>0.358807001718522</v>
      </c>
      <c r="M88" s="37" t="n">
        <f aca="false">IF(F88="","",ROUND(F88*J88/100,0))</f>
        <v>46</v>
      </c>
      <c r="P88" s="54" t="n">
        <v>-6.38214260516376</v>
      </c>
      <c r="Q88" s="55" t="n">
        <f aca="false">T88*$H$5</f>
        <v>3121.34219409283</v>
      </c>
      <c r="R88" s="56" t="n">
        <f aca="false">MAX(0,MIN(1,P88/100+$D$5))</f>
        <v>0.343940819719666</v>
      </c>
      <c r="S88" s="57" t="s">
        <v>130</v>
      </c>
      <c r="T88" s="55" t="n">
        <v>3121.34219409283</v>
      </c>
    </row>
    <row r="89" customFormat="false" ht="15" hidden="false" customHeight="false" outlineLevel="0" collapsed="false">
      <c r="A89" s="21" t="s">
        <v>179</v>
      </c>
      <c r="B89" s="21" t="s">
        <v>204</v>
      </c>
      <c r="C89" s="21" t="s">
        <v>122</v>
      </c>
      <c r="D89" s="37" t="n">
        <f aca="false">ROUND(Q89*R89,0)</f>
        <v>70</v>
      </c>
      <c r="E89" s="37" t="n">
        <f aca="false">ROUND(Q89,0)-D89</f>
        <v>126</v>
      </c>
      <c r="F89" s="37" t="n">
        <f aca="false">IF(COUNTA(D89:E89)=0,"",SUM(D89:E89))</f>
        <v>196</v>
      </c>
      <c r="G89" s="52" t="n">
        <f aca="false">IF(OR(F89="",F89=0),"",D89/F89)</f>
        <v>0.357142857142857</v>
      </c>
      <c r="H89" s="52" t="n">
        <f aca="false">IF(OR(F89="",F89=0),"",E89/F89)</f>
        <v>0.642857142857143</v>
      </c>
      <c r="I89" s="21" t="s">
        <v>123</v>
      </c>
      <c r="J89" s="53" t="n">
        <v>2.52149049515553</v>
      </c>
      <c r="K89" s="52" t="n">
        <f aca="false">IF(G89="","",MAX(0,G89-J89/100))</f>
        <v>0.331927952191302</v>
      </c>
      <c r="L89" s="52" t="n">
        <f aca="false">IF(G89="","",MIN(1,G89+J89/100))</f>
        <v>0.382357762094412</v>
      </c>
      <c r="M89" s="37" t="n">
        <f aca="false">IF(F89="","",ROUND(F89*J89/100,0))</f>
        <v>5</v>
      </c>
      <c r="P89" s="54" t="n">
        <v>-5.33048611310052</v>
      </c>
      <c r="Q89" s="55" t="n">
        <f aca="false">T89*$H$5</f>
        <v>196.102981029811</v>
      </c>
      <c r="R89" s="56" t="n">
        <f aca="false">MAX(0,MIN(1,P89/100+$D$5))</f>
        <v>0.354457384640298</v>
      </c>
      <c r="S89" s="57" t="s">
        <v>124</v>
      </c>
      <c r="T89" s="55" t="n">
        <v>196.102981029811</v>
      </c>
    </row>
    <row r="90" customFormat="false" ht="15" hidden="false" customHeight="false" outlineLevel="0" collapsed="false">
      <c r="A90" s="21" t="s">
        <v>179</v>
      </c>
      <c r="B90" s="21" t="s">
        <v>205</v>
      </c>
      <c r="C90" s="21" t="s">
        <v>122</v>
      </c>
      <c r="D90" s="37" t="n">
        <f aca="false">ROUND(Q90*R90,0)</f>
        <v>271</v>
      </c>
      <c r="E90" s="37" t="n">
        <f aca="false">ROUND(Q90,0)-D90</f>
        <v>413</v>
      </c>
      <c r="F90" s="37" t="n">
        <f aca="false">IF(COUNTA(D90:E90)=0,"",SUM(D90:E90))</f>
        <v>684</v>
      </c>
      <c r="G90" s="52" t="n">
        <f aca="false">IF(OR(F90="",F90=0),"",D90/F90)</f>
        <v>0.396198830409357</v>
      </c>
      <c r="H90" s="52" t="n">
        <f aca="false">IF(OR(F90="",F90=0),"",E90/F90)</f>
        <v>0.603801169590643</v>
      </c>
      <c r="I90" s="21" t="s">
        <v>123</v>
      </c>
      <c r="J90" s="53" t="n">
        <v>2.52149049515553</v>
      </c>
      <c r="K90" s="52" t="n">
        <f aca="false">IF(G90="","",MAX(0,G90-J90/100))</f>
        <v>0.370983925457801</v>
      </c>
      <c r="L90" s="52" t="n">
        <f aca="false">IF(G90="","",MIN(1,G90+J90/100))</f>
        <v>0.421413735360912</v>
      </c>
      <c r="M90" s="37" t="n">
        <f aca="false">IF(F90="","",ROUND(F90*J90/100,0))</f>
        <v>17</v>
      </c>
      <c r="P90" s="54" t="n">
        <v>-1.20390558046518</v>
      </c>
      <c r="Q90" s="55" t="n">
        <f aca="false">T90*$H$5</f>
        <v>683.952941176471</v>
      </c>
      <c r="R90" s="56" t="n">
        <f aca="false">MAX(0,MIN(1,P90/100+$D$5))</f>
        <v>0.395723189966652</v>
      </c>
      <c r="S90" s="57" t="s">
        <v>124</v>
      </c>
      <c r="T90" s="55" t="n">
        <v>683.952941176471</v>
      </c>
    </row>
    <row r="91" customFormat="false" ht="15" hidden="false" customHeight="false" outlineLevel="0" collapsed="false">
      <c r="A91" s="21" t="s">
        <v>179</v>
      </c>
      <c r="B91" s="21" t="s">
        <v>206</v>
      </c>
      <c r="C91" s="21" t="s">
        <v>122</v>
      </c>
      <c r="D91" s="37" t="n">
        <f aca="false">ROUND(Q91*R91,0)</f>
        <v>159</v>
      </c>
      <c r="E91" s="37" t="n">
        <f aca="false">ROUND(Q91,0)-D91</f>
        <v>230</v>
      </c>
      <c r="F91" s="37" t="n">
        <f aca="false">IF(COUNTA(D91:E91)=0,"",SUM(D91:E91))</f>
        <v>389</v>
      </c>
      <c r="G91" s="52" t="n">
        <f aca="false">IF(OR(F91="",F91=0),"",D91/F91)</f>
        <v>0.408740359897172</v>
      </c>
      <c r="H91" s="52" t="n">
        <f aca="false">IF(OR(F91="",F91=0),"",E91/F91)</f>
        <v>0.591259640102828</v>
      </c>
      <c r="I91" s="21" t="s">
        <v>123</v>
      </c>
      <c r="J91" s="53" t="n">
        <v>2.52149049515553</v>
      </c>
      <c r="K91" s="52" t="n">
        <f aca="false">IF(G91="","",MAX(0,G91-J91/100))</f>
        <v>0.383525454945617</v>
      </c>
      <c r="L91" s="52" t="n">
        <f aca="false">IF(G91="","",MIN(1,G91+J91/100))</f>
        <v>0.433955264848728</v>
      </c>
      <c r="M91" s="37" t="n">
        <f aca="false">IF(F91="","",ROUND(F91*J91/100,0))</f>
        <v>10</v>
      </c>
      <c r="P91" s="54" t="n">
        <v>0.0129885299389155</v>
      </c>
      <c r="Q91" s="55" t="n">
        <f aca="false">T91*$H$5</f>
        <v>388.819749216301</v>
      </c>
      <c r="R91" s="56" t="n">
        <f aca="false">MAX(0,MIN(1,P91/100+$D$5))</f>
        <v>0.407892131070693</v>
      </c>
      <c r="S91" s="57" t="s">
        <v>124</v>
      </c>
      <c r="T91" s="55" t="n">
        <v>388.819749216301</v>
      </c>
    </row>
    <row r="92" customFormat="false" ht="15" hidden="false" customHeight="false" outlineLevel="0" collapsed="false">
      <c r="A92" s="21" t="s">
        <v>179</v>
      </c>
      <c r="B92" s="21" t="s">
        <v>207</v>
      </c>
      <c r="C92" s="21" t="s">
        <v>122</v>
      </c>
      <c r="D92" s="37" t="n">
        <f aca="false">ROUND(Q92*R92,0)</f>
        <v>259</v>
      </c>
      <c r="E92" s="37" t="n">
        <f aca="false">ROUND(Q92,0)-D92</f>
        <v>343</v>
      </c>
      <c r="F92" s="37" t="n">
        <f aca="false">IF(COUNTA(D92:E92)=0,"",SUM(D92:E92))</f>
        <v>602</v>
      </c>
      <c r="G92" s="52" t="n">
        <f aca="false">IF(OR(F92="",F92=0),"",D92/F92)</f>
        <v>0.430232558139535</v>
      </c>
      <c r="H92" s="52" t="n">
        <f aca="false">IF(OR(F92="",F92=0),"",E92/F92)</f>
        <v>0.569767441860465</v>
      </c>
      <c r="I92" s="21" t="s">
        <v>123</v>
      </c>
      <c r="J92" s="53" t="n">
        <v>2.52149049515553</v>
      </c>
      <c r="K92" s="52" t="n">
        <f aca="false">IF(G92="","",MAX(0,G92-J92/100))</f>
        <v>0.40501765318798</v>
      </c>
      <c r="L92" s="52" t="n">
        <f aca="false">IF(G92="","",MIN(1,G92+J92/100))</f>
        <v>0.45544746309109</v>
      </c>
      <c r="M92" s="37" t="n">
        <f aca="false">IF(F92="","",ROUND(F92*J92/100,0))</f>
        <v>15</v>
      </c>
      <c r="P92" s="54" t="n">
        <v>2.30372690471704</v>
      </c>
      <c r="Q92" s="55" t="n">
        <f aca="false">T92*$H$5</f>
        <v>602.078688524591</v>
      </c>
      <c r="R92" s="56" t="n">
        <f aca="false">MAX(0,MIN(1,P92/100+$D$5))</f>
        <v>0.430799514818474</v>
      </c>
      <c r="S92" s="57" t="s">
        <v>124</v>
      </c>
      <c r="T92" s="55" t="n">
        <v>602.07868852459</v>
      </c>
    </row>
    <row r="93" customFormat="false" ht="15" hidden="false" customHeight="false" outlineLevel="0" collapsed="false">
      <c r="A93" s="21" t="s">
        <v>179</v>
      </c>
      <c r="B93" s="21" t="s">
        <v>208</v>
      </c>
      <c r="C93" s="21" t="s">
        <v>122</v>
      </c>
      <c r="D93" s="37" t="n">
        <f aca="false">ROUND(Q93*R93,0)</f>
        <v>1023</v>
      </c>
      <c r="E93" s="37" t="n">
        <f aca="false">ROUND(Q93,0)-D93</f>
        <v>2123</v>
      </c>
      <c r="F93" s="37" t="n">
        <f aca="false">IF(COUNTA(D93:E93)=0,"",SUM(D93:E93))</f>
        <v>3146</v>
      </c>
      <c r="G93" s="52" t="n">
        <f aca="false">IF(OR(F93="",F93=0),"",D93/F93)</f>
        <v>0.325174825174825</v>
      </c>
      <c r="H93" s="52" t="n">
        <f aca="false">IF(OR(F93="",F93=0),"",E93/F93)</f>
        <v>0.674825174825175</v>
      </c>
      <c r="I93" s="21" t="s">
        <v>123</v>
      </c>
      <c r="J93" s="53" t="n">
        <v>1.46865275115369</v>
      </c>
      <c r="K93" s="52" t="n">
        <f aca="false">IF(G93="","",MAX(0,G93-J93/100))</f>
        <v>0.310488297663288</v>
      </c>
      <c r="L93" s="52" t="n">
        <f aca="false">IF(G93="","",MIN(1,G93+J93/100))</f>
        <v>0.339861352686362</v>
      </c>
      <c r="M93" s="37" t="n">
        <f aca="false">IF(F93="","",ROUND(F93*J93/100,0))</f>
        <v>46</v>
      </c>
      <c r="P93" s="54" t="n">
        <v>-8.26194887632269</v>
      </c>
      <c r="Q93" s="55" t="n">
        <f aca="false">T93*$H$5</f>
        <v>3146.26275765459</v>
      </c>
      <c r="R93" s="56" t="n">
        <f aca="false">MAX(0,MIN(1,P93/100+$D$5))</f>
        <v>0.325142757008077</v>
      </c>
      <c r="S93" s="57" t="s">
        <v>130</v>
      </c>
      <c r="T93" s="55" t="n">
        <v>3146.26275765459</v>
      </c>
    </row>
    <row r="94" customFormat="false" ht="15" hidden="false" customHeight="false" outlineLevel="0" collapsed="false">
      <c r="A94" s="21" t="s">
        <v>179</v>
      </c>
      <c r="B94" s="21" t="s">
        <v>209</v>
      </c>
      <c r="C94" s="21" t="s">
        <v>122</v>
      </c>
      <c r="D94" s="37" t="n">
        <f aca="false">ROUND(Q94*R94,0)</f>
        <v>1094</v>
      </c>
      <c r="E94" s="37" t="n">
        <f aca="false">ROUND(Q94,0)-D94</f>
        <v>1162</v>
      </c>
      <c r="F94" s="37" t="n">
        <f aca="false">IF(COUNTA(D94:E94)=0,"",SUM(D94:E94))</f>
        <v>2256</v>
      </c>
      <c r="G94" s="52" t="n">
        <f aca="false">IF(OR(F94="",F94=0),"",D94/F94)</f>
        <v>0.484929078014184</v>
      </c>
      <c r="H94" s="52" t="n">
        <f aca="false">IF(OR(F94="",F94=0),"",E94/F94)</f>
        <v>0.515070921985816</v>
      </c>
      <c r="I94" s="21" t="s">
        <v>123</v>
      </c>
      <c r="J94" s="53" t="n">
        <v>1.46865275115369</v>
      </c>
      <c r="K94" s="52" t="n">
        <f aca="false">IF(G94="","",MAX(0,G94-J94/100))</f>
        <v>0.470242550502647</v>
      </c>
      <c r="L94" s="52" t="n">
        <f aca="false">IF(G94="","",MIN(1,G94+J94/100))</f>
        <v>0.499615605525721</v>
      </c>
      <c r="M94" s="37" t="n">
        <f aca="false">IF(F94="","",ROUND(F94*J94/100,0))</f>
        <v>33</v>
      </c>
      <c r="P94" s="54" t="n">
        <v>7.7036493920073</v>
      </c>
      <c r="Q94" s="55" t="n">
        <f aca="false">T94*$H$5</f>
        <v>2256.30703156213</v>
      </c>
      <c r="R94" s="56" t="n">
        <f aca="false">MAX(0,MIN(1,P94/100+$D$5))</f>
        <v>0.484798739691376</v>
      </c>
      <c r="S94" s="57" t="s">
        <v>130</v>
      </c>
      <c r="T94" s="55" t="n">
        <v>2256.30703156213</v>
      </c>
    </row>
    <row r="95" customFormat="false" ht="15" hidden="false" customHeight="false" outlineLevel="0" collapsed="false">
      <c r="A95" s="21" t="s">
        <v>179</v>
      </c>
      <c r="B95" s="21" t="s">
        <v>210</v>
      </c>
      <c r="C95" s="21" t="s">
        <v>122</v>
      </c>
      <c r="D95" s="37" t="n">
        <f aca="false">ROUND(Q95*R95,0)</f>
        <v>305</v>
      </c>
      <c r="E95" s="37" t="n">
        <f aca="false">ROUND(Q95,0)-D95</f>
        <v>456</v>
      </c>
      <c r="F95" s="37" t="n">
        <f aca="false">IF(COUNTA(D95:E95)=0,"",SUM(D95:E95))</f>
        <v>761</v>
      </c>
      <c r="G95" s="52" t="n">
        <f aca="false">IF(OR(F95="",F95=0),"",D95/F95)</f>
        <v>0.400788436268068</v>
      </c>
      <c r="H95" s="52" t="n">
        <f aca="false">IF(OR(F95="",F95=0),"",E95/F95)</f>
        <v>0.599211563731932</v>
      </c>
      <c r="I95" s="21" t="s">
        <v>123</v>
      </c>
      <c r="J95" s="53" t="n">
        <v>2.52149049515553</v>
      </c>
      <c r="K95" s="52" t="n">
        <f aca="false">IF(G95="","",MAX(0,G95-J95/100))</f>
        <v>0.375573531316513</v>
      </c>
      <c r="L95" s="52" t="n">
        <f aca="false">IF(G95="","",MIN(1,G95+J95/100))</f>
        <v>0.426003341219624</v>
      </c>
      <c r="M95" s="37" t="n">
        <f aca="false">IF(F95="","",ROUND(F95*J95/100,0))</f>
        <v>19</v>
      </c>
      <c r="P95" s="54" t="n">
        <v>-0.677314571830072</v>
      </c>
      <c r="Q95" s="55" t="n">
        <f aca="false">T95*$H$5</f>
        <v>761.429837518464</v>
      </c>
      <c r="R95" s="56" t="n">
        <f aca="false">MAX(0,MIN(1,P95/100+$D$5))</f>
        <v>0.400989100053003</v>
      </c>
      <c r="S95" s="57" t="s">
        <v>124</v>
      </c>
      <c r="T95" s="55" t="n">
        <v>761.429837518464</v>
      </c>
    </row>
    <row r="96" customFormat="false" ht="15" hidden="false" customHeight="false" outlineLevel="0" collapsed="false">
      <c r="A96" s="21" t="s">
        <v>179</v>
      </c>
      <c r="B96" s="21" t="s">
        <v>172</v>
      </c>
      <c r="C96" s="21" t="s">
        <v>122</v>
      </c>
      <c r="D96" s="37" t="n">
        <f aca="false">ROUND(Q96*R96,0)</f>
        <v>796</v>
      </c>
      <c r="E96" s="37" t="n">
        <f aca="false">ROUND(Q96,0)-D96</f>
        <v>1591</v>
      </c>
      <c r="F96" s="37" t="n">
        <f aca="false">IF(COUNTA(D96:E96)=0,"",SUM(D96:E96))</f>
        <v>2387</v>
      </c>
      <c r="G96" s="52" t="n">
        <f aca="false">IF(OR(F96="",F96=0),"",D96/F96)</f>
        <v>0.333472978634269</v>
      </c>
      <c r="H96" s="52" t="n">
        <f aca="false">IF(OR(F96="",F96=0),"",E96/F96)</f>
        <v>0.666527021365731</v>
      </c>
      <c r="I96" s="21" t="s">
        <v>123</v>
      </c>
      <c r="J96" s="53" t="n">
        <v>1.46865275115369</v>
      </c>
      <c r="K96" s="52" t="n">
        <f aca="false">IF(G96="","",MAX(0,G96-J96/100))</f>
        <v>0.318786451122732</v>
      </c>
      <c r="L96" s="52" t="n">
        <f aca="false">IF(G96="","",MIN(1,G96+J96/100))</f>
        <v>0.348159506145806</v>
      </c>
      <c r="M96" s="37" t="n">
        <f aca="false">IF(F96="","",ROUND(F96*J96/100,0))</f>
        <v>35</v>
      </c>
      <c r="P96" s="54" t="n">
        <v>-7.42472240019365</v>
      </c>
      <c r="Q96" s="55" t="n">
        <f aca="false">T96*$H$5</f>
        <v>2386.68081761006</v>
      </c>
      <c r="R96" s="56" t="n">
        <f aca="false">MAX(0,MIN(1,P96/100+$D$5))</f>
        <v>0.333515021769367</v>
      </c>
      <c r="S96" s="57" t="s">
        <v>130</v>
      </c>
      <c r="T96" s="55" t="n">
        <v>2386.68081761006</v>
      </c>
    </row>
    <row r="97" customFormat="false" ht="15" hidden="false" customHeight="false" outlineLevel="0" collapsed="false">
      <c r="A97" s="21" t="s">
        <v>179</v>
      </c>
      <c r="B97" s="21" t="s">
        <v>211</v>
      </c>
      <c r="C97" s="21" t="s">
        <v>122</v>
      </c>
      <c r="D97" s="37" t="n">
        <f aca="false">ROUND(Q97*R97,0)</f>
        <v>213</v>
      </c>
      <c r="E97" s="37" t="n">
        <f aca="false">ROUND(Q97,0)-D97</f>
        <v>225</v>
      </c>
      <c r="F97" s="37" t="n">
        <f aca="false">IF(COUNTA(D97:E97)=0,"",SUM(D97:E97))</f>
        <v>438</v>
      </c>
      <c r="G97" s="52" t="n">
        <f aca="false">IF(OR(F97="",F97=0),"",D97/F97)</f>
        <v>0.486301369863014</v>
      </c>
      <c r="H97" s="52" t="n">
        <f aca="false">IF(OR(F97="",F97=0),"",E97/F97)</f>
        <v>0.513698630136986</v>
      </c>
      <c r="I97" s="21" t="s">
        <v>123</v>
      </c>
      <c r="J97" s="53" t="n">
        <v>2.52149049515553</v>
      </c>
      <c r="K97" s="52" t="n">
        <f aca="false">IF(G97="","",MAX(0,G97-J97/100))</f>
        <v>0.461086464911458</v>
      </c>
      <c r="L97" s="52" t="n">
        <f aca="false">IF(G97="","",MIN(1,G97+J97/100))</f>
        <v>0.511516274814569</v>
      </c>
      <c r="M97" s="37" t="n">
        <f aca="false">IF(F97="","",ROUND(F97*J97/100,0))</f>
        <v>11</v>
      </c>
      <c r="P97" s="54" t="n">
        <v>7.71758923807404</v>
      </c>
      <c r="Q97" s="55" t="n">
        <f aca="false">T97*$H$5</f>
        <v>438.292134831461</v>
      </c>
      <c r="R97" s="56" t="n">
        <f aca="false">MAX(0,MIN(1,P97/100+$D$5))</f>
        <v>0.484938138152044</v>
      </c>
      <c r="S97" s="57" t="s">
        <v>124</v>
      </c>
      <c r="T97" s="55" t="n">
        <v>438.29213483146</v>
      </c>
    </row>
    <row r="98" customFormat="false" ht="15" hidden="false" customHeight="false" outlineLevel="0" collapsed="false">
      <c r="A98" s="21" t="s">
        <v>179</v>
      </c>
      <c r="B98" s="21" t="s">
        <v>212</v>
      </c>
      <c r="C98" s="21" t="s">
        <v>122</v>
      </c>
      <c r="D98" s="37" t="n">
        <f aca="false">ROUND(Q98*R98,0)</f>
        <v>1532</v>
      </c>
      <c r="E98" s="37" t="n">
        <f aca="false">ROUND(Q98,0)-D98</f>
        <v>1834</v>
      </c>
      <c r="F98" s="37" t="n">
        <f aca="false">IF(COUNTA(D98:E98)=0,"",SUM(D98:E98))</f>
        <v>3366</v>
      </c>
      <c r="G98" s="52" t="n">
        <f aca="false">IF(OR(F98="",F98=0),"",D98/F98)</f>
        <v>0.45513963161022</v>
      </c>
      <c r="H98" s="52" t="n">
        <f aca="false">IF(OR(F98="",F98=0),"",E98/F98)</f>
        <v>0.54486036838978</v>
      </c>
      <c r="I98" s="21" t="s">
        <v>123</v>
      </c>
      <c r="J98" s="53" t="n">
        <v>1.46865275115369</v>
      </c>
      <c r="K98" s="52" t="n">
        <f aca="false">IF(G98="","",MAX(0,G98-J98/100))</f>
        <v>0.440453104098683</v>
      </c>
      <c r="L98" s="52" t="n">
        <f aca="false">IF(G98="","",MIN(1,G98+J98/100))</f>
        <v>0.469826159121757</v>
      </c>
      <c r="M98" s="37" t="n">
        <f aca="false">IF(F98="","",ROUND(F98*J98/100,0))</f>
        <v>49</v>
      </c>
      <c r="P98" s="54" t="n">
        <v>4.74084477959605</v>
      </c>
      <c r="Q98" s="55" t="n">
        <f aca="false">T98*$H$5</f>
        <v>3365.72741078208</v>
      </c>
      <c r="R98" s="56" t="n">
        <f aca="false">MAX(0,MIN(1,P98/100+$D$5))</f>
        <v>0.455170693567264</v>
      </c>
      <c r="S98" s="57" t="s">
        <v>130</v>
      </c>
      <c r="T98" s="55" t="n">
        <v>3365.72741078208</v>
      </c>
    </row>
    <row r="99" customFormat="false" ht="15" hidden="false" customHeight="false" outlineLevel="0" collapsed="false">
      <c r="A99" s="21" t="s">
        <v>179</v>
      </c>
      <c r="B99" s="21" t="s">
        <v>213</v>
      </c>
      <c r="C99" s="21" t="s">
        <v>122</v>
      </c>
      <c r="D99" s="37" t="n">
        <f aca="false">ROUND(Q99*R99,0)</f>
        <v>1280</v>
      </c>
      <c r="E99" s="37" t="n">
        <f aca="false">ROUND(Q99,0)-D99</f>
        <v>1070</v>
      </c>
      <c r="F99" s="37" t="n">
        <f aca="false">IF(COUNTA(D99:E99)=0,"",SUM(D99:E99))</f>
        <v>2350</v>
      </c>
      <c r="G99" s="52" t="n">
        <f aca="false">IF(OR(F99="",F99=0),"",D99/F99)</f>
        <v>0.54468085106383</v>
      </c>
      <c r="H99" s="52" t="n">
        <f aca="false">IF(OR(F99="",F99=0),"",E99/F99)</f>
        <v>0.45531914893617</v>
      </c>
      <c r="I99" s="21" t="s">
        <v>123</v>
      </c>
      <c r="J99" s="53" t="n">
        <v>1.46865275115369</v>
      </c>
      <c r="K99" s="52" t="n">
        <f aca="false">IF(G99="","",MAX(0,G99-J99/100))</f>
        <v>0.529994323552293</v>
      </c>
      <c r="L99" s="52" t="n">
        <f aca="false">IF(G99="","",MIN(1,G99+J99/100))</f>
        <v>0.559367378575367</v>
      </c>
      <c r="M99" s="37" t="n">
        <f aca="false">IF(F99="","",ROUND(F99*J99/100,0))</f>
        <v>35</v>
      </c>
      <c r="P99" s="54" t="n">
        <v>13.6940002027983</v>
      </c>
      <c r="Q99" s="55" t="n">
        <f aca="false">T99*$H$5</f>
        <v>2350.25573902537</v>
      </c>
      <c r="R99" s="56" t="n">
        <f aca="false">MAX(0,MIN(1,P99/100+$D$5))</f>
        <v>0.544702247799286</v>
      </c>
      <c r="S99" s="57" t="s">
        <v>130</v>
      </c>
      <c r="T99" s="55" t="n">
        <v>2350.25573902537</v>
      </c>
    </row>
    <row r="100" customFormat="false" ht="15" hidden="false" customHeight="false" outlineLevel="0" collapsed="false">
      <c r="A100" s="21" t="s">
        <v>179</v>
      </c>
      <c r="B100" s="21" t="s">
        <v>214</v>
      </c>
      <c r="C100" s="21" t="s">
        <v>122</v>
      </c>
      <c r="D100" s="37" t="n">
        <f aca="false">ROUND(Q100*R100,0)</f>
        <v>500</v>
      </c>
      <c r="E100" s="37" t="n">
        <f aca="false">ROUND(Q100,0)-D100</f>
        <v>645</v>
      </c>
      <c r="F100" s="37" t="n">
        <f aca="false">IF(COUNTA(D100:E100)=0,"",SUM(D100:E100))</f>
        <v>1145</v>
      </c>
      <c r="G100" s="52" t="n">
        <f aca="false">IF(OR(F100="",F100=0),"",D100/F100)</f>
        <v>0.436681222707424</v>
      </c>
      <c r="H100" s="52" t="n">
        <f aca="false">IF(OR(F100="",F100=0),"",E100/F100)</f>
        <v>0.563318777292576</v>
      </c>
      <c r="I100" s="21" t="s">
        <v>123</v>
      </c>
      <c r="J100" s="53" t="n">
        <v>2.52149049515553</v>
      </c>
      <c r="K100" s="52" t="n">
        <f aca="false">IF(G100="","",MAX(0,G100-J100/100))</f>
        <v>0.411466317755868</v>
      </c>
      <c r="L100" s="52" t="n">
        <f aca="false">IF(G100="","",MIN(1,G100+J100/100))</f>
        <v>0.461896127658979</v>
      </c>
      <c r="M100" s="37" t="n">
        <f aca="false">IF(F100="","",ROUND(F100*J100/100,0))</f>
        <v>29</v>
      </c>
      <c r="P100" s="54" t="n">
        <v>2.85036015140565</v>
      </c>
      <c r="Q100" s="55" t="n">
        <f aca="false">T100*$H$5</f>
        <v>1145.48062775871</v>
      </c>
      <c r="R100" s="56" t="n">
        <f aca="false">MAX(0,MIN(1,P100/100+$D$5))</f>
        <v>0.43626584728536</v>
      </c>
      <c r="S100" s="57" t="s">
        <v>124</v>
      </c>
      <c r="T100" s="55" t="n">
        <v>1145.48062775871</v>
      </c>
    </row>
  </sheetData>
  <mergeCells count="4">
    <mergeCell ref="A3:I3"/>
    <mergeCell ref="A6:M6"/>
    <mergeCell ref="A9:M9"/>
    <mergeCell ref="A10:M10"/>
  </mergeCells>
  <conditionalFormatting sqref="G12:G100">
    <cfRule type="colorScale" priority="2">
      <colorScale>
        <cfvo type="num" val="0.25"/>
        <cfvo type="num" val="0.5"/>
        <cfvo type="num" val="0.75"/>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5"/>
    <col collapsed="false" customWidth="true" hidden="false" outlineLevel="0" max="9" min="9" style="0" width="52"/>
    <col collapsed="false" customWidth="true" hidden="false" outlineLevel="0" max="10" min="10" style="0" width="14"/>
    <col collapsed="false" customWidth="true" hidden="false" outlineLevel="0" max="12" min="11" style="0" width="12"/>
    <col collapsed="false" customWidth="true" hidden="false" outlineLevel="0" max="13" min="13" style="0" width="14"/>
    <col collapsed="false" customWidth="true" hidden="false" outlineLevel="0" max="15" min="14" style="0" width="3"/>
    <col collapsed="false" customWidth="true" hidden="false" outlineLevel="0" max="16" min="16" style="0" width="13"/>
    <col collapsed="false" customWidth="true" hidden="false" outlineLevel="0" max="18" min="17" style="0" width="14"/>
    <col collapsed="false" customWidth="true" hidden="false" outlineLevel="0" max="19" min="19" style="0" width="13"/>
    <col collapsed="false" customWidth="true" hidden="false" outlineLevel="0" max="20" min="20" style="0" width="16"/>
  </cols>
  <sheetData>
    <row r="1" customFormat="false" ht="17.35" hidden="false" customHeight="false" outlineLevel="0" collapsed="false">
      <c r="A1" s="1" t="s">
        <v>215</v>
      </c>
    </row>
    <row r="2" customFormat="false" ht="15" hidden="false" customHeight="false" outlineLevel="0" collapsed="false">
      <c r="A2" s="2" t="s">
        <v>85</v>
      </c>
    </row>
    <row r="3" customFormat="false" ht="15" hidden="false" customHeight="false" outlineLevel="0" collapsed="false">
      <c r="A3" s="13" t="s">
        <v>86</v>
      </c>
      <c r="B3" s="13"/>
      <c r="C3" s="13"/>
      <c r="D3" s="13"/>
      <c r="E3" s="13"/>
      <c r="F3" s="13"/>
      <c r="G3" s="13"/>
      <c r="H3" s="13"/>
      <c r="I3" s="13"/>
    </row>
    <row r="4" customFormat="false" ht="15" hidden="false" customHeight="false" outlineLevel="0" collapsed="false">
      <c r="A4" s="0" t="s">
        <v>87</v>
      </c>
      <c r="B4" s="0" t="s">
        <v>216</v>
      </c>
      <c r="C4" s="0" t="s">
        <v>89</v>
      </c>
      <c r="D4" s="40" t="n">
        <v>46300</v>
      </c>
      <c r="E4" s="41" t="s">
        <v>90</v>
      </c>
      <c r="F4" s="41" t="s">
        <v>91</v>
      </c>
      <c r="G4" s="41" t="s">
        <v>92</v>
      </c>
      <c r="H4" s="41" t="s">
        <v>93</v>
      </c>
    </row>
    <row r="5" customFormat="false" ht="15" hidden="false" customHeight="false" outlineLevel="0" collapsed="false">
      <c r="A5" s="0" t="s">
        <v>94</v>
      </c>
      <c r="B5" s="42" t="n">
        <f aca="false">'Scenario &amp; Comparison'!$C$6</f>
        <v>0.495158447761038</v>
      </c>
      <c r="C5" s="41" t="s">
        <v>95</v>
      </c>
      <c r="D5" s="43" t="n">
        <f aca="false">B5-SUMPRODUCT(P12:P100,Q12:Q100)/SUM(Q12:Q100)/100</f>
        <v>0.412645016964071</v>
      </c>
      <c r="E5" s="41" t="s">
        <v>96</v>
      </c>
      <c r="F5" s="44" t="n">
        <v>-0.414466164957503</v>
      </c>
      <c r="G5" s="41" t="s">
        <v>97</v>
      </c>
      <c r="H5" s="45" t="n">
        <f aca="false">'Scenario &amp; Comparison'!$C$7/SUM(T12:T100)</f>
        <v>1</v>
      </c>
    </row>
    <row r="6" customFormat="false" ht="15" hidden="false" customHeight="false" outlineLevel="0" collapsed="false">
      <c r="A6" s="4" t="s">
        <v>98</v>
      </c>
      <c r="B6" s="4"/>
      <c r="C6" s="4"/>
      <c r="D6" s="4"/>
      <c r="E6" s="4"/>
      <c r="F6" s="4"/>
      <c r="G6" s="4"/>
      <c r="H6" s="4"/>
      <c r="I6" s="4"/>
      <c r="J6" s="4"/>
      <c r="K6" s="4"/>
      <c r="L6" s="4"/>
      <c r="M6" s="4"/>
    </row>
    <row r="7" customFormat="false" ht="31.5" hidden="false" customHeight="true" outlineLevel="0" collapsed="false">
      <c r="A7" s="8" t="s">
        <v>99</v>
      </c>
      <c r="B7" s="8" t="s">
        <v>100</v>
      </c>
      <c r="C7" s="8" t="s">
        <v>101</v>
      </c>
      <c r="D7" s="8" t="s">
        <v>55</v>
      </c>
      <c r="E7" s="8" t="s">
        <v>56</v>
      </c>
      <c r="F7" s="8" t="s">
        <v>57</v>
      </c>
      <c r="G7" s="8" t="s">
        <v>58</v>
      </c>
      <c r="H7" s="8" t="s">
        <v>102</v>
      </c>
      <c r="I7" s="8" t="s">
        <v>103</v>
      </c>
      <c r="J7" s="8" t="s">
        <v>104</v>
      </c>
      <c r="K7" s="8" t="s">
        <v>105</v>
      </c>
      <c r="L7" s="8" t="s">
        <v>106</v>
      </c>
      <c r="M7" s="8" t="s">
        <v>107</v>
      </c>
    </row>
    <row r="8" customFormat="false" ht="15" hidden="false" customHeight="false" outlineLevel="0" collapsed="false">
      <c r="A8" s="28" t="s">
        <v>108</v>
      </c>
      <c r="B8" s="28" t="s">
        <v>109</v>
      </c>
      <c r="C8" s="28"/>
      <c r="D8" s="46" t="n">
        <f aca="false">SUM(D12:D100)</f>
        <v>149292</v>
      </c>
      <c r="E8" s="46" t="n">
        <f aca="false">SUM(E12:E100)</f>
        <v>152198</v>
      </c>
      <c r="F8" s="46" t="n">
        <f aca="false">D8+E8</f>
        <v>301490</v>
      </c>
      <c r="G8" s="47" t="n">
        <f aca="false">IF(F8=0,"",D8/F8)</f>
        <v>0.495180603005075</v>
      </c>
      <c r="H8" s="47" t="n">
        <f aca="false">IF(F8=0,"",E8/F8)</f>
        <v>0.504819396994925</v>
      </c>
      <c r="I8" s="28" t="s">
        <v>110</v>
      </c>
      <c r="J8" s="48" t="n">
        <v>0.414466164957503</v>
      </c>
      <c r="K8" s="47" t="n">
        <f aca="false">G8-J8/100</f>
        <v>0.4910359413555</v>
      </c>
      <c r="L8" s="47" t="n">
        <f aca="false">G8+J8/100</f>
        <v>0.49932526465465</v>
      </c>
      <c r="M8" s="46" t="n">
        <f aca="false">ROUND(F8*J8/100,0)</f>
        <v>1250</v>
      </c>
    </row>
    <row r="9" customFormat="false" ht="15" hidden="false" customHeight="false" outlineLevel="0" collapsed="false">
      <c r="A9" s="13" t="s">
        <v>111</v>
      </c>
      <c r="B9" s="13"/>
      <c r="C9" s="13"/>
      <c r="D9" s="13"/>
      <c r="E9" s="13"/>
      <c r="F9" s="13"/>
      <c r="G9" s="13"/>
      <c r="H9" s="13"/>
      <c r="I9" s="13"/>
      <c r="J9" s="13"/>
      <c r="K9" s="13"/>
      <c r="L9" s="13"/>
      <c r="M9" s="13"/>
    </row>
    <row r="10" customFormat="false" ht="15" hidden="false" customHeight="false" outlineLevel="0" collapsed="false">
      <c r="A10" s="4" t="s">
        <v>112</v>
      </c>
      <c r="B10" s="4"/>
      <c r="C10" s="4"/>
      <c r="D10" s="4"/>
      <c r="E10" s="4"/>
      <c r="F10" s="4"/>
      <c r="G10" s="4"/>
      <c r="H10" s="4"/>
      <c r="I10" s="4"/>
      <c r="J10" s="4"/>
      <c r="K10" s="4"/>
      <c r="L10" s="4"/>
      <c r="M10" s="4"/>
      <c r="P10" s="49" t="s">
        <v>113</v>
      </c>
      <c r="Q10" s="50"/>
      <c r="R10" s="50"/>
      <c r="S10" s="50"/>
      <c r="T10" s="50"/>
    </row>
    <row r="11" customFormat="false" ht="31.5" hidden="false" customHeight="true" outlineLevel="0" collapsed="false">
      <c r="A11" s="8" t="s">
        <v>75</v>
      </c>
      <c r="B11" s="8" t="s">
        <v>76</v>
      </c>
      <c r="C11" s="8" t="s">
        <v>77</v>
      </c>
      <c r="D11" s="8" t="s">
        <v>55</v>
      </c>
      <c r="E11" s="8" t="s">
        <v>56</v>
      </c>
      <c r="F11" s="8" t="s">
        <v>57</v>
      </c>
      <c r="G11" s="8" t="s">
        <v>58</v>
      </c>
      <c r="H11" s="8" t="s">
        <v>102</v>
      </c>
      <c r="I11" s="8" t="s">
        <v>114</v>
      </c>
      <c r="J11" s="8" t="s">
        <v>104</v>
      </c>
      <c r="K11" s="8" t="s">
        <v>105</v>
      </c>
      <c r="L11" s="8" t="s">
        <v>106</v>
      </c>
      <c r="M11" s="8" t="s">
        <v>107</v>
      </c>
      <c r="P11" s="51" t="s">
        <v>115</v>
      </c>
      <c r="Q11" s="51" t="s">
        <v>116</v>
      </c>
      <c r="R11" s="51" t="s">
        <v>117</v>
      </c>
      <c r="S11" s="51" t="s">
        <v>118</v>
      </c>
      <c r="T11" s="51" t="s">
        <v>119</v>
      </c>
    </row>
    <row r="12" customFormat="false" ht="15" hidden="false" customHeight="false" outlineLevel="0" collapsed="false">
      <c r="A12" s="21" t="s">
        <v>120</v>
      </c>
      <c r="B12" s="21" t="s">
        <v>121</v>
      </c>
      <c r="C12" s="21" t="s">
        <v>122</v>
      </c>
      <c r="D12" s="37" t="n">
        <f aca="false">ROUND(Q12*R12,0)</f>
        <v>144</v>
      </c>
      <c r="E12" s="37" t="n">
        <f aca="false">ROUND(Q12,0)-D12</f>
        <v>220</v>
      </c>
      <c r="F12" s="37" t="n">
        <f aca="false">IF(COUNTA(D12:E12)=0,"",SUM(D12:E12))</f>
        <v>364</v>
      </c>
      <c r="G12" s="52" t="n">
        <f aca="false">IF(OR(F12="",F12=0),"",D12/F12)</f>
        <v>0.395604395604396</v>
      </c>
      <c r="H12" s="52" t="n">
        <f aca="false">IF(OR(F12="",F12=0),"",E12/F12)</f>
        <v>0.604395604395604</v>
      </c>
      <c r="I12" s="21" t="s">
        <v>123</v>
      </c>
      <c r="J12" s="53" t="n">
        <v>2.69963061572276</v>
      </c>
      <c r="K12" s="52" t="n">
        <f aca="false">IF(G12="","",MAX(0,G12-J12/100))</f>
        <v>0.368608089447168</v>
      </c>
      <c r="L12" s="52" t="n">
        <f aca="false">IF(G12="","",MIN(1,G12+J12/100))</f>
        <v>0.422600701761623</v>
      </c>
      <c r="M12" s="37" t="n">
        <f aca="false">IF(F12="","",ROUND(F12*J12/100,0))</f>
        <v>10</v>
      </c>
      <c r="P12" s="54" t="n">
        <v>-1.88604671356007</v>
      </c>
      <c r="Q12" s="55" t="n">
        <f aca="false">T12*$H$5</f>
        <v>364.490963855422</v>
      </c>
      <c r="R12" s="56" t="n">
        <f aca="false">MAX(0,MIN(1,P12/100+$D$5))</f>
        <v>0.39378454982847</v>
      </c>
      <c r="S12" s="57" t="s">
        <v>124</v>
      </c>
      <c r="T12" s="55" t="n">
        <v>364.490963855422</v>
      </c>
    </row>
    <row r="13" customFormat="false" ht="15" hidden="false" customHeight="false" outlineLevel="0" collapsed="false">
      <c r="A13" s="21" t="s">
        <v>120</v>
      </c>
      <c r="B13" s="21" t="s">
        <v>125</v>
      </c>
      <c r="C13" s="21" t="s">
        <v>122</v>
      </c>
      <c r="D13" s="37" t="n">
        <f aca="false">ROUND(Q13*R13,0)</f>
        <v>96</v>
      </c>
      <c r="E13" s="37" t="n">
        <f aca="false">ROUND(Q13,0)-D13</f>
        <v>234</v>
      </c>
      <c r="F13" s="37" t="n">
        <f aca="false">IF(COUNTA(D13:E13)=0,"",SUM(D13:E13))</f>
        <v>330</v>
      </c>
      <c r="G13" s="52" t="n">
        <f aca="false">IF(OR(F13="",F13=0),"",D13/F13)</f>
        <v>0.290909090909091</v>
      </c>
      <c r="H13" s="52" t="n">
        <f aca="false">IF(OR(F13="",F13=0),"",E13/F13)</f>
        <v>0.709090909090909</v>
      </c>
      <c r="I13" s="21" t="s">
        <v>123</v>
      </c>
      <c r="J13" s="53" t="n">
        <v>2.69963061572276</v>
      </c>
      <c r="K13" s="52" t="n">
        <f aca="false">IF(G13="","",MAX(0,G13-J13/100))</f>
        <v>0.263912784751863</v>
      </c>
      <c r="L13" s="52" t="n">
        <f aca="false">IF(G13="","",MIN(1,G13+J13/100))</f>
        <v>0.317905397066319</v>
      </c>
      <c r="M13" s="37" t="n">
        <f aca="false">IF(F13="","",ROUND(F13*J13/100,0))</f>
        <v>9</v>
      </c>
      <c r="P13" s="54" t="n">
        <v>-12.1218513977511</v>
      </c>
      <c r="Q13" s="55" t="n">
        <f aca="false">T13*$H$5</f>
        <v>330.130136986302</v>
      </c>
      <c r="R13" s="56" t="n">
        <f aca="false">MAX(0,MIN(1,P13/100+$D$5))</f>
        <v>0.29142650298656</v>
      </c>
      <c r="S13" s="57" t="s">
        <v>124</v>
      </c>
      <c r="T13" s="55" t="n">
        <v>330.130136986301</v>
      </c>
    </row>
    <row r="14" customFormat="false" ht="15" hidden="false" customHeight="false" outlineLevel="0" collapsed="false">
      <c r="A14" s="21" t="s">
        <v>120</v>
      </c>
      <c r="B14" s="21" t="s">
        <v>126</v>
      </c>
      <c r="C14" s="21" t="s">
        <v>122</v>
      </c>
      <c r="D14" s="37" t="n">
        <f aca="false">ROUND(Q14*R14,0)</f>
        <v>119</v>
      </c>
      <c r="E14" s="37" t="n">
        <f aca="false">ROUND(Q14,0)-D14</f>
        <v>237</v>
      </c>
      <c r="F14" s="37" t="n">
        <f aca="false">IF(COUNTA(D14:E14)=0,"",SUM(D14:E14))</f>
        <v>356</v>
      </c>
      <c r="G14" s="52" t="n">
        <f aca="false">IF(OR(F14="",F14=0),"",D14/F14)</f>
        <v>0.334269662921348</v>
      </c>
      <c r="H14" s="52" t="n">
        <f aca="false">IF(OR(F14="",F14=0),"",E14/F14)</f>
        <v>0.665730337078652</v>
      </c>
      <c r="I14" s="21" t="s">
        <v>123</v>
      </c>
      <c r="J14" s="53" t="n">
        <v>2.69963061572276</v>
      </c>
      <c r="K14" s="52" t="n">
        <f aca="false">IF(G14="","",MAX(0,G14-J14/100))</f>
        <v>0.307273356764121</v>
      </c>
      <c r="L14" s="52" t="n">
        <f aca="false">IF(G14="","",MIN(1,G14+J14/100))</f>
        <v>0.361265969078576</v>
      </c>
      <c r="M14" s="37" t="n">
        <f aca="false">IF(F14="","",ROUND(F14*J14/100,0))</f>
        <v>10</v>
      </c>
      <c r="P14" s="54" t="n">
        <v>-7.84019321884252</v>
      </c>
      <c r="Q14" s="55" t="n">
        <f aca="false">T14*$H$5</f>
        <v>355.63436928702</v>
      </c>
      <c r="R14" s="56" t="n">
        <f aca="false">MAX(0,MIN(1,P14/100+$D$5))</f>
        <v>0.334243084775646</v>
      </c>
      <c r="S14" s="57" t="s">
        <v>124</v>
      </c>
      <c r="T14" s="55" t="n">
        <v>355.63436928702</v>
      </c>
    </row>
    <row r="15" customFormat="false" ht="15" hidden="false" customHeight="false" outlineLevel="0" collapsed="false">
      <c r="A15" s="21" t="s">
        <v>120</v>
      </c>
      <c r="B15" s="21" t="s">
        <v>127</v>
      </c>
      <c r="C15" s="21" t="s">
        <v>122</v>
      </c>
      <c r="D15" s="37" t="n">
        <f aca="false">ROUND(Q15*R15,0)</f>
        <v>376</v>
      </c>
      <c r="E15" s="37" t="n">
        <f aca="false">ROUND(Q15,0)-D15</f>
        <v>959</v>
      </c>
      <c r="F15" s="37" t="n">
        <f aca="false">IF(COUNTA(D15:E15)=0,"",SUM(D15:E15))</f>
        <v>1335</v>
      </c>
      <c r="G15" s="52" t="n">
        <f aca="false">IF(OR(F15="",F15=0),"",D15/F15)</f>
        <v>0.281647940074906</v>
      </c>
      <c r="H15" s="52" t="n">
        <f aca="false">IF(OR(F15="",F15=0),"",E15/F15)</f>
        <v>0.718352059925094</v>
      </c>
      <c r="I15" s="21" t="s">
        <v>123</v>
      </c>
      <c r="J15" s="53" t="n">
        <v>2.69963061572276</v>
      </c>
      <c r="K15" s="52" t="n">
        <f aca="false">IF(G15="","",MAX(0,G15-J15/100))</f>
        <v>0.254651633917679</v>
      </c>
      <c r="L15" s="52" t="n">
        <f aca="false">IF(G15="","",MIN(1,G15+J15/100))</f>
        <v>0.308644246232134</v>
      </c>
      <c r="M15" s="37" t="n">
        <f aca="false">IF(F15="","",ROUND(F15*J15/100,0))</f>
        <v>36</v>
      </c>
      <c r="P15" s="54" t="n">
        <v>-13.1271699718296</v>
      </c>
      <c r="Q15" s="55" t="n">
        <f aca="false">T15*$H$5</f>
        <v>1334.82101558572</v>
      </c>
      <c r="R15" s="56" t="n">
        <f aca="false">MAX(0,MIN(1,P15/100+$D$5))</f>
        <v>0.281373317245775</v>
      </c>
      <c r="S15" s="57" t="s">
        <v>124</v>
      </c>
      <c r="T15" s="55" t="n">
        <v>1334.82101558572</v>
      </c>
    </row>
    <row r="16" customFormat="false" ht="15" hidden="false" customHeight="false" outlineLevel="0" collapsed="false">
      <c r="A16" s="21" t="s">
        <v>120</v>
      </c>
      <c r="B16" s="21" t="s">
        <v>128</v>
      </c>
      <c r="C16" s="21" t="s">
        <v>122</v>
      </c>
      <c r="D16" s="37" t="n">
        <f aca="false">ROUND(Q16*R16,0)</f>
        <v>33</v>
      </c>
      <c r="E16" s="37" t="n">
        <f aca="false">ROUND(Q16,0)-D16</f>
        <v>60</v>
      </c>
      <c r="F16" s="37" t="n">
        <f aca="false">IF(COUNTA(D16:E16)=0,"",SUM(D16:E16))</f>
        <v>93</v>
      </c>
      <c r="G16" s="52" t="n">
        <f aca="false">IF(OR(F16="",F16=0),"",D16/F16)</f>
        <v>0.354838709677419</v>
      </c>
      <c r="H16" s="52" t="n">
        <f aca="false">IF(OR(F16="",F16=0),"",E16/F16)</f>
        <v>0.645161290322581</v>
      </c>
      <c r="I16" s="21" t="s">
        <v>123</v>
      </c>
      <c r="J16" s="53" t="n">
        <v>2.69963061572276</v>
      </c>
      <c r="K16" s="52" t="n">
        <f aca="false">IF(G16="","",MAX(0,G16-J16/100))</f>
        <v>0.327842403520192</v>
      </c>
      <c r="L16" s="52" t="n">
        <f aca="false">IF(G16="","",MIN(1,G16+J16/100))</f>
        <v>0.381835015834647</v>
      </c>
      <c r="M16" s="37" t="n">
        <f aca="false">IF(F16="","",ROUND(F16*J16/100,0))</f>
        <v>3</v>
      </c>
      <c r="P16" s="54" t="n">
        <v>-5.80374603190229</v>
      </c>
      <c r="Q16" s="55" t="n">
        <f aca="false">T16*$H$5</f>
        <v>93.4268292682927</v>
      </c>
      <c r="R16" s="56" t="n">
        <f aca="false">MAX(0,MIN(1,P16/100+$D$5))</f>
        <v>0.354607556645048</v>
      </c>
      <c r="S16" s="57" t="s">
        <v>124</v>
      </c>
      <c r="T16" s="55" t="n">
        <v>93.4268292682927</v>
      </c>
    </row>
    <row r="17" customFormat="false" ht="15" hidden="false" customHeight="false" outlineLevel="0" collapsed="false">
      <c r="A17" s="21" t="s">
        <v>120</v>
      </c>
      <c r="B17" s="21" t="s">
        <v>129</v>
      </c>
      <c r="C17" s="21" t="s">
        <v>122</v>
      </c>
      <c r="D17" s="37" t="n">
        <f aca="false">ROUND(Q17*R17,0)</f>
        <v>567</v>
      </c>
      <c r="E17" s="37" t="n">
        <f aca="false">ROUND(Q17,0)-D17</f>
        <v>1415</v>
      </c>
      <c r="F17" s="37" t="n">
        <f aca="false">IF(COUNTA(D17:E17)=0,"",SUM(D17:E17))</f>
        <v>1982</v>
      </c>
      <c r="G17" s="52" t="n">
        <f aca="false">IF(OR(F17="",F17=0),"",D17/F17)</f>
        <v>0.286074672048436</v>
      </c>
      <c r="H17" s="52" t="n">
        <f aca="false">IF(OR(F17="",F17=0),"",E17/F17)</f>
        <v>0.713925327951564</v>
      </c>
      <c r="I17" s="21" t="s">
        <v>123</v>
      </c>
      <c r="J17" s="53" t="n">
        <v>1.78126663688824</v>
      </c>
      <c r="K17" s="52" t="n">
        <f aca="false">IF(G17="","",MAX(0,G17-J17/100))</f>
        <v>0.268262005679553</v>
      </c>
      <c r="L17" s="52" t="n">
        <f aca="false">IF(G17="","",MIN(1,G17+J17/100))</f>
        <v>0.303887338417318</v>
      </c>
      <c r="M17" s="37" t="n">
        <f aca="false">IF(F17="","",ROUND(F17*J17/100,0))</f>
        <v>35</v>
      </c>
      <c r="P17" s="54" t="n">
        <v>-12.6490033276251</v>
      </c>
      <c r="Q17" s="55" t="n">
        <f aca="false">T17*$H$5</f>
        <v>1982.00903517264</v>
      </c>
      <c r="R17" s="56" t="n">
        <f aca="false">MAX(0,MIN(1,P17/100+$D$5))</f>
        <v>0.28615498368782</v>
      </c>
      <c r="S17" s="57" t="s">
        <v>130</v>
      </c>
      <c r="T17" s="55" t="n">
        <v>1982.00903517264</v>
      </c>
    </row>
    <row r="18" customFormat="false" ht="15" hidden="false" customHeight="false" outlineLevel="0" collapsed="false">
      <c r="A18" s="21" t="s">
        <v>120</v>
      </c>
      <c r="B18" s="21" t="s">
        <v>131</v>
      </c>
      <c r="C18" s="21" t="s">
        <v>122</v>
      </c>
      <c r="D18" s="37" t="n">
        <f aca="false">ROUND(Q18*R18,0)</f>
        <v>944</v>
      </c>
      <c r="E18" s="37" t="n">
        <f aca="false">ROUND(Q18,0)-D18</f>
        <v>1164</v>
      </c>
      <c r="F18" s="37" t="n">
        <f aca="false">IF(COUNTA(D18:E18)=0,"",SUM(D18:E18))</f>
        <v>2108</v>
      </c>
      <c r="G18" s="52" t="n">
        <f aca="false">IF(OR(F18="",F18=0),"",D18/F18)</f>
        <v>0.447817836812144</v>
      </c>
      <c r="H18" s="52" t="n">
        <f aca="false">IF(OR(F18="",F18=0),"",E18/F18)</f>
        <v>0.552182163187856</v>
      </c>
      <c r="I18" s="21" t="s">
        <v>123</v>
      </c>
      <c r="J18" s="53" t="n">
        <v>1.78126663688824</v>
      </c>
      <c r="K18" s="52" t="n">
        <f aca="false">IF(G18="","",MAX(0,G18-J18/100))</f>
        <v>0.430005170443262</v>
      </c>
      <c r="L18" s="52" t="n">
        <f aca="false">IF(G18="","",MIN(1,G18+J18/100))</f>
        <v>0.465630503181027</v>
      </c>
      <c r="M18" s="37" t="n">
        <f aca="false">IF(F18="","",ROUND(F18*J18/100,0))</f>
        <v>38</v>
      </c>
      <c r="P18" s="54" t="n">
        <v>3.54097338730269</v>
      </c>
      <c r="Q18" s="55" t="n">
        <f aca="false">T18*$H$5</f>
        <v>2107.72563176895</v>
      </c>
      <c r="R18" s="56" t="n">
        <f aca="false">MAX(0,MIN(1,P18/100+$D$5))</f>
        <v>0.448054750837098</v>
      </c>
      <c r="S18" s="57" t="s">
        <v>130</v>
      </c>
      <c r="T18" s="55" t="n">
        <v>2107.72563176895</v>
      </c>
    </row>
    <row r="19" customFormat="false" ht="15" hidden="false" customHeight="false" outlineLevel="0" collapsed="false">
      <c r="A19" s="21" t="s">
        <v>120</v>
      </c>
      <c r="B19" s="21" t="s">
        <v>132</v>
      </c>
      <c r="C19" s="21" t="s">
        <v>122</v>
      </c>
      <c r="D19" s="37" t="n">
        <f aca="false">ROUND(Q19*R19,0)</f>
        <v>274</v>
      </c>
      <c r="E19" s="37" t="n">
        <f aca="false">ROUND(Q19,0)-D19</f>
        <v>531</v>
      </c>
      <c r="F19" s="37" t="n">
        <f aca="false">IF(COUNTA(D19:E19)=0,"",SUM(D19:E19))</f>
        <v>805</v>
      </c>
      <c r="G19" s="52" t="n">
        <f aca="false">IF(OR(F19="",F19=0),"",D19/F19)</f>
        <v>0.340372670807453</v>
      </c>
      <c r="H19" s="52" t="n">
        <f aca="false">IF(OR(F19="",F19=0),"",E19/F19)</f>
        <v>0.659627329192547</v>
      </c>
      <c r="I19" s="21" t="s">
        <v>123</v>
      </c>
      <c r="J19" s="53" t="n">
        <v>2.69963061572276</v>
      </c>
      <c r="K19" s="52" t="n">
        <f aca="false">IF(G19="","",MAX(0,G19-J19/100))</f>
        <v>0.313376364650226</v>
      </c>
      <c r="L19" s="52" t="n">
        <f aca="false">IF(G19="","",MIN(1,G19+J19/100))</f>
        <v>0.367368976964681</v>
      </c>
      <c r="M19" s="37" t="n">
        <f aca="false">IF(F19="","",ROUND(F19*J19/100,0))</f>
        <v>22</v>
      </c>
      <c r="P19" s="54" t="n">
        <v>-7.22021828281154</v>
      </c>
      <c r="Q19" s="55" t="n">
        <f aca="false">T19*$H$5</f>
        <v>804.850331125828</v>
      </c>
      <c r="R19" s="56" t="n">
        <f aca="false">MAX(0,MIN(1,P19/100+$D$5))</f>
        <v>0.340442834135956</v>
      </c>
      <c r="S19" s="57" t="s">
        <v>124</v>
      </c>
      <c r="T19" s="55" t="n">
        <v>804.850331125827</v>
      </c>
    </row>
    <row r="20" customFormat="false" ht="15" hidden="false" customHeight="false" outlineLevel="0" collapsed="false">
      <c r="A20" s="21" t="s">
        <v>120</v>
      </c>
      <c r="B20" s="21" t="s">
        <v>133</v>
      </c>
      <c r="C20" s="21" t="s">
        <v>122</v>
      </c>
      <c r="D20" s="37" t="n">
        <f aca="false">ROUND(Q20*R20,0)</f>
        <v>446</v>
      </c>
      <c r="E20" s="37" t="n">
        <f aca="false">ROUND(Q20,0)-D20</f>
        <v>637</v>
      </c>
      <c r="F20" s="37" t="n">
        <f aca="false">IF(COUNTA(D20:E20)=0,"",SUM(D20:E20))</f>
        <v>1083</v>
      </c>
      <c r="G20" s="52" t="n">
        <f aca="false">IF(OR(F20="",F20=0),"",D20/F20)</f>
        <v>0.411819021237304</v>
      </c>
      <c r="H20" s="52" t="n">
        <f aca="false">IF(OR(F20="",F20=0),"",E20/F20)</f>
        <v>0.588180978762696</v>
      </c>
      <c r="I20" s="21" t="s">
        <v>123</v>
      </c>
      <c r="J20" s="53" t="n">
        <v>2.69963061572276</v>
      </c>
      <c r="K20" s="52" t="n">
        <f aca="false">IF(G20="","",MAX(0,G20-J20/100))</f>
        <v>0.384822715080076</v>
      </c>
      <c r="L20" s="52" t="n">
        <f aca="false">IF(G20="","",MIN(1,G20+J20/100))</f>
        <v>0.438815327394531</v>
      </c>
      <c r="M20" s="37" t="n">
        <f aca="false">IF(F20="","",ROUND(F20*J20/100,0))</f>
        <v>29</v>
      </c>
      <c r="P20" s="54" t="n">
        <v>-0.0757703892273123</v>
      </c>
      <c r="Q20" s="55" t="n">
        <f aca="false">T20*$H$5</f>
        <v>1083.4829443447</v>
      </c>
      <c r="R20" s="56" t="n">
        <f aca="false">MAX(0,MIN(1,P20/100+$D$5))</f>
        <v>0.411887313071798</v>
      </c>
      <c r="S20" s="57" t="s">
        <v>124</v>
      </c>
      <c r="T20" s="55" t="n">
        <v>1083.4829443447</v>
      </c>
    </row>
    <row r="21" customFormat="false" ht="15" hidden="false" customHeight="false" outlineLevel="0" collapsed="false">
      <c r="A21" s="21" t="s">
        <v>120</v>
      </c>
      <c r="B21" s="21" t="s">
        <v>134</v>
      </c>
      <c r="C21" s="21" t="s">
        <v>122</v>
      </c>
      <c r="D21" s="37" t="n">
        <f aca="false">ROUND(Q21*R21,0)</f>
        <v>34</v>
      </c>
      <c r="E21" s="37" t="n">
        <f aca="false">ROUND(Q21,0)-D21</f>
        <v>84</v>
      </c>
      <c r="F21" s="37" t="n">
        <f aca="false">IF(COUNTA(D21:E21)=0,"",SUM(D21:E21))</f>
        <v>118</v>
      </c>
      <c r="G21" s="52" t="n">
        <f aca="false">IF(OR(F21="",F21=0),"",D21/F21)</f>
        <v>0.288135593220339</v>
      </c>
      <c r="H21" s="52" t="n">
        <f aca="false">IF(OR(F21="",F21=0),"",E21/F21)</f>
        <v>0.711864406779661</v>
      </c>
      <c r="I21" s="21" t="s">
        <v>123</v>
      </c>
      <c r="J21" s="53" t="n">
        <v>2.69963061572276</v>
      </c>
      <c r="K21" s="52" t="n">
        <f aca="false">IF(G21="","",MAX(0,G21-J21/100))</f>
        <v>0.261139287063111</v>
      </c>
      <c r="L21" s="52" t="n">
        <f aca="false">IF(G21="","",MIN(1,G21+J21/100))</f>
        <v>0.315131899377567</v>
      </c>
      <c r="M21" s="37" t="n">
        <f aca="false">IF(F21="","",ROUND(F21*J21/100,0))</f>
        <v>3</v>
      </c>
      <c r="P21" s="54" t="n">
        <v>-12.5917130341237</v>
      </c>
      <c r="Q21" s="55" t="n">
        <f aca="false">T21*$H$5</f>
        <v>118.285714285714</v>
      </c>
      <c r="R21" s="56" t="n">
        <f aca="false">MAX(0,MIN(1,P21/100+$D$5))</f>
        <v>0.286727886622834</v>
      </c>
      <c r="S21" s="57" t="s">
        <v>124</v>
      </c>
      <c r="T21" s="55" t="n">
        <v>118.285714285714</v>
      </c>
    </row>
    <row r="22" customFormat="false" ht="15" hidden="false" customHeight="false" outlineLevel="0" collapsed="false">
      <c r="A22" s="21" t="s">
        <v>120</v>
      </c>
      <c r="B22" s="21" t="s">
        <v>135</v>
      </c>
      <c r="C22" s="21" t="s">
        <v>122</v>
      </c>
      <c r="D22" s="37" t="n">
        <f aca="false">ROUND(Q22*R22,0)</f>
        <v>52</v>
      </c>
      <c r="E22" s="37" t="n">
        <f aca="false">ROUND(Q22,0)-D22</f>
        <v>185</v>
      </c>
      <c r="F22" s="37" t="n">
        <f aca="false">IF(COUNTA(D22:E22)=0,"",SUM(D22:E22))</f>
        <v>237</v>
      </c>
      <c r="G22" s="52" t="n">
        <f aca="false">IF(OR(F22="",F22=0),"",D22/F22)</f>
        <v>0.219409282700422</v>
      </c>
      <c r="H22" s="52" t="n">
        <f aca="false">IF(OR(F22="",F22=0),"",E22/F22)</f>
        <v>0.780590717299578</v>
      </c>
      <c r="I22" s="21" t="s">
        <v>123</v>
      </c>
      <c r="J22" s="53" t="n">
        <v>2.69963061572276</v>
      </c>
      <c r="K22" s="52" t="n">
        <f aca="false">IF(G22="","",MAX(0,G22-J22/100))</f>
        <v>0.192412976543194</v>
      </c>
      <c r="L22" s="52" t="n">
        <f aca="false">IF(G22="","",MIN(1,G22+J22/100))</f>
        <v>0.24640558885765</v>
      </c>
      <c r="M22" s="37" t="n">
        <f aca="false">IF(F22="","",ROUND(F22*J22/100,0))</f>
        <v>6</v>
      </c>
      <c r="P22" s="54" t="n">
        <v>-19.3243072058654</v>
      </c>
      <c r="Q22" s="55" t="n">
        <f aca="false">T22*$H$5</f>
        <v>236.844827586207</v>
      </c>
      <c r="R22" s="56" t="n">
        <f aca="false">MAX(0,MIN(1,P22/100+$D$5))</f>
        <v>0.219401944905417</v>
      </c>
      <c r="S22" s="57" t="s">
        <v>124</v>
      </c>
      <c r="T22" s="55" t="n">
        <v>236.844827586207</v>
      </c>
    </row>
    <row r="23" customFormat="false" ht="15" hidden="false" customHeight="false" outlineLevel="0" collapsed="false">
      <c r="A23" s="21" t="s">
        <v>120</v>
      </c>
      <c r="B23" s="21" t="s">
        <v>136</v>
      </c>
      <c r="C23" s="21" t="s">
        <v>122</v>
      </c>
      <c r="D23" s="37" t="n">
        <f aca="false">ROUND(Q23*R23,0)</f>
        <v>717</v>
      </c>
      <c r="E23" s="37" t="n">
        <f aca="false">ROUND(Q23,0)-D23</f>
        <v>1037</v>
      </c>
      <c r="F23" s="37" t="n">
        <f aca="false">IF(COUNTA(D23:E23)=0,"",SUM(D23:E23))</f>
        <v>1754</v>
      </c>
      <c r="G23" s="52" t="n">
        <f aca="false">IF(OR(F23="",F23=0),"",D23/F23)</f>
        <v>0.408779931584949</v>
      </c>
      <c r="H23" s="52" t="n">
        <f aca="false">IF(OR(F23="",F23=0),"",E23/F23)</f>
        <v>0.591220068415051</v>
      </c>
      <c r="I23" s="21" t="s">
        <v>123</v>
      </c>
      <c r="J23" s="53" t="n">
        <v>1.78126663688824</v>
      </c>
      <c r="K23" s="52" t="n">
        <f aca="false">IF(G23="","",MAX(0,G23-J23/100))</f>
        <v>0.390967265216066</v>
      </c>
      <c r="L23" s="52" t="n">
        <f aca="false">IF(G23="","",MIN(1,G23+J23/100))</f>
        <v>0.426592597953831</v>
      </c>
      <c r="M23" s="37" t="n">
        <f aca="false">IF(F23="","",ROUND(F23*J23/100,0))</f>
        <v>31</v>
      </c>
      <c r="P23" s="54" t="n">
        <v>-0.388717372097225</v>
      </c>
      <c r="Q23" s="55" t="n">
        <f aca="false">T23*$H$5</f>
        <v>1753.74077578051</v>
      </c>
      <c r="R23" s="56" t="n">
        <f aca="false">MAX(0,MIN(1,P23/100+$D$5))</f>
        <v>0.408757843243099</v>
      </c>
      <c r="S23" s="57" t="s">
        <v>130</v>
      </c>
      <c r="T23" s="55" t="n">
        <v>1753.74077578051</v>
      </c>
    </row>
    <row r="24" customFormat="false" ht="15" hidden="false" customHeight="false" outlineLevel="0" collapsed="false">
      <c r="A24" s="21" t="s">
        <v>120</v>
      </c>
      <c r="B24" s="21" t="s">
        <v>137</v>
      </c>
      <c r="C24" s="21" t="s">
        <v>122</v>
      </c>
      <c r="D24" s="37" t="n">
        <f aca="false">ROUND(Q24*R24,0)</f>
        <v>429</v>
      </c>
      <c r="E24" s="37" t="n">
        <f aca="false">ROUND(Q24,0)-D24</f>
        <v>972</v>
      </c>
      <c r="F24" s="37" t="n">
        <f aca="false">IF(COUNTA(D24:E24)=0,"",SUM(D24:E24))</f>
        <v>1401</v>
      </c>
      <c r="G24" s="52" t="n">
        <f aca="false">IF(OR(F24="",F24=0),"",D24/F24)</f>
        <v>0.306209850107066</v>
      </c>
      <c r="H24" s="52" t="n">
        <f aca="false">IF(OR(F24="",F24=0),"",E24/F24)</f>
        <v>0.693790149892934</v>
      </c>
      <c r="I24" s="21" t="s">
        <v>123</v>
      </c>
      <c r="J24" s="53" t="n">
        <v>2.69963061572276</v>
      </c>
      <c r="K24" s="52" t="n">
        <f aca="false">IF(G24="","",MAX(0,G24-J24/100))</f>
        <v>0.279213543949839</v>
      </c>
      <c r="L24" s="52" t="n">
        <f aca="false">IF(G24="","",MIN(1,G24+J24/100))</f>
        <v>0.333206156264294</v>
      </c>
      <c r="M24" s="37" t="n">
        <f aca="false">IF(F24="","",ROUND(F24*J24/100,0))</f>
        <v>38</v>
      </c>
      <c r="P24" s="54" t="n">
        <v>-10.6591720577008</v>
      </c>
      <c r="Q24" s="55" t="n">
        <f aca="false">T24*$H$5</f>
        <v>1401.11772917636</v>
      </c>
      <c r="R24" s="56" t="n">
        <f aca="false">MAX(0,MIN(1,P24/100+$D$5))</f>
        <v>0.306053296387063</v>
      </c>
      <c r="S24" s="57" t="s">
        <v>124</v>
      </c>
      <c r="T24" s="55" t="n">
        <v>1401.11772917636</v>
      </c>
    </row>
    <row r="25" customFormat="false" ht="15" hidden="false" customHeight="false" outlineLevel="0" collapsed="false">
      <c r="A25" s="21" t="s">
        <v>120</v>
      </c>
      <c r="B25" s="21" t="s">
        <v>138</v>
      </c>
      <c r="C25" s="21" t="s">
        <v>122</v>
      </c>
      <c r="D25" s="37" t="n">
        <f aca="false">ROUND(Q25*R25,0)</f>
        <v>572</v>
      </c>
      <c r="E25" s="37" t="n">
        <f aca="false">ROUND(Q25,0)-D25</f>
        <v>1306</v>
      </c>
      <c r="F25" s="37" t="n">
        <f aca="false">IF(COUNTA(D25:E25)=0,"",SUM(D25:E25))</f>
        <v>1878</v>
      </c>
      <c r="G25" s="52" t="n">
        <f aca="false">IF(OR(F25="",F25=0),"",D25/F25)</f>
        <v>0.30457933972311</v>
      </c>
      <c r="H25" s="52" t="n">
        <f aca="false">IF(OR(F25="",F25=0),"",E25/F25)</f>
        <v>0.69542066027689</v>
      </c>
      <c r="I25" s="21" t="s">
        <v>123</v>
      </c>
      <c r="J25" s="53" t="n">
        <v>1.78126663688824</v>
      </c>
      <c r="K25" s="52" t="n">
        <f aca="false">IF(G25="","",MAX(0,G25-J25/100))</f>
        <v>0.286766673354227</v>
      </c>
      <c r="L25" s="52" t="n">
        <f aca="false">IF(G25="","",MIN(1,G25+J25/100))</f>
        <v>0.322392006091992</v>
      </c>
      <c r="M25" s="37" t="n">
        <f aca="false">IF(F25="","",ROUND(F25*J25/100,0))</f>
        <v>33</v>
      </c>
      <c r="P25" s="54" t="n">
        <v>-10.8287334611054</v>
      </c>
      <c r="Q25" s="55" t="n">
        <f aca="false">T25*$H$5</f>
        <v>1878.41828929068</v>
      </c>
      <c r="R25" s="56" t="n">
        <f aca="false">MAX(0,MIN(1,P25/100+$D$5))</f>
        <v>0.304357682353017</v>
      </c>
      <c r="S25" s="57" t="s">
        <v>130</v>
      </c>
      <c r="T25" s="55" t="n">
        <v>1878.41828929068</v>
      </c>
    </row>
    <row r="26" customFormat="false" ht="15" hidden="false" customHeight="false" outlineLevel="0" collapsed="false">
      <c r="A26" s="21" t="s">
        <v>120</v>
      </c>
      <c r="B26" s="21" t="s">
        <v>139</v>
      </c>
      <c r="C26" s="21" t="s">
        <v>122</v>
      </c>
      <c r="D26" s="37" t="n">
        <f aca="false">ROUND(Q26*R26,0)</f>
        <v>496</v>
      </c>
      <c r="E26" s="37" t="n">
        <f aca="false">ROUND(Q26,0)-D26</f>
        <v>718</v>
      </c>
      <c r="F26" s="37" t="n">
        <f aca="false">IF(COUNTA(D26:E26)=0,"",SUM(D26:E26))</f>
        <v>1214</v>
      </c>
      <c r="G26" s="52" t="n">
        <f aca="false">IF(OR(F26="",F26=0),"",D26/F26)</f>
        <v>0.408566721581549</v>
      </c>
      <c r="H26" s="52" t="n">
        <f aca="false">IF(OR(F26="",F26=0),"",E26/F26)</f>
        <v>0.591433278418451</v>
      </c>
      <c r="I26" s="21" t="s">
        <v>123</v>
      </c>
      <c r="J26" s="53" t="n">
        <v>2.69963061572276</v>
      </c>
      <c r="K26" s="52" t="n">
        <f aca="false">IF(G26="","",MAX(0,G26-J26/100))</f>
        <v>0.381570415424321</v>
      </c>
      <c r="L26" s="52" t="n">
        <f aca="false">IF(G26="","",MIN(1,G26+J26/100))</f>
        <v>0.435563027738776</v>
      </c>
      <c r="M26" s="37" t="n">
        <f aca="false">IF(F26="","",ROUND(F26*J26/100,0))</f>
        <v>33</v>
      </c>
      <c r="P26" s="54" t="n">
        <v>-0.444041829712986</v>
      </c>
      <c r="Q26" s="55" t="n">
        <f aca="false">T26*$H$5</f>
        <v>1214.17865765331</v>
      </c>
      <c r="R26" s="56" t="n">
        <f aca="false">MAX(0,MIN(1,P26/100+$D$5))</f>
        <v>0.408204598666941</v>
      </c>
      <c r="S26" s="57" t="s">
        <v>124</v>
      </c>
      <c r="T26" s="55" t="n">
        <v>1214.17865765331</v>
      </c>
    </row>
    <row r="27" customFormat="false" ht="15" hidden="false" customHeight="false" outlineLevel="0" collapsed="false">
      <c r="A27" s="21" t="s">
        <v>120</v>
      </c>
      <c r="B27" s="21" t="s">
        <v>140</v>
      </c>
      <c r="C27" s="21" t="s">
        <v>122</v>
      </c>
      <c r="D27" s="37" t="n">
        <f aca="false">ROUND(Q27*R27,0)</f>
        <v>109</v>
      </c>
      <c r="E27" s="37" t="n">
        <f aca="false">ROUND(Q27,0)-D27</f>
        <v>421</v>
      </c>
      <c r="F27" s="37" t="n">
        <f aca="false">IF(COUNTA(D27:E27)=0,"",SUM(D27:E27))</f>
        <v>530</v>
      </c>
      <c r="G27" s="52" t="n">
        <f aca="false">IF(OR(F27="",F27=0),"",D27/F27)</f>
        <v>0.205660377358491</v>
      </c>
      <c r="H27" s="52" t="n">
        <f aca="false">IF(OR(F27="",F27=0),"",E27/F27)</f>
        <v>0.79433962264151</v>
      </c>
      <c r="I27" s="21" t="s">
        <v>123</v>
      </c>
      <c r="J27" s="53" t="n">
        <v>2.69963061572276</v>
      </c>
      <c r="K27" s="52" t="n">
        <f aca="false">IF(G27="","",MAX(0,G27-J27/100))</f>
        <v>0.178664071201263</v>
      </c>
      <c r="L27" s="52" t="n">
        <f aca="false">IF(G27="","",MIN(1,G27+J27/100))</f>
        <v>0.232656683515718</v>
      </c>
      <c r="M27" s="37" t="n">
        <f aca="false">IF(F27="","",ROUND(F27*J27/100,0))</f>
        <v>14</v>
      </c>
      <c r="P27" s="54" t="n">
        <v>-20.781893832131</v>
      </c>
      <c r="Q27" s="55" t="n">
        <f aca="false">T27*$H$5</f>
        <v>530.117647058824</v>
      </c>
      <c r="R27" s="56" t="n">
        <f aca="false">MAX(0,MIN(1,P27/100+$D$5))</f>
        <v>0.204826078642761</v>
      </c>
      <c r="S27" s="57" t="s">
        <v>124</v>
      </c>
      <c r="T27" s="55" t="n">
        <v>530.117647058823</v>
      </c>
    </row>
    <row r="28" customFormat="false" ht="15" hidden="false" customHeight="false" outlineLevel="0" collapsed="false">
      <c r="A28" s="21" t="s">
        <v>120</v>
      </c>
      <c r="B28" s="21" t="s">
        <v>141</v>
      </c>
      <c r="C28" s="21" t="s">
        <v>122</v>
      </c>
      <c r="D28" s="37" t="n">
        <f aca="false">ROUND(Q28*R28,0)</f>
        <v>759</v>
      </c>
      <c r="E28" s="37" t="n">
        <f aca="false">ROUND(Q28,0)-D28</f>
        <v>1232</v>
      </c>
      <c r="F28" s="37" t="n">
        <f aca="false">IF(COUNTA(D28:E28)=0,"",SUM(D28:E28))</f>
        <v>1991</v>
      </c>
      <c r="G28" s="52" t="n">
        <f aca="false">IF(OR(F28="",F28=0),"",D28/F28)</f>
        <v>0.38121546961326</v>
      </c>
      <c r="H28" s="52" t="n">
        <f aca="false">IF(OR(F28="",F28=0),"",E28/F28)</f>
        <v>0.61878453038674</v>
      </c>
      <c r="I28" s="21" t="s">
        <v>123</v>
      </c>
      <c r="J28" s="53" t="n">
        <v>1.78126663688824</v>
      </c>
      <c r="K28" s="52" t="n">
        <f aca="false">IF(G28="","",MAX(0,G28-J28/100))</f>
        <v>0.363402803244377</v>
      </c>
      <c r="L28" s="52" t="n">
        <f aca="false">IF(G28="","",MIN(1,G28+J28/100))</f>
        <v>0.399028135982142</v>
      </c>
      <c r="M28" s="37" t="n">
        <f aca="false">IF(F28="","",ROUND(F28*J28/100,0))</f>
        <v>35</v>
      </c>
      <c r="P28" s="54" t="n">
        <v>-3.13048487119494</v>
      </c>
      <c r="Q28" s="55" t="n">
        <f aca="false">T28*$H$5</f>
        <v>1991.47057118005</v>
      </c>
      <c r="R28" s="56" t="n">
        <f aca="false">MAX(0,MIN(1,P28/100+$D$5))</f>
        <v>0.381340168252121</v>
      </c>
      <c r="S28" s="57" t="s">
        <v>130</v>
      </c>
      <c r="T28" s="55" t="n">
        <v>1991.47057118005</v>
      </c>
    </row>
    <row r="29" customFormat="false" ht="15" hidden="false" customHeight="false" outlineLevel="0" collapsed="false">
      <c r="A29" s="21" t="s">
        <v>120</v>
      </c>
      <c r="B29" s="21" t="s">
        <v>142</v>
      </c>
      <c r="C29" s="21" t="s">
        <v>122</v>
      </c>
      <c r="D29" s="37" t="n">
        <f aca="false">ROUND(Q29*R29,0)</f>
        <v>59</v>
      </c>
      <c r="E29" s="37" t="n">
        <f aca="false">ROUND(Q29,0)-D29</f>
        <v>126</v>
      </c>
      <c r="F29" s="37" t="n">
        <f aca="false">IF(COUNTA(D29:E29)=0,"",SUM(D29:E29))</f>
        <v>185</v>
      </c>
      <c r="G29" s="52" t="n">
        <f aca="false">IF(OR(F29="",F29=0),"",D29/F29)</f>
        <v>0.318918918918919</v>
      </c>
      <c r="H29" s="52" t="n">
        <f aca="false">IF(OR(F29="",F29=0),"",E29/F29)</f>
        <v>0.681081081081081</v>
      </c>
      <c r="I29" s="21" t="s">
        <v>123</v>
      </c>
      <c r="J29" s="53" t="n">
        <v>2.69963061572276</v>
      </c>
      <c r="K29" s="52" t="n">
        <f aca="false">IF(G29="","",MAX(0,G29-J29/100))</f>
        <v>0.291922612761691</v>
      </c>
      <c r="L29" s="52" t="n">
        <f aca="false">IF(G29="","",MIN(1,G29+J29/100))</f>
        <v>0.345915225076147</v>
      </c>
      <c r="M29" s="37" t="n">
        <f aca="false">IF(F29="","",ROUND(F29*J29/100,0))</f>
        <v>5</v>
      </c>
      <c r="P29" s="54" t="n">
        <v>-9.36938070554231</v>
      </c>
      <c r="Q29" s="55" t="n">
        <f aca="false">T29*$H$5</f>
        <v>184.547540983607</v>
      </c>
      <c r="R29" s="56" t="n">
        <f aca="false">MAX(0,MIN(1,P29/100+$D$5))</f>
        <v>0.318951209908648</v>
      </c>
      <c r="S29" s="57" t="s">
        <v>124</v>
      </c>
      <c r="T29" s="55" t="n">
        <v>184.547540983607</v>
      </c>
    </row>
    <row r="30" customFormat="false" ht="15" hidden="false" customHeight="false" outlineLevel="0" collapsed="false">
      <c r="A30" s="21" t="s">
        <v>120</v>
      </c>
      <c r="B30" s="21" t="s">
        <v>143</v>
      </c>
      <c r="C30" s="21" t="s">
        <v>122</v>
      </c>
      <c r="D30" s="37" t="n">
        <f aca="false">ROUND(Q30*R30,0)</f>
        <v>1633</v>
      </c>
      <c r="E30" s="37" t="n">
        <f aca="false">ROUND(Q30,0)-D30</f>
        <v>2839</v>
      </c>
      <c r="F30" s="37" t="n">
        <f aca="false">IF(COUNTA(D30:E30)=0,"",SUM(D30:E30))</f>
        <v>4472</v>
      </c>
      <c r="G30" s="52" t="n">
        <f aca="false">IF(OR(F30="",F30=0),"",D30/F30)</f>
        <v>0.365161001788909</v>
      </c>
      <c r="H30" s="52" t="n">
        <f aca="false">IF(OR(F30="",F30=0),"",E30/F30)</f>
        <v>0.634838998211091</v>
      </c>
      <c r="I30" s="21" t="s">
        <v>123</v>
      </c>
      <c r="J30" s="53" t="n">
        <v>1.22829950997111</v>
      </c>
      <c r="K30" s="52" t="n">
        <f aca="false">IF(G30="","",MAX(0,G30-J30/100))</f>
        <v>0.352878006689198</v>
      </c>
      <c r="L30" s="52" t="n">
        <f aca="false">IF(G30="","",MIN(1,G30+J30/100))</f>
        <v>0.37744399688862</v>
      </c>
      <c r="M30" s="37" t="n">
        <f aca="false">IF(F30="","",ROUND(F30*J30/100,0))</f>
        <v>55</v>
      </c>
      <c r="P30" s="54" t="n">
        <v>-4.74712962886873</v>
      </c>
      <c r="Q30" s="55" t="n">
        <f aca="false">T30*$H$5</f>
        <v>4472.46592381446</v>
      </c>
      <c r="R30" s="56" t="n">
        <f aca="false">MAX(0,MIN(1,P30/100+$D$5))</f>
        <v>0.365173720675384</v>
      </c>
      <c r="S30" s="57" t="s">
        <v>144</v>
      </c>
      <c r="T30" s="55" t="n">
        <v>4472.46592381446</v>
      </c>
    </row>
    <row r="31" customFormat="false" ht="15" hidden="false" customHeight="false" outlineLevel="0" collapsed="false">
      <c r="A31" s="21" t="s">
        <v>120</v>
      </c>
      <c r="B31" s="21" t="s">
        <v>145</v>
      </c>
      <c r="C31" s="21" t="s">
        <v>122</v>
      </c>
      <c r="D31" s="37" t="n">
        <f aca="false">ROUND(Q31*R31,0)</f>
        <v>572</v>
      </c>
      <c r="E31" s="37" t="n">
        <f aca="false">ROUND(Q31,0)-D31</f>
        <v>721</v>
      </c>
      <c r="F31" s="37" t="n">
        <f aca="false">IF(COUNTA(D31:E31)=0,"",SUM(D31:E31))</f>
        <v>1293</v>
      </c>
      <c r="G31" s="52" t="n">
        <f aca="false">IF(OR(F31="",F31=0),"",D31/F31)</f>
        <v>0.442382057231245</v>
      </c>
      <c r="H31" s="52" t="n">
        <f aca="false">IF(OR(F31="",F31=0),"",E31/F31)</f>
        <v>0.557617942768755</v>
      </c>
      <c r="I31" s="21" t="s">
        <v>123</v>
      </c>
      <c r="J31" s="53" t="n">
        <v>2.69963061572276</v>
      </c>
      <c r="K31" s="52" t="n">
        <f aca="false">IF(G31="","",MAX(0,G31-J31/100))</f>
        <v>0.415385751074018</v>
      </c>
      <c r="L31" s="52" t="n">
        <f aca="false">IF(G31="","",MIN(1,G31+J31/100))</f>
        <v>0.469378363388473</v>
      </c>
      <c r="M31" s="37" t="n">
        <f aca="false">IF(F31="","",ROUND(F31*J31/100,0))</f>
        <v>35</v>
      </c>
      <c r="P31" s="54" t="n">
        <v>2.98376312040032</v>
      </c>
      <c r="Q31" s="55" t="n">
        <f aca="false">T31*$H$5</f>
        <v>1293.28908554572</v>
      </c>
      <c r="R31" s="56" t="n">
        <f aca="false">MAX(0,MIN(1,P31/100+$D$5))</f>
        <v>0.442482648168074</v>
      </c>
      <c r="S31" s="57" t="s">
        <v>124</v>
      </c>
      <c r="T31" s="55" t="n">
        <v>1293.28908554572</v>
      </c>
    </row>
    <row r="32" customFormat="false" ht="15" hidden="false" customHeight="false" outlineLevel="0" collapsed="false">
      <c r="A32" s="21" t="s">
        <v>120</v>
      </c>
      <c r="B32" s="21" t="s">
        <v>146</v>
      </c>
      <c r="C32" s="21" t="s">
        <v>122</v>
      </c>
      <c r="D32" s="37" t="n">
        <f aca="false">ROUND(Q32*R32,0)</f>
        <v>671</v>
      </c>
      <c r="E32" s="37" t="n">
        <f aca="false">ROUND(Q32,0)-D32</f>
        <v>1587</v>
      </c>
      <c r="F32" s="37" t="n">
        <f aca="false">IF(COUNTA(D32:E32)=0,"",SUM(D32:E32))</f>
        <v>2258</v>
      </c>
      <c r="G32" s="52" t="n">
        <f aca="false">IF(OR(F32="",F32=0),"",D32/F32)</f>
        <v>0.297165633303809</v>
      </c>
      <c r="H32" s="52" t="n">
        <f aca="false">IF(OR(F32="",F32=0),"",E32/F32)</f>
        <v>0.702834366696191</v>
      </c>
      <c r="I32" s="21" t="s">
        <v>123</v>
      </c>
      <c r="J32" s="53" t="n">
        <v>1.78126663688824</v>
      </c>
      <c r="K32" s="52" t="n">
        <f aca="false">IF(G32="","",MAX(0,G32-J32/100))</f>
        <v>0.279352966934926</v>
      </c>
      <c r="L32" s="52" t="n">
        <f aca="false">IF(G32="","",MIN(1,G32+J32/100))</f>
        <v>0.314978299672691</v>
      </c>
      <c r="M32" s="37" t="n">
        <f aca="false">IF(F32="","",ROUND(F32*J32/100,0))</f>
        <v>40</v>
      </c>
      <c r="P32" s="54" t="n">
        <v>-11.5510581434275</v>
      </c>
      <c r="Q32" s="55" t="n">
        <f aca="false">T32*$H$5</f>
        <v>2258.11685530744</v>
      </c>
      <c r="R32" s="56" t="n">
        <f aca="false">MAX(0,MIN(1,P32/100+$D$5))</f>
        <v>0.297134435529796</v>
      </c>
      <c r="S32" s="57" t="s">
        <v>130</v>
      </c>
      <c r="T32" s="55" t="n">
        <v>2258.11685530743</v>
      </c>
    </row>
    <row r="33" customFormat="false" ht="15" hidden="false" customHeight="false" outlineLevel="0" collapsed="false">
      <c r="A33" s="21" t="s">
        <v>120</v>
      </c>
      <c r="B33" s="21" t="s">
        <v>147</v>
      </c>
      <c r="C33" s="21" t="s">
        <v>122</v>
      </c>
      <c r="D33" s="37" t="n">
        <f aca="false">ROUND(Q33*R33,0)</f>
        <v>268</v>
      </c>
      <c r="E33" s="37" t="n">
        <f aca="false">ROUND(Q33,0)-D33</f>
        <v>646</v>
      </c>
      <c r="F33" s="37" t="n">
        <f aca="false">IF(COUNTA(D33:E33)=0,"",SUM(D33:E33))</f>
        <v>914</v>
      </c>
      <c r="G33" s="52" t="n">
        <f aca="false">IF(OR(F33="",F33=0),"",D33/F33)</f>
        <v>0.293216630196937</v>
      </c>
      <c r="H33" s="52" t="n">
        <f aca="false">IF(OR(F33="",F33=0),"",E33/F33)</f>
        <v>0.706783369803063</v>
      </c>
      <c r="I33" s="21" t="s">
        <v>123</v>
      </c>
      <c r="J33" s="53" t="n">
        <v>2.69963061572276</v>
      </c>
      <c r="K33" s="52" t="n">
        <f aca="false">IF(G33="","",MAX(0,G33-J33/100))</f>
        <v>0.266220324039709</v>
      </c>
      <c r="L33" s="52" t="n">
        <f aca="false">IF(G33="","",MIN(1,G33+J33/100))</f>
        <v>0.320212936354164</v>
      </c>
      <c r="M33" s="37" t="n">
        <f aca="false">IF(F33="","",ROUND(F33*J33/100,0))</f>
        <v>25</v>
      </c>
      <c r="P33" s="54" t="n">
        <v>-11.9203888940644</v>
      </c>
      <c r="Q33" s="55" t="n">
        <f aca="false">T33*$H$5</f>
        <v>913.771907216495</v>
      </c>
      <c r="R33" s="56" t="n">
        <f aca="false">MAX(0,MIN(1,P33/100+$D$5))</f>
        <v>0.293441128023427</v>
      </c>
      <c r="S33" s="57" t="s">
        <v>124</v>
      </c>
      <c r="T33" s="55" t="n">
        <v>913.771907216495</v>
      </c>
    </row>
    <row r="34" customFormat="false" ht="15" hidden="false" customHeight="false" outlineLevel="0" collapsed="false">
      <c r="A34" s="21" t="s">
        <v>120</v>
      </c>
      <c r="B34" s="21" t="s">
        <v>148</v>
      </c>
      <c r="C34" s="21" t="s">
        <v>122</v>
      </c>
      <c r="D34" s="37" t="n">
        <f aca="false">ROUND(Q34*R34,0)</f>
        <v>37</v>
      </c>
      <c r="E34" s="37" t="n">
        <f aca="false">ROUND(Q34,0)-D34</f>
        <v>70</v>
      </c>
      <c r="F34" s="37" t="n">
        <f aca="false">IF(COUNTA(D34:E34)=0,"",SUM(D34:E34))</f>
        <v>107</v>
      </c>
      <c r="G34" s="52" t="n">
        <f aca="false">IF(OR(F34="",F34=0),"",D34/F34)</f>
        <v>0.345794392523364</v>
      </c>
      <c r="H34" s="52" t="n">
        <f aca="false">IF(OR(F34="",F34=0),"",E34/F34)</f>
        <v>0.654205607476636</v>
      </c>
      <c r="I34" s="21" t="s">
        <v>123</v>
      </c>
      <c r="J34" s="53" t="n">
        <v>2.69963061572276</v>
      </c>
      <c r="K34" s="52" t="n">
        <f aca="false">IF(G34="","",MAX(0,G34-J34/100))</f>
        <v>0.318798086366137</v>
      </c>
      <c r="L34" s="52" t="n">
        <f aca="false">IF(G34="","",MIN(1,G34+J34/100))</f>
        <v>0.372790698680592</v>
      </c>
      <c r="M34" s="37" t="n">
        <f aca="false">IF(F34="","",ROUND(F34*J34/100,0))</f>
        <v>3</v>
      </c>
      <c r="P34" s="54" t="n">
        <v>-6.37255905699158</v>
      </c>
      <c r="Q34" s="55" t="n">
        <f aca="false">T34*$H$5</f>
        <v>106.666666666667</v>
      </c>
      <c r="R34" s="56" t="n">
        <f aca="false">MAX(0,MIN(1,P34/100+$D$5))</f>
        <v>0.348919426394155</v>
      </c>
      <c r="S34" s="57" t="s">
        <v>124</v>
      </c>
      <c r="T34" s="55" t="n">
        <v>106.666666666667</v>
      </c>
    </row>
    <row r="35" customFormat="false" ht="15" hidden="false" customHeight="false" outlineLevel="0" collapsed="false">
      <c r="A35" s="21" t="s">
        <v>149</v>
      </c>
      <c r="B35" s="21" t="s">
        <v>150</v>
      </c>
      <c r="C35" s="21" t="s">
        <v>122</v>
      </c>
      <c r="D35" s="37" t="n">
        <f aca="false">ROUND(Q35*R35,0)</f>
        <v>506</v>
      </c>
      <c r="E35" s="37" t="n">
        <f aca="false">ROUND(Q35,0)-D35</f>
        <v>555</v>
      </c>
      <c r="F35" s="37" t="n">
        <f aca="false">IF(COUNTA(D35:E35)=0,"",SUM(D35:E35))</f>
        <v>1061</v>
      </c>
      <c r="G35" s="52" t="n">
        <f aca="false">IF(OR(F35="",F35=0),"",D35/F35)</f>
        <v>0.476908576814326</v>
      </c>
      <c r="H35" s="52" t="n">
        <f aca="false">IF(OR(F35="",F35=0),"",E35/F35)</f>
        <v>0.523091423185674</v>
      </c>
      <c r="I35" s="21" t="s">
        <v>123</v>
      </c>
      <c r="J35" s="53" t="n">
        <v>2.69963061572276</v>
      </c>
      <c r="K35" s="52" t="n">
        <f aca="false">IF(G35="","",MAX(0,G35-J35/100))</f>
        <v>0.449912270657099</v>
      </c>
      <c r="L35" s="52" t="n">
        <f aca="false">IF(G35="","",MIN(1,G35+J35/100))</f>
        <v>0.503904882971554</v>
      </c>
      <c r="M35" s="37" t="n">
        <f aca="false">IF(F35="","",ROUND(F35*J35/100,0))</f>
        <v>29</v>
      </c>
      <c r="P35" s="54" t="n">
        <v>6.41572283789779</v>
      </c>
      <c r="Q35" s="55" t="n">
        <f aca="false">T35*$H$5</f>
        <v>1060.80585424134</v>
      </c>
      <c r="R35" s="56" t="n">
        <f aca="false">MAX(0,MIN(1,P35/100+$D$5))</f>
        <v>0.476802245343049</v>
      </c>
      <c r="S35" s="57" t="s">
        <v>124</v>
      </c>
      <c r="T35" s="55" t="n">
        <v>1060.80585424134</v>
      </c>
    </row>
    <row r="36" customFormat="false" ht="15" hidden="false" customHeight="false" outlineLevel="0" collapsed="false">
      <c r="A36" s="21" t="s">
        <v>149</v>
      </c>
      <c r="B36" s="21" t="s">
        <v>151</v>
      </c>
      <c r="C36" s="21" t="s">
        <v>122</v>
      </c>
      <c r="D36" s="37" t="n">
        <f aca="false">ROUND(Q36*R36,0)</f>
        <v>16573</v>
      </c>
      <c r="E36" s="37" t="n">
        <f aca="false">ROUND(Q36,0)-D36</f>
        <v>8801</v>
      </c>
      <c r="F36" s="37" t="n">
        <f aca="false">IF(COUNTA(D36:E36)=0,"",SUM(D36:E36))</f>
        <v>25374</v>
      </c>
      <c r="G36" s="52" t="n">
        <f aca="false">IF(OR(F36="",F36=0),"",D36/F36)</f>
        <v>0.653148892567195</v>
      </c>
      <c r="H36" s="52" t="n">
        <f aca="false">IF(OR(F36="",F36=0),"",E36/F36)</f>
        <v>0.346851107432805</v>
      </c>
      <c r="I36" s="21" t="s">
        <v>123</v>
      </c>
      <c r="J36" s="53" t="n">
        <v>1.22829950997111</v>
      </c>
      <c r="K36" s="52" t="n">
        <f aca="false">IF(G36="","",MAX(0,G36-J36/100))</f>
        <v>0.640865897467484</v>
      </c>
      <c r="L36" s="52" t="n">
        <f aca="false">IF(G36="","",MIN(1,G36+J36/100))</f>
        <v>0.665431887666906</v>
      </c>
      <c r="M36" s="37" t="n">
        <f aca="false">IF(F36="","",ROUND(F36*J36/100,0))</f>
        <v>312</v>
      </c>
      <c r="P36" s="54" t="n">
        <v>24.0496555482037</v>
      </c>
      <c r="Q36" s="55" t="n">
        <f aca="false">T36*$H$5</f>
        <v>25374.4394084886</v>
      </c>
      <c r="R36" s="56" t="n">
        <f aca="false">MAX(0,MIN(1,P36/100+$D$5))</f>
        <v>0.653141572446107</v>
      </c>
      <c r="S36" s="57" t="s">
        <v>144</v>
      </c>
      <c r="T36" s="55" t="n">
        <v>25374.4394084886</v>
      </c>
    </row>
    <row r="37" customFormat="false" ht="15" hidden="false" customHeight="false" outlineLevel="0" collapsed="false">
      <c r="A37" s="21" t="s">
        <v>149</v>
      </c>
      <c r="B37" s="21" t="s">
        <v>152</v>
      </c>
      <c r="C37" s="21" t="s">
        <v>122</v>
      </c>
      <c r="D37" s="37" t="n">
        <f aca="false">ROUND(Q37*R37,0)</f>
        <v>5063</v>
      </c>
      <c r="E37" s="37" t="n">
        <f aca="false">ROUND(Q37,0)-D37</f>
        <v>2914</v>
      </c>
      <c r="F37" s="37" t="n">
        <f aca="false">IF(COUNTA(D37:E37)=0,"",SUM(D37:E37))</f>
        <v>7977</v>
      </c>
      <c r="G37" s="52" t="n">
        <f aca="false">IF(OR(F37="",F37=0),"",D37/F37)</f>
        <v>0.634699761815219</v>
      </c>
      <c r="H37" s="52" t="n">
        <f aca="false">IF(OR(F37="",F37=0),"",E37/F37)</f>
        <v>0.365300238184781</v>
      </c>
      <c r="I37" s="21" t="s">
        <v>123</v>
      </c>
      <c r="J37" s="53" t="n">
        <v>1.22829950997111</v>
      </c>
      <c r="K37" s="52" t="n">
        <f aca="false">IF(G37="","",MAX(0,G37-J37/100))</f>
        <v>0.622416766715508</v>
      </c>
      <c r="L37" s="52" t="n">
        <f aca="false">IF(G37="","",MIN(1,G37+J37/100))</f>
        <v>0.64698275691493</v>
      </c>
      <c r="M37" s="37" t="n">
        <f aca="false">IF(F37="","",ROUND(F37*J37/100,0))</f>
        <v>98</v>
      </c>
      <c r="P37" s="54" t="n">
        <v>22.2065157840265</v>
      </c>
      <c r="Q37" s="55" t="n">
        <f aca="false">T37*$H$5</f>
        <v>7976.55329986175</v>
      </c>
      <c r="R37" s="56" t="n">
        <f aca="false">MAX(0,MIN(1,P37/100+$D$5))</f>
        <v>0.634710174804336</v>
      </c>
      <c r="S37" s="57" t="s">
        <v>144</v>
      </c>
      <c r="T37" s="55" t="n">
        <v>7976.55329986175</v>
      </c>
    </row>
    <row r="38" customFormat="false" ht="15" hidden="false" customHeight="false" outlineLevel="0" collapsed="false">
      <c r="A38" s="21" t="s">
        <v>149</v>
      </c>
      <c r="B38" s="21" t="s">
        <v>153</v>
      </c>
      <c r="C38" s="21" t="s">
        <v>122</v>
      </c>
      <c r="D38" s="37" t="n">
        <f aca="false">ROUND(Q38*R38,0)</f>
        <v>1122</v>
      </c>
      <c r="E38" s="37" t="n">
        <f aca="false">ROUND(Q38,0)-D38</f>
        <v>1056</v>
      </c>
      <c r="F38" s="37" t="n">
        <f aca="false">IF(COUNTA(D38:E38)=0,"",SUM(D38:E38))</f>
        <v>2178</v>
      </c>
      <c r="G38" s="52" t="n">
        <f aca="false">IF(OR(F38="",F38=0),"",D38/F38)</f>
        <v>0.515151515151515</v>
      </c>
      <c r="H38" s="52" t="n">
        <f aca="false">IF(OR(F38="",F38=0),"",E38/F38)</f>
        <v>0.484848484848485</v>
      </c>
      <c r="I38" s="21" t="s">
        <v>123</v>
      </c>
      <c r="J38" s="53" t="n">
        <v>1.78126663688824</v>
      </c>
      <c r="K38" s="52" t="n">
        <f aca="false">IF(G38="","",MAX(0,G38-J38/100))</f>
        <v>0.497338848782633</v>
      </c>
      <c r="L38" s="52" t="n">
        <f aca="false">IF(G38="","",MIN(1,G38+J38/100))</f>
        <v>0.532964181520398</v>
      </c>
      <c r="M38" s="37" t="n">
        <f aca="false">IF(F38="","",ROUND(F38*J38/100,0))</f>
        <v>39</v>
      </c>
      <c r="P38" s="54" t="n">
        <v>10.2404310293946</v>
      </c>
      <c r="Q38" s="55" t="n">
        <f aca="false">T38*$H$5</f>
        <v>2177.82706204834</v>
      </c>
      <c r="R38" s="56" t="n">
        <f aca="false">MAX(0,MIN(1,P38/100+$D$5))</f>
        <v>0.515049327258017</v>
      </c>
      <c r="S38" s="57" t="s">
        <v>130</v>
      </c>
      <c r="T38" s="55" t="n">
        <v>2177.82706204834</v>
      </c>
    </row>
    <row r="39" customFormat="false" ht="15" hidden="false" customHeight="false" outlineLevel="0" collapsed="false">
      <c r="A39" s="21" t="s">
        <v>149</v>
      </c>
      <c r="B39" s="21" t="s">
        <v>154</v>
      </c>
      <c r="C39" s="21" t="s">
        <v>122</v>
      </c>
      <c r="D39" s="37" t="n">
        <f aca="false">ROUND(Q39*R39,0)</f>
        <v>621</v>
      </c>
      <c r="E39" s="37" t="n">
        <f aca="false">ROUND(Q39,0)-D39</f>
        <v>649</v>
      </c>
      <c r="F39" s="37" t="n">
        <f aca="false">IF(COUNTA(D39:E39)=0,"",SUM(D39:E39))</f>
        <v>1270</v>
      </c>
      <c r="G39" s="52" t="n">
        <f aca="false">IF(OR(F39="",F39=0),"",D39/F39)</f>
        <v>0.488976377952756</v>
      </c>
      <c r="H39" s="52" t="n">
        <f aca="false">IF(OR(F39="",F39=0),"",E39/F39)</f>
        <v>0.511023622047244</v>
      </c>
      <c r="I39" s="21" t="s">
        <v>123</v>
      </c>
      <c r="J39" s="53" t="n">
        <v>2.69963061572276</v>
      </c>
      <c r="K39" s="52" t="n">
        <f aca="false">IF(G39="","",MAX(0,G39-J39/100))</f>
        <v>0.461980071795528</v>
      </c>
      <c r="L39" s="52" t="n">
        <f aca="false">IF(G39="","",MIN(1,G39+J39/100))</f>
        <v>0.515972684109984</v>
      </c>
      <c r="M39" s="37" t="n">
        <f aca="false">IF(F39="","",ROUND(F39*J39/100,0))</f>
        <v>34</v>
      </c>
      <c r="P39" s="54" t="n">
        <v>7.60145041004988</v>
      </c>
      <c r="Q39" s="55" t="n">
        <f aca="false">T39*$H$5</f>
        <v>1270.44031093837</v>
      </c>
      <c r="R39" s="56" t="n">
        <f aca="false">MAX(0,MIN(1,P39/100+$D$5))</f>
        <v>0.48865952106457</v>
      </c>
      <c r="S39" s="57" t="s">
        <v>124</v>
      </c>
      <c r="T39" s="55" t="n">
        <v>1270.44031093837</v>
      </c>
    </row>
    <row r="40" customFormat="false" ht="15" hidden="false" customHeight="false" outlineLevel="0" collapsed="false">
      <c r="A40" s="21" t="s">
        <v>149</v>
      </c>
      <c r="B40" s="21" t="s">
        <v>155</v>
      </c>
      <c r="C40" s="21" t="s">
        <v>122</v>
      </c>
      <c r="D40" s="37" t="n">
        <f aca="false">ROUND(Q40*R40,0)</f>
        <v>704</v>
      </c>
      <c r="E40" s="37" t="n">
        <f aca="false">ROUND(Q40,0)-D40</f>
        <v>660</v>
      </c>
      <c r="F40" s="37" t="n">
        <f aca="false">IF(COUNTA(D40:E40)=0,"",SUM(D40:E40))</f>
        <v>1364</v>
      </c>
      <c r="G40" s="52" t="n">
        <f aca="false">IF(OR(F40="",F40=0),"",D40/F40)</f>
        <v>0.516129032258065</v>
      </c>
      <c r="H40" s="52" t="n">
        <f aca="false">IF(OR(F40="",F40=0),"",E40/F40)</f>
        <v>0.483870967741936</v>
      </c>
      <c r="I40" s="21" t="s">
        <v>123</v>
      </c>
      <c r="J40" s="53" t="n">
        <v>2.69963061572276</v>
      </c>
      <c r="K40" s="52" t="n">
        <f aca="false">IF(G40="","",MAX(0,G40-J40/100))</f>
        <v>0.489132726100837</v>
      </c>
      <c r="L40" s="52" t="n">
        <f aca="false">IF(G40="","",MIN(1,G40+J40/100))</f>
        <v>0.543125338415292</v>
      </c>
      <c r="M40" s="37" t="n">
        <f aca="false">IF(F40="","",ROUND(F40*J40/100,0))</f>
        <v>37</v>
      </c>
      <c r="P40" s="54" t="n">
        <v>10.3153821997176</v>
      </c>
      <c r="Q40" s="55" t="n">
        <f aca="false">T40*$H$5</f>
        <v>1363.93435943866</v>
      </c>
      <c r="R40" s="56" t="n">
        <f aca="false">MAX(0,MIN(1,P40/100+$D$5))</f>
        <v>0.515798838961246</v>
      </c>
      <c r="S40" s="57" t="s">
        <v>124</v>
      </c>
      <c r="T40" s="55" t="n">
        <v>1363.93435943866</v>
      </c>
    </row>
    <row r="41" customFormat="false" ht="15" hidden="false" customHeight="false" outlineLevel="0" collapsed="false">
      <c r="A41" s="21" t="s">
        <v>149</v>
      </c>
      <c r="B41" s="21" t="s">
        <v>156</v>
      </c>
      <c r="C41" s="21" t="s">
        <v>122</v>
      </c>
      <c r="D41" s="37" t="n">
        <f aca="false">ROUND(Q41*R41,0)</f>
        <v>2875</v>
      </c>
      <c r="E41" s="37" t="n">
        <f aca="false">ROUND(Q41,0)-D41</f>
        <v>2513</v>
      </c>
      <c r="F41" s="37" t="n">
        <f aca="false">IF(COUNTA(D41:E41)=0,"",SUM(D41:E41))</f>
        <v>5388</v>
      </c>
      <c r="G41" s="52" t="n">
        <f aca="false">IF(OR(F41="",F41=0),"",D41/F41)</f>
        <v>0.533593170007424</v>
      </c>
      <c r="H41" s="52" t="n">
        <f aca="false">IF(OR(F41="",F41=0),"",E41/F41)</f>
        <v>0.466406829992576</v>
      </c>
      <c r="I41" s="21" t="s">
        <v>123</v>
      </c>
      <c r="J41" s="53" t="n">
        <v>1.22829950997111</v>
      </c>
      <c r="K41" s="52" t="n">
        <f aca="false">IF(G41="","",MAX(0,G41-J41/100))</f>
        <v>0.521310174907713</v>
      </c>
      <c r="L41" s="52" t="n">
        <f aca="false">IF(G41="","",MIN(1,G41+J41/100))</f>
        <v>0.545876165107135</v>
      </c>
      <c r="M41" s="37" t="n">
        <f aca="false">IF(F41="","",ROUND(F41*J41/100,0))</f>
        <v>66</v>
      </c>
      <c r="P41" s="54" t="n">
        <v>12.0923656276082</v>
      </c>
      <c r="Q41" s="55" t="n">
        <f aca="false">T41*$H$5</f>
        <v>5388.18679314119</v>
      </c>
      <c r="R41" s="56" t="n">
        <f aca="false">MAX(0,MIN(1,P41/100+$D$5))</f>
        <v>0.533568673240153</v>
      </c>
      <c r="S41" s="57" t="s">
        <v>144</v>
      </c>
      <c r="T41" s="55" t="n">
        <v>5388.18679314119</v>
      </c>
    </row>
    <row r="42" customFormat="false" ht="15" hidden="false" customHeight="false" outlineLevel="0" collapsed="false">
      <c r="A42" s="21" t="s">
        <v>149</v>
      </c>
      <c r="B42" s="21" t="s">
        <v>157</v>
      </c>
      <c r="C42" s="21" t="s">
        <v>122</v>
      </c>
      <c r="D42" s="37" t="n">
        <f aca="false">ROUND(Q42*R42,0)</f>
        <v>1052</v>
      </c>
      <c r="E42" s="37" t="n">
        <f aca="false">ROUND(Q42,0)-D42</f>
        <v>553</v>
      </c>
      <c r="F42" s="37" t="n">
        <f aca="false">IF(COUNTA(D42:E42)=0,"",SUM(D42:E42))</f>
        <v>1605</v>
      </c>
      <c r="G42" s="52" t="n">
        <f aca="false">IF(OR(F42="",F42=0),"",D42/F42)</f>
        <v>0.655451713395639</v>
      </c>
      <c r="H42" s="52" t="n">
        <f aca="false">IF(OR(F42="",F42=0),"",E42/F42)</f>
        <v>0.344548286604361</v>
      </c>
      <c r="I42" s="21" t="s">
        <v>123</v>
      </c>
      <c r="J42" s="53" t="n">
        <v>1.78126663688824</v>
      </c>
      <c r="K42" s="52" t="n">
        <f aca="false">IF(G42="","",MAX(0,G42-J42/100))</f>
        <v>0.637639047026756</v>
      </c>
      <c r="L42" s="52" t="n">
        <f aca="false">IF(G42="","",MIN(1,G42+J42/100))</f>
        <v>0.673264379764521</v>
      </c>
      <c r="M42" s="37" t="n">
        <f aca="false">IF(F42="","",ROUND(F42*J42/100,0))</f>
        <v>29</v>
      </c>
      <c r="P42" s="54" t="n">
        <v>24.2793370623691</v>
      </c>
      <c r="Q42" s="55" t="n">
        <f aca="false">T42*$H$5</f>
        <v>1605.4392182842</v>
      </c>
      <c r="R42" s="56" t="n">
        <f aca="false">MAX(0,MIN(1,P42/100+$D$5))</f>
        <v>0.655438387587762</v>
      </c>
      <c r="S42" s="57" t="s">
        <v>130</v>
      </c>
      <c r="T42" s="55" t="n">
        <v>1605.4392182842</v>
      </c>
    </row>
    <row r="43" customFormat="false" ht="15" hidden="false" customHeight="false" outlineLevel="0" collapsed="false">
      <c r="A43" s="21" t="s">
        <v>149</v>
      </c>
      <c r="B43" s="21" t="s">
        <v>158</v>
      </c>
      <c r="C43" s="21" t="s">
        <v>122</v>
      </c>
      <c r="D43" s="37" t="n">
        <f aca="false">ROUND(Q43*R43,0)</f>
        <v>260</v>
      </c>
      <c r="E43" s="37" t="n">
        <f aca="false">ROUND(Q43,0)-D43</f>
        <v>224</v>
      </c>
      <c r="F43" s="37" t="n">
        <f aca="false">IF(COUNTA(D43:E43)=0,"",SUM(D43:E43))</f>
        <v>484</v>
      </c>
      <c r="G43" s="52" t="n">
        <f aca="false">IF(OR(F43="",F43=0),"",D43/F43)</f>
        <v>0.537190082644628</v>
      </c>
      <c r="H43" s="52" t="n">
        <f aca="false">IF(OR(F43="",F43=0),"",E43/F43)</f>
        <v>0.462809917355372</v>
      </c>
      <c r="I43" s="21" t="s">
        <v>123</v>
      </c>
      <c r="J43" s="53" t="n">
        <v>2.69963061572276</v>
      </c>
      <c r="K43" s="52" t="n">
        <f aca="false">IF(G43="","",MAX(0,G43-J43/100))</f>
        <v>0.510193776487401</v>
      </c>
      <c r="L43" s="52" t="n">
        <f aca="false">IF(G43="","",MIN(1,G43+J43/100))</f>
        <v>0.564186388801856</v>
      </c>
      <c r="M43" s="37" t="n">
        <f aca="false">IF(F43="","",ROUND(F43*J43/100,0))</f>
        <v>13</v>
      </c>
      <c r="P43" s="54" t="n">
        <v>12.5522211095448</v>
      </c>
      <c r="Q43" s="55" t="n">
        <f aca="false">T43*$H$5</f>
        <v>483.913480885312</v>
      </c>
      <c r="R43" s="56" t="n">
        <f aca="false">MAX(0,MIN(1,P43/100+$D$5))</f>
        <v>0.538167228059519</v>
      </c>
      <c r="S43" s="57" t="s">
        <v>124</v>
      </c>
      <c r="T43" s="55" t="n">
        <v>483.913480885312</v>
      </c>
    </row>
    <row r="44" customFormat="false" ht="15" hidden="false" customHeight="false" outlineLevel="0" collapsed="false">
      <c r="A44" s="21" t="s">
        <v>149</v>
      </c>
      <c r="B44" s="21" t="s">
        <v>159</v>
      </c>
      <c r="C44" s="21" t="s">
        <v>122</v>
      </c>
      <c r="D44" s="37" t="n">
        <f aca="false">ROUND(Q44*R44,0)</f>
        <v>538</v>
      </c>
      <c r="E44" s="37" t="n">
        <f aca="false">ROUND(Q44,0)-D44</f>
        <v>1119</v>
      </c>
      <c r="F44" s="37" t="n">
        <f aca="false">IF(COUNTA(D44:E44)=0,"",SUM(D44:E44))</f>
        <v>1657</v>
      </c>
      <c r="G44" s="52" t="n">
        <f aca="false">IF(OR(F44="",F44=0),"",D44/F44)</f>
        <v>0.324683162341581</v>
      </c>
      <c r="H44" s="52" t="n">
        <f aca="false">IF(OR(F44="",F44=0),"",E44/F44)</f>
        <v>0.675316837658419</v>
      </c>
      <c r="I44" s="21" t="s">
        <v>123</v>
      </c>
      <c r="J44" s="53" t="n">
        <v>1.78126663688824</v>
      </c>
      <c r="K44" s="52" t="n">
        <f aca="false">IF(G44="","",MAX(0,G44-J44/100))</f>
        <v>0.306870495972699</v>
      </c>
      <c r="L44" s="52" t="n">
        <f aca="false">IF(G44="","",MIN(1,G44+J44/100))</f>
        <v>0.342495828710464</v>
      </c>
      <c r="M44" s="37" t="n">
        <f aca="false">IF(F44="","",ROUND(F44*J44/100,0))</f>
        <v>30</v>
      </c>
      <c r="P44" s="54" t="n">
        <v>-8.78433644446183</v>
      </c>
      <c r="Q44" s="55" t="n">
        <f aca="false">T44*$H$5</f>
        <v>1656.73758865248</v>
      </c>
      <c r="R44" s="56" t="n">
        <f aca="false">MAX(0,MIN(1,P44/100+$D$5))</f>
        <v>0.324801652519453</v>
      </c>
      <c r="S44" s="57" t="s">
        <v>130</v>
      </c>
      <c r="T44" s="55" t="n">
        <v>1656.73758865248</v>
      </c>
    </row>
    <row r="45" customFormat="false" ht="15" hidden="false" customHeight="false" outlineLevel="0" collapsed="false">
      <c r="A45" s="21" t="s">
        <v>149</v>
      </c>
      <c r="B45" s="21" t="s">
        <v>160</v>
      </c>
      <c r="C45" s="21" t="s">
        <v>122</v>
      </c>
      <c r="D45" s="37" t="n">
        <f aca="false">ROUND(Q45*R45,0)</f>
        <v>8175</v>
      </c>
      <c r="E45" s="37" t="n">
        <f aca="false">ROUND(Q45,0)-D45</f>
        <v>8160</v>
      </c>
      <c r="F45" s="37" t="n">
        <f aca="false">IF(COUNTA(D45:E45)=0,"",SUM(D45:E45))</f>
        <v>16335</v>
      </c>
      <c r="G45" s="52" t="n">
        <f aca="false">IF(OR(F45="",F45=0),"",D45/F45)</f>
        <v>0.500459136822773</v>
      </c>
      <c r="H45" s="52" t="n">
        <f aca="false">IF(OR(F45="",F45=0),"",E45/F45)</f>
        <v>0.499540863177227</v>
      </c>
      <c r="I45" s="21" t="s">
        <v>123</v>
      </c>
      <c r="J45" s="53" t="n">
        <v>1.22829950997111</v>
      </c>
      <c r="K45" s="52" t="n">
        <f aca="false">IF(G45="","",MAX(0,G45-J45/100))</f>
        <v>0.488176141723062</v>
      </c>
      <c r="L45" s="52" t="n">
        <f aca="false">IF(G45="","",MIN(1,G45+J45/100))</f>
        <v>0.512742131922484</v>
      </c>
      <c r="M45" s="37" t="n">
        <f aca="false">IF(F45="","",ROUND(F45*J45/100,0))</f>
        <v>201</v>
      </c>
      <c r="P45" s="54" t="n">
        <v>8.77947326165713</v>
      </c>
      <c r="Q45" s="55" t="n">
        <f aca="false">T45*$H$5</f>
        <v>16334.7109624891</v>
      </c>
      <c r="R45" s="56" t="n">
        <f aca="false">MAX(0,MIN(1,P45/100+$D$5))</f>
        <v>0.500439749580642</v>
      </c>
      <c r="S45" s="57" t="s">
        <v>144</v>
      </c>
      <c r="T45" s="55" t="n">
        <v>16334.7109624891</v>
      </c>
    </row>
    <row r="46" customFormat="false" ht="15" hidden="false" customHeight="false" outlineLevel="0" collapsed="false">
      <c r="A46" s="21" t="s">
        <v>149</v>
      </c>
      <c r="B46" s="21" t="s">
        <v>161</v>
      </c>
      <c r="C46" s="21" t="s">
        <v>122</v>
      </c>
      <c r="D46" s="37" t="n">
        <f aca="false">ROUND(Q46*R46,0)</f>
        <v>832</v>
      </c>
      <c r="E46" s="37" t="n">
        <f aca="false">ROUND(Q46,0)-D46</f>
        <v>1372</v>
      </c>
      <c r="F46" s="37" t="n">
        <f aca="false">IF(COUNTA(D46:E46)=0,"",SUM(D46:E46))</f>
        <v>2204</v>
      </c>
      <c r="G46" s="52" t="n">
        <f aca="false">IF(OR(F46="",F46=0),"",D46/F46)</f>
        <v>0.377495462794918</v>
      </c>
      <c r="H46" s="52" t="n">
        <f aca="false">IF(OR(F46="",F46=0),"",E46/F46)</f>
        <v>0.622504537205082</v>
      </c>
      <c r="I46" s="21" t="s">
        <v>123</v>
      </c>
      <c r="J46" s="53" t="n">
        <v>1.78126663688824</v>
      </c>
      <c r="K46" s="52" t="n">
        <f aca="false">IF(G46="","",MAX(0,G46-J46/100))</f>
        <v>0.359682796426036</v>
      </c>
      <c r="L46" s="52" t="n">
        <f aca="false">IF(G46="","",MIN(1,G46+J46/100))</f>
        <v>0.395308129163801</v>
      </c>
      <c r="M46" s="37" t="n">
        <f aca="false">IF(F46="","",ROUND(F46*J46/100,0))</f>
        <v>39</v>
      </c>
      <c r="P46" s="54" t="n">
        <v>-3.51982613840313</v>
      </c>
      <c r="Q46" s="55" t="n">
        <f aca="false">T46*$H$5</f>
        <v>2204.10505319149</v>
      </c>
      <c r="R46" s="56" t="n">
        <f aca="false">MAX(0,MIN(1,P46/100+$D$5))</f>
        <v>0.37744675558004</v>
      </c>
      <c r="S46" s="57" t="s">
        <v>130</v>
      </c>
      <c r="T46" s="55" t="n">
        <v>2204.10505319149</v>
      </c>
    </row>
    <row r="47" customFormat="false" ht="15" hidden="false" customHeight="false" outlineLevel="0" collapsed="false">
      <c r="A47" s="21" t="s">
        <v>149</v>
      </c>
      <c r="B47" s="21" t="s">
        <v>162</v>
      </c>
      <c r="C47" s="21" t="s">
        <v>122</v>
      </c>
      <c r="D47" s="37" t="n">
        <f aca="false">ROUND(Q47*R47,0)</f>
        <v>449</v>
      </c>
      <c r="E47" s="37" t="n">
        <f aca="false">ROUND(Q47,0)-D47</f>
        <v>788</v>
      </c>
      <c r="F47" s="37" t="n">
        <f aca="false">IF(COUNTA(D47:E47)=0,"",SUM(D47:E47))</f>
        <v>1237</v>
      </c>
      <c r="G47" s="52" t="n">
        <f aca="false">IF(OR(F47="",F47=0),"",D47/F47)</f>
        <v>0.362974939369442</v>
      </c>
      <c r="H47" s="52" t="n">
        <f aca="false">IF(OR(F47="",F47=0),"",E47/F47)</f>
        <v>0.637025060630558</v>
      </c>
      <c r="I47" s="21" t="s">
        <v>123</v>
      </c>
      <c r="J47" s="53" t="n">
        <v>2.69963061572276</v>
      </c>
      <c r="K47" s="52" t="n">
        <f aca="false">IF(G47="","",MAX(0,G47-J47/100))</f>
        <v>0.335978633212215</v>
      </c>
      <c r="L47" s="52" t="n">
        <f aca="false">IF(G47="","",MIN(1,G47+J47/100))</f>
        <v>0.38997124552667</v>
      </c>
      <c r="M47" s="37" t="n">
        <f aca="false">IF(F47="","",ROUND(F47*J47/100,0))</f>
        <v>33</v>
      </c>
      <c r="P47" s="54" t="n">
        <v>-5.00639936234727</v>
      </c>
      <c r="Q47" s="55" t="n">
        <f aca="false">T47*$H$5</f>
        <v>1236.97340124505</v>
      </c>
      <c r="R47" s="56" t="n">
        <f aca="false">MAX(0,MIN(1,P47/100+$D$5))</f>
        <v>0.362581023340598</v>
      </c>
      <c r="S47" s="57" t="s">
        <v>124</v>
      </c>
      <c r="T47" s="55" t="n">
        <v>1236.97340124505</v>
      </c>
    </row>
    <row r="48" customFormat="false" ht="15" hidden="false" customHeight="false" outlineLevel="0" collapsed="false">
      <c r="A48" s="21" t="s">
        <v>149</v>
      </c>
      <c r="B48" s="21" t="s">
        <v>163</v>
      </c>
      <c r="C48" s="21" t="s">
        <v>122</v>
      </c>
      <c r="D48" s="37" t="n">
        <f aca="false">ROUND(Q48*R48,0)</f>
        <v>703</v>
      </c>
      <c r="E48" s="37" t="n">
        <f aca="false">ROUND(Q48,0)-D48</f>
        <v>1489</v>
      </c>
      <c r="F48" s="37" t="n">
        <f aca="false">IF(COUNTA(D48:E48)=0,"",SUM(D48:E48))</f>
        <v>2192</v>
      </c>
      <c r="G48" s="52" t="n">
        <f aca="false">IF(OR(F48="",F48=0),"",D48/F48)</f>
        <v>0.320711678832117</v>
      </c>
      <c r="H48" s="52" t="n">
        <f aca="false">IF(OR(F48="",F48=0),"",E48/F48)</f>
        <v>0.679288321167883</v>
      </c>
      <c r="I48" s="21" t="s">
        <v>123</v>
      </c>
      <c r="J48" s="53" t="n">
        <v>1.78126663688824</v>
      </c>
      <c r="K48" s="52" t="n">
        <f aca="false">IF(G48="","",MAX(0,G48-J48/100))</f>
        <v>0.302899012463234</v>
      </c>
      <c r="L48" s="52" t="n">
        <f aca="false">IF(G48="","",MIN(1,G48+J48/100))</f>
        <v>0.338524345200999</v>
      </c>
      <c r="M48" s="37" t="n">
        <f aca="false">IF(F48="","",ROUND(F48*J48/100,0))</f>
        <v>39</v>
      </c>
      <c r="P48" s="54" t="n">
        <v>-9.20211787676653</v>
      </c>
      <c r="Q48" s="55" t="n">
        <f aca="false">T48*$H$5</f>
        <v>2191.88036117382</v>
      </c>
      <c r="R48" s="56" t="n">
        <f aca="false">MAX(0,MIN(1,P48/100+$D$5))</f>
        <v>0.320623838196406</v>
      </c>
      <c r="S48" s="57" t="s">
        <v>130</v>
      </c>
      <c r="T48" s="55" t="n">
        <v>2191.88036117382</v>
      </c>
    </row>
    <row r="49" customFormat="false" ht="15" hidden="false" customHeight="false" outlineLevel="0" collapsed="false">
      <c r="A49" s="21" t="s">
        <v>149</v>
      </c>
      <c r="B49" s="21" t="s">
        <v>164</v>
      </c>
      <c r="C49" s="21" t="s">
        <v>122</v>
      </c>
      <c r="D49" s="37" t="n">
        <f aca="false">ROUND(Q49*R49,0)</f>
        <v>794</v>
      </c>
      <c r="E49" s="37" t="n">
        <f aca="false">ROUND(Q49,0)-D49</f>
        <v>719</v>
      </c>
      <c r="F49" s="37" t="n">
        <f aca="false">IF(COUNTA(D49:E49)=0,"",SUM(D49:E49))</f>
        <v>1513</v>
      </c>
      <c r="G49" s="52" t="n">
        <f aca="false">IF(OR(F49="",F49=0),"",D49/F49)</f>
        <v>0.524785194976867</v>
      </c>
      <c r="H49" s="52" t="n">
        <f aca="false">IF(OR(F49="",F49=0),"",E49/F49)</f>
        <v>0.475214805023133</v>
      </c>
      <c r="I49" s="21" t="s">
        <v>123</v>
      </c>
      <c r="J49" s="53" t="n">
        <v>2.69963061572276</v>
      </c>
      <c r="K49" s="52" t="n">
        <f aca="false">IF(G49="","",MAX(0,G49-J49/100))</f>
        <v>0.49778888881964</v>
      </c>
      <c r="L49" s="52" t="n">
        <f aca="false">IF(G49="","",MIN(1,G49+J49/100))</f>
        <v>0.551781501134095</v>
      </c>
      <c r="M49" s="37" t="n">
        <f aca="false">IF(F49="","",ROUND(F49*J49/100,0))</f>
        <v>41</v>
      </c>
      <c r="P49" s="54" t="n">
        <v>11.239870868287</v>
      </c>
      <c r="Q49" s="55" t="n">
        <f aca="false">T49*$H$5</f>
        <v>1512.74151436031</v>
      </c>
      <c r="R49" s="56" t="n">
        <f aca="false">MAX(0,MIN(1,P49/100+$D$5))</f>
        <v>0.525043725646941</v>
      </c>
      <c r="S49" s="57" t="s">
        <v>124</v>
      </c>
      <c r="T49" s="55" t="n">
        <v>1512.74151436031</v>
      </c>
    </row>
    <row r="50" customFormat="false" ht="15" hidden="false" customHeight="false" outlineLevel="0" collapsed="false">
      <c r="A50" s="21" t="s">
        <v>149</v>
      </c>
      <c r="B50" s="21" t="s">
        <v>165</v>
      </c>
      <c r="C50" s="21" t="s">
        <v>122</v>
      </c>
      <c r="D50" s="37" t="n">
        <f aca="false">ROUND(Q50*R50,0)</f>
        <v>3255</v>
      </c>
      <c r="E50" s="37" t="n">
        <f aca="false">ROUND(Q50,0)-D50</f>
        <v>4642</v>
      </c>
      <c r="F50" s="37" t="n">
        <f aca="false">IF(COUNTA(D50:E50)=0,"",SUM(D50:E50))</f>
        <v>7897</v>
      </c>
      <c r="G50" s="52" t="n">
        <f aca="false">IF(OR(F50="",F50=0),"",D50/F50)</f>
        <v>0.412181841205521</v>
      </c>
      <c r="H50" s="52" t="n">
        <f aca="false">IF(OR(F50="",F50=0),"",E50/F50)</f>
        <v>0.587818158794479</v>
      </c>
      <c r="I50" s="21" t="s">
        <v>123</v>
      </c>
      <c r="J50" s="53" t="n">
        <v>1.22829950997111</v>
      </c>
      <c r="K50" s="52" t="n">
        <f aca="false">IF(G50="","",MAX(0,G50-J50/100))</f>
        <v>0.39989884610581</v>
      </c>
      <c r="L50" s="52" t="n">
        <f aca="false">IF(G50="","",MIN(1,G50+J50/100))</f>
        <v>0.424464836305232</v>
      </c>
      <c r="M50" s="37" t="n">
        <f aca="false">IF(F50="","",ROUND(F50*J50/100,0))</f>
        <v>97</v>
      </c>
      <c r="P50" s="54" t="n">
        <v>-0.0387363188759171</v>
      </c>
      <c r="Q50" s="55" t="n">
        <f aca="false">T50*$H$5</f>
        <v>7896.51133047211</v>
      </c>
      <c r="R50" s="56" t="n">
        <f aca="false">MAX(0,MIN(1,P50/100+$D$5))</f>
        <v>0.412257653775312</v>
      </c>
      <c r="S50" s="57" t="s">
        <v>144</v>
      </c>
      <c r="T50" s="55" t="n">
        <v>7896.5113304721</v>
      </c>
    </row>
    <row r="51" customFormat="false" ht="15" hidden="false" customHeight="false" outlineLevel="0" collapsed="false">
      <c r="A51" s="21" t="s">
        <v>149</v>
      </c>
      <c r="B51" s="21" t="s">
        <v>166</v>
      </c>
      <c r="C51" s="21" t="s">
        <v>122</v>
      </c>
      <c r="D51" s="37" t="n">
        <f aca="false">ROUND(Q51*R51,0)</f>
        <v>3222</v>
      </c>
      <c r="E51" s="37" t="n">
        <f aca="false">ROUND(Q51,0)-D51</f>
        <v>3208</v>
      </c>
      <c r="F51" s="37" t="n">
        <f aca="false">IF(COUNTA(D51:E51)=0,"",SUM(D51:E51))</f>
        <v>6430</v>
      </c>
      <c r="G51" s="52" t="n">
        <f aca="false">IF(OR(F51="",F51=0),"",D51/F51)</f>
        <v>0.501088646967341</v>
      </c>
      <c r="H51" s="52" t="n">
        <f aca="false">IF(OR(F51="",F51=0),"",E51/F51)</f>
        <v>0.498911353032659</v>
      </c>
      <c r="I51" s="21" t="s">
        <v>123</v>
      </c>
      <c r="J51" s="53" t="n">
        <v>1.22829950997111</v>
      </c>
      <c r="K51" s="52" t="n">
        <f aca="false">IF(G51="","",MAX(0,G51-J51/100))</f>
        <v>0.48880565186763</v>
      </c>
      <c r="L51" s="52" t="n">
        <f aca="false">IF(G51="","",MIN(1,G51+J51/100))</f>
        <v>0.513371642067052</v>
      </c>
      <c r="M51" s="37" t="n">
        <f aca="false">IF(F51="","",ROUND(F51*J51/100,0))</f>
        <v>79</v>
      </c>
      <c r="P51" s="54" t="n">
        <v>8.84283667186255</v>
      </c>
      <c r="Q51" s="55" t="n">
        <f aca="false">T51*$H$5</f>
        <v>6429.97090760091</v>
      </c>
      <c r="R51" s="56" t="n">
        <f aca="false">MAX(0,MIN(1,P51/100+$D$5))</f>
        <v>0.501073383682696</v>
      </c>
      <c r="S51" s="57" t="s">
        <v>144</v>
      </c>
      <c r="T51" s="55" t="n">
        <v>6429.9709076009</v>
      </c>
    </row>
    <row r="52" customFormat="false" ht="15" hidden="false" customHeight="false" outlineLevel="0" collapsed="false">
      <c r="A52" s="21" t="s">
        <v>149</v>
      </c>
      <c r="B52" s="21" t="s">
        <v>167</v>
      </c>
      <c r="C52" s="21" t="s">
        <v>122</v>
      </c>
      <c r="D52" s="37" t="n">
        <f aca="false">ROUND(Q52*R52,0)</f>
        <v>588</v>
      </c>
      <c r="E52" s="37" t="n">
        <f aca="false">ROUND(Q52,0)-D52</f>
        <v>802</v>
      </c>
      <c r="F52" s="37" t="n">
        <f aca="false">IF(COUNTA(D52:E52)=0,"",SUM(D52:E52))</f>
        <v>1390</v>
      </c>
      <c r="G52" s="52" t="n">
        <f aca="false">IF(OR(F52="",F52=0),"",D52/F52)</f>
        <v>0.423021582733813</v>
      </c>
      <c r="H52" s="52" t="n">
        <f aca="false">IF(OR(F52="",F52=0),"",E52/F52)</f>
        <v>0.576978417266187</v>
      </c>
      <c r="I52" s="21" t="s">
        <v>123</v>
      </c>
      <c r="J52" s="53" t="n">
        <v>2.69963061572276</v>
      </c>
      <c r="K52" s="52" t="n">
        <f aca="false">IF(G52="","",MAX(0,G52-J52/100))</f>
        <v>0.396025276576585</v>
      </c>
      <c r="L52" s="52" t="n">
        <f aca="false">IF(G52="","",MIN(1,G52+J52/100))</f>
        <v>0.450017888891041</v>
      </c>
      <c r="M52" s="37" t="n">
        <f aca="false">IF(F52="","",ROUND(F52*J52/100,0))</f>
        <v>38</v>
      </c>
      <c r="P52" s="54" t="n">
        <v>1.00709951653191</v>
      </c>
      <c r="Q52" s="55" t="n">
        <f aca="false">T52*$H$5</f>
        <v>1390.15942028985</v>
      </c>
      <c r="R52" s="56" t="n">
        <f aca="false">MAX(0,MIN(1,P52/100+$D$5))</f>
        <v>0.42271601212939</v>
      </c>
      <c r="S52" s="57" t="s">
        <v>124</v>
      </c>
      <c r="T52" s="55" t="n">
        <v>1390.15942028985</v>
      </c>
    </row>
    <row r="53" customFormat="false" ht="15" hidden="false" customHeight="false" outlineLevel="0" collapsed="false">
      <c r="A53" s="21" t="s">
        <v>149</v>
      </c>
      <c r="B53" s="21" t="s">
        <v>168</v>
      </c>
      <c r="C53" s="21" t="s">
        <v>122</v>
      </c>
      <c r="D53" s="37" t="n">
        <f aca="false">ROUND(Q53*R53,0)</f>
        <v>5568</v>
      </c>
      <c r="E53" s="37" t="n">
        <f aca="false">ROUND(Q53,0)-D53</f>
        <v>4918</v>
      </c>
      <c r="F53" s="37" t="n">
        <f aca="false">IF(COUNTA(D53:E53)=0,"",SUM(D53:E53))</f>
        <v>10486</v>
      </c>
      <c r="G53" s="52" t="n">
        <f aca="false">IF(OR(F53="",F53=0),"",D53/F53)</f>
        <v>0.530993705893572</v>
      </c>
      <c r="H53" s="52" t="n">
        <f aca="false">IF(OR(F53="",F53=0),"",E53/F53)</f>
        <v>0.469006294106428</v>
      </c>
      <c r="I53" s="21" t="s">
        <v>123</v>
      </c>
      <c r="J53" s="53" t="n">
        <v>1.22829950997111</v>
      </c>
      <c r="K53" s="52" t="n">
        <f aca="false">IF(G53="","",MAX(0,G53-J53/100))</f>
        <v>0.518710710793861</v>
      </c>
      <c r="L53" s="52" t="n">
        <f aca="false">IF(G53="","",MIN(1,G53+J53/100))</f>
        <v>0.543276700993284</v>
      </c>
      <c r="M53" s="37" t="n">
        <f aca="false">IF(F53="","",ROUND(F53*J53/100,0))</f>
        <v>129</v>
      </c>
      <c r="P53" s="54" t="n">
        <v>11.8349648392921</v>
      </c>
      <c r="Q53" s="55" t="n">
        <f aca="false">T53*$H$5</f>
        <v>10486.1559171025</v>
      </c>
      <c r="R53" s="56" t="n">
        <f aca="false">MAX(0,MIN(1,P53/100+$D$5))</f>
        <v>0.530994665356992</v>
      </c>
      <c r="S53" s="57" t="s">
        <v>144</v>
      </c>
      <c r="T53" s="55" t="n">
        <v>10486.1559171025</v>
      </c>
    </row>
    <row r="54" customFormat="false" ht="15" hidden="false" customHeight="false" outlineLevel="0" collapsed="false">
      <c r="A54" s="21" t="s">
        <v>149</v>
      </c>
      <c r="B54" s="21" t="s">
        <v>169</v>
      </c>
      <c r="C54" s="21" t="s">
        <v>122</v>
      </c>
      <c r="D54" s="37" t="n">
        <f aca="false">ROUND(Q54*R54,0)</f>
        <v>6204</v>
      </c>
      <c r="E54" s="37" t="n">
        <f aca="false">ROUND(Q54,0)-D54</f>
        <v>5826</v>
      </c>
      <c r="F54" s="37" t="n">
        <f aca="false">IF(COUNTA(D54:E54)=0,"",SUM(D54:E54))</f>
        <v>12030</v>
      </c>
      <c r="G54" s="52" t="n">
        <f aca="false">IF(OR(F54="",F54=0),"",D54/F54)</f>
        <v>0.51571072319202</v>
      </c>
      <c r="H54" s="52" t="n">
        <f aca="false">IF(OR(F54="",F54=0),"",E54/F54)</f>
        <v>0.48428927680798</v>
      </c>
      <c r="I54" s="21" t="s">
        <v>123</v>
      </c>
      <c r="J54" s="53" t="n">
        <v>1.22829950997111</v>
      </c>
      <c r="K54" s="52" t="n">
        <f aca="false">IF(G54="","",MAX(0,G54-J54/100))</f>
        <v>0.503427728092309</v>
      </c>
      <c r="L54" s="52" t="n">
        <f aca="false">IF(G54="","",MIN(1,G54+J54/100))</f>
        <v>0.527993718291731</v>
      </c>
      <c r="M54" s="37" t="n">
        <f aca="false">IF(F54="","",ROUND(F54*J54/100,0))</f>
        <v>148</v>
      </c>
      <c r="P54" s="54" t="n">
        <v>10.3066961294022</v>
      </c>
      <c r="Q54" s="55" t="n">
        <f aca="false">T54*$H$5</f>
        <v>12030.3346699902</v>
      </c>
      <c r="R54" s="56" t="n">
        <f aca="false">MAX(0,MIN(1,P54/100+$D$5))</f>
        <v>0.515711978258093</v>
      </c>
      <c r="S54" s="57" t="s">
        <v>144</v>
      </c>
      <c r="T54" s="55" t="n">
        <v>12030.3346699902</v>
      </c>
    </row>
    <row r="55" customFormat="false" ht="15" hidden="false" customHeight="false" outlineLevel="0" collapsed="false">
      <c r="A55" s="21" t="s">
        <v>149</v>
      </c>
      <c r="B55" s="21" t="s">
        <v>170</v>
      </c>
      <c r="C55" s="21" t="s">
        <v>122</v>
      </c>
      <c r="D55" s="37" t="n">
        <f aca="false">ROUND(Q55*R55,0)</f>
        <v>2035</v>
      </c>
      <c r="E55" s="37" t="n">
        <f aca="false">ROUND(Q55,0)-D55</f>
        <v>2579</v>
      </c>
      <c r="F55" s="37" t="n">
        <f aca="false">IF(COUNTA(D55:E55)=0,"",SUM(D55:E55))</f>
        <v>4614</v>
      </c>
      <c r="G55" s="52" t="n">
        <f aca="false">IF(OR(F55="",F55=0),"",D55/F55)</f>
        <v>0.441048981361075</v>
      </c>
      <c r="H55" s="52" t="n">
        <f aca="false">IF(OR(F55="",F55=0),"",E55/F55)</f>
        <v>0.558951018638925</v>
      </c>
      <c r="I55" s="21" t="s">
        <v>123</v>
      </c>
      <c r="J55" s="53" t="n">
        <v>1.22829950997111</v>
      </c>
      <c r="K55" s="52" t="n">
        <f aca="false">IF(G55="","",MAX(0,G55-J55/100))</f>
        <v>0.428765986261364</v>
      </c>
      <c r="L55" s="52" t="n">
        <f aca="false">IF(G55="","",MIN(1,G55+J55/100))</f>
        <v>0.453331976460786</v>
      </c>
      <c r="M55" s="37" t="n">
        <f aca="false">IF(F55="","",ROUND(F55*J55/100,0))</f>
        <v>57</v>
      </c>
      <c r="P55" s="54" t="n">
        <v>2.83552586597126</v>
      </c>
      <c r="Q55" s="55" t="n">
        <f aca="false">T55*$H$5</f>
        <v>4613.50991276765</v>
      </c>
      <c r="R55" s="56" t="n">
        <f aca="false">MAX(0,MIN(1,P55/100+$D$5))</f>
        <v>0.441000275623784</v>
      </c>
      <c r="S55" s="57" t="s">
        <v>144</v>
      </c>
      <c r="T55" s="55" t="n">
        <v>4613.50991276765</v>
      </c>
    </row>
    <row r="56" customFormat="false" ht="15" hidden="false" customHeight="false" outlineLevel="0" collapsed="false">
      <c r="A56" s="21" t="s">
        <v>149</v>
      </c>
      <c r="B56" s="21" t="s">
        <v>171</v>
      </c>
      <c r="C56" s="21" t="s">
        <v>122</v>
      </c>
      <c r="D56" s="37" t="n">
        <f aca="false">ROUND(Q56*R56,0)</f>
        <v>4613</v>
      </c>
      <c r="E56" s="37" t="n">
        <f aca="false">ROUND(Q56,0)-D56</f>
        <v>4731</v>
      </c>
      <c r="F56" s="37" t="n">
        <f aca="false">IF(COUNTA(D56:E56)=0,"",SUM(D56:E56))</f>
        <v>9344</v>
      </c>
      <c r="G56" s="52" t="n">
        <f aca="false">IF(OR(F56="",F56=0),"",D56/F56)</f>
        <v>0.493685787671233</v>
      </c>
      <c r="H56" s="52" t="n">
        <f aca="false">IF(OR(F56="",F56=0),"",E56/F56)</f>
        <v>0.506314212328767</v>
      </c>
      <c r="I56" s="21" t="s">
        <v>123</v>
      </c>
      <c r="J56" s="53" t="n">
        <v>1.22829950997111</v>
      </c>
      <c r="K56" s="52" t="n">
        <f aca="false">IF(G56="","",MAX(0,G56-J56/100))</f>
        <v>0.481402792571522</v>
      </c>
      <c r="L56" s="52" t="n">
        <f aca="false">IF(G56="","",MIN(1,G56+J56/100))</f>
        <v>0.505968782770944</v>
      </c>
      <c r="M56" s="37" t="n">
        <f aca="false">IF(F56="","",ROUND(F56*J56/100,0))</f>
        <v>115</v>
      </c>
      <c r="P56" s="54" t="n">
        <v>8.10259942020351</v>
      </c>
      <c r="Q56" s="55" t="n">
        <f aca="false">T56*$H$5</f>
        <v>9343.93860561915</v>
      </c>
      <c r="R56" s="56" t="n">
        <f aca="false">MAX(0,MIN(1,P56/100+$D$5))</f>
        <v>0.493671011166106</v>
      </c>
      <c r="S56" s="57" t="s">
        <v>144</v>
      </c>
      <c r="T56" s="55" t="n">
        <v>9343.93860561915</v>
      </c>
    </row>
    <row r="57" customFormat="false" ht="15" hidden="false" customHeight="false" outlineLevel="0" collapsed="false">
      <c r="A57" s="21" t="s">
        <v>149</v>
      </c>
      <c r="B57" s="21" t="s">
        <v>172</v>
      </c>
      <c r="C57" s="21" t="s">
        <v>122</v>
      </c>
      <c r="D57" s="37" t="n">
        <f aca="false">ROUND(Q57*R57,0)</f>
        <v>1048</v>
      </c>
      <c r="E57" s="37" t="n">
        <f aca="false">ROUND(Q57,0)-D57</f>
        <v>2055</v>
      </c>
      <c r="F57" s="37" t="n">
        <f aca="false">IF(COUNTA(D57:E57)=0,"",SUM(D57:E57))</f>
        <v>3103</v>
      </c>
      <c r="G57" s="52" t="n">
        <f aca="false">IF(OR(F57="",F57=0),"",D57/F57)</f>
        <v>0.337737673219465</v>
      </c>
      <c r="H57" s="52" t="n">
        <f aca="false">IF(OR(F57="",F57=0),"",E57/F57)</f>
        <v>0.662262326780535</v>
      </c>
      <c r="I57" s="21" t="s">
        <v>123</v>
      </c>
      <c r="J57" s="53" t="n">
        <v>1.78126663688824</v>
      </c>
      <c r="K57" s="52" t="n">
        <f aca="false">IF(G57="","",MAX(0,G57-J57/100))</f>
        <v>0.319925006850583</v>
      </c>
      <c r="L57" s="52" t="n">
        <f aca="false">IF(G57="","",MIN(1,G57+J57/100))</f>
        <v>0.355550339588348</v>
      </c>
      <c r="M57" s="37" t="n">
        <f aca="false">IF(F57="","",ROUND(F57*J57/100,0))</f>
        <v>55</v>
      </c>
      <c r="P57" s="54" t="n">
        <v>-7.48678646718646</v>
      </c>
      <c r="Q57" s="55" t="n">
        <f aca="false">T57*$H$5</f>
        <v>3102.86358754028</v>
      </c>
      <c r="R57" s="56" t="n">
        <f aca="false">MAX(0,MIN(1,P57/100+$D$5))</f>
        <v>0.337777152292206</v>
      </c>
      <c r="S57" s="57" t="s">
        <v>130</v>
      </c>
      <c r="T57" s="55" t="n">
        <v>3102.86358754028</v>
      </c>
    </row>
    <row r="58" customFormat="false" ht="15" hidden="false" customHeight="false" outlineLevel="0" collapsed="false">
      <c r="A58" s="21" t="s">
        <v>149</v>
      </c>
      <c r="B58" s="21" t="s">
        <v>173</v>
      </c>
      <c r="C58" s="21" t="s">
        <v>122</v>
      </c>
      <c r="D58" s="37" t="n">
        <f aca="false">ROUND(Q58*R58,0)</f>
        <v>960</v>
      </c>
      <c r="E58" s="37" t="n">
        <f aca="false">ROUND(Q58,0)-D58</f>
        <v>1780</v>
      </c>
      <c r="F58" s="37" t="n">
        <f aca="false">IF(COUNTA(D58:E58)=0,"",SUM(D58:E58))</f>
        <v>2740</v>
      </c>
      <c r="G58" s="52" t="n">
        <f aca="false">IF(OR(F58="",F58=0),"",D58/F58)</f>
        <v>0.35036496350365</v>
      </c>
      <c r="H58" s="52" t="n">
        <f aca="false">IF(OR(F58="",F58=0),"",E58/F58)</f>
        <v>0.64963503649635</v>
      </c>
      <c r="I58" s="21" t="s">
        <v>123</v>
      </c>
      <c r="J58" s="53" t="n">
        <v>1.78126663688824</v>
      </c>
      <c r="K58" s="52" t="n">
        <f aca="false">IF(G58="","",MAX(0,G58-J58/100))</f>
        <v>0.332552297134767</v>
      </c>
      <c r="L58" s="52" t="n">
        <f aca="false">IF(G58="","",MIN(1,G58+J58/100))</f>
        <v>0.368177629872532</v>
      </c>
      <c r="M58" s="37" t="n">
        <f aca="false">IF(F58="","",ROUND(F58*J58/100,0))</f>
        <v>49</v>
      </c>
      <c r="P58" s="54" t="n">
        <v>-6.22481984395344</v>
      </c>
      <c r="Q58" s="55" t="n">
        <f aca="false">T58*$H$5</f>
        <v>2739.5017118778</v>
      </c>
      <c r="R58" s="56" t="n">
        <f aca="false">MAX(0,MIN(1,P58/100+$D$5))</f>
        <v>0.350396818524536</v>
      </c>
      <c r="S58" s="57" t="s">
        <v>130</v>
      </c>
      <c r="T58" s="55" t="n">
        <v>2739.5017118778</v>
      </c>
    </row>
    <row r="59" customFormat="false" ht="15" hidden="false" customHeight="false" outlineLevel="0" collapsed="false">
      <c r="A59" s="21" t="s">
        <v>149</v>
      </c>
      <c r="B59" s="21" t="s">
        <v>174</v>
      </c>
      <c r="C59" s="21" t="s">
        <v>122</v>
      </c>
      <c r="D59" s="37" t="n">
        <f aca="false">ROUND(Q59*R59,0)</f>
        <v>5398</v>
      </c>
      <c r="E59" s="37" t="n">
        <f aca="false">ROUND(Q59,0)-D59</f>
        <v>5106</v>
      </c>
      <c r="F59" s="37" t="n">
        <f aca="false">IF(COUNTA(D59:E59)=0,"",SUM(D59:E59))</f>
        <v>10504</v>
      </c>
      <c r="G59" s="52" t="n">
        <f aca="false">IF(OR(F59="",F59=0),"",D59/F59)</f>
        <v>0.513899466869764</v>
      </c>
      <c r="H59" s="52" t="n">
        <f aca="false">IF(OR(F59="",F59=0),"",E59/F59)</f>
        <v>0.486100533130236</v>
      </c>
      <c r="I59" s="21" t="s">
        <v>123</v>
      </c>
      <c r="J59" s="53" t="n">
        <v>1.22829950997111</v>
      </c>
      <c r="K59" s="52" t="n">
        <f aca="false">IF(G59="","",MAX(0,G59-J59/100))</f>
        <v>0.501616471770053</v>
      </c>
      <c r="L59" s="52" t="n">
        <f aca="false">IF(G59="","",MIN(1,G59+J59/100))</f>
        <v>0.526182461969475</v>
      </c>
      <c r="M59" s="37" t="n">
        <f aca="false">IF(F59="","",ROUND(F59*J59/100,0))</f>
        <v>129</v>
      </c>
      <c r="P59" s="54" t="n">
        <v>10.1240730847675</v>
      </c>
      <c r="Q59" s="55" t="n">
        <f aca="false">T59*$H$5</f>
        <v>10504.2978562557</v>
      </c>
      <c r="R59" s="56" t="n">
        <f aca="false">MAX(0,MIN(1,P59/100+$D$5))</f>
        <v>0.513885747811746</v>
      </c>
      <c r="S59" s="57" t="s">
        <v>144</v>
      </c>
      <c r="T59" s="55" t="n">
        <v>10504.2978562557</v>
      </c>
    </row>
    <row r="60" customFormat="false" ht="15" hidden="false" customHeight="false" outlineLevel="0" collapsed="false">
      <c r="A60" s="21" t="s">
        <v>175</v>
      </c>
      <c r="B60" s="21" t="s">
        <v>176</v>
      </c>
      <c r="C60" s="21" t="s">
        <v>122</v>
      </c>
      <c r="D60" s="37" t="n">
        <f aca="false">ROUND(Q60*R60,0)</f>
        <v>387</v>
      </c>
      <c r="E60" s="37" t="n">
        <f aca="false">ROUND(Q60,0)-D60</f>
        <v>847</v>
      </c>
      <c r="F60" s="37" t="n">
        <f aca="false">IF(COUNTA(D60:E60)=0,"",SUM(D60:E60))</f>
        <v>1234</v>
      </c>
      <c r="G60" s="52" t="n">
        <f aca="false">IF(OR(F60="",F60=0),"",D60/F60)</f>
        <v>0.313614262560778</v>
      </c>
      <c r="H60" s="52" t="n">
        <f aca="false">IF(OR(F60="",F60=0),"",E60/F60)</f>
        <v>0.686385737439222</v>
      </c>
      <c r="I60" s="21" t="s">
        <v>123</v>
      </c>
      <c r="J60" s="53" t="n">
        <v>2.69963061572276</v>
      </c>
      <c r="K60" s="52" t="n">
        <f aca="false">IF(G60="","",MAX(0,G60-J60/100))</f>
        <v>0.28661795640355</v>
      </c>
      <c r="L60" s="52" t="n">
        <f aca="false">IF(G60="","",MIN(1,G60+J60/100))</f>
        <v>0.340610568718006</v>
      </c>
      <c r="M60" s="37" t="n">
        <f aca="false">IF(F60="","",ROUND(F60*J60/100,0))</f>
        <v>33</v>
      </c>
      <c r="P60" s="54" t="n">
        <v>-9.93828971202343</v>
      </c>
      <c r="Q60" s="55" t="n">
        <f aca="false">T60*$H$5</f>
        <v>1234.45226917058</v>
      </c>
      <c r="R60" s="56" t="n">
        <f aca="false">MAX(0,MIN(1,P60/100+$D$5))</f>
        <v>0.313262119843837</v>
      </c>
      <c r="S60" s="57" t="s">
        <v>124</v>
      </c>
      <c r="T60" s="55" t="n">
        <v>1234.45226917058</v>
      </c>
    </row>
    <row r="61" customFormat="false" ht="15" hidden="false" customHeight="false" outlineLevel="0" collapsed="false">
      <c r="A61" s="21" t="s">
        <v>175</v>
      </c>
      <c r="B61" s="21" t="s">
        <v>177</v>
      </c>
      <c r="C61" s="21" t="s">
        <v>122</v>
      </c>
      <c r="D61" s="37" t="n">
        <f aca="false">ROUND(Q61*R61,0)</f>
        <v>1074</v>
      </c>
      <c r="E61" s="37" t="n">
        <f aca="false">ROUND(Q61,0)-D61</f>
        <v>2076</v>
      </c>
      <c r="F61" s="37" t="n">
        <f aca="false">IF(COUNTA(D61:E61)=0,"",SUM(D61:E61))</f>
        <v>3150</v>
      </c>
      <c r="G61" s="52" t="n">
        <f aca="false">IF(OR(F61="",F61=0),"",D61/F61)</f>
        <v>0.340952380952381</v>
      </c>
      <c r="H61" s="52" t="n">
        <f aca="false">IF(OR(F61="",F61=0),"",E61/F61)</f>
        <v>0.659047619047619</v>
      </c>
      <c r="I61" s="21" t="s">
        <v>123</v>
      </c>
      <c r="J61" s="53" t="n">
        <v>1.78126663688824</v>
      </c>
      <c r="K61" s="52" t="n">
        <f aca="false">IF(G61="","",MAX(0,G61-J61/100))</f>
        <v>0.323139714583499</v>
      </c>
      <c r="L61" s="52" t="n">
        <f aca="false">IF(G61="","",MIN(1,G61+J61/100))</f>
        <v>0.358765047321263</v>
      </c>
      <c r="M61" s="37" t="n">
        <f aca="false">IF(F61="","",ROUND(F61*J61/100,0))</f>
        <v>56</v>
      </c>
      <c r="P61" s="54" t="n">
        <v>-7.1636327556437</v>
      </c>
      <c r="Q61" s="55" t="n">
        <f aca="false">T61*$H$5</f>
        <v>3150.4485142964</v>
      </c>
      <c r="R61" s="56" t="n">
        <f aca="false">MAX(0,MIN(1,P61/100+$D$5))</f>
        <v>0.341008689407634</v>
      </c>
      <c r="S61" s="57" t="s">
        <v>130</v>
      </c>
      <c r="T61" s="55" t="n">
        <v>3150.44851429639</v>
      </c>
    </row>
    <row r="62" customFormat="false" ht="15" hidden="false" customHeight="false" outlineLevel="0" collapsed="false">
      <c r="A62" s="21" t="s">
        <v>175</v>
      </c>
      <c r="B62" s="21" t="s">
        <v>178</v>
      </c>
      <c r="C62" s="21" t="s">
        <v>122</v>
      </c>
      <c r="D62" s="37" t="n">
        <f aca="false">ROUND(Q62*R62,0)</f>
        <v>398</v>
      </c>
      <c r="E62" s="37" t="n">
        <f aca="false">ROUND(Q62,0)-D62</f>
        <v>773</v>
      </c>
      <c r="F62" s="37" t="n">
        <f aca="false">IF(COUNTA(D62:E62)=0,"",SUM(D62:E62))</f>
        <v>1171</v>
      </c>
      <c r="G62" s="52" t="n">
        <f aca="false">IF(OR(F62="",F62=0),"",D62/F62)</f>
        <v>0.339880444064902</v>
      </c>
      <c r="H62" s="52" t="n">
        <f aca="false">IF(OR(F62="",F62=0),"",E62/F62)</f>
        <v>0.660119555935098</v>
      </c>
      <c r="I62" s="21" t="s">
        <v>123</v>
      </c>
      <c r="J62" s="53" t="n">
        <v>2.69963061572276</v>
      </c>
      <c r="K62" s="52" t="n">
        <f aca="false">IF(G62="","",MAX(0,G62-J62/100))</f>
        <v>0.312884137907674</v>
      </c>
      <c r="L62" s="52" t="n">
        <f aca="false">IF(G62="","",MIN(1,G62+J62/100))</f>
        <v>0.366876750222129</v>
      </c>
      <c r="M62" s="37" t="n">
        <f aca="false">IF(F62="","",ROUND(F62*J62/100,0))</f>
        <v>32</v>
      </c>
      <c r="P62" s="54" t="n">
        <v>-7.24868345688693</v>
      </c>
      <c r="Q62" s="55" t="n">
        <f aca="false">T62*$H$5</f>
        <v>1170.82273494654</v>
      </c>
      <c r="R62" s="56" t="n">
        <f aca="false">MAX(0,MIN(1,P62/100+$D$5))</f>
        <v>0.340158182395202</v>
      </c>
      <c r="S62" s="57" t="s">
        <v>124</v>
      </c>
      <c r="T62" s="55" t="n">
        <v>1170.82273494654</v>
      </c>
    </row>
    <row r="63" customFormat="false" ht="15" hidden="false" customHeight="false" outlineLevel="0" collapsed="false">
      <c r="A63" s="21" t="s">
        <v>179</v>
      </c>
      <c r="B63" s="21" t="s">
        <v>180</v>
      </c>
      <c r="C63" s="21" t="s">
        <v>122</v>
      </c>
      <c r="D63" s="37" t="n">
        <f aca="false">ROUND(Q63*R63,0)</f>
        <v>1187</v>
      </c>
      <c r="E63" s="37" t="n">
        <f aca="false">ROUND(Q63,0)-D63</f>
        <v>1520</v>
      </c>
      <c r="F63" s="37" t="n">
        <f aca="false">IF(COUNTA(D63:E63)=0,"",SUM(D63:E63))</f>
        <v>2707</v>
      </c>
      <c r="G63" s="52" t="n">
        <f aca="false">IF(OR(F63="",F63=0),"",D63/F63)</f>
        <v>0.438492796453639</v>
      </c>
      <c r="H63" s="52" t="n">
        <f aca="false">IF(OR(F63="",F63=0),"",E63/F63)</f>
        <v>0.561507203546361</v>
      </c>
      <c r="I63" s="21" t="s">
        <v>123</v>
      </c>
      <c r="J63" s="53" t="n">
        <v>1.78126663688824</v>
      </c>
      <c r="K63" s="52" t="n">
        <f aca="false">IF(G63="","",MAX(0,G63-J63/100))</f>
        <v>0.420680130084756</v>
      </c>
      <c r="L63" s="52" t="n">
        <f aca="false">IF(G63="","",MIN(1,G63+J63/100))</f>
        <v>0.456305462822521</v>
      </c>
      <c r="M63" s="37" t="n">
        <f aca="false">IF(F63="","",ROUND(F63*J63/100,0))</f>
        <v>48</v>
      </c>
      <c r="P63" s="54" t="n">
        <v>2.56959945870452</v>
      </c>
      <c r="Q63" s="55" t="n">
        <f aca="false">T63*$H$5</f>
        <v>2707.41725054361</v>
      </c>
      <c r="R63" s="56" t="n">
        <f aca="false">MAX(0,MIN(1,P63/100+$D$5))</f>
        <v>0.438341011551116</v>
      </c>
      <c r="S63" s="57" t="s">
        <v>130</v>
      </c>
      <c r="T63" s="55" t="n">
        <v>2707.41725054361</v>
      </c>
    </row>
    <row r="64" customFormat="false" ht="15" hidden="false" customHeight="false" outlineLevel="0" collapsed="false">
      <c r="A64" s="21" t="s">
        <v>179</v>
      </c>
      <c r="B64" s="21" t="s">
        <v>181</v>
      </c>
      <c r="C64" s="21" t="s">
        <v>122</v>
      </c>
      <c r="D64" s="37" t="n">
        <f aca="false">ROUND(Q64*R64,0)</f>
        <v>1342</v>
      </c>
      <c r="E64" s="37" t="n">
        <f aca="false">ROUND(Q64,0)-D64</f>
        <v>1883</v>
      </c>
      <c r="F64" s="37" t="n">
        <f aca="false">IF(COUNTA(D64:E64)=0,"",SUM(D64:E64))</f>
        <v>3225</v>
      </c>
      <c r="G64" s="52" t="n">
        <f aca="false">IF(OR(F64="",F64=0),"",D64/F64)</f>
        <v>0.416124031007752</v>
      </c>
      <c r="H64" s="52" t="n">
        <f aca="false">IF(OR(F64="",F64=0),"",E64/F64)</f>
        <v>0.583875968992248</v>
      </c>
      <c r="I64" s="21" t="s">
        <v>123</v>
      </c>
      <c r="J64" s="53" t="n">
        <v>1.78126663688824</v>
      </c>
      <c r="K64" s="52" t="n">
        <f aca="false">IF(G64="","",MAX(0,G64-J64/100))</f>
        <v>0.398311364638869</v>
      </c>
      <c r="L64" s="52" t="n">
        <f aca="false">IF(G64="","",MIN(1,G64+J64/100))</f>
        <v>0.433936697376634</v>
      </c>
      <c r="M64" s="37" t="n">
        <f aca="false">IF(F64="","",ROUND(F64*J64/100,0))</f>
        <v>57</v>
      </c>
      <c r="P64" s="54" t="n">
        <v>0.33748618883341</v>
      </c>
      <c r="Q64" s="55" t="n">
        <f aca="false">T64*$H$5</f>
        <v>3224.76247165533</v>
      </c>
      <c r="R64" s="56" t="n">
        <f aca="false">MAX(0,MIN(1,P64/100+$D$5))</f>
        <v>0.416019878852405</v>
      </c>
      <c r="S64" s="57" t="s">
        <v>130</v>
      </c>
      <c r="T64" s="55" t="n">
        <v>3224.76247165533</v>
      </c>
    </row>
    <row r="65" customFormat="false" ht="15" hidden="false" customHeight="false" outlineLevel="0" collapsed="false">
      <c r="A65" s="21" t="s">
        <v>179</v>
      </c>
      <c r="B65" s="21" t="s">
        <v>182</v>
      </c>
      <c r="C65" s="21" t="s">
        <v>122</v>
      </c>
      <c r="D65" s="37" t="n">
        <f aca="false">ROUND(Q65*R65,0)</f>
        <v>484</v>
      </c>
      <c r="E65" s="37" t="n">
        <f aca="false">ROUND(Q65,0)-D65</f>
        <v>532</v>
      </c>
      <c r="F65" s="37" t="n">
        <f aca="false">IF(COUNTA(D65:E65)=0,"",SUM(D65:E65))</f>
        <v>1016</v>
      </c>
      <c r="G65" s="52" t="n">
        <f aca="false">IF(OR(F65="",F65=0),"",D65/F65)</f>
        <v>0.476377952755906</v>
      </c>
      <c r="H65" s="52" t="n">
        <f aca="false">IF(OR(F65="",F65=0),"",E65/F65)</f>
        <v>0.523622047244094</v>
      </c>
      <c r="I65" s="21" t="s">
        <v>123</v>
      </c>
      <c r="J65" s="53" t="n">
        <v>2.69963061572276</v>
      </c>
      <c r="K65" s="52" t="n">
        <f aca="false">IF(G65="","",MAX(0,G65-J65/100))</f>
        <v>0.449381646598678</v>
      </c>
      <c r="L65" s="52" t="n">
        <f aca="false">IF(G65="","",MIN(1,G65+J65/100))</f>
        <v>0.503374258913133</v>
      </c>
      <c r="M65" s="37" t="n">
        <f aca="false">IF(F65="","",ROUND(F65*J65/100,0))</f>
        <v>27</v>
      </c>
      <c r="P65" s="54" t="n">
        <v>6.35624555092846</v>
      </c>
      <c r="Q65" s="55" t="n">
        <f aca="false">T65*$H$5</f>
        <v>1015.97556912826</v>
      </c>
      <c r="R65" s="56" t="n">
        <f aca="false">MAX(0,MIN(1,P65/100+$D$5))</f>
        <v>0.476207472473356</v>
      </c>
      <c r="S65" s="57" t="s">
        <v>124</v>
      </c>
      <c r="T65" s="55" t="n">
        <v>1015.97556912826</v>
      </c>
    </row>
    <row r="66" customFormat="false" ht="15" hidden="false" customHeight="false" outlineLevel="0" collapsed="false">
      <c r="A66" s="21" t="s">
        <v>179</v>
      </c>
      <c r="B66" s="21" t="s">
        <v>152</v>
      </c>
      <c r="C66" s="21" t="s">
        <v>122</v>
      </c>
      <c r="D66" s="37" t="n">
        <f aca="false">ROUND(Q66*R66,0)</f>
        <v>12644</v>
      </c>
      <c r="E66" s="37" t="n">
        <f aca="false">ROUND(Q66,0)-D66</f>
        <v>6328</v>
      </c>
      <c r="F66" s="37" t="n">
        <f aca="false">IF(COUNTA(D66:E66)=0,"",SUM(D66:E66))</f>
        <v>18972</v>
      </c>
      <c r="G66" s="52" t="n">
        <f aca="false">IF(OR(F66="",F66=0),"",D66/F66)</f>
        <v>0.666455829643685</v>
      </c>
      <c r="H66" s="52" t="n">
        <f aca="false">IF(OR(F66="",F66=0),"",E66/F66)</f>
        <v>0.333544170356315</v>
      </c>
      <c r="I66" s="21" t="s">
        <v>123</v>
      </c>
      <c r="J66" s="53" t="n">
        <v>1.22829950997111</v>
      </c>
      <c r="K66" s="52" t="n">
        <f aca="false">IF(G66="","",MAX(0,G66-J66/100))</f>
        <v>0.654172834543974</v>
      </c>
      <c r="L66" s="52" t="n">
        <f aca="false">IF(G66="","",MIN(1,G66+J66/100))</f>
        <v>0.678738824743397</v>
      </c>
      <c r="M66" s="37" t="n">
        <f aca="false">IF(F66="","",ROUND(F66*J66/100,0))</f>
        <v>233</v>
      </c>
      <c r="P66" s="54" t="n">
        <v>25.3798787973898</v>
      </c>
      <c r="Q66" s="55" t="n">
        <f aca="false">T66*$H$5</f>
        <v>18972.4050126369</v>
      </c>
      <c r="R66" s="56" t="n">
        <f aca="false">MAX(0,MIN(1,P66/100+$D$5))</f>
        <v>0.666443804937969</v>
      </c>
      <c r="S66" s="57" t="s">
        <v>144</v>
      </c>
      <c r="T66" s="55" t="n">
        <v>18972.4050126369</v>
      </c>
    </row>
    <row r="67" customFormat="false" ht="15" hidden="false" customHeight="false" outlineLevel="0" collapsed="false">
      <c r="A67" s="21" t="s">
        <v>179</v>
      </c>
      <c r="B67" s="21" t="s">
        <v>183</v>
      </c>
      <c r="C67" s="21" t="s">
        <v>122</v>
      </c>
      <c r="D67" s="37" t="n">
        <f aca="false">ROUND(Q67*R67,0)</f>
        <v>6774</v>
      </c>
      <c r="E67" s="37" t="n">
        <f aca="false">ROUND(Q67,0)-D67</f>
        <v>5975</v>
      </c>
      <c r="F67" s="37" t="n">
        <f aca="false">IF(COUNTA(D67:E67)=0,"",SUM(D67:E67))</f>
        <v>12749</v>
      </c>
      <c r="G67" s="52" t="n">
        <f aca="false">IF(OR(F67="",F67=0),"",D67/F67)</f>
        <v>0.531335791042435</v>
      </c>
      <c r="H67" s="52" t="n">
        <f aca="false">IF(OR(F67="",F67=0),"",E67/F67)</f>
        <v>0.468664208957565</v>
      </c>
      <c r="I67" s="21" t="s">
        <v>123</v>
      </c>
      <c r="J67" s="53" t="n">
        <v>1.22829950997111</v>
      </c>
      <c r="K67" s="52" t="n">
        <f aca="false">IF(G67="","",MAX(0,G67-J67/100))</f>
        <v>0.519052795942724</v>
      </c>
      <c r="L67" s="52" t="n">
        <f aca="false">IF(G67="","",MIN(1,G67+J67/100))</f>
        <v>0.543618786142146</v>
      </c>
      <c r="M67" s="37" t="n">
        <f aca="false">IF(F67="","",ROUND(F67*J67/100,0))</f>
        <v>157</v>
      </c>
      <c r="P67" s="54" t="n">
        <v>11.8699612333963</v>
      </c>
      <c r="Q67" s="55" t="n">
        <f aca="false">T67*$H$5</f>
        <v>12748.560475162</v>
      </c>
      <c r="R67" s="56" t="n">
        <f aca="false">MAX(0,MIN(1,P67/100+$D$5))</f>
        <v>0.531344629298034</v>
      </c>
      <c r="S67" s="57" t="s">
        <v>144</v>
      </c>
      <c r="T67" s="55" t="n">
        <v>12748.560475162</v>
      </c>
    </row>
    <row r="68" customFormat="false" ht="15" hidden="false" customHeight="false" outlineLevel="0" collapsed="false">
      <c r="A68" s="21" t="s">
        <v>179</v>
      </c>
      <c r="B68" s="21" t="s">
        <v>184</v>
      </c>
      <c r="C68" s="21" t="s">
        <v>122</v>
      </c>
      <c r="D68" s="37" t="n">
        <f aca="false">ROUND(Q68*R68,0)</f>
        <v>1717</v>
      </c>
      <c r="E68" s="37" t="n">
        <f aca="false">ROUND(Q68,0)-D68</f>
        <v>2706</v>
      </c>
      <c r="F68" s="37" t="n">
        <f aca="false">IF(COUNTA(D68:E68)=0,"",SUM(D68:E68))</f>
        <v>4423</v>
      </c>
      <c r="G68" s="52" t="n">
        <f aca="false">IF(OR(F68="",F68=0),"",D68/F68)</f>
        <v>0.388198055618359</v>
      </c>
      <c r="H68" s="52" t="n">
        <f aca="false">IF(OR(F68="",F68=0),"",E68/F68)</f>
        <v>0.611801944381641</v>
      </c>
      <c r="I68" s="21" t="s">
        <v>123</v>
      </c>
      <c r="J68" s="53" t="n">
        <v>1.22829950997111</v>
      </c>
      <c r="K68" s="52" t="n">
        <f aca="false">IF(G68="","",MAX(0,G68-J68/100))</f>
        <v>0.375915060518648</v>
      </c>
      <c r="L68" s="52" t="n">
        <f aca="false">IF(G68="","",MIN(1,G68+J68/100))</f>
        <v>0.40048105071807</v>
      </c>
      <c r="M68" s="37" t="n">
        <f aca="false">IF(F68="","",ROUND(F68*J68/100,0))</f>
        <v>54</v>
      </c>
      <c r="P68" s="54" t="n">
        <v>-2.4326711960705</v>
      </c>
      <c r="Q68" s="55" t="n">
        <f aca="false">T68*$H$5</f>
        <v>4422.68236877524</v>
      </c>
      <c r="R68" s="56" t="n">
        <f aca="false">MAX(0,MIN(1,P68/100+$D$5))</f>
        <v>0.388318305003366</v>
      </c>
      <c r="S68" s="57" t="s">
        <v>144</v>
      </c>
      <c r="T68" s="55" t="n">
        <v>4422.68236877524</v>
      </c>
    </row>
    <row r="69" customFormat="false" ht="15" hidden="false" customHeight="false" outlineLevel="0" collapsed="false">
      <c r="A69" s="21" t="s">
        <v>179</v>
      </c>
      <c r="B69" s="21" t="s">
        <v>185</v>
      </c>
      <c r="C69" s="21" t="s">
        <v>122</v>
      </c>
      <c r="D69" s="37" t="n">
        <f aca="false">ROUND(Q69*R69,0)</f>
        <v>34</v>
      </c>
      <c r="E69" s="37" t="n">
        <f aca="false">ROUND(Q69,0)-D69</f>
        <v>63</v>
      </c>
      <c r="F69" s="37" t="n">
        <f aca="false">IF(COUNTA(D69:E69)=0,"",SUM(D69:E69))</f>
        <v>97</v>
      </c>
      <c r="G69" s="52" t="n">
        <f aca="false">IF(OR(F69="",F69=0),"",D69/F69)</f>
        <v>0.350515463917526</v>
      </c>
      <c r="H69" s="52" t="n">
        <f aca="false">IF(OR(F69="",F69=0),"",E69/F69)</f>
        <v>0.649484536082474</v>
      </c>
      <c r="I69" s="21" t="s">
        <v>123</v>
      </c>
      <c r="J69" s="53" t="n">
        <v>2.69963061572276</v>
      </c>
      <c r="K69" s="52" t="n">
        <f aca="false">IF(G69="","",MAX(0,G69-J69/100))</f>
        <v>0.323519157760298</v>
      </c>
      <c r="L69" s="52" t="n">
        <f aca="false">IF(G69="","",MIN(1,G69+J69/100))</f>
        <v>0.377511770074753</v>
      </c>
      <c r="M69" s="37" t="n">
        <f aca="false">IF(F69="","",ROUND(F69*J69/100,0))</f>
        <v>3</v>
      </c>
      <c r="P69" s="54" t="n">
        <v>-6.26995489878686</v>
      </c>
      <c r="Q69" s="55" t="n">
        <f aca="false">T69*$H$5</f>
        <v>97.2992700729928</v>
      </c>
      <c r="R69" s="56" t="n">
        <f aca="false">MAX(0,MIN(1,P69/100+$D$5))</f>
        <v>0.349945467976202</v>
      </c>
      <c r="S69" s="57" t="s">
        <v>124</v>
      </c>
      <c r="T69" s="55" t="n">
        <v>97.2992700729927</v>
      </c>
    </row>
    <row r="70" customFormat="false" ht="15" hidden="false" customHeight="false" outlineLevel="0" collapsed="false">
      <c r="A70" s="21" t="s">
        <v>179</v>
      </c>
      <c r="B70" s="21" t="s">
        <v>186</v>
      </c>
      <c r="C70" s="21" t="s">
        <v>122</v>
      </c>
      <c r="D70" s="37" t="n">
        <f aca="false">ROUND(Q70*R70,0)</f>
        <v>1140</v>
      </c>
      <c r="E70" s="37" t="n">
        <f aca="false">ROUND(Q70,0)-D70</f>
        <v>1501</v>
      </c>
      <c r="F70" s="37" t="n">
        <f aca="false">IF(COUNTA(D70:E70)=0,"",SUM(D70:E70))</f>
        <v>2641</v>
      </c>
      <c r="G70" s="52" t="n">
        <f aca="false">IF(OR(F70="",F70=0),"",D70/F70)</f>
        <v>0.431654676258993</v>
      </c>
      <c r="H70" s="52" t="n">
        <f aca="false">IF(OR(F70="",F70=0),"",E70/F70)</f>
        <v>0.568345323741007</v>
      </c>
      <c r="I70" s="21" t="s">
        <v>123</v>
      </c>
      <c r="J70" s="53" t="n">
        <v>1.78126663688824</v>
      </c>
      <c r="K70" s="52" t="n">
        <f aca="false">IF(G70="","",MAX(0,G70-J70/100))</f>
        <v>0.41384200989011</v>
      </c>
      <c r="L70" s="52" t="n">
        <f aca="false">IF(G70="","",MIN(1,G70+J70/100))</f>
        <v>0.449467342627875</v>
      </c>
      <c r="M70" s="37" t="n">
        <f aca="false">IF(F70="","",ROUND(F70*J70/100,0))</f>
        <v>47</v>
      </c>
      <c r="P70" s="54" t="n">
        <v>1.89708022648325</v>
      </c>
      <c r="Q70" s="55" t="n">
        <f aca="false">T70*$H$5</f>
        <v>2640.91189093663</v>
      </c>
      <c r="R70" s="56" t="n">
        <f aca="false">MAX(0,MIN(1,P70/100+$D$5))</f>
        <v>0.431615819228903</v>
      </c>
      <c r="S70" s="57" t="s">
        <v>130</v>
      </c>
      <c r="T70" s="55" t="n">
        <v>2640.91189093663</v>
      </c>
    </row>
    <row r="71" customFormat="false" ht="15" hidden="false" customHeight="false" outlineLevel="0" collapsed="false">
      <c r="A71" s="21" t="s">
        <v>179</v>
      </c>
      <c r="B71" s="21" t="s">
        <v>187</v>
      </c>
      <c r="C71" s="21" t="s">
        <v>122</v>
      </c>
      <c r="D71" s="37" t="n">
        <f aca="false">ROUND(Q71*R71,0)</f>
        <v>146</v>
      </c>
      <c r="E71" s="37" t="n">
        <f aca="false">ROUND(Q71,0)-D71</f>
        <v>214</v>
      </c>
      <c r="F71" s="37" t="n">
        <f aca="false">IF(COUNTA(D71:E71)=0,"",SUM(D71:E71))</f>
        <v>360</v>
      </c>
      <c r="G71" s="52" t="n">
        <f aca="false">IF(OR(F71="",F71=0),"",D71/F71)</f>
        <v>0.405555555555556</v>
      </c>
      <c r="H71" s="52" t="n">
        <f aca="false">IF(OR(F71="",F71=0),"",E71/F71)</f>
        <v>0.594444444444444</v>
      </c>
      <c r="I71" s="21" t="s">
        <v>123</v>
      </c>
      <c r="J71" s="53" t="n">
        <v>2.69963061572276</v>
      </c>
      <c r="K71" s="52" t="n">
        <f aca="false">IF(G71="","",MAX(0,G71-J71/100))</f>
        <v>0.378559249398328</v>
      </c>
      <c r="L71" s="52" t="n">
        <f aca="false">IF(G71="","",MIN(1,G71+J71/100))</f>
        <v>0.432551861712783</v>
      </c>
      <c r="M71" s="37" t="n">
        <f aca="false">IF(F71="","",ROUND(F71*J71/100,0))</f>
        <v>10</v>
      </c>
      <c r="P71" s="54" t="n">
        <v>-0.772781790685098</v>
      </c>
      <c r="Q71" s="55" t="n">
        <f aca="false">T71*$H$5</f>
        <v>360.236842105263</v>
      </c>
      <c r="R71" s="56" t="n">
        <f aca="false">MAX(0,MIN(1,P71/100+$D$5))</f>
        <v>0.40491719905722</v>
      </c>
      <c r="S71" s="57" t="s">
        <v>124</v>
      </c>
      <c r="T71" s="55" t="n">
        <v>360.236842105263</v>
      </c>
    </row>
    <row r="72" customFormat="false" ht="15" hidden="false" customHeight="false" outlineLevel="0" collapsed="false">
      <c r="A72" s="21" t="s">
        <v>179</v>
      </c>
      <c r="B72" s="21" t="s">
        <v>188</v>
      </c>
      <c r="C72" s="21" t="s">
        <v>122</v>
      </c>
      <c r="D72" s="37" t="n">
        <f aca="false">ROUND(Q72*R72,0)</f>
        <v>6063</v>
      </c>
      <c r="E72" s="37" t="n">
        <f aca="false">ROUND(Q72,0)-D72</f>
        <v>2738</v>
      </c>
      <c r="F72" s="37" t="n">
        <f aca="false">IF(COUNTA(D72:E72)=0,"",SUM(D72:E72))</f>
        <v>8801</v>
      </c>
      <c r="G72" s="52" t="n">
        <f aca="false">IF(OR(F72="",F72=0),"",D72/F72)</f>
        <v>0.688898988751278</v>
      </c>
      <c r="H72" s="52" t="n">
        <f aca="false">IF(OR(F72="",F72=0),"",E72/F72)</f>
        <v>0.311101011248722</v>
      </c>
      <c r="I72" s="21" t="s">
        <v>123</v>
      </c>
      <c r="J72" s="53" t="n">
        <v>1.22829950997111</v>
      </c>
      <c r="K72" s="52" t="n">
        <f aca="false">IF(G72="","",MAX(0,G72-J72/100))</f>
        <v>0.676615993651567</v>
      </c>
      <c r="L72" s="52" t="n">
        <f aca="false">IF(G72="","",MIN(1,G72+J72/100))</f>
        <v>0.701181983850989</v>
      </c>
      <c r="M72" s="37" t="n">
        <f aca="false">IF(F72="","",ROUND(F72*J72/100,0))</f>
        <v>108</v>
      </c>
      <c r="P72" s="54" t="n">
        <v>27.6269738656667</v>
      </c>
      <c r="Q72" s="55" t="n">
        <f aca="false">T72*$H$5</f>
        <v>8801.19378916978</v>
      </c>
      <c r="R72" s="56" t="n">
        <f aca="false">MAX(0,MIN(1,P72/100+$D$5))</f>
        <v>0.688914755620738</v>
      </c>
      <c r="S72" s="57" t="s">
        <v>144</v>
      </c>
      <c r="T72" s="55" t="n">
        <v>8801.19378916978</v>
      </c>
    </row>
    <row r="73" customFormat="false" ht="15" hidden="false" customHeight="false" outlineLevel="0" collapsed="false">
      <c r="A73" s="21" t="s">
        <v>179</v>
      </c>
      <c r="B73" s="21" t="s">
        <v>189</v>
      </c>
      <c r="C73" s="21" t="s">
        <v>122</v>
      </c>
      <c r="D73" s="37" t="n">
        <f aca="false">ROUND(Q73*R73,0)</f>
        <v>2434</v>
      </c>
      <c r="E73" s="37" t="n">
        <f aca="false">ROUND(Q73,0)-D73</f>
        <v>2266</v>
      </c>
      <c r="F73" s="37" t="n">
        <f aca="false">IF(COUNTA(D73:E73)=0,"",SUM(D73:E73))</f>
        <v>4700</v>
      </c>
      <c r="G73" s="52" t="n">
        <f aca="false">IF(OR(F73="",F73=0),"",D73/F73)</f>
        <v>0.517872340425532</v>
      </c>
      <c r="H73" s="52" t="n">
        <f aca="false">IF(OR(F73="",F73=0),"",E73/F73)</f>
        <v>0.482127659574468</v>
      </c>
      <c r="I73" s="21" t="s">
        <v>123</v>
      </c>
      <c r="J73" s="53" t="n">
        <v>1.22829950997111</v>
      </c>
      <c r="K73" s="52" t="n">
        <f aca="false">IF(G73="","",MAX(0,G73-J73/100))</f>
        <v>0.505589345325821</v>
      </c>
      <c r="L73" s="52" t="n">
        <f aca="false">IF(G73="","",MIN(1,G73+J73/100))</f>
        <v>0.530155335525243</v>
      </c>
      <c r="M73" s="37" t="n">
        <f aca="false">IF(F73="","",ROUND(F73*J73/100,0))</f>
        <v>58</v>
      </c>
      <c r="P73" s="54" t="n">
        <v>10.5254732242445</v>
      </c>
      <c r="Q73" s="55" t="n">
        <f aca="false">T73*$H$5</f>
        <v>4700.05452138017</v>
      </c>
      <c r="R73" s="56" t="n">
        <f aca="false">MAX(0,MIN(1,P73/100+$D$5))</f>
        <v>0.517899749206516</v>
      </c>
      <c r="S73" s="57" t="s">
        <v>144</v>
      </c>
      <c r="T73" s="55" t="n">
        <v>4700.05452138017</v>
      </c>
    </row>
    <row r="74" customFormat="false" ht="15" hidden="false" customHeight="false" outlineLevel="0" collapsed="false">
      <c r="A74" s="21" t="s">
        <v>179</v>
      </c>
      <c r="B74" s="21" t="s">
        <v>190</v>
      </c>
      <c r="C74" s="21" t="s">
        <v>122</v>
      </c>
      <c r="D74" s="37" t="n">
        <f aca="false">ROUND(Q74*R74,0)</f>
        <v>481</v>
      </c>
      <c r="E74" s="37" t="n">
        <f aca="false">ROUND(Q74,0)-D74</f>
        <v>330</v>
      </c>
      <c r="F74" s="37" t="n">
        <f aca="false">IF(COUNTA(D74:E74)=0,"",SUM(D74:E74))</f>
        <v>811</v>
      </c>
      <c r="G74" s="52" t="n">
        <f aca="false">IF(OR(F74="",F74=0),"",D74/F74)</f>
        <v>0.593094944512947</v>
      </c>
      <c r="H74" s="52" t="n">
        <f aca="false">IF(OR(F74="",F74=0),"",E74/F74)</f>
        <v>0.406905055487053</v>
      </c>
      <c r="I74" s="21" t="s">
        <v>123</v>
      </c>
      <c r="J74" s="53" t="n">
        <v>2.69963061572276</v>
      </c>
      <c r="K74" s="52" t="n">
        <f aca="false">IF(G74="","",MAX(0,G74-J74/100))</f>
        <v>0.566098638355719</v>
      </c>
      <c r="L74" s="52" t="n">
        <f aca="false">IF(G74="","",MIN(1,G74+J74/100))</f>
        <v>0.620091250670175</v>
      </c>
      <c r="M74" s="37" t="n">
        <f aca="false">IF(F74="","",ROUND(F74*J74/100,0))</f>
        <v>22</v>
      </c>
      <c r="P74" s="54" t="n">
        <v>18.0472811668784</v>
      </c>
      <c r="Q74" s="55" t="n">
        <f aca="false">T74*$H$5</f>
        <v>811.272251308901</v>
      </c>
      <c r="R74" s="56" t="n">
        <f aca="false">MAX(0,MIN(1,P74/100+$D$5))</f>
        <v>0.593117828632855</v>
      </c>
      <c r="S74" s="57" t="s">
        <v>124</v>
      </c>
      <c r="T74" s="55" t="n">
        <v>811.2722513089</v>
      </c>
    </row>
    <row r="75" customFormat="false" ht="15" hidden="false" customHeight="false" outlineLevel="0" collapsed="false">
      <c r="A75" s="21" t="s">
        <v>179</v>
      </c>
      <c r="B75" s="21" t="s">
        <v>191</v>
      </c>
      <c r="C75" s="21" t="s">
        <v>122</v>
      </c>
      <c r="D75" s="37" t="n">
        <f aca="false">ROUND(Q75*R75,0)</f>
        <v>75</v>
      </c>
      <c r="E75" s="37" t="n">
        <f aca="false">ROUND(Q75,0)-D75</f>
        <v>69</v>
      </c>
      <c r="F75" s="37" t="n">
        <f aca="false">IF(COUNTA(D75:E75)=0,"",SUM(D75:E75))</f>
        <v>144</v>
      </c>
      <c r="G75" s="52" t="n">
        <f aca="false">IF(OR(F75="",F75=0),"",D75/F75)</f>
        <v>0.520833333333333</v>
      </c>
      <c r="H75" s="52" t="n">
        <f aca="false">IF(OR(F75="",F75=0),"",E75/F75)</f>
        <v>0.479166666666667</v>
      </c>
      <c r="I75" s="21" t="s">
        <v>123</v>
      </c>
      <c r="J75" s="53" t="n">
        <v>2.69963061572276</v>
      </c>
      <c r="K75" s="52" t="n">
        <f aca="false">IF(G75="","",MAX(0,G75-J75/100))</f>
        <v>0.493837027176106</v>
      </c>
      <c r="L75" s="52" t="n">
        <f aca="false">IF(G75="","",MIN(1,G75+J75/100))</f>
        <v>0.547829639490561</v>
      </c>
      <c r="M75" s="37" t="n">
        <f aca="false">IF(F75="","",ROUND(F75*J75/100,0))</f>
        <v>4</v>
      </c>
      <c r="P75" s="54" t="n">
        <v>10.6185782336171</v>
      </c>
      <c r="Q75" s="55" t="n">
        <f aca="false">T75*$H$5</f>
        <v>143.630597014925</v>
      </c>
      <c r="R75" s="56" t="n">
        <f aca="false">MAX(0,MIN(1,P75/100+$D$5))</f>
        <v>0.518830799300242</v>
      </c>
      <c r="S75" s="57" t="s">
        <v>124</v>
      </c>
      <c r="T75" s="55" t="n">
        <v>143.630597014925</v>
      </c>
    </row>
    <row r="76" customFormat="false" ht="15" hidden="false" customHeight="false" outlineLevel="0" collapsed="false">
      <c r="A76" s="21" t="s">
        <v>179</v>
      </c>
      <c r="B76" s="21" t="s">
        <v>158</v>
      </c>
      <c r="C76" s="21" t="s">
        <v>122</v>
      </c>
      <c r="D76" s="37" t="n">
        <f aca="false">ROUND(Q76*R76,0)</f>
        <v>3412</v>
      </c>
      <c r="E76" s="37" t="n">
        <f aca="false">ROUND(Q76,0)-D76</f>
        <v>3011</v>
      </c>
      <c r="F76" s="37" t="n">
        <f aca="false">IF(COUNTA(D76:E76)=0,"",SUM(D76:E76))</f>
        <v>6423</v>
      </c>
      <c r="G76" s="52" t="n">
        <f aca="false">IF(OR(F76="",F76=0),"",D76/F76)</f>
        <v>0.531215942705901</v>
      </c>
      <c r="H76" s="52" t="n">
        <f aca="false">IF(OR(F76="",F76=0),"",E76/F76)</f>
        <v>0.468784057294099</v>
      </c>
      <c r="I76" s="21" t="s">
        <v>123</v>
      </c>
      <c r="J76" s="53" t="n">
        <v>1.22829950997111</v>
      </c>
      <c r="K76" s="52" t="n">
        <f aca="false">IF(G76="","",MAX(0,G76-J76/100))</f>
        <v>0.51893294760619</v>
      </c>
      <c r="L76" s="52" t="n">
        <f aca="false">IF(G76="","",MIN(1,G76+J76/100))</f>
        <v>0.543498937805612</v>
      </c>
      <c r="M76" s="37" t="n">
        <f aca="false">IF(F76="","",ROUND(F76*J76/100,0))</f>
        <v>79</v>
      </c>
      <c r="P76" s="54" t="n">
        <v>11.8627320345673</v>
      </c>
      <c r="Q76" s="55" t="n">
        <f aca="false">T76*$H$5</f>
        <v>6422.70106427379</v>
      </c>
      <c r="R76" s="56" t="n">
        <f aca="false">MAX(0,MIN(1,P76/100+$D$5))</f>
        <v>0.531272337309744</v>
      </c>
      <c r="S76" s="57" t="s">
        <v>144</v>
      </c>
      <c r="T76" s="55" t="n">
        <v>6422.70106427379</v>
      </c>
    </row>
    <row r="77" customFormat="false" ht="15" hidden="false" customHeight="false" outlineLevel="0" collapsed="false">
      <c r="A77" s="21" t="s">
        <v>179</v>
      </c>
      <c r="B77" s="21" t="s">
        <v>192</v>
      </c>
      <c r="C77" s="21" t="s">
        <v>122</v>
      </c>
      <c r="D77" s="37" t="n">
        <f aca="false">ROUND(Q77*R77,0)</f>
        <v>1357</v>
      </c>
      <c r="E77" s="37" t="n">
        <f aca="false">ROUND(Q77,0)-D77</f>
        <v>1271</v>
      </c>
      <c r="F77" s="37" t="n">
        <f aca="false">IF(COUNTA(D77:E77)=0,"",SUM(D77:E77))</f>
        <v>2628</v>
      </c>
      <c r="G77" s="52" t="n">
        <f aca="false">IF(OR(F77="",F77=0),"",D77/F77)</f>
        <v>0.516362252663623</v>
      </c>
      <c r="H77" s="52" t="n">
        <f aca="false">IF(OR(F77="",F77=0),"",E77/F77)</f>
        <v>0.483637747336378</v>
      </c>
      <c r="I77" s="21" t="s">
        <v>123</v>
      </c>
      <c r="J77" s="53" t="n">
        <v>1.78126663688824</v>
      </c>
      <c r="K77" s="52" t="n">
        <f aca="false">IF(G77="","",MAX(0,G77-J77/100))</f>
        <v>0.49854958629474</v>
      </c>
      <c r="L77" s="52" t="n">
        <f aca="false">IF(G77="","",MIN(1,G77+J77/100))</f>
        <v>0.534174919032505</v>
      </c>
      <c r="M77" s="37" t="n">
        <f aca="false">IF(F77="","",ROUND(F77*J77/100,0))</f>
        <v>47</v>
      </c>
      <c r="P77" s="54" t="n">
        <v>10.3789224093226</v>
      </c>
      <c r="Q77" s="55" t="n">
        <f aca="false">T77*$H$5</f>
        <v>2628.02463970247</v>
      </c>
      <c r="R77" s="56" t="n">
        <f aca="false">MAX(0,MIN(1,P77/100+$D$5))</f>
        <v>0.516434241057296</v>
      </c>
      <c r="S77" s="57" t="s">
        <v>130</v>
      </c>
      <c r="T77" s="55" t="n">
        <v>2628.02463970247</v>
      </c>
    </row>
    <row r="78" customFormat="false" ht="15" hidden="false" customHeight="false" outlineLevel="0" collapsed="false">
      <c r="A78" s="21" t="s">
        <v>179</v>
      </c>
      <c r="B78" s="21" t="s">
        <v>193</v>
      </c>
      <c r="C78" s="21" t="s">
        <v>122</v>
      </c>
      <c r="D78" s="37" t="n">
        <f aca="false">ROUND(Q78*R78,0)</f>
        <v>1821</v>
      </c>
      <c r="E78" s="37" t="n">
        <f aca="false">ROUND(Q78,0)-D78</f>
        <v>3518</v>
      </c>
      <c r="F78" s="37" t="n">
        <f aca="false">IF(COUNTA(D78:E78)=0,"",SUM(D78:E78))</f>
        <v>5339</v>
      </c>
      <c r="G78" s="52" t="n">
        <f aca="false">IF(OR(F78="",F78=0),"",D78/F78)</f>
        <v>0.341075107698071</v>
      </c>
      <c r="H78" s="52" t="n">
        <f aca="false">IF(OR(F78="",F78=0),"",E78/F78)</f>
        <v>0.658924892301929</v>
      </c>
      <c r="I78" s="21" t="s">
        <v>123</v>
      </c>
      <c r="J78" s="53" t="n">
        <v>1.22829950997111</v>
      </c>
      <c r="K78" s="52" t="n">
        <f aca="false">IF(G78="","",MAX(0,G78-J78/100))</f>
        <v>0.32879211259836</v>
      </c>
      <c r="L78" s="52" t="n">
        <f aca="false">IF(G78="","",MIN(1,G78+J78/100))</f>
        <v>0.353358102797782</v>
      </c>
      <c r="M78" s="37" t="n">
        <f aca="false">IF(F78="","",ROUND(F78*J78/100,0))</f>
        <v>66</v>
      </c>
      <c r="P78" s="54" t="n">
        <v>-7.16440445158038</v>
      </c>
      <c r="Q78" s="55" t="n">
        <f aca="false">T78*$H$5</f>
        <v>5339.13569131833</v>
      </c>
      <c r="R78" s="56" t="n">
        <f aca="false">MAX(0,MIN(1,P78/100+$D$5))</f>
        <v>0.341000972448267</v>
      </c>
      <c r="S78" s="57" t="s">
        <v>144</v>
      </c>
      <c r="T78" s="55" t="n">
        <v>5339.13569131833</v>
      </c>
    </row>
    <row r="79" customFormat="false" ht="15" hidden="false" customHeight="false" outlineLevel="0" collapsed="false">
      <c r="A79" s="21" t="s">
        <v>179</v>
      </c>
      <c r="B79" s="21" t="s">
        <v>194</v>
      </c>
      <c r="C79" s="21" t="s">
        <v>122</v>
      </c>
      <c r="D79" s="37" t="n">
        <f aca="false">ROUND(Q79*R79,0)</f>
        <v>478</v>
      </c>
      <c r="E79" s="37" t="n">
        <f aca="false">ROUND(Q79,0)-D79</f>
        <v>932</v>
      </c>
      <c r="F79" s="37" t="n">
        <f aca="false">IF(COUNTA(D79:E79)=0,"",SUM(D79:E79))</f>
        <v>1410</v>
      </c>
      <c r="G79" s="52" t="n">
        <f aca="false">IF(OR(F79="",F79=0),"",D79/F79)</f>
        <v>0.339007092198582</v>
      </c>
      <c r="H79" s="52" t="n">
        <f aca="false">IF(OR(F79="",F79=0),"",E79/F79)</f>
        <v>0.660992907801418</v>
      </c>
      <c r="I79" s="21" t="s">
        <v>123</v>
      </c>
      <c r="J79" s="53" t="n">
        <v>2.69963061572276</v>
      </c>
      <c r="K79" s="52" t="n">
        <f aca="false">IF(G79="","",MAX(0,G79-J79/100))</f>
        <v>0.312010786041354</v>
      </c>
      <c r="L79" s="52" t="n">
        <f aca="false">IF(G79="","",MIN(1,G79+J79/100))</f>
        <v>0.366003398355809</v>
      </c>
      <c r="M79" s="37" t="n">
        <f aca="false">IF(F79="","",ROUND(F79*J79/100,0))</f>
        <v>38</v>
      </c>
      <c r="P79" s="54" t="n">
        <v>-7.38263826362472</v>
      </c>
      <c r="Q79" s="55" t="n">
        <f aca="false">T79*$H$5</f>
        <v>1409.9805573558</v>
      </c>
      <c r="R79" s="56" t="n">
        <f aca="false">MAX(0,MIN(1,P79/100+$D$5))</f>
        <v>0.338818634327824</v>
      </c>
      <c r="S79" s="57" t="s">
        <v>124</v>
      </c>
      <c r="T79" s="55" t="n">
        <v>1409.9805573558</v>
      </c>
    </row>
    <row r="80" customFormat="false" ht="15" hidden="false" customHeight="false" outlineLevel="0" collapsed="false">
      <c r="A80" s="21" t="s">
        <v>179</v>
      </c>
      <c r="B80" s="21" t="s">
        <v>195</v>
      </c>
      <c r="C80" s="21" t="s">
        <v>122</v>
      </c>
      <c r="D80" s="37" t="n">
        <f aca="false">ROUND(Q80*R80,0)</f>
        <v>674</v>
      </c>
      <c r="E80" s="37" t="n">
        <f aca="false">ROUND(Q80,0)-D80</f>
        <v>825</v>
      </c>
      <c r="F80" s="37" t="n">
        <f aca="false">IF(COUNTA(D80:E80)=0,"",SUM(D80:E80))</f>
        <v>1499</v>
      </c>
      <c r="G80" s="52" t="n">
        <f aca="false">IF(OR(F80="",F80=0),"",D80/F80)</f>
        <v>0.449633088725817</v>
      </c>
      <c r="H80" s="52" t="n">
        <f aca="false">IF(OR(F80="",F80=0),"",E80/F80)</f>
        <v>0.550366911274183</v>
      </c>
      <c r="I80" s="21" t="s">
        <v>123</v>
      </c>
      <c r="J80" s="53" t="n">
        <v>2.69963061572276</v>
      </c>
      <c r="K80" s="52" t="n">
        <f aca="false">IF(G80="","",MAX(0,G80-J80/100))</f>
        <v>0.42263678256859</v>
      </c>
      <c r="L80" s="52" t="n">
        <f aca="false">IF(G80="","",MIN(1,G80+J80/100))</f>
        <v>0.476629394883045</v>
      </c>
      <c r="M80" s="37" t="n">
        <f aca="false">IF(F80="","",ROUND(F80*J80/100,0))</f>
        <v>40</v>
      </c>
      <c r="P80" s="54" t="n">
        <v>3.6723327370613</v>
      </c>
      <c r="Q80" s="55" t="n">
        <f aca="false">T80*$H$5</f>
        <v>1499.1692563818</v>
      </c>
      <c r="R80" s="56" t="n">
        <f aca="false">MAX(0,MIN(1,P80/100+$D$5))</f>
        <v>0.449368344334684</v>
      </c>
      <c r="S80" s="57" t="s">
        <v>124</v>
      </c>
      <c r="T80" s="55" t="n">
        <v>1499.1692563818</v>
      </c>
    </row>
    <row r="81" customFormat="false" ht="15" hidden="false" customHeight="false" outlineLevel="0" collapsed="false">
      <c r="A81" s="21" t="s">
        <v>179</v>
      </c>
      <c r="B81" s="21" t="s">
        <v>196</v>
      </c>
      <c r="C81" s="21" t="s">
        <v>122</v>
      </c>
      <c r="D81" s="37" t="n">
        <f aca="false">ROUND(Q81*R81,0)</f>
        <v>3596</v>
      </c>
      <c r="E81" s="37" t="n">
        <f aca="false">ROUND(Q81,0)-D81</f>
        <v>3771</v>
      </c>
      <c r="F81" s="37" t="n">
        <f aca="false">IF(COUNTA(D81:E81)=0,"",SUM(D81:E81))</f>
        <v>7367</v>
      </c>
      <c r="G81" s="52" t="n">
        <f aca="false">IF(OR(F81="",F81=0),"",D81/F81)</f>
        <v>0.488122709379666</v>
      </c>
      <c r="H81" s="52" t="n">
        <f aca="false">IF(OR(F81="",F81=0),"",E81/F81)</f>
        <v>0.511877290620334</v>
      </c>
      <c r="I81" s="21" t="s">
        <v>123</v>
      </c>
      <c r="J81" s="53" t="n">
        <v>1.22829950997111</v>
      </c>
      <c r="K81" s="52" t="n">
        <f aca="false">IF(G81="","",MAX(0,G81-J81/100))</f>
        <v>0.475839714279955</v>
      </c>
      <c r="L81" s="52" t="n">
        <f aca="false">IF(G81="","",MIN(1,G81+J81/100))</f>
        <v>0.500405704479377</v>
      </c>
      <c r="M81" s="37" t="n">
        <f aca="false">IF(F81="","",ROUND(F81*J81/100,0))</f>
        <v>90</v>
      </c>
      <c r="P81" s="54" t="n">
        <v>7.5441412740582</v>
      </c>
      <c r="Q81" s="55" t="n">
        <f aca="false">T81*$H$5</f>
        <v>7366.54626611875</v>
      </c>
      <c r="R81" s="56" t="n">
        <f aca="false">MAX(0,MIN(1,P81/100+$D$5))</f>
        <v>0.488086429704653</v>
      </c>
      <c r="S81" s="57" t="s">
        <v>144</v>
      </c>
      <c r="T81" s="55" t="n">
        <v>7366.54626611875</v>
      </c>
    </row>
    <row r="82" customFormat="false" ht="15" hidden="false" customHeight="false" outlineLevel="0" collapsed="false">
      <c r="A82" s="21" t="s">
        <v>179</v>
      </c>
      <c r="B82" s="21" t="s">
        <v>197</v>
      </c>
      <c r="C82" s="21" t="s">
        <v>122</v>
      </c>
      <c r="D82" s="37" t="n">
        <f aca="false">ROUND(Q82*R82,0)</f>
        <v>1645</v>
      </c>
      <c r="E82" s="37" t="n">
        <f aca="false">ROUND(Q82,0)-D82</f>
        <v>3203</v>
      </c>
      <c r="F82" s="37" t="n">
        <f aca="false">IF(COUNTA(D82:E82)=0,"",SUM(D82:E82))</f>
        <v>4848</v>
      </c>
      <c r="G82" s="52" t="n">
        <f aca="false">IF(OR(F82="",F82=0),"",D82/F82)</f>
        <v>0.339315181518152</v>
      </c>
      <c r="H82" s="52" t="n">
        <f aca="false">IF(OR(F82="",F82=0),"",E82/F82)</f>
        <v>0.660684818481848</v>
      </c>
      <c r="I82" s="21" t="s">
        <v>123</v>
      </c>
      <c r="J82" s="53" t="n">
        <v>1.22829950997111</v>
      </c>
      <c r="K82" s="52" t="n">
        <f aca="false">IF(G82="","",MAX(0,G82-J82/100))</f>
        <v>0.327032186418441</v>
      </c>
      <c r="L82" s="52" t="n">
        <f aca="false">IF(G82="","",MIN(1,G82+J82/100))</f>
        <v>0.351598176617863</v>
      </c>
      <c r="M82" s="37" t="n">
        <f aca="false">IF(F82="","",ROUND(F82*J82/100,0))</f>
        <v>60</v>
      </c>
      <c r="P82" s="54" t="n">
        <v>-7.33460829289198</v>
      </c>
      <c r="Q82" s="55" t="n">
        <f aca="false">T82*$H$5</f>
        <v>4848.29721362229</v>
      </c>
      <c r="R82" s="56" t="n">
        <f aca="false">MAX(0,MIN(1,P82/100+$D$5))</f>
        <v>0.339298934035151</v>
      </c>
      <c r="S82" s="57" t="s">
        <v>144</v>
      </c>
      <c r="T82" s="55" t="n">
        <v>4848.29721362229</v>
      </c>
    </row>
    <row r="83" customFormat="false" ht="15" hidden="false" customHeight="false" outlineLevel="0" collapsed="false">
      <c r="A83" s="21" t="s">
        <v>179</v>
      </c>
      <c r="B83" s="21" t="s">
        <v>198</v>
      </c>
      <c r="C83" s="21" t="s">
        <v>122</v>
      </c>
      <c r="D83" s="37" t="n">
        <f aca="false">ROUND(Q83*R83,0)</f>
        <v>1247</v>
      </c>
      <c r="E83" s="37" t="n">
        <f aca="false">ROUND(Q83,0)-D83</f>
        <v>1268</v>
      </c>
      <c r="F83" s="37" t="n">
        <f aca="false">IF(COUNTA(D83:E83)=0,"",SUM(D83:E83))</f>
        <v>2515</v>
      </c>
      <c r="G83" s="52" t="n">
        <f aca="false">IF(OR(F83="",F83=0),"",D83/F83)</f>
        <v>0.495825049701789</v>
      </c>
      <c r="H83" s="52" t="n">
        <f aca="false">IF(OR(F83="",F83=0),"",E83/F83)</f>
        <v>0.504174950298211</v>
      </c>
      <c r="I83" s="21" t="s">
        <v>123</v>
      </c>
      <c r="J83" s="53" t="n">
        <v>1.78126663688824</v>
      </c>
      <c r="K83" s="52" t="n">
        <f aca="false">IF(G83="","",MAX(0,G83-J83/100))</f>
        <v>0.478012383332907</v>
      </c>
      <c r="L83" s="52" t="n">
        <f aca="false">IF(G83="","",MIN(1,G83+J83/100))</f>
        <v>0.513637716070672</v>
      </c>
      <c r="M83" s="37" t="n">
        <f aca="false">IF(F83="","",ROUND(F83*J83/100,0))</f>
        <v>45</v>
      </c>
      <c r="P83" s="54" t="n">
        <v>8.31842958141443</v>
      </c>
      <c r="Q83" s="55" t="n">
        <f aca="false">T83*$H$5</f>
        <v>2514.75925477861</v>
      </c>
      <c r="R83" s="56" t="n">
        <f aca="false">MAX(0,MIN(1,P83/100+$D$5))</f>
        <v>0.495829312778215</v>
      </c>
      <c r="S83" s="57" t="s">
        <v>130</v>
      </c>
      <c r="T83" s="55" t="n">
        <v>2514.75925477861</v>
      </c>
    </row>
    <row r="84" customFormat="false" ht="15" hidden="false" customHeight="false" outlineLevel="0" collapsed="false">
      <c r="A84" s="21" t="s">
        <v>179</v>
      </c>
      <c r="B84" s="21" t="s">
        <v>199</v>
      </c>
      <c r="C84" s="21" t="s">
        <v>122</v>
      </c>
      <c r="D84" s="37" t="n">
        <f aca="false">ROUND(Q84*R84,0)</f>
        <v>726</v>
      </c>
      <c r="E84" s="37" t="n">
        <f aca="false">ROUND(Q84,0)-D84</f>
        <v>702</v>
      </c>
      <c r="F84" s="37" t="n">
        <f aca="false">IF(COUNTA(D84:E84)=0,"",SUM(D84:E84))</f>
        <v>1428</v>
      </c>
      <c r="G84" s="52" t="n">
        <f aca="false">IF(OR(F84="",F84=0),"",D84/F84)</f>
        <v>0.508403361344538</v>
      </c>
      <c r="H84" s="52" t="n">
        <f aca="false">IF(OR(F84="",F84=0),"",E84/F84)</f>
        <v>0.491596638655462</v>
      </c>
      <c r="I84" s="21" t="s">
        <v>123</v>
      </c>
      <c r="J84" s="53" t="n">
        <v>2.69963061572276</v>
      </c>
      <c r="K84" s="52" t="n">
        <f aca="false">IF(G84="","",MAX(0,G84-J84/100))</f>
        <v>0.48140705518731</v>
      </c>
      <c r="L84" s="52" t="n">
        <f aca="false">IF(G84="","",MIN(1,G84+J84/100))</f>
        <v>0.535399667501765</v>
      </c>
      <c r="M84" s="37" t="n">
        <f aca="false">IF(F84="","",ROUND(F84*J84/100,0))</f>
        <v>39</v>
      </c>
      <c r="P84" s="54" t="n">
        <v>9.61402875954639</v>
      </c>
      <c r="Q84" s="55" t="n">
        <f aca="false">T84*$H$5</f>
        <v>1427.54656265236</v>
      </c>
      <c r="R84" s="56" t="n">
        <f aca="false">MAX(0,MIN(1,P84/100+$D$5))</f>
        <v>0.508785304559535</v>
      </c>
      <c r="S84" s="57" t="s">
        <v>124</v>
      </c>
      <c r="T84" s="55" t="n">
        <v>1427.54656265236</v>
      </c>
    </row>
    <row r="85" customFormat="false" ht="15" hidden="false" customHeight="false" outlineLevel="0" collapsed="false">
      <c r="A85" s="21" t="s">
        <v>179</v>
      </c>
      <c r="B85" s="21" t="s">
        <v>200</v>
      </c>
      <c r="C85" s="21" t="s">
        <v>122</v>
      </c>
      <c r="D85" s="37" t="n">
        <f aca="false">ROUND(Q85*R85,0)</f>
        <v>2019</v>
      </c>
      <c r="E85" s="37" t="n">
        <f aca="false">ROUND(Q85,0)-D85</f>
        <v>2145</v>
      </c>
      <c r="F85" s="37" t="n">
        <f aca="false">IF(COUNTA(D85:E85)=0,"",SUM(D85:E85))</f>
        <v>4164</v>
      </c>
      <c r="G85" s="52" t="n">
        <f aca="false">IF(OR(F85="",F85=0),"",D85/F85)</f>
        <v>0.484870317002882</v>
      </c>
      <c r="H85" s="52" t="n">
        <f aca="false">IF(OR(F85="",F85=0),"",E85/F85)</f>
        <v>0.515129682997118</v>
      </c>
      <c r="I85" s="21" t="s">
        <v>123</v>
      </c>
      <c r="J85" s="53" t="n">
        <v>1.22829950997111</v>
      </c>
      <c r="K85" s="52" t="n">
        <f aca="false">IF(G85="","",MAX(0,G85-J85/100))</f>
        <v>0.472587321903171</v>
      </c>
      <c r="L85" s="52" t="n">
        <f aca="false">IF(G85="","",MIN(1,G85+J85/100))</f>
        <v>0.497153312102593</v>
      </c>
      <c r="M85" s="37" t="n">
        <f aca="false">IF(F85="","",ROUND(F85*J85/100,0))</f>
        <v>51</v>
      </c>
      <c r="P85" s="54" t="n">
        <v>7.2215208167098</v>
      </c>
      <c r="Q85" s="55" t="n">
        <f aca="false">T85*$H$5</f>
        <v>4163.88109359179</v>
      </c>
      <c r="R85" s="56" t="n">
        <f aca="false">MAX(0,MIN(1,P85/100+$D$5))</f>
        <v>0.484860225131169</v>
      </c>
      <c r="S85" s="57" t="s">
        <v>144</v>
      </c>
      <c r="T85" s="55" t="n">
        <v>4163.88109359178</v>
      </c>
    </row>
    <row r="86" customFormat="false" ht="15" hidden="false" customHeight="false" outlineLevel="0" collapsed="false">
      <c r="A86" s="21" t="s">
        <v>179</v>
      </c>
      <c r="B86" s="21" t="s">
        <v>201</v>
      </c>
      <c r="C86" s="21" t="s">
        <v>122</v>
      </c>
      <c r="D86" s="37" t="n">
        <f aca="false">ROUND(Q86*R86,0)</f>
        <v>4261</v>
      </c>
      <c r="E86" s="37" t="n">
        <f aca="false">ROUND(Q86,0)-D86</f>
        <v>4019</v>
      </c>
      <c r="F86" s="37" t="n">
        <f aca="false">IF(COUNTA(D86:E86)=0,"",SUM(D86:E86))</f>
        <v>8280</v>
      </c>
      <c r="G86" s="52" t="n">
        <f aca="false">IF(OR(F86="",F86=0),"",D86/F86)</f>
        <v>0.514613526570048</v>
      </c>
      <c r="H86" s="52" t="n">
        <f aca="false">IF(OR(F86="",F86=0),"",E86/F86)</f>
        <v>0.485386473429952</v>
      </c>
      <c r="I86" s="21" t="s">
        <v>123</v>
      </c>
      <c r="J86" s="53" t="n">
        <v>1.22829950997111</v>
      </c>
      <c r="K86" s="52" t="n">
        <f aca="false">IF(G86="","",MAX(0,G86-J86/100))</f>
        <v>0.502330531470337</v>
      </c>
      <c r="L86" s="52" t="n">
        <f aca="false">IF(G86="","",MIN(1,G86+J86/100))</f>
        <v>0.526896521669759</v>
      </c>
      <c r="M86" s="37" t="n">
        <f aca="false">IF(F86="","",ROUND(F86*J86/100,0))</f>
        <v>102</v>
      </c>
      <c r="P86" s="54" t="n">
        <v>10.192073480522</v>
      </c>
      <c r="Q86" s="55" t="n">
        <f aca="false">T86*$H$5</f>
        <v>8280.34349938536</v>
      </c>
      <c r="R86" s="56" t="n">
        <f aca="false">MAX(0,MIN(1,P86/100+$D$5))</f>
        <v>0.51456575176929</v>
      </c>
      <c r="S86" s="57" t="s">
        <v>144</v>
      </c>
      <c r="T86" s="55" t="n">
        <v>8280.34349938535</v>
      </c>
    </row>
    <row r="87" customFormat="false" ht="15" hidden="false" customHeight="false" outlineLevel="0" collapsed="false">
      <c r="A87" s="21" t="s">
        <v>179</v>
      </c>
      <c r="B87" s="21" t="s">
        <v>202</v>
      </c>
      <c r="C87" s="21" t="s">
        <v>122</v>
      </c>
      <c r="D87" s="37" t="n">
        <f aca="false">ROUND(Q87*R87,0)</f>
        <v>528</v>
      </c>
      <c r="E87" s="37" t="n">
        <f aca="false">ROUND(Q87,0)-D87</f>
        <v>834</v>
      </c>
      <c r="F87" s="37" t="n">
        <f aca="false">IF(COUNTA(D87:E87)=0,"",SUM(D87:E87))</f>
        <v>1362</v>
      </c>
      <c r="G87" s="52" t="n">
        <f aca="false">IF(OR(F87="",F87=0),"",D87/F87)</f>
        <v>0.387665198237886</v>
      </c>
      <c r="H87" s="52" t="n">
        <f aca="false">IF(OR(F87="",F87=0),"",E87/F87)</f>
        <v>0.612334801762115</v>
      </c>
      <c r="I87" s="21" t="s">
        <v>123</v>
      </c>
      <c r="J87" s="53" t="n">
        <v>2.69963061572276</v>
      </c>
      <c r="K87" s="52" t="n">
        <f aca="false">IF(G87="","",MAX(0,G87-J87/100))</f>
        <v>0.360668892080658</v>
      </c>
      <c r="L87" s="52" t="n">
        <f aca="false">IF(G87="","",MIN(1,G87+J87/100))</f>
        <v>0.414661504395113</v>
      </c>
      <c r="M87" s="37" t="n">
        <f aca="false">IF(F87="","",ROUND(F87*J87/100,0))</f>
        <v>37</v>
      </c>
      <c r="P87" s="54" t="n">
        <v>-2.49914214228446</v>
      </c>
      <c r="Q87" s="55" t="n">
        <f aca="false">T87*$H$5</f>
        <v>1362.06750324535</v>
      </c>
      <c r="R87" s="56" t="n">
        <f aca="false">MAX(0,MIN(1,P87/100+$D$5))</f>
        <v>0.387653595541226</v>
      </c>
      <c r="S87" s="57" t="s">
        <v>124</v>
      </c>
      <c r="T87" s="55" t="n">
        <v>1362.06750324535</v>
      </c>
    </row>
    <row r="88" customFormat="false" ht="15" hidden="false" customHeight="false" outlineLevel="0" collapsed="false">
      <c r="A88" s="21" t="s">
        <v>179</v>
      </c>
      <c r="B88" s="21" t="s">
        <v>203</v>
      </c>
      <c r="C88" s="21" t="s">
        <v>122</v>
      </c>
      <c r="D88" s="37" t="n">
        <f aca="false">ROUND(Q88*R88,0)</f>
        <v>1065</v>
      </c>
      <c r="E88" s="37" t="n">
        <f aca="false">ROUND(Q88,0)-D88</f>
        <v>2056</v>
      </c>
      <c r="F88" s="37" t="n">
        <f aca="false">IF(COUNTA(D88:E88)=0,"",SUM(D88:E88))</f>
        <v>3121</v>
      </c>
      <c r="G88" s="52" t="n">
        <f aca="false">IF(OR(F88="",F88=0),"",D88/F88)</f>
        <v>0.341236783082345</v>
      </c>
      <c r="H88" s="52" t="n">
        <f aca="false">IF(OR(F88="",F88=0),"",E88/F88)</f>
        <v>0.658763216917655</v>
      </c>
      <c r="I88" s="21" t="s">
        <v>123</v>
      </c>
      <c r="J88" s="53" t="n">
        <v>1.78126663688824</v>
      </c>
      <c r="K88" s="52" t="n">
        <f aca="false">IF(G88="","",MAX(0,G88-J88/100))</f>
        <v>0.323424116713463</v>
      </c>
      <c r="L88" s="52" t="n">
        <f aca="false">IF(G88="","",MIN(1,G88+J88/100))</f>
        <v>0.359049449451228</v>
      </c>
      <c r="M88" s="37" t="n">
        <f aca="false">IF(F88="","",ROUND(F88*J88/100,0))</f>
        <v>56</v>
      </c>
      <c r="P88" s="54" t="n">
        <v>-7.13682491790491</v>
      </c>
      <c r="Q88" s="55" t="n">
        <f aca="false">T88*$H$5</f>
        <v>3121.34219409283</v>
      </c>
      <c r="R88" s="56" t="n">
        <f aca="false">MAX(0,MIN(1,P88/100+$D$5))</f>
        <v>0.341276767785022</v>
      </c>
      <c r="S88" s="57" t="s">
        <v>130</v>
      </c>
      <c r="T88" s="55" t="n">
        <v>3121.34219409283</v>
      </c>
    </row>
    <row r="89" customFormat="false" ht="15" hidden="false" customHeight="false" outlineLevel="0" collapsed="false">
      <c r="A89" s="21" t="s">
        <v>179</v>
      </c>
      <c r="B89" s="21" t="s">
        <v>204</v>
      </c>
      <c r="C89" s="21" t="s">
        <v>122</v>
      </c>
      <c r="D89" s="37" t="n">
        <f aca="false">ROUND(Q89*R89,0)</f>
        <v>69</v>
      </c>
      <c r="E89" s="37" t="n">
        <f aca="false">ROUND(Q89,0)-D89</f>
        <v>127</v>
      </c>
      <c r="F89" s="37" t="n">
        <f aca="false">IF(COUNTA(D89:E89)=0,"",SUM(D89:E89))</f>
        <v>196</v>
      </c>
      <c r="G89" s="52" t="n">
        <f aca="false">IF(OR(F89="",F89=0),"",D89/F89)</f>
        <v>0.352040816326531</v>
      </c>
      <c r="H89" s="52" t="n">
        <f aca="false">IF(OR(F89="",F89=0),"",E89/F89)</f>
        <v>0.647959183673469</v>
      </c>
      <c r="I89" s="21" t="s">
        <v>123</v>
      </c>
      <c r="J89" s="53" t="n">
        <v>2.69963061572276</v>
      </c>
      <c r="K89" s="52" t="n">
        <f aca="false">IF(G89="","",MAX(0,G89-J89/100))</f>
        <v>0.325044510169303</v>
      </c>
      <c r="L89" s="52" t="n">
        <f aca="false">IF(G89="","",MIN(1,G89+J89/100))</f>
        <v>0.379037122483758</v>
      </c>
      <c r="M89" s="37" t="n">
        <f aca="false">IF(F89="","",ROUND(F89*J89/100,0))</f>
        <v>5</v>
      </c>
      <c r="P89" s="54" t="n">
        <v>-6.31561509272712</v>
      </c>
      <c r="Q89" s="55" t="n">
        <f aca="false">T89*$H$5</f>
        <v>196.102981029811</v>
      </c>
      <c r="R89" s="56" t="n">
        <f aca="false">MAX(0,MIN(1,P89/100+$D$5))</f>
        <v>0.3494888660368</v>
      </c>
      <c r="S89" s="57" t="s">
        <v>124</v>
      </c>
      <c r="T89" s="55" t="n">
        <v>196.102981029811</v>
      </c>
    </row>
    <row r="90" customFormat="false" ht="15" hidden="false" customHeight="false" outlineLevel="0" collapsed="false">
      <c r="A90" s="21" t="s">
        <v>179</v>
      </c>
      <c r="B90" s="21" t="s">
        <v>205</v>
      </c>
      <c r="C90" s="21" t="s">
        <v>122</v>
      </c>
      <c r="D90" s="37" t="n">
        <f aca="false">ROUND(Q90*R90,0)</f>
        <v>270</v>
      </c>
      <c r="E90" s="37" t="n">
        <f aca="false">ROUND(Q90,0)-D90</f>
        <v>414</v>
      </c>
      <c r="F90" s="37" t="n">
        <f aca="false">IF(COUNTA(D90:E90)=0,"",SUM(D90:E90))</f>
        <v>684</v>
      </c>
      <c r="G90" s="52" t="n">
        <f aca="false">IF(OR(F90="",F90=0),"",D90/F90)</f>
        <v>0.394736842105263</v>
      </c>
      <c r="H90" s="52" t="n">
        <f aca="false">IF(OR(F90="",F90=0),"",E90/F90)</f>
        <v>0.605263157894737</v>
      </c>
      <c r="I90" s="21" t="s">
        <v>123</v>
      </c>
      <c r="J90" s="53" t="n">
        <v>2.69963061572276</v>
      </c>
      <c r="K90" s="52" t="n">
        <f aca="false">IF(G90="","",MAX(0,G90-J90/100))</f>
        <v>0.367740535948036</v>
      </c>
      <c r="L90" s="52" t="n">
        <f aca="false">IF(G90="","",MIN(1,G90+J90/100))</f>
        <v>0.421733148262491</v>
      </c>
      <c r="M90" s="37" t="n">
        <f aca="false">IF(F90="","",ROUND(F90*J90/100,0))</f>
        <v>18</v>
      </c>
      <c r="P90" s="54" t="n">
        <v>-1.80633953968545</v>
      </c>
      <c r="Q90" s="55" t="n">
        <f aca="false">T90*$H$5</f>
        <v>683.952941176471</v>
      </c>
      <c r="R90" s="56" t="n">
        <f aca="false">MAX(0,MIN(1,P90/100+$D$5))</f>
        <v>0.394581621567216</v>
      </c>
      <c r="S90" s="57" t="s">
        <v>124</v>
      </c>
      <c r="T90" s="55" t="n">
        <v>683.952941176471</v>
      </c>
    </row>
    <row r="91" customFormat="false" ht="15" hidden="false" customHeight="false" outlineLevel="0" collapsed="false">
      <c r="A91" s="21" t="s">
        <v>179</v>
      </c>
      <c r="B91" s="21" t="s">
        <v>206</v>
      </c>
      <c r="C91" s="21" t="s">
        <v>122</v>
      </c>
      <c r="D91" s="37" t="n">
        <f aca="false">ROUND(Q91*R91,0)</f>
        <v>159</v>
      </c>
      <c r="E91" s="37" t="n">
        <f aca="false">ROUND(Q91,0)-D91</f>
        <v>230</v>
      </c>
      <c r="F91" s="37" t="n">
        <f aca="false">IF(COUNTA(D91:E91)=0,"",SUM(D91:E91))</f>
        <v>389</v>
      </c>
      <c r="G91" s="52" t="n">
        <f aca="false">IF(OR(F91="",F91=0),"",D91/F91)</f>
        <v>0.408740359897172</v>
      </c>
      <c r="H91" s="52" t="n">
        <f aca="false">IF(OR(F91="",F91=0),"",E91/F91)</f>
        <v>0.591259640102828</v>
      </c>
      <c r="I91" s="21" t="s">
        <v>123</v>
      </c>
      <c r="J91" s="53" t="n">
        <v>2.69963061572276</v>
      </c>
      <c r="K91" s="52" t="n">
        <f aca="false">IF(G91="","",MAX(0,G91-J91/100))</f>
        <v>0.381744053739945</v>
      </c>
      <c r="L91" s="52" t="n">
        <f aca="false">IF(G91="","",MIN(1,G91+J91/100))</f>
        <v>0.4357366660544</v>
      </c>
      <c r="M91" s="37" t="n">
        <f aca="false">IF(F91="","",ROUND(F91*J91/100,0))</f>
        <v>11</v>
      </c>
      <c r="P91" s="54" t="n">
        <v>-0.328139529968832</v>
      </c>
      <c r="Q91" s="55" t="n">
        <f aca="false">T91*$H$5</f>
        <v>388.819749216301</v>
      </c>
      <c r="R91" s="56" t="n">
        <f aca="false">MAX(0,MIN(1,P91/100+$D$5))</f>
        <v>0.409363621664383</v>
      </c>
      <c r="S91" s="57" t="s">
        <v>124</v>
      </c>
      <c r="T91" s="55" t="n">
        <v>388.819749216301</v>
      </c>
    </row>
    <row r="92" customFormat="false" ht="15" hidden="false" customHeight="false" outlineLevel="0" collapsed="false">
      <c r="A92" s="21" t="s">
        <v>179</v>
      </c>
      <c r="B92" s="21" t="s">
        <v>207</v>
      </c>
      <c r="C92" s="21" t="s">
        <v>122</v>
      </c>
      <c r="D92" s="37" t="n">
        <f aca="false">ROUND(Q92*R92,0)</f>
        <v>260</v>
      </c>
      <c r="E92" s="37" t="n">
        <f aca="false">ROUND(Q92,0)-D92</f>
        <v>342</v>
      </c>
      <c r="F92" s="37" t="n">
        <f aca="false">IF(COUNTA(D92:E92)=0,"",SUM(D92:E92))</f>
        <v>602</v>
      </c>
      <c r="G92" s="52" t="n">
        <f aca="false">IF(OR(F92="",F92=0),"",D92/F92)</f>
        <v>0.431893687707641</v>
      </c>
      <c r="H92" s="52" t="n">
        <f aca="false">IF(OR(F92="",F92=0),"",E92/F92)</f>
        <v>0.568106312292359</v>
      </c>
      <c r="I92" s="21" t="s">
        <v>123</v>
      </c>
      <c r="J92" s="53" t="n">
        <v>2.69963061572276</v>
      </c>
      <c r="K92" s="52" t="n">
        <f aca="false">IF(G92="","",MAX(0,G92-J92/100))</f>
        <v>0.404897381550414</v>
      </c>
      <c r="L92" s="52" t="n">
        <f aca="false">IF(G92="","",MIN(1,G92+J92/100))</f>
        <v>0.458889993864869</v>
      </c>
      <c r="M92" s="37" t="n">
        <f aca="false">IF(F92="","",ROUND(F92*J92/100,0))</f>
        <v>16</v>
      </c>
      <c r="P92" s="54" t="n">
        <v>1.8997694807886</v>
      </c>
      <c r="Q92" s="55" t="n">
        <f aca="false">T92*$H$5</f>
        <v>602.078688524591</v>
      </c>
      <c r="R92" s="56" t="n">
        <f aca="false">MAX(0,MIN(1,P92/100+$D$5))</f>
        <v>0.431642711771957</v>
      </c>
      <c r="S92" s="57" t="s">
        <v>124</v>
      </c>
      <c r="T92" s="55" t="n">
        <v>602.07868852459</v>
      </c>
    </row>
    <row r="93" customFormat="false" ht="15" hidden="false" customHeight="false" outlineLevel="0" collapsed="false">
      <c r="A93" s="21" t="s">
        <v>179</v>
      </c>
      <c r="B93" s="21" t="s">
        <v>208</v>
      </c>
      <c r="C93" s="21" t="s">
        <v>122</v>
      </c>
      <c r="D93" s="37" t="n">
        <f aca="false">ROUND(Q93*R93,0)</f>
        <v>1038</v>
      </c>
      <c r="E93" s="37" t="n">
        <f aca="false">ROUND(Q93,0)-D93</f>
        <v>2108</v>
      </c>
      <c r="F93" s="37" t="n">
        <f aca="false">IF(COUNTA(D93:E93)=0,"",SUM(D93:E93))</f>
        <v>3146</v>
      </c>
      <c r="G93" s="52" t="n">
        <f aca="false">IF(OR(F93="",F93=0),"",D93/F93)</f>
        <v>0.329942784488239</v>
      </c>
      <c r="H93" s="52" t="n">
        <f aca="false">IF(OR(F93="",F93=0),"",E93/F93)</f>
        <v>0.670057215511761</v>
      </c>
      <c r="I93" s="21" t="s">
        <v>123</v>
      </c>
      <c r="J93" s="53" t="n">
        <v>1.78126663688824</v>
      </c>
      <c r="K93" s="52" t="n">
        <f aca="false">IF(G93="","",MAX(0,G93-J93/100))</f>
        <v>0.312130118119357</v>
      </c>
      <c r="L93" s="52" t="n">
        <f aca="false">IF(G93="","",MIN(1,G93+J93/100))</f>
        <v>0.347755450857122</v>
      </c>
      <c r="M93" s="37" t="n">
        <f aca="false">IF(F93="","",ROUND(F93*J93/100,0))</f>
        <v>56</v>
      </c>
      <c r="P93" s="54" t="n">
        <v>-8.28754565907101</v>
      </c>
      <c r="Q93" s="55" t="n">
        <f aca="false">T93*$H$5</f>
        <v>3146.26275765459</v>
      </c>
      <c r="R93" s="56" t="n">
        <f aca="false">MAX(0,MIN(1,P93/100+$D$5))</f>
        <v>0.329769560373361</v>
      </c>
      <c r="S93" s="57" t="s">
        <v>130</v>
      </c>
      <c r="T93" s="55" t="n">
        <v>3146.26275765459</v>
      </c>
    </row>
    <row r="94" customFormat="false" ht="15" hidden="false" customHeight="false" outlineLevel="0" collapsed="false">
      <c r="A94" s="21" t="s">
        <v>179</v>
      </c>
      <c r="B94" s="21" t="s">
        <v>209</v>
      </c>
      <c r="C94" s="21" t="s">
        <v>122</v>
      </c>
      <c r="D94" s="37" t="n">
        <f aca="false">ROUND(Q94*R94,0)</f>
        <v>1100</v>
      </c>
      <c r="E94" s="37" t="n">
        <f aca="false">ROUND(Q94,0)-D94</f>
        <v>1156</v>
      </c>
      <c r="F94" s="37" t="n">
        <f aca="false">IF(COUNTA(D94:E94)=0,"",SUM(D94:E94))</f>
        <v>2256</v>
      </c>
      <c r="G94" s="52" t="n">
        <f aca="false">IF(OR(F94="",F94=0),"",D94/F94)</f>
        <v>0.48758865248227</v>
      </c>
      <c r="H94" s="52" t="n">
        <f aca="false">IF(OR(F94="",F94=0),"",E94/F94)</f>
        <v>0.512411347517731</v>
      </c>
      <c r="I94" s="21" t="s">
        <v>123</v>
      </c>
      <c r="J94" s="53" t="n">
        <v>1.78126663688824</v>
      </c>
      <c r="K94" s="52" t="n">
        <f aca="false">IF(G94="","",MAX(0,G94-J94/100))</f>
        <v>0.469775986113387</v>
      </c>
      <c r="L94" s="52" t="n">
        <f aca="false">IF(G94="","",MIN(1,G94+J94/100))</f>
        <v>0.505401318851152</v>
      </c>
      <c r="M94" s="37" t="n">
        <f aca="false">IF(F94="","",ROUND(F94*J94/100,0))</f>
        <v>40</v>
      </c>
      <c r="P94" s="54" t="n">
        <v>7.4806809678855</v>
      </c>
      <c r="Q94" s="55" t="n">
        <f aca="false">T94*$H$5</f>
        <v>2256.30703156213</v>
      </c>
      <c r="R94" s="56" t="n">
        <f aca="false">MAX(0,MIN(1,P94/100+$D$5))</f>
        <v>0.487451826642926</v>
      </c>
      <c r="S94" s="57" t="s">
        <v>130</v>
      </c>
      <c r="T94" s="55" t="n">
        <v>2256.30703156213</v>
      </c>
    </row>
    <row r="95" customFormat="false" ht="15" hidden="false" customHeight="false" outlineLevel="0" collapsed="false">
      <c r="A95" s="21" t="s">
        <v>179</v>
      </c>
      <c r="B95" s="21" t="s">
        <v>210</v>
      </c>
      <c r="C95" s="21" t="s">
        <v>122</v>
      </c>
      <c r="D95" s="37" t="n">
        <f aca="false">ROUND(Q95*R95,0)</f>
        <v>309</v>
      </c>
      <c r="E95" s="37" t="n">
        <f aca="false">ROUND(Q95,0)-D95</f>
        <v>452</v>
      </c>
      <c r="F95" s="37" t="n">
        <f aca="false">IF(COUNTA(D95:E95)=0,"",SUM(D95:E95))</f>
        <v>761</v>
      </c>
      <c r="G95" s="52" t="n">
        <f aca="false">IF(OR(F95="",F95=0),"",D95/F95)</f>
        <v>0.406044678055191</v>
      </c>
      <c r="H95" s="52" t="n">
        <f aca="false">IF(OR(F95="",F95=0),"",E95/F95)</f>
        <v>0.59395532194481</v>
      </c>
      <c r="I95" s="21" t="s">
        <v>123</v>
      </c>
      <c r="J95" s="53" t="n">
        <v>2.69963061572276</v>
      </c>
      <c r="K95" s="52" t="n">
        <f aca="false">IF(G95="","",MAX(0,G95-J95/100))</f>
        <v>0.379048371897963</v>
      </c>
      <c r="L95" s="52" t="n">
        <f aca="false">IF(G95="","",MIN(1,G95+J95/100))</f>
        <v>0.433040984212418</v>
      </c>
      <c r="M95" s="37" t="n">
        <f aca="false">IF(F95="","",ROUND(F95*J95/100,0))</f>
        <v>21</v>
      </c>
      <c r="P95" s="54" t="n">
        <v>-0.696497496747202</v>
      </c>
      <c r="Q95" s="55" t="n">
        <f aca="false">T95*$H$5</f>
        <v>761.429837518464</v>
      </c>
      <c r="R95" s="56" t="n">
        <f aca="false">MAX(0,MIN(1,P95/100+$D$5))</f>
        <v>0.405680041996599</v>
      </c>
      <c r="S95" s="57" t="s">
        <v>124</v>
      </c>
      <c r="T95" s="55" t="n">
        <v>761.429837518464</v>
      </c>
    </row>
    <row r="96" customFormat="false" ht="15" hidden="false" customHeight="false" outlineLevel="0" collapsed="false">
      <c r="A96" s="21" t="s">
        <v>179</v>
      </c>
      <c r="B96" s="21" t="s">
        <v>172</v>
      </c>
      <c r="C96" s="21" t="s">
        <v>122</v>
      </c>
      <c r="D96" s="37" t="n">
        <f aca="false">ROUND(Q96*R96,0)</f>
        <v>804</v>
      </c>
      <c r="E96" s="37" t="n">
        <f aca="false">ROUND(Q96,0)-D96</f>
        <v>1583</v>
      </c>
      <c r="F96" s="37" t="n">
        <f aca="false">IF(COUNTA(D96:E96)=0,"",SUM(D96:E96))</f>
        <v>2387</v>
      </c>
      <c r="G96" s="52" t="n">
        <f aca="false">IF(OR(F96="",F96=0),"",D96/F96)</f>
        <v>0.336824465856724</v>
      </c>
      <c r="H96" s="52" t="n">
        <f aca="false">IF(OR(F96="",F96=0),"",E96/F96)</f>
        <v>0.663175534143276</v>
      </c>
      <c r="I96" s="21" t="s">
        <v>123</v>
      </c>
      <c r="J96" s="53" t="n">
        <v>1.78126663688824</v>
      </c>
      <c r="K96" s="52" t="n">
        <f aca="false">IF(G96="","",MAX(0,G96-J96/100))</f>
        <v>0.319011799487842</v>
      </c>
      <c r="L96" s="52" t="n">
        <f aca="false">IF(G96="","",MIN(1,G96+J96/100))</f>
        <v>0.354637132225606</v>
      </c>
      <c r="M96" s="37" t="n">
        <f aca="false">IF(F96="","",ROUND(F96*J96/100,0))</f>
        <v>43</v>
      </c>
      <c r="P96" s="54" t="n">
        <v>-7.59315251517204</v>
      </c>
      <c r="Q96" s="55" t="n">
        <f aca="false">T96*$H$5</f>
        <v>2386.68081761006</v>
      </c>
      <c r="R96" s="56" t="n">
        <f aca="false">MAX(0,MIN(1,P96/100+$D$5))</f>
        <v>0.336713491812351</v>
      </c>
      <c r="S96" s="57" t="s">
        <v>130</v>
      </c>
      <c r="T96" s="55" t="n">
        <v>2386.68081761006</v>
      </c>
    </row>
    <row r="97" customFormat="false" ht="15" hidden="false" customHeight="false" outlineLevel="0" collapsed="false">
      <c r="A97" s="21" t="s">
        <v>179</v>
      </c>
      <c r="B97" s="21" t="s">
        <v>211</v>
      </c>
      <c r="C97" s="21" t="s">
        <v>122</v>
      </c>
      <c r="D97" s="37" t="n">
        <f aca="false">ROUND(Q97*R97,0)</f>
        <v>214</v>
      </c>
      <c r="E97" s="37" t="n">
        <f aca="false">ROUND(Q97,0)-D97</f>
        <v>224</v>
      </c>
      <c r="F97" s="37" t="n">
        <f aca="false">IF(COUNTA(D97:E97)=0,"",SUM(D97:E97))</f>
        <v>438</v>
      </c>
      <c r="G97" s="52" t="n">
        <f aca="false">IF(OR(F97="",F97=0),"",D97/F97)</f>
        <v>0.488584474885845</v>
      </c>
      <c r="H97" s="52" t="n">
        <f aca="false">IF(OR(F97="",F97=0),"",E97/F97)</f>
        <v>0.511415525114155</v>
      </c>
      <c r="I97" s="21" t="s">
        <v>123</v>
      </c>
      <c r="J97" s="53" t="n">
        <v>2.69963061572276</v>
      </c>
      <c r="K97" s="52" t="n">
        <f aca="false">IF(G97="","",MAX(0,G97-J97/100))</f>
        <v>0.461588168728617</v>
      </c>
      <c r="L97" s="52" t="n">
        <f aca="false">IF(G97="","",MIN(1,G97+J97/100))</f>
        <v>0.515580781043072</v>
      </c>
      <c r="M97" s="37" t="n">
        <f aca="false">IF(F97="","",ROUND(F97*J97/100,0))</f>
        <v>12</v>
      </c>
      <c r="P97" s="54" t="n">
        <v>7.47522771566025</v>
      </c>
      <c r="Q97" s="55" t="n">
        <f aca="false">T97*$H$5</f>
        <v>438.292134831461</v>
      </c>
      <c r="R97" s="56" t="n">
        <f aca="false">MAX(0,MIN(1,P97/100+$D$5))</f>
        <v>0.487397294120673</v>
      </c>
      <c r="S97" s="57" t="s">
        <v>124</v>
      </c>
      <c r="T97" s="55" t="n">
        <v>438.29213483146</v>
      </c>
    </row>
    <row r="98" customFormat="false" ht="15" hidden="false" customHeight="false" outlineLevel="0" collapsed="false">
      <c r="A98" s="21" t="s">
        <v>179</v>
      </c>
      <c r="B98" s="21" t="s">
        <v>212</v>
      </c>
      <c r="C98" s="21" t="s">
        <v>122</v>
      </c>
      <c r="D98" s="37" t="n">
        <f aca="false">ROUND(Q98*R98,0)</f>
        <v>1518</v>
      </c>
      <c r="E98" s="37" t="n">
        <f aca="false">ROUND(Q98,0)-D98</f>
        <v>1848</v>
      </c>
      <c r="F98" s="37" t="n">
        <f aca="false">IF(COUNTA(D98:E98)=0,"",SUM(D98:E98))</f>
        <v>3366</v>
      </c>
      <c r="G98" s="52" t="n">
        <f aca="false">IF(OR(F98="",F98=0),"",D98/F98)</f>
        <v>0.450980392156863</v>
      </c>
      <c r="H98" s="52" t="n">
        <f aca="false">IF(OR(F98="",F98=0),"",E98/F98)</f>
        <v>0.549019607843137</v>
      </c>
      <c r="I98" s="21" t="s">
        <v>123</v>
      </c>
      <c r="J98" s="53" t="n">
        <v>1.78126663688824</v>
      </c>
      <c r="K98" s="52" t="n">
        <f aca="false">IF(G98="","",MAX(0,G98-J98/100))</f>
        <v>0.43316772578798</v>
      </c>
      <c r="L98" s="52" t="n">
        <f aca="false">IF(G98="","",MIN(1,G98+J98/100))</f>
        <v>0.468793058525745</v>
      </c>
      <c r="M98" s="37" t="n">
        <f aca="false">IF(F98="","",ROUND(F98*J98/100,0))</f>
        <v>60</v>
      </c>
      <c r="P98" s="54" t="n">
        <v>3.84079475056747</v>
      </c>
      <c r="Q98" s="55" t="n">
        <f aca="false">T98*$H$5</f>
        <v>3365.72741078208</v>
      </c>
      <c r="R98" s="56" t="n">
        <f aca="false">MAX(0,MIN(1,P98/100+$D$5))</f>
        <v>0.451052964469746</v>
      </c>
      <c r="S98" s="57" t="s">
        <v>130</v>
      </c>
      <c r="T98" s="55" t="n">
        <v>3365.72741078208</v>
      </c>
    </row>
    <row r="99" customFormat="false" ht="15" hidden="false" customHeight="false" outlineLevel="0" collapsed="false">
      <c r="A99" s="21" t="s">
        <v>179</v>
      </c>
      <c r="B99" s="21" t="s">
        <v>213</v>
      </c>
      <c r="C99" s="21" t="s">
        <v>122</v>
      </c>
      <c r="D99" s="37" t="n">
        <f aca="false">ROUND(Q99*R99,0)</f>
        <v>1280</v>
      </c>
      <c r="E99" s="37" t="n">
        <f aca="false">ROUND(Q99,0)-D99</f>
        <v>1070</v>
      </c>
      <c r="F99" s="37" t="n">
        <f aca="false">IF(COUNTA(D99:E99)=0,"",SUM(D99:E99))</f>
        <v>2350</v>
      </c>
      <c r="G99" s="52" t="n">
        <f aca="false">IF(OR(F99="",F99=0),"",D99/F99)</f>
        <v>0.54468085106383</v>
      </c>
      <c r="H99" s="52" t="n">
        <f aca="false">IF(OR(F99="",F99=0),"",E99/F99)</f>
        <v>0.45531914893617</v>
      </c>
      <c r="I99" s="21" t="s">
        <v>123</v>
      </c>
      <c r="J99" s="53" t="n">
        <v>1.78126663688824</v>
      </c>
      <c r="K99" s="52" t="n">
        <f aca="false">IF(G99="","",MAX(0,G99-J99/100))</f>
        <v>0.526868184694947</v>
      </c>
      <c r="L99" s="52" t="n">
        <f aca="false">IF(G99="","",MIN(1,G99+J99/100))</f>
        <v>0.562493517432712</v>
      </c>
      <c r="M99" s="37" t="n">
        <f aca="false">IF(F99="","",ROUND(F99*J99/100,0))</f>
        <v>42</v>
      </c>
      <c r="P99" s="54" t="n">
        <v>13.2036304828809</v>
      </c>
      <c r="Q99" s="55" t="n">
        <f aca="false">T99*$H$5</f>
        <v>2350.25573902537</v>
      </c>
      <c r="R99" s="56" t="n">
        <f aca="false">MAX(0,MIN(1,P99/100+$D$5))</f>
        <v>0.544681321792879</v>
      </c>
      <c r="S99" s="57" t="s">
        <v>130</v>
      </c>
      <c r="T99" s="55" t="n">
        <v>2350.25573902537</v>
      </c>
    </row>
    <row r="100" customFormat="false" ht="15" hidden="false" customHeight="false" outlineLevel="0" collapsed="false">
      <c r="A100" s="21" t="s">
        <v>179</v>
      </c>
      <c r="B100" s="21" t="s">
        <v>214</v>
      </c>
      <c r="C100" s="21" t="s">
        <v>122</v>
      </c>
      <c r="D100" s="37" t="n">
        <f aca="false">ROUND(Q100*R100,0)</f>
        <v>497</v>
      </c>
      <c r="E100" s="37" t="n">
        <f aca="false">ROUND(Q100,0)-D100</f>
        <v>648</v>
      </c>
      <c r="F100" s="37" t="n">
        <f aca="false">IF(COUNTA(D100:E100)=0,"",SUM(D100:E100))</f>
        <v>1145</v>
      </c>
      <c r="G100" s="52" t="n">
        <f aca="false">IF(OR(F100="",F100=0),"",D100/F100)</f>
        <v>0.434061135371179</v>
      </c>
      <c r="H100" s="52" t="n">
        <f aca="false">IF(OR(F100="",F100=0),"",E100/F100)</f>
        <v>0.565938864628821</v>
      </c>
      <c r="I100" s="21" t="s">
        <v>123</v>
      </c>
      <c r="J100" s="53" t="n">
        <v>2.69963061572276</v>
      </c>
      <c r="K100" s="52" t="n">
        <f aca="false">IF(G100="","",MAX(0,G100-J100/100))</f>
        <v>0.407064829213951</v>
      </c>
      <c r="L100" s="52" t="n">
        <f aca="false">IF(G100="","",MIN(1,G100+J100/100))</f>
        <v>0.461057441528407</v>
      </c>
      <c r="M100" s="37" t="n">
        <f aca="false">IF(F100="","",ROUND(F100*J100/100,0))</f>
        <v>31</v>
      </c>
      <c r="P100" s="54" t="n">
        <v>2.1114011513789</v>
      </c>
      <c r="Q100" s="55" t="n">
        <f aca="false">T100*$H$5</f>
        <v>1145.48062775871</v>
      </c>
      <c r="R100" s="56" t="n">
        <f aca="false">MAX(0,MIN(1,P100/100+$D$5))</f>
        <v>0.43375902847786</v>
      </c>
      <c r="S100" s="57" t="s">
        <v>124</v>
      </c>
      <c r="T100" s="55" t="n">
        <v>1145.48062775871</v>
      </c>
    </row>
  </sheetData>
  <mergeCells count="4">
    <mergeCell ref="A3:I3"/>
    <mergeCell ref="A6:M6"/>
    <mergeCell ref="A9:M9"/>
    <mergeCell ref="A10:M10"/>
  </mergeCells>
  <conditionalFormatting sqref="G12:G100">
    <cfRule type="colorScale" priority="2">
      <colorScale>
        <cfvo type="num" val="0.25"/>
        <cfvo type="num" val="0.5"/>
        <cfvo type="num" val="0.75"/>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5"/>
    <col collapsed="false" customWidth="true" hidden="false" outlineLevel="0" max="9" min="9" style="0" width="52"/>
    <col collapsed="false" customWidth="true" hidden="false" outlineLevel="0" max="10" min="10" style="0" width="14"/>
    <col collapsed="false" customWidth="true" hidden="false" outlineLevel="0" max="12" min="11" style="0" width="12"/>
    <col collapsed="false" customWidth="true" hidden="false" outlineLevel="0" max="13" min="13" style="0" width="14"/>
    <col collapsed="false" customWidth="true" hidden="false" outlineLevel="0" max="15" min="14" style="0" width="3"/>
    <col collapsed="false" customWidth="true" hidden="false" outlineLevel="0" max="16" min="16" style="0" width="13"/>
    <col collapsed="false" customWidth="true" hidden="false" outlineLevel="0" max="18" min="17" style="0" width="14"/>
    <col collapsed="false" customWidth="true" hidden="false" outlineLevel="0" max="19" min="19" style="0" width="13"/>
    <col collapsed="false" customWidth="true" hidden="false" outlineLevel="0" max="20" min="20" style="0" width="16"/>
  </cols>
  <sheetData>
    <row r="1" customFormat="false" ht="17.35" hidden="false" customHeight="false" outlineLevel="0" collapsed="false">
      <c r="A1" s="1" t="s">
        <v>217</v>
      </c>
    </row>
    <row r="2" customFormat="false" ht="15" hidden="false" customHeight="false" outlineLevel="0" collapsed="false">
      <c r="A2" s="2" t="s">
        <v>85</v>
      </c>
    </row>
    <row r="3" customFormat="false" ht="15" hidden="false" customHeight="false" outlineLevel="0" collapsed="false">
      <c r="A3" s="13" t="s">
        <v>86</v>
      </c>
      <c r="B3" s="13"/>
      <c r="C3" s="13"/>
      <c r="D3" s="13"/>
      <c r="E3" s="13"/>
      <c r="F3" s="13"/>
      <c r="G3" s="13"/>
      <c r="H3" s="13"/>
      <c r="I3" s="13"/>
    </row>
    <row r="4" customFormat="false" ht="15" hidden="false" customHeight="false" outlineLevel="0" collapsed="false">
      <c r="A4" s="0" t="s">
        <v>87</v>
      </c>
      <c r="B4" s="0" t="s">
        <v>218</v>
      </c>
      <c r="C4" s="0" t="s">
        <v>89</v>
      </c>
      <c r="D4" s="40" t="n">
        <v>46300</v>
      </c>
      <c r="E4" s="41" t="s">
        <v>90</v>
      </c>
      <c r="F4" s="41" t="s">
        <v>91</v>
      </c>
      <c r="G4" s="41" t="s">
        <v>92</v>
      </c>
      <c r="H4" s="41" t="s">
        <v>93</v>
      </c>
    </row>
    <row r="5" customFormat="false" ht="15" hidden="false" customHeight="false" outlineLevel="0" collapsed="false">
      <c r="A5" s="0" t="s">
        <v>94</v>
      </c>
      <c r="B5" s="42" t="n">
        <f aca="false">'Scenario &amp; Comparison'!$C$6</f>
        <v>0.495158447761038</v>
      </c>
      <c r="C5" s="41" t="s">
        <v>95</v>
      </c>
      <c r="D5" s="43" t="n">
        <f aca="false">B5-SUMPRODUCT(P12:P100,Q12:Q100)/SUM(Q12:Q100)/100</f>
        <v>0.403293810860186</v>
      </c>
      <c r="E5" s="41" t="s">
        <v>96</v>
      </c>
      <c r="F5" s="44" t="n">
        <v>-0.411734630132912</v>
      </c>
      <c r="G5" s="41" t="s">
        <v>97</v>
      </c>
      <c r="H5" s="45" t="n">
        <f aca="false">'Scenario &amp; Comparison'!$C$7/SUM(T12:T100)</f>
        <v>1</v>
      </c>
    </row>
    <row r="6" customFormat="false" ht="15" hidden="false" customHeight="false" outlineLevel="0" collapsed="false">
      <c r="A6" s="4" t="s">
        <v>98</v>
      </c>
      <c r="B6" s="4"/>
      <c r="C6" s="4"/>
      <c r="D6" s="4"/>
      <c r="E6" s="4"/>
      <c r="F6" s="4"/>
      <c r="G6" s="4"/>
      <c r="H6" s="4"/>
      <c r="I6" s="4"/>
      <c r="J6" s="4"/>
      <c r="K6" s="4"/>
      <c r="L6" s="4"/>
      <c r="M6" s="4"/>
    </row>
    <row r="7" customFormat="false" ht="31.5" hidden="false" customHeight="true" outlineLevel="0" collapsed="false">
      <c r="A7" s="8" t="s">
        <v>99</v>
      </c>
      <c r="B7" s="8" t="s">
        <v>100</v>
      </c>
      <c r="C7" s="8" t="s">
        <v>101</v>
      </c>
      <c r="D7" s="8" t="s">
        <v>55</v>
      </c>
      <c r="E7" s="8" t="s">
        <v>56</v>
      </c>
      <c r="F7" s="8" t="s">
        <v>57</v>
      </c>
      <c r="G7" s="8" t="s">
        <v>58</v>
      </c>
      <c r="H7" s="8" t="s">
        <v>102</v>
      </c>
      <c r="I7" s="8" t="s">
        <v>103</v>
      </c>
      <c r="J7" s="8" t="s">
        <v>104</v>
      </c>
      <c r="K7" s="8" t="s">
        <v>105</v>
      </c>
      <c r="L7" s="8" t="s">
        <v>106</v>
      </c>
      <c r="M7" s="8" t="s">
        <v>107</v>
      </c>
    </row>
    <row r="8" customFormat="false" ht="15" hidden="false" customHeight="false" outlineLevel="0" collapsed="false">
      <c r="A8" s="28" t="s">
        <v>108</v>
      </c>
      <c r="B8" s="28" t="s">
        <v>109</v>
      </c>
      <c r="C8" s="28"/>
      <c r="D8" s="46" t="n">
        <f aca="false">SUM(D12:D100)</f>
        <v>149287</v>
      </c>
      <c r="E8" s="46" t="n">
        <f aca="false">SUM(E12:E100)</f>
        <v>152203</v>
      </c>
      <c r="F8" s="46" t="n">
        <f aca="false">D8+E8</f>
        <v>301490</v>
      </c>
      <c r="G8" s="47" t="n">
        <f aca="false">IF(F8=0,"",D8/F8)</f>
        <v>0.495164018707088</v>
      </c>
      <c r="H8" s="47" t="n">
        <f aca="false">IF(F8=0,"",E8/F8)</f>
        <v>0.504835981292912</v>
      </c>
      <c r="I8" s="28" t="s">
        <v>110</v>
      </c>
      <c r="J8" s="48" t="n">
        <v>0.411734630132912</v>
      </c>
      <c r="K8" s="47" t="n">
        <f aca="false">G8-J8/100</f>
        <v>0.491046672405759</v>
      </c>
      <c r="L8" s="47" t="n">
        <f aca="false">G8+J8/100</f>
        <v>0.499281365008417</v>
      </c>
      <c r="M8" s="46" t="n">
        <f aca="false">ROUND(F8*J8/100,0)</f>
        <v>1241</v>
      </c>
    </row>
    <row r="9" customFormat="false" ht="15" hidden="false" customHeight="false" outlineLevel="0" collapsed="false">
      <c r="A9" s="13" t="s">
        <v>111</v>
      </c>
      <c r="B9" s="13"/>
      <c r="C9" s="13"/>
      <c r="D9" s="13"/>
      <c r="E9" s="13"/>
      <c r="F9" s="13"/>
      <c r="G9" s="13"/>
      <c r="H9" s="13"/>
      <c r="I9" s="13"/>
      <c r="J9" s="13"/>
      <c r="K9" s="13"/>
      <c r="L9" s="13"/>
      <c r="M9" s="13"/>
    </row>
    <row r="10" customFormat="false" ht="15" hidden="false" customHeight="false" outlineLevel="0" collapsed="false">
      <c r="A10" s="4" t="s">
        <v>112</v>
      </c>
      <c r="B10" s="4"/>
      <c r="C10" s="4"/>
      <c r="D10" s="4"/>
      <c r="E10" s="4"/>
      <c r="F10" s="4"/>
      <c r="G10" s="4"/>
      <c r="H10" s="4"/>
      <c r="I10" s="4"/>
      <c r="J10" s="4"/>
      <c r="K10" s="4"/>
      <c r="L10" s="4"/>
      <c r="M10" s="4"/>
      <c r="P10" s="49" t="s">
        <v>113</v>
      </c>
      <c r="Q10" s="50"/>
      <c r="R10" s="50"/>
      <c r="S10" s="50"/>
      <c r="T10" s="50"/>
    </row>
    <row r="11" customFormat="false" ht="31.5" hidden="false" customHeight="true" outlineLevel="0" collapsed="false">
      <c r="A11" s="8" t="s">
        <v>75</v>
      </c>
      <c r="B11" s="8" t="s">
        <v>76</v>
      </c>
      <c r="C11" s="8" t="s">
        <v>77</v>
      </c>
      <c r="D11" s="8" t="s">
        <v>55</v>
      </c>
      <c r="E11" s="8" t="s">
        <v>56</v>
      </c>
      <c r="F11" s="8" t="s">
        <v>57</v>
      </c>
      <c r="G11" s="8" t="s">
        <v>58</v>
      </c>
      <c r="H11" s="8" t="s">
        <v>102</v>
      </c>
      <c r="I11" s="8" t="s">
        <v>114</v>
      </c>
      <c r="J11" s="8" t="s">
        <v>104</v>
      </c>
      <c r="K11" s="8" t="s">
        <v>105</v>
      </c>
      <c r="L11" s="8" t="s">
        <v>106</v>
      </c>
      <c r="M11" s="8" t="s">
        <v>107</v>
      </c>
      <c r="P11" s="51" t="s">
        <v>115</v>
      </c>
      <c r="Q11" s="51" t="s">
        <v>116</v>
      </c>
      <c r="R11" s="51" t="s">
        <v>117</v>
      </c>
      <c r="S11" s="51" t="s">
        <v>118</v>
      </c>
      <c r="T11" s="51" t="s">
        <v>119</v>
      </c>
    </row>
    <row r="12" customFormat="false" ht="15" hidden="false" customHeight="false" outlineLevel="0" collapsed="false">
      <c r="A12" s="21" t="s">
        <v>120</v>
      </c>
      <c r="B12" s="21" t="s">
        <v>121</v>
      </c>
      <c r="C12" s="21" t="s">
        <v>122</v>
      </c>
      <c r="D12" s="37" t="n">
        <f aca="false">ROUND(Q12*R12,0)</f>
        <v>143</v>
      </c>
      <c r="E12" s="37" t="n">
        <f aca="false">ROUND(Q12,0)-D12</f>
        <v>221</v>
      </c>
      <c r="F12" s="37" t="n">
        <f aca="false">IF(COUNTA(D12:E12)=0,"",SUM(D12:E12))</f>
        <v>364</v>
      </c>
      <c r="G12" s="52" t="n">
        <f aca="false">IF(OR(F12="",F12=0),"",D12/F12)</f>
        <v>0.392857142857143</v>
      </c>
      <c r="H12" s="52" t="n">
        <f aca="false">IF(OR(F12="",F12=0),"",E12/F12)</f>
        <v>0.607142857142857</v>
      </c>
      <c r="I12" s="21" t="s">
        <v>123</v>
      </c>
      <c r="J12" s="53" t="n">
        <v>2.40839232344956</v>
      </c>
      <c r="K12" s="52" t="n">
        <f aca="false">IF(G12="","",MAX(0,G12-J12/100))</f>
        <v>0.368773219622647</v>
      </c>
      <c r="L12" s="52" t="n">
        <f aca="false">IF(G12="","",MIN(1,G12+J12/100))</f>
        <v>0.416941066091639</v>
      </c>
      <c r="M12" s="37" t="n">
        <f aca="false">IF(F12="","",ROUND(F12*J12/100,0))</f>
        <v>9</v>
      </c>
      <c r="P12" s="54" t="n">
        <v>-1.02062125795249</v>
      </c>
      <c r="Q12" s="55" t="n">
        <f aca="false">T12*$H$5</f>
        <v>364.490963855422</v>
      </c>
      <c r="R12" s="56" t="n">
        <f aca="false">MAX(0,MIN(1,P12/100+$D$5))</f>
        <v>0.393087598280661</v>
      </c>
      <c r="S12" s="57" t="s">
        <v>124</v>
      </c>
      <c r="T12" s="55" t="n">
        <v>364.490963855422</v>
      </c>
    </row>
    <row r="13" customFormat="false" ht="15" hidden="false" customHeight="false" outlineLevel="0" collapsed="false">
      <c r="A13" s="21" t="s">
        <v>120</v>
      </c>
      <c r="B13" s="21" t="s">
        <v>125</v>
      </c>
      <c r="C13" s="21" t="s">
        <v>122</v>
      </c>
      <c r="D13" s="37" t="n">
        <f aca="false">ROUND(Q13*R13,0)</f>
        <v>92</v>
      </c>
      <c r="E13" s="37" t="n">
        <f aca="false">ROUND(Q13,0)-D13</f>
        <v>238</v>
      </c>
      <c r="F13" s="37" t="n">
        <f aca="false">IF(COUNTA(D13:E13)=0,"",SUM(D13:E13))</f>
        <v>330</v>
      </c>
      <c r="G13" s="52" t="n">
        <f aca="false">IF(OR(F13="",F13=0),"",D13/F13)</f>
        <v>0.278787878787879</v>
      </c>
      <c r="H13" s="52" t="n">
        <f aca="false">IF(OR(F13="",F13=0),"",E13/F13)</f>
        <v>0.721212121212121</v>
      </c>
      <c r="I13" s="21" t="s">
        <v>123</v>
      </c>
      <c r="J13" s="53" t="n">
        <v>2.40839232344956</v>
      </c>
      <c r="K13" s="52" t="n">
        <f aca="false">IF(G13="","",MAX(0,G13-J13/100))</f>
        <v>0.254703955553383</v>
      </c>
      <c r="L13" s="52" t="n">
        <f aca="false">IF(G13="","",MIN(1,G13+J13/100))</f>
        <v>0.302871802022374</v>
      </c>
      <c r="M13" s="37" t="n">
        <f aca="false">IF(F13="","",ROUND(F13*J13/100,0))</f>
        <v>8</v>
      </c>
      <c r="P13" s="54" t="n">
        <v>-12.466719801476</v>
      </c>
      <c r="Q13" s="55" t="n">
        <f aca="false">T13*$H$5</f>
        <v>330.130136986302</v>
      </c>
      <c r="R13" s="56" t="n">
        <f aca="false">MAX(0,MIN(1,P13/100+$D$5))</f>
        <v>0.278626612845426</v>
      </c>
      <c r="S13" s="57" t="s">
        <v>124</v>
      </c>
      <c r="T13" s="55" t="n">
        <v>330.130136986301</v>
      </c>
    </row>
    <row r="14" customFormat="false" ht="15" hidden="false" customHeight="false" outlineLevel="0" collapsed="false">
      <c r="A14" s="21" t="s">
        <v>120</v>
      </c>
      <c r="B14" s="21" t="s">
        <v>126</v>
      </c>
      <c r="C14" s="21" t="s">
        <v>122</v>
      </c>
      <c r="D14" s="37" t="n">
        <f aca="false">ROUND(Q14*R14,0)</f>
        <v>113</v>
      </c>
      <c r="E14" s="37" t="n">
        <f aca="false">ROUND(Q14,0)-D14</f>
        <v>243</v>
      </c>
      <c r="F14" s="37" t="n">
        <f aca="false">IF(COUNTA(D14:E14)=0,"",SUM(D14:E14))</f>
        <v>356</v>
      </c>
      <c r="G14" s="52" t="n">
        <f aca="false">IF(OR(F14="",F14=0),"",D14/F14)</f>
        <v>0.317415730337079</v>
      </c>
      <c r="H14" s="52" t="n">
        <f aca="false">IF(OR(F14="",F14=0),"",E14/F14)</f>
        <v>0.682584269662921</v>
      </c>
      <c r="I14" s="21" t="s">
        <v>123</v>
      </c>
      <c r="J14" s="53" t="n">
        <v>2.40839232344956</v>
      </c>
      <c r="K14" s="52" t="n">
        <f aca="false">IF(G14="","",MAX(0,G14-J14/100))</f>
        <v>0.293331807102583</v>
      </c>
      <c r="L14" s="52" t="n">
        <f aca="false">IF(G14="","",MIN(1,G14+J14/100))</f>
        <v>0.341499653571574</v>
      </c>
      <c r="M14" s="37" t="n">
        <f aca="false">IF(F14="","",ROUND(F14*J14/100,0))</f>
        <v>9</v>
      </c>
      <c r="P14" s="54" t="n">
        <v>-8.43515802500883</v>
      </c>
      <c r="Q14" s="55" t="n">
        <f aca="false">T14*$H$5</f>
        <v>355.63436928702</v>
      </c>
      <c r="R14" s="56" t="n">
        <f aca="false">MAX(0,MIN(1,P14/100+$D$5))</f>
        <v>0.318942230610098</v>
      </c>
      <c r="S14" s="57" t="s">
        <v>124</v>
      </c>
      <c r="T14" s="55" t="n">
        <v>355.63436928702</v>
      </c>
    </row>
    <row r="15" customFormat="false" ht="15" hidden="false" customHeight="false" outlineLevel="0" collapsed="false">
      <c r="A15" s="21" t="s">
        <v>120</v>
      </c>
      <c r="B15" s="21" t="s">
        <v>127</v>
      </c>
      <c r="C15" s="21" t="s">
        <v>122</v>
      </c>
      <c r="D15" s="37" t="n">
        <f aca="false">ROUND(Q15*R15,0)</f>
        <v>350</v>
      </c>
      <c r="E15" s="37" t="n">
        <f aca="false">ROUND(Q15,0)-D15</f>
        <v>985</v>
      </c>
      <c r="F15" s="37" t="n">
        <f aca="false">IF(COUNTA(D15:E15)=0,"",SUM(D15:E15))</f>
        <v>1335</v>
      </c>
      <c r="G15" s="52" t="n">
        <f aca="false">IF(OR(F15="",F15=0),"",D15/F15)</f>
        <v>0.262172284644195</v>
      </c>
      <c r="H15" s="52" t="n">
        <f aca="false">IF(OR(F15="",F15=0),"",E15/F15)</f>
        <v>0.737827715355805</v>
      </c>
      <c r="I15" s="21" t="s">
        <v>123</v>
      </c>
      <c r="J15" s="53" t="n">
        <v>2.40839232344956</v>
      </c>
      <c r="K15" s="52" t="n">
        <f aca="false">IF(G15="","",MAX(0,G15-J15/100))</f>
        <v>0.238088361409699</v>
      </c>
      <c r="L15" s="52" t="n">
        <f aca="false">IF(G15="","",MIN(1,G15+J15/100))</f>
        <v>0.28625620787869</v>
      </c>
      <c r="M15" s="37" t="n">
        <f aca="false">IF(F15="","",ROUND(F15*J15/100,0))</f>
        <v>32</v>
      </c>
      <c r="P15" s="54" t="n">
        <v>-14.0894048598347</v>
      </c>
      <c r="Q15" s="55" t="n">
        <f aca="false">T15*$H$5</f>
        <v>1334.82101558572</v>
      </c>
      <c r="R15" s="56" t="n">
        <f aca="false">MAX(0,MIN(1,P15/100+$D$5))</f>
        <v>0.262399762261839</v>
      </c>
      <c r="S15" s="57" t="s">
        <v>124</v>
      </c>
      <c r="T15" s="55" t="n">
        <v>1334.82101558572</v>
      </c>
    </row>
    <row r="16" customFormat="false" ht="15" hidden="false" customHeight="false" outlineLevel="0" collapsed="false">
      <c r="A16" s="21" t="s">
        <v>120</v>
      </c>
      <c r="B16" s="21" t="s">
        <v>128</v>
      </c>
      <c r="C16" s="21" t="s">
        <v>122</v>
      </c>
      <c r="D16" s="37" t="n">
        <f aca="false">ROUND(Q16*R16,0)</f>
        <v>32</v>
      </c>
      <c r="E16" s="37" t="n">
        <f aca="false">ROUND(Q16,0)-D16</f>
        <v>61</v>
      </c>
      <c r="F16" s="37" t="n">
        <f aca="false">IF(COUNTA(D16:E16)=0,"",SUM(D16:E16))</f>
        <v>93</v>
      </c>
      <c r="G16" s="52" t="n">
        <f aca="false">IF(OR(F16="",F16=0),"",D16/F16)</f>
        <v>0.344086021505376</v>
      </c>
      <c r="H16" s="52" t="n">
        <f aca="false">IF(OR(F16="",F16=0),"",E16/F16)</f>
        <v>0.655913978494624</v>
      </c>
      <c r="I16" s="21" t="s">
        <v>123</v>
      </c>
      <c r="J16" s="53" t="n">
        <v>2.40839232344956</v>
      </c>
      <c r="K16" s="52" t="n">
        <f aca="false">IF(G16="","",MAX(0,G16-J16/100))</f>
        <v>0.320002098270881</v>
      </c>
      <c r="L16" s="52" t="n">
        <f aca="false">IF(G16="","",MIN(1,G16+J16/100))</f>
        <v>0.368169944739872</v>
      </c>
      <c r="M16" s="37" t="n">
        <f aca="false">IF(F16="","",ROUND(F16*J16/100,0))</f>
        <v>2</v>
      </c>
      <c r="P16" s="54" t="n">
        <v>-6.2139641693908</v>
      </c>
      <c r="Q16" s="55" t="n">
        <f aca="false">T16*$H$5</f>
        <v>93.4268292682927</v>
      </c>
      <c r="R16" s="56" t="n">
        <f aca="false">MAX(0,MIN(1,P16/100+$D$5))</f>
        <v>0.341154169166278</v>
      </c>
      <c r="S16" s="57" t="s">
        <v>124</v>
      </c>
      <c r="T16" s="55" t="n">
        <v>93.4268292682927</v>
      </c>
    </row>
    <row r="17" customFormat="false" ht="15" hidden="false" customHeight="false" outlineLevel="0" collapsed="false">
      <c r="A17" s="21" t="s">
        <v>120</v>
      </c>
      <c r="B17" s="21" t="s">
        <v>129</v>
      </c>
      <c r="C17" s="21" t="s">
        <v>122</v>
      </c>
      <c r="D17" s="37" t="n">
        <f aca="false">ROUND(Q17*R17,0)</f>
        <v>546</v>
      </c>
      <c r="E17" s="37" t="n">
        <f aca="false">ROUND(Q17,0)-D17</f>
        <v>1436</v>
      </c>
      <c r="F17" s="37" t="n">
        <f aca="false">IF(COUNTA(D17:E17)=0,"",SUM(D17:E17))</f>
        <v>1982</v>
      </c>
      <c r="G17" s="52" t="n">
        <f aca="false">IF(OR(F17="",F17=0),"",D17/F17)</f>
        <v>0.27547931382442</v>
      </c>
      <c r="H17" s="52" t="n">
        <f aca="false">IF(OR(F17="",F17=0),"",E17/F17)</f>
        <v>0.72452068617558</v>
      </c>
      <c r="I17" s="21" t="s">
        <v>123</v>
      </c>
      <c r="J17" s="53" t="n">
        <v>1.32461619797241</v>
      </c>
      <c r="K17" s="52" t="n">
        <f aca="false">IF(G17="","",MAX(0,G17-J17/100))</f>
        <v>0.262233151844696</v>
      </c>
      <c r="L17" s="52" t="n">
        <f aca="false">IF(G17="","",MIN(1,G17+J17/100))</f>
        <v>0.288725475804144</v>
      </c>
      <c r="M17" s="37" t="n">
        <f aca="false">IF(F17="","",ROUND(F17*J17/100,0))</f>
        <v>26</v>
      </c>
      <c r="P17" s="54" t="n">
        <v>-12.7872899646898</v>
      </c>
      <c r="Q17" s="55" t="n">
        <f aca="false">T17*$H$5</f>
        <v>1982.00903517264</v>
      </c>
      <c r="R17" s="56" t="n">
        <f aca="false">MAX(0,MIN(1,P17/100+$D$5))</f>
        <v>0.275420911213288</v>
      </c>
      <c r="S17" s="57" t="s">
        <v>130</v>
      </c>
      <c r="T17" s="55" t="n">
        <v>1982.00903517264</v>
      </c>
    </row>
    <row r="18" customFormat="false" ht="15" hidden="false" customHeight="false" outlineLevel="0" collapsed="false">
      <c r="A18" s="21" t="s">
        <v>120</v>
      </c>
      <c r="B18" s="21" t="s">
        <v>131</v>
      </c>
      <c r="C18" s="21" t="s">
        <v>122</v>
      </c>
      <c r="D18" s="37" t="n">
        <f aca="false">ROUND(Q18*R18,0)</f>
        <v>934</v>
      </c>
      <c r="E18" s="37" t="n">
        <f aca="false">ROUND(Q18,0)-D18</f>
        <v>1174</v>
      </c>
      <c r="F18" s="37" t="n">
        <f aca="false">IF(COUNTA(D18:E18)=0,"",SUM(D18:E18))</f>
        <v>2108</v>
      </c>
      <c r="G18" s="52" t="n">
        <f aca="false">IF(OR(F18="",F18=0),"",D18/F18)</f>
        <v>0.443074003795066</v>
      </c>
      <c r="H18" s="52" t="n">
        <f aca="false">IF(OR(F18="",F18=0),"",E18/F18)</f>
        <v>0.556925996204934</v>
      </c>
      <c r="I18" s="21" t="s">
        <v>123</v>
      </c>
      <c r="J18" s="53" t="n">
        <v>1.32461619797241</v>
      </c>
      <c r="K18" s="52" t="n">
        <f aca="false">IF(G18="","",MAX(0,G18-J18/100))</f>
        <v>0.429827841815342</v>
      </c>
      <c r="L18" s="52" t="n">
        <f aca="false">IF(G18="","",MIN(1,G18+J18/100))</f>
        <v>0.456320165774791</v>
      </c>
      <c r="M18" s="37" t="n">
        <f aca="false">IF(F18="","",ROUND(F18*J18/100,0))</f>
        <v>28</v>
      </c>
      <c r="P18" s="54" t="n">
        <v>3.98670014090458</v>
      </c>
      <c r="Q18" s="55" t="n">
        <f aca="false">T18*$H$5</f>
        <v>2107.72563176895</v>
      </c>
      <c r="R18" s="56" t="n">
        <f aca="false">MAX(0,MIN(1,P18/100+$D$5))</f>
        <v>0.443160812269232</v>
      </c>
      <c r="S18" s="57" t="s">
        <v>130</v>
      </c>
      <c r="T18" s="55" t="n">
        <v>2107.72563176895</v>
      </c>
    </row>
    <row r="19" customFormat="false" ht="15" hidden="false" customHeight="false" outlineLevel="0" collapsed="false">
      <c r="A19" s="21" t="s">
        <v>120</v>
      </c>
      <c r="B19" s="21" t="s">
        <v>132</v>
      </c>
      <c r="C19" s="21" t="s">
        <v>122</v>
      </c>
      <c r="D19" s="37" t="n">
        <f aca="false">ROUND(Q19*R19,0)</f>
        <v>260</v>
      </c>
      <c r="E19" s="37" t="n">
        <f aca="false">ROUND(Q19,0)-D19</f>
        <v>545</v>
      </c>
      <c r="F19" s="37" t="n">
        <f aca="false">IF(COUNTA(D19:E19)=0,"",SUM(D19:E19))</f>
        <v>805</v>
      </c>
      <c r="G19" s="52" t="n">
        <f aca="false">IF(OR(F19="",F19=0),"",D19/F19)</f>
        <v>0.322981366459627</v>
      </c>
      <c r="H19" s="52" t="n">
        <f aca="false">IF(OR(F19="",F19=0),"",E19/F19)</f>
        <v>0.677018633540373</v>
      </c>
      <c r="I19" s="21" t="s">
        <v>123</v>
      </c>
      <c r="J19" s="53" t="n">
        <v>2.40839232344956</v>
      </c>
      <c r="K19" s="52" t="n">
        <f aca="false">IF(G19="","",MAX(0,G19-J19/100))</f>
        <v>0.298897443225132</v>
      </c>
      <c r="L19" s="52" t="n">
        <f aca="false">IF(G19="","",MIN(1,G19+J19/100))</f>
        <v>0.347065289694123</v>
      </c>
      <c r="M19" s="37" t="n">
        <f aca="false">IF(F19="","",ROUND(F19*J19/100,0))</f>
        <v>19</v>
      </c>
      <c r="P19" s="54" t="n">
        <v>-8.08718707935811</v>
      </c>
      <c r="Q19" s="55" t="n">
        <f aca="false">T19*$H$5</f>
        <v>804.850331125828</v>
      </c>
      <c r="R19" s="56" t="n">
        <f aca="false">MAX(0,MIN(1,P19/100+$D$5))</f>
        <v>0.322421940066605</v>
      </c>
      <c r="S19" s="57" t="s">
        <v>124</v>
      </c>
      <c r="T19" s="55" t="n">
        <v>804.850331125827</v>
      </c>
    </row>
    <row r="20" customFormat="false" ht="15" hidden="false" customHeight="false" outlineLevel="0" collapsed="false">
      <c r="A20" s="21" t="s">
        <v>120</v>
      </c>
      <c r="B20" s="21" t="s">
        <v>133</v>
      </c>
      <c r="C20" s="21" t="s">
        <v>122</v>
      </c>
      <c r="D20" s="37" t="n">
        <f aca="false">ROUND(Q20*R20,0)</f>
        <v>440</v>
      </c>
      <c r="E20" s="37" t="n">
        <f aca="false">ROUND(Q20,0)-D20</f>
        <v>643</v>
      </c>
      <c r="F20" s="37" t="n">
        <f aca="false">IF(COUNTA(D20:E20)=0,"",SUM(D20:E20))</f>
        <v>1083</v>
      </c>
      <c r="G20" s="52" t="n">
        <f aca="false">IF(OR(F20="",F20=0),"",D20/F20)</f>
        <v>0.406278855032318</v>
      </c>
      <c r="H20" s="52" t="n">
        <f aca="false">IF(OR(F20="",F20=0),"",E20/F20)</f>
        <v>0.593721144967682</v>
      </c>
      <c r="I20" s="21" t="s">
        <v>123</v>
      </c>
      <c r="J20" s="53" t="n">
        <v>2.40839232344956</v>
      </c>
      <c r="K20" s="52" t="n">
        <f aca="false">IF(G20="","",MAX(0,G20-J20/100))</f>
        <v>0.382194931797822</v>
      </c>
      <c r="L20" s="52" t="n">
        <f aca="false">IF(G20="","",MIN(1,G20+J20/100))</f>
        <v>0.430362778266813</v>
      </c>
      <c r="M20" s="37" t="n">
        <f aca="false">IF(F20="","",ROUND(F20*J20/100,0))</f>
        <v>26</v>
      </c>
      <c r="P20" s="54" t="n">
        <v>0.306575322289085</v>
      </c>
      <c r="Q20" s="55" t="n">
        <f aca="false">T20*$H$5</f>
        <v>1083.4829443447</v>
      </c>
      <c r="R20" s="56" t="n">
        <f aca="false">MAX(0,MIN(1,P20/100+$D$5))</f>
        <v>0.406359564083077</v>
      </c>
      <c r="S20" s="57" t="s">
        <v>124</v>
      </c>
      <c r="T20" s="55" t="n">
        <v>1083.4829443447</v>
      </c>
    </row>
    <row r="21" customFormat="false" ht="15" hidden="false" customHeight="false" outlineLevel="0" collapsed="false">
      <c r="A21" s="21" t="s">
        <v>120</v>
      </c>
      <c r="B21" s="21" t="s">
        <v>134</v>
      </c>
      <c r="C21" s="21" t="s">
        <v>122</v>
      </c>
      <c r="D21" s="37" t="n">
        <f aca="false">ROUND(Q21*R21,0)</f>
        <v>32</v>
      </c>
      <c r="E21" s="37" t="n">
        <f aca="false">ROUND(Q21,0)-D21</f>
        <v>86</v>
      </c>
      <c r="F21" s="37" t="n">
        <f aca="false">IF(COUNTA(D21:E21)=0,"",SUM(D21:E21))</f>
        <v>118</v>
      </c>
      <c r="G21" s="52" t="n">
        <f aca="false">IF(OR(F21="",F21=0),"",D21/F21)</f>
        <v>0.271186440677966</v>
      </c>
      <c r="H21" s="52" t="n">
        <f aca="false">IF(OR(F21="",F21=0),"",E21/F21)</f>
        <v>0.728813559322034</v>
      </c>
      <c r="I21" s="21" t="s">
        <v>123</v>
      </c>
      <c r="J21" s="53" t="n">
        <v>2.40839232344956</v>
      </c>
      <c r="K21" s="52" t="n">
        <f aca="false">IF(G21="","",MAX(0,G21-J21/100))</f>
        <v>0.24710251744347</v>
      </c>
      <c r="L21" s="52" t="n">
        <f aca="false">IF(G21="","",MIN(1,G21+J21/100))</f>
        <v>0.295270363912462</v>
      </c>
      <c r="M21" s="37" t="n">
        <f aca="false">IF(F21="","",ROUND(F21*J21/100,0))</f>
        <v>3</v>
      </c>
      <c r="P21" s="54" t="n">
        <v>-13.196146442127</v>
      </c>
      <c r="Q21" s="55" t="n">
        <f aca="false">T21*$H$5</f>
        <v>118.285714285714</v>
      </c>
      <c r="R21" s="56" t="n">
        <f aca="false">MAX(0,MIN(1,P21/100+$D$5))</f>
        <v>0.271332346438916</v>
      </c>
      <c r="S21" s="57" t="s">
        <v>124</v>
      </c>
      <c r="T21" s="55" t="n">
        <v>118.285714285714</v>
      </c>
    </row>
    <row r="22" customFormat="false" ht="15" hidden="false" customHeight="false" outlineLevel="0" collapsed="false">
      <c r="A22" s="21" t="s">
        <v>120</v>
      </c>
      <c r="B22" s="21" t="s">
        <v>135</v>
      </c>
      <c r="C22" s="21" t="s">
        <v>122</v>
      </c>
      <c r="D22" s="37" t="n">
        <f aca="false">ROUND(Q22*R22,0)</f>
        <v>43</v>
      </c>
      <c r="E22" s="37" t="n">
        <f aca="false">ROUND(Q22,0)-D22</f>
        <v>194</v>
      </c>
      <c r="F22" s="37" t="n">
        <f aca="false">IF(COUNTA(D22:E22)=0,"",SUM(D22:E22))</f>
        <v>237</v>
      </c>
      <c r="G22" s="52" t="n">
        <f aca="false">IF(OR(F22="",F22=0),"",D22/F22)</f>
        <v>0.181434599156118</v>
      </c>
      <c r="H22" s="52" t="n">
        <f aca="false">IF(OR(F22="",F22=0),"",E22/F22)</f>
        <v>0.818565400843882</v>
      </c>
      <c r="I22" s="21" t="s">
        <v>123</v>
      </c>
      <c r="J22" s="53" t="n">
        <v>2.40839232344956</v>
      </c>
      <c r="K22" s="52" t="n">
        <f aca="false">IF(G22="","",MAX(0,G22-J22/100))</f>
        <v>0.157350675921623</v>
      </c>
      <c r="L22" s="52" t="n">
        <f aca="false">IF(G22="","",MIN(1,G22+J22/100))</f>
        <v>0.205518522390614</v>
      </c>
      <c r="M22" s="37" t="n">
        <f aca="false">IF(F22="","",ROUND(F22*J22/100,0))</f>
        <v>6</v>
      </c>
      <c r="P22" s="54" t="n">
        <v>-21.9922306097889</v>
      </c>
      <c r="Q22" s="55" t="n">
        <f aca="false">T22*$H$5</f>
        <v>236.844827586207</v>
      </c>
      <c r="R22" s="56" t="n">
        <f aca="false">MAX(0,MIN(1,P22/100+$D$5))</f>
        <v>0.183371504762297</v>
      </c>
      <c r="S22" s="57" t="s">
        <v>124</v>
      </c>
      <c r="T22" s="55" t="n">
        <v>236.844827586207</v>
      </c>
    </row>
    <row r="23" customFormat="false" ht="15" hidden="false" customHeight="false" outlineLevel="0" collapsed="false">
      <c r="A23" s="21" t="s">
        <v>120</v>
      </c>
      <c r="B23" s="21" t="s">
        <v>136</v>
      </c>
      <c r="C23" s="21" t="s">
        <v>122</v>
      </c>
      <c r="D23" s="37" t="n">
        <f aca="false">ROUND(Q23*R23,0)</f>
        <v>693</v>
      </c>
      <c r="E23" s="37" t="n">
        <f aca="false">ROUND(Q23,0)-D23</f>
        <v>1061</v>
      </c>
      <c r="F23" s="37" t="n">
        <f aca="false">IF(COUNTA(D23:E23)=0,"",SUM(D23:E23))</f>
        <v>1754</v>
      </c>
      <c r="G23" s="52" t="n">
        <f aca="false">IF(OR(F23="",F23=0),"",D23/F23)</f>
        <v>0.395096921322691</v>
      </c>
      <c r="H23" s="52" t="n">
        <f aca="false">IF(OR(F23="",F23=0),"",E23/F23)</f>
        <v>0.604903078677309</v>
      </c>
      <c r="I23" s="21" t="s">
        <v>123</v>
      </c>
      <c r="J23" s="53" t="n">
        <v>1.32461619797241</v>
      </c>
      <c r="K23" s="52" t="n">
        <f aca="false">IF(G23="","",MAX(0,G23-J23/100))</f>
        <v>0.381850759342967</v>
      </c>
      <c r="L23" s="52" t="n">
        <f aca="false">IF(G23="","",MIN(1,G23+J23/100))</f>
        <v>0.408343083302415</v>
      </c>
      <c r="M23" s="37" t="n">
        <f aca="false">IF(F23="","",ROUND(F23*J23/100,0))</f>
        <v>23</v>
      </c>
      <c r="P23" s="54" t="n">
        <v>-0.799617731256549</v>
      </c>
      <c r="Q23" s="55" t="n">
        <f aca="false">T23*$H$5</f>
        <v>1753.74077578051</v>
      </c>
      <c r="R23" s="56" t="n">
        <f aca="false">MAX(0,MIN(1,P23/100+$D$5))</f>
        <v>0.39529763354762</v>
      </c>
      <c r="S23" s="57" t="s">
        <v>130</v>
      </c>
      <c r="T23" s="55" t="n">
        <v>1753.74077578051</v>
      </c>
    </row>
    <row r="24" customFormat="false" ht="15" hidden="false" customHeight="false" outlineLevel="0" collapsed="false">
      <c r="A24" s="21" t="s">
        <v>120</v>
      </c>
      <c r="B24" s="21" t="s">
        <v>137</v>
      </c>
      <c r="C24" s="21" t="s">
        <v>122</v>
      </c>
      <c r="D24" s="37" t="n">
        <f aca="false">ROUND(Q24*R24,0)</f>
        <v>406</v>
      </c>
      <c r="E24" s="37" t="n">
        <f aca="false">ROUND(Q24,0)-D24</f>
        <v>995</v>
      </c>
      <c r="F24" s="37" t="n">
        <f aca="false">IF(COUNTA(D24:E24)=0,"",SUM(D24:E24))</f>
        <v>1401</v>
      </c>
      <c r="G24" s="52" t="n">
        <f aca="false">IF(OR(F24="",F24=0),"",D24/F24)</f>
        <v>0.289793004996431</v>
      </c>
      <c r="H24" s="52" t="n">
        <f aca="false">IF(OR(F24="",F24=0),"",E24/F24)</f>
        <v>0.710206995003569</v>
      </c>
      <c r="I24" s="21" t="s">
        <v>123</v>
      </c>
      <c r="J24" s="53" t="n">
        <v>2.40839232344956</v>
      </c>
      <c r="K24" s="52" t="n">
        <f aca="false">IF(G24="","",MAX(0,G24-J24/100))</f>
        <v>0.265709081761936</v>
      </c>
      <c r="L24" s="52" t="n">
        <f aca="false">IF(G24="","",MIN(1,G24+J24/100))</f>
        <v>0.313876928230927</v>
      </c>
      <c r="M24" s="37" t="n">
        <f aca="false">IF(F24="","",ROUND(F24*J24/100,0))</f>
        <v>34</v>
      </c>
      <c r="P24" s="54" t="n">
        <v>-11.3638642109451</v>
      </c>
      <c r="Q24" s="55" t="n">
        <f aca="false">T24*$H$5</f>
        <v>1401.11772917636</v>
      </c>
      <c r="R24" s="56" t="n">
        <f aca="false">MAX(0,MIN(1,P24/100+$D$5))</f>
        <v>0.289655168750735</v>
      </c>
      <c r="S24" s="57" t="s">
        <v>124</v>
      </c>
      <c r="T24" s="55" t="n">
        <v>1401.11772917636</v>
      </c>
    </row>
    <row r="25" customFormat="false" ht="15" hidden="false" customHeight="false" outlineLevel="0" collapsed="false">
      <c r="A25" s="21" t="s">
        <v>120</v>
      </c>
      <c r="B25" s="21" t="s">
        <v>138</v>
      </c>
      <c r="C25" s="21" t="s">
        <v>122</v>
      </c>
      <c r="D25" s="37" t="n">
        <f aca="false">ROUND(Q25*R25,0)</f>
        <v>542</v>
      </c>
      <c r="E25" s="37" t="n">
        <f aca="false">ROUND(Q25,0)-D25</f>
        <v>1336</v>
      </c>
      <c r="F25" s="37" t="n">
        <f aca="false">IF(COUNTA(D25:E25)=0,"",SUM(D25:E25))</f>
        <v>1878</v>
      </c>
      <c r="G25" s="52" t="n">
        <f aca="false">IF(OR(F25="",F25=0),"",D25/F25)</f>
        <v>0.288604898828541</v>
      </c>
      <c r="H25" s="52" t="n">
        <f aca="false">IF(OR(F25="",F25=0),"",E25/F25)</f>
        <v>0.711395101171459</v>
      </c>
      <c r="I25" s="21" t="s">
        <v>123</v>
      </c>
      <c r="J25" s="53" t="n">
        <v>1.32461619797241</v>
      </c>
      <c r="K25" s="52" t="n">
        <f aca="false">IF(G25="","",MAX(0,G25-J25/100))</f>
        <v>0.275358736848817</v>
      </c>
      <c r="L25" s="52" t="n">
        <f aca="false">IF(G25="","",MIN(1,G25+J25/100))</f>
        <v>0.301851060808265</v>
      </c>
      <c r="M25" s="37" t="n">
        <f aca="false">IF(F25="","",ROUND(F25*J25/100,0))</f>
        <v>25</v>
      </c>
      <c r="P25" s="54" t="n">
        <v>-11.4512478722785</v>
      </c>
      <c r="Q25" s="55" t="n">
        <f aca="false">T25*$H$5</f>
        <v>1878.41828929068</v>
      </c>
      <c r="R25" s="56" t="n">
        <f aca="false">MAX(0,MIN(1,P25/100+$D$5))</f>
        <v>0.288781332137401</v>
      </c>
      <c r="S25" s="57" t="s">
        <v>130</v>
      </c>
      <c r="T25" s="55" t="n">
        <v>1878.41828929068</v>
      </c>
    </row>
    <row r="26" customFormat="false" ht="15" hidden="false" customHeight="false" outlineLevel="0" collapsed="false">
      <c r="A26" s="21" t="s">
        <v>120</v>
      </c>
      <c r="B26" s="21" t="s">
        <v>139</v>
      </c>
      <c r="C26" s="21" t="s">
        <v>122</v>
      </c>
      <c r="D26" s="37" t="n">
        <f aca="false">ROUND(Q26*R26,0)</f>
        <v>491</v>
      </c>
      <c r="E26" s="37" t="n">
        <f aca="false">ROUND(Q26,0)-D26</f>
        <v>723</v>
      </c>
      <c r="F26" s="37" t="n">
        <f aca="false">IF(COUNTA(D26:E26)=0,"",SUM(D26:E26))</f>
        <v>1214</v>
      </c>
      <c r="G26" s="52" t="n">
        <f aca="false">IF(OR(F26="",F26=0),"",D26/F26)</f>
        <v>0.404448105436573</v>
      </c>
      <c r="H26" s="52" t="n">
        <f aca="false">IF(OR(F26="",F26=0),"",E26/F26)</f>
        <v>0.595551894563427</v>
      </c>
      <c r="I26" s="21" t="s">
        <v>123</v>
      </c>
      <c r="J26" s="53" t="n">
        <v>2.40839232344956</v>
      </c>
      <c r="K26" s="52" t="n">
        <f aca="false">IF(G26="","",MAX(0,G26-J26/100))</f>
        <v>0.380364182202078</v>
      </c>
      <c r="L26" s="52" t="n">
        <f aca="false">IF(G26="","",MIN(1,G26+J26/100))</f>
        <v>0.428532028671069</v>
      </c>
      <c r="M26" s="37" t="n">
        <f aca="false">IF(F26="","",ROUND(F26*J26/100,0))</f>
        <v>29</v>
      </c>
      <c r="P26" s="54" t="n">
        <v>0.14723874057726</v>
      </c>
      <c r="Q26" s="55" t="n">
        <f aca="false">T26*$H$5</f>
        <v>1214.17865765331</v>
      </c>
      <c r="R26" s="56" t="n">
        <f aca="false">MAX(0,MIN(1,P26/100+$D$5))</f>
        <v>0.404766198265958</v>
      </c>
      <c r="S26" s="57" t="s">
        <v>124</v>
      </c>
      <c r="T26" s="55" t="n">
        <v>1214.17865765331</v>
      </c>
    </row>
    <row r="27" customFormat="false" ht="15" hidden="false" customHeight="false" outlineLevel="0" collapsed="false">
      <c r="A27" s="21" t="s">
        <v>120</v>
      </c>
      <c r="B27" s="21" t="s">
        <v>140</v>
      </c>
      <c r="C27" s="21" t="s">
        <v>122</v>
      </c>
      <c r="D27" s="37" t="n">
        <f aca="false">ROUND(Q27*R27,0)</f>
        <v>91</v>
      </c>
      <c r="E27" s="37" t="n">
        <f aca="false">ROUND(Q27,0)-D27</f>
        <v>439</v>
      </c>
      <c r="F27" s="37" t="n">
        <f aca="false">IF(COUNTA(D27:E27)=0,"",SUM(D27:E27))</f>
        <v>530</v>
      </c>
      <c r="G27" s="52" t="n">
        <f aca="false">IF(OR(F27="",F27=0),"",D27/F27)</f>
        <v>0.171698113207547</v>
      </c>
      <c r="H27" s="52" t="n">
        <f aca="false">IF(OR(F27="",F27=0),"",E27/F27)</f>
        <v>0.828301886792453</v>
      </c>
      <c r="I27" s="21" t="s">
        <v>123</v>
      </c>
      <c r="J27" s="53" t="n">
        <v>2.40839232344956</v>
      </c>
      <c r="K27" s="52" t="n">
        <f aca="false">IF(G27="","",MAX(0,G27-J27/100))</f>
        <v>0.147614189973052</v>
      </c>
      <c r="L27" s="52" t="n">
        <f aca="false">IF(G27="","",MIN(1,G27+J27/100))</f>
        <v>0.195782036442043</v>
      </c>
      <c r="M27" s="37" t="n">
        <f aca="false">IF(F27="","",ROUND(F27*J27/100,0))</f>
        <v>13</v>
      </c>
      <c r="P27" s="54" t="n">
        <v>-23.1206378394179</v>
      </c>
      <c r="Q27" s="55" t="n">
        <f aca="false">T27*$H$5</f>
        <v>530.117647058824</v>
      </c>
      <c r="R27" s="56" t="n">
        <f aca="false">MAX(0,MIN(1,P27/100+$D$5))</f>
        <v>0.172087432466007</v>
      </c>
      <c r="S27" s="57" t="s">
        <v>124</v>
      </c>
      <c r="T27" s="55" t="n">
        <v>530.117647058823</v>
      </c>
    </row>
    <row r="28" customFormat="false" ht="15" hidden="false" customHeight="false" outlineLevel="0" collapsed="false">
      <c r="A28" s="21" t="s">
        <v>120</v>
      </c>
      <c r="B28" s="21" t="s">
        <v>141</v>
      </c>
      <c r="C28" s="21" t="s">
        <v>122</v>
      </c>
      <c r="D28" s="37" t="n">
        <f aca="false">ROUND(Q28*R28,0)</f>
        <v>753</v>
      </c>
      <c r="E28" s="37" t="n">
        <f aca="false">ROUND(Q28,0)-D28</f>
        <v>1238</v>
      </c>
      <c r="F28" s="37" t="n">
        <f aca="false">IF(COUNTA(D28:E28)=0,"",SUM(D28:E28))</f>
        <v>1991</v>
      </c>
      <c r="G28" s="52" t="n">
        <f aca="false">IF(OR(F28="",F28=0),"",D28/F28)</f>
        <v>0.378201908588649</v>
      </c>
      <c r="H28" s="52" t="n">
        <f aca="false">IF(OR(F28="",F28=0),"",E28/F28)</f>
        <v>0.621798091411351</v>
      </c>
      <c r="I28" s="21" t="s">
        <v>123</v>
      </c>
      <c r="J28" s="53" t="n">
        <v>1.32461619797241</v>
      </c>
      <c r="K28" s="52" t="n">
        <f aca="false">IF(G28="","",MAX(0,G28-J28/100))</f>
        <v>0.364955746608925</v>
      </c>
      <c r="L28" s="52" t="n">
        <f aca="false">IF(G28="","",MIN(1,G28+J28/100))</f>
        <v>0.391448070568373</v>
      </c>
      <c r="M28" s="37" t="n">
        <f aca="false">IF(F28="","",ROUND(F28*J28/100,0))</f>
        <v>26</v>
      </c>
      <c r="P28" s="54" t="n">
        <v>-2.5003009401711</v>
      </c>
      <c r="Q28" s="55" t="n">
        <f aca="false">T28*$H$5</f>
        <v>1991.47057118005</v>
      </c>
      <c r="R28" s="56" t="n">
        <f aca="false">MAX(0,MIN(1,P28/100+$D$5))</f>
        <v>0.378290801458475</v>
      </c>
      <c r="S28" s="57" t="s">
        <v>130</v>
      </c>
      <c r="T28" s="55" t="n">
        <v>1991.47057118005</v>
      </c>
    </row>
    <row r="29" customFormat="false" ht="15" hidden="false" customHeight="false" outlineLevel="0" collapsed="false">
      <c r="A29" s="21" t="s">
        <v>120</v>
      </c>
      <c r="B29" s="21" t="s">
        <v>142</v>
      </c>
      <c r="C29" s="21" t="s">
        <v>122</v>
      </c>
      <c r="D29" s="37" t="n">
        <f aca="false">ROUND(Q29*R29,0)</f>
        <v>55</v>
      </c>
      <c r="E29" s="37" t="n">
        <f aca="false">ROUND(Q29,0)-D29</f>
        <v>130</v>
      </c>
      <c r="F29" s="37" t="n">
        <f aca="false">IF(COUNTA(D29:E29)=0,"",SUM(D29:E29))</f>
        <v>185</v>
      </c>
      <c r="G29" s="52" t="n">
        <f aca="false">IF(OR(F29="",F29=0),"",D29/F29)</f>
        <v>0.297297297297297</v>
      </c>
      <c r="H29" s="52" t="n">
        <f aca="false">IF(OR(F29="",F29=0),"",E29/F29)</f>
        <v>0.702702702702703</v>
      </c>
      <c r="I29" s="21" t="s">
        <v>123</v>
      </c>
      <c r="J29" s="53" t="n">
        <v>2.40839232344956</v>
      </c>
      <c r="K29" s="52" t="n">
        <f aca="false">IF(G29="","",MAX(0,G29-J29/100))</f>
        <v>0.273213374062802</v>
      </c>
      <c r="L29" s="52" t="n">
        <f aca="false">IF(G29="","",MIN(1,G29+J29/100))</f>
        <v>0.321381220531793</v>
      </c>
      <c r="M29" s="37" t="n">
        <f aca="false">IF(F29="","",ROUND(F29*J29/100,0))</f>
        <v>4</v>
      </c>
      <c r="P29" s="54" t="n">
        <v>-10.2707410371076</v>
      </c>
      <c r="Q29" s="55" t="n">
        <f aca="false">T29*$H$5</f>
        <v>184.547540983607</v>
      </c>
      <c r="R29" s="56" t="n">
        <f aca="false">MAX(0,MIN(1,P29/100+$D$5))</f>
        <v>0.30058640048911</v>
      </c>
      <c r="S29" s="57" t="s">
        <v>124</v>
      </c>
      <c r="T29" s="55" t="n">
        <v>184.547540983607</v>
      </c>
    </row>
    <row r="30" customFormat="false" ht="15" hidden="false" customHeight="false" outlineLevel="0" collapsed="false">
      <c r="A30" s="21" t="s">
        <v>120</v>
      </c>
      <c r="B30" s="21" t="s">
        <v>143</v>
      </c>
      <c r="C30" s="21" t="s">
        <v>122</v>
      </c>
      <c r="D30" s="37" t="n">
        <f aca="false">ROUND(Q30*R30,0)</f>
        <v>1617</v>
      </c>
      <c r="E30" s="37" t="n">
        <f aca="false">ROUND(Q30,0)-D30</f>
        <v>2855</v>
      </c>
      <c r="F30" s="37" t="n">
        <f aca="false">IF(COUNTA(D30:E30)=0,"",SUM(D30:E30))</f>
        <v>4472</v>
      </c>
      <c r="G30" s="52" t="n">
        <f aca="false">IF(OR(F30="",F30=0),"",D30/F30)</f>
        <v>0.361583184257603</v>
      </c>
      <c r="H30" s="52" t="n">
        <f aca="false">IF(OR(F30="",F30=0),"",E30/F30)</f>
        <v>0.638416815742397</v>
      </c>
      <c r="I30" s="21" t="s">
        <v>123</v>
      </c>
      <c r="J30" s="53" t="n">
        <v>1.84350043958238</v>
      </c>
      <c r="K30" s="52" t="n">
        <f aca="false">IF(G30="","",MAX(0,G30-J30/100))</f>
        <v>0.343148179861779</v>
      </c>
      <c r="L30" s="52" t="n">
        <f aca="false">IF(G30="","",MIN(1,G30+J30/100))</f>
        <v>0.380018188653427</v>
      </c>
      <c r="M30" s="37" t="n">
        <f aca="false">IF(F30="","",ROUND(F30*J30/100,0))</f>
        <v>82</v>
      </c>
      <c r="P30" s="54" t="n">
        <v>-4.18176353081318</v>
      </c>
      <c r="Q30" s="55" t="n">
        <f aca="false">T30*$H$5</f>
        <v>4472.46592381446</v>
      </c>
      <c r="R30" s="56" t="n">
        <f aca="false">MAX(0,MIN(1,P30/100+$D$5))</f>
        <v>0.361476175552054</v>
      </c>
      <c r="S30" s="57" t="s">
        <v>144</v>
      </c>
      <c r="T30" s="55" t="n">
        <v>4472.46592381446</v>
      </c>
    </row>
    <row r="31" customFormat="false" ht="15" hidden="false" customHeight="false" outlineLevel="0" collapsed="false">
      <c r="A31" s="21" t="s">
        <v>120</v>
      </c>
      <c r="B31" s="21" t="s">
        <v>145</v>
      </c>
      <c r="C31" s="21" t="s">
        <v>122</v>
      </c>
      <c r="D31" s="37" t="n">
        <f aca="false">ROUND(Q31*R31,0)</f>
        <v>567</v>
      </c>
      <c r="E31" s="37" t="n">
        <f aca="false">ROUND(Q31,0)-D31</f>
        <v>726</v>
      </c>
      <c r="F31" s="37" t="n">
        <f aca="false">IF(COUNTA(D31:E31)=0,"",SUM(D31:E31))</f>
        <v>1293</v>
      </c>
      <c r="G31" s="52" t="n">
        <f aca="false">IF(OR(F31="",F31=0),"",D31/F31)</f>
        <v>0.438515081206497</v>
      </c>
      <c r="H31" s="52" t="n">
        <f aca="false">IF(OR(F31="",F31=0),"",E31/F31)</f>
        <v>0.561484918793504</v>
      </c>
      <c r="I31" s="21" t="s">
        <v>123</v>
      </c>
      <c r="J31" s="53" t="n">
        <v>2.40839232344956</v>
      </c>
      <c r="K31" s="52" t="n">
        <f aca="false">IF(G31="","",MAX(0,G31-J31/100))</f>
        <v>0.414431157972001</v>
      </c>
      <c r="L31" s="52" t="n">
        <f aca="false">IF(G31="","",MIN(1,G31+J31/100))</f>
        <v>0.462599004440992</v>
      </c>
      <c r="M31" s="37" t="n">
        <f aca="false">IF(F31="","",ROUND(F31*J31/100,0))</f>
        <v>31</v>
      </c>
      <c r="P31" s="54" t="n">
        <v>3.52967419651331</v>
      </c>
      <c r="Q31" s="55" t="n">
        <f aca="false">T31*$H$5</f>
        <v>1293.28908554572</v>
      </c>
      <c r="R31" s="56" t="n">
        <f aca="false">MAX(0,MIN(1,P31/100+$D$5))</f>
        <v>0.438590552825319</v>
      </c>
      <c r="S31" s="57" t="s">
        <v>124</v>
      </c>
      <c r="T31" s="55" t="n">
        <v>1293.28908554572</v>
      </c>
    </row>
    <row r="32" customFormat="false" ht="15" hidden="false" customHeight="false" outlineLevel="0" collapsed="false">
      <c r="A32" s="21" t="s">
        <v>120</v>
      </c>
      <c r="B32" s="21" t="s">
        <v>146</v>
      </c>
      <c r="C32" s="21" t="s">
        <v>122</v>
      </c>
      <c r="D32" s="37" t="n">
        <f aca="false">ROUND(Q32*R32,0)</f>
        <v>653</v>
      </c>
      <c r="E32" s="37" t="n">
        <f aca="false">ROUND(Q32,0)-D32</f>
        <v>1605</v>
      </c>
      <c r="F32" s="37" t="n">
        <f aca="false">IF(COUNTA(D32:E32)=0,"",SUM(D32:E32))</f>
        <v>2258</v>
      </c>
      <c r="G32" s="52" t="n">
        <f aca="false">IF(OR(F32="",F32=0),"",D32/F32)</f>
        <v>0.289193976970771</v>
      </c>
      <c r="H32" s="52" t="n">
        <f aca="false">IF(OR(F32="",F32=0),"",E32/F32)</f>
        <v>0.71080602302923</v>
      </c>
      <c r="I32" s="21" t="s">
        <v>123</v>
      </c>
      <c r="J32" s="53" t="n">
        <v>1.32461619797241</v>
      </c>
      <c r="K32" s="52" t="n">
        <f aca="false">IF(G32="","",MAX(0,G32-J32/100))</f>
        <v>0.275947814991047</v>
      </c>
      <c r="L32" s="52" t="n">
        <f aca="false">IF(G32="","",MIN(1,G32+J32/100))</f>
        <v>0.302440138950495</v>
      </c>
      <c r="M32" s="37" t="n">
        <f aca="false">IF(F32="","",ROUND(F32*J32/100,0))</f>
        <v>30</v>
      </c>
      <c r="P32" s="54" t="n">
        <v>-11.4122568500556</v>
      </c>
      <c r="Q32" s="55" t="n">
        <f aca="false">T32*$H$5</f>
        <v>2258.11685530744</v>
      </c>
      <c r="R32" s="56" t="n">
        <f aca="false">MAX(0,MIN(1,P32/100+$D$5))</f>
        <v>0.28917124235963</v>
      </c>
      <c r="S32" s="57" t="s">
        <v>130</v>
      </c>
      <c r="T32" s="55" t="n">
        <v>2258.11685530743</v>
      </c>
    </row>
    <row r="33" customFormat="false" ht="15" hidden="false" customHeight="false" outlineLevel="0" collapsed="false">
      <c r="A33" s="21" t="s">
        <v>120</v>
      </c>
      <c r="B33" s="21" t="s">
        <v>147</v>
      </c>
      <c r="C33" s="21" t="s">
        <v>122</v>
      </c>
      <c r="D33" s="37" t="n">
        <f aca="false">ROUND(Q33*R33,0)</f>
        <v>259</v>
      </c>
      <c r="E33" s="37" t="n">
        <f aca="false">ROUND(Q33,0)-D33</f>
        <v>655</v>
      </c>
      <c r="F33" s="37" t="n">
        <f aca="false">IF(COUNTA(D33:E33)=0,"",SUM(D33:E33))</f>
        <v>914</v>
      </c>
      <c r="G33" s="52" t="n">
        <f aca="false">IF(OR(F33="",F33=0),"",D33/F33)</f>
        <v>0.283369803063457</v>
      </c>
      <c r="H33" s="52" t="n">
        <f aca="false">IF(OR(F33="",F33=0),"",E33/F33)</f>
        <v>0.716630196936543</v>
      </c>
      <c r="I33" s="21" t="s">
        <v>123</v>
      </c>
      <c r="J33" s="53" t="n">
        <v>2.40839232344956</v>
      </c>
      <c r="K33" s="52" t="n">
        <f aca="false">IF(G33="","",MAX(0,G33-J33/100))</f>
        <v>0.259285879828962</v>
      </c>
      <c r="L33" s="52" t="n">
        <f aca="false">IF(G33="","",MIN(1,G33+J33/100))</f>
        <v>0.307453726297953</v>
      </c>
      <c r="M33" s="37" t="n">
        <f aca="false">IF(F33="","",ROUND(F33*J33/100,0))</f>
        <v>22</v>
      </c>
      <c r="P33" s="54" t="n">
        <v>-11.9927878213964</v>
      </c>
      <c r="Q33" s="55" t="n">
        <f aca="false">T33*$H$5</f>
        <v>913.771907216495</v>
      </c>
      <c r="R33" s="56" t="n">
        <f aca="false">MAX(0,MIN(1,P33/100+$D$5))</f>
        <v>0.283365932646222</v>
      </c>
      <c r="S33" s="57" t="s">
        <v>124</v>
      </c>
      <c r="T33" s="55" t="n">
        <v>913.771907216495</v>
      </c>
    </row>
    <row r="34" customFormat="false" ht="15" hidden="false" customHeight="false" outlineLevel="0" collapsed="false">
      <c r="A34" s="21" t="s">
        <v>120</v>
      </c>
      <c r="B34" s="21" t="s">
        <v>148</v>
      </c>
      <c r="C34" s="21" t="s">
        <v>122</v>
      </c>
      <c r="D34" s="37" t="n">
        <f aca="false">ROUND(Q34*R34,0)</f>
        <v>36</v>
      </c>
      <c r="E34" s="37" t="n">
        <f aca="false">ROUND(Q34,0)-D34</f>
        <v>71</v>
      </c>
      <c r="F34" s="37" t="n">
        <f aca="false">IF(COUNTA(D34:E34)=0,"",SUM(D34:E34))</f>
        <v>107</v>
      </c>
      <c r="G34" s="52" t="n">
        <f aca="false">IF(OR(F34="",F34=0),"",D34/F34)</f>
        <v>0.336448598130841</v>
      </c>
      <c r="H34" s="52" t="n">
        <f aca="false">IF(OR(F34="",F34=0),"",E34/F34)</f>
        <v>0.663551401869159</v>
      </c>
      <c r="I34" s="21" t="s">
        <v>123</v>
      </c>
      <c r="J34" s="53" t="n">
        <v>2.40839232344956</v>
      </c>
      <c r="K34" s="52" t="n">
        <f aca="false">IF(G34="","",MAX(0,G34-J34/100))</f>
        <v>0.312364674896345</v>
      </c>
      <c r="L34" s="52" t="n">
        <f aca="false">IF(G34="","",MIN(1,G34+J34/100))</f>
        <v>0.360532521365337</v>
      </c>
      <c r="M34" s="37" t="n">
        <f aca="false">IF(F34="","",ROUND(F34*J34/100,0))</f>
        <v>3</v>
      </c>
      <c r="P34" s="54" t="n">
        <v>-6.40450914067639</v>
      </c>
      <c r="Q34" s="55" t="n">
        <f aca="false">T34*$H$5</f>
        <v>106.666666666667</v>
      </c>
      <c r="R34" s="56" t="n">
        <f aca="false">MAX(0,MIN(1,P34/100+$D$5))</f>
        <v>0.339248719453422</v>
      </c>
      <c r="S34" s="57" t="s">
        <v>124</v>
      </c>
      <c r="T34" s="55" t="n">
        <v>106.666666666667</v>
      </c>
    </row>
    <row r="35" customFormat="false" ht="15" hidden="false" customHeight="false" outlineLevel="0" collapsed="false">
      <c r="A35" s="21" t="s">
        <v>149</v>
      </c>
      <c r="B35" s="21" t="s">
        <v>150</v>
      </c>
      <c r="C35" s="21" t="s">
        <v>122</v>
      </c>
      <c r="D35" s="37" t="n">
        <f aca="false">ROUND(Q35*R35,0)</f>
        <v>495</v>
      </c>
      <c r="E35" s="37" t="n">
        <f aca="false">ROUND(Q35,0)-D35</f>
        <v>566</v>
      </c>
      <c r="F35" s="37" t="n">
        <f aca="false">IF(COUNTA(D35:E35)=0,"",SUM(D35:E35))</f>
        <v>1061</v>
      </c>
      <c r="G35" s="52" t="n">
        <f aca="false">IF(OR(F35="",F35=0),"",D35/F35)</f>
        <v>0.466540999057493</v>
      </c>
      <c r="H35" s="52" t="n">
        <f aca="false">IF(OR(F35="",F35=0),"",E35/F35)</f>
        <v>0.533459000942507</v>
      </c>
      <c r="I35" s="21" t="s">
        <v>123</v>
      </c>
      <c r="J35" s="53" t="n">
        <v>2.40839232344956</v>
      </c>
      <c r="K35" s="52" t="n">
        <f aca="false">IF(G35="","",MAX(0,G35-J35/100))</f>
        <v>0.442457075822997</v>
      </c>
      <c r="L35" s="52" t="n">
        <f aca="false">IF(G35="","",MIN(1,G35+J35/100))</f>
        <v>0.490624922291989</v>
      </c>
      <c r="M35" s="37" t="n">
        <f aca="false">IF(F35="","",ROUND(F35*J35/100,0))</f>
        <v>26</v>
      </c>
      <c r="P35" s="54" t="n">
        <v>6.32707563188</v>
      </c>
      <c r="Q35" s="55" t="n">
        <f aca="false">T35*$H$5</f>
        <v>1060.80585424134</v>
      </c>
      <c r="R35" s="56" t="n">
        <f aca="false">MAX(0,MIN(1,P35/100+$D$5))</f>
        <v>0.466564567178986</v>
      </c>
      <c r="S35" s="57" t="s">
        <v>124</v>
      </c>
      <c r="T35" s="55" t="n">
        <v>1060.80585424134</v>
      </c>
    </row>
    <row r="36" customFormat="false" ht="15" hidden="false" customHeight="false" outlineLevel="0" collapsed="false">
      <c r="A36" s="21" t="s">
        <v>149</v>
      </c>
      <c r="B36" s="21" t="s">
        <v>151</v>
      </c>
      <c r="C36" s="21" t="s">
        <v>122</v>
      </c>
      <c r="D36" s="37" t="n">
        <f aca="false">ROUND(Q36*R36,0)</f>
        <v>17242</v>
      </c>
      <c r="E36" s="37" t="n">
        <f aca="false">ROUND(Q36,0)-D36</f>
        <v>8132</v>
      </c>
      <c r="F36" s="37" t="n">
        <f aca="false">IF(COUNTA(D36:E36)=0,"",SUM(D36:E36))</f>
        <v>25374</v>
      </c>
      <c r="G36" s="52" t="n">
        <f aca="false">IF(OR(F36="",F36=0),"",D36/F36)</f>
        <v>0.679514463624182</v>
      </c>
      <c r="H36" s="52" t="n">
        <f aca="false">IF(OR(F36="",F36=0),"",E36/F36)</f>
        <v>0.320485536375818</v>
      </c>
      <c r="I36" s="21" t="s">
        <v>123</v>
      </c>
      <c r="J36" s="53" t="n">
        <v>1.84350043958238</v>
      </c>
      <c r="K36" s="52" t="n">
        <f aca="false">IF(G36="","",MAX(0,G36-J36/100))</f>
        <v>0.661079459228358</v>
      </c>
      <c r="L36" s="52" t="n">
        <f aca="false">IF(G36="","",MIN(1,G36+J36/100))</f>
        <v>0.697949468020006</v>
      </c>
      <c r="M36" s="37" t="n">
        <f aca="false">IF(F36="","",ROUND(F36*J36/100,0))</f>
        <v>468</v>
      </c>
      <c r="P36" s="54" t="n">
        <v>27.6190338910932</v>
      </c>
      <c r="Q36" s="55" t="n">
        <f aca="false">T36*$H$5</f>
        <v>25374.4394084886</v>
      </c>
      <c r="R36" s="56" t="n">
        <f aca="false">MAX(0,MIN(1,P36/100+$D$5))</f>
        <v>0.679484149771118</v>
      </c>
      <c r="S36" s="57" t="s">
        <v>144</v>
      </c>
      <c r="T36" s="55" t="n">
        <v>25374.4394084886</v>
      </c>
    </row>
    <row r="37" customFormat="false" ht="15" hidden="false" customHeight="false" outlineLevel="0" collapsed="false">
      <c r="A37" s="21" t="s">
        <v>149</v>
      </c>
      <c r="B37" s="21" t="s">
        <v>152</v>
      </c>
      <c r="C37" s="21" t="s">
        <v>122</v>
      </c>
      <c r="D37" s="37" t="n">
        <f aca="false">ROUND(Q37*R37,0)</f>
        <v>5259</v>
      </c>
      <c r="E37" s="37" t="n">
        <f aca="false">ROUND(Q37,0)-D37</f>
        <v>2718</v>
      </c>
      <c r="F37" s="37" t="n">
        <f aca="false">IF(COUNTA(D37:E37)=0,"",SUM(D37:E37))</f>
        <v>7977</v>
      </c>
      <c r="G37" s="52" t="n">
        <f aca="false">IF(OR(F37="",F37=0),"",D37/F37)</f>
        <v>0.65927040240692</v>
      </c>
      <c r="H37" s="52" t="n">
        <f aca="false">IF(OR(F37="",F37=0),"",E37/F37)</f>
        <v>0.34072959759308</v>
      </c>
      <c r="I37" s="21" t="s">
        <v>123</v>
      </c>
      <c r="J37" s="53" t="n">
        <v>1.84350043958238</v>
      </c>
      <c r="K37" s="52" t="n">
        <f aca="false">IF(G37="","",MAX(0,G37-J37/100))</f>
        <v>0.640835398011096</v>
      </c>
      <c r="L37" s="52" t="n">
        <f aca="false">IF(G37="","",MIN(1,G37+J37/100))</f>
        <v>0.677705406802744</v>
      </c>
      <c r="M37" s="37" t="n">
        <f aca="false">IF(F37="","",ROUND(F37*J37/100,0))</f>
        <v>147</v>
      </c>
      <c r="P37" s="54" t="n">
        <v>25.6026816045264</v>
      </c>
      <c r="Q37" s="55" t="n">
        <f aca="false">T37*$H$5</f>
        <v>7976.55329986175</v>
      </c>
      <c r="R37" s="56" t="n">
        <f aca="false">MAX(0,MIN(1,P37/100+$D$5))</f>
        <v>0.65932062690545</v>
      </c>
      <c r="S37" s="57" t="s">
        <v>144</v>
      </c>
      <c r="T37" s="55" t="n">
        <v>7976.55329986175</v>
      </c>
    </row>
    <row r="38" customFormat="false" ht="15" hidden="false" customHeight="false" outlineLevel="0" collapsed="false">
      <c r="A38" s="21" t="s">
        <v>149</v>
      </c>
      <c r="B38" s="21" t="s">
        <v>153</v>
      </c>
      <c r="C38" s="21" t="s">
        <v>122</v>
      </c>
      <c r="D38" s="37" t="n">
        <f aca="false">ROUND(Q38*R38,0)</f>
        <v>1128</v>
      </c>
      <c r="E38" s="37" t="n">
        <f aca="false">ROUND(Q38,0)-D38</f>
        <v>1050</v>
      </c>
      <c r="F38" s="37" t="n">
        <f aca="false">IF(COUNTA(D38:E38)=0,"",SUM(D38:E38))</f>
        <v>2178</v>
      </c>
      <c r="G38" s="52" t="n">
        <f aca="false">IF(OR(F38="",F38=0),"",D38/F38)</f>
        <v>0.517906336088154</v>
      </c>
      <c r="H38" s="52" t="n">
        <f aca="false">IF(OR(F38="",F38=0),"",E38/F38)</f>
        <v>0.482093663911846</v>
      </c>
      <c r="I38" s="21" t="s">
        <v>123</v>
      </c>
      <c r="J38" s="53" t="n">
        <v>1.32461619797241</v>
      </c>
      <c r="K38" s="52" t="n">
        <f aca="false">IF(G38="","",MAX(0,G38-J38/100))</f>
        <v>0.50466017410843</v>
      </c>
      <c r="L38" s="52" t="n">
        <f aca="false">IF(G38="","",MIN(1,G38+J38/100))</f>
        <v>0.531152498067878</v>
      </c>
      <c r="M38" s="37" t="n">
        <f aca="false">IF(F38="","",ROUND(F38*J38/100,0))</f>
        <v>29</v>
      </c>
      <c r="P38" s="54" t="n">
        <v>11.4781240637544</v>
      </c>
      <c r="Q38" s="55" t="n">
        <f aca="false">T38*$H$5</f>
        <v>2177.82706204834</v>
      </c>
      <c r="R38" s="56" t="n">
        <f aca="false">MAX(0,MIN(1,P38/100+$D$5))</f>
        <v>0.51807505149773</v>
      </c>
      <c r="S38" s="57" t="s">
        <v>130</v>
      </c>
      <c r="T38" s="55" t="n">
        <v>2177.82706204834</v>
      </c>
    </row>
    <row r="39" customFormat="false" ht="15" hidden="false" customHeight="false" outlineLevel="0" collapsed="false">
      <c r="A39" s="21" t="s">
        <v>149</v>
      </c>
      <c r="B39" s="21" t="s">
        <v>154</v>
      </c>
      <c r="C39" s="21" t="s">
        <v>122</v>
      </c>
      <c r="D39" s="37" t="n">
        <f aca="false">ROUND(Q39*R39,0)</f>
        <v>606</v>
      </c>
      <c r="E39" s="37" t="n">
        <f aca="false">ROUND(Q39,0)-D39</f>
        <v>664</v>
      </c>
      <c r="F39" s="37" t="n">
        <f aca="false">IF(COUNTA(D39:E39)=0,"",SUM(D39:E39))</f>
        <v>1270</v>
      </c>
      <c r="G39" s="52" t="n">
        <f aca="false">IF(OR(F39="",F39=0),"",D39/F39)</f>
        <v>0.477165354330709</v>
      </c>
      <c r="H39" s="52" t="n">
        <f aca="false">IF(OR(F39="",F39=0),"",E39/F39)</f>
        <v>0.522834645669291</v>
      </c>
      <c r="I39" s="21" t="s">
        <v>123</v>
      </c>
      <c r="J39" s="53" t="n">
        <v>2.40839232344956</v>
      </c>
      <c r="K39" s="52" t="n">
        <f aca="false">IF(G39="","",MAX(0,G39-J39/100))</f>
        <v>0.453081431096213</v>
      </c>
      <c r="L39" s="52" t="n">
        <f aca="false">IF(G39="","",MIN(1,G39+J39/100))</f>
        <v>0.501249277565204</v>
      </c>
      <c r="M39" s="37" t="n">
        <f aca="false">IF(F39="","",ROUND(F39*J39/100,0))</f>
        <v>31</v>
      </c>
      <c r="P39" s="54" t="n">
        <v>7.35652146669575</v>
      </c>
      <c r="Q39" s="55" t="n">
        <f aca="false">T39*$H$5</f>
        <v>1270.44031093837</v>
      </c>
      <c r="R39" s="56" t="n">
        <f aca="false">MAX(0,MIN(1,P39/100+$D$5))</f>
        <v>0.476859025527143</v>
      </c>
      <c r="S39" s="57" t="s">
        <v>124</v>
      </c>
      <c r="T39" s="55" t="n">
        <v>1270.44031093837</v>
      </c>
    </row>
    <row r="40" customFormat="false" ht="15" hidden="false" customHeight="false" outlineLevel="0" collapsed="false">
      <c r="A40" s="21" t="s">
        <v>149</v>
      </c>
      <c r="B40" s="21" t="s">
        <v>155</v>
      </c>
      <c r="C40" s="21" t="s">
        <v>122</v>
      </c>
      <c r="D40" s="37" t="n">
        <f aca="false">ROUND(Q40*R40,0)</f>
        <v>695</v>
      </c>
      <c r="E40" s="37" t="n">
        <f aca="false">ROUND(Q40,0)-D40</f>
        <v>669</v>
      </c>
      <c r="F40" s="37" t="n">
        <f aca="false">IF(COUNTA(D40:E40)=0,"",SUM(D40:E40))</f>
        <v>1364</v>
      </c>
      <c r="G40" s="52" t="n">
        <f aca="false">IF(OR(F40="",F40=0),"",D40/F40)</f>
        <v>0.509530791788856</v>
      </c>
      <c r="H40" s="52" t="n">
        <f aca="false">IF(OR(F40="",F40=0),"",E40/F40)</f>
        <v>0.490469208211144</v>
      </c>
      <c r="I40" s="21" t="s">
        <v>123</v>
      </c>
      <c r="J40" s="53" t="n">
        <v>2.40839232344956</v>
      </c>
      <c r="K40" s="52" t="n">
        <f aca="false">IF(G40="","",MAX(0,G40-J40/100))</f>
        <v>0.485446868554361</v>
      </c>
      <c r="L40" s="52" t="n">
        <f aca="false">IF(G40="","",MIN(1,G40+J40/100))</f>
        <v>0.533614715023352</v>
      </c>
      <c r="M40" s="37" t="n">
        <f aca="false">IF(F40="","",ROUND(F40*J40/100,0))</f>
        <v>33</v>
      </c>
      <c r="P40" s="54" t="n">
        <v>10.6202982389492</v>
      </c>
      <c r="Q40" s="55" t="n">
        <f aca="false">T40*$H$5</f>
        <v>1363.93435943866</v>
      </c>
      <c r="R40" s="56" t="n">
        <f aca="false">MAX(0,MIN(1,P40/100+$D$5))</f>
        <v>0.509496793249677</v>
      </c>
      <c r="S40" s="57" t="s">
        <v>124</v>
      </c>
      <c r="T40" s="55" t="n">
        <v>1363.93435943866</v>
      </c>
    </row>
    <row r="41" customFormat="false" ht="15" hidden="false" customHeight="false" outlineLevel="0" collapsed="false">
      <c r="A41" s="21" t="s">
        <v>149</v>
      </c>
      <c r="B41" s="21" t="s">
        <v>156</v>
      </c>
      <c r="C41" s="21" t="s">
        <v>122</v>
      </c>
      <c r="D41" s="37" t="n">
        <f aca="false">ROUND(Q41*R41,0)</f>
        <v>2853</v>
      </c>
      <c r="E41" s="37" t="n">
        <f aca="false">ROUND(Q41,0)-D41</f>
        <v>2535</v>
      </c>
      <c r="F41" s="37" t="n">
        <f aca="false">IF(COUNTA(D41:E41)=0,"",SUM(D41:E41))</f>
        <v>5388</v>
      </c>
      <c r="G41" s="52" t="n">
        <f aca="false">IF(OR(F41="",F41=0),"",D41/F41)</f>
        <v>0.529510022271715</v>
      </c>
      <c r="H41" s="52" t="n">
        <f aca="false">IF(OR(F41="",F41=0),"",E41/F41)</f>
        <v>0.470489977728285</v>
      </c>
      <c r="I41" s="21" t="s">
        <v>123</v>
      </c>
      <c r="J41" s="53" t="n">
        <v>1.84350043958238</v>
      </c>
      <c r="K41" s="52" t="n">
        <f aca="false">IF(G41="","",MAX(0,G41-J41/100))</f>
        <v>0.511075017875891</v>
      </c>
      <c r="L41" s="52" t="n">
        <f aca="false">IF(G41="","",MIN(1,G41+J41/100))</f>
        <v>0.547945026667539</v>
      </c>
      <c r="M41" s="37" t="n">
        <f aca="false">IF(F41="","",ROUND(F41*J41/100,0))</f>
        <v>99</v>
      </c>
      <c r="P41" s="54" t="n">
        <v>12.611031247229</v>
      </c>
      <c r="Q41" s="55" t="n">
        <f aca="false">T41*$H$5</f>
        <v>5388.18679314119</v>
      </c>
      <c r="R41" s="56" t="n">
        <f aca="false">MAX(0,MIN(1,P41/100+$D$5))</f>
        <v>0.529404123332476</v>
      </c>
      <c r="S41" s="57" t="s">
        <v>144</v>
      </c>
      <c r="T41" s="55" t="n">
        <v>5388.18679314119</v>
      </c>
    </row>
    <row r="42" customFormat="false" ht="15" hidden="false" customHeight="false" outlineLevel="0" collapsed="false">
      <c r="A42" s="21" t="s">
        <v>149</v>
      </c>
      <c r="B42" s="21" t="s">
        <v>157</v>
      </c>
      <c r="C42" s="21" t="s">
        <v>122</v>
      </c>
      <c r="D42" s="37" t="n">
        <f aca="false">ROUND(Q42*R42,0)</f>
        <v>1091</v>
      </c>
      <c r="E42" s="37" t="n">
        <f aca="false">ROUND(Q42,0)-D42</f>
        <v>514</v>
      </c>
      <c r="F42" s="37" t="n">
        <f aca="false">IF(COUNTA(D42:E42)=0,"",SUM(D42:E42))</f>
        <v>1605</v>
      </c>
      <c r="G42" s="52" t="n">
        <f aca="false">IF(OR(F42="",F42=0),"",D42/F42)</f>
        <v>0.679750778816199</v>
      </c>
      <c r="H42" s="52" t="n">
        <f aca="false">IF(OR(F42="",F42=0),"",E42/F42)</f>
        <v>0.320249221183801</v>
      </c>
      <c r="I42" s="21" t="s">
        <v>123</v>
      </c>
      <c r="J42" s="53" t="n">
        <v>1.32461619797241</v>
      </c>
      <c r="K42" s="52" t="n">
        <f aca="false">IF(G42="","",MAX(0,G42-J42/100))</f>
        <v>0.666504616836475</v>
      </c>
      <c r="L42" s="52" t="n">
        <f aca="false">IF(G42="","",MIN(1,G42+J42/100))</f>
        <v>0.692996940795923</v>
      </c>
      <c r="M42" s="37" t="n">
        <f aca="false">IF(F42="","",ROUND(F42*J42/100,0))</f>
        <v>21</v>
      </c>
      <c r="P42" s="54" t="n">
        <v>27.6220092463041</v>
      </c>
      <c r="Q42" s="55" t="n">
        <f aca="false">T42*$H$5</f>
        <v>1605.4392182842</v>
      </c>
      <c r="R42" s="56" t="n">
        <f aca="false">MAX(0,MIN(1,P42/100+$D$5))</f>
        <v>0.679513903323226</v>
      </c>
      <c r="S42" s="57" t="s">
        <v>130</v>
      </c>
      <c r="T42" s="55" t="n">
        <v>1605.4392182842</v>
      </c>
    </row>
    <row r="43" customFormat="false" ht="15" hidden="false" customHeight="false" outlineLevel="0" collapsed="false">
      <c r="A43" s="21" t="s">
        <v>149</v>
      </c>
      <c r="B43" s="21" t="s">
        <v>158</v>
      </c>
      <c r="C43" s="21" t="s">
        <v>122</v>
      </c>
      <c r="D43" s="37" t="n">
        <f aca="false">ROUND(Q43*R43,0)</f>
        <v>260</v>
      </c>
      <c r="E43" s="37" t="n">
        <f aca="false">ROUND(Q43,0)-D43</f>
        <v>224</v>
      </c>
      <c r="F43" s="37" t="n">
        <f aca="false">IF(COUNTA(D43:E43)=0,"",SUM(D43:E43))</f>
        <v>484</v>
      </c>
      <c r="G43" s="52" t="n">
        <f aca="false">IF(OR(F43="",F43=0),"",D43/F43)</f>
        <v>0.537190082644628</v>
      </c>
      <c r="H43" s="52" t="n">
        <f aca="false">IF(OR(F43="",F43=0),"",E43/F43)</f>
        <v>0.462809917355372</v>
      </c>
      <c r="I43" s="21" t="s">
        <v>123</v>
      </c>
      <c r="J43" s="53" t="n">
        <v>2.40839232344956</v>
      </c>
      <c r="K43" s="52" t="n">
        <f aca="false">IF(G43="","",MAX(0,G43-J43/100))</f>
        <v>0.513106159410133</v>
      </c>
      <c r="L43" s="52" t="n">
        <f aca="false">IF(G43="","",MIN(1,G43+J43/100))</f>
        <v>0.561274005879124</v>
      </c>
      <c r="M43" s="37" t="n">
        <f aca="false">IF(F43="","",ROUND(F43*J43/100,0))</f>
        <v>12</v>
      </c>
      <c r="P43" s="54" t="n">
        <v>13.3829675995039</v>
      </c>
      <c r="Q43" s="55" t="n">
        <f aca="false">T43*$H$5</f>
        <v>483.913480885312</v>
      </c>
      <c r="R43" s="56" t="n">
        <f aca="false">MAX(0,MIN(1,P43/100+$D$5))</f>
        <v>0.537123486855225</v>
      </c>
      <c r="S43" s="57" t="s">
        <v>124</v>
      </c>
      <c r="T43" s="55" t="n">
        <v>483.913480885312</v>
      </c>
    </row>
    <row r="44" customFormat="false" ht="15" hidden="false" customHeight="false" outlineLevel="0" collapsed="false">
      <c r="A44" s="21" t="s">
        <v>149</v>
      </c>
      <c r="B44" s="21" t="s">
        <v>159</v>
      </c>
      <c r="C44" s="21" t="s">
        <v>122</v>
      </c>
      <c r="D44" s="37" t="n">
        <f aca="false">ROUND(Q44*R44,0)</f>
        <v>517</v>
      </c>
      <c r="E44" s="37" t="n">
        <f aca="false">ROUND(Q44,0)-D44</f>
        <v>1140</v>
      </c>
      <c r="F44" s="37" t="n">
        <f aca="false">IF(COUNTA(D44:E44)=0,"",SUM(D44:E44))</f>
        <v>1657</v>
      </c>
      <c r="G44" s="52" t="n">
        <f aca="false">IF(OR(F44="",F44=0),"",D44/F44)</f>
        <v>0.312009656004828</v>
      </c>
      <c r="H44" s="52" t="n">
        <f aca="false">IF(OR(F44="",F44=0),"",E44/F44)</f>
        <v>0.687990343995172</v>
      </c>
      <c r="I44" s="21" t="s">
        <v>123</v>
      </c>
      <c r="J44" s="53" t="n">
        <v>1.32461619797241</v>
      </c>
      <c r="K44" s="52" t="n">
        <f aca="false">IF(G44="","",MAX(0,G44-J44/100))</f>
        <v>0.298763494025104</v>
      </c>
      <c r="L44" s="52" t="n">
        <f aca="false">IF(G44="","",MIN(1,G44+J44/100))</f>
        <v>0.325255817984552</v>
      </c>
      <c r="M44" s="37" t="n">
        <f aca="false">IF(F44="","",ROUND(F44*J44/100,0))</f>
        <v>22</v>
      </c>
      <c r="P44" s="54" t="n">
        <v>-9.13319743269438</v>
      </c>
      <c r="Q44" s="55" t="n">
        <f aca="false">T44*$H$5</f>
        <v>1656.73758865248</v>
      </c>
      <c r="R44" s="56" t="n">
        <f aca="false">MAX(0,MIN(1,P44/100+$D$5))</f>
        <v>0.311961836533242</v>
      </c>
      <c r="S44" s="57" t="s">
        <v>130</v>
      </c>
      <c r="T44" s="55" t="n">
        <v>1656.73758865248</v>
      </c>
    </row>
    <row r="45" customFormat="false" ht="15" hidden="false" customHeight="false" outlineLevel="0" collapsed="false">
      <c r="A45" s="21" t="s">
        <v>149</v>
      </c>
      <c r="B45" s="21" t="s">
        <v>160</v>
      </c>
      <c r="C45" s="21" t="s">
        <v>122</v>
      </c>
      <c r="D45" s="37" t="n">
        <f aca="false">ROUND(Q45*R45,0)</f>
        <v>8045</v>
      </c>
      <c r="E45" s="37" t="n">
        <f aca="false">ROUND(Q45,0)-D45</f>
        <v>8290</v>
      </c>
      <c r="F45" s="37" t="n">
        <f aca="false">IF(COUNTA(D45:E45)=0,"",SUM(D45:E45))</f>
        <v>16335</v>
      </c>
      <c r="G45" s="52" t="n">
        <f aca="false">IF(OR(F45="",F45=0),"",D45/F45)</f>
        <v>0.492500765228038</v>
      </c>
      <c r="H45" s="52" t="n">
        <f aca="false">IF(OR(F45="",F45=0),"",E45/F45)</f>
        <v>0.507499234771962</v>
      </c>
      <c r="I45" s="21" t="s">
        <v>123</v>
      </c>
      <c r="J45" s="53" t="n">
        <v>1.84350043958238</v>
      </c>
      <c r="K45" s="52" t="n">
        <f aca="false">IF(G45="","",MAX(0,G45-J45/100))</f>
        <v>0.474065760832214</v>
      </c>
      <c r="L45" s="52" t="n">
        <f aca="false">IF(G45="","",MIN(1,G45+J45/100))</f>
        <v>0.510935769623862</v>
      </c>
      <c r="M45" s="37" t="n">
        <f aca="false">IF(F45="","",ROUND(F45*J45/100,0))</f>
        <v>301</v>
      </c>
      <c r="P45" s="54" t="n">
        <v>8.92007547030964</v>
      </c>
      <c r="Q45" s="55" t="n">
        <f aca="false">T45*$H$5</f>
        <v>16334.7109624891</v>
      </c>
      <c r="R45" s="56" t="n">
        <f aca="false">MAX(0,MIN(1,P45/100+$D$5))</f>
        <v>0.492494565563282</v>
      </c>
      <c r="S45" s="57" t="s">
        <v>144</v>
      </c>
      <c r="T45" s="55" t="n">
        <v>16334.7109624891</v>
      </c>
    </row>
    <row r="46" customFormat="false" ht="15" hidden="false" customHeight="false" outlineLevel="0" collapsed="false">
      <c r="A46" s="21" t="s">
        <v>149</v>
      </c>
      <c r="B46" s="21" t="s">
        <v>161</v>
      </c>
      <c r="C46" s="21" t="s">
        <v>122</v>
      </c>
      <c r="D46" s="37" t="n">
        <f aca="false">ROUND(Q46*R46,0)</f>
        <v>808</v>
      </c>
      <c r="E46" s="37" t="n">
        <f aca="false">ROUND(Q46,0)-D46</f>
        <v>1396</v>
      </c>
      <c r="F46" s="37" t="n">
        <f aca="false">IF(COUNTA(D46:E46)=0,"",SUM(D46:E46))</f>
        <v>2204</v>
      </c>
      <c r="G46" s="52" t="n">
        <f aca="false">IF(OR(F46="",F46=0),"",D46/F46)</f>
        <v>0.366606170598911</v>
      </c>
      <c r="H46" s="52" t="n">
        <f aca="false">IF(OR(F46="",F46=0),"",E46/F46)</f>
        <v>0.633393829401089</v>
      </c>
      <c r="I46" s="21" t="s">
        <v>123</v>
      </c>
      <c r="J46" s="53" t="n">
        <v>1.32461619797241</v>
      </c>
      <c r="K46" s="52" t="n">
        <f aca="false">IF(G46="","",MAX(0,G46-J46/100))</f>
        <v>0.353360008619187</v>
      </c>
      <c r="L46" s="52" t="n">
        <f aca="false">IF(G46="","",MIN(1,G46+J46/100))</f>
        <v>0.379852332578635</v>
      </c>
      <c r="M46" s="37" t="n">
        <f aca="false">IF(F46="","",ROUND(F46*J46/100,0))</f>
        <v>29</v>
      </c>
      <c r="P46" s="54" t="n">
        <v>-3.66528659328381</v>
      </c>
      <c r="Q46" s="55" t="n">
        <f aca="false">T46*$H$5</f>
        <v>2204.10505319149</v>
      </c>
      <c r="R46" s="56" t="n">
        <f aca="false">MAX(0,MIN(1,P46/100+$D$5))</f>
        <v>0.366640944927348</v>
      </c>
      <c r="S46" s="57" t="s">
        <v>130</v>
      </c>
      <c r="T46" s="55" t="n">
        <v>2204.10505319149</v>
      </c>
    </row>
    <row r="47" customFormat="false" ht="15" hidden="false" customHeight="false" outlineLevel="0" collapsed="false">
      <c r="A47" s="21" t="s">
        <v>149</v>
      </c>
      <c r="B47" s="21" t="s">
        <v>162</v>
      </c>
      <c r="C47" s="21" t="s">
        <v>122</v>
      </c>
      <c r="D47" s="37" t="n">
        <f aca="false">ROUND(Q47*R47,0)</f>
        <v>433</v>
      </c>
      <c r="E47" s="37" t="n">
        <f aca="false">ROUND(Q47,0)-D47</f>
        <v>804</v>
      </c>
      <c r="F47" s="37" t="n">
        <f aca="false">IF(COUNTA(D47:E47)=0,"",SUM(D47:E47))</f>
        <v>1237</v>
      </c>
      <c r="G47" s="52" t="n">
        <f aca="false">IF(OR(F47="",F47=0),"",D47/F47)</f>
        <v>0.350040420371867</v>
      </c>
      <c r="H47" s="52" t="n">
        <f aca="false">IF(OR(F47="",F47=0),"",E47/F47)</f>
        <v>0.649959579628133</v>
      </c>
      <c r="I47" s="21" t="s">
        <v>123</v>
      </c>
      <c r="J47" s="53" t="n">
        <v>2.40839232344956</v>
      </c>
      <c r="K47" s="52" t="n">
        <f aca="false">IF(G47="","",MAX(0,G47-J47/100))</f>
        <v>0.325956497137372</v>
      </c>
      <c r="L47" s="52" t="n">
        <f aca="false">IF(G47="","",MIN(1,G47+J47/100))</f>
        <v>0.374124343606363</v>
      </c>
      <c r="M47" s="37" t="n">
        <f aca="false">IF(F47="","",ROUND(F47*J47/100,0))</f>
        <v>30</v>
      </c>
      <c r="P47" s="54" t="n">
        <v>-5.35819604534783</v>
      </c>
      <c r="Q47" s="55" t="n">
        <f aca="false">T47*$H$5</f>
        <v>1236.97340124505</v>
      </c>
      <c r="R47" s="56" t="n">
        <f aca="false">MAX(0,MIN(1,P47/100+$D$5))</f>
        <v>0.349711850406708</v>
      </c>
      <c r="S47" s="57" t="s">
        <v>124</v>
      </c>
      <c r="T47" s="55" t="n">
        <v>1236.97340124505</v>
      </c>
    </row>
    <row r="48" customFormat="false" ht="15" hidden="false" customHeight="false" outlineLevel="0" collapsed="false">
      <c r="A48" s="21" t="s">
        <v>149</v>
      </c>
      <c r="B48" s="21" t="s">
        <v>163</v>
      </c>
      <c r="C48" s="21" t="s">
        <v>122</v>
      </c>
      <c r="D48" s="37" t="n">
        <f aca="false">ROUND(Q48*R48,0)</f>
        <v>685</v>
      </c>
      <c r="E48" s="37" t="n">
        <f aca="false">ROUND(Q48,0)-D48</f>
        <v>1507</v>
      </c>
      <c r="F48" s="37" t="n">
        <f aca="false">IF(COUNTA(D48:E48)=0,"",SUM(D48:E48))</f>
        <v>2192</v>
      </c>
      <c r="G48" s="52" t="n">
        <f aca="false">IF(OR(F48="",F48=0),"",D48/F48)</f>
        <v>0.3125</v>
      </c>
      <c r="H48" s="52" t="n">
        <f aca="false">IF(OR(F48="",F48=0),"",E48/F48)</f>
        <v>0.6875</v>
      </c>
      <c r="I48" s="21" t="s">
        <v>123</v>
      </c>
      <c r="J48" s="53" t="n">
        <v>1.32461619797241</v>
      </c>
      <c r="K48" s="52" t="n">
        <f aca="false">IF(G48="","",MAX(0,G48-J48/100))</f>
        <v>0.299253838020276</v>
      </c>
      <c r="L48" s="52" t="n">
        <f aca="false">IF(G48="","",MIN(1,G48+J48/100))</f>
        <v>0.325746161979724</v>
      </c>
      <c r="M48" s="37" t="n">
        <f aca="false">IF(F48="","",ROUND(F48*J48/100,0))</f>
        <v>29</v>
      </c>
      <c r="P48" s="54" t="n">
        <v>-9.08674511248393</v>
      </c>
      <c r="Q48" s="55" t="n">
        <f aca="false">T48*$H$5</f>
        <v>2191.88036117382</v>
      </c>
      <c r="R48" s="56" t="n">
        <f aca="false">MAX(0,MIN(1,P48/100+$D$5))</f>
        <v>0.312426359735347</v>
      </c>
      <c r="S48" s="57" t="s">
        <v>130</v>
      </c>
      <c r="T48" s="55" t="n">
        <v>2191.88036117382</v>
      </c>
    </row>
    <row r="49" customFormat="false" ht="15" hidden="false" customHeight="false" outlineLevel="0" collapsed="false">
      <c r="A49" s="21" t="s">
        <v>149</v>
      </c>
      <c r="B49" s="21" t="s">
        <v>164</v>
      </c>
      <c r="C49" s="21" t="s">
        <v>122</v>
      </c>
      <c r="D49" s="37" t="n">
        <f aca="false">ROUND(Q49*R49,0)</f>
        <v>788</v>
      </c>
      <c r="E49" s="37" t="n">
        <f aca="false">ROUND(Q49,0)-D49</f>
        <v>725</v>
      </c>
      <c r="F49" s="37" t="n">
        <f aca="false">IF(COUNTA(D49:E49)=0,"",SUM(D49:E49))</f>
        <v>1513</v>
      </c>
      <c r="G49" s="52" t="n">
        <f aca="false">IF(OR(F49="",F49=0),"",D49/F49)</f>
        <v>0.520819563780568</v>
      </c>
      <c r="H49" s="52" t="n">
        <f aca="false">IF(OR(F49="",F49=0),"",E49/F49)</f>
        <v>0.479180436219432</v>
      </c>
      <c r="I49" s="21" t="s">
        <v>123</v>
      </c>
      <c r="J49" s="53" t="n">
        <v>2.40839232344956</v>
      </c>
      <c r="K49" s="52" t="n">
        <f aca="false">IF(G49="","",MAX(0,G49-J49/100))</f>
        <v>0.496735640546073</v>
      </c>
      <c r="L49" s="52" t="n">
        <f aca="false">IF(G49="","",MIN(1,G49+J49/100))</f>
        <v>0.544903487015064</v>
      </c>
      <c r="M49" s="37" t="n">
        <f aca="false">IF(F49="","",ROUND(F49*J49/100,0))</f>
        <v>36</v>
      </c>
      <c r="P49" s="54" t="n">
        <v>11.731029223154</v>
      </c>
      <c r="Q49" s="55" t="n">
        <f aca="false">T49*$H$5</f>
        <v>1512.74151436031</v>
      </c>
      <c r="R49" s="56" t="n">
        <f aca="false">MAX(0,MIN(1,P49/100+$D$5))</f>
        <v>0.520604103091726</v>
      </c>
      <c r="S49" s="57" t="s">
        <v>124</v>
      </c>
      <c r="T49" s="55" t="n">
        <v>1512.74151436031</v>
      </c>
    </row>
    <row r="50" customFormat="false" ht="15" hidden="false" customHeight="false" outlineLevel="0" collapsed="false">
      <c r="A50" s="21" t="s">
        <v>149</v>
      </c>
      <c r="B50" s="21" t="s">
        <v>165</v>
      </c>
      <c r="C50" s="21" t="s">
        <v>122</v>
      </c>
      <c r="D50" s="37" t="n">
        <f aca="false">ROUND(Q50*R50,0)</f>
        <v>3219</v>
      </c>
      <c r="E50" s="37" t="n">
        <f aca="false">ROUND(Q50,0)-D50</f>
        <v>4678</v>
      </c>
      <c r="F50" s="37" t="n">
        <f aca="false">IF(COUNTA(D50:E50)=0,"",SUM(D50:E50))</f>
        <v>7897</v>
      </c>
      <c r="G50" s="52" t="n">
        <f aca="false">IF(OR(F50="",F50=0),"",D50/F50)</f>
        <v>0.407623148030898</v>
      </c>
      <c r="H50" s="52" t="n">
        <f aca="false">IF(OR(F50="",F50=0),"",E50/F50)</f>
        <v>0.592376851969102</v>
      </c>
      <c r="I50" s="21" t="s">
        <v>123</v>
      </c>
      <c r="J50" s="53" t="n">
        <v>1.84350043958238</v>
      </c>
      <c r="K50" s="52" t="n">
        <f aca="false">IF(G50="","",MAX(0,G50-J50/100))</f>
        <v>0.389188143635074</v>
      </c>
      <c r="L50" s="52" t="n">
        <f aca="false">IF(G50="","",MIN(1,G50+J50/100))</f>
        <v>0.426058152426722</v>
      </c>
      <c r="M50" s="37" t="n">
        <f aca="false">IF(F50="","",ROUND(F50*J50/100,0))</f>
        <v>146</v>
      </c>
      <c r="P50" s="54" t="n">
        <v>0.437247288894384</v>
      </c>
      <c r="Q50" s="55" t="n">
        <f aca="false">T50*$H$5</f>
        <v>7896.51133047211</v>
      </c>
      <c r="R50" s="56" t="n">
        <f aca="false">MAX(0,MIN(1,P50/100+$D$5))</f>
        <v>0.40766628374913</v>
      </c>
      <c r="S50" s="57" t="s">
        <v>144</v>
      </c>
      <c r="T50" s="55" t="n">
        <v>7896.5113304721</v>
      </c>
    </row>
    <row r="51" customFormat="false" ht="15" hidden="false" customHeight="false" outlineLevel="0" collapsed="false">
      <c r="A51" s="21" t="s">
        <v>149</v>
      </c>
      <c r="B51" s="21" t="s">
        <v>166</v>
      </c>
      <c r="C51" s="21" t="s">
        <v>122</v>
      </c>
      <c r="D51" s="37" t="n">
        <f aca="false">ROUND(Q51*R51,0)</f>
        <v>3168</v>
      </c>
      <c r="E51" s="37" t="n">
        <f aca="false">ROUND(Q51,0)-D51</f>
        <v>3262</v>
      </c>
      <c r="F51" s="37" t="n">
        <f aca="false">IF(COUNTA(D51:E51)=0,"",SUM(D51:E51))</f>
        <v>6430</v>
      </c>
      <c r="G51" s="52" t="n">
        <f aca="false">IF(OR(F51="",F51=0),"",D51/F51)</f>
        <v>0.492690513219285</v>
      </c>
      <c r="H51" s="52" t="n">
        <f aca="false">IF(OR(F51="",F51=0),"",E51/F51)</f>
        <v>0.507309486780715</v>
      </c>
      <c r="I51" s="21" t="s">
        <v>123</v>
      </c>
      <c r="J51" s="53" t="n">
        <v>1.84350043958238</v>
      </c>
      <c r="K51" s="52" t="n">
        <f aca="false">IF(G51="","",MAX(0,G51-J51/100))</f>
        <v>0.474255508823461</v>
      </c>
      <c r="L51" s="52" t="n">
        <f aca="false">IF(G51="","",MIN(1,G51+J51/100))</f>
        <v>0.511125517615108</v>
      </c>
      <c r="M51" s="37" t="n">
        <f aca="false">IF(F51="","",ROUND(F51*J51/100,0))</f>
        <v>119</v>
      </c>
      <c r="P51" s="54" t="n">
        <v>8.9403647051058</v>
      </c>
      <c r="Q51" s="55" t="n">
        <f aca="false">T51*$H$5</f>
        <v>6429.97090760091</v>
      </c>
      <c r="R51" s="56" t="n">
        <f aca="false">MAX(0,MIN(1,P51/100+$D$5))</f>
        <v>0.492697457911244</v>
      </c>
      <c r="S51" s="57" t="s">
        <v>144</v>
      </c>
      <c r="T51" s="55" t="n">
        <v>6429.9709076009</v>
      </c>
    </row>
    <row r="52" customFormat="false" ht="15" hidden="false" customHeight="false" outlineLevel="0" collapsed="false">
      <c r="A52" s="21" t="s">
        <v>149</v>
      </c>
      <c r="B52" s="21" t="s">
        <v>167</v>
      </c>
      <c r="C52" s="21" t="s">
        <v>122</v>
      </c>
      <c r="D52" s="37" t="n">
        <f aca="false">ROUND(Q52*R52,0)</f>
        <v>584</v>
      </c>
      <c r="E52" s="37" t="n">
        <f aca="false">ROUND(Q52,0)-D52</f>
        <v>806</v>
      </c>
      <c r="F52" s="37" t="n">
        <f aca="false">IF(COUNTA(D52:E52)=0,"",SUM(D52:E52))</f>
        <v>1390</v>
      </c>
      <c r="G52" s="52" t="n">
        <f aca="false">IF(OR(F52="",F52=0),"",D52/F52)</f>
        <v>0.420143884892086</v>
      </c>
      <c r="H52" s="52" t="n">
        <f aca="false">IF(OR(F52="",F52=0),"",E52/F52)</f>
        <v>0.579856115107914</v>
      </c>
      <c r="I52" s="21" t="s">
        <v>123</v>
      </c>
      <c r="J52" s="53" t="n">
        <v>2.40839232344956</v>
      </c>
      <c r="K52" s="52" t="n">
        <f aca="false">IF(G52="","",MAX(0,G52-J52/100))</f>
        <v>0.396059961657591</v>
      </c>
      <c r="L52" s="52" t="n">
        <f aca="false">IF(G52="","",MIN(1,G52+J52/100))</f>
        <v>0.444227808126582</v>
      </c>
      <c r="M52" s="37" t="n">
        <f aca="false">IF(F52="","",ROUND(F52*J52/100,0))</f>
        <v>33</v>
      </c>
      <c r="P52" s="54" t="n">
        <v>1.71603451773743</v>
      </c>
      <c r="Q52" s="55" t="n">
        <f aca="false">T52*$H$5</f>
        <v>1390.15942028985</v>
      </c>
      <c r="R52" s="56" t="n">
        <f aca="false">MAX(0,MIN(1,P52/100+$D$5))</f>
        <v>0.42045415603756</v>
      </c>
      <c r="S52" s="57" t="s">
        <v>124</v>
      </c>
      <c r="T52" s="55" t="n">
        <v>1390.15942028985</v>
      </c>
    </row>
    <row r="53" customFormat="false" ht="15" hidden="false" customHeight="false" outlineLevel="0" collapsed="false">
      <c r="A53" s="21" t="s">
        <v>149</v>
      </c>
      <c r="B53" s="21" t="s">
        <v>168</v>
      </c>
      <c r="C53" s="21" t="s">
        <v>122</v>
      </c>
      <c r="D53" s="37" t="n">
        <f aca="false">ROUND(Q53*R53,0)</f>
        <v>5531</v>
      </c>
      <c r="E53" s="37" t="n">
        <f aca="false">ROUND(Q53,0)-D53</f>
        <v>4955</v>
      </c>
      <c r="F53" s="37" t="n">
        <f aca="false">IF(COUNTA(D53:E53)=0,"",SUM(D53:E53))</f>
        <v>10486</v>
      </c>
      <c r="G53" s="52" t="n">
        <f aca="false">IF(OR(F53="",F53=0),"",D53/F53)</f>
        <v>0.52746519168415</v>
      </c>
      <c r="H53" s="52" t="n">
        <f aca="false">IF(OR(F53="",F53=0),"",E53/F53)</f>
        <v>0.47253480831585</v>
      </c>
      <c r="I53" s="21" t="s">
        <v>123</v>
      </c>
      <c r="J53" s="53" t="n">
        <v>1.84350043958238</v>
      </c>
      <c r="K53" s="52" t="n">
        <f aca="false">IF(G53="","",MAX(0,G53-J53/100))</f>
        <v>0.509030187288327</v>
      </c>
      <c r="L53" s="52" t="n">
        <f aca="false">IF(G53="","",MIN(1,G53+J53/100))</f>
        <v>0.545900196079974</v>
      </c>
      <c r="M53" s="37" t="n">
        <f aca="false">IF(F53="","",ROUND(F53*J53/100,0))</f>
        <v>193</v>
      </c>
      <c r="P53" s="54" t="n">
        <v>12.4197701631263</v>
      </c>
      <c r="Q53" s="55" t="n">
        <f aca="false">T53*$H$5</f>
        <v>10486.1559171025</v>
      </c>
      <c r="R53" s="56" t="n">
        <f aca="false">MAX(0,MIN(1,P53/100+$D$5))</f>
        <v>0.527491512491448</v>
      </c>
      <c r="S53" s="57" t="s">
        <v>144</v>
      </c>
      <c r="T53" s="55" t="n">
        <v>10486.1559171025</v>
      </c>
    </row>
    <row r="54" customFormat="false" ht="15" hidden="false" customHeight="false" outlineLevel="0" collapsed="false">
      <c r="A54" s="21" t="s">
        <v>149</v>
      </c>
      <c r="B54" s="21" t="s">
        <v>169</v>
      </c>
      <c r="C54" s="21" t="s">
        <v>122</v>
      </c>
      <c r="D54" s="37" t="n">
        <f aca="false">ROUND(Q54*R54,0)</f>
        <v>6220</v>
      </c>
      <c r="E54" s="37" t="n">
        <f aca="false">ROUND(Q54,0)-D54</f>
        <v>5810</v>
      </c>
      <c r="F54" s="37" t="n">
        <f aca="false">IF(COUNTA(D54:E54)=0,"",SUM(D54:E54))</f>
        <v>12030</v>
      </c>
      <c r="G54" s="52" t="n">
        <f aca="false">IF(OR(F54="",F54=0),"",D54/F54)</f>
        <v>0.517040731504572</v>
      </c>
      <c r="H54" s="52" t="n">
        <f aca="false">IF(OR(F54="",F54=0),"",E54/F54)</f>
        <v>0.482959268495428</v>
      </c>
      <c r="I54" s="21" t="s">
        <v>123</v>
      </c>
      <c r="J54" s="53" t="n">
        <v>1.84350043958238</v>
      </c>
      <c r="K54" s="52" t="n">
        <f aca="false">IF(G54="","",MAX(0,G54-J54/100))</f>
        <v>0.498605727108748</v>
      </c>
      <c r="L54" s="52" t="n">
        <f aca="false">IF(G54="","",MIN(1,G54+J54/100))</f>
        <v>0.535475735900396</v>
      </c>
      <c r="M54" s="37" t="n">
        <f aca="false">IF(F54="","",ROUND(F54*J54/100,0))</f>
        <v>222</v>
      </c>
      <c r="P54" s="54" t="n">
        <v>11.3704794898515</v>
      </c>
      <c r="Q54" s="55" t="n">
        <f aca="false">T54*$H$5</f>
        <v>12030.3346699902</v>
      </c>
      <c r="R54" s="56" t="n">
        <f aca="false">MAX(0,MIN(1,P54/100+$D$5))</f>
        <v>0.5169986057587</v>
      </c>
      <c r="S54" s="57" t="s">
        <v>144</v>
      </c>
      <c r="T54" s="55" t="n">
        <v>12030.3346699902</v>
      </c>
    </row>
    <row r="55" customFormat="false" ht="15" hidden="false" customHeight="false" outlineLevel="0" collapsed="false">
      <c r="A55" s="21" t="s">
        <v>149</v>
      </c>
      <c r="B55" s="21" t="s">
        <v>170</v>
      </c>
      <c r="C55" s="21" t="s">
        <v>122</v>
      </c>
      <c r="D55" s="37" t="n">
        <f aca="false">ROUND(Q55*R55,0)</f>
        <v>1998</v>
      </c>
      <c r="E55" s="37" t="n">
        <f aca="false">ROUND(Q55,0)-D55</f>
        <v>2616</v>
      </c>
      <c r="F55" s="37" t="n">
        <f aca="false">IF(COUNTA(D55:E55)=0,"",SUM(D55:E55))</f>
        <v>4614</v>
      </c>
      <c r="G55" s="52" t="n">
        <f aca="false">IF(OR(F55="",F55=0),"",D55/F55)</f>
        <v>0.433029908972692</v>
      </c>
      <c r="H55" s="52" t="n">
        <f aca="false">IF(OR(F55="",F55=0),"",E55/F55)</f>
        <v>0.566970091027308</v>
      </c>
      <c r="I55" s="21" t="s">
        <v>123</v>
      </c>
      <c r="J55" s="53" t="n">
        <v>1.84350043958238</v>
      </c>
      <c r="K55" s="52" t="n">
        <f aca="false">IF(G55="","",MAX(0,G55-J55/100))</f>
        <v>0.414594904576868</v>
      </c>
      <c r="L55" s="52" t="n">
        <f aca="false">IF(G55="","",MIN(1,G55+J55/100))</f>
        <v>0.451464913368516</v>
      </c>
      <c r="M55" s="37" t="n">
        <f aca="false">IF(F55="","",ROUND(F55*J55/100,0))</f>
        <v>85</v>
      </c>
      <c r="P55" s="54" t="n">
        <v>2.97906478016407</v>
      </c>
      <c r="Q55" s="55" t="n">
        <f aca="false">T55*$H$5</f>
        <v>4613.50991276765</v>
      </c>
      <c r="R55" s="56" t="n">
        <f aca="false">MAX(0,MIN(1,P55/100+$D$5))</f>
        <v>0.433084458661827</v>
      </c>
      <c r="S55" s="57" t="s">
        <v>144</v>
      </c>
      <c r="T55" s="55" t="n">
        <v>4613.50991276765</v>
      </c>
    </row>
    <row r="56" customFormat="false" ht="15" hidden="false" customHeight="false" outlineLevel="0" collapsed="false">
      <c r="A56" s="21" t="s">
        <v>149</v>
      </c>
      <c r="B56" s="21" t="s">
        <v>171</v>
      </c>
      <c r="C56" s="21" t="s">
        <v>122</v>
      </c>
      <c r="D56" s="37" t="n">
        <f aca="false">ROUND(Q56*R56,0)</f>
        <v>4538</v>
      </c>
      <c r="E56" s="37" t="n">
        <f aca="false">ROUND(Q56,0)-D56</f>
        <v>4806</v>
      </c>
      <c r="F56" s="37" t="n">
        <f aca="false">IF(COUNTA(D56:E56)=0,"",SUM(D56:E56))</f>
        <v>9344</v>
      </c>
      <c r="G56" s="52" t="n">
        <f aca="false">IF(OR(F56="",F56=0),"",D56/F56)</f>
        <v>0.485659246575343</v>
      </c>
      <c r="H56" s="52" t="n">
        <f aca="false">IF(OR(F56="",F56=0),"",E56/F56)</f>
        <v>0.514340753424658</v>
      </c>
      <c r="I56" s="21" t="s">
        <v>123</v>
      </c>
      <c r="J56" s="53" t="n">
        <v>1.84350043958238</v>
      </c>
      <c r="K56" s="52" t="n">
        <f aca="false">IF(G56="","",MAX(0,G56-J56/100))</f>
        <v>0.467224242179519</v>
      </c>
      <c r="L56" s="52" t="n">
        <f aca="false">IF(G56="","",MIN(1,G56+J56/100))</f>
        <v>0.504094250971166</v>
      </c>
      <c r="M56" s="37" t="n">
        <f aca="false">IF(F56="","",ROUND(F56*J56/100,0))</f>
        <v>172</v>
      </c>
      <c r="P56" s="54" t="n">
        <v>8.23531455629215</v>
      </c>
      <c r="Q56" s="55" t="n">
        <f aca="false">T56*$H$5</f>
        <v>9343.93860561915</v>
      </c>
      <c r="R56" s="56" t="n">
        <f aca="false">MAX(0,MIN(1,P56/100+$D$5))</f>
        <v>0.485646956423107</v>
      </c>
      <c r="S56" s="57" t="s">
        <v>144</v>
      </c>
      <c r="T56" s="55" t="n">
        <v>9343.93860561915</v>
      </c>
    </row>
    <row r="57" customFormat="false" ht="15" hidden="false" customHeight="false" outlineLevel="0" collapsed="false">
      <c r="A57" s="21" t="s">
        <v>149</v>
      </c>
      <c r="B57" s="21" t="s">
        <v>172</v>
      </c>
      <c r="C57" s="21" t="s">
        <v>122</v>
      </c>
      <c r="D57" s="37" t="n">
        <f aca="false">ROUND(Q57*R57,0)</f>
        <v>1009</v>
      </c>
      <c r="E57" s="37" t="n">
        <f aca="false">ROUND(Q57,0)-D57</f>
        <v>2094</v>
      </c>
      <c r="F57" s="37" t="n">
        <f aca="false">IF(COUNTA(D57:E57)=0,"",SUM(D57:E57))</f>
        <v>3103</v>
      </c>
      <c r="G57" s="52" t="n">
        <f aca="false">IF(OR(F57="",F57=0),"",D57/F57)</f>
        <v>0.325169191105382</v>
      </c>
      <c r="H57" s="52" t="n">
        <f aca="false">IF(OR(F57="",F57=0),"",E57/F57)</f>
        <v>0.674830808894618</v>
      </c>
      <c r="I57" s="21" t="s">
        <v>123</v>
      </c>
      <c r="J57" s="53" t="n">
        <v>1.32461619797241</v>
      </c>
      <c r="K57" s="52" t="n">
        <f aca="false">IF(G57="","",MAX(0,G57-J57/100))</f>
        <v>0.311923029125658</v>
      </c>
      <c r="L57" s="52" t="n">
        <f aca="false">IF(G57="","",MIN(1,G57+J57/100))</f>
        <v>0.338415353085106</v>
      </c>
      <c r="M57" s="37" t="n">
        <f aca="false">IF(F57="","",ROUND(F57*J57/100,0))</f>
        <v>41</v>
      </c>
      <c r="P57" s="54" t="n">
        <v>-7.81900976695442</v>
      </c>
      <c r="Q57" s="55" t="n">
        <f aca="false">T57*$H$5</f>
        <v>3102.86358754028</v>
      </c>
      <c r="R57" s="56" t="n">
        <f aca="false">MAX(0,MIN(1,P57/100+$D$5))</f>
        <v>0.325103713190642</v>
      </c>
      <c r="S57" s="57" t="s">
        <v>130</v>
      </c>
      <c r="T57" s="55" t="n">
        <v>3102.86358754028</v>
      </c>
    </row>
    <row r="58" customFormat="false" ht="15" hidden="false" customHeight="false" outlineLevel="0" collapsed="false">
      <c r="A58" s="21" t="s">
        <v>149</v>
      </c>
      <c r="B58" s="21" t="s">
        <v>173</v>
      </c>
      <c r="C58" s="21" t="s">
        <v>122</v>
      </c>
      <c r="D58" s="37" t="n">
        <f aca="false">ROUND(Q58*R58,0)</f>
        <v>940</v>
      </c>
      <c r="E58" s="37" t="n">
        <f aca="false">ROUND(Q58,0)-D58</f>
        <v>1800</v>
      </c>
      <c r="F58" s="37" t="n">
        <f aca="false">IF(COUNTA(D58:E58)=0,"",SUM(D58:E58))</f>
        <v>2740</v>
      </c>
      <c r="G58" s="52" t="n">
        <f aca="false">IF(OR(F58="",F58=0),"",D58/F58)</f>
        <v>0.343065693430657</v>
      </c>
      <c r="H58" s="52" t="n">
        <f aca="false">IF(OR(F58="",F58=0),"",E58/F58)</f>
        <v>0.656934306569343</v>
      </c>
      <c r="I58" s="21" t="s">
        <v>123</v>
      </c>
      <c r="J58" s="53" t="n">
        <v>1.32461619797241</v>
      </c>
      <c r="K58" s="52" t="n">
        <f aca="false">IF(G58="","",MAX(0,G58-J58/100))</f>
        <v>0.329819531450933</v>
      </c>
      <c r="L58" s="52" t="n">
        <f aca="false">IF(G58="","",MIN(1,G58+J58/100))</f>
        <v>0.356311855410381</v>
      </c>
      <c r="M58" s="37" t="n">
        <f aca="false">IF(F58="","",ROUND(F58*J58/100,0))</f>
        <v>36</v>
      </c>
      <c r="P58" s="54" t="n">
        <v>-6.0145598178844</v>
      </c>
      <c r="Q58" s="55" t="n">
        <f aca="false">T58*$H$5</f>
        <v>2739.5017118778</v>
      </c>
      <c r="R58" s="56" t="n">
        <f aca="false">MAX(0,MIN(1,P58/100+$D$5))</f>
        <v>0.343148212681342</v>
      </c>
      <c r="S58" s="57" t="s">
        <v>130</v>
      </c>
      <c r="T58" s="55" t="n">
        <v>2739.5017118778</v>
      </c>
    </row>
    <row r="59" customFormat="false" ht="15" hidden="false" customHeight="false" outlineLevel="0" collapsed="false">
      <c r="A59" s="21" t="s">
        <v>149</v>
      </c>
      <c r="B59" s="21" t="s">
        <v>174</v>
      </c>
      <c r="C59" s="21" t="s">
        <v>122</v>
      </c>
      <c r="D59" s="37" t="n">
        <f aca="false">ROUND(Q59*R59,0)</f>
        <v>5416</v>
      </c>
      <c r="E59" s="37" t="n">
        <f aca="false">ROUND(Q59,0)-D59</f>
        <v>5088</v>
      </c>
      <c r="F59" s="37" t="n">
        <f aca="false">IF(COUNTA(D59:E59)=0,"",SUM(D59:E59))</f>
        <v>10504</v>
      </c>
      <c r="G59" s="52" t="n">
        <f aca="false">IF(OR(F59="",F59=0),"",D59/F59)</f>
        <v>0.515613099771516</v>
      </c>
      <c r="H59" s="52" t="n">
        <f aca="false">IF(OR(F59="",F59=0),"",E59/F59)</f>
        <v>0.484386900228484</v>
      </c>
      <c r="I59" s="21" t="s">
        <v>123</v>
      </c>
      <c r="J59" s="53" t="n">
        <v>1.84350043958238</v>
      </c>
      <c r="K59" s="52" t="n">
        <f aca="false">IF(G59="","",MAX(0,G59-J59/100))</f>
        <v>0.497178095375692</v>
      </c>
      <c r="L59" s="52" t="n">
        <f aca="false">IF(G59="","",MIN(1,G59+J59/100))</f>
        <v>0.534048104167339</v>
      </c>
      <c r="M59" s="37" t="n">
        <f aca="false">IF(F59="","",ROUND(F59*J59/100,0))</f>
        <v>194</v>
      </c>
      <c r="P59" s="54" t="n">
        <v>11.2285819000652</v>
      </c>
      <c r="Q59" s="55" t="n">
        <f aca="false">T59*$H$5</f>
        <v>10504.2978562557</v>
      </c>
      <c r="R59" s="56" t="n">
        <f aca="false">MAX(0,MIN(1,P59/100+$D$5))</f>
        <v>0.515579629860837</v>
      </c>
      <c r="S59" s="57" t="s">
        <v>144</v>
      </c>
      <c r="T59" s="55" t="n">
        <v>10504.2978562557</v>
      </c>
    </row>
    <row r="60" customFormat="false" ht="15" hidden="false" customHeight="false" outlineLevel="0" collapsed="false">
      <c r="A60" s="21" t="s">
        <v>175</v>
      </c>
      <c r="B60" s="21" t="s">
        <v>176</v>
      </c>
      <c r="C60" s="21" t="s">
        <v>122</v>
      </c>
      <c r="D60" s="37" t="n">
        <f aca="false">ROUND(Q60*R60,0)</f>
        <v>372</v>
      </c>
      <c r="E60" s="37" t="n">
        <f aca="false">ROUND(Q60,0)-D60</f>
        <v>862</v>
      </c>
      <c r="F60" s="37" t="n">
        <f aca="false">IF(COUNTA(D60:E60)=0,"",SUM(D60:E60))</f>
        <v>1234</v>
      </c>
      <c r="G60" s="52" t="n">
        <f aca="false">IF(OR(F60="",F60=0),"",D60/F60)</f>
        <v>0.301458670988655</v>
      </c>
      <c r="H60" s="52" t="n">
        <f aca="false">IF(OR(F60="",F60=0),"",E60/F60)</f>
        <v>0.698541329011345</v>
      </c>
      <c r="I60" s="21" t="s">
        <v>123</v>
      </c>
      <c r="J60" s="53" t="n">
        <v>2.40839232344956</v>
      </c>
      <c r="K60" s="52" t="n">
        <f aca="false">IF(G60="","",MAX(0,G60-J60/100))</f>
        <v>0.277374747754159</v>
      </c>
      <c r="L60" s="52" t="n">
        <f aca="false">IF(G60="","",MIN(1,G60+J60/100))</f>
        <v>0.32554259422315</v>
      </c>
      <c r="M60" s="37" t="n">
        <f aca="false">IF(F60="","",ROUND(F60*J60/100,0))</f>
        <v>30</v>
      </c>
      <c r="P60" s="54" t="n">
        <v>-10.1657239781327</v>
      </c>
      <c r="Q60" s="55" t="n">
        <f aca="false">T60*$H$5</f>
        <v>1234.45226917058</v>
      </c>
      <c r="R60" s="56" t="n">
        <f aca="false">MAX(0,MIN(1,P60/100+$D$5))</f>
        <v>0.301636571078859</v>
      </c>
      <c r="S60" s="57" t="s">
        <v>124</v>
      </c>
      <c r="T60" s="55" t="n">
        <v>1234.45226917058</v>
      </c>
    </row>
    <row r="61" customFormat="false" ht="15" hidden="false" customHeight="false" outlineLevel="0" collapsed="false">
      <c r="A61" s="21" t="s">
        <v>175</v>
      </c>
      <c r="B61" s="21" t="s">
        <v>177</v>
      </c>
      <c r="C61" s="21" t="s">
        <v>122</v>
      </c>
      <c r="D61" s="37" t="n">
        <f aca="false">ROUND(Q61*R61,0)</f>
        <v>1036</v>
      </c>
      <c r="E61" s="37" t="n">
        <f aca="false">ROUND(Q61,0)-D61</f>
        <v>2114</v>
      </c>
      <c r="F61" s="37" t="n">
        <f aca="false">IF(COUNTA(D61:E61)=0,"",SUM(D61:E61))</f>
        <v>3150</v>
      </c>
      <c r="G61" s="52" t="n">
        <f aca="false">IF(OR(F61="",F61=0),"",D61/F61)</f>
        <v>0.328888888888889</v>
      </c>
      <c r="H61" s="52" t="n">
        <f aca="false">IF(OR(F61="",F61=0),"",E61/F61)</f>
        <v>0.671111111111111</v>
      </c>
      <c r="I61" s="21" t="s">
        <v>123</v>
      </c>
      <c r="J61" s="53" t="n">
        <v>1.32461619797241</v>
      </c>
      <c r="K61" s="52" t="n">
        <f aca="false">IF(G61="","",MAX(0,G61-J61/100))</f>
        <v>0.315642726909165</v>
      </c>
      <c r="L61" s="52" t="n">
        <f aca="false">IF(G61="","",MIN(1,G61+J61/100))</f>
        <v>0.342135050868613</v>
      </c>
      <c r="M61" s="37" t="n">
        <f aca="false">IF(F61="","",ROUND(F61*J61/100,0))</f>
        <v>42</v>
      </c>
      <c r="P61" s="54" t="n">
        <v>-7.43911608759325</v>
      </c>
      <c r="Q61" s="55" t="n">
        <f aca="false">T61*$H$5</f>
        <v>3150.4485142964</v>
      </c>
      <c r="R61" s="56" t="n">
        <f aca="false">MAX(0,MIN(1,P61/100+$D$5))</f>
        <v>0.328902649984253</v>
      </c>
      <c r="S61" s="57" t="s">
        <v>130</v>
      </c>
      <c r="T61" s="55" t="n">
        <v>3150.44851429639</v>
      </c>
    </row>
    <row r="62" customFormat="false" ht="15" hidden="false" customHeight="false" outlineLevel="0" collapsed="false">
      <c r="A62" s="21" t="s">
        <v>175</v>
      </c>
      <c r="B62" s="21" t="s">
        <v>178</v>
      </c>
      <c r="C62" s="21" t="s">
        <v>122</v>
      </c>
      <c r="D62" s="37" t="n">
        <f aca="false">ROUND(Q62*R62,0)</f>
        <v>384</v>
      </c>
      <c r="E62" s="37" t="n">
        <f aca="false">ROUND(Q62,0)-D62</f>
        <v>787</v>
      </c>
      <c r="F62" s="37" t="n">
        <f aca="false">IF(COUNTA(D62:E62)=0,"",SUM(D62:E62))</f>
        <v>1171</v>
      </c>
      <c r="G62" s="52" t="n">
        <f aca="false">IF(OR(F62="",F62=0),"",D62/F62)</f>
        <v>0.327924850555081</v>
      </c>
      <c r="H62" s="52" t="n">
        <f aca="false">IF(OR(F62="",F62=0),"",E62/F62)</f>
        <v>0.672075149444919</v>
      </c>
      <c r="I62" s="21" t="s">
        <v>123</v>
      </c>
      <c r="J62" s="53" t="n">
        <v>2.40839232344956</v>
      </c>
      <c r="K62" s="52" t="n">
        <f aca="false">IF(G62="","",MAX(0,G62-J62/100))</f>
        <v>0.303840927320586</v>
      </c>
      <c r="L62" s="52" t="n">
        <f aca="false">IF(G62="","",MIN(1,G62+J62/100))</f>
        <v>0.352008773789577</v>
      </c>
      <c r="M62" s="37" t="n">
        <f aca="false">IF(F62="","",ROUND(F62*J62/100,0))</f>
        <v>28</v>
      </c>
      <c r="P62" s="54" t="n">
        <v>-7.5376583121992</v>
      </c>
      <c r="Q62" s="55" t="n">
        <f aca="false">T62*$H$5</f>
        <v>1170.82273494654</v>
      </c>
      <c r="R62" s="56" t="n">
        <f aca="false">MAX(0,MIN(1,P62/100+$D$5))</f>
        <v>0.327917227738194</v>
      </c>
      <c r="S62" s="57" t="s">
        <v>124</v>
      </c>
      <c r="T62" s="55" t="n">
        <v>1170.82273494654</v>
      </c>
    </row>
    <row r="63" customFormat="false" ht="15" hidden="false" customHeight="false" outlineLevel="0" collapsed="false">
      <c r="A63" s="21" t="s">
        <v>179</v>
      </c>
      <c r="B63" s="21" t="s">
        <v>180</v>
      </c>
      <c r="C63" s="21" t="s">
        <v>122</v>
      </c>
      <c r="D63" s="37" t="n">
        <f aca="false">ROUND(Q63*R63,0)</f>
        <v>1191</v>
      </c>
      <c r="E63" s="37" t="n">
        <f aca="false">ROUND(Q63,0)-D63</f>
        <v>1516</v>
      </c>
      <c r="F63" s="37" t="n">
        <f aca="false">IF(COUNTA(D63:E63)=0,"",SUM(D63:E63))</f>
        <v>2707</v>
      </c>
      <c r="G63" s="52" t="n">
        <f aca="false">IF(OR(F63="",F63=0),"",D63/F63)</f>
        <v>0.439970446989287</v>
      </c>
      <c r="H63" s="52" t="n">
        <f aca="false">IF(OR(F63="",F63=0),"",E63/F63)</f>
        <v>0.560029553010713</v>
      </c>
      <c r="I63" s="21" t="s">
        <v>123</v>
      </c>
      <c r="J63" s="53" t="n">
        <v>1.32461619797241</v>
      </c>
      <c r="K63" s="52" t="n">
        <f aca="false">IF(G63="","",MAX(0,G63-J63/100))</f>
        <v>0.426724285009563</v>
      </c>
      <c r="L63" s="52" t="n">
        <f aca="false">IF(G63="","",MIN(1,G63+J63/100))</f>
        <v>0.453216608969011</v>
      </c>
      <c r="M63" s="37" t="n">
        <f aca="false">IF(F63="","",ROUND(F63*J63/100,0))</f>
        <v>36</v>
      </c>
      <c r="P63" s="54" t="n">
        <v>3.67225561918503</v>
      </c>
      <c r="Q63" s="55" t="n">
        <f aca="false">T63*$H$5</f>
        <v>2707.41725054361</v>
      </c>
      <c r="R63" s="56" t="n">
        <f aca="false">MAX(0,MIN(1,P63/100+$D$5))</f>
        <v>0.440016367052036</v>
      </c>
      <c r="S63" s="57" t="s">
        <v>130</v>
      </c>
      <c r="T63" s="55" t="n">
        <v>2707.41725054361</v>
      </c>
    </row>
    <row r="64" customFormat="false" ht="15" hidden="false" customHeight="false" outlineLevel="0" collapsed="false">
      <c r="A64" s="21" t="s">
        <v>179</v>
      </c>
      <c r="B64" s="21" t="s">
        <v>181</v>
      </c>
      <c r="C64" s="21" t="s">
        <v>122</v>
      </c>
      <c r="D64" s="37" t="n">
        <f aca="false">ROUND(Q64*R64,0)</f>
        <v>1324</v>
      </c>
      <c r="E64" s="37" t="n">
        <f aca="false">ROUND(Q64,0)-D64</f>
        <v>1901</v>
      </c>
      <c r="F64" s="37" t="n">
        <f aca="false">IF(COUNTA(D64:E64)=0,"",SUM(D64:E64))</f>
        <v>3225</v>
      </c>
      <c r="G64" s="52" t="n">
        <f aca="false">IF(OR(F64="",F64=0),"",D64/F64)</f>
        <v>0.410542635658915</v>
      </c>
      <c r="H64" s="52" t="n">
        <f aca="false">IF(OR(F64="",F64=0),"",E64/F64)</f>
        <v>0.589457364341085</v>
      </c>
      <c r="I64" s="21" t="s">
        <v>123</v>
      </c>
      <c r="J64" s="53" t="n">
        <v>1.32461619797241</v>
      </c>
      <c r="K64" s="52" t="n">
        <f aca="false">IF(G64="","",MAX(0,G64-J64/100))</f>
        <v>0.397296473679191</v>
      </c>
      <c r="L64" s="52" t="n">
        <f aca="false">IF(G64="","",MIN(1,G64+J64/100))</f>
        <v>0.423788797638639</v>
      </c>
      <c r="M64" s="37" t="n">
        <f aca="false">IF(F64="","",ROUND(F64*J64/100,0))</f>
        <v>43</v>
      </c>
      <c r="P64" s="54" t="n">
        <v>0.734533616234618</v>
      </c>
      <c r="Q64" s="55" t="n">
        <f aca="false">T64*$H$5</f>
        <v>3224.76247165533</v>
      </c>
      <c r="R64" s="56" t="n">
        <f aca="false">MAX(0,MIN(1,P64/100+$D$5))</f>
        <v>0.410639147022532</v>
      </c>
      <c r="S64" s="57" t="s">
        <v>130</v>
      </c>
      <c r="T64" s="55" t="n">
        <v>3224.76247165533</v>
      </c>
    </row>
    <row r="65" customFormat="false" ht="15" hidden="false" customHeight="false" outlineLevel="0" collapsed="false">
      <c r="A65" s="21" t="s">
        <v>179</v>
      </c>
      <c r="B65" s="21" t="s">
        <v>182</v>
      </c>
      <c r="C65" s="21" t="s">
        <v>122</v>
      </c>
      <c r="D65" s="37" t="n">
        <f aca="false">ROUND(Q65*R65,0)</f>
        <v>473</v>
      </c>
      <c r="E65" s="37" t="n">
        <f aca="false">ROUND(Q65,0)-D65</f>
        <v>543</v>
      </c>
      <c r="F65" s="37" t="n">
        <f aca="false">IF(COUNTA(D65:E65)=0,"",SUM(D65:E65))</f>
        <v>1016</v>
      </c>
      <c r="G65" s="52" t="n">
        <f aca="false">IF(OR(F65="",F65=0),"",D65/F65)</f>
        <v>0.465551181102362</v>
      </c>
      <c r="H65" s="52" t="n">
        <f aca="false">IF(OR(F65="",F65=0),"",E65/F65)</f>
        <v>0.534448818897638</v>
      </c>
      <c r="I65" s="21" t="s">
        <v>123</v>
      </c>
      <c r="J65" s="53" t="n">
        <v>2.40839232344956</v>
      </c>
      <c r="K65" s="52" t="n">
        <f aca="false">IF(G65="","",MAX(0,G65-J65/100))</f>
        <v>0.441467257867867</v>
      </c>
      <c r="L65" s="52" t="n">
        <f aca="false">IF(G65="","",MIN(1,G65+J65/100))</f>
        <v>0.489635104336858</v>
      </c>
      <c r="M65" s="37" t="n">
        <f aca="false">IF(F65="","",ROUND(F65*J65/100,0))</f>
        <v>24</v>
      </c>
      <c r="P65" s="54" t="n">
        <v>6.19537193790134</v>
      </c>
      <c r="Q65" s="55" t="n">
        <f aca="false">T65*$H$5</f>
        <v>1015.97556912826</v>
      </c>
      <c r="R65" s="56" t="n">
        <f aca="false">MAX(0,MIN(1,P65/100+$D$5))</f>
        <v>0.465247530239199</v>
      </c>
      <c r="S65" s="57" t="s">
        <v>124</v>
      </c>
      <c r="T65" s="55" t="n">
        <v>1015.97556912826</v>
      </c>
    </row>
    <row r="66" customFormat="false" ht="15" hidden="false" customHeight="false" outlineLevel="0" collapsed="false">
      <c r="A66" s="21" t="s">
        <v>179</v>
      </c>
      <c r="B66" s="21" t="s">
        <v>152</v>
      </c>
      <c r="C66" s="21" t="s">
        <v>122</v>
      </c>
      <c r="D66" s="37" t="n">
        <f aca="false">ROUND(Q66*R66,0)</f>
        <v>13165</v>
      </c>
      <c r="E66" s="37" t="n">
        <f aca="false">ROUND(Q66,0)-D66</f>
        <v>5807</v>
      </c>
      <c r="F66" s="37" t="n">
        <f aca="false">IF(COUNTA(D66:E66)=0,"",SUM(D66:E66))</f>
        <v>18972</v>
      </c>
      <c r="G66" s="52" t="n">
        <f aca="false">IF(OR(F66="",F66=0),"",D66/F66)</f>
        <v>0.693917351886991</v>
      </c>
      <c r="H66" s="52" t="n">
        <f aca="false">IF(OR(F66="",F66=0),"",E66/F66)</f>
        <v>0.306082648113009</v>
      </c>
      <c r="I66" s="21" t="s">
        <v>123</v>
      </c>
      <c r="J66" s="53" t="n">
        <v>1.84350043958238</v>
      </c>
      <c r="K66" s="52" t="n">
        <f aca="false">IF(G66="","",MAX(0,G66-J66/100))</f>
        <v>0.675482347491168</v>
      </c>
      <c r="L66" s="52" t="n">
        <f aca="false">IF(G66="","",MIN(1,G66+J66/100))</f>
        <v>0.712352356282815</v>
      </c>
      <c r="M66" s="37" t="n">
        <f aca="false">IF(F66="","",ROUND(F66*J66/100,0))</f>
        <v>350</v>
      </c>
      <c r="P66" s="54" t="n">
        <v>29.0614087033459</v>
      </c>
      <c r="Q66" s="55" t="n">
        <f aca="false">T66*$H$5</f>
        <v>18972.4050126369</v>
      </c>
      <c r="R66" s="56" t="n">
        <f aca="false">MAX(0,MIN(1,P66/100+$D$5))</f>
        <v>0.693907897893645</v>
      </c>
      <c r="S66" s="57" t="s">
        <v>144</v>
      </c>
      <c r="T66" s="55" t="n">
        <v>18972.4050126369</v>
      </c>
    </row>
    <row r="67" customFormat="false" ht="15" hidden="false" customHeight="false" outlineLevel="0" collapsed="false">
      <c r="A67" s="21" t="s">
        <v>179</v>
      </c>
      <c r="B67" s="21" t="s">
        <v>183</v>
      </c>
      <c r="C67" s="21" t="s">
        <v>122</v>
      </c>
      <c r="D67" s="37" t="n">
        <f aca="false">ROUND(Q67*R67,0)</f>
        <v>6701</v>
      </c>
      <c r="E67" s="37" t="n">
        <f aca="false">ROUND(Q67,0)-D67</f>
        <v>6048</v>
      </c>
      <c r="F67" s="37" t="n">
        <f aca="false">IF(COUNTA(D67:E67)=0,"",SUM(D67:E67))</f>
        <v>12749</v>
      </c>
      <c r="G67" s="52" t="n">
        <f aca="false">IF(OR(F67="",F67=0),"",D67/F67)</f>
        <v>0.525609851753079</v>
      </c>
      <c r="H67" s="52" t="n">
        <f aca="false">IF(OR(F67="",F67=0),"",E67/F67)</f>
        <v>0.474390148246921</v>
      </c>
      <c r="I67" s="21" t="s">
        <v>123</v>
      </c>
      <c r="J67" s="53" t="n">
        <v>1.84350043958238</v>
      </c>
      <c r="K67" s="52" t="n">
        <f aca="false">IF(G67="","",MAX(0,G67-J67/100))</f>
        <v>0.507174847357255</v>
      </c>
      <c r="L67" s="52" t="n">
        <f aca="false">IF(G67="","",MIN(1,G67+J67/100))</f>
        <v>0.544044856148903</v>
      </c>
      <c r="M67" s="37" t="n">
        <f aca="false">IF(F67="","",ROUND(F67*J67/100,0))</f>
        <v>235</v>
      </c>
      <c r="P67" s="54" t="n">
        <v>12.2337309636198</v>
      </c>
      <c r="Q67" s="55" t="n">
        <f aca="false">T67*$H$5</f>
        <v>12748.560475162</v>
      </c>
      <c r="R67" s="56" t="n">
        <f aca="false">MAX(0,MIN(1,P67/100+$D$5))</f>
        <v>0.525631120496384</v>
      </c>
      <c r="S67" s="57" t="s">
        <v>144</v>
      </c>
      <c r="T67" s="55" t="n">
        <v>12748.560475162</v>
      </c>
    </row>
    <row r="68" customFormat="false" ht="15" hidden="false" customHeight="false" outlineLevel="0" collapsed="false">
      <c r="A68" s="21" t="s">
        <v>179</v>
      </c>
      <c r="B68" s="21" t="s">
        <v>184</v>
      </c>
      <c r="C68" s="21" t="s">
        <v>122</v>
      </c>
      <c r="D68" s="37" t="n">
        <f aca="false">ROUND(Q68*R68,0)</f>
        <v>1669</v>
      </c>
      <c r="E68" s="37" t="n">
        <f aca="false">ROUND(Q68,0)-D68</f>
        <v>2754</v>
      </c>
      <c r="F68" s="37" t="n">
        <f aca="false">IF(COUNTA(D68:E68)=0,"",SUM(D68:E68))</f>
        <v>4423</v>
      </c>
      <c r="G68" s="52" t="n">
        <f aca="false">IF(OR(F68="",F68=0),"",D68/F68)</f>
        <v>0.377345692968573</v>
      </c>
      <c r="H68" s="52" t="n">
        <f aca="false">IF(OR(F68="",F68=0),"",E68/F68)</f>
        <v>0.622654307031427</v>
      </c>
      <c r="I68" s="21" t="s">
        <v>123</v>
      </c>
      <c r="J68" s="53" t="n">
        <v>1.84350043958238</v>
      </c>
      <c r="K68" s="52" t="n">
        <f aca="false">IF(G68="","",MAX(0,G68-J68/100))</f>
        <v>0.35891068857275</v>
      </c>
      <c r="L68" s="52" t="n">
        <f aca="false">IF(G68="","",MIN(1,G68+J68/100))</f>
        <v>0.395780697364397</v>
      </c>
      <c r="M68" s="37" t="n">
        <f aca="false">IF(F68="","",ROUND(F68*J68/100,0))</f>
        <v>82</v>
      </c>
      <c r="P68" s="54" t="n">
        <v>-2.59951689503037</v>
      </c>
      <c r="Q68" s="55" t="n">
        <f aca="false">T68*$H$5</f>
        <v>4422.68236877524</v>
      </c>
      <c r="R68" s="56" t="n">
        <f aca="false">MAX(0,MIN(1,P68/100+$D$5))</f>
        <v>0.377298641909882</v>
      </c>
      <c r="S68" s="57" t="s">
        <v>144</v>
      </c>
      <c r="T68" s="55" t="n">
        <v>4422.68236877524</v>
      </c>
    </row>
    <row r="69" customFormat="false" ht="15" hidden="false" customHeight="false" outlineLevel="0" collapsed="false">
      <c r="A69" s="21" t="s">
        <v>179</v>
      </c>
      <c r="B69" s="21" t="s">
        <v>185</v>
      </c>
      <c r="C69" s="21" t="s">
        <v>122</v>
      </c>
      <c r="D69" s="37" t="n">
        <f aca="false">ROUND(Q69*R69,0)</f>
        <v>33</v>
      </c>
      <c r="E69" s="37" t="n">
        <f aca="false">ROUND(Q69,0)-D69</f>
        <v>64</v>
      </c>
      <c r="F69" s="37" t="n">
        <f aca="false">IF(COUNTA(D69:E69)=0,"",SUM(D69:E69))</f>
        <v>97</v>
      </c>
      <c r="G69" s="52" t="n">
        <f aca="false">IF(OR(F69="",F69=0),"",D69/F69)</f>
        <v>0.34020618556701</v>
      </c>
      <c r="H69" s="52" t="n">
        <f aca="false">IF(OR(F69="",F69=0),"",E69/F69)</f>
        <v>0.65979381443299</v>
      </c>
      <c r="I69" s="21" t="s">
        <v>123</v>
      </c>
      <c r="J69" s="53" t="n">
        <v>2.40839232344956</v>
      </c>
      <c r="K69" s="52" t="n">
        <f aca="false">IF(G69="","",MAX(0,G69-J69/100))</f>
        <v>0.316122262332515</v>
      </c>
      <c r="L69" s="52" t="n">
        <f aca="false">IF(G69="","",MIN(1,G69+J69/100))</f>
        <v>0.364290108801506</v>
      </c>
      <c r="M69" s="37" t="n">
        <f aca="false">IF(F69="","",ROUND(F69*J69/100,0))</f>
        <v>2</v>
      </c>
      <c r="P69" s="54" t="n">
        <v>-6.1842403899122</v>
      </c>
      <c r="Q69" s="55" t="n">
        <f aca="false">T69*$H$5</f>
        <v>97.2992700729928</v>
      </c>
      <c r="R69" s="56" t="n">
        <f aca="false">MAX(0,MIN(1,P69/100+$D$5))</f>
        <v>0.341451406961064</v>
      </c>
      <c r="S69" s="57" t="s">
        <v>124</v>
      </c>
      <c r="T69" s="55" t="n">
        <v>97.2992700729927</v>
      </c>
    </row>
    <row r="70" customFormat="false" ht="15" hidden="false" customHeight="false" outlineLevel="0" collapsed="false">
      <c r="A70" s="21" t="s">
        <v>179</v>
      </c>
      <c r="B70" s="21" t="s">
        <v>186</v>
      </c>
      <c r="C70" s="21" t="s">
        <v>122</v>
      </c>
      <c r="D70" s="37" t="n">
        <f aca="false">ROUND(Q70*R70,0)</f>
        <v>1120</v>
      </c>
      <c r="E70" s="37" t="n">
        <f aca="false">ROUND(Q70,0)-D70</f>
        <v>1521</v>
      </c>
      <c r="F70" s="37" t="n">
        <f aca="false">IF(COUNTA(D70:E70)=0,"",SUM(D70:E70))</f>
        <v>2641</v>
      </c>
      <c r="G70" s="52" t="n">
        <f aca="false">IF(OR(F70="",F70=0),"",D70/F70)</f>
        <v>0.424081787201818</v>
      </c>
      <c r="H70" s="52" t="n">
        <f aca="false">IF(OR(F70="",F70=0),"",E70/F70)</f>
        <v>0.575918212798183</v>
      </c>
      <c r="I70" s="21" t="s">
        <v>123</v>
      </c>
      <c r="J70" s="53" t="n">
        <v>1.32461619797241</v>
      </c>
      <c r="K70" s="52" t="n">
        <f aca="false">IF(G70="","",MAX(0,G70-J70/100))</f>
        <v>0.410835625222093</v>
      </c>
      <c r="L70" s="52" t="n">
        <f aca="false">IF(G70="","",MIN(1,G70+J70/100))</f>
        <v>0.437327949181542</v>
      </c>
      <c r="M70" s="37" t="n">
        <f aca="false">IF(F70="","",ROUND(F70*J70/100,0))</f>
        <v>35</v>
      </c>
      <c r="P70" s="54" t="n">
        <v>2.07641701776665</v>
      </c>
      <c r="Q70" s="55" t="n">
        <f aca="false">T70*$H$5</f>
        <v>2640.91189093663</v>
      </c>
      <c r="R70" s="56" t="n">
        <f aca="false">MAX(0,MIN(1,P70/100+$D$5))</f>
        <v>0.424057981037852</v>
      </c>
      <c r="S70" s="57" t="s">
        <v>130</v>
      </c>
      <c r="T70" s="55" t="n">
        <v>2640.91189093663</v>
      </c>
    </row>
    <row r="71" customFormat="false" ht="15" hidden="false" customHeight="false" outlineLevel="0" collapsed="false">
      <c r="A71" s="21" t="s">
        <v>179</v>
      </c>
      <c r="B71" s="21" t="s">
        <v>187</v>
      </c>
      <c r="C71" s="21" t="s">
        <v>122</v>
      </c>
      <c r="D71" s="37" t="n">
        <f aca="false">ROUND(Q71*R71,0)</f>
        <v>140</v>
      </c>
      <c r="E71" s="37" t="n">
        <f aca="false">ROUND(Q71,0)-D71</f>
        <v>220</v>
      </c>
      <c r="F71" s="37" t="n">
        <f aca="false">IF(COUNTA(D71:E71)=0,"",SUM(D71:E71))</f>
        <v>360</v>
      </c>
      <c r="G71" s="52" t="n">
        <f aca="false">IF(OR(F71="",F71=0),"",D71/F71)</f>
        <v>0.388888888888889</v>
      </c>
      <c r="H71" s="52" t="n">
        <f aca="false">IF(OR(F71="",F71=0),"",E71/F71)</f>
        <v>0.611111111111111</v>
      </c>
      <c r="I71" s="21" t="s">
        <v>123</v>
      </c>
      <c r="J71" s="53" t="n">
        <v>2.40839232344956</v>
      </c>
      <c r="K71" s="52" t="n">
        <f aca="false">IF(G71="","",MAX(0,G71-J71/100))</f>
        <v>0.364804965654393</v>
      </c>
      <c r="L71" s="52" t="n">
        <f aca="false">IF(G71="","",MIN(1,G71+J71/100))</f>
        <v>0.412972812123385</v>
      </c>
      <c r="M71" s="37" t="n">
        <f aca="false">IF(F71="","",ROUND(F71*J71/100,0))</f>
        <v>9</v>
      </c>
      <c r="P71" s="54" t="n">
        <v>-1.35055860191255</v>
      </c>
      <c r="Q71" s="55" t="n">
        <f aca="false">T71*$H$5</f>
        <v>360.236842105263</v>
      </c>
      <c r="R71" s="56" t="n">
        <f aca="false">MAX(0,MIN(1,P71/100+$D$5))</f>
        <v>0.38978822484106</v>
      </c>
      <c r="S71" s="57" t="s">
        <v>124</v>
      </c>
      <c r="T71" s="55" t="n">
        <v>360.236842105263</v>
      </c>
    </row>
    <row r="72" customFormat="false" ht="15" hidden="false" customHeight="false" outlineLevel="0" collapsed="false">
      <c r="A72" s="21" t="s">
        <v>179</v>
      </c>
      <c r="B72" s="21" t="s">
        <v>188</v>
      </c>
      <c r="C72" s="21" t="s">
        <v>122</v>
      </c>
      <c r="D72" s="37" t="n">
        <f aca="false">ROUND(Q72*R72,0)</f>
        <v>6241</v>
      </c>
      <c r="E72" s="37" t="n">
        <f aca="false">ROUND(Q72,0)-D72</f>
        <v>2560</v>
      </c>
      <c r="F72" s="37" t="n">
        <f aca="false">IF(COUNTA(D72:E72)=0,"",SUM(D72:E72))</f>
        <v>8801</v>
      </c>
      <c r="G72" s="52" t="n">
        <f aca="false">IF(OR(F72="",F72=0),"",D72/F72)</f>
        <v>0.709123963186002</v>
      </c>
      <c r="H72" s="52" t="n">
        <f aca="false">IF(OR(F72="",F72=0),"",E72/F72)</f>
        <v>0.290876036813998</v>
      </c>
      <c r="I72" s="21" t="s">
        <v>123</v>
      </c>
      <c r="J72" s="53" t="n">
        <v>1.84350043958238</v>
      </c>
      <c r="K72" s="52" t="n">
        <f aca="false">IF(G72="","",MAX(0,G72-J72/100))</f>
        <v>0.690688958790178</v>
      </c>
      <c r="L72" s="52" t="n">
        <f aca="false">IF(G72="","",MIN(1,G72+J72/100))</f>
        <v>0.727558967581825</v>
      </c>
      <c r="M72" s="37" t="n">
        <f aca="false">IF(F72="","",ROUND(F72*J72/100,0))</f>
        <v>162</v>
      </c>
      <c r="P72" s="54" t="n">
        <v>30.5759185239968</v>
      </c>
      <c r="Q72" s="55" t="n">
        <f aca="false">T72*$H$5</f>
        <v>8801.19378916978</v>
      </c>
      <c r="R72" s="56" t="n">
        <f aca="false">MAX(0,MIN(1,P72/100+$D$5))</f>
        <v>0.709052996100154</v>
      </c>
      <c r="S72" s="57" t="s">
        <v>144</v>
      </c>
      <c r="T72" s="55" t="n">
        <v>8801.19378916978</v>
      </c>
    </row>
    <row r="73" customFormat="false" ht="15" hidden="false" customHeight="false" outlineLevel="0" collapsed="false">
      <c r="A73" s="21" t="s">
        <v>179</v>
      </c>
      <c r="B73" s="21" t="s">
        <v>189</v>
      </c>
      <c r="C73" s="21" t="s">
        <v>122</v>
      </c>
      <c r="D73" s="37" t="n">
        <f aca="false">ROUND(Q73*R73,0)</f>
        <v>2428</v>
      </c>
      <c r="E73" s="37" t="n">
        <f aca="false">ROUND(Q73,0)-D73</f>
        <v>2272</v>
      </c>
      <c r="F73" s="37" t="n">
        <f aca="false">IF(COUNTA(D73:E73)=0,"",SUM(D73:E73))</f>
        <v>4700</v>
      </c>
      <c r="G73" s="52" t="n">
        <f aca="false">IF(OR(F73="",F73=0),"",D73/F73)</f>
        <v>0.516595744680851</v>
      </c>
      <c r="H73" s="52" t="n">
        <f aca="false">IF(OR(F73="",F73=0),"",E73/F73)</f>
        <v>0.483404255319149</v>
      </c>
      <c r="I73" s="21" t="s">
        <v>123</v>
      </c>
      <c r="J73" s="53" t="n">
        <v>1.84350043958238</v>
      </c>
      <c r="K73" s="52" t="n">
        <f aca="false">IF(G73="","",MAX(0,G73-J73/100))</f>
        <v>0.498160740285027</v>
      </c>
      <c r="L73" s="52" t="n">
        <f aca="false">IF(G73="","",MIN(1,G73+J73/100))</f>
        <v>0.535030749076675</v>
      </c>
      <c r="M73" s="37" t="n">
        <f aca="false">IF(F73="","",ROUND(F73*J73/100,0))</f>
        <v>87</v>
      </c>
      <c r="P73" s="54" t="n">
        <v>11.3376891941974</v>
      </c>
      <c r="Q73" s="55" t="n">
        <f aca="false">T73*$H$5</f>
        <v>4700.05452138017</v>
      </c>
      <c r="R73" s="56" t="n">
        <f aca="false">MAX(0,MIN(1,P73/100+$D$5))</f>
        <v>0.51667070280216</v>
      </c>
      <c r="S73" s="57" t="s">
        <v>144</v>
      </c>
      <c r="T73" s="55" t="n">
        <v>4700.05452138017</v>
      </c>
    </row>
    <row r="74" customFormat="false" ht="15" hidden="false" customHeight="false" outlineLevel="0" collapsed="false">
      <c r="A74" s="21" t="s">
        <v>179</v>
      </c>
      <c r="B74" s="21" t="s">
        <v>190</v>
      </c>
      <c r="C74" s="21" t="s">
        <v>122</v>
      </c>
      <c r="D74" s="37" t="n">
        <f aca="false">ROUND(Q74*R74,0)</f>
        <v>487</v>
      </c>
      <c r="E74" s="37" t="n">
        <f aca="false">ROUND(Q74,0)-D74</f>
        <v>324</v>
      </c>
      <c r="F74" s="37" t="n">
        <f aca="false">IF(COUNTA(D74:E74)=0,"",SUM(D74:E74))</f>
        <v>811</v>
      </c>
      <c r="G74" s="52" t="n">
        <f aca="false">IF(OR(F74="",F74=0),"",D74/F74)</f>
        <v>0.600493218249075</v>
      </c>
      <c r="H74" s="52" t="n">
        <f aca="false">IF(OR(F74="",F74=0),"",E74/F74)</f>
        <v>0.399506781750925</v>
      </c>
      <c r="I74" s="21" t="s">
        <v>123</v>
      </c>
      <c r="J74" s="53" t="n">
        <v>2.40839232344956</v>
      </c>
      <c r="K74" s="52" t="n">
        <f aca="false">IF(G74="","",MAX(0,G74-J74/100))</f>
        <v>0.57640929501458</v>
      </c>
      <c r="L74" s="52" t="n">
        <f aca="false">IF(G74="","",MIN(1,G74+J74/100))</f>
        <v>0.624577141483571</v>
      </c>
      <c r="M74" s="37" t="n">
        <f aca="false">IF(F74="","",ROUND(F74*J74/100,0))</f>
        <v>20</v>
      </c>
      <c r="P74" s="54" t="n">
        <v>19.6893921140015</v>
      </c>
      <c r="Q74" s="55" t="n">
        <f aca="false">T74*$H$5</f>
        <v>811.272251308901</v>
      </c>
      <c r="R74" s="56" t="n">
        <f aca="false">MAX(0,MIN(1,P74/100+$D$5))</f>
        <v>0.600187732000201</v>
      </c>
      <c r="S74" s="57" t="s">
        <v>124</v>
      </c>
      <c r="T74" s="55" t="n">
        <v>811.2722513089</v>
      </c>
    </row>
    <row r="75" customFormat="false" ht="15" hidden="false" customHeight="false" outlineLevel="0" collapsed="false">
      <c r="A75" s="21" t="s">
        <v>179</v>
      </c>
      <c r="B75" s="21" t="s">
        <v>191</v>
      </c>
      <c r="C75" s="21" t="s">
        <v>122</v>
      </c>
      <c r="D75" s="37" t="n">
        <f aca="false">ROUND(Q75*R75,0)</f>
        <v>74</v>
      </c>
      <c r="E75" s="37" t="n">
        <f aca="false">ROUND(Q75,0)-D75</f>
        <v>70</v>
      </c>
      <c r="F75" s="37" t="n">
        <f aca="false">IF(COUNTA(D75:E75)=0,"",SUM(D75:E75))</f>
        <v>144</v>
      </c>
      <c r="G75" s="52" t="n">
        <f aca="false">IF(OR(F75="",F75=0),"",D75/F75)</f>
        <v>0.513888888888889</v>
      </c>
      <c r="H75" s="52" t="n">
        <f aca="false">IF(OR(F75="",F75=0),"",E75/F75)</f>
        <v>0.486111111111111</v>
      </c>
      <c r="I75" s="21" t="s">
        <v>123</v>
      </c>
      <c r="J75" s="53" t="n">
        <v>2.40839232344956</v>
      </c>
      <c r="K75" s="52" t="n">
        <f aca="false">IF(G75="","",MAX(0,G75-J75/100))</f>
        <v>0.489804965654393</v>
      </c>
      <c r="L75" s="52" t="n">
        <f aca="false">IF(G75="","",MIN(1,G75+J75/100))</f>
        <v>0.537972812123384</v>
      </c>
      <c r="M75" s="37" t="n">
        <f aca="false">IF(F75="","",ROUND(F75*J75/100,0))</f>
        <v>3</v>
      </c>
      <c r="P75" s="54" t="n">
        <v>10.9116351831094</v>
      </c>
      <c r="Q75" s="55" t="n">
        <f aca="false">T75*$H$5</f>
        <v>143.630597014925</v>
      </c>
      <c r="R75" s="56" t="n">
        <f aca="false">MAX(0,MIN(1,P75/100+$D$5))</f>
        <v>0.51241016269128</v>
      </c>
      <c r="S75" s="57" t="s">
        <v>124</v>
      </c>
      <c r="T75" s="55" t="n">
        <v>143.630597014925</v>
      </c>
    </row>
    <row r="76" customFormat="false" ht="15" hidden="false" customHeight="false" outlineLevel="0" collapsed="false">
      <c r="A76" s="21" t="s">
        <v>179</v>
      </c>
      <c r="B76" s="21" t="s">
        <v>158</v>
      </c>
      <c r="C76" s="21" t="s">
        <v>122</v>
      </c>
      <c r="D76" s="37" t="n">
        <f aca="false">ROUND(Q76*R76,0)</f>
        <v>3406</v>
      </c>
      <c r="E76" s="37" t="n">
        <f aca="false">ROUND(Q76,0)-D76</f>
        <v>3017</v>
      </c>
      <c r="F76" s="37" t="n">
        <f aca="false">IF(COUNTA(D76:E76)=0,"",SUM(D76:E76))</f>
        <v>6423</v>
      </c>
      <c r="G76" s="52" t="n">
        <f aca="false">IF(OR(F76="",F76=0),"",D76/F76)</f>
        <v>0.530281799782033</v>
      </c>
      <c r="H76" s="52" t="n">
        <f aca="false">IF(OR(F76="",F76=0),"",E76/F76)</f>
        <v>0.469718200217967</v>
      </c>
      <c r="I76" s="21" t="s">
        <v>123</v>
      </c>
      <c r="J76" s="53" t="n">
        <v>1.84350043958238</v>
      </c>
      <c r="K76" s="52" t="n">
        <f aca="false">IF(G76="","",MAX(0,G76-J76/100))</f>
        <v>0.51184679538621</v>
      </c>
      <c r="L76" s="52" t="n">
        <f aca="false">IF(G76="","",MIN(1,G76+J76/100))</f>
        <v>0.548716804177857</v>
      </c>
      <c r="M76" s="37" t="n">
        <f aca="false">IF(F76="","",ROUND(F76*J76/100,0))</f>
        <v>118</v>
      </c>
      <c r="P76" s="54" t="n">
        <v>12.7001655092111</v>
      </c>
      <c r="Q76" s="55" t="n">
        <f aca="false">T76*$H$5</f>
        <v>6422.70106427379</v>
      </c>
      <c r="R76" s="56" t="n">
        <f aca="false">MAX(0,MIN(1,P76/100+$D$5))</f>
        <v>0.530295465952296</v>
      </c>
      <c r="S76" s="57" t="s">
        <v>144</v>
      </c>
      <c r="T76" s="55" t="n">
        <v>6422.70106427379</v>
      </c>
    </row>
    <row r="77" customFormat="false" ht="15" hidden="false" customHeight="false" outlineLevel="0" collapsed="false">
      <c r="A77" s="21" t="s">
        <v>179</v>
      </c>
      <c r="B77" s="21" t="s">
        <v>192</v>
      </c>
      <c r="C77" s="21" t="s">
        <v>122</v>
      </c>
      <c r="D77" s="37" t="n">
        <f aca="false">ROUND(Q77*R77,0)</f>
        <v>1347</v>
      </c>
      <c r="E77" s="37" t="n">
        <f aca="false">ROUND(Q77,0)-D77</f>
        <v>1281</v>
      </c>
      <c r="F77" s="37" t="n">
        <f aca="false">IF(COUNTA(D77:E77)=0,"",SUM(D77:E77))</f>
        <v>2628</v>
      </c>
      <c r="G77" s="52" t="n">
        <f aca="false">IF(OR(F77="",F77=0),"",D77/F77)</f>
        <v>0.512557077625571</v>
      </c>
      <c r="H77" s="52" t="n">
        <f aca="false">IF(OR(F77="",F77=0),"",E77/F77)</f>
        <v>0.487442922374429</v>
      </c>
      <c r="I77" s="21" t="s">
        <v>123</v>
      </c>
      <c r="J77" s="53" t="n">
        <v>1.32461619797241</v>
      </c>
      <c r="K77" s="52" t="n">
        <f aca="false">IF(G77="","",MAX(0,G77-J77/100))</f>
        <v>0.499310915645847</v>
      </c>
      <c r="L77" s="52" t="n">
        <f aca="false">IF(G77="","",MIN(1,G77+J77/100))</f>
        <v>0.525803239605295</v>
      </c>
      <c r="M77" s="37" t="n">
        <f aca="false">IF(F77="","",ROUND(F77*J77/100,0))</f>
        <v>35</v>
      </c>
      <c r="P77" s="54" t="n">
        <v>10.942646384398</v>
      </c>
      <c r="Q77" s="55" t="n">
        <f aca="false">T77*$H$5</f>
        <v>2628.02463970247</v>
      </c>
      <c r="R77" s="56" t="n">
        <f aca="false">MAX(0,MIN(1,P77/100+$D$5))</f>
        <v>0.512720274704166</v>
      </c>
      <c r="S77" s="57" t="s">
        <v>130</v>
      </c>
      <c r="T77" s="55" t="n">
        <v>2628.02463970247</v>
      </c>
    </row>
    <row r="78" customFormat="false" ht="15" hidden="false" customHeight="false" outlineLevel="0" collapsed="false">
      <c r="A78" s="21" t="s">
        <v>179</v>
      </c>
      <c r="B78" s="21" t="s">
        <v>193</v>
      </c>
      <c r="C78" s="21" t="s">
        <v>122</v>
      </c>
      <c r="D78" s="37" t="n">
        <f aca="false">ROUND(Q78*R78,0)</f>
        <v>1783</v>
      </c>
      <c r="E78" s="37" t="n">
        <f aca="false">ROUND(Q78,0)-D78</f>
        <v>3556</v>
      </c>
      <c r="F78" s="37" t="n">
        <f aca="false">IF(COUNTA(D78:E78)=0,"",SUM(D78:E78))</f>
        <v>5339</v>
      </c>
      <c r="G78" s="52" t="n">
        <f aca="false">IF(OR(F78="",F78=0),"",D78/F78)</f>
        <v>0.333957669975651</v>
      </c>
      <c r="H78" s="52" t="n">
        <f aca="false">IF(OR(F78="",F78=0),"",E78/F78)</f>
        <v>0.666042330024349</v>
      </c>
      <c r="I78" s="21" t="s">
        <v>123</v>
      </c>
      <c r="J78" s="53" t="n">
        <v>1.84350043958238</v>
      </c>
      <c r="K78" s="52" t="n">
        <f aca="false">IF(G78="","",MAX(0,G78-J78/100))</f>
        <v>0.315522665579827</v>
      </c>
      <c r="L78" s="52" t="n">
        <f aca="false">IF(G78="","",MIN(1,G78+J78/100))</f>
        <v>0.352392674371475</v>
      </c>
      <c r="M78" s="37" t="n">
        <f aca="false">IF(F78="","",ROUND(F78*J78/100,0))</f>
        <v>98</v>
      </c>
      <c r="P78" s="54" t="n">
        <v>-6.93640752739933</v>
      </c>
      <c r="Q78" s="55" t="n">
        <f aca="false">T78*$H$5</f>
        <v>5339.13569131833</v>
      </c>
      <c r="R78" s="56" t="n">
        <f aca="false">MAX(0,MIN(1,P78/100+$D$5))</f>
        <v>0.333929735586193</v>
      </c>
      <c r="S78" s="57" t="s">
        <v>144</v>
      </c>
      <c r="T78" s="55" t="n">
        <v>5339.13569131833</v>
      </c>
    </row>
    <row r="79" customFormat="false" ht="15" hidden="false" customHeight="false" outlineLevel="0" collapsed="false">
      <c r="A79" s="21" t="s">
        <v>179</v>
      </c>
      <c r="B79" s="21" t="s">
        <v>194</v>
      </c>
      <c r="C79" s="21" t="s">
        <v>122</v>
      </c>
      <c r="D79" s="37" t="n">
        <f aca="false">ROUND(Q79*R79,0)</f>
        <v>458</v>
      </c>
      <c r="E79" s="37" t="n">
        <f aca="false">ROUND(Q79,0)-D79</f>
        <v>952</v>
      </c>
      <c r="F79" s="37" t="n">
        <f aca="false">IF(COUNTA(D79:E79)=0,"",SUM(D79:E79))</f>
        <v>1410</v>
      </c>
      <c r="G79" s="52" t="n">
        <f aca="false">IF(OR(F79="",F79=0),"",D79/F79)</f>
        <v>0.324822695035461</v>
      </c>
      <c r="H79" s="52" t="n">
        <f aca="false">IF(OR(F79="",F79=0),"",E79/F79)</f>
        <v>0.675177304964539</v>
      </c>
      <c r="I79" s="21" t="s">
        <v>123</v>
      </c>
      <c r="J79" s="53" t="n">
        <v>2.40839232344956</v>
      </c>
      <c r="K79" s="52" t="n">
        <f aca="false">IF(G79="","",MAX(0,G79-J79/100))</f>
        <v>0.300738771800965</v>
      </c>
      <c r="L79" s="52" t="n">
        <f aca="false">IF(G79="","",MIN(1,G79+J79/100))</f>
        <v>0.348906618269957</v>
      </c>
      <c r="M79" s="37" t="n">
        <f aca="false">IF(F79="","",ROUND(F79*J79/100,0))</f>
        <v>34</v>
      </c>
      <c r="P79" s="54" t="n">
        <v>-7.88030463526672</v>
      </c>
      <c r="Q79" s="55" t="n">
        <f aca="false">T79*$H$5</f>
        <v>1409.9805573558</v>
      </c>
      <c r="R79" s="56" t="n">
        <f aca="false">MAX(0,MIN(1,P79/100+$D$5))</f>
        <v>0.324490764507519</v>
      </c>
      <c r="S79" s="57" t="s">
        <v>124</v>
      </c>
      <c r="T79" s="55" t="n">
        <v>1409.9805573558</v>
      </c>
    </row>
    <row r="80" customFormat="false" ht="15" hidden="false" customHeight="false" outlineLevel="0" collapsed="false">
      <c r="A80" s="21" t="s">
        <v>179</v>
      </c>
      <c r="B80" s="21" t="s">
        <v>195</v>
      </c>
      <c r="C80" s="21" t="s">
        <v>122</v>
      </c>
      <c r="D80" s="37" t="n">
        <f aca="false">ROUND(Q80*R80,0)</f>
        <v>665</v>
      </c>
      <c r="E80" s="37" t="n">
        <f aca="false">ROUND(Q80,0)-D80</f>
        <v>834</v>
      </c>
      <c r="F80" s="37" t="n">
        <f aca="false">IF(COUNTA(D80:E80)=0,"",SUM(D80:E80))</f>
        <v>1499</v>
      </c>
      <c r="G80" s="52" t="n">
        <f aca="false">IF(OR(F80="",F80=0),"",D80/F80)</f>
        <v>0.443629086057372</v>
      </c>
      <c r="H80" s="52" t="n">
        <f aca="false">IF(OR(F80="",F80=0),"",E80/F80)</f>
        <v>0.556370913942628</v>
      </c>
      <c r="I80" s="21" t="s">
        <v>123</v>
      </c>
      <c r="J80" s="53" t="n">
        <v>2.40839232344956</v>
      </c>
      <c r="K80" s="52" t="n">
        <f aca="false">IF(G80="","",MAX(0,G80-J80/100))</f>
        <v>0.419545162822876</v>
      </c>
      <c r="L80" s="52" t="n">
        <f aca="false">IF(G80="","",MIN(1,G80+J80/100))</f>
        <v>0.467713009291867</v>
      </c>
      <c r="M80" s="37" t="n">
        <f aca="false">IF(F80="","",ROUND(F80*J80/100,0))</f>
        <v>36</v>
      </c>
      <c r="P80" s="54" t="n">
        <v>4.00106395065495</v>
      </c>
      <c r="Q80" s="55" t="n">
        <f aca="false">T80*$H$5</f>
        <v>1499.1692563818</v>
      </c>
      <c r="R80" s="56" t="n">
        <f aca="false">MAX(0,MIN(1,P80/100+$D$5))</f>
        <v>0.443304450366735</v>
      </c>
      <c r="S80" s="57" t="s">
        <v>124</v>
      </c>
      <c r="T80" s="55" t="n">
        <v>1499.1692563818</v>
      </c>
    </row>
    <row r="81" customFormat="false" ht="15" hidden="false" customHeight="false" outlineLevel="0" collapsed="false">
      <c r="A81" s="21" t="s">
        <v>179</v>
      </c>
      <c r="B81" s="21" t="s">
        <v>196</v>
      </c>
      <c r="C81" s="21" t="s">
        <v>122</v>
      </c>
      <c r="D81" s="37" t="n">
        <f aca="false">ROUND(Q81*R81,0)</f>
        <v>3517</v>
      </c>
      <c r="E81" s="37" t="n">
        <f aca="false">ROUND(Q81,0)-D81</f>
        <v>3850</v>
      </c>
      <c r="F81" s="37" t="n">
        <f aca="false">IF(COUNTA(D81:E81)=0,"",SUM(D81:E81))</f>
        <v>7367</v>
      </c>
      <c r="G81" s="52" t="n">
        <f aca="false">IF(OR(F81="",F81=0),"",D81/F81)</f>
        <v>0.477399212705307</v>
      </c>
      <c r="H81" s="52" t="n">
        <f aca="false">IF(OR(F81="",F81=0),"",E81/F81)</f>
        <v>0.522600787294693</v>
      </c>
      <c r="I81" s="21" t="s">
        <v>123</v>
      </c>
      <c r="J81" s="53" t="n">
        <v>1.84350043958238</v>
      </c>
      <c r="K81" s="52" t="n">
        <f aca="false">IF(G81="","",MAX(0,G81-J81/100))</f>
        <v>0.458964208309484</v>
      </c>
      <c r="L81" s="52" t="n">
        <f aca="false">IF(G81="","",MIN(1,G81+J81/100))</f>
        <v>0.495834217101131</v>
      </c>
      <c r="M81" s="37" t="n">
        <f aca="false">IF(F81="","",ROUND(F81*J81/100,0))</f>
        <v>136</v>
      </c>
      <c r="P81" s="54" t="n">
        <v>7.41166492492561</v>
      </c>
      <c r="Q81" s="55" t="n">
        <f aca="false">T81*$H$5</f>
        <v>7366.54626611875</v>
      </c>
      <c r="R81" s="56" t="n">
        <f aca="false">MAX(0,MIN(1,P81/100+$D$5))</f>
        <v>0.477410460109442</v>
      </c>
      <c r="S81" s="57" t="s">
        <v>144</v>
      </c>
      <c r="T81" s="55" t="n">
        <v>7366.54626611875</v>
      </c>
    </row>
    <row r="82" customFormat="false" ht="15" hidden="false" customHeight="false" outlineLevel="0" collapsed="false">
      <c r="A82" s="21" t="s">
        <v>179</v>
      </c>
      <c r="B82" s="21" t="s">
        <v>197</v>
      </c>
      <c r="C82" s="21" t="s">
        <v>122</v>
      </c>
      <c r="D82" s="37" t="n">
        <f aca="false">ROUND(Q82*R82,0)</f>
        <v>1594</v>
      </c>
      <c r="E82" s="37" t="n">
        <f aca="false">ROUND(Q82,0)-D82</f>
        <v>3254</v>
      </c>
      <c r="F82" s="37" t="n">
        <f aca="false">IF(COUNTA(D82:E82)=0,"",SUM(D82:E82))</f>
        <v>4848</v>
      </c>
      <c r="G82" s="52" t="n">
        <f aca="false">IF(OR(F82="",F82=0),"",D82/F82)</f>
        <v>0.328795379537954</v>
      </c>
      <c r="H82" s="52" t="n">
        <f aca="false">IF(OR(F82="",F82=0),"",E82/F82)</f>
        <v>0.671204620462046</v>
      </c>
      <c r="I82" s="21" t="s">
        <v>123</v>
      </c>
      <c r="J82" s="53" t="n">
        <v>1.84350043958238</v>
      </c>
      <c r="K82" s="52" t="n">
        <f aca="false">IF(G82="","",MAX(0,G82-J82/100))</f>
        <v>0.31036037514213</v>
      </c>
      <c r="L82" s="52" t="n">
        <f aca="false">IF(G82="","",MIN(1,G82+J82/100))</f>
        <v>0.347230383933778</v>
      </c>
      <c r="M82" s="37" t="n">
        <f aca="false">IF(F82="","",ROUND(F82*J82/100,0))</f>
        <v>89</v>
      </c>
      <c r="P82" s="54" t="n">
        <v>-7.44657929737762</v>
      </c>
      <c r="Q82" s="55" t="n">
        <f aca="false">T82*$H$5</f>
        <v>4848.29721362229</v>
      </c>
      <c r="R82" s="56" t="n">
        <f aca="false">MAX(0,MIN(1,P82/100+$D$5))</f>
        <v>0.32882801788641</v>
      </c>
      <c r="S82" s="57" t="s">
        <v>144</v>
      </c>
      <c r="T82" s="55" t="n">
        <v>4848.29721362229</v>
      </c>
    </row>
    <row r="83" customFormat="false" ht="15" hidden="false" customHeight="false" outlineLevel="0" collapsed="false">
      <c r="A83" s="21" t="s">
        <v>179</v>
      </c>
      <c r="B83" s="21" t="s">
        <v>198</v>
      </c>
      <c r="C83" s="21" t="s">
        <v>122</v>
      </c>
      <c r="D83" s="37" t="n">
        <f aca="false">ROUND(Q83*R83,0)</f>
        <v>1228</v>
      </c>
      <c r="E83" s="37" t="n">
        <f aca="false">ROUND(Q83,0)-D83</f>
        <v>1287</v>
      </c>
      <c r="F83" s="37" t="n">
        <f aca="false">IF(COUNTA(D83:E83)=0,"",SUM(D83:E83))</f>
        <v>2515</v>
      </c>
      <c r="G83" s="52" t="n">
        <f aca="false">IF(OR(F83="",F83=0),"",D83/F83)</f>
        <v>0.488270377733598</v>
      </c>
      <c r="H83" s="52" t="n">
        <f aca="false">IF(OR(F83="",F83=0),"",E83/F83)</f>
        <v>0.511729622266402</v>
      </c>
      <c r="I83" s="21" t="s">
        <v>123</v>
      </c>
      <c r="J83" s="53" t="n">
        <v>1.32461619797241</v>
      </c>
      <c r="K83" s="52" t="n">
        <f aca="false">IF(G83="","",MAX(0,G83-J83/100))</f>
        <v>0.475024215753874</v>
      </c>
      <c r="L83" s="52" t="n">
        <f aca="false">IF(G83="","",MIN(1,G83+J83/100))</f>
        <v>0.501516539713322</v>
      </c>
      <c r="M83" s="37" t="n">
        <f aca="false">IF(F83="","",ROUND(F83*J83/100,0))</f>
        <v>33</v>
      </c>
      <c r="P83" s="54" t="n">
        <v>8.48806157691493</v>
      </c>
      <c r="Q83" s="55" t="n">
        <f aca="false">T83*$H$5</f>
        <v>2514.75925477861</v>
      </c>
      <c r="R83" s="56" t="n">
        <f aca="false">MAX(0,MIN(1,P83/100+$D$5))</f>
        <v>0.488174426629335</v>
      </c>
      <c r="S83" s="57" t="s">
        <v>130</v>
      </c>
      <c r="T83" s="55" t="n">
        <v>2514.75925477861</v>
      </c>
    </row>
    <row r="84" customFormat="false" ht="15" hidden="false" customHeight="false" outlineLevel="0" collapsed="false">
      <c r="A84" s="21" t="s">
        <v>179</v>
      </c>
      <c r="B84" s="21" t="s">
        <v>199</v>
      </c>
      <c r="C84" s="21" t="s">
        <v>122</v>
      </c>
      <c r="D84" s="37" t="n">
        <f aca="false">ROUND(Q84*R84,0)</f>
        <v>707</v>
      </c>
      <c r="E84" s="37" t="n">
        <f aca="false">ROUND(Q84,0)-D84</f>
        <v>721</v>
      </c>
      <c r="F84" s="37" t="n">
        <f aca="false">IF(COUNTA(D84:E84)=0,"",SUM(D84:E84))</f>
        <v>1428</v>
      </c>
      <c r="G84" s="52" t="n">
        <f aca="false">IF(OR(F84="",F84=0),"",D84/F84)</f>
        <v>0.495098039215686</v>
      </c>
      <c r="H84" s="52" t="n">
        <f aca="false">IF(OR(F84="",F84=0),"",E84/F84)</f>
        <v>0.504901960784314</v>
      </c>
      <c r="I84" s="21" t="s">
        <v>123</v>
      </c>
      <c r="J84" s="53" t="n">
        <v>2.40839232344956</v>
      </c>
      <c r="K84" s="52" t="n">
        <f aca="false">IF(G84="","",MAX(0,G84-J84/100))</f>
        <v>0.471014115981191</v>
      </c>
      <c r="L84" s="52" t="n">
        <f aca="false">IF(G84="","",MIN(1,G84+J84/100))</f>
        <v>0.519181962450182</v>
      </c>
      <c r="M84" s="37" t="n">
        <f aca="false">IF(F84="","",ROUND(F84*J84/100,0))</f>
        <v>34</v>
      </c>
      <c r="P84" s="54" t="n">
        <v>9.20414258178239</v>
      </c>
      <c r="Q84" s="55" t="n">
        <f aca="false">T84*$H$5</f>
        <v>1427.54656265236</v>
      </c>
      <c r="R84" s="56" t="n">
        <f aca="false">MAX(0,MIN(1,P84/100+$D$5))</f>
        <v>0.49533523667801</v>
      </c>
      <c r="S84" s="57" t="s">
        <v>124</v>
      </c>
      <c r="T84" s="55" t="n">
        <v>1427.54656265236</v>
      </c>
    </row>
    <row r="85" customFormat="false" ht="15" hidden="false" customHeight="false" outlineLevel="0" collapsed="false">
      <c r="A85" s="21" t="s">
        <v>179</v>
      </c>
      <c r="B85" s="21" t="s">
        <v>200</v>
      </c>
      <c r="C85" s="21" t="s">
        <v>122</v>
      </c>
      <c r="D85" s="37" t="n">
        <f aca="false">ROUND(Q85*R85,0)</f>
        <v>1981</v>
      </c>
      <c r="E85" s="37" t="n">
        <f aca="false">ROUND(Q85,0)-D85</f>
        <v>2183</v>
      </c>
      <c r="F85" s="37" t="n">
        <f aca="false">IF(COUNTA(D85:E85)=0,"",SUM(D85:E85))</f>
        <v>4164</v>
      </c>
      <c r="G85" s="52" t="n">
        <f aca="false">IF(OR(F85="",F85=0),"",D85/F85)</f>
        <v>0.475744476464938</v>
      </c>
      <c r="H85" s="52" t="n">
        <f aca="false">IF(OR(F85="",F85=0),"",E85/F85)</f>
        <v>0.524255523535062</v>
      </c>
      <c r="I85" s="21" t="s">
        <v>123</v>
      </c>
      <c r="J85" s="53" t="n">
        <v>1.84350043958238</v>
      </c>
      <c r="K85" s="52" t="n">
        <f aca="false">IF(G85="","",MAX(0,G85-J85/100))</f>
        <v>0.457309472069114</v>
      </c>
      <c r="L85" s="52" t="n">
        <f aca="false">IF(G85="","",MIN(1,G85+J85/100))</f>
        <v>0.494179480860761</v>
      </c>
      <c r="M85" s="37" t="n">
        <f aca="false">IF(F85="","",ROUND(F85*J85/100,0))</f>
        <v>77</v>
      </c>
      <c r="P85" s="54" t="n">
        <v>7.246868247156</v>
      </c>
      <c r="Q85" s="55" t="n">
        <f aca="false">T85*$H$5</f>
        <v>4163.88109359179</v>
      </c>
      <c r="R85" s="56" t="n">
        <f aca="false">MAX(0,MIN(1,P85/100+$D$5))</f>
        <v>0.475762493331746</v>
      </c>
      <c r="S85" s="57" t="s">
        <v>144</v>
      </c>
      <c r="T85" s="55" t="n">
        <v>4163.88109359178</v>
      </c>
    </row>
    <row r="86" customFormat="false" ht="15" hidden="false" customHeight="false" outlineLevel="0" collapsed="false">
      <c r="A86" s="21" t="s">
        <v>179</v>
      </c>
      <c r="B86" s="21" t="s">
        <v>201</v>
      </c>
      <c r="C86" s="21" t="s">
        <v>122</v>
      </c>
      <c r="D86" s="37" t="n">
        <f aca="false">ROUND(Q86*R86,0)</f>
        <v>4200</v>
      </c>
      <c r="E86" s="37" t="n">
        <f aca="false">ROUND(Q86,0)-D86</f>
        <v>4080</v>
      </c>
      <c r="F86" s="37" t="n">
        <f aca="false">IF(COUNTA(D86:E86)=0,"",SUM(D86:E86))</f>
        <v>8280</v>
      </c>
      <c r="G86" s="52" t="n">
        <f aca="false">IF(OR(F86="",F86=0),"",D86/F86)</f>
        <v>0.507246376811594</v>
      </c>
      <c r="H86" s="52" t="n">
        <f aca="false">IF(OR(F86="",F86=0),"",E86/F86)</f>
        <v>0.492753623188406</v>
      </c>
      <c r="I86" s="21" t="s">
        <v>123</v>
      </c>
      <c r="J86" s="53" t="n">
        <v>1.84350043958238</v>
      </c>
      <c r="K86" s="52" t="n">
        <f aca="false">IF(G86="","",MAX(0,G86-J86/100))</f>
        <v>0.48881137241577</v>
      </c>
      <c r="L86" s="52" t="n">
        <f aca="false">IF(G86="","",MIN(1,G86+J86/100))</f>
        <v>0.525681381207418</v>
      </c>
      <c r="M86" s="37" t="n">
        <f aca="false">IF(F86="","",ROUND(F86*J86/100,0))</f>
        <v>153</v>
      </c>
      <c r="P86" s="54" t="n">
        <v>10.3964550220325</v>
      </c>
      <c r="Q86" s="55" t="n">
        <f aca="false">T86*$H$5</f>
        <v>8280.34349938536</v>
      </c>
      <c r="R86" s="56" t="n">
        <f aca="false">MAX(0,MIN(1,P86/100+$D$5))</f>
        <v>0.507258361080511</v>
      </c>
      <c r="S86" s="57" t="s">
        <v>144</v>
      </c>
      <c r="T86" s="55" t="n">
        <v>8280.34349938535</v>
      </c>
    </row>
    <row r="87" customFormat="false" ht="15" hidden="false" customHeight="false" outlineLevel="0" collapsed="false">
      <c r="A87" s="21" t="s">
        <v>179</v>
      </c>
      <c r="B87" s="21" t="s">
        <v>202</v>
      </c>
      <c r="C87" s="21" t="s">
        <v>122</v>
      </c>
      <c r="D87" s="37" t="n">
        <f aca="false">ROUND(Q87*R87,0)</f>
        <v>515</v>
      </c>
      <c r="E87" s="37" t="n">
        <f aca="false">ROUND(Q87,0)-D87</f>
        <v>847</v>
      </c>
      <c r="F87" s="37" t="n">
        <f aca="false">IF(COUNTA(D87:E87)=0,"",SUM(D87:E87))</f>
        <v>1362</v>
      </c>
      <c r="G87" s="52" t="n">
        <f aca="false">IF(OR(F87="",F87=0),"",D87/F87)</f>
        <v>0.378120411160059</v>
      </c>
      <c r="H87" s="52" t="n">
        <f aca="false">IF(OR(F87="",F87=0),"",E87/F87)</f>
        <v>0.621879588839941</v>
      </c>
      <c r="I87" s="21" t="s">
        <v>123</v>
      </c>
      <c r="J87" s="53" t="n">
        <v>2.40839232344956</v>
      </c>
      <c r="K87" s="52" t="n">
        <f aca="false">IF(G87="","",MAX(0,G87-J87/100))</f>
        <v>0.354036487925563</v>
      </c>
      <c r="L87" s="52" t="n">
        <f aca="false">IF(G87="","",MIN(1,G87+J87/100))</f>
        <v>0.402204334394554</v>
      </c>
      <c r="M87" s="37" t="n">
        <f aca="false">IF(F87="","",ROUND(F87*J87/100,0))</f>
        <v>33</v>
      </c>
      <c r="P87" s="54" t="n">
        <v>-2.54704891993593</v>
      </c>
      <c r="Q87" s="55" t="n">
        <f aca="false">T87*$H$5</f>
        <v>1362.06750324535</v>
      </c>
      <c r="R87" s="56" t="n">
        <f aca="false">MAX(0,MIN(1,P87/100+$D$5))</f>
        <v>0.377823321660827</v>
      </c>
      <c r="S87" s="57" t="s">
        <v>124</v>
      </c>
      <c r="T87" s="55" t="n">
        <v>1362.06750324535</v>
      </c>
    </row>
    <row r="88" customFormat="false" ht="15" hidden="false" customHeight="false" outlineLevel="0" collapsed="false">
      <c r="A88" s="21" t="s">
        <v>179</v>
      </c>
      <c r="B88" s="21" t="s">
        <v>203</v>
      </c>
      <c r="C88" s="21" t="s">
        <v>122</v>
      </c>
      <c r="D88" s="37" t="n">
        <f aca="false">ROUND(Q88*R88,0)</f>
        <v>1031</v>
      </c>
      <c r="E88" s="37" t="n">
        <f aca="false">ROUND(Q88,0)-D88</f>
        <v>2090</v>
      </c>
      <c r="F88" s="37" t="n">
        <f aca="false">IF(COUNTA(D88:E88)=0,"",SUM(D88:E88))</f>
        <v>3121</v>
      </c>
      <c r="G88" s="52" t="n">
        <f aca="false">IF(OR(F88="",F88=0),"",D88/F88)</f>
        <v>0.330342838833707</v>
      </c>
      <c r="H88" s="52" t="n">
        <f aca="false">IF(OR(F88="",F88=0),"",E88/F88)</f>
        <v>0.669657161166293</v>
      </c>
      <c r="I88" s="21" t="s">
        <v>123</v>
      </c>
      <c r="J88" s="53" t="n">
        <v>1.32461619797241</v>
      </c>
      <c r="K88" s="52" t="n">
        <f aca="false">IF(G88="","",MAX(0,G88-J88/100))</f>
        <v>0.317096676853983</v>
      </c>
      <c r="L88" s="52" t="n">
        <f aca="false">IF(G88="","",MIN(1,G88+J88/100))</f>
        <v>0.343589000813431</v>
      </c>
      <c r="M88" s="37" t="n">
        <f aca="false">IF(F88="","",ROUND(F88*J88/100,0))</f>
        <v>41</v>
      </c>
      <c r="P88" s="54" t="n">
        <v>-7.31125173940434</v>
      </c>
      <c r="Q88" s="55" t="n">
        <f aca="false">T88*$H$5</f>
        <v>3121.34219409283</v>
      </c>
      <c r="R88" s="56" t="n">
        <f aca="false">MAX(0,MIN(1,P88/100+$D$5))</f>
        <v>0.330181293466142</v>
      </c>
      <c r="S88" s="57" t="s">
        <v>130</v>
      </c>
      <c r="T88" s="55" t="n">
        <v>3121.34219409283</v>
      </c>
    </row>
    <row r="89" customFormat="false" ht="15" hidden="false" customHeight="false" outlineLevel="0" collapsed="false">
      <c r="A89" s="21" t="s">
        <v>179</v>
      </c>
      <c r="B89" s="21" t="s">
        <v>204</v>
      </c>
      <c r="C89" s="21" t="s">
        <v>122</v>
      </c>
      <c r="D89" s="37" t="n">
        <f aca="false">ROUND(Q89*R89,0)</f>
        <v>67</v>
      </c>
      <c r="E89" s="37" t="n">
        <f aca="false">ROUND(Q89,0)-D89</f>
        <v>129</v>
      </c>
      <c r="F89" s="37" t="n">
        <f aca="false">IF(COUNTA(D89:E89)=0,"",SUM(D89:E89))</f>
        <v>196</v>
      </c>
      <c r="G89" s="52" t="n">
        <f aca="false">IF(OR(F89="",F89=0),"",D89/F89)</f>
        <v>0.341836734693878</v>
      </c>
      <c r="H89" s="52" t="n">
        <f aca="false">IF(OR(F89="",F89=0),"",E89/F89)</f>
        <v>0.658163265306123</v>
      </c>
      <c r="I89" s="21" t="s">
        <v>123</v>
      </c>
      <c r="J89" s="53" t="n">
        <v>2.40839232344956</v>
      </c>
      <c r="K89" s="52" t="n">
        <f aca="false">IF(G89="","",MAX(0,G89-J89/100))</f>
        <v>0.317752811459382</v>
      </c>
      <c r="L89" s="52" t="n">
        <f aca="false">IF(G89="","",MIN(1,G89+J89/100))</f>
        <v>0.365920657928373</v>
      </c>
      <c r="M89" s="37" t="n">
        <f aca="false">IF(F89="","",ROUND(F89*J89/100,0))</f>
        <v>5</v>
      </c>
      <c r="P89" s="54" t="n">
        <v>-6.27394132818181</v>
      </c>
      <c r="Q89" s="55" t="n">
        <f aca="false">T89*$H$5</f>
        <v>196.102981029811</v>
      </c>
      <c r="R89" s="56" t="n">
        <f aca="false">MAX(0,MIN(1,P89/100+$D$5))</f>
        <v>0.340554397578368</v>
      </c>
      <c r="S89" s="57" t="s">
        <v>124</v>
      </c>
      <c r="T89" s="55" t="n">
        <v>196.102981029811</v>
      </c>
    </row>
    <row r="90" customFormat="false" ht="15" hidden="false" customHeight="false" outlineLevel="0" collapsed="false">
      <c r="A90" s="21" t="s">
        <v>179</v>
      </c>
      <c r="B90" s="21" t="s">
        <v>205</v>
      </c>
      <c r="C90" s="21" t="s">
        <v>122</v>
      </c>
      <c r="D90" s="37" t="n">
        <f aca="false">ROUND(Q90*R90,0)</f>
        <v>268</v>
      </c>
      <c r="E90" s="37" t="n">
        <f aca="false">ROUND(Q90,0)-D90</f>
        <v>416</v>
      </c>
      <c r="F90" s="37" t="n">
        <f aca="false">IF(COUNTA(D90:E90)=0,"",SUM(D90:E90))</f>
        <v>684</v>
      </c>
      <c r="G90" s="52" t="n">
        <f aca="false">IF(OR(F90="",F90=0),"",D90/F90)</f>
        <v>0.391812865497076</v>
      </c>
      <c r="H90" s="52" t="n">
        <f aca="false">IF(OR(F90="",F90=0),"",E90/F90)</f>
        <v>0.608187134502924</v>
      </c>
      <c r="I90" s="21" t="s">
        <v>123</v>
      </c>
      <c r="J90" s="53" t="n">
        <v>2.40839232344956</v>
      </c>
      <c r="K90" s="52" t="n">
        <f aca="false">IF(G90="","",MAX(0,G90-J90/100))</f>
        <v>0.36772894226258</v>
      </c>
      <c r="L90" s="52" t="n">
        <f aca="false">IF(G90="","",MIN(1,G90+J90/100))</f>
        <v>0.415896788731572</v>
      </c>
      <c r="M90" s="37" t="n">
        <f aca="false">IF(F90="","",ROUND(F90*J90/100,0))</f>
        <v>16</v>
      </c>
      <c r="P90" s="54" t="n">
        <v>-1.20511336671013</v>
      </c>
      <c r="Q90" s="55" t="n">
        <f aca="false">T90*$H$5</f>
        <v>683.952941176471</v>
      </c>
      <c r="R90" s="56" t="n">
        <f aca="false">MAX(0,MIN(1,P90/100+$D$5))</f>
        <v>0.391242677193085</v>
      </c>
      <c r="S90" s="57" t="s">
        <v>124</v>
      </c>
      <c r="T90" s="55" t="n">
        <v>683.952941176471</v>
      </c>
    </row>
    <row r="91" customFormat="false" ht="15" hidden="false" customHeight="false" outlineLevel="0" collapsed="false">
      <c r="A91" s="21" t="s">
        <v>179</v>
      </c>
      <c r="B91" s="21" t="s">
        <v>206</v>
      </c>
      <c r="C91" s="21" t="s">
        <v>122</v>
      </c>
      <c r="D91" s="37" t="n">
        <f aca="false">ROUND(Q91*R91,0)</f>
        <v>154</v>
      </c>
      <c r="E91" s="37" t="n">
        <f aca="false">ROUND(Q91,0)-D91</f>
        <v>235</v>
      </c>
      <c r="F91" s="37" t="n">
        <f aca="false">IF(COUNTA(D91:E91)=0,"",SUM(D91:E91))</f>
        <v>389</v>
      </c>
      <c r="G91" s="52" t="n">
        <f aca="false">IF(OR(F91="",F91=0),"",D91/F91)</f>
        <v>0.395886889460154</v>
      </c>
      <c r="H91" s="52" t="n">
        <f aca="false">IF(OR(F91="",F91=0),"",E91/F91)</f>
        <v>0.604113110539846</v>
      </c>
      <c r="I91" s="21" t="s">
        <v>123</v>
      </c>
      <c r="J91" s="53" t="n">
        <v>2.40839232344956</v>
      </c>
      <c r="K91" s="52" t="n">
        <f aca="false">IF(G91="","",MAX(0,G91-J91/100))</f>
        <v>0.371802966225659</v>
      </c>
      <c r="L91" s="52" t="n">
        <f aca="false">IF(G91="","",MIN(1,G91+J91/100))</f>
        <v>0.41997081269465</v>
      </c>
      <c r="M91" s="37" t="n">
        <f aca="false">IF(F91="","",ROUND(F91*J91/100,0))</f>
        <v>9</v>
      </c>
      <c r="P91" s="54" t="n">
        <v>-0.644735943543113</v>
      </c>
      <c r="Q91" s="55" t="n">
        <f aca="false">T91*$H$5</f>
        <v>388.819749216301</v>
      </c>
      <c r="R91" s="56" t="n">
        <f aca="false">MAX(0,MIN(1,P91/100+$D$5))</f>
        <v>0.396846451424755</v>
      </c>
      <c r="S91" s="57" t="s">
        <v>124</v>
      </c>
      <c r="T91" s="55" t="n">
        <v>388.819749216301</v>
      </c>
    </row>
    <row r="92" customFormat="false" ht="15" hidden="false" customHeight="false" outlineLevel="0" collapsed="false">
      <c r="A92" s="21" t="s">
        <v>179</v>
      </c>
      <c r="B92" s="21" t="s">
        <v>207</v>
      </c>
      <c r="C92" s="21" t="s">
        <v>122</v>
      </c>
      <c r="D92" s="37" t="n">
        <f aca="false">ROUND(Q92*R92,0)</f>
        <v>254</v>
      </c>
      <c r="E92" s="37" t="n">
        <f aca="false">ROUND(Q92,0)-D92</f>
        <v>348</v>
      </c>
      <c r="F92" s="37" t="n">
        <f aca="false">IF(COUNTA(D92:E92)=0,"",SUM(D92:E92))</f>
        <v>602</v>
      </c>
      <c r="G92" s="52" t="n">
        <f aca="false">IF(OR(F92="",F92=0),"",D92/F92)</f>
        <v>0.421926910299003</v>
      </c>
      <c r="H92" s="52" t="n">
        <f aca="false">IF(OR(F92="",F92=0),"",E92/F92)</f>
        <v>0.578073089700997</v>
      </c>
      <c r="I92" s="21" t="s">
        <v>123</v>
      </c>
      <c r="J92" s="53" t="n">
        <v>2.40839232344956</v>
      </c>
      <c r="K92" s="52" t="n">
        <f aca="false">IF(G92="","",MAX(0,G92-J92/100))</f>
        <v>0.397842987064508</v>
      </c>
      <c r="L92" s="52" t="n">
        <f aca="false">IF(G92="","",MIN(1,G92+J92/100))</f>
        <v>0.446010833533499</v>
      </c>
      <c r="M92" s="37" t="n">
        <f aca="false">IF(F92="","",ROUND(F92*J92/100,0))</f>
        <v>14</v>
      </c>
      <c r="P92" s="54" t="n">
        <v>1.93967332986846</v>
      </c>
      <c r="Q92" s="55" t="n">
        <f aca="false">T92*$H$5</f>
        <v>602.078688524591</v>
      </c>
      <c r="R92" s="56" t="n">
        <f aca="false">MAX(0,MIN(1,P92/100+$D$5))</f>
        <v>0.42269054415887</v>
      </c>
      <c r="S92" s="57" t="s">
        <v>124</v>
      </c>
      <c r="T92" s="55" t="n">
        <v>602.07868852459</v>
      </c>
    </row>
    <row r="93" customFormat="false" ht="15" hidden="false" customHeight="false" outlineLevel="0" collapsed="false">
      <c r="A93" s="21" t="s">
        <v>179</v>
      </c>
      <c r="B93" s="21" t="s">
        <v>208</v>
      </c>
      <c r="C93" s="21" t="s">
        <v>122</v>
      </c>
      <c r="D93" s="37" t="n">
        <f aca="false">ROUND(Q93*R93,0)</f>
        <v>983</v>
      </c>
      <c r="E93" s="37" t="n">
        <f aca="false">ROUND(Q93,0)-D93</f>
        <v>2163</v>
      </c>
      <c r="F93" s="37" t="n">
        <f aca="false">IF(COUNTA(D93:E93)=0,"",SUM(D93:E93))</f>
        <v>3146</v>
      </c>
      <c r="G93" s="52" t="n">
        <f aca="false">IF(OR(F93="",F93=0),"",D93/F93)</f>
        <v>0.312460267005722</v>
      </c>
      <c r="H93" s="52" t="n">
        <f aca="false">IF(OR(F93="",F93=0),"",E93/F93)</f>
        <v>0.687539732994278</v>
      </c>
      <c r="I93" s="21" t="s">
        <v>123</v>
      </c>
      <c r="J93" s="53" t="n">
        <v>1.32461619797241</v>
      </c>
      <c r="K93" s="52" t="n">
        <f aca="false">IF(G93="","",MAX(0,G93-J93/100))</f>
        <v>0.299214105025997</v>
      </c>
      <c r="L93" s="52" t="n">
        <f aca="false">IF(G93="","",MIN(1,G93+J93/100))</f>
        <v>0.325706428985446</v>
      </c>
      <c r="M93" s="37" t="n">
        <f aca="false">IF(F93="","",ROUND(F93*J93/100,0))</f>
        <v>42</v>
      </c>
      <c r="P93" s="54" t="n">
        <v>-9.07736912210726</v>
      </c>
      <c r="Q93" s="55" t="n">
        <f aca="false">T93*$H$5</f>
        <v>3146.26275765459</v>
      </c>
      <c r="R93" s="56" t="n">
        <f aca="false">MAX(0,MIN(1,P93/100+$D$5))</f>
        <v>0.312520119639113</v>
      </c>
      <c r="S93" s="57" t="s">
        <v>130</v>
      </c>
      <c r="T93" s="55" t="n">
        <v>3146.26275765459</v>
      </c>
    </row>
    <row r="94" customFormat="false" ht="15" hidden="false" customHeight="false" outlineLevel="0" collapsed="false">
      <c r="A94" s="21" t="s">
        <v>179</v>
      </c>
      <c r="B94" s="21" t="s">
        <v>209</v>
      </c>
      <c r="C94" s="21" t="s">
        <v>122</v>
      </c>
      <c r="D94" s="37" t="n">
        <f aca="false">ROUND(Q94*R94,0)</f>
        <v>1062</v>
      </c>
      <c r="E94" s="37" t="n">
        <f aca="false">ROUND(Q94,0)-D94</f>
        <v>1194</v>
      </c>
      <c r="F94" s="37" t="n">
        <f aca="false">IF(COUNTA(D94:E94)=0,"",SUM(D94:E94))</f>
        <v>2256</v>
      </c>
      <c r="G94" s="52" t="n">
        <f aca="false">IF(OR(F94="",F94=0),"",D94/F94)</f>
        <v>0.470744680851064</v>
      </c>
      <c r="H94" s="52" t="n">
        <f aca="false">IF(OR(F94="",F94=0),"",E94/F94)</f>
        <v>0.529255319148936</v>
      </c>
      <c r="I94" s="21" t="s">
        <v>123</v>
      </c>
      <c r="J94" s="53" t="n">
        <v>1.32461619797241</v>
      </c>
      <c r="K94" s="52" t="n">
        <f aca="false">IF(G94="","",MAX(0,G94-J94/100))</f>
        <v>0.45749851887134</v>
      </c>
      <c r="L94" s="52" t="n">
        <f aca="false">IF(G94="","",MIN(1,G94+J94/100))</f>
        <v>0.483990842830788</v>
      </c>
      <c r="M94" s="37" t="n">
        <f aca="false">IF(F94="","",ROUND(F94*J94/100,0))</f>
        <v>30</v>
      </c>
      <c r="P94" s="54" t="n">
        <v>6.73040427117306</v>
      </c>
      <c r="Q94" s="55" t="n">
        <f aca="false">T94*$H$5</f>
        <v>2256.30703156213</v>
      </c>
      <c r="R94" s="56" t="n">
        <f aca="false">MAX(0,MIN(1,P94/100+$D$5))</f>
        <v>0.470597853571916</v>
      </c>
      <c r="S94" s="57" t="s">
        <v>130</v>
      </c>
      <c r="T94" s="55" t="n">
        <v>2256.30703156213</v>
      </c>
    </row>
    <row r="95" customFormat="false" ht="15" hidden="false" customHeight="false" outlineLevel="0" collapsed="false">
      <c r="A95" s="21" t="s">
        <v>179</v>
      </c>
      <c r="B95" s="21" t="s">
        <v>210</v>
      </c>
      <c r="C95" s="21" t="s">
        <v>122</v>
      </c>
      <c r="D95" s="37" t="n">
        <f aca="false">ROUND(Q95*R95,0)</f>
        <v>297</v>
      </c>
      <c r="E95" s="37" t="n">
        <f aca="false">ROUND(Q95,0)-D95</f>
        <v>464</v>
      </c>
      <c r="F95" s="37" t="n">
        <f aca="false">IF(COUNTA(D95:E95)=0,"",SUM(D95:E95))</f>
        <v>761</v>
      </c>
      <c r="G95" s="52" t="n">
        <f aca="false">IF(OR(F95="",F95=0),"",D95/F95)</f>
        <v>0.390275952693824</v>
      </c>
      <c r="H95" s="52" t="n">
        <f aca="false">IF(OR(F95="",F95=0),"",E95/F95)</f>
        <v>0.609724047306176</v>
      </c>
      <c r="I95" s="21" t="s">
        <v>123</v>
      </c>
      <c r="J95" s="53" t="n">
        <v>2.40839232344956</v>
      </c>
      <c r="K95" s="52" t="n">
        <f aca="false">IF(G95="","",MAX(0,G95-J95/100))</f>
        <v>0.366192029459328</v>
      </c>
      <c r="L95" s="52" t="n">
        <f aca="false">IF(G95="","",MIN(1,G95+J95/100))</f>
        <v>0.41435987592832</v>
      </c>
      <c r="M95" s="37" t="n">
        <f aca="false">IF(F95="","",ROUND(F95*J95/100,0))</f>
        <v>18</v>
      </c>
      <c r="P95" s="54" t="n">
        <v>-1.28210993573592</v>
      </c>
      <c r="Q95" s="55" t="n">
        <f aca="false">T95*$H$5</f>
        <v>761.429837518464</v>
      </c>
      <c r="R95" s="56" t="n">
        <f aca="false">MAX(0,MIN(1,P95/100+$D$5))</f>
        <v>0.390472711502827</v>
      </c>
      <c r="S95" s="57" t="s">
        <v>124</v>
      </c>
      <c r="T95" s="55" t="n">
        <v>761.429837518464</v>
      </c>
    </row>
    <row r="96" customFormat="false" ht="15" hidden="false" customHeight="false" outlineLevel="0" collapsed="false">
      <c r="A96" s="21" t="s">
        <v>179</v>
      </c>
      <c r="B96" s="21" t="s">
        <v>172</v>
      </c>
      <c r="C96" s="21" t="s">
        <v>122</v>
      </c>
      <c r="D96" s="37" t="n">
        <f aca="false">ROUND(Q96*R96,0)</f>
        <v>767</v>
      </c>
      <c r="E96" s="37" t="n">
        <f aca="false">ROUND(Q96,0)-D96</f>
        <v>1620</v>
      </c>
      <c r="F96" s="37" t="n">
        <f aca="false">IF(COUNTA(D96:E96)=0,"",SUM(D96:E96))</f>
        <v>2387</v>
      </c>
      <c r="G96" s="52" t="n">
        <f aca="false">IF(OR(F96="",F96=0),"",D96/F96)</f>
        <v>0.32132383745287</v>
      </c>
      <c r="H96" s="52" t="n">
        <f aca="false">IF(OR(F96="",F96=0),"",E96/F96)</f>
        <v>0.67867616254713</v>
      </c>
      <c r="I96" s="21" t="s">
        <v>123</v>
      </c>
      <c r="J96" s="53" t="n">
        <v>1.32461619797241</v>
      </c>
      <c r="K96" s="52" t="n">
        <f aca="false">IF(G96="","",MAX(0,G96-J96/100))</f>
        <v>0.308077675473146</v>
      </c>
      <c r="L96" s="52" t="n">
        <f aca="false">IF(G96="","",MIN(1,G96+J96/100))</f>
        <v>0.334569999432594</v>
      </c>
      <c r="M96" s="37" t="n">
        <f aca="false">IF(F96="","",ROUND(F96*J96/100,0))</f>
        <v>32</v>
      </c>
      <c r="P96" s="54" t="n">
        <v>-8.20411263427561</v>
      </c>
      <c r="Q96" s="55" t="n">
        <f aca="false">T96*$H$5</f>
        <v>2386.68081761006</v>
      </c>
      <c r="R96" s="56" t="n">
        <f aca="false">MAX(0,MIN(1,P96/100+$D$5))</f>
        <v>0.32125268451743</v>
      </c>
      <c r="S96" s="57" t="s">
        <v>130</v>
      </c>
      <c r="T96" s="55" t="n">
        <v>2386.68081761006</v>
      </c>
    </row>
    <row r="97" customFormat="false" ht="15" hidden="false" customHeight="false" outlineLevel="0" collapsed="false">
      <c r="A97" s="21" t="s">
        <v>179</v>
      </c>
      <c r="B97" s="21" t="s">
        <v>211</v>
      </c>
      <c r="C97" s="21" t="s">
        <v>122</v>
      </c>
      <c r="D97" s="37" t="n">
        <f aca="false">ROUND(Q97*R97,0)</f>
        <v>211</v>
      </c>
      <c r="E97" s="37" t="n">
        <f aca="false">ROUND(Q97,0)-D97</f>
        <v>227</v>
      </c>
      <c r="F97" s="37" t="n">
        <f aca="false">IF(COUNTA(D97:E97)=0,"",SUM(D97:E97))</f>
        <v>438</v>
      </c>
      <c r="G97" s="52" t="n">
        <f aca="false">IF(OR(F97="",F97=0),"",D97/F97)</f>
        <v>0.481735159817352</v>
      </c>
      <c r="H97" s="52" t="n">
        <f aca="false">IF(OR(F97="",F97=0),"",E97/F97)</f>
        <v>0.518264840182648</v>
      </c>
      <c r="I97" s="21" t="s">
        <v>123</v>
      </c>
      <c r="J97" s="53" t="n">
        <v>2.40839232344956</v>
      </c>
      <c r="K97" s="52" t="n">
        <f aca="false">IF(G97="","",MAX(0,G97-J97/100))</f>
        <v>0.457651236582856</v>
      </c>
      <c r="L97" s="52" t="n">
        <f aca="false">IF(G97="","",MIN(1,G97+J97/100))</f>
        <v>0.505819083051847</v>
      </c>
      <c r="M97" s="37" t="n">
        <f aca="false">IF(F97="","",ROUND(F97*J97/100,0))</f>
        <v>11</v>
      </c>
      <c r="P97" s="54" t="n">
        <v>7.77853938832551</v>
      </c>
      <c r="Q97" s="55" t="n">
        <f aca="false">T97*$H$5</f>
        <v>438.292134831461</v>
      </c>
      <c r="R97" s="56" t="n">
        <f aca="false">MAX(0,MIN(1,P97/100+$D$5))</f>
        <v>0.481079204743441</v>
      </c>
      <c r="S97" s="57" t="s">
        <v>124</v>
      </c>
      <c r="T97" s="55" t="n">
        <v>438.29213483146</v>
      </c>
    </row>
    <row r="98" customFormat="false" ht="15" hidden="false" customHeight="false" outlineLevel="0" collapsed="false">
      <c r="A98" s="21" t="s">
        <v>179</v>
      </c>
      <c r="B98" s="21" t="s">
        <v>212</v>
      </c>
      <c r="C98" s="21" t="s">
        <v>122</v>
      </c>
      <c r="D98" s="37" t="n">
        <f aca="false">ROUND(Q98*R98,0)</f>
        <v>1489</v>
      </c>
      <c r="E98" s="37" t="n">
        <f aca="false">ROUND(Q98,0)-D98</f>
        <v>1877</v>
      </c>
      <c r="F98" s="37" t="n">
        <f aca="false">IF(COUNTA(D98:E98)=0,"",SUM(D98:E98))</f>
        <v>3366</v>
      </c>
      <c r="G98" s="52" t="n">
        <f aca="false">IF(OR(F98="",F98=0),"",D98/F98)</f>
        <v>0.442364824717766</v>
      </c>
      <c r="H98" s="52" t="n">
        <f aca="false">IF(OR(F98="",F98=0),"",E98/F98)</f>
        <v>0.557635175282234</v>
      </c>
      <c r="I98" s="21" t="s">
        <v>123</v>
      </c>
      <c r="J98" s="53" t="n">
        <v>1.32461619797241</v>
      </c>
      <c r="K98" s="52" t="n">
        <f aca="false">IF(G98="","",MAX(0,G98-J98/100))</f>
        <v>0.429118662738042</v>
      </c>
      <c r="L98" s="52" t="n">
        <f aca="false">IF(G98="","",MIN(1,G98+J98/100))</f>
        <v>0.45561098669749</v>
      </c>
      <c r="M98" s="37" t="n">
        <f aca="false">IF(F98="","",ROUND(F98*J98/100,0))</f>
        <v>45</v>
      </c>
      <c r="P98" s="54" t="n">
        <v>3.90416799226974</v>
      </c>
      <c r="Q98" s="55" t="n">
        <f aca="false">T98*$H$5</f>
        <v>3365.72741078208</v>
      </c>
      <c r="R98" s="56" t="n">
        <f aca="false">MAX(0,MIN(1,P98/100+$D$5))</f>
        <v>0.442335490782883</v>
      </c>
      <c r="S98" s="57" t="s">
        <v>130</v>
      </c>
      <c r="T98" s="55" t="n">
        <v>3365.72741078208</v>
      </c>
    </row>
    <row r="99" customFormat="false" ht="15" hidden="false" customHeight="false" outlineLevel="0" collapsed="false">
      <c r="A99" s="21" t="s">
        <v>179</v>
      </c>
      <c r="B99" s="21" t="s">
        <v>213</v>
      </c>
      <c r="C99" s="21" t="s">
        <v>122</v>
      </c>
      <c r="D99" s="37" t="n">
        <f aca="false">ROUND(Q99*R99,0)</f>
        <v>1299</v>
      </c>
      <c r="E99" s="37" t="n">
        <f aca="false">ROUND(Q99,0)-D99</f>
        <v>1051</v>
      </c>
      <c r="F99" s="37" t="n">
        <f aca="false">IF(COUNTA(D99:E99)=0,"",SUM(D99:E99))</f>
        <v>2350</v>
      </c>
      <c r="G99" s="52" t="n">
        <f aca="false">IF(OR(F99="",F99=0),"",D99/F99)</f>
        <v>0.552765957446809</v>
      </c>
      <c r="H99" s="52" t="n">
        <f aca="false">IF(OR(F99="",F99=0),"",E99/F99)</f>
        <v>0.447234042553192</v>
      </c>
      <c r="I99" s="21" t="s">
        <v>123</v>
      </c>
      <c r="J99" s="53" t="n">
        <v>1.32461619797241</v>
      </c>
      <c r="K99" s="52" t="n">
        <f aca="false">IF(G99="","",MAX(0,G99-J99/100))</f>
        <v>0.539519795467085</v>
      </c>
      <c r="L99" s="52" t="n">
        <f aca="false">IF(G99="","",MIN(1,G99+J99/100))</f>
        <v>0.566012119426533</v>
      </c>
      <c r="M99" s="37" t="n">
        <f aca="false">IF(F99="","",ROUND(F99*J99/100,0))</f>
        <v>31</v>
      </c>
      <c r="P99" s="54" t="n">
        <v>14.9236981182269</v>
      </c>
      <c r="Q99" s="55" t="n">
        <f aca="false">T99*$H$5</f>
        <v>2350.25573902537</v>
      </c>
      <c r="R99" s="56" t="n">
        <f aca="false">MAX(0,MIN(1,P99/100+$D$5))</f>
        <v>0.552530792042455</v>
      </c>
      <c r="S99" s="57" t="s">
        <v>130</v>
      </c>
      <c r="T99" s="55" t="n">
        <v>2350.25573902537</v>
      </c>
    </row>
    <row r="100" customFormat="false" ht="15" hidden="false" customHeight="false" outlineLevel="0" collapsed="false">
      <c r="A100" s="21" t="s">
        <v>179</v>
      </c>
      <c r="B100" s="21" t="s">
        <v>214</v>
      </c>
      <c r="C100" s="21" t="s">
        <v>122</v>
      </c>
      <c r="D100" s="37" t="n">
        <f aca="false">ROUND(Q100*R100,0)</f>
        <v>490</v>
      </c>
      <c r="E100" s="37" t="n">
        <f aca="false">ROUND(Q100,0)-D100</f>
        <v>655</v>
      </c>
      <c r="F100" s="37" t="n">
        <f aca="false">IF(COUNTA(D100:E100)=0,"",SUM(D100:E100))</f>
        <v>1145</v>
      </c>
      <c r="G100" s="52" t="n">
        <f aca="false">IF(OR(F100="",F100=0),"",D100/F100)</f>
        <v>0.427947598253275</v>
      </c>
      <c r="H100" s="52" t="n">
        <f aca="false">IF(OR(F100="",F100=0),"",E100/F100)</f>
        <v>0.572052401746725</v>
      </c>
      <c r="I100" s="21" t="s">
        <v>123</v>
      </c>
      <c r="J100" s="53" t="n">
        <v>2.40839232344956</v>
      </c>
      <c r="K100" s="52" t="n">
        <f aca="false">IF(G100="","",MAX(0,G100-J100/100))</f>
        <v>0.403863675018779</v>
      </c>
      <c r="L100" s="52" t="n">
        <f aca="false">IF(G100="","",MIN(1,G100+J100/100))</f>
        <v>0.452031521487771</v>
      </c>
      <c r="M100" s="37" t="n">
        <f aca="false">IF(F100="","",ROUND(F100*J100/100,0))</f>
        <v>28</v>
      </c>
      <c r="P100" s="54" t="n">
        <v>2.4519248015627</v>
      </c>
      <c r="Q100" s="55" t="n">
        <f aca="false">T100*$H$5</f>
        <v>1145.48062775871</v>
      </c>
      <c r="R100" s="56" t="n">
        <f aca="false">MAX(0,MIN(1,P100/100+$D$5))</f>
        <v>0.427813058875813</v>
      </c>
      <c r="S100" s="57" t="s">
        <v>124</v>
      </c>
      <c r="T100" s="55" t="n">
        <v>1145.48062775871</v>
      </c>
    </row>
  </sheetData>
  <mergeCells count="4">
    <mergeCell ref="A3:I3"/>
    <mergeCell ref="A6:M6"/>
    <mergeCell ref="A9:M9"/>
    <mergeCell ref="A10:M10"/>
  </mergeCells>
  <conditionalFormatting sqref="G12:G100">
    <cfRule type="colorScale" priority="2">
      <colorScale>
        <cfvo type="num" val="0.25"/>
        <cfvo type="num" val="0.5"/>
        <cfvo type="num" val="0.75"/>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2"/>
    <col collapsed="false" customWidth="true" hidden="false" outlineLevel="0" max="4" min="4" style="0" width="44"/>
    <col collapsed="false" customWidth="true" hidden="false" outlineLevel="0" max="5" min="5" style="0" width="12"/>
    <col collapsed="false" customWidth="true" hidden="false" outlineLevel="0" max="6" min="6" style="0" width="44"/>
    <col collapsed="false" customWidth="true" hidden="false" outlineLevel="0" max="7" min="7" style="0" width="12"/>
  </cols>
  <sheetData>
    <row r="1" customFormat="false" ht="17.35" hidden="false" customHeight="false" outlineLevel="0" collapsed="false">
      <c r="A1" s="1" t="s">
        <v>219</v>
      </c>
    </row>
    <row r="3" customFormat="false" ht="15" hidden="false" customHeight="false" outlineLevel="0" collapsed="false">
      <c r="A3" s="5" t="s">
        <v>220</v>
      </c>
    </row>
    <row r="4" customFormat="false" ht="33.75" hidden="false" customHeight="true" outlineLevel="0" collapsed="false">
      <c r="A4" s="20" t="s">
        <v>221</v>
      </c>
      <c r="B4" s="20"/>
      <c r="C4" s="20"/>
      <c r="D4" s="20"/>
      <c r="E4" s="20"/>
      <c r="F4" s="20"/>
      <c r="G4" s="20"/>
      <c r="H4" s="20"/>
    </row>
    <row r="5" customFormat="false" ht="15" hidden="false" customHeight="false" outlineLevel="0" collapsed="false">
      <c r="A5" s="5" t="s">
        <v>222</v>
      </c>
    </row>
    <row r="6" customFormat="false" ht="33.75" hidden="false" customHeight="true" outlineLevel="0" collapsed="false">
      <c r="A6" s="20" t="s">
        <v>223</v>
      </c>
      <c r="B6" s="20"/>
      <c r="C6" s="20"/>
      <c r="D6" s="20"/>
      <c r="E6" s="20"/>
      <c r="F6" s="20"/>
      <c r="G6" s="20"/>
      <c r="H6" s="20"/>
    </row>
    <row r="7" customFormat="false" ht="15" hidden="false" customHeight="false" outlineLevel="0" collapsed="false">
      <c r="A7" s="5" t="s">
        <v>224</v>
      </c>
    </row>
    <row r="8" customFormat="false" ht="33.75" hidden="false" customHeight="true" outlineLevel="0" collapsed="false">
      <c r="A8" s="20" t="s">
        <v>225</v>
      </c>
      <c r="B8" s="20"/>
      <c r="C8" s="20"/>
      <c r="D8" s="20"/>
      <c r="E8" s="20"/>
      <c r="F8" s="20"/>
      <c r="G8" s="20"/>
      <c r="H8" s="20"/>
    </row>
    <row r="9" customFormat="false" ht="15" hidden="false" customHeight="false" outlineLevel="0" collapsed="false">
      <c r="A9" s="5" t="s">
        <v>226</v>
      </c>
    </row>
    <row r="10" customFormat="false" ht="33.75" hidden="false" customHeight="true" outlineLevel="0" collapsed="false">
      <c r="A10" s="20" t="s">
        <v>227</v>
      </c>
      <c r="B10" s="20"/>
      <c r="C10" s="20"/>
      <c r="D10" s="20"/>
      <c r="E10" s="20"/>
      <c r="F10" s="20"/>
      <c r="G10" s="20"/>
      <c r="H10" s="20"/>
    </row>
    <row r="11" customFormat="false" ht="15" hidden="false" customHeight="false" outlineLevel="0" collapsed="false">
      <c r="A11" s="5" t="s">
        <v>228</v>
      </c>
    </row>
    <row r="12" customFormat="false" ht="33.75" hidden="false" customHeight="true" outlineLevel="0" collapsed="false">
      <c r="A12" s="20" t="s">
        <v>229</v>
      </c>
      <c r="B12" s="20"/>
      <c r="C12" s="20"/>
      <c r="D12" s="20"/>
      <c r="E12" s="20"/>
      <c r="F12" s="20"/>
      <c r="G12" s="20"/>
      <c r="H12" s="20"/>
    </row>
    <row r="14" customFormat="false" ht="15" hidden="false" customHeight="false" outlineLevel="0" collapsed="false">
      <c r="A14" s="4" t="s">
        <v>230</v>
      </c>
      <c r="B14" s="4"/>
      <c r="C14" s="4"/>
      <c r="D14" s="4"/>
      <c r="E14" s="4"/>
      <c r="F14" s="4"/>
      <c r="G14" s="4"/>
      <c r="H14" s="4"/>
    </row>
    <row r="15" customFormat="false" ht="31.5" hidden="false" customHeight="true" outlineLevel="0" collapsed="false">
      <c r="A15" s="8" t="s">
        <v>231</v>
      </c>
      <c r="B15" s="8" t="s">
        <v>48</v>
      </c>
      <c r="C15" s="8" t="s">
        <v>51</v>
      </c>
      <c r="D15" s="8" t="s">
        <v>52</v>
      </c>
      <c r="E15" s="8" t="s">
        <v>232</v>
      </c>
    </row>
    <row r="16" customFormat="false" ht="15" hidden="false" customHeight="false" outlineLevel="0" collapsed="false">
      <c r="A16" s="33" t="s">
        <v>233</v>
      </c>
      <c r="B16" s="10" t="n">
        <v>0.0021963126714061</v>
      </c>
      <c r="C16" s="10" t="n">
        <v>0</v>
      </c>
      <c r="D16" s="10" t="n">
        <v>0.00203413108491458</v>
      </c>
      <c r="E16" s="58" t="n">
        <v>1</v>
      </c>
    </row>
    <row r="17" customFormat="false" ht="15" hidden="false" customHeight="false" outlineLevel="0" collapsed="false">
      <c r="A17" s="33" t="s">
        <v>234</v>
      </c>
      <c r="B17" s="10" t="n">
        <v>0.778144614645656</v>
      </c>
      <c r="C17" s="10" t="n">
        <v>0.783371973345794</v>
      </c>
      <c r="D17" s="10" t="n">
        <v>0.654957484931858</v>
      </c>
      <c r="E17" s="58" t="n">
        <v>0.9087993842659</v>
      </c>
    </row>
    <row r="18" customFormat="false" ht="15" hidden="false" customHeight="false" outlineLevel="0" collapsed="false">
      <c r="A18" s="33" t="s">
        <v>235</v>
      </c>
      <c r="B18" s="10" t="n">
        <v>0.219659072682938</v>
      </c>
      <c r="C18" s="10" t="n">
        <v>0.216628026654206</v>
      </c>
      <c r="D18" s="10" t="n">
        <v>0.343008383983228</v>
      </c>
      <c r="E18" s="58" t="n">
        <v>1.68605143892932</v>
      </c>
    </row>
    <row r="19" customFormat="false" ht="15" hidden="false" customHeight="false" outlineLevel="0" collapsed="false">
      <c r="A19" s="3" t="s">
        <v>236</v>
      </c>
    </row>
    <row r="21" customFormat="false" ht="15" hidden="false" customHeight="false" outlineLevel="0" collapsed="false">
      <c r="A21" s="4" t="s">
        <v>237</v>
      </c>
      <c r="B21" s="4"/>
      <c r="C21" s="4"/>
      <c r="D21" s="4"/>
      <c r="E21" s="4"/>
      <c r="F21" s="4"/>
      <c r="G21" s="4"/>
      <c r="H21" s="4"/>
    </row>
    <row r="22" customFormat="false" ht="31.5" hidden="false" customHeight="true" outlineLevel="0" collapsed="false">
      <c r="A22" s="8" t="s">
        <v>238</v>
      </c>
      <c r="B22" s="8" t="s">
        <v>48</v>
      </c>
      <c r="C22" s="8" t="s">
        <v>239</v>
      </c>
      <c r="D22" s="8" t="s">
        <v>51</v>
      </c>
      <c r="E22" s="8" t="s">
        <v>239</v>
      </c>
      <c r="F22" s="8" t="s">
        <v>52</v>
      </c>
      <c r="G22" s="8" t="s">
        <v>239</v>
      </c>
    </row>
    <row r="23" customFormat="false" ht="15" hidden="false" customHeight="false" outlineLevel="0" collapsed="false">
      <c r="A23" s="9" t="n">
        <v>1</v>
      </c>
      <c r="B23" s="9" t="s">
        <v>240</v>
      </c>
      <c r="C23" s="10" t="n">
        <v>0.209648002604111</v>
      </c>
      <c r="D23" s="9" t="s">
        <v>240</v>
      </c>
      <c r="E23" s="10" t="n">
        <v>0.223626791937969</v>
      </c>
      <c r="F23" s="9" t="s">
        <v>240</v>
      </c>
      <c r="G23" s="10" t="n">
        <v>0.176458881706844</v>
      </c>
    </row>
    <row r="24" customFormat="false" ht="15" hidden="false" customHeight="false" outlineLevel="0" collapsed="false">
      <c r="A24" s="9" t="n">
        <v>2</v>
      </c>
      <c r="B24" s="9" t="s">
        <v>241</v>
      </c>
      <c r="C24" s="10" t="n">
        <v>0.180504270307736</v>
      </c>
      <c r="D24" s="9" t="s">
        <v>241</v>
      </c>
      <c r="E24" s="10" t="n">
        <v>0.208975112633478</v>
      </c>
      <c r="F24" s="9" t="s">
        <v>242</v>
      </c>
      <c r="G24" s="10" t="n">
        <v>0.158124653780941</v>
      </c>
    </row>
    <row r="25" customFormat="false" ht="15" hidden="false" customHeight="false" outlineLevel="0" collapsed="false">
      <c r="A25" s="9" t="n">
        <v>3</v>
      </c>
      <c r="B25" s="9" t="s">
        <v>243</v>
      </c>
      <c r="C25" s="10" t="n">
        <v>0.156885592568729</v>
      </c>
      <c r="D25" s="9" t="s">
        <v>243</v>
      </c>
      <c r="E25" s="10" t="n">
        <v>0.167053098882291</v>
      </c>
      <c r="F25" s="9" t="s">
        <v>241</v>
      </c>
      <c r="G25" s="10" t="n">
        <v>0.151928858306177</v>
      </c>
    </row>
    <row r="26" customFormat="false" ht="15" hidden="false" customHeight="false" outlineLevel="0" collapsed="false">
      <c r="A26" s="9" t="n">
        <v>4</v>
      </c>
      <c r="B26" s="9" t="s">
        <v>242</v>
      </c>
      <c r="C26" s="10" t="n">
        <v>0.101261416454271</v>
      </c>
      <c r="D26" s="9" t="s">
        <v>242</v>
      </c>
      <c r="E26" s="10" t="n">
        <v>0.135600700541608</v>
      </c>
      <c r="F26" s="9" t="s">
        <v>243</v>
      </c>
      <c r="G26" s="10" t="n">
        <v>0.132049224780216</v>
      </c>
    </row>
    <row r="27" customFormat="false" ht="15" hidden="false" customHeight="false" outlineLevel="0" collapsed="false">
      <c r="A27" s="9" t="n">
        <v>5</v>
      </c>
      <c r="B27" s="9" t="s">
        <v>244</v>
      </c>
      <c r="C27" s="10" t="n">
        <v>0.0992793622716546</v>
      </c>
      <c r="D27" s="9" t="s">
        <v>244</v>
      </c>
      <c r="E27" s="10" t="n">
        <v>0.10177080990981</v>
      </c>
      <c r="F27" s="9" t="s">
        <v>245</v>
      </c>
      <c r="G27" s="10" t="n">
        <v>0.125651056470029</v>
      </c>
    </row>
    <row r="28" customFormat="false" ht="15" hidden="false" customHeight="false" outlineLevel="0" collapsed="false">
      <c r="A28" s="9" t="n">
        <v>6</v>
      </c>
      <c r="B28" s="9" t="s">
        <v>245</v>
      </c>
      <c r="C28" s="10" t="n">
        <v>0.080465655752565</v>
      </c>
      <c r="D28" s="9" t="s">
        <v>246</v>
      </c>
      <c r="E28" s="10" t="n">
        <v>0.0819461599822463</v>
      </c>
      <c r="F28" s="9" t="s">
        <v>244</v>
      </c>
      <c r="G28" s="10" t="n">
        <v>0.0835625668998449</v>
      </c>
    </row>
    <row r="29" customFormat="false" ht="15" hidden="false" customHeight="false" outlineLevel="0" collapsed="false">
      <c r="A29" s="9" t="n">
        <v>7</v>
      </c>
      <c r="B29" s="9" t="s">
        <v>246</v>
      </c>
      <c r="C29" s="10" t="n">
        <v>0.0714606025756036</v>
      </c>
      <c r="D29" s="9" t="s">
        <v>245</v>
      </c>
      <c r="E29" s="10" t="n">
        <v>0.0810273261125974</v>
      </c>
      <c r="F29" s="9" t="s">
        <v>246</v>
      </c>
      <c r="G29" s="10" t="n">
        <v>0.0601477612949173</v>
      </c>
    </row>
    <row r="30" customFormat="false" ht="15" hidden="false" customHeight="false" outlineLevel="0" collapsed="false">
      <c r="A30" s="9" t="n">
        <v>8</v>
      </c>
      <c r="B30" s="9" t="s">
        <v>247</v>
      </c>
      <c r="C30" s="10" t="n">
        <v>0.012750120868855</v>
      </c>
      <c r="D30" s="9"/>
      <c r="E30" s="9"/>
      <c r="F30" s="9" t="s">
        <v>248</v>
      </c>
      <c r="G30" s="10" t="n">
        <v>0.0163068577747842</v>
      </c>
    </row>
    <row r="31" customFormat="false" ht="15" hidden="false" customHeight="false" outlineLevel="0" collapsed="false">
      <c r="A31" s="9" t="n">
        <v>9</v>
      </c>
      <c r="B31" s="9" t="s">
        <v>248</v>
      </c>
      <c r="C31" s="10" t="n">
        <v>0.0104427454967305</v>
      </c>
      <c r="D31" s="9"/>
      <c r="E31" s="9"/>
      <c r="F31" s="9" t="s">
        <v>249</v>
      </c>
      <c r="G31" s="10" t="n">
        <v>0.0159819686960432</v>
      </c>
    </row>
    <row r="32" customFormat="false" ht="15" hidden="false" customHeight="false" outlineLevel="0" collapsed="false">
      <c r="A32" s="9" t="n">
        <v>10</v>
      </c>
      <c r="B32" s="9" t="s">
        <v>249</v>
      </c>
      <c r="C32" s="10" t="n">
        <v>0.0102346898424274</v>
      </c>
      <c r="D32" s="9"/>
      <c r="E32" s="9"/>
      <c r="F32" s="9" t="s">
        <v>247</v>
      </c>
      <c r="G32" s="10" t="n">
        <v>0.0107316647055961</v>
      </c>
    </row>
    <row r="34" customFormat="false" ht="15" hidden="false" customHeight="false" outlineLevel="0" collapsed="false">
      <c r="A34" s="4" t="s">
        <v>250</v>
      </c>
      <c r="B34" s="4"/>
      <c r="C34" s="4"/>
      <c r="D34" s="4"/>
      <c r="E34" s="4"/>
      <c r="F34" s="4"/>
      <c r="G34" s="4"/>
      <c r="H34" s="4"/>
    </row>
    <row r="35" customFormat="false" ht="31.5" hidden="false" customHeight="true" outlineLevel="0" collapsed="false">
      <c r="A35" s="8" t="s">
        <v>251</v>
      </c>
      <c r="B35" s="8" t="s">
        <v>252</v>
      </c>
      <c r="C35" s="8" t="s">
        <v>253</v>
      </c>
      <c r="D35" s="8" t="s">
        <v>254</v>
      </c>
    </row>
    <row r="36" customFormat="false" ht="15" hidden="false" customHeight="false" outlineLevel="0" collapsed="false">
      <c r="A36" s="21" t="s">
        <v>240</v>
      </c>
      <c r="B36" s="21" t="n">
        <v>20</v>
      </c>
      <c r="C36" s="52" t="n">
        <v>0.205738956169815</v>
      </c>
      <c r="D36" s="21" t="s">
        <v>255</v>
      </c>
    </row>
    <row r="37" customFormat="false" ht="15" hidden="false" customHeight="false" outlineLevel="0" collapsed="false">
      <c r="A37" s="21" t="s">
        <v>241</v>
      </c>
      <c r="B37" s="21" t="n">
        <v>20</v>
      </c>
      <c r="C37" s="52" t="n">
        <v>0.176790463291517</v>
      </c>
      <c r="D37" s="21" t="s">
        <v>255</v>
      </c>
    </row>
    <row r="38" customFormat="false" ht="15" hidden="false" customHeight="false" outlineLevel="0" collapsed="false">
      <c r="A38" s="21" t="s">
        <v>243</v>
      </c>
      <c r="B38" s="21" t="n">
        <v>20</v>
      </c>
      <c r="C38" s="52" t="n">
        <v>0.154670138686392</v>
      </c>
      <c r="D38" s="21" t="s">
        <v>255</v>
      </c>
    </row>
    <row r="39" customFormat="false" ht="15" hidden="false" customHeight="false" outlineLevel="0" collapsed="false">
      <c r="A39" s="21" t="s">
        <v>242</v>
      </c>
      <c r="B39" s="21" t="n">
        <v>20</v>
      </c>
      <c r="C39" s="52" t="n">
        <v>0.0970768642628434</v>
      </c>
      <c r="D39" s="21" t="s">
        <v>255</v>
      </c>
    </row>
    <row r="40" customFormat="false" ht="15" hidden="false" customHeight="false" outlineLevel="0" collapsed="false">
      <c r="A40" s="21" t="s">
        <v>244</v>
      </c>
      <c r="B40" s="21" t="n">
        <v>20</v>
      </c>
      <c r="C40" s="52" t="n">
        <v>0.0923827920028706</v>
      </c>
      <c r="D40" s="21" t="s">
        <v>255</v>
      </c>
    </row>
    <row r="41" customFormat="false" ht="15" hidden="false" customHeight="false" outlineLevel="0" collapsed="false">
      <c r="A41" s="21" t="s">
        <v>245</v>
      </c>
      <c r="B41" s="21" t="n">
        <v>20</v>
      </c>
      <c r="C41" s="52" t="n">
        <v>0.0785631908810124</v>
      </c>
      <c r="D41" s="21" t="s">
        <v>255</v>
      </c>
    </row>
    <row r="42" customFormat="false" ht="15" hidden="false" customHeight="false" outlineLevel="0" collapsed="false">
      <c r="A42" s="21" t="s">
        <v>246</v>
      </c>
      <c r="B42" s="21" t="n">
        <v>20</v>
      </c>
      <c r="C42" s="52" t="n">
        <v>0.0702216656345184</v>
      </c>
      <c r="D42" s="21" t="s">
        <v>255</v>
      </c>
    </row>
    <row r="43" customFormat="false" ht="15" hidden="false" customHeight="false" outlineLevel="0" collapsed="false">
      <c r="A43" s="21" t="s">
        <v>247</v>
      </c>
      <c r="B43" s="21" t="n">
        <v>20</v>
      </c>
      <c r="C43" s="52" t="n">
        <v>0.0160268502692119</v>
      </c>
      <c r="D43" s="21" t="s">
        <v>256</v>
      </c>
    </row>
    <row r="44" customFormat="false" ht="15" hidden="false" customHeight="false" outlineLevel="0" collapsed="false">
      <c r="A44" s="21" t="s">
        <v>257</v>
      </c>
      <c r="B44" s="21" t="n">
        <v>20</v>
      </c>
      <c r="C44" s="52" t="n">
        <v>0.0139220627249178</v>
      </c>
      <c r="D44" s="21" t="s">
        <v>256</v>
      </c>
    </row>
    <row r="45" customFormat="false" ht="15" hidden="false" customHeight="false" outlineLevel="0" collapsed="false">
      <c r="A45" s="21" t="s">
        <v>248</v>
      </c>
      <c r="B45" s="21" t="n">
        <v>18</v>
      </c>
      <c r="C45" s="52" t="n">
        <v>0.0131017249995886</v>
      </c>
      <c r="D45" s="21" t="s">
        <v>256</v>
      </c>
    </row>
    <row r="46" customFormat="false" ht="15" hidden="false" customHeight="false" outlineLevel="0" collapsed="false">
      <c r="A46" s="21" t="s">
        <v>258</v>
      </c>
      <c r="B46" s="21" t="n">
        <v>20</v>
      </c>
      <c r="C46" s="52" t="n">
        <v>0.0125221134643199</v>
      </c>
      <c r="D46" s="21" t="s">
        <v>256</v>
      </c>
    </row>
    <row r="47" customFormat="false" ht="15" hidden="false" customHeight="false" outlineLevel="0" collapsed="false">
      <c r="A47" s="21" t="s">
        <v>259</v>
      </c>
      <c r="B47" s="21" t="n">
        <v>20</v>
      </c>
      <c r="C47" s="52" t="n">
        <v>0.00951752326537287</v>
      </c>
      <c r="D47" s="21" t="s">
        <v>256</v>
      </c>
    </row>
    <row r="48" customFormat="false" ht="15" hidden="false" customHeight="false" outlineLevel="0" collapsed="false">
      <c r="A48" s="21" t="s">
        <v>260</v>
      </c>
      <c r="B48" s="21" t="n">
        <v>20</v>
      </c>
      <c r="C48" s="52" t="n">
        <v>0.00935191456869984</v>
      </c>
      <c r="D48" s="21" t="s">
        <v>256</v>
      </c>
    </row>
    <row r="49" customFormat="false" ht="15" hidden="false" customHeight="false" outlineLevel="0" collapsed="false">
      <c r="A49" s="21" t="s">
        <v>249</v>
      </c>
      <c r="B49" s="21" t="n">
        <v>20</v>
      </c>
      <c r="C49" s="52" t="n">
        <v>0.00931192690101068</v>
      </c>
      <c r="D49" s="21" t="s">
        <v>256</v>
      </c>
    </row>
    <row r="50" customFormat="false" ht="15" hidden="false" customHeight="false" outlineLevel="0" collapsed="false">
      <c r="A50" s="21" t="s">
        <v>261</v>
      </c>
      <c r="B50" s="21" t="n">
        <v>20</v>
      </c>
      <c r="C50" s="52" t="n">
        <v>0.00850194164957362</v>
      </c>
      <c r="D50" s="21" t="s">
        <v>256</v>
      </c>
    </row>
    <row r="51" customFormat="false" ht="15" hidden="false" customHeight="false" outlineLevel="0" collapsed="false">
      <c r="A51" s="21" t="s">
        <v>262</v>
      </c>
      <c r="B51" s="21" t="n">
        <v>19</v>
      </c>
      <c r="C51" s="52" t="n">
        <v>0.00849106249755241</v>
      </c>
      <c r="D51" s="21" t="s">
        <v>256</v>
      </c>
    </row>
    <row r="52" customFormat="false" ht="15" hidden="false" customHeight="false" outlineLevel="0" collapsed="false">
      <c r="A52" s="21" t="s">
        <v>263</v>
      </c>
      <c r="B52" s="21" t="n">
        <v>20</v>
      </c>
      <c r="C52" s="52" t="n">
        <v>0.00778333998260967</v>
      </c>
      <c r="D52" s="21" t="s">
        <v>256</v>
      </c>
    </row>
    <row r="53" customFormat="false" ht="15" hidden="false" customHeight="false" outlineLevel="0" collapsed="false">
      <c r="A53" s="21" t="s">
        <v>264</v>
      </c>
      <c r="B53" s="21" t="n">
        <v>20</v>
      </c>
      <c r="C53" s="52" t="n">
        <v>0.007387600614757</v>
      </c>
      <c r="D53" s="21" t="s">
        <v>256</v>
      </c>
    </row>
    <row r="54" customFormat="false" ht="15" hidden="false" customHeight="false" outlineLevel="0" collapsed="false">
      <c r="A54" s="21" t="s">
        <v>265</v>
      </c>
      <c r="B54" s="21" t="n">
        <v>6</v>
      </c>
      <c r="C54" s="52" t="n">
        <v>0.00316673193582269</v>
      </c>
      <c r="D54" s="21" t="s">
        <v>256</v>
      </c>
    </row>
    <row r="55" customFormat="false" ht="15" hidden="false" customHeight="false" outlineLevel="0" collapsed="false">
      <c r="A55" s="21" t="s">
        <v>266</v>
      </c>
      <c r="B55" s="21" t="n">
        <v>5</v>
      </c>
      <c r="C55" s="52" t="n">
        <v>0.00294752799831983</v>
      </c>
      <c r="D55" s="21" t="s">
        <v>256</v>
      </c>
    </row>
    <row r="56" customFormat="false" ht="15" hidden="false" customHeight="false" outlineLevel="0" collapsed="false">
      <c r="A56" s="21" t="s">
        <v>267</v>
      </c>
      <c r="B56" s="21" t="n">
        <v>10</v>
      </c>
      <c r="C56" s="52" t="n">
        <v>0.00252360819927522</v>
      </c>
      <c r="D56" s="21" t="s">
        <v>256</v>
      </c>
    </row>
  </sheetData>
  <mergeCells count="8">
    <mergeCell ref="A4:H4"/>
    <mergeCell ref="A6:H6"/>
    <mergeCell ref="A8:H8"/>
    <mergeCell ref="A10:H10"/>
    <mergeCell ref="A12:H12"/>
    <mergeCell ref="A14:H14"/>
    <mergeCell ref="A21:H21"/>
    <mergeCell ref="A34:H34"/>
  </mergeCells>
  <conditionalFormatting sqref="B16:D18">
    <cfRule type="dataBar" priority="2">
      <dataBar showValue="1" minLength="10" maxLength="90">
        <cfvo type="num" val="0"/>
        <cfvo type="num" val="1"/>
        <color rgb="FF5B9BD5"/>
      </dataBar>
      <extLst>
        <ext xmlns:x14="http://schemas.microsoft.com/office/spreadsheetml/2009/9/main" uri="{B025F937-C7B1-47D3-B67F-A62EFF666E3E}">
          <x14:id>{CA12E5E0-D5FB-402C-9286-B22121AFFE5B}</x14:id>
        </ext>
      </extLst>
    </cfRule>
  </conditionalFormatting>
  <conditionalFormatting sqref="D36:D56">
    <cfRule type="cellIs" priority="3" operator="equal" aboveAverage="0" equalAverage="0" bottom="0" percent="0" rank="0" text="" dxfId="1">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CA12E5E0-D5FB-402C-9286-B22121AFFE5B}">
            <x14:dataBar minLength="10" maxLength="90" axisPosition="none" gradient="true">
              <x14:cfvo type="num">
                <xm:f>0</xm:f>
              </x14:cfvo>
              <x14:cfvo type="num">
                <xm:f>1</xm:f>
              </x14:cfvo>
              <x14:negativeFillColor rgb="FF5B9BD5"/>
              <x14:axisColor rgb="FF000000"/>
            </x14:dataBar>
          </x14:cfRule>
          <xm:sqref>B16:D18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268</v>
      </c>
      <c r="B1" s="8" t="s">
        <v>269</v>
      </c>
      <c r="C1" s="8" t="s">
        <v>231</v>
      </c>
      <c r="D1" s="8" t="s">
        <v>270</v>
      </c>
      <c r="E1" s="8" t="s">
        <v>271</v>
      </c>
      <c r="F1" s="8" t="s">
        <v>272</v>
      </c>
      <c r="G1" s="8" t="s">
        <v>273</v>
      </c>
      <c r="H1" s="8" t="s">
        <v>274</v>
      </c>
      <c r="I1" s="8" t="s">
        <v>275</v>
      </c>
      <c r="J1" s="8" t="s">
        <v>276</v>
      </c>
    </row>
    <row r="2" customFormat="false" ht="28.35" hidden="false" customHeight="false" outlineLevel="0" collapsed="false">
      <c r="A2" s="21" t="n">
        <v>1</v>
      </c>
      <c r="B2" s="59" t="s">
        <v>277</v>
      </c>
      <c r="C2" s="21" t="s">
        <v>234</v>
      </c>
      <c r="D2" s="52" t="n">
        <v>0.209648002604111</v>
      </c>
      <c r="E2" s="52" t="n">
        <v>0.269420360506611</v>
      </c>
      <c r="F2" s="37" t="n">
        <v>176.66371255414</v>
      </c>
      <c r="G2" s="21" t="s">
        <v>278</v>
      </c>
      <c r="H2" s="59" t="s">
        <v>279</v>
      </c>
      <c r="I2" s="21" t="s">
        <v>240</v>
      </c>
      <c r="J2" s="21" t="s">
        <v>280</v>
      </c>
    </row>
    <row r="3" customFormat="false" ht="28.35" hidden="false" customHeight="false" outlineLevel="0" collapsed="false">
      <c r="A3" s="21" t="n">
        <v>2</v>
      </c>
      <c r="B3" s="59" t="s">
        <v>281</v>
      </c>
      <c r="C3" s="21" t="s">
        <v>234</v>
      </c>
      <c r="D3" s="52" t="n">
        <v>0.180504270307736</v>
      </c>
      <c r="E3" s="52" t="n">
        <v>0.231967512092764</v>
      </c>
      <c r="F3" s="37" t="n">
        <v>152.105215066883</v>
      </c>
      <c r="G3" s="21" t="s">
        <v>278</v>
      </c>
      <c r="H3" s="59" t="s">
        <v>279</v>
      </c>
      <c r="I3" s="21" t="s">
        <v>241</v>
      </c>
      <c r="J3" s="21" t="s">
        <v>280</v>
      </c>
    </row>
    <row r="4" customFormat="false" ht="28.35" hidden="false" customHeight="false" outlineLevel="0" collapsed="false">
      <c r="A4" s="21" t="n">
        <v>3</v>
      </c>
      <c r="B4" s="59" t="s">
        <v>282</v>
      </c>
      <c r="C4" s="21" t="s">
        <v>234</v>
      </c>
      <c r="D4" s="52" t="n">
        <v>0.156885592568729</v>
      </c>
      <c r="E4" s="52" t="n">
        <v>0.201614956418056</v>
      </c>
      <c r="F4" s="37" t="n">
        <v>132.202505557783</v>
      </c>
      <c r="G4" s="21" t="s">
        <v>278</v>
      </c>
      <c r="H4" s="59" t="s">
        <v>279</v>
      </c>
      <c r="I4" s="21" t="s">
        <v>243</v>
      </c>
      <c r="J4" s="21" t="s">
        <v>280</v>
      </c>
    </row>
    <row r="5" customFormat="false" ht="15" hidden="false" customHeight="false" outlineLevel="0" collapsed="false">
      <c r="A5" s="21" t="n">
        <v>4</v>
      </c>
      <c r="B5" s="59" t="s">
        <v>283</v>
      </c>
      <c r="C5" s="21" t="s">
        <v>235</v>
      </c>
      <c r="D5" s="52" t="n">
        <v>0.101261416454271</v>
      </c>
      <c r="E5" s="52" t="n">
        <v>0.460993553407351</v>
      </c>
      <c r="F5" s="37" t="n">
        <v>85.3297791874677</v>
      </c>
      <c r="G5" s="21" t="s">
        <v>278</v>
      </c>
      <c r="H5" s="59" t="s">
        <v>279</v>
      </c>
      <c r="I5" s="21" t="s">
        <v>242</v>
      </c>
      <c r="J5" s="21" t="s">
        <v>280</v>
      </c>
    </row>
    <row r="6" customFormat="false" ht="15" hidden="false" customHeight="false" outlineLevel="0" collapsed="false">
      <c r="A6" s="21" t="n">
        <v>5</v>
      </c>
      <c r="B6" s="59" t="s">
        <v>284</v>
      </c>
      <c r="C6" s="21" t="s">
        <v>234</v>
      </c>
      <c r="D6" s="52" t="n">
        <v>0.0992793622716546</v>
      </c>
      <c r="E6" s="52" t="n">
        <v>0.127584719347911</v>
      </c>
      <c r="F6" s="37" t="n">
        <v>83.6595650855681</v>
      </c>
      <c r="G6" s="21" t="s">
        <v>278</v>
      </c>
      <c r="H6" s="59" t="s">
        <v>279</v>
      </c>
      <c r="I6" s="21" t="s">
        <v>244</v>
      </c>
      <c r="J6" s="21" t="s">
        <v>280</v>
      </c>
    </row>
    <row r="7" customFormat="false" ht="15" hidden="false" customHeight="false" outlineLevel="0" collapsed="false">
      <c r="A7" s="21" t="n">
        <v>6</v>
      </c>
      <c r="B7" s="59" t="s">
        <v>285</v>
      </c>
      <c r="C7" s="21" t="s">
        <v>235</v>
      </c>
      <c r="D7" s="52" t="n">
        <v>0.080465655752565</v>
      </c>
      <c r="E7" s="52" t="n">
        <v>0.366320656687427</v>
      </c>
      <c r="F7" s="37" t="n">
        <v>67.8058521988171</v>
      </c>
      <c r="G7" s="21" t="s">
        <v>278</v>
      </c>
      <c r="H7" s="59" t="s">
        <v>279</v>
      </c>
      <c r="I7" s="21" t="s">
        <v>245</v>
      </c>
      <c r="J7" s="21" t="s">
        <v>280</v>
      </c>
    </row>
    <row r="8" customFormat="false" ht="28.35" hidden="false" customHeight="false" outlineLevel="0" collapsed="false">
      <c r="A8" s="21" t="n">
        <v>7</v>
      </c>
      <c r="B8" s="59" t="s">
        <v>286</v>
      </c>
      <c r="C8" s="21" t="s">
        <v>234</v>
      </c>
      <c r="D8" s="52" t="n">
        <v>0.0714606025756036</v>
      </c>
      <c r="E8" s="52" t="n">
        <v>0.0918346040448338</v>
      </c>
      <c r="F8" s="37" t="n">
        <v>60.2175799222929</v>
      </c>
      <c r="G8" s="21" t="s">
        <v>278</v>
      </c>
      <c r="H8" s="59" t="s">
        <v>279</v>
      </c>
      <c r="I8" s="21" t="s">
        <v>246</v>
      </c>
      <c r="J8" s="21" t="s">
        <v>280</v>
      </c>
    </row>
    <row r="9" customFormat="false" ht="15" hidden="false" customHeight="false" outlineLevel="0" collapsed="false">
      <c r="A9" s="21" t="n">
        <v>8</v>
      </c>
      <c r="B9" s="59" t="s">
        <v>287</v>
      </c>
      <c r="C9" s="21" t="s">
        <v>234</v>
      </c>
      <c r="D9" s="52" t="n">
        <v>0.012750120868855</v>
      </c>
      <c r="E9" s="52" t="n">
        <v>0.0163852844688272</v>
      </c>
      <c r="F9" s="37" t="n">
        <v>10.7441218624889</v>
      </c>
      <c r="G9" s="21" t="s">
        <v>278</v>
      </c>
      <c r="H9" s="59" t="s">
        <v>279</v>
      </c>
      <c r="I9" s="21" t="s">
        <v>247</v>
      </c>
      <c r="J9" s="21" t="s">
        <v>288</v>
      </c>
    </row>
    <row r="10" customFormat="false" ht="15" hidden="false" customHeight="false" outlineLevel="0" collapsed="false">
      <c r="A10" s="21" t="n">
        <v>9</v>
      </c>
      <c r="B10" s="59" t="s">
        <v>289</v>
      </c>
      <c r="C10" s="21" t="s">
        <v>235</v>
      </c>
      <c r="D10" s="52" t="n">
        <v>0.0104427454967305</v>
      </c>
      <c r="E10" s="52" t="n">
        <v>0.0475406973596936</v>
      </c>
      <c r="F10" s="37" t="n">
        <v>8.79976992766382</v>
      </c>
      <c r="G10" s="21" t="s">
        <v>278</v>
      </c>
      <c r="H10" s="59" t="s">
        <v>290</v>
      </c>
      <c r="I10" s="21" t="s">
        <v>248</v>
      </c>
      <c r="J10" s="21" t="s">
        <v>288</v>
      </c>
    </row>
    <row r="11" customFormat="false" ht="15" hidden="false" customHeight="false" outlineLevel="0" collapsed="false">
      <c r="A11" s="21" t="n">
        <v>10</v>
      </c>
      <c r="B11" s="59" t="s">
        <v>291</v>
      </c>
      <c r="C11" s="21" t="s">
        <v>235</v>
      </c>
      <c r="D11" s="52" t="n">
        <v>0.0102346898424274</v>
      </c>
      <c r="E11" s="52" t="n">
        <v>0.0465935220313</v>
      </c>
      <c r="F11" s="37" t="n">
        <v>8.62444803644374</v>
      </c>
      <c r="G11" s="21" t="s">
        <v>278</v>
      </c>
      <c r="H11" s="59" t="s">
        <v>279</v>
      </c>
      <c r="I11" s="21" t="s">
        <v>249</v>
      </c>
      <c r="J11" s="21" t="s">
        <v>288</v>
      </c>
    </row>
    <row r="12" customFormat="false" ht="15" hidden="false" customHeight="false" outlineLevel="0" collapsed="false">
      <c r="A12" s="21" t="n">
        <v>11</v>
      </c>
      <c r="B12" s="59" t="s">
        <v>292</v>
      </c>
      <c r="C12" s="21" t="s">
        <v>234</v>
      </c>
      <c r="D12" s="52" t="n">
        <v>0.00964004899328656</v>
      </c>
      <c r="E12" s="52" t="n">
        <v>0.012388505699132</v>
      </c>
      <c r="F12" s="37" t="n">
        <v>8.12336308099133</v>
      </c>
      <c r="G12" s="21" t="s">
        <v>278</v>
      </c>
      <c r="H12" s="59" t="s">
        <v>279</v>
      </c>
      <c r="I12" s="21" t="s">
        <v>257</v>
      </c>
      <c r="J12" s="21" t="s">
        <v>288</v>
      </c>
    </row>
    <row r="13" customFormat="false" ht="15" hidden="false" customHeight="false" outlineLevel="0" collapsed="false">
      <c r="A13" s="21" t="n">
        <v>12</v>
      </c>
      <c r="B13" s="59" t="s">
        <v>293</v>
      </c>
      <c r="C13" s="21" t="s">
        <v>234</v>
      </c>
      <c r="D13" s="52" t="n">
        <v>0.00916488987122694</v>
      </c>
      <c r="E13" s="52" t="n">
        <v>0.011777874830375</v>
      </c>
      <c r="F13" s="37" t="n">
        <v>7.7229615817434</v>
      </c>
      <c r="G13" s="21" t="s">
        <v>278</v>
      </c>
      <c r="H13" s="59" t="s">
        <v>279</v>
      </c>
      <c r="I13" s="21" t="s">
        <v>258</v>
      </c>
      <c r="J13" s="21" t="s">
        <v>288</v>
      </c>
    </row>
    <row r="14" customFormat="false" ht="15" hidden="false" customHeight="false" outlineLevel="0" collapsed="false">
      <c r="A14" s="21" t="n">
        <v>13</v>
      </c>
      <c r="B14" s="59" t="s">
        <v>294</v>
      </c>
      <c r="C14" s="21" t="s">
        <v>234</v>
      </c>
      <c r="D14" s="52" t="n">
        <v>0.00872646005843073</v>
      </c>
      <c r="E14" s="52" t="n">
        <v>0.0112144450969496</v>
      </c>
      <c r="F14" s="37" t="n">
        <v>7.35351070474528</v>
      </c>
      <c r="G14" s="21" t="s">
        <v>278</v>
      </c>
      <c r="H14" s="59" t="s">
        <v>279</v>
      </c>
      <c r="I14" s="21" t="s">
        <v>260</v>
      </c>
      <c r="J14" s="21" t="s">
        <v>288</v>
      </c>
    </row>
    <row r="15" customFormat="false" ht="15" hidden="false" customHeight="false" outlineLevel="0" collapsed="false">
      <c r="A15" s="21" t="n">
        <v>14</v>
      </c>
      <c r="B15" s="59" t="s">
        <v>295</v>
      </c>
      <c r="C15" s="21" t="s">
        <v>234</v>
      </c>
      <c r="D15" s="52" t="n">
        <v>0.00727515851944828</v>
      </c>
      <c r="E15" s="52" t="n">
        <v>0.00934936563528255</v>
      </c>
      <c r="F15" s="37" t="n">
        <v>6.13054499685663</v>
      </c>
      <c r="G15" s="21" t="s">
        <v>278</v>
      </c>
      <c r="H15" s="59" t="s">
        <v>279</v>
      </c>
      <c r="I15" s="21" t="s">
        <v>259</v>
      </c>
      <c r="J15" s="21" t="s">
        <v>288</v>
      </c>
    </row>
    <row r="16" customFormat="false" ht="28.35" hidden="false" customHeight="false" outlineLevel="0" collapsed="false">
      <c r="A16" s="21" t="n">
        <v>15</v>
      </c>
      <c r="B16" s="59" t="s">
        <v>296</v>
      </c>
      <c r="C16" s="21" t="s">
        <v>234</v>
      </c>
      <c r="D16" s="52" t="n">
        <v>0.00706909640595866</v>
      </c>
      <c r="E16" s="52" t="n">
        <v>0.00908455353016575</v>
      </c>
      <c r="F16" s="37" t="n">
        <v>5.95690299915741</v>
      </c>
      <c r="G16" s="21" t="s">
        <v>278</v>
      </c>
      <c r="H16" s="59" t="s">
        <v>279</v>
      </c>
      <c r="I16" s="21" t="s">
        <v>261</v>
      </c>
      <c r="J16" s="21" t="s">
        <v>288</v>
      </c>
    </row>
    <row r="17" customFormat="false" ht="15" hidden="false" customHeight="false" outlineLevel="0" collapsed="false">
      <c r="A17" s="21" t="n">
        <v>16</v>
      </c>
      <c r="B17" s="59" t="s">
        <v>297</v>
      </c>
      <c r="C17" s="21" t="s">
        <v>235</v>
      </c>
      <c r="D17" s="52" t="n">
        <v>0.0059142676267732</v>
      </c>
      <c r="E17" s="52" t="n">
        <v>0.0269247591485102</v>
      </c>
      <c r="F17" s="37" t="n">
        <v>4.98376546881555</v>
      </c>
      <c r="G17" s="21" t="s">
        <v>278</v>
      </c>
      <c r="H17" s="59" t="s">
        <v>298</v>
      </c>
      <c r="I17" s="21" t="s">
        <v>262</v>
      </c>
      <c r="J17" s="21" t="s">
        <v>288</v>
      </c>
    </row>
    <row r="18" customFormat="false" ht="15" hidden="false" customHeight="false" outlineLevel="0" collapsed="false">
      <c r="A18" s="21" t="n">
        <v>17</v>
      </c>
      <c r="B18" s="59" t="s">
        <v>299</v>
      </c>
      <c r="C18" s="21" t="s">
        <v>234</v>
      </c>
      <c r="D18" s="52" t="n">
        <v>0.00574100960061643</v>
      </c>
      <c r="E18" s="52" t="n">
        <v>0.00737781832909133</v>
      </c>
      <c r="F18" s="37" t="n">
        <v>4.83776643352564</v>
      </c>
      <c r="G18" s="21" t="s">
        <v>278</v>
      </c>
      <c r="H18" s="59" t="s">
        <v>279</v>
      </c>
      <c r="I18" s="21" t="s">
        <v>263</v>
      </c>
      <c r="J18" s="21" t="s">
        <v>288</v>
      </c>
    </row>
    <row r="19" customFormat="false" ht="28.35" hidden="false" customHeight="false" outlineLevel="0" collapsed="false">
      <c r="A19" s="21" t="n">
        <v>18</v>
      </c>
      <c r="B19" s="59" t="s">
        <v>300</v>
      </c>
      <c r="C19" s="21" t="s">
        <v>235</v>
      </c>
      <c r="D19" s="52" t="n">
        <v>0.00497656856147961</v>
      </c>
      <c r="E19" s="52" t="n">
        <v>0.0226558753102947</v>
      </c>
      <c r="F19" s="37" t="n">
        <v>4.19359625148161</v>
      </c>
      <c r="G19" s="21" t="s">
        <v>278</v>
      </c>
      <c r="H19" s="59" t="s">
        <v>279</v>
      </c>
      <c r="I19" s="21" t="s">
        <v>264</v>
      </c>
      <c r="J19" s="21" t="s">
        <v>288</v>
      </c>
    </row>
    <row r="20" customFormat="false" ht="15" hidden="false" customHeight="false" outlineLevel="0" collapsed="false">
      <c r="A20" s="21" t="n">
        <v>19</v>
      </c>
      <c r="B20" s="59" t="s">
        <v>301</v>
      </c>
      <c r="C20" s="21" t="s">
        <v>235</v>
      </c>
      <c r="D20" s="52" t="n">
        <v>0.00328010506527074</v>
      </c>
      <c r="E20" s="52" t="n">
        <v>0.0149327092444087</v>
      </c>
      <c r="F20" s="37" t="n">
        <v>2.76404034954067</v>
      </c>
      <c r="G20" s="21" t="s">
        <v>278</v>
      </c>
      <c r="H20" s="59" t="s">
        <v>302</v>
      </c>
      <c r="I20" s="21" t="s">
        <v>266</v>
      </c>
      <c r="J20" s="21" t="s">
        <v>288</v>
      </c>
    </row>
    <row r="21" customFormat="false" ht="15" hidden="false" customHeight="false" outlineLevel="0" collapsed="false">
      <c r="A21" s="21" t="n">
        <v>20</v>
      </c>
      <c r="B21" s="59" t="s">
        <v>303</v>
      </c>
      <c r="C21" s="21" t="s">
        <v>235</v>
      </c>
      <c r="D21" s="52" t="n">
        <v>0.00308362388342042</v>
      </c>
      <c r="E21" s="52" t="n">
        <v>0.0140382268110155</v>
      </c>
      <c r="F21" s="37" t="n">
        <v>2.59847189860604</v>
      </c>
      <c r="G21" s="21" t="s">
        <v>278</v>
      </c>
      <c r="H21" s="59" t="s">
        <v>304</v>
      </c>
      <c r="I21" s="21" t="s">
        <v>267</v>
      </c>
      <c r="J21" s="21" t="s">
        <v>288</v>
      </c>
    </row>
    <row r="22" customFormat="false" ht="15" hidden="false" customHeight="false" outlineLevel="0" collapsed="false">
      <c r="A22" s="21" t="n">
        <v>21</v>
      </c>
      <c r="B22" s="59" t="s">
        <v>305</v>
      </c>
      <c r="C22" s="21" t="s">
        <v>233</v>
      </c>
      <c r="D22" s="52" t="n">
        <v>0.0021963126714061</v>
      </c>
      <c r="E22" s="52" t="n">
        <v>1</v>
      </c>
      <c r="F22" s="37" t="n">
        <v>1.85076292471529</v>
      </c>
      <c r="G22" s="21" t="s">
        <v>278</v>
      </c>
      <c r="H22" s="59" t="s">
        <v>306</v>
      </c>
      <c r="I22" s="21" t="s">
        <v>265</v>
      </c>
      <c r="J22" s="21" t="s">
        <v>288</v>
      </c>
    </row>
    <row r="24" customFormat="false" ht="15" hidden="false" customHeight="false" outlineLevel="0" collapsed="false">
      <c r="B24" s="5" t="s">
        <v>307</v>
      </c>
      <c r="C24" s="41" t="s">
        <v>234</v>
      </c>
      <c r="D24" s="60" t="n">
        <f aca="false">SUMIF(C2:C22,"Historical voter data",D2:D22)</f>
        <v>0.778144614645656</v>
      </c>
      <c r="F24" s="61" t="n">
        <f aca="false">SUMIF(C2:C22,"Historical voter data",F2:F22)</f>
        <v>655.717749846175</v>
      </c>
    </row>
    <row r="25" customFormat="false" ht="15" hidden="false" customHeight="false" outlineLevel="0" collapsed="false">
      <c r="B25" s="5" t="s">
        <v>308</v>
      </c>
      <c r="C25" s="41" t="s">
        <v>235</v>
      </c>
      <c r="D25" s="60" t="n">
        <f aca="false">SUMIF(C2:C22,"Voter registration data",D2:D22)</f>
        <v>0.219659072682938</v>
      </c>
      <c r="F25" s="61" t="n">
        <f aca="false">SUMIF(C2:C22,"Voter registration data",F2:F22)</f>
        <v>185.099723318836</v>
      </c>
    </row>
    <row r="26" customFormat="false" ht="15" hidden="false" customHeight="false" outlineLevel="0" collapsed="false">
      <c r="B26" s="5" t="s">
        <v>309</v>
      </c>
      <c r="C26" s="41" t="s">
        <v>233</v>
      </c>
      <c r="D26" s="60" t="n">
        <f aca="false">SUMIF(C2:C22,"Election type",D2:D22)</f>
        <v>0.0021963126714061</v>
      </c>
      <c r="F26" s="61" t="n">
        <f aca="false">SUMIF(C2:C22,"Election type",F2:F22)</f>
        <v>1.85076292471529</v>
      </c>
    </row>
    <row r="27" customFormat="false" ht="15" hidden="false" customHeight="false" outlineLevel="0" collapsed="false">
      <c r="B27" s="5" t="s">
        <v>310</v>
      </c>
      <c r="D27" s="60" t="n">
        <f aca="false">SUM(D2:D22)</f>
        <v>1</v>
      </c>
      <c r="F27" s="61" t="n">
        <f aca="false">SUM(F2:F22)</f>
        <v>842.668236089727</v>
      </c>
    </row>
    <row r="29" customFormat="false" ht="15" hidden="false" customHeight="false" outlineLevel="0" collapsed="false">
      <c r="B29" s="5" t="s">
        <v>103</v>
      </c>
    </row>
    <row r="30" customFormat="false" ht="30" hidden="false" customHeight="true" outlineLevel="0" collapsed="false">
      <c r="B30" s="62" t="s">
        <v>311</v>
      </c>
    </row>
    <row r="31" customFormat="false" ht="45" hidden="false" customHeight="true" outlineLevel="0" collapsed="false">
      <c r="B31" s="62" t="s">
        <v>312</v>
      </c>
    </row>
    <row r="32" customFormat="false" ht="60" hidden="false" customHeight="true" outlineLevel="0" collapsed="false">
      <c r="B32" s="62" t="s">
        <v>313</v>
      </c>
    </row>
    <row r="33" customFormat="false" ht="30" hidden="false" customHeight="true" outlineLevel="0" collapsed="false">
      <c r="B33" s="62" t="s">
        <v>314</v>
      </c>
    </row>
    <row r="34" customFormat="false" ht="75" hidden="false" customHeight="true" outlineLevel="0" collapsed="false">
      <c r="B34" s="62" t="s">
        <v>315</v>
      </c>
    </row>
    <row r="35" customFormat="false" ht="30" hidden="false" customHeight="true" outlineLevel="0" collapsed="false">
      <c r="B35" s="62" t="s">
        <v>316</v>
      </c>
    </row>
    <row r="36" customFormat="false" ht="45" hidden="false" customHeight="true" outlineLevel="0" collapsed="false">
      <c r="B36" s="62" t="s">
        <v>317</v>
      </c>
    </row>
    <row r="37" customFormat="false" ht="30" hidden="false" customHeight="true" outlineLevel="0" collapsed="false">
      <c r="B37" s="62" t="s">
        <v>318</v>
      </c>
    </row>
  </sheetData>
  <conditionalFormatting sqref="D2:D22">
    <cfRule type="dataBar" priority="2">
      <dataBar showValue="1" minLength="10" maxLength="90">
        <cfvo type="num" val="0"/>
        <cfvo type="max" val="0"/>
        <color rgb="FF5B9BD5"/>
      </dataBar>
      <extLst>
        <ext xmlns:x14="http://schemas.microsoft.com/office/spreadsheetml/2009/9/main" uri="{B025F937-C7B1-47D3-B67F-A62EFF666E3E}">
          <x14:id>{1AD56815-2625-4714-BE30-799A1397E0A1}</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1AD56815-2625-4714-BE30-799A1397E0A1}">
            <x14:dataBar minLength="10" maxLength="90" axisPosition="none" gradient="true">
              <x14:cfvo type="num">
                <xm:f>0</xm:f>
              </x14:cfvo>
              <x14:cfvo type="max"/>
              <x14:negativeFillColor rgb="FF5B9BD5"/>
              <x14:axisColor rgb="FF000000"/>
            </x14:dataBar>
          </x14:cfRule>
          <xm:sqref>D2:D22</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268</v>
      </c>
      <c r="B1" s="8" t="s">
        <v>269</v>
      </c>
      <c r="C1" s="8" t="s">
        <v>231</v>
      </c>
      <c r="D1" s="8" t="s">
        <v>270</v>
      </c>
      <c r="E1" s="8" t="s">
        <v>271</v>
      </c>
      <c r="F1" s="8" t="s">
        <v>272</v>
      </c>
      <c r="G1" s="8" t="s">
        <v>273</v>
      </c>
      <c r="H1" s="8" t="s">
        <v>274</v>
      </c>
      <c r="I1" s="8" t="s">
        <v>275</v>
      </c>
      <c r="J1" s="8" t="s">
        <v>276</v>
      </c>
    </row>
    <row r="2" customFormat="false" ht="28.35" hidden="false" customHeight="false" outlineLevel="0" collapsed="false">
      <c r="A2" s="21" t="n">
        <v>1</v>
      </c>
      <c r="B2" s="59" t="s">
        <v>277</v>
      </c>
      <c r="C2" s="21" t="s">
        <v>234</v>
      </c>
      <c r="D2" s="52" t="n">
        <v>0.223626791937969</v>
      </c>
      <c r="E2" s="52" t="n">
        <v>0.285466929564579</v>
      </c>
      <c r="F2" s="37" t="n">
        <v>178.674984340419</v>
      </c>
      <c r="G2" s="21" t="s">
        <v>278</v>
      </c>
      <c r="H2" s="59" t="s">
        <v>279</v>
      </c>
      <c r="I2" s="21" t="s">
        <v>240</v>
      </c>
      <c r="J2" s="21" t="s">
        <v>280</v>
      </c>
    </row>
    <row r="3" customFormat="false" ht="28.35" hidden="false" customHeight="false" outlineLevel="0" collapsed="false">
      <c r="A3" s="21" t="n">
        <v>2</v>
      </c>
      <c r="B3" s="59" t="s">
        <v>281</v>
      </c>
      <c r="C3" s="21" t="s">
        <v>234</v>
      </c>
      <c r="D3" s="52" t="n">
        <v>0.208975112633478</v>
      </c>
      <c r="E3" s="52" t="n">
        <v>0.26676358070476</v>
      </c>
      <c r="F3" s="37" t="n">
        <v>166.968477496566</v>
      </c>
      <c r="G3" s="21" t="s">
        <v>278</v>
      </c>
      <c r="H3" s="59" t="s">
        <v>279</v>
      </c>
      <c r="I3" s="21" t="s">
        <v>241</v>
      </c>
      <c r="J3" s="21" t="s">
        <v>280</v>
      </c>
    </row>
    <row r="4" customFormat="false" ht="28.35" hidden="false" customHeight="false" outlineLevel="0" collapsed="false">
      <c r="A4" s="21" t="n">
        <v>3</v>
      </c>
      <c r="B4" s="59" t="s">
        <v>282</v>
      </c>
      <c r="C4" s="21" t="s">
        <v>234</v>
      </c>
      <c r="D4" s="52" t="n">
        <v>0.167053098882291</v>
      </c>
      <c r="E4" s="52" t="n">
        <v>0.213248756103444</v>
      </c>
      <c r="F4" s="37" t="n">
        <v>133.473317611654</v>
      </c>
      <c r="G4" s="21" t="s">
        <v>278</v>
      </c>
      <c r="H4" s="59" t="s">
        <v>279</v>
      </c>
      <c r="I4" s="21" t="s">
        <v>243</v>
      </c>
      <c r="J4" s="21" t="s">
        <v>280</v>
      </c>
    </row>
    <row r="5" customFormat="false" ht="15" hidden="false" customHeight="false" outlineLevel="0" collapsed="false">
      <c r="A5" s="21" t="n">
        <v>4</v>
      </c>
      <c r="B5" s="59" t="s">
        <v>283</v>
      </c>
      <c r="C5" s="21" t="s">
        <v>235</v>
      </c>
      <c r="D5" s="52" t="n">
        <v>0.135600700541608</v>
      </c>
      <c r="E5" s="52" t="n">
        <v>0.625961020076419</v>
      </c>
      <c r="F5" s="37" t="n">
        <v>108.343248301582</v>
      </c>
      <c r="G5" s="21" t="s">
        <v>278</v>
      </c>
      <c r="H5" s="59" t="s">
        <v>279</v>
      </c>
      <c r="I5" s="21" t="s">
        <v>242</v>
      </c>
      <c r="J5" s="21" t="s">
        <v>280</v>
      </c>
    </row>
    <row r="6" customFormat="false" ht="15" hidden="false" customHeight="false" outlineLevel="0" collapsed="false">
      <c r="A6" s="21" t="n">
        <v>5</v>
      </c>
      <c r="B6" s="59" t="s">
        <v>284</v>
      </c>
      <c r="C6" s="21" t="s">
        <v>234</v>
      </c>
      <c r="D6" s="52" t="n">
        <v>0.10177080990981</v>
      </c>
      <c r="E6" s="52" t="n">
        <v>0.129913774519077</v>
      </c>
      <c r="F6" s="37" t="n">
        <v>81.3135926574979</v>
      </c>
      <c r="G6" s="21" t="s">
        <v>278</v>
      </c>
      <c r="H6" s="59" t="s">
        <v>279</v>
      </c>
      <c r="I6" s="21" t="s">
        <v>244</v>
      </c>
      <c r="J6" s="21" t="s">
        <v>280</v>
      </c>
    </row>
    <row r="7" customFormat="false" ht="28.35" hidden="false" customHeight="false" outlineLevel="0" collapsed="false">
      <c r="A7" s="21" t="n">
        <v>6</v>
      </c>
      <c r="B7" s="59" t="s">
        <v>286</v>
      </c>
      <c r="C7" s="21" t="s">
        <v>234</v>
      </c>
      <c r="D7" s="52" t="n">
        <v>0.0819461599822463</v>
      </c>
      <c r="E7" s="52" t="n">
        <v>0.10460695910814</v>
      </c>
      <c r="F7" s="37" t="n">
        <v>65.4739475744334</v>
      </c>
      <c r="G7" s="21" t="s">
        <v>278</v>
      </c>
      <c r="H7" s="59" t="s">
        <v>279</v>
      </c>
      <c r="I7" s="21" t="s">
        <v>246</v>
      </c>
      <c r="J7" s="21" t="s">
        <v>280</v>
      </c>
    </row>
    <row r="8" customFormat="false" ht="15" hidden="false" customHeight="false" outlineLevel="0" collapsed="false">
      <c r="A8" s="21" t="n">
        <v>7</v>
      </c>
      <c r="B8" s="59" t="s">
        <v>285</v>
      </c>
      <c r="C8" s="21" t="s">
        <v>235</v>
      </c>
      <c r="D8" s="52" t="n">
        <v>0.0810273261125974</v>
      </c>
      <c r="E8" s="52" t="n">
        <v>0.374038979923581</v>
      </c>
      <c r="F8" s="37" t="n">
        <v>64.739810909286</v>
      </c>
      <c r="G8" s="21" t="s">
        <v>278</v>
      </c>
      <c r="H8" s="59" t="s">
        <v>279</v>
      </c>
      <c r="I8" s="21" t="s">
        <v>245</v>
      </c>
      <c r="J8" s="21" t="s">
        <v>280</v>
      </c>
    </row>
    <row r="10" customFormat="false" ht="15" hidden="false" customHeight="false" outlineLevel="0" collapsed="false">
      <c r="B10" s="5" t="s">
        <v>307</v>
      </c>
      <c r="C10" s="41" t="s">
        <v>234</v>
      </c>
      <c r="D10" s="60" t="n">
        <f aca="false">SUMIF(C2:C8,"Historical voter data",D2:D8)</f>
        <v>0.783371973345795</v>
      </c>
      <c r="F10" s="61" t="n">
        <f aca="false">SUMIF(C2:C8,"Historical voter data",F2:F8)</f>
        <v>625.90431968057</v>
      </c>
    </row>
    <row r="11" customFormat="false" ht="15" hidden="false" customHeight="false" outlineLevel="0" collapsed="false">
      <c r="B11" s="5" t="s">
        <v>308</v>
      </c>
      <c r="C11" s="41" t="s">
        <v>235</v>
      </c>
      <c r="D11" s="60" t="n">
        <f aca="false">SUMIF(C2:C8,"Voter registration data",D2:D8)</f>
        <v>0.216628026654206</v>
      </c>
      <c r="F11" s="61" t="n">
        <f aca="false">SUMIF(C2:C8,"Voter registration data",F2:F8)</f>
        <v>173.083059210868</v>
      </c>
    </row>
    <row r="12" customFormat="false" ht="15" hidden="false" customHeight="false" outlineLevel="0" collapsed="false">
      <c r="B12" s="5" t="s">
        <v>310</v>
      </c>
      <c r="D12" s="60" t="n">
        <f aca="false">SUM(D2:D8)</f>
        <v>1</v>
      </c>
      <c r="F12" s="61" t="n">
        <f aca="false">SUM(F2:F8)</f>
        <v>798.987378891439</v>
      </c>
    </row>
    <row r="14" customFormat="false" ht="15" hidden="false" customHeight="false" outlineLevel="0" collapsed="false">
      <c r="B14" s="5" t="s">
        <v>103</v>
      </c>
    </row>
    <row r="15" customFormat="false" ht="30" hidden="false" customHeight="true" outlineLevel="0" collapsed="false">
      <c r="B15" s="62" t="s">
        <v>311</v>
      </c>
    </row>
    <row r="16" customFormat="false" ht="45" hidden="false" customHeight="true" outlineLevel="0" collapsed="false">
      <c r="B16" s="62" t="s">
        <v>312</v>
      </c>
    </row>
    <row r="17" customFormat="false" ht="60" hidden="false" customHeight="true" outlineLevel="0" collapsed="false">
      <c r="B17" s="62" t="s">
        <v>313</v>
      </c>
    </row>
    <row r="18" customFormat="false" ht="30" hidden="false" customHeight="true" outlineLevel="0" collapsed="false">
      <c r="B18" s="62" t="s">
        <v>314</v>
      </c>
    </row>
    <row r="19" customFormat="false" ht="75" hidden="false" customHeight="true" outlineLevel="0" collapsed="false">
      <c r="B19" s="62" t="s">
        <v>315</v>
      </c>
    </row>
    <row r="20" customFormat="false" ht="45" hidden="false" customHeight="true" outlineLevel="0" collapsed="false">
      <c r="B20" s="62" t="s">
        <v>319</v>
      </c>
    </row>
    <row r="21" customFormat="false" ht="45" hidden="false" customHeight="true" outlineLevel="0" collapsed="false">
      <c r="B21" s="62" t="s">
        <v>317</v>
      </c>
    </row>
    <row r="22" customFormat="false" ht="30" hidden="false" customHeight="true" outlineLevel="0" collapsed="false">
      <c r="B22" s="62" t="s">
        <v>318</v>
      </c>
    </row>
  </sheetData>
  <conditionalFormatting sqref="D2:D8">
    <cfRule type="dataBar" priority="2">
      <dataBar showValue="1" minLength="10" maxLength="90">
        <cfvo type="num" val="0"/>
        <cfvo type="max" val="0"/>
        <color rgb="FF5B9BD5"/>
      </dataBar>
      <extLst>
        <ext xmlns:x14="http://schemas.microsoft.com/office/spreadsheetml/2009/9/main" uri="{B025F937-C7B1-47D3-B67F-A62EFF666E3E}">
          <x14:id>{7FE3C962-4950-4448-8CEB-673024FCD5E1}</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7FE3C962-4950-4448-8CEB-673024FCD5E1}">
            <x14:dataBar minLength="10" maxLength="90" axisPosition="none" gradient="true">
              <x14:cfvo type="num">
                <xm:f>0</xm:f>
              </x14:cfvo>
              <x14:cfvo type="max"/>
              <x14:negativeFillColor rgb="FF5B9BD5"/>
              <x14:axisColor rgb="FF000000"/>
            </x14:dataBar>
          </x14:cfRule>
          <xm:sqref>D2:D8</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268</v>
      </c>
      <c r="B1" s="8" t="s">
        <v>269</v>
      </c>
      <c r="C1" s="8" t="s">
        <v>231</v>
      </c>
      <c r="D1" s="8" t="s">
        <v>270</v>
      </c>
      <c r="E1" s="8" t="s">
        <v>271</v>
      </c>
      <c r="F1" s="8" t="s">
        <v>272</v>
      </c>
      <c r="G1" s="8" t="s">
        <v>273</v>
      </c>
      <c r="H1" s="8" t="s">
        <v>274</v>
      </c>
      <c r="I1" s="8" t="s">
        <v>275</v>
      </c>
      <c r="J1" s="8" t="s">
        <v>276</v>
      </c>
    </row>
    <row r="2" customFormat="false" ht="28.35" hidden="false" customHeight="false" outlineLevel="0" collapsed="false">
      <c r="A2" s="21" t="n">
        <v>1</v>
      </c>
      <c r="B2" s="59" t="s">
        <v>277</v>
      </c>
      <c r="C2" s="21" t="s">
        <v>234</v>
      </c>
      <c r="D2" s="52" t="n">
        <v>0.176458881706844</v>
      </c>
      <c r="E2" s="52" t="n">
        <v>0.269420360506611</v>
      </c>
      <c r="F2" s="37" t="n">
        <v>160.55187319133</v>
      </c>
      <c r="G2" s="21" t="s">
        <v>278</v>
      </c>
      <c r="H2" s="59" t="s">
        <v>279</v>
      </c>
      <c r="I2" s="21" t="s">
        <v>240</v>
      </c>
      <c r="J2" s="21" t="s">
        <v>280</v>
      </c>
    </row>
    <row r="3" customFormat="false" ht="15" hidden="false" customHeight="false" outlineLevel="0" collapsed="false">
      <c r="A3" s="21" t="n">
        <v>2</v>
      </c>
      <c r="B3" s="59" t="s">
        <v>283</v>
      </c>
      <c r="C3" s="21" t="s">
        <v>235</v>
      </c>
      <c r="D3" s="52" t="n">
        <v>0.158124653780941</v>
      </c>
      <c r="E3" s="52" t="n">
        <v>0.460993553407351</v>
      </c>
      <c r="F3" s="37" t="n">
        <v>143.870396982551</v>
      </c>
      <c r="G3" s="21" t="s">
        <v>278</v>
      </c>
      <c r="H3" s="59" t="s">
        <v>279</v>
      </c>
      <c r="I3" s="21" t="s">
        <v>242</v>
      </c>
      <c r="J3" s="21" t="s">
        <v>280</v>
      </c>
    </row>
    <row r="4" customFormat="false" ht="28.35" hidden="false" customHeight="false" outlineLevel="0" collapsed="false">
      <c r="A4" s="21" t="n">
        <v>3</v>
      </c>
      <c r="B4" s="59" t="s">
        <v>281</v>
      </c>
      <c r="C4" s="21" t="s">
        <v>234</v>
      </c>
      <c r="D4" s="52" t="n">
        <v>0.151928858306177</v>
      </c>
      <c r="E4" s="52" t="n">
        <v>0.231967512092764</v>
      </c>
      <c r="F4" s="37" t="n">
        <v>138.233125796415</v>
      </c>
      <c r="G4" s="21" t="s">
        <v>278</v>
      </c>
      <c r="H4" s="59" t="s">
        <v>279</v>
      </c>
      <c r="I4" s="21" t="s">
        <v>241</v>
      </c>
      <c r="J4" s="21" t="s">
        <v>280</v>
      </c>
    </row>
    <row r="5" customFormat="false" ht="28.35" hidden="false" customHeight="false" outlineLevel="0" collapsed="false">
      <c r="A5" s="21" t="n">
        <v>4</v>
      </c>
      <c r="B5" s="59" t="s">
        <v>282</v>
      </c>
      <c r="C5" s="21" t="s">
        <v>234</v>
      </c>
      <c r="D5" s="52" t="n">
        <v>0.132049224780216</v>
      </c>
      <c r="E5" s="52" t="n">
        <v>0.201614956418056</v>
      </c>
      <c r="F5" s="37" t="n">
        <v>120.145555649322</v>
      </c>
      <c r="G5" s="21" t="s">
        <v>278</v>
      </c>
      <c r="H5" s="59" t="s">
        <v>279</v>
      </c>
      <c r="I5" s="21" t="s">
        <v>243</v>
      </c>
      <c r="J5" s="21" t="s">
        <v>280</v>
      </c>
    </row>
    <row r="6" customFormat="false" ht="15" hidden="false" customHeight="false" outlineLevel="0" collapsed="false">
      <c r="A6" s="21" t="n">
        <v>5</v>
      </c>
      <c r="B6" s="59" t="s">
        <v>285</v>
      </c>
      <c r="C6" s="21" t="s">
        <v>235</v>
      </c>
      <c r="D6" s="52" t="n">
        <v>0.125651056470029</v>
      </c>
      <c r="E6" s="52" t="n">
        <v>0.366320656687427</v>
      </c>
      <c r="F6" s="37" t="n">
        <v>114.324154667644</v>
      </c>
      <c r="G6" s="21" t="s">
        <v>278</v>
      </c>
      <c r="H6" s="59" t="s">
        <v>279</v>
      </c>
      <c r="I6" s="21" t="s">
        <v>245</v>
      </c>
      <c r="J6" s="21" t="s">
        <v>280</v>
      </c>
    </row>
    <row r="7" customFormat="false" ht="15" hidden="false" customHeight="false" outlineLevel="0" collapsed="false">
      <c r="A7" s="21" t="n">
        <v>6</v>
      </c>
      <c r="B7" s="59" t="s">
        <v>284</v>
      </c>
      <c r="C7" s="21" t="s">
        <v>234</v>
      </c>
      <c r="D7" s="52" t="n">
        <v>0.0835625668998449</v>
      </c>
      <c r="E7" s="52" t="n">
        <v>0.127584719347911</v>
      </c>
      <c r="F7" s="37" t="n">
        <v>76.0297612377173</v>
      </c>
      <c r="G7" s="21" t="s">
        <v>278</v>
      </c>
      <c r="H7" s="59" t="s">
        <v>279</v>
      </c>
      <c r="I7" s="21" t="s">
        <v>244</v>
      </c>
      <c r="J7" s="21" t="s">
        <v>280</v>
      </c>
    </row>
    <row r="8" customFormat="false" ht="28.35" hidden="false" customHeight="false" outlineLevel="0" collapsed="false">
      <c r="A8" s="21" t="n">
        <v>7</v>
      </c>
      <c r="B8" s="59" t="s">
        <v>286</v>
      </c>
      <c r="C8" s="21" t="s">
        <v>234</v>
      </c>
      <c r="D8" s="52" t="n">
        <v>0.0601477612949173</v>
      </c>
      <c r="E8" s="52" t="n">
        <v>0.0918346040448337</v>
      </c>
      <c r="F8" s="37" t="n">
        <v>54.7256995553623</v>
      </c>
      <c r="G8" s="21" t="s">
        <v>278</v>
      </c>
      <c r="H8" s="59" t="s">
        <v>279</v>
      </c>
      <c r="I8" s="21" t="s">
        <v>246</v>
      </c>
      <c r="J8" s="21" t="s">
        <v>280</v>
      </c>
    </row>
    <row r="9" customFormat="false" ht="15" hidden="false" customHeight="false" outlineLevel="0" collapsed="false">
      <c r="A9" s="21" t="n">
        <v>8</v>
      </c>
      <c r="B9" s="59" t="s">
        <v>289</v>
      </c>
      <c r="C9" s="21" t="s">
        <v>235</v>
      </c>
      <c r="D9" s="52" t="n">
        <v>0.0163068577747842</v>
      </c>
      <c r="E9" s="52" t="n">
        <v>0.0475406973596936</v>
      </c>
      <c r="F9" s="37" t="n">
        <v>14.8368647487845</v>
      </c>
      <c r="G9" s="21" t="s">
        <v>278</v>
      </c>
      <c r="H9" s="59" t="s">
        <v>290</v>
      </c>
      <c r="I9" s="21" t="s">
        <v>248</v>
      </c>
      <c r="J9" s="21" t="s">
        <v>288</v>
      </c>
    </row>
    <row r="10" customFormat="false" ht="15" hidden="false" customHeight="false" outlineLevel="0" collapsed="false">
      <c r="A10" s="21" t="n">
        <v>9</v>
      </c>
      <c r="B10" s="59" t="s">
        <v>291</v>
      </c>
      <c r="C10" s="21" t="s">
        <v>235</v>
      </c>
      <c r="D10" s="52" t="n">
        <v>0.0159819686960432</v>
      </c>
      <c r="E10" s="52" t="n">
        <v>0.0465935220313</v>
      </c>
      <c r="F10" s="37" t="n">
        <v>14.5412630218171</v>
      </c>
      <c r="G10" s="21" t="s">
        <v>278</v>
      </c>
      <c r="H10" s="59" t="s">
        <v>279</v>
      </c>
      <c r="I10" s="21" t="s">
        <v>249</v>
      </c>
      <c r="J10" s="21" t="s">
        <v>288</v>
      </c>
    </row>
    <row r="11" customFormat="false" ht="15" hidden="false" customHeight="false" outlineLevel="0" collapsed="false">
      <c r="A11" s="21" t="n">
        <v>10</v>
      </c>
      <c r="B11" s="59" t="s">
        <v>287</v>
      </c>
      <c r="C11" s="21" t="s">
        <v>234</v>
      </c>
      <c r="D11" s="52" t="n">
        <v>0.0107316647055961</v>
      </c>
      <c r="E11" s="52" t="n">
        <v>0.0163852844688272</v>
      </c>
      <c r="F11" s="37" t="n">
        <v>9.76425133310768</v>
      </c>
      <c r="G11" s="21" t="s">
        <v>278</v>
      </c>
      <c r="H11" s="59" t="s">
        <v>279</v>
      </c>
      <c r="I11" s="21" t="s">
        <v>247</v>
      </c>
      <c r="J11" s="21" t="s">
        <v>288</v>
      </c>
    </row>
    <row r="12" customFormat="false" ht="15" hidden="false" customHeight="false" outlineLevel="0" collapsed="false">
      <c r="A12" s="21" t="n">
        <v>11</v>
      </c>
      <c r="B12" s="59" t="s">
        <v>297</v>
      </c>
      <c r="C12" s="21" t="s">
        <v>235</v>
      </c>
      <c r="D12" s="52" t="n">
        <v>0.00923541812466812</v>
      </c>
      <c r="E12" s="52" t="n">
        <v>0.0269247591485102</v>
      </c>
      <c r="F12" s="37" t="n">
        <v>8.4028849399827</v>
      </c>
      <c r="G12" s="21" t="s">
        <v>278</v>
      </c>
      <c r="H12" s="59" t="s">
        <v>298</v>
      </c>
      <c r="I12" s="21" t="s">
        <v>262</v>
      </c>
      <c r="J12" s="21" t="s">
        <v>288</v>
      </c>
    </row>
    <row r="13" customFormat="false" ht="15" hidden="false" customHeight="false" outlineLevel="0" collapsed="false">
      <c r="A13" s="21" t="n">
        <v>12</v>
      </c>
      <c r="B13" s="59" t="s">
        <v>292</v>
      </c>
      <c r="C13" s="21" t="s">
        <v>234</v>
      </c>
      <c r="D13" s="52" t="n">
        <v>0.00811394453476747</v>
      </c>
      <c r="E13" s="52" t="n">
        <v>0.012388505699132</v>
      </c>
      <c r="F13" s="37" t="n">
        <v>7.38250736617327</v>
      </c>
      <c r="G13" s="21" t="s">
        <v>278</v>
      </c>
      <c r="H13" s="59" t="s">
        <v>279</v>
      </c>
      <c r="I13" s="21" t="s">
        <v>257</v>
      </c>
      <c r="J13" s="21" t="s">
        <v>288</v>
      </c>
    </row>
    <row r="14" customFormat="false" ht="28.35" hidden="false" customHeight="false" outlineLevel="0" collapsed="false">
      <c r="A14" s="21" t="n">
        <v>13</v>
      </c>
      <c r="B14" s="59" t="s">
        <v>300</v>
      </c>
      <c r="C14" s="21" t="s">
        <v>235</v>
      </c>
      <c r="D14" s="52" t="n">
        <v>0.0077711551779097</v>
      </c>
      <c r="E14" s="52" t="n">
        <v>0.0226558753102947</v>
      </c>
      <c r="F14" s="37" t="n">
        <v>7.07061899409916</v>
      </c>
      <c r="G14" s="21" t="s">
        <v>278</v>
      </c>
      <c r="H14" s="59" t="s">
        <v>279</v>
      </c>
      <c r="I14" s="21" t="s">
        <v>264</v>
      </c>
      <c r="J14" s="21" t="s">
        <v>288</v>
      </c>
    </row>
    <row r="15" customFormat="false" ht="15" hidden="false" customHeight="false" outlineLevel="0" collapsed="false">
      <c r="A15" s="21" t="n">
        <v>14</v>
      </c>
      <c r="B15" s="59" t="s">
        <v>293</v>
      </c>
      <c r="C15" s="21" t="s">
        <v>234</v>
      </c>
      <c r="D15" s="52" t="n">
        <v>0.00771400727674465</v>
      </c>
      <c r="E15" s="52" t="n">
        <v>0.011777874830375</v>
      </c>
      <c r="F15" s="37" t="n">
        <v>7.0186227301976</v>
      </c>
      <c r="G15" s="21" t="s">
        <v>278</v>
      </c>
      <c r="H15" s="59" t="s">
        <v>279</v>
      </c>
      <c r="I15" s="21" t="s">
        <v>258</v>
      </c>
      <c r="J15" s="21" t="s">
        <v>288</v>
      </c>
    </row>
    <row r="16" customFormat="false" ht="15" hidden="false" customHeight="false" outlineLevel="0" collapsed="false">
      <c r="A16" s="21" t="n">
        <v>15</v>
      </c>
      <c r="B16" s="59" t="s">
        <v>294</v>
      </c>
      <c r="C16" s="21" t="s">
        <v>234</v>
      </c>
      <c r="D16" s="52" t="n">
        <v>0.00734498475560453</v>
      </c>
      <c r="E16" s="52" t="n">
        <v>0.0112144450969496</v>
      </c>
      <c r="F16" s="37" t="n">
        <v>6.68286600066521</v>
      </c>
      <c r="G16" s="21" t="s">
        <v>278</v>
      </c>
      <c r="H16" s="59" t="s">
        <v>279</v>
      </c>
      <c r="I16" s="21" t="s">
        <v>260</v>
      </c>
      <c r="J16" s="21" t="s">
        <v>288</v>
      </c>
    </row>
    <row r="17" customFormat="false" ht="15" hidden="false" customHeight="false" outlineLevel="0" collapsed="false">
      <c r="A17" s="21" t="n">
        <v>16</v>
      </c>
      <c r="B17" s="59" t="s">
        <v>295</v>
      </c>
      <c r="C17" s="21" t="s">
        <v>234</v>
      </c>
      <c r="D17" s="52" t="n">
        <v>0.006123437002193</v>
      </c>
      <c r="E17" s="52" t="n">
        <v>0.00934936563528254</v>
      </c>
      <c r="F17" s="37" t="n">
        <v>5.57143551835769</v>
      </c>
      <c r="G17" s="21" t="s">
        <v>278</v>
      </c>
      <c r="H17" s="59" t="s">
        <v>279</v>
      </c>
      <c r="I17" s="21" t="s">
        <v>259</v>
      </c>
      <c r="J17" s="21" t="s">
        <v>288</v>
      </c>
    </row>
    <row r="18" customFormat="false" ht="28.35" hidden="false" customHeight="false" outlineLevel="0" collapsed="false">
      <c r="A18" s="21" t="n">
        <v>17</v>
      </c>
      <c r="B18" s="59" t="s">
        <v>296</v>
      </c>
      <c r="C18" s="21" t="s">
        <v>234</v>
      </c>
      <c r="D18" s="52" t="n">
        <v>0.00594999633184619</v>
      </c>
      <c r="E18" s="52" t="n">
        <v>0.00908455353016575</v>
      </c>
      <c r="F18" s="37" t="n">
        <v>5.41362977776595</v>
      </c>
      <c r="G18" s="21" t="s">
        <v>278</v>
      </c>
      <c r="H18" s="59" t="s">
        <v>279</v>
      </c>
      <c r="I18" s="21" t="s">
        <v>261</v>
      </c>
      <c r="J18" s="21" t="s">
        <v>288</v>
      </c>
    </row>
    <row r="19" customFormat="false" ht="15" hidden="false" customHeight="false" outlineLevel="0" collapsed="false">
      <c r="A19" s="21" t="n">
        <v>18</v>
      </c>
      <c r="B19" s="59" t="s">
        <v>301</v>
      </c>
      <c r="C19" s="21" t="s">
        <v>235</v>
      </c>
      <c r="D19" s="52" t="n">
        <v>0.00512204446641602</v>
      </c>
      <c r="E19" s="52" t="n">
        <v>0.0149327092444087</v>
      </c>
      <c r="F19" s="37" t="n">
        <v>4.66031420860175</v>
      </c>
      <c r="G19" s="21" t="s">
        <v>278</v>
      </c>
      <c r="H19" s="59" t="s">
        <v>302</v>
      </c>
      <c r="I19" s="21" t="s">
        <v>266</v>
      </c>
      <c r="J19" s="21" t="s">
        <v>288</v>
      </c>
    </row>
    <row r="20" customFormat="false" ht="15" hidden="false" customHeight="false" outlineLevel="0" collapsed="false">
      <c r="A20" s="21" t="n">
        <v>19</v>
      </c>
      <c r="B20" s="59" t="s">
        <v>299</v>
      </c>
      <c r="C20" s="21" t="s">
        <v>234</v>
      </c>
      <c r="D20" s="52" t="n">
        <v>0.00483215733710582</v>
      </c>
      <c r="E20" s="52" t="n">
        <v>0.00737781832909133</v>
      </c>
      <c r="F20" s="37" t="n">
        <v>4.39655915601033</v>
      </c>
      <c r="G20" s="21" t="s">
        <v>278</v>
      </c>
      <c r="H20" s="59" t="s">
        <v>279</v>
      </c>
      <c r="I20" s="21" t="s">
        <v>263</v>
      </c>
      <c r="J20" s="21" t="s">
        <v>288</v>
      </c>
    </row>
    <row r="21" customFormat="false" ht="15" hidden="false" customHeight="false" outlineLevel="0" collapsed="false">
      <c r="A21" s="21" t="n">
        <v>20</v>
      </c>
      <c r="B21" s="59" t="s">
        <v>303</v>
      </c>
      <c r="C21" s="21" t="s">
        <v>235</v>
      </c>
      <c r="D21" s="52" t="n">
        <v>0.00481522949243644</v>
      </c>
      <c r="E21" s="52" t="n">
        <v>0.0140382268110155</v>
      </c>
      <c r="F21" s="37" t="n">
        <v>4.3811572836621</v>
      </c>
      <c r="G21" s="21" t="s">
        <v>278</v>
      </c>
      <c r="H21" s="59" t="s">
        <v>304</v>
      </c>
      <c r="I21" s="21" t="s">
        <v>267</v>
      </c>
      <c r="J21" s="21" t="s">
        <v>288</v>
      </c>
    </row>
    <row r="22" customFormat="false" ht="15" hidden="false" customHeight="false" outlineLevel="0" collapsed="false">
      <c r="A22" s="21" t="n">
        <v>21</v>
      </c>
      <c r="B22" s="59" t="s">
        <v>305</v>
      </c>
      <c r="C22" s="21" t="s">
        <v>233</v>
      </c>
      <c r="D22" s="52" t="n">
        <v>0.00203413108491458</v>
      </c>
      <c r="E22" s="52" t="n">
        <v>1</v>
      </c>
      <c r="F22" s="37" t="n">
        <v>1.85076292471529</v>
      </c>
      <c r="G22" s="21" t="s">
        <v>278</v>
      </c>
      <c r="H22" s="59" t="s">
        <v>306</v>
      </c>
      <c r="I22" s="21" t="s">
        <v>265</v>
      </c>
      <c r="J22" s="21" t="s">
        <v>288</v>
      </c>
    </row>
    <row r="24" customFormat="false" ht="15" hidden="false" customHeight="false" outlineLevel="0" collapsed="false">
      <c r="B24" s="5" t="s">
        <v>307</v>
      </c>
      <c r="C24" s="41" t="s">
        <v>234</v>
      </c>
      <c r="D24" s="60" t="n">
        <f aca="false">SUMIF(C2:C22,"Historical voter data",D2:D22)</f>
        <v>0.654957484931858</v>
      </c>
      <c r="F24" s="61" t="n">
        <f aca="false">SUMIF(C2:C22,"Historical voter data",F2:F22)</f>
        <v>595.915887312425</v>
      </c>
    </row>
    <row r="25" customFormat="false" ht="15" hidden="false" customHeight="false" outlineLevel="0" collapsed="false">
      <c r="B25" s="5" t="s">
        <v>308</v>
      </c>
      <c r="C25" s="41" t="s">
        <v>235</v>
      </c>
      <c r="D25" s="60" t="n">
        <f aca="false">SUMIF(C2:C22,"Voter registration data",D2:D22)</f>
        <v>0.343008383983228</v>
      </c>
      <c r="F25" s="61" t="n">
        <f aca="false">SUMIF(C2:C22,"Voter registration data",F2:F22)</f>
        <v>312.087654847143</v>
      </c>
    </row>
    <row r="26" customFormat="false" ht="15" hidden="false" customHeight="false" outlineLevel="0" collapsed="false">
      <c r="B26" s="5" t="s">
        <v>309</v>
      </c>
      <c r="C26" s="41" t="s">
        <v>233</v>
      </c>
      <c r="D26" s="60" t="n">
        <f aca="false">SUMIF(C2:C22,"Election type",D2:D22)</f>
        <v>0.00203413108491458</v>
      </c>
      <c r="F26" s="61" t="n">
        <f aca="false">SUMIF(C2:C22,"Election type",F2:F22)</f>
        <v>1.85076292471529</v>
      </c>
    </row>
    <row r="27" customFormat="false" ht="15" hidden="false" customHeight="false" outlineLevel="0" collapsed="false">
      <c r="B27" s="5" t="s">
        <v>310</v>
      </c>
      <c r="D27" s="60" t="n">
        <f aca="false">SUM(D2:D22)</f>
        <v>1</v>
      </c>
      <c r="F27" s="61" t="n">
        <f aca="false">SUM(F2:F22)</f>
        <v>909.854305084283</v>
      </c>
    </row>
    <row r="29" customFormat="false" ht="15" hidden="false" customHeight="false" outlineLevel="0" collapsed="false">
      <c r="B29" s="5" t="s">
        <v>103</v>
      </c>
    </row>
    <row r="30" customFormat="false" ht="30" hidden="false" customHeight="true" outlineLevel="0" collapsed="false">
      <c r="B30" s="62" t="s">
        <v>311</v>
      </c>
    </row>
    <row r="31" customFormat="false" ht="45" hidden="false" customHeight="true" outlineLevel="0" collapsed="false">
      <c r="B31" s="62" t="s">
        <v>312</v>
      </c>
    </row>
    <row r="32" customFormat="false" ht="60" hidden="false" customHeight="true" outlineLevel="0" collapsed="false">
      <c r="B32" s="62" t="s">
        <v>313</v>
      </c>
    </row>
    <row r="33" customFormat="false" ht="30" hidden="false" customHeight="true" outlineLevel="0" collapsed="false">
      <c r="B33" s="62" t="s">
        <v>314</v>
      </c>
    </row>
    <row r="34" customFormat="false" ht="75" hidden="false" customHeight="true" outlineLevel="0" collapsed="false">
      <c r="B34" s="62" t="s">
        <v>315</v>
      </c>
    </row>
    <row r="35" customFormat="false" ht="60" hidden="false" customHeight="true" outlineLevel="0" collapsed="false">
      <c r="B35" s="62" t="s">
        <v>320</v>
      </c>
    </row>
    <row r="36" customFormat="false" ht="45" hidden="false" customHeight="true" outlineLevel="0" collapsed="false">
      <c r="B36" s="62" t="s">
        <v>317</v>
      </c>
    </row>
    <row r="37" customFormat="false" ht="30" hidden="false" customHeight="true" outlineLevel="0" collapsed="false">
      <c r="B37" s="62" t="s">
        <v>318</v>
      </c>
    </row>
  </sheetData>
  <conditionalFormatting sqref="D2:D22">
    <cfRule type="dataBar" priority="2">
      <dataBar showValue="1" minLength="10" maxLength="90">
        <cfvo type="num" val="0"/>
        <cfvo type="max" val="0"/>
        <color rgb="FF5B9BD5"/>
      </dataBar>
      <extLst>
        <ext xmlns:x14="http://schemas.microsoft.com/office/spreadsheetml/2009/9/main" uri="{B025F937-C7B1-47D3-B67F-A62EFF666E3E}">
          <x14:id>{E3E1BF20-5CD3-4EA7-97AD-A2BF674C6757}</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E3E1BF20-5CD3-4EA7-97AD-A2BF674C6757}">
            <x14:dataBar minLength="10" maxLength="90" axisPosition="none" gradient="true">
              <x14:cfvo type="num">
                <xm:f>0</xm:f>
              </x14:cfvo>
              <x14:cfvo type="max"/>
              <x14:negativeFillColor rgb="FF5B9BD5"/>
              <x14:axisColor rgb="FF000000"/>
            </x14:dataBar>
          </x14:cfRule>
          <xm:sqref>D2:D22</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1" min="9" style="0" width="14"/>
    <col collapsed="false" customWidth="true" hidden="false" outlineLevel="0" max="12" min="12" style="0" width="16"/>
    <col collapsed="false" customWidth="true" hidden="false" outlineLevel="0" max="13" min="13" style="0" width="90"/>
  </cols>
  <sheetData>
    <row r="1" customFormat="false" ht="60" hidden="false" customHeight="true" outlineLevel="0" collapsed="false">
      <c r="A1" s="8" t="s">
        <v>75</v>
      </c>
      <c r="B1" s="8" t="s">
        <v>76</v>
      </c>
      <c r="C1" s="8" t="s">
        <v>77</v>
      </c>
      <c r="D1" s="8" t="s">
        <v>321</v>
      </c>
      <c r="E1" s="8" t="s">
        <v>322</v>
      </c>
      <c r="F1" s="8" t="s">
        <v>323</v>
      </c>
      <c r="G1" s="8" t="s">
        <v>324</v>
      </c>
      <c r="H1" s="8" t="s">
        <v>325</v>
      </c>
      <c r="I1" s="8" t="s">
        <v>326</v>
      </c>
      <c r="J1" s="8" t="s">
        <v>327</v>
      </c>
      <c r="K1" s="8" t="s">
        <v>328</v>
      </c>
      <c r="L1" s="8" t="s">
        <v>329</v>
      </c>
      <c r="M1" s="8" t="s">
        <v>330</v>
      </c>
    </row>
    <row r="2" customFormat="false" ht="15" hidden="false" customHeight="false" outlineLevel="0" collapsed="false">
      <c r="A2" s="21" t="s">
        <v>120</v>
      </c>
      <c r="B2" s="21" t="s">
        <v>121</v>
      </c>
      <c r="C2" s="21" t="s">
        <v>122</v>
      </c>
      <c r="D2" s="37" t="n">
        <v>159</v>
      </c>
      <c r="E2" s="37" t="n">
        <v>181</v>
      </c>
      <c r="F2" s="63" t="n">
        <f aca="false">IF(E2="","",D2-E2)</f>
        <v>-22</v>
      </c>
      <c r="G2" s="37" t="n">
        <v>279</v>
      </c>
      <c r="H2" s="37" t="n">
        <v>285</v>
      </c>
      <c r="I2" s="63" t="n">
        <f aca="false">IF(H2="","",G2-H2)</f>
        <v>-6</v>
      </c>
      <c r="J2" s="52" t="n">
        <f aca="false">IF(OR(D2="",D2+G2=0),"",D2/(D2+G2))</f>
        <v>0.363013698630137</v>
      </c>
      <c r="K2" s="52" t="n">
        <f aca="false">IF(E2="","",E2/(E2+H2))</f>
        <v>0.388412017167382</v>
      </c>
      <c r="L2" s="64" t="n">
        <f aca="false">IF(OR(K2="",J2=""),"",(J2-K2)*100)</f>
        <v>-2.5398318537245</v>
      </c>
      <c r="M2" s="21"/>
    </row>
    <row r="3" customFormat="false" ht="15" hidden="false" customHeight="false" outlineLevel="0" collapsed="false">
      <c r="A3" s="21" t="s">
        <v>120</v>
      </c>
      <c r="B3" s="21" t="s">
        <v>125</v>
      </c>
      <c r="C3" s="21" t="s">
        <v>122</v>
      </c>
      <c r="D3" s="37" t="n">
        <v>114</v>
      </c>
      <c r="E3" s="37" t="n">
        <v>118</v>
      </c>
      <c r="F3" s="63" t="n">
        <f aca="false">IF(E3="","",D3-E3)</f>
        <v>-4</v>
      </c>
      <c r="G3" s="37" t="n">
        <v>290</v>
      </c>
      <c r="H3" s="37" t="n">
        <v>300</v>
      </c>
      <c r="I3" s="63" t="n">
        <f aca="false">IF(H3="","",G3-H3)</f>
        <v>-10</v>
      </c>
      <c r="J3" s="52" t="n">
        <f aca="false">IF(OR(D3="",D3+G3=0),"",D3/(D3+G3))</f>
        <v>0.282178217821782</v>
      </c>
      <c r="K3" s="52" t="n">
        <f aca="false">IF(E3="","",E3/(E3+H3))</f>
        <v>0.282296650717703</v>
      </c>
      <c r="L3" s="64" t="n">
        <f aca="false">IF(OR(K3="",J3=""),"",(J3-K3)*100)</f>
        <v>-0.0118432895921172</v>
      </c>
      <c r="M3" s="21"/>
    </row>
    <row r="4" customFormat="false" ht="15" hidden="false" customHeight="false" outlineLevel="0" collapsed="false">
      <c r="A4" s="21" t="s">
        <v>120</v>
      </c>
      <c r="B4" s="21" t="s">
        <v>126</v>
      </c>
      <c r="C4" s="21" t="s">
        <v>122</v>
      </c>
      <c r="D4" s="37" t="n">
        <v>136</v>
      </c>
      <c r="E4" s="37" t="n">
        <v>144</v>
      </c>
      <c r="F4" s="63" t="n">
        <f aca="false">IF(E4="","",D4-E4)</f>
        <v>-8</v>
      </c>
      <c r="G4" s="37" t="n">
        <v>267</v>
      </c>
      <c r="H4" s="37" t="n">
        <v>310</v>
      </c>
      <c r="I4" s="63" t="n">
        <f aca="false">IF(H4="","",G4-H4)</f>
        <v>-43</v>
      </c>
      <c r="J4" s="52" t="n">
        <f aca="false">IF(OR(D4="",D4+G4=0),"",D4/(D4+G4))</f>
        <v>0.337468982630273</v>
      </c>
      <c r="K4" s="52" t="n">
        <f aca="false">IF(E4="","",E4/(E4+H4))</f>
        <v>0.317180616740088</v>
      </c>
      <c r="L4" s="64" t="n">
        <f aca="false">IF(OR(K4="",J4=""),"",(J4-K4)*100)</f>
        <v>2.02883658901848</v>
      </c>
      <c r="M4" s="21"/>
    </row>
    <row r="5" customFormat="false" ht="15" hidden="false" customHeight="false" outlineLevel="0" collapsed="false">
      <c r="A5" s="21" t="s">
        <v>120</v>
      </c>
      <c r="B5" s="21" t="s">
        <v>127</v>
      </c>
      <c r="C5" s="21" t="s">
        <v>122</v>
      </c>
      <c r="D5" s="37" t="n">
        <v>446</v>
      </c>
      <c r="E5" s="37" t="n">
        <v>438</v>
      </c>
      <c r="F5" s="63" t="n">
        <f aca="false">IF(E5="","",D5-E5)</f>
        <v>8</v>
      </c>
      <c r="G5" s="37" t="n">
        <v>1129</v>
      </c>
      <c r="H5" s="37" t="n">
        <v>1253</v>
      </c>
      <c r="I5" s="63" t="n">
        <f aca="false">IF(H5="","",G5-H5)</f>
        <v>-124</v>
      </c>
      <c r="J5" s="52" t="n">
        <f aca="false">IF(OR(D5="",D5+G5=0),"",D5/(D5+G5))</f>
        <v>0.283174603174603</v>
      </c>
      <c r="K5" s="52" t="n">
        <f aca="false">IF(E5="","",E5/(E5+H5))</f>
        <v>0.259018332347723</v>
      </c>
      <c r="L5" s="64" t="n">
        <f aca="false">IF(OR(K5="",J5=""),"",(J5-K5)*100)</f>
        <v>2.41562708268799</v>
      </c>
      <c r="M5" s="21"/>
    </row>
    <row r="6" customFormat="false" ht="15" hidden="false" customHeight="false" outlineLevel="0" collapsed="false">
      <c r="A6" s="21" t="s">
        <v>120</v>
      </c>
      <c r="B6" s="21" t="s">
        <v>128</v>
      </c>
      <c r="C6" s="21" t="s">
        <v>122</v>
      </c>
      <c r="D6" s="37" t="n">
        <v>40</v>
      </c>
      <c r="E6" s="37" t="n">
        <v>38</v>
      </c>
      <c r="F6" s="63" t="n">
        <f aca="false">IF(E6="","",D6-E6)</f>
        <v>2</v>
      </c>
      <c r="G6" s="37" t="n">
        <v>72</v>
      </c>
      <c r="H6" s="37" t="n">
        <v>78</v>
      </c>
      <c r="I6" s="63" t="n">
        <f aca="false">IF(H6="","",G6-H6)</f>
        <v>-6</v>
      </c>
      <c r="J6" s="52" t="n">
        <f aca="false">IF(OR(D6="",D6+G6=0),"",D6/(D6+G6))</f>
        <v>0.357142857142857</v>
      </c>
      <c r="K6" s="52" t="n">
        <f aca="false">IF(E6="","",E6/(E6+H6))</f>
        <v>0.327586206896552</v>
      </c>
      <c r="L6" s="64" t="n">
        <f aca="false">IF(OR(K6="",J6=""),"",(J6-K6)*100)</f>
        <v>2.95566502463054</v>
      </c>
      <c r="M6" s="21"/>
    </row>
    <row r="7" customFormat="false" ht="15" hidden="false" customHeight="false" outlineLevel="0" collapsed="false">
      <c r="A7" s="21" t="s">
        <v>120</v>
      </c>
      <c r="B7" s="21" t="s">
        <v>129</v>
      </c>
      <c r="C7" s="21" t="s">
        <v>122</v>
      </c>
      <c r="D7" s="37" t="n">
        <v>693</v>
      </c>
      <c r="E7" s="37" t="n">
        <v>708</v>
      </c>
      <c r="F7" s="63" t="n">
        <f aca="false">IF(E7="","",D7-E7)</f>
        <v>-15</v>
      </c>
      <c r="G7" s="37" t="n">
        <v>1739</v>
      </c>
      <c r="H7" s="37" t="n">
        <v>1846</v>
      </c>
      <c r="I7" s="63" t="n">
        <f aca="false">IF(H7="","",G7-H7)</f>
        <v>-107</v>
      </c>
      <c r="J7" s="52" t="n">
        <f aca="false">IF(OR(D7="",D7+G7=0),"",D7/(D7+G7))</f>
        <v>0.284950657894737</v>
      </c>
      <c r="K7" s="52" t="n">
        <f aca="false">IF(E7="","",E7/(E7+H7))</f>
        <v>0.277212216131558</v>
      </c>
      <c r="L7" s="64" t="n">
        <f aca="false">IF(OR(K7="",J7=""),"",(J7-K7)*100)</f>
        <v>0.773844176317851</v>
      </c>
      <c r="M7" s="21"/>
    </row>
    <row r="8" customFormat="false" ht="15" hidden="false" customHeight="false" outlineLevel="0" collapsed="false">
      <c r="A8" s="21" t="s">
        <v>120</v>
      </c>
      <c r="B8" s="21" t="s">
        <v>131</v>
      </c>
      <c r="C8" s="21" t="s">
        <v>122</v>
      </c>
      <c r="D8" s="37" t="n">
        <v>1088</v>
      </c>
      <c r="E8" s="37" t="n">
        <v>1104</v>
      </c>
      <c r="F8" s="63" t="n">
        <f aca="false">IF(E8="","",D8-E8)</f>
        <v>-16</v>
      </c>
      <c r="G8" s="37" t="n">
        <v>1337</v>
      </c>
      <c r="H8" s="37" t="n">
        <v>1481</v>
      </c>
      <c r="I8" s="63" t="n">
        <f aca="false">IF(H8="","",G8-H8)</f>
        <v>-144</v>
      </c>
      <c r="J8" s="52" t="n">
        <f aca="false">IF(OR(D8="",D8+G8=0),"",D8/(D8+G8))</f>
        <v>0.448659793814433</v>
      </c>
      <c r="K8" s="52" t="n">
        <f aca="false">IF(E8="","",E8/(E8+H8))</f>
        <v>0.427079303675048</v>
      </c>
      <c r="L8" s="64" t="n">
        <f aca="false">IF(OR(K8="",J8=""),"",(J8-K8)*100)</f>
        <v>2.15804901393846</v>
      </c>
      <c r="M8" s="21"/>
    </row>
    <row r="9" customFormat="false" ht="15" hidden="false" customHeight="false" outlineLevel="0" collapsed="false">
      <c r="A9" s="21" t="s">
        <v>120</v>
      </c>
      <c r="B9" s="21" t="s">
        <v>132</v>
      </c>
      <c r="C9" s="21" t="s">
        <v>122</v>
      </c>
      <c r="D9" s="37" t="n">
        <v>331</v>
      </c>
      <c r="E9" s="37" t="n">
        <v>351</v>
      </c>
      <c r="F9" s="63" t="n">
        <f aca="false">IF(E9="","",D9-E9)</f>
        <v>-20</v>
      </c>
      <c r="G9" s="37" t="n">
        <v>705</v>
      </c>
      <c r="H9" s="37" t="n">
        <v>697</v>
      </c>
      <c r="I9" s="63" t="n">
        <f aca="false">IF(H9="","",G9-H9)</f>
        <v>8</v>
      </c>
      <c r="J9" s="52" t="n">
        <f aca="false">IF(OR(D9="",D9+G9=0),"",D9/(D9+G9))</f>
        <v>0.31949806949807</v>
      </c>
      <c r="K9" s="52" t="n">
        <f aca="false">IF(E9="","",E9/(E9+H9))</f>
        <v>0.334923664122137</v>
      </c>
      <c r="L9" s="64" t="n">
        <f aca="false">IF(OR(K9="",J9=""),"",(J9-K9)*100)</f>
        <v>-1.54255946240679</v>
      </c>
      <c r="M9" s="21"/>
    </row>
    <row r="10" customFormat="false" ht="15" hidden="false" customHeight="false" outlineLevel="0" collapsed="false">
      <c r="A10" s="21" t="s">
        <v>120</v>
      </c>
      <c r="B10" s="21" t="s">
        <v>133</v>
      </c>
      <c r="C10" s="21" t="s">
        <v>122</v>
      </c>
      <c r="D10" s="37" t="n">
        <v>586</v>
      </c>
      <c r="E10" s="37" t="n">
        <v>575</v>
      </c>
      <c r="F10" s="63" t="n">
        <f aca="false">IF(E10="","",D10-E10)</f>
        <v>11</v>
      </c>
      <c r="G10" s="37" t="n">
        <v>823</v>
      </c>
      <c r="H10" s="37" t="n">
        <v>880</v>
      </c>
      <c r="I10" s="63" t="n">
        <f aca="false">IF(H10="","",G10-H10)</f>
        <v>-57</v>
      </c>
      <c r="J10" s="52" t="n">
        <f aca="false">IF(OR(D10="",D10+G10=0),"",D10/(D10+G10))</f>
        <v>0.415897799858055</v>
      </c>
      <c r="K10" s="52" t="n">
        <f aca="false">IF(E10="","",E10/(E10+H10))</f>
        <v>0.395189003436426</v>
      </c>
      <c r="L10" s="64" t="n">
        <f aca="false">IF(OR(K10="",J10=""),"",(J10-K10)*100)</f>
        <v>2.07087964216293</v>
      </c>
      <c r="M10" s="21"/>
    </row>
    <row r="11" customFormat="false" ht="15" hidden="false" customHeight="false" outlineLevel="0" collapsed="false">
      <c r="A11" s="21" t="s">
        <v>120</v>
      </c>
      <c r="B11" s="21" t="s">
        <v>134</v>
      </c>
      <c r="C11" s="21" t="s">
        <v>122</v>
      </c>
      <c r="D11" s="37" t="n">
        <v>43</v>
      </c>
      <c r="E11" s="37" t="n">
        <v>38</v>
      </c>
      <c r="F11" s="63" t="n">
        <f aca="false">IF(E11="","",D11-E11)</f>
        <v>5</v>
      </c>
      <c r="G11" s="37" t="n">
        <v>96</v>
      </c>
      <c r="H11" s="37" t="n">
        <v>107</v>
      </c>
      <c r="I11" s="63" t="n">
        <f aca="false">IF(H11="","",G11-H11)</f>
        <v>-11</v>
      </c>
      <c r="J11" s="52" t="n">
        <f aca="false">IF(OR(D11="",D11+G11=0),"",D11/(D11+G11))</f>
        <v>0.309352517985612</v>
      </c>
      <c r="K11" s="52" t="n">
        <f aca="false">IF(E11="","",E11/(E11+H11))</f>
        <v>0.262068965517241</v>
      </c>
      <c r="L11" s="64" t="n">
        <f aca="false">IF(OR(K11="",J11=""),"",(J11-K11)*100)</f>
        <v>4.72835524683701</v>
      </c>
      <c r="M11" s="21"/>
    </row>
    <row r="12" customFormat="false" ht="15" hidden="false" customHeight="false" outlineLevel="0" collapsed="false">
      <c r="A12" s="21" t="s">
        <v>120</v>
      </c>
      <c r="B12" s="21" t="s">
        <v>135</v>
      </c>
      <c r="C12" s="21" t="s">
        <v>122</v>
      </c>
      <c r="D12" s="37" t="n">
        <v>59</v>
      </c>
      <c r="E12" s="37" t="n">
        <v>58</v>
      </c>
      <c r="F12" s="63" t="n">
        <f aca="false">IF(E12="","",D12-E12)</f>
        <v>1</v>
      </c>
      <c r="G12" s="37" t="n">
        <v>205</v>
      </c>
      <c r="H12" s="37" t="n">
        <v>216</v>
      </c>
      <c r="I12" s="63" t="n">
        <f aca="false">IF(H12="","",G12-H12)</f>
        <v>-11</v>
      </c>
      <c r="J12" s="52" t="n">
        <f aca="false">IF(OR(D12="",D12+G12=0),"",D12/(D12+G12))</f>
        <v>0.223484848484848</v>
      </c>
      <c r="K12" s="52" t="n">
        <f aca="false">IF(E12="","",E12/(E12+H12))</f>
        <v>0.211678832116788</v>
      </c>
      <c r="L12" s="64" t="n">
        <f aca="false">IF(OR(K12="",J12=""),"",(J12-K12)*100)</f>
        <v>1.18060163680602</v>
      </c>
      <c r="M12" s="21"/>
    </row>
    <row r="13" customFormat="false" ht="15" hidden="false" customHeight="false" outlineLevel="0" collapsed="false">
      <c r="A13" s="21" t="s">
        <v>120</v>
      </c>
      <c r="B13" s="21" t="s">
        <v>136</v>
      </c>
      <c r="C13" s="21" t="s">
        <v>122</v>
      </c>
      <c r="D13" s="37" t="n">
        <v>916</v>
      </c>
      <c r="E13" s="37" t="n">
        <v>944</v>
      </c>
      <c r="F13" s="63" t="n">
        <f aca="false">IF(E13="","",D13-E13)</f>
        <v>-28</v>
      </c>
      <c r="G13" s="37" t="n">
        <v>1348</v>
      </c>
      <c r="H13" s="37" t="n">
        <v>1486</v>
      </c>
      <c r="I13" s="63" t="n">
        <f aca="false">IF(H13="","",G13-H13)</f>
        <v>-138</v>
      </c>
      <c r="J13" s="52" t="n">
        <f aca="false">IF(OR(D13="",D13+G13=0),"",D13/(D13+G13))</f>
        <v>0.404593639575972</v>
      </c>
      <c r="K13" s="52" t="n">
        <f aca="false">IF(E13="","",E13/(E13+H13))</f>
        <v>0.388477366255144</v>
      </c>
      <c r="L13" s="64" t="n">
        <f aca="false">IF(OR(K13="",J13=""),"",(J13-K13)*100)</f>
        <v>1.61162733208277</v>
      </c>
      <c r="M13" s="21"/>
    </row>
    <row r="14" customFormat="false" ht="15" hidden="false" customHeight="false" outlineLevel="0" collapsed="false">
      <c r="A14" s="21" t="s">
        <v>120</v>
      </c>
      <c r="B14" s="21" t="s">
        <v>137</v>
      </c>
      <c r="C14" s="21" t="s">
        <v>122</v>
      </c>
      <c r="D14" s="37" t="n">
        <v>520</v>
      </c>
      <c r="E14" s="37" t="n">
        <v>515</v>
      </c>
      <c r="F14" s="63" t="n">
        <f aca="false">IF(E14="","",D14-E14)</f>
        <v>5</v>
      </c>
      <c r="G14" s="37" t="n">
        <v>1161</v>
      </c>
      <c r="H14" s="37" t="n">
        <v>1293</v>
      </c>
      <c r="I14" s="63" t="n">
        <f aca="false">IF(H14="","",G14-H14)</f>
        <v>-132</v>
      </c>
      <c r="J14" s="52" t="n">
        <f aca="false">IF(OR(D14="",D14+G14=0),"",D14/(D14+G14))</f>
        <v>0.309339678762641</v>
      </c>
      <c r="K14" s="52" t="n">
        <f aca="false">IF(E14="","",E14/(E14+H14))</f>
        <v>0.284845132743363</v>
      </c>
      <c r="L14" s="64" t="n">
        <f aca="false">IF(OR(K14="",J14=""),"",(J14-K14)*100)</f>
        <v>2.44945460192785</v>
      </c>
      <c r="M14" s="21"/>
    </row>
    <row r="15" customFormat="false" ht="15" hidden="false" customHeight="false" outlineLevel="0" collapsed="false">
      <c r="A15" s="21" t="s">
        <v>120</v>
      </c>
      <c r="B15" s="21" t="s">
        <v>138</v>
      </c>
      <c r="C15" s="21" t="s">
        <v>122</v>
      </c>
      <c r="D15" s="37" t="n">
        <v>638</v>
      </c>
      <c r="E15" s="37" t="n">
        <v>694</v>
      </c>
      <c r="F15" s="63" t="n">
        <f aca="false">IF(E15="","",D15-E15)</f>
        <v>-56</v>
      </c>
      <c r="G15" s="37" t="n">
        <v>1551</v>
      </c>
      <c r="H15" s="37" t="n">
        <v>1695</v>
      </c>
      <c r="I15" s="63" t="n">
        <f aca="false">IF(H15="","",G15-H15)</f>
        <v>-144</v>
      </c>
      <c r="J15" s="52" t="n">
        <f aca="false">IF(OR(D15="",D15+G15=0),"",D15/(D15+G15))</f>
        <v>0.291457286432161</v>
      </c>
      <c r="K15" s="52" t="n">
        <f aca="false">IF(E15="","",E15/(E15+H15))</f>
        <v>0.290498116366681</v>
      </c>
      <c r="L15" s="64" t="n">
        <f aca="false">IF(OR(K15="",J15=""),"",(J15-K15)*100)</f>
        <v>0.0959170065480186</v>
      </c>
      <c r="M15" s="21"/>
    </row>
    <row r="16" customFormat="false" ht="15" hidden="false" customHeight="false" outlineLevel="0" collapsed="false">
      <c r="A16" s="21" t="s">
        <v>120</v>
      </c>
      <c r="B16" s="21" t="s">
        <v>139</v>
      </c>
      <c r="C16" s="21" t="s">
        <v>122</v>
      </c>
      <c r="D16" s="37" t="n">
        <v>569</v>
      </c>
      <c r="E16" s="37" t="n">
        <v>601</v>
      </c>
      <c r="F16" s="63" t="n">
        <f aca="false">IF(E16="","",D16-E16)</f>
        <v>-32</v>
      </c>
      <c r="G16" s="37" t="n">
        <v>887</v>
      </c>
      <c r="H16" s="37" t="n">
        <v>955</v>
      </c>
      <c r="I16" s="63" t="n">
        <f aca="false">IF(H16="","",G16-H16)</f>
        <v>-68</v>
      </c>
      <c r="J16" s="52" t="n">
        <f aca="false">IF(OR(D16="",D16+G16=0),"",D16/(D16+G16))</f>
        <v>0.390796703296703</v>
      </c>
      <c r="K16" s="52" t="n">
        <f aca="false">IF(E16="","",E16/(E16+H16))</f>
        <v>0.386246786632391</v>
      </c>
      <c r="L16" s="64" t="n">
        <f aca="false">IF(OR(K16="",J16=""),"",(J16-K16)*100)</f>
        <v>0.454991666431254</v>
      </c>
      <c r="M16" s="21"/>
    </row>
    <row r="17" customFormat="false" ht="15" hidden="false" customHeight="false" outlineLevel="0" collapsed="false">
      <c r="A17" s="21" t="s">
        <v>120</v>
      </c>
      <c r="B17" s="21" t="s">
        <v>140</v>
      </c>
      <c r="C17" s="21" t="s">
        <v>122</v>
      </c>
      <c r="D17" s="37" t="n">
        <v>125</v>
      </c>
      <c r="E17" s="37" t="n">
        <v>134</v>
      </c>
      <c r="F17" s="63" t="n">
        <f aca="false">IF(E17="","",D17-E17)</f>
        <v>-9</v>
      </c>
      <c r="G17" s="37" t="n">
        <v>470</v>
      </c>
      <c r="H17" s="37" t="n">
        <v>505</v>
      </c>
      <c r="I17" s="63" t="n">
        <f aca="false">IF(H17="","",G17-H17)</f>
        <v>-35</v>
      </c>
      <c r="J17" s="52" t="n">
        <f aca="false">IF(OR(D17="",D17+G17=0),"",D17/(D17+G17))</f>
        <v>0.210084033613445</v>
      </c>
      <c r="K17" s="52" t="n">
        <f aca="false">IF(E17="","",E17/(E17+H17))</f>
        <v>0.209702660406886</v>
      </c>
      <c r="L17" s="64" t="n">
        <f aca="false">IF(OR(K17="",J17=""),"",(J17-K17)*100)</f>
        <v>0.0381373206559621</v>
      </c>
      <c r="M17" s="21"/>
    </row>
    <row r="18" customFormat="false" ht="15" hidden="false" customHeight="false" outlineLevel="0" collapsed="false">
      <c r="A18" s="21" t="s">
        <v>120</v>
      </c>
      <c r="B18" s="21" t="s">
        <v>141</v>
      </c>
      <c r="C18" s="21" t="s">
        <v>122</v>
      </c>
      <c r="D18" s="37" t="n">
        <v>965</v>
      </c>
      <c r="E18" s="37" t="n">
        <v>981</v>
      </c>
      <c r="F18" s="63" t="n">
        <f aca="false">IF(E18="","",D18-E18)</f>
        <v>-16</v>
      </c>
      <c r="G18" s="37" t="n">
        <v>1595</v>
      </c>
      <c r="H18" s="37" t="n">
        <v>1740</v>
      </c>
      <c r="I18" s="63" t="n">
        <f aca="false">IF(H18="","",G18-H18)</f>
        <v>-145</v>
      </c>
      <c r="J18" s="52" t="n">
        <f aca="false">IF(OR(D18="",D18+G18=0),"",D18/(D18+G18))</f>
        <v>0.376953125</v>
      </c>
      <c r="K18" s="52" t="n">
        <f aca="false">IF(E18="","",E18/(E18+H18))</f>
        <v>0.360529217199559</v>
      </c>
      <c r="L18" s="64" t="n">
        <f aca="false">IF(OR(K18="",J18=""),"",(J18-K18)*100)</f>
        <v>1.6423907800441</v>
      </c>
      <c r="M18" s="21"/>
    </row>
    <row r="19" customFormat="false" ht="15" hidden="false" customHeight="false" outlineLevel="0" collapsed="false">
      <c r="A19" s="21" t="s">
        <v>120</v>
      </c>
      <c r="B19" s="21" t="s">
        <v>142</v>
      </c>
      <c r="C19" s="21" t="s">
        <v>122</v>
      </c>
      <c r="D19" s="37" t="n">
        <v>61</v>
      </c>
      <c r="E19" s="37" t="n">
        <v>74</v>
      </c>
      <c r="F19" s="63" t="n">
        <f aca="false">IF(E19="","",D19-E19)</f>
        <v>-13</v>
      </c>
      <c r="G19" s="37" t="n">
        <v>154</v>
      </c>
      <c r="H19" s="37" t="n">
        <v>162</v>
      </c>
      <c r="I19" s="63" t="n">
        <f aca="false">IF(H19="","",G19-H19)</f>
        <v>-8</v>
      </c>
      <c r="J19" s="52" t="n">
        <f aca="false">IF(OR(D19="",D19+G19=0),"",D19/(D19+G19))</f>
        <v>0.283720930232558</v>
      </c>
      <c r="K19" s="52" t="n">
        <f aca="false">IF(E19="","",E19/(E19+H19))</f>
        <v>0.313559322033898</v>
      </c>
      <c r="L19" s="64" t="n">
        <f aca="false">IF(OR(K19="",J19=""),"",(J19-K19)*100)</f>
        <v>-2.98383918013402</v>
      </c>
      <c r="M19" s="21"/>
    </row>
    <row r="20" customFormat="false" ht="15" hidden="false" customHeight="false" outlineLevel="0" collapsed="false">
      <c r="A20" s="21" t="s">
        <v>120</v>
      </c>
      <c r="B20" s="21" t="s">
        <v>143</v>
      </c>
      <c r="C20" s="21" t="s">
        <v>122</v>
      </c>
      <c r="D20" s="37" t="n">
        <v>1811</v>
      </c>
      <c r="E20" s="37" t="n">
        <v>2047</v>
      </c>
      <c r="F20" s="63" t="n">
        <f aca="false">IF(E20="","",D20-E20)</f>
        <v>-236</v>
      </c>
      <c r="G20" s="37" t="n">
        <v>3422</v>
      </c>
      <c r="H20" s="37" t="n">
        <v>3702</v>
      </c>
      <c r="I20" s="63" t="n">
        <f aca="false">IF(H20="","",G20-H20)</f>
        <v>-280</v>
      </c>
      <c r="J20" s="52" t="n">
        <f aca="false">IF(OR(D20="",D20+G20=0),"",D20/(D20+G20))</f>
        <v>0.346072998280145</v>
      </c>
      <c r="K20" s="52" t="n">
        <f aca="false">IF(E20="","",E20/(E20+H20))</f>
        <v>0.356061923812837</v>
      </c>
      <c r="L20" s="64" t="n">
        <f aca="false">IF(OR(K20="",J20=""),"",(J20-K20)*100)</f>
        <v>-0.998892553269182</v>
      </c>
      <c r="M20" s="21"/>
    </row>
    <row r="21" customFormat="false" ht="15" hidden="false" customHeight="false" outlineLevel="0" collapsed="false">
      <c r="A21" s="21" t="s">
        <v>120</v>
      </c>
      <c r="B21" s="21" t="s">
        <v>145</v>
      </c>
      <c r="C21" s="21" t="s">
        <v>122</v>
      </c>
      <c r="D21" s="37" t="n">
        <v>685</v>
      </c>
      <c r="E21" s="37" t="n">
        <v>660</v>
      </c>
      <c r="F21" s="63" t="n">
        <f aca="false">IF(E21="","",D21-E21)</f>
        <v>25</v>
      </c>
      <c r="G21" s="37" t="n">
        <v>853</v>
      </c>
      <c r="H21" s="37" t="n">
        <v>913</v>
      </c>
      <c r="I21" s="63" t="n">
        <f aca="false">IF(H21="","",G21-H21)</f>
        <v>-60</v>
      </c>
      <c r="J21" s="52" t="n">
        <f aca="false">IF(OR(D21="",D21+G21=0),"",D21/(D21+G21))</f>
        <v>0.445383615084525</v>
      </c>
      <c r="K21" s="52" t="n">
        <f aca="false">IF(E21="","",E21/(E21+H21))</f>
        <v>0.41958041958042</v>
      </c>
      <c r="L21" s="64" t="n">
        <f aca="false">IF(OR(K21="",J21=""),"",(J21-K21)*100)</f>
        <v>2.58031955041058</v>
      </c>
      <c r="M21" s="21"/>
    </row>
    <row r="22" customFormat="false" ht="15" hidden="false" customHeight="false" outlineLevel="0" collapsed="false">
      <c r="A22" s="21" t="s">
        <v>120</v>
      </c>
      <c r="B22" s="21" t="s">
        <v>146</v>
      </c>
      <c r="C22" s="21" t="s">
        <v>122</v>
      </c>
      <c r="D22" s="37" t="n">
        <v>754</v>
      </c>
      <c r="E22" s="37" t="n">
        <v>802</v>
      </c>
      <c r="F22" s="63" t="n">
        <f aca="false">IF(E22="","",D22-E22)</f>
        <v>-48</v>
      </c>
      <c r="G22" s="37" t="n">
        <v>1890</v>
      </c>
      <c r="H22" s="37" t="n">
        <v>1955</v>
      </c>
      <c r="I22" s="63" t="n">
        <f aca="false">IF(H22="","",G22-H22)</f>
        <v>-65</v>
      </c>
      <c r="J22" s="52" t="n">
        <f aca="false">IF(OR(D22="",D22+G22=0),"",D22/(D22+G22))</f>
        <v>0.28517397881997</v>
      </c>
      <c r="K22" s="52" t="n">
        <f aca="false">IF(E22="","",E22/(E22+H22))</f>
        <v>0.290895901342038</v>
      </c>
      <c r="L22" s="64" t="n">
        <f aca="false">IF(OR(K22="",J22=""),"",(J22-K22)*100)</f>
        <v>-0.572192252206871</v>
      </c>
      <c r="M22" s="21"/>
    </row>
    <row r="23" customFormat="false" ht="15" hidden="false" customHeight="false" outlineLevel="0" collapsed="false">
      <c r="A23" s="21" t="s">
        <v>120</v>
      </c>
      <c r="B23" s="21" t="s">
        <v>147</v>
      </c>
      <c r="C23" s="21" t="s">
        <v>122</v>
      </c>
      <c r="D23" s="37" t="n">
        <v>345</v>
      </c>
      <c r="E23" s="37" t="n">
        <v>351</v>
      </c>
      <c r="F23" s="63" t="n">
        <f aca="false">IF(E23="","",D23-E23)</f>
        <v>-6</v>
      </c>
      <c r="G23" s="37" t="n">
        <v>844</v>
      </c>
      <c r="H23" s="37" t="n">
        <v>849</v>
      </c>
      <c r="I23" s="63" t="n">
        <f aca="false">IF(H23="","",G23-H23)</f>
        <v>-5</v>
      </c>
      <c r="J23" s="52" t="n">
        <f aca="false">IF(OR(D23="",D23+G23=0),"",D23/(D23+G23))</f>
        <v>0.290159798149706</v>
      </c>
      <c r="K23" s="52" t="n">
        <f aca="false">IF(E23="","",E23/(E23+H23))</f>
        <v>0.2925</v>
      </c>
      <c r="L23" s="64" t="n">
        <f aca="false">IF(OR(K23="",J23=""),"",(J23-K23)*100)</f>
        <v>-0.234020185029432</v>
      </c>
      <c r="M23" s="21"/>
    </row>
    <row r="24" customFormat="false" ht="15" hidden="false" customHeight="false" outlineLevel="0" collapsed="false">
      <c r="A24" s="21" t="s">
        <v>120</v>
      </c>
      <c r="B24" s="21" t="s">
        <v>148</v>
      </c>
      <c r="C24" s="21" t="s">
        <v>122</v>
      </c>
      <c r="D24" s="37" t="n">
        <v>61</v>
      </c>
      <c r="E24" s="37" t="n">
        <v>58</v>
      </c>
      <c r="F24" s="63" t="n">
        <f aca="false">IF(E24="","",D24-E24)</f>
        <v>3</v>
      </c>
      <c r="G24" s="37" t="n">
        <v>82</v>
      </c>
      <c r="H24" s="37" t="n">
        <v>105</v>
      </c>
      <c r="I24" s="63" t="n">
        <f aca="false">IF(H24="","",G24-H24)</f>
        <v>-23</v>
      </c>
      <c r="J24" s="52" t="n">
        <f aca="false">IF(OR(D24="",D24+G24=0),"",D24/(D24+G24))</f>
        <v>0.426573426573427</v>
      </c>
      <c r="K24" s="52" t="n">
        <f aca="false">IF(E24="","",E24/(E24+H24))</f>
        <v>0.355828220858896</v>
      </c>
      <c r="L24" s="64" t="n">
        <f aca="false">IF(OR(K24="",J24=""),"",(J24-K24)*100)</f>
        <v>7.07452057145309</v>
      </c>
      <c r="M24" s="21"/>
    </row>
    <row r="25" customFormat="false" ht="15" hidden="false" customHeight="false" outlineLevel="0" collapsed="false">
      <c r="A25" s="21" t="s">
        <v>149</v>
      </c>
      <c r="B25" s="21" t="s">
        <v>150</v>
      </c>
      <c r="C25" s="21" t="s">
        <v>122</v>
      </c>
      <c r="D25" s="37" t="n">
        <v>660</v>
      </c>
      <c r="E25" s="37" t="n">
        <v>601</v>
      </c>
      <c r="F25" s="63" t="n">
        <f aca="false">IF(E25="","",D25-E25)</f>
        <v>59</v>
      </c>
      <c r="G25" s="37" t="n">
        <v>754</v>
      </c>
      <c r="H25" s="37" t="n">
        <v>766</v>
      </c>
      <c r="I25" s="63" t="n">
        <f aca="false">IF(H25="","",G25-H25)</f>
        <v>-12</v>
      </c>
      <c r="J25" s="52" t="n">
        <f aca="false">IF(OR(D25="",D25+G25=0),"",D25/(D25+G25))</f>
        <v>0.466760961810467</v>
      </c>
      <c r="K25" s="52" t="n">
        <f aca="false">IF(E25="","",E25/(E25+H25))</f>
        <v>0.439648866130212</v>
      </c>
      <c r="L25" s="64" t="n">
        <f aca="false">IF(OR(K25="",J25=""),"",(J25-K25)*100)</f>
        <v>2.71120956802546</v>
      </c>
      <c r="M25" s="21"/>
    </row>
    <row r="26" customFormat="false" ht="15" hidden="false" customHeight="false" outlineLevel="0" collapsed="false">
      <c r="A26" s="21" t="s">
        <v>149</v>
      </c>
      <c r="B26" s="21" t="s">
        <v>151</v>
      </c>
      <c r="C26" s="21" t="s">
        <v>122</v>
      </c>
      <c r="D26" s="37" t="n">
        <v>27215</v>
      </c>
      <c r="E26" s="37" t="n">
        <v>26568</v>
      </c>
      <c r="F26" s="63" t="n">
        <f aca="false">IF(E26="","",D26-E26)</f>
        <v>647</v>
      </c>
      <c r="G26" s="37" t="n">
        <v>14457</v>
      </c>
      <c r="H26" s="37" t="n">
        <v>14583</v>
      </c>
      <c r="I26" s="63" t="n">
        <f aca="false">IF(H26="","",G26-H26)</f>
        <v>-126</v>
      </c>
      <c r="J26" s="52" t="n">
        <f aca="false">IF(OR(D26="",D26+G26=0),"",D26/(D26+G26))</f>
        <v>0.653076406220004</v>
      </c>
      <c r="K26" s="52" t="n">
        <f aca="false">IF(E26="","",E26/(E26+H26))</f>
        <v>0.645622220602172</v>
      </c>
      <c r="L26" s="64" t="n">
        <f aca="false">IF(OR(K26="",J26=""),"",(J26-K26)*100)</f>
        <v>0.74541856178314</v>
      </c>
      <c r="M26" s="21"/>
    </row>
    <row r="27" customFormat="false" ht="15" hidden="false" customHeight="false" outlineLevel="0" collapsed="false">
      <c r="A27" s="21" t="s">
        <v>149</v>
      </c>
      <c r="B27" s="21" t="s">
        <v>152</v>
      </c>
      <c r="C27" s="21" t="s">
        <v>122</v>
      </c>
      <c r="D27" s="37" t="n">
        <v>6708</v>
      </c>
      <c r="E27" s="37" t="n">
        <v>6612</v>
      </c>
      <c r="F27" s="63" t="n">
        <f aca="false">IF(E27="","",D27-E27)</f>
        <v>96</v>
      </c>
      <c r="G27" s="37" t="n">
        <v>3932</v>
      </c>
      <c r="H27" s="37" t="n">
        <v>3834</v>
      </c>
      <c r="I27" s="63" t="n">
        <f aca="false">IF(H27="","",G27-H27)</f>
        <v>98</v>
      </c>
      <c r="J27" s="52" t="n">
        <f aca="false">IF(OR(D27="",D27+G27=0),"",D27/(D27+G27))</f>
        <v>0.630451127819549</v>
      </c>
      <c r="K27" s="52" t="n">
        <f aca="false">IF(E27="","",E27/(E27+H27))</f>
        <v>0.632969557725445</v>
      </c>
      <c r="L27" s="64" t="n">
        <f aca="false">IF(OR(K27="",J27=""),"",(J27-K27)*100)</f>
        <v>-0.251842990589635</v>
      </c>
      <c r="M27" s="21"/>
    </row>
    <row r="28" customFormat="false" ht="15" hidden="false" customHeight="false" outlineLevel="0" collapsed="false">
      <c r="A28" s="21" t="s">
        <v>149</v>
      </c>
      <c r="B28" s="21" t="s">
        <v>153</v>
      </c>
      <c r="C28" s="21" t="s">
        <v>122</v>
      </c>
      <c r="D28" s="37" t="n">
        <v>1575</v>
      </c>
      <c r="E28" s="37" t="n">
        <v>1560</v>
      </c>
      <c r="F28" s="63" t="n">
        <f aca="false">IF(E28="","",D28-E28)</f>
        <v>15</v>
      </c>
      <c r="G28" s="37" t="n">
        <v>1511</v>
      </c>
      <c r="H28" s="37" t="n">
        <v>1491</v>
      </c>
      <c r="I28" s="63" t="n">
        <f aca="false">IF(H28="","",G28-H28)</f>
        <v>20</v>
      </c>
      <c r="J28" s="52" t="n">
        <f aca="false">IF(OR(D28="",D28+G28=0),"",D28/(D28+G28))</f>
        <v>0.510369410239793</v>
      </c>
      <c r="K28" s="52" t="n">
        <f aca="false">IF(E28="","",E28/(E28+H28))</f>
        <v>0.511307767944936</v>
      </c>
      <c r="L28" s="64" t="n">
        <f aca="false">IF(OR(K28="",J28=""),"",(J28-K28)*100)</f>
        <v>-0.0938357705143389</v>
      </c>
      <c r="M28" s="21"/>
    </row>
    <row r="29" customFormat="false" ht="15" hidden="false" customHeight="false" outlineLevel="0" collapsed="false">
      <c r="A29" s="21" t="s">
        <v>149</v>
      </c>
      <c r="B29" s="21" t="s">
        <v>154</v>
      </c>
      <c r="C29" s="21" t="s">
        <v>122</v>
      </c>
      <c r="D29" s="37" t="n">
        <v>743</v>
      </c>
      <c r="E29" s="37" t="n">
        <v>735</v>
      </c>
      <c r="F29" s="63" t="n">
        <f aca="false">IF(E29="","",D29-E29)</f>
        <v>8</v>
      </c>
      <c r="G29" s="37" t="n">
        <v>828</v>
      </c>
      <c r="H29" s="37" t="n">
        <v>804</v>
      </c>
      <c r="I29" s="63" t="n">
        <f aca="false">IF(H29="","",G29-H29)</f>
        <v>24</v>
      </c>
      <c r="J29" s="52" t="n">
        <f aca="false">IF(OR(D29="",D29+G29=0),"",D29/(D29+G29))</f>
        <v>0.472947167409293</v>
      </c>
      <c r="K29" s="52" t="n">
        <f aca="false">IF(E29="","",E29/(E29+H29))</f>
        <v>0.477582846003899</v>
      </c>
      <c r="L29" s="64" t="n">
        <f aca="false">IF(OR(K29="",J29=""),"",(J29-K29)*100)</f>
        <v>-0.463567859460518</v>
      </c>
      <c r="M29" s="21"/>
    </row>
    <row r="30" customFormat="false" ht="15" hidden="false" customHeight="false" outlineLevel="0" collapsed="false">
      <c r="A30" s="21" t="s">
        <v>149</v>
      </c>
      <c r="B30" s="21" t="s">
        <v>155</v>
      </c>
      <c r="C30" s="21" t="s">
        <v>122</v>
      </c>
      <c r="D30" s="37" t="n">
        <v>929</v>
      </c>
      <c r="E30" s="37" t="n">
        <v>899</v>
      </c>
      <c r="F30" s="63" t="n">
        <f aca="false">IF(E30="","",D30-E30)</f>
        <v>30</v>
      </c>
      <c r="G30" s="37" t="n">
        <v>908</v>
      </c>
      <c r="H30" s="37" t="n">
        <v>898</v>
      </c>
      <c r="I30" s="63" t="n">
        <f aca="false">IF(H30="","",G30-H30)</f>
        <v>10</v>
      </c>
      <c r="J30" s="52" t="n">
        <f aca="false">IF(OR(D30="",D30+G30=0),"",D30/(D30+G30))</f>
        <v>0.505715841045182</v>
      </c>
      <c r="K30" s="52" t="n">
        <f aca="false">IF(E30="","",E30/(E30+H30))</f>
        <v>0.500278241513634</v>
      </c>
      <c r="L30" s="64" t="n">
        <f aca="false">IF(OR(K30="",J30=""),"",(J30-K30)*100)</f>
        <v>0.543759953154854</v>
      </c>
      <c r="M30" s="21"/>
    </row>
    <row r="31" customFormat="false" ht="15" hidden="false" customHeight="false" outlineLevel="0" collapsed="false">
      <c r="A31" s="21" t="s">
        <v>149</v>
      </c>
      <c r="B31" s="21" t="s">
        <v>156</v>
      </c>
      <c r="C31" s="21" t="s">
        <v>122</v>
      </c>
      <c r="D31" s="37" t="n">
        <v>3521</v>
      </c>
      <c r="E31" s="37" t="n">
        <v>3663</v>
      </c>
      <c r="F31" s="63" t="n">
        <f aca="false">IF(E31="","",D31-E31)</f>
        <v>-142</v>
      </c>
      <c r="G31" s="37" t="n">
        <v>3337</v>
      </c>
      <c r="H31" s="37" t="n">
        <v>3236</v>
      </c>
      <c r="I31" s="63" t="n">
        <f aca="false">IF(H31="","",G31-H31)</f>
        <v>101</v>
      </c>
      <c r="J31" s="52" t="n">
        <f aca="false">IF(OR(D31="",D31+G31=0),"",D31/(D31+G31))</f>
        <v>0.513414989792943</v>
      </c>
      <c r="K31" s="52" t="n">
        <f aca="false">IF(E31="","",E31/(E31+H31))</f>
        <v>0.530946513987535</v>
      </c>
      <c r="L31" s="64" t="n">
        <f aca="false">IF(OR(K31="",J31=""),"",(J31-K31)*100)</f>
        <v>-1.75315241945919</v>
      </c>
      <c r="M31" s="21"/>
    </row>
    <row r="32" customFormat="false" ht="15" hidden="false" customHeight="false" outlineLevel="0" collapsed="false">
      <c r="A32" s="21" t="s">
        <v>149</v>
      </c>
      <c r="B32" s="21" t="s">
        <v>157</v>
      </c>
      <c r="C32" s="21" t="s">
        <v>122</v>
      </c>
      <c r="D32" s="37" t="n">
        <v>1522</v>
      </c>
      <c r="E32" s="37" t="n">
        <v>1433</v>
      </c>
      <c r="F32" s="63" t="n">
        <f aca="false">IF(E32="","",D32-E32)</f>
        <v>89</v>
      </c>
      <c r="G32" s="37" t="n">
        <v>819</v>
      </c>
      <c r="H32" s="37" t="n">
        <v>793</v>
      </c>
      <c r="I32" s="63" t="n">
        <f aca="false">IF(H32="","",G32-H32)</f>
        <v>26</v>
      </c>
      <c r="J32" s="52" t="n">
        <f aca="false">IF(OR(D32="",D32+G32=0),"",D32/(D32+G32))</f>
        <v>0.650149508756941</v>
      </c>
      <c r="K32" s="52" t="n">
        <f aca="false">IF(E32="","",E32/(E32+H32))</f>
        <v>0.643755615453729</v>
      </c>
      <c r="L32" s="64" t="n">
        <f aca="false">IF(OR(K32="",J32=""),"",(J32-K32)*100)</f>
        <v>0.639389330321283</v>
      </c>
      <c r="M32" s="21"/>
    </row>
    <row r="33" customFormat="false" ht="15" hidden="false" customHeight="false" outlineLevel="0" collapsed="false">
      <c r="A33" s="21" t="s">
        <v>149</v>
      </c>
      <c r="B33" s="21" t="s">
        <v>158</v>
      </c>
      <c r="C33" s="21" t="s">
        <v>122</v>
      </c>
      <c r="D33" s="37" t="n">
        <v>383</v>
      </c>
      <c r="E33" s="37" t="n">
        <v>379</v>
      </c>
      <c r="F33" s="63" t="n">
        <f aca="false">IF(E33="","",D33-E33)</f>
        <v>4</v>
      </c>
      <c r="G33" s="37" t="n">
        <v>356</v>
      </c>
      <c r="H33" s="37" t="n">
        <v>330</v>
      </c>
      <c r="I33" s="63" t="n">
        <f aca="false">IF(H33="","",G33-H33)</f>
        <v>26</v>
      </c>
      <c r="J33" s="52" t="n">
        <f aca="false">IF(OR(D33="",D33+G33=0),"",D33/(D33+G33))</f>
        <v>0.518267929634641</v>
      </c>
      <c r="K33" s="52" t="n">
        <f aca="false">IF(E33="","",E33/(E33+H33))</f>
        <v>0.534555712270804</v>
      </c>
      <c r="L33" s="64" t="n">
        <f aca="false">IF(OR(K33="",J33=""),"",(J33-K33)*100)</f>
        <v>-1.62877826361625</v>
      </c>
      <c r="M33" s="21"/>
    </row>
    <row r="34" customFormat="false" ht="15" hidden="false" customHeight="false" outlineLevel="0" collapsed="false">
      <c r="A34" s="21" t="s">
        <v>149</v>
      </c>
      <c r="B34" s="21" t="s">
        <v>159</v>
      </c>
      <c r="C34" s="21" t="s">
        <v>122</v>
      </c>
      <c r="D34" s="37" t="n">
        <v>644</v>
      </c>
      <c r="E34" s="37" t="n">
        <v>654</v>
      </c>
      <c r="F34" s="63" t="n">
        <f aca="false">IF(E34="","",D34-E34)</f>
        <v>-10</v>
      </c>
      <c r="G34" s="37" t="n">
        <v>1410</v>
      </c>
      <c r="H34" s="37" t="n">
        <v>1439</v>
      </c>
      <c r="I34" s="63" t="n">
        <f aca="false">IF(H34="","",G34-H34)</f>
        <v>-29</v>
      </c>
      <c r="J34" s="52" t="n">
        <f aca="false">IF(OR(D34="",D34+G34=0),"",D34/(D34+G34))</f>
        <v>0.313534566699124</v>
      </c>
      <c r="K34" s="52" t="n">
        <f aca="false">IF(E34="","",E34/(E34+H34))</f>
        <v>0.312470138557095</v>
      </c>
      <c r="L34" s="64" t="n">
        <f aca="false">IF(OR(K34="",J34=""),"",(J34-K34)*100)</f>
        <v>0.106442814202856</v>
      </c>
      <c r="M34" s="21"/>
    </row>
    <row r="35" customFormat="false" ht="15" hidden="false" customHeight="false" outlineLevel="0" collapsed="false">
      <c r="A35" s="21" t="s">
        <v>149</v>
      </c>
      <c r="B35" s="21" t="s">
        <v>160</v>
      </c>
      <c r="C35" s="21" t="s">
        <v>122</v>
      </c>
      <c r="D35" s="37" t="n">
        <v>10052</v>
      </c>
      <c r="E35" s="37" t="n">
        <v>10021</v>
      </c>
      <c r="F35" s="63" t="n">
        <f aca="false">IF(E35="","",D35-E35)</f>
        <v>31</v>
      </c>
      <c r="G35" s="37" t="n">
        <v>10384</v>
      </c>
      <c r="H35" s="37" t="n">
        <v>10199</v>
      </c>
      <c r="I35" s="63" t="n">
        <f aca="false">IF(H35="","",G35-H35)</f>
        <v>185</v>
      </c>
      <c r="J35" s="52" t="n">
        <f aca="false">IF(OR(D35="",D35+G35=0),"",D35/(D35+G35))</f>
        <v>0.491877079663339</v>
      </c>
      <c r="K35" s="52" t="n">
        <f aca="false">IF(E35="","",E35/(E35+H35))</f>
        <v>0.495598417408506</v>
      </c>
      <c r="L35" s="64" t="n">
        <f aca="false">IF(OR(K35="",J35=""),"",(J35-K35)*100)</f>
        <v>-0.37213377451672</v>
      </c>
      <c r="M35" s="21"/>
    </row>
    <row r="36" customFormat="false" ht="15" hidden="false" customHeight="false" outlineLevel="0" collapsed="false">
      <c r="A36" s="21" t="s">
        <v>149</v>
      </c>
      <c r="B36" s="21" t="s">
        <v>161</v>
      </c>
      <c r="C36" s="21" t="s">
        <v>122</v>
      </c>
      <c r="D36" s="37" t="n">
        <v>950</v>
      </c>
      <c r="E36" s="37" t="n">
        <v>985</v>
      </c>
      <c r="F36" s="63" t="n">
        <f aca="false">IF(E36="","",D36-E36)</f>
        <v>-35</v>
      </c>
      <c r="G36" s="37" t="n">
        <v>1651</v>
      </c>
      <c r="H36" s="37" t="n">
        <v>1586</v>
      </c>
      <c r="I36" s="63" t="n">
        <f aca="false">IF(H36="","",G36-H36)</f>
        <v>65</v>
      </c>
      <c r="J36" s="52" t="n">
        <f aca="false">IF(OR(D36="",D36+G36=0),"",D36/(D36+G36))</f>
        <v>0.365244136870434</v>
      </c>
      <c r="K36" s="52" t="n">
        <f aca="false">IF(E36="","",E36/(E36+H36))</f>
        <v>0.383119408790354</v>
      </c>
      <c r="L36" s="64" t="n">
        <f aca="false">IF(OR(K36="",J36=""),"",(J36-K36)*100)</f>
        <v>-1.78752719199195</v>
      </c>
      <c r="M36" s="21"/>
    </row>
    <row r="37" customFormat="false" ht="15" hidden="false" customHeight="false" outlineLevel="0" collapsed="false">
      <c r="A37" s="21" t="s">
        <v>149</v>
      </c>
      <c r="B37" s="21" t="s">
        <v>162</v>
      </c>
      <c r="C37" s="21" t="s">
        <v>122</v>
      </c>
      <c r="D37" s="37" t="n">
        <v>545</v>
      </c>
      <c r="E37" s="37" t="n">
        <v>543</v>
      </c>
      <c r="F37" s="63" t="n">
        <f aca="false">IF(E37="","",D37-E37)</f>
        <v>2</v>
      </c>
      <c r="G37" s="37" t="n">
        <v>1018</v>
      </c>
      <c r="H37" s="37" t="n">
        <v>990</v>
      </c>
      <c r="I37" s="63" t="n">
        <f aca="false">IF(H37="","",G37-H37)</f>
        <v>28</v>
      </c>
      <c r="J37" s="52" t="n">
        <f aca="false">IF(OR(D37="",D37+G37=0),"",D37/(D37+G37))</f>
        <v>0.348688419705694</v>
      </c>
      <c r="K37" s="52" t="n">
        <f aca="false">IF(E37="","",E37/(E37+H37))</f>
        <v>0.354207436399217</v>
      </c>
      <c r="L37" s="64" t="n">
        <f aca="false">IF(OR(K37="",J37=""),"",(J37-K37)*100)</f>
        <v>-0.551901669352301</v>
      </c>
      <c r="M37" s="21"/>
    </row>
    <row r="38" customFormat="false" ht="15" hidden="false" customHeight="false" outlineLevel="0" collapsed="false">
      <c r="A38" s="21" t="s">
        <v>149</v>
      </c>
      <c r="B38" s="21" t="s">
        <v>163</v>
      </c>
      <c r="C38" s="21" t="s">
        <v>122</v>
      </c>
      <c r="D38" s="37" t="n">
        <v>860</v>
      </c>
      <c r="E38" s="37" t="n">
        <v>850</v>
      </c>
      <c r="F38" s="63" t="n">
        <f aca="false">IF(E38="","",D38-E38)</f>
        <v>10</v>
      </c>
      <c r="G38" s="37" t="n">
        <v>1839</v>
      </c>
      <c r="H38" s="37" t="n">
        <v>1856</v>
      </c>
      <c r="I38" s="63" t="n">
        <f aca="false">IF(H38="","",G38-H38)</f>
        <v>-17</v>
      </c>
      <c r="J38" s="52" t="n">
        <f aca="false">IF(OR(D38="",D38+G38=0),"",D38/(D38+G38))</f>
        <v>0.318636532048907</v>
      </c>
      <c r="K38" s="52" t="n">
        <f aca="false">IF(E38="","",E38/(E38+H38))</f>
        <v>0.314116777531412</v>
      </c>
      <c r="L38" s="64" t="n">
        <f aca="false">IF(OR(K38="",J38=""),"",(J38-K38)*100)</f>
        <v>0.451975451749537</v>
      </c>
      <c r="M38" s="21"/>
    </row>
    <row r="39" customFormat="false" ht="15" hidden="false" customHeight="false" outlineLevel="0" collapsed="false">
      <c r="A39" s="21" t="s">
        <v>149</v>
      </c>
      <c r="B39" s="21" t="s">
        <v>164</v>
      </c>
      <c r="C39" s="21" t="s">
        <v>122</v>
      </c>
      <c r="D39" s="37" t="n">
        <v>971</v>
      </c>
      <c r="E39" s="37" t="n">
        <v>980</v>
      </c>
      <c r="F39" s="63" t="n">
        <f aca="false">IF(E39="","",D39-E39)</f>
        <v>-9</v>
      </c>
      <c r="G39" s="37" t="n">
        <v>922</v>
      </c>
      <c r="H39" s="37" t="n">
        <v>872</v>
      </c>
      <c r="I39" s="63" t="n">
        <f aca="false">IF(H39="","",G39-H39)</f>
        <v>50</v>
      </c>
      <c r="J39" s="52" t="n">
        <f aca="false">IF(OR(D39="",D39+G39=0),"",D39/(D39+G39))</f>
        <v>0.512942419440042</v>
      </c>
      <c r="K39" s="52" t="n">
        <f aca="false">IF(E39="","",E39/(E39+H39))</f>
        <v>0.529157667386609</v>
      </c>
      <c r="L39" s="64" t="n">
        <f aca="false">IF(OR(K39="",J39=""),"",(J39-K39)*100)</f>
        <v>-1.62152479465668</v>
      </c>
      <c r="M39" s="21"/>
    </row>
    <row r="40" customFormat="false" ht="15" hidden="false" customHeight="false" outlineLevel="0" collapsed="false">
      <c r="A40" s="21" t="s">
        <v>149</v>
      </c>
      <c r="B40" s="21" t="s">
        <v>165</v>
      </c>
      <c r="C40" s="21" t="s">
        <v>122</v>
      </c>
      <c r="D40" s="37" t="n">
        <v>4093</v>
      </c>
      <c r="E40" s="37" t="n">
        <v>4022</v>
      </c>
      <c r="F40" s="63" t="n">
        <f aca="false">IF(E40="","",D40-E40)</f>
        <v>71</v>
      </c>
      <c r="G40" s="37" t="n">
        <v>5944</v>
      </c>
      <c r="H40" s="37" t="n">
        <v>5915</v>
      </c>
      <c r="I40" s="63" t="n">
        <f aca="false">IF(H40="","",G40-H40)</f>
        <v>29</v>
      </c>
      <c r="J40" s="52" t="n">
        <f aca="false">IF(OR(D40="",D40+G40=0),"",D40/(D40+G40))</f>
        <v>0.407791172661154</v>
      </c>
      <c r="K40" s="52" t="n">
        <f aca="false">IF(E40="","",E40/(E40+H40))</f>
        <v>0.404749924524504</v>
      </c>
      <c r="L40" s="64" t="n">
        <f aca="false">IF(OR(K40="",J40=""),"",(J40-K40)*100)</f>
        <v>0.304124813664936</v>
      </c>
      <c r="M40" s="21"/>
    </row>
    <row r="41" customFormat="false" ht="15" hidden="false" customHeight="false" outlineLevel="0" collapsed="false">
      <c r="A41" s="21" t="s">
        <v>149</v>
      </c>
      <c r="B41" s="21" t="s">
        <v>166</v>
      </c>
      <c r="C41" s="21" t="s">
        <v>122</v>
      </c>
      <c r="D41" s="37" t="n">
        <v>3975</v>
      </c>
      <c r="E41" s="37" t="n">
        <v>4010</v>
      </c>
      <c r="F41" s="63" t="n">
        <f aca="false">IF(E41="","",D41-E41)</f>
        <v>-35</v>
      </c>
      <c r="G41" s="37" t="n">
        <v>4191</v>
      </c>
      <c r="H41" s="37" t="n">
        <v>4104</v>
      </c>
      <c r="I41" s="63" t="n">
        <f aca="false">IF(H41="","",G41-H41)</f>
        <v>87</v>
      </c>
      <c r="J41" s="52" t="n">
        <f aca="false">IF(OR(D41="",D41+G41=0),"",D41/(D41+G41))</f>
        <v>0.486774430565761</v>
      </c>
      <c r="K41" s="52" t="n">
        <f aca="false">IF(E41="","",E41/(E41+H41))</f>
        <v>0.494207542519103</v>
      </c>
      <c r="L41" s="64" t="n">
        <f aca="false">IF(OR(K41="",J41=""),"",(J41-K41)*100)</f>
        <v>-0.743311195334229</v>
      </c>
      <c r="M41" s="21"/>
    </row>
    <row r="42" customFormat="false" ht="15" hidden="false" customHeight="false" outlineLevel="0" collapsed="false">
      <c r="A42" s="21" t="s">
        <v>149</v>
      </c>
      <c r="B42" s="21" t="s">
        <v>167</v>
      </c>
      <c r="C42" s="21" t="s">
        <v>122</v>
      </c>
      <c r="D42" s="37" t="n">
        <v>853</v>
      </c>
      <c r="E42" s="37" t="n">
        <v>800</v>
      </c>
      <c r="F42" s="63" t="n">
        <f aca="false">IF(E42="","",D42-E42)</f>
        <v>53</v>
      </c>
      <c r="G42" s="37" t="n">
        <v>1145</v>
      </c>
      <c r="H42" s="37" t="n">
        <v>1156</v>
      </c>
      <c r="I42" s="63" t="n">
        <f aca="false">IF(H42="","",G42-H42)</f>
        <v>-11</v>
      </c>
      <c r="J42" s="52" t="n">
        <f aca="false">IF(OR(D42="",D42+G42=0),"",D42/(D42+G42))</f>
        <v>0.426926926926927</v>
      </c>
      <c r="K42" s="52" t="n">
        <f aca="false">IF(E42="","",E42/(E42+H42))</f>
        <v>0.408997955010225</v>
      </c>
      <c r="L42" s="64" t="n">
        <f aca="false">IF(OR(K42="",J42=""),"",(J42-K42)*100)</f>
        <v>1.7928971916702</v>
      </c>
      <c r="M42" s="21"/>
    </row>
    <row r="43" customFormat="false" ht="15" hidden="false" customHeight="false" outlineLevel="0" collapsed="false">
      <c r="A43" s="21" t="s">
        <v>149</v>
      </c>
      <c r="B43" s="21" t="s">
        <v>168</v>
      </c>
      <c r="C43" s="21" t="s">
        <v>122</v>
      </c>
      <c r="D43" s="37" t="n">
        <v>6775</v>
      </c>
      <c r="E43" s="37" t="n">
        <v>7019</v>
      </c>
      <c r="F43" s="63" t="n">
        <f aca="false">IF(E43="","",D43-E43)</f>
        <v>-244</v>
      </c>
      <c r="G43" s="37" t="n">
        <v>6423</v>
      </c>
      <c r="H43" s="37" t="n">
        <v>6110</v>
      </c>
      <c r="I43" s="63" t="n">
        <f aca="false">IF(H43="","",G43-H43)</f>
        <v>313</v>
      </c>
      <c r="J43" s="52" t="n">
        <f aca="false">IF(OR(D43="",D43+G43=0),"",D43/(D43+G43))</f>
        <v>0.513335353841491</v>
      </c>
      <c r="K43" s="52" t="n">
        <f aca="false">IF(E43="","",E43/(E43+H43))</f>
        <v>0.534618021174499</v>
      </c>
      <c r="L43" s="64" t="n">
        <f aca="false">IF(OR(K43="",J43=""),"",(J43-K43)*100)</f>
        <v>-2.12826673330081</v>
      </c>
      <c r="M43" s="21"/>
    </row>
    <row r="44" customFormat="false" ht="15" hidden="false" customHeight="false" outlineLevel="0" collapsed="false">
      <c r="A44" s="21" t="s">
        <v>149</v>
      </c>
      <c r="B44" s="21" t="s">
        <v>169</v>
      </c>
      <c r="C44" s="21" t="s">
        <v>122</v>
      </c>
      <c r="D44" s="37" t="n">
        <v>8139</v>
      </c>
      <c r="E44" s="37" t="n">
        <v>8020</v>
      </c>
      <c r="F44" s="63" t="n">
        <f aca="false">IF(E44="","",D44-E44)</f>
        <v>119</v>
      </c>
      <c r="G44" s="37" t="n">
        <v>7821</v>
      </c>
      <c r="H44" s="37" t="n">
        <v>7607</v>
      </c>
      <c r="I44" s="63" t="n">
        <f aca="false">IF(H44="","",G44-H44)</f>
        <v>214</v>
      </c>
      <c r="J44" s="52" t="n">
        <f aca="false">IF(OR(D44="",D44+G44=0),"",D44/(D44+G44))</f>
        <v>0.509962406015038</v>
      </c>
      <c r="K44" s="52" t="n">
        <f aca="false">IF(E44="","",E44/(E44+H44))</f>
        <v>0.513214308568503</v>
      </c>
      <c r="L44" s="64" t="n">
        <f aca="false">IF(OR(K44="",J44=""),"",(J44-K44)*100)</f>
        <v>-0.325190255346564</v>
      </c>
      <c r="M44" s="21"/>
    </row>
    <row r="45" customFormat="false" ht="15" hidden="false" customHeight="false" outlineLevel="0" collapsed="false">
      <c r="A45" s="21" t="s">
        <v>149</v>
      </c>
      <c r="B45" s="21" t="s">
        <v>170</v>
      </c>
      <c r="C45" s="21" t="s">
        <v>122</v>
      </c>
      <c r="D45" s="37" t="n">
        <v>2390</v>
      </c>
      <c r="E45" s="37" t="n">
        <v>2380</v>
      </c>
      <c r="F45" s="63" t="n">
        <f aca="false">IF(E45="","",D45-E45)</f>
        <v>10</v>
      </c>
      <c r="G45" s="37" t="n">
        <v>3064</v>
      </c>
      <c r="H45" s="37" t="n">
        <v>3135</v>
      </c>
      <c r="I45" s="63" t="n">
        <f aca="false">IF(H45="","",G45-H45)</f>
        <v>-71</v>
      </c>
      <c r="J45" s="52" t="n">
        <f aca="false">IF(OR(D45="",D45+G45=0),"",D45/(D45+G45))</f>
        <v>0.438210487715438</v>
      </c>
      <c r="K45" s="52" t="n">
        <f aca="false">IF(E45="","",E45/(E45+H45))</f>
        <v>0.43155031731641</v>
      </c>
      <c r="L45" s="64" t="n">
        <f aca="false">IF(OR(K45="",J45=""),"",(J45-K45)*100)</f>
        <v>0.666017039902839</v>
      </c>
      <c r="M45" s="21"/>
    </row>
    <row r="46" customFormat="false" ht="15" hidden="false" customHeight="false" outlineLevel="0" collapsed="false">
      <c r="A46" s="21" t="s">
        <v>149</v>
      </c>
      <c r="B46" s="21" t="s">
        <v>171</v>
      </c>
      <c r="C46" s="21" t="s">
        <v>122</v>
      </c>
      <c r="D46" s="37" t="n">
        <v>5376</v>
      </c>
      <c r="E46" s="37" t="n">
        <v>5462</v>
      </c>
      <c r="F46" s="63" t="n">
        <f aca="false">IF(E46="","",D46-E46)</f>
        <v>-86</v>
      </c>
      <c r="G46" s="37" t="n">
        <v>5810</v>
      </c>
      <c r="H46" s="37" t="n">
        <v>5740</v>
      </c>
      <c r="I46" s="63" t="n">
        <f aca="false">IF(H46="","",G46-H46)</f>
        <v>70</v>
      </c>
      <c r="J46" s="52" t="n">
        <f aca="false">IF(OR(D46="",D46+G46=0),"",D46/(D46+G46))</f>
        <v>0.480600750938673</v>
      </c>
      <c r="K46" s="52" t="n">
        <f aca="false">IF(E46="","",E46/(E46+H46))</f>
        <v>0.487591501517586</v>
      </c>
      <c r="L46" s="64" t="n">
        <f aca="false">IF(OR(K46="",J46=""),"",(J46-K46)*100)</f>
        <v>-0.69907505789128</v>
      </c>
      <c r="M46" s="21"/>
    </row>
    <row r="47" customFormat="false" ht="15" hidden="false" customHeight="false" outlineLevel="0" collapsed="false">
      <c r="A47" s="21" t="s">
        <v>149</v>
      </c>
      <c r="B47" s="21" t="s">
        <v>172</v>
      </c>
      <c r="C47" s="21" t="s">
        <v>122</v>
      </c>
      <c r="D47" s="37" t="n">
        <v>1303</v>
      </c>
      <c r="E47" s="37" t="n">
        <v>1266</v>
      </c>
      <c r="F47" s="63" t="n">
        <f aca="false">IF(E47="","",D47-E47)</f>
        <v>37</v>
      </c>
      <c r="G47" s="37" t="n">
        <v>2630</v>
      </c>
      <c r="H47" s="37" t="n">
        <v>2669</v>
      </c>
      <c r="I47" s="63" t="n">
        <f aca="false">IF(H47="","",G47-H47)</f>
        <v>-39</v>
      </c>
      <c r="J47" s="52" t="n">
        <f aca="false">IF(OR(D47="",D47+G47=0),"",D47/(D47+G47))</f>
        <v>0.331299262649377</v>
      </c>
      <c r="K47" s="52" t="n">
        <f aca="false">IF(E47="","",E47/(E47+H47))</f>
        <v>0.321728081321474</v>
      </c>
      <c r="L47" s="64" t="n">
        <f aca="false">IF(OR(K47="",J47=""),"",(J47-K47)*100)</f>
        <v>0.957118132790313</v>
      </c>
      <c r="M47" s="21"/>
    </row>
    <row r="48" customFormat="false" ht="15" hidden="false" customHeight="false" outlineLevel="0" collapsed="false">
      <c r="A48" s="21" t="s">
        <v>149</v>
      </c>
      <c r="B48" s="21" t="s">
        <v>173</v>
      </c>
      <c r="C48" s="21" t="s">
        <v>122</v>
      </c>
      <c r="D48" s="37" t="n">
        <v>1166</v>
      </c>
      <c r="E48" s="37" t="n">
        <v>1172</v>
      </c>
      <c r="F48" s="63" t="n">
        <f aca="false">IF(E48="","",D48-E48)</f>
        <v>-6</v>
      </c>
      <c r="G48" s="37" t="n">
        <v>2212</v>
      </c>
      <c r="H48" s="37" t="n">
        <v>2201</v>
      </c>
      <c r="I48" s="63" t="n">
        <f aca="false">IF(H48="","",G48-H48)</f>
        <v>11</v>
      </c>
      <c r="J48" s="52" t="n">
        <f aca="false">IF(OR(D48="",D48+G48=0),"",D48/(D48+G48))</f>
        <v>0.345174659561871</v>
      </c>
      <c r="K48" s="52" t="n">
        <f aca="false">IF(E48="","",E48/(E48+H48))</f>
        <v>0.347465164541951</v>
      </c>
      <c r="L48" s="64" t="n">
        <f aca="false">IF(OR(K48="",J48=""),"",(J48-K48)*100)</f>
        <v>-0.229050498007988</v>
      </c>
      <c r="M48" s="21"/>
    </row>
    <row r="49" customFormat="false" ht="15" hidden="false" customHeight="false" outlineLevel="0" collapsed="false">
      <c r="A49" s="21" t="s">
        <v>149</v>
      </c>
      <c r="B49" s="21" t="s">
        <v>174</v>
      </c>
      <c r="C49" s="21" t="s">
        <v>122</v>
      </c>
      <c r="D49" s="37" t="n">
        <v>7313</v>
      </c>
      <c r="E49" s="37" t="n">
        <v>7383</v>
      </c>
      <c r="F49" s="63" t="n">
        <f aca="false">IF(E49="","",D49-E49)</f>
        <v>-70</v>
      </c>
      <c r="G49" s="37" t="n">
        <v>7167</v>
      </c>
      <c r="H49" s="37" t="n">
        <v>7036</v>
      </c>
      <c r="I49" s="63" t="n">
        <f aca="false">IF(H49="","",G49-H49)</f>
        <v>131</v>
      </c>
      <c r="J49" s="52" t="n">
        <f aca="false">IF(OR(D49="",D49+G49=0),"",D49/(D49+G49))</f>
        <v>0.505041436464088</v>
      </c>
      <c r="K49" s="52" t="n">
        <f aca="false">IF(E49="","",E49/(E49+H49))</f>
        <v>0.51203273458631</v>
      </c>
      <c r="L49" s="64" t="n">
        <f aca="false">IF(OR(K49="",J49=""),"",(J49-K49)*100)</f>
        <v>-0.699129812222132</v>
      </c>
      <c r="M49" s="21"/>
    </row>
    <row r="50" customFormat="false" ht="15" hidden="false" customHeight="false" outlineLevel="0" collapsed="false">
      <c r="A50" s="21" t="s">
        <v>175</v>
      </c>
      <c r="B50" s="21" t="s">
        <v>176</v>
      </c>
      <c r="C50" s="21" t="s">
        <v>122</v>
      </c>
      <c r="D50" s="37" t="n">
        <v>475</v>
      </c>
      <c r="E50" s="37" t="n">
        <v>471</v>
      </c>
      <c r="F50" s="63" t="n">
        <f aca="false">IF(E50="","",D50-E50)</f>
        <v>4</v>
      </c>
      <c r="G50" s="37" t="n">
        <v>1069</v>
      </c>
      <c r="H50" s="37" t="n">
        <v>1124</v>
      </c>
      <c r="I50" s="63" t="n">
        <f aca="false">IF(H50="","",G50-H50)</f>
        <v>-55</v>
      </c>
      <c r="J50" s="52" t="n">
        <f aca="false">IF(OR(D50="",D50+G50=0),"",D50/(D50+G50))</f>
        <v>0.307642487046632</v>
      </c>
      <c r="K50" s="52" t="n">
        <f aca="false">IF(E50="","",E50/(E50+H50))</f>
        <v>0.295297805642633</v>
      </c>
      <c r="L50" s="64" t="n">
        <f aca="false">IF(OR(K50="",J50=""),"",(J50-K50)*100)</f>
        <v>1.23446814039989</v>
      </c>
      <c r="M50" s="21"/>
    </row>
    <row r="51" customFormat="false" ht="15" hidden="false" customHeight="false" outlineLevel="0" collapsed="false">
      <c r="A51" s="21" t="s">
        <v>175</v>
      </c>
      <c r="B51" s="21" t="s">
        <v>177</v>
      </c>
      <c r="C51" s="21" t="s">
        <v>122</v>
      </c>
      <c r="D51" s="37" t="n">
        <v>1348</v>
      </c>
      <c r="E51" s="37" t="n">
        <v>1414</v>
      </c>
      <c r="F51" s="63" t="n">
        <f aca="false">IF(E51="","",D51-E51)</f>
        <v>-66</v>
      </c>
      <c r="G51" s="37" t="n">
        <v>2821</v>
      </c>
      <c r="H51" s="37" t="n">
        <v>2894</v>
      </c>
      <c r="I51" s="63" t="n">
        <f aca="false">IF(H51="","",G51-H51)</f>
        <v>-73</v>
      </c>
      <c r="J51" s="52" t="n">
        <f aca="false">IF(OR(D51="",D51+G51=0),"",D51/(D51+G51))</f>
        <v>0.323338930199089</v>
      </c>
      <c r="K51" s="52" t="n">
        <f aca="false">IF(E51="","",E51/(E51+H51))</f>
        <v>0.328226555246054</v>
      </c>
      <c r="L51" s="64" t="n">
        <f aca="false">IF(OR(K51="",J51=""),"",(J51-K51)*100)</f>
        <v>-0.488762504696538</v>
      </c>
      <c r="M51" s="21"/>
    </row>
    <row r="52" customFormat="false" ht="15" hidden="false" customHeight="false" outlineLevel="0" collapsed="false">
      <c r="A52" s="21" t="s">
        <v>175</v>
      </c>
      <c r="B52" s="21" t="s">
        <v>178</v>
      </c>
      <c r="C52" s="21" t="s">
        <v>122</v>
      </c>
      <c r="D52" s="37" t="n">
        <v>1007</v>
      </c>
      <c r="E52" s="37" t="n">
        <v>521</v>
      </c>
      <c r="F52" s="63" t="n">
        <f aca="false">IF(E52="","",D52-E52)</f>
        <v>486</v>
      </c>
      <c r="G52" s="37" t="n">
        <v>1913</v>
      </c>
      <c r="H52" s="37" t="n">
        <v>997</v>
      </c>
      <c r="I52" s="63" t="n">
        <f aca="false">IF(H52="","",G52-H52)</f>
        <v>916</v>
      </c>
      <c r="J52" s="52" t="n">
        <f aca="false">IF(OR(D52="",D52+G52=0),"",D52/(D52+G52))</f>
        <v>0.34486301369863</v>
      </c>
      <c r="K52" s="52" t="n">
        <f aca="false">IF(E52="","",E52/(E52+H52))</f>
        <v>0.343214756258235</v>
      </c>
      <c r="L52" s="64" t="n">
        <f aca="false">IF(OR(K52="",J52=""),"",(J52-K52)*100)</f>
        <v>0.164825744039565</v>
      </c>
      <c r="M52" s="21"/>
    </row>
    <row r="53" customFormat="false" ht="15" hidden="false" customHeight="false" outlineLevel="0" collapsed="false">
      <c r="A53" s="21" t="s">
        <v>179</v>
      </c>
      <c r="B53" s="21" t="s">
        <v>180</v>
      </c>
      <c r="C53" s="21" t="s">
        <v>122</v>
      </c>
      <c r="D53" s="37" t="n">
        <v>1518</v>
      </c>
      <c r="E53" s="37" t="n">
        <v>1511</v>
      </c>
      <c r="F53" s="63" t="n">
        <f aca="false">IF(E53="","",D53-E53)</f>
        <v>7</v>
      </c>
      <c r="G53" s="37" t="n">
        <v>1946</v>
      </c>
      <c r="H53" s="37" t="n">
        <v>2018</v>
      </c>
      <c r="I53" s="63" t="n">
        <f aca="false">IF(H53="","",G53-H53)</f>
        <v>-72</v>
      </c>
      <c r="J53" s="52" t="n">
        <f aca="false">IF(OR(D53="",D53+G53=0),"",D53/(D53+G53))</f>
        <v>0.438221709006928</v>
      </c>
      <c r="K53" s="52" t="n">
        <f aca="false">IF(E53="","",E53/(E53+H53))</f>
        <v>0.428166619438935</v>
      </c>
      <c r="L53" s="64" t="n">
        <f aca="false">IF(OR(K53="",J53=""),"",(J53-K53)*100)</f>
        <v>1.00550895679939</v>
      </c>
      <c r="M53" s="21"/>
    </row>
    <row r="54" customFormat="false" ht="15" hidden="false" customHeight="false" outlineLevel="0" collapsed="false">
      <c r="A54" s="21" t="s">
        <v>179</v>
      </c>
      <c r="B54" s="21" t="s">
        <v>181</v>
      </c>
      <c r="C54" s="21" t="s">
        <v>122</v>
      </c>
      <c r="D54" s="37" t="n">
        <v>973</v>
      </c>
      <c r="E54" s="37" t="n">
        <v>959</v>
      </c>
      <c r="F54" s="63" t="n">
        <f aca="false">IF(E54="","",D54-E54)</f>
        <v>14</v>
      </c>
      <c r="G54" s="37" t="n">
        <v>1338</v>
      </c>
      <c r="H54" s="37" t="n">
        <v>1364</v>
      </c>
      <c r="I54" s="63" t="n">
        <f aca="false">IF(H54="","",G54-H54)</f>
        <v>-26</v>
      </c>
      <c r="J54" s="52" t="n">
        <f aca="false">IF(OR(D54="",D54+G54=0),"",D54/(D54+G54))</f>
        <v>0.421029857204673</v>
      </c>
      <c r="K54" s="52" t="n">
        <f aca="false">IF(E54="","",E54/(E54+H54))</f>
        <v>0.412828239345674</v>
      </c>
      <c r="L54" s="64" t="n">
        <f aca="false">IF(OR(K54="",J54=""),"",(J54-K54)*100)</f>
        <v>0.820161785899959</v>
      </c>
      <c r="M54" s="21"/>
    </row>
    <row r="55" customFormat="false" ht="15" hidden="false" customHeight="false" outlineLevel="0" collapsed="false">
      <c r="A55" s="21" t="s">
        <v>179</v>
      </c>
      <c r="B55" s="21" t="s">
        <v>182</v>
      </c>
      <c r="C55" s="21" t="s">
        <v>122</v>
      </c>
      <c r="D55" s="37" t="n">
        <v>625</v>
      </c>
      <c r="E55" s="37" t="n">
        <v>623</v>
      </c>
      <c r="F55" s="63" t="n">
        <f aca="false">IF(E55="","",D55-E55)</f>
        <v>2</v>
      </c>
      <c r="G55" s="37" t="n">
        <v>745</v>
      </c>
      <c r="H55" s="37" t="n">
        <v>726</v>
      </c>
      <c r="I55" s="63" t="n">
        <f aca="false">IF(H55="","",G55-H55)</f>
        <v>19</v>
      </c>
      <c r="J55" s="52" t="n">
        <f aca="false">IF(OR(D55="",D55+G55=0),"",D55/(D55+G55))</f>
        <v>0.456204379562044</v>
      </c>
      <c r="K55" s="52" t="n">
        <f aca="false">IF(E55="","",E55/(E55+H55))</f>
        <v>0.46182357301705</v>
      </c>
      <c r="L55" s="64" t="n">
        <f aca="false">IF(OR(K55="",J55=""),"",(J55-K55)*100)</f>
        <v>-0.561919345500589</v>
      </c>
      <c r="M55" s="21"/>
    </row>
    <row r="56" customFormat="false" ht="15" hidden="false" customHeight="false" outlineLevel="0" collapsed="false">
      <c r="A56" s="21" t="s">
        <v>179</v>
      </c>
      <c r="B56" s="21" t="s">
        <v>152</v>
      </c>
      <c r="C56" s="21" t="s">
        <v>122</v>
      </c>
      <c r="D56" s="37" t="n">
        <v>16723</v>
      </c>
      <c r="E56" s="37" t="n">
        <v>17416</v>
      </c>
      <c r="F56" s="63" t="n">
        <f aca="false">IF(E56="","",D56-E56)</f>
        <v>-693</v>
      </c>
      <c r="G56" s="37" t="n">
        <v>8860</v>
      </c>
      <c r="H56" s="37" t="n">
        <v>8640</v>
      </c>
      <c r="I56" s="63" t="n">
        <f aca="false">IF(H56="","",G56-H56)</f>
        <v>220</v>
      </c>
      <c r="J56" s="52" t="n">
        <f aca="false">IF(OR(D56="",D56+G56=0),"",D56/(D56+G56))</f>
        <v>0.653676269397647</v>
      </c>
      <c r="K56" s="52" t="n">
        <f aca="false">IF(E56="","",E56/(E56+H56))</f>
        <v>0.668406509057415</v>
      </c>
      <c r="L56" s="64" t="n">
        <f aca="false">IF(OR(K56="",J56=""),"",(J56-K56)*100)</f>
        <v>-1.47302396597679</v>
      </c>
      <c r="M56" s="21"/>
    </row>
    <row r="57" customFormat="false" ht="15" hidden="false" customHeight="false" outlineLevel="0" collapsed="false">
      <c r="A57" s="21" t="s">
        <v>179</v>
      </c>
      <c r="B57" s="21" t="s">
        <v>183</v>
      </c>
      <c r="C57" s="21" t="s">
        <v>122</v>
      </c>
      <c r="D57" s="37" t="n">
        <v>8130</v>
      </c>
      <c r="E57" s="37" t="n">
        <v>8595</v>
      </c>
      <c r="F57" s="63" t="n">
        <f aca="false">IF(E57="","",D57-E57)</f>
        <v>-465</v>
      </c>
      <c r="G57" s="37" t="n">
        <v>7803</v>
      </c>
      <c r="H57" s="37" t="n">
        <v>7440</v>
      </c>
      <c r="I57" s="63" t="n">
        <f aca="false">IF(H57="","",G57-H57)</f>
        <v>363</v>
      </c>
      <c r="J57" s="52" t="n">
        <f aca="false">IF(OR(D57="",D57+G57=0),"",D57/(D57+G57))</f>
        <v>0.510261720956505</v>
      </c>
      <c r="K57" s="52" t="n">
        <f aca="false">IF(E57="","",E57/(E57+H57))</f>
        <v>0.536014967259121</v>
      </c>
      <c r="L57" s="64" t="n">
        <f aca="false">IF(OR(K57="",J57=""),"",(J57-K57)*100)</f>
        <v>-2.57532463026153</v>
      </c>
      <c r="M57" s="21"/>
    </row>
    <row r="58" customFormat="false" ht="15" hidden="false" customHeight="false" outlineLevel="0" collapsed="false">
      <c r="A58" s="21" t="s">
        <v>179</v>
      </c>
      <c r="B58" s="21" t="s">
        <v>184</v>
      </c>
      <c r="C58" s="21" t="s">
        <v>122</v>
      </c>
      <c r="D58" s="37" t="n">
        <v>2052</v>
      </c>
      <c r="E58" s="37" t="n">
        <v>2169</v>
      </c>
      <c r="F58" s="63" t="n">
        <f aca="false">IF(E58="","",D58-E58)</f>
        <v>-117</v>
      </c>
      <c r="G58" s="37" t="n">
        <v>3563</v>
      </c>
      <c r="H58" s="37" t="n">
        <v>3459</v>
      </c>
      <c r="I58" s="63" t="n">
        <f aca="false">IF(H58="","",G58-H58)</f>
        <v>104</v>
      </c>
      <c r="J58" s="52" t="n">
        <f aca="false">IF(OR(D58="",D58+G58=0),"",D58/(D58+G58))</f>
        <v>0.365449688334817</v>
      </c>
      <c r="K58" s="52" t="n">
        <f aca="false">IF(E58="","",E58/(E58+H58))</f>
        <v>0.385394456289979</v>
      </c>
      <c r="L58" s="64" t="n">
        <f aca="false">IF(OR(K58="",J58=""),"",(J58-K58)*100)</f>
        <v>-1.99447679551613</v>
      </c>
      <c r="M58" s="21"/>
    </row>
    <row r="59" customFormat="false" ht="15" hidden="false" customHeight="false" outlineLevel="0" collapsed="false">
      <c r="A59" s="21" t="s">
        <v>179</v>
      </c>
      <c r="B59" s="21" t="s">
        <v>185</v>
      </c>
      <c r="C59" s="21" t="s">
        <v>122</v>
      </c>
      <c r="D59" s="37" t="n">
        <v>42</v>
      </c>
      <c r="E59" s="37" t="n">
        <v>40</v>
      </c>
      <c r="F59" s="63" t="n">
        <f aca="false">IF(E59="","",D59-E59)</f>
        <v>2</v>
      </c>
      <c r="G59" s="37" t="n">
        <v>79</v>
      </c>
      <c r="H59" s="37" t="n">
        <v>83</v>
      </c>
      <c r="I59" s="63" t="n">
        <f aca="false">IF(H59="","",G59-H59)</f>
        <v>-4</v>
      </c>
      <c r="J59" s="52" t="n">
        <f aca="false">IF(OR(D59="",D59+G59=0),"",D59/(D59+G59))</f>
        <v>0.347107438016529</v>
      </c>
      <c r="K59" s="52" t="n">
        <f aca="false">IF(E59="","",E59/(E59+H59))</f>
        <v>0.32520325203252</v>
      </c>
      <c r="L59" s="64" t="n">
        <f aca="false">IF(OR(K59="",J59=""),"",(J59-K59)*100)</f>
        <v>2.19041859840086</v>
      </c>
      <c r="M59" s="21"/>
    </row>
    <row r="60" customFormat="false" ht="15" hidden="false" customHeight="false" outlineLevel="0" collapsed="false">
      <c r="A60" s="21" t="s">
        <v>179</v>
      </c>
      <c r="B60" s="21" t="s">
        <v>186</v>
      </c>
      <c r="C60" s="21" t="s">
        <v>122</v>
      </c>
      <c r="D60" s="37" t="n">
        <v>1434</v>
      </c>
      <c r="E60" s="37" t="n">
        <v>1484</v>
      </c>
      <c r="F60" s="63" t="n">
        <f aca="false">IF(E60="","",D60-E60)</f>
        <v>-50</v>
      </c>
      <c r="G60" s="37" t="n">
        <v>1935</v>
      </c>
      <c r="H60" s="37" t="n">
        <v>1959</v>
      </c>
      <c r="I60" s="63" t="n">
        <f aca="false">IF(H60="","",G60-H60)</f>
        <v>-24</v>
      </c>
      <c r="J60" s="52" t="n">
        <f aca="false">IF(OR(D60="",D60+G60=0),"",D60/(D60+G60))</f>
        <v>0.425645592163847</v>
      </c>
      <c r="K60" s="52" t="n">
        <f aca="false">IF(E60="","",E60/(E60+H60))</f>
        <v>0.431019459773453</v>
      </c>
      <c r="L60" s="64" t="n">
        <f aca="false">IF(OR(K60="",J60=""),"",(J60-K60)*100)</f>
        <v>-0.537386760960656</v>
      </c>
      <c r="M60" s="21"/>
    </row>
    <row r="61" customFormat="false" ht="15" hidden="false" customHeight="false" outlineLevel="0" collapsed="false">
      <c r="A61" s="21" t="s">
        <v>179</v>
      </c>
      <c r="B61" s="21" t="s">
        <v>187</v>
      </c>
      <c r="C61" s="21" t="s">
        <v>122</v>
      </c>
      <c r="D61" s="37" t="n">
        <v>187</v>
      </c>
      <c r="E61" s="37" t="n">
        <v>217</v>
      </c>
      <c r="F61" s="63" t="n">
        <f aca="false">IF(E61="","",D61-E61)</f>
        <v>-30</v>
      </c>
      <c r="G61" s="37" t="n">
        <v>324</v>
      </c>
      <c r="H61" s="37" t="n">
        <v>309</v>
      </c>
      <c r="I61" s="63" t="n">
        <f aca="false">IF(H61="","",G61-H61)</f>
        <v>15</v>
      </c>
      <c r="J61" s="52" t="n">
        <f aca="false">IF(OR(D61="",D61+G61=0),"",D61/(D61+G61))</f>
        <v>0.365949119373777</v>
      </c>
      <c r="K61" s="52" t="n">
        <f aca="false">IF(E61="","",E61/(E61+H61))</f>
        <v>0.41254752851711</v>
      </c>
      <c r="L61" s="64" t="n">
        <f aca="false">IF(OR(K61="",J61=""),"",(J61-K61)*100)</f>
        <v>-4.65984091433334</v>
      </c>
      <c r="M61" s="21"/>
    </row>
    <row r="62" customFormat="false" ht="15" hidden="false" customHeight="false" outlineLevel="0" collapsed="false">
      <c r="A62" s="21" t="s">
        <v>179</v>
      </c>
      <c r="B62" s="21" t="s">
        <v>188</v>
      </c>
      <c r="C62" s="21" t="s">
        <v>122</v>
      </c>
      <c r="D62" s="37" t="n">
        <v>7085</v>
      </c>
      <c r="E62" s="37" t="n">
        <v>7604</v>
      </c>
      <c r="F62" s="63" t="n">
        <f aca="false">IF(E62="","",D62-E62)</f>
        <v>-519</v>
      </c>
      <c r="G62" s="37" t="n">
        <v>3457</v>
      </c>
      <c r="H62" s="37" t="n">
        <v>3303</v>
      </c>
      <c r="I62" s="63" t="n">
        <f aca="false">IF(H62="","",G62-H62)</f>
        <v>154</v>
      </c>
      <c r="J62" s="52" t="n">
        <f aca="false">IF(OR(D62="",D62+G62=0),"",D62/(D62+G62))</f>
        <v>0.672073610320622</v>
      </c>
      <c r="K62" s="52" t="n">
        <f aca="false">IF(E62="","",E62/(E62+H62))</f>
        <v>0.697166957000092</v>
      </c>
      <c r="L62" s="64" t="n">
        <f aca="false">IF(OR(K62="",J62=""),"",(J62-K62)*100)</f>
        <v>-2.50933466794694</v>
      </c>
      <c r="M62" s="21"/>
    </row>
    <row r="63" customFormat="false" ht="15" hidden="false" customHeight="false" outlineLevel="0" collapsed="false">
      <c r="A63" s="21" t="s">
        <v>179</v>
      </c>
      <c r="B63" s="21" t="s">
        <v>189</v>
      </c>
      <c r="C63" s="21" t="s">
        <v>122</v>
      </c>
      <c r="D63" s="37" t="n">
        <v>5239</v>
      </c>
      <c r="E63" s="37" t="n">
        <v>5358</v>
      </c>
      <c r="F63" s="63" t="n">
        <f aca="false">IF(E63="","",D63-E63)</f>
        <v>-119</v>
      </c>
      <c r="G63" s="37" t="n">
        <v>5040</v>
      </c>
      <c r="H63" s="37" t="n">
        <v>5027</v>
      </c>
      <c r="I63" s="63" t="n">
        <f aca="false">IF(H63="","",G63-H63)</f>
        <v>13</v>
      </c>
      <c r="J63" s="52" t="n">
        <f aca="false">IF(OR(D63="",D63+G63=0),"",D63/(D63+G63))</f>
        <v>0.509679929954276</v>
      </c>
      <c r="K63" s="52" t="n">
        <f aca="false">IF(E63="","",E63/(E63+H63))</f>
        <v>0.515936446798267</v>
      </c>
      <c r="L63" s="64" t="n">
        <f aca="false">IF(OR(K63="",J63=""),"",(J63-K63)*100)</f>
        <v>-0.625651684399109</v>
      </c>
      <c r="M63" s="21"/>
    </row>
    <row r="64" customFormat="false" ht="15" hidden="false" customHeight="false" outlineLevel="0" collapsed="false">
      <c r="A64" s="21" t="s">
        <v>179</v>
      </c>
      <c r="B64" s="21" t="s">
        <v>190</v>
      </c>
      <c r="C64" s="21" t="s">
        <v>122</v>
      </c>
      <c r="D64" s="37" t="n">
        <v>727</v>
      </c>
      <c r="E64" s="37" t="n">
        <v>714</v>
      </c>
      <c r="F64" s="63" t="n">
        <f aca="false">IF(E64="","",D64-E64)</f>
        <v>13</v>
      </c>
      <c r="G64" s="37" t="n">
        <v>538</v>
      </c>
      <c r="H64" s="37" t="n">
        <v>484</v>
      </c>
      <c r="I64" s="63" t="n">
        <f aca="false">IF(H64="","",G64-H64)</f>
        <v>54</v>
      </c>
      <c r="J64" s="52" t="n">
        <f aca="false">IF(OR(D64="",D64+G64=0),"",D64/(D64+G64))</f>
        <v>0.574703557312253</v>
      </c>
      <c r="K64" s="52" t="n">
        <f aca="false">IF(E64="","",E64/(E64+H64))</f>
        <v>0.595993322203673</v>
      </c>
      <c r="L64" s="64" t="n">
        <f aca="false">IF(OR(K64="",J64=""),"",(J64-K64)*100)</f>
        <v>-2.12897648914198</v>
      </c>
      <c r="M64" s="21"/>
    </row>
    <row r="65" customFormat="false" ht="15" hidden="false" customHeight="false" outlineLevel="0" collapsed="false">
      <c r="A65" s="21" t="s">
        <v>179</v>
      </c>
      <c r="B65" s="21" t="s">
        <v>191</v>
      </c>
      <c r="C65" s="21" t="s">
        <v>122</v>
      </c>
      <c r="D65" s="37" t="n">
        <v>102</v>
      </c>
      <c r="E65" s="37" t="n">
        <v>109</v>
      </c>
      <c r="F65" s="63" t="n">
        <f aca="false">IF(E65="","",D65-E65)</f>
        <v>-7</v>
      </c>
      <c r="G65" s="37" t="n">
        <v>103</v>
      </c>
      <c r="H65" s="37" t="n">
        <v>97</v>
      </c>
      <c r="I65" s="63" t="n">
        <f aca="false">IF(H65="","",G65-H65)</f>
        <v>6</v>
      </c>
      <c r="J65" s="52" t="n">
        <f aca="false">IF(OR(D65="",D65+G65=0),"",D65/(D65+G65))</f>
        <v>0.497560975609756</v>
      </c>
      <c r="K65" s="52" t="n">
        <f aca="false">IF(E65="","",E65/(E65+H65))</f>
        <v>0.529126213592233</v>
      </c>
      <c r="L65" s="64" t="n">
        <f aca="false">IF(OR(K65="",J65=""),"",(J65-K65)*100)</f>
        <v>-3.15652379824769</v>
      </c>
      <c r="M65" s="21"/>
    </row>
    <row r="66" customFormat="false" ht="15" hidden="false" customHeight="false" outlineLevel="0" collapsed="false">
      <c r="A66" s="21" t="s">
        <v>179</v>
      </c>
      <c r="B66" s="21" t="s">
        <v>158</v>
      </c>
      <c r="C66" s="21" t="s">
        <v>122</v>
      </c>
      <c r="D66" s="37" t="n">
        <v>4114</v>
      </c>
      <c r="E66" s="37" t="n">
        <v>4341</v>
      </c>
      <c r="F66" s="63" t="n">
        <f aca="false">IF(E66="","",D66-E66)</f>
        <v>-227</v>
      </c>
      <c r="G66" s="37" t="n">
        <v>3835</v>
      </c>
      <c r="H66" s="37" t="n">
        <v>3620</v>
      </c>
      <c r="I66" s="63" t="n">
        <f aca="false">IF(H66="","",G66-H66)</f>
        <v>215</v>
      </c>
      <c r="J66" s="52" t="n">
        <f aca="false">IF(OR(D66="",D66+G66=0),"",D66/(D66+G66))</f>
        <v>0.517549377280161</v>
      </c>
      <c r="K66" s="52" t="n">
        <f aca="false">IF(E66="","",E66/(E66+H66))</f>
        <v>0.545283255872378</v>
      </c>
      <c r="L66" s="64" t="n">
        <f aca="false">IF(OR(K66="",J66=""),"",(J66-K66)*100)</f>
        <v>-2.77338785922168</v>
      </c>
      <c r="M66" s="21"/>
    </row>
    <row r="67" customFormat="false" ht="15" hidden="false" customHeight="false" outlineLevel="0" collapsed="false">
      <c r="A67" s="21" t="s">
        <v>179</v>
      </c>
      <c r="B67" s="21" t="s">
        <v>192</v>
      </c>
      <c r="C67" s="21" t="s">
        <v>122</v>
      </c>
      <c r="D67" s="37" t="n">
        <v>1700</v>
      </c>
      <c r="E67" s="37" t="n">
        <v>1726</v>
      </c>
      <c r="F67" s="63" t="n">
        <f aca="false">IF(E67="","",D67-E67)</f>
        <v>-26</v>
      </c>
      <c r="G67" s="37" t="n">
        <v>1659</v>
      </c>
      <c r="H67" s="37" t="n">
        <v>1685</v>
      </c>
      <c r="I67" s="63" t="n">
        <f aca="false">IF(H67="","",G67-H67)</f>
        <v>-26</v>
      </c>
      <c r="J67" s="52" t="n">
        <f aca="false">IF(OR(D67="",D67+G67=0),"",D67/(D67+G67))</f>
        <v>0.506103006847276</v>
      </c>
      <c r="K67" s="52" t="n">
        <f aca="false">IF(E67="","",E67/(E67+H67))</f>
        <v>0.506009967751393</v>
      </c>
      <c r="L67" s="64" t="n">
        <f aca="false">IF(OR(K67="",J67=""),"",(J67-K67)*100)</f>
        <v>0.00930390958834293</v>
      </c>
      <c r="M67" s="21"/>
    </row>
    <row r="68" customFormat="false" ht="15" hidden="false" customHeight="false" outlineLevel="0" collapsed="false">
      <c r="A68" s="21" t="s">
        <v>179</v>
      </c>
      <c r="B68" s="21" t="s">
        <v>193</v>
      </c>
      <c r="C68" s="21" t="s">
        <v>122</v>
      </c>
      <c r="D68" s="37" t="n">
        <v>2219</v>
      </c>
      <c r="E68" s="37" t="n">
        <v>2244</v>
      </c>
      <c r="F68" s="63" t="n">
        <f aca="false">IF(E68="","",D68-E68)</f>
        <v>-25</v>
      </c>
      <c r="G68" s="37" t="n">
        <v>4430</v>
      </c>
      <c r="H68" s="37" t="n">
        <v>4439</v>
      </c>
      <c r="I68" s="63" t="n">
        <f aca="false">IF(H68="","",G68-H68)</f>
        <v>-9</v>
      </c>
      <c r="J68" s="52" t="n">
        <f aca="false">IF(OR(D68="",D68+G68=0),"",D68/(D68+G68))</f>
        <v>0.333734396149797</v>
      </c>
      <c r="K68" s="52" t="n">
        <f aca="false">IF(E68="","",E68/(E68+H68))</f>
        <v>0.335777345503516</v>
      </c>
      <c r="L68" s="64" t="n">
        <f aca="false">IF(OR(K68="",J68=""),"",(J68-K68)*100)</f>
        <v>-0.204294935371946</v>
      </c>
      <c r="M68" s="21"/>
    </row>
    <row r="69" customFormat="false" ht="15" hidden="false" customHeight="false" outlineLevel="0" collapsed="false">
      <c r="A69" s="21" t="s">
        <v>179</v>
      </c>
      <c r="B69" s="21" t="s">
        <v>194</v>
      </c>
      <c r="C69" s="21" t="s">
        <v>122</v>
      </c>
      <c r="D69" s="37" t="n">
        <v>604</v>
      </c>
      <c r="E69" s="37" t="n">
        <v>625</v>
      </c>
      <c r="F69" s="63" t="n">
        <f aca="false">IF(E69="","",D69-E69)</f>
        <v>-21</v>
      </c>
      <c r="G69" s="37" t="n">
        <v>1169</v>
      </c>
      <c r="H69" s="37" t="n">
        <v>1214</v>
      </c>
      <c r="I69" s="63" t="n">
        <f aca="false">IF(H69="","",G69-H69)</f>
        <v>-45</v>
      </c>
      <c r="J69" s="52" t="n">
        <f aca="false">IF(OR(D69="",D69+G69=0),"",D69/(D69+G69))</f>
        <v>0.340665538635082</v>
      </c>
      <c r="K69" s="52" t="n">
        <f aca="false">IF(E69="","",E69/(E69+H69))</f>
        <v>0.339858618814573</v>
      </c>
      <c r="L69" s="64" t="n">
        <f aca="false">IF(OR(K69="",J69=""),"",(J69-K69)*100)</f>
        <v>0.0806919820508623</v>
      </c>
      <c r="M69" s="21"/>
    </row>
    <row r="70" customFormat="false" ht="15" hidden="false" customHeight="false" outlineLevel="0" collapsed="false">
      <c r="A70" s="21" t="s">
        <v>179</v>
      </c>
      <c r="B70" s="21" t="s">
        <v>195</v>
      </c>
      <c r="C70" s="21" t="s">
        <v>122</v>
      </c>
      <c r="D70" s="37" t="n">
        <v>1935</v>
      </c>
      <c r="E70" s="37" t="n">
        <v>2047</v>
      </c>
      <c r="F70" s="63" t="n">
        <f aca="false">IF(E70="","",D70-E70)</f>
        <v>-112</v>
      </c>
      <c r="G70" s="37" t="n">
        <v>2620</v>
      </c>
      <c r="H70" s="37" t="n">
        <v>2499</v>
      </c>
      <c r="I70" s="63" t="n">
        <f aca="false">IF(H70="","",G70-H70)</f>
        <v>121</v>
      </c>
      <c r="J70" s="52" t="n">
        <f aca="false">IF(OR(D70="",D70+G70=0),"",D70/(D70+G70))</f>
        <v>0.424807903402854</v>
      </c>
      <c r="K70" s="52" t="n">
        <f aca="false">IF(E70="","",E70/(E70+H70))</f>
        <v>0.450285965684118</v>
      </c>
      <c r="L70" s="64" t="n">
        <f aca="false">IF(OR(K70="",J70=""),"",(J70-K70)*100)</f>
        <v>-2.54780622812639</v>
      </c>
      <c r="M70" s="21"/>
    </row>
    <row r="71" customFormat="false" ht="15" hidden="false" customHeight="false" outlineLevel="0" collapsed="false">
      <c r="A71" s="21" t="s">
        <v>179</v>
      </c>
      <c r="B71" s="21" t="s">
        <v>196</v>
      </c>
      <c r="C71" s="21" t="s">
        <v>122</v>
      </c>
      <c r="D71" s="37" t="n">
        <v>3473</v>
      </c>
      <c r="E71" s="37" t="n">
        <v>3457</v>
      </c>
      <c r="F71" s="63" t="n">
        <f aca="false">IF(E71="","",D71-E71)</f>
        <v>16</v>
      </c>
      <c r="G71" s="37" t="n">
        <v>3766</v>
      </c>
      <c r="H71" s="37" t="n">
        <v>3805</v>
      </c>
      <c r="I71" s="63" t="n">
        <f aca="false">IF(H71="","",G71-H71)</f>
        <v>-39</v>
      </c>
      <c r="J71" s="52" t="n">
        <f aca="false">IF(OR(D71="",D71+G71=0),"",D71/(D71+G71))</f>
        <v>0.479762398121287</v>
      </c>
      <c r="K71" s="52" t="n">
        <f aca="false">IF(E71="","",E71/(E71+H71))</f>
        <v>0.476039658496282</v>
      </c>
      <c r="L71" s="64" t="n">
        <f aca="false">IF(OR(K71="",J71=""),"",(J71-K71)*100)</f>
        <v>0.372273962500547</v>
      </c>
      <c r="M71" s="21"/>
    </row>
    <row r="72" customFormat="false" ht="15" hidden="false" customHeight="false" outlineLevel="0" collapsed="false">
      <c r="A72" s="21" t="s">
        <v>179</v>
      </c>
      <c r="B72" s="21" t="s">
        <v>197</v>
      </c>
      <c r="C72" s="21" t="s">
        <v>122</v>
      </c>
      <c r="D72" s="37" t="n">
        <v>1958</v>
      </c>
      <c r="E72" s="37" t="n">
        <v>2006</v>
      </c>
      <c r="F72" s="63" t="n">
        <f aca="false">IF(E72="","",D72-E72)</f>
        <v>-48</v>
      </c>
      <c r="G72" s="37" t="n">
        <v>3989</v>
      </c>
      <c r="H72" s="37" t="n">
        <v>4057</v>
      </c>
      <c r="I72" s="63" t="n">
        <f aca="false">IF(H72="","",G72-H72)</f>
        <v>-68</v>
      </c>
      <c r="J72" s="52" t="n">
        <f aca="false">IF(OR(D72="",D72+G72=0),"",D72/(D72+G72))</f>
        <v>0.329241634437532</v>
      </c>
      <c r="K72" s="52" t="n">
        <f aca="false">IF(E72="","",E72/(E72+H72))</f>
        <v>0.330859310572324</v>
      </c>
      <c r="L72" s="64" t="n">
        <f aca="false">IF(OR(K72="",J72=""),"",(J72-K72)*100)</f>
        <v>-0.161767613479241</v>
      </c>
      <c r="M72" s="21"/>
    </row>
    <row r="73" customFormat="false" ht="15" hidden="false" customHeight="false" outlineLevel="0" collapsed="false">
      <c r="A73" s="21" t="s">
        <v>179</v>
      </c>
      <c r="B73" s="21" t="s">
        <v>198</v>
      </c>
      <c r="C73" s="21" t="s">
        <v>122</v>
      </c>
      <c r="D73" s="37" t="n">
        <v>1537</v>
      </c>
      <c r="E73" s="37" t="n">
        <v>1596</v>
      </c>
      <c r="F73" s="63" t="n">
        <f aca="false">IF(E73="","",D73-E73)</f>
        <v>-59</v>
      </c>
      <c r="G73" s="37" t="n">
        <v>1630</v>
      </c>
      <c r="H73" s="37" t="n">
        <v>1664</v>
      </c>
      <c r="I73" s="63" t="n">
        <f aca="false">IF(H73="","",G73-H73)</f>
        <v>-34</v>
      </c>
      <c r="J73" s="52" t="n">
        <f aca="false">IF(OR(D73="",D73+G73=0),"",D73/(D73+G73))</f>
        <v>0.485317335017367</v>
      </c>
      <c r="K73" s="52" t="n">
        <f aca="false">IF(E73="","",E73/(E73+H73))</f>
        <v>0.489570552147239</v>
      </c>
      <c r="L73" s="64" t="n">
        <f aca="false">IF(OR(K73="",J73=""),"",(J73-K73)*100)</f>
        <v>-0.42532171298727</v>
      </c>
      <c r="M73" s="21"/>
    </row>
    <row r="74" customFormat="false" ht="15" hidden="false" customHeight="false" outlineLevel="0" collapsed="false">
      <c r="A74" s="21" t="s">
        <v>179</v>
      </c>
      <c r="B74" s="21" t="s">
        <v>199</v>
      </c>
      <c r="C74" s="21" t="s">
        <v>122</v>
      </c>
      <c r="D74" s="37" t="n">
        <v>855</v>
      </c>
      <c r="E74" s="37" t="n">
        <v>847</v>
      </c>
      <c r="F74" s="63" t="n">
        <f aca="false">IF(E74="","",D74-E74)</f>
        <v>8</v>
      </c>
      <c r="G74" s="37" t="n">
        <v>920</v>
      </c>
      <c r="H74" s="37" t="n">
        <v>889</v>
      </c>
      <c r="I74" s="63" t="n">
        <f aca="false">IF(H74="","",G74-H74)</f>
        <v>31</v>
      </c>
      <c r="J74" s="52" t="n">
        <f aca="false">IF(OR(D74="",D74+G74=0),"",D74/(D74+G74))</f>
        <v>0.48169014084507</v>
      </c>
      <c r="K74" s="52" t="n">
        <f aca="false">IF(E74="","",E74/(E74+H74))</f>
        <v>0.487903225806452</v>
      </c>
      <c r="L74" s="64" t="n">
        <f aca="false">IF(OR(K74="",J74=""),"",(J74-K74)*100)</f>
        <v>-0.621308496138118</v>
      </c>
      <c r="M74" s="21"/>
    </row>
    <row r="75" customFormat="false" ht="15" hidden="false" customHeight="false" outlineLevel="0" collapsed="false">
      <c r="A75" s="21" t="s">
        <v>179</v>
      </c>
      <c r="B75" s="21" t="s">
        <v>200</v>
      </c>
      <c r="C75" s="21" t="s">
        <v>122</v>
      </c>
      <c r="D75" s="37" t="n">
        <v>2704</v>
      </c>
      <c r="E75" s="37" t="n">
        <v>2573</v>
      </c>
      <c r="F75" s="63" t="n">
        <f aca="false">IF(E75="","",D75-E75)</f>
        <v>131</v>
      </c>
      <c r="G75" s="37" t="n">
        <v>3000</v>
      </c>
      <c r="H75" s="37" t="n">
        <v>3023</v>
      </c>
      <c r="I75" s="63" t="n">
        <f aca="false">IF(H75="","",G75-H75)</f>
        <v>-23</v>
      </c>
      <c r="J75" s="52" t="n">
        <f aca="false">IF(OR(D75="",D75+G75=0),"",D75/(D75+G75))</f>
        <v>0.474053295932679</v>
      </c>
      <c r="K75" s="52" t="n">
        <f aca="false">IF(E75="","",E75/(E75+H75))</f>
        <v>0.459792709077913</v>
      </c>
      <c r="L75" s="64" t="n">
        <f aca="false">IF(OR(K75="",J75=""),"",(J75-K75)*100)</f>
        <v>1.4260586854766</v>
      </c>
      <c r="M75" s="21"/>
    </row>
    <row r="76" customFormat="false" ht="15" hidden="false" customHeight="false" outlineLevel="0" collapsed="false">
      <c r="A76" s="21" t="s">
        <v>179</v>
      </c>
      <c r="B76" s="21" t="s">
        <v>201</v>
      </c>
      <c r="C76" s="21" t="s">
        <v>122</v>
      </c>
      <c r="D76" s="37" t="n">
        <v>6964</v>
      </c>
      <c r="E76" s="37" t="n">
        <v>6974</v>
      </c>
      <c r="F76" s="63" t="n">
        <f aca="false">IF(E76="","",D76-E76)</f>
        <v>-10</v>
      </c>
      <c r="G76" s="37" t="n">
        <v>6830</v>
      </c>
      <c r="H76" s="37" t="n">
        <v>6736</v>
      </c>
      <c r="I76" s="63" t="n">
        <f aca="false">IF(H76="","",G76-H76)</f>
        <v>94</v>
      </c>
      <c r="J76" s="52" t="n">
        <f aca="false">IF(OR(D76="",D76+G76=0),"",D76/(D76+G76))</f>
        <v>0.504857184283022</v>
      </c>
      <c r="K76" s="52" t="n">
        <f aca="false">IF(E76="","",E76/(E76+H76))</f>
        <v>0.508679795769511</v>
      </c>
      <c r="L76" s="64" t="n">
        <f aca="false">IF(OR(K76="",J76=""),"",(J76-K76)*100)</f>
        <v>-0.382261148648966</v>
      </c>
      <c r="M76" s="21"/>
    </row>
    <row r="77" customFormat="false" ht="15" hidden="false" customHeight="false" outlineLevel="0" collapsed="false">
      <c r="A77" s="21" t="s">
        <v>179</v>
      </c>
      <c r="B77" s="21" t="s">
        <v>202</v>
      </c>
      <c r="C77" s="21" t="s">
        <v>122</v>
      </c>
      <c r="D77" s="37" t="n">
        <v>691</v>
      </c>
      <c r="E77" s="37" t="n">
        <v>703</v>
      </c>
      <c r="F77" s="63" t="n">
        <f aca="false">IF(E77="","",D77-E77)</f>
        <v>-12</v>
      </c>
      <c r="G77" s="37" t="n">
        <v>1154</v>
      </c>
      <c r="H77" s="37" t="n">
        <v>1180</v>
      </c>
      <c r="I77" s="63" t="n">
        <f aca="false">IF(H77="","",G77-H77)</f>
        <v>-26</v>
      </c>
      <c r="J77" s="52" t="n">
        <f aca="false">IF(OR(D77="",D77+G77=0),"",D77/(D77+G77))</f>
        <v>0.374525745257453</v>
      </c>
      <c r="K77" s="52" t="n">
        <f aca="false">IF(E77="","",E77/(E77+H77))</f>
        <v>0.373340414232608</v>
      </c>
      <c r="L77" s="64" t="n">
        <f aca="false">IF(OR(K77="",J77=""),"",(J77-K77)*100)</f>
        <v>0.118533102484503</v>
      </c>
      <c r="M77" s="21"/>
    </row>
    <row r="78" customFormat="false" ht="15" hidden="false" customHeight="false" outlineLevel="0" collapsed="false">
      <c r="A78" s="21" t="s">
        <v>179</v>
      </c>
      <c r="B78" s="21" t="s">
        <v>203</v>
      </c>
      <c r="C78" s="21" t="s">
        <v>122</v>
      </c>
      <c r="D78" s="37" t="n">
        <v>1310</v>
      </c>
      <c r="E78" s="37" t="n">
        <v>1361</v>
      </c>
      <c r="F78" s="63" t="n">
        <f aca="false">IF(E78="","",D78-E78)</f>
        <v>-51</v>
      </c>
      <c r="G78" s="37" t="n">
        <v>2640</v>
      </c>
      <c r="H78" s="37" t="n">
        <v>2561</v>
      </c>
      <c r="I78" s="63" t="n">
        <f aca="false">IF(H78="","",G78-H78)</f>
        <v>79</v>
      </c>
      <c r="J78" s="52" t="n">
        <f aca="false">IF(OR(D78="",D78+G78=0),"",D78/(D78+G78))</f>
        <v>0.331645569620253</v>
      </c>
      <c r="K78" s="52" t="n">
        <f aca="false">IF(E78="","",E78/(E78+H78))</f>
        <v>0.347016828148904</v>
      </c>
      <c r="L78" s="64" t="n">
        <f aca="false">IF(OR(K78="",J78=""),"",(J78-K78)*100)</f>
        <v>-1.53712585286505</v>
      </c>
      <c r="M78" s="21"/>
    </row>
    <row r="79" customFormat="false" ht="15" hidden="false" customHeight="false" outlineLevel="0" collapsed="false">
      <c r="A79" s="21" t="s">
        <v>179</v>
      </c>
      <c r="B79" s="21" t="s">
        <v>204</v>
      </c>
      <c r="C79" s="21" t="s">
        <v>122</v>
      </c>
      <c r="D79" s="37" t="n">
        <v>79</v>
      </c>
      <c r="E79" s="37" t="n">
        <v>92</v>
      </c>
      <c r="F79" s="63" t="n">
        <f aca="false">IF(E79="","",D79-E79)</f>
        <v>-13</v>
      </c>
      <c r="G79" s="37" t="n">
        <v>170</v>
      </c>
      <c r="H79" s="37" t="n">
        <v>167</v>
      </c>
      <c r="I79" s="63" t="n">
        <f aca="false">IF(H79="","",G79-H79)</f>
        <v>3</v>
      </c>
      <c r="J79" s="52" t="n">
        <f aca="false">IF(OR(D79="",D79+G79=0),"",D79/(D79+G79))</f>
        <v>0.317269076305221</v>
      </c>
      <c r="K79" s="52" t="n">
        <f aca="false">IF(E79="","",E79/(E79+H79))</f>
        <v>0.355212355212355</v>
      </c>
      <c r="L79" s="64" t="n">
        <f aca="false">IF(OR(K79="",J79=""),"",(J79-K79)*100)</f>
        <v>-3.79432789071343</v>
      </c>
      <c r="M79" s="21"/>
    </row>
    <row r="80" customFormat="false" ht="15" hidden="false" customHeight="false" outlineLevel="0" collapsed="false">
      <c r="A80" s="21" t="s">
        <v>179</v>
      </c>
      <c r="B80" s="21" t="s">
        <v>205</v>
      </c>
      <c r="C80" s="21" t="s">
        <v>122</v>
      </c>
      <c r="D80" s="37" t="n">
        <v>352</v>
      </c>
      <c r="E80" s="37" t="n">
        <v>335</v>
      </c>
      <c r="F80" s="63" t="n">
        <f aca="false">IF(E80="","",D80-E80)</f>
        <v>17</v>
      </c>
      <c r="G80" s="37" t="n">
        <v>580</v>
      </c>
      <c r="H80" s="37" t="n">
        <v>581</v>
      </c>
      <c r="I80" s="63" t="n">
        <f aca="false">IF(H80="","",G80-H80)</f>
        <v>-1</v>
      </c>
      <c r="J80" s="52" t="n">
        <f aca="false">IF(OR(D80="",D80+G80=0),"",D80/(D80+G80))</f>
        <v>0.377682403433476</v>
      </c>
      <c r="K80" s="52" t="n">
        <f aca="false">IF(E80="","",E80/(E80+H80))</f>
        <v>0.365720524017467</v>
      </c>
      <c r="L80" s="64" t="n">
        <f aca="false">IF(OR(K80="",J80=""),"",(J80-K80)*100)</f>
        <v>1.19618794160092</v>
      </c>
      <c r="M80" s="21"/>
    </row>
    <row r="81" customFormat="false" ht="15" hidden="false" customHeight="false" outlineLevel="0" collapsed="false">
      <c r="A81" s="21" t="s">
        <v>179</v>
      </c>
      <c r="B81" s="21" t="s">
        <v>206</v>
      </c>
      <c r="C81" s="21" t="s">
        <v>122</v>
      </c>
      <c r="D81" s="37" t="n">
        <v>206</v>
      </c>
      <c r="E81" s="37" t="n">
        <v>210</v>
      </c>
      <c r="F81" s="63" t="n">
        <f aca="false">IF(E81="","",D81-E81)</f>
        <v>-4</v>
      </c>
      <c r="G81" s="37" t="n">
        <v>308</v>
      </c>
      <c r="H81" s="37" t="n">
        <v>309</v>
      </c>
      <c r="I81" s="63" t="n">
        <f aca="false">IF(H81="","",G81-H81)</f>
        <v>-1</v>
      </c>
      <c r="J81" s="52" t="n">
        <f aca="false">IF(OR(D81="",D81+G81=0),"",D81/(D81+G81))</f>
        <v>0.400778210116732</v>
      </c>
      <c r="K81" s="52" t="n">
        <f aca="false">IF(E81="","",E81/(E81+H81))</f>
        <v>0.404624277456647</v>
      </c>
      <c r="L81" s="64" t="n">
        <f aca="false">IF(OR(K81="",J81=""),"",(J81-K81)*100)</f>
        <v>-0.384606733991588</v>
      </c>
      <c r="M81" s="21"/>
    </row>
    <row r="82" customFormat="false" ht="15" hidden="false" customHeight="false" outlineLevel="0" collapsed="false">
      <c r="A82" s="21" t="s">
        <v>179</v>
      </c>
      <c r="B82" s="21" t="s">
        <v>207</v>
      </c>
      <c r="C82" s="21" t="s">
        <v>122</v>
      </c>
      <c r="D82" s="37" t="n">
        <v>322</v>
      </c>
      <c r="E82" s="37" t="n">
        <v>331</v>
      </c>
      <c r="F82" s="63" t="n">
        <f aca="false">IF(E82="","",D82-E82)</f>
        <v>-9</v>
      </c>
      <c r="G82" s="37" t="n">
        <v>450</v>
      </c>
      <c r="H82" s="37" t="n">
        <v>458</v>
      </c>
      <c r="I82" s="63" t="n">
        <f aca="false">IF(H82="","",G82-H82)</f>
        <v>-8</v>
      </c>
      <c r="J82" s="52" t="n">
        <f aca="false">IF(OR(D82="",D82+G82=0),"",D82/(D82+G82))</f>
        <v>0.417098445595855</v>
      </c>
      <c r="K82" s="52" t="n">
        <f aca="false">IF(E82="","",E82/(E82+H82))</f>
        <v>0.419518377693283</v>
      </c>
      <c r="L82" s="64" t="n">
        <f aca="false">IF(OR(K82="",J82=""),"",(J82-K82)*100)</f>
        <v>-0.241993209742775</v>
      </c>
      <c r="M82" s="21"/>
    </row>
    <row r="83" customFormat="false" ht="15" hidden="false" customHeight="false" outlineLevel="0" collapsed="false">
      <c r="A83" s="21" t="s">
        <v>179</v>
      </c>
      <c r="B83" s="21" t="s">
        <v>208</v>
      </c>
      <c r="C83" s="21" t="s">
        <v>122</v>
      </c>
      <c r="D83" s="37" t="n">
        <v>1223</v>
      </c>
      <c r="E83" s="37" t="n">
        <v>1242</v>
      </c>
      <c r="F83" s="63" t="n">
        <f aca="false">IF(E83="","",D83-E83)</f>
        <v>-19</v>
      </c>
      <c r="G83" s="37" t="n">
        <v>2635</v>
      </c>
      <c r="H83" s="37" t="n">
        <v>2716</v>
      </c>
      <c r="I83" s="63" t="n">
        <f aca="false">IF(H83="","",G83-H83)</f>
        <v>-81</v>
      </c>
      <c r="J83" s="52" t="n">
        <f aca="false">IF(OR(D83="",D83+G83=0),"",D83/(D83+G83))</f>
        <v>0.317003628823224</v>
      </c>
      <c r="K83" s="52" t="n">
        <f aca="false">IF(E83="","",E83/(E83+H83))</f>
        <v>0.313794845881759</v>
      </c>
      <c r="L83" s="64" t="n">
        <f aca="false">IF(OR(K83="",J83=""),"",(J83-K83)*100)</f>
        <v>0.320878294146598</v>
      </c>
      <c r="M83" s="21"/>
    </row>
    <row r="84" customFormat="false" ht="15" hidden="false" customHeight="false" outlineLevel="0" collapsed="false">
      <c r="A84" s="21" t="s">
        <v>179</v>
      </c>
      <c r="B84" s="21" t="s">
        <v>209</v>
      </c>
      <c r="C84" s="21" t="s">
        <v>122</v>
      </c>
      <c r="D84" s="37" t="n">
        <v>1917</v>
      </c>
      <c r="E84" s="37" t="n">
        <v>1964</v>
      </c>
      <c r="F84" s="63" t="n">
        <f aca="false">IF(E84="","",D84-E84)</f>
        <v>-47</v>
      </c>
      <c r="G84" s="37" t="n">
        <v>2152</v>
      </c>
      <c r="H84" s="37" t="n">
        <v>2147</v>
      </c>
      <c r="I84" s="63" t="n">
        <f aca="false">IF(H84="","",G84-H84)</f>
        <v>5</v>
      </c>
      <c r="J84" s="52" t="n">
        <f aca="false">IF(OR(D84="",D84+G84=0),"",D84/(D84+G84))</f>
        <v>0.471123126075203</v>
      </c>
      <c r="K84" s="52" t="n">
        <f aca="false">IF(E84="","",E84/(E84+H84))</f>
        <v>0.477742641693019</v>
      </c>
      <c r="L84" s="64" t="n">
        <f aca="false">IF(OR(K84="",J84=""),"",(J84-K84)*100)</f>
        <v>-0.661951561781599</v>
      </c>
      <c r="M84" s="21"/>
    </row>
    <row r="85" customFormat="false" ht="15" hidden="false" customHeight="false" outlineLevel="0" collapsed="false">
      <c r="A85" s="21" t="s">
        <v>179</v>
      </c>
      <c r="B85" s="21" t="s">
        <v>210</v>
      </c>
      <c r="C85" s="21" t="s">
        <v>122</v>
      </c>
      <c r="D85" s="37" t="n">
        <v>431</v>
      </c>
      <c r="E85" s="37" t="n">
        <v>416</v>
      </c>
      <c r="F85" s="63" t="n">
        <f aca="false">IF(E85="","",D85-E85)</f>
        <v>15</v>
      </c>
      <c r="G85" s="37" t="n">
        <v>630</v>
      </c>
      <c r="H85" s="37" t="n">
        <v>658</v>
      </c>
      <c r="I85" s="63" t="n">
        <f aca="false">IF(H85="","",G85-H85)</f>
        <v>-28</v>
      </c>
      <c r="J85" s="52" t="n">
        <f aca="false">IF(OR(D85="",D85+G85=0),"",D85/(D85+G85))</f>
        <v>0.4062205466541</v>
      </c>
      <c r="K85" s="52" t="n">
        <f aca="false">IF(E85="","",E85/(E85+H85))</f>
        <v>0.387337057728119</v>
      </c>
      <c r="L85" s="64" t="n">
        <f aca="false">IF(OR(K85="",J85=""),"",(J85-K85)*100)</f>
        <v>1.88834889259807</v>
      </c>
      <c r="M85" s="21"/>
    </row>
    <row r="86" customFormat="false" ht="15" hidden="false" customHeight="false" outlineLevel="0" collapsed="false">
      <c r="A86" s="21" t="s">
        <v>179</v>
      </c>
      <c r="B86" s="21" t="s">
        <v>172</v>
      </c>
      <c r="C86" s="21" t="s">
        <v>122</v>
      </c>
      <c r="D86" s="37" t="n">
        <v>1044</v>
      </c>
      <c r="E86" s="37" t="n">
        <v>1041</v>
      </c>
      <c r="F86" s="63" t="n">
        <f aca="false">IF(E86="","",D86-E86)</f>
        <v>3</v>
      </c>
      <c r="G86" s="37" t="n">
        <v>2032</v>
      </c>
      <c r="H86" s="37" t="n">
        <v>2088</v>
      </c>
      <c r="I86" s="63" t="n">
        <f aca="false">IF(H86="","",G86-H86)</f>
        <v>-56</v>
      </c>
      <c r="J86" s="52" t="n">
        <f aca="false">IF(OR(D86="",D86+G86=0),"",D86/(D86+G86))</f>
        <v>0.339401820546164</v>
      </c>
      <c r="K86" s="52" t="n">
        <f aca="false">IF(E86="","",E86/(E86+H86))</f>
        <v>0.332694151486098</v>
      </c>
      <c r="L86" s="64" t="n">
        <f aca="false">IF(OR(K86="",J86=""),"",(J86-K86)*100)</f>
        <v>0.670766906006604</v>
      </c>
      <c r="M86" s="21"/>
    </row>
    <row r="87" customFormat="false" ht="15" hidden="false" customHeight="false" outlineLevel="0" collapsed="false">
      <c r="A87" s="21" t="s">
        <v>179</v>
      </c>
      <c r="B87" s="21" t="s">
        <v>211</v>
      </c>
      <c r="C87" s="21" t="s">
        <v>122</v>
      </c>
      <c r="D87" s="37" t="n">
        <v>271</v>
      </c>
      <c r="E87" s="37" t="n">
        <v>281</v>
      </c>
      <c r="F87" s="63" t="n">
        <f aca="false">IF(E87="","",D87-E87)</f>
        <v>-10</v>
      </c>
      <c r="G87" s="37" t="n">
        <v>336</v>
      </c>
      <c r="H87" s="37" t="n">
        <v>310</v>
      </c>
      <c r="I87" s="63" t="n">
        <f aca="false">IF(H87="","",G87-H87)</f>
        <v>26</v>
      </c>
      <c r="J87" s="52" t="n">
        <f aca="false">IF(OR(D87="",D87+G87=0),"",D87/(D87+G87))</f>
        <v>0.446457990115321</v>
      </c>
      <c r="K87" s="52" t="n">
        <f aca="false">IF(E87="","",E87/(E87+H87))</f>
        <v>0.475465313028765</v>
      </c>
      <c r="L87" s="64" t="n">
        <f aca="false">IF(OR(K87="",J87=""),"",(J87-K87)*100)</f>
        <v>-2.90073229134435</v>
      </c>
      <c r="M87" s="21"/>
    </row>
    <row r="88" customFormat="false" ht="15" hidden="false" customHeight="false" outlineLevel="0" collapsed="false">
      <c r="A88" s="21" t="s">
        <v>179</v>
      </c>
      <c r="B88" s="21" t="s">
        <v>212</v>
      </c>
      <c r="C88" s="21" t="s">
        <v>122</v>
      </c>
      <c r="D88" s="37" t="n">
        <v>1805</v>
      </c>
      <c r="E88" s="37" t="n">
        <v>1847</v>
      </c>
      <c r="F88" s="63" t="n">
        <f aca="false">IF(E88="","",D88-E88)</f>
        <v>-42</v>
      </c>
      <c r="G88" s="37" t="n">
        <v>2384</v>
      </c>
      <c r="H88" s="37" t="n">
        <v>2401</v>
      </c>
      <c r="I88" s="63" t="n">
        <f aca="false">IF(H88="","",G88-H88)</f>
        <v>-17</v>
      </c>
      <c r="J88" s="52" t="n">
        <f aca="false">IF(OR(D88="",D88+G88=0),"",D88/(D88+G88))</f>
        <v>0.43089042730962</v>
      </c>
      <c r="K88" s="52" t="n">
        <f aca="false">IF(E88="","",E88/(E88+H88))</f>
        <v>0.434792843691149</v>
      </c>
      <c r="L88" s="64" t="n">
        <f aca="false">IF(OR(K88="",J88=""),"",(J88-K88)*100)</f>
        <v>-0.390241638152833</v>
      </c>
      <c r="M88" s="21"/>
    </row>
    <row r="89" customFormat="false" ht="15" hidden="false" customHeight="false" outlineLevel="0" collapsed="false">
      <c r="A89" s="21" t="s">
        <v>179</v>
      </c>
      <c r="B89" s="21" t="s">
        <v>213</v>
      </c>
      <c r="C89" s="21" t="s">
        <v>122</v>
      </c>
      <c r="D89" s="37" t="n">
        <v>1827</v>
      </c>
      <c r="E89" s="37" t="n">
        <v>1897</v>
      </c>
      <c r="F89" s="63" t="n">
        <f aca="false">IF(E89="","",D89-E89)</f>
        <v>-70</v>
      </c>
      <c r="G89" s="37" t="n">
        <v>1579</v>
      </c>
      <c r="H89" s="37" t="n">
        <v>1538</v>
      </c>
      <c r="I89" s="63" t="n">
        <f aca="false">IF(H89="","",G89-H89)</f>
        <v>41</v>
      </c>
      <c r="J89" s="52" t="n">
        <f aca="false">IF(OR(D89="",D89+G89=0),"",D89/(D89+G89))</f>
        <v>0.536406341749853</v>
      </c>
      <c r="K89" s="52" t="n">
        <f aca="false">IF(E89="","",E89/(E89+H89))</f>
        <v>0.552256186317322</v>
      </c>
      <c r="L89" s="64" t="n">
        <f aca="false">IF(OR(K89="",J89=""),"",(J89-K89)*100)</f>
        <v>-1.58498445674684</v>
      </c>
      <c r="M89" s="21"/>
    </row>
    <row r="90" customFormat="false" ht="15" hidden="false" customHeight="false" outlineLevel="0" collapsed="false">
      <c r="A90" s="21" t="s">
        <v>179</v>
      </c>
      <c r="B90" s="21" t="s">
        <v>214</v>
      </c>
      <c r="C90" s="21" t="s">
        <v>122</v>
      </c>
      <c r="D90" s="37" t="n">
        <v>649</v>
      </c>
      <c r="E90" s="37" t="n">
        <v>634</v>
      </c>
      <c r="F90" s="63" t="n">
        <f aca="false">IF(E90="","",D90-E90)</f>
        <v>15</v>
      </c>
      <c r="G90" s="37" t="n">
        <v>877</v>
      </c>
      <c r="H90" s="37" t="n">
        <v>856</v>
      </c>
      <c r="I90" s="63" t="n">
        <f aca="false">IF(H90="","",G90-H90)</f>
        <v>21</v>
      </c>
      <c r="J90" s="52" t="n">
        <f aca="false">IF(OR(D90="",D90+G90=0),"",D90/(D90+G90))</f>
        <v>0.425294888597641</v>
      </c>
      <c r="K90" s="52" t="n">
        <f aca="false">IF(E90="","",E90/(E90+H90))</f>
        <v>0.425503355704698</v>
      </c>
      <c r="L90" s="64" t="n">
        <f aca="false">IF(OR(K90="",J90=""),"",(J90-K90)*100)</f>
        <v>-0.0208467107057075</v>
      </c>
      <c r="M90" s="21"/>
    </row>
    <row r="92" customFormat="false" ht="15" hidden="false" customHeight="false" outlineLevel="0" collapsed="false">
      <c r="A92" s="28" t="s">
        <v>331</v>
      </c>
      <c r="B92" s="65"/>
      <c r="C92" s="65"/>
      <c r="D92" s="66" t="n">
        <f aca="false">SUMIF(E2:E90,"&lt;&gt;",D2:D90)</f>
        <v>197663</v>
      </c>
      <c r="E92" s="66" t="n">
        <f aca="false">SUM(E2:E90)</f>
        <v>199626</v>
      </c>
      <c r="F92" s="67" t="n">
        <f aca="false">D92-E92</f>
        <v>-1963</v>
      </c>
      <c r="G92" s="66" t="n">
        <f aca="false">SUMIF(H2:H90,"&lt;&gt;",G2:G90)</f>
        <v>205041</v>
      </c>
      <c r="H92" s="66" t="n">
        <f aca="false">SUM(H2:H90)</f>
        <v>203688</v>
      </c>
      <c r="I92" s="67" t="n">
        <f aca="false">G92-H92</f>
        <v>1353</v>
      </c>
      <c r="J92" s="68" t="n">
        <f aca="false">D92/(D92+G92)</f>
        <v>0.49083942548373</v>
      </c>
      <c r="K92" s="68" t="n">
        <f aca="false">E92/(E92+H92)</f>
        <v>0.49496422142549</v>
      </c>
      <c r="L92" s="69" t="n">
        <f aca="false">(J92-K92)*100</f>
        <v>-0.41247959417598</v>
      </c>
    </row>
    <row r="93" customFormat="false" ht="15" hidden="false" customHeight="false" outlineLevel="0" collapsed="false">
      <c r="A93" s="28" t="s">
        <v>332</v>
      </c>
      <c r="B93" s="65"/>
      <c r="C93" s="65"/>
      <c r="D93" s="66" t="n">
        <f aca="false">SUM(D2:D90)</f>
        <v>197663</v>
      </c>
      <c r="E93" s="66"/>
      <c r="F93" s="67"/>
      <c r="G93" s="66" t="n">
        <f aca="false">SUM(G2:G90)</f>
        <v>205041</v>
      </c>
      <c r="H93" s="66"/>
      <c r="I93" s="67"/>
      <c r="J93" s="68" t="n">
        <f aca="false">D93/(D93+G93)</f>
        <v>0.49083942548373</v>
      </c>
      <c r="K93" s="68"/>
      <c r="L93" s="69"/>
    </row>
    <row r="95" customFormat="false" ht="15" hidden="false" customHeight="false" outlineLevel="0" collapsed="false">
      <c r="A95" s="2" t="s">
        <v>333</v>
      </c>
      <c r="F95" s="70" t="n">
        <f aca="false">(SUMIF(F2:F90,"&gt;0")-SUMIF(F2:F90,"&lt;0"))/COUNT(F2:F90)</f>
        <v>68.6629213483146</v>
      </c>
    </row>
    <row r="96" customFormat="false" ht="15" hidden="false" customHeight="false" outlineLevel="0" collapsed="false">
      <c r="A96" s="2" t="s">
        <v>334</v>
      </c>
      <c r="F96" s="70" t="n">
        <f aca="false">(SUMIF(I2:I90,"&gt;0")-SUMIF(I2:I90,"&lt;0"))/COUNT(I2:I90)</f>
        <v>74.5955056179775</v>
      </c>
    </row>
    <row r="97" customFormat="false" ht="15" hidden="false" customHeight="false" outlineLevel="0" collapsed="false">
      <c r="A97" s="2" t="s">
        <v>335</v>
      </c>
      <c r="F97" s="71" t="n">
        <f aca="false">(SUMIF(L2:L90,"&gt;0")-SUMIF(L2:L90,"&lt;0"))/COUNT(L2:L90)</f>
        <v>1.30619824675094</v>
      </c>
    </row>
    <row r="98" customFormat="false" ht="15" hidden="false" customHeight="false" outlineLevel="0" collapsed="false">
      <c r="A98" s="5" t="s">
        <v>336</v>
      </c>
      <c r="F98" s="72" t="n">
        <f aca="false">SQRT(SUMSQ(L2:L90)/COUNT(L2:L90))</f>
        <v>1.79591474088555</v>
      </c>
    </row>
    <row r="99" customFormat="false" ht="15" hidden="false" customHeight="false" outlineLevel="0" collapsed="false">
      <c r="A99" s="5" t="s">
        <v>337</v>
      </c>
      <c r="F99" s="73" t="n">
        <f aca="false">L92</f>
        <v>-0.41247959417598</v>
      </c>
    </row>
    <row r="100" customFormat="false" ht="15" hidden="false" customHeight="false" outlineLevel="0" collapsed="false">
      <c r="A100" s="5" t="s">
        <v>338</v>
      </c>
      <c r="F100" s="72" t="n">
        <f aca="false">SQRT((SUMSQ(L2:L90)-2*L92*SUM(L2:L90)+COUNT(L2:L90)*L92^2)/COUNT(L2:L90))</f>
        <v>1.8252383150264</v>
      </c>
    </row>
    <row r="101" customFormat="false" ht="15" hidden="false" customHeight="false" outlineLevel="0" collapsed="false">
      <c r="A101" s="2" t="s">
        <v>339</v>
      </c>
      <c r="F101" s="74" t="n">
        <f aca="false">(D92+G92)/(E92+H92)-1</f>
        <v>-0.00151246919273818</v>
      </c>
    </row>
    <row r="102" customFormat="false" ht="15" hidden="false" customHeight="false" outlineLevel="0" collapsed="false">
      <c r="A102" s="2" t="s">
        <v>340</v>
      </c>
      <c r="F102" s="75" t="n">
        <f aca="false">COUNTIFS(L2:L90,"&gt;=-3",L2:L90,"&lt;=3")/COUNT(L2:L90)</f>
        <v>0.943820224719101</v>
      </c>
    </row>
    <row r="103" customFormat="false" ht="15" hidden="false" customHeight="false" outlineLevel="0" collapsed="false">
      <c r="A103" s="2" t="s">
        <v>341</v>
      </c>
      <c r="F103" s="76" t="n">
        <f aca="false">COUNT(E2:E90)</f>
        <v>89</v>
      </c>
    </row>
    <row r="104" customFormat="false" ht="15" hidden="false" customHeight="false" outlineLevel="0" collapsed="false">
      <c r="A104" s="2" t="s">
        <v>342</v>
      </c>
      <c r="F104" s="76" t="n">
        <f aca="false">COUNTA(A2:A90)</f>
        <v>89</v>
      </c>
    </row>
    <row r="106" customFormat="false" ht="15" hidden="false" customHeight="false" outlineLevel="0" collapsed="false">
      <c r="M106" s="5" t="s">
        <v>103</v>
      </c>
    </row>
    <row r="107" customFormat="false" ht="28.35" hidden="false" customHeight="false" outlineLevel="0" collapsed="false">
      <c r="M107" s="62" t="s">
        <v>343</v>
      </c>
    </row>
    <row r="108" customFormat="false" ht="28.35" hidden="false" customHeight="false" outlineLevel="0" collapsed="false">
      <c r="M108" s="62" t="s">
        <v>344</v>
      </c>
    </row>
    <row r="109" customFormat="false" ht="28.35" hidden="false" customHeight="false" outlineLevel="0" collapsed="false">
      <c r="M109" s="62" t="s">
        <v>345</v>
      </c>
    </row>
    <row r="110" customFormat="false" ht="55.2" hidden="false" customHeight="false" outlineLevel="0" collapsed="false">
      <c r="M110" s="62" t="s">
        <v>346</v>
      </c>
    </row>
    <row r="111" customFormat="false" ht="68.65" hidden="false" customHeight="false" outlineLevel="0" collapsed="false">
      <c r="M111" s="62" t="s">
        <v>347</v>
      </c>
    </row>
    <row r="112" customFormat="false" ht="41.75" hidden="false" customHeight="false" outlineLevel="0" collapsed="false">
      <c r="M112" s="62" t="s">
        <v>348</v>
      </c>
    </row>
    <row r="113" customFormat="false" ht="15" hidden="false" customHeight="false" outlineLevel="0" collapsed="false">
      <c r="M113" s="62" t="s">
        <v>349</v>
      </c>
    </row>
    <row r="114" customFormat="false" ht="28.35" hidden="false" customHeight="false" outlineLevel="0" collapsed="false">
      <c r="M114" s="62" t="s">
        <v>350</v>
      </c>
    </row>
  </sheetData>
  <conditionalFormatting sqref="L2:L90">
    <cfRule type="colorScale" priority="2">
      <colorScale>
        <cfvo type="num" val="-8"/>
        <cfvo type="num" val="0"/>
        <cfvo type="num" val="8"/>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1" min="9" style="0" width="14"/>
    <col collapsed="false" customWidth="true" hidden="false" outlineLevel="0" max="12" min="12" style="0" width="16"/>
    <col collapsed="false" customWidth="true" hidden="false" outlineLevel="0" max="13" min="13" style="0" width="90"/>
  </cols>
  <sheetData>
    <row r="1" customFormat="false" ht="60" hidden="false" customHeight="true" outlineLevel="0" collapsed="false">
      <c r="A1" s="8" t="s">
        <v>75</v>
      </c>
      <c r="B1" s="8" t="s">
        <v>76</v>
      </c>
      <c r="C1" s="8" t="s">
        <v>77</v>
      </c>
      <c r="D1" s="8" t="s">
        <v>321</v>
      </c>
      <c r="E1" s="8" t="s">
        <v>322</v>
      </c>
      <c r="F1" s="8" t="s">
        <v>323</v>
      </c>
      <c r="G1" s="8" t="s">
        <v>324</v>
      </c>
      <c r="H1" s="8" t="s">
        <v>325</v>
      </c>
      <c r="I1" s="8" t="s">
        <v>326</v>
      </c>
      <c r="J1" s="8" t="s">
        <v>327</v>
      </c>
      <c r="K1" s="8" t="s">
        <v>328</v>
      </c>
      <c r="L1" s="8" t="s">
        <v>329</v>
      </c>
      <c r="M1" s="8" t="s">
        <v>330</v>
      </c>
    </row>
    <row r="2" customFormat="false" ht="15" hidden="false" customHeight="false" outlineLevel="0" collapsed="false">
      <c r="A2" s="21" t="s">
        <v>120</v>
      </c>
      <c r="B2" s="21" t="s">
        <v>121</v>
      </c>
      <c r="C2" s="21" t="s">
        <v>122</v>
      </c>
      <c r="D2" s="37" t="n">
        <v>160</v>
      </c>
      <c r="E2" s="37" t="n">
        <v>181</v>
      </c>
      <c r="F2" s="63" t="n">
        <f aca="false">IF(E2="","",D2-E2)</f>
        <v>-21</v>
      </c>
      <c r="G2" s="37" t="n">
        <v>278</v>
      </c>
      <c r="H2" s="37" t="n">
        <v>285</v>
      </c>
      <c r="I2" s="63" t="n">
        <f aca="false">IF(H2="","",G2-H2)</f>
        <v>-7</v>
      </c>
      <c r="J2" s="52" t="n">
        <f aca="false">IF(OR(D2="",D2+G2=0),"",D2/(D2+G2))</f>
        <v>0.365296803652968</v>
      </c>
      <c r="K2" s="52" t="n">
        <f aca="false">IF(E2="","",E2/(E2+H2))</f>
        <v>0.388412017167382</v>
      </c>
      <c r="L2" s="64" t="n">
        <f aca="false">IF(OR(K2="",J2=""),"",(J2-K2)*100)</f>
        <v>-2.3115213514414</v>
      </c>
      <c r="M2" s="21"/>
    </row>
    <row r="3" customFormat="false" ht="15" hidden="false" customHeight="false" outlineLevel="0" collapsed="false">
      <c r="A3" s="21" t="s">
        <v>120</v>
      </c>
      <c r="B3" s="21" t="s">
        <v>125</v>
      </c>
      <c r="C3" s="21" t="s">
        <v>122</v>
      </c>
      <c r="D3" s="37" t="n">
        <v>111</v>
      </c>
      <c r="E3" s="37" t="n">
        <v>118</v>
      </c>
      <c r="F3" s="63" t="n">
        <f aca="false">IF(E3="","",D3-E3)</f>
        <v>-7</v>
      </c>
      <c r="G3" s="37" t="n">
        <v>293</v>
      </c>
      <c r="H3" s="37" t="n">
        <v>300</v>
      </c>
      <c r="I3" s="63" t="n">
        <f aca="false">IF(H3="","",G3-H3)</f>
        <v>-7</v>
      </c>
      <c r="J3" s="52" t="n">
        <f aca="false">IF(OR(D3="",D3+G3=0),"",D3/(D3+G3))</f>
        <v>0.274752475247525</v>
      </c>
      <c r="K3" s="52" t="n">
        <f aca="false">IF(E3="","",E3/(E3+H3))</f>
        <v>0.282296650717703</v>
      </c>
      <c r="L3" s="64" t="n">
        <f aca="false">IF(OR(K3="",J3=""),"",(J3-K3)*100)</f>
        <v>-0.754417547017855</v>
      </c>
      <c r="M3" s="21"/>
    </row>
    <row r="4" customFormat="false" ht="15" hidden="false" customHeight="false" outlineLevel="0" collapsed="false">
      <c r="A4" s="21" t="s">
        <v>120</v>
      </c>
      <c r="B4" s="21" t="s">
        <v>126</v>
      </c>
      <c r="C4" s="21" t="s">
        <v>122</v>
      </c>
      <c r="D4" s="37" t="n">
        <v>138</v>
      </c>
      <c r="E4" s="37" t="n">
        <v>144</v>
      </c>
      <c r="F4" s="63" t="n">
        <f aca="false">IF(E4="","",D4-E4)</f>
        <v>-6</v>
      </c>
      <c r="G4" s="37" t="n">
        <v>265</v>
      </c>
      <c r="H4" s="37" t="n">
        <v>310</v>
      </c>
      <c r="I4" s="63" t="n">
        <f aca="false">IF(H4="","",G4-H4)</f>
        <v>-45</v>
      </c>
      <c r="J4" s="52" t="n">
        <f aca="false">IF(OR(D4="",D4+G4=0),"",D4/(D4+G4))</f>
        <v>0.342431761786601</v>
      </c>
      <c r="K4" s="52" t="n">
        <f aca="false">IF(E4="","",E4/(E4+H4))</f>
        <v>0.317180616740088</v>
      </c>
      <c r="L4" s="64" t="n">
        <f aca="false">IF(OR(K4="",J4=""),"",(J4-K4)*100)</f>
        <v>2.52511450465124</v>
      </c>
      <c r="M4" s="21"/>
    </row>
    <row r="5" customFormat="false" ht="15" hidden="false" customHeight="false" outlineLevel="0" collapsed="false">
      <c r="A5" s="21" t="s">
        <v>120</v>
      </c>
      <c r="B5" s="21" t="s">
        <v>127</v>
      </c>
      <c r="C5" s="21" t="s">
        <v>122</v>
      </c>
      <c r="D5" s="37" t="n">
        <v>439</v>
      </c>
      <c r="E5" s="37" t="n">
        <v>438</v>
      </c>
      <c r="F5" s="63" t="n">
        <f aca="false">IF(E5="","",D5-E5)</f>
        <v>1</v>
      </c>
      <c r="G5" s="37" t="n">
        <v>1136</v>
      </c>
      <c r="H5" s="37" t="n">
        <v>1253</v>
      </c>
      <c r="I5" s="63" t="n">
        <f aca="false">IF(H5="","",G5-H5)</f>
        <v>-117</v>
      </c>
      <c r="J5" s="52" t="n">
        <f aca="false">IF(OR(D5="",D5+G5=0),"",D5/(D5+G5))</f>
        <v>0.278730158730159</v>
      </c>
      <c r="K5" s="52" t="n">
        <f aca="false">IF(E5="","",E5/(E5+H5))</f>
        <v>0.259018332347723</v>
      </c>
      <c r="L5" s="64" t="n">
        <f aca="false">IF(OR(K5="",J5=""),"",(J5-K5)*100)</f>
        <v>1.97118263824355</v>
      </c>
      <c r="M5" s="21"/>
    </row>
    <row r="6" customFormat="false" ht="15" hidden="false" customHeight="false" outlineLevel="0" collapsed="false">
      <c r="A6" s="21" t="s">
        <v>120</v>
      </c>
      <c r="B6" s="21" t="s">
        <v>128</v>
      </c>
      <c r="C6" s="21" t="s">
        <v>122</v>
      </c>
      <c r="D6" s="37" t="n">
        <v>41</v>
      </c>
      <c r="E6" s="37" t="n">
        <v>38</v>
      </c>
      <c r="F6" s="63" t="n">
        <f aca="false">IF(E6="","",D6-E6)</f>
        <v>3</v>
      </c>
      <c r="G6" s="37" t="n">
        <v>71</v>
      </c>
      <c r="H6" s="37" t="n">
        <v>78</v>
      </c>
      <c r="I6" s="63" t="n">
        <f aca="false">IF(H6="","",G6-H6)</f>
        <v>-7</v>
      </c>
      <c r="J6" s="52" t="n">
        <f aca="false">IF(OR(D6="",D6+G6=0),"",D6/(D6+G6))</f>
        <v>0.366071428571429</v>
      </c>
      <c r="K6" s="52" t="n">
        <f aca="false">IF(E6="","",E6/(E6+H6))</f>
        <v>0.327586206896552</v>
      </c>
      <c r="L6" s="64" t="n">
        <f aca="false">IF(OR(K6="",J6=""),"",(J6-K6)*100)</f>
        <v>3.84852216748768</v>
      </c>
      <c r="M6" s="21"/>
    </row>
    <row r="7" customFormat="false" ht="15" hidden="false" customHeight="false" outlineLevel="0" collapsed="false">
      <c r="A7" s="21" t="s">
        <v>120</v>
      </c>
      <c r="B7" s="21" t="s">
        <v>129</v>
      </c>
      <c r="C7" s="21" t="s">
        <v>122</v>
      </c>
      <c r="D7" s="37" t="n">
        <v>671</v>
      </c>
      <c r="E7" s="37" t="n">
        <v>708</v>
      </c>
      <c r="F7" s="63" t="n">
        <f aca="false">IF(E7="","",D7-E7)</f>
        <v>-37</v>
      </c>
      <c r="G7" s="37" t="n">
        <v>1761</v>
      </c>
      <c r="H7" s="37" t="n">
        <v>1846</v>
      </c>
      <c r="I7" s="63" t="n">
        <f aca="false">IF(H7="","",G7-H7)</f>
        <v>-85</v>
      </c>
      <c r="J7" s="52" t="n">
        <f aca="false">IF(OR(D7="",D7+G7=0),"",D7/(D7+G7))</f>
        <v>0.275904605263158</v>
      </c>
      <c r="K7" s="52" t="n">
        <f aca="false">IF(E7="","",E7/(E7+H7))</f>
        <v>0.277212216131558</v>
      </c>
      <c r="L7" s="64" t="n">
        <f aca="false">IF(OR(K7="",J7=""),"",(J7-K7)*100)</f>
        <v>-0.130761086840042</v>
      </c>
      <c r="M7" s="21"/>
    </row>
    <row r="8" customFormat="false" ht="15" hidden="false" customHeight="false" outlineLevel="0" collapsed="false">
      <c r="A8" s="21" t="s">
        <v>120</v>
      </c>
      <c r="B8" s="21" t="s">
        <v>131</v>
      </c>
      <c r="C8" s="21" t="s">
        <v>122</v>
      </c>
      <c r="D8" s="37" t="n">
        <v>1100</v>
      </c>
      <c r="E8" s="37" t="n">
        <v>1104</v>
      </c>
      <c r="F8" s="63" t="n">
        <f aca="false">IF(E8="","",D8-E8)</f>
        <v>-4</v>
      </c>
      <c r="G8" s="37" t="n">
        <v>1325</v>
      </c>
      <c r="H8" s="37" t="n">
        <v>1481</v>
      </c>
      <c r="I8" s="63" t="n">
        <f aca="false">IF(H8="","",G8-H8)</f>
        <v>-156</v>
      </c>
      <c r="J8" s="52" t="n">
        <f aca="false">IF(OR(D8="",D8+G8=0),"",D8/(D8+G8))</f>
        <v>0.45360824742268</v>
      </c>
      <c r="K8" s="52" t="n">
        <f aca="false">IF(E8="","",E8/(E8+H8))</f>
        <v>0.427079303675048</v>
      </c>
      <c r="L8" s="64" t="n">
        <f aca="false">IF(OR(K8="",J8=""),"",(J8-K8)*100)</f>
        <v>2.6528943747632</v>
      </c>
      <c r="M8" s="21"/>
    </row>
    <row r="9" customFormat="false" ht="15" hidden="false" customHeight="false" outlineLevel="0" collapsed="false">
      <c r="A9" s="21" t="s">
        <v>120</v>
      </c>
      <c r="B9" s="21" t="s">
        <v>132</v>
      </c>
      <c r="C9" s="21" t="s">
        <v>122</v>
      </c>
      <c r="D9" s="37" t="n">
        <v>341</v>
      </c>
      <c r="E9" s="37" t="n">
        <v>351</v>
      </c>
      <c r="F9" s="63" t="n">
        <f aca="false">IF(E9="","",D9-E9)</f>
        <v>-10</v>
      </c>
      <c r="G9" s="37" t="n">
        <v>695</v>
      </c>
      <c r="H9" s="37" t="n">
        <v>697</v>
      </c>
      <c r="I9" s="63" t="n">
        <f aca="false">IF(H9="","",G9-H9)</f>
        <v>-2</v>
      </c>
      <c r="J9" s="52" t="n">
        <f aca="false">IF(OR(D9="",D9+G9=0),"",D9/(D9+G9))</f>
        <v>0.329150579150579</v>
      </c>
      <c r="K9" s="52" t="n">
        <f aca="false">IF(E9="","",E9/(E9+H9))</f>
        <v>0.334923664122137</v>
      </c>
      <c r="L9" s="64" t="n">
        <f aca="false">IF(OR(K9="",J9=""),"",(J9-K9)*100)</f>
        <v>-0.577308497155826</v>
      </c>
      <c r="M9" s="21"/>
    </row>
    <row r="10" customFormat="false" ht="15" hidden="false" customHeight="false" outlineLevel="0" collapsed="false">
      <c r="A10" s="21" t="s">
        <v>120</v>
      </c>
      <c r="B10" s="21" t="s">
        <v>133</v>
      </c>
      <c r="C10" s="21" t="s">
        <v>122</v>
      </c>
      <c r="D10" s="37" t="n">
        <v>593</v>
      </c>
      <c r="E10" s="37" t="n">
        <v>575</v>
      </c>
      <c r="F10" s="63" t="n">
        <f aca="false">IF(E10="","",D10-E10)</f>
        <v>18</v>
      </c>
      <c r="G10" s="37" t="n">
        <v>816</v>
      </c>
      <c r="H10" s="37" t="n">
        <v>880</v>
      </c>
      <c r="I10" s="63" t="n">
        <f aca="false">IF(H10="","",G10-H10)</f>
        <v>-64</v>
      </c>
      <c r="J10" s="52" t="n">
        <f aca="false">IF(OR(D10="",D10+G10=0),"",D10/(D10+G10))</f>
        <v>0.420865862313698</v>
      </c>
      <c r="K10" s="52" t="n">
        <f aca="false">IF(E10="","",E10/(E10+H10))</f>
        <v>0.395189003436426</v>
      </c>
      <c r="L10" s="64" t="n">
        <f aca="false">IF(OR(K10="",J10=""),"",(J10-K10)*100)</f>
        <v>2.56768588772716</v>
      </c>
      <c r="M10" s="21"/>
    </row>
    <row r="11" customFormat="false" ht="15" hidden="false" customHeight="false" outlineLevel="0" collapsed="false">
      <c r="A11" s="21" t="s">
        <v>120</v>
      </c>
      <c r="B11" s="21" t="s">
        <v>134</v>
      </c>
      <c r="C11" s="21" t="s">
        <v>122</v>
      </c>
      <c r="D11" s="37" t="n">
        <v>43</v>
      </c>
      <c r="E11" s="37" t="n">
        <v>38</v>
      </c>
      <c r="F11" s="63" t="n">
        <f aca="false">IF(E11="","",D11-E11)</f>
        <v>5</v>
      </c>
      <c r="G11" s="37" t="n">
        <v>96</v>
      </c>
      <c r="H11" s="37" t="n">
        <v>107</v>
      </c>
      <c r="I11" s="63" t="n">
        <f aca="false">IF(H11="","",G11-H11)</f>
        <v>-11</v>
      </c>
      <c r="J11" s="52" t="n">
        <f aca="false">IF(OR(D11="",D11+G11=0),"",D11/(D11+G11))</f>
        <v>0.309352517985612</v>
      </c>
      <c r="K11" s="52" t="n">
        <f aca="false">IF(E11="","",E11/(E11+H11))</f>
        <v>0.262068965517241</v>
      </c>
      <c r="L11" s="64" t="n">
        <f aca="false">IF(OR(K11="",J11=""),"",(J11-K11)*100)</f>
        <v>4.72835524683701</v>
      </c>
      <c r="M11" s="21"/>
    </row>
    <row r="12" customFormat="false" ht="15" hidden="false" customHeight="false" outlineLevel="0" collapsed="false">
      <c r="A12" s="21" t="s">
        <v>120</v>
      </c>
      <c r="B12" s="21" t="s">
        <v>135</v>
      </c>
      <c r="C12" s="21" t="s">
        <v>122</v>
      </c>
      <c r="D12" s="37" t="n">
        <v>54</v>
      </c>
      <c r="E12" s="37" t="n">
        <v>58</v>
      </c>
      <c r="F12" s="63" t="n">
        <f aca="false">IF(E12="","",D12-E12)</f>
        <v>-4</v>
      </c>
      <c r="G12" s="37" t="n">
        <v>210</v>
      </c>
      <c r="H12" s="37" t="n">
        <v>216</v>
      </c>
      <c r="I12" s="63" t="n">
        <f aca="false">IF(H12="","",G12-H12)</f>
        <v>-6</v>
      </c>
      <c r="J12" s="52" t="n">
        <f aca="false">IF(OR(D12="",D12+G12=0),"",D12/(D12+G12))</f>
        <v>0.204545454545455</v>
      </c>
      <c r="K12" s="52" t="n">
        <f aca="false">IF(E12="","",E12/(E12+H12))</f>
        <v>0.211678832116788</v>
      </c>
      <c r="L12" s="64" t="n">
        <f aca="false">IF(OR(K12="",J12=""),"",(J12-K12)*100)</f>
        <v>-0.713337757133375</v>
      </c>
      <c r="M12" s="21"/>
    </row>
    <row r="13" customFormat="false" ht="15" hidden="false" customHeight="false" outlineLevel="0" collapsed="false">
      <c r="A13" s="21" t="s">
        <v>120</v>
      </c>
      <c r="B13" s="21" t="s">
        <v>136</v>
      </c>
      <c r="C13" s="21" t="s">
        <v>122</v>
      </c>
      <c r="D13" s="37" t="n">
        <v>936</v>
      </c>
      <c r="E13" s="37" t="n">
        <v>944</v>
      </c>
      <c r="F13" s="63" t="n">
        <f aca="false">IF(E13="","",D13-E13)</f>
        <v>-8</v>
      </c>
      <c r="G13" s="37" t="n">
        <v>1328</v>
      </c>
      <c r="H13" s="37" t="n">
        <v>1486</v>
      </c>
      <c r="I13" s="63" t="n">
        <f aca="false">IF(H13="","",G13-H13)</f>
        <v>-158</v>
      </c>
      <c r="J13" s="52" t="n">
        <f aca="false">IF(OR(D13="",D13+G13=0),"",D13/(D13+G13))</f>
        <v>0.413427561837456</v>
      </c>
      <c r="K13" s="52" t="n">
        <f aca="false">IF(E13="","",E13/(E13+H13))</f>
        <v>0.388477366255144</v>
      </c>
      <c r="L13" s="64" t="n">
        <f aca="false">IF(OR(K13="",J13=""),"",(J13-K13)*100)</f>
        <v>2.49501955823118</v>
      </c>
      <c r="M13" s="21"/>
    </row>
    <row r="14" customFormat="false" ht="15" hidden="false" customHeight="false" outlineLevel="0" collapsed="false">
      <c r="A14" s="21" t="s">
        <v>120</v>
      </c>
      <c r="B14" s="21" t="s">
        <v>137</v>
      </c>
      <c r="C14" s="21" t="s">
        <v>122</v>
      </c>
      <c r="D14" s="37" t="n">
        <v>526</v>
      </c>
      <c r="E14" s="37" t="n">
        <v>515</v>
      </c>
      <c r="F14" s="63" t="n">
        <f aca="false">IF(E14="","",D14-E14)</f>
        <v>11</v>
      </c>
      <c r="G14" s="37" t="n">
        <v>1155</v>
      </c>
      <c r="H14" s="37" t="n">
        <v>1293</v>
      </c>
      <c r="I14" s="63" t="n">
        <f aca="false">IF(H14="","",G14-H14)</f>
        <v>-138</v>
      </c>
      <c r="J14" s="52" t="n">
        <f aca="false">IF(OR(D14="",D14+G14=0),"",D14/(D14+G14))</f>
        <v>0.312908982748364</v>
      </c>
      <c r="K14" s="52" t="n">
        <f aca="false">IF(E14="","",E14/(E14+H14))</f>
        <v>0.284845132743363</v>
      </c>
      <c r="L14" s="64" t="n">
        <f aca="false">IF(OR(K14="",J14=""),"",(J14-K14)*100)</f>
        <v>2.80638500050013</v>
      </c>
      <c r="M14" s="21"/>
    </row>
    <row r="15" customFormat="false" ht="15" hidden="false" customHeight="false" outlineLevel="0" collapsed="false">
      <c r="A15" s="21" t="s">
        <v>120</v>
      </c>
      <c r="B15" s="21" t="s">
        <v>138</v>
      </c>
      <c r="C15" s="21" t="s">
        <v>122</v>
      </c>
      <c r="D15" s="37" t="n">
        <v>633</v>
      </c>
      <c r="E15" s="37" t="n">
        <v>694</v>
      </c>
      <c r="F15" s="63" t="n">
        <f aca="false">IF(E15="","",D15-E15)</f>
        <v>-61</v>
      </c>
      <c r="G15" s="37" t="n">
        <v>1556</v>
      </c>
      <c r="H15" s="37" t="n">
        <v>1695</v>
      </c>
      <c r="I15" s="63" t="n">
        <f aca="false">IF(H15="","",G15-H15)</f>
        <v>-139</v>
      </c>
      <c r="J15" s="52" t="n">
        <f aca="false">IF(OR(D15="",D15+G15=0),"",D15/(D15+G15))</f>
        <v>0.28917313841937</v>
      </c>
      <c r="K15" s="52" t="n">
        <f aca="false">IF(E15="","",E15/(E15+H15))</f>
        <v>0.290498116366681</v>
      </c>
      <c r="L15" s="64" t="n">
        <f aca="false">IF(OR(K15="",J15=""),"",(J15-K15)*100)</f>
        <v>-0.132497794731101</v>
      </c>
      <c r="M15" s="21"/>
    </row>
    <row r="16" customFormat="false" ht="15" hidden="false" customHeight="false" outlineLevel="0" collapsed="false">
      <c r="A16" s="21" t="s">
        <v>120</v>
      </c>
      <c r="B16" s="21" t="s">
        <v>139</v>
      </c>
      <c r="C16" s="21" t="s">
        <v>122</v>
      </c>
      <c r="D16" s="37" t="n">
        <v>572</v>
      </c>
      <c r="E16" s="37" t="n">
        <v>601</v>
      </c>
      <c r="F16" s="63" t="n">
        <f aca="false">IF(E16="","",D16-E16)</f>
        <v>-29</v>
      </c>
      <c r="G16" s="37" t="n">
        <v>884</v>
      </c>
      <c r="H16" s="37" t="n">
        <v>955</v>
      </c>
      <c r="I16" s="63" t="n">
        <f aca="false">IF(H16="","",G16-H16)</f>
        <v>-71</v>
      </c>
      <c r="J16" s="52" t="n">
        <f aca="false">IF(OR(D16="",D16+G16=0),"",D16/(D16+G16))</f>
        <v>0.392857142857143</v>
      </c>
      <c r="K16" s="52" t="n">
        <f aca="false">IF(E16="","",E16/(E16+H16))</f>
        <v>0.386246786632391</v>
      </c>
      <c r="L16" s="64" t="n">
        <f aca="false">IF(OR(K16="",J16=""),"",(J16-K16)*100)</f>
        <v>0.661035622475209</v>
      </c>
      <c r="M16" s="21"/>
    </row>
    <row r="17" customFormat="false" ht="15" hidden="false" customHeight="false" outlineLevel="0" collapsed="false">
      <c r="A17" s="21" t="s">
        <v>120</v>
      </c>
      <c r="B17" s="21" t="s">
        <v>140</v>
      </c>
      <c r="C17" s="21" t="s">
        <v>122</v>
      </c>
      <c r="D17" s="37" t="n">
        <v>109</v>
      </c>
      <c r="E17" s="37" t="n">
        <v>134</v>
      </c>
      <c r="F17" s="63" t="n">
        <f aca="false">IF(E17="","",D17-E17)</f>
        <v>-25</v>
      </c>
      <c r="G17" s="37" t="n">
        <v>486</v>
      </c>
      <c r="H17" s="37" t="n">
        <v>505</v>
      </c>
      <c r="I17" s="63" t="n">
        <f aca="false">IF(H17="","",G17-H17)</f>
        <v>-19</v>
      </c>
      <c r="J17" s="52" t="n">
        <f aca="false">IF(OR(D17="",D17+G17=0),"",D17/(D17+G17))</f>
        <v>0.183193277310924</v>
      </c>
      <c r="K17" s="52" t="n">
        <f aca="false">IF(E17="","",E17/(E17+H17))</f>
        <v>0.209702660406886</v>
      </c>
      <c r="L17" s="64" t="n">
        <f aca="false">IF(OR(K17="",J17=""),"",(J17-K17)*100)</f>
        <v>-2.65093830959614</v>
      </c>
      <c r="M17" s="21"/>
    </row>
    <row r="18" customFormat="false" ht="15" hidden="false" customHeight="false" outlineLevel="0" collapsed="false">
      <c r="A18" s="21" t="s">
        <v>120</v>
      </c>
      <c r="B18" s="21" t="s">
        <v>141</v>
      </c>
      <c r="C18" s="21" t="s">
        <v>122</v>
      </c>
      <c r="D18" s="37" t="n">
        <v>989</v>
      </c>
      <c r="E18" s="37" t="n">
        <v>981</v>
      </c>
      <c r="F18" s="63" t="n">
        <f aca="false">IF(E18="","",D18-E18)</f>
        <v>8</v>
      </c>
      <c r="G18" s="37" t="n">
        <v>1571</v>
      </c>
      <c r="H18" s="37" t="n">
        <v>1740</v>
      </c>
      <c r="I18" s="63" t="n">
        <f aca="false">IF(H18="","",G18-H18)</f>
        <v>-169</v>
      </c>
      <c r="J18" s="52" t="n">
        <f aca="false">IF(OR(D18="",D18+G18=0),"",D18/(D18+G18))</f>
        <v>0.386328125</v>
      </c>
      <c r="K18" s="52" t="n">
        <f aca="false">IF(E18="","",E18/(E18+H18))</f>
        <v>0.360529217199559</v>
      </c>
      <c r="L18" s="64" t="n">
        <f aca="false">IF(OR(K18="",J18=""),"",(J18-K18)*100)</f>
        <v>2.5798907800441</v>
      </c>
      <c r="M18" s="21"/>
    </row>
    <row r="19" customFormat="false" ht="15" hidden="false" customHeight="false" outlineLevel="0" collapsed="false">
      <c r="A19" s="21" t="s">
        <v>120</v>
      </c>
      <c r="B19" s="21" t="s">
        <v>142</v>
      </c>
      <c r="C19" s="21" t="s">
        <v>122</v>
      </c>
      <c r="D19" s="37" t="n">
        <v>58</v>
      </c>
      <c r="E19" s="37" t="n">
        <v>74</v>
      </c>
      <c r="F19" s="63" t="n">
        <f aca="false">IF(E19="","",D19-E19)</f>
        <v>-16</v>
      </c>
      <c r="G19" s="37" t="n">
        <v>157</v>
      </c>
      <c r="H19" s="37" t="n">
        <v>162</v>
      </c>
      <c r="I19" s="63" t="n">
        <f aca="false">IF(H19="","",G19-H19)</f>
        <v>-5</v>
      </c>
      <c r="J19" s="52" t="n">
        <f aca="false">IF(OR(D19="",D19+G19=0),"",D19/(D19+G19))</f>
        <v>0.269767441860465</v>
      </c>
      <c r="K19" s="52" t="n">
        <f aca="false">IF(E19="","",E19/(E19+H19))</f>
        <v>0.313559322033898</v>
      </c>
      <c r="L19" s="64" t="n">
        <f aca="false">IF(OR(K19="",J19=""),"",(J19-K19)*100)</f>
        <v>-4.37918801734332</v>
      </c>
      <c r="M19" s="21"/>
    </row>
    <row r="20" customFormat="false" ht="15" hidden="false" customHeight="false" outlineLevel="0" collapsed="false">
      <c r="A20" s="21" t="s">
        <v>120</v>
      </c>
      <c r="B20" s="21" t="s">
        <v>143</v>
      </c>
      <c r="C20" s="21" t="s">
        <v>122</v>
      </c>
      <c r="D20" s="37" t="n">
        <v>1784</v>
      </c>
      <c r="E20" s="37" t="n">
        <v>2047</v>
      </c>
      <c r="F20" s="63" t="n">
        <f aca="false">IF(E20="","",D20-E20)</f>
        <v>-263</v>
      </c>
      <c r="G20" s="37" t="n">
        <v>3449</v>
      </c>
      <c r="H20" s="37" t="n">
        <v>3702</v>
      </c>
      <c r="I20" s="63" t="n">
        <f aca="false">IF(H20="","",G20-H20)</f>
        <v>-253</v>
      </c>
      <c r="J20" s="52" t="n">
        <f aca="false">IF(OR(D20="",D20+G20=0),"",D20/(D20+G20))</f>
        <v>0.340913433976686</v>
      </c>
      <c r="K20" s="52" t="n">
        <f aca="false">IF(E20="","",E20/(E20+H20))</f>
        <v>0.356061923812837</v>
      </c>
      <c r="L20" s="64" t="n">
        <f aca="false">IF(OR(K20="",J20=""),"",(J20-K20)*100)</f>
        <v>-1.51484898361506</v>
      </c>
      <c r="M20" s="21"/>
    </row>
    <row r="21" customFormat="false" ht="15" hidden="false" customHeight="false" outlineLevel="0" collapsed="false">
      <c r="A21" s="21" t="s">
        <v>120</v>
      </c>
      <c r="B21" s="21" t="s">
        <v>145</v>
      </c>
      <c r="C21" s="21" t="s">
        <v>122</v>
      </c>
      <c r="D21" s="37" t="n">
        <v>695</v>
      </c>
      <c r="E21" s="37" t="n">
        <v>660</v>
      </c>
      <c r="F21" s="63" t="n">
        <f aca="false">IF(E21="","",D21-E21)</f>
        <v>35</v>
      </c>
      <c r="G21" s="37" t="n">
        <v>843</v>
      </c>
      <c r="H21" s="37" t="n">
        <v>913</v>
      </c>
      <c r="I21" s="63" t="n">
        <f aca="false">IF(H21="","",G21-H21)</f>
        <v>-70</v>
      </c>
      <c r="J21" s="52" t="n">
        <f aca="false">IF(OR(D21="",D21+G21=0),"",D21/(D21+G21))</f>
        <v>0.451885565669701</v>
      </c>
      <c r="K21" s="52" t="n">
        <f aca="false">IF(E21="","",E21/(E21+H21))</f>
        <v>0.41958041958042</v>
      </c>
      <c r="L21" s="64" t="n">
        <f aca="false">IF(OR(K21="",J21=""),"",(J21-K21)*100)</f>
        <v>3.23051460892813</v>
      </c>
      <c r="M21" s="21"/>
    </row>
    <row r="22" customFormat="false" ht="15" hidden="false" customHeight="false" outlineLevel="0" collapsed="false">
      <c r="A22" s="21" t="s">
        <v>120</v>
      </c>
      <c r="B22" s="21" t="s">
        <v>146</v>
      </c>
      <c r="C22" s="21" t="s">
        <v>122</v>
      </c>
      <c r="D22" s="37" t="n">
        <v>736</v>
      </c>
      <c r="E22" s="37" t="n">
        <v>802</v>
      </c>
      <c r="F22" s="63" t="n">
        <f aca="false">IF(E22="","",D22-E22)</f>
        <v>-66</v>
      </c>
      <c r="G22" s="37" t="n">
        <v>1908</v>
      </c>
      <c r="H22" s="37" t="n">
        <v>1955</v>
      </c>
      <c r="I22" s="63" t="n">
        <f aca="false">IF(H22="","",G22-H22)</f>
        <v>-47</v>
      </c>
      <c r="J22" s="52" t="n">
        <f aca="false">IF(OR(D22="",D22+G22=0),"",D22/(D22+G22))</f>
        <v>0.278366111951589</v>
      </c>
      <c r="K22" s="52" t="n">
        <f aca="false">IF(E22="","",E22/(E22+H22))</f>
        <v>0.290895901342038</v>
      </c>
      <c r="L22" s="64" t="n">
        <f aca="false">IF(OR(K22="",J22=""),"",(J22-K22)*100)</f>
        <v>-1.252978939045</v>
      </c>
      <c r="M22" s="21"/>
    </row>
    <row r="23" customFormat="false" ht="15" hidden="false" customHeight="false" outlineLevel="0" collapsed="false">
      <c r="A23" s="21" t="s">
        <v>120</v>
      </c>
      <c r="B23" s="21" t="s">
        <v>147</v>
      </c>
      <c r="C23" s="21" t="s">
        <v>122</v>
      </c>
      <c r="D23" s="37" t="n">
        <v>335</v>
      </c>
      <c r="E23" s="37" t="n">
        <v>351</v>
      </c>
      <c r="F23" s="63" t="n">
        <f aca="false">IF(E23="","",D23-E23)</f>
        <v>-16</v>
      </c>
      <c r="G23" s="37" t="n">
        <v>854</v>
      </c>
      <c r="H23" s="37" t="n">
        <v>849</v>
      </c>
      <c r="I23" s="63" t="n">
        <f aca="false">IF(H23="","",G23-H23)</f>
        <v>5</v>
      </c>
      <c r="J23" s="52" t="n">
        <f aca="false">IF(OR(D23="",D23+G23=0),"",D23/(D23+G23))</f>
        <v>0.28174936921783</v>
      </c>
      <c r="K23" s="52" t="n">
        <f aca="false">IF(E23="","",E23/(E23+H23))</f>
        <v>0.2925</v>
      </c>
      <c r="L23" s="64" t="n">
        <f aca="false">IF(OR(K23="",J23=""),"",(J23-K23)*100)</f>
        <v>-1.07506307821699</v>
      </c>
      <c r="M23" s="21"/>
    </row>
    <row r="24" customFormat="false" ht="15" hidden="false" customHeight="false" outlineLevel="0" collapsed="false">
      <c r="A24" s="21" t="s">
        <v>120</v>
      </c>
      <c r="B24" s="21" t="s">
        <v>148</v>
      </c>
      <c r="C24" s="21" t="s">
        <v>122</v>
      </c>
      <c r="D24" s="37" t="n">
        <v>61</v>
      </c>
      <c r="E24" s="37" t="n">
        <v>58</v>
      </c>
      <c r="F24" s="63" t="n">
        <f aca="false">IF(E24="","",D24-E24)</f>
        <v>3</v>
      </c>
      <c r="G24" s="37" t="n">
        <v>82</v>
      </c>
      <c r="H24" s="37" t="n">
        <v>105</v>
      </c>
      <c r="I24" s="63" t="n">
        <f aca="false">IF(H24="","",G24-H24)</f>
        <v>-23</v>
      </c>
      <c r="J24" s="52" t="n">
        <f aca="false">IF(OR(D24="",D24+G24=0),"",D24/(D24+G24))</f>
        <v>0.426573426573427</v>
      </c>
      <c r="K24" s="52" t="n">
        <f aca="false">IF(E24="","",E24/(E24+H24))</f>
        <v>0.355828220858896</v>
      </c>
      <c r="L24" s="64" t="n">
        <f aca="false">IF(OR(K24="",J24=""),"",(J24-K24)*100)</f>
        <v>7.07452057145309</v>
      </c>
      <c r="M24" s="21"/>
    </row>
    <row r="25" customFormat="false" ht="15" hidden="false" customHeight="false" outlineLevel="0" collapsed="false">
      <c r="A25" s="21" t="s">
        <v>149</v>
      </c>
      <c r="B25" s="21" t="s">
        <v>150</v>
      </c>
      <c r="C25" s="21" t="s">
        <v>122</v>
      </c>
      <c r="D25" s="37" t="n">
        <v>670</v>
      </c>
      <c r="E25" s="37" t="n">
        <v>601</v>
      </c>
      <c r="F25" s="63" t="n">
        <f aca="false">IF(E25="","",D25-E25)</f>
        <v>69</v>
      </c>
      <c r="G25" s="37" t="n">
        <v>744</v>
      </c>
      <c r="H25" s="37" t="n">
        <v>766</v>
      </c>
      <c r="I25" s="63" t="n">
        <f aca="false">IF(H25="","",G25-H25)</f>
        <v>-22</v>
      </c>
      <c r="J25" s="52" t="n">
        <f aca="false">IF(OR(D25="",D25+G25=0),"",D25/(D25+G25))</f>
        <v>0.473833097595474</v>
      </c>
      <c r="K25" s="52" t="n">
        <f aca="false">IF(E25="","",E25/(E25+H25))</f>
        <v>0.439648866130212</v>
      </c>
      <c r="L25" s="64" t="n">
        <f aca="false">IF(OR(K25="",J25=""),"",(J25-K25)*100)</f>
        <v>3.41842314652617</v>
      </c>
      <c r="M25" s="21"/>
    </row>
    <row r="26" customFormat="false" ht="15" hidden="false" customHeight="false" outlineLevel="0" collapsed="false">
      <c r="A26" s="21" t="s">
        <v>149</v>
      </c>
      <c r="B26" s="21" t="s">
        <v>151</v>
      </c>
      <c r="C26" s="21" t="s">
        <v>122</v>
      </c>
      <c r="D26" s="37" t="n">
        <v>26784</v>
      </c>
      <c r="E26" s="37" t="n">
        <v>26568</v>
      </c>
      <c r="F26" s="63" t="n">
        <f aca="false">IF(E26="","",D26-E26)</f>
        <v>216</v>
      </c>
      <c r="G26" s="37" t="n">
        <v>14888</v>
      </c>
      <c r="H26" s="37" t="n">
        <v>14583</v>
      </c>
      <c r="I26" s="63" t="n">
        <f aca="false">IF(H26="","",G26-H26)</f>
        <v>305</v>
      </c>
      <c r="J26" s="52" t="n">
        <f aca="false">IF(OR(D26="",D26+G26=0),"",D26/(D26+G26))</f>
        <v>0.642733730082549</v>
      </c>
      <c r="K26" s="52" t="n">
        <f aca="false">IF(E26="","",E26/(E26+H26))</f>
        <v>0.645622220602172</v>
      </c>
      <c r="L26" s="64" t="n">
        <f aca="false">IF(OR(K26="",J26=""),"",(J26-K26)*100)</f>
        <v>-0.288849051962303</v>
      </c>
      <c r="M26" s="21"/>
    </row>
    <row r="27" customFormat="false" ht="15" hidden="false" customHeight="false" outlineLevel="0" collapsed="false">
      <c r="A27" s="21" t="s">
        <v>149</v>
      </c>
      <c r="B27" s="21" t="s">
        <v>152</v>
      </c>
      <c r="C27" s="21" t="s">
        <v>122</v>
      </c>
      <c r="D27" s="37" t="n">
        <v>6608</v>
      </c>
      <c r="E27" s="37" t="n">
        <v>6612</v>
      </c>
      <c r="F27" s="63" t="n">
        <f aca="false">IF(E27="","",D27-E27)</f>
        <v>-4</v>
      </c>
      <c r="G27" s="37" t="n">
        <v>4032</v>
      </c>
      <c r="H27" s="37" t="n">
        <v>3834</v>
      </c>
      <c r="I27" s="63" t="n">
        <f aca="false">IF(H27="","",G27-H27)</f>
        <v>198</v>
      </c>
      <c r="J27" s="52" t="n">
        <f aca="false">IF(OR(D27="",D27+G27=0),"",D27/(D27+G27))</f>
        <v>0.621052631578947</v>
      </c>
      <c r="K27" s="52" t="n">
        <f aca="false">IF(E27="","",E27/(E27+H27))</f>
        <v>0.632969557725445</v>
      </c>
      <c r="L27" s="64" t="n">
        <f aca="false">IF(OR(K27="",J27=""),"",(J27-K27)*100)</f>
        <v>-1.19169261464978</v>
      </c>
      <c r="M27" s="21"/>
    </row>
    <row r="28" customFormat="false" ht="15" hidden="false" customHeight="false" outlineLevel="0" collapsed="false">
      <c r="A28" s="21" t="s">
        <v>149</v>
      </c>
      <c r="B28" s="21" t="s">
        <v>153</v>
      </c>
      <c r="C28" s="21" t="s">
        <v>122</v>
      </c>
      <c r="D28" s="37" t="n">
        <v>1606</v>
      </c>
      <c r="E28" s="37" t="n">
        <v>1560</v>
      </c>
      <c r="F28" s="63" t="n">
        <f aca="false">IF(E28="","",D28-E28)</f>
        <v>46</v>
      </c>
      <c r="G28" s="37" t="n">
        <v>1480</v>
      </c>
      <c r="H28" s="37" t="n">
        <v>1491</v>
      </c>
      <c r="I28" s="63" t="n">
        <f aca="false">IF(H28="","",G28-H28)</f>
        <v>-11</v>
      </c>
      <c r="J28" s="52" t="n">
        <f aca="false">IF(OR(D28="",D28+G28=0),"",D28/(D28+G28))</f>
        <v>0.520414776409592</v>
      </c>
      <c r="K28" s="52" t="n">
        <f aca="false">IF(E28="","",E28/(E28+H28))</f>
        <v>0.511307767944936</v>
      </c>
      <c r="L28" s="64" t="n">
        <f aca="false">IF(OR(K28="",J28=""),"",(J28-K28)*100)</f>
        <v>0.910700846465562</v>
      </c>
      <c r="M28" s="21"/>
    </row>
    <row r="29" customFormat="false" ht="15" hidden="false" customHeight="false" outlineLevel="0" collapsed="false">
      <c r="A29" s="21" t="s">
        <v>149</v>
      </c>
      <c r="B29" s="21" t="s">
        <v>154</v>
      </c>
      <c r="C29" s="21" t="s">
        <v>122</v>
      </c>
      <c r="D29" s="37" t="n">
        <v>758</v>
      </c>
      <c r="E29" s="37" t="n">
        <v>735</v>
      </c>
      <c r="F29" s="63" t="n">
        <f aca="false">IF(E29="","",D29-E29)</f>
        <v>23</v>
      </c>
      <c r="G29" s="37" t="n">
        <v>813</v>
      </c>
      <c r="H29" s="37" t="n">
        <v>804</v>
      </c>
      <c r="I29" s="63" t="n">
        <f aca="false">IF(H29="","",G29-H29)</f>
        <v>9</v>
      </c>
      <c r="J29" s="52" t="n">
        <f aca="false">IF(OR(D29="",D29+G29=0),"",D29/(D29+G29))</f>
        <v>0.482495225970719</v>
      </c>
      <c r="K29" s="52" t="n">
        <f aca="false">IF(E29="","",E29/(E29+H29))</f>
        <v>0.477582846003899</v>
      </c>
      <c r="L29" s="64" t="n">
        <f aca="false">IF(OR(K29="",J29=""),"",(J29-K29)*100)</f>
        <v>0.49123799668207</v>
      </c>
      <c r="M29" s="21"/>
    </row>
    <row r="30" customFormat="false" ht="15" hidden="false" customHeight="false" outlineLevel="0" collapsed="false">
      <c r="A30" s="21" t="s">
        <v>149</v>
      </c>
      <c r="B30" s="21" t="s">
        <v>155</v>
      </c>
      <c r="C30" s="21" t="s">
        <v>122</v>
      </c>
      <c r="D30" s="37" t="n">
        <v>936</v>
      </c>
      <c r="E30" s="37" t="n">
        <v>899</v>
      </c>
      <c r="F30" s="63" t="n">
        <f aca="false">IF(E30="","",D30-E30)</f>
        <v>37</v>
      </c>
      <c r="G30" s="37" t="n">
        <v>901</v>
      </c>
      <c r="H30" s="37" t="n">
        <v>898</v>
      </c>
      <c r="I30" s="63" t="n">
        <f aca="false">IF(H30="","",G30-H30)</f>
        <v>3</v>
      </c>
      <c r="J30" s="52" t="n">
        <f aca="false">IF(OR(D30="",D30+G30=0),"",D30/(D30+G30))</f>
        <v>0.509526401741971</v>
      </c>
      <c r="K30" s="52" t="n">
        <f aca="false">IF(E30="","",E30/(E30+H30))</f>
        <v>0.500278241513634</v>
      </c>
      <c r="L30" s="64" t="n">
        <f aca="false">IF(OR(K30="",J30=""),"",(J30-K30)*100)</f>
        <v>0.924816022833674</v>
      </c>
      <c r="M30" s="21"/>
    </row>
    <row r="31" customFormat="false" ht="15" hidden="false" customHeight="false" outlineLevel="0" collapsed="false">
      <c r="A31" s="21" t="s">
        <v>149</v>
      </c>
      <c r="B31" s="21" t="s">
        <v>156</v>
      </c>
      <c r="C31" s="21" t="s">
        <v>122</v>
      </c>
      <c r="D31" s="37" t="n">
        <v>3593</v>
      </c>
      <c r="E31" s="37" t="n">
        <v>3663</v>
      </c>
      <c r="F31" s="63" t="n">
        <f aca="false">IF(E31="","",D31-E31)</f>
        <v>-70</v>
      </c>
      <c r="G31" s="37" t="n">
        <v>3265</v>
      </c>
      <c r="H31" s="37" t="n">
        <v>3236</v>
      </c>
      <c r="I31" s="63" t="n">
        <f aca="false">IF(H31="","",G31-H31)</f>
        <v>29</v>
      </c>
      <c r="J31" s="52" t="n">
        <f aca="false">IF(OR(D31="",D31+G31=0),"",D31/(D31+G31))</f>
        <v>0.523913677456985</v>
      </c>
      <c r="K31" s="52" t="n">
        <f aca="false">IF(E31="","",E31/(E31+H31))</f>
        <v>0.530946513987535</v>
      </c>
      <c r="L31" s="64" t="n">
        <f aca="false">IF(OR(K31="",J31=""),"",(J31-K31)*100)</f>
        <v>-0.703283653054987</v>
      </c>
      <c r="M31" s="21"/>
    </row>
    <row r="32" customFormat="false" ht="15" hidden="false" customHeight="false" outlineLevel="0" collapsed="false">
      <c r="A32" s="21" t="s">
        <v>149</v>
      </c>
      <c r="B32" s="21" t="s">
        <v>157</v>
      </c>
      <c r="C32" s="21" t="s">
        <v>122</v>
      </c>
      <c r="D32" s="37" t="n">
        <v>1519</v>
      </c>
      <c r="E32" s="37" t="n">
        <v>1433</v>
      </c>
      <c r="F32" s="63" t="n">
        <f aca="false">IF(E32="","",D32-E32)</f>
        <v>86</v>
      </c>
      <c r="G32" s="37" t="n">
        <v>822</v>
      </c>
      <c r="H32" s="37" t="n">
        <v>793</v>
      </c>
      <c r="I32" s="63" t="n">
        <f aca="false">IF(H32="","",G32-H32)</f>
        <v>29</v>
      </c>
      <c r="J32" s="52" t="n">
        <f aca="false">IF(OR(D32="",D32+G32=0),"",D32/(D32+G32))</f>
        <v>0.648868005126015</v>
      </c>
      <c r="K32" s="52" t="n">
        <f aca="false">IF(E32="","",E32/(E32+H32))</f>
        <v>0.643755615453729</v>
      </c>
      <c r="L32" s="64" t="n">
        <f aca="false">IF(OR(K32="",J32=""),"",(J32-K32)*100)</f>
        <v>0.511238967228589</v>
      </c>
      <c r="M32" s="21"/>
    </row>
    <row r="33" customFormat="false" ht="15" hidden="false" customHeight="false" outlineLevel="0" collapsed="false">
      <c r="A33" s="21" t="s">
        <v>149</v>
      </c>
      <c r="B33" s="21" t="s">
        <v>158</v>
      </c>
      <c r="C33" s="21" t="s">
        <v>122</v>
      </c>
      <c r="D33" s="37" t="n">
        <v>387</v>
      </c>
      <c r="E33" s="37" t="n">
        <v>379</v>
      </c>
      <c r="F33" s="63" t="n">
        <f aca="false">IF(E33="","",D33-E33)</f>
        <v>8</v>
      </c>
      <c r="G33" s="37" t="n">
        <v>352</v>
      </c>
      <c r="H33" s="37" t="n">
        <v>330</v>
      </c>
      <c r="I33" s="63" t="n">
        <f aca="false">IF(H33="","",G33-H33)</f>
        <v>22</v>
      </c>
      <c r="J33" s="52" t="n">
        <f aca="false">IF(OR(D33="",D33+G33=0),"",D33/(D33+G33))</f>
        <v>0.523680649526387</v>
      </c>
      <c r="K33" s="52" t="n">
        <f aca="false">IF(E33="","",E33/(E33+H33))</f>
        <v>0.534555712270804</v>
      </c>
      <c r="L33" s="64" t="n">
        <f aca="false">IF(OR(K33="",J33=""),"",(J33-K33)*100)</f>
        <v>-1.08750627444169</v>
      </c>
      <c r="M33" s="21"/>
    </row>
    <row r="34" customFormat="false" ht="15" hidden="false" customHeight="false" outlineLevel="0" collapsed="false">
      <c r="A34" s="21" t="s">
        <v>149</v>
      </c>
      <c r="B34" s="21" t="s">
        <v>159</v>
      </c>
      <c r="C34" s="21" t="s">
        <v>122</v>
      </c>
      <c r="D34" s="37" t="n">
        <v>639</v>
      </c>
      <c r="E34" s="37" t="n">
        <v>654</v>
      </c>
      <c r="F34" s="63" t="n">
        <f aca="false">IF(E34="","",D34-E34)</f>
        <v>-15</v>
      </c>
      <c r="G34" s="37" t="n">
        <v>1415</v>
      </c>
      <c r="H34" s="37" t="n">
        <v>1439</v>
      </c>
      <c r="I34" s="63" t="n">
        <f aca="false">IF(H34="","",G34-H34)</f>
        <v>-24</v>
      </c>
      <c r="J34" s="52" t="n">
        <f aca="false">IF(OR(D34="",D34+G34=0),"",D34/(D34+G34))</f>
        <v>0.31110029211295</v>
      </c>
      <c r="K34" s="52" t="n">
        <f aca="false">IF(E34="","",E34/(E34+H34))</f>
        <v>0.312470138557095</v>
      </c>
      <c r="L34" s="64" t="n">
        <f aca="false">IF(OR(K34="",J34=""),"",(J34-K34)*100)</f>
        <v>-0.136984644414478</v>
      </c>
      <c r="M34" s="21"/>
    </row>
    <row r="35" customFormat="false" ht="15" hidden="false" customHeight="false" outlineLevel="0" collapsed="false">
      <c r="A35" s="21" t="s">
        <v>149</v>
      </c>
      <c r="B35" s="21" t="s">
        <v>160</v>
      </c>
      <c r="C35" s="21" t="s">
        <v>122</v>
      </c>
      <c r="D35" s="37" t="n">
        <v>10097</v>
      </c>
      <c r="E35" s="37" t="n">
        <v>10021</v>
      </c>
      <c r="F35" s="63" t="n">
        <f aca="false">IF(E35="","",D35-E35)</f>
        <v>76</v>
      </c>
      <c r="G35" s="37" t="n">
        <v>10339</v>
      </c>
      <c r="H35" s="37" t="n">
        <v>10199</v>
      </c>
      <c r="I35" s="63" t="n">
        <f aca="false">IF(H35="","",G35-H35)</f>
        <v>140</v>
      </c>
      <c r="J35" s="52" t="n">
        <f aca="false">IF(OR(D35="",D35+G35=0),"",D35/(D35+G35))</f>
        <v>0.494079076140145</v>
      </c>
      <c r="K35" s="52" t="n">
        <f aca="false">IF(E35="","",E35/(E35+H35))</f>
        <v>0.495598417408506</v>
      </c>
      <c r="L35" s="64" t="n">
        <f aca="false">IF(OR(K35="",J35=""),"",(J35-K35)*100)</f>
        <v>-0.151934126836156</v>
      </c>
      <c r="M35" s="21"/>
    </row>
    <row r="36" customFormat="false" ht="15" hidden="false" customHeight="false" outlineLevel="0" collapsed="false">
      <c r="A36" s="21" t="s">
        <v>149</v>
      </c>
      <c r="B36" s="21" t="s">
        <v>161</v>
      </c>
      <c r="C36" s="21" t="s">
        <v>122</v>
      </c>
      <c r="D36" s="37" t="n">
        <v>928</v>
      </c>
      <c r="E36" s="37" t="n">
        <v>985</v>
      </c>
      <c r="F36" s="63" t="n">
        <f aca="false">IF(E36="","",D36-E36)</f>
        <v>-57</v>
      </c>
      <c r="G36" s="37" t="n">
        <v>1673</v>
      </c>
      <c r="H36" s="37" t="n">
        <v>1586</v>
      </c>
      <c r="I36" s="63" t="n">
        <f aca="false">IF(H36="","",G36-H36)</f>
        <v>87</v>
      </c>
      <c r="J36" s="52" t="n">
        <f aca="false">IF(OR(D36="",D36+G36=0),"",D36/(D36+G36))</f>
        <v>0.35678585159554</v>
      </c>
      <c r="K36" s="52" t="n">
        <f aca="false">IF(E36="","",E36/(E36+H36))</f>
        <v>0.383119408790354</v>
      </c>
      <c r="L36" s="64" t="n">
        <f aca="false">IF(OR(K36="",J36=""),"",(J36-K36)*100)</f>
        <v>-2.63335571948138</v>
      </c>
      <c r="M36" s="21"/>
    </row>
    <row r="37" customFormat="false" ht="15" hidden="false" customHeight="false" outlineLevel="0" collapsed="false">
      <c r="A37" s="21" t="s">
        <v>149</v>
      </c>
      <c r="B37" s="21" t="s">
        <v>162</v>
      </c>
      <c r="C37" s="21" t="s">
        <v>122</v>
      </c>
      <c r="D37" s="37" t="n">
        <v>542</v>
      </c>
      <c r="E37" s="37" t="n">
        <v>543</v>
      </c>
      <c r="F37" s="63" t="n">
        <f aca="false">IF(E37="","",D37-E37)</f>
        <v>-1</v>
      </c>
      <c r="G37" s="37" t="n">
        <v>1021</v>
      </c>
      <c r="H37" s="37" t="n">
        <v>990</v>
      </c>
      <c r="I37" s="63" t="n">
        <f aca="false">IF(H37="","",G37-H37)</f>
        <v>31</v>
      </c>
      <c r="J37" s="52" t="n">
        <f aca="false">IF(OR(D37="",D37+G37=0),"",D37/(D37+G37))</f>
        <v>0.346769033909149</v>
      </c>
      <c r="K37" s="52" t="n">
        <f aca="false">IF(E37="","",E37/(E37+H37))</f>
        <v>0.354207436399217</v>
      </c>
      <c r="L37" s="64" t="n">
        <f aca="false">IF(OR(K37="",J37=""),"",(J37-K37)*100)</f>
        <v>-0.743840249006811</v>
      </c>
      <c r="M37" s="21"/>
    </row>
    <row r="38" customFormat="false" ht="15" hidden="false" customHeight="false" outlineLevel="0" collapsed="false">
      <c r="A38" s="21" t="s">
        <v>149</v>
      </c>
      <c r="B38" s="21" t="s">
        <v>163</v>
      </c>
      <c r="C38" s="21" t="s">
        <v>122</v>
      </c>
      <c r="D38" s="37" t="n">
        <v>848</v>
      </c>
      <c r="E38" s="37" t="n">
        <v>850</v>
      </c>
      <c r="F38" s="63" t="n">
        <f aca="false">IF(E38="","",D38-E38)</f>
        <v>-2</v>
      </c>
      <c r="G38" s="37" t="n">
        <v>1851</v>
      </c>
      <c r="H38" s="37" t="n">
        <v>1856</v>
      </c>
      <c r="I38" s="63" t="n">
        <f aca="false">IF(H38="","",G38-H38)</f>
        <v>-5</v>
      </c>
      <c r="J38" s="52" t="n">
        <f aca="false">IF(OR(D38="",D38+G38=0),"",D38/(D38+G38))</f>
        <v>0.314190440904039</v>
      </c>
      <c r="K38" s="52" t="n">
        <f aca="false">IF(E38="","",E38/(E38+H38))</f>
        <v>0.314116777531412</v>
      </c>
      <c r="L38" s="64" t="n">
        <f aca="false">IF(OR(K38="",J38=""),"",(J38-K38)*100)</f>
        <v>0.00736633726268754</v>
      </c>
      <c r="M38" s="21"/>
    </row>
    <row r="39" customFormat="false" ht="15" hidden="false" customHeight="false" outlineLevel="0" collapsed="false">
      <c r="A39" s="21" t="s">
        <v>149</v>
      </c>
      <c r="B39" s="21" t="s">
        <v>164</v>
      </c>
      <c r="C39" s="21" t="s">
        <v>122</v>
      </c>
      <c r="D39" s="37" t="n">
        <v>976</v>
      </c>
      <c r="E39" s="37" t="n">
        <v>980</v>
      </c>
      <c r="F39" s="63" t="n">
        <f aca="false">IF(E39="","",D39-E39)</f>
        <v>-4</v>
      </c>
      <c r="G39" s="37" t="n">
        <v>917</v>
      </c>
      <c r="H39" s="37" t="n">
        <v>872</v>
      </c>
      <c r="I39" s="63" t="n">
        <f aca="false">IF(H39="","",G39-H39)</f>
        <v>45</v>
      </c>
      <c r="J39" s="52" t="n">
        <f aca="false">IF(OR(D39="",D39+G39=0),"",D39/(D39+G39))</f>
        <v>0.515583729529847</v>
      </c>
      <c r="K39" s="52" t="n">
        <f aca="false">IF(E39="","",E39/(E39+H39))</f>
        <v>0.529157667386609</v>
      </c>
      <c r="L39" s="64" t="n">
        <f aca="false">IF(OR(K39="",J39=""),"",(J39-K39)*100)</f>
        <v>-1.35739378567623</v>
      </c>
      <c r="M39" s="21"/>
    </row>
    <row r="40" customFormat="false" ht="15" hidden="false" customHeight="false" outlineLevel="0" collapsed="false">
      <c r="A40" s="21" t="s">
        <v>149</v>
      </c>
      <c r="B40" s="21" t="s">
        <v>165</v>
      </c>
      <c r="C40" s="21" t="s">
        <v>122</v>
      </c>
      <c r="D40" s="37" t="n">
        <v>4003</v>
      </c>
      <c r="E40" s="37" t="n">
        <v>4022</v>
      </c>
      <c r="F40" s="63" t="n">
        <f aca="false">IF(E40="","",D40-E40)</f>
        <v>-19</v>
      </c>
      <c r="G40" s="37" t="n">
        <v>6034</v>
      </c>
      <c r="H40" s="37" t="n">
        <v>5915</v>
      </c>
      <c r="I40" s="63" t="n">
        <f aca="false">IF(H40="","",G40-H40)</f>
        <v>119</v>
      </c>
      <c r="J40" s="52" t="n">
        <f aca="false">IF(OR(D40="",D40+G40=0),"",D40/(D40+G40))</f>
        <v>0.39882434990535</v>
      </c>
      <c r="K40" s="52" t="n">
        <f aca="false">IF(E40="","",E40/(E40+H40))</f>
        <v>0.404749924524504</v>
      </c>
      <c r="L40" s="64" t="n">
        <f aca="false">IF(OR(K40="",J40=""),"",(J40-K40)*100)</f>
        <v>-0.592557461915416</v>
      </c>
      <c r="M40" s="21"/>
    </row>
    <row r="41" customFormat="false" ht="15" hidden="false" customHeight="false" outlineLevel="0" collapsed="false">
      <c r="A41" s="21" t="s">
        <v>149</v>
      </c>
      <c r="B41" s="21" t="s">
        <v>166</v>
      </c>
      <c r="C41" s="21" t="s">
        <v>122</v>
      </c>
      <c r="D41" s="37" t="n">
        <v>4008</v>
      </c>
      <c r="E41" s="37" t="n">
        <v>4010</v>
      </c>
      <c r="F41" s="63" t="n">
        <f aca="false">IF(E41="","",D41-E41)</f>
        <v>-2</v>
      </c>
      <c r="G41" s="37" t="n">
        <v>4158</v>
      </c>
      <c r="H41" s="37" t="n">
        <v>4104</v>
      </c>
      <c r="I41" s="63" t="n">
        <f aca="false">IF(H41="","",G41-H41)</f>
        <v>54</v>
      </c>
      <c r="J41" s="52" t="n">
        <f aca="false">IF(OR(D41="",D41+G41=0),"",D41/(D41+G41))</f>
        <v>0.490815576781778</v>
      </c>
      <c r="K41" s="52" t="n">
        <f aca="false">IF(E41="","",E41/(E41+H41))</f>
        <v>0.494207542519103</v>
      </c>
      <c r="L41" s="64" t="n">
        <f aca="false">IF(OR(K41="",J41=""),"",(J41-K41)*100)</f>
        <v>-0.339196573732464</v>
      </c>
      <c r="M41" s="21"/>
    </row>
    <row r="42" customFormat="false" ht="15" hidden="false" customHeight="false" outlineLevel="0" collapsed="false">
      <c r="A42" s="21" t="s">
        <v>149</v>
      </c>
      <c r="B42" s="21" t="s">
        <v>167</v>
      </c>
      <c r="C42" s="21" t="s">
        <v>122</v>
      </c>
      <c r="D42" s="37" t="n">
        <v>878</v>
      </c>
      <c r="E42" s="37" t="n">
        <v>800</v>
      </c>
      <c r="F42" s="63" t="n">
        <f aca="false">IF(E42="","",D42-E42)</f>
        <v>78</v>
      </c>
      <c r="G42" s="37" t="n">
        <v>1120</v>
      </c>
      <c r="H42" s="37" t="n">
        <v>1156</v>
      </c>
      <c r="I42" s="63" t="n">
        <f aca="false">IF(H42="","",G42-H42)</f>
        <v>-36</v>
      </c>
      <c r="J42" s="52" t="n">
        <f aca="false">IF(OR(D42="",D42+G42=0),"",D42/(D42+G42))</f>
        <v>0.439439439439439</v>
      </c>
      <c r="K42" s="52" t="n">
        <f aca="false">IF(E42="","",E42/(E42+H42))</f>
        <v>0.408997955010225</v>
      </c>
      <c r="L42" s="64" t="n">
        <f aca="false">IF(OR(K42="",J42=""),"",(J42-K42)*100)</f>
        <v>3.04414844292145</v>
      </c>
      <c r="M42" s="21"/>
    </row>
    <row r="43" customFormat="false" ht="15" hidden="false" customHeight="false" outlineLevel="0" collapsed="false">
      <c r="A43" s="21" t="s">
        <v>149</v>
      </c>
      <c r="B43" s="21" t="s">
        <v>168</v>
      </c>
      <c r="C43" s="21" t="s">
        <v>122</v>
      </c>
      <c r="D43" s="37" t="n">
        <v>6891</v>
      </c>
      <c r="E43" s="37" t="n">
        <v>7019</v>
      </c>
      <c r="F43" s="63" t="n">
        <f aca="false">IF(E43="","",D43-E43)</f>
        <v>-128</v>
      </c>
      <c r="G43" s="37" t="n">
        <v>6307</v>
      </c>
      <c r="H43" s="37" t="n">
        <v>6110</v>
      </c>
      <c r="I43" s="63" t="n">
        <f aca="false">IF(H43="","",G43-H43)</f>
        <v>197</v>
      </c>
      <c r="J43" s="52" t="n">
        <f aca="false">IF(OR(D43="",D43+G43=0),"",D43/(D43+G43))</f>
        <v>0.522124564327928</v>
      </c>
      <c r="K43" s="52" t="n">
        <f aca="false">IF(E43="","",E43/(E43+H43))</f>
        <v>0.534618021174499</v>
      </c>
      <c r="L43" s="64" t="n">
        <f aca="false">IF(OR(K43="",J43=""),"",(J43-K43)*100)</f>
        <v>-1.24934568465708</v>
      </c>
      <c r="M43" s="21"/>
    </row>
    <row r="44" customFormat="false" ht="15" hidden="false" customHeight="false" outlineLevel="0" collapsed="false">
      <c r="A44" s="21" t="s">
        <v>149</v>
      </c>
      <c r="B44" s="21" t="s">
        <v>169</v>
      </c>
      <c r="C44" s="21" t="s">
        <v>122</v>
      </c>
      <c r="D44" s="37" t="n">
        <v>8205</v>
      </c>
      <c r="E44" s="37" t="n">
        <v>8020</v>
      </c>
      <c r="F44" s="63" t="n">
        <f aca="false">IF(E44="","",D44-E44)</f>
        <v>185</v>
      </c>
      <c r="G44" s="37" t="n">
        <v>7755</v>
      </c>
      <c r="H44" s="37" t="n">
        <v>7607</v>
      </c>
      <c r="I44" s="63" t="n">
        <f aca="false">IF(H44="","",G44-H44)</f>
        <v>148</v>
      </c>
      <c r="J44" s="52" t="n">
        <f aca="false">IF(OR(D44="",D44+G44=0),"",D44/(D44+G44))</f>
        <v>0.514097744360902</v>
      </c>
      <c r="K44" s="52" t="n">
        <f aca="false">IF(E44="","",E44/(E44+H44))</f>
        <v>0.513214308568503</v>
      </c>
      <c r="L44" s="64" t="n">
        <f aca="false">IF(OR(K44="",J44=""),"",(J44-K44)*100)</f>
        <v>0.0883435792399023</v>
      </c>
      <c r="M44" s="21"/>
    </row>
    <row r="45" customFormat="false" ht="15" hidden="false" customHeight="false" outlineLevel="0" collapsed="false">
      <c r="A45" s="21" t="s">
        <v>149</v>
      </c>
      <c r="B45" s="21" t="s">
        <v>170</v>
      </c>
      <c r="C45" s="21" t="s">
        <v>122</v>
      </c>
      <c r="D45" s="37" t="n">
        <v>2356</v>
      </c>
      <c r="E45" s="37" t="n">
        <v>2380</v>
      </c>
      <c r="F45" s="63" t="n">
        <f aca="false">IF(E45="","",D45-E45)</f>
        <v>-24</v>
      </c>
      <c r="G45" s="37" t="n">
        <v>3098</v>
      </c>
      <c r="H45" s="37" t="n">
        <v>3135</v>
      </c>
      <c r="I45" s="63" t="n">
        <f aca="false">IF(H45="","",G45-H45)</f>
        <v>-37</v>
      </c>
      <c r="J45" s="52" t="n">
        <f aca="false">IF(OR(D45="",D45+G45=0),"",D45/(D45+G45))</f>
        <v>0.431976530986432</v>
      </c>
      <c r="K45" s="52" t="n">
        <f aca="false">IF(E45="","",E45/(E45+H45))</f>
        <v>0.43155031731641</v>
      </c>
      <c r="L45" s="64" t="n">
        <f aca="false">IF(OR(K45="",J45=""),"",(J45-K45)*100)</f>
        <v>0.0426213670022158</v>
      </c>
      <c r="M45" s="21"/>
    </row>
    <row r="46" customFormat="false" ht="15" hidden="false" customHeight="false" outlineLevel="0" collapsed="false">
      <c r="A46" s="21" t="s">
        <v>149</v>
      </c>
      <c r="B46" s="21" t="s">
        <v>171</v>
      </c>
      <c r="C46" s="21" t="s">
        <v>122</v>
      </c>
      <c r="D46" s="37" t="n">
        <v>5356</v>
      </c>
      <c r="E46" s="37" t="n">
        <v>5462</v>
      </c>
      <c r="F46" s="63" t="n">
        <f aca="false">IF(E46="","",D46-E46)</f>
        <v>-106</v>
      </c>
      <c r="G46" s="37" t="n">
        <v>5830</v>
      </c>
      <c r="H46" s="37" t="n">
        <v>5740</v>
      </c>
      <c r="I46" s="63" t="n">
        <f aca="false">IF(H46="","",G46-H46)</f>
        <v>90</v>
      </c>
      <c r="J46" s="52" t="n">
        <f aca="false">IF(OR(D46="",D46+G46=0),"",D46/(D46+G46))</f>
        <v>0.478812801716431</v>
      </c>
      <c r="K46" s="52" t="n">
        <f aca="false">IF(E46="","",E46/(E46+H46))</f>
        <v>0.487591501517586</v>
      </c>
      <c r="L46" s="64" t="n">
        <f aca="false">IF(OR(K46="",J46=""),"",(J46-K46)*100)</f>
        <v>-0.877869980115487</v>
      </c>
      <c r="M46" s="21"/>
    </row>
    <row r="47" customFormat="false" ht="15" hidden="false" customHeight="false" outlineLevel="0" collapsed="false">
      <c r="A47" s="21" t="s">
        <v>149</v>
      </c>
      <c r="B47" s="21" t="s">
        <v>172</v>
      </c>
      <c r="C47" s="21" t="s">
        <v>122</v>
      </c>
      <c r="D47" s="37" t="n">
        <v>1295</v>
      </c>
      <c r="E47" s="37" t="n">
        <v>1266</v>
      </c>
      <c r="F47" s="63" t="n">
        <f aca="false">IF(E47="","",D47-E47)</f>
        <v>29</v>
      </c>
      <c r="G47" s="37" t="n">
        <v>2638</v>
      </c>
      <c r="H47" s="37" t="n">
        <v>2669</v>
      </c>
      <c r="I47" s="63" t="n">
        <f aca="false">IF(H47="","",G47-H47)</f>
        <v>-31</v>
      </c>
      <c r="J47" s="52" t="n">
        <f aca="false">IF(OR(D47="",D47+G47=0),"",D47/(D47+G47))</f>
        <v>0.329265191965421</v>
      </c>
      <c r="K47" s="52" t="n">
        <f aca="false">IF(E47="","",E47/(E47+H47))</f>
        <v>0.321728081321474</v>
      </c>
      <c r="L47" s="64" t="n">
        <f aca="false">IF(OR(K47="",J47=""),"",(J47-K47)*100)</f>
        <v>0.753711064394685</v>
      </c>
      <c r="M47" s="21"/>
    </row>
    <row r="48" customFormat="false" ht="15" hidden="false" customHeight="false" outlineLevel="0" collapsed="false">
      <c r="A48" s="21" t="s">
        <v>149</v>
      </c>
      <c r="B48" s="21" t="s">
        <v>173</v>
      </c>
      <c r="C48" s="21" t="s">
        <v>122</v>
      </c>
      <c r="D48" s="37" t="n">
        <v>1145</v>
      </c>
      <c r="E48" s="37" t="n">
        <v>1172</v>
      </c>
      <c r="F48" s="63" t="n">
        <f aca="false">IF(E48="","",D48-E48)</f>
        <v>-27</v>
      </c>
      <c r="G48" s="37" t="n">
        <v>2233</v>
      </c>
      <c r="H48" s="37" t="n">
        <v>2201</v>
      </c>
      <c r="I48" s="63" t="n">
        <f aca="false">IF(H48="","",G48-H48)</f>
        <v>32</v>
      </c>
      <c r="J48" s="52" t="n">
        <f aca="false">IF(OR(D48="",D48+G48=0),"",D48/(D48+G48))</f>
        <v>0.338957963291889</v>
      </c>
      <c r="K48" s="52" t="n">
        <f aca="false">IF(E48="","",E48/(E48+H48))</f>
        <v>0.347465164541951</v>
      </c>
      <c r="L48" s="64" t="n">
        <f aca="false">IF(OR(K48="",J48=""),"",(J48-K48)*100)</f>
        <v>-0.85072012500621</v>
      </c>
      <c r="M48" s="21"/>
    </row>
    <row r="49" customFormat="false" ht="15" hidden="false" customHeight="false" outlineLevel="0" collapsed="false">
      <c r="A49" s="21" t="s">
        <v>149</v>
      </c>
      <c r="B49" s="21" t="s">
        <v>174</v>
      </c>
      <c r="C49" s="21" t="s">
        <v>122</v>
      </c>
      <c r="D49" s="37" t="n">
        <v>7494</v>
      </c>
      <c r="E49" s="37" t="n">
        <v>7383</v>
      </c>
      <c r="F49" s="63" t="n">
        <f aca="false">IF(E49="","",D49-E49)</f>
        <v>111</v>
      </c>
      <c r="G49" s="37" t="n">
        <v>6986</v>
      </c>
      <c r="H49" s="37" t="n">
        <v>7036</v>
      </c>
      <c r="I49" s="63" t="n">
        <f aca="false">IF(H49="","",G49-H49)</f>
        <v>-50</v>
      </c>
      <c r="J49" s="52" t="n">
        <f aca="false">IF(OR(D49="",D49+G49=0),"",D49/(D49+G49))</f>
        <v>0.517541436464088</v>
      </c>
      <c r="K49" s="52" t="n">
        <f aca="false">IF(E49="","",E49/(E49+H49))</f>
        <v>0.51203273458631</v>
      </c>
      <c r="L49" s="64" t="n">
        <f aca="false">IF(OR(K49="",J49=""),"",(J49-K49)*100)</f>
        <v>0.550870187777863</v>
      </c>
      <c r="M49" s="21"/>
    </row>
    <row r="50" customFormat="false" ht="15" hidden="false" customHeight="false" outlineLevel="0" collapsed="false">
      <c r="A50" s="21" t="s">
        <v>175</v>
      </c>
      <c r="B50" s="21" t="s">
        <v>176</v>
      </c>
      <c r="C50" s="21" t="s">
        <v>122</v>
      </c>
      <c r="D50" s="37" t="n">
        <v>468</v>
      </c>
      <c r="E50" s="37" t="n">
        <v>471</v>
      </c>
      <c r="F50" s="63" t="n">
        <f aca="false">IF(E50="","",D50-E50)</f>
        <v>-3</v>
      </c>
      <c r="G50" s="37" t="n">
        <v>1076</v>
      </c>
      <c r="H50" s="37" t="n">
        <v>1124</v>
      </c>
      <c r="I50" s="63" t="n">
        <f aca="false">IF(H50="","",G50-H50)</f>
        <v>-48</v>
      </c>
      <c r="J50" s="52" t="n">
        <f aca="false">IF(OR(D50="",D50+G50=0),"",D50/(D50+G50))</f>
        <v>0.303108808290155</v>
      </c>
      <c r="K50" s="52" t="n">
        <f aca="false">IF(E50="","",E50/(E50+H50))</f>
        <v>0.295297805642633</v>
      </c>
      <c r="L50" s="64" t="n">
        <f aca="false">IF(OR(K50="",J50=""),"",(J50-K50)*100)</f>
        <v>0.781100264752221</v>
      </c>
      <c r="M50" s="21"/>
    </row>
    <row r="51" customFormat="false" ht="15" hidden="false" customHeight="false" outlineLevel="0" collapsed="false">
      <c r="A51" s="21" t="s">
        <v>175</v>
      </c>
      <c r="B51" s="21" t="s">
        <v>177</v>
      </c>
      <c r="C51" s="21" t="s">
        <v>122</v>
      </c>
      <c r="D51" s="37" t="n">
        <v>1344</v>
      </c>
      <c r="E51" s="37" t="n">
        <v>1414</v>
      </c>
      <c r="F51" s="63" t="n">
        <f aca="false">IF(E51="","",D51-E51)</f>
        <v>-70</v>
      </c>
      <c r="G51" s="37" t="n">
        <v>2825</v>
      </c>
      <c r="H51" s="37" t="n">
        <v>2894</v>
      </c>
      <c r="I51" s="63" t="n">
        <f aca="false">IF(H51="","",G51-H51)</f>
        <v>-69</v>
      </c>
      <c r="J51" s="52" t="n">
        <f aca="false">IF(OR(D51="",D51+G51=0),"",D51/(D51+G51))</f>
        <v>0.322379467498201</v>
      </c>
      <c r="K51" s="52" t="n">
        <f aca="false">IF(E51="","",E51/(E51+H51))</f>
        <v>0.328226555246054</v>
      </c>
      <c r="L51" s="64" t="n">
        <f aca="false">IF(OR(K51="",J51=""),"",(J51-K51)*100)</f>
        <v>-0.584708774785286</v>
      </c>
      <c r="M51" s="21"/>
    </row>
    <row r="52" customFormat="false" ht="15" hidden="false" customHeight="false" outlineLevel="0" collapsed="false">
      <c r="A52" s="21" t="s">
        <v>175</v>
      </c>
      <c r="B52" s="21" t="s">
        <v>178</v>
      </c>
      <c r="C52" s="21" t="s">
        <v>122</v>
      </c>
      <c r="D52" s="37" t="n">
        <v>988</v>
      </c>
      <c r="E52" s="37" t="n">
        <v>521</v>
      </c>
      <c r="F52" s="63" t="n">
        <f aca="false">IF(E52="","",D52-E52)</f>
        <v>467</v>
      </c>
      <c r="G52" s="37" t="n">
        <v>1932</v>
      </c>
      <c r="H52" s="37" t="n">
        <v>997</v>
      </c>
      <c r="I52" s="63" t="n">
        <f aca="false">IF(H52="","",G52-H52)</f>
        <v>935</v>
      </c>
      <c r="J52" s="52" t="n">
        <f aca="false">IF(OR(D52="",D52+G52=0),"",D52/(D52+G52))</f>
        <v>0.338356164383562</v>
      </c>
      <c r="K52" s="52" t="n">
        <f aca="false">IF(E52="","",E52/(E52+H52))</f>
        <v>0.343214756258235</v>
      </c>
      <c r="L52" s="64" t="n">
        <f aca="false">IF(OR(K52="",J52=""),"",(J52-K52)*100)</f>
        <v>-0.485859187467286</v>
      </c>
      <c r="M52" s="21"/>
    </row>
    <row r="53" customFormat="false" ht="15" hidden="false" customHeight="false" outlineLevel="0" collapsed="false">
      <c r="A53" s="21" t="s">
        <v>179</v>
      </c>
      <c r="B53" s="21" t="s">
        <v>180</v>
      </c>
      <c r="C53" s="21" t="s">
        <v>122</v>
      </c>
      <c r="D53" s="37" t="n">
        <v>1516</v>
      </c>
      <c r="E53" s="37" t="n">
        <v>1511</v>
      </c>
      <c r="F53" s="63" t="n">
        <f aca="false">IF(E53="","",D53-E53)</f>
        <v>5</v>
      </c>
      <c r="G53" s="37" t="n">
        <v>1948</v>
      </c>
      <c r="H53" s="37" t="n">
        <v>2018</v>
      </c>
      <c r="I53" s="63" t="n">
        <f aca="false">IF(H53="","",G53-H53)</f>
        <v>-70</v>
      </c>
      <c r="J53" s="52" t="n">
        <f aca="false">IF(OR(D53="",D53+G53=0),"",D53/(D53+G53))</f>
        <v>0.437644341801386</v>
      </c>
      <c r="K53" s="52" t="n">
        <f aca="false">IF(E53="","",E53/(E53+H53))</f>
        <v>0.428166619438935</v>
      </c>
      <c r="L53" s="64" t="n">
        <f aca="false">IF(OR(K53="",J53=""),"",(J53-K53)*100)</f>
        <v>0.947772236245115</v>
      </c>
      <c r="M53" s="21"/>
    </row>
    <row r="54" customFormat="false" ht="15" hidden="false" customHeight="false" outlineLevel="0" collapsed="false">
      <c r="A54" s="21" t="s">
        <v>179</v>
      </c>
      <c r="B54" s="21" t="s">
        <v>181</v>
      </c>
      <c r="C54" s="21" t="s">
        <v>122</v>
      </c>
      <c r="D54" s="37" t="n">
        <v>973</v>
      </c>
      <c r="E54" s="37" t="n">
        <v>959</v>
      </c>
      <c r="F54" s="63" t="n">
        <f aca="false">IF(E54="","",D54-E54)</f>
        <v>14</v>
      </c>
      <c r="G54" s="37" t="n">
        <v>1338</v>
      </c>
      <c r="H54" s="37" t="n">
        <v>1364</v>
      </c>
      <c r="I54" s="63" t="n">
        <f aca="false">IF(H54="","",G54-H54)</f>
        <v>-26</v>
      </c>
      <c r="J54" s="52" t="n">
        <f aca="false">IF(OR(D54="",D54+G54=0),"",D54/(D54+G54))</f>
        <v>0.421029857204673</v>
      </c>
      <c r="K54" s="52" t="n">
        <f aca="false">IF(E54="","",E54/(E54+H54))</f>
        <v>0.412828239345674</v>
      </c>
      <c r="L54" s="64" t="n">
        <f aca="false">IF(OR(K54="",J54=""),"",(J54-K54)*100)</f>
        <v>0.820161785899959</v>
      </c>
      <c r="M54" s="21"/>
    </row>
    <row r="55" customFormat="false" ht="15" hidden="false" customHeight="false" outlineLevel="0" collapsed="false">
      <c r="A55" s="21" t="s">
        <v>179</v>
      </c>
      <c r="B55" s="21" t="s">
        <v>182</v>
      </c>
      <c r="C55" s="21" t="s">
        <v>122</v>
      </c>
      <c r="D55" s="37" t="n">
        <v>636</v>
      </c>
      <c r="E55" s="37" t="n">
        <v>623</v>
      </c>
      <c r="F55" s="63" t="n">
        <f aca="false">IF(E55="","",D55-E55)</f>
        <v>13</v>
      </c>
      <c r="G55" s="37" t="n">
        <v>734</v>
      </c>
      <c r="H55" s="37" t="n">
        <v>726</v>
      </c>
      <c r="I55" s="63" t="n">
        <f aca="false">IF(H55="","",G55-H55)</f>
        <v>8</v>
      </c>
      <c r="J55" s="52" t="n">
        <f aca="false">IF(OR(D55="",D55+G55=0),"",D55/(D55+G55))</f>
        <v>0.464233576642336</v>
      </c>
      <c r="K55" s="52" t="n">
        <f aca="false">IF(E55="","",E55/(E55+H55))</f>
        <v>0.46182357301705</v>
      </c>
      <c r="L55" s="64" t="n">
        <f aca="false">IF(OR(K55="",J55=""),"",(J55-K55)*100)</f>
        <v>0.241000362528609</v>
      </c>
      <c r="M55" s="21"/>
    </row>
    <row r="56" customFormat="false" ht="15" hidden="false" customHeight="false" outlineLevel="0" collapsed="false">
      <c r="A56" s="21" t="s">
        <v>179</v>
      </c>
      <c r="B56" s="21" t="s">
        <v>152</v>
      </c>
      <c r="C56" s="21" t="s">
        <v>122</v>
      </c>
      <c r="D56" s="37" t="n">
        <v>16468</v>
      </c>
      <c r="E56" s="37" t="n">
        <v>17416</v>
      </c>
      <c r="F56" s="63" t="n">
        <f aca="false">IF(E56="","",D56-E56)</f>
        <v>-948</v>
      </c>
      <c r="G56" s="37" t="n">
        <v>9115</v>
      </c>
      <c r="H56" s="37" t="n">
        <v>8640</v>
      </c>
      <c r="I56" s="63" t="n">
        <f aca="false">IF(H56="","",G56-H56)</f>
        <v>475</v>
      </c>
      <c r="J56" s="52" t="n">
        <f aca="false">IF(OR(D56="",D56+G56=0),"",D56/(D56+G56))</f>
        <v>0.643708712817105</v>
      </c>
      <c r="K56" s="52" t="n">
        <f aca="false">IF(E56="","",E56/(E56+H56))</f>
        <v>0.668406509057415</v>
      </c>
      <c r="L56" s="64" t="n">
        <f aca="false">IF(OR(K56="",J56=""),"",(J56-K56)*100)</f>
        <v>-2.46977962403098</v>
      </c>
      <c r="M56" s="21"/>
    </row>
    <row r="57" customFormat="false" ht="15" hidden="false" customHeight="false" outlineLevel="0" collapsed="false">
      <c r="A57" s="21" t="s">
        <v>179</v>
      </c>
      <c r="B57" s="21" t="s">
        <v>183</v>
      </c>
      <c r="C57" s="21" t="s">
        <v>122</v>
      </c>
      <c r="D57" s="37" t="n">
        <v>8299</v>
      </c>
      <c r="E57" s="37" t="n">
        <v>8595</v>
      </c>
      <c r="F57" s="63" t="n">
        <f aca="false">IF(E57="","",D57-E57)</f>
        <v>-296</v>
      </c>
      <c r="G57" s="37" t="n">
        <v>7634</v>
      </c>
      <c r="H57" s="37" t="n">
        <v>7440</v>
      </c>
      <c r="I57" s="63" t="n">
        <f aca="false">IF(H57="","",G57-H57)</f>
        <v>194</v>
      </c>
      <c r="J57" s="52" t="n">
        <f aca="false">IF(OR(D57="",D57+G57=0),"",D57/(D57+G57))</f>
        <v>0.520868637419193</v>
      </c>
      <c r="K57" s="52" t="n">
        <f aca="false">IF(E57="","",E57/(E57+H57))</f>
        <v>0.536014967259121</v>
      </c>
      <c r="L57" s="64" t="n">
        <f aca="false">IF(OR(K57="",J57=""),"",(J57-K57)*100)</f>
        <v>-1.51463298399278</v>
      </c>
      <c r="M57" s="21"/>
    </row>
    <row r="58" customFormat="false" ht="15" hidden="false" customHeight="false" outlineLevel="0" collapsed="false">
      <c r="A58" s="21" t="s">
        <v>179</v>
      </c>
      <c r="B58" s="21" t="s">
        <v>184</v>
      </c>
      <c r="C58" s="21" t="s">
        <v>122</v>
      </c>
      <c r="D58" s="37" t="n">
        <v>1973</v>
      </c>
      <c r="E58" s="37" t="n">
        <v>2169</v>
      </c>
      <c r="F58" s="63" t="n">
        <f aca="false">IF(E58="","",D58-E58)</f>
        <v>-196</v>
      </c>
      <c r="G58" s="37" t="n">
        <v>3642</v>
      </c>
      <c r="H58" s="37" t="n">
        <v>3459</v>
      </c>
      <c r="I58" s="63" t="n">
        <f aca="false">IF(H58="","",G58-H58)</f>
        <v>183</v>
      </c>
      <c r="J58" s="52" t="n">
        <f aca="false">IF(OR(D58="",D58+G58=0),"",D58/(D58+G58))</f>
        <v>0.351380231522707</v>
      </c>
      <c r="K58" s="52" t="n">
        <f aca="false">IF(E58="","",E58/(E58+H58))</f>
        <v>0.385394456289979</v>
      </c>
      <c r="L58" s="64" t="n">
        <f aca="false">IF(OR(K58="",J58=""),"",(J58-K58)*100)</f>
        <v>-3.40142247672717</v>
      </c>
      <c r="M58" s="21"/>
    </row>
    <row r="59" customFormat="false" ht="15" hidden="false" customHeight="false" outlineLevel="0" collapsed="false">
      <c r="A59" s="21" t="s">
        <v>179</v>
      </c>
      <c r="B59" s="21" t="s">
        <v>185</v>
      </c>
      <c r="C59" s="21" t="s">
        <v>122</v>
      </c>
      <c r="D59" s="37" t="n">
        <v>42</v>
      </c>
      <c r="E59" s="37" t="n">
        <v>40</v>
      </c>
      <c r="F59" s="63" t="n">
        <f aca="false">IF(E59="","",D59-E59)</f>
        <v>2</v>
      </c>
      <c r="G59" s="37" t="n">
        <v>79</v>
      </c>
      <c r="H59" s="37" t="n">
        <v>83</v>
      </c>
      <c r="I59" s="63" t="n">
        <f aca="false">IF(H59="","",G59-H59)</f>
        <v>-4</v>
      </c>
      <c r="J59" s="52" t="n">
        <f aca="false">IF(OR(D59="",D59+G59=0),"",D59/(D59+G59))</f>
        <v>0.347107438016529</v>
      </c>
      <c r="K59" s="52" t="n">
        <f aca="false">IF(E59="","",E59/(E59+H59))</f>
        <v>0.32520325203252</v>
      </c>
      <c r="L59" s="64" t="n">
        <f aca="false">IF(OR(K59="",J59=""),"",(J59-K59)*100)</f>
        <v>2.19041859840086</v>
      </c>
      <c r="M59" s="21"/>
    </row>
    <row r="60" customFormat="false" ht="15" hidden="false" customHeight="false" outlineLevel="0" collapsed="false">
      <c r="A60" s="21" t="s">
        <v>179</v>
      </c>
      <c r="B60" s="21" t="s">
        <v>186</v>
      </c>
      <c r="C60" s="21" t="s">
        <v>122</v>
      </c>
      <c r="D60" s="37" t="n">
        <v>1406</v>
      </c>
      <c r="E60" s="37" t="n">
        <v>1484</v>
      </c>
      <c r="F60" s="63" t="n">
        <f aca="false">IF(E60="","",D60-E60)</f>
        <v>-78</v>
      </c>
      <c r="G60" s="37" t="n">
        <v>1963</v>
      </c>
      <c r="H60" s="37" t="n">
        <v>1959</v>
      </c>
      <c r="I60" s="63" t="n">
        <f aca="false">IF(H60="","",G60-H60)</f>
        <v>4</v>
      </c>
      <c r="J60" s="52" t="n">
        <f aca="false">IF(OR(D60="",D60+G60=0),"",D60/(D60+G60))</f>
        <v>0.417334520629267</v>
      </c>
      <c r="K60" s="52" t="n">
        <f aca="false">IF(E60="","",E60/(E60+H60))</f>
        <v>0.431019459773453</v>
      </c>
      <c r="L60" s="64" t="n">
        <f aca="false">IF(OR(K60="",J60=""),"",(J60-K60)*100)</f>
        <v>-1.36849391441866</v>
      </c>
      <c r="M60" s="21"/>
    </row>
    <row r="61" customFormat="false" ht="15" hidden="false" customHeight="false" outlineLevel="0" collapsed="false">
      <c r="A61" s="21" t="s">
        <v>179</v>
      </c>
      <c r="B61" s="21" t="s">
        <v>187</v>
      </c>
      <c r="C61" s="21" t="s">
        <v>122</v>
      </c>
      <c r="D61" s="37" t="n">
        <v>191</v>
      </c>
      <c r="E61" s="37" t="n">
        <v>217</v>
      </c>
      <c r="F61" s="63" t="n">
        <f aca="false">IF(E61="","",D61-E61)</f>
        <v>-26</v>
      </c>
      <c r="G61" s="37" t="n">
        <v>320</v>
      </c>
      <c r="H61" s="37" t="n">
        <v>309</v>
      </c>
      <c r="I61" s="63" t="n">
        <f aca="false">IF(H61="","",G61-H61)</f>
        <v>11</v>
      </c>
      <c r="J61" s="52" t="n">
        <f aca="false">IF(OR(D61="",D61+G61=0),"",D61/(D61+G61))</f>
        <v>0.373776908023483</v>
      </c>
      <c r="K61" s="52" t="n">
        <f aca="false">IF(E61="","",E61/(E61+H61))</f>
        <v>0.41254752851711</v>
      </c>
      <c r="L61" s="64" t="n">
        <f aca="false">IF(OR(K61="",J61=""),"",(J61-K61)*100)</f>
        <v>-3.87706204936269</v>
      </c>
      <c r="M61" s="21"/>
    </row>
    <row r="62" customFormat="false" ht="15" hidden="false" customHeight="false" outlineLevel="0" collapsed="false">
      <c r="A62" s="21" t="s">
        <v>179</v>
      </c>
      <c r="B62" s="21" t="s">
        <v>188</v>
      </c>
      <c r="C62" s="21" t="s">
        <v>122</v>
      </c>
      <c r="D62" s="37" t="n">
        <v>7181</v>
      </c>
      <c r="E62" s="37" t="n">
        <v>7604</v>
      </c>
      <c r="F62" s="63" t="n">
        <f aca="false">IF(E62="","",D62-E62)</f>
        <v>-423</v>
      </c>
      <c r="G62" s="37" t="n">
        <v>3361</v>
      </c>
      <c r="H62" s="37" t="n">
        <v>3303</v>
      </c>
      <c r="I62" s="63" t="n">
        <f aca="false">IF(H62="","",G62-H62)</f>
        <v>58</v>
      </c>
      <c r="J62" s="52" t="n">
        <f aca="false">IF(OR(D62="",D62+G62=0),"",D62/(D62+G62))</f>
        <v>0.681180041737811</v>
      </c>
      <c r="K62" s="52" t="n">
        <f aca="false">IF(E62="","",E62/(E62+H62))</f>
        <v>0.697166957000092</v>
      </c>
      <c r="L62" s="64" t="n">
        <f aca="false">IF(OR(K62="",J62=""),"",(J62-K62)*100)</f>
        <v>-1.5986915262281</v>
      </c>
      <c r="M62" s="21"/>
    </row>
    <row r="63" customFormat="false" ht="15" hidden="false" customHeight="false" outlineLevel="0" collapsed="false">
      <c r="A63" s="21" t="s">
        <v>179</v>
      </c>
      <c r="B63" s="21" t="s">
        <v>189</v>
      </c>
      <c r="C63" s="21" t="s">
        <v>122</v>
      </c>
      <c r="D63" s="37" t="n">
        <v>5318</v>
      </c>
      <c r="E63" s="37" t="n">
        <v>5358</v>
      </c>
      <c r="F63" s="63" t="n">
        <f aca="false">IF(E63="","",D63-E63)</f>
        <v>-40</v>
      </c>
      <c r="G63" s="37" t="n">
        <v>4961</v>
      </c>
      <c r="H63" s="37" t="n">
        <v>5027</v>
      </c>
      <c r="I63" s="63" t="n">
        <f aca="false">IF(H63="","",G63-H63)</f>
        <v>-66</v>
      </c>
      <c r="J63" s="52" t="n">
        <f aca="false">IF(OR(D63="",D63+G63=0),"",D63/(D63+G63))</f>
        <v>0.517365502480786</v>
      </c>
      <c r="K63" s="52" t="n">
        <f aca="false">IF(E63="","",E63/(E63+H63))</f>
        <v>0.515936446798267</v>
      </c>
      <c r="L63" s="64" t="n">
        <f aca="false">IF(OR(K63="",J63=""),"",(J63-K63)*100)</f>
        <v>0.142905568251928</v>
      </c>
      <c r="M63" s="21"/>
    </row>
    <row r="64" customFormat="false" ht="15" hidden="false" customHeight="false" outlineLevel="0" collapsed="false">
      <c r="A64" s="21" t="s">
        <v>179</v>
      </c>
      <c r="B64" s="21" t="s">
        <v>190</v>
      </c>
      <c r="C64" s="21" t="s">
        <v>122</v>
      </c>
      <c r="D64" s="37" t="n">
        <v>714</v>
      </c>
      <c r="E64" s="37" t="n">
        <v>714</v>
      </c>
      <c r="F64" s="63" t="n">
        <f aca="false">IF(E64="","",D64-E64)</f>
        <v>0</v>
      </c>
      <c r="G64" s="37" t="n">
        <v>551</v>
      </c>
      <c r="H64" s="37" t="n">
        <v>484</v>
      </c>
      <c r="I64" s="63" t="n">
        <f aca="false">IF(H64="","",G64-H64)</f>
        <v>67</v>
      </c>
      <c r="J64" s="52" t="n">
        <f aca="false">IF(OR(D64="",D64+G64=0),"",D64/(D64+G64))</f>
        <v>0.564426877470356</v>
      </c>
      <c r="K64" s="52" t="n">
        <f aca="false">IF(E64="","",E64/(E64+H64))</f>
        <v>0.595993322203673</v>
      </c>
      <c r="L64" s="64" t="n">
        <f aca="false">IF(OR(K64="",J64=""),"",(J64-K64)*100)</f>
        <v>-3.1566444733317</v>
      </c>
      <c r="M64" s="21"/>
    </row>
    <row r="65" customFormat="false" ht="15" hidden="false" customHeight="false" outlineLevel="0" collapsed="false">
      <c r="A65" s="21" t="s">
        <v>179</v>
      </c>
      <c r="B65" s="21" t="s">
        <v>191</v>
      </c>
      <c r="C65" s="21" t="s">
        <v>122</v>
      </c>
      <c r="D65" s="37" t="n">
        <v>103</v>
      </c>
      <c r="E65" s="37" t="n">
        <v>109</v>
      </c>
      <c r="F65" s="63" t="n">
        <f aca="false">IF(E65="","",D65-E65)</f>
        <v>-6</v>
      </c>
      <c r="G65" s="37" t="n">
        <v>102</v>
      </c>
      <c r="H65" s="37" t="n">
        <v>97</v>
      </c>
      <c r="I65" s="63" t="n">
        <f aca="false">IF(H65="","",G65-H65)</f>
        <v>5</v>
      </c>
      <c r="J65" s="52" t="n">
        <f aca="false">IF(OR(D65="",D65+G65=0),"",D65/(D65+G65))</f>
        <v>0.502439024390244</v>
      </c>
      <c r="K65" s="52" t="n">
        <f aca="false">IF(E65="","",E65/(E65+H65))</f>
        <v>0.529126213592233</v>
      </c>
      <c r="L65" s="64" t="n">
        <f aca="false">IF(OR(K65="",J65=""),"",(J65-K65)*100)</f>
        <v>-2.66871892019891</v>
      </c>
      <c r="M65" s="21"/>
    </row>
    <row r="66" customFormat="false" ht="15" hidden="false" customHeight="false" outlineLevel="0" collapsed="false">
      <c r="A66" s="21" t="s">
        <v>179</v>
      </c>
      <c r="B66" s="21" t="s">
        <v>158</v>
      </c>
      <c r="C66" s="21" t="s">
        <v>122</v>
      </c>
      <c r="D66" s="37" t="n">
        <v>4153</v>
      </c>
      <c r="E66" s="37" t="n">
        <v>4341</v>
      </c>
      <c r="F66" s="63" t="n">
        <f aca="false">IF(E66="","",D66-E66)</f>
        <v>-188</v>
      </c>
      <c r="G66" s="37" t="n">
        <v>3796</v>
      </c>
      <c r="H66" s="37" t="n">
        <v>3620</v>
      </c>
      <c r="I66" s="63" t="n">
        <f aca="false">IF(H66="","",G66-H66)</f>
        <v>176</v>
      </c>
      <c r="J66" s="52" t="n">
        <f aca="false">IF(OR(D66="",D66+G66=0),"",D66/(D66+G66))</f>
        <v>0.522455654799346</v>
      </c>
      <c r="K66" s="52" t="n">
        <f aca="false">IF(E66="","",E66/(E66+H66))</f>
        <v>0.545283255872378</v>
      </c>
      <c r="L66" s="64" t="n">
        <f aca="false">IF(OR(K66="",J66=""),"",(J66-K66)*100)</f>
        <v>-2.28276010730319</v>
      </c>
      <c r="M66" s="21"/>
    </row>
    <row r="67" customFormat="false" ht="15" hidden="false" customHeight="false" outlineLevel="0" collapsed="false">
      <c r="A67" s="21" t="s">
        <v>179</v>
      </c>
      <c r="B67" s="21" t="s">
        <v>192</v>
      </c>
      <c r="C67" s="21" t="s">
        <v>122</v>
      </c>
      <c r="D67" s="37" t="n">
        <v>1729</v>
      </c>
      <c r="E67" s="37" t="n">
        <v>1726</v>
      </c>
      <c r="F67" s="63" t="n">
        <f aca="false">IF(E67="","",D67-E67)</f>
        <v>3</v>
      </c>
      <c r="G67" s="37" t="n">
        <v>1630</v>
      </c>
      <c r="H67" s="37" t="n">
        <v>1685</v>
      </c>
      <c r="I67" s="63" t="n">
        <f aca="false">IF(H67="","",G67-H67)</f>
        <v>-55</v>
      </c>
      <c r="J67" s="52" t="n">
        <f aca="false">IF(OR(D67="",D67+G67=0),"",D67/(D67+G67))</f>
        <v>0.514736528728788</v>
      </c>
      <c r="K67" s="52" t="n">
        <f aca="false">IF(E67="","",E67/(E67+H67))</f>
        <v>0.506009967751393</v>
      </c>
      <c r="L67" s="64" t="n">
        <f aca="false">IF(OR(K67="",J67=""),"",(J67-K67)*100)</f>
        <v>0.872656097739577</v>
      </c>
      <c r="M67" s="21"/>
    </row>
    <row r="68" customFormat="false" ht="15" hidden="false" customHeight="false" outlineLevel="0" collapsed="false">
      <c r="A68" s="21" t="s">
        <v>179</v>
      </c>
      <c r="B68" s="21" t="s">
        <v>193</v>
      </c>
      <c r="C68" s="21" t="s">
        <v>122</v>
      </c>
      <c r="D68" s="37" t="n">
        <v>2183</v>
      </c>
      <c r="E68" s="37" t="n">
        <v>2244</v>
      </c>
      <c r="F68" s="63" t="n">
        <f aca="false">IF(E68="","",D68-E68)</f>
        <v>-61</v>
      </c>
      <c r="G68" s="37" t="n">
        <v>4466</v>
      </c>
      <c r="H68" s="37" t="n">
        <v>4439</v>
      </c>
      <c r="I68" s="63" t="n">
        <f aca="false">IF(H68="","",G68-H68)</f>
        <v>27</v>
      </c>
      <c r="J68" s="52" t="n">
        <f aca="false">IF(OR(D68="",D68+G68=0),"",D68/(D68+G68))</f>
        <v>0.328320048127538</v>
      </c>
      <c r="K68" s="52" t="n">
        <f aca="false">IF(E68="","",E68/(E68+H68))</f>
        <v>0.335777345503516</v>
      </c>
      <c r="L68" s="64" t="n">
        <f aca="false">IF(OR(K68="",J68=""),"",(J68-K68)*100)</f>
        <v>-0.745729737597844</v>
      </c>
      <c r="M68" s="21"/>
    </row>
    <row r="69" customFormat="false" ht="15" hidden="false" customHeight="false" outlineLevel="0" collapsed="false">
      <c r="A69" s="21" t="s">
        <v>179</v>
      </c>
      <c r="B69" s="21" t="s">
        <v>194</v>
      </c>
      <c r="C69" s="21" t="s">
        <v>122</v>
      </c>
      <c r="D69" s="37" t="n">
        <v>604</v>
      </c>
      <c r="E69" s="37" t="n">
        <v>625</v>
      </c>
      <c r="F69" s="63" t="n">
        <f aca="false">IF(E69="","",D69-E69)</f>
        <v>-21</v>
      </c>
      <c r="G69" s="37" t="n">
        <v>1169</v>
      </c>
      <c r="H69" s="37" t="n">
        <v>1214</v>
      </c>
      <c r="I69" s="63" t="n">
        <f aca="false">IF(H69="","",G69-H69)</f>
        <v>-45</v>
      </c>
      <c r="J69" s="52" t="n">
        <f aca="false">IF(OR(D69="",D69+G69=0),"",D69/(D69+G69))</f>
        <v>0.340665538635082</v>
      </c>
      <c r="K69" s="52" t="n">
        <f aca="false">IF(E69="","",E69/(E69+H69))</f>
        <v>0.339858618814573</v>
      </c>
      <c r="L69" s="64" t="n">
        <f aca="false">IF(OR(K69="",J69=""),"",(J69-K69)*100)</f>
        <v>0.0806919820508623</v>
      </c>
      <c r="M69" s="21"/>
    </row>
    <row r="70" customFormat="false" ht="15" hidden="false" customHeight="false" outlineLevel="0" collapsed="false">
      <c r="A70" s="21" t="s">
        <v>179</v>
      </c>
      <c r="B70" s="21" t="s">
        <v>195</v>
      </c>
      <c r="C70" s="21" t="s">
        <v>122</v>
      </c>
      <c r="D70" s="37" t="n">
        <v>1881</v>
      </c>
      <c r="E70" s="37" t="n">
        <v>2047</v>
      </c>
      <c r="F70" s="63" t="n">
        <f aca="false">IF(E70="","",D70-E70)</f>
        <v>-166</v>
      </c>
      <c r="G70" s="37" t="n">
        <v>2674</v>
      </c>
      <c r="H70" s="37" t="n">
        <v>2499</v>
      </c>
      <c r="I70" s="63" t="n">
        <f aca="false">IF(H70="","",G70-H70)</f>
        <v>175</v>
      </c>
      <c r="J70" s="52" t="n">
        <f aca="false">IF(OR(D70="",D70+G70=0),"",D70/(D70+G70))</f>
        <v>0.412952799121844</v>
      </c>
      <c r="K70" s="52" t="n">
        <f aca="false">IF(E70="","",E70/(E70+H70))</f>
        <v>0.450285965684118</v>
      </c>
      <c r="L70" s="64" t="n">
        <f aca="false">IF(OR(K70="",J70=""),"",(J70-K70)*100)</f>
        <v>-3.73331665622738</v>
      </c>
      <c r="M70" s="21"/>
    </row>
    <row r="71" customFormat="false" ht="15" hidden="false" customHeight="false" outlineLevel="0" collapsed="false">
      <c r="A71" s="21" t="s">
        <v>179</v>
      </c>
      <c r="B71" s="21" t="s">
        <v>196</v>
      </c>
      <c r="C71" s="21" t="s">
        <v>122</v>
      </c>
      <c r="D71" s="37" t="n">
        <v>3473</v>
      </c>
      <c r="E71" s="37" t="n">
        <v>3457</v>
      </c>
      <c r="F71" s="63" t="n">
        <f aca="false">IF(E71="","",D71-E71)</f>
        <v>16</v>
      </c>
      <c r="G71" s="37" t="n">
        <v>3766</v>
      </c>
      <c r="H71" s="37" t="n">
        <v>3805</v>
      </c>
      <c r="I71" s="63" t="n">
        <f aca="false">IF(H71="","",G71-H71)</f>
        <v>-39</v>
      </c>
      <c r="J71" s="52" t="n">
        <f aca="false">IF(OR(D71="",D71+G71=0),"",D71/(D71+G71))</f>
        <v>0.479762398121287</v>
      </c>
      <c r="K71" s="52" t="n">
        <f aca="false">IF(E71="","",E71/(E71+H71))</f>
        <v>0.476039658496282</v>
      </c>
      <c r="L71" s="64" t="n">
        <f aca="false">IF(OR(K71="",J71=""),"",(J71-K71)*100)</f>
        <v>0.372273962500547</v>
      </c>
      <c r="M71" s="21"/>
    </row>
    <row r="72" customFormat="false" ht="15" hidden="false" customHeight="false" outlineLevel="0" collapsed="false">
      <c r="A72" s="21" t="s">
        <v>179</v>
      </c>
      <c r="B72" s="21" t="s">
        <v>197</v>
      </c>
      <c r="C72" s="21" t="s">
        <v>122</v>
      </c>
      <c r="D72" s="37" t="n">
        <v>1961</v>
      </c>
      <c r="E72" s="37" t="n">
        <v>2006</v>
      </c>
      <c r="F72" s="63" t="n">
        <f aca="false">IF(E72="","",D72-E72)</f>
        <v>-45</v>
      </c>
      <c r="G72" s="37" t="n">
        <v>3986</v>
      </c>
      <c r="H72" s="37" t="n">
        <v>4057</v>
      </c>
      <c r="I72" s="63" t="n">
        <f aca="false">IF(H72="","",G72-H72)</f>
        <v>-71</v>
      </c>
      <c r="J72" s="52" t="n">
        <f aca="false">IF(OR(D72="",D72+G72=0),"",D72/(D72+G72))</f>
        <v>0.329746090465781</v>
      </c>
      <c r="K72" s="52" t="n">
        <f aca="false">IF(E72="","",E72/(E72+H72))</f>
        <v>0.330859310572324</v>
      </c>
      <c r="L72" s="64" t="n">
        <f aca="false">IF(OR(K72="",J72=""),"",(J72-K72)*100)</f>
        <v>-0.111322010654286</v>
      </c>
      <c r="M72" s="21"/>
    </row>
    <row r="73" customFormat="false" ht="15" hidden="false" customHeight="false" outlineLevel="0" collapsed="false">
      <c r="A73" s="21" t="s">
        <v>179</v>
      </c>
      <c r="B73" s="21" t="s">
        <v>198</v>
      </c>
      <c r="C73" s="21" t="s">
        <v>122</v>
      </c>
      <c r="D73" s="37" t="n">
        <v>1558</v>
      </c>
      <c r="E73" s="37" t="n">
        <v>1596</v>
      </c>
      <c r="F73" s="63" t="n">
        <f aca="false">IF(E73="","",D73-E73)</f>
        <v>-38</v>
      </c>
      <c r="G73" s="37" t="n">
        <v>1609</v>
      </c>
      <c r="H73" s="37" t="n">
        <v>1664</v>
      </c>
      <c r="I73" s="63" t="n">
        <f aca="false">IF(H73="","",G73-H73)</f>
        <v>-55</v>
      </c>
      <c r="J73" s="52" t="n">
        <f aca="false">IF(OR(D73="",D73+G73=0),"",D73/(D73+G73))</f>
        <v>0.491948215977266</v>
      </c>
      <c r="K73" s="52" t="n">
        <f aca="false">IF(E73="","",E73/(E73+H73))</f>
        <v>0.489570552147239</v>
      </c>
      <c r="L73" s="64" t="n">
        <f aca="false">IF(OR(K73="",J73=""),"",(J73-K73)*100)</f>
        <v>0.23776638300263</v>
      </c>
      <c r="M73" s="21"/>
    </row>
    <row r="74" customFormat="false" ht="15" hidden="false" customHeight="false" outlineLevel="0" collapsed="false">
      <c r="A74" s="21" t="s">
        <v>179</v>
      </c>
      <c r="B74" s="21" t="s">
        <v>199</v>
      </c>
      <c r="C74" s="21" t="s">
        <v>122</v>
      </c>
      <c r="D74" s="37" t="n">
        <v>868</v>
      </c>
      <c r="E74" s="37" t="n">
        <v>847</v>
      </c>
      <c r="F74" s="63" t="n">
        <f aca="false">IF(E74="","",D74-E74)</f>
        <v>21</v>
      </c>
      <c r="G74" s="37" t="n">
        <v>907</v>
      </c>
      <c r="H74" s="37" t="n">
        <v>889</v>
      </c>
      <c r="I74" s="63" t="n">
        <f aca="false">IF(H74="","",G74-H74)</f>
        <v>18</v>
      </c>
      <c r="J74" s="52" t="n">
        <f aca="false">IF(OR(D74="",D74+G74=0),"",D74/(D74+G74))</f>
        <v>0.489014084507042</v>
      </c>
      <c r="K74" s="52" t="n">
        <f aca="false">IF(E74="","",E74/(E74+H74))</f>
        <v>0.487903225806452</v>
      </c>
      <c r="L74" s="64" t="n">
        <f aca="false">IF(OR(K74="",J74=""),"",(J74-K74)*100)</f>
        <v>0.111085870059063</v>
      </c>
      <c r="M74" s="21"/>
    </row>
    <row r="75" customFormat="false" ht="15" hidden="false" customHeight="false" outlineLevel="0" collapsed="false">
      <c r="A75" s="21" t="s">
        <v>179</v>
      </c>
      <c r="B75" s="21" t="s">
        <v>200</v>
      </c>
      <c r="C75" s="21" t="s">
        <v>122</v>
      </c>
      <c r="D75" s="37" t="n">
        <v>2711</v>
      </c>
      <c r="E75" s="37" t="n">
        <v>2573</v>
      </c>
      <c r="F75" s="63" t="n">
        <f aca="false">IF(E75="","",D75-E75)</f>
        <v>138</v>
      </c>
      <c r="G75" s="37" t="n">
        <v>2993</v>
      </c>
      <c r="H75" s="37" t="n">
        <v>3023</v>
      </c>
      <c r="I75" s="63" t="n">
        <f aca="false">IF(H75="","",G75-H75)</f>
        <v>-30</v>
      </c>
      <c r="J75" s="52" t="n">
        <f aca="false">IF(OR(D75="",D75+G75=0),"",D75/(D75+G75))</f>
        <v>0.475280504908836</v>
      </c>
      <c r="K75" s="52" t="n">
        <f aca="false">IF(E75="","",E75/(E75+H75))</f>
        <v>0.459792709077913</v>
      </c>
      <c r="L75" s="64" t="n">
        <f aca="false">IF(OR(K75="",J75=""),"",(J75-K75)*100)</f>
        <v>1.54877958309231</v>
      </c>
      <c r="M75" s="21"/>
    </row>
    <row r="76" customFormat="false" ht="15" hidden="false" customHeight="false" outlineLevel="0" collapsed="false">
      <c r="A76" s="21" t="s">
        <v>179</v>
      </c>
      <c r="B76" s="21" t="s">
        <v>201</v>
      </c>
      <c r="C76" s="21" t="s">
        <v>122</v>
      </c>
      <c r="D76" s="37" t="n">
        <v>7127</v>
      </c>
      <c r="E76" s="37" t="n">
        <v>6974</v>
      </c>
      <c r="F76" s="63" t="n">
        <f aca="false">IF(E76="","",D76-E76)</f>
        <v>153</v>
      </c>
      <c r="G76" s="37" t="n">
        <v>6667</v>
      </c>
      <c r="H76" s="37" t="n">
        <v>6736</v>
      </c>
      <c r="I76" s="63" t="n">
        <f aca="false">IF(H76="","",G76-H76)</f>
        <v>-69</v>
      </c>
      <c r="J76" s="52" t="n">
        <f aca="false">IF(OR(D76="",D76+G76=0),"",D76/(D76+G76))</f>
        <v>0.516673916195447</v>
      </c>
      <c r="K76" s="52" t="n">
        <f aca="false">IF(E76="","",E76/(E76+H76))</f>
        <v>0.508679795769511</v>
      </c>
      <c r="L76" s="64" t="n">
        <f aca="false">IF(OR(K76="",J76=""),"",(J76-K76)*100)</f>
        <v>0.799412042593606</v>
      </c>
      <c r="M76" s="21"/>
    </row>
    <row r="77" customFormat="false" ht="15" hidden="false" customHeight="false" outlineLevel="0" collapsed="false">
      <c r="A77" s="21" t="s">
        <v>179</v>
      </c>
      <c r="B77" s="21" t="s">
        <v>202</v>
      </c>
      <c r="C77" s="21" t="s">
        <v>122</v>
      </c>
      <c r="D77" s="37" t="n">
        <v>692</v>
      </c>
      <c r="E77" s="37" t="n">
        <v>703</v>
      </c>
      <c r="F77" s="63" t="n">
        <f aca="false">IF(E77="","",D77-E77)</f>
        <v>-11</v>
      </c>
      <c r="G77" s="37" t="n">
        <v>1153</v>
      </c>
      <c r="H77" s="37" t="n">
        <v>1180</v>
      </c>
      <c r="I77" s="63" t="n">
        <f aca="false">IF(H77="","",G77-H77)</f>
        <v>-27</v>
      </c>
      <c r="J77" s="52" t="n">
        <f aca="false">IF(OR(D77="",D77+G77=0),"",D77/(D77+G77))</f>
        <v>0.375067750677507</v>
      </c>
      <c r="K77" s="52" t="n">
        <f aca="false">IF(E77="","",E77/(E77+H77))</f>
        <v>0.373340414232608</v>
      </c>
      <c r="L77" s="64" t="n">
        <f aca="false">IF(OR(K77="",J77=""),"",(J77-K77)*100)</f>
        <v>0.17273364448992</v>
      </c>
      <c r="M77" s="21"/>
    </row>
    <row r="78" customFormat="false" ht="15" hidden="false" customHeight="false" outlineLevel="0" collapsed="false">
      <c r="A78" s="21" t="s">
        <v>179</v>
      </c>
      <c r="B78" s="21" t="s">
        <v>203</v>
      </c>
      <c r="C78" s="21" t="s">
        <v>122</v>
      </c>
      <c r="D78" s="37" t="n">
        <v>1319</v>
      </c>
      <c r="E78" s="37" t="n">
        <v>1361</v>
      </c>
      <c r="F78" s="63" t="n">
        <f aca="false">IF(E78="","",D78-E78)</f>
        <v>-42</v>
      </c>
      <c r="G78" s="37" t="n">
        <v>2631</v>
      </c>
      <c r="H78" s="37" t="n">
        <v>2561</v>
      </c>
      <c r="I78" s="63" t="n">
        <f aca="false">IF(H78="","",G78-H78)</f>
        <v>70</v>
      </c>
      <c r="J78" s="52" t="n">
        <f aca="false">IF(OR(D78="",D78+G78=0),"",D78/(D78+G78))</f>
        <v>0.333924050632911</v>
      </c>
      <c r="K78" s="52" t="n">
        <f aca="false">IF(E78="","",E78/(E78+H78))</f>
        <v>0.347016828148904</v>
      </c>
      <c r="L78" s="64" t="n">
        <f aca="false">IF(OR(K78="",J78=""),"",(J78-K78)*100)</f>
        <v>-1.30927775159922</v>
      </c>
      <c r="M78" s="21"/>
    </row>
    <row r="79" customFormat="false" ht="15" hidden="false" customHeight="false" outlineLevel="0" collapsed="false">
      <c r="A79" s="21" t="s">
        <v>179</v>
      </c>
      <c r="B79" s="21" t="s">
        <v>204</v>
      </c>
      <c r="C79" s="21" t="s">
        <v>122</v>
      </c>
      <c r="D79" s="37" t="n">
        <v>80</v>
      </c>
      <c r="E79" s="37" t="n">
        <v>92</v>
      </c>
      <c r="F79" s="63" t="n">
        <f aca="false">IF(E79="","",D79-E79)</f>
        <v>-12</v>
      </c>
      <c r="G79" s="37" t="n">
        <v>169</v>
      </c>
      <c r="H79" s="37" t="n">
        <v>167</v>
      </c>
      <c r="I79" s="63" t="n">
        <f aca="false">IF(H79="","",G79-H79)</f>
        <v>2</v>
      </c>
      <c r="J79" s="52" t="n">
        <f aca="false">IF(OR(D79="",D79+G79=0),"",D79/(D79+G79))</f>
        <v>0.321285140562249</v>
      </c>
      <c r="K79" s="52" t="n">
        <f aca="false">IF(E79="","",E79/(E79+H79))</f>
        <v>0.355212355212355</v>
      </c>
      <c r="L79" s="64" t="n">
        <f aca="false">IF(OR(K79="",J79=""),"",(J79-K79)*100)</f>
        <v>-3.39272146501062</v>
      </c>
      <c r="M79" s="21"/>
    </row>
    <row r="80" customFormat="false" ht="15" hidden="false" customHeight="false" outlineLevel="0" collapsed="false">
      <c r="A80" s="21" t="s">
        <v>179</v>
      </c>
      <c r="B80" s="21" t="s">
        <v>205</v>
      </c>
      <c r="C80" s="21" t="s">
        <v>122</v>
      </c>
      <c r="D80" s="37" t="n">
        <v>363</v>
      </c>
      <c r="E80" s="37" t="n">
        <v>335</v>
      </c>
      <c r="F80" s="63" t="n">
        <f aca="false">IF(E80="","",D80-E80)</f>
        <v>28</v>
      </c>
      <c r="G80" s="37" t="n">
        <v>569</v>
      </c>
      <c r="H80" s="37" t="n">
        <v>581</v>
      </c>
      <c r="I80" s="63" t="n">
        <f aca="false">IF(H80="","",G80-H80)</f>
        <v>-12</v>
      </c>
      <c r="J80" s="52" t="n">
        <f aca="false">IF(OR(D80="",D80+G80=0),"",D80/(D80+G80))</f>
        <v>0.389484978540773</v>
      </c>
      <c r="K80" s="52" t="n">
        <f aca="false">IF(E80="","",E80/(E80+H80))</f>
        <v>0.365720524017467</v>
      </c>
      <c r="L80" s="64" t="n">
        <f aca="false">IF(OR(K80="",J80=""),"",(J80-K80)*100)</f>
        <v>2.37644545233053</v>
      </c>
      <c r="M80" s="21"/>
    </row>
    <row r="81" customFormat="false" ht="15" hidden="false" customHeight="false" outlineLevel="0" collapsed="false">
      <c r="A81" s="21" t="s">
        <v>179</v>
      </c>
      <c r="B81" s="21" t="s">
        <v>206</v>
      </c>
      <c r="C81" s="21" t="s">
        <v>122</v>
      </c>
      <c r="D81" s="37" t="n">
        <v>209</v>
      </c>
      <c r="E81" s="37" t="n">
        <v>210</v>
      </c>
      <c r="F81" s="63" t="n">
        <f aca="false">IF(E81="","",D81-E81)</f>
        <v>-1</v>
      </c>
      <c r="G81" s="37" t="n">
        <v>305</v>
      </c>
      <c r="H81" s="37" t="n">
        <v>309</v>
      </c>
      <c r="I81" s="63" t="n">
        <f aca="false">IF(H81="","",G81-H81)</f>
        <v>-4</v>
      </c>
      <c r="J81" s="52" t="n">
        <f aca="false">IF(OR(D81="",D81+G81=0),"",D81/(D81+G81))</f>
        <v>0.406614785992218</v>
      </c>
      <c r="K81" s="52" t="n">
        <f aca="false">IF(E81="","",E81/(E81+H81))</f>
        <v>0.404624277456647</v>
      </c>
      <c r="L81" s="64" t="n">
        <f aca="false">IF(OR(K81="",J81=""),"",(J81-K81)*100)</f>
        <v>0.199050853557048</v>
      </c>
      <c r="M81" s="21"/>
    </row>
    <row r="82" customFormat="false" ht="15" hidden="false" customHeight="false" outlineLevel="0" collapsed="false">
      <c r="A82" s="21" t="s">
        <v>179</v>
      </c>
      <c r="B82" s="21" t="s">
        <v>207</v>
      </c>
      <c r="C82" s="21" t="s">
        <v>122</v>
      </c>
      <c r="D82" s="37" t="n">
        <v>317</v>
      </c>
      <c r="E82" s="37" t="n">
        <v>331</v>
      </c>
      <c r="F82" s="63" t="n">
        <f aca="false">IF(E82="","",D82-E82)</f>
        <v>-14</v>
      </c>
      <c r="G82" s="37" t="n">
        <v>455</v>
      </c>
      <c r="H82" s="37" t="n">
        <v>458</v>
      </c>
      <c r="I82" s="63" t="n">
        <f aca="false">IF(H82="","",G82-H82)</f>
        <v>-3</v>
      </c>
      <c r="J82" s="52" t="n">
        <f aca="false">IF(OR(D82="",D82+G82=0),"",D82/(D82+G82))</f>
        <v>0.410621761658031</v>
      </c>
      <c r="K82" s="52" t="n">
        <f aca="false">IF(E82="","",E82/(E82+H82))</f>
        <v>0.419518377693283</v>
      </c>
      <c r="L82" s="64" t="n">
        <f aca="false">IF(OR(K82="",J82=""),"",(J82-K82)*100)</f>
        <v>-0.889661603525155</v>
      </c>
      <c r="M82" s="21"/>
    </row>
    <row r="83" customFormat="false" ht="15" hidden="false" customHeight="false" outlineLevel="0" collapsed="false">
      <c r="A83" s="21" t="s">
        <v>179</v>
      </c>
      <c r="B83" s="21" t="s">
        <v>208</v>
      </c>
      <c r="C83" s="21" t="s">
        <v>122</v>
      </c>
      <c r="D83" s="37" t="n">
        <v>1225</v>
      </c>
      <c r="E83" s="37" t="n">
        <v>1242</v>
      </c>
      <c r="F83" s="63" t="n">
        <f aca="false">IF(E83="","",D83-E83)</f>
        <v>-17</v>
      </c>
      <c r="G83" s="37" t="n">
        <v>2633</v>
      </c>
      <c r="H83" s="37" t="n">
        <v>2716</v>
      </c>
      <c r="I83" s="63" t="n">
        <f aca="false">IF(H83="","",G83-H83)</f>
        <v>-83</v>
      </c>
      <c r="J83" s="52" t="n">
        <f aca="false">IF(OR(D83="",D83+G83=0),"",D83/(D83+G83))</f>
        <v>0.317522032141006</v>
      </c>
      <c r="K83" s="52" t="n">
        <f aca="false">IF(E83="","",E83/(E83+H83))</f>
        <v>0.313794845881759</v>
      </c>
      <c r="L83" s="64" t="n">
        <f aca="false">IF(OR(K83="",J83=""),"",(J83-K83)*100)</f>
        <v>0.372718625924723</v>
      </c>
      <c r="M83" s="21"/>
    </row>
    <row r="84" customFormat="false" ht="15" hidden="false" customHeight="false" outlineLevel="0" collapsed="false">
      <c r="A84" s="21" t="s">
        <v>179</v>
      </c>
      <c r="B84" s="21" t="s">
        <v>209</v>
      </c>
      <c r="C84" s="21" t="s">
        <v>122</v>
      </c>
      <c r="D84" s="37" t="n">
        <v>1937</v>
      </c>
      <c r="E84" s="37" t="n">
        <v>1964</v>
      </c>
      <c r="F84" s="63" t="n">
        <f aca="false">IF(E84="","",D84-E84)</f>
        <v>-27</v>
      </c>
      <c r="G84" s="37" t="n">
        <v>2132</v>
      </c>
      <c r="H84" s="37" t="n">
        <v>2147</v>
      </c>
      <c r="I84" s="63" t="n">
        <f aca="false">IF(H84="","",G84-H84)</f>
        <v>-15</v>
      </c>
      <c r="J84" s="52" t="n">
        <f aca="false">IF(OR(D84="",D84+G84=0),"",D84/(D84+G84))</f>
        <v>0.476038338658147</v>
      </c>
      <c r="K84" s="52" t="n">
        <f aca="false">IF(E84="","",E84/(E84+H84))</f>
        <v>0.477742641693019</v>
      </c>
      <c r="L84" s="64" t="n">
        <f aca="false">IF(OR(K84="",J84=""),"",(J84-K84)*100)</f>
        <v>-0.170430303487173</v>
      </c>
      <c r="M84" s="21"/>
    </row>
    <row r="85" customFormat="false" ht="15" hidden="false" customHeight="false" outlineLevel="0" collapsed="false">
      <c r="A85" s="21" t="s">
        <v>179</v>
      </c>
      <c r="B85" s="21" t="s">
        <v>210</v>
      </c>
      <c r="C85" s="21" t="s">
        <v>122</v>
      </c>
      <c r="D85" s="37" t="n">
        <v>439</v>
      </c>
      <c r="E85" s="37" t="n">
        <v>416</v>
      </c>
      <c r="F85" s="63" t="n">
        <f aca="false">IF(E85="","",D85-E85)</f>
        <v>23</v>
      </c>
      <c r="G85" s="37" t="n">
        <v>622</v>
      </c>
      <c r="H85" s="37" t="n">
        <v>658</v>
      </c>
      <c r="I85" s="63" t="n">
        <f aca="false">IF(H85="","",G85-H85)</f>
        <v>-36</v>
      </c>
      <c r="J85" s="52" t="n">
        <f aca="false">IF(OR(D85="",D85+G85=0),"",D85/(D85+G85))</f>
        <v>0.413760603204524</v>
      </c>
      <c r="K85" s="52" t="n">
        <f aca="false">IF(E85="","",E85/(E85+H85))</f>
        <v>0.387337057728119</v>
      </c>
      <c r="L85" s="64" t="n">
        <f aca="false">IF(OR(K85="",J85=""),"",(J85-K85)*100)</f>
        <v>2.64235454764049</v>
      </c>
      <c r="M85" s="21"/>
    </row>
    <row r="86" customFormat="false" ht="15" hidden="false" customHeight="false" outlineLevel="0" collapsed="false">
      <c r="A86" s="21" t="s">
        <v>179</v>
      </c>
      <c r="B86" s="21" t="s">
        <v>172</v>
      </c>
      <c r="C86" s="21" t="s">
        <v>122</v>
      </c>
      <c r="D86" s="37" t="n">
        <v>1051</v>
      </c>
      <c r="E86" s="37" t="n">
        <v>1041</v>
      </c>
      <c r="F86" s="63" t="n">
        <f aca="false">IF(E86="","",D86-E86)</f>
        <v>10</v>
      </c>
      <c r="G86" s="37" t="n">
        <v>2025</v>
      </c>
      <c r="H86" s="37" t="n">
        <v>2088</v>
      </c>
      <c r="I86" s="63" t="n">
        <f aca="false">IF(H86="","",G86-H86)</f>
        <v>-63</v>
      </c>
      <c r="J86" s="52" t="n">
        <f aca="false">IF(OR(D86="",D86+G86=0),"",D86/(D86+G86))</f>
        <v>0.341677503250975</v>
      </c>
      <c r="K86" s="52" t="n">
        <f aca="false">IF(E86="","",E86/(E86+H86))</f>
        <v>0.332694151486098</v>
      </c>
      <c r="L86" s="64" t="n">
        <f aca="false">IF(OR(K86="",J86=""),"",(J86-K86)*100)</f>
        <v>0.898335176487747</v>
      </c>
      <c r="M86" s="21"/>
    </row>
    <row r="87" customFormat="false" ht="15" hidden="false" customHeight="false" outlineLevel="0" collapsed="false">
      <c r="A87" s="21" t="s">
        <v>179</v>
      </c>
      <c r="B87" s="21" t="s">
        <v>211</v>
      </c>
      <c r="C87" s="21" t="s">
        <v>122</v>
      </c>
      <c r="D87" s="37" t="n">
        <v>274</v>
      </c>
      <c r="E87" s="37" t="n">
        <v>281</v>
      </c>
      <c r="F87" s="63" t="n">
        <f aca="false">IF(E87="","",D87-E87)</f>
        <v>-7</v>
      </c>
      <c r="G87" s="37" t="n">
        <v>333</v>
      </c>
      <c r="H87" s="37" t="n">
        <v>310</v>
      </c>
      <c r="I87" s="63" t="n">
        <f aca="false">IF(H87="","",G87-H87)</f>
        <v>23</v>
      </c>
      <c r="J87" s="52" t="n">
        <f aca="false">IF(OR(D87="",D87+G87=0),"",D87/(D87+G87))</f>
        <v>0.451400329489292</v>
      </c>
      <c r="K87" s="52" t="n">
        <f aca="false">IF(E87="","",E87/(E87+H87))</f>
        <v>0.475465313028765</v>
      </c>
      <c r="L87" s="64" t="n">
        <f aca="false">IF(OR(K87="",J87=""),"",(J87-K87)*100)</f>
        <v>-2.40649835394732</v>
      </c>
      <c r="M87" s="21"/>
    </row>
    <row r="88" customFormat="false" ht="15" hidden="false" customHeight="false" outlineLevel="0" collapsed="false">
      <c r="A88" s="21" t="s">
        <v>179</v>
      </c>
      <c r="B88" s="21" t="s">
        <v>212</v>
      </c>
      <c r="C88" s="21" t="s">
        <v>122</v>
      </c>
      <c r="D88" s="37" t="n">
        <v>1756</v>
      </c>
      <c r="E88" s="37" t="n">
        <v>1847</v>
      </c>
      <c r="F88" s="63" t="n">
        <f aca="false">IF(E88="","",D88-E88)</f>
        <v>-91</v>
      </c>
      <c r="G88" s="37" t="n">
        <v>2433</v>
      </c>
      <c r="H88" s="37" t="n">
        <v>2401</v>
      </c>
      <c r="I88" s="63" t="n">
        <f aca="false">IF(H88="","",G88-H88)</f>
        <v>32</v>
      </c>
      <c r="J88" s="52" t="n">
        <f aca="false">IF(OR(D88="",D88+G88=0),"",D88/(D88+G88))</f>
        <v>0.4191931248508</v>
      </c>
      <c r="K88" s="52" t="n">
        <f aca="false">IF(E88="","",E88/(E88+H88))</f>
        <v>0.434792843691149</v>
      </c>
      <c r="L88" s="64" t="n">
        <f aca="false">IF(OR(K88="",J88=""),"",(J88-K88)*100)</f>
        <v>-1.55997188403491</v>
      </c>
      <c r="M88" s="21"/>
    </row>
    <row r="89" customFormat="false" ht="15" hidden="false" customHeight="false" outlineLevel="0" collapsed="false">
      <c r="A89" s="21" t="s">
        <v>179</v>
      </c>
      <c r="B89" s="21" t="s">
        <v>213</v>
      </c>
      <c r="C89" s="21" t="s">
        <v>122</v>
      </c>
      <c r="D89" s="37" t="n">
        <v>1818</v>
      </c>
      <c r="E89" s="37" t="n">
        <v>1897</v>
      </c>
      <c r="F89" s="63" t="n">
        <f aca="false">IF(E89="","",D89-E89)</f>
        <v>-79</v>
      </c>
      <c r="G89" s="37" t="n">
        <v>1588</v>
      </c>
      <c r="H89" s="37" t="n">
        <v>1538</v>
      </c>
      <c r="I89" s="63" t="n">
        <f aca="false">IF(H89="","",G89-H89)</f>
        <v>50</v>
      </c>
      <c r="J89" s="52" t="n">
        <f aca="false">IF(OR(D89="",D89+G89=0),"",D89/(D89+G89))</f>
        <v>0.533763945977686</v>
      </c>
      <c r="K89" s="52" t="n">
        <f aca="false">IF(E89="","",E89/(E89+H89))</f>
        <v>0.552256186317322</v>
      </c>
      <c r="L89" s="64" t="n">
        <f aca="false">IF(OR(K89="",J89=""),"",(J89-K89)*100)</f>
        <v>-1.84922403396353</v>
      </c>
      <c r="M89" s="21"/>
    </row>
    <row r="90" customFormat="false" ht="15" hidden="false" customHeight="false" outlineLevel="0" collapsed="false">
      <c r="A90" s="21" t="s">
        <v>179</v>
      </c>
      <c r="B90" s="21" t="s">
        <v>214</v>
      </c>
      <c r="C90" s="21" t="s">
        <v>122</v>
      </c>
      <c r="D90" s="37" t="n">
        <v>660</v>
      </c>
      <c r="E90" s="37" t="n">
        <v>634</v>
      </c>
      <c r="F90" s="63" t="n">
        <f aca="false">IF(E90="","",D90-E90)</f>
        <v>26</v>
      </c>
      <c r="G90" s="37" t="n">
        <v>866</v>
      </c>
      <c r="H90" s="37" t="n">
        <v>856</v>
      </c>
      <c r="I90" s="63" t="n">
        <f aca="false">IF(H90="","",G90-H90)</f>
        <v>10</v>
      </c>
      <c r="J90" s="52" t="n">
        <f aca="false">IF(OR(D90="",D90+G90=0),"",D90/(D90+G90))</f>
        <v>0.432503276539974</v>
      </c>
      <c r="K90" s="52" t="n">
        <f aca="false">IF(E90="","",E90/(E90+H90))</f>
        <v>0.425503355704698</v>
      </c>
      <c r="L90" s="64" t="n">
        <f aca="false">IF(OR(K90="",J90=""),"",(J90-K90)*100)</f>
        <v>0.699992083527579</v>
      </c>
      <c r="M90" s="21"/>
    </row>
    <row r="92" customFormat="false" ht="15" hidden="false" customHeight="false" outlineLevel="0" collapsed="false">
      <c r="A92" s="28" t="s">
        <v>331</v>
      </c>
      <c r="B92" s="65"/>
      <c r="C92" s="65"/>
      <c r="D92" s="66" t="n">
        <f aca="false">SUMIF(E2:E90,"&lt;&gt;",D2:D90)</f>
        <v>197655</v>
      </c>
      <c r="E92" s="66" t="n">
        <f aca="false">SUM(E2:E90)</f>
        <v>199626</v>
      </c>
      <c r="F92" s="67" t="n">
        <f aca="false">D92-E92</f>
        <v>-1971</v>
      </c>
      <c r="G92" s="66" t="n">
        <f aca="false">SUMIF(H2:H90,"&lt;&gt;",G2:G90)</f>
        <v>205049</v>
      </c>
      <c r="H92" s="66" t="n">
        <f aca="false">SUM(H2:H90)</f>
        <v>203688</v>
      </c>
      <c r="I92" s="67" t="n">
        <f aca="false">G92-H92</f>
        <v>1361</v>
      </c>
      <c r="J92" s="68" t="n">
        <f aca="false">D92/(D92+G92)</f>
        <v>0.490819559775915</v>
      </c>
      <c r="K92" s="68" t="n">
        <f aca="false">E92/(E92+H92)</f>
        <v>0.49496422142549</v>
      </c>
      <c r="L92" s="69" t="n">
        <f aca="false">(J92-K92)*100</f>
        <v>-0.4144661649575</v>
      </c>
    </row>
    <row r="93" customFormat="false" ht="15" hidden="false" customHeight="false" outlineLevel="0" collapsed="false">
      <c r="A93" s="28" t="s">
        <v>332</v>
      </c>
      <c r="B93" s="65"/>
      <c r="C93" s="65"/>
      <c r="D93" s="66" t="n">
        <f aca="false">SUM(D2:D90)</f>
        <v>197655</v>
      </c>
      <c r="E93" s="66"/>
      <c r="F93" s="67"/>
      <c r="G93" s="66" t="n">
        <f aca="false">SUM(G2:G90)</f>
        <v>205049</v>
      </c>
      <c r="H93" s="66"/>
      <c r="I93" s="67"/>
      <c r="J93" s="68" t="n">
        <f aca="false">D93/(D93+G93)</f>
        <v>0.490819559775915</v>
      </c>
      <c r="K93" s="68"/>
      <c r="L93" s="69"/>
    </row>
    <row r="95" customFormat="false" ht="15" hidden="false" customHeight="false" outlineLevel="0" collapsed="false">
      <c r="A95" s="2" t="s">
        <v>333</v>
      </c>
      <c r="F95" s="70" t="n">
        <f aca="false">(SUMIF(F2:F90,"&gt;0")-SUMIF(F2:F90,"&lt;0"))/COUNT(F2:F90)</f>
        <v>66.3483146067416</v>
      </c>
    </row>
    <row r="96" customFormat="false" ht="15" hidden="false" customHeight="false" outlineLevel="0" collapsed="false">
      <c r="A96" s="2" t="s">
        <v>334</v>
      </c>
      <c r="F96" s="70" t="n">
        <f aca="false">(SUMIF(I2:I90,"&gt;0")-SUMIF(I2:I90,"&lt;0"))/COUNT(I2:I90)</f>
        <v>76.0786516853933</v>
      </c>
    </row>
    <row r="97" customFormat="false" ht="15" hidden="false" customHeight="false" outlineLevel="0" collapsed="false">
      <c r="A97" s="2" t="s">
        <v>335</v>
      </c>
      <c r="F97" s="71" t="n">
        <f aca="false">(SUMIF(L2:L90,"&gt;0")-SUMIF(L2:L90,"&lt;0"))/COUNT(L2:L90)</f>
        <v>1.4793996987161</v>
      </c>
    </row>
    <row r="98" customFormat="false" ht="15" hidden="false" customHeight="false" outlineLevel="0" collapsed="false">
      <c r="A98" s="5" t="s">
        <v>336</v>
      </c>
      <c r="F98" s="72" t="n">
        <f aca="false">SQRT(SUMSQ(L2:L90)/COUNT(L2:L90))</f>
        <v>1.97896357753325</v>
      </c>
    </row>
    <row r="99" customFormat="false" ht="15" hidden="false" customHeight="false" outlineLevel="0" collapsed="false">
      <c r="A99" s="5" t="s">
        <v>337</v>
      </c>
      <c r="F99" s="73" t="n">
        <f aca="false">L92</f>
        <v>-0.4144661649575</v>
      </c>
    </row>
    <row r="100" customFormat="false" ht="15" hidden="false" customHeight="false" outlineLevel="0" collapsed="false">
      <c r="A100" s="5" t="s">
        <v>338</v>
      </c>
      <c r="F100" s="72" t="n">
        <f aca="false">SQRT((SUMSQ(L2:L90)-2*L92*SUM(L2:L90)+COUNT(L2:L90)*L92^2)/COUNT(L2:L90))</f>
        <v>2.01525083584947</v>
      </c>
    </row>
    <row r="101" customFormat="false" ht="15" hidden="false" customHeight="false" outlineLevel="0" collapsed="false">
      <c r="A101" s="2" t="s">
        <v>339</v>
      </c>
      <c r="F101" s="74" t="n">
        <f aca="false">(D92+G92)/(E92+H92)-1</f>
        <v>-0.00151246919273818</v>
      </c>
    </row>
    <row r="102" customFormat="false" ht="15" hidden="false" customHeight="false" outlineLevel="0" collapsed="false">
      <c r="A102" s="2" t="s">
        <v>340</v>
      </c>
      <c r="F102" s="75" t="n">
        <f aca="false">COUNTIFS(L2:L90,"&gt;=-3",L2:L90,"&lt;=3")/COUNT(L2:L90)</f>
        <v>0.865168539325843</v>
      </c>
    </row>
    <row r="103" customFormat="false" ht="15" hidden="false" customHeight="false" outlineLevel="0" collapsed="false">
      <c r="A103" s="2" t="s">
        <v>341</v>
      </c>
      <c r="F103" s="76" t="n">
        <f aca="false">COUNT(E2:E90)</f>
        <v>89</v>
      </c>
    </row>
    <row r="104" customFormat="false" ht="15" hidden="false" customHeight="false" outlineLevel="0" collapsed="false">
      <c r="A104" s="2" t="s">
        <v>342</v>
      </c>
      <c r="F104" s="76" t="n">
        <f aca="false">COUNTA(A2:A90)</f>
        <v>89</v>
      </c>
    </row>
    <row r="106" customFormat="false" ht="15" hidden="false" customHeight="false" outlineLevel="0" collapsed="false">
      <c r="M106" s="5" t="s">
        <v>103</v>
      </c>
    </row>
    <row r="107" customFormat="false" ht="28.35" hidden="false" customHeight="false" outlineLevel="0" collapsed="false">
      <c r="M107" s="62" t="s">
        <v>343</v>
      </c>
    </row>
    <row r="108" customFormat="false" ht="28.35" hidden="false" customHeight="false" outlineLevel="0" collapsed="false">
      <c r="M108" s="62" t="s">
        <v>344</v>
      </c>
    </row>
    <row r="109" customFormat="false" ht="15" hidden="false" customHeight="false" outlineLevel="0" collapsed="false">
      <c r="M109" s="62" t="s">
        <v>351</v>
      </c>
    </row>
    <row r="110" customFormat="false" ht="55.2" hidden="false" customHeight="false" outlineLevel="0" collapsed="false">
      <c r="M110" s="62" t="s">
        <v>346</v>
      </c>
    </row>
    <row r="111" customFormat="false" ht="68.65" hidden="false" customHeight="false" outlineLevel="0" collapsed="false">
      <c r="M111" s="62" t="s">
        <v>347</v>
      </c>
    </row>
    <row r="112" customFormat="false" ht="41.75" hidden="false" customHeight="false" outlineLevel="0" collapsed="false">
      <c r="M112" s="62" t="s">
        <v>348</v>
      </c>
    </row>
    <row r="113" customFormat="false" ht="15" hidden="false" customHeight="false" outlineLevel="0" collapsed="false">
      <c r="M113" s="62" t="s">
        <v>349</v>
      </c>
    </row>
    <row r="114" customFormat="false" ht="28.35" hidden="false" customHeight="false" outlineLevel="0" collapsed="false">
      <c r="M114" s="62" t="s">
        <v>350</v>
      </c>
    </row>
  </sheetData>
  <conditionalFormatting sqref="L2:L90">
    <cfRule type="colorScale" priority="2">
      <colorScale>
        <cfvo type="num" val="-8"/>
        <cfvo type="num" val="0"/>
        <cfvo type="num" val="8"/>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1" min="9" style="0" width="14"/>
    <col collapsed="false" customWidth="true" hidden="false" outlineLevel="0" max="12" min="12" style="0" width="16"/>
    <col collapsed="false" customWidth="true" hidden="false" outlineLevel="0" max="13" min="13" style="0" width="90"/>
  </cols>
  <sheetData>
    <row r="1" customFormat="false" ht="60" hidden="false" customHeight="true" outlineLevel="0" collapsed="false">
      <c r="A1" s="8" t="s">
        <v>75</v>
      </c>
      <c r="B1" s="8" t="s">
        <v>76</v>
      </c>
      <c r="C1" s="8" t="s">
        <v>77</v>
      </c>
      <c r="D1" s="8" t="s">
        <v>321</v>
      </c>
      <c r="E1" s="8" t="s">
        <v>322</v>
      </c>
      <c r="F1" s="8" t="s">
        <v>323</v>
      </c>
      <c r="G1" s="8" t="s">
        <v>324</v>
      </c>
      <c r="H1" s="8" t="s">
        <v>325</v>
      </c>
      <c r="I1" s="8" t="s">
        <v>326</v>
      </c>
      <c r="J1" s="8" t="s">
        <v>327</v>
      </c>
      <c r="K1" s="8" t="s">
        <v>328</v>
      </c>
      <c r="L1" s="8" t="s">
        <v>329</v>
      </c>
      <c r="M1" s="8" t="s">
        <v>330</v>
      </c>
    </row>
    <row r="2" customFormat="false" ht="15" hidden="false" customHeight="false" outlineLevel="0" collapsed="false">
      <c r="A2" s="21" t="s">
        <v>120</v>
      </c>
      <c r="B2" s="21" t="s">
        <v>121</v>
      </c>
      <c r="C2" s="21" t="s">
        <v>122</v>
      </c>
      <c r="D2" s="37" t="n">
        <v>161</v>
      </c>
      <c r="E2" s="37" t="n">
        <v>181</v>
      </c>
      <c r="F2" s="63" t="n">
        <f aca="false">IF(E2="","",D2-E2)</f>
        <v>-20</v>
      </c>
      <c r="G2" s="37" t="n">
        <v>277</v>
      </c>
      <c r="H2" s="37" t="n">
        <v>285</v>
      </c>
      <c r="I2" s="63" t="n">
        <f aca="false">IF(H2="","",G2-H2)</f>
        <v>-8</v>
      </c>
      <c r="J2" s="52" t="n">
        <f aca="false">IF(OR(D2="",D2+G2=0),"",D2/(D2+G2))</f>
        <v>0.367579908675799</v>
      </c>
      <c r="K2" s="52" t="n">
        <f aca="false">IF(E2="","",E2/(E2+H2))</f>
        <v>0.388412017167382</v>
      </c>
      <c r="L2" s="64" t="n">
        <f aca="false">IF(OR(K2="",J2=""),"",(J2-K2)*100)</f>
        <v>-2.08321084915829</v>
      </c>
      <c r="M2" s="21"/>
    </row>
    <row r="3" customFormat="false" ht="15" hidden="false" customHeight="false" outlineLevel="0" collapsed="false">
      <c r="A3" s="21" t="s">
        <v>120</v>
      </c>
      <c r="B3" s="21" t="s">
        <v>125</v>
      </c>
      <c r="C3" s="21" t="s">
        <v>122</v>
      </c>
      <c r="D3" s="37" t="n">
        <v>109</v>
      </c>
      <c r="E3" s="37" t="n">
        <v>118</v>
      </c>
      <c r="F3" s="63" t="n">
        <f aca="false">IF(E3="","",D3-E3)</f>
        <v>-9</v>
      </c>
      <c r="G3" s="37" t="n">
        <v>295</v>
      </c>
      <c r="H3" s="37" t="n">
        <v>300</v>
      </c>
      <c r="I3" s="63" t="n">
        <f aca="false">IF(H3="","",G3-H3)</f>
        <v>-5</v>
      </c>
      <c r="J3" s="52" t="n">
        <f aca="false">IF(OR(D3="",D3+G3=0),"",D3/(D3+G3))</f>
        <v>0.26980198019802</v>
      </c>
      <c r="K3" s="52" t="n">
        <f aca="false">IF(E3="","",E3/(E3+H3))</f>
        <v>0.282296650717703</v>
      </c>
      <c r="L3" s="64" t="n">
        <f aca="false">IF(OR(K3="",J3=""),"",(J3-K3)*100)</f>
        <v>-1.24946705196835</v>
      </c>
      <c r="M3" s="21"/>
    </row>
    <row r="4" customFormat="false" ht="15" hidden="false" customHeight="false" outlineLevel="0" collapsed="false">
      <c r="A4" s="21" t="s">
        <v>120</v>
      </c>
      <c r="B4" s="21" t="s">
        <v>126</v>
      </c>
      <c r="C4" s="21" t="s">
        <v>122</v>
      </c>
      <c r="D4" s="37" t="n">
        <v>128</v>
      </c>
      <c r="E4" s="37" t="n">
        <v>144</v>
      </c>
      <c r="F4" s="63" t="n">
        <f aca="false">IF(E4="","",D4-E4)</f>
        <v>-16</v>
      </c>
      <c r="G4" s="37" t="n">
        <v>275</v>
      </c>
      <c r="H4" s="37" t="n">
        <v>310</v>
      </c>
      <c r="I4" s="63" t="n">
        <f aca="false">IF(H4="","",G4-H4)</f>
        <v>-35</v>
      </c>
      <c r="J4" s="52" t="n">
        <f aca="false">IF(OR(D4="",D4+G4=0),"",D4/(D4+G4))</f>
        <v>0.317617866004963</v>
      </c>
      <c r="K4" s="52" t="n">
        <f aca="false">IF(E4="","",E4/(E4+H4))</f>
        <v>0.317180616740088</v>
      </c>
      <c r="L4" s="64" t="n">
        <f aca="false">IF(OR(K4="",J4=""),"",(J4-K4)*100)</f>
        <v>0.0437249264874651</v>
      </c>
      <c r="M4" s="21"/>
    </row>
    <row r="5" customFormat="false" ht="15" hidden="false" customHeight="false" outlineLevel="0" collapsed="false">
      <c r="A5" s="21" t="s">
        <v>120</v>
      </c>
      <c r="B5" s="21" t="s">
        <v>127</v>
      </c>
      <c r="C5" s="21" t="s">
        <v>122</v>
      </c>
      <c r="D5" s="37" t="n">
        <v>421</v>
      </c>
      <c r="E5" s="37" t="n">
        <v>438</v>
      </c>
      <c r="F5" s="63" t="n">
        <f aca="false">IF(E5="","",D5-E5)</f>
        <v>-17</v>
      </c>
      <c r="G5" s="37" t="n">
        <v>1154</v>
      </c>
      <c r="H5" s="37" t="n">
        <v>1253</v>
      </c>
      <c r="I5" s="63" t="n">
        <f aca="false">IF(H5="","",G5-H5)</f>
        <v>-99</v>
      </c>
      <c r="J5" s="52" t="n">
        <f aca="false">IF(OR(D5="",D5+G5=0),"",D5/(D5+G5))</f>
        <v>0.267301587301587</v>
      </c>
      <c r="K5" s="52" t="n">
        <f aca="false">IF(E5="","",E5/(E5+H5))</f>
        <v>0.259018332347723</v>
      </c>
      <c r="L5" s="64" t="n">
        <f aca="false">IF(OR(K5="",J5=""),"",(J5-K5)*100)</f>
        <v>0.828325495386406</v>
      </c>
      <c r="M5" s="21"/>
    </row>
    <row r="6" customFormat="false" ht="15" hidden="false" customHeight="false" outlineLevel="0" collapsed="false">
      <c r="A6" s="21" t="s">
        <v>120</v>
      </c>
      <c r="B6" s="21" t="s">
        <v>128</v>
      </c>
      <c r="C6" s="21" t="s">
        <v>122</v>
      </c>
      <c r="D6" s="37" t="n">
        <v>38</v>
      </c>
      <c r="E6" s="37" t="n">
        <v>38</v>
      </c>
      <c r="F6" s="63" t="n">
        <f aca="false">IF(E6="","",D6-E6)</f>
        <v>0</v>
      </c>
      <c r="G6" s="37" t="n">
        <v>74</v>
      </c>
      <c r="H6" s="37" t="n">
        <v>78</v>
      </c>
      <c r="I6" s="63" t="n">
        <f aca="false">IF(H6="","",G6-H6)</f>
        <v>-4</v>
      </c>
      <c r="J6" s="52" t="n">
        <f aca="false">IF(OR(D6="",D6+G6=0),"",D6/(D6+G6))</f>
        <v>0.339285714285714</v>
      </c>
      <c r="K6" s="52" t="n">
        <f aca="false">IF(E6="","",E6/(E6+H6))</f>
        <v>0.327586206896552</v>
      </c>
      <c r="L6" s="64" t="n">
        <f aca="false">IF(OR(K6="",J6=""),"",(J6-K6)*100)</f>
        <v>1.16995073891626</v>
      </c>
      <c r="M6" s="21"/>
    </row>
    <row r="7" customFormat="false" ht="15" hidden="false" customHeight="false" outlineLevel="0" collapsed="false">
      <c r="A7" s="21" t="s">
        <v>120</v>
      </c>
      <c r="B7" s="21" t="s">
        <v>129</v>
      </c>
      <c r="C7" s="21" t="s">
        <v>122</v>
      </c>
      <c r="D7" s="37" t="n">
        <v>657</v>
      </c>
      <c r="E7" s="37" t="n">
        <v>708</v>
      </c>
      <c r="F7" s="63" t="n">
        <f aca="false">IF(E7="","",D7-E7)</f>
        <v>-51</v>
      </c>
      <c r="G7" s="37" t="n">
        <v>1775</v>
      </c>
      <c r="H7" s="37" t="n">
        <v>1846</v>
      </c>
      <c r="I7" s="63" t="n">
        <f aca="false">IF(H7="","",G7-H7)</f>
        <v>-71</v>
      </c>
      <c r="J7" s="52" t="n">
        <f aca="false">IF(OR(D7="",D7+G7=0),"",D7/(D7+G7))</f>
        <v>0.27014802631579</v>
      </c>
      <c r="K7" s="52" t="n">
        <f aca="false">IF(E7="","",E7/(E7+H7))</f>
        <v>0.277212216131558</v>
      </c>
      <c r="L7" s="64" t="n">
        <f aca="false">IF(OR(K7="",J7=""),"",(J7-K7)*100)</f>
        <v>-0.706418981576884</v>
      </c>
      <c r="M7" s="21"/>
    </row>
    <row r="8" customFormat="false" ht="15" hidden="false" customHeight="false" outlineLevel="0" collapsed="false">
      <c r="A8" s="21" t="s">
        <v>120</v>
      </c>
      <c r="B8" s="21" t="s">
        <v>131</v>
      </c>
      <c r="C8" s="21" t="s">
        <v>122</v>
      </c>
      <c r="D8" s="37" t="n">
        <v>1056</v>
      </c>
      <c r="E8" s="37" t="n">
        <v>1104</v>
      </c>
      <c r="F8" s="63" t="n">
        <f aca="false">IF(E8="","",D8-E8)</f>
        <v>-48</v>
      </c>
      <c r="G8" s="37" t="n">
        <v>1369</v>
      </c>
      <c r="H8" s="37" t="n">
        <v>1481</v>
      </c>
      <c r="I8" s="63" t="n">
        <f aca="false">IF(H8="","",G8-H8)</f>
        <v>-112</v>
      </c>
      <c r="J8" s="52" t="n">
        <f aca="false">IF(OR(D8="",D8+G8=0),"",D8/(D8+G8))</f>
        <v>0.435463917525773</v>
      </c>
      <c r="K8" s="52" t="n">
        <f aca="false">IF(E8="","",E8/(E8+H8))</f>
        <v>0.427079303675048</v>
      </c>
      <c r="L8" s="64" t="n">
        <f aca="false">IF(OR(K8="",J8=""),"",(J8-K8)*100)</f>
        <v>0.838461385072481</v>
      </c>
      <c r="M8" s="21"/>
    </row>
    <row r="9" customFormat="false" ht="15" hidden="false" customHeight="false" outlineLevel="0" collapsed="false">
      <c r="A9" s="21" t="s">
        <v>120</v>
      </c>
      <c r="B9" s="21" t="s">
        <v>132</v>
      </c>
      <c r="C9" s="21" t="s">
        <v>122</v>
      </c>
      <c r="D9" s="37" t="n">
        <v>313</v>
      </c>
      <c r="E9" s="37" t="n">
        <v>351</v>
      </c>
      <c r="F9" s="63" t="n">
        <f aca="false">IF(E9="","",D9-E9)</f>
        <v>-38</v>
      </c>
      <c r="G9" s="37" t="n">
        <v>723</v>
      </c>
      <c r="H9" s="37" t="n">
        <v>697</v>
      </c>
      <c r="I9" s="63" t="n">
        <f aca="false">IF(H9="","",G9-H9)</f>
        <v>26</v>
      </c>
      <c r="J9" s="52" t="n">
        <f aca="false">IF(OR(D9="",D9+G9=0),"",D9/(D9+G9))</f>
        <v>0.302123552123552</v>
      </c>
      <c r="K9" s="52" t="n">
        <f aca="false">IF(E9="","",E9/(E9+H9))</f>
        <v>0.334923664122137</v>
      </c>
      <c r="L9" s="64" t="n">
        <f aca="false">IF(OR(K9="",J9=""),"",(J9-K9)*100)</f>
        <v>-3.28001119985853</v>
      </c>
      <c r="M9" s="21"/>
    </row>
    <row r="10" customFormat="false" ht="15" hidden="false" customHeight="false" outlineLevel="0" collapsed="false">
      <c r="A10" s="21" t="s">
        <v>120</v>
      </c>
      <c r="B10" s="21" t="s">
        <v>133</v>
      </c>
      <c r="C10" s="21" t="s">
        <v>122</v>
      </c>
      <c r="D10" s="37" t="n">
        <v>579</v>
      </c>
      <c r="E10" s="37" t="n">
        <v>575</v>
      </c>
      <c r="F10" s="63" t="n">
        <f aca="false">IF(E10="","",D10-E10)</f>
        <v>4</v>
      </c>
      <c r="G10" s="37" t="n">
        <v>830</v>
      </c>
      <c r="H10" s="37" t="n">
        <v>880</v>
      </c>
      <c r="I10" s="63" t="n">
        <f aca="false">IF(H10="","",G10-H10)</f>
        <v>-50</v>
      </c>
      <c r="J10" s="52" t="n">
        <f aca="false">IF(OR(D10="",D10+G10=0),"",D10/(D10+G10))</f>
        <v>0.410929737402413</v>
      </c>
      <c r="K10" s="52" t="n">
        <f aca="false">IF(E10="","",E10/(E10+H10))</f>
        <v>0.395189003436426</v>
      </c>
      <c r="L10" s="64" t="n">
        <f aca="false">IF(OR(K10="",J10=""),"",(J10-K10)*100)</f>
        <v>1.5740733965987</v>
      </c>
      <c r="M10" s="21"/>
    </row>
    <row r="11" customFormat="false" ht="15" hidden="false" customHeight="false" outlineLevel="0" collapsed="false">
      <c r="A11" s="21" t="s">
        <v>120</v>
      </c>
      <c r="B11" s="21" t="s">
        <v>134</v>
      </c>
      <c r="C11" s="21" t="s">
        <v>122</v>
      </c>
      <c r="D11" s="37" t="n">
        <v>40</v>
      </c>
      <c r="E11" s="37" t="n">
        <v>38</v>
      </c>
      <c r="F11" s="63" t="n">
        <f aca="false">IF(E11="","",D11-E11)</f>
        <v>2</v>
      </c>
      <c r="G11" s="37" t="n">
        <v>99</v>
      </c>
      <c r="H11" s="37" t="n">
        <v>107</v>
      </c>
      <c r="I11" s="63" t="n">
        <f aca="false">IF(H11="","",G11-H11)</f>
        <v>-8</v>
      </c>
      <c r="J11" s="52" t="n">
        <f aca="false">IF(OR(D11="",D11+G11=0),"",D11/(D11+G11))</f>
        <v>0.287769784172662</v>
      </c>
      <c r="K11" s="52" t="n">
        <f aca="false">IF(E11="","",E11/(E11+H11))</f>
        <v>0.262068965517241</v>
      </c>
      <c r="L11" s="64" t="n">
        <f aca="false">IF(OR(K11="",J11=""),"",(J11-K11)*100)</f>
        <v>2.57008186554205</v>
      </c>
      <c r="M11" s="21"/>
    </row>
    <row r="12" customFormat="false" ht="15" hidden="false" customHeight="false" outlineLevel="0" collapsed="false">
      <c r="A12" s="21" t="s">
        <v>120</v>
      </c>
      <c r="B12" s="21" t="s">
        <v>135</v>
      </c>
      <c r="C12" s="21" t="s">
        <v>122</v>
      </c>
      <c r="D12" s="37" t="n">
        <v>52</v>
      </c>
      <c r="E12" s="37" t="n">
        <v>58</v>
      </c>
      <c r="F12" s="63" t="n">
        <f aca="false">IF(E12="","",D12-E12)</f>
        <v>-6</v>
      </c>
      <c r="G12" s="37" t="n">
        <v>212</v>
      </c>
      <c r="H12" s="37" t="n">
        <v>216</v>
      </c>
      <c r="I12" s="63" t="n">
        <f aca="false">IF(H12="","",G12-H12)</f>
        <v>-4</v>
      </c>
      <c r="J12" s="52" t="n">
        <f aca="false">IF(OR(D12="",D12+G12=0),"",D12/(D12+G12))</f>
        <v>0.196969696969697</v>
      </c>
      <c r="K12" s="52" t="n">
        <f aca="false">IF(E12="","",E12/(E12+H12))</f>
        <v>0.211678832116788</v>
      </c>
      <c r="L12" s="64" t="n">
        <f aca="false">IF(OR(K12="",J12=""),"",(J12-K12)*100)</f>
        <v>-1.47091351470914</v>
      </c>
      <c r="M12" s="21"/>
    </row>
    <row r="13" customFormat="false" ht="15" hidden="false" customHeight="false" outlineLevel="0" collapsed="false">
      <c r="A13" s="21" t="s">
        <v>120</v>
      </c>
      <c r="B13" s="21" t="s">
        <v>136</v>
      </c>
      <c r="C13" s="21" t="s">
        <v>122</v>
      </c>
      <c r="D13" s="37" t="n">
        <v>879</v>
      </c>
      <c r="E13" s="37" t="n">
        <v>944</v>
      </c>
      <c r="F13" s="63" t="n">
        <f aca="false">IF(E13="","",D13-E13)</f>
        <v>-65</v>
      </c>
      <c r="G13" s="37" t="n">
        <v>1385</v>
      </c>
      <c r="H13" s="37" t="n">
        <v>1486</v>
      </c>
      <c r="I13" s="63" t="n">
        <f aca="false">IF(H13="","",G13-H13)</f>
        <v>-101</v>
      </c>
      <c r="J13" s="52" t="n">
        <f aca="false">IF(OR(D13="",D13+G13=0),"",D13/(D13+G13))</f>
        <v>0.388250883392226</v>
      </c>
      <c r="K13" s="52" t="n">
        <f aca="false">IF(E13="","",E13/(E13+H13))</f>
        <v>0.388477366255144</v>
      </c>
      <c r="L13" s="64" t="n">
        <f aca="false">IF(OR(K13="",J13=""),"",(J13-K13)*100)</f>
        <v>-0.0226482862917876</v>
      </c>
      <c r="M13" s="21"/>
    </row>
    <row r="14" customFormat="false" ht="15" hidden="false" customHeight="false" outlineLevel="0" collapsed="false">
      <c r="A14" s="21" t="s">
        <v>120</v>
      </c>
      <c r="B14" s="21" t="s">
        <v>137</v>
      </c>
      <c r="C14" s="21" t="s">
        <v>122</v>
      </c>
      <c r="D14" s="37" t="n">
        <v>493</v>
      </c>
      <c r="E14" s="37" t="n">
        <v>515</v>
      </c>
      <c r="F14" s="63" t="n">
        <f aca="false">IF(E14="","",D14-E14)</f>
        <v>-22</v>
      </c>
      <c r="G14" s="37" t="n">
        <v>1188</v>
      </c>
      <c r="H14" s="37" t="n">
        <v>1293</v>
      </c>
      <c r="I14" s="63" t="n">
        <f aca="false">IF(H14="","",G14-H14)</f>
        <v>-105</v>
      </c>
      <c r="J14" s="52" t="n">
        <f aca="false">IF(OR(D14="",D14+G14=0),"",D14/(D14+G14))</f>
        <v>0.293277810826889</v>
      </c>
      <c r="K14" s="52" t="n">
        <f aca="false">IF(E14="","",E14/(E14+H14))</f>
        <v>0.284845132743363</v>
      </c>
      <c r="L14" s="64" t="n">
        <f aca="false">IF(OR(K14="",J14=""),"",(J14-K14)*100)</f>
        <v>0.843267808352594</v>
      </c>
      <c r="M14" s="21"/>
    </row>
    <row r="15" customFormat="false" ht="15" hidden="false" customHeight="false" outlineLevel="0" collapsed="false">
      <c r="A15" s="21" t="s">
        <v>120</v>
      </c>
      <c r="B15" s="21" t="s">
        <v>138</v>
      </c>
      <c r="C15" s="21" t="s">
        <v>122</v>
      </c>
      <c r="D15" s="37" t="n">
        <v>605</v>
      </c>
      <c r="E15" s="37" t="n">
        <v>694</v>
      </c>
      <c r="F15" s="63" t="n">
        <f aca="false">IF(E15="","",D15-E15)</f>
        <v>-89</v>
      </c>
      <c r="G15" s="37" t="n">
        <v>1584</v>
      </c>
      <c r="H15" s="37" t="n">
        <v>1695</v>
      </c>
      <c r="I15" s="63" t="n">
        <f aca="false">IF(H15="","",G15-H15)</f>
        <v>-111</v>
      </c>
      <c r="J15" s="52" t="n">
        <f aca="false">IF(OR(D15="",D15+G15=0),"",D15/(D15+G15))</f>
        <v>0.276381909547739</v>
      </c>
      <c r="K15" s="52" t="n">
        <f aca="false">IF(E15="","",E15/(E15+H15))</f>
        <v>0.290498116366681</v>
      </c>
      <c r="L15" s="64" t="n">
        <f aca="false">IF(OR(K15="",J15=""),"",(J15-K15)*100)</f>
        <v>-1.41162068189419</v>
      </c>
      <c r="M15" s="21"/>
    </row>
    <row r="16" customFormat="false" ht="15" hidden="false" customHeight="false" outlineLevel="0" collapsed="false">
      <c r="A16" s="21" t="s">
        <v>120</v>
      </c>
      <c r="B16" s="21" t="s">
        <v>139</v>
      </c>
      <c r="C16" s="21" t="s">
        <v>122</v>
      </c>
      <c r="D16" s="37" t="n">
        <v>558</v>
      </c>
      <c r="E16" s="37" t="n">
        <v>601</v>
      </c>
      <c r="F16" s="63" t="n">
        <f aca="false">IF(E16="","",D16-E16)</f>
        <v>-43</v>
      </c>
      <c r="G16" s="37" t="n">
        <v>898</v>
      </c>
      <c r="H16" s="37" t="n">
        <v>955</v>
      </c>
      <c r="I16" s="63" t="n">
        <f aca="false">IF(H16="","",G16-H16)</f>
        <v>-57</v>
      </c>
      <c r="J16" s="52" t="n">
        <f aca="false">IF(OR(D16="",D16+G16=0),"",D16/(D16+G16))</f>
        <v>0.383241758241758</v>
      </c>
      <c r="K16" s="52" t="n">
        <f aca="false">IF(E16="","",E16/(E16+H16))</f>
        <v>0.386246786632391</v>
      </c>
      <c r="L16" s="64" t="n">
        <f aca="false">IF(OR(K16="",J16=""),"",(J16-K16)*100)</f>
        <v>-0.300502839063249</v>
      </c>
      <c r="M16" s="21"/>
    </row>
    <row r="17" customFormat="false" ht="15" hidden="false" customHeight="false" outlineLevel="0" collapsed="false">
      <c r="A17" s="21" t="s">
        <v>120</v>
      </c>
      <c r="B17" s="21" t="s">
        <v>140</v>
      </c>
      <c r="C17" s="21" t="s">
        <v>122</v>
      </c>
      <c r="D17" s="37" t="n">
        <v>110</v>
      </c>
      <c r="E17" s="37" t="n">
        <v>134</v>
      </c>
      <c r="F17" s="63" t="n">
        <f aca="false">IF(E17="","",D17-E17)</f>
        <v>-24</v>
      </c>
      <c r="G17" s="37" t="n">
        <v>485</v>
      </c>
      <c r="H17" s="37" t="n">
        <v>505</v>
      </c>
      <c r="I17" s="63" t="n">
        <f aca="false">IF(H17="","",G17-H17)</f>
        <v>-20</v>
      </c>
      <c r="J17" s="52" t="n">
        <f aca="false">IF(OR(D17="",D17+G17=0),"",D17/(D17+G17))</f>
        <v>0.184873949579832</v>
      </c>
      <c r="K17" s="52" t="n">
        <f aca="false">IF(E17="","",E17/(E17+H17))</f>
        <v>0.209702660406886</v>
      </c>
      <c r="L17" s="64" t="n">
        <f aca="false">IF(OR(K17="",J17=""),"",(J17-K17)*100)</f>
        <v>-2.48287108270538</v>
      </c>
      <c r="M17" s="21"/>
    </row>
    <row r="18" customFormat="false" ht="15" hidden="false" customHeight="false" outlineLevel="0" collapsed="false">
      <c r="A18" s="21" t="s">
        <v>120</v>
      </c>
      <c r="B18" s="21" t="s">
        <v>141</v>
      </c>
      <c r="C18" s="21" t="s">
        <v>122</v>
      </c>
      <c r="D18" s="37" t="n">
        <v>945</v>
      </c>
      <c r="E18" s="37" t="n">
        <v>981</v>
      </c>
      <c r="F18" s="63" t="n">
        <f aca="false">IF(E18="","",D18-E18)</f>
        <v>-36</v>
      </c>
      <c r="G18" s="37" t="n">
        <v>1615</v>
      </c>
      <c r="H18" s="37" t="n">
        <v>1740</v>
      </c>
      <c r="I18" s="63" t="n">
        <f aca="false">IF(H18="","",G18-H18)</f>
        <v>-125</v>
      </c>
      <c r="J18" s="52" t="n">
        <f aca="false">IF(OR(D18="",D18+G18=0),"",D18/(D18+G18))</f>
        <v>0.369140625</v>
      </c>
      <c r="K18" s="52" t="n">
        <f aca="false">IF(E18="","",E18/(E18+H18))</f>
        <v>0.360529217199559</v>
      </c>
      <c r="L18" s="64" t="n">
        <f aca="false">IF(OR(K18="",J18=""),"",(J18-K18)*100)</f>
        <v>0.861140780044101</v>
      </c>
      <c r="M18" s="21"/>
    </row>
    <row r="19" customFormat="false" ht="15" hidden="false" customHeight="false" outlineLevel="0" collapsed="false">
      <c r="A19" s="21" t="s">
        <v>120</v>
      </c>
      <c r="B19" s="21" t="s">
        <v>142</v>
      </c>
      <c r="C19" s="21" t="s">
        <v>122</v>
      </c>
      <c r="D19" s="37" t="n">
        <v>58</v>
      </c>
      <c r="E19" s="37" t="n">
        <v>74</v>
      </c>
      <c r="F19" s="63" t="n">
        <f aca="false">IF(E19="","",D19-E19)</f>
        <v>-16</v>
      </c>
      <c r="G19" s="37" t="n">
        <v>157</v>
      </c>
      <c r="H19" s="37" t="n">
        <v>162</v>
      </c>
      <c r="I19" s="63" t="n">
        <f aca="false">IF(H19="","",G19-H19)</f>
        <v>-5</v>
      </c>
      <c r="J19" s="52" t="n">
        <f aca="false">IF(OR(D19="",D19+G19=0),"",D19/(D19+G19))</f>
        <v>0.269767441860465</v>
      </c>
      <c r="K19" s="52" t="n">
        <f aca="false">IF(E19="","",E19/(E19+H19))</f>
        <v>0.313559322033898</v>
      </c>
      <c r="L19" s="64" t="n">
        <f aca="false">IF(OR(K19="",J19=""),"",(J19-K19)*100)</f>
        <v>-4.37918801734332</v>
      </c>
      <c r="M19" s="21"/>
    </row>
    <row r="20" customFormat="false" ht="15" hidden="false" customHeight="false" outlineLevel="0" collapsed="false">
      <c r="A20" s="21" t="s">
        <v>120</v>
      </c>
      <c r="B20" s="21" t="s">
        <v>143</v>
      </c>
      <c r="C20" s="21" t="s">
        <v>122</v>
      </c>
      <c r="D20" s="37" t="n">
        <v>1742</v>
      </c>
      <c r="E20" s="37" t="n">
        <v>2047</v>
      </c>
      <c r="F20" s="63" t="n">
        <f aca="false">IF(E20="","",D20-E20)</f>
        <v>-305</v>
      </c>
      <c r="G20" s="37" t="n">
        <v>3491</v>
      </c>
      <c r="H20" s="37" t="n">
        <v>3702</v>
      </c>
      <c r="I20" s="63" t="n">
        <f aca="false">IF(H20="","",G20-H20)</f>
        <v>-211</v>
      </c>
      <c r="J20" s="52" t="n">
        <f aca="false">IF(OR(D20="",D20+G20=0),"",D20/(D20+G20))</f>
        <v>0.332887445060195</v>
      </c>
      <c r="K20" s="52" t="n">
        <f aca="false">IF(E20="","",E20/(E20+H20))</f>
        <v>0.356061923812837</v>
      </c>
      <c r="L20" s="64" t="n">
        <f aca="false">IF(OR(K20="",J20=""),"",(J20-K20)*100)</f>
        <v>-2.31744787526421</v>
      </c>
      <c r="M20" s="21"/>
    </row>
    <row r="21" customFormat="false" ht="15" hidden="false" customHeight="false" outlineLevel="0" collapsed="false">
      <c r="A21" s="21" t="s">
        <v>120</v>
      </c>
      <c r="B21" s="21" t="s">
        <v>145</v>
      </c>
      <c r="C21" s="21" t="s">
        <v>122</v>
      </c>
      <c r="D21" s="37" t="n">
        <v>666</v>
      </c>
      <c r="E21" s="37" t="n">
        <v>660</v>
      </c>
      <c r="F21" s="63" t="n">
        <f aca="false">IF(E21="","",D21-E21)</f>
        <v>6</v>
      </c>
      <c r="G21" s="37" t="n">
        <v>872</v>
      </c>
      <c r="H21" s="37" t="n">
        <v>913</v>
      </c>
      <c r="I21" s="63" t="n">
        <f aca="false">IF(H21="","",G21-H21)</f>
        <v>-41</v>
      </c>
      <c r="J21" s="52" t="n">
        <f aca="false">IF(OR(D21="",D21+G21=0),"",D21/(D21+G21))</f>
        <v>0.433029908972692</v>
      </c>
      <c r="K21" s="52" t="n">
        <f aca="false">IF(E21="","",E21/(E21+H21))</f>
        <v>0.41958041958042</v>
      </c>
      <c r="L21" s="64" t="n">
        <f aca="false">IF(OR(K21="",J21=""),"",(J21-K21)*100)</f>
        <v>1.34494893922723</v>
      </c>
      <c r="M21" s="21"/>
    </row>
    <row r="22" customFormat="false" ht="15" hidden="false" customHeight="false" outlineLevel="0" collapsed="false">
      <c r="A22" s="21" t="s">
        <v>120</v>
      </c>
      <c r="B22" s="21" t="s">
        <v>146</v>
      </c>
      <c r="C22" s="21" t="s">
        <v>122</v>
      </c>
      <c r="D22" s="37" t="n">
        <v>714</v>
      </c>
      <c r="E22" s="37" t="n">
        <v>802</v>
      </c>
      <c r="F22" s="63" t="n">
        <f aca="false">IF(E22="","",D22-E22)</f>
        <v>-88</v>
      </c>
      <c r="G22" s="37" t="n">
        <v>1930</v>
      </c>
      <c r="H22" s="37" t="n">
        <v>1955</v>
      </c>
      <c r="I22" s="63" t="n">
        <f aca="false">IF(H22="","",G22-H22)</f>
        <v>-25</v>
      </c>
      <c r="J22" s="52" t="n">
        <f aca="false">IF(OR(D22="",D22+G22=0),"",D22/(D22+G22))</f>
        <v>0.270045385779123</v>
      </c>
      <c r="K22" s="52" t="n">
        <f aca="false">IF(E22="","",E22/(E22+H22))</f>
        <v>0.290895901342038</v>
      </c>
      <c r="L22" s="64" t="n">
        <f aca="false">IF(OR(K22="",J22=""),"",(J22-K22)*100)</f>
        <v>-2.0850515562916</v>
      </c>
      <c r="M22" s="21"/>
    </row>
    <row r="23" customFormat="false" ht="15" hidden="false" customHeight="false" outlineLevel="0" collapsed="false">
      <c r="A23" s="21" t="s">
        <v>120</v>
      </c>
      <c r="B23" s="21" t="s">
        <v>147</v>
      </c>
      <c r="C23" s="21" t="s">
        <v>122</v>
      </c>
      <c r="D23" s="37" t="n">
        <v>332</v>
      </c>
      <c r="E23" s="37" t="n">
        <v>351</v>
      </c>
      <c r="F23" s="63" t="n">
        <f aca="false">IF(E23="","",D23-E23)</f>
        <v>-19</v>
      </c>
      <c r="G23" s="37" t="n">
        <v>857</v>
      </c>
      <c r="H23" s="37" t="n">
        <v>849</v>
      </c>
      <c r="I23" s="63" t="n">
        <f aca="false">IF(H23="","",G23-H23)</f>
        <v>8</v>
      </c>
      <c r="J23" s="52" t="n">
        <f aca="false">IF(OR(D23="",D23+G23=0),"",D23/(D23+G23))</f>
        <v>0.279226240538267</v>
      </c>
      <c r="K23" s="52" t="n">
        <f aca="false">IF(E23="","",E23/(E23+H23))</f>
        <v>0.2925</v>
      </c>
      <c r="L23" s="64" t="n">
        <f aca="false">IF(OR(K23="",J23=""),"",(J23-K23)*100)</f>
        <v>-1.32737594617325</v>
      </c>
      <c r="M23" s="21"/>
    </row>
    <row r="24" customFormat="false" ht="15" hidden="false" customHeight="false" outlineLevel="0" collapsed="false">
      <c r="A24" s="21" t="s">
        <v>120</v>
      </c>
      <c r="B24" s="21" t="s">
        <v>148</v>
      </c>
      <c r="C24" s="21" t="s">
        <v>122</v>
      </c>
      <c r="D24" s="37" t="n">
        <v>58</v>
      </c>
      <c r="E24" s="37" t="n">
        <v>58</v>
      </c>
      <c r="F24" s="63" t="n">
        <f aca="false">IF(E24="","",D24-E24)</f>
        <v>0</v>
      </c>
      <c r="G24" s="37" t="n">
        <v>85</v>
      </c>
      <c r="H24" s="37" t="n">
        <v>105</v>
      </c>
      <c r="I24" s="63" t="n">
        <f aca="false">IF(H24="","",G24-H24)</f>
        <v>-20</v>
      </c>
      <c r="J24" s="52" t="n">
        <f aca="false">IF(OR(D24="",D24+G24=0),"",D24/(D24+G24))</f>
        <v>0.405594405594406</v>
      </c>
      <c r="K24" s="52" t="n">
        <f aca="false">IF(E24="","",E24/(E24+H24))</f>
        <v>0.355828220858896</v>
      </c>
      <c r="L24" s="64" t="n">
        <f aca="false">IF(OR(K24="",J24=""),"",(J24-K24)*100)</f>
        <v>4.97661847355099</v>
      </c>
      <c r="M24" s="21"/>
    </row>
    <row r="25" customFormat="false" ht="15" hidden="false" customHeight="false" outlineLevel="0" collapsed="false">
      <c r="A25" s="21" t="s">
        <v>149</v>
      </c>
      <c r="B25" s="21" t="s">
        <v>150</v>
      </c>
      <c r="C25" s="21" t="s">
        <v>122</v>
      </c>
      <c r="D25" s="37" t="n">
        <v>645</v>
      </c>
      <c r="E25" s="37" t="n">
        <v>601</v>
      </c>
      <c r="F25" s="63" t="n">
        <f aca="false">IF(E25="","",D25-E25)</f>
        <v>44</v>
      </c>
      <c r="G25" s="37" t="n">
        <v>769</v>
      </c>
      <c r="H25" s="37" t="n">
        <v>766</v>
      </c>
      <c r="I25" s="63" t="n">
        <f aca="false">IF(H25="","",G25-H25)</f>
        <v>3</v>
      </c>
      <c r="J25" s="52" t="n">
        <f aca="false">IF(OR(D25="",D25+G25=0),"",D25/(D25+G25))</f>
        <v>0.456152758132956</v>
      </c>
      <c r="K25" s="52" t="n">
        <f aca="false">IF(E25="","",E25/(E25+H25))</f>
        <v>0.439648866130212</v>
      </c>
      <c r="L25" s="64" t="n">
        <f aca="false">IF(OR(K25="",J25=""),"",(J25-K25)*100)</f>
        <v>1.6503892002744</v>
      </c>
      <c r="M25" s="21"/>
    </row>
    <row r="26" customFormat="false" ht="15" hidden="false" customHeight="false" outlineLevel="0" collapsed="false">
      <c r="A26" s="21" t="s">
        <v>149</v>
      </c>
      <c r="B26" s="21" t="s">
        <v>151</v>
      </c>
      <c r="C26" s="21" t="s">
        <v>122</v>
      </c>
      <c r="D26" s="37" t="n">
        <v>28503</v>
      </c>
      <c r="E26" s="37" t="n">
        <v>26568</v>
      </c>
      <c r="F26" s="63" t="n">
        <f aca="false">IF(E26="","",D26-E26)</f>
        <v>1935</v>
      </c>
      <c r="G26" s="37" t="n">
        <v>13169</v>
      </c>
      <c r="H26" s="37" t="n">
        <v>14583</v>
      </c>
      <c r="I26" s="63" t="n">
        <f aca="false">IF(H26="","",G26-H26)</f>
        <v>-1414</v>
      </c>
      <c r="J26" s="52" t="n">
        <f aca="false">IF(OR(D26="",D26+G26=0),"",D26/(D26+G26))</f>
        <v>0.683984449990401</v>
      </c>
      <c r="K26" s="52" t="n">
        <f aca="false">IF(E26="","",E26/(E26+H26))</f>
        <v>0.645622220602172</v>
      </c>
      <c r="L26" s="64" t="n">
        <f aca="false">IF(OR(K26="",J26=""),"",(J26-K26)*100)</f>
        <v>3.83622293882288</v>
      </c>
      <c r="M26" s="21"/>
    </row>
    <row r="27" customFormat="false" ht="15" hidden="false" customHeight="false" outlineLevel="0" collapsed="false">
      <c r="A27" s="21" t="s">
        <v>149</v>
      </c>
      <c r="B27" s="21" t="s">
        <v>152</v>
      </c>
      <c r="C27" s="21" t="s">
        <v>122</v>
      </c>
      <c r="D27" s="37" t="n">
        <v>6956</v>
      </c>
      <c r="E27" s="37" t="n">
        <v>6612</v>
      </c>
      <c r="F27" s="63" t="n">
        <f aca="false">IF(E27="","",D27-E27)</f>
        <v>344</v>
      </c>
      <c r="G27" s="37" t="n">
        <v>3684</v>
      </c>
      <c r="H27" s="37" t="n">
        <v>3834</v>
      </c>
      <c r="I27" s="63" t="n">
        <f aca="false">IF(H27="","",G27-H27)</f>
        <v>-150</v>
      </c>
      <c r="J27" s="52" t="n">
        <f aca="false">IF(OR(D27="",D27+G27=0),"",D27/(D27+G27))</f>
        <v>0.653759398496241</v>
      </c>
      <c r="K27" s="52" t="n">
        <f aca="false">IF(E27="","",E27/(E27+H27))</f>
        <v>0.632969557725445</v>
      </c>
      <c r="L27" s="64" t="n">
        <f aca="false">IF(OR(K27="",J27=""),"",(J27-K27)*100)</f>
        <v>2.07898407707955</v>
      </c>
      <c r="M27" s="21"/>
    </row>
    <row r="28" customFormat="false" ht="15" hidden="false" customHeight="false" outlineLevel="0" collapsed="false">
      <c r="A28" s="21" t="s">
        <v>149</v>
      </c>
      <c r="B28" s="21" t="s">
        <v>153</v>
      </c>
      <c r="C28" s="21" t="s">
        <v>122</v>
      </c>
      <c r="D28" s="37" t="n">
        <v>1577</v>
      </c>
      <c r="E28" s="37" t="n">
        <v>1560</v>
      </c>
      <c r="F28" s="63" t="n">
        <f aca="false">IF(E28="","",D28-E28)</f>
        <v>17</v>
      </c>
      <c r="G28" s="37" t="n">
        <v>1509</v>
      </c>
      <c r="H28" s="37" t="n">
        <v>1491</v>
      </c>
      <c r="I28" s="63" t="n">
        <f aca="false">IF(H28="","",G28-H28)</f>
        <v>18</v>
      </c>
      <c r="J28" s="52" t="n">
        <f aca="false">IF(OR(D28="",D28+G28=0),"",D28/(D28+G28))</f>
        <v>0.51101749837978</v>
      </c>
      <c r="K28" s="52" t="n">
        <f aca="false">IF(E28="","",E28/(E28+H28))</f>
        <v>0.511307767944936</v>
      </c>
      <c r="L28" s="64" t="n">
        <f aca="false">IF(OR(K28="",J28=""),"",(J28-K28)*100)</f>
        <v>-0.0290269565156431</v>
      </c>
      <c r="M28" s="21"/>
    </row>
    <row r="29" customFormat="false" ht="15" hidden="false" customHeight="false" outlineLevel="0" collapsed="false">
      <c r="A29" s="21" t="s">
        <v>149</v>
      </c>
      <c r="B29" s="21" t="s">
        <v>154</v>
      </c>
      <c r="C29" s="21" t="s">
        <v>122</v>
      </c>
      <c r="D29" s="37" t="n">
        <v>723</v>
      </c>
      <c r="E29" s="37" t="n">
        <v>735</v>
      </c>
      <c r="F29" s="63" t="n">
        <f aca="false">IF(E29="","",D29-E29)</f>
        <v>-12</v>
      </c>
      <c r="G29" s="37" t="n">
        <v>848</v>
      </c>
      <c r="H29" s="37" t="n">
        <v>804</v>
      </c>
      <c r="I29" s="63" t="n">
        <f aca="false">IF(H29="","",G29-H29)</f>
        <v>44</v>
      </c>
      <c r="J29" s="52" t="n">
        <f aca="false">IF(OR(D29="",D29+G29=0),"",D29/(D29+G29))</f>
        <v>0.460216422660726</v>
      </c>
      <c r="K29" s="52" t="n">
        <f aca="false">IF(E29="","",E29/(E29+H29))</f>
        <v>0.477582846003899</v>
      </c>
      <c r="L29" s="64" t="n">
        <f aca="false">IF(OR(K29="",J29=""),"",(J29-K29)*100)</f>
        <v>-1.7366423343173</v>
      </c>
      <c r="M29" s="21"/>
    </row>
    <row r="30" customFormat="false" ht="15" hidden="false" customHeight="false" outlineLevel="0" collapsed="false">
      <c r="A30" s="21" t="s">
        <v>149</v>
      </c>
      <c r="B30" s="21" t="s">
        <v>155</v>
      </c>
      <c r="C30" s="21" t="s">
        <v>122</v>
      </c>
      <c r="D30" s="37" t="n">
        <v>924</v>
      </c>
      <c r="E30" s="37" t="n">
        <v>899</v>
      </c>
      <c r="F30" s="63" t="n">
        <f aca="false">IF(E30="","",D30-E30)</f>
        <v>25</v>
      </c>
      <c r="G30" s="37" t="n">
        <v>913</v>
      </c>
      <c r="H30" s="37" t="n">
        <v>898</v>
      </c>
      <c r="I30" s="63" t="n">
        <f aca="false">IF(H30="","",G30-H30)</f>
        <v>15</v>
      </c>
      <c r="J30" s="52" t="n">
        <f aca="false">IF(OR(D30="",D30+G30=0),"",D30/(D30+G30))</f>
        <v>0.502994011976048</v>
      </c>
      <c r="K30" s="52" t="n">
        <f aca="false">IF(E30="","",E30/(E30+H30))</f>
        <v>0.500278241513634</v>
      </c>
      <c r="L30" s="64" t="n">
        <f aca="false">IF(OR(K30="",J30=""),"",(J30-K30)*100)</f>
        <v>0.2715770462414</v>
      </c>
      <c r="M30" s="21"/>
    </row>
    <row r="31" customFormat="false" ht="15" hidden="false" customHeight="false" outlineLevel="0" collapsed="false">
      <c r="A31" s="21" t="s">
        <v>149</v>
      </c>
      <c r="B31" s="21" t="s">
        <v>156</v>
      </c>
      <c r="C31" s="21" t="s">
        <v>122</v>
      </c>
      <c r="D31" s="37" t="n">
        <v>3519</v>
      </c>
      <c r="E31" s="37" t="n">
        <v>3663</v>
      </c>
      <c r="F31" s="63" t="n">
        <f aca="false">IF(E31="","",D31-E31)</f>
        <v>-144</v>
      </c>
      <c r="G31" s="37" t="n">
        <v>3339</v>
      </c>
      <c r="H31" s="37" t="n">
        <v>3236</v>
      </c>
      <c r="I31" s="63" t="n">
        <f aca="false">IF(H31="","",G31-H31)</f>
        <v>103</v>
      </c>
      <c r="J31" s="52" t="n">
        <f aca="false">IF(OR(D31="",D31+G31=0),"",D31/(D31+G31))</f>
        <v>0.513123359580053</v>
      </c>
      <c r="K31" s="52" t="n">
        <f aca="false">IF(E31="","",E31/(E31+H31))</f>
        <v>0.530946513987535</v>
      </c>
      <c r="L31" s="64" t="n">
        <f aca="false">IF(OR(K31="",J31=""),"",(J31-K31)*100)</f>
        <v>-1.78231544074819</v>
      </c>
      <c r="M31" s="21"/>
    </row>
    <row r="32" customFormat="false" ht="15" hidden="false" customHeight="false" outlineLevel="0" collapsed="false">
      <c r="A32" s="21" t="s">
        <v>149</v>
      </c>
      <c r="B32" s="21" t="s">
        <v>157</v>
      </c>
      <c r="C32" s="21" t="s">
        <v>122</v>
      </c>
      <c r="D32" s="37" t="n">
        <v>1582</v>
      </c>
      <c r="E32" s="37" t="n">
        <v>1433</v>
      </c>
      <c r="F32" s="63" t="n">
        <f aca="false">IF(E32="","",D32-E32)</f>
        <v>149</v>
      </c>
      <c r="G32" s="37" t="n">
        <v>759</v>
      </c>
      <c r="H32" s="37" t="n">
        <v>793</v>
      </c>
      <c r="I32" s="63" t="n">
        <f aca="false">IF(H32="","",G32-H32)</f>
        <v>-34</v>
      </c>
      <c r="J32" s="52" t="n">
        <f aca="false">IF(OR(D32="",D32+G32=0),"",D32/(D32+G32))</f>
        <v>0.675779581375481</v>
      </c>
      <c r="K32" s="52" t="n">
        <f aca="false">IF(E32="","",E32/(E32+H32))</f>
        <v>0.643755615453729</v>
      </c>
      <c r="L32" s="64" t="n">
        <f aca="false">IF(OR(K32="",J32=""),"",(J32-K32)*100)</f>
        <v>3.20239659217519</v>
      </c>
      <c r="M32" s="21"/>
    </row>
    <row r="33" customFormat="false" ht="15" hidden="false" customHeight="false" outlineLevel="0" collapsed="false">
      <c r="A33" s="21" t="s">
        <v>149</v>
      </c>
      <c r="B33" s="21" t="s">
        <v>158</v>
      </c>
      <c r="C33" s="21" t="s">
        <v>122</v>
      </c>
      <c r="D33" s="37" t="n">
        <v>384</v>
      </c>
      <c r="E33" s="37" t="n">
        <v>379</v>
      </c>
      <c r="F33" s="63" t="n">
        <f aca="false">IF(E33="","",D33-E33)</f>
        <v>5</v>
      </c>
      <c r="G33" s="37" t="n">
        <v>355</v>
      </c>
      <c r="H33" s="37" t="n">
        <v>330</v>
      </c>
      <c r="I33" s="63" t="n">
        <f aca="false">IF(H33="","",G33-H33)</f>
        <v>25</v>
      </c>
      <c r="J33" s="52" t="n">
        <f aca="false">IF(OR(D33="",D33+G33=0),"",D33/(D33+G33))</f>
        <v>0.519621109607578</v>
      </c>
      <c r="K33" s="52" t="n">
        <f aca="false">IF(E33="","",E33/(E33+H33))</f>
        <v>0.534555712270804</v>
      </c>
      <c r="L33" s="64" t="n">
        <f aca="false">IF(OR(K33="",J33=""),"",(J33-K33)*100)</f>
        <v>-1.49346026632261</v>
      </c>
      <c r="M33" s="21"/>
    </row>
    <row r="34" customFormat="false" ht="15" hidden="false" customHeight="false" outlineLevel="0" collapsed="false">
      <c r="A34" s="21" t="s">
        <v>149</v>
      </c>
      <c r="B34" s="21" t="s">
        <v>159</v>
      </c>
      <c r="C34" s="21" t="s">
        <v>122</v>
      </c>
      <c r="D34" s="37" t="n">
        <v>614</v>
      </c>
      <c r="E34" s="37" t="n">
        <v>654</v>
      </c>
      <c r="F34" s="63" t="n">
        <f aca="false">IF(E34="","",D34-E34)</f>
        <v>-40</v>
      </c>
      <c r="G34" s="37" t="n">
        <v>1440</v>
      </c>
      <c r="H34" s="37" t="n">
        <v>1439</v>
      </c>
      <c r="I34" s="63" t="n">
        <f aca="false">IF(H34="","",G34-H34)</f>
        <v>1</v>
      </c>
      <c r="J34" s="52" t="n">
        <f aca="false">IF(OR(D34="",D34+G34=0),"",D34/(D34+G34))</f>
        <v>0.298928919182084</v>
      </c>
      <c r="K34" s="52" t="n">
        <f aca="false">IF(E34="","",E34/(E34+H34))</f>
        <v>0.312470138557095</v>
      </c>
      <c r="L34" s="64" t="n">
        <f aca="false">IF(OR(K34="",J34=""),"",(J34-K34)*100)</f>
        <v>-1.35412193750113</v>
      </c>
      <c r="M34" s="21"/>
    </row>
    <row r="35" customFormat="false" ht="15" hidden="false" customHeight="false" outlineLevel="0" collapsed="false">
      <c r="A35" s="21" t="s">
        <v>149</v>
      </c>
      <c r="B35" s="21" t="s">
        <v>160</v>
      </c>
      <c r="C35" s="21" t="s">
        <v>122</v>
      </c>
      <c r="D35" s="37" t="n">
        <v>9879</v>
      </c>
      <c r="E35" s="37" t="n">
        <v>10021</v>
      </c>
      <c r="F35" s="63" t="n">
        <f aca="false">IF(E35="","",D35-E35)</f>
        <v>-142</v>
      </c>
      <c r="G35" s="37" t="n">
        <v>10557</v>
      </c>
      <c r="H35" s="37" t="n">
        <v>10199</v>
      </c>
      <c r="I35" s="63" t="n">
        <f aca="false">IF(H35="","",G35-H35)</f>
        <v>358</v>
      </c>
      <c r="J35" s="52" t="n">
        <f aca="false">IF(OR(D35="",D35+G35=0),"",D35/(D35+G35))</f>
        <v>0.483411626541398</v>
      </c>
      <c r="K35" s="52" t="n">
        <f aca="false">IF(E35="","",E35/(E35+H35))</f>
        <v>0.495598417408506</v>
      </c>
      <c r="L35" s="64" t="n">
        <f aca="false">IF(OR(K35="",J35=""),"",(J35-K35)*100)</f>
        <v>-1.21867908671089</v>
      </c>
      <c r="M35" s="21"/>
    </row>
    <row r="36" customFormat="false" ht="15" hidden="false" customHeight="false" outlineLevel="0" collapsed="false">
      <c r="A36" s="21" t="s">
        <v>149</v>
      </c>
      <c r="B36" s="21" t="s">
        <v>161</v>
      </c>
      <c r="C36" s="21" t="s">
        <v>122</v>
      </c>
      <c r="D36" s="37" t="n">
        <v>901</v>
      </c>
      <c r="E36" s="37" t="n">
        <v>985</v>
      </c>
      <c r="F36" s="63" t="n">
        <f aca="false">IF(E36="","",D36-E36)</f>
        <v>-84</v>
      </c>
      <c r="G36" s="37" t="n">
        <v>1700</v>
      </c>
      <c r="H36" s="37" t="n">
        <v>1586</v>
      </c>
      <c r="I36" s="63" t="n">
        <f aca="false">IF(H36="","",G36-H36)</f>
        <v>114</v>
      </c>
      <c r="J36" s="52" t="n">
        <f aca="false">IF(OR(D36="",D36+G36=0),"",D36/(D36+G36))</f>
        <v>0.34640522875817</v>
      </c>
      <c r="K36" s="52" t="n">
        <f aca="false">IF(E36="","",E36/(E36+H36))</f>
        <v>0.383119408790354</v>
      </c>
      <c r="L36" s="64" t="n">
        <f aca="false">IF(OR(K36="",J36=""),"",(J36-K36)*100)</f>
        <v>-3.6714180032184</v>
      </c>
      <c r="M36" s="21"/>
    </row>
    <row r="37" customFormat="false" ht="15" hidden="false" customHeight="false" outlineLevel="0" collapsed="false">
      <c r="A37" s="21" t="s">
        <v>149</v>
      </c>
      <c r="B37" s="21" t="s">
        <v>162</v>
      </c>
      <c r="C37" s="21" t="s">
        <v>122</v>
      </c>
      <c r="D37" s="37" t="n">
        <v>519</v>
      </c>
      <c r="E37" s="37" t="n">
        <v>543</v>
      </c>
      <c r="F37" s="63" t="n">
        <f aca="false">IF(E37="","",D37-E37)</f>
        <v>-24</v>
      </c>
      <c r="G37" s="37" t="n">
        <v>1044</v>
      </c>
      <c r="H37" s="37" t="n">
        <v>990</v>
      </c>
      <c r="I37" s="63" t="n">
        <f aca="false">IF(H37="","",G37-H37)</f>
        <v>54</v>
      </c>
      <c r="J37" s="52" t="n">
        <f aca="false">IF(OR(D37="",D37+G37=0),"",D37/(D37+G37))</f>
        <v>0.332053742802303</v>
      </c>
      <c r="K37" s="52" t="n">
        <f aca="false">IF(E37="","",E37/(E37+H37))</f>
        <v>0.354207436399217</v>
      </c>
      <c r="L37" s="64" t="n">
        <f aca="false">IF(OR(K37="",J37=""),"",(J37-K37)*100)</f>
        <v>-2.21536935969139</v>
      </c>
      <c r="M37" s="21"/>
    </row>
    <row r="38" customFormat="false" ht="15" hidden="false" customHeight="false" outlineLevel="0" collapsed="false">
      <c r="A38" s="21" t="s">
        <v>149</v>
      </c>
      <c r="B38" s="21" t="s">
        <v>163</v>
      </c>
      <c r="C38" s="21" t="s">
        <v>122</v>
      </c>
      <c r="D38" s="37" t="n">
        <v>821</v>
      </c>
      <c r="E38" s="37" t="n">
        <v>850</v>
      </c>
      <c r="F38" s="63" t="n">
        <f aca="false">IF(E38="","",D38-E38)</f>
        <v>-29</v>
      </c>
      <c r="G38" s="37" t="n">
        <v>1878</v>
      </c>
      <c r="H38" s="37" t="n">
        <v>1856</v>
      </c>
      <c r="I38" s="63" t="n">
        <f aca="false">IF(H38="","",G38-H38)</f>
        <v>22</v>
      </c>
      <c r="J38" s="52" t="n">
        <f aca="false">IF(OR(D38="",D38+G38=0),"",D38/(D38+G38))</f>
        <v>0.304186735828085</v>
      </c>
      <c r="K38" s="52" t="n">
        <f aca="false">IF(E38="","",E38/(E38+H38))</f>
        <v>0.314116777531412</v>
      </c>
      <c r="L38" s="64" t="n">
        <f aca="false">IF(OR(K38="",J38=""),"",(J38-K38)*100)</f>
        <v>-0.993004170332718</v>
      </c>
      <c r="M38" s="21"/>
    </row>
    <row r="39" customFormat="false" ht="15" hidden="false" customHeight="false" outlineLevel="0" collapsed="false">
      <c r="A39" s="21" t="s">
        <v>149</v>
      </c>
      <c r="B39" s="21" t="s">
        <v>164</v>
      </c>
      <c r="C39" s="21" t="s">
        <v>122</v>
      </c>
      <c r="D39" s="37" t="n">
        <v>965</v>
      </c>
      <c r="E39" s="37" t="n">
        <v>980</v>
      </c>
      <c r="F39" s="63" t="n">
        <f aca="false">IF(E39="","",D39-E39)</f>
        <v>-15</v>
      </c>
      <c r="G39" s="37" t="n">
        <v>928</v>
      </c>
      <c r="H39" s="37" t="n">
        <v>872</v>
      </c>
      <c r="I39" s="63" t="n">
        <f aca="false">IF(H39="","",G39-H39)</f>
        <v>56</v>
      </c>
      <c r="J39" s="52" t="n">
        <f aca="false">IF(OR(D39="",D39+G39=0),"",D39/(D39+G39))</f>
        <v>0.509772847332277</v>
      </c>
      <c r="K39" s="52" t="n">
        <f aca="false">IF(E39="","",E39/(E39+H39))</f>
        <v>0.529157667386609</v>
      </c>
      <c r="L39" s="64" t="n">
        <f aca="false">IF(OR(K39="",J39=""),"",(J39-K39)*100)</f>
        <v>-1.93848200543323</v>
      </c>
      <c r="M39" s="21"/>
    </row>
    <row r="40" customFormat="false" ht="15" hidden="false" customHeight="false" outlineLevel="0" collapsed="false">
      <c r="A40" s="21" t="s">
        <v>149</v>
      </c>
      <c r="B40" s="21" t="s">
        <v>165</v>
      </c>
      <c r="C40" s="21" t="s">
        <v>122</v>
      </c>
      <c r="D40" s="37" t="n">
        <v>3978</v>
      </c>
      <c r="E40" s="37" t="n">
        <v>4022</v>
      </c>
      <c r="F40" s="63" t="n">
        <f aca="false">IF(E40="","",D40-E40)</f>
        <v>-44</v>
      </c>
      <c r="G40" s="37" t="n">
        <v>6059</v>
      </c>
      <c r="H40" s="37" t="n">
        <v>5915</v>
      </c>
      <c r="I40" s="63" t="n">
        <f aca="false">IF(H40="","",G40-H40)</f>
        <v>144</v>
      </c>
      <c r="J40" s="52" t="n">
        <f aca="false">IF(OR(D40="",D40+G40=0),"",D40/(D40+G40))</f>
        <v>0.396333565806516</v>
      </c>
      <c r="K40" s="52" t="n">
        <f aca="false">IF(E40="","",E40/(E40+H40))</f>
        <v>0.404749924524504</v>
      </c>
      <c r="L40" s="64" t="n">
        <f aca="false">IF(OR(K40="",J40=""),"",(J40-K40)*100)</f>
        <v>-0.841635871798846</v>
      </c>
      <c r="M40" s="21"/>
    </row>
    <row r="41" customFormat="false" ht="15" hidden="false" customHeight="false" outlineLevel="0" collapsed="false">
      <c r="A41" s="21" t="s">
        <v>149</v>
      </c>
      <c r="B41" s="21" t="s">
        <v>166</v>
      </c>
      <c r="C41" s="21" t="s">
        <v>122</v>
      </c>
      <c r="D41" s="37" t="n">
        <v>3901</v>
      </c>
      <c r="E41" s="37" t="n">
        <v>4010</v>
      </c>
      <c r="F41" s="63" t="n">
        <f aca="false">IF(E41="","",D41-E41)</f>
        <v>-109</v>
      </c>
      <c r="G41" s="37" t="n">
        <v>4265</v>
      </c>
      <c r="H41" s="37" t="n">
        <v>4104</v>
      </c>
      <c r="I41" s="63" t="n">
        <f aca="false">IF(H41="","",G41-H41)</f>
        <v>161</v>
      </c>
      <c r="J41" s="52" t="n">
        <f aca="false">IF(OR(D41="",D41+G41=0),"",D41/(D41+G41))</f>
        <v>0.477712466323782</v>
      </c>
      <c r="K41" s="52" t="n">
        <f aca="false">IF(E41="","",E41/(E41+H41))</f>
        <v>0.494207542519103</v>
      </c>
      <c r="L41" s="64" t="n">
        <f aca="false">IF(OR(K41="",J41=""),"",(J41-K41)*100)</f>
        <v>-1.64950761953212</v>
      </c>
      <c r="M41" s="21"/>
    </row>
    <row r="42" customFormat="false" ht="15" hidden="false" customHeight="false" outlineLevel="0" collapsed="false">
      <c r="A42" s="21" t="s">
        <v>149</v>
      </c>
      <c r="B42" s="21" t="s">
        <v>167</v>
      </c>
      <c r="C42" s="21" t="s">
        <v>122</v>
      </c>
      <c r="D42" s="37" t="n">
        <v>828</v>
      </c>
      <c r="E42" s="37" t="n">
        <v>800</v>
      </c>
      <c r="F42" s="63" t="n">
        <f aca="false">IF(E42="","",D42-E42)</f>
        <v>28</v>
      </c>
      <c r="G42" s="37" t="n">
        <v>1170</v>
      </c>
      <c r="H42" s="37" t="n">
        <v>1156</v>
      </c>
      <c r="I42" s="63" t="n">
        <f aca="false">IF(H42="","",G42-H42)</f>
        <v>14</v>
      </c>
      <c r="J42" s="52" t="n">
        <f aca="false">IF(OR(D42="",D42+G42=0),"",D42/(D42+G42))</f>
        <v>0.414414414414414</v>
      </c>
      <c r="K42" s="52" t="n">
        <f aca="false">IF(E42="","",E42/(E42+H42))</f>
        <v>0.408997955010225</v>
      </c>
      <c r="L42" s="64" t="n">
        <f aca="false">IF(OR(K42="",J42=""),"",(J42-K42)*100)</f>
        <v>0.541645940418944</v>
      </c>
      <c r="M42" s="21"/>
    </row>
    <row r="43" customFormat="false" ht="15" hidden="false" customHeight="false" outlineLevel="0" collapsed="false">
      <c r="A43" s="21" t="s">
        <v>149</v>
      </c>
      <c r="B43" s="21" t="s">
        <v>168</v>
      </c>
      <c r="C43" s="21" t="s">
        <v>122</v>
      </c>
      <c r="D43" s="37" t="n">
        <v>6740</v>
      </c>
      <c r="E43" s="37" t="n">
        <v>7019</v>
      </c>
      <c r="F43" s="63" t="n">
        <f aca="false">IF(E43="","",D43-E43)</f>
        <v>-279</v>
      </c>
      <c r="G43" s="37" t="n">
        <v>6458</v>
      </c>
      <c r="H43" s="37" t="n">
        <v>6110</v>
      </c>
      <c r="I43" s="63" t="n">
        <f aca="false">IF(H43="","",G43-H43)</f>
        <v>348</v>
      </c>
      <c r="J43" s="52" t="n">
        <f aca="false">IF(OR(D43="",D43+G43=0),"",D43/(D43+G43))</f>
        <v>0.510683436884377</v>
      </c>
      <c r="K43" s="52" t="n">
        <f aca="false">IF(E43="","",E43/(E43+H43))</f>
        <v>0.534618021174499</v>
      </c>
      <c r="L43" s="64" t="n">
        <f aca="false">IF(OR(K43="",J43=""),"",(J43-K43)*100)</f>
        <v>-2.39345842901227</v>
      </c>
      <c r="M43" s="21"/>
    </row>
    <row r="44" customFormat="false" ht="15" hidden="false" customHeight="false" outlineLevel="0" collapsed="false">
      <c r="A44" s="21" t="s">
        <v>149</v>
      </c>
      <c r="B44" s="21" t="s">
        <v>169</v>
      </c>
      <c r="C44" s="21" t="s">
        <v>122</v>
      </c>
      <c r="D44" s="37" t="n">
        <v>8133</v>
      </c>
      <c r="E44" s="37" t="n">
        <v>8020</v>
      </c>
      <c r="F44" s="63" t="n">
        <f aca="false">IF(E44="","",D44-E44)</f>
        <v>113</v>
      </c>
      <c r="G44" s="37" t="n">
        <v>7827</v>
      </c>
      <c r="H44" s="37" t="n">
        <v>7607</v>
      </c>
      <c r="I44" s="63" t="n">
        <f aca="false">IF(H44="","",G44-H44)</f>
        <v>220</v>
      </c>
      <c r="J44" s="52" t="n">
        <f aca="false">IF(OR(D44="",D44+G44=0),"",D44/(D44+G44))</f>
        <v>0.509586466165414</v>
      </c>
      <c r="K44" s="52" t="n">
        <f aca="false">IF(E44="","",E44/(E44+H44))</f>
        <v>0.513214308568503</v>
      </c>
      <c r="L44" s="64" t="n">
        <f aca="false">IF(OR(K44="",J44=""),"",(J44-K44)*100)</f>
        <v>-0.362784240308967</v>
      </c>
      <c r="M44" s="21"/>
    </row>
    <row r="45" customFormat="false" ht="15" hidden="false" customHeight="false" outlineLevel="0" collapsed="false">
      <c r="A45" s="21" t="s">
        <v>149</v>
      </c>
      <c r="B45" s="21" t="s">
        <v>170</v>
      </c>
      <c r="C45" s="21" t="s">
        <v>122</v>
      </c>
      <c r="D45" s="37" t="n">
        <v>2282</v>
      </c>
      <c r="E45" s="37" t="n">
        <v>2380</v>
      </c>
      <c r="F45" s="63" t="n">
        <f aca="false">IF(E45="","",D45-E45)</f>
        <v>-98</v>
      </c>
      <c r="G45" s="37" t="n">
        <v>3172</v>
      </c>
      <c r="H45" s="37" t="n">
        <v>3135</v>
      </c>
      <c r="I45" s="63" t="n">
        <f aca="false">IF(H45="","",G45-H45)</f>
        <v>37</v>
      </c>
      <c r="J45" s="52" t="n">
        <f aca="false">IF(OR(D45="",D45+G45=0),"",D45/(D45+G45))</f>
        <v>0.418408507517418</v>
      </c>
      <c r="K45" s="52" t="n">
        <f aca="false">IF(E45="","",E45/(E45+H45))</f>
        <v>0.43155031731641</v>
      </c>
      <c r="L45" s="64" t="n">
        <f aca="false">IF(OR(K45="",J45=""),"",(J45-K45)*100)</f>
        <v>-1.31418097989914</v>
      </c>
      <c r="M45" s="21"/>
    </row>
    <row r="46" customFormat="false" ht="15" hidden="false" customHeight="false" outlineLevel="0" collapsed="false">
      <c r="A46" s="21" t="s">
        <v>149</v>
      </c>
      <c r="B46" s="21" t="s">
        <v>171</v>
      </c>
      <c r="C46" s="21" t="s">
        <v>122</v>
      </c>
      <c r="D46" s="37" t="n">
        <v>5270</v>
      </c>
      <c r="E46" s="37" t="n">
        <v>5462</v>
      </c>
      <c r="F46" s="63" t="n">
        <f aca="false">IF(E46="","",D46-E46)</f>
        <v>-192</v>
      </c>
      <c r="G46" s="37" t="n">
        <v>5916</v>
      </c>
      <c r="H46" s="37" t="n">
        <v>5740</v>
      </c>
      <c r="I46" s="63" t="n">
        <f aca="false">IF(H46="","",G46-H46)</f>
        <v>176</v>
      </c>
      <c r="J46" s="52" t="n">
        <f aca="false">IF(OR(D46="",D46+G46=0),"",D46/(D46+G46))</f>
        <v>0.47112462006079</v>
      </c>
      <c r="K46" s="52" t="n">
        <f aca="false">IF(E46="","",E46/(E46+H46))</f>
        <v>0.487591501517586</v>
      </c>
      <c r="L46" s="64" t="n">
        <f aca="false">IF(OR(K46="",J46=""),"",(J46-K46)*100)</f>
        <v>-1.64668814567959</v>
      </c>
      <c r="M46" s="21"/>
    </row>
    <row r="47" customFormat="false" ht="15" hidden="false" customHeight="false" outlineLevel="0" collapsed="false">
      <c r="A47" s="21" t="s">
        <v>149</v>
      </c>
      <c r="B47" s="21" t="s">
        <v>172</v>
      </c>
      <c r="C47" s="21" t="s">
        <v>122</v>
      </c>
      <c r="D47" s="37" t="n">
        <v>1241</v>
      </c>
      <c r="E47" s="37" t="n">
        <v>1266</v>
      </c>
      <c r="F47" s="63" t="n">
        <f aca="false">IF(E47="","",D47-E47)</f>
        <v>-25</v>
      </c>
      <c r="G47" s="37" t="n">
        <v>2692</v>
      </c>
      <c r="H47" s="37" t="n">
        <v>2669</v>
      </c>
      <c r="I47" s="63" t="n">
        <f aca="false">IF(H47="","",G47-H47)</f>
        <v>23</v>
      </c>
      <c r="J47" s="52" t="n">
        <f aca="false">IF(OR(D47="",D47+G47=0),"",D47/(D47+G47))</f>
        <v>0.315535214848716</v>
      </c>
      <c r="K47" s="52" t="n">
        <f aca="false">IF(E47="","",E47/(E47+H47))</f>
        <v>0.321728081321474</v>
      </c>
      <c r="L47" s="64" t="n">
        <f aca="false">IF(OR(K47="",J47=""),"",(J47-K47)*100)</f>
        <v>-0.619286647275796</v>
      </c>
      <c r="M47" s="21"/>
    </row>
    <row r="48" customFormat="false" ht="15" hidden="false" customHeight="false" outlineLevel="0" collapsed="false">
      <c r="A48" s="21" t="s">
        <v>149</v>
      </c>
      <c r="B48" s="21" t="s">
        <v>173</v>
      </c>
      <c r="C48" s="21" t="s">
        <v>122</v>
      </c>
      <c r="D48" s="37" t="n">
        <v>1112</v>
      </c>
      <c r="E48" s="37" t="n">
        <v>1172</v>
      </c>
      <c r="F48" s="63" t="n">
        <f aca="false">IF(E48="","",D48-E48)</f>
        <v>-60</v>
      </c>
      <c r="G48" s="37" t="n">
        <v>2266</v>
      </c>
      <c r="H48" s="37" t="n">
        <v>2201</v>
      </c>
      <c r="I48" s="63" t="n">
        <f aca="false">IF(H48="","",G48-H48)</f>
        <v>65</v>
      </c>
      <c r="J48" s="52" t="n">
        <f aca="false">IF(OR(D48="",D48+G48=0),"",D48/(D48+G48))</f>
        <v>0.329188869153345</v>
      </c>
      <c r="K48" s="52" t="n">
        <f aca="false">IF(E48="","",E48/(E48+H48))</f>
        <v>0.347465164541951</v>
      </c>
      <c r="L48" s="64" t="n">
        <f aca="false">IF(OR(K48="",J48=""),"",(J48-K48)*100)</f>
        <v>-1.82762953886056</v>
      </c>
      <c r="M48" s="21"/>
    </row>
    <row r="49" customFormat="false" ht="15" hidden="false" customHeight="false" outlineLevel="0" collapsed="false">
      <c r="A49" s="21" t="s">
        <v>149</v>
      </c>
      <c r="B49" s="21" t="s">
        <v>174</v>
      </c>
      <c r="C49" s="21" t="s">
        <v>122</v>
      </c>
      <c r="D49" s="37" t="n">
        <v>7290</v>
      </c>
      <c r="E49" s="37" t="n">
        <v>7383</v>
      </c>
      <c r="F49" s="63" t="n">
        <f aca="false">IF(E49="","",D49-E49)</f>
        <v>-93</v>
      </c>
      <c r="G49" s="37" t="n">
        <v>7190</v>
      </c>
      <c r="H49" s="37" t="n">
        <v>7036</v>
      </c>
      <c r="I49" s="63" t="n">
        <f aca="false">IF(H49="","",G49-H49)</f>
        <v>154</v>
      </c>
      <c r="J49" s="52" t="n">
        <f aca="false">IF(OR(D49="",D49+G49=0),"",D49/(D49+G49))</f>
        <v>0.503453038674033</v>
      </c>
      <c r="K49" s="52" t="n">
        <f aca="false">IF(E49="","",E49/(E49+H49))</f>
        <v>0.51203273458631</v>
      </c>
      <c r="L49" s="64" t="n">
        <f aca="false">IF(OR(K49="",J49=""),"",(J49-K49)*100)</f>
        <v>-0.857969591227659</v>
      </c>
      <c r="M49" s="21"/>
    </row>
    <row r="50" customFormat="false" ht="15" hidden="false" customHeight="false" outlineLevel="0" collapsed="false">
      <c r="A50" s="21" t="s">
        <v>175</v>
      </c>
      <c r="B50" s="21" t="s">
        <v>176</v>
      </c>
      <c r="C50" s="21" t="s">
        <v>122</v>
      </c>
      <c r="D50" s="37" t="n">
        <v>452</v>
      </c>
      <c r="E50" s="37" t="n">
        <v>471</v>
      </c>
      <c r="F50" s="63" t="n">
        <f aca="false">IF(E50="","",D50-E50)</f>
        <v>-19</v>
      </c>
      <c r="G50" s="37" t="n">
        <v>1092</v>
      </c>
      <c r="H50" s="37" t="n">
        <v>1124</v>
      </c>
      <c r="I50" s="63" t="n">
        <f aca="false">IF(H50="","",G50-H50)</f>
        <v>-32</v>
      </c>
      <c r="J50" s="52" t="n">
        <f aca="false">IF(OR(D50="",D50+G50=0),"",D50/(D50+G50))</f>
        <v>0.292746113989637</v>
      </c>
      <c r="K50" s="52" t="n">
        <f aca="false">IF(E50="","",E50/(E50+H50))</f>
        <v>0.295297805642633</v>
      </c>
      <c r="L50" s="64" t="n">
        <f aca="false">IF(OR(K50="",J50=""),"",(J50-K50)*100)</f>
        <v>-0.255169165299596</v>
      </c>
      <c r="M50" s="21"/>
    </row>
    <row r="51" customFormat="false" ht="15" hidden="false" customHeight="false" outlineLevel="0" collapsed="false">
      <c r="A51" s="21" t="s">
        <v>175</v>
      </c>
      <c r="B51" s="21" t="s">
        <v>177</v>
      </c>
      <c r="C51" s="21" t="s">
        <v>122</v>
      </c>
      <c r="D51" s="37" t="n">
        <v>1292</v>
      </c>
      <c r="E51" s="37" t="n">
        <v>1414</v>
      </c>
      <c r="F51" s="63" t="n">
        <f aca="false">IF(E51="","",D51-E51)</f>
        <v>-122</v>
      </c>
      <c r="G51" s="37" t="n">
        <v>2877</v>
      </c>
      <c r="H51" s="37" t="n">
        <v>2894</v>
      </c>
      <c r="I51" s="63" t="n">
        <f aca="false">IF(H51="","",G51-H51)</f>
        <v>-17</v>
      </c>
      <c r="J51" s="52" t="n">
        <f aca="false">IF(OR(D51="",D51+G51=0),"",D51/(D51+G51))</f>
        <v>0.309906452386664</v>
      </c>
      <c r="K51" s="52" t="n">
        <f aca="false">IF(E51="","",E51/(E51+H51))</f>
        <v>0.328226555246054</v>
      </c>
      <c r="L51" s="64" t="n">
        <f aca="false">IF(OR(K51="",J51=""),"",(J51-K51)*100)</f>
        <v>-1.83201028593904</v>
      </c>
      <c r="M51" s="21"/>
    </row>
    <row r="52" customFormat="false" ht="15" hidden="false" customHeight="false" outlineLevel="0" collapsed="false">
      <c r="A52" s="21" t="s">
        <v>175</v>
      </c>
      <c r="B52" s="21" t="s">
        <v>178</v>
      </c>
      <c r="C52" s="21" t="s">
        <v>122</v>
      </c>
      <c r="D52" s="37" t="n">
        <v>955</v>
      </c>
      <c r="E52" s="37" t="n">
        <v>521</v>
      </c>
      <c r="F52" s="63" t="n">
        <f aca="false">IF(E52="","",D52-E52)</f>
        <v>434</v>
      </c>
      <c r="G52" s="37" t="n">
        <v>1965</v>
      </c>
      <c r="H52" s="37" t="n">
        <v>997</v>
      </c>
      <c r="I52" s="63" t="n">
        <f aca="false">IF(H52="","",G52-H52)</f>
        <v>968</v>
      </c>
      <c r="J52" s="52" t="n">
        <f aca="false">IF(OR(D52="",D52+G52=0),"",D52/(D52+G52))</f>
        <v>0.327054794520548</v>
      </c>
      <c r="K52" s="52" t="n">
        <f aca="false">IF(E52="","",E52/(E52+H52))</f>
        <v>0.343214756258235</v>
      </c>
      <c r="L52" s="64" t="n">
        <f aca="false">IF(OR(K52="",J52=""),"",(J52-K52)*100)</f>
        <v>-1.61599617376866</v>
      </c>
      <c r="M52" s="21"/>
    </row>
    <row r="53" customFormat="false" ht="15" hidden="false" customHeight="false" outlineLevel="0" collapsed="false">
      <c r="A53" s="21" t="s">
        <v>179</v>
      </c>
      <c r="B53" s="21" t="s">
        <v>180</v>
      </c>
      <c r="C53" s="21" t="s">
        <v>122</v>
      </c>
      <c r="D53" s="37" t="n">
        <v>1475</v>
      </c>
      <c r="E53" s="37" t="n">
        <v>1511</v>
      </c>
      <c r="F53" s="63" t="n">
        <f aca="false">IF(E53="","",D53-E53)</f>
        <v>-36</v>
      </c>
      <c r="G53" s="37" t="n">
        <v>1989</v>
      </c>
      <c r="H53" s="37" t="n">
        <v>2018</v>
      </c>
      <c r="I53" s="63" t="n">
        <f aca="false">IF(H53="","",G53-H53)</f>
        <v>-29</v>
      </c>
      <c r="J53" s="52" t="n">
        <f aca="false">IF(OR(D53="",D53+G53=0),"",D53/(D53+G53))</f>
        <v>0.42580831408776</v>
      </c>
      <c r="K53" s="52" t="n">
        <f aca="false">IF(E53="","",E53/(E53+H53))</f>
        <v>0.428166619438935</v>
      </c>
      <c r="L53" s="64" t="n">
        <f aca="false">IF(OR(K53="",J53=""),"",(J53-K53)*100)</f>
        <v>-0.235830535117471</v>
      </c>
      <c r="M53" s="21"/>
    </row>
    <row r="54" customFormat="false" ht="15" hidden="false" customHeight="false" outlineLevel="0" collapsed="false">
      <c r="A54" s="21" t="s">
        <v>179</v>
      </c>
      <c r="B54" s="21" t="s">
        <v>181</v>
      </c>
      <c r="C54" s="21" t="s">
        <v>122</v>
      </c>
      <c r="D54" s="37" t="n">
        <v>947</v>
      </c>
      <c r="E54" s="37" t="n">
        <v>959</v>
      </c>
      <c r="F54" s="63" t="n">
        <f aca="false">IF(E54="","",D54-E54)</f>
        <v>-12</v>
      </c>
      <c r="G54" s="37" t="n">
        <v>1364</v>
      </c>
      <c r="H54" s="37" t="n">
        <v>1364</v>
      </c>
      <c r="I54" s="63" t="n">
        <f aca="false">IF(H54="","",G54-H54)</f>
        <v>0</v>
      </c>
      <c r="J54" s="52" t="n">
        <f aca="false">IF(OR(D54="",D54+G54=0),"",D54/(D54+G54))</f>
        <v>0.409779316313284</v>
      </c>
      <c r="K54" s="52" t="n">
        <f aca="false">IF(E54="","",E54/(E54+H54))</f>
        <v>0.412828239345674</v>
      </c>
      <c r="L54" s="64" t="n">
        <f aca="false">IF(OR(K54="",J54=""),"",(J54-K54)*100)</f>
        <v>-0.304892303238941</v>
      </c>
      <c r="M54" s="21"/>
    </row>
    <row r="55" customFormat="false" ht="15" hidden="false" customHeight="false" outlineLevel="0" collapsed="false">
      <c r="A55" s="21" t="s">
        <v>179</v>
      </c>
      <c r="B55" s="21" t="s">
        <v>182</v>
      </c>
      <c r="C55" s="21" t="s">
        <v>122</v>
      </c>
      <c r="D55" s="37" t="n">
        <v>620</v>
      </c>
      <c r="E55" s="37" t="n">
        <v>623</v>
      </c>
      <c r="F55" s="63" t="n">
        <f aca="false">IF(E55="","",D55-E55)</f>
        <v>-3</v>
      </c>
      <c r="G55" s="37" t="n">
        <v>750</v>
      </c>
      <c r="H55" s="37" t="n">
        <v>726</v>
      </c>
      <c r="I55" s="63" t="n">
        <f aca="false">IF(H55="","",G55-H55)</f>
        <v>24</v>
      </c>
      <c r="J55" s="52" t="n">
        <f aca="false">IF(OR(D55="",D55+G55=0),"",D55/(D55+G55))</f>
        <v>0.452554744525547</v>
      </c>
      <c r="K55" s="52" t="n">
        <f aca="false">IF(E55="","",E55/(E55+H55))</f>
        <v>0.46182357301705</v>
      </c>
      <c r="L55" s="64" t="n">
        <f aca="false">IF(OR(K55="",J55=""),"",(J55-K55)*100)</f>
        <v>-0.926882849150224</v>
      </c>
      <c r="M55" s="21"/>
    </row>
    <row r="56" customFormat="false" ht="15" hidden="false" customHeight="false" outlineLevel="0" collapsed="false">
      <c r="A56" s="21" t="s">
        <v>179</v>
      </c>
      <c r="B56" s="21" t="s">
        <v>152</v>
      </c>
      <c r="C56" s="21" t="s">
        <v>122</v>
      </c>
      <c r="D56" s="37" t="n">
        <v>17511</v>
      </c>
      <c r="E56" s="37" t="n">
        <v>17416</v>
      </c>
      <c r="F56" s="63" t="n">
        <f aca="false">IF(E56="","",D56-E56)</f>
        <v>95</v>
      </c>
      <c r="G56" s="37" t="n">
        <v>8072</v>
      </c>
      <c r="H56" s="37" t="n">
        <v>8640</v>
      </c>
      <c r="I56" s="63" t="n">
        <f aca="false">IF(H56="","",G56-H56)</f>
        <v>-568</v>
      </c>
      <c r="J56" s="52" t="n">
        <f aca="false">IF(OR(D56="",D56+G56=0),"",D56/(D56+G56))</f>
        <v>0.68447797365438</v>
      </c>
      <c r="K56" s="52" t="n">
        <f aca="false">IF(E56="","",E56/(E56+H56))</f>
        <v>0.668406509057415</v>
      </c>
      <c r="L56" s="64" t="n">
        <f aca="false">IF(OR(K56="",J56=""),"",(J56-K56)*100)</f>
        <v>1.60714645969651</v>
      </c>
      <c r="M56" s="21"/>
    </row>
    <row r="57" customFormat="false" ht="15" hidden="false" customHeight="false" outlineLevel="0" collapsed="false">
      <c r="A57" s="21" t="s">
        <v>179</v>
      </c>
      <c r="B57" s="21" t="s">
        <v>183</v>
      </c>
      <c r="C57" s="21" t="s">
        <v>122</v>
      </c>
      <c r="D57" s="37" t="n">
        <v>8070</v>
      </c>
      <c r="E57" s="37" t="n">
        <v>8595</v>
      </c>
      <c r="F57" s="63" t="n">
        <f aca="false">IF(E57="","",D57-E57)</f>
        <v>-525</v>
      </c>
      <c r="G57" s="37" t="n">
        <v>7863</v>
      </c>
      <c r="H57" s="37" t="n">
        <v>7440</v>
      </c>
      <c r="I57" s="63" t="n">
        <f aca="false">IF(H57="","",G57-H57)</f>
        <v>423</v>
      </c>
      <c r="J57" s="52" t="n">
        <f aca="false">IF(OR(D57="",D57+G57=0),"",D57/(D57+G57))</f>
        <v>0.506495951798155</v>
      </c>
      <c r="K57" s="52" t="n">
        <f aca="false">IF(E57="","",E57/(E57+H57))</f>
        <v>0.536014967259121</v>
      </c>
      <c r="L57" s="64" t="n">
        <f aca="false">IF(OR(K57="",J57=""),"",(J57-K57)*100)</f>
        <v>-2.95190154609659</v>
      </c>
      <c r="M57" s="21"/>
    </row>
    <row r="58" customFormat="false" ht="15" hidden="false" customHeight="false" outlineLevel="0" collapsed="false">
      <c r="A58" s="21" t="s">
        <v>179</v>
      </c>
      <c r="B58" s="21" t="s">
        <v>184</v>
      </c>
      <c r="C58" s="21" t="s">
        <v>122</v>
      </c>
      <c r="D58" s="37" t="n">
        <v>1953</v>
      </c>
      <c r="E58" s="37" t="n">
        <v>2169</v>
      </c>
      <c r="F58" s="63" t="n">
        <f aca="false">IF(E58="","",D58-E58)</f>
        <v>-216</v>
      </c>
      <c r="G58" s="37" t="n">
        <v>3662</v>
      </c>
      <c r="H58" s="37" t="n">
        <v>3459</v>
      </c>
      <c r="I58" s="63" t="n">
        <f aca="false">IF(H58="","",G58-H58)</f>
        <v>203</v>
      </c>
      <c r="J58" s="52" t="n">
        <f aca="false">IF(OR(D58="",D58+G58=0),"",D58/(D58+G58))</f>
        <v>0.347818343722173</v>
      </c>
      <c r="K58" s="52" t="n">
        <f aca="false">IF(E58="","",E58/(E58+H58))</f>
        <v>0.385394456289979</v>
      </c>
      <c r="L58" s="64" t="n">
        <f aca="false">IF(OR(K58="",J58=""),"",(J58-K58)*100)</f>
        <v>-3.7576112567806</v>
      </c>
      <c r="M58" s="21"/>
    </row>
    <row r="59" customFormat="false" ht="15" hidden="false" customHeight="false" outlineLevel="0" collapsed="false">
      <c r="A59" s="21" t="s">
        <v>179</v>
      </c>
      <c r="B59" s="21" t="s">
        <v>185</v>
      </c>
      <c r="C59" s="21" t="s">
        <v>122</v>
      </c>
      <c r="D59" s="37" t="n">
        <v>41</v>
      </c>
      <c r="E59" s="37" t="n">
        <v>40</v>
      </c>
      <c r="F59" s="63" t="n">
        <f aca="false">IF(E59="","",D59-E59)</f>
        <v>1</v>
      </c>
      <c r="G59" s="37" t="n">
        <v>80</v>
      </c>
      <c r="H59" s="37" t="n">
        <v>83</v>
      </c>
      <c r="I59" s="63" t="n">
        <f aca="false">IF(H59="","",G59-H59)</f>
        <v>-3</v>
      </c>
      <c r="J59" s="52" t="n">
        <f aca="false">IF(OR(D59="",D59+G59=0),"",D59/(D59+G59))</f>
        <v>0.338842975206612</v>
      </c>
      <c r="K59" s="52" t="n">
        <f aca="false">IF(E59="","",E59/(E59+H59))</f>
        <v>0.32520325203252</v>
      </c>
      <c r="L59" s="64" t="n">
        <f aca="false">IF(OR(K59="",J59=""),"",(J59-K59)*100)</f>
        <v>1.36397231740912</v>
      </c>
      <c r="M59" s="21"/>
    </row>
    <row r="60" customFormat="false" ht="15" hidden="false" customHeight="false" outlineLevel="0" collapsed="false">
      <c r="A60" s="21" t="s">
        <v>179</v>
      </c>
      <c r="B60" s="21" t="s">
        <v>186</v>
      </c>
      <c r="C60" s="21" t="s">
        <v>122</v>
      </c>
      <c r="D60" s="37" t="n">
        <v>1378</v>
      </c>
      <c r="E60" s="37" t="n">
        <v>1484</v>
      </c>
      <c r="F60" s="63" t="n">
        <f aca="false">IF(E60="","",D60-E60)</f>
        <v>-106</v>
      </c>
      <c r="G60" s="37" t="n">
        <v>1991</v>
      </c>
      <c r="H60" s="37" t="n">
        <v>1959</v>
      </c>
      <c r="I60" s="63" t="n">
        <f aca="false">IF(H60="","",G60-H60)</f>
        <v>32</v>
      </c>
      <c r="J60" s="52" t="n">
        <f aca="false">IF(OR(D60="",D60+G60=0),"",D60/(D60+G60))</f>
        <v>0.409023449094687</v>
      </c>
      <c r="K60" s="52" t="n">
        <f aca="false">IF(E60="","",E60/(E60+H60))</f>
        <v>0.431019459773453</v>
      </c>
      <c r="L60" s="64" t="n">
        <f aca="false">IF(OR(K60="",J60=""),"",(J60-K60)*100)</f>
        <v>-2.19960106787666</v>
      </c>
      <c r="M60" s="21"/>
    </row>
    <row r="61" customFormat="false" ht="15" hidden="false" customHeight="false" outlineLevel="0" collapsed="false">
      <c r="A61" s="21" t="s">
        <v>179</v>
      </c>
      <c r="B61" s="21" t="s">
        <v>187</v>
      </c>
      <c r="C61" s="21" t="s">
        <v>122</v>
      </c>
      <c r="D61" s="37" t="n">
        <v>179</v>
      </c>
      <c r="E61" s="37" t="n">
        <v>217</v>
      </c>
      <c r="F61" s="63" t="n">
        <f aca="false">IF(E61="","",D61-E61)</f>
        <v>-38</v>
      </c>
      <c r="G61" s="37" t="n">
        <v>332</v>
      </c>
      <c r="H61" s="37" t="n">
        <v>309</v>
      </c>
      <c r="I61" s="63" t="n">
        <f aca="false">IF(H61="","",G61-H61)</f>
        <v>23</v>
      </c>
      <c r="J61" s="52" t="n">
        <f aca="false">IF(OR(D61="",D61+G61=0),"",D61/(D61+G61))</f>
        <v>0.350293542074364</v>
      </c>
      <c r="K61" s="52" t="n">
        <f aca="false">IF(E61="","",E61/(E61+H61))</f>
        <v>0.41254752851711</v>
      </c>
      <c r="L61" s="64" t="n">
        <f aca="false">IF(OR(K61="",J61=""),"",(J61-K61)*100)</f>
        <v>-6.22539864427463</v>
      </c>
      <c r="M61" s="21"/>
    </row>
    <row r="62" customFormat="false" ht="15" hidden="false" customHeight="false" outlineLevel="0" collapsed="false">
      <c r="A62" s="21" t="s">
        <v>179</v>
      </c>
      <c r="B62" s="21" t="s">
        <v>188</v>
      </c>
      <c r="C62" s="21" t="s">
        <v>122</v>
      </c>
      <c r="D62" s="37" t="n">
        <v>7435</v>
      </c>
      <c r="E62" s="37" t="n">
        <v>7604</v>
      </c>
      <c r="F62" s="63" t="n">
        <f aca="false">IF(E62="","",D62-E62)</f>
        <v>-169</v>
      </c>
      <c r="G62" s="37" t="n">
        <v>3107</v>
      </c>
      <c r="H62" s="37" t="n">
        <v>3303</v>
      </c>
      <c r="I62" s="63" t="n">
        <f aca="false">IF(H62="","",G62-H62)</f>
        <v>-196</v>
      </c>
      <c r="J62" s="52" t="n">
        <f aca="false">IF(OR(D62="",D62+G62=0),"",D62/(D62+G62))</f>
        <v>0.705274141529122</v>
      </c>
      <c r="K62" s="52" t="n">
        <f aca="false">IF(E62="","",E62/(E62+H62))</f>
        <v>0.697166957000092</v>
      </c>
      <c r="L62" s="64" t="n">
        <f aca="false">IF(OR(K62="",J62=""),"",(J62-K62)*100)</f>
        <v>0.810718452902992</v>
      </c>
      <c r="M62" s="21"/>
    </row>
    <row r="63" customFormat="false" ht="15" hidden="false" customHeight="false" outlineLevel="0" collapsed="false">
      <c r="A63" s="21" t="s">
        <v>179</v>
      </c>
      <c r="B63" s="21" t="s">
        <v>189</v>
      </c>
      <c r="C63" s="21" t="s">
        <v>122</v>
      </c>
      <c r="D63" s="37" t="n">
        <v>5213</v>
      </c>
      <c r="E63" s="37" t="n">
        <v>5358</v>
      </c>
      <c r="F63" s="63" t="n">
        <f aca="false">IF(E63="","",D63-E63)</f>
        <v>-145</v>
      </c>
      <c r="G63" s="37" t="n">
        <v>5066</v>
      </c>
      <c r="H63" s="37" t="n">
        <v>5027</v>
      </c>
      <c r="I63" s="63" t="n">
        <f aca="false">IF(H63="","",G63-H63)</f>
        <v>39</v>
      </c>
      <c r="J63" s="52" t="n">
        <f aca="false">IF(OR(D63="",D63+G63=0),"",D63/(D63+G63))</f>
        <v>0.5071505010215</v>
      </c>
      <c r="K63" s="52" t="n">
        <f aca="false">IF(E63="","",E63/(E63+H63))</f>
        <v>0.515936446798267</v>
      </c>
      <c r="L63" s="64" t="n">
        <f aca="false">IF(OR(K63="",J63=""),"",(J63-K63)*100)</f>
        <v>-0.878594577676661</v>
      </c>
      <c r="M63" s="21"/>
    </row>
    <row r="64" customFormat="false" ht="15" hidden="false" customHeight="false" outlineLevel="0" collapsed="false">
      <c r="A64" s="21" t="s">
        <v>179</v>
      </c>
      <c r="B64" s="21" t="s">
        <v>190</v>
      </c>
      <c r="C64" s="21" t="s">
        <v>122</v>
      </c>
      <c r="D64" s="37" t="n">
        <v>744</v>
      </c>
      <c r="E64" s="37" t="n">
        <v>714</v>
      </c>
      <c r="F64" s="63" t="n">
        <f aca="false">IF(E64="","",D64-E64)</f>
        <v>30</v>
      </c>
      <c r="G64" s="37" t="n">
        <v>521</v>
      </c>
      <c r="H64" s="37" t="n">
        <v>484</v>
      </c>
      <c r="I64" s="63" t="n">
        <f aca="false">IF(H64="","",G64-H64)</f>
        <v>37</v>
      </c>
      <c r="J64" s="52" t="n">
        <f aca="false">IF(OR(D64="",D64+G64=0),"",D64/(D64+G64))</f>
        <v>0.588142292490119</v>
      </c>
      <c r="K64" s="52" t="n">
        <f aca="false">IF(E64="","",E64/(E64+H64))</f>
        <v>0.595993322203673</v>
      </c>
      <c r="L64" s="64" t="n">
        <f aca="false">IF(OR(K64="",J64=""),"",(J64-K64)*100)</f>
        <v>-0.785102971355411</v>
      </c>
      <c r="M64" s="21"/>
    </row>
    <row r="65" customFormat="false" ht="15" hidden="false" customHeight="false" outlineLevel="0" collapsed="false">
      <c r="A65" s="21" t="s">
        <v>179</v>
      </c>
      <c r="B65" s="21" t="s">
        <v>191</v>
      </c>
      <c r="C65" s="21" t="s">
        <v>122</v>
      </c>
      <c r="D65" s="37" t="n">
        <v>102</v>
      </c>
      <c r="E65" s="37" t="n">
        <v>109</v>
      </c>
      <c r="F65" s="63" t="n">
        <f aca="false">IF(E65="","",D65-E65)</f>
        <v>-7</v>
      </c>
      <c r="G65" s="37" t="n">
        <v>103</v>
      </c>
      <c r="H65" s="37" t="n">
        <v>97</v>
      </c>
      <c r="I65" s="63" t="n">
        <f aca="false">IF(H65="","",G65-H65)</f>
        <v>6</v>
      </c>
      <c r="J65" s="52" t="n">
        <f aca="false">IF(OR(D65="",D65+G65=0),"",D65/(D65+G65))</f>
        <v>0.497560975609756</v>
      </c>
      <c r="K65" s="52" t="n">
        <f aca="false">IF(E65="","",E65/(E65+H65))</f>
        <v>0.529126213592233</v>
      </c>
      <c r="L65" s="64" t="n">
        <f aca="false">IF(OR(K65="",J65=""),"",(J65-K65)*100)</f>
        <v>-3.15652379824769</v>
      </c>
      <c r="M65" s="21"/>
    </row>
    <row r="66" customFormat="false" ht="15" hidden="false" customHeight="false" outlineLevel="0" collapsed="false">
      <c r="A66" s="21" t="s">
        <v>179</v>
      </c>
      <c r="B66" s="21" t="s">
        <v>158</v>
      </c>
      <c r="C66" s="21" t="s">
        <v>122</v>
      </c>
      <c r="D66" s="37" t="n">
        <v>4090</v>
      </c>
      <c r="E66" s="37" t="n">
        <v>4341</v>
      </c>
      <c r="F66" s="63" t="n">
        <f aca="false">IF(E66="","",D66-E66)</f>
        <v>-251</v>
      </c>
      <c r="G66" s="37" t="n">
        <v>3859</v>
      </c>
      <c r="H66" s="37" t="n">
        <v>3620</v>
      </c>
      <c r="I66" s="63" t="n">
        <f aca="false">IF(H66="","",G66-H66)</f>
        <v>239</v>
      </c>
      <c r="J66" s="52" t="n">
        <f aca="false">IF(OR(D66="",D66+G66=0),"",D66/(D66+G66))</f>
        <v>0.514530129576047</v>
      </c>
      <c r="K66" s="52" t="n">
        <f aca="false">IF(E66="","",E66/(E66+H66))</f>
        <v>0.545283255872378</v>
      </c>
      <c r="L66" s="64" t="n">
        <f aca="false">IF(OR(K66="",J66=""),"",(J66-K66)*100)</f>
        <v>-3.07531262963305</v>
      </c>
      <c r="M66" s="21"/>
    </row>
    <row r="67" customFormat="false" ht="15" hidden="false" customHeight="false" outlineLevel="0" collapsed="false">
      <c r="A67" s="21" t="s">
        <v>179</v>
      </c>
      <c r="B67" s="21" t="s">
        <v>192</v>
      </c>
      <c r="C67" s="21" t="s">
        <v>122</v>
      </c>
      <c r="D67" s="37" t="n">
        <v>1688</v>
      </c>
      <c r="E67" s="37" t="n">
        <v>1726</v>
      </c>
      <c r="F67" s="63" t="n">
        <f aca="false">IF(E67="","",D67-E67)</f>
        <v>-38</v>
      </c>
      <c r="G67" s="37" t="n">
        <v>1671</v>
      </c>
      <c r="H67" s="37" t="n">
        <v>1685</v>
      </c>
      <c r="I67" s="63" t="n">
        <f aca="false">IF(H67="","",G67-H67)</f>
        <v>-14</v>
      </c>
      <c r="J67" s="52" t="n">
        <f aca="false">IF(OR(D67="",D67+G67=0),"",D67/(D67+G67))</f>
        <v>0.502530515034236</v>
      </c>
      <c r="K67" s="52" t="n">
        <f aca="false">IF(E67="","",E67/(E67+H67))</f>
        <v>0.506009967751393</v>
      </c>
      <c r="L67" s="64" t="n">
        <f aca="false">IF(OR(K67="",J67=""),"",(J67-K67)*100)</f>
        <v>-0.347945271715611</v>
      </c>
      <c r="M67" s="21"/>
    </row>
    <row r="68" customFormat="false" ht="15" hidden="false" customHeight="false" outlineLevel="0" collapsed="false">
      <c r="A68" s="21" t="s">
        <v>179</v>
      </c>
      <c r="B68" s="21" t="s">
        <v>193</v>
      </c>
      <c r="C68" s="21" t="s">
        <v>122</v>
      </c>
      <c r="D68" s="37" t="n">
        <v>2115</v>
      </c>
      <c r="E68" s="37" t="n">
        <v>2244</v>
      </c>
      <c r="F68" s="63" t="n">
        <f aca="false">IF(E68="","",D68-E68)</f>
        <v>-129</v>
      </c>
      <c r="G68" s="37" t="n">
        <v>4534</v>
      </c>
      <c r="H68" s="37" t="n">
        <v>4439</v>
      </c>
      <c r="I68" s="63" t="n">
        <f aca="false">IF(H68="","",G68-H68)</f>
        <v>95</v>
      </c>
      <c r="J68" s="52" t="n">
        <f aca="false">IF(OR(D68="",D68+G68=0),"",D68/(D68+G68))</f>
        <v>0.318092946307715</v>
      </c>
      <c r="K68" s="52" t="n">
        <f aca="false">IF(E68="","",E68/(E68+H68))</f>
        <v>0.335777345503516</v>
      </c>
      <c r="L68" s="64" t="n">
        <f aca="false">IF(OR(K68="",J68=""),"",(J68-K68)*100)</f>
        <v>-1.76843991958009</v>
      </c>
      <c r="M68" s="21"/>
    </row>
    <row r="69" customFormat="false" ht="15" hidden="false" customHeight="false" outlineLevel="0" collapsed="false">
      <c r="A69" s="21" t="s">
        <v>179</v>
      </c>
      <c r="B69" s="21" t="s">
        <v>194</v>
      </c>
      <c r="C69" s="21" t="s">
        <v>122</v>
      </c>
      <c r="D69" s="37" t="n">
        <v>572</v>
      </c>
      <c r="E69" s="37" t="n">
        <v>625</v>
      </c>
      <c r="F69" s="63" t="n">
        <f aca="false">IF(E69="","",D69-E69)</f>
        <v>-53</v>
      </c>
      <c r="G69" s="37" t="n">
        <v>1201</v>
      </c>
      <c r="H69" s="37" t="n">
        <v>1214</v>
      </c>
      <c r="I69" s="63" t="n">
        <f aca="false">IF(H69="","",G69-H69)</f>
        <v>-13</v>
      </c>
      <c r="J69" s="52" t="n">
        <f aca="false">IF(OR(D69="",D69+G69=0),"",D69/(D69+G69))</f>
        <v>0.322617033276932</v>
      </c>
      <c r="K69" s="52" t="n">
        <f aca="false">IF(E69="","",E69/(E69+H69))</f>
        <v>0.339858618814573</v>
      </c>
      <c r="L69" s="64" t="n">
        <f aca="false">IF(OR(K69="",J69=""),"",(J69-K69)*100)</f>
        <v>-1.72415855376414</v>
      </c>
      <c r="M69" s="21"/>
    </row>
    <row r="70" customFormat="false" ht="15" hidden="false" customHeight="false" outlineLevel="0" collapsed="false">
      <c r="A70" s="21" t="s">
        <v>179</v>
      </c>
      <c r="B70" s="21" t="s">
        <v>195</v>
      </c>
      <c r="C70" s="21" t="s">
        <v>122</v>
      </c>
      <c r="D70" s="37" t="n">
        <v>1872</v>
      </c>
      <c r="E70" s="37" t="n">
        <v>2047</v>
      </c>
      <c r="F70" s="63" t="n">
        <f aca="false">IF(E70="","",D70-E70)</f>
        <v>-175</v>
      </c>
      <c r="G70" s="37" t="n">
        <v>2683</v>
      </c>
      <c r="H70" s="37" t="n">
        <v>2499</v>
      </c>
      <c r="I70" s="63" t="n">
        <f aca="false">IF(H70="","",G70-H70)</f>
        <v>184</v>
      </c>
      <c r="J70" s="52" t="n">
        <f aca="false">IF(OR(D70="",D70+G70=0),"",D70/(D70+G70))</f>
        <v>0.410976948408343</v>
      </c>
      <c r="K70" s="52" t="n">
        <f aca="false">IF(E70="","",E70/(E70+H70))</f>
        <v>0.450285965684118</v>
      </c>
      <c r="L70" s="64" t="n">
        <f aca="false">IF(OR(K70="",J70=""),"",(J70-K70)*100)</f>
        <v>-3.93090172757754</v>
      </c>
      <c r="M70" s="21"/>
    </row>
    <row r="71" customFormat="false" ht="15" hidden="false" customHeight="false" outlineLevel="0" collapsed="false">
      <c r="A71" s="21" t="s">
        <v>179</v>
      </c>
      <c r="B71" s="21" t="s">
        <v>196</v>
      </c>
      <c r="C71" s="21" t="s">
        <v>122</v>
      </c>
      <c r="D71" s="37" t="n">
        <v>3390</v>
      </c>
      <c r="E71" s="37" t="n">
        <v>3457</v>
      </c>
      <c r="F71" s="63" t="n">
        <f aca="false">IF(E71="","",D71-E71)</f>
        <v>-67</v>
      </c>
      <c r="G71" s="37" t="n">
        <v>3849</v>
      </c>
      <c r="H71" s="37" t="n">
        <v>3805</v>
      </c>
      <c r="I71" s="63" t="n">
        <f aca="false">IF(H71="","",G71-H71)</f>
        <v>44</v>
      </c>
      <c r="J71" s="52" t="n">
        <f aca="false">IF(OR(D71="",D71+G71=0),"",D71/(D71+G71))</f>
        <v>0.468296726067136</v>
      </c>
      <c r="K71" s="52" t="n">
        <f aca="false">IF(E71="","",E71/(E71+H71))</f>
        <v>0.476039658496282</v>
      </c>
      <c r="L71" s="64" t="n">
        <f aca="false">IF(OR(K71="",J71=""),"",(J71-K71)*100)</f>
        <v>-0.774293242914564</v>
      </c>
      <c r="M71" s="21"/>
    </row>
    <row r="72" customFormat="false" ht="15" hidden="false" customHeight="false" outlineLevel="0" collapsed="false">
      <c r="A72" s="21" t="s">
        <v>179</v>
      </c>
      <c r="B72" s="21" t="s">
        <v>197</v>
      </c>
      <c r="C72" s="21" t="s">
        <v>122</v>
      </c>
      <c r="D72" s="37" t="n">
        <v>1863</v>
      </c>
      <c r="E72" s="37" t="n">
        <v>2006</v>
      </c>
      <c r="F72" s="63" t="n">
        <f aca="false">IF(E72="","",D72-E72)</f>
        <v>-143</v>
      </c>
      <c r="G72" s="37" t="n">
        <v>4084</v>
      </c>
      <c r="H72" s="37" t="n">
        <v>4057</v>
      </c>
      <c r="I72" s="63" t="n">
        <f aca="false">IF(H72="","",G72-H72)</f>
        <v>27</v>
      </c>
      <c r="J72" s="52" t="n">
        <f aca="false">IF(OR(D72="",D72+G72=0),"",D72/(D72+G72))</f>
        <v>0.313267193542963</v>
      </c>
      <c r="K72" s="52" t="n">
        <f aca="false">IF(E72="","",E72/(E72+H72))</f>
        <v>0.330859310572324</v>
      </c>
      <c r="L72" s="64" t="n">
        <f aca="false">IF(OR(K72="",J72=""),"",(J72-K72)*100)</f>
        <v>-1.75921170293611</v>
      </c>
      <c r="M72" s="21"/>
    </row>
    <row r="73" customFormat="false" ht="15" hidden="false" customHeight="false" outlineLevel="0" collapsed="false">
      <c r="A73" s="21" t="s">
        <v>179</v>
      </c>
      <c r="B73" s="21" t="s">
        <v>198</v>
      </c>
      <c r="C73" s="21" t="s">
        <v>122</v>
      </c>
      <c r="D73" s="37" t="n">
        <v>1508</v>
      </c>
      <c r="E73" s="37" t="n">
        <v>1596</v>
      </c>
      <c r="F73" s="63" t="n">
        <f aca="false">IF(E73="","",D73-E73)</f>
        <v>-88</v>
      </c>
      <c r="G73" s="37" t="n">
        <v>1659</v>
      </c>
      <c r="H73" s="37" t="n">
        <v>1664</v>
      </c>
      <c r="I73" s="63" t="n">
        <f aca="false">IF(H73="","",G73-H73)</f>
        <v>-5</v>
      </c>
      <c r="J73" s="52" t="n">
        <f aca="false">IF(OR(D73="",D73+G73=0),"",D73/(D73+G73))</f>
        <v>0.476160404167982</v>
      </c>
      <c r="K73" s="52" t="n">
        <f aca="false">IF(E73="","",E73/(E73+H73))</f>
        <v>0.489570552147239</v>
      </c>
      <c r="L73" s="64" t="n">
        <f aca="false">IF(OR(K73="",J73=""),"",(J73-K73)*100)</f>
        <v>-1.34101479792569</v>
      </c>
      <c r="M73" s="21"/>
    </row>
    <row r="74" customFormat="false" ht="15" hidden="false" customHeight="false" outlineLevel="0" collapsed="false">
      <c r="A74" s="21" t="s">
        <v>179</v>
      </c>
      <c r="B74" s="21" t="s">
        <v>199</v>
      </c>
      <c r="C74" s="21" t="s">
        <v>122</v>
      </c>
      <c r="D74" s="37" t="n">
        <v>844</v>
      </c>
      <c r="E74" s="37" t="n">
        <v>847</v>
      </c>
      <c r="F74" s="63" t="n">
        <f aca="false">IF(E74="","",D74-E74)</f>
        <v>-3</v>
      </c>
      <c r="G74" s="37" t="n">
        <v>931</v>
      </c>
      <c r="H74" s="37" t="n">
        <v>889</v>
      </c>
      <c r="I74" s="63" t="n">
        <f aca="false">IF(H74="","",G74-H74)</f>
        <v>42</v>
      </c>
      <c r="J74" s="52" t="n">
        <f aca="false">IF(OR(D74="",D74+G74=0),"",D74/(D74+G74))</f>
        <v>0.475492957746479</v>
      </c>
      <c r="K74" s="52" t="n">
        <f aca="false">IF(E74="","",E74/(E74+H74))</f>
        <v>0.487903225806452</v>
      </c>
      <c r="L74" s="64" t="n">
        <f aca="false">IF(OR(K74="",J74=""),"",(J74-K74)*100)</f>
        <v>-1.24102680599728</v>
      </c>
      <c r="M74" s="21"/>
    </row>
    <row r="75" customFormat="false" ht="15" hidden="false" customHeight="false" outlineLevel="0" collapsed="false">
      <c r="A75" s="21" t="s">
        <v>179</v>
      </c>
      <c r="B75" s="21" t="s">
        <v>200</v>
      </c>
      <c r="C75" s="21" t="s">
        <v>122</v>
      </c>
      <c r="D75" s="37" t="n">
        <v>2666</v>
      </c>
      <c r="E75" s="37" t="n">
        <v>2573</v>
      </c>
      <c r="F75" s="63" t="n">
        <f aca="false">IF(E75="","",D75-E75)</f>
        <v>93</v>
      </c>
      <c r="G75" s="37" t="n">
        <v>3038</v>
      </c>
      <c r="H75" s="37" t="n">
        <v>3023</v>
      </c>
      <c r="I75" s="63" t="n">
        <f aca="false">IF(H75="","",G75-H75)</f>
        <v>15</v>
      </c>
      <c r="J75" s="52" t="n">
        <f aca="false">IF(OR(D75="",D75+G75=0),"",D75/(D75+G75))</f>
        <v>0.467391304347826</v>
      </c>
      <c r="K75" s="52" t="n">
        <f aca="false">IF(E75="","",E75/(E75+H75))</f>
        <v>0.459792709077913</v>
      </c>
      <c r="L75" s="64" t="n">
        <f aca="false">IF(OR(K75="",J75=""),"",(J75-K75)*100)</f>
        <v>0.75985952699133</v>
      </c>
      <c r="M75" s="21"/>
    </row>
    <row r="76" customFormat="false" ht="15" hidden="false" customHeight="false" outlineLevel="0" collapsed="false">
      <c r="A76" s="21" t="s">
        <v>179</v>
      </c>
      <c r="B76" s="21" t="s">
        <v>201</v>
      </c>
      <c r="C76" s="21" t="s">
        <v>122</v>
      </c>
      <c r="D76" s="37" t="n">
        <v>6911</v>
      </c>
      <c r="E76" s="37" t="n">
        <v>6974</v>
      </c>
      <c r="F76" s="63" t="n">
        <f aca="false">IF(E76="","",D76-E76)</f>
        <v>-63</v>
      </c>
      <c r="G76" s="37" t="n">
        <v>6883</v>
      </c>
      <c r="H76" s="37" t="n">
        <v>6736</v>
      </c>
      <c r="I76" s="63" t="n">
        <f aca="false">IF(H76="","",G76-H76)</f>
        <v>147</v>
      </c>
      <c r="J76" s="52" t="n">
        <f aca="false">IF(OR(D76="",D76+G76=0),"",D76/(D76+G76))</f>
        <v>0.501014934029288</v>
      </c>
      <c r="K76" s="52" t="n">
        <f aca="false">IF(E76="","",E76/(E76+H76))</f>
        <v>0.508679795769511</v>
      </c>
      <c r="L76" s="64" t="n">
        <f aca="false">IF(OR(K76="",J76=""),"",(J76-K76)*100)</f>
        <v>-0.766486174022318</v>
      </c>
      <c r="M76" s="21"/>
    </row>
    <row r="77" customFormat="false" ht="15" hidden="false" customHeight="false" outlineLevel="0" collapsed="false">
      <c r="A77" s="21" t="s">
        <v>179</v>
      </c>
      <c r="B77" s="21" t="s">
        <v>202</v>
      </c>
      <c r="C77" s="21" t="s">
        <v>122</v>
      </c>
      <c r="D77" s="37" t="n">
        <v>674</v>
      </c>
      <c r="E77" s="37" t="n">
        <v>703</v>
      </c>
      <c r="F77" s="63" t="n">
        <f aca="false">IF(E77="","",D77-E77)</f>
        <v>-29</v>
      </c>
      <c r="G77" s="37" t="n">
        <v>1171</v>
      </c>
      <c r="H77" s="37" t="n">
        <v>1180</v>
      </c>
      <c r="I77" s="63" t="n">
        <f aca="false">IF(H77="","",G77-H77)</f>
        <v>-9</v>
      </c>
      <c r="J77" s="52" t="n">
        <f aca="false">IF(OR(D77="",D77+G77=0),"",D77/(D77+G77))</f>
        <v>0.365311653116531</v>
      </c>
      <c r="K77" s="52" t="n">
        <f aca="false">IF(E77="","",E77/(E77+H77))</f>
        <v>0.373340414232608</v>
      </c>
      <c r="L77" s="64" t="n">
        <f aca="false">IF(OR(K77="",J77=""),"",(J77-K77)*100)</f>
        <v>-0.802876111607637</v>
      </c>
      <c r="M77" s="21"/>
    </row>
    <row r="78" customFormat="false" ht="15" hidden="false" customHeight="false" outlineLevel="0" collapsed="false">
      <c r="A78" s="21" t="s">
        <v>179</v>
      </c>
      <c r="B78" s="21" t="s">
        <v>203</v>
      </c>
      <c r="C78" s="21" t="s">
        <v>122</v>
      </c>
      <c r="D78" s="37" t="n">
        <v>1253</v>
      </c>
      <c r="E78" s="37" t="n">
        <v>1361</v>
      </c>
      <c r="F78" s="63" t="n">
        <f aca="false">IF(E78="","",D78-E78)</f>
        <v>-108</v>
      </c>
      <c r="G78" s="37" t="n">
        <v>2697</v>
      </c>
      <c r="H78" s="37" t="n">
        <v>2561</v>
      </c>
      <c r="I78" s="63" t="n">
        <f aca="false">IF(H78="","",G78-H78)</f>
        <v>136</v>
      </c>
      <c r="J78" s="52" t="n">
        <f aca="false">IF(OR(D78="",D78+G78=0),"",D78/(D78+G78))</f>
        <v>0.317215189873418</v>
      </c>
      <c r="K78" s="52" t="n">
        <f aca="false">IF(E78="","",E78/(E78+H78))</f>
        <v>0.347016828148904</v>
      </c>
      <c r="L78" s="64" t="n">
        <f aca="false">IF(OR(K78="",J78=""),"",(J78-K78)*100)</f>
        <v>-2.98016382754859</v>
      </c>
      <c r="M78" s="21"/>
    </row>
    <row r="79" customFormat="false" ht="15" hidden="false" customHeight="false" outlineLevel="0" collapsed="false">
      <c r="A79" s="21" t="s">
        <v>179</v>
      </c>
      <c r="B79" s="21" t="s">
        <v>204</v>
      </c>
      <c r="C79" s="21" t="s">
        <v>122</v>
      </c>
      <c r="D79" s="37" t="n">
        <v>75</v>
      </c>
      <c r="E79" s="37" t="n">
        <v>92</v>
      </c>
      <c r="F79" s="63" t="n">
        <f aca="false">IF(E79="","",D79-E79)</f>
        <v>-17</v>
      </c>
      <c r="G79" s="37" t="n">
        <v>174</v>
      </c>
      <c r="H79" s="37" t="n">
        <v>167</v>
      </c>
      <c r="I79" s="63" t="n">
        <f aca="false">IF(H79="","",G79-H79)</f>
        <v>7</v>
      </c>
      <c r="J79" s="52" t="n">
        <f aca="false">IF(OR(D79="",D79+G79=0),"",D79/(D79+G79))</f>
        <v>0.301204819277108</v>
      </c>
      <c r="K79" s="52" t="n">
        <f aca="false">IF(E79="","",E79/(E79+H79))</f>
        <v>0.355212355212355</v>
      </c>
      <c r="L79" s="64" t="n">
        <f aca="false">IF(OR(K79="",J79=""),"",(J79-K79)*100)</f>
        <v>-5.40075359352468</v>
      </c>
      <c r="M79" s="21"/>
    </row>
    <row r="80" customFormat="false" ht="15" hidden="false" customHeight="false" outlineLevel="0" collapsed="false">
      <c r="A80" s="21" t="s">
        <v>179</v>
      </c>
      <c r="B80" s="21" t="s">
        <v>205</v>
      </c>
      <c r="C80" s="21" t="s">
        <v>122</v>
      </c>
      <c r="D80" s="37" t="n">
        <v>344</v>
      </c>
      <c r="E80" s="37" t="n">
        <v>335</v>
      </c>
      <c r="F80" s="63" t="n">
        <f aca="false">IF(E80="","",D80-E80)</f>
        <v>9</v>
      </c>
      <c r="G80" s="37" t="n">
        <v>588</v>
      </c>
      <c r="H80" s="37" t="n">
        <v>581</v>
      </c>
      <c r="I80" s="63" t="n">
        <f aca="false">IF(H80="","",G80-H80)</f>
        <v>7</v>
      </c>
      <c r="J80" s="52" t="n">
        <f aca="false">IF(OR(D80="",D80+G80=0),"",D80/(D80+G80))</f>
        <v>0.369098712446352</v>
      </c>
      <c r="K80" s="52" t="n">
        <f aca="false">IF(E80="","",E80/(E80+H80))</f>
        <v>0.365720524017467</v>
      </c>
      <c r="L80" s="64" t="n">
        <f aca="false">IF(OR(K80="",J80=""),"",(J80-K80)*100)</f>
        <v>0.337818842888471</v>
      </c>
      <c r="M80" s="21"/>
    </row>
    <row r="81" customFormat="false" ht="15" hidden="false" customHeight="false" outlineLevel="0" collapsed="false">
      <c r="A81" s="21" t="s">
        <v>179</v>
      </c>
      <c r="B81" s="21" t="s">
        <v>206</v>
      </c>
      <c r="C81" s="21" t="s">
        <v>122</v>
      </c>
      <c r="D81" s="37" t="n">
        <v>199</v>
      </c>
      <c r="E81" s="37" t="n">
        <v>210</v>
      </c>
      <c r="F81" s="63" t="n">
        <f aca="false">IF(E81="","",D81-E81)</f>
        <v>-11</v>
      </c>
      <c r="G81" s="37" t="n">
        <v>315</v>
      </c>
      <c r="H81" s="37" t="n">
        <v>309</v>
      </c>
      <c r="I81" s="63" t="n">
        <f aca="false">IF(H81="","",G81-H81)</f>
        <v>6</v>
      </c>
      <c r="J81" s="52" t="n">
        <f aca="false">IF(OR(D81="",D81+G81=0),"",D81/(D81+G81))</f>
        <v>0.38715953307393</v>
      </c>
      <c r="K81" s="52" t="n">
        <f aca="false">IF(E81="","",E81/(E81+H81))</f>
        <v>0.404624277456647</v>
      </c>
      <c r="L81" s="64" t="n">
        <f aca="false">IF(OR(K81="",J81=""),"",(J81-K81)*100)</f>
        <v>-1.74647443827174</v>
      </c>
      <c r="M81" s="21"/>
    </row>
    <row r="82" customFormat="false" ht="15" hidden="false" customHeight="false" outlineLevel="0" collapsed="false">
      <c r="A82" s="21" t="s">
        <v>179</v>
      </c>
      <c r="B82" s="21" t="s">
        <v>207</v>
      </c>
      <c r="C82" s="21" t="s">
        <v>122</v>
      </c>
      <c r="D82" s="37" t="n">
        <v>314</v>
      </c>
      <c r="E82" s="37" t="n">
        <v>331</v>
      </c>
      <c r="F82" s="63" t="n">
        <f aca="false">IF(E82="","",D82-E82)</f>
        <v>-17</v>
      </c>
      <c r="G82" s="37" t="n">
        <v>458</v>
      </c>
      <c r="H82" s="37" t="n">
        <v>458</v>
      </c>
      <c r="I82" s="63" t="n">
        <f aca="false">IF(H82="","",G82-H82)</f>
        <v>0</v>
      </c>
      <c r="J82" s="52" t="n">
        <f aca="false">IF(OR(D82="",D82+G82=0),"",D82/(D82+G82))</f>
        <v>0.406735751295337</v>
      </c>
      <c r="K82" s="52" t="n">
        <f aca="false">IF(E82="","",E82/(E82+H82))</f>
        <v>0.419518377693283</v>
      </c>
      <c r="L82" s="64" t="n">
        <f aca="false">IF(OR(K82="",J82=""),"",(J82-K82)*100)</f>
        <v>-1.27826263979459</v>
      </c>
      <c r="M82" s="21"/>
    </row>
    <row r="83" customFormat="false" ht="15" hidden="false" customHeight="false" outlineLevel="0" collapsed="false">
      <c r="A83" s="21" t="s">
        <v>179</v>
      </c>
      <c r="B83" s="21" t="s">
        <v>208</v>
      </c>
      <c r="C83" s="21" t="s">
        <v>122</v>
      </c>
      <c r="D83" s="37" t="n">
        <v>1165</v>
      </c>
      <c r="E83" s="37" t="n">
        <v>1242</v>
      </c>
      <c r="F83" s="63" t="n">
        <f aca="false">IF(E83="","",D83-E83)</f>
        <v>-77</v>
      </c>
      <c r="G83" s="37" t="n">
        <v>2693</v>
      </c>
      <c r="H83" s="37" t="n">
        <v>2716</v>
      </c>
      <c r="I83" s="63" t="n">
        <f aca="false">IF(H83="","",G83-H83)</f>
        <v>-23</v>
      </c>
      <c r="J83" s="52" t="n">
        <f aca="false">IF(OR(D83="",D83+G83=0),"",D83/(D83+G83))</f>
        <v>0.301969932607569</v>
      </c>
      <c r="K83" s="52" t="n">
        <f aca="false">IF(E83="","",E83/(E83+H83))</f>
        <v>0.313794845881759</v>
      </c>
      <c r="L83" s="64" t="n">
        <f aca="false">IF(OR(K83="",J83=""),"",(J83-K83)*100)</f>
        <v>-1.18249132741898</v>
      </c>
      <c r="M83" s="21"/>
    </row>
    <row r="84" customFormat="false" ht="15" hidden="false" customHeight="false" outlineLevel="0" collapsed="false">
      <c r="A84" s="21" t="s">
        <v>179</v>
      </c>
      <c r="B84" s="21" t="s">
        <v>209</v>
      </c>
      <c r="C84" s="21" t="s">
        <v>122</v>
      </c>
      <c r="D84" s="37" t="n">
        <v>1847</v>
      </c>
      <c r="E84" s="37" t="n">
        <v>1964</v>
      </c>
      <c r="F84" s="63" t="n">
        <f aca="false">IF(E84="","",D84-E84)</f>
        <v>-117</v>
      </c>
      <c r="G84" s="37" t="n">
        <v>2222</v>
      </c>
      <c r="H84" s="37" t="n">
        <v>2147</v>
      </c>
      <c r="I84" s="63" t="n">
        <f aca="false">IF(H84="","",G84-H84)</f>
        <v>75</v>
      </c>
      <c r="J84" s="52" t="n">
        <f aca="false">IF(OR(D84="",D84+G84=0),"",D84/(D84+G84))</f>
        <v>0.453919882034898</v>
      </c>
      <c r="K84" s="52" t="n">
        <f aca="false">IF(E84="","",E84/(E84+H84))</f>
        <v>0.477742641693019</v>
      </c>
      <c r="L84" s="64" t="n">
        <f aca="false">IF(OR(K84="",J84=""),"",(J84-K84)*100)</f>
        <v>-2.38227596581207</v>
      </c>
      <c r="M84" s="21"/>
    </row>
    <row r="85" customFormat="false" ht="15" hidden="false" customHeight="false" outlineLevel="0" collapsed="false">
      <c r="A85" s="21" t="s">
        <v>179</v>
      </c>
      <c r="B85" s="21" t="s">
        <v>210</v>
      </c>
      <c r="C85" s="21" t="s">
        <v>122</v>
      </c>
      <c r="D85" s="37" t="n">
        <v>413</v>
      </c>
      <c r="E85" s="37" t="n">
        <v>416</v>
      </c>
      <c r="F85" s="63" t="n">
        <f aca="false">IF(E85="","",D85-E85)</f>
        <v>-3</v>
      </c>
      <c r="G85" s="37" t="n">
        <v>648</v>
      </c>
      <c r="H85" s="37" t="n">
        <v>658</v>
      </c>
      <c r="I85" s="63" t="n">
        <f aca="false">IF(H85="","",G85-H85)</f>
        <v>-10</v>
      </c>
      <c r="J85" s="52" t="n">
        <f aca="false">IF(OR(D85="",D85+G85=0),"",D85/(D85+G85))</f>
        <v>0.389255419415646</v>
      </c>
      <c r="K85" s="52" t="n">
        <f aca="false">IF(E85="","",E85/(E85+H85))</f>
        <v>0.387337057728119</v>
      </c>
      <c r="L85" s="64" t="n">
        <f aca="false">IF(OR(K85="",J85=""),"",(J85-K85)*100)</f>
        <v>0.191836168752646</v>
      </c>
      <c r="M85" s="21"/>
    </row>
    <row r="86" customFormat="false" ht="15" hidden="false" customHeight="false" outlineLevel="0" collapsed="false">
      <c r="A86" s="21" t="s">
        <v>179</v>
      </c>
      <c r="B86" s="21" t="s">
        <v>172</v>
      </c>
      <c r="C86" s="21" t="s">
        <v>122</v>
      </c>
      <c r="D86" s="37" t="n">
        <v>997</v>
      </c>
      <c r="E86" s="37" t="n">
        <v>1041</v>
      </c>
      <c r="F86" s="63" t="n">
        <f aca="false">IF(E86="","",D86-E86)</f>
        <v>-44</v>
      </c>
      <c r="G86" s="37" t="n">
        <v>2079</v>
      </c>
      <c r="H86" s="37" t="n">
        <v>2088</v>
      </c>
      <c r="I86" s="63" t="n">
        <f aca="false">IF(H86="","",G86-H86)</f>
        <v>-9</v>
      </c>
      <c r="J86" s="52" t="n">
        <f aca="false">IF(OR(D86="",D86+G86=0),"",D86/(D86+G86))</f>
        <v>0.324122236671001</v>
      </c>
      <c r="K86" s="52" t="n">
        <f aca="false">IF(E86="","",E86/(E86+H86))</f>
        <v>0.332694151486098</v>
      </c>
      <c r="L86" s="64" t="n">
        <f aca="false">IF(OR(K86="",J86=""),"",(J86-K86)*100)</f>
        <v>-0.85719148150965</v>
      </c>
      <c r="M86" s="21"/>
    </row>
    <row r="87" customFormat="false" ht="15" hidden="false" customHeight="false" outlineLevel="0" collapsed="false">
      <c r="A87" s="21" t="s">
        <v>179</v>
      </c>
      <c r="B87" s="21" t="s">
        <v>211</v>
      </c>
      <c r="C87" s="21" t="s">
        <v>122</v>
      </c>
      <c r="D87" s="37" t="n">
        <v>267</v>
      </c>
      <c r="E87" s="37" t="n">
        <v>281</v>
      </c>
      <c r="F87" s="63" t="n">
        <f aca="false">IF(E87="","",D87-E87)</f>
        <v>-14</v>
      </c>
      <c r="G87" s="37" t="n">
        <v>340</v>
      </c>
      <c r="H87" s="37" t="n">
        <v>310</v>
      </c>
      <c r="I87" s="63" t="n">
        <f aca="false">IF(H87="","",G87-H87)</f>
        <v>30</v>
      </c>
      <c r="J87" s="52" t="n">
        <f aca="false">IF(OR(D87="",D87+G87=0),"",D87/(D87+G87))</f>
        <v>0.439868204283361</v>
      </c>
      <c r="K87" s="52" t="n">
        <f aca="false">IF(E87="","",E87/(E87+H87))</f>
        <v>0.475465313028765</v>
      </c>
      <c r="L87" s="64" t="n">
        <f aca="false">IF(OR(K87="",J87=""),"",(J87-K87)*100)</f>
        <v>-3.55971087454041</v>
      </c>
      <c r="M87" s="21"/>
    </row>
    <row r="88" customFormat="false" ht="15" hidden="false" customHeight="false" outlineLevel="0" collapsed="false">
      <c r="A88" s="21" t="s">
        <v>179</v>
      </c>
      <c r="B88" s="21" t="s">
        <v>212</v>
      </c>
      <c r="C88" s="21" t="s">
        <v>122</v>
      </c>
      <c r="D88" s="37" t="n">
        <v>1747</v>
      </c>
      <c r="E88" s="37" t="n">
        <v>1847</v>
      </c>
      <c r="F88" s="63" t="n">
        <f aca="false">IF(E88="","",D88-E88)</f>
        <v>-100</v>
      </c>
      <c r="G88" s="37" t="n">
        <v>2442</v>
      </c>
      <c r="H88" s="37" t="n">
        <v>2401</v>
      </c>
      <c r="I88" s="63" t="n">
        <f aca="false">IF(H88="","",G88-H88)</f>
        <v>41</v>
      </c>
      <c r="J88" s="52" t="n">
        <f aca="false">IF(OR(D88="",D88+G88=0),"",D88/(D88+G88))</f>
        <v>0.41704464072571</v>
      </c>
      <c r="K88" s="52" t="n">
        <f aca="false">IF(E88="","",E88/(E88+H88))</f>
        <v>0.434792843691149</v>
      </c>
      <c r="L88" s="64" t="n">
        <f aca="false">IF(OR(K88="",J88=""),"",(J88-K88)*100)</f>
        <v>-1.77482029654386</v>
      </c>
      <c r="M88" s="21"/>
    </row>
    <row r="89" customFormat="false" ht="15" hidden="false" customHeight="false" outlineLevel="0" collapsed="false">
      <c r="A89" s="21" t="s">
        <v>179</v>
      </c>
      <c r="B89" s="21" t="s">
        <v>213</v>
      </c>
      <c r="C89" s="21" t="s">
        <v>122</v>
      </c>
      <c r="D89" s="37" t="n">
        <v>1865</v>
      </c>
      <c r="E89" s="37" t="n">
        <v>1897</v>
      </c>
      <c r="F89" s="63" t="n">
        <f aca="false">IF(E89="","",D89-E89)</f>
        <v>-32</v>
      </c>
      <c r="G89" s="37" t="n">
        <v>1541</v>
      </c>
      <c r="H89" s="37" t="n">
        <v>1538</v>
      </c>
      <c r="I89" s="63" t="n">
        <f aca="false">IF(H89="","",G89-H89)</f>
        <v>3</v>
      </c>
      <c r="J89" s="52" t="n">
        <f aca="false">IF(OR(D89="",D89+G89=0),"",D89/(D89+G89))</f>
        <v>0.547563123899002</v>
      </c>
      <c r="K89" s="52" t="n">
        <f aca="false">IF(E89="","",E89/(E89+H89))</f>
        <v>0.552256186317322</v>
      </c>
      <c r="L89" s="64" t="n">
        <f aca="false">IF(OR(K89="",J89=""),"",(J89-K89)*100)</f>
        <v>-0.46930624183199</v>
      </c>
      <c r="M89" s="21"/>
    </row>
    <row r="90" customFormat="false" ht="15" hidden="false" customHeight="false" outlineLevel="0" collapsed="false">
      <c r="A90" s="21" t="s">
        <v>179</v>
      </c>
      <c r="B90" s="21" t="s">
        <v>214</v>
      </c>
      <c r="C90" s="21" t="s">
        <v>122</v>
      </c>
      <c r="D90" s="37" t="n">
        <v>619</v>
      </c>
      <c r="E90" s="37" t="n">
        <v>634</v>
      </c>
      <c r="F90" s="63" t="n">
        <f aca="false">IF(E90="","",D90-E90)</f>
        <v>-15</v>
      </c>
      <c r="G90" s="37" t="n">
        <v>907</v>
      </c>
      <c r="H90" s="37" t="n">
        <v>856</v>
      </c>
      <c r="I90" s="63" t="n">
        <f aca="false">IF(H90="","",G90-H90)</f>
        <v>51</v>
      </c>
      <c r="J90" s="52" t="n">
        <f aca="false">IF(OR(D90="",D90+G90=0),"",D90/(D90+G90))</f>
        <v>0.405635648754915</v>
      </c>
      <c r="K90" s="52" t="n">
        <f aca="false">IF(E90="","",E90/(E90+H90))</f>
        <v>0.425503355704698</v>
      </c>
      <c r="L90" s="64" t="n">
        <f aca="false">IF(OR(K90="",J90=""),"",(J90-K90)*100)</f>
        <v>-1.98677069497832</v>
      </c>
      <c r="M90" s="21"/>
    </row>
    <row r="92" customFormat="false" ht="15" hidden="false" customHeight="false" outlineLevel="0" collapsed="false">
      <c r="A92" s="28" t="s">
        <v>331</v>
      </c>
      <c r="B92" s="65"/>
      <c r="C92" s="65"/>
      <c r="D92" s="66" t="n">
        <f aca="false">SUMIF(E2:E90,"&lt;&gt;",D2:D90)</f>
        <v>197666</v>
      </c>
      <c r="E92" s="66" t="n">
        <f aca="false">SUM(E2:E90)</f>
        <v>199626</v>
      </c>
      <c r="F92" s="67" t="n">
        <f aca="false">D92-E92</f>
        <v>-1960</v>
      </c>
      <c r="G92" s="66" t="n">
        <f aca="false">SUMIF(H2:H90,"&lt;&gt;",G2:G90)</f>
        <v>205038</v>
      </c>
      <c r="H92" s="66" t="n">
        <f aca="false">SUM(H2:H90)</f>
        <v>203688</v>
      </c>
      <c r="I92" s="67" t="n">
        <f aca="false">G92-H92</f>
        <v>1350</v>
      </c>
      <c r="J92" s="68" t="n">
        <f aca="false">D92/(D92+G92)</f>
        <v>0.490846875124161</v>
      </c>
      <c r="K92" s="68" t="n">
        <f aca="false">E92/(E92+H92)</f>
        <v>0.49496422142549</v>
      </c>
      <c r="L92" s="69" t="n">
        <f aca="false">(J92-K92)*100</f>
        <v>-0.411734630132909</v>
      </c>
    </row>
    <row r="93" customFormat="false" ht="15" hidden="false" customHeight="false" outlineLevel="0" collapsed="false">
      <c r="A93" s="28" t="s">
        <v>332</v>
      </c>
      <c r="B93" s="65"/>
      <c r="C93" s="65"/>
      <c r="D93" s="66" t="n">
        <f aca="false">SUM(D2:D90)</f>
        <v>197666</v>
      </c>
      <c r="E93" s="66"/>
      <c r="F93" s="67"/>
      <c r="G93" s="66" t="n">
        <f aca="false">SUM(G2:G90)</f>
        <v>205038</v>
      </c>
      <c r="H93" s="66"/>
      <c r="I93" s="67"/>
      <c r="J93" s="68" t="n">
        <f aca="false">D93/(D93+G93)</f>
        <v>0.490846875124161</v>
      </c>
      <c r="K93" s="68"/>
      <c r="L93" s="69"/>
    </row>
    <row r="95" customFormat="false" ht="15" hidden="false" customHeight="false" outlineLevel="0" collapsed="false">
      <c r="A95" s="2" t="s">
        <v>333</v>
      </c>
      <c r="F95" s="70" t="n">
        <f aca="false">(SUMIF(F2:F90,"&gt;0")-SUMIF(F2:F90,"&lt;0"))/COUNT(F2:F90)</f>
        <v>96.9438202247191</v>
      </c>
    </row>
    <row r="96" customFormat="false" ht="15" hidden="false" customHeight="false" outlineLevel="0" collapsed="false">
      <c r="A96" s="2" t="s">
        <v>334</v>
      </c>
      <c r="F96" s="70" t="n">
        <f aca="false">(SUMIF(I2:I90,"&gt;0")-SUMIF(I2:I90,"&lt;0"))/COUNT(I2:I90)</f>
        <v>99.2808988764045</v>
      </c>
    </row>
    <row r="97" customFormat="false" ht="15" hidden="false" customHeight="false" outlineLevel="0" collapsed="false">
      <c r="A97" s="2" t="s">
        <v>335</v>
      </c>
      <c r="F97" s="71" t="n">
        <f aca="false">(SUMIF(L2:L90,"&gt;0")-SUMIF(L2:L90,"&lt;0"))/COUNT(L2:L90)</f>
        <v>1.67461745363806</v>
      </c>
    </row>
    <row r="98" customFormat="false" ht="15" hidden="false" customHeight="false" outlineLevel="0" collapsed="false">
      <c r="A98" s="5" t="s">
        <v>336</v>
      </c>
      <c r="F98" s="72" t="n">
        <f aca="false">SQRT(SUMSQ(L2:L90)/COUNT(L2:L90))</f>
        <v>2.07748866726988</v>
      </c>
    </row>
    <row r="99" customFormat="false" ht="15" hidden="false" customHeight="false" outlineLevel="0" collapsed="false">
      <c r="A99" s="5" t="s">
        <v>337</v>
      </c>
      <c r="F99" s="73" t="n">
        <f aca="false">L92</f>
        <v>-0.411734630132909</v>
      </c>
    </row>
    <row r="100" customFormat="false" ht="15" hidden="false" customHeight="false" outlineLevel="0" collapsed="false">
      <c r="A100" s="5" t="s">
        <v>338</v>
      </c>
      <c r="F100" s="72" t="n">
        <f aca="false">SQRT((SUMSQ(L2:L90)-2*L92*SUM(L2:L90)+COUNT(L2:L90)*L92^2)/COUNT(L2:L90))</f>
        <v>1.9217578582195</v>
      </c>
    </row>
    <row r="101" customFormat="false" ht="15" hidden="false" customHeight="false" outlineLevel="0" collapsed="false">
      <c r="A101" s="2" t="s">
        <v>339</v>
      </c>
      <c r="F101" s="74" t="n">
        <f aca="false">(D92+G92)/(E92+H92)-1</f>
        <v>-0.00151246919273818</v>
      </c>
    </row>
    <row r="102" customFormat="false" ht="15" hidden="false" customHeight="false" outlineLevel="0" collapsed="false">
      <c r="A102" s="2" t="s">
        <v>340</v>
      </c>
      <c r="F102" s="75" t="n">
        <f aca="false">COUNTIFS(L2:L90,"&gt;=-3",L2:L90,"&lt;=3")/COUNT(L2:L90)</f>
        <v>0.853932584269663</v>
      </c>
    </row>
    <row r="103" customFormat="false" ht="15" hidden="false" customHeight="false" outlineLevel="0" collapsed="false">
      <c r="A103" s="2" t="s">
        <v>341</v>
      </c>
      <c r="F103" s="76" t="n">
        <f aca="false">COUNT(E2:E90)</f>
        <v>89</v>
      </c>
    </row>
    <row r="104" customFormat="false" ht="15" hidden="false" customHeight="false" outlineLevel="0" collapsed="false">
      <c r="A104" s="2" t="s">
        <v>342</v>
      </c>
      <c r="F104" s="76" t="n">
        <f aca="false">COUNTA(A2:A90)</f>
        <v>89</v>
      </c>
    </row>
    <row r="106" customFormat="false" ht="15" hidden="false" customHeight="false" outlineLevel="0" collapsed="false">
      <c r="M106" s="5" t="s">
        <v>103</v>
      </c>
    </row>
    <row r="107" customFormat="false" ht="28.35" hidden="false" customHeight="false" outlineLevel="0" collapsed="false">
      <c r="M107" s="62" t="s">
        <v>343</v>
      </c>
    </row>
    <row r="108" customFormat="false" ht="28.35" hidden="false" customHeight="false" outlineLevel="0" collapsed="false">
      <c r="M108" s="62" t="s">
        <v>344</v>
      </c>
    </row>
    <row r="109" customFormat="false" ht="55.2" hidden="false" customHeight="false" outlineLevel="0" collapsed="false">
      <c r="M109" s="62" t="s">
        <v>352</v>
      </c>
    </row>
    <row r="110" customFormat="false" ht="55.2" hidden="false" customHeight="false" outlineLevel="0" collapsed="false">
      <c r="M110" s="62" t="s">
        <v>346</v>
      </c>
    </row>
    <row r="111" customFormat="false" ht="68.65" hidden="false" customHeight="false" outlineLevel="0" collapsed="false">
      <c r="M111" s="62" t="s">
        <v>347</v>
      </c>
    </row>
    <row r="112" customFormat="false" ht="41.75" hidden="false" customHeight="false" outlineLevel="0" collapsed="false">
      <c r="M112" s="62" t="s">
        <v>348</v>
      </c>
    </row>
    <row r="113" customFormat="false" ht="15" hidden="false" customHeight="false" outlineLevel="0" collapsed="false">
      <c r="M113" s="62" t="s">
        <v>349</v>
      </c>
    </row>
    <row r="114" customFormat="false" ht="28.35" hidden="false" customHeight="false" outlineLevel="0" collapsed="false">
      <c r="M114" s="62" t="s">
        <v>350</v>
      </c>
    </row>
  </sheetData>
  <conditionalFormatting sqref="L2:L90">
    <cfRule type="colorScale" priority="2">
      <colorScale>
        <cfvo type="num" val="-8"/>
        <cfvo type="num" val="0"/>
        <cfvo type="num" val="8"/>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77" t="s">
        <v>353</v>
      </c>
    </row>
    <row r="2" customFormat="false" ht="41.75" hidden="false" customHeight="false" outlineLevel="0" collapsed="false">
      <c r="A2" s="62" t="s">
        <v>354</v>
      </c>
    </row>
    <row r="3" customFormat="false" ht="28.35" hidden="false" customHeight="false" outlineLevel="0" collapsed="false">
      <c r="A3" s="62" t="s">
        <v>355</v>
      </c>
    </row>
    <row r="4" customFormat="false" ht="28.35" hidden="false" customHeight="false" outlineLevel="0" collapsed="false">
      <c r="A4" s="62" t="s">
        <v>356</v>
      </c>
    </row>
    <row r="5" customFormat="false" ht="15" hidden="false" customHeight="false" outlineLevel="0" collapsed="false">
      <c r="A5" s="62"/>
    </row>
    <row r="6" customFormat="false" ht="15" hidden="false" customHeight="false" outlineLevel="0" collapsed="false">
      <c r="A6" s="77" t="s">
        <v>357</v>
      </c>
    </row>
    <row r="7" customFormat="false" ht="28.35" hidden="false" customHeight="false" outlineLevel="0" collapsed="false">
      <c r="A7" s="62" t="s">
        <v>358</v>
      </c>
    </row>
    <row r="8" customFormat="false" ht="15" hidden="false" customHeight="false" outlineLevel="0" collapsed="false">
      <c r="A8" s="62"/>
    </row>
    <row r="9" customFormat="false" ht="15" hidden="false" customHeight="false" outlineLevel="0" collapsed="false">
      <c r="A9" s="77" t="s">
        <v>359</v>
      </c>
    </row>
    <row r="10" customFormat="false" ht="28.35" hidden="false" customHeight="false" outlineLevel="0" collapsed="false">
      <c r="A10" s="62" t="s">
        <v>360</v>
      </c>
    </row>
    <row r="11" customFormat="false" ht="28.35" hidden="false" customHeight="false" outlineLevel="0" collapsed="false">
      <c r="A11" s="62" t="s">
        <v>361</v>
      </c>
    </row>
    <row r="12" customFormat="false" ht="15" hidden="false" customHeight="false" outlineLevel="0" collapsed="false">
      <c r="A12" s="62"/>
    </row>
    <row r="13" customFormat="false" ht="15" hidden="false" customHeight="false" outlineLevel="0" collapsed="false">
      <c r="A13" s="77" t="s">
        <v>362</v>
      </c>
    </row>
    <row r="14" customFormat="false" ht="28.35" hidden="false" customHeight="false" outlineLevel="0" collapsed="false">
      <c r="A14" s="62" t="s">
        <v>363</v>
      </c>
    </row>
    <row r="15" customFormat="false" ht="28.35" hidden="false" customHeight="false" outlineLevel="0" collapsed="false">
      <c r="A15" s="62" t="s">
        <v>364</v>
      </c>
    </row>
    <row r="16" customFormat="false" ht="15" hidden="false" customHeight="false" outlineLevel="0" collapsed="false">
      <c r="A16" s="62" t="s">
        <v>365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2026-10-05T21:19:43Z</dcterms:created>
  <dc:creator>openpyxl</dc:creator>
  <dc:description/>
  <dc:language>en-US</dc:language>
  <cp:lastModifiedBy/>
  <dcterms:modified xsi:type="dcterms:W3CDTF">2026-10-05T21:19:43Z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