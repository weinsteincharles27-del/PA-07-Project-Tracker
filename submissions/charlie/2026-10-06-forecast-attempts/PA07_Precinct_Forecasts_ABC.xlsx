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drawings/vmlDrawing4.vml" ContentType="application/vnd.openxmlformats-officedocument.vmlDrawing"/>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2024 Backtest A" sheetId="9" state="visible" r:id="rId11"/>
    <sheet name="2024 Backtest B" sheetId="10" state="visible" r:id="rId12"/>
    <sheet name="2024 Backtest C" sheetId="11" state="visible" r:id="rId13"/>
    <sheet name="Method &amp; Caveats" sheetId="12" state="visible" r:id="rId1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Default = average of the 2018 and 2022 midterm Democratic shares in today’s district (rows 10 and 12). Type any share to override.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backtest miss in total votes cast.</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backtest miss in total votes cast.</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8" authorId="0">
      <text>
        <r>
          <rPr>
            <sz val="10"/>
            <rFont val="Arial"/>
            <family val="2"/>
          </rPr>
          <t xml:space="preserve">District error term = size of the district-wide miss in the 2024 backtest, when the district share was set by the same rule used here (last election of the same type). Votes error = backtest miss in total votes cast.</t>
        </r>
      </text>
    </comment>
  </commentList>
</comments>
</file>

<file path=xl/sharedStrings.xml><?xml version="1.0" encoding="utf-8"?>
<sst xmlns="http://schemas.openxmlformats.org/spreadsheetml/2006/main" count="9960" uniqueCount="732">
  <si>
    <t xml:space="preserve">PA-07 2026 House Forecast — Precinct Level: three forecasts compared</t>
  </si>
  <si>
    <t xml:space="preserve">Candidates: Brooks | Mackenzie   |   Change the yellow cell to set the district-wide Brooks share; all three forecasts and their district totals update.</t>
  </si>
  <si>
    <t xml:space="preserve">Forecasts A, B and C use different SHAP-based weightings of the same random-forest inputs (see How Forecasts Are Weighted). Error terms come from each forecast’s own 2024 backtest.</t>
  </si>
  <si>
    <t xml:space="preserve">SCENARIO</t>
  </si>
  <si>
    <t xml:space="preserve">District-wide Brooks share of the two-party vote (input)</t>
  </si>
  <si>
    <t xml:space="preserve">← default: average of the 2018 and 2022 midterms in today’s district</t>
  </si>
  <si>
    <t xml:space="preserve">Past House results in today’s district</t>
  </si>
  <si>
    <t xml:space="preserve">Democratic share</t>
  </si>
  <si>
    <t xml:space="preserve">Democratic votes</t>
  </si>
  <si>
    <t xml:space="preserve">Republican votes</t>
  </si>
  <si>
    <t xml:space="preserve">(certified precinct returns; Carbon and Polk 2018/2020 excluded — they voted in PA-09/PA-08)</t>
  </si>
  <si>
    <t xml:space="preserve">2018 General</t>
  </si>
  <si>
    <t xml:space="preserve">2020 General</t>
  </si>
  <si>
    <t xml:space="preserve">2022 General</t>
  </si>
  <si>
    <t xml:space="preserve">2024 General</t>
  </si>
  <si>
    <t xml:space="preserve">DISTRICT TOTALS BY FORECAST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</si>
  <si>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</si>
  <si>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</si>
  <si>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</si>
  <si>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</si>
  <si>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</si>
  <si>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</si>
  <si>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 pts)</t>
  </si>
  <si>
    <t xml:space="preserve">Brooks share range</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</si>
  <si>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</si>
  <si>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</si>
  <si>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</si>
  <si>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</si>
  <si>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</si>
  <si>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</si>
  <si>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</si>
  <si>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ERROR TERMS — 2024 BACKTEST OF EACH FORECAST</t>
  </si>
  <si>
    <t xml:space="preserve">Rows scored</t>
  </si>
  <si>
    <t xml:space="preserve">Avg miss per row, Dem share (pts)</t>
  </si>
  <si>
    <t xml:space="preserve">RMS miss per row, Dem share (pts)</t>
  </si>
  <si>
    <t xml:space="preserve">District-wide miss (pts)</t>
  </si>
  <si>
    <t xml:space="preserve">Pattern RMS miss (pts)</t>
  </si>
  <si>
    <t xml:space="preserve">Total votes cast miss</t>
  </si>
  <si>
    <t xml:space="preserve">Avg miss per row, Dem votes</t>
  </si>
  <si>
    <t xml:space="preserve">Rows within 3 pts</t>
  </si>
  <si>
    <t xml:space="preserve">District-wide miss is the same for all three because it comes from the level rule (last same-type election), not the forests. The pattern miss is what separates the forecasts; it sets each row’s error term.</t>
  </si>
  <si>
    <t xml:space="preserve">PRECINCT COMPARISON (Brooks share by forecast, live)</t>
  </si>
  <si>
    <t xml:space="preserve">County</t>
  </si>
  <si>
    <t xml:space="preserve">Municipality</t>
  </si>
  <si>
    <t xml:space="preserve">Precinct</t>
  </si>
  <si>
    <t xml:space="preserve">Spread (max − min, pts)</t>
  </si>
  <si>
    <t xml:space="preserve">Error term A (± pts)</t>
  </si>
  <si>
    <t xml:space="preserve">Error term B (± pts)</t>
  </si>
  <si>
    <t xml:space="preserve">Error term C (± pts)</t>
  </si>
  <si>
    <t xml:space="preserve">Projected votes (A)</t>
  </si>
  <si>
    <t xml:space="preserve">Calls agree?</t>
  </si>
  <si>
    <t xml:space="preserve">PA-07 2026 House Forecast — Precinct-Level Predictions (Forecast A: full random forest)</t>
  </si>
  <si>
    <t xml:space="preserve">Candidates: Brooks | Mackenzie   |   District totals (yellow) are formulas over the precinct rows.</t>
  </si>
  <si>
    <t xml:space="preserve">Brooks and Mackenzie votes are formulas: projected votes cast × forecast Brooks share. Change the district scenario on the Scenario &amp; Comparison tab. Error terms come from this forecast’s 2024 backtest.</t>
  </si>
  <si>
    <t xml:space="preserve">Model / scenario</t>
  </si>
  <si>
    <t xml:space="preserve">Random forest — Forecast A (Full random forest), precinct model</t>
  </si>
  <si>
    <t xml:space="preserve">As-of date</t>
  </si>
  <si>
    <t xml:space="preserve">Prepared by</t>
  </si>
  <si>
    <t xml:space="preserve">Max</t>
  </si>
  <si>
    <t xml:space="preserve">Version</t>
  </si>
  <si>
    <t xml:space="preserve">v1.0</t>
  </si>
  <si>
    <t xml:space="preserve">District Brooks share (scenario)</t>
  </si>
  <si>
    <t xml:space="preserve">Uniform shift applied</t>
  </si>
  <si>
    <t xml:space="preserve">2024 backtest district miss (pts)</t>
  </si>
  <si>
    <t xml:space="preserve">DISTRICT TOTALS (auto-sum — do not type over)</t>
  </si>
  <si>
    <t xml:space="preserve">Geography</t>
  </si>
  <si>
    <t xml:space="preserve">(muni)</t>
  </si>
  <si>
    <t xml:space="preserve">(precinct)</t>
  </si>
  <si>
    <t xml:space="preserve">Mackenzie share</t>
  </si>
  <si>
    <t xml:space="preserve">Notes</t>
  </si>
  <si>
    <t xml:space="preserve">Error term: Brooks share (± pts)</t>
  </si>
  <si>
    <t xml:space="preserve">Brooks share, low</t>
  </si>
  <si>
    <t xml:space="preserve">Brooks share, high</t>
  </si>
  <si>
    <t xml:space="preserve">Error term: votes cast (± votes)</t>
  </si>
  <si>
    <t xml:space="preserve">Error term: Brooks votes (± votes)</t>
  </si>
  <si>
    <t xml:space="preserve">PA-07 District</t>
  </si>
  <si>
    <t xml:space="preserve">(all precincts)</t>
  </si>
  <si>
    <t xml:space="preserve">Headline forecast for the briefing</t>
  </si>
  <si>
    <t xml:space="preserve">Discussion prompt: Precinct and municipal district totals use the same scenario share, so their Brooks share matches by design; vote totals differ because each level forecasts votes cast separately.</t>
  </si>
  <si>
    <t xml:space="preserve">PRECINCT DETAIL</t>
  </si>
  <si>
    <t xml:space="preserve">MODEL INPUTS (from the random forests — do not edit)</t>
  </si>
  <si>
    <t xml:space="preserve">Notes / source method</t>
  </si>
  <si>
    <t xml:space="preserve">Model lean vs district (pts)</t>
  </si>
  <si>
    <t xml:space="preserve">Projected votes cast</t>
  </si>
  <si>
    <t xml:space="preserve">Forecast Brooks share (unrounded)</t>
  </si>
  <si>
    <t xml:space="preserve">Votes error term (% of votes)</t>
  </si>
  <si>
    <t xml:space="preserve">Size group (backtest error band)</t>
  </si>
  <si>
    <t xml:space="preserve">Carbon</t>
  </si>
  <si>
    <t xml:space="preserve">BANKS TOWNSHIP</t>
  </si>
  <si>
    <t xml:space="preserve">random forest</t>
  </si>
  <si>
    <t xml:space="preserve">Small</t>
  </si>
  <si>
    <t xml:space="preserve">BEAVER MEADOWS BOROUGH</t>
  </si>
  <si>
    <t xml:space="preserve">BOWMANSTOWN BOROUGH</t>
  </si>
  <si>
    <t xml:space="preserve">EAST PENN TOWNSHIP</t>
  </si>
  <si>
    <t xml:space="preserve">EAST PENN TOWNSHIP-NORTH</t>
  </si>
  <si>
    <t xml:space="preserve">EAST PENN TOWNSHIP-SOUTH</t>
  </si>
  <si>
    <t xml:space="preserve">EAST SIDE BOROUGH</t>
  </si>
  <si>
    <t xml:space="preserve">FRANKLIN TOWNSHIP</t>
  </si>
  <si>
    <t xml:space="preserve">FRANKLIN TOWNSHIP-HARRITY</t>
  </si>
  <si>
    <t xml:space="preserve">Medium</t>
  </si>
  <si>
    <t xml:space="preserve">FRANKLIN TOWNSHIP-IND DIST</t>
  </si>
  <si>
    <t xml:space="preserve">FRANKLIN TOWNSHIP-LONG RUN</t>
  </si>
  <si>
    <t xml:space="preserve">JIM THORPE BOROUGH</t>
  </si>
  <si>
    <t xml:space="preserve">JIM THORPE BOROUGH-1ST</t>
  </si>
  <si>
    <t xml:space="preserve">JIM THORPE BOROUGH-2ND</t>
  </si>
  <si>
    <t xml:space="preserve">JIM THORPE BOROUGH-3RD</t>
  </si>
  <si>
    <t xml:space="preserve">JIM THORPE BOROUGH-4TH</t>
  </si>
  <si>
    <t xml:space="preserve">JIM THORPE BOROUGH-5TH</t>
  </si>
  <si>
    <t xml:space="preserve">KIDDER TOWNSHIP</t>
  </si>
  <si>
    <t xml:space="preserve">KIDDER TOWNSHIP-NORTH</t>
  </si>
  <si>
    <t xml:space="preserve">KIDDER TOWNSHIP-SOUTH</t>
  </si>
  <si>
    <t xml:space="preserve">LANSFORD BOROUGH</t>
  </si>
  <si>
    <t xml:space="preserve">LANSFORD BOROUGH - EAST WARD</t>
  </si>
  <si>
    <t xml:space="preserve">LANSFORD BOROUGH-MIDDLE WARD</t>
  </si>
  <si>
    <t xml:space="preserve">LANSFORD BOROUGH-WEST WARD</t>
  </si>
  <si>
    <t xml:space="preserve">LAUSANNE TOWNSHIP</t>
  </si>
  <si>
    <t xml:space="preserve">LEHIGH TOWNSHIP</t>
  </si>
  <si>
    <t xml:space="preserve">LEHIGHTON BOROUGH</t>
  </si>
  <si>
    <t xml:space="preserve">LEHIGHTON BOROUGH-1ST</t>
  </si>
  <si>
    <t xml:space="preserve">LEHIGHTON BOROUGH-2ND</t>
  </si>
  <si>
    <t xml:space="preserve">LEHIGHTON BOROUGH-3RD</t>
  </si>
  <si>
    <t xml:space="preserve">LOWER TOWAMENSING TOWNSHIP</t>
  </si>
  <si>
    <t xml:space="preserve">LOWER TOWAMENSING TWP.-NORTH</t>
  </si>
  <si>
    <t xml:space="preserve">LOWER TOWAMENSING TWP.-SOUTH</t>
  </si>
  <si>
    <t xml:space="preserve">MAHONING TOWNSHIP</t>
  </si>
  <si>
    <t xml:space="preserve">MAHONING TOWNSHIP - NEW MAHONING</t>
  </si>
  <si>
    <t xml:space="preserve">MAHONING TOWNSHIP - PACKERTON/JAMESTOWN</t>
  </si>
  <si>
    <t xml:space="preserve">MAHONING TOWNSHIP-MAHONING</t>
  </si>
  <si>
    <t xml:space="preserve">Large</t>
  </si>
  <si>
    <t xml:space="preserve">NESQUEHONING BOROUGH</t>
  </si>
  <si>
    <t xml:space="preserve">NESQUEHONING BOROUGH-EAST</t>
  </si>
  <si>
    <t xml:space="preserve">NESQUEHONING BOROUGH-WEST</t>
  </si>
  <si>
    <t xml:space="preserve">PACKER TOWNSHIP</t>
  </si>
  <si>
    <t xml:space="preserve">PALMERTON BOROUGH</t>
  </si>
  <si>
    <t xml:space="preserve">PALMERTON BOROUGH-EASTERN</t>
  </si>
  <si>
    <t xml:space="preserve">PALMERTON BOROUGH-MIDDLE</t>
  </si>
  <si>
    <t xml:space="preserve">PALMERTON BOROUGH-WESTERN</t>
  </si>
  <si>
    <t xml:space="preserve">PARRYVILLE BOROUGH</t>
  </si>
  <si>
    <t xml:space="preserve">PENN FOREST TOWNSHIP</t>
  </si>
  <si>
    <t xml:space="preserve">PENN FOREST TOWNSHIP-EAST</t>
  </si>
  <si>
    <t xml:space="preserve">PENN FOREST TOWNSHIP-MIDDLE</t>
  </si>
  <si>
    <t xml:space="preserve">PENN FOREST TOWNSHIP-NORTH EAST</t>
  </si>
  <si>
    <t xml:space="preserve">PENN FOREST TOWNSHIP-NORTH WEST</t>
  </si>
  <si>
    <t xml:space="preserve">PENN FOREST TOWNSHIP-SOUTH WEST</t>
  </si>
  <si>
    <t xml:space="preserve">SUMMIT HILL BOROUGH</t>
  </si>
  <si>
    <t xml:space="preserve">SUMMIT HILL BOROUGH-1ST</t>
  </si>
  <si>
    <t xml:space="preserve">SUMMIT HILL BOROUGH-2ND</t>
  </si>
  <si>
    <t xml:space="preserve">SUMMIT HILL BOROUGH-3RD/2ND</t>
  </si>
  <si>
    <t xml:space="preserve">SUMMIT HILL-3RD/1ST DIST</t>
  </si>
  <si>
    <t xml:space="preserve">TOWAMENSING TOWNSHIP</t>
  </si>
  <si>
    <t xml:space="preserve">TOWAMENSING TOWNSHIP-NORTH</t>
  </si>
  <si>
    <t xml:space="preserve">TOWAMENSING TOWNSHIP-SOUTH-1</t>
  </si>
  <si>
    <t xml:space="preserve">TOWAMENSING TOWNSHIP-SOUTH-2</t>
  </si>
  <si>
    <t xml:space="preserve">WEATHERLY BOROUGH</t>
  </si>
  <si>
    <t xml:space="preserve">WEATHERLY BOROUGH-EAST</t>
  </si>
  <si>
    <t xml:space="preserve">WEATHERLY BOROUGH-WEST</t>
  </si>
  <si>
    <t xml:space="preserve">WEISSPORT BOROUGH</t>
  </si>
  <si>
    <t xml:space="preserve">Lehigh</t>
  </si>
  <si>
    <t xml:space="preserve">ALBURTIS</t>
  </si>
  <si>
    <t xml:space="preserve">ALLENTOWN</t>
  </si>
  <si>
    <t xml:space="preserve">ALLENTOWN 10TH WARD 1ST DIST</t>
  </si>
  <si>
    <t xml:space="preserve">ALLENTOWN 10TH WARD 3RD DIST</t>
  </si>
  <si>
    <t xml:space="preserve">ALLENTOWN 10TH WARD 4TH DIST</t>
  </si>
  <si>
    <t xml:space="preserve">ALLENTOWN 11TH WARD 1ST DIST</t>
  </si>
  <si>
    <t xml:space="preserve">ALLENTOWN 11TH WARD 2ND DIST</t>
  </si>
  <si>
    <t xml:space="preserve">ALLENTOWN 11TH WARD 3RD DIST</t>
  </si>
  <si>
    <t xml:space="preserve">ALLENTOWN 11TH WARD 4TH DIST</t>
  </si>
  <si>
    <t xml:space="preserve">ALLENTOWN 11TH WARD 5TH DIST</t>
  </si>
  <si>
    <t xml:space="preserve">ALLENTOWN 11TH WARD 6TH DIST</t>
  </si>
  <si>
    <t xml:space="preserve">ALLENTOWN 11TH WARD 7TH DIST</t>
  </si>
  <si>
    <t xml:space="preserve">ALLENTOWN 12TH WARD 1ST DIST</t>
  </si>
  <si>
    <t xml:space="preserve">ALLENTOWN 12TH WARD 2ND DIST</t>
  </si>
  <si>
    <t xml:space="preserve">ALLENTOWN 12TH WARD 3RD DIST</t>
  </si>
  <si>
    <t xml:space="preserve">ALLENTOWN 12TH WARD 4TH DIST</t>
  </si>
  <si>
    <t xml:space="preserve">ALLENTOWN 12TH WARD 5TH DIST</t>
  </si>
  <si>
    <t xml:space="preserve">ALLENTOWN 13TH WARD 1ST DIST</t>
  </si>
  <si>
    <t xml:space="preserve">ALLENTOWN 13TH WARD 2ND DIST</t>
  </si>
  <si>
    <t xml:space="preserve">ALLENTOWN 13TH WARD 3RD DIST</t>
  </si>
  <si>
    <t xml:space="preserve">ALLENTOWN 13TH WARD 4TH DIST</t>
  </si>
  <si>
    <t xml:space="preserve">ALLENTOWN 14TH WARD 1ST DIST</t>
  </si>
  <si>
    <t xml:space="preserve">ALLENTOWN 14TH WARD 2ND DIST</t>
  </si>
  <si>
    <t xml:space="preserve">ALLENTOWN 15TH WARD 1ST DIST</t>
  </si>
  <si>
    <t xml:space="preserve">ALLENTOWN 15TH WARD 2ND DIST</t>
  </si>
  <si>
    <t xml:space="preserve">ALLENTOWN 15TH WARD 3RD DIST</t>
  </si>
  <si>
    <t xml:space="preserve">ALLENTOWN 15TH WARD 4TH DIST</t>
  </si>
  <si>
    <t xml:space="preserve">ALLENTOWN 16TH WARD 1ST DIST</t>
  </si>
  <si>
    <t xml:space="preserve">ALLENTOWN 16TH WARD 2ND DIST</t>
  </si>
  <si>
    <t xml:space="preserve">ALLENTOWN 17TH WARD 1ST DIST</t>
  </si>
  <si>
    <t xml:space="preserve">ALLENTOWN 17TH WARD 2ND DIST</t>
  </si>
  <si>
    <t xml:space="preserve">ALLENTOWN 17TH WARD 3RD DIST</t>
  </si>
  <si>
    <t xml:space="preserve">ALLENTOWN 17TH WARD 4TH DIST</t>
  </si>
  <si>
    <t xml:space="preserve">random forest — No comparable 2022/2024 result under this code — inputs lean on its municipality</t>
  </si>
  <si>
    <t xml:space="preserve">ALLENTOWN 17TH WD 4TH DT PARK</t>
  </si>
  <si>
    <t xml:space="preserve">ALLENTOWN 18TH WARD 1ST DIST</t>
  </si>
  <si>
    <t xml:space="preserve">ALLENTOWN 18TH WARD 2ND DIST</t>
  </si>
  <si>
    <t xml:space="preserve">ALLENTOWN 18TH WD 2ND DT PARK</t>
  </si>
  <si>
    <t xml:space="preserve">ALLENTOWN 19TH WARD 1ST DIST</t>
  </si>
  <si>
    <t xml:space="preserve">ALLENTOWN 19TH WARD 2ND DIST</t>
  </si>
  <si>
    <t xml:space="preserve">ALLENTOWN 19TH WARD 3RD DIST</t>
  </si>
  <si>
    <t xml:space="preserve">ALLENTOWN 19TH WARD 4TH DIST</t>
  </si>
  <si>
    <t xml:space="preserve">ALLENTOWN 19TH WARD 5TH DIST</t>
  </si>
  <si>
    <t xml:space="preserve">ALLENTOWN 19TH WARD 5TH DT SAL</t>
  </si>
  <si>
    <t xml:space="preserve">ALLENTOWN 19TH WARD 6TH DIST</t>
  </si>
  <si>
    <t xml:space="preserve">ALLENTOWN 1ST WARD</t>
  </si>
  <si>
    <t xml:space="preserve">ALLENTOWN 2ND WARD</t>
  </si>
  <si>
    <t xml:space="preserve">ALLENTOWN 3RD WARD</t>
  </si>
  <si>
    <t xml:space="preserve">ALLENTOWN 4TH WARD</t>
  </si>
  <si>
    <t xml:space="preserve">ALLENTOWN 5TH WARD</t>
  </si>
  <si>
    <t xml:space="preserve">ALLENTOWN 6TH WARD 1ST DIST</t>
  </si>
  <si>
    <t xml:space="preserve">ALLENTOWN 6TH WARD 2ND DIST</t>
  </si>
  <si>
    <t xml:space="preserve">ALLENTOWN 7TH WARD</t>
  </si>
  <si>
    <t xml:space="preserve">ALLENTOWN 8TH WARD 1ST DIST</t>
  </si>
  <si>
    <t xml:space="preserve">ALLENTOWN 8TH WARD 2ND DIST</t>
  </si>
  <si>
    <t xml:space="preserve">ALLENTOWN 8TH WARD 3RD DIST</t>
  </si>
  <si>
    <t xml:space="preserve">ALLENTOWN 8TH WARD 4TH DIST</t>
  </si>
  <si>
    <t xml:space="preserve">ALLENTOWN 8TH WARD 5TH DIST</t>
  </si>
  <si>
    <t xml:space="preserve">ALLENTOWN 8TH WARD 6TH DIST</t>
  </si>
  <si>
    <t xml:space="preserve">ALLENTOWN 8TH WARD 7TH DIST</t>
  </si>
  <si>
    <t xml:space="preserve">ALLENTOWN 9TH WARD</t>
  </si>
  <si>
    <t xml:space="preserve">BETHLEHEM</t>
  </si>
  <si>
    <t xml:space="preserve">BETHLEHEM 10TH WARD</t>
  </si>
  <si>
    <t xml:space="preserve">BETHLEHEM 11TH WARD</t>
  </si>
  <si>
    <t xml:space="preserve">BETHLEHEM 12TH WARD 1ST DIST</t>
  </si>
  <si>
    <t xml:space="preserve">BETHLEHEM 12TH WARD 2ND DIST</t>
  </si>
  <si>
    <t xml:space="preserve">BETHLEHEM 13TH WARD 1ST DIST</t>
  </si>
  <si>
    <t xml:space="preserve">BETHLEHEM 13TH WARD 2ND DIST</t>
  </si>
  <si>
    <t xml:space="preserve">BETHLEHEM 13TH WARD 3RD DIST</t>
  </si>
  <si>
    <t xml:space="preserve">BETHLEHEM 13TH WARD 4TH DIST</t>
  </si>
  <si>
    <t xml:space="preserve">BETHLEHEM 13TH WARD 5TH DIST</t>
  </si>
  <si>
    <t xml:space="preserve">BETHLEHEM 13TH WARD 6TH DIST</t>
  </si>
  <si>
    <t xml:space="preserve">BETHLEHEM 13TH WARD 7TH DIST</t>
  </si>
  <si>
    <t xml:space="preserve">BETHLEHEM 13TH WARD 8TH DIST</t>
  </si>
  <si>
    <t xml:space="preserve">CATASAUQUA</t>
  </si>
  <si>
    <t xml:space="preserve">CATASAUQUA 1ST DIST</t>
  </si>
  <si>
    <t xml:space="preserve">CATASAUQUA 2ND DIST</t>
  </si>
  <si>
    <t xml:space="preserve">CATASAUQUA 3RD DIST</t>
  </si>
  <si>
    <t xml:space="preserve">COOPERSBURG</t>
  </si>
  <si>
    <t xml:space="preserve">COPLAY</t>
  </si>
  <si>
    <t xml:space="preserve">COPLAY 1ST DISTRICT</t>
  </si>
  <si>
    <t xml:space="preserve">COPLAY 2ND DISTRICT</t>
  </si>
  <si>
    <t xml:space="preserve">EMMAUS</t>
  </si>
  <si>
    <t xml:space="preserve">EMMAUS 1ST DISTRICT</t>
  </si>
  <si>
    <t xml:space="preserve">EMMAUS 2ND DISTRICT</t>
  </si>
  <si>
    <t xml:space="preserve">EMMAUS 3RD DISTRICT</t>
  </si>
  <si>
    <t xml:space="preserve">EMMAUS 4TH DISTRICT</t>
  </si>
  <si>
    <t xml:space="preserve">EMMAUS 5TH DISTRICT</t>
  </si>
  <si>
    <t xml:space="preserve">EMMAUS 6TH DISTRICT</t>
  </si>
  <si>
    <t xml:space="preserve">FOUNTAIN HILL</t>
  </si>
  <si>
    <t xml:space="preserve">FOUNTAIN HILL 1ST DIST</t>
  </si>
  <si>
    <t xml:space="preserve">FOUNTAIN HILL 2ND DIST</t>
  </si>
  <si>
    <t xml:space="preserve">FOUNTAIN HILL 3RD DIST</t>
  </si>
  <si>
    <t xml:space="preserve">HANOVER</t>
  </si>
  <si>
    <t xml:space="preserve">HEIDELBERG</t>
  </si>
  <si>
    <t xml:space="preserve">LOWER MACUNGIE</t>
  </si>
  <si>
    <t xml:space="preserve">LOWER MACUNGIE 10TH DISTRICT</t>
  </si>
  <si>
    <t xml:space="preserve">LOWER MACUNGIE 1ST DISTRICT</t>
  </si>
  <si>
    <t xml:space="preserve">LOWER MACUNGIE 2ND DISTRICT</t>
  </si>
  <si>
    <t xml:space="preserve">LOWER MACUNGIE 3RD DISTRICT</t>
  </si>
  <si>
    <t xml:space="preserve">LOWER MACUNGIE 4TH DISTRICT</t>
  </si>
  <si>
    <t xml:space="preserve">LOWER MACUNGIE 5TH DISTRICT</t>
  </si>
  <si>
    <t xml:space="preserve">LOWER MACUNGIE 6TH DISTRICT</t>
  </si>
  <si>
    <t xml:space="preserve">LOWER MACUNGIE 7TH DISTRICT</t>
  </si>
  <si>
    <t xml:space="preserve">LOWER MACUNGIE 8TH DISTRICT</t>
  </si>
  <si>
    <t xml:space="preserve">LOWER MACUNGIE 9TH DISTRICT</t>
  </si>
  <si>
    <t xml:space="preserve">LOWER MILFORD</t>
  </si>
  <si>
    <t xml:space="preserve">LOWHILL</t>
  </si>
  <si>
    <t xml:space="preserve">LYNN</t>
  </si>
  <si>
    <t xml:space="preserve">LYNN JACKSONVILLE DISTRICT</t>
  </si>
  <si>
    <t xml:space="preserve">LYNN LYNNVILLE DISTRICT</t>
  </si>
  <si>
    <t xml:space="preserve">LYNN NEW TRIPOLI DISTRICT</t>
  </si>
  <si>
    <t xml:space="preserve">MACUNGIE</t>
  </si>
  <si>
    <t xml:space="preserve">NORTH WHITEHALL</t>
  </si>
  <si>
    <t xml:space="preserve">NORTH WHITEHALL 1ST DISTRICT</t>
  </si>
  <si>
    <t xml:space="preserve">NORTH WHITEHALL 2ND DISTRICT</t>
  </si>
  <si>
    <t xml:space="preserve">NORTH WHITEHALL 3RD DISTRICT</t>
  </si>
  <si>
    <t xml:space="preserve">NORTH WHITEHALL 4TH DISTRICT</t>
  </si>
  <si>
    <t xml:space="preserve">NORTH WHITEHALL 5TH DISTRICT</t>
  </si>
  <si>
    <t xml:space="preserve">NORTH WHITEHALL 6TH DISTRICT</t>
  </si>
  <si>
    <t xml:space="preserve">SALISBURY</t>
  </si>
  <si>
    <t xml:space="preserve">SALISBURY 1ST WARD</t>
  </si>
  <si>
    <t xml:space="preserve">SALISBURY 2ND WARD</t>
  </si>
  <si>
    <t xml:space="preserve">SALISBURY 3RD WARD 1ST DIST</t>
  </si>
  <si>
    <t xml:space="preserve">SALISBURY 3RD WARD 2ND DIST</t>
  </si>
  <si>
    <t xml:space="preserve">SALISBURY 4TH WARD 1ST DIST</t>
  </si>
  <si>
    <t xml:space="preserve">SALISBURY 4TH WARD 2ND DIST</t>
  </si>
  <si>
    <t xml:space="preserve">SALISBURY 5TH WARD 1ST DIST</t>
  </si>
  <si>
    <t xml:space="preserve">SALISBURY 5TH WARD 2ND DIST</t>
  </si>
  <si>
    <t xml:space="preserve">SLATINGTON</t>
  </si>
  <si>
    <t xml:space="preserve">SLATINGTON 1ST DIST</t>
  </si>
  <si>
    <t xml:space="preserve">SLATINGTON 2ND DIST</t>
  </si>
  <si>
    <t xml:space="preserve">SLATINGTON 3RD DIST</t>
  </si>
  <si>
    <t xml:space="preserve">SOUTH WHITEHALL</t>
  </si>
  <si>
    <t xml:space="preserve">SOUTH WHITEHALL 1ST DISTRICT</t>
  </si>
  <si>
    <t xml:space="preserve">SOUTH WHITEHALL 2ND DISTRICT</t>
  </si>
  <si>
    <t xml:space="preserve">SOUTH WHITEHALL 3RD DISTRICT</t>
  </si>
  <si>
    <t xml:space="preserve">SOUTH WHITEHALL 4TH DISTRICT</t>
  </si>
  <si>
    <t xml:space="preserve">SOUTH WHITEHALL 5TH DISTRICT</t>
  </si>
  <si>
    <t xml:space="preserve">SOUTH WHITEHALL 6TH DISTRICT</t>
  </si>
  <si>
    <t xml:space="preserve">SOUTH WHITEHALL 7TH DISTRICT</t>
  </si>
  <si>
    <t xml:space="preserve">SOUTH WHITEHALL 8TH DISTRICT</t>
  </si>
  <si>
    <t xml:space="preserve">UPPER MACUNGIE</t>
  </si>
  <si>
    <t xml:space="preserve">UPPER MACUNGIE 1ST DISTRICT</t>
  </si>
  <si>
    <t xml:space="preserve">UPPER MACUNGIE 2ND DISTRICT</t>
  </si>
  <si>
    <t xml:space="preserve">UPPER MACUNGIE 3RD DISTRICT</t>
  </si>
  <si>
    <t xml:space="preserve">UPPER MACUNGIE 4TH DISTRICT</t>
  </si>
  <si>
    <t xml:space="preserve">UPPER MACUNGIE 5TH DISTRICT</t>
  </si>
  <si>
    <t xml:space="preserve">UPPER MACUNGIE 6TH DISTRICT</t>
  </si>
  <si>
    <t xml:space="preserve">UPPER MACUNGIE 7TH DISTRICT</t>
  </si>
  <si>
    <t xml:space="preserve">UPPER MACUNGIE 8TH DISTRICT</t>
  </si>
  <si>
    <t xml:space="preserve">UPPER MILFORD</t>
  </si>
  <si>
    <t xml:space="preserve">UPPER MILFORD EASTERN DISTRICT</t>
  </si>
  <si>
    <t xml:space="preserve">UPPER MILFORD WESTERN DISTRICT</t>
  </si>
  <si>
    <t xml:space="preserve">UPPER SAUCON</t>
  </si>
  <si>
    <t xml:space="preserve">UPPER SAUCON 1ST DISTRICT</t>
  </si>
  <si>
    <t xml:space="preserve">UPPER SAUCON 2ND DISTRICT</t>
  </si>
  <si>
    <t xml:space="preserve">UPPER SAUCON 3RD DISTRICT</t>
  </si>
  <si>
    <t xml:space="preserve">UPPER SAUCON 4TH DISTRICT</t>
  </si>
  <si>
    <t xml:space="preserve">UPPER SAUCON 5TH DISTRICT</t>
  </si>
  <si>
    <t xml:space="preserve">UPPER SAUCON 6TH DISTRICT</t>
  </si>
  <si>
    <t xml:space="preserve">WASHINGTON</t>
  </si>
  <si>
    <t xml:space="preserve">WASHINGTON EASTERN DISTRICT</t>
  </si>
  <si>
    <t xml:space="preserve">WASHINGTON SOUTHERN DISTRICT</t>
  </si>
  <si>
    <t xml:space="preserve">WASHINGTON WESTERN DISTRICT</t>
  </si>
  <si>
    <t xml:space="preserve">WEISENBERG</t>
  </si>
  <si>
    <t xml:space="preserve">WHITEHALL</t>
  </si>
  <si>
    <t xml:space="preserve">WHITEHALL 10TH DISTRICT</t>
  </si>
  <si>
    <t xml:space="preserve">WHITEHALL 11TH DISTRICT</t>
  </si>
  <si>
    <t xml:space="preserve">WHITEHALL 12TH DISTRICT</t>
  </si>
  <si>
    <t xml:space="preserve">WHITEHALL 1ST DISTRICT</t>
  </si>
  <si>
    <t xml:space="preserve">WHITEHALL 2ND DISTRICT</t>
  </si>
  <si>
    <t xml:space="preserve">WHITEHALL 3RD DISTRICT</t>
  </si>
  <si>
    <t xml:space="preserve">WHITEHALL 4TH DISTRICT</t>
  </si>
  <si>
    <t xml:space="preserve">WHITEHALL 5TH DISTRICT</t>
  </si>
  <si>
    <t xml:space="preserve">WHITEHALL 6TH DISTRICT</t>
  </si>
  <si>
    <t xml:space="preserve">WHITEHALL 7TH DISTRICT</t>
  </si>
  <si>
    <t xml:space="preserve">WHITEHALL 8TH DISTRICT</t>
  </si>
  <si>
    <t xml:space="preserve">WHITEHALL 9TH DISTRICT</t>
  </si>
  <si>
    <t xml:space="preserve">Monroe</t>
  </si>
  <si>
    <t xml:space="preserve">ELDRED TOWNSHIP</t>
  </si>
  <si>
    <t xml:space="preserve">ELDRED</t>
  </si>
  <si>
    <t xml:space="preserve">POLK TOWNSHIP</t>
  </si>
  <si>
    <t xml:space="preserve">POLK</t>
  </si>
  <si>
    <t xml:space="preserve">ROSS TOWNSHIP</t>
  </si>
  <si>
    <t xml:space="preserve">ROSS 1</t>
  </si>
  <si>
    <t xml:space="preserve">Northampton</t>
  </si>
  <si>
    <t xml:space="preserve">ALLEN</t>
  </si>
  <si>
    <t xml:space="preserve">ALLEN TWSP - NORTH</t>
  </si>
  <si>
    <t xml:space="preserve">ALLEN TWSP - SOUTH</t>
  </si>
  <si>
    <t xml:space="preserve">BANGOR</t>
  </si>
  <si>
    <t xml:space="preserve">BANGOR BORO NORTH</t>
  </si>
  <si>
    <t xml:space="preserve">BANGOR BORO SOUTH</t>
  </si>
  <si>
    <t xml:space="preserve">BATH</t>
  </si>
  <si>
    <t xml:space="preserve">BATH BORO</t>
  </si>
  <si>
    <t xml:space="preserve">BETHLEHEM 14TH WARD 1ST DISTRICT</t>
  </si>
  <si>
    <t xml:space="preserve">BETHLEHEM 14TH WARD 2ND DISTRICT</t>
  </si>
  <si>
    <t xml:space="preserve">BETHLEHEM 14TH WARD 3RD DISTRICT</t>
  </si>
  <si>
    <t xml:space="preserve">BETHLEHEM 14TH WARD 4TH DISTRICT</t>
  </si>
  <si>
    <t xml:space="preserve">BETHLEHEM 14TH WARD 5TH DISTRICT</t>
  </si>
  <si>
    <t xml:space="preserve">BETHLEHEM 14TH WARD 6TH DISTRICT</t>
  </si>
  <si>
    <t xml:space="preserve">BETHLEHEM 14TH WARD 7TH DISTRICT</t>
  </si>
  <si>
    <t xml:space="preserve">BETHLEHEM 14TH WARD 8TH DISTRICT</t>
  </si>
  <si>
    <t xml:space="preserve">BETHLEHEM 15TH WARD 1ST DISTRICT</t>
  </si>
  <si>
    <t xml:space="preserve">BETHLEHEM 15TH WARD 2ND DISTRICT</t>
  </si>
  <si>
    <t xml:space="preserve">BETHLEHEM 15TH WARD 3RD DISTRICT</t>
  </si>
  <si>
    <t xml:space="preserve">BETHLEHEM 16TH WARD</t>
  </si>
  <si>
    <t xml:space="preserve">BETHLEHEM 17TH WARD</t>
  </si>
  <si>
    <t xml:space="preserve">BETHLEHEM 1ST WARD - NORTHERN</t>
  </si>
  <si>
    <t xml:space="preserve">BETHLEHEM 1ST WARD - SOUTHERN</t>
  </si>
  <si>
    <t xml:space="preserve">BETHLEHEM 2ND WARD</t>
  </si>
  <si>
    <t xml:space="preserve">BETHLEHEM 3RD WARD</t>
  </si>
  <si>
    <t xml:space="preserve">BETHLEHEM 4TH WARD</t>
  </si>
  <si>
    <t xml:space="preserve">BETHLEHEM 5TH WARD</t>
  </si>
  <si>
    <t xml:space="preserve">BETHLEHEM 6TH WARD</t>
  </si>
  <si>
    <t xml:space="preserve">BETHLEHEM 7TH WARD</t>
  </si>
  <si>
    <t xml:space="preserve">BETHLEHEM 8TH WARD</t>
  </si>
  <si>
    <t xml:space="preserve">BETHLEHEM 9TH WARD EAST</t>
  </si>
  <si>
    <t xml:space="preserve">BETHLEHEM 9TH WARD WEST</t>
  </si>
  <si>
    <t xml:space="preserve">BETHLEHEM TOWNSHIP</t>
  </si>
  <si>
    <t xml:space="preserve">BETHLEHEM TWSP 1ST WARD 1ST DISTRICT</t>
  </si>
  <si>
    <t xml:space="preserve">BETHLEHEM TWSP 1ST WARD 2ND DISTRICT</t>
  </si>
  <si>
    <t xml:space="preserve">BETHLEHEM TWSP 1ST WARD 3RD DISTRICT</t>
  </si>
  <si>
    <t xml:space="preserve">BETHLEHEM TWSP 1ST WARD 4TH DISTRICT</t>
  </si>
  <si>
    <t xml:space="preserve">BETHLEHEM TWSP 2ND WARD 1ST DISTRICT</t>
  </si>
  <si>
    <t xml:space="preserve">BETHLEHEM TWSP 2ND WARD 2ND DISTRICT</t>
  </si>
  <si>
    <t xml:space="preserve">BETHLEHEM TWSP 2ND WARD 3RD DISTRICT</t>
  </si>
  <si>
    <t xml:space="preserve">BETHLEHEM TWSP 2ND WARD 4TH DISTRICT</t>
  </si>
  <si>
    <t xml:space="preserve">BETHLEHEM TWSP 3RD WARD 1ST DISTRICT</t>
  </si>
  <si>
    <t xml:space="preserve">BETHLEHEM TWSP 3RD WARD 2ND DISTRICT</t>
  </si>
  <si>
    <t xml:space="preserve">BETHLEHEM TWSP 3RD WARD 3RD DISTRICT</t>
  </si>
  <si>
    <t xml:space="preserve">BETHLEHEM TWSP 3RD WARD 4TH DISTRICT</t>
  </si>
  <si>
    <t xml:space="preserve">BETHLEHEM TWSP 3RD WARD 5TH DISTRICT</t>
  </si>
  <si>
    <t xml:space="preserve">BETHLEHEM TWSP 4TH WARD 1ST DISTRICT</t>
  </si>
  <si>
    <t xml:space="preserve">BETHLEHEM TWSP 4TH WARD 2ND DISTRICT</t>
  </si>
  <si>
    <t xml:space="preserve">BETHLEHEM TWSP 4TH WARD 3RD DISTRICT</t>
  </si>
  <si>
    <t xml:space="preserve">BETHLEHEM TWSP 4TH WARD 4TH DISTRICT</t>
  </si>
  <si>
    <t xml:space="preserve">BUSHKILL</t>
  </si>
  <si>
    <t xml:space="preserve">BUSHKILL TWSP - BUSHKILL CENTER</t>
  </si>
  <si>
    <t xml:space="preserve">BUSHKILL TWSP - CHERRY HILL</t>
  </si>
  <si>
    <t xml:space="preserve">BUSHKILL TWSP - CLEARFIELD</t>
  </si>
  <si>
    <t xml:space="preserve">CHAPMAN</t>
  </si>
  <si>
    <t xml:space="preserve">EAST ALLEN</t>
  </si>
  <si>
    <t xml:space="preserve">EAST ALLEN TWSP - EASTERN</t>
  </si>
  <si>
    <t xml:space="preserve">EAST ALLEN TWSP - WESTERN</t>
  </si>
  <si>
    <t xml:space="preserve">EAST BANGOR</t>
  </si>
  <si>
    <t xml:space="preserve">EASTON</t>
  </si>
  <si>
    <t xml:space="preserve">EASTON 10TH WARD</t>
  </si>
  <si>
    <t xml:space="preserve">EASTON 11TH WARD</t>
  </si>
  <si>
    <t xml:space="preserve">EASTON 2ND WARD</t>
  </si>
  <si>
    <t xml:space="preserve">EASTON 3RD WARD 2ND DISTRICT</t>
  </si>
  <si>
    <t xml:space="preserve">EASTON 3RD WARD 3RD DISTRICT</t>
  </si>
  <si>
    <t xml:space="preserve">EASTON 3RD WARD 4TH DISTRICT</t>
  </si>
  <si>
    <t xml:space="preserve">EASTON 4TH WARD</t>
  </si>
  <si>
    <t xml:space="preserve">EASTON 5TH WARD</t>
  </si>
  <si>
    <t xml:space="preserve">EASTON 6TH WARD</t>
  </si>
  <si>
    <t xml:space="preserve">EASTON 7TH WARD</t>
  </si>
  <si>
    <t xml:space="preserve">EASTON 8TH WARD</t>
  </si>
  <si>
    <t xml:space="preserve">EASTON 9TH WARD</t>
  </si>
  <si>
    <t xml:space="preserve">FORKS</t>
  </si>
  <si>
    <t xml:space="preserve">FORKS TWSP EAST</t>
  </si>
  <si>
    <t xml:space="preserve">FORKS TWSP NORTH</t>
  </si>
  <si>
    <t xml:space="preserve">FORKS TWSP NORTHWEST</t>
  </si>
  <si>
    <t xml:space="preserve">FORKS TWSP SOUTH</t>
  </si>
  <si>
    <t xml:space="preserve">FORKS TWSP SOUTHEAST</t>
  </si>
  <si>
    <t xml:space="preserve">FORKS TWSP SOUTHWEST</t>
  </si>
  <si>
    <t xml:space="preserve">FORKS TWSP WEST</t>
  </si>
  <si>
    <t xml:space="preserve">FREEMANSBURG</t>
  </si>
  <si>
    <t xml:space="preserve">GLENDON</t>
  </si>
  <si>
    <t xml:space="preserve">HANOVER #1</t>
  </si>
  <si>
    <t xml:space="preserve">HANOVER #2</t>
  </si>
  <si>
    <t xml:space="preserve">HANOVER #3</t>
  </si>
  <si>
    <t xml:space="preserve">HANOVER #4</t>
  </si>
  <si>
    <t xml:space="preserve">HANOVER #5</t>
  </si>
  <si>
    <t xml:space="preserve">HANOVER #6</t>
  </si>
  <si>
    <t xml:space="preserve">HELLERTOWN</t>
  </si>
  <si>
    <t xml:space="preserve">HELLERTOWN BORO 1ST WARD</t>
  </si>
  <si>
    <t xml:space="preserve">HELLERTOWN BORO 2ND WARD</t>
  </si>
  <si>
    <t xml:space="preserve">HELLERTOWN BORO 3RD WARD</t>
  </si>
  <si>
    <t xml:space="preserve">LEHIGH</t>
  </si>
  <si>
    <t xml:space="preserve">LEHIGH TWSP - CENTRAL</t>
  </si>
  <si>
    <t xml:space="preserve">LEHIGH TWSP - DANIELSVILLE</t>
  </si>
  <si>
    <t xml:space="preserve">LEHIGH TWSP - NORTHWESTERN</t>
  </si>
  <si>
    <t xml:space="preserve">LEHIGH TWSP - PENNSVILLE</t>
  </si>
  <si>
    <t xml:space="preserve">LEHIGH TWSP - TREICHLERS</t>
  </si>
  <si>
    <t xml:space="preserve">LOWER MOUNT BETHEL</t>
  </si>
  <si>
    <t xml:space="preserve">LOWER MT BETHEL - LOWER</t>
  </si>
  <si>
    <t xml:space="preserve">LOWER MT BETHEL - UPPER</t>
  </si>
  <si>
    <t xml:space="preserve">LOWER NAZARETH</t>
  </si>
  <si>
    <t xml:space="preserve">LOWER NAZARETH EAST</t>
  </si>
  <si>
    <t xml:space="preserve">LOWER NAZARETH NORTH</t>
  </si>
  <si>
    <t xml:space="preserve">LOWER NAZARETH SOUTH</t>
  </si>
  <si>
    <t xml:space="preserve">LOWER NAZARETH WEST</t>
  </si>
  <si>
    <t xml:space="preserve">LOWER SAUCON</t>
  </si>
  <si>
    <t xml:space="preserve">LOWER SAUCON TWSP - 1</t>
  </si>
  <si>
    <t xml:space="preserve">LOWER SAUCON TWSP - 2</t>
  </si>
  <si>
    <t xml:space="preserve">LOWER SAUCON TWSP - 3</t>
  </si>
  <si>
    <t xml:space="preserve">LOWER SAUCON TWSP - 4</t>
  </si>
  <si>
    <t xml:space="preserve">LOWER SAUCON TWSP - 6</t>
  </si>
  <si>
    <t xml:space="preserve">LOWER SAUCON TWSP - 7</t>
  </si>
  <si>
    <t xml:space="preserve">MOORE</t>
  </si>
  <si>
    <t xml:space="preserve">MOORE TWSP - BEERSVILLE</t>
  </si>
  <si>
    <t xml:space="preserve">MOORE TWSP - EASTERN</t>
  </si>
  <si>
    <t xml:space="preserve">MOORE TWSP - KLECKNERSVILLE</t>
  </si>
  <si>
    <t xml:space="preserve">MOORE TWSP - POINT PHILLIPS</t>
  </si>
  <si>
    <t xml:space="preserve">NAZARETH</t>
  </si>
  <si>
    <t xml:space="preserve">NAZARETH BORO 1ST WARD</t>
  </si>
  <si>
    <t xml:space="preserve">NAZARETH BORO 2ND WARD</t>
  </si>
  <si>
    <t xml:space="preserve">NAZARETH BORO 3RD WARD</t>
  </si>
  <si>
    <t xml:space="preserve">NORTH CATASAUQUA</t>
  </si>
  <si>
    <t xml:space="preserve">NORTH CATASAUQUA 1ST WARD</t>
  </si>
  <si>
    <t xml:space="preserve">NORTH CATASAUQUA 2ND WARD</t>
  </si>
  <si>
    <t xml:space="preserve">NORTHAMPTON</t>
  </si>
  <si>
    <t xml:space="preserve">NORTHAMPTON BORO 1ST WARD</t>
  </si>
  <si>
    <t xml:space="preserve">NORTHAMPTON BORO 2ND WARD</t>
  </si>
  <si>
    <t xml:space="preserve">NORTHAMPTON BORO 3RD WARD</t>
  </si>
  <si>
    <t xml:space="preserve">NORTHAMPTON BORO 4TH WARD</t>
  </si>
  <si>
    <t xml:space="preserve">PALMER</t>
  </si>
  <si>
    <t xml:space="preserve">PALMER - CENTRAL</t>
  </si>
  <si>
    <t xml:space="preserve">PALMER - EAST</t>
  </si>
  <si>
    <t xml:space="preserve">PALMER - NORTH</t>
  </si>
  <si>
    <t xml:space="preserve">PALMER - NORTHEAST</t>
  </si>
  <si>
    <t xml:space="preserve">PALMER - NORTHWEST</t>
  </si>
  <si>
    <t xml:space="preserve">PALMER - SOUTH</t>
  </si>
  <si>
    <t xml:space="preserve">PALMER - SOUTHEAST</t>
  </si>
  <si>
    <t xml:space="preserve">PALMER - SOUTHWEST</t>
  </si>
  <si>
    <t xml:space="preserve">PALMER - WEST</t>
  </si>
  <si>
    <t xml:space="preserve">PEN ARGYL</t>
  </si>
  <si>
    <t xml:space="preserve">PEN ARGYL BORO 1ST WARD</t>
  </si>
  <si>
    <t xml:space="preserve">PEN ARGYL BORO 2ND WARD</t>
  </si>
  <si>
    <t xml:space="preserve">PEN ARGYL BORO 3RD WARD</t>
  </si>
  <si>
    <t xml:space="preserve">PEN ARGYL BORO 4TH WARD</t>
  </si>
  <si>
    <t xml:space="preserve">PLAINFIELD</t>
  </si>
  <si>
    <t xml:space="preserve">PLAINFIELD TWSP - BELFAST</t>
  </si>
  <si>
    <t xml:space="preserve">PLAINFIELD TWSP - DELABOLE</t>
  </si>
  <si>
    <t xml:space="preserve">PLAINFIELD TWSP - KESSLERSVILLE</t>
  </si>
  <si>
    <t xml:space="preserve">PLAINFIELD TWSP - PLAINFIELD CHURCH</t>
  </si>
  <si>
    <t xml:space="preserve">PORTLAND</t>
  </si>
  <si>
    <t xml:space="preserve">PORTLAND BORO</t>
  </si>
  <si>
    <t xml:space="preserve">ROSETO</t>
  </si>
  <si>
    <t xml:space="preserve">ROSETO BORO</t>
  </si>
  <si>
    <t xml:space="preserve">STOCKERTOWN</t>
  </si>
  <si>
    <t xml:space="preserve">STOCKERTOWN BORO</t>
  </si>
  <si>
    <t xml:space="preserve">TATAMY</t>
  </si>
  <si>
    <t xml:space="preserve">TATAMY BORO</t>
  </si>
  <si>
    <t xml:space="preserve">UPPER MOUNT BETHEL</t>
  </si>
  <si>
    <t xml:space="preserve">UPPER MT BETHEL TWSP - CENTERVILLE</t>
  </si>
  <si>
    <t xml:space="preserve">UPPER MT BETHEL TWSP - JOHNSONVILLE</t>
  </si>
  <si>
    <t xml:space="preserve">UPPER MT BETHEL TWSP - NORTH BANGOR</t>
  </si>
  <si>
    <t xml:space="preserve">UPPER MT BETHEL TWSP - SLATEFORD</t>
  </si>
  <si>
    <t xml:space="preserve">UPPER MT BETHEL TWSP - WILLIAMSBURG</t>
  </si>
  <si>
    <t xml:space="preserve">UPPER NAZARETH</t>
  </si>
  <si>
    <t xml:space="preserve">UPPER NAZARETH - EAST 1</t>
  </si>
  <si>
    <t xml:space="preserve">UPPER NAZARETH - EAST 2</t>
  </si>
  <si>
    <t xml:space="preserve">UPPER NAZARETH - WEST 1</t>
  </si>
  <si>
    <t xml:space="preserve">UPPER NAZARETH - WEST 2</t>
  </si>
  <si>
    <t xml:space="preserve">WALNUTPORT</t>
  </si>
  <si>
    <t xml:space="preserve">WALNUTPORT BORO</t>
  </si>
  <si>
    <t xml:space="preserve">WASHINGTON TWSP - LOWER</t>
  </si>
  <si>
    <t xml:space="preserve">WASHINGTON TWSP - UPPER</t>
  </si>
  <si>
    <t xml:space="preserve">random forest — 2022 base votes allocated from its municipality</t>
  </si>
  <si>
    <t xml:space="preserve">WEST EASTON</t>
  </si>
  <si>
    <t xml:space="preserve">WILLIAMS TOWNSHIP</t>
  </si>
  <si>
    <t xml:space="preserve">WILLAMS TWSP - EASTERN</t>
  </si>
  <si>
    <t xml:space="preserve">WILLIAMS TWSP - MIDDLE</t>
  </si>
  <si>
    <t xml:space="preserve">WILLIAMS TWSP - UPPER</t>
  </si>
  <si>
    <t xml:space="preserve">WILLIAMS TWSP - WESTERN</t>
  </si>
  <si>
    <t xml:space="preserve">WILSON</t>
  </si>
  <si>
    <t xml:space="preserve">WILSON BORO 1ST WARD</t>
  </si>
  <si>
    <t xml:space="preserve">WILSON BORO 2ND WARD</t>
  </si>
  <si>
    <t xml:space="preserve">WILSON BORO 3RD WARD</t>
  </si>
  <si>
    <t xml:space="preserve">WIND GAP</t>
  </si>
  <si>
    <t xml:space="preserve">PA-07 2026 House Forecast — Precinct-Level Predictions (Forecast B: shap-selected forest)</t>
  </si>
  <si>
    <t xml:space="preserve">Random forest — Forecast B (SHAP-selected forest), precinct model</t>
  </si>
  <si>
    <t xml:space="preserve">PA-07 2026 House Forecast — Precinct-Level Predictions (Forecast C: shap family-reweighted forest)</t>
  </si>
  <si>
    <t xml:space="preserve">Random forest — Forecast C (SHAP family-reweighted forest), precinct model</t>
  </si>
  <si>
    <t xml:space="preserve">How the three precinct-level forecasts weigh their inputs (SHAP)</t>
  </si>
  <si>
    <t xml:space="preserve">Forecast A — Full random forest.</t>
  </si>
  <si>
    <t xml:space="preserve">Every candidate input goes into two forests (Democratic percent; votes cast). Nothing is weighted by hand: each input’s weight is whatever the forest learned, and SHAP measures it afterwards. This is the reference forecast.</t>
  </si>
  <si>
    <t xml:space="preserve">Forecast B — SHAP-selected forest.</t>
  </si>
  <si>
    <t xml:space="preserve">Uses SHAP to decide which inputs stay. An input is kept only if (1) its mean |SHAP| beat all 10 random columns in at least 18 of 20 refits and (2) it carried at least 2% of its forest’s SHAP total in Forecast A. The forests are refit on the survivors, so weight that was spread thinly over weak inputs is concentrated on the strong ones.</t>
  </si>
  <si>
    <t xml:space="preserve">Forecast C — SHAP family-reweighted forest.</t>
  </si>
  <si>
    <t xml:space="preserve">Uses SHAP to re-weight Forecast A. Each forecast = starting value + sum of SHAP values; Forecast C multiplies each input family’s SHAP sum by a family weight, chosen by how well it predicts elections the forest did not see (out-of-fold SHAP, leave-one-election-out, fitted within each election so cycle-level differences don’t drive it). Families under 3% of SHAP are held at ×1; others are limited to ×0.5–×2, a guard given only two or three training elections.</t>
  </si>
  <si>
    <t xml:space="preserve">Family weights in each forecast (share of SHAP value in votes, 2026 forecast rows)</t>
  </si>
  <si>
    <t xml:space="preserve">Input family</t>
  </si>
  <si>
    <t xml:space="preserve">A: Dem % forest</t>
  </si>
  <si>
    <t xml:space="preserve">B: Dem % forest</t>
  </si>
  <si>
    <t xml:space="preserve">C: Dem % forest</t>
  </si>
  <si>
    <t xml:space="preserve">A: votes cast forest</t>
  </si>
  <si>
    <t xml:space="preserve">B: votes cast forest</t>
  </si>
  <si>
    <t xml:space="preserve">C: votes cast forest</t>
  </si>
  <si>
    <t xml:space="preserve">A: whole model</t>
  </si>
  <si>
    <t xml:space="preserve">B: whole model</t>
  </si>
  <si>
    <t xml:space="preserve">C: whole model</t>
  </si>
  <si>
    <t xml:space="preserve">Election type</t>
  </si>
  <si>
    <t xml:space="preserve">Geography &amp; municipal context</t>
  </si>
  <si>
    <t xml:space="preserve">Historical voter data</t>
  </si>
  <si>
    <t xml:space="preserve">Voter registration data</t>
  </si>
  <si>
    <t xml:space="preserve">Forecast C family weights (multiplier on each family’s SHAP values)</t>
  </si>
  <si>
    <t xml:space="preserve">Dem % forest weight</t>
  </si>
  <si>
    <t xml:space="preserve">Votes cast forest weight</t>
  </si>
  <si>
    <t xml:space="preserve">Dem % weight used in 2024 backtest</t>
  </si>
  <si>
    <t xml:space="preserve">Read</t>
  </si>
  <si>
    <t xml:space="preserve">Dem %: unchanged; votes: unchanged</t>
  </si>
  <si>
    <t xml:space="preserve">Dem %: unchanged; votes: amplified</t>
  </si>
  <si>
    <t xml:space="preserve">Dem %: amplified; votes: damped</t>
  </si>
  <si>
    <t xml:space="preserve">Dem %: damped; votes: unchanged</t>
  </si>
  <si>
    <t xml:space="preserve">Out-of-fold fit: Dem % pattern error 2.59 → 2.55 pts after re-weighting; votes-cast multiple error 0.127 → 0.123.</t>
  </si>
  <si>
    <t xml:space="preserve">Forecast B — which inputs survived the SHAP selection</t>
  </si>
  <si>
    <t xml:space="preserve">Input</t>
  </si>
  <si>
    <t xml:space="preserve">Forest</t>
  </si>
  <si>
    <t xml:space="preserve">Beat random columns (of 20)</t>
  </si>
  <si>
    <t xml:space="preserve">Share of forest SHAP in A</t>
  </si>
  <si>
    <t xml:space="preserve">Kept in B?</t>
  </si>
  <si>
    <t xml:space="preserve">Precinct House lean, last election (t−2)</t>
  </si>
  <si>
    <t xml:space="preserve">Democratic percent</t>
  </si>
  <si>
    <t xml:space="preserve">Yes</t>
  </si>
  <si>
    <t xml:space="preserve">Electorate last election: R % of ballots</t>
  </si>
  <si>
    <t xml:space="preserve">Municipality House lean, last election (t−2)</t>
  </si>
  <si>
    <t xml:space="preserve">State registration: R % (as of election)</t>
  </si>
  <si>
    <t xml:space="preserve">Precinct House lean, last same-type election (t−4)</t>
  </si>
  <si>
    <t xml:space="preserve">State registration: D % (as of election)</t>
  </si>
  <si>
    <t xml:space="preserve">State registration: change in D−R margin since t−2</t>
  </si>
  <si>
    <t xml:space="preserve">No</t>
  </si>
  <si>
    <t xml:space="preserve">Precinct vs. its municipality, last election (pts)</t>
  </si>
  <si>
    <t xml:space="preserve">Mail use last election: R voters</t>
  </si>
  <si>
    <t xml:space="preserve">Turnout last election: R registrants</t>
  </si>
  <si>
    <t xml:space="preserve">Voter-file party switch gap (today’s R % − state R %)</t>
  </si>
  <si>
    <t xml:space="preserve">Mail use last election: D voters</t>
  </si>
  <si>
    <t xml:space="preserve">Turnout last election (state)</t>
  </si>
  <si>
    <t xml:space="preserve">Registrants: Boomer + Silent %</t>
  </si>
  <si>
    <t xml:space="preserve">Registrants: Millennial + Gen Z %</t>
  </si>
  <si>
    <t xml:space="preserve">Turnout last election: D registrants</t>
  </si>
  <si>
    <t xml:space="preserve">Registered voters (log, state)</t>
  </si>
  <si>
    <t xml:space="preserve">Midterm year (1/0)</t>
  </si>
  <si>
    <t xml:space="preserve">Registrants: female % (known sex)</t>
  </si>
  <si>
    <t xml:space="preserve">State registration: other %</t>
  </si>
  <si>
    <t xml:space="preserve">County: Carbon</t>
  </si>
  <si>
    <t xml:space="preserve">County: Northampton</t>
  </si>
  <si>
    <t xml:space="preserve">County: Lehigh</t>
  </si>
  <si>
    <t xml:space="preserve">State registration growth since the same-type election (ratio)</t>
  </si>
  <si>
    <t xml:space="preserve">Votes cast</t>
  </si>
  <si>
    <t xml:space="preserve">Votes cast last election ÷ votes cast in the same-type election before it</t>
  </si>
  <si>
    <t xml:space="preserve">Voter-file turnout, last election</t>
  </si>
  <si>
    <t xml:space="preserve">Turnout of registered, last election (state)</t>
  </si>
  <si>
    <t xml:space="preserve">Turnout of registered, same-type election (state)</t>
  </si>
  <si>
    <t xml:space="preserve">Voter-file turnout, same-type election</t>
  </si>
  <si>
    <t xml:space="preserve">Municipality votes cast last election ÷ same-type election</t>
  </si>
  <si>
    <t xml:space="preserve">Voter-file registration growth since the same-type election (ratio)</t>
  </si>
  <si>
    <t xml:space="preserve">Registered voters (log, voter file)</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</si>
  <si>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</si>
  <si>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</si>
  <si>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</si>
  <si>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</si>
  <si>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</si>
  <si>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</si>
  <si>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</si>
  <si>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</si>
  <si>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Democratic percent of the two-party House vote, 2024 (certified precinct results), above or below the district average</t>
  </si>
  <si>
    <t xml:space="preserve">Democratic percent of the two-party vote</t>
  </si>
  <si>
    <t xml:space="preserve">Beat all 10 random comparison columns in 20 of 20 refits in the Democratic percent forest.</t>
  </si>
  <si>
    <t xml:space="preserve">Registered Republicans as a percent of everyone who voted, 2024 (voter file)</t>
  </si>
  <si>
    <t xml:space="preserve">Registered voters on the 2026 rolls divided by registered voters at the 2022 election (Department of State)</t>
  </si>
  <si>
    <t xml:space="preserve">Number of votes cast</t>
  </si>
  <si>
    <t xml:space="preserve">Beat all 10 random comparison columns in 20 of 20 refits in the votes cast forest.</t>
  </si>
  <si>
    <t xml:space="preserve">Registered Republicans as a percent of all registered voters, 2026 primary rolls (Department of State)</t>
  </si>
  <si>
    <t xml:space="preserve">Both</t>
  </si>
  <si>
    <t xml:space="preserve">Beat all 10 random comparison columns in 20 of 20 refits in the Democratic percent forest and in 20 of 20 refits in the votes cast forest.</t>
  </si>
  <si>
    <t xml:space="preserve">Democratic percent of the two-party House vote in the precinct’s whole municipality, 2024, above or below the district average</t>
  </si>
  <si>
    <t xml:space="preserve">Registered Democrats as a percent of all registered voters, 2026 primary rolls (Department of State)</t>
  </si>
  <si>
    <t xml:space="preserve">Democratic percent of the two-party House vote, 2022 — the last midterm (certified precinct results), above or below the district average</t>
  </si>
  <si>
    <t xml:space="preserve">House votes cast in 2024 divided by House votes cast in 2022 (presidential-year surge over the midterm)</t>
  </si>
  <si>
    <t xml:space="preserve">Percent of registered voters who voted, 2024 (voter file)</t>
  </si>
  <si>
    <t xml:space="preserve">Ballots cast as a percent of registered voters, 2024 (Department of State)</t>
  </si>
  <si>
    <t xml:space="preserve">Percent of registered Republicans who voted, 2024 (voter file)</t>
  </si>
  <si>
    <t xml:space="preserve">Ballots cast as a percent of registered voters, 2022 — the last midterm (Department of State)</t>
  </si>
  <si>
    <t xml:space="preserve">Percent of registered voters who voted, 2022 — the last midterm (voter file)</t>
  </si>
  <si>
    <t xml:space="preserve">Change in registered Democrats minus Republicans (percent of registered) from the 2024 general to the 2026 primary (Department of State)</t>
  </si>
  <si>
    <t xml:space="preserve">Percent of Republican voters who voted by mail, 2024 (voter file)</t>
  </si>
  <si>
    <t xml:space="preserve">Beat all 10 random comparison columns in 20 of 20 refits in the Democratic percent forest and in 10 of 20 refits in the votes cast forest.</t>
  </si>
  <si>
    <t xml:space="preserve">Registered voters born 1981 or later, as a percent of all registered voters, 2026 (voter file)</t>
  </si>
  <si>
    <t xml:space="preserve">House votes cast in the precinct’s municipality in 2024 divided by 2022</t>
  </si>
  <si>
    <t xml:space="preserve">Precinct’s 2024 House Democratic percent minus its municipality’s, in points</t>
  </si>
  <si>
    <t xml:space="preserve">Registered voters born 1964 or earlier, as a percent of all registered voters, 2026 (voter file)</t>
  </si>
  <si>
    <t xml:space="preserve">Percent of Democratic voters who voted by mail, 2024 (voter file)</t>
  </si>
  <si>
    <t xml:space="preserve">Beat all 10 random comparison columns in 20 of 20 refits in the Democratic percent forest and in 14 of 20 refits in the votes cast forest.</t>
  </si>
  <si>
    <t xml:space="preserve">Precinct is in Lehigh County (1/0)</t>
  </si>
  <si>
    <t xml:space="preserve">Beat all 10 random comparison columns in 1 of 20 refits in the Democratic percent forest and in 20 of 20 refits in the votes cast forest.</t>
  </si>
  <si>
    <t xml:space="preserve">Election type: 1 for a midterm year (2026), 0 for a presidential year</t>
  </si>
  <si>
    <t xml:space="preserve">Beat all 10 random comparison columns in 19 of 20 refits in the Democratic percent forest and in 15 of 20 refits in the votes cast forest.</t>
  </si>
  <si>
    <t xml:space="preserve">Republican percent of registered voters in the 2026 voter file minus the Republican percent on the 2026 state rolls (a party-switching signal)</t>
  </si>
  <si>
    <t xml:space="preserve">Percent of registered Democrats who voted, 2024 (voter file)</t>
  </si>
  <si>
    <t xml:space="preserve">Beat all 10 random comparison columns in 20 of 20 refits in the Democratic percent forest and in 17 of 20 refits in the votes cast forest.</t>
  </si>
  <si>
    <t xml:space="preserve">Women as a percent of registered voters whose sex is recorded, 2026 (voter file)</t>
  </si>
  <si>
    <t xml:space="preserve">Beat all 10 random comparison columns in 19 of 20 refits in the Democratic percent forest and in 19 of 20 refits in the votes cast forest.</t>
  </si>
  <si>
    <t xml:space="preserve">Precinct is in Carbon County (1/0)</t>
  </si>
  <si>
    <t xml:space="preserve">Beat all 10 random comparison columns in 15 of 20 refits in the Democratic percent forest and in 16 of 20 refits in the votes cast forest.</t>
  </si>
  <si>
    <t xml:space="preserve">Number of registered voters, 2026 primary rolls, on a log scale (Department of State)</t>
  </si>
  <si>
    <t xml:space="preserve">Voter-file registered voters in 2026 divided by those registered by the 2022 election</t>
  </si>
  <si>
    <t xml:space="preserve">Beat all 10 random comparison columns in 19 of 20 refits in the votes cast forest.</t>
  </si>
  <si>
    <t xml:space="preserve">Precinct is in Northampton County (1/0)</t>
  </si>
  <si>
    <t xml:space="preserve">Beat all 10 random comparison columns in 1 of 20 refits in the Democratic percent forest and in 0 of 20 refits in the votes cast forest.</t>
  </si>
  <si>
    <t xml:space="preserve">Registered voters in neither major party, as a percent of all registered, 2026 primary rolls (Department of State)</t>
  </si>
  <si>
    <t xml:space="preserve">Beat all 10 random comparison columns in 17 of 20 refits in the Democratic percent forest.</t>
  </si>
  <si>
    <t xml:space="preserve">Number of registered voters, 2026, on a log scale (voter file)</t>
  </si>
  <si>
    <t xml:space="preserve">Beat all 10 random comparison columns in 6 of 20 refits in the votes cast forest.</t>
  </si>
  <si>
    <t xml:space="preserve">Historical voter data, total</t>
  </si>
  <si>
    <t xml:space="preserve">Voter registration data, total</t>
  </si>
  <si>
    <t xml:space="preserve">Geography &amp; municipal context, total</t>
  </si>
  <si>
    <t xml:space="preserve">Election type, total</t>
  </si>
  <si>
    <t xml:space="preserve">All features, total</t>
  </si>
  <si>
    <t xml:space="preserve">How to read this table. Each row is one input that this forecast uses. Rows are ranked by SHAP value in votes on the 2026 forecast rows.</t>
  </si>
  <si>
    <t xml:space="preserve">SHAP value: for one place, the number of votes that one input added to or took away from that place’s forecast, measured from the model’s starting value, which is the average forecast over the places and years it was trained on (SHAP stands for SHapley Additive exPlanations). Values are exact TreeSHAP over every tree.</t>
  </si>
  <si>
    <t xml:space="preserve">SHAP value in votes is the average, over the 370 precincts, of the votes the input added to or took away from the forecast, ignoring whether it added or took away. For the Democratic percent forest, Brooks votes and Mackenzie votes are counted together (an input that moves 10 votes from Mackenzie to Brooks counts as 20). For the votes cast forest, it is the change in total votes cast.</t>
  </si>
  <si>
    <t xml:space="preserve">Share of model is the input’s SHAP value in votes divided by the total for all inputs. Share within its family divides by the total for its own family instead.</t>
  </si>
  <si>
    <t xml:space="preserve">What the model forecasts. One random forest forecasts each place’s Democratic percent of the two-party House vote, measured above or below the district average for that election (so it learns the pattern, not the year’s overall level). A second forest forecasts House votes cast as a multiple of the votes cast in the same place in 2022 (the last midterm). Votes cast = 2022 votes × that multiple. Brooks share = the forecast pattern plus one uniform shift that makes the district total equal the scenario on the Scenario &amp; Comparison tab.</t>
  </si>
  <si>
    <t xml:space="preserve">Forecast A weighting: none imposed. Each input’s weight is exactly what the full forest learned; the SHAP values show it after the fact.</t>
  </si>
  <si>
    <t xml:space="preserve">How the inputs were tested. Each forest of Forecast A was refit 20 times with a different random seed, each time with 10 extra columns of random numbers added (5 that change from row to row and 5 that keep one value for each place in every year). The significance column counts the refits in which the input’s average absolute SHAP value on the 2026 forecast rows was larger than that of every random column.</t>
  </si>
  <si>
    <t xml:space="preserve">Settings: Democratic percent forest max_features=0.33, min_samples_leaf=1, 500 trees, trained on 977 precinct-elections (2020–2024). Votes cast forest max_features=0.6, min_samples_leaf=8, 500 trees, trained on 2022 and 2024.</t>
  </si>
  <si>
    <t xml:space="preserve">Historical voter data: past election results (any race) and past turnout (how many voted, which registered parties voted, mail use). Voter registration data: who is on the roll and with which party, the number registered, age and sex make-up, and change in registration. Geography &amp; municipal context: county and the precinct’s municipality. Election type: midterm or presidential year.</t>
  </si>
  <si>
    <t xml:space="preserve">Forecast B weighting: SHAP-selected. Only inputs that beat all 10 random columns in at least 18 of 20 refits AND held at least 2% of their forest’s SHAP total in Forecast A were kept; the forests were then refit (settings re-tuned) on those inputs alone, so the SHAP weight that the dropped inputs carried is redistributed among the survivors.</t>
  </si>
  <si>
    <t xml:space="preserve">Settings: Democratic percent forest max_features=0.33, min_samples_leaf=3, 500 trees, trained on 977 precinct-elections (2020–2024). Votes cast forest max_features=0.6, min_samples_leaf=8, 500 trees, trained on 2022 and 2024.</t>
  </si>
  <si>
    <t xml:space="preserve">Forecast C weighting: SHAP family re-weighting. Forecast A’s forests are kept, but each input family’s SHAP contribution is multiplied by a family weight fitted to out-of-sample accuracy: Election type ×1.00; Geography &amp; municipal context ×1.00; Historical voter data ×1.08; Voter registration data ×0.87 (Democratic percent forest); Election type ×1.00; Geography &amp; municipal context ×2.00; Historical voter data ×0.50; Voter registration data ×1.01 (votes cast forest). The forecast is the forest’s starting value plus the re-weighted SHAP values, so the SHAP values in this table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</si>
  <si>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</si>
  <si>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</si>
  <si>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</si>
  <si>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</si>
  <si>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</si>
  <si>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</si>
  <si>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</si>
  <si>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</si>
  <si>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</si>
  <si>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Note</t>
  </si>
  <si>
    <t xml:space="preserve">No comparable 2024 result</t>
  </si>
  <si>
    <t xml:space="preserve">PA-07 District (precincts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</si>
  <si>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</si>
  <si>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</si>
  <si>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</si>
  <si>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</si>
  <si>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</si>
  <si>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 — the level part of the error</t>
  </si>
  <si>
    <t xml:space="preserve">Root-mean-square miss per row after removing the district-wide miss (points) — the pattern part</t>
  </si>
  <si>
    <t xml:space="preserve">Total votes cast miss (percent)</t>
  </si>
  <si>
    <t xml:space="preserve">Rows within 3 points on Democratic share</t>
  </si>
  <si>
    <t xml:space="preserve">Rows with a comparable 2024 result</t>
  </si>
  <si>
    <t xml:space="preserve">Rows in the table</t>
  </si>
  <si>
    <t xml:space="preserve">What this tab is: the same forecast method, run as if it were the week before the 2024 general election, compared with the actual 2024 House results.</t>
  </si>
  <si>
    <t xml:space="preserve">Every 2024 election result and all 2024 turnout were removed from the training data before the backtest ran. Registration as of the 2024 election was kept.</t>
  </si>
  <si>
    <t xml:space="preserve">The backtest’s Democratic percent forest was trained on the 2020 and 2022 elections. Its votes cast forest was trained on 2022 only — the one earlier election with an election of the same type four years before it — so it learned a midterm-to-midterm change and applies it to a presidential year.</t>
  </si>
  <si>
    <t xml:space="preserve">District level: the backtest set the district Democratic share to the last election of the same type (2020: 51.4%), the same rule as the 2026 default scenario (average of the last two midterms). The actual 2024 share was 49.4%, so about 2.2 points of every row’s error is the district-wide miss, not the precinct pattern.</t>
  </si>
  <si>
    <t xml:space="preserve">Forecast A: no weighting imposed.</t>
  </si>
  <si>
    <t xml:space="preserve">The forecast of 2024 used 2022 and 2020 results as inputs: the same inputs as the 2026 forecast, taken two years earlier.</t>
  </si>
  <si>
    <t xml:space="preserve">Actual votes are the 2024 House results for the precinct exactly as given in the data. Error = predicted minus actual. Shares are of the two-party vote (Democratic plus Republican).</t>
  </si>
  <si>
    <t xml:space="preserve">The district row adds only the rows that have a comparable 2024 result. 'All rows (predicted only)' adds the predicted votes of every row.</t>
  </si>
  <si>
    <t xml:space="preserve">Wild was the 2024 Democratic candidate and Mackenzie the 2024 Republican candidate.</t>
  </si>
  <si>
    <t xml:space="preserve">Rows marked 'No comparable 2024 result' are left out of the district total row and the error figures: their 2024 result does not line up with the number of people in today’s precinct who voted (re-drawn or re-paired precinct codes).</t>
  </si>
  <si>
    <t xml:space="preserve">These backtest errors set the error terms on the 2026 forecast tab: each row gets the root-mean-square pattern miss of backtest rows of similar size (small / medium / large thirds by votes cast).</t>
  </si>
  <si>
    <t xml:space="preserve">Forecast B: inputs chosen with the same random-column test and 2% rule as the 2026 forecast, then refit.</t>
  </si>
  <si>
    <t xml:space="preserve">Forecast C: family weights for the backtest were fitted only on elections before 2024 (Election type ×1.00; Geography &amp; municipal context ×1.00; Historical voter data ×0.98; Voter registration data ×1.24 for the Democratic percent forest). The votes cast forest could not be re-weighted in the backtest (only one earlier same-type pair), so its backtest votes cast equal Forecast A’s.</t>
  </si>
  <si>
    <t xml:space="preserve">Data</t>
  </si>
  <si>
    <t xml:space="preserve">Source: PA07_Precinct_Data.xlsx (Results Consolidated, Precinct Consolidated, Precinct Summary). No ACS/household data. The baseline forecast file supplied was used for layout only; none of its numbers are used.</t>
  </si>
  <si>
    <t xml:space="preserve">Training: 2020, 2022 and 2024 general elections for the Democratic percent forests (2018 provides history only); 2022 and 2024 for the votes cast forests (each needs the same-type election four years earlier). Rows where the House race was not PA-07 (Carbon and Polk in 2018/2020) are not used as targets.</t>
  </si>
  <si>
    <t xml:space="preserve">Precinct results are used only where the certified House votes line up with the number of people in today’s precinct who voted that year (within 0.6–1.6× of the district norm); about 4–5% of precinct-years fail and are excluded (re-drawn or re-paired codes). For precincts without a comparable 2022 result, 2022 votes cast are the municipality’s 2022 House votes divided among its precincts by how many people in each voted in 2022.</t>
  </si>
  <si>
    <t xml:space="preserve">State registration (Precinct Summary) was linked to voter-file precinct codes through identical certified D and R vote counts; 368 of 370 precincts link.</t>
  </si>
  <si>
    <t xml:space="preserve">Forecasting</t>
  </si>
  <si>
    <t xml:space="preserve">Each forecast = two random forests (500 trees each, settings tuned by leave-one-election-out cross-validation). Democratic percent: forecast of each place’s Democratic share above/below the district average. Votes cast: forecast multiple of 2022 votes. Brooks votes = votes cast × (pattern + uniform shift to the scenario district share).</t>
  </si>
  <si>
    <t xml:space="preserve">SHAP: exact path-dependent TreeSHAP (Lundberg, Erion &amp; Lee 2018) over every tree — the algorithm behind shap.TreeExplainer. The shap package is blocked in this environment, so it was implemented in C; it matches brute-force Shapley values to ~1e-15, and base + ΣSHAP equals every forest prediction.</t>
  </si>
  <si>
    <t xml:space="preserve">Error terms</t>
  </si>
  <si>
    <t xml:space="preserve">Row error term (± pts) = root-mean-square miss of that forecast’s 2024 backtest for rows of similar size (thirds by votes cast), after removing the district-wide miss. Votes-cast error term uses the same bins. Brooks-votes error term combines the two. Low/high columns are ±1 error term (roughly a 68% range if errors are normal).</t>
  </si>
  <si>
    <t xml:space="preserve">District error term = the size of the district-wide miss in the backtest when the district share was set by the default rule (last same-type election). That miss was about 2 points in 2024. It is the main source of uncertainty and is driven by the national environment and candidates, which none of the forests model.</t>
  </si>
  <si>
    <t xml:space="preserve">Caveats</t>
  </si>
  <si>
    <t xml:space="preserve">• The votes cast forests have seen only one midterm-to-midterm change (2018→2022, a large rise). 2026 vote totals inherit that; treat them as a planning figure.</t>
  </si>
  <si>
    <t xml:space="preserve">• Forecast C’s family weights rest on two or three held-out elections; they are bounded (×0.5–×2) to stop them over-fitting.</t>
  </si>
  <si>
    <t xml:space="preserve">• Toss-up calls (where A, B and C disagree, or a row’s low–high range spans 50%) should be read as ranges, not calls.</t>
  </si>
</sst>
</file>

<file path=xl/styles.xml><?xml version="1.0" encoding="utf-8"?>
<styleSheet xmlns="http://schemas.openxmlformats.org/spreadsheetml/2006/main">
  <numFmts count="14">
    <numFmt numFmtId="164" formatCode="General"/>
    <numFmt numFmtId="165" formatCode="0.0%"/>
    <numFmt numFmtId="166" formatCode="#,##0"/>
    <numFmt numFmtId="167" formatCode="0.0"/>
    <numFmt numFmtId="168" formatCode="0"/>
    <numFmt numFmtId="169" formatCode="0.00"/>
    <numFmt numFmtId="170" formatCode="\+0.00;\-0.00"/>
    <numFmt numFmtId="171" formatCode="\+0.0%;\-0.0%"/>
    <numFmt numFmtId="172" formatCode="0%"/>
    <numFmt numFmtId="173" formatCode="yyyy\-mm\-dd"/>
    <numFmt numFmtId="174" formatCode="\+0.0;\-0.0"/>
    <numFmt numFmtId="175" formatCode="\+#,##0;\-#,##0;0"/>
    <numFmt numFmtId="176" formatCode="\+#,##0;\-#,##0"/>
    <numFmt numFmtId="177"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0"/>
      <name val="Arial"/>
      <family val="2"/>
    </font>
    <font>
      <sz val="11"/>
      <color rgb="FF008000"/>
      <name val="Calibri"/>
      <family val="0"/>
      <charset val="1"/>
    </font>
    <font>
      <b val="true"/>
      <sz val="11"/>
      <color rgb="FF1F4E79"/>
      <name val="Calibri"/>
      <family val="0"/>
      <charset val="1"/>
    </font>
  </fonts>
  <fills count="8">
    <fill>
      <patternFill patternType="none"/>
    </fill>
    <fill>
      <patternFill patternType="gray125"/>
    </fill>
    <fill>
      <patternFill patternType="solid">
        <fgColor rgb="FFD6E3F0"/>
        <bgColor rgb="FFC6EFCE"/>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F2F2F2"/>
        <bgColor rgb="FFFFFFFF"/>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4" fontId="5" fillId="6" borderId="0" xfId="0" applyFont="true" applyBorder="false" applyAlignment="false" applyProtection="false">
      <alignment horizontal="general" vertical="bottom" textRotation="0" wrapText="false" indent="0" shrinkToFit="false"/>
      <protection locked="true" hidden="false"/>
    </xf>
    <xf numFmtId="166" fontId="5" fillId="6"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6"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4" fontId="0" fillId="5" borderId="1" xfId="0" applyFont="false" applyBorder="tru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1</xdr:row>
      <xdr:rowOff>160560</xdr:rowOff>
    </xdr:from>
    <xdr:to>
      <xdr:col>24</xdr:col>
      <xdr:colOff>222480</xdr:colOff>
      <xdr:row>9</xdr:row>
      <xdr:rowOff>139320</xdr:rowOff>
    </xdr:to>
    <xdr:pic>
      <xdr:nvPicPr>
        <xdr:cNvPr id="0" name="Image 1" descr="Picture"/>
        <xdr:cNvPicPr/>
      </xdr:nvPicPr>
      <xdr:blipFill>
        <a:blip r:embed="rId1"/>
        <a:stretch/>
      </xdr:blipFill>
      <xdr:spPr>
        <a:xfrm>
          <a:off x="12805560" y="380880"/>
          <a:ext cx="8172000" cy="26744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34"/>
    <col collapsed="false" customWidth="true" hidden="false" outlineLevel="0" max="6" min="4" style="0" width="15"/>
    <col collapsed="false" customWidth="true" hidden="false" outlineLevel="0" max="7" min="7" style="0" width="14"/>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AVERAGE(C10,C12)</f>
        <v>0.528169484134382</v>
      </c>
      <c r="D6" s="3" t="s">
        <v>5</v>
      </c>
    </row>
    <row r="8" customFormat="false" ht="31.5" hidden="false" customHeight="true" outlineLevel="0" collapsed="false">
      <c r="A8" s="7" t="s">
        <v>6</v>
      </c>
      <c r="B8" s="7"/>
      <c r="C8" s="7" t="s">
        <v>7</v>
      </c>
      <c r="D8" s="7" t="s">
        <v>8</v>
      </c>
      <c r="E8" s="7" t="s">
        <v>9</v>
      </c>
    </row>
    <row r="9" customFormat="false" ht="15" hidden="false" customHeight="false" outlineLevel="0" collapsed="false">
      <c r="A9" s="3" t="s">
        <v>10</v>
      </c>
    </row>
    <row r="10" customFormat="false" ht="15" hidden="false" customHeight="false" outlineLevel="0" collapsed="false">
      <c r="A10" s="8" t="s">
        <v>11</v>
      </c>
      <c r="B10" s="8"/>
      <c r="C10" s="9" t="n">
        <f aca="false">D10/(D10+E10)</f>
        <v>0.547373248760395</v>
      </c>
      <c r="D10" s="10" t="n">
        <v>126510</v>
      </c>
      <c r="E10" s="10" t="n">
        <v>104612</v>
      </c>
    </row>
    <row r="11" customFormat="false" ht="15" hidden="false" customHeight="false" outlineLevel="0" collapsed="false">
      <c r="A11" s="8" t="s">
        <v>12</v>
      </c>
      <c r="B11" s="8"/>
      <c r="C11" s="9" t="n">
        <f aca="false">D11/(D11+E11)</f>
        <v>0.514370811615786</v>
      </c>
      <c r="D11" s="10" t="n">
        <v>176154</v>
      </c>
      <c r="E11" s="10" t="n">
        <v>166311</v>
      </c>
    </row>
    <row r="12" customFormat="false" ht="15" hidden="false" customHeight="false" outlineLevel="0" collapsed="false">
      <c r="A12" s="8" t="s">
        <v>13</v>
      </c>
      <c r="B12" s="8"/>
      <c r="C12" s="9" t="n">
        <f aca="false">D12/(D12+E12)</f>
        <v>0.508965719508369</v>
      </c>
      <c r="D12" s="10" t="n">
        <v>149243</v>
      </c>
      <c r="E12" s="10" t="n">
        <v>143985</v>
      </c>
    </row>
    <row r="13" customFormat="false" ht="15" hidden="false" customHeight="false" outlineLevel="0" collapsed="false">
      <c r="A13" s="8" t="s">
        <v>14</v>
      </c>
      <c r="B13" s="8"/>
      <c r="C13" s="9" t="n">
        <f aca="false">D13/(D13+E13)</f>
        <v>0.494248133629371</v>
      </c>
      <c r="D13" s="10" t="n">
        <v>196561</v>
      </c>
      <c r="E13" s="10" t="n">
        <v>201136</v>
      </c>
    </row>
    <row r="15" customFormat="false" ht="15" hidden="false" customHeight="false" outlineLevel="0" collapsed="false">
      <c r="A15" s="4" t="s">
        <v>15</v>
      </c>
      <c r="B15" s="4"/>
      <c r="C15" s="4"/>
      <c r="D15" s="4"/>
      <c r="E15" s="4"/>
      <c r="F15" s="4"/>
      <c r="G15" s="4"/>
      <c r="H15" s="4"/>
      <c r="I15" s="4"/>
    </row>
    <row r="16" customFormat="false" ht="31.5" hidden="false" customHeight="true" outlineLevel="0" collapsed="false">
      <c r="A16" s="7" t="s">
        <v>16</v>
      </c>
      <c r="B16" s="7" t="s">
        <v>17</v>
      </c>
      <c r="C16" s="7" t="s">
        <v>18</v>
      </c>
      <c r="D16" s="7" t="s">
        <v>19</v>
      </c>
      <c r="E16" s="7" t="s">
        <v>20</v>
      </c>
      <c r="F16" s="7" t="s">
        <v>21</v>
      </c>
      <c r="G16" s="7" t="s">
        <v>22</v>
      </c>
      <c r="H16" s="7" t="s">
        <v>23</v>
      </c>
      <c r="I16" s="7" t="s">
        <v>24</v>
      </c>
    </row>
    <row r="17" customFormat="false" ht="15" hidden="false" customHeight="false" outlineLevel="0" collapsed="false">
      <c r="A17" s="11" t="s">
        <v>25</v>
      </c>
      <c r="B17" s="12" t="s">
        <v>26</v>
      </c>
      <c r="C17" s="13" t="n">
        <f aca="false">'2026 Forecast A'!D8</f>
        <v>172328</v>
      </c>
      <c r="D17" s="13" t="n">
        <f aca="false">'2026 Forecast A'!E8</f>
        <v>153946</v>
      </c>
      <c r="E17" s="13" t="n">
        <f aca="false">'2026 Forecast A'!F8</f>
        <v>326274</v>
      </c>
      <c r="F17" s="14" t="n">
        <f aca="false">'2026 Forecast A'!G8</f>
        <v>0.528169575264961</v>
      </c>
      <c r="G17" s="15" t="n">
        <f aca="false">'2026 Forecast A'!J8</f>
        <v>2.23196234271083</v>
      </c>
      <c r="H17" s="12" t="str">
        <f aca="false">TEXT('2026 Forecast A'!K8,"0.0%")&amp;" – "&amp;TEXT('2026 Forecast A'!L8,"0.0%")</f>
        <v>50.6% – 55.0%</v>
      </c>
      <c r="I17" s="13" t="n">
        <f aca="false">'2026 Forecast A'!N8</f>
        <v>8358</v>
      </c>
    </row>
    <row r="18" customFormat="false" ht="15" hidden="false" customHeight="false" outlineLevel="0" collapsed="false">
      <c r="A18" s="11" t="s">
        <v>27</v>
      </c>
      <c r="B18" s="12" t="s">
        <v>28</v>
      </c>
      <c r="C18" s="13" t="n">
        <f aca="false">'2026 Forecast B'!D8</f>
        <v>172783</v>
      </c>
      <c r="D18" s="13" t="n">
        <f aca="false">'2026 Forecast B'!E8</f>
        <v>154340</v>
      </c>
      <c r="E18" s="13" t="n">
        <f aca="false">'2026 Forecast B'!F8</f>
        <v>327123</v>
      </c>
      <c r="F18" s="14" t="n">
        <f aca="false">'2026 Forecast B'!G8</f>
        <v>0.528189702344378</v>
      </c>
      <c r="G18" s="15" t="n">
        <f aca="false">'2026 Forecast B'!J8</f>
        <v>2.23370886944203</v>
      </c>
      <c r="H18" s="12" t="str">
        <f aca="false">TEXT('2026 Forecast B'!K8,"0.0%")&amp;" – "&amp;TEXT('2026 Forecast B'!L8,"0.0%")</f>
        <v>50.6% – 55.1%</v>
      </c>
      <c r="I18" s="13" t="n">
        <f aca="false">'2026 Forecast B'!N8</f>
        <v>8436</v>
      </c>
    </row>
    <row r="19" customFormat="false" ht="15" hidden="false" customHeight="false" outlineLevel="0" collapsed="false">
      <c r="A19" s="11" t="s">
        <v>29</v>
      </c>
      <c r="B19" s="12" t="s">
        <v>30</v>
      </c>
      <c r="C19" s="13" t="n">
        <f aca="false">'2026 Forecast C'!D8</f>
        <v>170381</v>
      </c>
      <c r="D19" s="13" t="n">
        <f aca="false">'2026 Forecast C'!E8</f>
        <v>152213</v>
      </c>
      <c r="E19" s="13" t="n">
        <f aca="false">'2026 Forecast C'!F8</f>
        <v>322594</v>
      </c>
      <c r="F19" s="14" t="n">
        <f aca="false">'2026 Forecast C'!G8</f>
        <v>0.528159234207704</v>
      </c>
      <c r="G19" s="15" t="n">
        <f aca="false">'2026 Forecast C'!J8</f>
        <v>2.2317002524889</v>
      </c>
      <c r="H19" s="12" t="str">
        <f aca="false">TEXT('2026 Forecast C'!K8,"0.0%")&amp;" – "&amp;TEXT('2026 Forecast C'!L8,"0.0%")</f>
        <v>50.6% – 55.0%</v>
      </c>
      <c r="I19" s="13" t="n">
        <f aca="false">'2026 Forecast C'!N8</f>
        <v>8263</v>
      </c>
    </row>
    <row r="21" customFormat="false" ht="15" hidden="false" customHeight="false" outlineLevel="0" collapsed="false">
      <c r="A21" s="4" t="s">
        <v>31</v>
      </c>
      <c r="B21" s="4"/>
      <c r="C21" s="4"/>
      <c r="D21" s="4"/>
      <c r="E21" s="4"/>
      <c r="F21" s="4"/>
      <c r="G21" s="4"/>
      <c r="H21" s="4"/>
      <c r="I21" s="4"/>
    </row>
    <row r="22" customFormat="false" ht="45" hidden="false" customHeight="true" outlineLevel="0" collapsed="false">
      <c r="A22" s="7" t="s">
        <v>16</v>
      </c>
      <c r="B22" s="7" t="s">
        <v>32</v>
      </c>
      <c r="C22" s="7" t="s">
        <v>33</v>
      </c>
      <c r="D22" s="7" t="s">
        <v>34</v>
      </c>
      <c r="E22" s="7" t="s">
        <v>35</v>
      </c>
      <c r="F22" s="7" t="s">
        <v>36</v>
      </c>
      <c r="G22" s="7" t="s">
        <v>37</v>
      </c>
      <c r="H22" s="7" t="s">
        <v>38</v>
      </c>
      <c r="I22" s="7" t="s">
        <v>39</v>
      </c>
    </row>
    <row r="23" customFormat="false" ht="15" hidden="false" customHeight="false" outlineLevel="0" collapsed="false">
      <c r="A23" s="16" t="s">
        <v>25</v>
      </c>
      <c r="B23" s="17" t="n">
        <f aca="false">'2024 Backtest A'!F384</f>
        <v>342</v>
      </c>
      <c r="C23" s="18" t="n">
        <f aca="false">'2024 Backtest A'!F378</f>
        <v>3.142695843626</v>
      </c>
      <c r="D23" s="18" t="n">
        <f aca="false">'2024 Backtest A'!F379</f>
        <v>3.72974270854558</v>
      </c>
      <c r="E23" s="19" t="n">
        <f aca="false">'2024 Backtest A'!F380</f>
        <v>2.23196234271084</v>
      </c>
      <c r="F23" s="18" t="n">
        <f aca="false">'2024 Backtest A'!F381</f>
        <v>2.28839262164551</v>
      </c>
      <c r="G23" s="20" t="n">
        <f aca="false">'2024 Backtest A'!F382</f>
        <v>0.0237759836001792</v>
      </c>
      <c r="H23" s="21" t="n">
        <f aca="false">'2024 Backtest A'!F376</f>
        <v>55.046783625731</v>
      </c>
      <c r="I23" s="22" t="n">
        <f aca="false">'2024 Backtest A'!F383</f>
        <v>0.532163742690059</v>
      </c>
    </row>
    <row r="24" customFormat="false" ht="15" hidden="false" customHeight="false" outlineLevel="0" collapsed="false">
      <c r="A24" s="16" t="s">
        <v>27</v>
      </c>
      <c r="B24" s="17" t="n">
        <f aca="false">'2024 Backtest B'!F384</f>
        <v>342</v>
      </c>
      <c r="C24" s="18" t="n">
        <f aca="false">'2024 Backtest B'!F378</f>
        <v>3.22343901827113</v>
      </c>
      <c r="D24" s="18" t="n">
        <f aca="false">'2024 Backtest B'!F379</f>
        <v>3.7969585500387</v>
      </c>
      <c r="E24" s="19" t="n">
        <f aca="false">'2024 Backtest B'!F380</f>
        <v>2.23370886944203</v>
      </c>
      <c r="F24" s="18" t="n">
        <f aca="false">'2024 Backtest B'!F381</f>
        <v>2.38681946225821</v>
      </c>
      <c r="G24" s="20" t="n">
        <f aca="false">'2024 Backtest B'!F382</f>
        <v>0.0243984898856144</v>
      </c>
      <c r="H24" s="21" t="n">
        <f aca="false">'2024 Backtest B'!F376</f>
        <v>55.9356725146199</v>
      </c>
      <c r="I24" s="22" t="n">
        <f aca="false">'2024 Backtest B'!F383</f>
        <v>0.491228070175439</v>
      </c>
    </row>
    <row r="25" customFormat="false" ht="15" hidden="false" customHeight="false" outlineLevel="0" collapsed="false">
      <c r="A25" s="16" t="s">
        <v>29</v>
      </c>
      <c r="B25" s="17" t="n">
        <f aca="false">'2024 Backtest C'!F384</f>
        <v>342</v>
      </c>
      <c r="C25" s="18" t="n">
        <f aca="false">'2024 Backtest C'!F378</f>
        <v>3.25234797009227</v>
      </c>
      <c r="D25" s="18" t="n">
        <f aca="false">'2024 Backtest C'!F379</f>
        <v>3.97021788433627</v>
      </c>
      <c r="E25" s="19" t="n">
        <f aca="false">'2024 Backtest C'!F380</f>
        <v>2.2317002524889</v>
      </c>
      <c r="F25" s="18" t="n">
        <f aca="false">'2024 Backtest C'!F381</f>
        <v>2.56914691260626</v>
      </c>
      <c r="G25" s="20" t="n">
        <f aca="false">'2024 Backtest C'!F382</f>
        <v>0.0237759836001792</v>
      </c>
      <c r="H25" s="21" t="n">
        <f aca="false">'2024 Backtest C'!F376</f>
        <v>53.3304093567252</v>
      </c>
      <c r="I25" s="22" t="n">
        <f aca="false">'2024 Backtest C'!F383</f>
        <v>0.546783625730994</v>
      </c>
    </row>
    <row r="26" customFormat="false" ht="15" hidden="false" customHeight="false" outlineLevel="0" collapsed="false">
      <c r="A26" s="23" t="s">
        <v>40</v>
      </c>
      <c r="B26" s="23"/>
      <c r="C26" s="23"/>
      <c r="D26" s="23"/>
      <c r="E26" s="23"/>
      <c r="F26" s="23"/>
      <c r="G26" s="23"/>
      <c r="H26" s="23"/>
      <c r="I26" s="23"/>
    </row>
    <row r="28" customFormat="false" ht="15" hidden="false" customHeight="false" outlineLevel="0" collapsed="false">
      <c r="A28" s="4" t="s">
        <v>41</v>
      </c>
      <c r="B28" s="4"/>
      <c r="C28" s="4"/>
      <c r="D28" s="4"/>
      <c r="E28" s="4"/>
      <c r="F28" s="4"/>
      <c r="G28" s="4"/>
      <c r="H28" s="4"/>
      <c r="I28" s="4"/>
      <c r="J28" s="4"/>
      <c r="K28" s="4"/>
      <c r="L28" s="4"/>
    </row>
    <row r="29" customFormat="false" ht="31.5" hidden="false" customHeight="true" outlineLevel="0" collapsed="false">
      <c r="A29" s="7" t="s">
        <v>42</v>
      </c>
      <c r="B29" s="7" t="s">
        <v>43</v>
      </c>
      <c r="C29" s="7" t="s">
        <v>44</v>
      </c>
      <c r="D29" s="7" t="s">
        <v>25</v>
      </c>
      <c r="E29" s="7" t="s">
        <v>27</v>
      </c>
      <c r="F29" s="7" t="s">
        <v>29</v>
      </c>
      <c r="G29" s="7" t="s">
        <v>45</v>
      </c>
      <c r="H29" s="7" t="s">
        <v>46</v>
      </c>
      <c r="I29" s="7" t="s">
        <v>47</v>
      </c>
      <c r="J29" s="7" t="s">
        <v>48</v>
      </c>
      <c r="K29" s="7" t="s">
        <v>49</v>
      </c>
      <c r="L29" s="7" t="s">
        <v>50</v>
      </c>
    </row>
    <row r="30" customFormat="false" ht="15" hidden="false" customHeight="false" outlineLevel="0" collapsed="false">
      <c r="A30" s="8" t="str">
        <f aca="false">'2026 Forecast A'!A12</f>
        <v>Carbon</v>
      </c>
      <c r="B30" s="8" t="str">
        <f aca="false">'2026 Forecast A'!B12</f>
        <v>BANKS TOWNSHIP</v>
      </c>
      <c r="C30" s="8" t="str">
        <f aca="false">'2026 Forecast A'!C12</f>
        <v>BANKS TOWNSHIP</v>
      </c>
      <c r="D30" s="9" t="n">
        <f aca="false">'2026 Forecast A'!G12</f>
        <v>0.444717444717445</v>
      </c>
      <c r="E30" s="9" t="n">
        <f aca="false">'2026 Forecast B'!G12</f>
        <v>0.448529411764706</v>
      </c>
      <c r="F30" s="9" t="n">
        <f aca="false">'2026 Forecast C'!G12</f>
        <v>0.438118811881188</v>
      </c>
      <c r="G30" s="24" t="n">
        <f aca="false">(MAX(D30:F30)-MIN(D30:F30))*100</f>
        <v>1.04105998835178</v>
      </c>
      <c r="H30" s="24" t="n">
        <f aca="false">'2026 Forecast A'!J12</f>
        <v>3.25434931194355</v>
      </c>
      <c r="I30" s="24" t="n">
        <f aca="false">'2026 Forecast B'!J12</f>
        <v>3.09864730606258</v>
      </c>
      <c r="J30" s="24" t="n">
        <f aca="false">'2026 Forecast C'!J12</f>
        <v>3.7041269898902</v>
      </c>
      <c r="K30" s="25" t="n">
        <f aca="false">'2026 Forecast A'!F12</f>
        <v>407</v>
      </c>
      <c r="L30" s="26" t="str">
        <f aca="false">IF(OR(AND(D30&gt;0.5,E30&gt;0.5,F30&gt;0.5),AND(D30&lt;0.5,E30&lt;0.5,F30&lt;0.5)),"Yes","No — toss-up")</f>
        <v>Yes</v>
      </c>
    </row>
    <row r="31" customFormat="false" ht="15" hidden="false" customHeight="false" outlineLevel="0" collapsed="false">
      <c r="A31" s="8" t="str">
        <f aca="false">'2026 Forecast A'!A13</f>
        <v>Carbon</v>
      </c>
      <c r="B31" s="8" t="str">
        <f aca="false">'2026 Forecast A'!B13</f>
        <v>BEAVER MEADOWS BOROUGH</v>
      </c>
      <c r="C31" s="8" t="str">
        <f aca="false">'2026 Forecast A'!C13</f>
        <v>BEAVER MEADOWS BOROUGH</v>
      </c>
      <c r="D31" s="9" t="n">
        <f aca="false">'2026 Forecast A'!G13</f>
        <v>0.325648414985591</v>
      </c>
      <c r="E31" s="9" t="n">
        <f aca="false">'2026 Forecast B'!G13</f>
        <v>0.334302325581395</v>
      </c>
      <c r="F31" s="9" t="n">
        <f aca="false">'2026 Forecast C'!G13</f>
        <v>0.315186246418338</v>
      </c>
      <c r="G31" s="24" t="n">
        <f aca="false">(MAX(D31:F31)-MIN(D31:F31))*100</f>
        <v>1.91160791630572</v>
      </c>
      <c r="H31" s="24" t="n">
        <f aca="false">'2026 Forecast A'!J13</f>
        <v>3.25434931194355</v>
      </c>
      <c r="I31" s="24" t="n">
        <f aca="false">'2026 Forecast B'!J13</f>
        <v>3.09864730606258</v>
      </c>
      <c r="J31" s="24" t="n">
        <f aca="false">'2026 Forecast C'!J13</f>
        <v>3.7041269898902</v>
      </c>
      <c r="K31" s="25" t="n">
        <f aca="false">'2026 Forecast A'!F13</f>
        <v>347</v>
      </c>
      <c r="L31" s="26" t="str">
        <f aca="false">IF(OR(AND(D31&gt;0.5,E31&gt;0.5,F31&gt;0.5),AND(D31&lt;0.5,E31&lt;0.5,F31&lt;0.5)),"Yes","No — toss-up")</f>
        <v>Yes</v>
      </c>
    </row>
    <row r="32" customFormat="false" ht="15" hidden="false" customHeight="false" outlineLevel="0" collapsed="false">
      <c r="A32" s="8" t="str">
        <f aca="false">'2026 Forecast A'!A14</f>
        <v>Carbon</v>
      </c>
      <c r="B32" s="8" t="str">
        <f aca="false">'2026 Forecast A'!B14</f>
        <v>BOWMANSTOWN BOROUGH</v>
      </c>
      <c r="C32" s="8" t="str">
        <f aca="false">'2026 Forecast A'!C14</f>
        <v>BOWMANSTOWN BOROUGH</v>
      </c>
      <c r="D32" s="9" t="n">
        <f aca="false">'2026 Forecast A'!G14</f>
        <v>0.362433862433862</v>
      </c>
      <c r="E32" s="9" t="n">
        <f aca="false">'2026 Forecast B'!G14</f>
        <v>0.375661375661376</v>
      </c>
      <c r="F32" s="9" t="n">
        <f aca="false">'2026 Forecast C'!G14</f>
        <v>0.354666666666667</v>
      </c>
      <c r="G32" s="24" t="n">
        <f aca="false">(MAX(D32:F32)-MIN(D32:F32))*100</f>
        <v>2.0994708994709</v>
      </c>
      <c r="H32" s="24" t="n">
        <f aca="false">'2026 Forecast A'!J14</f>
        <v>3.25434931194355</v>
      </c>
      <c r="I32" s="24" t="n">
        <f aca="false">'2026 Forecast B'!J14</f>
        <v>3.09864730606258</v>
      </c>
      <c r="J32" s="24" t="n">
        <f aca="false">'2026 Forecast C'!J14</f>
        <v>3.7041269898902</v>
      </c>
      <c r="K32" s="25" t="n">
        <f aca="false">'2026 Forecast A'!F14</f>
        <v>378</v>
      </c>
      <c r="L32" s="26" t="str">
        <f aca="false">IF(OR(AND(D32&gt;0.5,E32&gt;0.5,F32&gt;0.5),AND(D32&lt;0.5,E32&lt;0.5,F32&lt;0.5)),"Yes","No — toss-up")</f>
        <v>Yes</v>
      </c>
    </row>
    <row r="33" customFormat="false" ht="15" hidden="false" customHeight="false" outlineLevel="0" collapsed="false">
      <c r="A33" s="8" t="str">
        <f aca="false">'2026 Forecast A'!A15</f>
        <v>Carbon</v>
      </c>
      <c r="B33" s="8" t="str">
        <f aca="false">'2026 Forecast A'!B15</f>
        <v>EAST PENN TOWNSHIP</v>
      </c>
      <c r="C33" s="8" t="str">
        <f aca="false">'2026 Forecast A'!C15</f>
        <v>EAST PENN TOWNSHIP-NORTH</v>
      </c>
      <c r="D33" s="9" t="n">
        <f aca="false">'2026 Forecast A'!G15</f>
        <v>0.29366106080207</v>
      </c>
      <c r="E33" s="9" t="n">
        <f aca="false">'2026 Forecast B'!G15</f>
        <v>0.300518134715026</v>
      </c>
      <c r="F33" s="9" t="n">
        <f aca="false">'2026 Forecast C'!G15</f>
        <v>0.283116883116883</v>
      </c>
      <c r="G33" s="24" t="n">
        <f aca="false">(MAX(D33:F33)-MIN(D33:F33))*100</f>
        <v>1.74012515981428</v>
      </c>
      <c r="H33" s="24" t="n">
        <f aca="false">'2026 Forecast A'!J15</f>
        <v>3.25434931194355</v>
      </c>
      <c r="I33" s="24" t="n">
        <f aca="false">'2026 Forecast B'!J15</f>
        <v>3.09864730606258</v>
      </c>
      <c r="J33" s="24" t="n">
        <f aca="false">'2026 Forecast C'!J15</f>
        <v>3.7041269898902</v>
      </c>
      <c r="K33" s="25" t="n">
        <f aca="false">'2026 Forecast A'!F15</f>
        <v>773</v>
      </c>
      <c r="L33" s="26" t="str">
        <f aca="false">IF(OR(AND(D33&gt;0.5,E33&gt;0.5,F33&gt;0.5),AND(D33&lt;0.5,E33&lt;0.5,F33&lt;0.5)),"Yes","No — toss-up")</f>
        <v>Yes</v>
      </c>
    </row>
    <row r="34" customFormat="false" ht="15" hidden="false" customHeight="false" outlineLevel="0" collapsed="false">
      <c r="A34" s="8" t="str">
        <f aca="false">'2026 Forecast A'!A16</f>
        <v>Carbon</v>
      </c>
      <c r="B34" s="8" t="str">
        <f aca="false">'2026 Forecast A'!B16</f>
        <v>EAST PENN TOWNSHIP</v>
      </c>
      <c r="C34" s="8" t="str">
        <f aca="false">'2026 Forecast A'!C16</f>
        <v>EAST PENN TOWNSHIP-SOUTH</v>
      </c>
      <c r="D34" s="9" t="n">
        <f aca="false">'2026 Forecast A'!G16</f>
        <v>0.322916666666667</v>
      </c>
      <c r="E34" s="9" t="n">
        <f aca="false">'2026 Forecast B'!G16</f>
        <v>0.322388059701493</v>
      </c>
      <c r="F34" s="9" t="n">
        <f aca="false">'2026 Forecast C'!G16</f>
        <v>0.313636363636364</v>
      </c>
      <c r="G34" s="24" t="n">
        <f aca="false">(MAX(D34:F34)-MIN(D34:F34))*100</f>
        <v>0.928030303030303</v>
      </c>
      <c r="H34" s="24" t="n">
        <f aca="false">'2026 Forecast A'!J16</f>
        <v>3.25434931194355</v>
      </c>
      <c r="I34" s="24" t="n">
        <f aca="false">'2026 Forecast B'!J16</f>
        <v>3.09864730606258</v>
      </c>
      <c r="J34" s="24" t="n">
        <f aca="false">'2026 Forecast C'!J16</f>
        <v>3.7041269898902</v>
      </c>
      <c r="K34" s="25" t="n">
        <f aca="false">'2026 Forecast A'!F16</f>
        <v>672</v>
      </c>
      <c r="L34" s="26" t="str">
        <f aca="false">IF(OR(AND(D34&gt;0.5,E34&gt;0.5,F34&gt;0.5),AND(D34&lt;0.5,E34&lt;0.5,F34&lt;0.5)),"Yes","No — toss-up")</f>
        <v>Yes</v>
      </c>
    </row>
    <row r="35" customFormat="false" ht="15" hidden="false" customHeight="false" outlineLevel="0" collapsed="false">
      <c r="A35" s="8" t="str">
        <f aca="false">'2026 Forecast A'!A17</f>
        <v>Carbon</v>
      </c>
      <c r="B35" s="8" t="str">
        <f aca="false">'2026 Forecast A'!B17</f>
        <v>EAST SIDE BOROUGH</v>
      </c>
      <c r="C35" s="8" t="str">
        <f aca="false">'2026 Forecast A'!C17</f>
        <v>EAST SIDE BOROUGH</v>
      </c>
      <c r="D35" s="9" t="n">
        <f aca="false">'2026 Forecast A'!G17</f>
        <v>0.383838383838384</v>
      </c>
      <c r="E35" s="9" t="n">
        <f aca="false">'2026 Forecast B'!G17</f>
        <v>0.39</v>
      </c>
      <c r="F35" s="9" t="n">
        <f aca="false">'2026 Forecast C'!G17</f>
        <v>0.38</v>
      </c>
      <c r="G35" s="24" t="n">
        <f aca="false">(MAX(D35:F35)-MIN(D35:F35))*100</f>
        <v>1</v>
      </c>
      <c r="H35" s="24" t="n">
        <f aca="false">'2026 Forecast A'!J17</f>
        <v>3.25434931194355</v>
      </c>
      <c r="I35" s="24" t="n">
        <f aca="false">'2026 Forecast B'!J17</f>
        <v>3.09864730606258</v>
      </c>
      <c r="J35" s="24" t="n">
        <f aca="false">'2026 Forecast C'!J17</f>
        <v>3.7041269898902</v>
      </c>
      <c r="K35" s="25" t="n">
        <f aca="false">'2026 Forecast A'!F17</f>
        <v>99</v>
      </c>
      <c r="L35" s="26" t="str">
        <f aca="false">IF(OR(AND(D35&gt;0.5,E35&gt;0.5,F35&gt;0.5),AND(D35&lt;0.5,E35&lt;0.5,F35&lt;0.5)),"Yes","No — toss-up")</f>
        <v>Yes</v>
      </c>
    </row>
    <row r="36" customFormat="false" ht="15" hidden="false" customHeight="false" outlineLevel="0" collapsed="false">
      <c r="A36" s="8" t="str">
        <f aca="false">'2026 Forecast A'!A18</f>
        <v>Carbon</v>
      </c>
      <c r="B36" s="8" t="str">
        <f aca="false">'2026 Forecast A'!B18</f>
        <v>FRANKLIN TOWNSHIP</v>
      </c>
      <c r="C36" s="8" t="str">
        <f aca="false">'2026 Forecast A'!C18</f>
        <v>FRANKLIN TOWNSHIP-HARRITY</v>
      </c>
      <c r="D36" s="9" t="n">
        <f aca="false">'2026 Forecast A'!G18</f>
        <v>0.325301204819277</v>
      </c>
      <c r="E36" s="9" t="n">
        <f aca="false">'2026 Forecast B'!G18</f>
        <v>0.325301204819277</v>
      </c>
      <c r="F36" s="9" t="n">
        <f aca="false">'2026 Forecast C'!G18</f>
        <v>0.316022099447514</v>
      </c>
      <c r="G36" s="24" t="n">
        <f aca="false">(MAX(D36:F36)-MIN(D36:F36))*100</f>
        <v>0.92791053717633</v>
      </c>
      <c r="H36" s="24" t="n">
        <f aca="false">'2026 Forecast A'!J18</f>
        <v>1.85532414445586</v>
      </c>
      <c r="I36" s="24" t="n">
        <f aca="false">'2026 Forecast B'!J18</f>
        <v>2.0110742867014</v>
      </c>
      <c r="J36" s="24" t="n">
        <f aca="false">'2026 Forecast C'!J18</f>
        <v>2.12060277043418</v>
      </c>
      <c r="K36" s="25" t="n">
        <f aca="false">'2026 Forecast A'!F18</f>
        <v>913</v>
      </c>
      <c r="L36" s="26" t="str">
        <f aca="false">IF(OR(AND(D36&gt;0.5,E36&gt;0.5,F36&gt;0.5),AND(D36&lt;0.5,E36&lt;0.5,F36&lt;0.5)),"Yes","No — toss-up")</f>
        <v>Yes</v>
      </c>
    </row>
    <row r="37" customFormat="false" ht="15" hidden="false" customHeight="false" outlineLevel="0" collapsed="false">
      <c r="A37" s="8" t="str">
        <f aca="false">'2026 Forecast A'!A19</f>
        <v>Carbon</v>
      </c>
      <c r="B37" s="8" t="str">
        <f aca="false">'2026 Forecast A'!B19</f>
        <v>FRANKLIN TOWNSHIP</v>
      </c>
      <c r="C37" s="8" t="str">
        <f aca="false">'2026 Forecast A'!C19</f>
        <v>FRANKLIN TOWNSHIP-IND DIST</v>
      </c>
      <c r="D37" s="9" t="n">
        <f aca="false">'2026 Forecast A'!G19</f>
        <v>0.315573770491803</v>
      </c>
      <c r="E37" s="9" t="n">
        <f aca="false">'2026 Forecast B'!G19</f>
        <v>0.322448979591837</v>
      </c>
      <c r="F37" s="9" t="n">
        <f aca="false">'2026 Forecast C'!G19</f>
        <v>0.305785123966942</v>
      </c>
      <c r="G37" s="24" t="n">
        <f aca="false">(MAX(D37:F37)-MIN(D37:F37))*100</f>
        <v>1.66638556248946</v>
      </c>
      <c r="H37" s="24" t="n">
        <f aca="false">'2026 Forecast A'!J19</f>
        <v>3.25434931194355</v>
      </c>
      <c r="I37" s="24" t="n">
        <f aca="false">'2026 Forecast B'!J19</f>
        <v>3.09864730606258</v>
      </c>
      <c r="J37" s="24" t="n">
        <f aca="false">'2026 Forecast C'!J19</f>
        <v>3.7041269898902</v>
      </c>
      <c r="K37" s="25" t="n">
        <f aca="false">'2026 Forecast A'!F19</f>
        <v>488</v>
      </c>
      <c r="L37" s="26" t="str">
        <f aca="false">IF(OR(AND(D37&gt;0.5,E37&gt;0.5,F37&gt;0.5),AND(D37&lt;0.5,E37&lt;0.5,F37&lt;0.5)),"Yes","No — toss-up")</f>
        <v>Yes</v>
      </c>
    </row>
    <row r="38" customFormat="false" ht="15" hidden="false" customHeight="false" outlineLevel="0" collapsed="false">
      <c r="A38" s="8" t="str">
        <f aca="false">'2026 Forecast A'!A20</f>
        <v>Carbon</v>
      </c>
      <c r="B38" s="8" t="str">
        <f aca="false">'2026 Forecast A'!B20</f>
        <v>FRANKLIN TOWNSHIP</v>
      </c>
      <c r="C38" s="8" t="str">
        <f aca="false">'2026 Forecast A'!C20</f>
        <v>FRANKLIN TOWNSHIP-LONG RUN</v>
      </c>
      <c r="D38" s="9" t="n">
        <f aca="false">'2026 Forecast A'!G20</f>
        <v>0.313617606602476</v>
      </c>
      <c r="E38" s="9" t="n">
        <f aca="false">'2026 Forecast B'!G20</f>
        <v>0.313617606602476</v>
      </c>
      <c r="F38" s="9" t="n">
        <f aca="false">'2026 Forecast C'!G20</f>
        <v>0.30374479889043</v>
      </c>
      <c r="G38" s="24" t="n">
        <f aca="false">(MAX(D38:F38)-MIN(D38:F38))*100</f>
        <v>0.987280771204602</v>
      </c>
      <c r="H38" s="24" t="n">
        <f aca="false">'2026 Forecast A'!J20</f>
        <v>3.25434931194355</v>
      </c>
      <c r="I38" s="24" t="n">
        <f aca="false">'2026 Forecast B'!J20</f>
        <v>3.09864730606258</v>
      </c>
      <c r="J38" s="24" t="n">
        <f aca="false">'2026 Forecast C'!J20</f>
        <v>3.7041269898902</v>
      </c>
      <c r="K38" s="25" t="n">
        <f aca="false">'2026 Forecast A'!F20</f>
        <v>727</v>
      </c>
      <c r="L38" s="26" t="str">
        <f aca="false">IF(OR(AND(D38&gt;0.5,E38&gt;0.5,F38&gt;0.5),AND(D38&lt;0.5,E38&lt;0.5,F38&lt;0.5)),"Yes","No — toss-up")</f>
        <v>Yes</v>
      </c>
    </row>
    <row r="39" customFormat="false" ht="15" hidden="false" customHeight="false" outlineLevel="0" collapsed="false">
      <c r="A39" s="8" t="str">
        <f aca="false">'2026 Forecast A'!A21</f>
        <v>Carbon</v>
      </c>
      <c r="B39" s="8" t="str">
        <f aca="false">'2026 Forecast A'!B21</f>
        <v>JIM THORPE BOROUGH</v>
      </c>
      <c r="C39" s="8" t="str">
        <f aca="false">'2026 Forecast A'!C21</f>
        <v>JIM THORPE BOROUGH-1ST</v>
      </c>
      <c r="D39" s="9" t="n">
        <f aca="false">'2026 Forecast A'!G21</f>
        <v>0.492537313432836</v>
      </c>
      <c r="E39" s="9" t="n">
        <f aca="false">'2026 Forecast B'!G21</f>
        <v>0.50321199143469</v>
      </c>
      <c r="F39" s="9" t="n">
        <f aca="false">'2026 Forecast C'!G21</f>
        <v>0.489224137931035</v>
      </c>
      <c r="G39" s="24" t="n">
        <f aca="false">(MAX(D39:F39)-MIN(D39:F39))*100</f>
        <v>1.39878535036551</v>
      </c>
      <c r="H39" s="24" t="n">
        <f aca="false">'2026 Forecast A'!J21</f>
        <v>3.25434931194355</v>
      </c>
      <c r="I39" s="24" t="n">
        <f aca="false">'2026 Forecast B'!J21</f>
        <v>3.09864730606258</v>
      </c>
      <c r="J39" s="24" t="n">
        <f aca="false">'2026 Forecast C'!J21</f>
        <v>3.7041269898902</v>
      </c>
      <c r="K39" s="25" t="n">
        <f aca="false">'2026 Forecast A'!F21</f>
        <v>469</v>
      </c>
      <c r="L39" s="26" t="str">
        <f aca="false">IF(OR(AND(D39&gt;0.5,E39&gt;0.5,F39&gt;0.5),AND(D39&lt;0.5,E39&lt;0.5,F39&lt;0.5)),"Yes","No — toss-up")</f>
        <v>No — toss-up</v>
      </c>
    </row>
    <row r="40" customFormat="false" ht="15" hidden="false" customHeight="false" outlineLevel="0" collapsed="false">
      <c r="A40" s="8" t="str">
        <f aca="false">'2026 Forecast A'!A22</f>
        <v>Carbon</v>
      </c>
      <c r="B40" s="8" t="str">
        <f aca="false">'2026 Forecast A'!B22</f>
        <v>JIM THORPE BOROUGH</v>
      </c>
      <c r="C40" s="8" t="str">
        <f aca="false">'2026 Forecast A'!C22</f>
        <v>JIM THORPE BOROUGH-2ND</v>
      </c>
      <c r="D40" s="9" t="n">
        <f aca="false">'2026 Forecast A'!G22</f>
        <v>0.474842767295598</v>
      </c>
      <c r="E40" s="9" t="n">
        <f aca="false">'2026 Forecast B'!G22</f>
        <v>0.495268138801262</v>
      </c>
      <c r="F40" s="9" t="n">
        <f aca="false">'2026 Forecast C'!G22</f>
        <v>0.472843450479233</v>
      </c>
      <c r="G40" s="24" t="n">
        <f aca="false">(MAX(D40:F40)-MIN(D40:F40))*100</f>
        <v>2.24246883220286</v>
      </c>
      <c r="H40" s="24" t="n">
        <f aca="false">'2026 Forecast A'!J22</f>
        <v>3.25434931194355</v>
      </c>
      <c r="I40" s="24" t="n">
        <f aca="false">'2026 Forecast B'!J22</f>
        <v>3.09864730606258</v>
      </c>
      <c r="J40" s="24" t="n">
        <f aca="false">'2026 Forecast C'!J22</f>
        <v>3.7041269898902</v>
      </c>
      <c r="K40" s="25" t="n">
        <f aca="false">'2026 Forecast A'!F22</f>
        <v>318</v>
      </c>
      <c r="L40" s="26" t="str">
        <f aca="false">IF(OR(AND(D40&gt;0.5,E40&gt;0.5,F40&gt;0.5),AND(D40&lt;0.5,E40&lt;0.5,F40&lt;0.5)),"Yes","No — toss-up")</f>
        <v>Yes</v>
      </c>
    </row>
    <row r="41" customFormat="false" ht="15" hidden="false" customHeight="false" outlineLevel="0" collapsed="false">
      <c r="A41" s="8" t="str">
        <f aca="false">'2026 Forecast A'!A23</f>
        <v>Carbon</v>
      </c>
      <c r="B41" s="8" t="str">
        <f aca="false">'2026 Forecast A'!B23</f>
        <v>JIM THORPE BOROUGH</v>
      </c>
      <c r="C41" s="8" t="str">
        <f aca="false">'2026 Forecast A'!C23</f>
        <v>JIM THORPE BOROUGH-3RD</v>
      </c>
      <c r="D41" s="9" t="n">
        <f aca="false">'2026 Forecast A'!G23</f>
        <v>0.428779069767442</v>
      </c>
      <c r="E41" s="9" t="n">
        <f aca="false">'2026 Forecast B'!G23</f>
        <v>0.433770014556041</v>
      </c>
      <c r="F41" s="9" t="n">
        <f aca="false">'2026 Forecast C'!G23</f>
        <v>0.424597364568082</v>
      </c>
      <c r="G41" s="24" t="n">
        <f aca="false">(MAX(D41:F41)-MIN(D41:F41))*100</f>
        <v>0.917264998795875</v>
      </c>
      <c r="H41" s="24" t="n">
        <f aca="false">'2026 Forecast A'!J23</f>
        <v>3.25434931194355</v>
      </c>
      <c r="I41" s="24" t="n">
        <f aca="false">'2026 Forecast B'!J23</f>
        <v>3.09864730606258</v>
      </c>
      <c r="J41" s="24" t="n">
        <f aca="false">'2026 Forecast C'!J23</f>
        <v>3.7041269898902</v>
      </c>
      <c r="K41" s="25" t="n">
        <f aca="false">'2026 Forecast A'!F23</f>
        <v>688</v>
      </c>
      <c r="L41" s="26" t="str">
        <f aca="false">IF(OR(AND(D41&gt;0.5,E41&gt;0.5,F41&gt;0.5),AND(D41&lt;0.5,E41&lt;0.5,F41&lt;0.5)),"Yes","No — toss-up")</f>
        <v>Yes</v>
      </c>
    </row>
    <row r="42" customFormat="false" ht="15" hidden="false" customHeight="false" outlineLevel="0" collapsed="false">
      <c r="A42" s="8" t="str">
        <f aca="false">'2026 Forecast A'!A24</f>
        <v>Carbon</v>
      </c>
      <c r="B42" s="8" t="str">
        <f aca="false">'2026 Forecast A'!B24</f>
        <v>JIM THORPE BOROUGH</v>
      </c>
      <c r="C42" s="8" t="str">
        <f aca="false">'2026 Forecast A'!C24</f>
        <v>JIM THORPE BOROUGH-4TH</v>
      </c>
      <c r="D42" s="9" t="n">
        <f aca="false">'2026 Forecast A'!G24</f>
        <v>0.553435114503817</v>
      </c>
      <c r="E42" s="9" t="n">
        <f aca="false">'2026 Forecast B'!G24</f>
        <v>0.553435114503817</v>
      </c>
      <c r="F42" s="9" t="n">
        <f aca="false">'2026 Forecast C'!G24</f>
        <v>0.554263565891473</v>
      </c>
      <c r="G42" s="24" t="n">
        <f aca="false">(MAX(D42:F42)-MIN(D42:F42))*100</f>
        <v>0.0828451387656082</v>
      </c>
      <c r="H42" s="24" t="n">
        <f aca="false">'2026 Forecast A'!J24</f>
        <v>3.25434931194355</v>
      </c>
      <c r="I42" s="24" t="n">
        <f aca="false">'2026 Forecast B'!J24</f>
        <v>3.09864730606258</v>
      </c>
      <c r="J42" s="24" t="n">
        <f aca="false">'2026 Forecast C'!J24</f>
        <v>3.7041269898902</v>
      </c>
      <c r="K42" s="25" t="n">
        <f aca="false">'2026 Forecast A'!F24</f>
        <v>262</v>
      </c>
      <c r="L42" s="26" t="str">
        <f aca="false">IF(OR(AND(D42&gt;0.5,E42&gt;0.5,F42&gt;0.5),AND(D42&lt;0.5,E42&lt;0.5,F42&lt;0.5)),"Yes","No — toss-up")</f>
        <v>Yes</v>
      </c>
    </row>
    <row r="43" customFormat="false" ht="15" hidden="false" customHeight="false" outlineLevel="0" collapsed="false">
      <c r="A43" s="8" t="str">
        <f aca="false">'2026 Forecast A'!A25</f>
        <v>Carbon</v>
      </c>
      <c r="B43" s="8" t="str">
        <f aca="false">'2026 Forecast A'!B25</f>
        <v>JIM THORPE BOROUGH</v>
      </c>
      <c r="C43" s="8" t="str">
        <f aca="false">'2026 Forecast A'!C25</f>
        <v>JIM THORPE BOROUGH-5TH</v>
      </c>
      <c r="D43" s="9" t="n">
        <f aca="false">'2026 Forecast A'!G25</f>
        <v>0.497316636851521</v>
      </c>
      <c r="E43" s="9" t="n">
        <f aca="false">'2026 Forecast B'!G25</f>
        <v>0.502683363148479</v>
      </c>
      <c r="F43" s="9" t="n">
        <f aca="false">'2026 Forecast C'!G25</f>
        <v>0.496389891696751</v>
      </c>
      <c r="G43" s="24" t="n">
        <f aca="false">(MAX(D43:F43)-MIN(D43:F43))*100</f>
        <v>0.629347145172848</v>
      </c>
      <c r="H43" s="24" t="n">
        <f aca="false">'2026 Forecast A'!J25</f>
        <v>3.25434931194355</v>
      </c>
      <c r="I43" s="24" t="n">
        <f aca="false">'2026 Forecast B'!J25</f>
        <v>3.09864730606258</v>
      </c>
      <c r="J43" s="24" t="n">
        <f aca="false">'2026 Forecast C'!J25</f>
        <v>3.7041269898902</v>
      </c>
      <c r="K43" s="25" t="n">
        <f aca="false">'2026 Forecast A'!F25</f>
        <v>559</v>
      </c>
      <c r="L43" s="26" t="str">
        <f aca="false">IF(OR(AND(D43&gt;0.5,E43&gt;0.5,F43&gt;0.5),AND(D43&lt;0.5,E43&lt;0.5,F43&lt;0.5)),"Yes","No — toss-up")</f>
        <v>No — toss-up</v>
      </c>
    </row>
    <row r="44" customFormat="false" ht="15" hidden="false" customHeight="false" outlineLevel="0" collapsed="false">
      <c r="A44" s="8" t="str">
        <f aca="false">'2026 Forecast A'!A26</f>
        <v>Carbon</v>
      </c>
      <c r="B44" s="8" t="str">
        <f aca="false">'2026 Forecast A'!B26</f>
        <v>KIDDER TOWNSHIP</v>
      </c>
      <c r="C44" s="8" t="str">
        <f aca="false">'2026 Forecast A'!C26</f>
        <v>KIDDER TOWNSHIP-NORTH</v>
      </c>
      <c r="D44" s="9" t="n">
        <f aca="false">'2026 Forecast A'!G26</f>
        <v>0.397163120567376</v>
      </c>
      <c r="E44" s="9" t="n">
        <f aca="false">'2026 Forecast B'!G26</f>
        <v>0.397163120567376</v>
      </c>
      <c r="F44" s="9" t="n">
        <f aca="false">'2026 Forecast C'!G26</f>
        <v>0.392226148409894</v>
      </c>
      <c r="G44" s="24" t="n">
        <f aca="false">(MAX(D44:F44)-MIN(D44:F44))*100</f>
        <v>0.49369721574819</v>
      </c>
      <c r="H44" s="24" t="n">
        <f aca="false">'2026 Forecast A'!J26</f>
        <v>3.25434931194355</v>
      </c>
      <c r="I44" s="24" t="n">
        <f aca="false">'2026 Forecast B'!J26</f>
        <v>3.09864730606258</v>
      </c>
      <c r="J44" s="24" t="n">
        <f aca="false">'2026 Forecast C'!J26</f>
        <v>3.7041269898902</v>
      </c>
      <c r="K44" s="25" t="n">
        <f aca="false">'2026 Forecast A'!F26</f>
        <v>282</v>
      </c>
      <c r="L44" s="26" t="str">
        <f aca="false">IF(OR(AND(D44&gt;0.5,E44&gt;0.5,F44&gt;0.5),AND(D44&lt;0.5,E44&lt;0.5,F44&lt;0.5)),"Yes","No — toss-up")</f>
        <v>Yes</v>
      </c>
    </row>
    <row r="45" customFormat="false" ht="15" hidden="false" customHeight="false" outlineLevel="0" collapsed="false">
      <c r="A45" s="8" t="str">
        <f aca="false">'2026 Forecast A'!A27</f>
        <v>Carbon</v>
      </c>
      <c r="B45" s="8" t="str">
        <f aca="false">'2026 Forecast A'!B27</f>
        <v>KIDDER TOWNSHIP</v>
      </c>
      <c r="C45" s="8" t="str">
        <f aca="false">'2026 Forecast A'!C27</f>
        <v>KIDDER TOWNSHIP-SOUTH</v>
      </c>
      <c r="D45" s="9" t="n">
        <f aca="false">'2026 Forecast A'!G27</f>
        <v>0.364686468646865</v>
      </c>
      <c r="E45" s="9" t="n">
        <f aca="false">'2026 Forecast B'!G27</f>
        <v>0.367213114754098</v>
      </c>
      <c r="F45" s="9" t="n">
        <f aca="false">'2026 Forecast C'!G27</f>
        <v>0.358085808580858</v>
      </c>
      <c r="G45" s="24" t="n">
        <f aca="false">(MAX(D45:F45)-MIN(D45:F45))*100</f>
        <v>0.912730617324026</v>
      </c>
      <c r="H45" s="24" t="n">
        <f aca="false">'2026 Forecast A'!J27</f>
        <v>3.25434931194355</v>
      </c>
      <c r="I45" s="24" t="n">
        <f aca="false">'2026 Forecast B'!J27</f>
        <v>3.09864730606258</v>
      </c>
      <c r="J45" s="24" t="n">
        <f aca="false">'2026 Forecast C'!J27</f>
        <v>3.7041269898902</v>
      </c>
      <c r="K45" s="25" t="n">
        <f aca="false">'2026 Forecast A'!F27</f>
        <v>606</v>
      </c>
      <c r="L45" s="26" t="str">
        <f aca="false">IF(OR(AND(D45&gt;0.5,E45&gt;0.5,F45&gt;0.5),AND(D45&lt;0.5,E45&lt;0.5,F45&lt;0.5)),"Yes","No — toss-up")</f>
        <v>Yes</v>
      </c>
    </row>
    <row r="46" customFormat="false" ht="15" hidden="false" customHeight="false" outlineLevel="0" collapsed="false">
      <c r="A46" s="8" t="str">
        <f aca="false">'2026 Forecast A'!A28</f>
        <v>Carbon</v>
      </c>
      <c r="B46" s="8" t="str">
        <f aca="false">'2026 Forecast A'!B28</f>
        <v>LANSFORD BOROUGH</v>
      </c>
      <c r="C46" s="8" t="str">
        <f aca="false">'2026 Forecast A'!C28</f>
        <v>LANSFORD BOROUGH - EAST WARD</v>
      </c>
      <c r="D46" s="9" t="n">
        <f aca="false">'2026 Forecast A'!G28</f>
        <v>0.445269016697588</v>
      </c>
      <c r="E46" s="9" t="n">
        <f aca="false">'2026 Forecast B'!G28</f>
        <v>0.451492537313433</v>
      </c>
      <c r="F46" s="9" t="n">
        <f aca="false">'2026 Forecast C'!G28</f>
        <v>0.439338235294118</v>
      </c>
      <c r="G46" s="24" t="n">
        <f aca="false">(MAX(D46:F46)-MIN(D46:F46))*100</f>
        <v>1.21543020193152</v>
      </c>
      <c r="H46" s="24" t="n">
        <f aca="false">'2026 Forecast A'!J28</f>
        <v>3.25434931194355</v>
      </c>
      <c r="I46" s="24" t="n">
        <f aca="false">'2026 Forecast B'!J28</f>
        <v>3.09864730606258</v>
      </c>
      <c r="J46" s="24" t="n">
        <f aca="false">'2026 Forecast C'!J28</f>
        <v>3.7041269898902</v>
      </c>
      <c r="K46" s="25" t="n">
        <f aca="false">'2026 Forecast A'!F28</f>
        <v>539</v>
      </c>
      <c r="L46" s="26" t="str">
        <f aca="false">IF(OR(AND(D46&gt;0.5,E46&gt;0.5,F46&gt;0.5),AND(D46&lt;0.5,E46&lt;0.5,F46&lt;0.5)),"Yes","No — toss-up")</f>
        <v>Yes</v>
      </c>
    </row>
    <row r="47" customFormat="false" ht="15" hidden="false" customHeight="false" outlineLevel="0" collapsed="false">
      <c r="A47" s="8" t="str">
        <f aca="false">'2026 Forecast A'!A29</f>
        <v>Carbon</v>
      </c>
      <c r="B47" s="8" t="str">
        <f aca="false">'2026 Forecast A'!B29</f>
        <v>LANSFORD BOROUGH</v>
      </c>
      <c r="C47" s="8" t="str">
        <f aca="false">'2026 Forecast A'!C29</f>
        <v>LANSFORD BOROUGH-MIDDLE WARD</v>
      </c>
      <c r="D47" s="9" t="n">
        <f aca="false">'2026 Forecast A'!G29</f>
        <v>0.440514469453376</v>
      </c>
      <c r="E47" s="9" t="n">
        <f aca="false">'2026 Forecast B'!G29</f>
        <v>0.449838187702265</v>
      </c>
      <c r="F47" s="9" t="n">
        <f aca="false">'2026 Forecast C'!G29</f>
        <v>0.433544303797468</v>
      </c>
      <c r="G47" s="24" t="n">
        <f aca="false">(MAX(D47:F47)-MIN(D47:F47))*100</f>
        <v>1.6293883904797</v>
      </c>
      <c r="H47" s="24" t="n">
        <f aca="false">'2026 Forecast A'!J29</f>
        <v>3.25434931194355</v>
      </c>
      <c r="I47" s="24" t="n">
        <f aca="false">'2026 Forecast B'!J29</f>
        <v>3.09864730606258</v>
      </c>
      <c r="J47" s="24" t="n">
        <f aca="false">'2026 Forecast C'!J29</f>
        <v>3.7041269898902</v>
      </c>
      <c r="K47" s="25" t="n">
        <f aca="false">'2026 Forecast A'!F29</f>
        <v>311</v>
      </c>
      <c r="L47" s="26" t="str">
        <f aca="false">IF(OR(AND(D47&gt;0.5,E47&gt;0.5,F47&gt;0.5),AND(D47&lt;0.5,E47&lt;0.5,F47&lt;0.5)),"Yes","No — toss-up")</f>
        <v>Yes</v>
      </c>
    </row>
    <row r="48" customFormat="false" ht="15" hidden="false" customHeight="false" outlineLevel="0" collapsed="false">
      <c r="A48" s="8" t="str">
        <f aca="false">'2026 Forecast A'!A30</f>
        <v>Carbon</v>
      </c>
      <c r="B48" s="8" t="str">
        <f aca="false">'2026 Forecast A'!B30</f>
        <v>LANSFORD BOROUGH</v>
      </c>
      <c r="C48" s="8" t="str">
        <f aca="false">'2026 Forecast A'!C30</f>
        <v>LANSFORD BOROUGH-WEST WARD</v>
      </c>
      <c r="D48" s="9" t="n">
        <f aca="false">'2026 Forecast A'!G30</f>
        <v>0.460966542750929</v>
      </c>
      <c r="E48" s="9" t="n">
        <f aca="false">'2026 Forecast B'!G30</f>
        <v>0.479553903345725</v>
      </c>
      <c r="F48" s="9" t="n">
        <f aca="false">'2026 Forecast C'!G30</f>
        <v>0.455882352941176</v>
      </c>
      <c r="G48" s="24" t="n">
        <f aca="false">(MAX(D48:F48)-MIN(D48:F48))*100</f>
        <v>2.36715504045484</v>
      </c>
      <c r="H48" s="24" t="n">
        <f aca="false">'2026 Forecast A'!J30</f>
        <v>3.25434931194355</v>
      </c>
      <c r="I48" s="24" t="n">
        <f aca="false">'2026 Forecast B'!J30</f>
        <v>3.09864730606258</v>
      </c>
      <c r="J48" s="24" t="n">
        <f aca="false">'2026 Forecast C'!J30</f>
        <v>3.7041269898902</v>
      </c>
      <c r="K48" s="25" t="n">
        <f aca="false">'2026 Forecast A'!F30</f>
        <v>269</v>
      </c>
      <c r="L48" s="26" t="str">
        <f aca="false">IF(OR(AND(D48&gt;0.5,E48&gt;0.5,F48&gt;0.5),AND(D48&lt;0.5,E48&lt;0.5,F48&lt;0.5)),"Yes","No — toss-up")</f>
        <v>Yes</v>
      </c>
    </row>
    <row r="49" customFormat="false" ht="15" hidden="false" customHeight="false" outlineLevel="0" collapsed="false">
      <c r="A49" s="8" t="str">
        <f aca="false">'2026 Forecast A'!A31</f>
        <v>Carbon</v>
      </c>
      <c r="B49" s="8" t="str">
        <f aca="false">'2026 Forecast A'!B31</f>
        <v>LAUSANNE TOWNSHIP</v>
      </c>
      <c r="C49" s="8" t="str">
        <f aca="false">'2026 Forecast A'!C31</f>
        <v>LAUSANNE TOWNSHIP</v>
      </c>
      <c r="D49" s="9" t="n">
        <f aca="false">'2026 Forecast A'!G31</f>
        <v>0.30952380952381</v>
      </c>
      <c r="E49" s="9" t="n">
        <f aca="false">'2026 Forecast B'!G31</f>
        <v>0.30952380952381</v>
      </c>
      <c r="F49" s="9" t="n">
        <f aca="false">'2026 Forecast C'!G31</f>
        <v>0.304</v>
      </c>
      <c r="G49" s="24" t="n">
        <f aca="false">(MAX(D49:F49)-MIN(D49:F49))*100</f>
        <v>0.552380952380954</v>
      </c>
      <c r="H49" s="24" t="n">
        <f aca="false">'2026 Forecast A'!J31</f>
        <v>3.25434931194355</v>
      </c>
      <c r="I49" s="24" t="n">
        <f aca="false">'2026 Forecast B'!J31</f>
        <v>3.09864730606258</v>
      </c>
      <c r="J49" s="24" t="n">
        <f aca="false">'2026 Forecast C'!J31</f>
        <v>3.7041269898902</v>
      </c>
      <c r="K49" s="25" t="n">
        <f aca="false">'2026 Forecast A'!F31</f>
        <v>126</v>
      </c>
      <c r="L49" s="26" t="str">
        <f aca="false">IF(OR(AND(D49&gt;0.5,E49&gt;0.5,F49&gt;0.5),AND(D49&lt;0.5,E49&lt;0.5,F49&lt;0.5)),"Yes","No — toss-up")</f>
        <v>Yes</v>
      </c>
    </row>
    <row r="50" customFormat="false" ht="15" hidden="false" customHeight="false" outlineLevel="0" collapsed="false">
      <c r="A50" s="8" t="str">
        <f aca="false">'2026 Forecast A'!A32</f>
        <v>Carbon</v>
      </c>
      <c r="B50" s="8" t="str">
        <f aca="false">'2026 Forecast A'!B32</f>
        <v>LEHIGH TOWNSHIP</v>
      </c>
      <c r="C50" s="8" t="str">
        <f aca="false">'2026 Forecast A'!C32</f>
        <v>LEHIGH TOWNSHIP</v>
      </c>
      <c r="D50" s="9" t="n">
        <f aca="false">'2026 Forecast A'!G32</f>
        <v>0.251908396946565</v>
      </c>
      <c r="E50" s="9" t="n">
        <f aca="false">'2026 Forecast B'!G32</f>
        <v>0.258555133079848</v>
      </c>
      <c r="F50" s="9" t="n">
        <f aca="false">'2026 Forecast C'!G32</f>
        <v>0.239382239382239</v>
      </c>
      <c r="G50" s="24" t="n">
        <f aca="false">(MAX(D50:F50)-MIN(D50:F50))*100</f>
        <v>1.91728936976085</v>
      </c>
      <c r="H50" s="24" t="n">
        <f aca="false">'2026 Forecast A'!J32</f>
        <v>3.25434931194355</v>
      </c>
      <c r="I50" s="24" t="n">
        <f aca="false">'2026 Forecast B'!J32</f>
        <v>3.09864730606258</v>
      </c>
      <c r="J50" s="24" t="n">
        <f aca="false">'2026 Forecast C'!J32</f>
        <v>3.7041269898902</v>
      </c>
      <c r="K50" s="25" t="n">
        <f aca="false">'2026 Forecast A'!F32</f>
        <v>262</v>
      </c>
      <c r="L50" s="26" t="str">
        <f aca="false">IF(OR(AND(D50&gt;0.5,E50&gt;0.5,F50&gt;0.5),AND(D50&lt;0.5,E50&lt;0.5,F50&lt;0.5)),"Yes","No — toss-up")</f>
        <v>Yes</v>
      </c>
    </row>
    <row r="51" customFormat="false" ht="15" hidden="false" customHeight="false" outlineLevel="0" collapsed="false">
      <c r="A51" s="8" t="str">
        <f aca="false">'2026 Forecast A'!A33</f>
        <v>Carbon</v>
      </c>
      <c r="B51" s="8" t="str">
        <f aca="false">'2026 Forecast A'!B33</f>
        <v>LEHIGHTON BOROUGH</v>
      </c>
      <c r="C51" s="8" t="str">
        <f aca="false">'2026 Forecast A'!C33</f>
        <v>LEHIGHTON BOROUGH-1ST</v>
      </c>
      <c r="D51" s="9" t="n">
        <f aca="false">'2026 Forecast A'!G33</f>
        <v>0.436420722135008</v>
      </c>
      <c r="E51" s="9" t="n">
        <f aca="false">'2026 Forecast B'!G33</f>
        <v>0.43730407523511</v>
      </c>
      <c r="F51" s="9" t="n">
        <f aca="false">'2026 Forecast C'!G33</f>
        <v>0.430379746835443</v>
      </c>
      <c r="G51" s="24" t="n">
        <f aca="false">(MAX(D51:F51)-MIN(D51:F51))*100</f>
        <v>0.692432839966667</v>
      </c>
      <c r="H51" s="24" t="n">
        <f aca="false">'2026 Forecast A'!J33</f>
        <v>3.25434931194355</v>
      </c>
      <c r="I51" s="24" t="n">
        <f aca="false">'2026 Forecast B'!J33</f>
        <v>3.09864730606258</v>
      </c>
      <c r="J51" s="24" t="n">
        <f aca="false">'2026 Forecast C'!J33</f>
        <v>3.7041269898902</v>
      </c>
      <c r="K51" s="25" t="n">
        <f aca="false">'2026 Forecast A'!F33</f>
        <v>637</v>
      </c>
      <c r="L51" s="26" t="str">
        <f aca="false">IF(OR(AND(D51&gt;0.5,E51&gt;0.5,F51&gt;0.5),AND(D51&lt;0.5,E51&lt;0.5,F51&lt;0.5)),"Yes","No — toss-up")</f>
        <v>Yes</v>
      </c>
    </row>
    <row r="52" customFormat="false" ht="15" hidden="false" customHeight="false" outlineLevel="0" collapsed="false">
      <c r="A52" s="8" t="str">
        <f aca="false">'2026 Forecast A'!A34</f>
        <v>Carbon</v>
      </c>
      <c r="B52" s="8" t="str">
        <f aca="false">'2026 Forecast A'!B34</f>
        <v>LEHIGHTON BOROUGH</v>
      </c>
      <c r="C52" s="8" t="str">
        <f aca="false">'2026 Forecast A'!C34</f>
        <v>LEHIGHTON BOROUGH-2ND</v>
      </c>
      <c r="D52" s="9" t="n">
        <f aca="false">'2026 Forecast A'!G34</f>
        <v>0.425210084033613</v>
      </c>
      <c r="E52" s="9" t="n">
        <f aca="false">'2026 Forecast B'!G34</f>
        <v>0.426890756302521</v>
      </c>
      <c r="F52" s="9" t="n">
        <f aca="false">'2026 Forecast C'!G34</f>
        <v>0.422818791946309</v>
      </c>
      <c r="G52" s="24" t="n">
        <f aca="false">(MAX(D52:F52)-MIN(D52:F52))*100</f>
        <v>0.407196435621227</v>
      </c>
      <c r="H52" s="24" t="n">
        <f aca="false">'2026 Forecast A'!J34</f>
        <v>3.25434931194355</v>
      </c>
      <c r="I52" s="24" t="n">
        <f aca="false">'2026 Forecast B'!J34</f>
        <v>3.09864730606258</v>
      </c>
      <c r="J52" s="24" t="n">
        <f aca="false">'2026 Forecast C'!J34</f>
        <v>3.7041269898902</v>
      </c>
      <c r="K52" s="25" t="n">
        <f aca="false">'2026 Forecast A'!F34</f>
        <v>595</v>
      </c>
      <c r="L52" s="26" t="str">
        <f aca="false">IF(OR(AND(D52&gt;0.5,E52&gt;0.5,F52&gt;0.5),AND(D52&lt;0.5,E52&lt;0.5,F52&lt;0.5)),"Yes","No — toss-up")</f>
        <v>Yes</v>
      </c>
    </row>
    <row r="53" customFormat="false" ht="15" hidden="false" customHeight="false" outlineLevel="0" collapsed="false">
      <c r="A53" s="8" t="str">
        <f aca="false">'2026 Forecast A'!A35</f>
        <v>Carbon</v>
      </c>
      <c r="B53" s="8" t="str">
        <f aca="false">'2026 Forecast A'!B35</f>
        <v>LEHIGHTON BOROUGH</v>
      </c>
      <c r="C53" s="8" t="str">
        <f aca="false">'2026 Forecast A'!C35</f>
        <v>LEHIGHTON BOROUGH-3RD</v>
      </c>
      <c r="D53" s="9" t="n">
        <f aca="false">'2026 Forecast A'!G35</f>
        <v>0.425981873111783</v>
      </c>
      <c r="E53" s="9" t="n">
        <f aca="false">'2026 Forecast B'!G35</f>
        <v>0.428571428571429</v>
      </c>
      <c r="F53" s="9" t="n">
        <f aca="false">'2026 Forecast C'!G35</f>
        <v>0.423017107309487</v>
      </c>
      <c r="G53" s="24" t="n">
        <f aca="false">(MAX(D53:F53)-MIN(D53:F53))*100</f>
        <v>0.555432126194178</v>
      </c>
      <c r="H53" s="24" t="n">
        <f aca="false">'2026 Forecast A'!J35</f>
        <v>3.25434931194355</v>
      </c>
      <c r="I53" s="24" t="n">
        <f aca="false">'2026 Forecast B'!J35</f>
        <v>3.09864730606258</v>
      </c>
      <c r="J53" s="24" t="n">
        <f aca="false">'2026 Forecast C'!J35</f>
        <v>3.7041269898902</v>
      </c>
      <c r="K53" s="25" t="n">
        <f aca="false">'2026 Forecast A'!F35</f>
        <v>662</v>
      </c>
      <c r="L53" s="26" t="str">
        <f aca="false">IF(OR(AND(D53&gt;0.5,E53&gt;0.5,F53&gt;0.5),AND(D53&lt;0.5,E53&lt;0.5,F53&lt;0.5)),"Yes","No — toss-up")</f>
        <v>Yes</v>
      </c>
    </row>
    <row r="54" customFormat="false" ht="15" hidden="false" customHeight="false" outlineLevel="0" collapsed="false">
      <c r="A54" s="8" t="str">
        <f aca="false">'2026 Forecast A'!A36</f>
        <v>Carbon</v>
      </c>
      <c r="B54" s="8" t="str">
        <f aca="false">'2026 Forecast A'!B36</f>
        <v>LOWER TOWAMENSING TOWNSHIP</v>
      </c>
      <c r="C54" s="8" t="str">
        <f aca="false">'2026 Forecast A'!C36</f>
        <v>LOWER TOWAMENSING TWP.-NORTH</v>
      </c>
      <c r="D54" s="9" t="n">
        <f aca="false">'2026 Forecast A'!G36</f>
        <v>0.329931972789116</v>
      </c>
      <c r="E54" s="9" t="n">
        <f aca="false">'2026 Forecast B'!G36</f>
        <v>0.335981838819523</v>
      </c>
      <c r="F54" s="9" t="n">
        <f aca="false">'2026 Forecast C'!G36</f>
        <v>0.320454545454545</v>
      </c>
      <c r="G54" s="24" t="n">
        <f aca="false">(MAX(D54:F54)-MIN(D54:F54))*100</f>
        <v>1.55272933649778</v>
      </c>
      <c r="H54" s="24" t="n">
        <f aca="false">'2026 Forecast A'!J36</f>
        <v>1.85532414445586</v>
      </c>
      <c r="I54" s="24" t="n">
        <f aca="false">'2026 Forecast B'!J36</f>
        <v>2.0110742867014</v>
      </c>
      <c r="J54" s="24" t="n">
        <f aca="false">'2026 Forecast C'!J36</f>
        <v>2.12060277043418</v>
      </c>
      <c r="K54" s="25" t="n">
        <f aca="false">'2026 Forecast A'!F36</f>
        <v>882</v>
      </c>
      <c r="L54" s="26" t="str">
        <f aca="false">IF(OR(AND(D54&gt;0.5,E54&gt;0.5,F54&gt;0.5),AND(D54&lt;0.5,E54&lt;0.5,F54&lt;0.5)),"Yes","No — toss-up")</f>
        <v>Yes</v>
      </c>
    </row>
    <row r="55" customFormat="false" ht="15" hidden="false" customHeight="false" outlineLevel="0" collapsed="false">
      <c r="A55" s="8" t="str">
        <f aca="false">'2026 Forecast A'!A37</f>
        <v>Carbon</v>
      </c>
      <c r="B55" s="8" t="str">
        <f aca="false">'2026 Forecast A'!B37</f>
        <v>LOWER TOWAMENSING TOWNSHIP</v>
      </c>
      <c r="C55" s="8" t="str">
        <f aca="false">'2026 Forecast A'!C37</f>
        <v>LOWER TOWAMENSING TWP.-SOUTH</v>
      </c>
      <c r="D55" s="9" t="n">
        <f aca="false">'2026 Forecast A'!G37</f>
        <v>0.343042071197411</v>
      </c>
      <c r="E55" s="9" t="n">
        <f aca="false">'2026 Forecast B'!G37</f>
        <v>0.344103392568659</v>
      </c>
      <c r="F55" s="9" t="n">
        <f aca="false">'2026 Forecast C'!G37</f>
        <v>0.335515548281506</v>
      </c>
      <c r="G55" s="24" t="n">
        <f aca="false">(MAX(D55:F55)-MIN(D55:F55))*100</f>
        <v>0.858784428715342</v>
      </c>
      <c r="H55" s="24" t="n">
        <f aca="false">'2026 Forecast A'!J37</f>
        <v>3.25434931194355</v>
      </c>
      <c r="I55" s="24" t="n">
        <f aca="false">'2026 Forecast B'!J37</f>
        <v>3.09864730606258</v>
      </c>
      <c r="J55" s="24" t="n">
        <f aca="false">'2026 Forecast C'!J37</f>
        <v>3.7041269898902</v>
      </c>
      <c r="K55" s="25" t="n">
        <f aca="false">'2026 Forecast A'!F37</f>
        <v>618</v>
      </c>
      <c r="L55" s="26" t="str">
        <f aca="false">IF(OR(AND(D55&gt;0.5,E55&gt;0.5,F55&gt;0.5),AND(D55&lt;0.5,E55&lt;0.5,F55&lt;0.5)),"Yes","No — toss-up")</f>
        <v>Yes</v>
      </c>
    </row>
    <row r="56" customFormat="false" ht="15" hidden="false" customHeight="false" outlineLevel="0" collapsed="false">
      <c r="A56" s="8" t="str">
        <f aca="false">'2026 Forecast A'!A38</f>
        <v>Carbon</v>
      </c>
      <c r="B56" s="8" t="str">
        <f aca="false">'2026 Forecast A'!B38</f>
        <v>MAHONING TOWNSHIP</v>
      </c>
      <c r="C56" s="8" t="str">
        <f aca="false">'2026 Forecast A'!C38</f>
        <v>MAHONING TOWNSHIP - NEW MAHONING</v>
      </c>
      <c r="D56" s="9" t="n">
        <f aca="false">'2026 Forecast A'!G38</f>
        <v>0.29247311827957</v>
      </c>
      <c r="E56" s="9" t="n">
        <f aca="false">'2026 Forecast B'!G38</f>
        <v>0.298056155507559</v>
      </c>
      <c r="F56" s="9" t="n">
        <f aca="false">'2026 Forecast C'!G38</f>
        <v>0.281385281385281</v>
      </c>
      <c r="G56" s="24" t="n">
        <f aca="false">(MAX(D56:F56)-MIN(D56:F56))*100</f>
        <v>1.6670874122278</v>
      </c>
      <c r="H56" s="24" t="n">
        <f aca="false">'2026 Forecast A'!J38</f>
        <v>3.25434931194355</v>
      </c>
      <c r="I56" s="24" t="n">
        <f aca="false">'2026 Forecast B'!J38</f>
        <v>3.09864730606258</v>
      </c>
      <c r="J56" s="24" t="n">
        <f aca="false">'2026 Forecast C'!J38</f>
        <v>3.7041269898902</v>
      </c>
      <c r="K56" s="25" t="n">
        <f aca="false">'2026 Forecast A'!F38</f>
        <v>465</v>
      </c>
      <c r="L56" s="26" t="str">
        <f aca="false">IF(OR(AND(D56&gt;0.5,E56&gt;0.5,F56&gt;0.5),AND(D56&lt;0.5,E56&lt;0.5,F56&lt;0.5)),"Yes","No — toss-up")</f>
        <v>Yes</v>
      </c>
    </row>
    <row r="57" customFormat="false" ht="15" hidden="false" customHeight="false" outlineLevel="0" collapsed="false">
      <c r="A57" s="8" t="str">
        <f aca="false">'2026 Forecast A'!A39</f>
        <v>Carbon</v>
      </c>
      <c r="B57" s="8" t="str">
        <f aca="false">'2026 Forecast A'!B39</f>
        <v>MAHONING TOWNSHIP</v>
      </c>
      <c r="C57" s="8" t="str">
        <f aca="false">'2026 Forecast A'!C39</f>
        <v>MAHONING TOWNSHIP - PACKERTON/JAMESTOWN</v>
      </c>
      <c r="D57" s="9" t="n">
        <f aca="false">'2026 Forecast A'!G39</f>
        <v>0.341463414634146</v>
      </c>
      <c r="E57" s="9" t="n">
        <f aca="false">'2026 Forecast B'!G39</f>
        <v>0.346504559270517</v>
      </c>
      <c r="F57" s="9" t="n">
        <f aca="false">'2026 Forecast C'!G39</f>
        <v>0.331288343558282</v>
      </c>
      <c r="G57" s="24" t="n">
        <f aca="false">(MAX(D57:F57)-MIN(D57:F57))*100</f>
        <v>1.52162157122345</v>
      </c>
      <c r="H57" s="24" t="n">
        <f aca="false">'2026 Forecast A'!J39</f>
        <v>3.25434931194355</v>
      </c>
      <c r="I57" s="24" t="n">
        <f aca="false">'2026 Forecast B'!J39</f>
        <v>3.09864730606258</v>
      </c>
      <c r="J57" s="24" t="n">
        <f aca="false">'2026 Forecast C'!J39</f>
        <v>3.7041269898902</v>
      </c>
      <c r="K57" s="25" t="n">
        <f aca="false">'2026 Forecast A'!F39</f>
        <v>328</v>
      </c>
      <c r="L57" s="26" t="str">
        <f aca="false">IF(OR(AND(D57&gt;0.5,E57&gt;0.5,F57&gt;0.5),AND(D57&lt;0.5,E57&lt;0.5,F57&lt;0.5)),"Yes","No — toss-up")</f>
        <v>Yes</v>
      </c>
    </row>
    <row r="58" customFormat="false" ht="15" hidden="false" customHeight="false" outlineLevel="0" collapsed="false">
      <c r="A58" s="8" t="str">
        <f aca="false">'2026 Forecast A'!A40</f>
        <v>Carbon</v>
      </c>
      <c r="B58" s="8" t="str">
        <f aca="false">'2026 Forecast A'!B40</f>
        <v>MAHONING TOWNSHIP</v>
      </c>
      <c r="C58" s="8" t="str">
        <f aca="false">'2026 Forecast A'!C40</f>
        <v>MAHONING TOWNSHIP-MAHONING</v>
      </c>
      <c r="D58" s="9" t="n">
        <f aca="false">'2026 Forecast A'!G40</f>
        <v>0.338589211618257</v>
      </c>
      <c r="E58" s="9" t="n">
        <f aca="false">'2026 Forecast B'!G40</f>
        <v>0.340796019900498</v>
      </c>
      <c r="F58" s="9" t="n">
        <f aca="false">'2026 Forecast C'!G40</f>
        <v>0.329991645781119</v>
      </c>
      <c r="G58" s="24" t="n">
        <f aca="false">(MAX(D58:F58)-MIN(D58:F58))*100</f>
        <v>1.08043741193781</v>
      </c>
      <c r="H58" s="24" t="n">
        <f aca="false">'2026 Forecast A'!J40</f>
        <v>1.28585670084365</v>
      </c>
      <c r="I58" s="24" t="n">
        <f aca="false">'2026 Forecast B'!J40</f>
        <v>1.87006919874525</v>
      </c>
      <c r="J58" s="24" t="n">
        <f aca="false">'2026 Forecast C'!J40</f>
        <v>2.12060277043418</v>
      </c>
      <c r="K58" s="25" t="n">
        <f aca="false">'2026 Forecast A'!F40</f>
        <v>1205</v>
      </c>
      <c r="L58" s="26" t="str">
        <f aca="false">IF(OR(AND(D58&gt;0.5,E58&gt;0.5,F58&gt;0.5),AND(D58&lt;0.5,E58&lt;0.5,F58&lt;0.5)),"Yes","No — toss-up")</f>
        <v>Yes</v>
      </c>
    </row>
    <row r="59" customFormat="false" ht="15" hidden="false" customHeight="false" outlineLevel="0" collapsed="false">
      <c r="A59" s="8" t="str">
        <f aca="false">'2026 Forecast A'!A41</f>
        <v>Carbon</v>
      </c>
      <c r="B59" s="8" t="str">
        <f aca="false">'2026 Forecast A'!B41</f>
        <v>NESQUEHONING BOROUGH</v>
      </c>
      <c r="C59" s="8" t="str">
        <f aca="false">'2026 Forecast A'!C41</f>
        <v>NESQUEHONING BOROUGH-EAST</v>
      </c>
      <c r="D59" s="9" t="n">
        <f aca="false">'2026 Forecast A'!G41</f>
        <v>0.444444444444444</v>
      </c>
      <c r="E59" s="9" t="n">
        <f aca="false">'2026 Forecast B'!G41</f>
        <v>0.444444444444444</v>
      </c>
      <c r="F59" s="9" t="n">
        <f aca="false">'2026 Forecast C'!G41</f>
        <v>0.438625204582651</v>
      </c>
      <c r="G59" s="24" t="n">
        <f aca="false">(MAX(D59:F59)-MIN(D59:F59))*100</f>
        <v>0.5819239861793</v>
      </c>
      <c r="H59" s="24" t="n">
        <f aca="false">'2026 Forecast A'!J41</f>
        <v>3.25434931194355</v>
      </c>
      <c r="I59" s="24" t="n">
        <f aca="false">'2026 Forecast B'!J41</f>
        <v>3.09864730606258</v>
      </c>
      <c r="J59" s="24" t="n">
        <f aca="false">'2026 Forecast C'!J41</f>
        <v>3.7041269898902</v>
      </c>
      <c r="K59" s="25" t="n">
        <f aca="false">'2026 Forecast A'!F41</f>
        <v>612</v>
      </c>
      <c r="L59" s="26" t="str">
        <f aca="false">IF(OR(AND(D59&gt;0.5,E59&gt;0.5,F59&gt;0.5),AND(D59&lt;0.5,E59&lt;0.5,F59&lt;0.5)),"Yes","No — toss-up")</f>
        <v>Yes</v>
      </c>
    </row>
    <row r="60" customFormat="false" ht="15" hidden="false" customHeight="false" outlineLevel="0" collapsed="false">
      <c r="A60" s="8" t="str">
        <f aca="false">'2026 Forecast A'!A42</f>
        <v>Carbon</v>
      </c>
      <c r="B60" s="8" t="str">
        <f aca="false">'2026 Forecast A'!B42</f>
        <v>NESQUEHONING BOROUGH</v>
      </c>
      <c r="C60" s="8" t="str">
        <f aca="false">'2026 Forecast A'!C42</f>
        <v>NESQUEHONING BOROUGH-WEST</v>
      </c>
      <c r="D60" s="9" t="n">
        <f aca="false">'2026 Forecast A'!G42</f>
        <v>0.43328335832084</v>
      </c>
      <c r="E60" s="9" t="n">
        <f aca="false">'2026 Forecast B'!G42</f>
        <v>0.436472346786248</v>
      </c>
      <c r="F60" s="9" t="n">
        <f aca="false">'2026 Forecast C'!G42</f>
        <v>0.427286356821589</v>
      </c>
      <c r="G60" s="24" t="n">
        <f aca="false">(MAX(D60:F60)-MIN(D60:F60))*100</f>
        <v>0.918598996465891</v>
      </c>
      <c r="H60" s="24" t="n">
        <f aca="false">'2026 Forecast A'!J42</f>
        <v>3.25434931194355</v>
      </c>
      <c r="I60" s="24" t="n">
        <f aca="false">'2026 Forecast B'!J42</f>
        <v>3.09864730606258</v>
      </c>
      <c r="J60" s="24" t="n">
        <f aca="false">'2026 Forecast C'!J42</f>
        <v>3.7041269898902</v>
      </c>
      <c r="K60" s="25" t="n">
        <f aca="false">'2026 Forecast A'!F42</f>
        <v>667</v>
      </c>
      <c r="L60" s="26" t="str">
        <f aca="false">IF(OR(AND(D60&gt;0.5,E60&gt;0.5,F60&gt;0.5),AND(D60&lt;0.5,E60&lt;0.5,F60&lt;0.5)),"Yes","No — toss-up")</f>
        <v>Yes</v>
      </c>
    </row>
    <row r="61" customFormat="false" ht="15" hidden="false" customHeight="false" outlineLevel="0" collapsed="false">
      <c r="A61" s="8" t="str">
        <f aca="false">'2026 Forecast A'!A43</f>
        <v>Carbon</v>
      </c>
      <c r="B61" s="8" t="str">
        <f aca="false">'2026 Forecast A'!B43</f>
        <v>PACKER TOWNSHIP</v>
      </c>
      <c r="C61" s="8" t="str">
        <f aca="false">'2026 Forecast A'!C43</f>
        <v>PACKER TOWNSHIP</v>
      </c>
      <c r="D61" s="9" t="n">
        <f aca="false">'2026 Forecast A'!G43</f>
        <v>0.241025641025641</v>
      </c>
      <c r="E61" s="9" t="n">
        <f aca="false">'2026 Forecast B'!G43</f>
        <v>0.252559726962457</v>
      </c>
      <c r="F61" s="9" t="n">
        <f aca="false">'2026 Forecast C'!G43</f>
        <v>0.228769497400347</v>
      </c>
      <c r="G61" s="24" t="n">
        <f aca="false">(MAX(D61:F61)-MIN(D61:F61))*100</f>
        <v>2.37902295621107</v>
      </c>
      <c r="H61" s="24" t="n">
        <f aca="false">'2026 Forecast A'!J43</f>
        <v>3.25434931194355</v>
      </c>
      <c r="I61" s="24" t="n">
        <f aca="false">'2026 Forecast B'!J43</f>
        <v>3.09864730606258</v>
      </c>
      <c r="J61" s="24" t="n">
        <f aca="false">'2026 Forecast C'!J43</f>
        <v>3.7041269898902</v>
      </c>
      <c r="K61" s="25" t="n">
        <f aca="false">'2026 Forecast A'!F43</f>
        <v>585</v>
      </c>
      <c r="L61" s="26" t="str">
        <f aca="false">IF(OR(AND(D61&gt;0.5,E61&gt;0.5,F61&gt;0.5),AND(D61&lt;0.5,E61&lt;0.5,F61&lt;0.5)),"Yes","No — toss-up")</f>
        <v>Yes</v>
      </c>
    </row>
    <row r="62" customFormat="false" ht="15" hidden="false" customHeight="false" outlineLevel="0" collapsed="false">
      <c r="A62" s="8" t="str">
        <f aca="false">'2026 Forecast A'!A44</f>
        <v>Carbon</v>
      </c>
      <c r="B62" s="8" t="str">
        <f aca="false">'2026 Forecast A'!B44</f>
        <v>PALMERTON BOROUGH</v>
      </c>
      <c r="C62" s="8" t="str">
        <f aca="false">'2026 Forecast A'!C44</f>
        <v>PALMERTON BOROUGH-EASTERN</v>
      </c>
      <c r="D62" s="9" t="n">
        <f aca="false">'2026 Forecast A'!G44</f>
        <v>0.386486486486487</v>
      </c>
      <c r="E62" s="9" t="n">
        <f aca="false">'2026 Forecast B'!G44</f>
        <v>0.390835579514825</v>
      </c>
      <c r="F62" s="9" t="n">
        <f aca="false">'2026 Forecast C'!G44</f>
        <v>0.379781420765027</v>
      </c>
      <c r="G62" s="24" t="n">
        <f aca="false">(MAX(D62:F62)-MIN(D62:F62))*100</f>
        <v>1.10541587497975</v>
      </c>
      <c r="H62" s="24" t="n">
        <f aca="false">'2026 Forecast A'!J44</f>
        <v>3.25434931194355</v>
      </c>
      <c r="I62" s="24" t="n">
        <f aca="false">'2026 Forecast B'!J44</f>
        <v>3.09864730606258</v>
      </c>
      <c r="J62" s="24" t="n">
        <f aca="false">'2026 Forecast C'!J44</f>
        <v>3.7041269898902</v>
      </c>
      <c r="K62" s="25" t="n">
        <f aca="false">'2026 Forecast A'!F44</f>
        <v>740</v>
      </c>
      <c r="L62" s="26" t="str">
        <f aca="false">IF(OR(AND(D62&gt;0.5,E62&gt;0.5,F62&gt;0.5),AND(D62&lt;0.5,E62&lt;0.5,F62&lt;0.5)),"Yes","No — toss-up")</f>
        <v>Yes</v>
      </c>
    </row>
    <row r="63" customFormat="false" ht="15" hidden="false" customHeight="false" outlineLevel="0" collapsed="false">
      <c r="A63" s="8" t="str">
        <f aca="false">'2026 Forecast A'!A45</f>
        <v>Carbon</v>
      </c>
      <c r="B63" s="8" t="str">
        <f aca="false">'2026 Forecast A'!B45</f>
        <v>PALMERTON BOROUGH</v>
      </c>
      <c r="C63" s="8" t="str">
        <f aca="false">'2026 Forecast A'!C45</f>
        <v>PALMERTON BOROUGH-MIDDLE</v>
      </c>
      <c r="D63" s="9" t="n">
        <f aca="false">'2026 Forecast A'!G45</f>
        <v>0.433816425120773</v>
      </c>
      <c r="E63" s="9" t="n">
        <f aca="false">'2026 Forecast B'!G45</f>
        <v>0.437200383509108</v>
      </c>
      <c r="F63" s="9" t="n">
        <f aca="false">'2026 Forecast C'!G45</f>
        <v>0.428709990300679</v>
      </c>
      <c r="G63" s="24" t="n">
        <f aca="false">(MAX(D63:F63)-MIN(D63:F63))*100</f>
        <v>0.849039320842937</v>
      </c>
      <c r="H63" s="24" t="n">
        <f aca="false">'2026 Forecast A'!J45</f>
        <v>1.85532414445586</v>
      </c>
      <c r="I63" s="24" t="n">
        <f aca="false">'2026 Forecast B'!J45</f>
        <v>2.0110742867014</v>
      </c>
      <c r="J63" s="24" t="n">
        <f aca="false">'2026 Forecast C'!J45</f>
        <v>2.12060277043418</v>
      </c>
      <c r="K63" s="25" t="n">
        <f aca="false">'2026 Forecast A'!F45</f>
        <v>1035</v>
      </c>
      <c r="L63" s="26" t="str">
        <f aca="false">IF(OR(AND(D63&gt;0.5,E63&gt;0.5,F63&gt;0.5),AND(D63&lt;0.5,E63&lt;0.5,F63&lt;0.5)),"Yes","No — toss-up")</f>
        <v>Yes</v>
      </c>
    </row>
    <row r="64" customFormat="false" ht="15" hidden="false" customHeight="false" outlineLevel="0" collapsed="false">
      <c r="A64" s="8" t="str">
        <f aca="false">'2026 Forecast A'!A46</f>
        <v>Carbon</v>
      </c>
      <c r="B64" s="8" t="str">
        <f aca="false">'2026 Forecast A'!B46</f>
        <v>PALMERTON BOROUGH</v>
      </c>
      <c r="C64" s="8" t="str">
        <f aca="false">'2026 Forecast A'!C46</f>
        <v>PALMERTON BOROUGH-WESTERN</v>
      </c>
      <c r="D64" s="9" t="n">
        <f aca="false">'2026 Forecast A'!G46</f>
        <v>0.399390243902439</v>
      </c>
      <c r="E64" s="9" t="n">
        <f aca="false">'2026 Forecast B'!G46</f>
        <v>0.405487804878049</v>
      </c>
      <c r="F64" s="9" t="n">
        <f aca="false">'2026 Forecast C'!G46</f>
        <v>0.394495412844037</v>
      </c>
      <c r="G64" s="24" t="n">
        <f aca="false">(MAX(D64:F64)-MIN(D64:F64))*100</f>
        <v>1.09923920340121</v>
      </c>
      <c r="H64" s="24" t="n">
        <f aca="false">'2026 Forecast A'!J46</f>
        <v>3.25434931194355</v>
      </c>
      <c r="I64" s="24" t="n">
        <f aca="false">'2026 Forecast B'!J46</f>
        <v>3.09864730606258</v>
      </c>
      <c r="J64" s="24" t="n">
        <f aca="false">'2026 Forecast C'!J46</f>
        <v>3.7041269898902</v>
      </c>
      <c r="K64" s="25" t="n">
        <f aca="false">'2026 Forecast A'!F46</f>
        <v>328</v>
      </c>
      <c r="L64" s="26" t="str">
        <f aca="false">IF(OR(AND(D64&gt;0.5,E64&gt;0.5,F64&gt;0.5),AND(D64&lt;0.5,E64&lt;0.5,F64&lt;0.5)),"Yes","No — toss-up")</f>
        <v>Yes</v>
      </c>
    </row>
    <row r="65" customFormat="false" ht="15" hidden="false" customHeight="false" outlineLevel="0" collapsed="false">
      <c r="A65" s="8" t="str">
        <f aca="false">'2026 Forecast A'!A47</f>
        <v>Carbon</v>
      </c>
      <c r="B65" s="8" t="str">
        <f aca="false">'2026 Forecast A'!B47</f>
        <v>PARRYVILLE BOROUGH</v>
      </c>
      <c r="C65" s="8" t="str">
        <f aca="false">'2026 Forecast A'!C47</f>
        <v>PARRYVILLE BOROUGH</v>
      </c>
      <c r="D65" s="9" t="n">
        <f aca="false">'2026 Forecast A'!G47</f>
        <v>0.35678391959799</v>
      </c>
      <c r="E65" s="9" t="n">
        <f aca="false">'2026 Forecast B'!G47</f>
        <v>0.361809045226131</v>
      </c>
      <c r="F65" s="9" t="n">
        <f aca="false">'2026 Forecast C'!G47</f>
        <v>0.348484848484849</v>
      </c>
      <c r="G65" s="24" t="n">
        <f aca="false">(MAX(D65:F65)-MIN(D65:F65))*100</f>
        <v>1.33241967412822</v>
      </c>
      <c r="H65" s="24" t="n">
        <f aca="false">'2026 Forecast A'!J47</f>
        <v>3.25434931194355</v>
      </c>
      <c r="I65" s="24" t="n">
        <f aca="false">'2026 Forecast B'!J47</f>
        <v>3.09864730606258</v>
      </c>
      <c r="J65" s="24" t="n">
        <f aca="false">'2026 Forecast C'!J47</f>
        <v>3.7041269898902</v>
      </c>
      <c r="K65" s="25" t="n">
        <f aca="false">'2026 Forecast A'!F47</f>
        <v>199</v>
      </c>
      <c r="L65" s="26" t="str">
        <f aca="false">IF(OR(AND(D65&gt;0.5,E65&gt;0.5,F65&gt;0.5),AND(D65&lt;0.5,E65&lt;0.5,F65&lt;0.5)),"Yes","No — toss-up")</f>
        <v>Yes</v>
      </c>
    </row>
    <row r="66" customFormat="false" ht="15" hidden="false" customHeight="false" outlineLevel="0" collapsed="false">
      <c r="A66" s="8" t="str">
        <f aca="false">'2026 Forecast A'!A48</f>
        <v>Carbon</v>
      </c>
      <c r="B66" s="8" t="str">
        <f aca="false">'2026 Forecast A'!B48</f>
        <v>PENN FOREST TOWNSHIP</v>
      </c>
      <c r="C66" s="8" t="str">
        <f aca="false">'2026 Forecast A'!C48</f>
        <v>PENN FOREST TOWNSHIP-EAST</v>
      </c>
      <c r="D66" s="9" t="n">
        <f aca="false">'2026 Forecast A'!G48</f>
        <v>0.418367346938776</v>
      </c>
      <c r="E66" s="9" t="n">
        <f aca="false">'2026 Forecast B'!G48</f>
        <v>0.42242355605889</v>
      </c>
      <c r="F66" s="9" t="n">
        <f aca="false">'2026 Forecast C'!G48</f>
        <v>0.412823397075366</v>
      </c>
      <c r="G66" s="24" t="n">
        <f aca="false">(MAX(D66:F66)-MIN(D66:F66))*100</f>
        <v>0.960015898352457</v>
      </c>
      <c r="H66" s="24" t="n">
        <f aca="false">'2026 Forecast A'!J48</f>
        <v>1.85532414445586</v>
      </c>
      <c r="I66" s="24" t="n">
        <f aca="false">'2026 Forecast B'!J48</f>
        <v>2.0110742867014</v>
      </c>
      <c r="J66" s="24" t="n">
        <f aca="false">'2026 Forecast C'!J48</f>
        <v>2.12060277043418</v>
      </c>
      <c r="K66" s="25" t="n">
        <f aca="false">'2026 Forecast A'!F48</f>
        <v>882</v>
      </c>
      <c r="L66" s="26" t="str">
        <f aca="false">IF(OR(AND(D66&gt;0.5,E66&gt;0.5,F66&gt;0.5),AND(D66&lt;0.5,E66&lt;0.5,F66&lt;0.5)),"Yes","No — toss-up")</f>
        <v>Yes</v>
      </c>
    </row>
    <row r="67" customFormat="false" ht="15" hidden="false" customHeight="false" outlineLevel="0" collapsed="false">
      <c r="A67" s="8" t="str">
        <f aca="false">'2026 Forecast A'!A49</f>
        <v>Carbon</v>
      </c>
      <c r="B67" s="8" t="str">
        <f aca="false">'2026 Forecast A'!B49</f>
        <v>PENN FOREST TOWNSHIP</v>
      </c>
      <c r="C67" s="8" t="str">
        <f aca="false">'2026 Forecast A'!C49</f>
        <v>PENN FOREST TOWNSHIP-MIDDLE</v>
      </c>
      <c r="D67" s="9" t="n">
        <f aca="false">'2026 Forecast A'!G49</f>
        <v>0.411160058737151</v>
      </c>
      <c r="E67" s="9" t="n">
        <f aca="false">'2026 Forecast B'!G49</f>
        <v>0.41740412979351</v>
      </c>
      <c r="F67" s="9" t="n">
        <f aca="false">'2026 Forecast C'!G49</f>
        <v>0.405523255813954</v>
      </c>
      <c r="G67" s="24" t="n">
        <f aca="false">(MAX(D67:F67)-MIN(D67:F67))*100</f>
        <v>1.18808739795568</v>
      </c>
      <c r="H67" s="24" t="n">
        <f aca="false">'2026 Forecast A'!J49</f>
        <v>3.25434931194355</v>
      </c>
      <c r="I67" s="24" t="n">
        <f aca="false">'2026 Forecast B'!J49</f>
        <v>3.09864730606258</v>
      </c>
      <c r="J67" s="24" t="n">
        <f aca="false">'2026 Forecast C'!J49</f>
        <v>3.7041269898902</v>
      </c>
      <c r="K67" s="25" t="n">
        <f aca="false">'2026 Forecast A'!F49</f>
        <v>681</v>
      </c>
      <c r="L67" s="26" t="str">
        <f aca="false">IF(OR(AND(D67&gt;0.5,E67&gt;0.5,F67&gt;0.5),AND(D67&lt;0.5,E67&lt;0.5,F67&lt;0.5)),"Yes","No — toss-up")</f>
        <v>Yes</v>
      </c>
    </row>
    <row r="68" customFormat="false" ht="15" hidden="false" customHeight="false" outlineLevel="0" collapsed="false">
      <c r="A68" s="8" t="str">
        <f aca="false">'2026 Forecast A'!A50</f>
        <v>Carbon</v>
      </c>
      <c r="B68" s="8" t="str">
        <f aca="false">'2026 Forecast A'!B50</f>
        <v>PENN FOREST TOWNSHIP</v>
      </c>
      <c r="C68" s="8" t="str">
        <f aca="false">'2026 Forecast A'!C50</f>
        <v>PENN FOREST TOWNSHIP-NORTH EAST</v>
      </c>
      <c r="D68" s="9" t="n">
        <f aca="false">'2026 Forecast A'!G50</f>
        <v>0.420845624385447</v>
      </c>
      <c r="E68" s="9" t="n">
        <f aca="false">'2026 Forecast B'!G50</f>
        <v>0.420588235294118</v>
      </c>
      <c r="F68" s="9" t="n">
        <f aca="false">'2026 Forecast C'!G50</f>
        <v>0.416502946954813</v>
      </c>
      <c r="G68" s="24" t="n">
        <f aca="false">(MAX(D68:F68)-MIN(D68:F68))*100</f>
        <v>0.434267743063399</v>
      </c>
      <c r="H68" s="24" t="n">
        <f aca="false">'2026 Forecast A'!J50</f>
        <v>1.85532414445586</v>
      </c>
      <c r="I68" s="24" t="n">
        <f aca="false">'2026 Forecast B'!J50</f>
        <v>2.0110742867014</v>
      </c>
      <c r="J68" s="24" t="n">
        <f aca="false">'2026 Forecast C'!J50</f>
        <v>2.12060277043418</v>
      </c>
      <c r="K68" s="25" t="n">
        <f aca="false">'2026 Forecast A'!F50</f>
        <v>1017</v>
      </c>
      <c r="L68" s="26" t="str">
        <f aca="false">IF(OR(AND(D68&gt;0.5,E68&gt;0.5,F68&gt;0.5),AND(D68&lt;0.5,E68&lt;0.5,F68&lt;0.5)),"Yes","No — toss-up")</f>
        <v>Yes</v>
      </c>
    </row>
    <row r="69" customFormat="false" ht="15" hidden="false" customHeight="false" outlineLevel="0" collapsed="false">
      <c r="A69" s="8" t="str">
        <f aca="false">'2026 Forecast A'!A51</f>
        <v>Carbon</v>
      </c>
      <c r="B69" s="8" t="str">
        <f aca="false">'2026 Forecast A'!B51</f>
        <v>PENN FOREST TOWNSHIP</v>
      </c>
      <c r="C69" s="8" t="str">
        <f aca="false">'2026 Forecast A'!C51</f>
        <v>PENN FOREST TOWNSHIP-NORTH WEST</v>
      </c>
      <c r="D69" s="9" t="n">
        <f aca="false">'2026 Forecast A'!G51</f>
        <v>0.359560067681895</v>
      </c>
      <c r="E69" s="9" t="n">
        <f aca="false">'2026 Forecast B'!G51</f>
        <v>0.36417157275021</v>
      </c>
      <c r="F69" s="9" t="n">
        <f aca="false">'2026 Forecast C'!G51</f>
        <v>0.352340425531915</v>
      </c>
      <c r="G69" s="24" t="n">
        <f aca="false">(MAX(D69:F69)-MIN(D69:F69))*100</f>
        <v>1.18311472182954</v>
      </c>
      <c r="H69" s="24" t="n">
        <f aca="false">'2026 Forecast A'!J51</f>
        <v>1.85532414445586</v>
      </c>
      <c r="I69" s="24" t="n">
        <f aca="false">'2026 Forecast B'!J51</f>
        <v>2.0110742867014</v>
      </c>
      <c r="J69" s="24" t="n">
        <f aca="false">'2026 Forecast C'!J51</f>
        <v>2.12060277043418</v>
      </c>
      <c r="K69" s="25" t="n">
        <f aca="false">'2026 Forecast A'!F51</f>
        <v>1182</v>
      </c>
      <c r="L69" s="26" t="str">
        <f aca="false">IF(OR(AND(D69&gt;0.5,E69&gt;0.5,F69&gt;0.5),AND(D69&lt;0.5,E69&lt;0.5,F69&lt;0.5)),"Yes","No — toss-up")</f>
        <v>Yes</v>
      </c>
    </row>
    <row r="70" customFormat="false" ht="15" hidden="false" customHeight="false" outlineLevel="0" collapsed="false">
      <c r="A70" s="8" t="str">
        <f aca="false">'2026 Forecast A'!A52</f>
        <v>Carbon</v>
      </c>
      <c r="B70" s="8" t="str">
        <f aca="false">'2026 Forecast A'!B52</f>
        <v>PENN FOREST TOWNSHIP</v>
      </c>
      <c r="C70" s="8" t="str">
        <f aca="false">'2026 Forecast A'!C52</f>
        <v>PENN FOREST TOWNSHIP-SOUTH WEST</v>
      </c>
      <c r="D70" s="9" t="n">
        <f aca="false">'2026 Forecast A'!G52</f>
        <v>0.401606425702811</v>
      </c>
      <c r="E70" s="9" t="n">
        <f aca="false">'2026 Forecast B'!G52</f>
        <v>0.401803607214429</v>
      </c>
      <c r="F70" s="9" t="n">
        <f aca="false">'2026 Forecast C'!G52</f>
        <v>0.39656912209889</v>
      </c>
      <c r="G70" s="24" t="n">
        <f aca="false">(MAX(D70:F70)-MIN(D70:F70))*100</f>
        <v>0.523448511553887</v>
      </c>
      <c r="H70" s="24" t="n">
        <f aca="false">'2026 Forecast A'!J52</f>
        <v>1.85532414445586</v>
      </c>
      <c r="I70" s="24" t="n">
        <f aca="false">'2026 Forecast B'!J52</f>
        <v>2.0110742867014</v>
      </c>
      <c r="J70" s="24" t="n">
        <f aca="false">'2026 Forecast C'!J52</f>
        <v>2.12060277043418</v>
      </c>
      <c r="K70" s="25" t="n">
        <f aca="false">'2026 Forecast A'!F52</f>
        <v>996</v>
      </c>
      <c r="L70" s="26" t="str">
        <f aca="false">IF(OR(AND(D70&gt;0.5,E70&gt;0.5,F70&gt;0.5),AND(D70&lt;0.5,E70&lt;0.5,F70&lt;0.5)),"Yes","No — toss-up")</f>
        <v>Yes</v>
      </c>
    </row>
    <row r="71" customFormat="false" ht="15" hidden="false" customHeight="false" outlineLevel="0" collapsed="false">
      <c r="A71" s="8" t="str">
        <f aca="false">'2026 Forecast A'!A53</f>
        <v>Carbon</v>
      </c>
      <c r="B71" s="8" t="str">
        <f aca="false">'2026 Forecast A'!B53</f>
        <v>SUMMIT HILL BOROUGH</v>
      </c>
      <c r="C71" s="8" t="str">
        <f aca="false">'2026 Forecast A'!C53</f>
        <v>SUMMIT HILL BOROUGH-1ST</v>
      </c>
      <c r="D71" s="9" t="n">
        <f aca="false">'2026 Forecast A'!G53</f>
        <v>0.509493670886076</v>
      </c>
      <c r="E71" s="9" t="n">
        <f aca="false">'2026 Forecast B'!G53</f>
        <v>0.519108280254777</v>
      </c>
      <c r="F71" s="9" t="n">
        <f aca="false">'2026 Forecast C'!G53</f>
        <v>0.506329113924051</v>
      </c>
      <c r="G71" s="24" t="n">
        <f aca="false">(MAX(D71:F71)-MIN(D71:F71))*100</f>
        <v>1.27791663307264</v>
      </c>
      <c r="H71" s="24" t="n">
        <f aca="false">'2026 Forecast A'!J53</f>
        <v>3.25434931194355</v>
      </c>
      <c r="I71" s="24" t="n">
        <f aca="false">'2026 Forecast B'!J53</f>
        <v>3.09864730606258</v>
      </c>
      <c r="J71" s="24" t="n">
        <f aca="false">'2026 Forecast C'!J53</f>
        <v>3.7041269898902</v>
      </c>
      <c r="K71" s="25" t="n">
        <f aca="false">'2026 Forecast A'!F53</f>
        <v>316</v>
      </c>
      <c r="L71" s="26" t="str">
        <f aca="false">IF(OR(AND(D71&gt;0.5,E71&gt;0.5,F71&gt;0.5),AND(D71&lt;0.5,E71&lt;0.5,F71&lt;0.5)),"Yes","No — toss-up")</f>
        <v>Yes</v>
      </c>
    </row>
    <row r="72" customFormat="false" ht="15" hidden="false" customHeight="false" outlineLevel="0" collapsed="false">
      <c r="A72" s="8" t="str">
        <f aca="false">'2026 Forecast A'!A54</f>
        <v>Carbon</v>
      </c>
      <c r="B72" s="8" t="str">
        <f aca="false">'2026 Forecast A'!B54</f>
        <v>SUMMIT HILL BOROUGH</v>
      </c>
      <c r="C72" s="8" t="str">
        <f aca="false">'2026 Forecast A'!C54</f>
        <v>SUMMIT HILL BOROUGH-2ND</v>
      </c>
      <c r="D72" s="9" t="n">
        <f aca="false">'2026 Forecast A'!G54</f>
        <v>0.518518518518519</v>
      </c>
      <c r="E72" s="9" t="n">
        <f aca="false">'2026 Forecast B'!G54</f>
        <v>0.526912181303116</v>
      </c>
      <c r="F72" s="9" t="n">
        <f aca="false">'2026 Forecast C'!G54</f>
        <v>0.517142857142857</v>
      </c>
      <c r="G72" s="24" t="n">
        <f aca="false">(MAX(D72:F72)-MIN(D72:F72))*100</f>
        <v>0.9769324160259</v>
      </c>
      <c r="H72" s="24" t="n">
        <f aca="false">'2026 Forecast A'!J54</f>
        <v>3.25434931194355</v>
      </c>
      <c r="I72" s="24" t="n">
        <f aca="false">'2026 Forecast B'!J54</f>
        <v>3.09864730606258</v>
      </c>
      <c r="J72" s="24" t="n">
        <f aca="false">'2026 Forecast C'!J54</f>
        <v>3.7041269898902</v>
      </c>
      <c r="K72" s="25" t="n">
        <f aca="false">'2026 Forecast A'!F54</f>
        <v>351</v>
      </c>
      <c r="L72" s="26" t="str">
        <f aca="false">IF(OR(AND(D72&gt;0.5,E72&gt;0.5,F72&gt;0.5),AND(D72&lt;0.5,E72&lt;0.5,F72&lt;0.5)),"Yes","No — toss-up")</f>
        <v>Yes</v>
      </c>
    </row>
    <row r="73" customFormat="false" ht="15" hidden="false" customHeight="false" outlineLevel="0" collapsed="false">
      <c r="A73" s="8" t="str">
        <f aca="false">'2026 Forecast A'!A55</f>
        <v>Carbon</v>
      </c>
      <c r="B73" s="8" t="str">
        <f aca="false">'2026 Forecast A'!B55</f>
        <v>SUMMIT HILL BOROUGH</v>
      </c>
      <c r="C73" s="8" t="str">
        <f aca="false">'2026 Forecast A'!C55</f>
        <v>SUMMIT HILL BOROUGH-3RD/2ND</v>
      </c>
      <c r="D73" s="9" t="n">
        <f aca="false">'2026 Forecast A'!G55</f>
        <v>0.415441176470588</v>
      </c>
      <c r="E73" s="9" t="n">
        <f aca="false">'2026 Forecast B'!G55</f>
        <v>0.424908424908425</v>
      </c>
      <c r="F73" s="9" t="n">
        <f aca="false">'2026 Forecast C'!G55</f>
        <v>0.41044776119403</v>
      </c>
      <c r="G73" s="24" t="n">
        <f aca="false">(MAX(D73:F73)-MIN(D73:F73))*100</f>
        <v>1.4460663714395</v>
      </c>
      <c r="H73" s="24" t="n">
        <f aca="false">'2026 Forecast A'!J55</f>
        <v>3.25434931194355</v>
      </c>
      <c r="I73" s="24" t="n">
        <f aca="false">'2026 Forecast B'!J55</f>
        <v>3.09864730606258</v>
      </c>
      <c r="J73" s="24" t="n">
        <f aca="false">'2026 Forecast C'!J55</f>
        <v>3.7041269898902</v>
      </c>
      <c r="K73" s="25" t="n">
        <f aca="false">'2026 Forecast A'!F55</f>
        <v>272</v>
      </c>
      <c r="L73" s="26" t="str">
        <f aca="false">IF(OR(AND(D73&gt;0.5,E73&gt;0.5,F73&gt;0.5),AND(D73&lt;0.5,E73&lt;0.5,F73&lt;0.5)),"Yes","No — toss-up")</f>
        <v>Yes</v>
      </c>
    </row>
    <row r="74" customFormat="false" ht="15" hidden="false" customHeight="false" outlineLevel="0" collapsed="false">
      <c r="A74" s="8" t="str">
        <f aca="false">'2026 Forecast A'!A56</f>
        <v>Carbon</v>
      </c>
      <c r="B74" s="8" t="str">
        <f aca="false">'2026 Forecast A'!B56</f>
        <v>SUMMIT HILL BOROUGH</v>
      </c>
      <c r="C74" s="8" t="str">
        <f aca="false">'2026 Forecast A'!C56</f>
        <v>SUMMIT HILL-3RD/1ST DIST</v>
      </c>
      <c r="D74" s="9" t="n">
        <f aca="false">'2026 Forecast A'!G56</f>
        <v>0.452153110047847</v>
      </c>
      <c r="E74" s="9" t="n">
        <f aca="false">'2026 Forecast B'!G56</f>
        <v>0.452153110047847</v>
      </c>
      <c r="F74" s="9" t="n">
        <f aca="false">'2026 Forecast C'!G56</f>
        <v>0.447619047619048</v>
      </c>
      <c r="G74" s="24" t="n">
        <f aca="false">(MAX(D74:F74)-MIN(D74:F74))*100</f>
        <v>0.453406242879922</v>
      </c>
      <c r="H74" s="24" t="n">
        <f aca="false">'2026 Forecast A'!J56</f>
        <v>3.25434931194355</v>
      </c>
      <c r="I74" s="24" t="n">
        <f aca="false">'2026 Forecast B'!J56</f>
        <v>3.09864730606258</v>
      </c>
      <c r="J74" s="24" t="n">
        <f aca="false">'2026 Forecast C'!J56</f>
        <v>3.7041269898902</v>
      </c>
      <c r="K74" s="25" t="n">
        <f aca="false">'2026 Forecast A'!F56</f>
        <v>418</v>
      </c>
      <c r="L74" s="26" t="str">
        <f aca="false">IF(OR(AND(D74&gt;0.5,E74&gt;0.5,F74&gt;0.5),AND(D74&lt;0.5,E74&lt;0.5,F74&lt;0.5)),"Yes","No — toss-up")</f>
        <v>Yes</v>
      </c>
    </row>
    <row r="75" customFormat="false" ht="15" hidden="false" customHeight="false" outlineLevel="0" collapsed="false">
      <c r="A75" s="8" t="str">
        <f aca="false">'2026 Forecast A'!A57</f>
        <v>Carbon</v>
      </c>
      <c r="B75" s="8" t="str">
        <f aca="false">'2026 Forecast A'!B57</f>
        <v>TOWAMENSING TOWNSHIP</v>
      </c>
      <c r="C75" s="8" t="str">
        <f aca="false">'2026 Forecast A'!C57</f>
        <v>TOWAMENSING TOWNSHIP-NORTH</v>
      </c>
      <c r="D75" s="9" t="n">
        <f aca="false">'2026 Forecast A'!G57</f>
        <v>0.34718826405868</v>
      </c>
      <c r="E75" s="9" t="n">
        <f aca="false">'2026 Forecast B'!G57</f>
        <v>0.344701583434836</v>
      </c>
      <c r="F75" s="9" t="n">
        <f aca="false">'2026 Forecast C'!G57</f>
        <v>0.337854500616523</v>
      </c>
      <c r="G75" s="24" t="n">
        <f aca="false">(MAX(D75:F75)-MIN(D75:F75))*100</f>
        <v>0.933376344215686</v>
      </c>
      <c r="H75" s="24" t="n">
        <f aca="false">'2026 Forecast A'!J57</f>
        <v>1.85532414445586</v>
      </c>
      <c r="I75" s="24" t="n">
        <f aca="false">'2026 Forecast B'!J57</f>
        <v>2.0110742867014</v>
      </c>
      <c r="J75" s="24" t="n">
        <f aca="false">'2026 Forecast C'!J57</f>
        <v>2.12060277043418</v>
      </c>
      <c r="K75" s="25" t="n">
        <f aca="false">'2026 Forecast A'!F57</f>
        <v>818</v>
      </c>
      <c r="L75" s="26" t="str">
        <f aca="false">IF(OR(AND(D75&gt;0.5,E75&gt;0.5,F75&gt;0.5),AND(D75&lt;0.5,E75&lt;0.5,F75&lt;0.5)),"Yes","No — toss-up")</f>
        <v>Yes</v>
      </c>
    </row>
    <row r="76" customFormat="false" ht="15" hidden="false" customHeight="false" outlineLevel="0" collapsed="false">
      <c r="A76" s="8" t="str">
        <f aca="false">'2026 Forecast A'!A58</f>
        <v>Carbon</v>
      </c>
      <c r="B76" s="8" t="str">
        <f aca="false">'2026 Forecast A'!B58</f>
        <v>TOWAMENSING TOWNSHIP</v>
      </c>
      <c r="C76" s="8" t="str">
        <f aca="false">'2026 Forecast A'!C58</f>
        <v>TOWAMENSING TOWNSHIP-SOUTH-1</v>
      </c>
      <c r="D76" s="9" t="n">
        <f aca="false">'2026 Forecast A'!G58</f>
        <v>0.31566265060241</v>
      </c>
      <c r="E76" s="9" t="n">
        <f aca="false">'2026 Forecast B'!G58</f>
        <v>0.320913461538462</v>
      </c>
      <c r="F76" s="9" t="n">
        <f aca="false">'2026 Forecast C'!G58</f>
        <v>0.304715840386941</v>
      </c>
      <c r="G76" s="24" t="n">
        <f aca="false">(MAX(D76:F76)-MIN(D76:F76))*100</f>
        <v>1.61976211515208</v>
      </c>
      <c r="H76" s="24" t="n">
        <f aca="false">'2026 Forecast A'!J58</f>
        <v>1.85532414445586</v>
      </c>
      <c r="I76" s="24" t="n">
        <f aca="false">'2026 Forecast B'!J58</f>
        <v>2.0110742867014</v>
      </c>
      <c r="J76" s="24" t="n">
        <f aca="false">'2026 Forecast C'!J58</f>
        <v>2.12060277043418</v>
      </c>
      <c r="K76" s="25" t="n">
        <f aca="false">'2026 Forecast A'!F58</f>
        <v>830</v>
      </c>
      <c r="L76" s="26" t="str">
        <f aca="false">IF(OR(AND(D76&gt;0.5,E76&gt;0.5,F76&gt;0.5),AND(D76&lt;0.5,E76&lt;0.5,F76&lt;0.5)),"Yes","No — toss-up")</f>
        <v>Yes</v>
      </c>
    </row>
    <row r="77" customFormat="false" ht="15" hidden="false" customHeight="false" outlineLevel="0" collapsed="false">
      <c r="A77" s="8" t="str">
        <f aca="false">'2026 Forecast A'!A59</f>
        <v>Carbon</v>
      </c>
      <c r="B77" s="8" t="str">
        <f aca="false">'2026 Forecast A'!B59</f>
        <v>TOWAMENSING TOWNSHIP</v>
      </c>
      <c r="C77" s="8" t="str">
        <f aca="false">'2026 Forecast A'!C59</f>
        <v>TOWAMENSING TOWNSHIP-SOUTH-2</v>
      </c>
      <c r="D77" s="9" t="n">
        <f aca="false">'2026 Forecast A'!G59</f>
        <v>0.327493261455526</v>
      </c>
      <c r="E77" s="9" t="n">
        <f aca="false">'2026 Forecast B'!G59</f>
        <v>0.330188679245283</v>
      </c>
      <c r="F77" s="9" t="n">
        <f aca="false">'2026 Forecast C'!G59</f>
        <v>0.317567567567568</v>
      </c>
      <c r="G77" s="24" t="n">
        <f aca="false">(MAX(D77:F77)-MIN(D77:F77))*100</f>
        <v>1.26211116777155</v>
      </c>
      <c r="H77" s="24" t="n">
        <f aca="false">'2026 Forecast A'!J59</f>
        <v>3.25434931194355</v>
      </c>
      <c r="I77" s="24" t="n">
        <f aca="false">'2026 Forecast B'!J59</f>
        <v>3.09864730606258</v>
      </c>
      <c r="J77" s="24" t="n">
        <f aca="false">'2026 Forecast C'!J59</f>
        <v>3.7041269898902</v>
      </c>
      <c r="K77" s="25" t="n">
        <f aca="false">'2026 Forecast A'!F59</f>
        <v>742</v>
      </c>
      <c r="L77" s="26" t="str">
        <f aca="false">IF(OR(AND(D77&gt;0.5,E77&gt;0.5,F77&gt;0.5),AND(D77&lt;0.5,E77&lt;0.5,F77&lt;0.5)),"Yes","No — toss-up")</f>
        <v>Yes</v>
      </c>
    </row>
    <row r="78" customFormat="false" ht="15" hidden="false" customHeight="false" outlineLevel="0" collapsed="false">
      <c r="A78" s="8" t="str">
        <f aca="false">'2026 Forecast A'!A60</f>
        <v>Carbon</v>
      </c>
      <c r="B78" s="8" t="str">
        <f aca="false">'2026 Forecast A'!B60</f>
        <v>WEATHERLY BOROUGH</v>
      </c>
      <c r="C78" s="8" t="str">
        <f aca="false">'2026 Forecast A'!C60</f>
        <v>WEATHERLY BOROUGH-EAST</v>
      </c>
      <c r="D78" s="9" t="n">
        <f aca="false">'2026 Forecast A'!G60</f>
        <v>0.335913312693498</v>
      </c>
      <c r="E78" s="9" t="n">
        <f aca="false">'2026 Forecast B'!G60</f>
        <v>0.337442218798151</v>
      </c>
      <c r="F78" s="9" t="n">
        <f aca="false">'2026 Forecast C'!G60</f>
        <v>0.325545171339564</v>
      </c>
      <c r="G78" s="24" t="n">
        <f aca="false">(MAX(D78:F78)-MIN(D78:F78))*100</f>
        <v>1.18970474585872</v>
      </c>
      <c r="H78" s="24" t="n">
        <f aca="false">'2026 Forecast A'!J60</f>
        <v>3.25434931194355</v>
      </c>
      <c r="I78" s="24" t="n">
        <f aca="false">'2026 Forecast B'!J60</f>
        <v>3.09864730606258</v>
      </c>
      <c r="J78" s="24" t="n">
        <f aca="false">'2026 Forecast C'!J60</f>
        <v>3.7041269898902</v>
      </c>
      <c r="K78" s="25" t="n">
        <f aca="false">'2026 Forecast A'!F60</f>
        <v>646</v>
      </c>
      <c r="L78" s="26" t="str">
        <f aca="false">IF(OR(AND(D78&gt;0.5,E78&gt;0.5,F78&gt;0.5),AND(D78&lt;0.5,E78&lt;0.5,F78&lt;0.5)),"Yes","No — toss-up")</f>
        <v>Yes</v>
      </c>
    </row>
    <row r="79" customFormat="false" ht="15" hidden="false" customHeight="false" outlineLevel="0" collapsed="false">
      <c r="A79" s="8" t="str">
        <f aca="false">'2026 Forecast A'!A61</f>
        <v>Carbon</v>
      </c>
      <c r="B79" s="8" t="str">
        <f aca="false">'2026 Forecast A'!B61</f>
        <v>WEATHERLY BOROUGH</v>
      </c>
      <c r="C79" s="8" t="str">
        <f aca="false">'2026 Forecast A'!C61</f>
        <v>WEATHERLY BOROUGH-WEST</v>
      </c>
      <c r="D79" s="9" t="n">
        <f aca="false">'2026 Forecast A'!G61</f>
        <v>0.313432835820896</v>
      </c>
      <c r="E79" s="9" t="n">
        <f aca="false">'2026 Forecast B'!G61</f>
        <v>0.327380952380952</v>
      </c>
      <c r="F79" s="9" t="n">
        <f aca="false">'2026 Forecast C'!G61</f>
        <v>0.301204819277108</v>
      </c>
      <c r="G79" s="24" t="n">
        <f aca="false">(MAX(D79:F79)-MIN(D79:F79))*100</f>
        <v>2.61761331038439</v>
      </c>
      <c r="H79" s="24" t="n">
        <f aca="false">'2026 Forecast A'!J61</f>
        <v>3.25434931194355</v>
      </c>
      <c r="I79" s="24" t="n">
        <f aca="false">'2026 Forecast B'!J61</f>
        <v>3.09864730606258</v>
      </c>
      <c r="J79" s="24" t="n">
        <f aca="false">'2026 Forecast C'!J61</f>
        <v>3.7041269898902</v>
      </c>
      <c r="K79" s="25" t="n">
        <f aca="false">'2026 Forecast A'!F61</f>
        <v>335</v>
      </c>
      <c r="L79" s="26" t="str">
        <f aca="false">IF(OR(AND(D79&gt;0.5,E79&gt;0.5,F79&gt;0.5),AND(D79&lt;0.5,E79&lt;0.5,F79&lt;0.5)),"Yes","No — toss-up")</f>
        <v>Yes</v>
      </c>
    </row>
    <row r="80" customFormat="false" ht="15" hidden="false" customHeight="false" outlineLevel="0" collapsed="false">
      <c r="A80" s="8" t="str">
        <f aca="false">'2026 Forecast A'!A62</f>
        <v>Carbon</v>
      </c>
      <c r="B80" s="8" t="str">
        <f aca="false">'2026 Forecast A'!B62</f>
        <v>WEISSPORT BOROUGH</v>
      </c>
      <c r="C80" s="8" t="str">
        <f aca="false">'2026 Forecast A'!C62</f>
        <v>WEISSPORT BOROUGH</v>
      </c>
      <c r="D80" s="9" t="n">
        <f aca="false">'2026 Forecast A'!G62</f>
        <v>0.406779661016949</v>
      </c>
      <c r="E80" s="9" t="n">
        <f aca="false">'2026 Forecast B'!G62</f>
        <v>0.418803418803419</v>
      </c>
      <c r="F80" s="9" t="n">
        <f aca="false">'2026 Forecast C'!G62</f>
        <v>0.405172413793103</v>
      </c>
      <c r="G80" s="24" t="n">
        <f aca="false">(MAX(D80:F80)-MIN(D80:F80))*100</f>
        <v>1.36310050103154</v>
      </c>
      <c r="H80" s="24" t="n">
        <f aca="false">'2026 Forecast A'!J62</f>
        <v>3.25434931194355</v>
      </c>
      <c r="I80" s="24" t="n">
        <f aca="false">'2026 Forecast B'!J62</f>
        <v>3.09864730606258</v>
      </c>
      <c r="J80" s="24" t="n">
        <f aca="false">'2026 Forecast C'!J62</f>
        <v>3.7041269898902</v>
      </c>
      <c r="K80" s="25" t="n">
        <f aca="false">'2026 Forecast A'!F62</f>
        <v>118</v>
      </c>
      <c r="L80" s="26" t="str">
        <f aca="false">IF(OR(AND(D80&gt;0.5,E80&gt;0.5,F80&gt;0.5),AND(D80&lt;0.5,E80&lt;0.5,F80&lt;0.5)),"Yes","No — toss-up")</f>
        <v>Yes</v>
      </c>
    </row>
    <row r="81" customFormat="false" ht="15" hidden="false" customHeight="false" outlineLevel="0" collapsed="false">
      <c r="A81" s="8" t="str">
        <f aca="false">'2026 Forecast A'!A63</f>
        <v>Lehigh</v>
      </c>
      <c r="B81" s="8" t="str">
        <f aca="false">'2026 Forecast A'!B63</f>
        <v>ALBURTIS</v>
      </c>
      <c r="C81" s="8" t="str">
        <f aca="false">'2026 Forecast A'!C63</f>
        <v>ALBURTIS</v>
      </c>
      <c r="D81" s="9" t="n">
        <f aca="false">'2026 Forecast A'!G63</f>
        <v>0.501338090990187</v>
      </c>
      <c r="E81" s="9" t="n">
        <f aca="false">'2026 Forecast B'!G63</f>
        <v>0.512477718360071</v>
      </c>
      <c r="F81" s="9" t="n">
        <f aca="false">'2026 Forecast C'!G63</f>
        <v>0.499090909090909</v>
      </c>
      <c r="G81" s="24" t="n">
        <f aca="false">(MAX(D81:F81)-MIN(D81:F81))*100</f>
        <v>1.33868092691622</v>
      </c>
      <c r="H81" s="24" t="n">
        <f aca="false">'2026 Forecast A'!J63</f>
        <v>1.85532414445586</v>
      </c>
      <c r="I81" s="24" t="n">
        <f aca="false">'2026 Forecast B'!J63</f>
        <v>2.0110742867014</v>
      </c>
      <c r="J81" s="24" t="n">
        <f aca="false">'2026 Forecast C'!J63</f>
        <v>2.12060277043418</v>
      </c>
      <c r="K81" s="25" t="n">
        <f aca="false">'2026 Forecast A'!F63</f>
        <v>1121</v>
      </c>
      <c r="L81" s="26" t="str">
        <f aca="false">IF(OR(AND(D81&gt;0.5,E81&gt;0.5,F81&gt;0.5),AND(D81&lt;0.5,E81&lt;0.5,F81&lt;0.5)),"Yes","No — toss-up")</f>
        <v>No — toss-up</v>
      </c>
    </row>
    <row r="82" customFormat="false" ht="15" hidden="false" customHeight="false" outlineLevel="0" collapsed="false">
      <c r="A82" s="8" t="str">
        <f aca="false">'2026 Forecast A'!A64</f>
        <v>Lehigh</v>
      </c>
      <c r="B82" s="8" t="str">
        <f aca="false">'2026 Forecast A'!B64</f>
        <v>ALLENTOWN</v>
      </c>
      <c r="C82" s="8" t="str">
        <f aca="false">'2026 Forecast A'!C64</f>
        <v>ALLENTOWN 10TH WARD 1ST DIST</v>
      </c>
      <c r="D82" s="9" t="n">
        <f aca="false">'2026 Forecast A'!G64</f>
        <v>0.758957654723127</v>
      </c>
      <c r="E82" s="9" t="n">
        <f aca="false">'2026 Forecast B'!G64</f>
        <v>0.754045307443366</v>
      </c>
      <c r="F82" s="9" t="n">
        <f aca="false">'2026 Forecast C'!G64</f>
        <v>0.765625</v>
      </c>
      <c r="G82" s="24" t="n">
        <f aca="false">(MAX(D82:F82)-MIN(D82:F82))*100</f>
        <v>1.15796925566343</v>
      </c>
      <c r="H82" s="24" t="n">
        <f aca="false">'2026 Forecast A'!J64</f>
        <v>3.25434931194355</v>
      </c>
      <c r="I82" s="24" t="n">
        <f aca="false">'2026 Forecast B'!J64</f>
        <v>3.09864730606258</v>
      </c>
      <c r="J82" s="24" t="n">
        <f aca="false">'2026 Forecast C'!J64</f>
        <v>3.7041269898902</v>
      </c>
      <c r="K82" s="25" t="n">
        <f aca="false">'2026 Forecast A'!F64</f>
        <v>307</v>
      </c>
      <c r="L82" s="26" t="str">
        <f aca="false">IF(OR(AND(D82&gt;0.5,E82&gt;0.5,F82&gt;0.5),AND(D82&lt;0.5,E82&lt;0.5,F82&lt;0.5)),"Yes","No — toss-up")</f>
        <v>Yes</v>
      </c>
    </row>
    <row r="83" customFormat="false" ht="15" hidden="false" customHeight="false" outlineLevel="0" collapsed="false">
      <c r="A83" s="8" t="str">
        <f aca="false">'2026 Forecast A'!A65</f>
        <v>Lehigh</v>
      </c>
      <c r="B83" s="8" t="str">
        <f aca="false">'2026 Forecast A'!B65</f>
        <v>ALLENTOWN</v>
      </c>
      <c r="C83" s="8" t="str">
        <f aca="false">'2026 Forecast A'!C65</f>
        <v>ALLENTOWN 10TH WARD 3RD DIST</v>
      </c>
      <c r="D83" s="9" t="n">
        <f aca="false">'2026 Forecast A'!G65</f>
        <v>0.703296703296703</v>
      </c>
      <c r="E83" s="9" t="n">
        <f aca="false">'2026 Forecast B'!G65</f>
        <v>0.711956521739131</v>
      </c>
      <c r="F83" s="9" t="n">
        <f aca="false">'2026 Forecast C'!G65</f>
        <v>0.706806282722513</v>
      </c>
      <c r="G83" s="24" t="n">
        <f aca="false">(MAX(D83:F83)-MIN(D83:F83))*100</f>
        <v>0.865981844242714</v>
      </c>
      <c r="H83" s="24" t="n">
        <f aca="false">'2026 Forecast A'!J65</f>
        <v>3.25434931194355</v>
      </c>
      <c r="I83" s="24" t="n">
        <f aca="false">'2026 Forecast B'!J65</f>
        <v>3.09864730606258</v>
      </c>
      <c r="J83" s="24" t="n">
        <f aca="false">'2026 Forecast C'!J65</f>
        <v>3.7041269898902</v>
      </c>
      <c r="K83" s="25" t="n">
        <f aca="false">'2026 Forecast A'!F65</f>
        <v>182</v>
      </c>
      <c r="L83" s="26" t="str">
        <f aca="false">IF(OR(AND(D83&gt;0.5,E83&gt;0.5,F83&gt;0.5),AND(D83&lt;0.5,E83&lt;0.5,F83&lt;0.5)),"Yes","No — toss-up")</f>
        <v>Yes</v>
      </c>
    </row>
    <row r="84" customFormat="false" ht="15" hidden="false" customHeight="false" outlineLevel="0" collapsed="false">
      <c r="A84" s="8" t="str">
        <f aca="false">'2026 Forecast A'!A66</f>
        <v>Lehigh</v>
      </c>
      <c r="B84" s="8" t="str">
        <f aca="false">'2026 Forecast A'!B66</f>
        <v>ALLENTOWN</v>
      </c>
      <c r="C84" s="8" t="str">
        <f aca="false">'2026 Forecast A'!C66</f>
        <v>ALLENTOWN 10TH WARD 4TH DIST</v>
      </c>
      <c r="D84" s="9" t="n">
        <f aca="false">'2026 Forecast A'!G66</f>
        <v>0.736842105263158</v>
      </c>
      <c r="E84" s="9" t="n">
        <f aca="false">'2026 Forecast B'!G66</f>
        <v>0.742990654205608</v>
      </c>
      <c r="F84" s="9" t="n">
        <f aca="false">'2026 Forecast C'!G66</f>
        <v>0.744292237442922</v>
      </c>
      <c r="G84" s="24" t="n">
        <f aca="false">(MAX(D84:F84)-MIN(D84:F84))*100</f>
        <v>0.745013217976454</v>
      </c>
      <c r="H84" s="24" t="n">
        <f aca="false">'2026 Forecast A'!J66</f>
        <v>3.25434931194355</v>
      </c>
      <c r="I84" s="24" t="n">
        <f aca="false">'2026 Forecast B'!J66</f>
        <v>3.09864730606258</v>
      </c>
      <c r="J84" s="24" t="n">
        <f aca="false">'2026 Forecast C'!J66</f>
        <v>3.7041269898902</v>
      </c>
      <c r="K84" s="25" t="n">
        <f aca="false">'2026 Forecast A'!F66</f>
        <v>209</v>
      </c>
      <c r="L84" s="26" t="str">
        <f aca="false">IF(OR(AND(D84&gt;0.5,E84&gt;0.5,F84&gt;0.5),AND(D84&lt;0.5,E84&lt;0.5,F84&lt;0.5)),"Yes","No — toss-up")</f>
        <v>Yes</v>
      </c>
    </row>
    <row r="85" customFormat="false" ht="15" hidden="false" customHeight="false" outlineLevel="0" collapsed="false">
      <c r="A85" s="8" t="str">
        <f aca="false">'2026 Forecast A'!A67</f>
        <v>Lehigh</v>
      </c>
      <c r="B85" s="8" t="str">
        <f aca="false">'2026 Forecast A'!B67</f>
        <v>ALLENTOWN</v>
      </c>
      <c r="C85" s="8" t="str">
        <f aca="false">'2026 Forecast A'!C67</f>
        <v>ALLENTOWN 11TH WARD 1ST DIST</v>
      </c>
      <c r="D85" s="9" t="n">
        <f aca="false">'2026 Forecast A'!G67</f>
        <v>0.716279069767442</v>
      </c>
      <c r="E85" s="9" t="n">
        <f aca="false">'2026 Forecast B'!G67</f>
        <v>0.71689497716895</v>
      </c>
      <c r="F85" s="9" t="n">
        <f aca="false">'2026 Forecast C'!G67</f>
        <v>0.723214285714286</v>
      </c>
      <c r="G85" s="24" t="n">
        <f aca="false">(MAX(D85:F85)-MIN(D85:F85))*100</f>
        <v>0.693521594684388</v>
      </c>
      <c r="H85" s="24" t="n">
        <f aca="false">'2026 Forecast A'!J67</f>
        <v>3.25434931194355</v>
      </c>
      <c r="I85" s="24" t="n">
        <f aca="false">'2026 Forecast B'!J67</f>
        <v>3.09864730606258</v>
      </c>
      <c r="J85" s="24" t="n">
        <f aca="false">'2026 Forecast C'!J67</f>
        <v>3.7041269898902</v>
      </c>
      <c r="K85" s="25" t="n">
        <f aca="false">'2026 Forecast A'!F67</f>
        <v>215</v>
      </c>
      <c r="L85" s="26" t="str">
        <f aca="false">IF(OR(AND(D85&gt;0.5,E85&gt;0.5,F85&gt;0.5),AND(D85&lt;0.5,E85&lt;0.5,F85&lt;0.5)),"Yes","No — toss-up")</f>
        <v>Yes</v>
      </c>
    </row>
    <row r="86" customFormat="false" ht="15" hidden="false" customHeight="false" outlineLevel="0" collapsed="false">
      <c r="A86" s="8" t="str">
        <f aca="false">'2026 Forecast A'!A68</f>
        <v>Lehigh</v>
      </c>
      <c r="B86" s="8" t="str">
        <f aca="false">'2026 Forecast A'!B68</f>
        <v>ALLENTOWN</v>
      </c>
      <c r="C86" s="8" t="str">
        <f aca="false">'2026 Forecast A'!C68</f>
        <v>ALLENTOWN 11TH WARD 2ND DIST</v>
      </c>
      <c r="D86" s="9" t="n">
        <f aca="false">'2026 Forecast A'!G68</f>
        <v>0.777777777777778</v>
      </c>
      <c r="E86" s="9" t="n">
        <f aca="false">'2026 Forecast B'!G68</f>
        <v>0.786069651741294</v>
      </c>
      <c r="F86" s="9" t="n">
        <f aca="false">'2026 Forecast C'!G68</f>
        <v>0.783653846153846</v>
      </c>
      <c r="G86" s="24" t="n">
        <f aca="false">(MAX(D86:F86)-MIN(D86:F86))*100</f>
        <v>0.829187396351572</v>
      </c>
      <c r="H86" s="24" t="n">
        <f aca="false">'2026 Forecast A'!J68</f>
        <v>3.25434931194355</v>
      </c>
      <c r="I86" s="24" t="n">
        <f aca="false">'2026 Forecast B'!J68</f>
        <v>3.09864730606258</v>
      </c>
      <c r="J86" s="24" t="n">
        <f aca="false">'2026 Forecast C'!J68</f>
        <v>3.7041269898902</v>
      </c>
      <c r="K86" s="25" t="n">
        <f aca="false">'2026 Forecast A'!F68</f>
        <v>198</v>
      </c>
      <c r="L86" s="26" t="str">
        <f aca="false">IF(OR(AND(D86&gt;0.5,E86&gt;0.5,F86&gt;0.5),AND(D86&lt;0.5,E86&lt;0.5,F86&lt;0.5)),"Yes","No — toss-up")</f>
        <v>Yes</v>
      </c>
    </row>
    <row r="87" customFormat="false" ht="15" hidden="false" customHeight="false" outlineLevel="0" collapsed="false">
      <c r="A87" s="8" t="str">
        <f aca="false">'2026 Forecast A'!A69</f>
        <v>Lehigh</v>
      </c>
      <c r="B87" s="8" t="str">
        <f aca="false">'2026 Forecast A'!B69</f>
        <v>ALLENTOWN</v>
      </c>
      <c r="C87" s="8" t="str">
        <f aca="false">'2026 Forecast A'!C69</f>
        <v>ALLENTOWN 11TH WARD 3RD DIST</v>
      </c>
      <c r="D87" s="9" t="n">
        <f aca="false">'2026 Forecast A'!G69</f>
        <v>0.72189349112426</v>
      </c>
      <c r="E87" s="9" t="n">
        <f aca="false">'2026 Forecast B'!G69</f>
        <v>0.709677419354839</v>
      </c>
      <c r="F87" s="9" t="n">
        <f aca="false">'2026 Forecast C'!G69</f>
        <v>0.729106628242075</v>
      </c>
      <c r="G87" s="24" t="n">
        <f aca="false">(MAX(D87:F87)-MIN(D87:F87))*100</f>
        <v>1.94292088872362</v>
      </c>
      <c r="H87" s="24" t="n">
        <f aca="false">'2026 Forecast A'!J69</f>
        <v>3.25434931194355</v>
      </c>
      <c r="I87" s="24" t="n">
        <f aca="false">'2026 Forecast B'!J69</f>
        <v>3.09864730606258</v>
      </c>
      <c r="J87" s="24" t="n">
        <f aca="false">'2026 Forecast C'!J69</f>
        <v>3.7041269898902</v>
      </c>
      <c r="K87" s="25" t="n">
        <f aca="false">'2026 Forecast A'!F69</f>
        <v>338</v>
      </c>
      <c r="L87" s="26" t="str">
        <f aca="false">IF(OR(AND(D87&gt;0.5,E87&gt;0.5,F87&gt;0.5),AND(D87&lt;0.5,E87&lt;0.5,F87&lt;0.5)),"Yes","No — toss-up")</f>
        <v>Yes</v>
      </c>
    </row>
    <row r="88" customFormat="false" ht="15" hidden="false" customHeight="false" outlineLevel="0" collapsed="false">
      <c r="A88" s="8" t="str">
        <f aca="false">'2026 Forecast A'!A70</f>
        <v>Lehigh</v>
      </c>
      <c r="B88" s="8" t="str">
        <f aca="false">'2026 Forecast A'!B70</f>
        <v>ALLENTOWN</v>
      </c>
      <c r="C88" s="8" t="str">
        <f aca="false">'2026 Forecast A'!C70</f>
        <v>ALLENTOWN 11TH WARD 4TH DIST</v>
      </c>
      <c r="D88" s="9" t="n">
        <f aca="false">'2026 Forecast A'!G70</f>
        <v>0.804911323328786</v>
      </c>
      <c r="E88" s="9" t="n">
        <f aca="false">'2026 Forecast B'!G70</f>
        <v>0.795669824086604</v>
      </c>
      <c r="F88" s="9" t="n">
        <f aca="false">'2026 Forecast C'!G70</f>
        <v>0.808454425363276</v>
      </c>
      <c r="G88" s="24" t="n">
        <f aca="false">(MAX(D88:F88)-MIN(D88:F88))*100</f>
        <v>1.27846012766726</v>
      </c>
      <c r="H88" s="24" t="n">
        <f aca="false">'2026 Forecast A'!J70</f>
        <v>3.25434931194355</v>
      </c>
      <c r="I88" s="24" t="n">
        <f aca="false">'2026 Forecast B'!J70</f>
        <v>3.09864730606258</v>
      </c>
      <c r="J88" s="24" t="n">
        <f aca="false">'2026 Forecast C'!J70</f>
        <v>3.7041269898902</v>
      </c>
      <c r="K88" s="25" t="n">
        <f aca="false">'2026 Forecast A'!F70</f>
        <v>733</v>
      </c>
      <c r="L88" s="26" t="str">
        <f aca="false">IF(OR(AND(D88&gt;0.5,E88&gt;0.5,F88&gt;0.5),AND(D88&lt;0.5,E88&lt;0.5,F88&lt;0.5)),"Yes","No — toss-up")</f>
        <v>Yes</v>
      </c>
    </row>
    <row r="89" customFormat="false" ht="15" hidden="false" customHeight="false" outlineLevel="0" collapsed="false">
      <c r="A89" s="8" t="str">
        <f aca="false">'2026 Forecast A'!A71</f>
        <v>Lehigh</v>
      </c>
      <c r="B89" s="8" t="str">
        <f aca="false">'2026 Forecast A'!B71</f>
        <v>ALLENTOWN</v>
      </c>
      <c r="C89" s="8" t="str">
        <f aca="false">'2026 Forecast A'!C71</f>
        <v>ALLENTOWN 11TH WARD 5TH DIST</v>
      </c>
      <c r="D89" s="9" t="n">
        <f aca="false">'2026 Forecast A'!G71</f>
        <v>0.692671394799054</v>
      </c>
      <c r="E89" s="9" t="n">
        <f aca="false">'2026 Forecast B'!G71</f>
        <v>0.690697674418605</v>
      </c>
      <c r="F89" s="9" t="n">
        <f aca="false">'2026 Forecast C'!G71</f>
        <v>0.699519230769231</v>
      </c>
      <c r="G89" s="24" t="n">
        <f aca="false">(MAX(D89:F89)-MIN(D89:F89))*100</f>
        <v>0.882155635062609</v>
      </c>
      <c r="H89" s="24" t="n">
        <f aca="false">'2026 Forecast A'!J71</f>
        <v>3.25434931194355</v>
      </c>
      <c r="I89" s="24" t="n">
        <f aca="false">'2026 Forecast B'!J71</f>
        <v>3.09864730606258</v>
      </c>
      <c r="J89" s="24" t="n">
        <f aca="false">'2026 Forecast C'!J71</f>
        <v>3.7041269898902</v>
      </c>
      <c r="K89" s="25" t="n">
        <f aca="false">'2026 Forecast A'!F71</f>
        <v>423</v>
      </c>
      <c r="L89" s="26" t="str">
        <f aca="false">IF(OR(AND(D89&gt;0.5,E89&gt;0.5,F89&gt;0.5),AND(D89&lt;0.5,E89&lt;0.5,F89&lt;0.5)),"Yes","No — toss-up")</f>
        <v>Yes</v>
      </c>
    </row>
    <row r="90" customFormat="false" ht="15" hidden="false" customHeight="false" outlineLevel="0" collapsed="false">
      <c r="A90" s="8" t="str">
        <f aca="false">'2026 Forecast A'!A72</f>
        <v>Lehigh</v>
      </c>
      <c r="B90" s="8" t="str">
        <f aca="false">'2026 Forecast A'!B72</f>
        <v>ALLENTOWN</v>
      </c>
      <c r="C90" s="8" t="str">
        <f aca="false">'2026 Forecast A'!C72</f>
        <v>ALLENTOWN 11TH WARD 6TH DIST</v>
      </c>
      <c r="D90" s="9" t="n">
        <f aca="false">'2026 Forecast A'!G72</f>
        <v>0.648</v>
      </c>
      <c r="E90" s="9" t="n">
        <f aca="false">'2026 Forecast B'!G72</f>
        <v>0.651773981603154</v>
      </c>
      <c r="F90" s="9" t="n">
        <f aca="false">'2026 Forecast C'!G72</f>
        <v>0.651810584958217</v>
      </c>
      <c r="G90" s="24" t="n">
        <f aca="false">(MAX(D90:F90)-MIN(D90:F90))*100</f>
        <v>0.381058495821729</v>
      </c>
      <c r="H90" s="24" t="n">
        <f aca="false">'2026 Forecast A'!J72</f>
        <v>3.25434931194355</v>
      </c>
      <c r="I90" s="24" t="n">
        <f aca="false">'2026 Forecast B'!J72</f>
        <v>3.09864730606258</v>
      </c>
      <c r="J90" s="24" t="n">
        <f aca="false">'2026 Forecast C'!J72</f>
        <v>3.7041269898902</v>
      </c>
      <c r="K90" s="25" t="n">
        <f aca="false">'2026 Forecast A'!F72</f>
        <v>750</v>
      </c>
      <c r="L90" s="26" t="str">
        <f aca="false">IF(OR(AND(D90&gt;0.5,E90&gt;0.5,F90&gt;0.5),AND(D90&lt;0.5,E90&lt;0.5,F90&lt;0.5)),"Yes","No — toss-up")</f>
        <v>Yes</v>
      </c>
    </row>
    <row r="91" customFormat="false" ht="15" hidden="false" customHeight="false" outlineLevel="0" collapsed="false">
      <c r="A91" s="8" t="str">
        <f aca="false">'2026 Forecast A'!A73</f>
        <v>Lehigh</v>
      </c>
      <c r="B91" s="8" t="str">
        <f aca="false">'2026 Forecast A'!B73</f>
        <v>ALLENTOWN</v>
      </c>
      <c r="C91" s="8" t="str">
        <f aca="false">'2026 Forecast A'!C73</f>
        <v>ALLENTOWN 11TH WARD 7TH DIST</v>
      </c>
      <c r="D91" s="9" t="n">
        <f aca="false">'2026 Forecast A'!G73</f>
        <v>0.668421052631579</v>
      </c>
      <c r="E91" s="9" t="n">
        <f aca="false">'2026 Forecast B'!G73</f>
        <v>0.663176265270506</v>
      </c>
      <c r="F91" s="9" t="n">
        <f aca="false">'2026 Forecast C'!G73</f>
        <v>0.67262969588551</v>
      </c>
      <c r="G91" s="24" t="n">
        <f aca="false">(MAX(D91:F91)-MIN(D91:F91))*100</f>
        <v>0.94534306150037</v>
      </c>
      <c r="H91" s="24" t="n">
        <f aca="false">'2026 Forecast A'!J73</f>
        <v>3.25434931194355</v>
      </c>
      <c r="I91" s="24" t="n">
        <f aca="false">'2026 Forecast B'!J73</f>
        <v>3.09864730606258</v>
      </c>
      <c r="J91" s="24" t="n">
        <f aca="false">'2026 Forecast C'!J73</f>
        <v>3.7041269898902</v>
      </c>
      <c r="K91" s="25" t="n">
        <f aca="false">'2026 Forecast A'!F73</f>
        <v>570</v>
      </c>
      <c r="L91" s="26" t="str">
        <f aca="false">IF(OR(AND(D91&gt;0.5,E91&gt;0.5,F91&gt;0.5),AND(D91&lt;0.5,E91&lt;0.5,F91&lt;0.5)),"Yes","No — toss-up")</f>
        <v>Yes</v>
      </c>
    </row>
    <row r="92" customFormat="false" ht="15" hidden="false" customHeight="false" outlineLevel="0" collapsed="false">
      <c r="A92" s="8" t="str">
        <f aca="false">'2026 Forecast A'!A74</f>
        <v>Lehigh</v>
      </c>
      <c r="B92" s="8" t="str">
        <f aca="false">'2026 Forecast A'!B74</f>
        <v>ALLENTOWN</v>
      </c>
      <c r="C92" s="8" t="str">
        <f aca="false">'2026 Forecast A'!C74</f>
        <v>ALLENTOWN 12TH WARD 1ST DIST</v>
      </c>
      <c r="D92" s="9" t="n">
        <f aca="false">'2026 Forecast A'!G74</f>
        <v>0.72</v>
      </c>
      <c r="E92" s="9" t="n">
        <f aca="false">'2026 Forecast B'!G74</f>
        <v>0.707865168539326</v>
      </c>
      <c r="F92" s="9" t="n">
        <f aca="false">'2026 Forecast C'!G74</f>
        <v>0.726519337016575</v>
      </c>
      <c r="G92" s="24" t="n">
        <f aca="false">(MAX(D92:F92)-MIN(D92:F92))*100</f>
        <v>1.86541684772488</v>
      </c>
      <c r="H92" s="24" t="n">
        <f aca="false">'2026 Forecast A'!J74</f>
        <v>3.25434931194355</v>
      </c>
      <c r="I92" s="24" t="n">
        <f aca="false">'2026 Forecast B'!J74</f>
        <v>3.09864730606258</v>
      </c>
      <c r="J92" s="24" t="n">
        <f aca="false">'2026 Forecast C'!J74</f>
        <v>3.7041269898902</v>
      </c>
      <c r="K92" s="25" t="n">
        <f aca="false">'2026 Forecast A'!F74</f>
        <v>350</v>
      </c>
      <c r="L92" s="26" t="str">
        <f aca="false">IF(OR(AND(D92&gt;0.5,E92&gt;0.5,F92&gt;0.5),AND(D92&lt;0.5,E92&lt;0.5,F92&lt;0.5)),"Yes","No — toss-up")</f>
        <v>Yes</v>
      </c>
    </row>
    <row r="93" customFormat="false" ht="15" hidden="false" customHeight="false" outlineLevel="0" collapsed="false">
      <c r="A93" s="8" t="str">
        <f aca="false">'2026 Forecast A'!A75</f>
        <v>Lehigh</v>
      </c>
      <c r="B93" s="8" t="str">
        <f aca="false">'2026 Forecast A'!B75</f>
        <v>ALLENTOWN</v>
      </c>
      <c r="C93" s="8" t="str">
        <f aca="false">'2026 Forecast A'!C75</f>
        <v>ALLENTOWN 12TH WARD 2ND DIST</v>
      </c>
      <c r="D93" s="9" t="n">
        <f aca="false">'2026 Forecast A'!G75</f>
        <v>0.670190274841438</v>
      </c>
      <c r="E93" s="9" t="n">
        <f aca="false">'2026 Forecast B'!G75</f>
        <v>0.678496868475992</v>
      </c>
      <c r="F93" s="9" t="n">
        <f aca="false">'2026 Forecast C'!G75</f>
        <v>0.675732217573222</v>
      </c>
      <c r="G93" s="24" t="n">
        <f aca="false">(MAX(D93:F93)-MIN(D93:F93))*100</f>
        <v>0.830659363455399</v>
      </c>
      <c r="H93" s="24" t="n">
        <f aca="false">'2026 Forecast A'!J75</f>
        <v>3.25434931194355</v>
      </c>
      <c r="I93" s="24" t="n">
        <f aca="false">'2026 Forecast B'!J75</f>
        <v>3.09864730606258</v>
      </c>
      <c r="J93" s="24" t="n">
        <f aca="false">'2026 Forecast C'!J75</f>
        <v>3.7041269898902</v>
      </c>
      <c r="K93" s="25" t="n">
        <f aca="false">'2026 Forecast A'!F75</f>
        <v>473</v>
      </c>
      <c r="L93" s="26" t="str">
        <f aca="false">IF(OR(AND(D93&gt;0.5,E93&gt;0.5,F93&gt;0.5),AND(D93&lt;0.5,E93&lt;0.5,F93&lt;0.5)),"Yes","No — toss-up")</f>
        <v>Yes</v>
      </c>
    </row>
    <row r="94" customFormat="false" ht="15" hidden="false" customHeight="false" outlineLevel="0" collapsed="false">
      <c r="A94" s="8" t="str">
        <f aca="false">'2026 Forecast A'!A76</f>
        <v>Lehigh</v>
      </c>
      <c r="B94" s="8" t="str">
        <f aca="false">'2026 Forecast A'!B76</f>
        <v>ALLENTOWN</v>
      </c>
      <c r="C94" s="8" t="str">
        <f aca="false">'2026 Forecast A'!C76</f>
        <v>ALLENTOWN 12TH WARD 3RD DIST</v>
      </c>
      <c r="D94" s="9" t="n">
        <f aca="false">'2026 Forecast A'!G76</f>
        <v>0.663807890222985</v>
      </c>
      <c r="E94" s="9" t="n">
        <f aca="false">'2026 Forecast B'!G76</f>
        <v>0.66213921901528</v>
      </c>
      <c r="F94" s="9" t="n">
        <f aca="false">'2026 Forecast C'!G76</f>
        <v>0.668402777777778</v>
      </c>
      <c r="G94" s="24" t="n">
        <f aca="false">(MAX(D94:F94)-MIN(D94:F94))*100</f>
        <v>0.626355876249762</v>
      </c>
      <c r="H94" s="24" t="n">
        <f aca="false">'2026 Forecast A'!J76</f>
        <v>3.25434931194355</v>
      </c>
      <c r="I94" s="24" t="n">
        <f aca="false">'2026 Forecast B'!J76</f>
        <v>3.09864730606258</v>
      </c>
      <c r="J94" s="24" t="n">
        <f aca="false">'2026 Forecast C'!J76</f>
        <v>3.7041269898902</v>
      </c>
      <c r="K94" s="25" t="n">
        <f aca="false">'2026 Forecast A'!F76</f>
        <v>583</v>
      </c>
      <c r="L94" s="26" t="str">
        <f aca="false">IF(OR(AND(D94&gt;0.5,E94&gt;0.5,F94&gt;0.5),AND(D94&lt;0.5,E94&lt;0.5,F94&lt;0.5)),"Yes","No — toss-up")</f>
        <v>Yes</v>
      </c>
    </row>
    <row r="95" customFormat="false" ht="15" hidden="false" customHeight="false" outlineLevel="0" collapsed="false">
      <c r="A95" s="8" t="str">
        <f aca="false">'2026 Forecast A'!A77</f>
        <v>Lehigh</v>
      </c>
      <c r="B95" s="8" t="str">
        <f aca="false">'2026 Forecast A'!B77</f>
        <v>ALLENTOWN</v>
      </c>
      <c r="C95" s="8" t="str">
        <f aca="false">'2026 Forecast A'!C77</f>
        <v>ALLENTOWN 12TH WARD 4TH DIST</v>
      </c>
      <c r="D95" s="9" t="n">
        <f aca="false">'2026 Forecast A'!G77</f>
        <v>0.611111111111111</v>
      </c>
      <c r="E95" s="9" t="n">
        <f aca="false">'2026 Forecast B'!G77</f>
        <v>0.617647058823529</v>
      </c>
      <c r="F95" s="9" t="n">
        <f aca="false">'2026 Forecast C'!G77</f>
        <v>0.61744966442953</v>
      </c>
      <c r="G95" s="24" t="n">
        <f aca="false">(MAX(D95:F95)-MIN(D95:F95))*100</f>
        <v>0.653594771241828</v>
      </c>
      <c r="H95" s="24" t="n">
        <f aca="false">'2026 Forecast A'!J77</f>
        <v>3.25434931194355</v>
      </c>
      <c r="I95" s="24" t="n">
        <f aca="false">'2026 Forecast B'!J77</f>
        <v>3.09864730606258</v>
      </c>
      <c r="J95" s="24" t="n">
        <f aca="false">'2026 Forecast C'!J77</f>
        <v>3.7041269898902</v>
      </c>
      <c r="K95" s="25" t="n">
        <f aca="false">'2026 Forecast A'!F77</f>
        <v>612</v>
      </c>
      <c r="L95" s="26" t="str">
        <f aca="false">IF(OR(AND(D95&gt;0.5,E95&gt;0.5,F95&gt;0.5),AND(D95&lt;0.5,E95&lt;0.5,F95&lt;0.5)),"Yes","No — toss-up")</f>
        <v>Yes</v>
      </c>
    </row>
    <row r="96" customFormat="false" ht="15" hidden="false" customHeight="false" outlineLevel="0" collapsed="false">
      <c r="A96" s="8" t="str">
        <f aca="false">'2026 Forecast A'!A78</f>
        <v>Lehigh</v>
      </c>
      <c r="B96" s="8" t="str">
        <f aca="false">'2026 Forecast A'!B78</f>
        <v>ALLENTOWN</v>
      </c>
      <c r="C96" s="8" t="str">
        <f aca="false">'2026 Forecast A'!C78</f>
        <v>ALLENTOWN 12TH WARD 5TH DIST</v>
      </c>
      <c r="D96" s="9" t="n">
        <f aca="false">'2026 Forecast A'!G78</f>
        <v>0.646258503401361</v>
      </c>
      <c r="E96" s="9" t="n">
        <f aca="false">'2026 Forecast B'!G78</f>
        <v>0.652370203160271</v>
      </c>
      <c r="F96" s="9" t="n">
        <f aca="false">'2026 Forecast C'!G78</f>
        <v>0.646924829157175</v>
      </c>
      <c r="G96" s="24" t="n">
        <f aca="false">(MAX(D96:F96)-MIN(D96:F96))*100</f>
        <v>0.611169975891024</v>
      </c>
      <c r="H96" s="24" t="n">
        <f aca="false">'2026 Forecast A'!J78</f>
        <v>3.25434931194355</v>
      </c>
      <c r="I96" s="24" t="n">
        <f aca="false">'2026 Forecast B'!J78</f>
        <v>3.09864730606258</v>
      </c>
      <c r="J96" s="24" t="n">
        <f aca="false">'2026 Forecast C'!J78</f>
        <v>3.7041269898902</v>
      </c>
      <c r="K96" s="25" t="n">
        <f aca="false">'2026 Forecast A'!F78</f>
        <v>441</v>
      </c>
      <c r="L96" s="26" t="str">
        <f aca="false">IF(OR(AND(D96&gt;0.5,E96&gt;0.5,F96&gt;0.5),AND(D96&lt;0.5,E96&lt;0.5,F96&lt;0.5)),"Yes","No — toss-up")</f>
        <v>Yes</v>
      </c>
    </row>
    <row r="97" customFormat="false" ht="15" hidden="false" customHeight="false" outlineLevel="0" collapsed="false">
      <c r="A97" s="8" t="str">
        <f aca="false">'2026 Forecast A'!A79</f>
        <v>Lehigh</v>
      </c>
      <c r="B97" s="8" t="str">
        <f aca="false">'2026 Forecast A'!B79</f>
        <v>ALLENTOWN</v>
      </c>
      <c r="C97" s="8" t="str">
        <f aca="false">'2026 Forecast A'!C79</f>
        <v>ALLENTOWN 13TH WARD 1ST DIST</v>
      </c>
      <c r="D97" s="9" t="n">
        <f aca="false">'2026 Forecast A'!G79</f>
        <v>0.729106628242075</v>
      </c>
      <c r="E97" s="9" t="n">
        <f aca="false">'2026 Forecast B'!G79</f>
        <v>0.742774566473988</v>
      </c>
      <c r="F97" s="9" t="n">
        <f aca="false">'2026 Forecast C'!G79</f>
        <v>0.735211267605634</v>
      </c>
      <c r="G97" s="24" t="n">
        <f aca="false">(MAX(D97:F97)-MIN(D97:F97))*100</f>
        <v>1.36679382319135</v>
      </c>
      <c r="H97" s="24" t="n">
        <f aca="false">'2026 Forecast A'!J79</f>
        <v>3.25434931194355</v>
      </c>
      <c r="I97" s="24" t="n">
        <f aca="false">'2026 Forecast B'!J79</f>
        <v>3.09864730606258</v>
      </c>
      <c r="J97" s="24" t="n">
        <f aca="false">'2026 Forecast C'!J79</f>
        <v>3.7041269898902</v>
      </c>
      <c r="K97" s="25" t="n">
        <f aca="false">'2026 Forecast A'!F79</f>
        <v>347</v>
      </c>
      <c r="L97" s="26" t="str">
        <f aca="false">IF(OR(AND(D97&gt;0.5,E97&gt;0.5,F97&gt;0.5),AND(D97&lt;0.5,E97&lt;0.5,F97&lt;0.5)),"Yes","No — toss-up")</f>
        <v>Yes</v>
      </c>
    </row>
    <row r="98" customFormat="false" ht="15" hidden="false" customHeight="false" outlineLevel="0" collapsed="false">
      <c r="A98" s="8" t="str">
        <f aca="false">'2026 Forecast A'!A80</f>
        <v>Lehigh</v>
      </c>
      <c r="B98" s="8" t="str">
        <f aca="false">'2026 Forecast A'!B80</f>
        <v>ALLENTOWN</v>
      </c>
      <c r="C98" s="8" t="str">
        <f aca="false">'2026 Forecast A'!C80</f>
        <v>ALLENTOWN 13TH WARD 2ND DIST</v>
      </c>
      <c r="D98" s="9" t="n">
        <f aca="false">'2026 Forecast A'!G80</f>
        <v>0.682926829268293</v>
      </c>
      <c r="E98" s="9" t="n">
        <f aca="false">'2026 Forecast B'!G80</f>
        <v>0.694444444444444</v>
      </c>
      <c r="F98" s="9" t="n">
        <f aca="false">'2026 Forecast C'!G80</f>
        <v>0.686006825938567</v>
      </c>
      <c r="G98" s="24" t="n">
        <f aca="false">(MAX(D98:F98)-MIN(D98:F98))*100</f>
        <v>1.15176151761517</v>
      </c>
      <c r="H98" s="24" t="n">
        <f aca="false">'2026 Forecast A'!J80</f>
        <v>3.25434931194355</v>
      </c>
      <c r="I98" s="24" t="n">
        <f aca="false">'2026 Forecast B'!J80</f>
        <v>3.09864730606258</v>
      </c>
      <c r="J98" s="24" t="n">
        <f aca="false">'2026 Forecast C'!J80</f>
        <v>3.7041269898902</v>
      </c>
      <c r="K98" s="25" t="n">
        <f aca="false">'2026 Forecast A'!F80</f>
        <v>287</v>
      </c>
      <c r="L98" s="26" t="str">
        <f aca="false">IF(OR(AND(D98&gt;0.5,E98&gt;0.5,F98&gt;0.5),AND(D98&lt;0.5,E98&lt;0.5,F98&lt;0.5)),"Yes","No — toss-up")</f>
        <v>Yes</v>
      </c>
    </row>
    <row r="99" customFormat="false" ht="15" hidden="false" customHeight="false" outlineLevel="0" collapsed="false">
      <c r="A99" s="8" t="str">
        <f aca="false">'2026 Forecast A'!A81</f>
        <v>Lehigh</v>
      </c>
      <c r="B99" s="8" t="str">
        <f aca="false">'2026 Forecast A'!B81</f>
        <v>ALLENTOWN</v>
      </c>
      <c r="C99" s="8" t="str">
        <f aca="false">'2026 Forecast A'!C81</f>
        <v>ALLENTOWN 13TH WARD 3RD DIST</v>
      </c>
      <c r="D99" s="9" t="n">
        <f aca="false">'2026 Forecast A'!G81</f>
        <v>0.686274509803922</v>
      </c>
      <c r="E99" s="9" t="n">
        <f aca="false">'2026 Forecast B'!G81</f>
        <v>0.683046683046683</v>
      </c>
      <c r="F99" s="9" t="n">
        <f aca="false">'2026 Forecast C'!G81</f>
        <v>0.689054726368159</v>
      </c>
      <c r="G99" s="24" t="n">
        <f aca="false">(MAX(D99:F99)-MIN(D99:F99))*100</f>
        <v>0.60080433214762</v>
      </c>
      <c r="H99" s="24" t="n">
        <f aca="false">'2026 Forecast A'!J81</f>
        <v>3.25434931194355</v>
      </c>
      <c r="I99" s="24" t="n">
        <f aca="false">'2026 Forecast B'!J81</f>
        <v>3.09864730606258</v>
      </c>
      <c r="J99" s="24" t="n">
        <f aca="false">'2026 Forecast C'!J81</f>
        <v>3.7041269898902</v>
      </c>
      <c r="K99" s="25" t="n">
        <f aca="false">'2026 Forecast A'!F81</f>
        <v>408</v>
      </c>
      <c r="L99" s="26" t="str">
        <f aca="false">IF(OR(AND(D99&gt;0.5,E99&gt;0.5,F99&gt;0.5),AND(D99&lt;0.5,E99&lt;0.5,F99&lt;0.5)),"Yes","No — toss-up")</f>
        <v>Yes</v>
      </c>
    </row>
    <row r="100" customFormat="false" ht="15" hidden="false" customHeight="false" outlineLevel="0" collapsed="false">
      <c r="A100" s="8" t="str">
        <f aca="false">'2026 Forecast A'!A82</f>
        <v>Lehigh</v>
      </c>
      <c r="B100" s="8" t="str">
        <f aca="false">'2026 Forecast A'!B82</f>
        <v>ALLENTOWN</v>
      </c>
      <c r="C100" s="8" t="str">
        <f aca="false">'2026 Forecast A'!C82</f>
        <v>ALLENTOWN 13TH WARD 4TH DIST</v>
      </c>
      <c r="D100" s="9" t="n">
        <f aca="false">'2026 Forecast A'!G82</f>
        <v>0.711409395973154</v>
      </c>
      <c r="E100" s="9" t="n">
        <f aca="false">'2026 Forecast B'!G82</f>
        <v>0.721854304635762</v>
      </c>
      <c r="F100" s="9" t="n">
        <f aca="false">'2026 Forecast C'!G82</f>
        <v>0.717687074829932</v>
      </c>
      <c r="G100" s="24" t="n">
        <f aca="false">(MAX(D100:F100)-MIN(D100:F100))*100</f>
        <v>1.04449086626073</v>
      </c>
      <c r="H100" s="24" t="n">
        <f aca="false">'2026 Forecast A'!J82</f>
        <v>3.25434931194355</v>
      </c>
      <c r="I100" s="24" t="n">
        <f aca="false">'2026 Forecast B'!J82</f>
        <v>3.09864730606258</v>
      </c>
      <c r="J100" s="24" t="n">
        <f aca="false">'2026 Forecast C'!J82</f>
        <v>3.7041269898902</v>
      </c>
      <c r="K100" s="25" t="n">
        <f aca="false">'2026 Forecast A'!F82</f>
        <v>298</v>
      </c>
      <c r="L100" s="26" t="str">
        <f aca="false">IF(OR(AND(D100&gt;0.5,E100&gt;0.5,F100&gt;0.5),AND(D100&lt;0.5,E100&lt;0.5,F100&lt;0.5)),"Yes","No — toss-up")</f>
        <v>Yes</v>
      </c>
    </row>
    <row r="101" customFormat="false" ht="15" hidden="false" customHeight="false" outlineLevel="0" collapsed="false">
      <c r="A101" s="8" t="str">
        <f aca="false">'2026 Forecast A'!A83</f>
        <v>Lehigh</v>
      </c>
      <c r="B101" s="8" t="str">
        <f aca="false">'2026 Forecast A'!B83</f>
        <v>ALLENTOWN</v>
      </c>
      <c r="C101" s="8" t="str">
        <f aca="false">'2026 Forecast A'!C83</f>
        <v>ALLENTOWN 14TH WARD 1ST DIST</v>
      </c>
      <c r="D101" s="9" t="n">
        <f aca="false">'2026 Forecast A'!G83</f>
        <v>0.673952641165756</v>
      </c>
      <c r="E101" s="9" t="n">
        <f aca="false">'2026 Forecast B'!G83</f>
        <v>0.675</v>
      </c>
      <c r="F101" s="9" t="n">
        <f aca="false">'2026 Forecast C'!G83</f>
        <v>0.677361853832442</v>
      </c>
      <c r="G101" s="24" t="n">
        <f aca="false">(MAX(D101:F101)-MIN(D101:F101))*100</f>
        <v>0.340921266668615</v>
      </c>
      <c r="H101" s="24" t="n">
        <f aca="false">'2026 Forecast A'!J83</f>
        <v>3.25434931194355</v>
      </c>
      <c r="I101" s="24" t="n">
        <f aca="false">'2026 Forecast B'!J83</f>
        <v>3.09864730606258</v>
      </c>
      <c r="J101" s="24" t="n">
        <f aca="false">'2026 Forecast C'!J83</f>
        <v>3.7041269898902</v>
      </c>
      <c r="K101" s="25" t="n">
        <f aca="false">'2026 Forecast A'!F83</f>
        <v>549</v>
      </c>
      <c r="L101" s="26" t="str">
        <f aca="false">IF(OR(AND(D101&gt;0.5,E101&gt;0.5,F101&gt;0.5),AND(D101&lt;0.5,E101&lt;0.5,F101&lt;0.5)),"Yes","No — toss-up")</f>
        <v>Yes</v>
      </c>
    </row>
    <row r="102" customFormat="false" ht="15" hidden="false" customHeight="false" outlineLevel="0" collapsed="false">
      <c r="A102" s="8" t="str">
        <f aca="false">'2026 Forecast A'!A84</f>
        <v>Lehigh</v>
      </c>
      <c r="B102" s="8" t="str">
        <f aca="false">'2026 Forecast A'!B84</f>
        <v>ALLENTOWN</v>
      </c>
      <c r="C102" s="8" t="str">
        <f aca="false">'2026 Forecast A'!C84</f>
        <v>ALLENTOWN 14TH WARD 2ND DIST</v>
      </c>
      <c r="D102" s="9" t="n">
        <f aca="false">'2026 Forecast A'!G84</f>
        <v>0.675324675324675</v>
      </c>
      <c r="E102" s="9" t="n">
        <f aca="false">'2026 Forecast B'!G84</f>
        <v>0.685082872928177</v>
      </c>
      <c r="F102" s="9" t="n">
        <f aca="false">'2026 Forecast C'!G84</f>
        <v>0.679347826086957</v>
      </c>
      <c r="G102" s="24" t="n">
        <f aca="false">(MAX(D102:F102)-MIN(D102:F102))*100</f>
        <v>0.97581976035015</v>
      </c>
      <c r="H102" s="24" t="n">
        <f aca="false">'2026 Forecast A'!J84</f>
        <v>3.25434931194355</v>
      </c>
      <c r="I102" s="24" t="n">
        <f aca="false">'2026 Forecast B'!J84</f>
        <v>3.09864730606258</v>
      </c>
      <c r="J102" s="24" t="n">
        <f aca="false">'2026 Forecast C'!J84</f>
        <v>3.7041269898902</v>
      </c>
      <c r="K102" s="25" t="n">
        <f aca="false">'2026 Forecast A'!F84</f>
        <v>539</v>
      </c>
      <c r="L102" s="26" t="str">
        <f aca="false">IF(OR(AND(D102&gt;0.5,E102&gt;0.5,F102&gt;0.5),AND(D102&lt;0.5,E102&lt;0.5,F102&lt;0.5)),"Yes","No — toss-up")</f>
        <v>Yes</v>
      </c>
    </row>
    <row r="103" customFormat="false" ht="15" hidden="false" customHeight="false" outlineLevel="0" collapsed="false">
      <c r="A103" s="8" t="str">
        <f aca="false">'2026 Forecast A'!A85</f>
        <v>Lehigh</v>
      </c>
      <c r="B103" s="8" t="str">
        <f aca="false">'2026 Forecast A'!B85</f>
        <v>ALLENTOWN</v>
      </c>
      <c r="C103" s="8" t="str">
        <f aca="false">'2026 Forecast A'!C85</f>
        <v>ALLENTOWN 15TH WARD 1ST DIST</v>
      </c>
      <c r="D103" s="9" t="n">
        <f aca="false">'2026 Forecast A'!G85</f>
        <v>0.605683836589698</v>
      </c>
      <c r="E103" s="9" t="n">
        <f aca="false">'2026 Forecast B'!G85</f>
        <v>0.623916811091854</v>
      </c>
      <c r="F103" s="9" t="n">
        <f aca="false">'2026 Forecast C'!G85</f>
        <v>0.605504587155963</v>
      </c>
      <c r="G103" s="24" t="n">
        <f aca="false">(MAX(D103:F103)-MIN(D103:F103))*100</f>
        <v>1.8412223935891</v>
      </c>
      <c r="H103" s="24" t="n">
        <f aca="false">'2026 Forecast A'!J85</f>
        <v>3.25434931194355</v>
      </c>
      <c r="I103" s="24" t="n">
        <f aca="false">'2026 Forecast B'!J85</f>
        <v>3.09864730606258</v>
      </c>
      <c r="J103" s="24" t="n">
        <f aca="false">'2026 Forecast C'!J85</f>
        <v>3.7041269898902</v>
      </c>
      <c r="K103" s="25" t="n">
        <f aca="false">'2026 Forecast A'!F85</f>
        <v>563</v>
      </c>
      <c r="L103" s="26" t="str">
        <f aca="false">IF(OR(AND(D103&gt;0.5,E103&gt;0.5,F103&gt;0.5),AND(D103&lt;0.5,E103&lt;0.5,F103&lt;0.5)),"Yes","No — toss-up")</f>
        <v>Yes</v>
      </c>
    </row>
    <row r="104" customFormat="false" ht="15" hidden="false" customHeight="false" outlineLevel="0" collapsed="false">
      <c r="A104" s="8" t="str">
        <f aca="false">'2026 Forecast A'!A86</f>
        <v>Lehigh</v>
      </c>
      <c r="B104" s="8" t="str">
        <f aca="false">'2026 Forecast A'!B86</f>
        <v>ALLENTOWN</v>
      </c>
      <c r="C104" s="8" t="str">
        <f aca="false">'2026 Forecast A'!C86</f>
        <v>ALLENTOWN 15TH WARD 2ND DIST</v>
      </c>
      <c r="D104" s="9" t="n">
        <f aca="false">'2026 Forecast A'!G86</f>
        <v>0.651877133105802</v>
      </c>
      <c r="E104" s="9" t="n">
        <f aca="false">'2026 Forecast B'!G86</f>
        <v>0.662162162162162</v>
      </c>
      <c r="F104" s="9" t="n">
        <f aca="false">'2026 Forecast C'!G86</f>
        <v>0.656040268456376</v>
      </c>
      <c r="G104" s="24" t="n">
        <f aca="false">(MAX(D104:F104)-MIN(D104:F104))*100</f>
        <v>1.02850290563601</v>
      </c>
      <c r="H104" s="24" t="n">
        <f aca="false">'2026 Forecast A'!J86</f>
        <v>3.25434931194355</v>
      </c>
      <c r="I104" s="24" t="n">
        <f aca="false">'2026 Forecast B'!J86</f>
        <v>3.09864730606258</v>
      </c>
      <c r="J104" s="24" t="n">
        <f aca="false">'2026 Forecast C'!J86</f>
        <v>3.7041269898902</v>
      </c>
      <c r="K104" s="25" t="n">
        <f aca="false">'2026 Forecast A'!F86</f>
        <v>586</v>
      </c>
      <c r="L104" s="26" t="str">
        <f aca="false">IF(OR(AND(D104&gt;0.5,E104&gt;0.5,F104&gt;0.5),AND(D104&lt;0.5,E104&lt;0.5,F104&lt;0.5)),"Yes","No — toss-up")</f>
        <v>Yes</v>
      </c>
    </row>
    <row r="105" customFormat="false" ht="15" hidden="false" customHeight="false" outlineLevel="0" collapsed="false">
      <c r="A105" s="8" t="str">
        <f aca="false">'2026 Forecast A'!A87</f>
        <v>Lehigh</v>
      </c>
      <c r="B105" s="8" t="str">
        <f aca="false">'2026 Forecast A'!B87</f>
        <v>ALLENTOWN</v>
      </c>
      <c r="C105" s="8" t="str">
        <f aca="false">'2026 Forecast A'!C87</f>
        <v>ALLENTOWN 15TH WARD 3RD DIST</v>
      </c>
      <c r="D105" s="9" t="n">
        <f aca="false">'2026 Forecast A'!G87</f>
        <v>0.654843110504775</v>
      </c>
      <c r="E105" s="9" t="n">
        <f aca="false">'2026 Forecast B'!G87</f>
        <v>0.658311345646438</v>
      </c>
      <c r="F105" s="9" t="n">
        <f aca="false">'2026 Forecast C'!G87</f>
        <v>0.659090909090909</v>
      </c>
      <c r="G105" s="24" t="n">
        <f aca="false">(MAX(D105:F105)-MIN(D105:F105))*100</f>
        <v>0.424779858613411</v>
      </c>
      <c r="H105" s="24" t="n">
        <f aca="false">'2026 Forecast A'!J87</f>
        <v>3.25434931194355</v>
      </c>
      <c r="I105" s="24" t="n">
        <f aca="false">'2026 Forecast B'!J87</f>
        <v>3.09864730606258</v>
      </c>
      <c r="J105" s="24" t="n">
        <f aca="false">'2026 Forecast C'!J87</f>
        <v>3.7041269898902</v>
      </c>
      <c r="K105" s="25" t="n">
        <f aca="false">'2026 Forecast A'!F87</f>
        <v>733</v>
      </c>
      <c r="L105" s="26" t="str">
        <f aca="false">IF(OR(AND(D105&gt;0.5,E105&gt;0.5,F105&gt;0.5),AND(D105&lt;0.5,E105&lt;0.5,F105&lt;0.5)),"Yes","No — toss-up")</f>
        <v>Yes</v>
      </c>
    </row>
    <row r="106" customFormat="false" ht="15" hidden="false" customHeight="false" outlineLevel="0" collapsed="false">
      <c r="A106" s="8" t="str">
        <f aca="false">'2026 Forecast A'!A88</f>
        <v>Lehigh</v>
      </c>
      <c r="B106" s="8" t="str">
        <f aca="false">'2026 Forecast A'!B88</f>
        <v>ALLENTOWN</v>
      </c>
      <c r="C106" s="8" t="str">
        <f aca="false">'2026 Forecast A'!C88</f>
        <v>ALLENTOWN 15TH WARD 4TH DIST</v>
      </c>
      <c r="D106" s="9" t="n">
        <f aca="false">'2026 Forecast A'!G88</f>
        <v>0.615071283095723</v>
      </c>
      <c r="E106" s="9" t="n">
        <f aca="false">'2026 Forecast B'!G88</f>
        <v>0.62962962962963</v>
      </c>
      <c r="F106" s="9" t="n">
        <f aca="false">'2026 Forecast C'!G88</f>
        <v>0.618181818181818</v>
      </c>
      <c r="G106" s="24" t="n">
        <f aca="false">(MAX(D106:F106)-MIN(D106:F106))*100</f>
        <v>1.45583465339066</v>
      </c>
      <c r="H106" s="24" t="n">
        <f aca="false">'2026 Forecast A'!J88</f>
        <v>3.25434931194355</v>
      </c>
      <c r="I106" s="24" t="n">
        <f aca="false">'2026 Forecast B'!J88</f>
        <v>3.09864730606258</v>
      </c>
      <c r="J106" s="24" t="n">
        <f aca="false">'2026 Forecast C'!J88</f>
        <v>3.7041269898902</v>
      </c>
      <c r="K106" s="25" t="n">
        <f aca="false">'2026 Forecast A'!F88</f>
        <v>491</v>
      </c>
      <c r="L106" s="26" t="str">
        <f aca="false">IF(OR(AND(D106&gt;0.5,E106&gt;0.5,F106&gt;0.5),AND(D106&lt;0.5,E106&lt;0.5,F106&lt;0.5)),"Yes","No — toss-up")</f>
        <v>Yes</v>
      </c>
    </row>
    <row r="107" customFormat="false" ht="15" hidden="false" customHeight="false" outlineLevel="0" collapsed="false">
      <c r="A107" s="8" t="str">
        <f aca="false">'2026 Forecast A'!A89</f>
        <v>Lehigh</v>
      </c>
      <c r="B107" s="8" t="str">
        <f aca="false">'2026 Forecast A'!B89</f>
        <v>ALLENTOWN</v>
      </c>
      <c r="C107" s="8" t="str">
        <f aca="false">'2026 Forecast A'!C89</f>
        <v>ALLENTOWN 16TH WARD 1ST DIST</v>
      </c>
      <c r="D107" s="9" t="n">
        <f aca="false">'2026 Forecast A'!G89</f>
        <v>0.653508771929825</v>
      </c>
      <c r="E107" s="9" t="n">
        <f aca="false">'2026 Forecast B'!G89</f>
        <v>0.665198237885463</v>
      </c>
      <c r="F107" s="9" t="n">
        <f aca="false">'2026 Forecast C'!G89</f>
        <v>0.65943600867679</v>
      </c>
      <c r="G107" s="24" t="n">
        <f aca="false">(MAX(D107:F107)-MIN(D107:F107))*100</f>
        <v>1.16894659556379</v>
      </c>
      <c r="H107" s="24" t="n">
        <f aca="false">'2026 Forecast A'!J89</f>
        <v>3.25434931194355</v>
      </c>
      <c r="I107" s="24" t="n">
        <f aca="false">'2026 Forecast B'!J89</f>
        <v>3.09864730606258</v>
      </c>
      <c r="J107" s="24" t="n">
        <f aca="false">'2026 Forecast C'!J89</f>
        <v>3.7041269898902</v>
      </c>
      <c r="K107" s="25" t="n">
        <f aca="false">'2026 Forecast A'!F89</f>
        <v>456</v>
      </c>
      <c r="L107" s="26" t="str">
        <f aca="false">IF(OR(AND(D107&gt;0.5,E107&gt;0.5,F107&gt;0.5),AND(D107&lt;0.5,E107&lt;0.5,F107&lt;0.5)),"Yes","No — toss-up")</f>
        <v>Yes</v>
      </c>
    </row>
    <row r="108" customFormat="false" ht="15" hidden="false" customHeight="false" outlineLevel="0" collapsed="false">
      <c r="A108" s="8" t="str">
        <f aca="false">'2026 Forecast A'!A90</f>
        <v>Lehigh</v>
      </c>
      <c r="B108" s="8" t="str">
        <f aca="false">'2026 Forecast A'!B90</f>
        <v>ALLENTOWN</v>
      </c>
      <c r="C108" s="8" t="str">
        <f aca="false">'2026 Forecast A'!C90</f>
        <v>ALLENTOWN 16TH WARD 2ND DIST</v>
      </c>
      <c r="D108" s="9" t="n">
        <f aca="false">'2026 Forecast A'!G90</f>
        <v>0.625874125874126</v>
      </c>
      <c r="E108" s="9" t="n">
        <f aca="false">'2026 Forecast B'!G90</f>
        <v>0.637731481481482</v>
      </c>
      <c r="F108" s="9" t="n">
        <f aca="false">'2026 Forecast C'!G90</f>
        <v>0.629013079667063</v>
      </c>
      <c r="G108" s="24" t="n">
        <f aca="false">(MAX(D108:F108)-MIN(D108:F108))*100</f>
        <v>1.18573556073557</v>
      </c>
      <c r="H108" s="24" t="n">
        <f aca="false">'2026 Forecast A'!J90</f>
        <v>1.85532414445586</v>
      </c>
      <c r="I108" s="24" t="n">
        <f aca="false">'2026 Forecast B'!J90</f>
        <v>2.0110742867014</v>
      </c>
      <c r="J108" s="24" t="n">
        <f aca="false">'2026 Forecast C'!J90</f>
        <v>2.12060277043418</v>
      </c>
      <c r="K108" s="25" t="n">
        <f aca="false">'2026 Forecast A'!F90</f>
        <v>858</v>
      </c>
      <c r="L108" s="26" t="str">
        <f aca="false">IF(OR(AND(D108&gt;0.5,E108&gt;0.5,F108&gt;0.5),AND(D108&lt;0.5,E108&lt;0.5,F108&lt;0.5)),"Yes","No — toss-up")</f>
        <v>Yes</v>
      </c>
    </row>
    <row r="109" customFormat="false" ht="15" hidden="false" customHeight="false" outlineLevel="0" collapsed="false">
      <c r="A109" s="8" t="str">
        <f aca="false">'2026 Forecast A'!A91</f>
        <v>Lehigh</v>
      </c>
      <c r="B109" s="8" t="str">
        <f aca="false">'2026 Forecast A'!B91</f>
        <v>ALLENTOWN</v>
      </c>
      <c r="C109" s="8" t="str">
        <f aca="false">'2026 Forecast A'!C91</f>
        <v>ALLENTOWN 17TH WARD 1ST DIST</v>
      </c>
      <c r="D109" s="9" t="n">
        <f aca="false">'2026 Forecast A'!G91</f>
        <v>0.712665406427221</v>
      </c>
      <c r="E109" s="9" t="n">
        <f aca="false">'2026 Forecast B'!G91</f>
        <v>0.710280373831776</v>
      </c>
      <c r="F109" s="9" t="n">
        <f aca="false">'2026 Forecast C'!G91</f>
        <v>0.71785028790787</v>
      </c>
      <c r="G109" s="24" t="n">
        <f aca="false">(MAX(D109:F109)-MIN(D109:F109))*100</f>
        <v>0.756991407609386</v>
      </c>
      <c r="H109" s="24" t="n">
        <f aca="false">'2026 Forecast A'!J91</f>
        <v>3.25434931194355</v>
      </c>
      <c r="I109" s="24" t="n">
        <f aca="false">'2026 Forecast B'!J91</f>
        <v>3.09864730606258</v>
      </c>
      <c r="J109" s="24" t="n">
        <f aca="false">'2026 Forecast C'!J91</f>
        <v>3.7041269898902</v>
      </c>
      <c r="K109" s="25" t="n">
        <f aca="false">'2026 Forecast A'!F91</f>
        <v>529</v>
      </c>
      <c r="L109" s="26" t="str">
        <f aca="false">IF(OR(AND(D109&gt;0.5,E109&gt;0.5,F109&gt;0.5),AND(D109&lt;0.5,E109&lt;0.5,F109&lt;0.5)),"Yes","No — toss-up")</f>
        <v>Yes</v>
      </c>
    </row>
    <row r="110" customFormat="false" ht="15" hidden="false" customHeight="false" outlineLevel="0" collapsed="false">
      <c r="A110" s="8" t="str">
        <f aca="false">'2026 Forecast A'!A92</f>
        <v>Lehigh</v>
      </c>
      <c r="B110" s="8" t="str">
        <f aca="false">'2026 Forecast A'!B92</f>
        <v>ALLENTOWN</v>
      </c>
      <c r="C110" s="8" t="str">
        <f aca="false">'2026 Forecast A'!C92</f>
        <v>ALLENTOWN 17TH WARD 2ND DIST</v>
      </c>
      <c r="D110" s="9" t="n">
        <f aca="false">'2026 Forecast A'!G92</f>
        <v>0.680241327300151</v>
      </c>
      <c r="E110" s="9" t="n">
        <f aca="false">'2026 Forecast B'!G92</f>
        <v>0.666167664670659</v>
      </c>
      <c r="F110" s="9" t="n">
        <f aca="false">'2026 Forecast C'!G92</f>
        <v>0.685271317829457</v>
      </c>
      <c r="G110" s="24" t="n">
        <f aca="false">(MAX(D110:F110)-MIN(D110:F110))*100</f>
        <v>1.91036531587987</v>
      </c>
      <c r="H110" s="24" t="n">
        <f aca="false">'2026 Forecast A'!J92</f>
        <v>3.25434931194355</v>
      </c>
      <c r="I110" s="24" t="n">
        <f aca="false">'2026 Forecast B'!J92</f>
        <v>3.09864730606258</v>
      </c>
      <c r="J110" s="24" t="n">
        <f aca="false">'2026 Forecast C'!J92</f>
        <v>3.7041269898902</v>
      </c>
      <c r="K110" s="25" t="n">
        <f aca="false">'2026 Forecast A'!F92</f>
        <v>663</v>
      </c>
      <c r="L110" s="26" t="str">
        <f aca="false">IF(OR(AND(D110&gt;0.5,E110&gt;0.5,F110&gt;0.5),AND(D110&lt;0.5,E110&lt;0.5,F110&lt;0.5)),"Yes","No — toss-up")</f>
        <v>Yes</v>
      </c>
    </row>
    <row r="111" customFormat="false" ht="15" hidden="false" customHeight="false" outlineLevel="0" collapsed="false">
      <c r="A111" s="8" t="str">
        <f aca="false">'2026 Forecast A'!A93</f>
        <v>Lehigh</v>
      </c>
      <c r="B111" s="8" t="str">
        <f aca="false">'2026 Forecast A'!B93</f>
        <v>ALLENTOWN</v>
      </c>
      <c r="C111" s="8" t="str">
        <f aca="false">'2026 Forecast A'!C93</f>
        <v>ALLENTOWN 17TH WARD 3RD DIST</v>
      </c>
      <c r="D111" s="9" t="n">
        <f aca="false">'2026 Forecast A'!G93</f>
        <v>0.671641791044776</v>
      </c>
      <c r="E111" s="9" t="n">
        <f aca="false">'2026 Forecast B'!G93</f>
        <v>0.650472334682861</v>
      </c>
      <c r="F111" s="9" t="n">
        <f aca="false">'2026 Forecast C'!G93</f>
        <v>0.679218967921897</v>
      </c>
      <c r="G111" s="24" t="n">
        <f aca="false">(MAX(D111:F111)-MIN(D111:F111))*100</f>
        <v>2.87466332390358</v>
      </c>
      <c r="H111" s="24" t="n">
        <f aca="false">'2026 Forecast A'!J93</f>
        <v>3.25434931194355</v>
      </c>
      <c r="I111" s="24" t="n">
        <f aca="false">'2026 Forecast B'!J93</f>
        <v>3.09864730606258</v>
      </c>
      <c r="J111" s="24" t="n">
        <f aca="false">'2026 Forecast C'!J93</f>
        <v>3.7041269898902</v>
      </c>
      <c r="K111" s="25" t="n">
        <f aca="false">'2026 Forecast A'!F93</f>
        <v>737</v>
      </c>
      <c r="L111" s="26" t="str">
        <f aca="false">IF(OR(AND(D111&gt;0.5,E111&gt;0.5,F111&gt;0.5),AND(D111&lt;0.5,E111&lt;0.5,F111&lt;0.5)),"Yes","No — toss-up")</f>
        <v>Yes</v>
      </c>
    </row>
    <row r="112" customFormat="false" ht="15" hidden="false" customHeight="false" outlineLevel="0" collapsed="false">
      <c r="A112" s="8" t="str">
        <f aca="false">'2026 Forecast A'!A94</f>
        <v>Lehigh</v>
      </c>
      <c r="B112" s="8" t="str">
        <f aca="false">'2026 Forecast A'!B94</f>
        <v>ALLENTOWN</v>
      </c>
      <c r="C112" s="8" t="str">
        <f aca="false">'2026 Forecast A'!C94</f>
        <v>ALLENTOWN 17TH WARD 4TH DIST</v>
      </c>
      <c r="D112" s="9" t="n">
        <f aca="false">'2026 Forecast A'!G94</f>
        <v>0.593803786574871</v>
      </c>
      <c r="E112" s="9" t="n">
        <f aca="false">'2026 Forecast B'!G94</f>
        <v>0.59106529209622</v>
      </c>
      <c r="F112" s="9" t="n">
        <f aca="false">'2026 Forecast C'!G94</f>
        <v>0.594736842105263</v>
      </c>
      <c r="G112" s="24" t="n">
        <f aca="false">(MAX(D112:F112)-MIN(D112:F112))*100</f>
        <v>0.367155000904318</v>
      </c>
      <c r="H112" s="24" t="n">
        <f aca="false">'2026 Forecast A'!J94</f>
        <v>3.25434931194355</v>
      </c>
      <c r="I112" s="24" t="n">
        <f aca="false">'2026 Forecast B'!J94</f>
        <v>3.09864730606258</v>
      </c>
      <c r="J112" s="24" t="n">
        <f aca="false">'2026 Forecast C'!J94</f>
        <v>3.7041269898902</v>
      </c>
      <c r="K112" s="25" t="n">
        <f aca="false">'2026 Forecast A'!F94</f>
        <v>581</v>
      </c>
      <c r="L112" s="26" t="str">
        <f aca="false">IF(OR(AND(D112&gt;0.5,E112&gt;0.5,F112&gt;0.5),AND(D112&lt;0.5,E112&lt;0.5,F112&lt;0.5)),"Yes","No — toss-up")</f>
        <v>Yes</v>
      </c>
    </row>
    <row r="113" customFormat="false" ht="15" hidden="false" customHeight="false" outlineLevel="0" collapsed="false">
      <c r="A113" s="8" t="str">
        <f aca="false">'2026 Forecast A'!A95</f>
        <v>Lehigh</v>
      </c>
      <c r="B113" s="8" t="str">
        <f aca="false">'2026 Forecast A'!B95</f>
        <v>ALLENTOWN</v>
      </c>
      <c r="C113" s="8" t="str">
        <f aca="false">'2026 Forecast A'!C95</f>
        <v>ALLENTOWN 17TH WD 4TH DT PARK</v>
      </c>
      <c r="D113" s="9" t="n">
        <f aca="false">'2026 Forecast A'!G95</f>
        <v>0.593677717810332</v>
      </c>
      <c r="E113" s="9" t="n">
        <f aca="false">'2026 Forecast B'!G95</f>
        <v>0.599081866870696</v>
      </c>
      <c r="F113" s="9" t="n">
        <f aca="false">'2026 Forecast C'!G95</f>
        <v>0.593483320403414</v>
      </c>
      <c r="G113" s="24" t="n">
        <f aca="false">(MAX(D113:F113)-MIN(D113:F113))*100</f>
        <v>0.559854646728275</v>
      </c>
      <c r="H113" s="24" t="n">
        <f aca="false">'2026 Forecast A'!J95</f>
        <v>1.28585670084365</v>
      </c>
      <c r="I113" s="24" t="n">
        <f aca="false">'2026 Forecast B'!J95</f>
        <v>1.87006919874525</v>
      </c>
      <c r="J113" s="24" t="n">
        <f aca="false">'2026 Forecast C'!J95</f>
        <v>1.26135644325249</v>
      </c>
      <c r="K113" s="25" t="n">
        <f aca="false">'2026 Forecast A'!F95</f>
        <v>1297</v>
      </c>
      <c r="L113" s="26" t="str">
        <f aca="false">IF(OR(AND(D113&gt;0.5,E113&gt;0.5,F113&gt;0.5),AND(D113&lt;0.5,E113&lt;0.5,F113&lt;0.5)),"Yes","No — toss-up")</f>
        <v>Yes</v>
      </c>
    </row>
    <row r="114" customFormat="false" ht="15" hidden="false" customHeight="false" outlineLevel="0" collapsed="false">
      <c r="A114" s="8" t="str">
        <f aca="false">'2026 Forecast A'!A96</f>
        <v>Lehigh</v>
      </c>
      <c r="B114" s="8" t="str">
        <f aca="false">'2026 Forecast A'!B96</f>
        <v>ALLENTOWN</v>
      </c>
      <c r="C114" s="8" t="str">
        <f aca="false">'2026 Forecast A'!C96</f>
        <v>ALLENTOWN 18TH WARD 1ST DIST</v>
      </c>
      <c r="D114" s="9" t="n">
        <f aca="false">'2026 Forecast A'!G96</f>
        <v>0.711475409836066</v>
      </c>
      <c r="E114" s="9" t="n">
        <f aca="false">'2026 Forecast B'!G96</f>
        <v>0.705882352941177</v>
      </c>
      <c r="F114" s="9" t="n">
        <f aca="false">'2026 Forecast C'!G96</f>
        <v>0.718855218855219</v>
      </c>
      <c r="G114" s="24" t="n">
        <f aca="false">(MAX(D114:F114)-MIN(D114:F114))*100</f>
        <v>1.29728659140423</v>
      </c>
      <c r="H114" s="24" t="n">
        <f aca="false">'2026 Forecast A'!J96</f>
        <v>3.25434931194355</v>
      </c>
      <c r="I114" s="24" t="n">
        <f aca="false">'2026 Forecast B'!J96</f>
        <v>3.09864730606258</v>
      </c>
      <c r="J114" s="24" t="n">
        <f aca="false">'2026 Forecast C'!J96</f>
        <v>3.7041269898902</v>
      </c>
      <c r="K114" s="25" t="n">
        <f aca="false">'2026 Forecast A'!F96</f>
        <v>610</v>
      </c>
      <c r="L114" s="26" t="str">
        <f aca="false">IF(OR(AND(D114&gt;0.5,E114&gt;0.5,F114&gt;0.5),AND(D114&lt;0.5,E114&lt;0.5,F114&lt;0.5)),"Yes","No — toss-up")</f>
        <v>Yes</v>
      </c>
    </row>
    <row r="115" customFormat="false" ht="15" hidden="false" customHeight="false" outlineLevel="0" collapsed="false">
      <c r="A115" s="8" t="str">
        <f aca="false">'2026 Forecast A'!A97</f>
        <v>Lehigh</v>
      </c>
      <c r="B115" s="8" t="str">
        <f aca="false">'2026 Forecast A'!B97</f>
        <v>ALLENTOWN</v>
      </c>
      <c r="C115" s="8" t="str">
        <f aca="false">'2026 Forecast A'!C97</f>
        <v>ALLENTOWN 18TH WARD 2ND DIST</v>
      </c>
      <c r="D115" s="9" t="n">
        <f aca="false">'2026 Forecast A'!G97</f>
        <v>0.656826568265683</v>
      </c>
      <c r="E115" s="9" t="n">
        <f aca="false">'2026 Forecast B'!G97</f>
        <v>0.652439024390244</v>
      </c>
      <c r="F115" s="9" t="n">
        <f aca="false">'2026 Forecast C'!G97</f>
        <v>0.660377358490566</v>
      </c>
      <c r="G115" s="24" t="n">
        <f aca="false">(MAX(D115:F115)-MIN(D115:F115))*100</f>
        <v>0.793833410032208</v>
      </c>
      <c r="H115" s="24" t="n">
        <f aca="false">'2026 Forecast A'!J97</f>
        <v>1.85532414445586</v>
      </c>
      <c r="I115" s="24" t="n">
        <f aca="false">'2026 Forecast B'!J97</f>
        <v>2.0110742867014</v>
      </c>
      <c r="J115" s="24" t="n">
        <f aca="false">'2026 Forecast C'!J97</f>
        <v>2.12060277043418</v>
      </c>
      <c r="K115" s="25" t="n">
        <f aca="false">'2026 Forecast A'!F97</f>
        <v>813</v>
      </c>
      <c r="L115" s="26" t="str">
        <f aca="false">IF(OR(AND(D115&gt;0.5,E115&gt;0.5,F115&gt;0.5),AND(D115&lt;0.5,E115&lt;0.5,F115&lt;0.5)),"Yes","No — toss-up")</f>
        <v>Yes</v>
      </c>
    </row>
    <row r="116" customFormat="false" ht="15" hidden="false" customHeight="false" outlineLevel="0" collapsed="false">
      <c r="A116" s="8" t="str">
        <f aca="false">'2026 Forecast A'!A98</f>
        <v>Lehigh</v>
      </c>
      <c r="B116" s="8" t="str">
        <f aca="false">'2026 Forecast A'!B98</f>
        <v>ALLENTOWN</v>
      </c>
      <c r="C116" s="8" t="str">
        <f aca="false">'2026 Forecast A'!C98</f>
        <v>ALLENTOWN 18TH WD 2ND DT PARK</v>
      </c>
      <c r="D116" s="9" t="n">
        <f aca="false">'2026 Forecast A'!G98</f>
        <v>0.565217391304348</v>
      </c>
      <c r="E116" s="9" t="n">
        <f aca="false">'2026 Forecast B'!G98</f>
        <v>0.565217391304348</v>
      </c>
      <c r="F116" s="9" t="n">
        <f aca="false">'2026 Forecast C'!G98</f>
        <v>0.565217391304348</v>
      </c>
      <c r="G116" s="24" t="n">
        <f aca="false">(MAX(D116:F116)-MIN(D116:F116))*100</f>
        <v>0</v>
      </c>
      <c r="H116" s="24" t="n">
        <f aca="false">'2026 Forecast A'!J98</f>
        <v>3.25434931194355</v>
      </c>
      <c r="I116" s="24" t="n">
        <f aca="false">'2026 Forecast B'!J98</f>
        <v>3.09864730606258</v>
      </c>
      <c r="J116" s="24" t="n">
        <f aca="false">'2026 Forecast C'!J98</f>
        <v>3.7041269898902</v>
      </c>
      <c r="K116" s="25" t="n">
        <f aca="false">'2026 Forecast A'!F98</f>
        <v>23</v>
      </c>
      <c r="L116" s="26" t="str">
        <f aca="false">IF(OR(AND(D116&gt;0.5,E116&gt;0.5,F116&gt;0.5),AND(D116&lt;0.5,E116&lt;0.5,F116&lt;0.5)),"Yes","No — toss-up")</f>
        <v>Yes</v>
      </c>
    </row>
    <row r="117" customFormat="false" ht="15" hidden="false" customHeight="false" outlineLevel="0" collapsed="false">
      <c r="A117" s="8" t="str">
        <f aca="false">'2026 Forecast A'!A99</f>
        <v>Lehigh</v>
      </c>
      <c r="B117" s="8" t="str">
        <f aca="false">'2026 Forecast A'!B99</f>
        <v>ALLENTOWN</v>
      </c>
      <c r="C117" s="8" t="str">
        <f aca="false">'2026 Forecast A'!C99</f>
        <v>ALLENTOWN 19TH WARD 1ST DIST</v>
      </c>
      <c r="D117" s="9" t="n">
        <f aca="false">'2026 Forecast A'!G99</f>
        <v>0.606435643564356</v>
      </c>
      <c r="E117" s="9" t="n">
        <f aca="false">'2026 Forecast B'!G99</f>
        <v>0.618932038834951</v>
      </c>
      <c r="F117" s="9" t="n">
        <f aca="false">'2026 Forecast C'!G99</f>
        <v>0.60969387755102</v>
      </c>
      <c r="G117" s="24" t="n">
        <f aca="false">(MAX(D117:F117)-MIN(D117:F117))*100</f>
        <v>1.2496395270595</v>
      </c>
      <c r="H117" s="24" t="n">
        <f aca="false">'2026 Forecast A'!J99</f>
        <v>3.25434931194355</v>
      </c>
      <c r="I117" s="24" t="n">
        <f aca="false">'2026 Forecast B'!J99</f>
        <v>3.09864730606258</v>
      </c>
      <c r="J117" s="24" t="n">
        <f aca="false">'2026 Forecast C'!J99</f>
        <v>3.7041269898902</v>
      </c>
      <c r="K117" s="25" t="n">
        <f aca="false">'2026 Forecast A'!F99</f>
        <v>404</v>
      </c>
      <c r="L117" s="26" t="str">
        <f aca="false">IF(OR(AND(D117&gt;0.5,E117&gt;0.5,F117&gt;0.5),AND(D117&lt;0.5,E117&lt;0.5,F117&lt;0.5)),"Yes","No — toss-up")</f>
        <v>Yes</v>
      </c>
    </row>
    <row r="118" customFormat="false" ht="15" hidden="false" customHeight="false" outlineLevel="0" collapsed="false">
      <c r="A118" s="8" t="str">
        <f aca="false">'2026 Forecast A'!A100</f>
        <v>Lehigh</v>
      </c>
      <c r="B118" s="8" t="str">
        <f aca="false">'2026 Forecast A'!B100</f>
        <v>ALLENTOWN</v>
      </c>
      <c r="C118" s="8" t="str">
        <f aca="false">'2026 Forecast A'!C100</f>
        <v>ALLENTOWN 19TH WARD 2ND DIST</v>
      </c>
      <c r="D118" s="9" t="n">
        <f aca="false">'2026 Forecast A'!G100</f>
        <v>0.678030303030303</v>
      </c>
      <c r="E118" s="9" t="n">
        <f aca="false">'2026 Forecast B'!G100</f>
        <v>0.690298507462687</v>
      </c>
      <c r="F118" s="9" t="n">
        <f aca="false">'2026 Forecast C'!G100</f>
        <v>0.681564245810056</v>
      </c>
      <c r="G118" s="24" t="n">
        <f aca="false">(MAX(D118:F118)-MIN(D118:F118))*100</f>
        <v>1.22682044323836</v>
      </c>
      <c r="H118" s="24" t="n">
        <f aca="false">'2026 Forecast A'!J100</f>
        <v>3.25434931194355</v>
      </c>
      <c r="I118" s="24" t="n">
        <f aca="false">'2026 Forecast B'!J100</f>
        <v>3.09864730606258</v>
      </c>
      <c r="J118" s="24" t="n">
        <f aca="false">'2026 Forecast C'!J100</f>
        <v>3.7041269898902</v>
      </c>
      <c r="K118" s="25" t="n">
        <f aca="false">'2026 Forecast A'!F100</f>
        <v>528</v>
      </c>
      <c r="L118" s="26" t="str">
        <f aca="false">IF(OR(AND(D118&gt;0.5,E118&gt;0.5,F118&gt;0.5),AND(D118&lt;0.5,E118&lt;0.5,F118&lt;0.5)),"Yes","No — toss-up")</f>
        <v>Yes</v>
      </c>
    </row>
    <row r="119" customFormat="false" ht="15" hidden="false" customHeight="false" outlineLevel="0" collapsed="false">
      <c r="A119" s="8" t="str">
        <f aca="false">'2026 Forecast A'!A101</f>
        <v>Lehigh</v>
      </c>
      <c r="B119" s="8" t="str">
        <f aca="false">'2026 Forecast A'!B101</f>
        <v>ALLENTOWN</v>
      </c>
      <c r="C119" s="8" t="str">
        <f aca="false">'2026 Forecast A'!C101</f>
        <v>ALLENTOWN 19TH WARD 3RD DIST</v>
      </c>
      <c r="D119" s="9" t="n">
        <f aca="false">'2026 Forecast A'!G101</f>
        <v>0.634573304157549</v>
      </c>
      <c r="E119" s="9" t="n">
        <f aca="false">'2026 Forecast B'!G101</f>
        <v>0.636363636363636</v>
      </c>
      <c r="F119" s="9" t="n">
        <f aca="false">'2026 Forecast C'!G101</f>
        <v>0.639821029082774</v>
      </c>
      <c r="G119" s="24" t="n">
        <f aca="false">(MAX(D119:F119)-MIN(D119:F119))*100</f>
        <v>0.524772492522485</v>
      </c>
      <c r="H119" s="24" t="n">
        <f aca="false">'2026 Forecast A'!J101</f>
        <v>3.25434931194355</v>
      </c>
      <c r="I119" s="24" t="n">
        <f aca="false">'2026 Forecast B'!J101</f>
        <v>3.09864730606258</v>
      </c>
      <c r="J119" s="24" t="n">
        <f aca="false">'2026 Forecast C'!J101</f>
        <v>3.7041269898902</v>
      </c>
      <c r="K119" s="25" t="n">
        <f aca="false">'2026 Forecast A'!F101</f>
        <v>457</v>
      </c>
      <c r="L119" s="26" t="str">
        <f aca="false">IF(OR(AND(D119&gt;0.5,E119&gt;0.5,F119&gt;0.5),AND(D119&lt;0.5,E119&lt;0.5,F119&lt;0.5)),"Yes","No — toss-up")</f>
        <v>Yes</v>
      </c>
    </row>
    <row r="120" customFormat="false" ht="15" hidden="false" customHeight="false" outlineLevel="0" collapsed="false">
      <c r="A120" s="8" t="str">
        <f aca="false">'2026 Forecast A'!A102</f>
        <v>Lehigh</v>
      </c>
      <c r="B120" s="8" t="str">
        <f aca="false">'2026 Forecast A'!B102</f>
        <v>ALLENTOWN</v>
      </c>
      <c r="C120" s="8" t="str">
        <f aca="false">'2026 Forecast A'!C102</f>
        <v>ALLENTOWN 19TH WARD 4TH DIST</v>
      </c>
      <c r="D120" s="9" t="n">
        <f aca="false">'2026 Forecast A'!G102</f>
        <v>0.668555240793201</v>
      </c>
      <c r="E120" s="9" t="n">
        <f aca="false">'2026 Forecast B'!G102</f>
        <v>0.681564245810056</v>
      </c>
      <c r="F120" s="9" t="n">
        <f aca="false">'2026 Forecast C'!G102</f>
        <v>0.671232876712329</v>
      </c>
      <c r="G120" s="24" t="n">
        <f aca="false">(MAX(D120:F120)-MIN(D120:F120))*100</f>
        <v>1.30090050168546</v>
      </c>
      <c r="H120" s="24" t="n">
        <f aca="false">'2026 Forecast A'!J102</f>
        <v>3.25434931194355</v>
      </c>
      <c r="I120" s="24" t="n">
        <f aca="false">'2026 Forecast B'!J102</f>
        <v>3.09864730606258</v>
      </c>
      <c r="J120" s="24" t="n">
        <f aca="false">'2026 Forecast C'!J102</f>
        <v>3.7041269898902</v>
      </c>
      <c r="K120" s="25" t="n">
        <f aca="false">'2026 Forecast A'!F102</f>
        <v>353</v>
      </c>
      <c r="L120" s="26" t="str">
        <f aca="false">IF(OR(AND(D120&gt;0.5,E120&gt;0.5,F120&gt;0.5),AND(D120&lt;0.5,E120&lt;0.5,F120&lt;0.5)),"Yes","No — toss-up")</f>
        <v>Yes</v>
      </c>
    </row>
    <row r="121" customFormat="false" ht="15" hidden="false" customHeight="false" outlineLevel="0" collapsed="false">
      <c r="A121" s="8" t="str">
        <f aca="false">'2026 Forecast A'!A103</f>
        <v>Lehigh</v>
      </c>
      <c r="B121" s="8" t="str">
        <f aca="false">'2026 Forecast A'!B103</f>
        <v>ALLENTOWN</v>
      </c>
      <c r="C121" s="8" t="str">
        <f aca="false">'2026 Forecast A'!C103</f>
        <v>ALLENTOWN 19TH WARD 5TH DIST</v>
      </c>
      <c r="D121" s="9" t="n">
        <f aca="false">'2026 Forecast A'!G103</f>
        <v>0.640432098765432</v>
      </c>
      <c r="E121" s="9" t="n">
        <f aca="false">'2026 Forecast B'!G103</f>
        <v>0.643504531722054</v>
      </c>
      <c r="F121" s="9" t="n">
        <f aca="false">'2026 Forecast C'!G103</f>
        <v>0.643879173290938</v>
      </c>
      <c r="G121" s="24" t="n">
        <f aca="false">(MAX(D121:F121)-MIN(D121:F121))*100</f>
        <v>0.344707452550597</v>
      </c>
      <c r="H121" s="24" t="n">
        <f aca="false">'2026 Forecast A'!J103</f>
        <v>3.25434931194355</v>
      </c>
      <c r="I121" s="24" t="n">
        <f aca="false">'2026 Forecast B'!J103</f>
        <v>3.09864730606258</v>
      </c>
      <c r="J121" s="24" t="n">
        <f aca="false">'2026 Forecast C'!J103</f>
        <v>3.7041269898902</v>
      </c>
      <c r="K121" s="25" t="n">
        <f aca="false">'2026 Forecast A'!F103</f>
        <v>648</v>
      </c>
      <c r="L121" s="26" t="str">
        <f aca="false">IF(OR(AND(D121&gt;0.5,E121&gt;0.5,F121&gt;0.5),AND(D121&lt;0.5,E121&lt;0.5,F121&lt;0.5)),"Yes","No — toss-up")</f>
        <v>Yes</v>
      </c>
    </row>
    <row r="122" customFormat="false" ht="15" hidden="false" customHeight="false" outlineLevel="0" collapsed="false">
      <c r="A122" s="8" t="str">
        <f aca="false">'2026 Forecast A'!A104</f>
        <v>Lehigh</v>
      </c>
      <c r="B122" s="8" t="str">
        <f aca="false">'2026 Forecast A'!B104</f>
        <v>ALLENTOWN</v>
      </c>
      <c r="C122" s="8" t="str">
        <f aca="false">'2026 Forecast A'!C104</f>
        <v>ALLENTOWN 19TH WARD 5TH DT SAL</v>
      </c>
      <c r="D122" s="9" t="n">
        <f aca="false">'2026 Forecast A'!G104</f>
        <v>0.5</v>
      </c>
      <c r="E122" s="9" t="n">
        <f aca="false">'2026 Forecast B'!G104</f>
        <v>0.5</v>
      </c>
      <c r="F122" s="9" t="n">
        <f aca="false">'2026 Forecast C'!G104</f>
        <v>0.5</v>
      </c>
      <c r="G122" s="24" t="n">
        <f aca="false">(MAX(D122:F122)-MIN(D122:F122))*100</f>
        <v>0</v>
      </c>
      <c r="H122" s="24" t="n">
        <f aca="false">'2026 Forecast A'!J104</f>
        <v>3.25434931194355</v>
      </c>
      <c r="I122" s="24" t="n">
        <f aca="false">'2026 Forecast B'!J104</f>
        <v>3.09864730606258</v>
      </c>
      <c r="J122" s="24" t="n">
        <f aca="false">'2026 Forecast C'!J104</f>
        <v>3.7041269898902</v>
      </c>
      <c r="K122" s="25" t="n">
        <f aca="false">'2026 Forecast A'!F104</f>
        <v>2</v>
      </c>
      <c r="L122" s="26" t="str">
        <f aca="false">IF(OR(AND(D122&gt;0.5,E122&gt;0.5,F122&gt;0.5),AND(D122&lt;0.5,E122&lt;0.5,F122&lt;0.5)),"Yes","No — toss-up")</f>
        <v>No — toss-up</v>
      </c>
    </row>
    <row r="123" customFormat="false" ht="15" hidden="false" customHeight="false" outlineLevel="0" collapsed="false">
      <c r="A123" s="8" t="str">
        <f aca="false">'2026 Forecast A'!A105</f>
        <v>Lehigh</v>
      </c>
      <c r="B123" s="8" t="str">
        <f aca="false">'2026 Forecast A'!B105</f>
        <v>ALLENTOWN</v>
      </c>
      <c r="C123" s="8" t="str">
        <f aca="false">'2026 Forecast A'!C105</f>
        <v>ALLENTOWN 19TH WARD 6TH DIST</v>
      </c>
      <c r="D123" s="9" t="n">
        <f aca="false">'2026 Forecast A'!G105</f>
        <v>0.655450874831763</v>
      </c>
      <c r="E123" s="9" t="n">
        <f aca="false">'2026 Forecast B'!G105</f>
        <v>0.664456233421751</v>
      </c>
      <c r="F123" s="9" t="n">
        <f aca="false">'2026 Forecast C'!G105</f>
        <v>0.660079051383399</v>
      </c>
      <c r="G123" s="24" t="n">
        <f aca="false">(MAX(D123:F123)-MIN(D123:F123))*100</f>
        <v>0.900535858998752</v>
      </c>
      <c r="H123" s="24" t="n">
        <f aca="false">'2026 Forecast A'!J105</f>
        <v>3.25434931194355</v>
      </c>
      <c r="I123" s="24" t="n">
        <f aca="false">'2026 Forecast B'!J105</f>
        <v>3.09864730606258</v>
      </c>
      <c r="J123" s="24" t="n">
        <f aca="false">'2026 Forecast C'!J105</f>
        <v>3.7041269898902</v>
      </c>
      <c r="K123" s="25" t="n">
        <f aca="false">'2026 Forecast A'!F105</f>
        <v>743</v>
      </c>
      <c r="L123" s="26" t="str">
        <f aca="false">IF(OR(AND(D123&gt;0.5,E123&gt;0.5,F123&gt;0.5),AND(D123&lt;0.5,E123&lt;0.5,F123&lt;0.5)),"Yes","No — toss-up")</f>
        <v>Yes</v>
      </c>
    </row>
    <row r="124" customFormat="false" ht="15" hidden="false" customHeight="false" outlineLevel="0" collapsed="false">
      <c r="A124" s="8" t="str">
        <f aca="false">'2026 Forecast A'!A106</f>
        <v>Lehigh</v>
      </c>
      <c r="B124" s="8" t="str">
        <f aca="false">'2026 Forecast A'!B106</f>
        <v>ALLENTOWN</v>
      </c>
      <c r="C124" s="8" t="str">
        <f aca="false">'2026 Forecast A'!C106</f>
        <v>ALLENTOWN 1ST WARD</v>
      </c>
      <c r="D124" s="9" t="n">
        <f aca="false">'2026 Forecast A'!G106</f>
        <v>0.76678445229682</v>
      </c>
      <c r="E124" s="9" t="n">
        <f aca="false">'2026 Forecast B'!G106</f>
        <v>0.777777777777778</v>
      </c>
      <c r="F124" s="9" t="n">
        <f aca="false">'2026 Forecast C'!G106</f>
        <v>0.772881355932203</v>
      </c>
      <c r="G124" s="24" t="n">
        <f aca="false">(MAX(D124:F124)-MIN(D124:F124))*100</f>
        <v>1.0993325480958</v>
      </c>
      <c r="H124" s="24" t="n">
        <f aca="false">'2026 Forecast A'!J106</f>
        <v>3.25434931194355</v>
      </c>
      <c r="I124" s="24" t="n">
        <f aca="false">'2026 Forecast B'!J106</f>
        <v>3.09864730606258</v>
      </c>
      <c r="J124" s="24" t="n">
        <f aca="false">'2026 Forecast C'!J106</f>
        <v>3.7041269898902</v>
      </c>
      <c r="K124" s="25" t="n">
        <f aca="false">'2026 Forecast A'!F106</f>
        <v>283</v>
      </c>
      <c r="L124" s="26" t="str">
        <f aca="false">IF(OR(AND(D124&gt;0.5,E124&gt;0.5,F124&gt;0.5),AND(D124&lt;0.5,E124&lt;0.5,F124&lt;0.5)),"Yes","No — toss-up")</f>
        <v>Yes</v>
      </c>
    </row>
    <row r="125" customFormat="false" ht="15" hidden="false" customHeight="false" outlineLevel="0" collapsed="false">
      <c r="A125" s="8" t="str">
        <f aca="false">'2026 Forecast A'!A107</f>
        <v>Lehigh</v>
      </c>
      <c r="B125" s="8" t="str">
        <f aca="false">'2026 Forecast A'!B107</f>
        <v>ALLENTOWN</v>
      </c>
      <c r="C125" s="8" t="str">
        <f aca="false">'2026 Forecast A'!C107</f>
        <v>ALLENTOWN 2ND WARD</v>
      </c>
      <c r="D125" s="9" t="n">
        <f aca="false">'2026 Forecast A'!G107</f>
        <v>0.733812949640288</v>
      </c>
      <c r="E125" s="9" t="n">
        <f aca="false">'2026 Forecast B'!G107</f>
        <v>0.725274725274725</v>
      </c>
      <c r="F125" s="9" t="n">
        <f aca="false">'2026 Forecast C'!G107</f>
        <v>0.741379310344828</v>
      </c>
      <c r="G125" s="24" t="n">
        <f aca="false">(MAX(D125:F125)-MIN(D125:F125))*100</f>
        <v>1.61045850701024</v>
      </c>
      <c r="H125" s="24" t="n">
        <f aca="false">'2026 Forecast A'!J107</f>
        <v>3.25434931194355</v>
      </c>
      <c r="I125" s="24" t="n">
        <f aca="false">'2026 Forecast B'!J107</f>
        <v>3.09864730606258</v>
      </c>
      <c r="J125" s="24" t="n">
        <f aca="false">'2026 Forecast C'!J107</f>
        <v>3.7041269898902</v>
      </c>
      <c r="K125" s="25" t="n">
        <f aca="false">'2026 Forecast A'!F107</f>
        <v>278</v>
      </c>
      <c r="L125" s="26" t="str">
        <f aca="false">IF(OR(AND(D125&gt;0.5,E125&gt;0.5,F125&gt;0.5),AND(D125&lt;0.5,E125&lt;0.5,F125&lt;0.5)),"Yes","No — toss-up")</f>
        <v>Yes</v>
      </c>
    </row>
    <row r="126" customFormat="false" ht="15" hidden="false" customHeight="false" outlineLevel="0" collapsed="false">
      <c r="A126" s="8" t="str">
        <f aca="false">'2026 Forecast A'!A108</f>
        <v>Lehigh</v>
      </c>
      <c r="B126" s="8" t="str">
        <f aca="false">'2026 Forecast A'!B108</f>
        <v>ALLENTOWN</v>
      </c>
      <c r="C126" s="8" t="str">
        <f aca="false">'2026 Forecast A'!C108</f>
        <v>ALLENTOWN 3RD WARD</v>
      </c>
      <c r="D126" s="9" t="n">
        <f aca="false">'2026 Forecast A'!G108</f>
        <v>0.758928571428571</v>
      </c>
      <c r="E126" s="9" t="n">
        <f aca="false">'2026 Forecast B'!G108</f>
        <v>0.747349823321555</v>
      </c>
      <c r="F126" s="9" t="n">
        <f aca="false">'2026 Forecast C'!G108</f>
        <v>0.765323992994746</v>
      </c>
      <c r="G126" s="24" t="n">
        <f aca="false">(MAX(D126:F126)-MIN(D126:F126))*100</f>
        <v>1.79741696731913</v>
      </c>
      <c r="H126" s="24" t="n">
        <f aca="false">'2026 Forecast A'!J108</f>
        <v>3.25434931194355</v>
      </c>
      <c r="I126" s="24" t="n">
        <f aca="false">'2026 Forecast B'!J108</f>
        <v>3.09864730606258</v>
      </c>
      <c r="J126" s="24" t="n">
        <f aca="false">'2026 Forecast C'!J108</f>
        <v>3.7041269898902</v>
      </c>
      <c r="K126" s="25" t="n">
        <f aca="false">'2026 Forecast A'!F108</f>
        <v>560</v>
      </c>
      <c r="L126" s="26" t="str">
        <f aca="false">IF(OR(AND(D126&gt;0.5,E126&gt;0.5,F126&gt;0.5),AND(D126&lt;0.5,E126&lt;0.5,F126&lt;0.5)),"Yes","No — toss-up")</f>
        <v>Yes</v>
      </c>
    </row>
    <row r="127" customFormat="false" ht="15" hidden="false" customHeight="false" outlineLevel="0" collapsed="false">
      <c r="A127" s="8" t="str">
        <f aca="false">'2026 Forecast A'!A109</f>
        <v>Lehigh</v>
      </c>
      <c r="B127" s="8" t="str">
        <f aca="false">'2026 Forecast A'!B109</f>
        <v>ALLENTOWN</v>
      </c>
      <c r="C127" s="8" t="str">
        <f aca="false">'2026 Forecast A'!C109</f>
        <v>ALLENTOWN 4TH WARD</v>
      </c>
      <c r="D127" s="9" t="n">
        <f aca="false">'2026 Forecast A'!G109</f>
        <v>0.723502304147465</v>
      </c>
      <c r="E127" s="9" t="n">
        <f aca="false">'2026 Forecast B'!G109</f>
        <v>0.71689497716895</v>
      </c>
      <c r="F127" s="9" t="n">
        <f aca="false">'2026 Forecast C'!G109</f>
        <v>0.730088495575221</v>
      </c>
      <c r="G127" s="24" t="n">
        <f aca="false">(MAX(D127:F127)-MIN(D127:F127))*100</f>
        <v>1.31935184062715</v>
      </c>
      <c r="H127" s="24" t="n">
        <f aca="false">'2026 Forecast A'!J109</f>
        <v>3.25434931194355</v>
      </c>
      <c r="I127" s="24" t="n">
        <f aca="false">'2026 Forecast B'!J109</f>
        <v>3.09864730606258</v>
      </c>
      <c r="J127" s="24" t="n">
        <f aca="false">'2026 Forecast C'!J109</f>
        <v>3.7041269898902</v>
      </c>
      <c r="K127" s="25" t="n">
        <f aca="false">'2026 Forecast A'!F109</f>
        <v>217</v>
      </c>
      <c r="L127" s="26" t="str">
        <f aca="false">IF(OR(AND(D127&gt;0.5,E127&gt;0.5,F127&gt;0.5),AND(D127&lt;0.5,E127&lt;0.5,F127&lt;0.5)),"Yes","No — toss-up")</f>
        <v>Yes</v>
      </c>
    </row>
    <row r="128" customFormat="false" ht="15" hidden="false" customHeight="false" outlineLevel="0" collapsed="false">
      <c r="A128" s="8" t="str">
        <f aca="false">'2026 Forecast A'!A110</f>
        <v>Lehigh</v>
      </c>
      <c r="B128" s="8" t="str">
        <f aca="false">'2026 Forecast A'!B110</f>
        <v>ALLENTOWN</v>
      </c>
      <c r="C128" s="8" t="str">
        <f aca="false">'2026 Forecast A'!C110</f>
        <v>ALLENTOWN 5TH WARD</v>
      </c>
      <c r="D128" s="9" t="n">
        <f aca="false">'2026 Forecast A'!G110</f>
        <v>0.782894736842105</v>
      </c>
      <c r="E128" s="9" t="n">
        <f aca="false">'2026 Forecast B'!G110</f>
        <v>0.792763157894737</v>
      </c>
      <c r="F128" s="9" t="n">
        <f aca="false">'2026 Forecast C'!G110</f>
        <v>0.790996784565916</v>
      </c>
      <c r="G128" s="24" t="n">
        <f aca="false">(MAX(D128:F128)-MIN(D128:F128))*100</f>
        <v>0.986842105263153</v>
      </c>
      <c r="H128" s="24" t="n">
        <f aca="false">'2026 Forecast A'!J110</f>
        <v>3.25434931194355</v>
      </c>
      <c r="I128" s="24" t="n">
        <f aca="false">'2026 Forecast B'!J110</f>
        <v>3.09864730606258</v>
      </c>
      <c r="J128" s="24" t="n">
        <f aca="false">'2026 Forecast C'!J110</f>
        <v>3.7041269898902</v>
      </c>
      <c r="K128" s="25" t="n">
        <f aca="false">'2026 Forecast A'!F110</f>
        <v>304</v>
      </c>
      <c r="L128" s="26" t="str">
        <f aca="false">IF(OR(AND(D128&gt;0.5,E128&gt;0.5,F128&gt;0.5),AND(D128&lt;0.5,E128&lt;0.5,F128&lt;0.5)),"Yes","No — toss-up")</f>
        <v>Yes</v>
      </c>
    </row>
    <row r="129" customFormat="false" ht="15" hidden="false" customHeight="false" outlineLevel="0" collapsed="false">
      <c r="A129" s="8" t="str">
        <f aca="false">'2026 Forecast A'!A111</f>
        <v>Lehigh</v>
      </c>
      <c r="B129" s="8" t="str">
        <f aca="false">'2026 Forecast A'!B111</f>
        <v>ALLENTOWN</v>
      </c>
      <c r="C129" s="8" t="str">
        <f aca="false">'2026 Forecast A'!C111</f>
        <v>ALLENTOWN 6TH WARD 1ST DIST</v>
      </c>
      <c r="D129" s="9" t="n">
        <f aca="false">'2026 Forecast A'!G111</f>
        <v>0.682242990654206</v>
      </c>
      <c r="E129" s="9" t="n">
        <f aca="false">'2026 Forecast B'!G111</f>
        <v>0.690909090909091</v>
      </c>
      <c r="F129" s="9" t="n">
        <f aca="false">'2026 Forecast C'!G111</f>
        <v>0.6875</v>
      </c>
      <c r="G129" s="24" t="n">
        <f aca="false">(MAX(D129:F129)-MIN(D129:F129))*100</f>
        <v>0.866610025488535</v>
      </c>
      <c r="H129" s="24" t="n">
        <f aca="false">'2026 Forecast A'!J111</f>
        <v>3.25434931194355</v>
      </c>
      <c r="I129" s="24" t="n">
        <f aca="false">'2026 Forecast B'!J111</f>
        <v>3.09864730606258</v>
      </c>
      <c r="J129" s="24" t="n">
        <f aca="false">'2026 Forecast C'!J111</f>
        <v>3.7041269898902</v>
      </c>
      <c r="K129" s="25" t="n">
        <f aca="false">'2026 Forecast A'!F111</f>
        <v>107</v>
      </c>
      <c r="L129" s="26" t="str">
        <f aca="false">IF(OR(AND(D129&gt;0.5,E129&gt;0.5,F129&gt;0.5),AND(D129&lt;0.5,E129&lt;0.5,F129&lt;0.5)),"Yes","No — toss-up")</f>
        <v>Yes</v>
      </c>
    </row>
    <row r="130" customFormat="false" ht="15" hidden="false" customHeight="false" outlineLevel="0" collapsed="false">
      <c r="A130" s="8" t="str">
        <f aca="false">'2026 Forecast A'!A112</f>
        <v>Lehigh</v>
      </c>
      <c r="B130" s="8" t="str">
        <f aca="false">'2026 Forecast A'!B112</f>
        <v>ALLENTOWN</v>
      </c>
      <c r="C130" s="8" t="str">
        <f aca="false">'2026 Forecast A'!C112</f>
        <v>ALLENTOWN 6TH WARD 2ND DIST</v>
      </c>
      <c r="D130" s="9" t="n">
        <f aca="false">'2026 Forecast A'!G112</f>
        <v>0.665384615384615</v>
      </c>
      <c r="E130" s="9" t="n">
        <f aca="false">'2026 Forecast B'!G112</f>
        <v>0.684410646387833</v>
      </c>
      <c r="F130" s="9" t="n">
        <f aca="false">'2026 Forecast C'!G112</f>
        <v>0.669117647058824</v>
      </c>
      <c r="G130" s="24" t="n">
        <f aca="false">(MAX(D130:F130)-MIN(D130:F130))*100</f>
        <v>1.90260310032173</v>
      </c>
      <c r="H130" s="24" t="n">
        <f aca="false">'2026 Forecast A'!J112</f>
        <v>3.25434931194355</v>
      </c>
      <c r="I130" s="24" t="n">
        <f aca="false">'2026 Forecast B'!J112</f>
        <v>3.09864730606258</v>
      </c>
      <c r="J130" s="24" t="n">
        <f aca="false">'2026 Forecast C'!J112</f>
        <v>3.7041269898902</v>
      </c>
      <c r="K130" s="25" t="n">
        <f aca="false">'2026 Forecast A'!F112</f>
        <v>260</v>
      </c>
      <c r="L130" s="26" t="str">
        <f aca="false">IF(OR(AND(D130&gt;0.5,E130&gt;0.5,F130&gt;0.5),AND(D130&lt;0.5,E130&lt;0.5,F130&lt;0.5)),"Yes","No — toss-up")</f>
        <v>Yes</v>
      </c>
    </row>
    <row r="131" customFormat="false" ht="15" hidden="false" customHeight="false" outlineLevel="0" collapsed="false">
      <c r="A131" s="8" t="str">
        <f aca="false">'2026 Forecast A'!A113</f>
        <v>Lehigh</v>
      </c>
      <c r="B131" s="8" t="str">
        <f aca="false">'2026 Forecast A'!B113</f>
        <v>ALLENTOWN</v>
      </c>
      <c r="C131" s="8" t="str">
        <f aca="false">'2026 Forecast A'!C113</f>
        <v>ALLENTOWN 7TH WARD</v>
      </c>
      <c r="D131" s="9" t="n">
        <f aca="false">'2026 Forecast A'!G113</f>
        <v>0.764204545454545</v>
      </c>
      <c r="E131" s="9" t="n">
        <f aca="false">'2026 Forecast B'!G113</f>
        <v>0.758522727272727</v>
      </c>
      <c r="F131" s="9" t="n">
        <f aca="false">'2026 Forecast C'!G113</f>
        <v>0.769647696476965</v>
      </c>
      <c r="G131" s="24" t="n">
        <f aca="false">(MAX(D131:F131)-MIN(D131:F131))*100</f>
        <v>1.11249692042374</v>
      </c>
      <c r="H131" s="24" t="n">
        <f aca="false">'2026 Forecast A'!J113</f>
        <v>3.25434931194355</v>
      </c>
      <c r="I131" s="24" t="n">
        <f aca="false">'2026 Forecast B'!J113</f>
        <v>3.09864730606258</v>
      </c>
      <c r="J131" s="24" t="n">
        <f aca="false">'2026 Forecast C'!J113</f>
        <v>3.7041269898902</v>
      </c>
      <c r="K131" s="25" t="n">
        <f aca="false">'2026 Forecast A'!F113</f>
        <v>352</v>
      </c>
      <c r="L131" s="26" t="str">
        <f aca="false">IF(OR(AND(D131&gt;0.5,E131&gt;0.5,F131&gt;0.5),AND(D131&lt;0.5,E131&lt;0.5,F131&lt;0.5)),"Yes","No — toss-up")</f>
        <v>Yes</v>
      </c>
    </row>
    <row r="132" customFormat="false" ht="15" hidden="false" customHeight="false" outlineLevel="0" collapsed="false">
      <c r="A132" s="8" t="str">
        <f aca="false">'2026 Forecast A'!A114</f>
        <v>Lehigh</v>
      </c>
      <c r="B132" s="8" t="str">
        <f aca="false">'2026 Forecast A'!B114</f>
        <v>ALLENTOWN</v>
      </c>
      <c r="C132" s="8" t="str">
        <f aca="false">'2026 Forecast A'!C114</f>
        <v>ALLENTOWN 8TH WARD 1ST DIST</v>
      </c>
      <c r="D132" s="9" t="n">
        <f aca="false">'2026 Forecast A'!G114</f>
        <v>0.76984126984127</v>
      </c>
      <c r="E132" s="9" t="n">
        <f aca="false">'2026 Forecast B'!G114</f>
        <v>0.769230769230769</v>
      </c>
      <c r="F132" s="9" t="n">
        <f aca="false">'2026 Forecast C'!G114</f>
        <v>0.778625954198473</v>
      </c>
      <c r="G132" s="24" t="n">
        <f aca="false">(MAX(D132:F132)-MIN(D132:F132))*100</f>
        <v>0.939518496770397</v>
      </c>
      <c r="H132" s="24" t="n">
        <f aca="false">'2026 Forecast A'!J114</f>
        <v>3.25434931194355</v>
      </c>
      <c r="I132" s="24" t="n">
        <f aca="false">'2026 Forecast B'!J114</f>
        <v>3.09864730606258</v>
      </c>
      <c r="J132" s="24" t="n">
        <f aca="false">'2026 Forecast C'!J114</f>
        <v>3.7041269898902</v>
      </c>
      <c r="K132" s="25" t="n">
        <f aca="false">'2026 Forecast A'!F114</f>
        <v>126</v>
      </c>
      <c r="L132" s="26" t="str">
        <f aca="false">IF(OR(AND(D132&gt;0.5,E132&gt;0.5,F132&gt;0.5),AND(D132&lt;0.5,E132&lt;0.5,F132&lt;0.5)),"Yes","No — toss-up")</f>
        <v>Yes</v>
      </c>
    </row>
    <row r="133" customFormat="false" ht="15" hidden="false" customHeight="false" outlineLevel="0" collapsed="false">
      <c r="A133" s="8" t="str">
        <f aca="false">'2026 Forecast A'!A115</f>
        <v>Lehigh</v>
      </c>
      <c r="B133" s="8" t="str">
        <f aca="false">'2026 Forecast A'!B115</f>
        <v>ALLENTOWN</v>
      </c>
      <c r="C133" s="8" t="str">
        <f aca="false">'2026 Forecast A'!C115</f>
        <v>ALLENTOWN 8TH WARD 2ND DIST</v>
      </c>
      <c r="D133" s="9" t="n">
        <f aca="false">'2026 Forecast A'!G115</f>
        <v>0.76158940397351</v>
      </c>
      <c r="E133" s="9" t="n">
        <f aca="false">'2026 Forecast B'!G115</f>
        <v>0.788461538461538</v>
      </c>
      <c r="F133" s="9" t="n">
        <f aca="false">'2026 Forecast C'!G115</f>
        <v>0.767295597484277</v>
      </c>
      <c r="G133" s="24" t="n">
        <f aca="false">(MAX(D133:F133)-MIN(D133:F133))*100</f>
        <v>2.68721344880285</v>
      </c>
      <c r="H133" s="24" t="n">
        <f aca="false">'2026 Forecast A'!J115</f>
        <v>3.25434931194355</v>
      </c>
      <c r="I133" s="24" t="n">
        <f aca="false">'2026 Forecast B'!J115</f>
        <v>3.09864730606258</v>
      </c>
      <c r="J133" s="24" t="n">
        <f aca="false">'2026 Forecast C'!J115</f>
        <v>3.7041269898902</v>
      </c>
      <c r="K133" s="25" t="n">
        <f aca="false">'2026 Forecast A'!F115</f>
        <v>151</v>
      </c>
      <c r="L133" s="26" t="str">
        <f aca="false">IF(OR(AND(D133&gt;0.5,E133&gt;0.5,F133&gt;0.5),AND(D133&lt;0.5,E133&lt;0.5,F133&lt;0.5)),"Yes","No — toss-up")</f>
        <v>Yes</v>
      </c>
    </row>
    <row r="134" customFormat="false" ht="15" hidden="false" customHeight="false" outlineLevel="0" collapsed="false">
      <c r="A134" s="8" t="str">
        <f aca="false">'2026 Forecast A'!A116</f>
        <v>Lehigh</v>
      </c>
      <c r="B134" s="8" t="str">
        <f aca="false">'2026 Forecast A'!B116</f>
        <v>ALLENTOWN</v>
      </c>
      <c r="C134" s="8" t="str">
        <f aca="false">'2026 Forecast A'!C116</f>
        <v>ALLENTOWN 8TH WARD 3RD DIST</v>
      </c>
      <c r="D134" s="9" t="n">
        <f aca="false">'2026 Forecast A'!G116</f>
        <v>0.765957446808511</v>
      </c>
      <c r="E134" s="9" t="n">
        <f aca="false">'2026 Forecast B'!G116</f>
        <v>0.783333333333333</v>
      </c>
      <c r="F134" s="9" t="n">
        <f aca="false">'2026 Forecast C'!G116</f>
        <v>0.770161290322581</v>
      </c>
      <c r="G134" s="24" t="n">
        <f aca="false">(MAX(D134:F134)-MIN(D134:F134))*100</f>
        <v>1.73758865248227</v>
      </c>
      <c r="H134" s="24" t="n">
        <f aca="false">'2026 Forecast A'!J116</f>
        <v>3.25434931194355</v>
      </c>
      <c r="I134" s="24" t="n">
        <f aca="false">'2026 Forecast B'!J116</f>
        <v>3.09864730606258</v>
      </c>
      <c r="J134" s="24" t="n">
        <f aca="false">'2026 Forecast C'!J116</f>
        <v>3.7041269898902</v>
      </c>
      <c r="K134" s="25" t="n">
        <f aca="false">'2026 Forecast A'!F116</f>
        <v>235</v>
      </c>
      <c r="L134" s="26" t="str">
        <f aca="false">IF(OR(AND(D134&gt;0.5,E134&gt;0.5,F134&gt;0.5),AND(D134&lt;0.5,E134&lt;0.5,F134&lt;0.5)),"Yes","No — toss-up")</f>
        <v>Yes</v>
      </c>
    </row>
    <row r="135" customFormat="false" ht="15" hidden="false" customHeight="false" outlineLevel="0" collapsed="false">
      <c r="A135" s="8" t="str">
        <f aca="false">'2026 Forecast A'!A117</f>
        <v>Lehigh</v>
      </c>
      <c r="B135" s="8" t="str">
        <f aca="false">'2026 Forecast A'!B117</f>
        <v>ALLENTOWN</v>
      </c>
      <c r="C135" s="8" t="str">
        <f aca="false">'2026 Forecast A'!C117</f>
        <v>ALLENTOWN 8TH WARD 4TH DIST</v>
      </c>
      <c r="D135" s="9" t="n">
        <f aca="false">'2026 Forecast A'!G117</f>
        <v>0.699134199134199</v>
      </c>
      <c r="E135" s="9" t="n">
        <f aca="false">'2026 Forecast B'!G117</f>
        <v>0.696774193548387</v>
      </c>
      <c r="F135" s="9" t="n">
        <f aca="false">'2026 Forecast C'!G117</f>
        <v>0.703157894736842</v>
      </c>
      <c r="G135" s="24" t="n">
        <f aca="false">(MAX(D135:F135)-MIN(D135:F135))*100</f>
        <v>0.638370118845499</v>
      </c>
      <c r="H135" s="24" t="n">
        <f aca="false">'2026 Forecast A'!J117</f>
        <v>3.25434931194355</v>
      </c>
      <c r="I135" s="24" t="n">
        <f aca="false">'2026 Forecast B'!J117</f>
        <v>3.09864730606258</v>
      </c>
      <c r="J135" s="24" t="n">
        <f aca="false">'2026 Forecast C'!J117</f>
        <v>3.7041269898902</v>
      </c>
      <c r="K135" s="25" t="n">
        <f aca="false">'2026 Forecast A'!F117</f>
        <v>462</v>
      </c>
      <c r="L135" s="26" t="str">
        <f aca="false">IF(OR(AND(D135&gt;0.5,E135&gt;0.5,F135&gt;0.5),AND(D135&lt;0.5,E135&lt;0.5,F135&lt;0.5)),"Yes","No — toss-up")</f>
        <v>Yes</v>
      </c>
    </row>
    <row r="136" customFormat="false" ht="15" hidden="false" customHeight="false" outlineLevel="0" collapsed="false">
      <c r="A136" s="8" t="str">
        <f aca="false">'2026 Forecast A'!A118</f>
        <v>Lehigh</v>
      </c>
      <c r="B136" s="8" t="str">
        <f aca="false">'2026 Forecast A'!B118</f>
        <v>ALLENTOWN</v>
      </c>
      <c r="C136" s="8" t="str">
        <f aca="false">'2026 Forecast A'!C118</f>
        <v>ALLENTOWN 8TH WARD 5TH DIST</v>
      </c>
      <c r="D136" s="9" t="n">
        <f aca="false">'2026 Forecast A'!G118</f>
        <v>0.714285714285714</v>
      </c>
      <c r="E136" s="9" t="n">
        <f aca="false">'2026 Forecast B'!G118</f>
        <v>0.708920187793427</v>
      </c>
      <c r="F136" s="9" t="n">
        <f aca="false">'2026 Forecast C'!G118</f>
        <v>0.719626168224299</v>
      </c>
      <c r="G136" s="24" t="n">
        <f aca="false">(MAX(D136:F136)-MIN(D136:F136))*100</f>
        <v>1.07059804308718</v>
      </c>
      <c r="H136" s="24" t="n">
        <f aca="false">'2026 Forecast A'!J118</f>
        <v>3.25434931194355</v>
      </c>
      <c r="I136" s="24" t="n">
        <f aca="false">'2026 Forecast B'!J118</f>
        <v>3.09864730606258</v>
      </c>
      <c r="J136" s="24" t="n">
        <f aca="false">'2026 Forecast C'!J118</f>
        <v>3.7041269898902</v>
      </c>
      <c r="K136" s="25" t="n">
        <f aca="false">'2026 Forecast A'!F118</f>
        <v>210</v>
      </c>
      <c r="L136" s="26" t="str">
        <f aca="false">IF(OR(AND(D136&gt;0.5,E136&gt;0.5,F136&gt;0.5),AND(D136&lt;0.5,E136&lt;0.5,F136&lt;0.5)),"Yes","No — toss-up")</f>
        <v>Yes</v>
      </c>
    </row>
    <row r="137" customFormat="false" ht="15" hidden="false" customHeight="false" outlineLevel="0" collapsed="false">
      <c r="A137" s="8" t="str">
        <f aca="false">'2026 Forecast A'!A119</f>
        <v>Lehigh</v>
      </c>
      <c r="B137" s="8" t="str">
        <f aca="false">'2026 Forecast A'!B119</f>
        <v>ALLENTOWN</v>
      </c>
      <c r="C137" s="8" t="str">
        <f aca="false">'2026 Forecast A'!C119</f>
        <v>ALLENTOWN 8TH WARD 6TH DIST</v>
      </c>
      <c r="D137" s="9" t="n">
        <f aca="false">'2026 Forecast A'!G119</f>
        <v>0.725581395348837</v>
      </c>
      <c r="E137" s="9" t="n">
        <f aca="false">'2026 Forecast B'!G119</f>
        <v>0.730593607305936</v>
      </c>
      <c r="F137" s="9" t="n">
        <f aca="false">'2026 Forecast C'!G119</f>
        <v>0.727678571428571</v>
      </c>
      <c r="G137" s="24" t="n">
        <f aca="false">(MAX(D137:F137)-MIN(D137:F137))*100</f>
        <v>0.501221195709878</v>
      </c>
      <c r="H137" s="24" t="n">
        <f aca="false">'2026 Forecast A'!J119</f>
        <v>3.25434931194355</v>
      </c>
      <c r="I137" s="24" t="n">
        <f aca="false">'2026 Forecast B'!J119</f>
        <v>3.09864730606258</v>
      </c>
      <c r="J137" s="24" t="n">
        <f aca="false">'2026 Forecast C'!J119</f>
        <v>3.7041269898902</v>
      </c>
      <c r="K137" s="25" t="n">
        <f aca="false">'2026 Forecast A'!F119</f>
        <v>215</v>
      </c>
      <c r="L137" s="26" t="str">
        <f aca="false">IF(OR(AND(D137&gt;0.5,E137&gt;0.5,F137&gt;0.5),AND(D137&lt;0.5,E137&lt;0.5,F137&lt;0.5)),"Yes","No — toss-up")</f>
        <v>Yes</v>
      </c>
    </row>
    <row r="138" customFormat="false" ht="15" hidden="false" customHeight="false" outlineLevel="0" collapsed="false">
      <c r="A138" s="8" t="str">
        <f aca="false">'2026 Forecast A'!A120</f>
        <v>Lehigh</v>
      </c>
      <c r="B138" s="8" t="str">
        <f aca="false">'2026 Forecast A'!B120</f>
        <v>ALLENTOWN</v>
      </c>
      <c r="C138" s="8" t="str">
        <f aca="false">'2026 Forecast A'!C120</f>
        <v>ALLENTOWN 8TH WARD 7TH DIST</v>
      </c>
      <c r="D138" s="9" t="n">
        <f aca="false">'2026 Forecast A'!G120</f>
        <v>0.660215053763441</v>
      </c>
      <c r="E138" s="9" t="n">
        <f aca="false">'2026 Forecast B'!G120</f>
        <v>0.665245202558635</v>
      </c>
      <c r="F138" s="9" t="n">
        <f aca="false">'2026 Forecast C'!G120</f>
        <v>0.664473684210526</v>
      </c>
      <c r="G138" s="24" t="n">
        <f aca="false">(MAX(D138:F138)-MIN(D138:F138))*100</f>
        <v>0.503014879519459</v>
      </c>
      <c r="H138" s="24" t="n">
        <f aca="false">'2026 Forecast A'!J120</f>
        <v>3.25434931194355</v>
      </c>
      <c r="I138" s="24" t="n">
        <f aca="false">'2026 Forecast B'!J120</f>
        <v>3.09864730606258</v>
      </c>
      <c r="J138" s="24" t="n">
        <f aca="false">'2026 Forecast C'!J120</f>
        <v>3.7041269898902</v>
      </c>
      <c r="K138" s="25" t="n">
        <f aca="false">'2026 Forecast A'!F120</f>
        <v>465</v>
      </c>
      <c r="L138" s="26" t="str">
        <f aca="false">IF(OR(AND(D138&gt;0.5,E138&gt;0.5,F138&gt;0.5),AND(D138&lt;0.5,E138&lt;0.5,F138&lt;0.5)),"Yes","No — toss-up")</f>
        <v>Yes</v>
      </c>
    </row>
    <row r="139" customFormat="false" ht="15" hidden="false" customHeight="false" outlineLevel="0" collapsed="false">
      <c r="A139" s="8" t="str">
        <f aca="false">'2026 Forecast A'!A121</f>
        <v>Lehigh</v>
      </c>
      <c r="B139" s="8" t="str">
        <f aca="false">'2026 Forecast A'!B121</f>
        <v>ALLENTOWN</v>
      </c>
      <c r="C139" s="8" t="str">
        <f aca="false">'2026 Forecast A'!C121</f>
        <v>ALLENTOWN 9TH WARD</v>
      </c>
      <c r="D139" s="9" t="n">
        <f aca="false">'2026 Forecast A'!G121</f>
        <v>0.738351254480287</v>
      </c>
      <c r="E139" s="9" t="n">
        <f aca="false">'2026 Forecast B'!G121</f>
        <v>0.74468085106383</v>
      </c>
      <c r="F139" s="9" t="n">
        <f aca="false">'2026 Forecast C'!G121</f>
        <v>0.748275862068966</v>
      </c>
      <c r="G139" s="24" t="n">
        <f aca="false">(MAX(D139:F139)-MIN(D139:F139))*100</f>
        <v>0.992460758867886</v>
      </c>
      <c r="H139" s="24" t="n">
        <f aca="false">'2026 Forecast A'!J121</f>
        <v>3.25434931194355</v>
      </c>
      <c r="I139" s="24" t="n">
        <f aca="false">'2026 Forecast B'!J121</f>
        <v>3.09864730606258</v>
      </c>
      <c r="J139" s="24" t="n">
        <f aca="false">'2026 Forecast C'!J121</f>
        <v>3.7041269898902</v>
      </c>
      <c r="K139" s="25" t="n">
        <f aca="false">'2026 Forecast A'!F121</f>
        <v>279</v>
      </c>
      <c r="L139" s="26" t="str">
        <f aca="false">IF(OR(AND(D139&gt;0.5,E139&gt;0.5,F139&gt;0.5),AND(D139&lt;0.5,E139&lt;0.5,F139&lt;0.5)),"Yes","No — toss-up")</f>
        <v>Yes</v>
      </c>
    </row>
    <row r="140" customFormat="false" ht="15" hidden="false" customHeight="false" outlineLevel="0" collapsed="false">
      <c r="A140" s="8" t="str">
        <f aca="false">'2026 Forecast A'!A122</f>
        <v>Lehigh</v>
      </c>
      <c r="B140" s="8" t="str">
        <f aca="false">'2026 Forecast A'!B122</f>
        <v>BETHLEHEM</v>
      </c>
      <c r="C140" s="8" t="str">
        <f aca="false">'2026 Forecast A'!C122</f>
        <v>BETHLEHEM 10TH WARD</v>
      </c>
      <c r="D140" s="9" t="n">
        <f aca="false">'2026 Forecast A'!G122</f>
        <v>0.73959938366718</v>
      </c>
      <c r="E140" s="9" t="n">
        <f aca="false">'2026 Forecast B'!G122</f>
        <v>0.736196319018405</v>
      </c>
      <c r="F140" s="9" t="n">
        <f aca="false">'2026 Forecast C'!G122</f>
        <v>0.746153846153846</v>
      </c>
      <c r="G140" s="24" t="n">
        <f aca="false">(MAX(D140:F140)-MIN(D140:F140))*100</f>
        <v>0.995752713544129</v>
      </c>
      <c r="H140" s="24" t="n">
        <f aca="false">'2026 Forecast A'!J122</f>
        <v>3.25434931194355</v>
      </c>
      <c r="I140" s="24" t="n">
        <f aca="false">'2026 Forecast B'!J122</f>
        <v>3.09864730606258</v>
      </c>
      <c r="J140" s="24" t="n">
        <f aca="false">'2026 Forecast C'!J122</f>
        <v>3.7041269898902</v>
      </c>
      <c r="K140" s="25" t="n">
        <f aca="false">'2026 Forecast A'!F122</f>
        <v>649</v>
      </c>
      <c r="L140" s="26" t="str">
        <f aca="false">IF(OR(AND(D140&gt;0.5,E140&gt;0.5,F140&gt;0.5),AND(D140&lt;0.5,E140&lt;0.5,F140&lt;0.5)),"Yes","No — toss-up")</f>
        <v>Yes</v>
      </c>
    </row>
    <row r="141" customFormat="false" ht="15" hidden="false" customHeight="false" outlineLevel="0" collapsed="false">
      <c r="A141" s="8" t="str">
        <f aca="false">'2026 Forecast A'!A123</f>
        <v>Lehigh</v>
      </c>
      <c r="B141" s="8" t="str">
        <f aca="false">'2026 Forecast A'!B123</f>
        <v>BETHLEHEM</v>
      </c>
      <c r="C141" s="8" t="str">
        <f aca="false">'2026 Forecast A'!C123</f>
        <v>BETHLEHEM 11TH WARD</v>
      </c>
      <c r="D141" s="9" t="n">
        <f aca="false">'2026 Forecast A'!G123</f>
        <v>0.710869565217391</v>
      </c>
      <c r="E141" s="9" t="n">
        <f aca="false">'2026 Forecast B'!G123</f>
        <v>0.708154506437768</v>
      </c>
      <c r="F141" s="9" t="n">
        <f aca="false">'2026 Forecast C'!G123</f>
        <v>0.714596949891068</v>
      </c>
      <c r="G141" s="24" t="n">
        <f aca="false">(MAX(D141:F141)-MIN(D141:F141))*100</f>
        <v>0.644244345329936</v>
      </c>
      <c r="H141" s="24" t="n">
        <f aca="false">'2026 Forecast A'!J123</f>
        <v>3.25434931194355</v>
      </c>
      <c r="I141" s="24" t="n">
        <f aca="false">'2026 Forecast B'!J123</f>
        <v>3.09864730606258</v>
      </c>
      <c r="J141" s="24" t="n">
        <f aca="false">'2026 Forecast C'!J123</f>
        <v>3.7041269898902</v>
      </c>
      <c r="K141" s="25" t="n">
        <f aca="false">'2026 Forecast A'!F123</f>
        <v>460</v>
      </c>
      <c r="L141" s="26" t="str">
        <f aca="false">IF(OR(AND(D141&gt;0.5,E141&gt;0.5,F141&gt;0.5),AND(D141&lt;0.5,E141&lt;0.5,F141&lt;0.5)),"Yes","No — toss-up")</f>
        <v>Yes</v>
      </c>
    </row>
    <row r="142" customFormat="false" ht="15" hidden="false" customHeight="false" outlineLevel="0" collapsed="false">
      <c r="A142" s="8" t="str">
        <f aca="false">'2026 Forecast A'!A124</f>
        <v>Lehigh</v>
      </c>
      <c r="B142" s="8" t="str">
        <f aca="false">'2026 Forecast A'!B124</f>
        <v>BETHLEHEM</v>
      </c>
      <c r="C142" s="8" t="str">
        <f aca="false">'2026 Forecast A'!C124</f>
        <v>BETHLEHEM 12TH WARD 1ST DIST</v>
      </c>
      <c r="D142" s="9" t="n">
        <f aca="false">'2026 Forecast A'!G124</f>
        <v>0.744769874476987</v>
      </c>
      <c r="E142" s="9" t="n">
        <f aca="false">'2026 Forecast B'!G124</f>
        <v>0.738589211618257</v>
      </c>
      <c r="F142" s="9" t="n">
        <f aca="false">'2026 Forecast C'!G124</f>
        <v>0.751565762004175</v>
      </c>
      <c r="G142" s="24" t="n">
        <f aca="false">(MAX(D142:F142)-MIN(D142:F142))*100</f>
        <v>1.29765503859181</v>
      </c>
      <c r="H142" s="24" t="n">
        <f aca="false">'2026 Forecast A'!J124</f>
        <v>3.25434931194355</v>
      </c>
      <c r="I142" s="24" t="n">
        <f aca="false">'2026 Forecast B'!J124</f>
        <v>3.09864730606258</v>
      </c>
      <c r="J142" s="24" t="n">
        <f aca="false">'2026 Forecast C'!J124</f>
        <v>3.7041269898902</v>
      </c>
      <c r="K142" s="25" t="n">
        <f aca="false">'2026 Forecast A'!F124</f>
        <v>478</v>
      </c>
      <c r="L142" s="26" t="str">
        <f aca="false">IF(OR(AND(D142&gt;0.5,E142&gt;0.5,F142&gt;0.5),AND(D142&lt;0.5,E142&lt;0.5,F142&lt;0.5)),"Yes","No — toss-up")</f>
        <v>Yes</v>
      </c>
    </row>
    <row r="143" customFormat="false" ht="15" hidden="false" customHeight="false" outlineLevel="0" collapsed="false">
      <c r="A143" s="8" t="str">
        <f aca="false">'2026 Forecast A'!A125</f>
        <v>Lehigh</v>
      </c>
      <c r="B143" s="8" t="str">
        <f aca="false">'2026 Forecast A'!B125</f>
        <v>BETHLEHEM</v>
      </c>
      <c r="C143" s="8" t="str">
        <f aca="false">'2026 Forecast A'!C125</f>
        <v>BETHLEHEM 12TH WARD 2ND DIST</v>
      </c>
      <c r="D143" s="9" t="n">
        <f aca="false">'2026 Forecast A'!G125</f>
        <v>0.72396694214876</v>
      </c>
      <c r="E143" s="9" t="n">
        <f aca="false">'2026 Forecast B'!G125</f>
        <v>0.722950819672131</v>
      </c>
      <c r="F143" s="9" t="n">
        <f aca="false">'2026 Forecast C'!G125</f>
        <v>0.730050933786078</v>
      </c>
      <c r="G143" s="24" t="n">
        <f aca="false">(MAX(D143:F143)-MIN(D143:F143))*100</f>
        <v>0.710011411394695</v>
      </c>
      <c r="H143" s="24" t="n">
        <f aca="false">'2026 Forecast A'!J125</f>
        <v>3.25434931194355</v>
      </c>
      <c r="I143" s="24" t="n">
        <f aca="false">'2026 Forecast B'!J125</f>
        <v>3.09864730606258</v>
      </c>
      <c r="J143" s="24" t="n">
        <f aca="false">'2026 Forecast C'!J125</f>
        <v>3.7041269898902</v>
      </c>
      <c r="K143" s="25" t="n">
        <f aca="false">'2026 Forecast A'!F125</f>
        <v>605</v>
      </c>
      <c r="L143" s="26" t="str">
        <f aca="false">IF(OR(AND(D143&gt;0.5,E143&gt;0.5,F143&gt;0.5),AND(D143&lt;0.5,E143&lt;0.5,F143&lt;0.5)),"Yes","No — toss-up")</f>
        <v>Yes</v>
      </c>
    </row>
    <row r="144" customFormat="false" ht="15" hidden="false" customHeight="false" outlineLevel="0" collapsed="false">
      <c r="A144" s="8" t="str">
        <f aca="false">'2026 Forecast A'!A126</f>
        <v>Lehigh</v>
      </c>
      <c r="B144" s="8" t="str">
        <f aca="false">'2026 Forecast A'!B126</f>
        <v>BETHLEHEM</v>
      </c>
      <c r="C144" s="8" t="str">
        <f aca="false">'2026 Forecast A'!C126</f>
        <v>BETHLEHEM 13TH WARD 1ST DIST</v>
      </c>
      <c r="D144" s="9" t="n">
        <f aca="false">'2026 Forecast A'!G126</f>
        <v>0.685840707964602</v>
      </c>
      <c r="E144" s="9" t="n">
        <f aca="false">'2026 Forecast B'!G126</f>
        <v>0.676855895196507</v>
      </c>
      <c r="F144" s="9" t="n">
        <f aca="false">'2026 Forecast C'!G126</f>
        <v>0.692137320044297</v>
      </c>
      <c r="G144" s="24" t="n">
        <f aca="false">(MAX(D144:F144)-MIN(D144:F144))*100</f>
        <v>1.52814248477902</v>
      </c>
      <c r="H144" s="24" t="n">
        <f aca="false">'2026 Forecast A'!J126</f>
        <v>1.85532414445586</v>
      </c>
      <c r="I144" s="24" t="n">
        <f aca="false">'2026 Forecast B'!J126</f>
        <v>2.0110742867014</v>
      </c>
      <c r="J144" s="24" t="n">
        <f aca="false">'2026 Forecast C'!J126</f>
        <v>2.12060277043418</v>
      </c>
      <c r="K144" s="25" t="n">
        <f aca="false">'2026 Forecast A'!F126</f>
        <v>904</v>
      </c>
      <c r="L144" s="26" t="str">
        <f aca="false">IF(OR(AND(D144&gt;0.5,E144&gt;0.5,F144&gt;0.5),AND(D144&lt;0.5,E144&lt;0.5,F144&lt;0.5)),"Yes","No — toss-up")</f>
        <v>Yes</v>
      </c>
    </row>
    <row r="145" customFormat="false" ht="15" hidden="false" customHeight="false" outlineLevel="0" collapsed="false">
      <c r="A145" s="8" t="str">
        <f aca="false">'2026 Forecast A'!A127</f>
        <v>Lehigh</v>
      </c>
      <c r="B145" s="8" t="str">
        <f aca="false">'2026 Forecast A'!B127</f>
        <v>BETHLEHEM</v>
      </c>
      <c r="C145" s="8" t="str">
        <f aca="false">'2026 Forecast A'!C127</f>
        <v>BETHLEHEM 13TH WARD 2ND DIST</v>
      </c>
      <c r="D145" s="9" t="n">
        <f aca="false">'2026 Forecast A'!G127</f>
        <v>0.658914728682171</v>
      </c>
      <c r="E145" s="9" t="n">
        <f aca="false">'2026 Forecast B'!G127</f>
        <v>0.657407407407407</v>
      </c>
      <c r="F145" s="9" t="n">
        <f aca="false">'2026 Forecast C'!G127</f>
        <v>0.661927330173776</v>
      </c>
      <c r="G145" s="24" t="n">
        <f aca="false">(MAX(D145:F145)-MIN(D145:F145))*100</f>
        <v>0.451992276636826</v>
      </c>
      <c r="H145" s="24" t="n">
        <f aca="false">'2026 Forecast A'!J127</f>
        <v>3.25434931194355</v>
      </c>
      <c r="I145" s="24" t="n">
        <f aca="false">'2026 Forecast B'!J127</f>
        <v>3.09864730606258</v>
      </c>
      <c r="J145" s="24" t="n">
        <f aca="false">'2026 Forecast C'!J127</f>
        <v>3.7041269898902</v>
      </c>
      <c r="K145" s="25" t="n">
        <f aca="false">'2026 Forecast A'!F127</f>
        <v>645</v>
      </c>
      <c r="L145" s="26" t="str">
        <f aca="false">IF(OR(AND(D145&gt;0.5,E145&gt;0.5,F145&gt;0.5),AND(D145&lt;0.5,E145&lt;0.5,F145&lt;0.5)),"Yes","No — toss-up")</f>
        <v>Yes</v>
      </c>
    </row>
    <row r="146" customFormat="false" ht="15" hidden="false" customHeight="false" outlineLevel="0" collapsed="false">
      <c r="A146" s="8" t="str">
        <f aca="false">'2026 Forecast A'!A128</f>
        <v>Lehigh</v>
      </c>
      <c r="B146" s="8" t="str">
        <f aca="false">'2026 Forecast A'!B128</f>
        <v>BETHLEHEM</v>
      </c>
      <c r="C146" s="8" t="str">
        <f aca="false">'2026 Forecast A'!C128</f>
        <v>BETHLEHEM 13TH WARD 3RD DIST</v>
      </c>
      <c r="D146" s="9" t="n">
        <f aca="false">'2026 Forecast A'!G128</f>
        <v>0.639686684073107</v>
      </c>
      <c r="E146" s="9" t="n">
        <f aca="false">'2026 Forecast B'!G128</f>
        <v>0.636010362694301</v>
      </c>
      <c r="F146" s="9" t="n">
        <f aca="false">'2026 Forecast C'!G128</f>
        <v>0.644179894179894</v>
      </c>
      <c r="G146" s="24" t="n">
        <f aca="false">(MAX(D146:F146)-MIN(D146:F146))*100</f>
        <v>0.816953148559363</v>
      </c>
      <c r="H146" s="24" t="n">
        <f aca="false">'2026 Forecast A'!J128</f>
        <v>3.25434931194355</v>
      </c>
      <c r="I146" s="24" t="n">
        <f aca="false">'2026 Forecast B'!J128</f>
        <v>3.09864730606258</v>
      </c>
      <c r="J146" s="24" t="n">
        <f aca="false">'2026 Forecast C'!J128</f>
        <v>3.7041269898902</v>
      </c>
      <c r="K146" s="25" t="n">
        <f aca="false">'2026 Forecast A'!F128</f>
        <v>766</v>
      </c>
      <c r="L146" s="26" t="str">
        <f aca="false">IF(OR(AND(D146&gt;0.5,E146&gt;0.5,F146&gt;0.5),AND(D146&lt;0.5,E146&lt;0.5,F146&lt;0.5)),"Yes","No — toss-up")</f>
        <v>Yes</v>
      </c>
    </row>
    <row r="147" customFormat="false" ht="15" hidden="false" customHeight="false" outlineLevel="0" collapsed="false">
      <c r="A147" s="8" t="str">
        <f aca="false">'2026 Forecast A'!A129</f>
        <v>Lehigh</v>
      </c>
      <c r="B147" s="8" t="str">
        <f aca="false">'2026 Forecast A'!B129</f>
        <v>BETHLEHEM</v>
      </c>
      <c r="C147" s="8" t="str">
        <f aca="false">'2026 Forecast A'!C129</f>
        <v>BETHLEHEM 13TH WARD 4TH DIST</v>
      </c>
      <c r="D147" s="9" t="n">
        <f aca="false">'2026 Forecast A'!G129</f>
        <v>0.648815653964985</v>
      </c>
      <c r="E147" s="9" t="n">
        <f aca="false">'2026 Forecast B'!G129</f>
        <v>0.638974358974359</v>
      </c>
      <c r="F147" s="9" t="n">
        <f aca="false">'2026 Forecast C'!G129</f>
        <v>0.654008438818565</v>
      </c>
      <c r="G147" s="24" t="n">
        <f aca="false">(MAX(D147:F147)-MIN(D147:F147))*100</f>
        <v>1.50340798442065</v>
      </c>
      <c r="H147" s="24" t="n">
        <f aca="false">'2026 Forecast A'!J129</f>
        <v>1.85532414445586</v>
      </c>
      <c r="I147" s="24" t="n">
        <f aca="false">'2026 Forecast B'!J129</f>
        <v>2.0110742867014</v>
      </c>
      <c r="J147" s="24" t="n">
        <f aca="false">'2026 Forecast C'!J129</f>
        <v>2.12060277043418</v>
      </c>
      <c r="K147" s="25" t="n">
        <f aca="false">'2026 Forecast A'!F129</f>
        <v>971</v>
      </c>
      <c r="L147" s="26" t="str">
        <f aca="false">IF(OR(AND(D147&gt;0.5,E147&gt;0.5,F147&gt;0.5),AND(D147&lt;0.5,E147&lt;0.5,F147&lt;0.5)),"Yes","No — toss-up")</f>
        <v>Yes</v>
      </c>
    </row>
    <row r="148" customFormat="false" ht="15" hidden="false" customHeight="false" outlineLevel="0" collapsed="false">
      <c r="A148" s="8" t="str">
        <f aca="false">'2026 Forecast A'!A130</f>
        <v>Lehigh</v>
      </c>
      <c r="B148" s="8" t="str">
        <f aca="false">'2026 Forecast A'!B130</f>
        <v>BETHLEHEM</v>
      </c>
      <c r="C148" s="8" t="str">
        <f aca="false">'2026 Forecast A'!C130</f>
        <v>BETHLEHEM 13TH WARD 5TH DIST</v>
      </c>
      <c r="D148" s="9" t="n">
        <f aca="false">'2026 Forecast A'!G130</f>
        <v>0.653237410071943</v>
      </c>
      <c r="E148" s="9" t="n">
        <f aca="false">'2026 Forecast B'!G130</f>
        <v>0.646551724137931</v>
      </c>
      <c r="F148" s="9" t="n">
        <f aca="false">'2026 Forecast C'!G130</f>
        <v>0.658321060382916</v>
      </c>
      <c r="G148" s="24" t="n">
        <f aca="false">(MAX(D148:F148)-MIN(D148:F148))*100</f>
        <v>1.1769336244985</v>
      </c>
      <c r="H148" s="24" t="n">
        <f aca="false">'2026 Forecast A'!J130</f>
        <v>3.25434931194355</v>
      </c>
      <c r="I148" s="24" t="n">
        <f aca="false">'2026 Forecast B'!J130</f>
        <v>3.09864730606258</v>
      </c>
      <c r="J148" s="24" t="n">
        <f aca="false">'2026 Forecast C'!J130</f>
        <v>3.7041269898902</v>
      </c>
      <c r="K148" s="25" t="n">
        <f aca="false">'2026 Forecast A'!F130</f>
        <v>695</v>
      </c>
      <c r="L148" s="26" t="str">
        <f aca="false">IF(OR(AND(D148&gt;0.5,E148&gt;0.5,F148&gt;0.5),AND(D148&lt;0.5,E148&lt;0.5,F148&lt;0.5)),"Yes","No — toss-up")</f>
        <v>Yes</v>
      </c>
    </row>
    <row r="149" customFormat="false" ht="15" hidden="false" customHeight="false" outlineLevel="0" collapsed="false">
      <c r="A149" s="8" t="str">
        <f aca="false">'2026 Forecast A'!A131</f>
        <v>Lehigh</v>
      </c>
      <c r="B149" s="8" t="str">
        <f aca="false">'2026 Forecast A'!B131</f>
        <v>BETHLEHEM</v>
      </c>
      <c r="C149" s="8" t="str">
        <f aca="false">'2026 Forecast A'!C131</f>
        <v>BETHLEHEM 13TH WARD 6TH DIST</v>
      </c>
      <c r="D149" s="9" t="n">
        <f aca="false">'2026 Forecast A'!G131</f>
        <v>0.608626198083067</v>
      </c>
      <c r="E149" s="9" t="n">
        <f aca="false">'2026 Forecast B'!G131</f>
        <v>0.6120826709062</v>
      </c>
      <c r="F149" s="9" t="n">
        <f aca="false">'2026 Forecast C'!G131</f>
        <v>0.61576354679803</v>
      </c>
      <c r="G149" s="24" t="n">
        <f aca="false">(MAX(D149:F149)-MIN(D149:F149))*100</f>
        <v>0.713734871496252</v>
      </c>
      <c r="H149" s="24" t="n">
        <f aca="false">'2026 Forecast A'!J131</f>
        <v>3.25434931194355</v>
      </c>
      <c r="I149" s="24" t="n">
        <f aca="false">'2026 Forecast B'!J131</f>
        <v>3.09864730606258</v>
      </c>
      <c r="J149" s="24" t="n">
        <f aca="false">'2026 Forecast C'!J131</f>
        <v>3.7041269898902</v>
      </c>
      <c r="K149" s="25" t="n">
        <f aca="false">'2026 Forecast A'!F131</f>
        <v>626</v>
      </c>
      <c r="L149" s="26" t="str">
        <f aca="false">IF(OR(AND(D149&gt;0.5,E149&gt;0.5,F149&gt;0.5),AND(D149&lt;0.5,E149&lt;0.5,F149&lt;0.5)),"Yes","No — toss-up")</f>
        <v>Yes</v>
      </c>
    </row>
    <row r="150" customFormat="false" ht="15" hidden="false" customHeight="false" outlineLevel="0" collapsed="false">
      <c r="A150" s="8" t="str">
        <f aca="false">'2026 Forecast A'!A132</f>
        <v>Lehigh</v>
      </c>
      <c r="B150" s="8" t="str">
        <f aca="false">'2026 Forecast A'!B132</f>
        <v>BETHLEHEM</v>
      </c>
      <c r="C150" s="8" t="str">
        <f aca="false">'2026 Forecast A'!C132</f>
        <v>BETHLEHEM 13TH WARD 7TH DIST</v>
      </c>
      <c r="D150" s="9" t="n">
        <f aca="false">'2026 Forecast A'!G132</f>
        <v>0.667673716012085</v>
      </c>
      <c r="E150" s="9" t="n">
        <f aca="false">'2026 Forecast B'!G132</f>
        <v>0.660766961651917</v>
      </c>
      <c r="F150" s="9" t="n">
        <f aca="false">'2026 Forecast C'!G132</f>
        <v>0.670713201820941</v>
      </c>
      <c r="G150" s="24" t="n">
        <f aca="false">(MAX(D150:F150)-MIN(D150:F150))*100</f>
        <v>0.994624016902346</v>
      </c>
      <c r="H150" s="24" t="n">
        <f aca="false">'2026 Forecast A'!J132</f>
        <v>3.25434931194355</v>
      </c>
      <c r="I150" s="24" t="n">
        <f aca="false">'2026 Forecast B'!J132</f>
        <v>3.09864730606258</v>
      </c>
      <c r="J150" s="24" t="n">
        <f aca="false">'2026 Forecast C'!J132</f>
        <v>3.7041269898902</v>
      </c>
      <c r="K150" s="25" t="n">
        <f aca="false">'2026 Forecast A'!F132</f>
        <v>662</v>
      </c>
      <c r="L150" s="26" t="str">
        <f aca="false">IF(OR(AND(D150&gt;0.5,E150&gt;0.5,F150&gt;0.5),AND(D150&lt;0.5,E150&lt;0.5,F150&lt;0.5)),"Yes","No — toss-up")</f>
        <v>Yes</v>
      </c>
    </row>
    <row r="151" customFormat="false" ht="15" hidden="false" customHeight="false" outlineLevel="0" collapsed="false">
      <c r="A151" s="8" t="str">
        <f aca="false">'2026 Forecast A'!A133</f>
        <v>Lehigh</v>
      </c>
      <c r="B151" s="8" t="str">
        <f aca="false">'2026 Forecast A'!B133</f>
        <v>BETHLEHEM</v>
      </c>
      <c r="C151" s="8" t="str">
        <f aca="false">'2026 Forecast A'!C133</f>
        <v>BETHLEHEM 13TH WARD 8TH DIST</v>
      </c>
      <c r="D151" s="9" t="n">
        <f aca="false">'2026 Forecast A'!G133</f>
        <v>0.645751633986928</v>
      </c>
      <c r="E151" s="9" t="n">
        <f aca="false">'2026 Forecast B'!G133</f>
        <v>0.643782383419689</v>
      </c>
      <c r="F151" s="9" t="n">
        <f aca="false">'2026 Forecast C'!G133</f>
        <v>0.649006622516556</v>
      </c>
      <c r="G151" s="24" t="n">
        <f aca="false">(MAX(D151:F151)-MIN(D151:F151))*100</f>
        <v>0.52242390968672</v>
      </c>
      <c r="H151" s="24" t="n">
        <f aca="false">'2026 Forecast A'!J133</f>
        <v>3.25434931194355</v>
      </c>
      <c r="I151" s="24" t="n">
        <f aca="false">'2026 Forecast B'!J133</f>
        <v>3.09864730606258</v>
      </c>
      <c r="J151" s="24" t="n">
        <f aca="false">'2026 Forecast C'!J133</f>
        <v>3.7041269898902</v>
      </c>
      <c r="K151" s="25" t="n">
        <f aca="false">'2026 Forecast A'!F133</f>
        <v>765</v>
      </c>
      <c r="L151" s="26" t="str">
        <f aca="false">IF(OR(AND(D151&gt;0.5,E151&gt;0.5,F151&gt;0.5),AND(D151&lt;0.5,E151&lt;0.5,F151&lt;0.5)),"Yes","No — toss-up")</f>
        <v>Yes</v>
      </c>
    </row>
    <row r="152" customFormat="false" ht="15" hidden="false" customHeight="false" outlineLevel="0" collapsed="false">
      <c r="A152" s="8" t="str">
        <f aca="false">'2026 Forecast A'!A134</f>
        <v>Lehigh</v>
      </c>
      <c r="B152" s="8" t="str">
        <f aca="false">'2026 Forecast A'!B134</f>
        <v>CATASAUQUA</v>
      </c>
      <c r="C152" s="8" t="str">
        <f aca="false">'2026 Forecast A'!C134</f>
        <v>CATASAUQUA 1ST DIST</v>
      </c>
      <c r="D152" s="9" t="n">
        <f aca="false">'2026 Forecast A'!G134</f>
        <v>0.597163120567376</v>
      </c>
      <c r="E152" s="9" t="n">
        <f aca="false">'2026 Forecast B'!G134</f>
        <v>0.599162011173184</v>
      </c>
      <c r="F152" s="9" t="n">
        <f aca="false">'2026 Forecast C'!G134</f>
        <v>0.599423631123919</v>
      </c>
      <c r="G152" s="24" t="n">
        <f aca="false">(MAX(D152:F152)-MIN(D152:F152))*100</f>
        <v>0.226051055654342</v>
      </c>
      <c r="H152" s="24" t="n">
        <f aca="false">'2026 Forecast A'!J134</f>
        <v>3.25434931194355</v>
      </c>
      <c r="I152" s="24" t="n">
        <f aca="false">'2026 Forecast B'!J134</f>
        <v>3.09864730606258</v>
      </c>
      <c r="J152" s="24" t="n">
        <f aca="false">'2026 Forecast C'!J134</f>
        <v>3.7041269898902</v>
      </c>
      <c r="K152" s="25" t="n">
        <f aca="false">'2026 Forecast A'!F134</f>
        <v>705</v>
      </c>
      <c r="L152" s="26" t="str">
        <f aca="false">IF(OR(AND(D152&gt;0.5,E152&gt;0.5,F152&gt;0.5),AND(D152&lt;0.5,E152&lt;0.5,F152&lt;0.5)),"Yes","No — toss-up")</f>
        <v>Yes</v>
      </c>
    </row>
    <row r="153" customFormat="false" ht="15" hidden="false" customHeight="false" outlineLevel="0" collapsed="false">
      <c r="A153" s="8" t="str">
        <f aca="false">'2026 Forecast A'!A135</f>
        <v>Lehigh</v>
      </c>
      <c r="B153" s="8" t="str">
        <f aca="false">'2026 Forecast A'!B135</f>
        <v>CATASAUQUA</v>
      </c>
      <c r="C153" s="8" t="str">
        <f aca="false">'2026 Forecast A'!C135</f>
        <v>CATASAUQUA 2ND DIST</v>
      </c>
      <c r="D153" s="9" t="n">
        <f aca="false">'2026 Forecast A'!G135</f>
        <v>0.535483870967742</v>
      </c>
      <c r="E153" s="9" t="n">
        <f aca="false">'2026 Forecast B'!G135</f>
        <v>0.544401544401544</v>
      </c>
      <c r="F153" s="9" t="n">
        <f aca="false">'2026 Forecast C'!G135</f>
        <v>0.536617842876165</v>
      </c>
      <c r="G153" s="24" t="n">
        <f aca="false">(MAX(D153:F153)-MIN(D153:F153))*100</f>
        <v>0.891767343380245</v>
      </c>
      <c r="H153" s="24" t="n">
        <f aca="false">'2026 Forecast A'!J135</f>
        <v>3.25434931194355</v>
      </c>
      <c r="I153" s="24" t="n">
        <f aca="false">'2026 Forecast B'!J135</f>
        <v>2.0110742867014</v>
      </c>
      <c r="J153" s="24" t="n">
        <f aca="false">'2026 Forecast C'!J135</f>
        <v>3.7041269898902</v>
      </c>
      <c r="K153" s="25" t="n">
        <f aca="false">'2026 Forecast A'!F135</f>
        <v>775</v>
      </c>
      <c r="L153" s="26" t="str">
        <f aca="false">IF(OR(AND(D153&gt;0.5,E153&gt;0.5,F153&gt;0.5),AND(D153&lt;0.5,E153&lt;0.5,F153&lt;0.5)),"Yes","No — toss-up")</f>
        <v>Yes</v>
      </c>
    </row>
    <row r="154" customFormat="false" ht="15" hidden="false" customHeight="false" outlineLevel="0" collapsed="false">
      <c r="A154" s="8" t="str">
        <f aca="false">'2026 Forecast A'!A136</f>
        <v>Lehigh</v>
      </c>
      <c r="B154" s="8" t="str">
        <f aca="false">'2026 Forecast A'!B136</f>
        <v>CATASAUQUA</v>
      </c>
      <c r="C154" s="8" t="str">
        <f aca="false">'2026 Forecast A'!C136</f>
        <v>CATASAUQUA 3RD DIST</v>
      </c>
      <c r="D154" s="9" t="n">
        <f aca="false">'2026 Forecast A'!G136</f>
        <v>0.547445255474453</v>
      </c>
      <c r="E154" s="9" t="n">
        <f aca="false">'2026 Forecast B'!G136</f>
        <v>0.551515151515152</v>
      </c>
      <c r="F154" s="9" t="n">
        <f aca="false">'2026 Forecast C'!G136</f>
        <v>0.547945205479452</v>
      </c>
      <c r="G154" s="24" t="n">
        <f aca="false">(MAX(D154:F154)-MIN(D154:F154))*100</f>
        <v>0.406989604069896</v>
      </c>
      <c r="H154" s="24" t="n">
        <f aca="false">'2026 Forecast A'!J136</f>
        <v>1.85532414445586</v>
      </c>
      <c r="I154" s="24" t="n">
        <f aca="false">'2026 Forecast B'!J136</f>
        <v>2.0110742867014</v>
      </c>
      <c r="J154" s="24" t="n">
        <f aca="false">'2026 Forecast C'!J136</f>
        <v>2.12060277043418</v>
      </c>
      <c r="K154" s="25" t="n">
        <f aca="false">'2026 Forecast A'!F136</f>
        <v>822</v>
      </c>
      <c r="L154" s="26" t="str">
        <f aca="false">IF(OR(AND(D154&gt;0.5,E154&gt;0.5,F154&gt;0.5),AND(D154&lt;0.5,E154&lt;0.5,F154&lt;0.5)),"Yes","No — toss-up")</f>
        <v>Yes</v>
      </c>
    </row>
    <row r="155" customFormat="false" ht="15" hidden="false" customHeight="false" outlineLevel="0" collapsed="false">
      <c r="A155" s="8" t="str">
        <f aca="false">'2026 Forecast A'!A137</f>
        <v>Lehigh</v>
      </c>
      <c r="B155" s="8" t="str">
        <f aca="false">'2026 Forecast A'!B137</f>
        <v>COOPERSBURG</v>
      </c>
      <c r="C155" s="8" t="str">
        <f aca="false">'2026 Forecast A'!C137</f>
        <v>COOPERSBURG</v>
      </c>
      <c r="D155" s="9" t="n">
        <f aca="false">'2026 Forecast A'!G137</f>
        <v>0.535687453042825</v>
      </c>
      <c r="E155" s="9" t="n">
        <f aca="false">'2026 Forecast B'!G137</f>
        <v>0.534328358208955</v>
      </c>
      <c r="F155" s="9" t="n">
        <f aca="false">'2026 Forecast C'!G137</f>
        <v>0.536529680365297</v>
      </c>
      <c r="G155" s="24" t="n">
        <f aca="false">(MAX(D155:F155)-MIN(D155:F155))*100</f>
        <v>0.220132215634161</v>
      </c>
      <c r="H155" s="24" t="n">
        <f aca="false">'2026 Forecast A'!J137</f>
        <v>1.28585670084365</v>
      </c>
      <c r="I155" s="24" t="n">
        <f aca="false">'2026 Forecast B'!J137</f>
        <v>1.87006919874525</v>
      </c>
      <c r="J155" s="24" t="n">
        <f aca="false">'2026 Forecast C'!J137</f>
        <v>1.26135644325249</v>
      </c>
      <c r="K155" s="25" t="n">
        <f aca="false">'2026 Forecast A'!F137</f>
        <v>1331</v>
      </c>
      <c r="L155" s="26" t="str">
        <f aca="false">IF(OR(AND(D155&gt;0.5,E155&gt;0.5,F155&gt;0.5),AND(D155&lt;0.5,E155&lt;0.5,F155&lt;0.5)),"Yes","No — toss-up")</f>
        <v>Yes</v>
      </c>
    </row>
    <row r="156" customFormat="false" ht="15" hidden="false" customHeight="false" outlineLevel="0" collapsed="false">
      <c r="A156" s="8" t="str">
        <f aca="false">'2026 Forecast A'!A138</f>
        <v>Lehigh</v>
      </c>
      <c r="B156" s="8" t="str">
        <f aca="false">'2026 Forecast A'!B138</f>
        <v>COPLAY</v>
      </c>
      <c r="C156" s="8" t="str">
        <f aca="false">'2026 Forecast A'!C138</f>
        <v>COPLAY 1ST DISTRICT</v>
      </c>
      <c r="D156" s="9" t="n">
        <f aca="false">'2026 Forecast A'!G138</f>
        <v>0.549084858569052</v>
      </c>
      <c r="E156" s="9" t="n">
        <f aca="false">'2026 Forecast B'!G138</f>
        <v>0.55794701986755</v>
      </c>
      <c r="F156" s="9" t="n">
        <f aca="false">'2026 Forecast C'!G138</f>
        <v>0.548986486486487</v>
      </c>
      <c r="G156" s="24" t="n">
        <f aca="false">(MAX(D156:F156)-MIN(D156:F156))*100</f>
        <v>0.896053338106317</v>
      </c>
      <c r="H156" s="24" t="n">
        <f aca="false">'2026 Forecast A'!J138</f>
        <v>3.25434931194355</v>
      </c>
      <c r="I156" s="24" t="n">
        <f aca="false">'2026 Forecast B'!J138</f>
        <v>3.09864730606258</v>
      </c>
      <c r="J156" s="24" t="n">
        <f aca="false">'2026 Forecast C'!J138</f>
        <v>3.7041269898902</v>
      </c>
      <c r="K156" s="25" t="n">
        <f aca="false">'2026 Forecast A'!F138</f>
        <v>601</v>
      </c>
      <c r="L156" s="26" t="str">
        <f aca="false">IF(OR(AND(D156&gt;0.5,E156&gt;0.5,F156&gt;0.5),AND(D156&lt;0.5,E156&lt;0.5,F156&lt;0.5)),"Yes","No — toss-up")</f>
        <v>Yes</v>
      </c>
    </row>
    <row r="157" customFormat="false" ht="15" hidden="false" customHeight="false" outlineLevel="0" collapsed="false">
      <c r="A157" s="8" t="str">
        <f aca="false">'2026 Forecast A'!A139</f>
        <v>Lehigh</v>
      </c>
      <c r="B157" s="8" t="str">
        <f aca="false">'2026 Forecast A'!B139</f>
        <v>COPLAY</v>
      </c>
      <c r="C157" s="8" t="str">
        <f aca="false">'2026 Forecast A'!C139</f>
        <v>COPLAY 2ND DISTRICT</v>
      </c>
      <c r="D157" s="9" t="n">
        <f aca="false">'2026 Forecast A'!G139</f>
        <v>0.557575757575758</v>
      </c>
      <c r="E157" s="9" t="n">
        <f aca="false">'2026 Forecast B'!G139</f>
        <v>0.565217391304348</v>
      </c>
      <c r="F157" s="9" t="n">
        <f aca="false">'2026 Forecast C'!G139</f>
        <v>0.557478368355995</v>
      </c>
      <c r="G157" s="24" t="n">
        <f aca="false">(MAX(D157:F157)-MIN(D157:F157))*100</f>
        <v>0.773902294835271</v>
      </c>
      <c r="H157" s="24" t="n">
        <f aca="false">'2026 Forecast A'!J139</f>
        <v>1.85532414445586</v>
      </c>
      <c r="I157" s="24" t="n">
        <f aca="false">'2026 Forecast B'!J139</f>
        <v>2.0110742867014</v>
      </c>
      <c r="J157" s="24" t="n">
        <f aca="false">'2026 Forecast C'!J139</f>
        <v>2.12060277043418</v>
      </c>
      <c r="K157" s="25" t="n">
        <f aca="false">'2026 Forecast A'!F139</f>
        <v>825</v>
      </c>
      <c r="L157" s="26" t="str">
        <f aca="false">IF(OR(AND(D157&gt;0.5,E157&gt;0.5,F157&gt;0.5),AND(D157&lt;0.5,E157&lt;0.5,F157&lt;0.5)),"Yes","No — toss-up")</f>
        <v>Yes</v>
      </c>
    </row>
    <row r="158" customFormat="false" ht="15" hidden="false" customHeight="false" outlineLevel="0" collapsed="false">
      <c r="A158" s="8" t="str">
        <f aca="false">'2026 Forecast A'!A140</f>
        <v>Lehigh</v>
      </c>
      <c r="B158" s="8" t="str">
        <f aca="false">'2026 Forecast A'!B140</f>
        <v>EMMAUS</v>
      </c>
      <c r="C158" s="8" t="str">
        <f aca="false">'2026 Forecast A'!C140</f>
        <v>EMMAUS 1ST DISTRICT</v>
      </c>
      <c r="D158" s="9" t="n">
        <f aca="false">'2026 Forecast A'!G140</f>
        <v>0.573580533024334</v>
      </c>
      <c r="E158" s="9" t="n">
        <f aca="false">'2026 Forecast B'!G140</f>
        <v>0.580459770114943</v>
      </c>
      <c r="F158" s="9" t="n">
        <f aca="false">'2026 Forecast C'!G140</f>
        <v>0.576151121605667</v>
      </c>
      <c r="G158" s="24" t="n">
        <f aca="false">(MAX(D158:F158)-MIN(D158:F158))*100</f>
        <v>0.687923709060878</v>
      </c>
      <c r="H158" s="24" t="n">
        <f aca="false">'2026 Forecast A'!J140</f>
        <v>1.85532414445586</v>
      </c>
      <c r="I158" s="24" t="n">
        <f aca="false">'2026 Forecast B'!J140</f>
        <v>2.0110742867014</v>
      </c>
      <c r="J158" s="24" t="n">
        <f aca="false">'2026 Forecast C'!J140</f>
        <v>2.12060277043418</v>
      </c>
      <c r="K158" s="25" t="n">
        <f aca="false">'2026 Forecast A'!F140</f>
        <v>863</v>
      </c>
      <c r="L158" s="26" t="str">
        <f aca="false">IF(OR(AND(D158&gt;0.5,E158&gt;0.5,F158&gt;0.5),AND(D158&lt;0.5,E158&lt;0.5,F158&lt;0.5)),"Yes","No — toss-up")</f>
        <v>Yes</v>
      </c>
    </row>
    <row r="159" customFormat="false" ht="15" hidden="false" customHeight="false" outlineLevel="0" collapsed="false">
      <c r="A159" s="8" t="str">
        <f aca="false">'2026 Forecast A'!A141</f>
        <v>Lehigh</v>
      </c>
      <c r="B159" s="8" t="str">
        <f aca="false">'2026 Forecast A'!B141</f>
        <v>EMMAUS</v>
      </c>
      <c r="C159" s="8" t="str">
        <f aca="false">'2026 Forecast A'!C141</f>
        <v>EMMAUS 2ND DISTRICT</v>
      </c>
      <c r="D159" s="9" t="n">
        <f aca="false">'2026 Forecast A'!G141</f>
        <v>0.565317919075145</v>
      </c>
      <c r="E159" s="9" t="n">
        <f aca="false">'2026 Forecast B'!G141</f>
        <v>0.569124423963134</v>
      </c>
      <c r="F159" s="9" t="n">
        <f aca="false">'2026 Forecast C'!G141</f>
        <v>0.568720379146919</v>
      </c>
      <c r="G159" s="24" t="n">
        <f aca="false">(MAX(D159:F159)-MIN(D159:F159))*100</f>
        <v>0.380650488798917</v>
      </c>
      <c r="H159" s="24" t="n">
        <f aca="false">'2026 Forecast A'!J141</f>
        <v>1.85532414445586</v>
      </c>
      <c r="I159" s="24" t="n">
        <f aca="false">'2026 Forecast B'!J141</f>
        <v>2.0110742867014</v>
      </c>
      <c r="J159" s="24" t="n">
        <f aca="false">'2026 Forecast C'!J141</f>
        <v>2.12060277043418</v>
      </c>
      <c r="K159" s="25" t="n">
        <f aca="false">'2026 Forecast A'!F141</f>
        <v>865</v>
      </c>
      <c r="L159" s="26" t="str">
        <f aca="false">IF(OR(AND(D159&gt;0.5,E159&gt;0.5,F159&gt;0.5),AND(D159&lt;0.5,E159&lt;0.5,F159&lt;0.5)),"Yes","No — toss-up")</f>
        <v>Yes</v>
      </c>
    </row>
    <row r="160" customFormat="false" ht="15" hidden="false" customHeight="false" outlineLevel="0" collapsed="false">
      <c r="A160" s="8" t="str">
        <f aca="false">'2026 Forecast A'!A142</f>
        <v>Lehigh</v>
      </c>
      <c r="B160" s="8" t="str">
        <f aca="false">'2026 Forecast A'!B142</f>
        <v>EMMAUS</v>
      </c>
      <c r="C160" s="8" t="str">
        <f aca="false">'2026 Forecast A'!C142</f>
        <v>EMMAUS 3RD DISTRICT</v>
      </c>
      <c r="D160" s="9" t="n">
        <f aca="false">'2026 Forecast A'!G142</f>
        <v>0.550268610897928</v>
      </c>
      <c r="E160" s="9" t="n">
        <f aca="false">'2026 Forecast B'!G142</f>
        <v>0.554538520213577</v>
      </c>
      <c r="F160" s="9" t="n">
        <f aca="false">'2026 Forecast C'!G142</f>
        <v>0.550907655880032</v>
      </c>
      <c r="G160" s="24" t="n">
        <f aca="false">(MAX(D160:F160)-MIN(D160:F160))*100</f>
        <v>0.426990931564952</v>
      </c>
      <c r="H160" s="24" t="n">
        <f aca="false">'2026 Forecast A'!J142</f>
        <v>1.28585670084365</v>
      </c>
      <c r="I160" s="24" t="n">
        <f aca="false">'2026 Forecast B'!J142</f>
        <v>1.87006919874525</v>
      </c>
      <c r="J160" s="24" t="n">
        <f aca="false">'2026 Forecast C'!J142</f>
        <v>1.26135644325249</v>
      </c>
      <c r="K160" s="25" t="n">
        <f aca="false">'2026 Forecast A'!F142</f>
        <v>1303</v>
      </c>
      <c r="L160" s="26" t="str">
        <f aca="false">IF(OR(AND(D160&gt;0.5,E160&gt;0.5,F160&gt;0.5),AND(D160&lt;0.5,E160&lt;0.5,F160&lt;0.5)),"Yes","No — toss-up")</f>
        <v>Yes</v>
      </c>
    </row>
    <row r="161" customFormat="false" ht="15" hidden="false" customHeight="false" outlineLevel="0" collapsed="false">
      <c r="A161" s="8" t="str">
        <f aca="false">'2026 Forecast A'!A143</f>
        <v>Lehigh</v>
      </c>
      <c r="B161" s="8" t="str">
        <f aca="false">'2026 Forecast A'!B143</f>
        <v>EMMAUS</v>
      </c>
      <c r="C161" s="8" t="str">
        <f aca="false">'2026 Forecast A'!C143</f>
        <v>EMMAUS 4TH DISTRICT</v>
      </c>
      <c r="D161" s="9" t="n">
        <f aca="false">'2026 Forecast A'!G143</f>
        <v>0.589559877175026</v>
      </c>
      <c r="E161" s="9" t="n">
        <f aca="false">'2026 Forecast B'!G143</f>
        <v>0.596348884381339</v>
      </c>
      <c r="F161" s="9" t="n">
        <f aca="false">'2026 Forecast C'!G143</f>
        <v>0.592476489028213</v>
      </c>
      <c r="G161" s="24" t="n">
        <f aca="false">(MAX(D161:F161)-MIN(D161:F161))*100</f>
        <v>0.678900720631315</v>
      </c>
      <c r="H161" s="24" t="n">
        <f aca="false">'2026 Forecast A'!J143</f>
        <v>1.85532414445586</v>
      </c>
      <c r="I161" s="24" t="n">
        <f aca="false">'2026 Forecast B'!J143</f>
        <v>2.0110742867014</v>
      </c>
      <c r="J161" s="24" t="n">
        <f aca="false">'2026 Forecast C'!J143</f>
        <v>2.12060277043418</v>
      </c>
      <c r="K161" s="25" t="n">
        <f aca="false">'2026 Forecast A'!F143</f>
        <v>977</v>
      </c>
      <c r="L161" s="26" t="str">
        <f aca="false">IF(OR(AND(D161&gt;0.5,E161&gt;0.5,F161&gt;0.5),AND(D161&lt;0.5,E161&lt;0.5,F161&lt;0.5)),"Yes","No — toss-up")</f>
        <v>Yes</v>
      </c>
    </row>
    <row r="162" customFormat="false" ht="15" hidden="false" customHeight="false" outlineLevel="0" collapsed="false">
      <c r="A162" s="8" t="str">
        <f aca="false">'2026 Forecast A'!A144</f>
        <v>Lehigh</v>
      </c>
      <c r="B162" s="8" t="str">
        <f aca="false">'2026 Forecast A'!B144</f>
        <v>EMMAUS</v>
      </c>
      <c r="C162" s="8" t="str">
        <f aca="false">'2026 Forecast A'!C144</f>
        <v>EMMAUS 5TH DISTRICT</v>
      </c>
      <c r="D162" s="9" t="n">
        <f aca="false">'2026 Forecast A'!G144</f>
        <v>0.545454545454545</v>
      </c>
      <c r="E162" s="9" t="n">
        <f aca="false">'2026 Forecast B'!G144</f>
        <v>0.546979865771812</v>
      </c>
      <c r="F162" s="9" t="n">
        <f aca="false">'2026 Forecast C'!G144</f>
        <v>0.545299145299145</v>
      </c>
      <c r="G162" s="24" t="n">
        <f aca="false">(MAX(D162:F162)-MIN(D162:F162))*100</f>
        <v>0.168072047266687</v>
      </c>
      <c r="H162" s="24" t="n">
        <f aca="false">'2026 Forecast A'!J144</f>
        <v>3.25434931194355</v>
      </c>
      <c r="I162" s="24" t="n">
        <f aca="false">'2026 Forecast B'!J144</f>
        <v>3.09864730606258</v>
      </c>
      <c r="J162" s="24" t="n">
        <f aca="false">'2026 Forecast C'!J144</f>
        <v>3.7041269898902</v>
      </c>
      <c r="K162" s="25" t="n">
        <f aca="false">'2026 Forecast A'!F144</f>
        <v>594</v>
      </c>
      <c r="L162" s="26" t="str">
        <f aca="false">IF(OR(AND(D162&gt;0.5,E162&gt;0.5,F162&gt;0.5),AND(D162&lt;0.5,E162&lt;0.5,F162&lt;0.5)),"Yes","No — toss-up")</f>
        <v>Yes</v>
      </c>
    </row>
    <row r="163" customFormat="false" ht="15" hidden="false" customHeight="false" outlineLevel="0" collapsed="false">
      <c r="A163" s="8" t="str">
        <f aca="false">'2026 Forecast A'!A145</f>
        <v>Lehigh</v>
      </c>
      <c r="B163" s="8" t="str">
        <f aca="false">'2026 Forecast A'!B145</f>
        <v>EMMAUS</v>
      </c>
      <c r="C163" s="8" t="str">
        <f aca="false">'2026 Forecast A'!C145</f>
        <v>EMMAUS 6TH DISTRICT</v>
      </c>
      <c r="D163" s="9" t="n">
        <f aca="false">'2026 Forecast A'!G145</f>
        <v>0.609022556390978</v>
      </c>
      <c r="E163" s="9" t="n">
        <f aca="false">'2026 Forecast B'!G145</f>
        <v>0.602059925093633</v>
      </c>
      <c r="F163" s="9" t="n">
        <f aca="false">'2026 Forecast C'!G145</f>
        <v>0.613984674329502</v>
      </c>
      <c r="G163" s="24" t="n">
        <f aca="false">(MAX(D163:F163)-MIN(D163:F163))*100</f>
        <v>1.19247492358689</v>
      </c>
      <c r="H163" s="24" t="n">
        <f aca="false">'2026 Forecast A'!J145</f>
        <v>1.85532414445586</v>
      </c>
      <c r="I163" s="24" t="n">
        <f aca="false">'2026 Forecast B'!J145</f>
        <v>2.0110742867014</v>
      </c>
      <c r="J163" s="24" t="n">
        <f aca="false">'2026 Forecast C'!J145</f>
        <v>2.12060277043418</v>
      </c>
      <c r="K163" s="25" t="n">
        <f aca="false">'2026 Forecast A'!F145</f>
        <v>1064</v>
      </c>
      <c r="L163" s="26" t="str">
        <f aca="false">IF(OR(AND(D163&gt;0.5,E163&gt;0.5,F163&gt;0.5),AND(D163&lt;0.5,E163&lt;0.5,F163&lt;0.5)),"Yes","No — toss-up")</f>
        <v>Yes</v>
      </c>
    </row>
    <row r="164" customFormat="false" ht="15" hidden="false" customHeight="false" outlineLevel="0" collapsed="false">
      <c r="A164" s="8" t="str">
        <f aca="false">'2026 Forecast A'!A146</f>
        <v>Lehigh</v>
      </c>
      <c r="B164" s="8" t="str">
        <f aca="false">'2026 Forecast A'!B146</f>
        <v>FOUNTAIN HILL</v>
      </c>
      <c r="C164" s="8" t="str">
        <f aca="false">'2026 Forecast A'!C146</f>
        <v>FOUNTAIN HILL 1ST DIST</v>
      </c>
      <c r="D164" s="9" t="n">
        <f aca="false">'2026 Forecast A'!G146</f>
        <v>0.706270627062706</v>
      </c>
      <c r="E164" s="9" t="n">
        <f aca="false">'2026 Forecast B'!G146</f>
        <v>0.717821782178218</v>
      </c>
      <c r="F164" s="9" t="n">
        <f aca="false">'2026 Forecast C'!G146</f>
        <v>0.713101160862355</v>
      </c>
      <c r="G164" s="24" t="n">
        <f aca="false">(MAX(D164:F164)-MIN(D164:F164))*100</f>
        <v>1.15511551155115</v>
      </c>
      <c r="H164" s="24" t="n">
        <f aca="false">'2026 Forecast A'!J146</f>
        <v>3.25434931194355</v>
      </c>
      <c r="I164" s="24" t="n">
        <f aca="false">'2026 Forecast B'!J146</f>
        <v>3.09864730606258</v>
      </c>
      <c r="J164" s="24" t="n">
        <f aca="false">'2026 Forecast C'!J146</f>
        <v>3.7041269898902</v>
      </c>
      <c r="K164" s="25" t="n">
        <f aca="false">'2026 Forecast A'!F146</f>
        <v>606</v>
      </c>
      <c r="L164" s="26" t="str">
        <f aca="false">IF(OR(AND(D164&gt;0.5,E164&gt;0.5,F164&gt;0.5),AND(D164&lt;0.5,E164&lt;0.5,F164&lt;0.5)),"Yes","No — toss-up")</f>
        <v>Yes</v>
      </c>
    </row>
    <row r="165" customFormat="false" ht="15" hidden="false" customHeight="false" outlineLevel="0" collapsed="false">
      <c r="A165" s="8" t="str">
        <f aca="false">'2026 Forecast A'!A147</f>
        <v>Lehigh</v>
      </c>
      <c r="B165" s="8" t="str">
        <f aca="false">'2026 Forecast A'!B147</f>
        <v>FOUNTAIN HILL</v>
      </c>
      <c r="C165" s="8" t="str">
        <f aca="false">'2026 Forecast A'!C147</f>
        <v>FOUNTAIN HILL 2ND DIST</v>
      </c>
      <c r="D165" s="9" t="n">
        <f aca="false">'2026 Forecast A'!G147</f>
        <v>0.677484787018256</v>
      </c>
      <c r="E165" s="9" t="n">
        <f aca="false">'2026 Forecast B'!G147</f>
        <v>0.678068410462777</v>
      </c>
      <c r="F165" s="9" t="n">
        <f aca="false">'2026 Forecast C'!G147</f>
        <v>0.68125</v>
      </c>
      <c r="G165" s="24" t="n">
        <f aca="false">(MAX(D165:F165)-MIN(D165:F165))*100</f>
        <v>0.376521298174448</v>
      </c>
      <c r="H165" s="24" t="n">
        <f aca="false">'2026 Forecast A'!J147</f>
        <v>3.25434931194355</v>
      </c>
      <c r="I165" s="24" t="n">
        <f aca="false">'2026 Forecast B'!J147</f>
        <v>3.09864730606258</v>
      </c>
      <c r="J165" s="24" t="n">
        <f aca="false">'2026 Forecast C'!J147</f>
        <v>3.7041269898902</v>
      </c>
      <c r="K165" s="25" t="n">
        <f aca="false">'2026 Forecast A'!F147</f>
        <v>493</v>
      </c>
      <c r="L165" s="26" t="str">
        <f aca="false">IF(OR(AND(D165&gt;0.5,E165&gt;0.5,F165&gt;0.5),AND(D165&lt;0.5,E165&lt;0.5,F165&lt;0.5)),"Yes","No — toss-up")</f>
        <v>Yes</v>
      </c>
    </row>
    <row r="166" customFormat="false" ht="15" hidden="false" customHeight="false" outlineLevel="0" collapsed="false">
      <c r="A166" s="8" t="str">
        <f aca="false">'2026 Forecast A'!A148</f>
        <v>Lehigh</v>
      </c>
      <c r="B166" s="8" t="str">
        <f aca="false">'2026 Forecast A'!B148</f>
        <v>FOUNTAIN HILL</v>
      </c>
      <c r="C166" s="8" t="str">
        <f aca="false">'2026 Forecast A'!C148</f>
        <v>FOUNTAIN HILL 3RD DIST</v>
      </c>
      <c r="D166" s="9" t="n">
        <f aca="false">'2026 Forecast A'!G148</f>
        <v>0.693761814744802</v>
      </c>
      <c r="E166" s="9" t="n">
        <f aca="false">'2026 Forecast B'!G148</f>
        <v>0.687382297551789</v>
      </c>
      <c r="F166" s="9" t="n">
        <f aca="false">'2026 Forecast C'!G148</f>
        <v>0.699421965317919</v>
      </c>
      <c r="G166" s="24" t="n">
        <f aca="false">(MAX(D166:F166)-MIN(D166:F166))*100</f>
        <v>1.20396677661301</v>
      </c>
      <c r="H166" s="24" t="n">
        <f aca="false">'2026 Forecast A'!J148</f>
        <v>3.25434931194355</v>
      </c>
      <c r="I166" s="24" t="n">
        <f aca="false">'2026 Forecast B'!J148</f>
        <v>3.09864730606258</v>
      </c>
      <c r="J166" s="24" t="n">
        <f aca="false">'2026 Forecast C'!J148</f>
        <v>3.7041269898902</v>
      </c>
      <c r="K166" s="25" t="n">
        <f aca="false">'2026 Forecast A'!F148</f>
        <v>529</v>
      </c>
      <c r="L166" s="26" t="str">
        <f aca="false">IF(OR(AND(D166&gt;0.5,E166&gt;0.5,F166&gt;0.5),AND(D166&lt;0.5,E166&lt;0.5,F166&lt;0.5)),"Yes","No — toss-up")</f>
        <v>Yes</v>
      </c>
    </row>
    <row r="167" customFormat="false" ht="15" hidden="false" customHeight="false" outlineLevel="0" collapsed="false">
      <c r="A167" s="8" t="str">
        <f aca="false">'2026 Forecast A'!A149</f>
        <v>Lehigh</v>
      </c>
      <c r="B167" s="8" t="str">
        <f aca="false">'2026 Forecast A'!B149</f>
        <v>HANOVER</v>
      </c>
      <c r="C167" s="8" t="str">
        <f aca="false">'2026 Forecast A'!C149</f>
        <v>HANOVER</v>
      </c>
      <c r="D167" s="9" t="n">
        <f aca="false">'2026 Forecast A'!G149</f>
        <v>0.583984375</v>
      </c>
      <c r="E167" s="9" t="n">
        <f aca="false">'2026 Forecast B'!G149</f>
        <v>0.594230769230769</v>
      </c>
      <c r="F167" s="9" t="n">
        <f aca="false">'2026 Forecast C'!G149</f>
        <v>0.586</v>
      </c>
      <c r="G167" s="24" t="n">
        <f aca="false">(MAX(D167:F167)-MIN(D167:F167))*100</f>
        <v>1.02463942307692</v>
      </c>
      <c r="H167" s="24" t="n">
        <f aca="false">'2026 Forecast A'!J149</f>
        <v>3.25434931194355</v>
      </c>
      <c r="I167" s="24" t="n">
        <f aca="false">'2026 Forecast B'!J149</f>
        <v>3.09864730606258</v>
      </c>
      <c r="J167" s="24" t="n">
        <f aca="false">'2026 Forecast C'!J149</f>
        <v>3.7041269898902</v>
      </c>
      <c r="K167" s="25" t="n">
        <f aca="false">'2026 Forecast A'!F149</f>
        <v>512</v>
      </c>
      <c r="L167" s="26" t="str">
        <f aca="false">IF(OR(AND(D167&gt;0.5,E167&gt;0.5,F167&gt;0.5),AND(D167&lt;0.5,E167&lt;0.5,F167&lt;0.5)),"Yes","No — toss-up")</f>
        <v>Yes</v>
      </c>
    </row>
    <row r="168" customFormat="false" ht="15" hidden="false" customHeight="false" outlineLevel="0" collapsed="false">
      <c r="A168" s="8" t="str">
        <f aca="false">'2026 Forecast A'!A150</f>
        <v>Lehigh</v>
      </c>
      <c r="B168" s="8" t="str">
        <f aca="false">'2026 Forecast A'!B150</f>
        <v>HEIDELBERG</v>
      </c>
      <c r="C168" s="8" t="str">
        <f aca="false">'2026 Forecast A'!C150</f>
        <v>HEIDELBERG</v>
      </c>
      <c r="D168" s="9" t="n">
        <f aca="false">'2026 Forecast A'!G150</f>
        <v>0.35287421741605</v>
      </c>
      <c r="E168" s="9" t="n">
        <f aca="false">'2026 Forecast B'!G150</f>
        <v>0.346545866364666</v>
      </c>
      <c r="F168" s="9" t="n">
        <f aca="false">'2026 Forecast C'!G150</f>
        <v>0.343731946851531</v>
      </c>
      <c r="G168" s="24" t="n">
        <f aca="false">(MAX(D168:F168)-MIN(D168:F168))*100</f>
        <v>0.914227056451916</v>
      </c>
      <c r="H168" s="24" t="n">
        <f aca="false">'2026 Forecast A'!J150</f>
        <v>1.28585670084365</v>
      </c>
      <c r="I168" s="24" t="n">
        <f aca="false">'2026 Forecast B'!J150</f>
        <v>1.87006919874525</v>
      </c>
      <c r="J168" s="24" t="n">
        <f aca="false">'2026 Forecast C'!J150</f>
        <v>1.26135644325249</v>
      </c>
      <c r="K168" s="25" t="n">
        <f aca="false">'2026 Forecast A'!F150</f>
        <v>1757</v>
      </c>
      <c r="L168" s="26" t="str">
        <f aca="false">IF(OR(AND(D168&gt;0.5,E168&gt;0.5,F168&gt;0.5),AND(D168&lt;0.5,E168&lt;0.5,F168&lt;0.5)),"Yes","No — toss-up")</f>
        <v>Yes</v>
      </c>
    </row>
    <row r="169" customFormat="false" ht="15" hidden="false" customHeight="false" outlineLevel="0" collapsed="false">
      <c r="A169" s="8" t="str">
        <f aca="false">'2026 Forecast A'!A151</f>
        <v>Lehigh</v>
      </c>
      <c r="B169" s="8" t="str">
        <f aca="false">'2026 Forecast A'!B151</f>
        <v>LOWER MACUNGIE</v>
      </c>
      <c r="C169" s="8" t="str">
        <f aca="false">'2026 Forecast A'!C151</f>
        <v>LOWER MACUNGIE 10TH DISTRICT</v>
      </c>
      <c r="D169" s="9" t="n">
        <f aca="false">'2026 Forecast A'!G151</f>
        <v>0.540540540540541</v>
      </c>
      <c r="E169" s="9" t="n">
        <f aca="false">'2026 Forecast B'!G151</f>
        <v>0.537522879804759</v>
      </c>
      <c r="F169" s="9" t="n">
        <f aca="false">'2026 Forecast C'!G151</f>
        <v>0.541301627033792</v>
      </c>
      <c r="G169" s="24" t="n">
        <f aca="false">(MAX(D169:F169)-MIN(D169:F169))*100</f>
        <v>0.377874722903326</v>
      </c>
      <c r="H169" s="24" t="n">
        <f aca="false">'2026 Forecast A'!J151</f>
        <v>1.28585670084365</v>
      </c>
      <c r="I169" s="24" t="n">
        <f aca="false">'2026 Forecast B'!J151</f>
        <v>1.87006919874525</v>
      </c>
      <c r="J169" s="24" t="n">
        <f aca="false">'2026 Forecast C'!J151</f>
        <v>1.26135644325249</v>
      </c>
      <c r="K169" s="25" t="n">
        <f aca="false">'2026 Forecast A'!F151</f>
        <v>1628</v>
      </c>
      <c r="L169" s="26" t="str">
        <f aca="false">IF(OR(AND(D169&gt;0.5,E169&gt;0.5,F169&gt;0.5),AND(D169&lt;0.5,E169&lt;0.5,F169&lt;0.5)),"Yes","No — toss-up")</f>
        <v>Yes</v>
      </c>
    </row>
    <row r="170" customFormat="false" ht="15" hidden="false" customHeight="false" outlineLevel="0" collapsed="false">
      <c r="A170" s="8" t="str">
        <f aca="false">'2026 Forecast A'!A152</f>
        <v>Lehigh</v>
      </c>
      <c r="B170" s="8" t="str">
        <f aca="false">'2026 Forecast A'!B152</f>
        <v>LOWER MACUNGIE</v>
      </c>
      <c r="C170" s="8" t="str">
        <f aca="false">'2026 Forecast A'!C152</f>
        <v>LOWER MACUNGIE 1ST DISTRICT</v>
      </c>
      <c r="D170" s="9" t="n">
        <f aca="false">'2026 Forecast A'!G152</f>
        <v>0.54585881045025</v>
      </c>
      <c r="E170" s="9" t="n">
        <f aca="false">'2026 Forecast B'!G152</f>
        <v>0.542888765910349</v>
      </c>
      <c r="F170" s="9" t="n">
        <f aca="false">'2026 Forecast C'!G152</f>
        <v>0.547105561861521</v>
      </c>
      <c r="G170" s="24" t="n">
        <f aca="false">(MAX(D170:F170)-MIN(D170:F170))*100</f>
        <v>0.421679595117241</v>
      </c>
      <c r="H170" s="24" t="n">
        <f aca="false">'2026 Forecast A'!J152</f>
        <v>1.28585670084365</v>
      </c>
      <c r="I170" s="24" t="n">
        <f aca="false">'2026 Forecast B'!J152</f>
        <v>1.87006919874525</v>
      </c>
      <c r="J170" s="24" t="n">
        <f aca="false">'2026 Forecast C'!J152</f>
        <v>1.26135644325249</v>
      </c>
      <c r="K170" s="25" t="n">
        <f aca="false">'2026 Forecast A'!F152</f>
        <v>1799</v>
      </c>
      <c r="L170" s="26" t="str">
        <f aca="false">IF(OR(AND(D170&gt;0.5,E170&gt;0.5,F170&gt;0.5),AND(D170&lt;0.5,E170&lt;0.5,F170&lt;0.5)),"Yes","No — toss-up")</f>
        <v>Yes</v>
      </c>
    </row>
    <row r="171" customFormat="false" ht="15" hidden="false" customHeight="false" outlineLevel="0" collapsed="false">
      <c r="A171" s="8" t="str">
        <f aca="false">'2026 Forecast A'!A153</f>
        <v>Lehigh</v>
      </c>
      <c r="B171" s="8" t="str">
        <f aca="false">'2026 Forecast A'!B153</f>
        <v>LOWER MACUNGIE</v>
      </c>
      <c r="C171" s="8" t="str">
        <f aca="false">'2026 Forecast A'!C153</f>
        <v>LOWER MACUNGIE 2ND DISTRICT</v>
      </c>
      <c r="D171" s="9" t="n">
        <f aca="false">'2026 Forecast A'!G153</f>
        <v>0.544178628389155</v>
      </c>
      <c r="E171" s="9" t="n">
        <f aca="false">'2026 Forecast B'!G153</f>
        <v>0.54031746031746</v>
      </c>
      <c r="F171" s="9" t="n">
        <f aca="false">'2026 Forecast C'!G153</f>
        <v>0.545513654096229</v>
      </c>
      <c r="G171" s="24" t="n">
        <f aca="false">(MAX(D171:F171)-MIN(D171:F171))*100</f>
        <v>0.519619377876857</v>
      </c>
      <c r="H171" s="24" t="n">
        <f aca="false">'2026 Forecast A'!J153</f>
        <v>1.28585670084365</v>
      </c>
      <c r="I171" s="24" t="n">
        <f aca="false">'2026 Forecast B'!J153</f>
        <v>1.87006919874525</v>
      </c>
      <c r="J171" s="24" t="n">
        <f aca="false">'2026 Forecast C'!J153</f>
        <v>1.26135644325249</v>
      </c>
      <c r="K171" s="25" t="n">
        <f aca="false">'2026 Forecast A'!F153</f>
        <v>3135</v>
      </c>
      <c r="L171" s="26" t="str">
        <f aca="false">IF(OR(AND(D171&gt;0.5,E171&gt;0.5,F171&gt;0.5),AND(D171&lt;0.5,E171&lt;0.5,F171&lt;0.5)),"Yes","No — toss-up")</f>
        <v>Yes</v>
      </c>
    </row>
    <row r="172" customFormat="false" ht="15" hidden="false" customHeight="false" outlineLevel="0" collapsed="false">
      <c r="A172" s="8" t="str">
        <f aca="false">'2026 Forecast A'!A154</f>
        <v>Lehigh</v>
      </c>
      <c r="B172" s="8" t="str">
        <f aca="false">'2026 Forecast A'!B154</f>
        <v>LOWER MACUNGIE</v>
      </c>
      <c r="C172" s="8" t="str">
        <f aca="false">'2026 Forecast A'!C154</f>
        <v>LOWER MACUNGIE 3RD DISTRICT</v>
      </c>
      <c r="D172" s="9" t="n">
        <f aca="false">'2026 Forecast A'!G154</f>
        <v>0.539234149403641</v>
      </c>
      <c r="E172" s="9" t="n">
        <f aca="false">'2026 Forecast B'!G154</f>
        <v>0.536448598130841</v>
      </c>
      <c r="F172" s="9" t="n">
        <f aca="false">'2026 Forecast C'!G154</f>
        <v>0.539936102236422</v>
      </c>
      <c r="G172" s="24" t="n">
        <f aca="false">(MAX(D172:F172)-MIN(D172:F172))*100</f>
        <v>0.348750410558063</v>
      </c>
      <c r="H172" s="24" t="n">
        <f aca="false">'2026 Forecast A'!J154</f>
        <v>1.28585670084365</v>
      </c>
      <c r="I172" s="24" t="n">
        <f aca="false">'2026 Forecast B'!J154</f>
        <v>1.87006919874525</v>
      </c>
      <c r="J172" s="24" t="n">
        <f aca="false">'2026 Forecast C'!J154</f>
        <v>1.26135644325249</v>
      </c>
      <c r="K172" s="25" t="n">
        <f aca="false">'2026 Forecast A'!F154</f>
        <v>1593</v>
      </c>
      <c r="L172" s="26" t="str">
        <f aca="false">IF(OR(AND(D172&gt;0.5,E172&gt;0.5,F172&gt;0.5),AND(D172&lt;0.5,E172&lt;0.5,F172&lt;0.5)),"Yes","No — toss-up")</f>
        <v>Yes</v>
      </c>
    </row>
    <row r="173" customFormat="false" ht="15" hidden="false" customHeight="false" outlineLevel="0" collapsed="false">
      <c r="A173" s="8" t="str">
        <f aca="false">'2026 Forecast A'!A155</f>
        <v>Lehigh</v>
      </c>
      <c r="B173" s="8" t="str">
        <f aca="false">'2026 Forecast A'!B155</f>
        <v>LOWER MACUNGIE</v>
      </c>
      <c r="C173" s="8" t="str">
        <f aca="false">'2026 Forecast A'!C155</f>
        <v>LOWER MACUNGIE 4TH DISTRICT</v>
      </c>
      <c r="D173" s="9" t="n">
        <f aca="false">'2026 Forecast A'!G155</f>
        <v>0.538620689655172</v>
      </c>
      <c r="E173" s="9" t="n">
        <f aca="false">'2026 Forecast B'!G155</f>
        <v>0.54020618556701</v>
      </c>
      <c r="F173" s="9" t="n">
        <f aca="false">'2026 Forecast C'!G155</f>
        <v>0.539760731878959</v>
      </c>
      <c r="G173" s="24" t="n">
        <f aca="false">(MAX(D173:F173)-MIN(D173:F173))*100</f>
        <v>0.158549591183788</v>
      </c>
      <c r="H173" s="24" t="n">
        <f aca="false">'2026 Forecast A'!J155</f>
        <v>1.28585670084365</v>
      </c>
      <c r="I173" s="24" t="n">
        <f aca="false">'2026 Forecast B'!J155</f>
        <v>1.87006919874525</v>
      </c>
      <c r="J173" s="24" t="n">
        <f aca="false">'2026 Forecast C'!J155</f>
        <v>1.26135644325249</v>
      </c>
      <c r="K173" s="25" t="n">
        <f aca="false">'2026 Forecast A'!F155</f>
        <v>1450</v>
      </c>
      <c r="L173" s="26" t="str">
        <f aca="false">IF(OR(AND(D173&gt;0.5,E173&gt;0.5,F173&gt;0.5),AND(D173&lt;0.5,E173&lt;0.5,F173&lt;0.5)),"Yes","No — toss-up")</f>
        <v>Yes</v>
      </c>
    </row>
    <row r="174" customFormat="false" ht="15" hidden="false" customHeight="false" outlineLevel="0" collapsed="false">
      <c r="A174" s="8" t="str">
        <f aca="false">'2026 Forecast A'!A156</f>
        <v>Lehigh</v>
      </c>
      <c r="B174" s="8" t="str">
        <f aca="false">'2026 Forecast A'!B156</f>
        <v>LOWER MACUNGIE</v>
      </c>
      <c r="C174" s="8" t="str">
        <f aca="false">'2026 Forecast A'!C156</f>
        <v>LOWER MACUNGIE 5TH DISTRICT</v>
      </c>
      <c r="D174" s="9" t="n">
        <f aca="false">'2026 Forecast A'!G156</f>
        <v>0.554693560899922</v>
      </c>
      <c r="E174" s="9" t="n">
        <f aca="false">'2026 Forecast B'!G156</f>
        <v>0.540123456790123</v>
      </c>
      <c r="F174" s="9" t="n">
        <f aca="false">'2026 Forecast C'!G156</f>
        <v>0.556521739130435</v>
      </c>
      <c r="G174" s="24" t="n">
        <f aca="false">(MAX(D174:F174)-MIN(D174:F174))*100</f>
        <v>1.63982823403114</v>
      </c>
      <c r="H174" s="24" t="n">
        <f aca="false">'2026 Forecast A'!J156</f>
        <v>1.28585670084365</v>
      </c>
      <c r="I174" s="24" t="n">
        <f aca="false">'2026 Forecast B'!J156</f>
        <v>1.87006919874525</v>
      </c>
      <c r="J174" s="24" t="n">
        <f aca="false">'2026 Forecast C'!J156</f>
        <v>1.26135644325249</v>
      </c>
      <c r="K174" s="25" t="n">
        <f aca="false">'2026 Forecast A'!F156</f>
        <v>1289</v>
      </c>
      <c r="L174" s="26" t="str">
        <f aca="false">IF(OR(AND(D174&gt;0.5,E174&gt;0.5,F174&gt;0.5),AND(D174&lt;0.5,E174&lt;0.5,F174&lt;0.5)),"Yes","No — toss-up")</f>
        <v>Yes</v>
      </c>
    </row>
    <row r="175" customFormat="false" ht="15" hidden="false" customHeight="false" outlineLevel="0" collapsed="false">
      <c r="A175" s="8" t="str">
        <f aca="false">'2026 Forecast A'!A157</f>
        <v>Lehigh</v>
      </c>
      <c r="B175" s="8" t="str">
        <f aca="false">'2026 Forecast A'!B157</f>
        <v>LOWER MACUNGIE</v>
      </c>
      <c r="C175" s="8" t="str">
        <f aca="false">'2026 Forecast A'!C157</f>
        <v>LOWER MACUNGIE 6TH DISTRICT</v>
      </c>
      <c r="D175" s="9" t="n">
        <f aca="false">'2026 Forecast A'!G157</f>
        <v>0.538666666666667</v>
      </c>
      <c r="E175" s="9" t="n">
        <f aca="false">'2026 Forecast B'!G157</f>
        <v>0.547328244274809</v>
      </c>
      <c r="F175" s="9" t="n">
        <f aca="false">'2026 Forecast C'!G157</f>
        <v>0.539590575511781</v>
      </c>
      <c r="G175" s="24" t="n">
        <f aca="false">(MAX(D175:F175)-MIN(D175:F175))*100</f>
        <v>0.866157760814257</v>
      </c>
      <c r="H175" s="24" t="n">
        <f aca="false">'2026 Forecast A'!J157</f>
        <v>1.28585670084365</v>
      </c>
      <c r="I175" s="24" t="n">
        <f aca="false">'2026 Forecast B'!J157</f>
        <v>1.87006919874525</v>
      </c>
      <c r="J175" s="24" t="n">
        <f aca="false">'2026 Forecast C'!J157</f>
        <v>1.26135644325249</v>
      </c>
      <c r="K175" s="25" t="n">
        <f aca="false">'2026 Forecast A'!F157</f>
        <v>2625</v>
      </c>
      <c r="L175" s="26" t="str">
        <f aca="false">IF(OR(AND(D175&gt;0.5,E175&gt;0.5,F175&gt;0.5),AND(D175&lt;0.5,E175&lt;0.5,F175&lt;0.5)),"Yes","No — toss-up")</f>
        <v>Yes</v>
      </c>
    </row>
    <row r="176" customFormat="false" ht="15" hidden="false" customHeight="false" outlineLevel="0" collapsed="false">
      <c r="A176" s="8" t="str">
        <f aca="false">'2026 Forecast A'!A158</f>
        <v>Lehigh</v>
      </c>
      <c r="B176" s="8" t="str">
        <f aca="false">'2026 Forecast A'!B158</f>
        <v>LOWER MACUNGIE</v>
      </c>
      <c r="C176" s="8" t="str">
        <f aca="false">'2026 Forecast A'!C158</f>
        <v>LOWER MACUNGIE 7TH DISTRICT</v>
      </c>
      <c r="D176" s="9" t="n">
        <f aca="false">'2026 Forecast A'!G158</f>
        <v>0.568977841315225</v>
      </c>
      <c r="E176" s="9" t="n">
        <f aca="false">'2026 Forecast B'!G158</f>
        <v>0.558948863636364</v>
      </c>
      <c r="F176" s="9" t="n">
        <f aca="false">'2026 Forecast C'!G158</f>
        <v>0.571845368344274</v>
      </c>
      <c r="G176" s="24" t="n">
        <f aca="false">(MAX(D176:F176)-MIN(D176:F176))*100</f>
        <v>1.28965047079106</v>
      </c>
      <c r="H176" s="24" t="n">
        <f aca="false">'2026 Forecast A'!J158</f>
        <v>1.28585670084365</v>
      </c>
      <c r="I176" s="24" t="n">
        <f aca="false">'2026 Forecast B'!J158</f>
        <v>1.87006919874525</v>
      </c>
      <c r="J176" s="24" t="n">
        <f aca="false">'2026 Forecast C'!J158</f>
        <v>1.26135644325249</v>
      </c>
      <c r="K176" s="25" t="n">
        <f aca="false">'2026 Forecast A'!F158</f>
        <v>1399</v>
      </c>
      <c r="L176" s="26" t="str">
        <f aca="false">IF(OR(AND(D176&gt;0.5,E176&gt;0.5,F176&gt;0.5),AND(D176&lt;0.5,E176&lt;0.5,F176&lt;0.5)),"Yes","No — toss-up")</f>
        <v>Yes</v>
      </c>
    </row>
    <row r="177" customFormat="false" ht="15" hidden="false" customHeight="false" outlineLevel="0" collapsed="false">
      <c r="A177" s="8" t="str">
        <f aca="false">'2026 Forecast A'!A159</f>
        <v>Lehigh</v>
      </c>
      <c r="B177" s="8" t="str">
        <f aca="false">'2026 Forecast A'!B159</f>
        <v>LOWER MACUNGIE</v>
      </c>
      <c r="C177" s="8" t="str">
        <f aca="false">'2026 Forecast A'!C159</f>
        <v>LOWER MACUNGIE 8TH DISTRICT</v>
      </c>
      <c r="D177" s="9" t="n">
        <f aca="false">'2026 Forecast A'!G159</f>
        <v>0.550141242937853</v>
      </c>
      <c r="E177" s="9" t="n">
        <f aca="false">'2026 Forecast B'!G159</f>
        <v>0.540521494009866</v>
      </c>
      <c r="F177" s="9" t="n">
        <f aca="false">'2026 Forecast C'!G159</f>
        <v>0.551971326164875</v>
      </c>
      <c r="G177" s="24" t="n">
        <f aca="false">(MAX(D177:F177)-MIN(D177:F177))*100</f>
        <v>1.14498321550084</v>
      </c>
      <c r="H177" s="24" t="n">
        <f aca="false">'2026 Forecast A'!J159</f>
        <v>1.28585670084365</v>
      </c>
      <c r="I177" s="24" t="n">
        <f aca="false">'2026 Forecast B'!J159</f>
        <v>1.87006919874525</v>
      </c>
      <c r="J177" s="24" t="n">
        <f aca="false">'2026 Forecast C'!J159</f>
        <v>1.26135644325249</v>
      </c>
      <c r="K177" s="25" t="n">
        <f aca="false">'2026 Forecast A'!F159</f>
        <v>1416</v>
      </c>
      <c r="L177" s="26" t="str">
        <f aca="false">IF(OR(AND(D177&gt;0.5,E177&gt;0.5,F177&gt;0.5),AND(D177&lt;0.5,E177&lt;0.5,F177&lt;0.5)),"Yes","No — toss-up")</f>
        <v>Yes</v>
      </c>
    </row>
    <row r="178" customFormat="false" ht="15" hidden="false" customHeight="false" outlineLevel="0" collapsed="false">
      <c r="A178" s="8" t="str">
        <f aca="false">'2026 Forecast A'!A160</f>
        <v>Lehigh</v>
      </c>
      <c r="B178" s="8" t="str">
        <f aca="false">'2026 Forecast A'!B160</f>
        <v>LOWER MACUNGIE</v>
      </c>
      <c r="C178" s="8" t="str">
        <f aca="false">'2026 Forecast A'!C160</f>
        <v>LOWER MACUNGIE 9TH DISTRICT</v>
      </c>
      <c r="D178" s="9" t="n">
        <f aca="false">'2026 Forecast A'!G160</f>
        <v>0.54957805907173</v>
      </c>
      <c r="E178" s="9" t="n">
        <f aca="false">'2026 Forecast B'!G160</f>
        <v>0.547071129707113</v>
      </c>
      <c r="F178" s="9" t="n">
        <f aca="false">'2026 Forecast C'!G160</f>
        <v>0.551240560949299</v>
      </c>
      <c r="G178" s="24" t="n">
        <f aca="false">(MAX(D178:F178)-MIN(D178:F178))*100</f>
        <v>0.416943124218583</v>
      </c>
      <c r="H178" s="24" t="n">
        <f aca="false">'2026 Forecast A'!J160</f>
        <v>1.85532414445586</v>
      </c>
      <c r="I178" s="24" t="n">
        <f aca="false">'2026 Forecast B'!J160</f>
        <v>2.0110742867014</v>
      </c>
      <c r="J178" s="24" t="n">
        <f aca="false">'2026 Forecast C'!J160</f>
        <v>2.12060277043418</v>
      </c>
      <c r="K178" s="25" t="n">
        <f aca="false">'2026 Forecast A'!F160</f>
        <v>948</v>
      </c>
      <c r="L178" s="26" t="str">
        <f aca="false">IF(OR(AND(D178&gt;0.5,E178&gt;0.5,F178&gt;0.5),AND(D178&lt;0.5,E178&lt;0.5,F178&lt;0.5)),"Yes","No — toss-up")</f>
        <v>Yes</v>
      </c>
    </row>
    <row r="179" customFormat="false" ht="15" hidden="false" customHeight="false" outlineLevel="0" collapsed="false">
      <c r="A179" s="8" t="str">
        <f aca="false">'2026 Forecast A'!A161</f>
        <v>Lehigh</v>
      </c>
      <c r="B179" s="8" t="str">
        <f aca="false">'2026 Forecast A'!B161</f>
        <v>LOWER MILFORD</v>
      </c>
      <c r="C179" s="8" t="str">
        <f aca="false">'2026 Forecast A'!C161</f>
        <v>LOWER MILFORD</v>
      </c>
      <c r="D179" s="9" t="n">
        <f aca="false">'2026 Forecast A'!G161</f>
        <v>0.419731717871052</v>
      </c>
      <c r="E179" s="9" t="n">
        <f aca="false">'2026 Forecast B'!G161</f>
        <v>0.409051724137931</v>
      </c>
      <c r="F179" s="9" t="n">
        <f aca="false">'2026 Forecast C'!G161</f>
        <v>0.415350877192982</v>
      </c>
      <c r="G179" s="24" t="n">
        <f aca="false">(MAX(D179:F179)-MIN(D179:F179))*100</f>
        <v>1.06799937331205</v>
      </c>
      <c r="H179" s="24" t="n">
        <f aca="false">'2026 Forecast A'!J161</f>
        <v>1.28585670084365</v>
      </c>
      <c r="I179" s="24" t="n">
        <f aca="false">'2026 Forecast B'!J161</f>
        <v>1.87006919874525</v>
      </c>
      <c r="J179" s="24" t="n">
        <f aca="false">'2026 Forecast C'!J161</f>
        <v>1.26135644325249</v>
      </c>
      <c r="K179" s="25" t="n">
        <f aca="false">'2026 Forecast A'!F161</f>
        <v>2311</v>
      </c>
      <c r="L179" s="26" t="str">
        <f aca="false">IF(OR(AND(D179&gt;0.5,E179&gt;0.5,F179&gt;0.5),AND(D179&lt;0.5,E179&lt;0.5,F179&lt;0.5)),"Yes","No — toss-up")</f>
        <v>Yes</v>
      </c>
    </row>
    <row r="180" customFormat="false" ht="15" hidden="false" customHeight="false" outlineLevel="0" collapsed="false">
      <c r="A180" s="8" t="str">
        <f aca="false">'2026 Forecast A'!A162</f>
        <v>Lehigh</v>
      </c>
      <c r="B180" s="8" t="str">
        <f aca="false">'2026 Forecast A'!B162</f>
        <v>LOWHILL</v>
      </c>
      <c r="C180" s="8" t="str">
        <f aca="false">'2026 Forecast A'!C162</f>
        <v>LOWHILL</v>
      </c>
      <c r="D180" s="9" t="n">
        <f aca="false">'2026 Forecast A'!G162</f>
        <v>0.401526717557252</v>
      </c>
      <c r="E180" s="9" t="n">
        <f aca="false">'2026 Forecast B'!G162</f>
        <v>0.393479909021986</v>
      </c>
      <c r="F180" s="9" t="n">
        <f aca="false">'2026 Forecast C'!G162</f>
        <v>0.395962732919255</v>
      </c>
      <c r="G180" s="24" t="n">
        <f aca="false">(MAX(D180:F180)-MIN(D180:F180))*100</f>
        <v>0.804680853526552</v>
      </c>
      <c r="H180" s="24" t="n">
        <f aca="false">'2026 Forecast A'!J162</f>
        <v>1.28585670084365</v>
      </c>
      <c r="I180" s="24" t="n">
        <f aca="false">'2026 Forecast B'!J162</f>
        <v>1.87006919874525</v>
      </c>
      <c r="J180" s="24" t="n">
        <f aca="false">'2026 Forecast C'!J162</f>
        <v>1.26135644325249</v>
      </c>
      <c r="K180" s="25" t="n">
        <f aca="false">'2026 Forecast A'!F162</f>
        <v>1310</v>
      </c>
      <c r="L180" s="26" t="str">
        <f aca="false">IF(OR(AND(D180&gt;0.5,E180&gt;0.5,F180&gt;0.5),AND(D180&lt;0.5,E180&lt;0.5,F180&lt;0.5)),"Yes","No — toss-up")</f>
        <v>Yes</v>
      </c>
    </row>
    <row r="181" customFormat="false" ht="15" hidden="false" customHeight="false" outlineLevel="0" collapsed="false">
      <c r="A181" s="8" t="str">
        <f aca="false">'2026 Forecast A'!A163</f>
        <v>Lehigh</v>
      </c>
      <c r="B181" s="8" t="str">
        <f aca="false">'2026 Forecast A'!B163</f>
        <v>LYNN</v>
      </c>
      <c r="C181" s="8" t="str">
        <f aca="false">'2026 Forecast A'!C163</f>
        <v>LYNN JACKSONVILLE DISTRICT</v>
      </c>
      <c r="D181" s="9" t="n">
        <f aca="false">'2026 Forecast A'!G163</f>
        <v>0.317032040472175</v>
      </c>
      <c r="E181" s="9" t="n">
        <f aca="false">'2026 Forecast B'!G163</f>
        <v>0.311973018549747</v>
      </c>
      <c r="F181" s="9" t="n">
        <f aca="false">'2026 Forecast C'!G163</f>
        <v>0.308347529812607</v>
      </c>
      <c r="G181" s="24" t="n">
        <f aca="false">(MAX(D181:F181)-MIN(D181:F181))*100</f>
        <v>0.868451065956888</v>
      </c>
      <c r="H181" s="24" t="n">
        <f aca="false">'2026 Forecast A'!J163</f>
        <v>3.25434931194355</v>
      </c>
      <c r="I181" s="24" t="n">
        <f aca="false">'2026 Forecast B'!J163</f>
        <v>3.09864730606258</v>
      </c>
      <c r="J181" s="24" t="n">
        <f aca="false">'2026 Forecast C'!J163</f>
        <v>3.7041269898902</v>
      </c>
      <c r="K181" s="25" t="n">
        <f aca="false">'2026 Forecast A'!F163</f>
        <v>593</v>
      </c>
      <c r="L181" s="26" t="str">
        <f aca="false">IF(OR(AND(D181&gt;0.5,E181&gt;0.5,F181&gt;0.5),AND(D181&lt;0.5,E181&lt;0.5,F181&lt;0.5)),"Yes","No — toss-up")</f>
        <v>Yes</v>
      </c>
    </row>
    <row r="182" customFormat="false" ht="15" hidden="false" customHeight="false" outlineLevel="0" collapsed="false">
      <c r="A182" s="8" t="str">
        <f aca="false">'2026 Forecast A'!A164</f>
        <v>Lehigh</v>
      </c>
      <c r="B182" s="8" t="str">
        <f aca="false">'2026 Forecast A'!B164</f>
        <v>LYNN</v>
      </c>
      <c r="C182" s="8" t="str">
        <f aca="false">'2026 Forecast A'!C164</f>
        <v>LYNN LYNNVILLE DISTRICT</v>
      </c>
      <c r="D182" s="9" t="n">
        <f aca="false">'2026 Forecast A'!G164</f>
        <v>0.36</v>
      </c>
      <c r="E182" s="9" t="n">
        <f aca="false">'2026 Forecast B'!G164</f>
        <v>0.353233830845771</v>
      </c>
      <c r="F182" s="9" t="n">
        <f aca="false">'2026 Forecast C'!G164</f>
        <v>0.353535353535354</v>
      </c>
      <c r="G182" s="24" t="n">
        <f aca="false">(MAX(D182:F182)-MIN(D182:F182))*100</f>
        <v>0.676616915422884</v>
      </c>
      <c r="H182" s="24" t="n">
        <f aca="false">'2026 Forecast A'!J164</f>
        <v>3.25434931194355</v>
      </c>
      <c r="I182" s="24" t="n">
        <f aca="false">'2026 Forecast B'!J164</f>
        <v>3.09864730606258</v>
      </c>
      <c r="J182" s="24" t="n">
        <f aca="false">'2026 Forecast C'!J164</f>
        <v>3.7041269898902</v>
      </c>
      <c r="K182" s="25" t="n">
        <f aca="false">'2026 Forecast A'!F164</f>
        <v>400</v>
      </c>
      <c r="L182" s="26" t="str">
        <f aca="false">IF(OR(AND(D182&gt;0.5,E182&gt;0.5,F182&gt;0.5),AND(D182&lt;0.5,E182&lt;0.5,F182&lt;0.5)),"Yes","No — toss-up")</f>
        <v>Yes</v>
      </c>
    </row>
    <row r="183" customFormat="false" ht="15" hidden="false" customHeight="false" outlineLevel="0" collapsed="false">
      <c r="A183" s="8" t="str">
        <f aca="false">'2026 Forecast A'!A165</f>
        <v>Lehigh</v>
      </c>
      <c r="B183" s="8" t="str">
        <f aca="false">'2026 Forecast A'!B165</f>
        <v>LYNN</v>
      </c>
      <c r="C183" s="8" t="str">
        <f aca="false">'2026 Forecast A'!C165</f>
        <v>LYNN NEW TRIPOLI DISTRICT</v>
      </c>
      <c r="D183" s="9" t="n">
        <f aca="false">'2026 Forecast A'!G165</f>
        <v>0.374534623976173</v>
      </c>
      <c r="E183" s="9" t="n">
        <f aca="false">'2026 Forecast B'!G165</f>
        <v>0.367331855136733</v>
      </c>
      <c r="F183" s="9" t="n">
        <f aca="false">'2026 Forecast C'!G165</f>
        <v>0.367223065250379</v>
      </c>
      <c r="G183" s="24" t="n">
        <f aca="false">(MAX(D183:F183)-MIN(D183:F183))*100</f>
        <v>0.731155872579342</v>
      </c>
      <c r="H183" s="24" t="n">
        <f aca="false">'2026 Forecast A'!J165</f>
        <v>1.28585670084365</v>
      </c>
      <c r="I183" s="24" t="n">
        <f aca="false">'2026 Forecast B'!J165</f>
        <v>1.87006919874525</v>
      </c>
      <c r="J183" s="24" t="n">
        <f aca="false">'2026 Forecast C'!J165</f>
        <v>1.26135644325249</v>
      </c>
      <c r="K183" s="25" t="n">
        <f aca="false">'2026 Forecast A'!F165</f>
        <v>1343</v>
      </c>
      <c r="L183" s="26" t="str">
        <f aca="false">IF(OR(AND(D183&gt;0.5,E183&gt;0.5,F183&gt;0.5),AND(D183&lt;0.5,E183&lt;0.5,F183&lt;0.5)),"Yes","No — toss-up")</f>
        <v>Yes</v>
      </c>
    </row>
    <row r="184" customFormat="false" ht="15" hidden="false" customHeight="false" outlineLevel="0" collapsed="false">
      <c r="A184" s="8" t="str">
        <f aca="false">'2026 Forecast A'!A166</f>
        <v>Lehigh</v>
      </c>
      <c r="B184" s="8" t="str">
        <f aca="false">'2026 Forecast A'!B166</f>
        <v>MACUNGIE</v>
      </c>
      <c r="C184" s="8" t="str">
        <f aca="false">'2026 Forecast A'!C166</f>
        <v>MACUNGIE</v>
      </c>
      <c r="D184" s="9" t="n">
        <f aca="false">'2026 Forecast A'!G166</f>
        <v>0.563451776649746</v>
      </c>
      <c r="E184" s="9" t="n">
        <f aca="false">'2026 Forecast B'!G166</f>
        <v>0.565739570164349</v>
      </c>
      <c r="F184" s="9" t="n">
        <f aca="false">'2026 Forecast C'!G166</f>
        <v>0.566944266495836</v>
      </c>
      <c r="G184" s="24" t="n">
        <f aca="false">(MAX(D184:F184)-MIN(D184:F184))*100</f>
        <v>0.349248984608974</v>
      </c>
      <c r="H184" s="24" t="n">
        <f aca="false">'2026 Forecast A'!J166</f>
        <v>1.28585670084365</v>
      </c>
      <c r="I184" s="24" t="n">
        <f aca="false">'2026 Forecast B'!J166</f>
        <v>1.87006919874525</v>
      </c>
      <c r="J184" s="24" t="n">
        <f aca="false">'2026 Forecast C'!J166</f>
        <v>1.26135644325249</v>
      </c>
      <c r="K184" s="25" t="n">
        <f aca="false">'2026 Forecast A'!F166</f>
        <v>1576</v>
      </c>
      <c r="L184" s="26" t="str">
        <f aca="false">IF(OR(AND(D184&gt;0.5,E184&gt;0.5,F184&gt;0.5),AND(D184&lt;0.5,E184&lt;0.5,F184&lt;0.5)),"Yes","No — toss-up")</f>
        <v>Yes</v>
      </c>
    </row>
    <row r="185" customFormat="false" ht="15" hidden="false" customHeight="false" outlineLevel="0" collapsed="false">
      <c r="A185" s="8" t="str">
        <f aca="false">'2026 Forecast A'!A167</f>
        <v>Lehigh</v>
      </c>
      <c r="B185" s="8" t="str">
        <f aca="false">'2026 Forecast A'!B167</f>
        <v>NORTH WHITEHALL</v>
      </c>
      <c r="C185" s="8" t="str">
        <f aca="false">'2026 Forecast A'!C167</f>
        <v>NORTH WHITEHALL 1ST DISTRICT</v>
      </c>
      <c r="D185" s="9" t="n">
        <f aca="false">'2026 Forecast A'!G167</f>
        <v>0.473396320238687</v>
      </c>
      <c r="E185" s="9" t="n">
        <f aca="false">'2026 Forecast B'!G167</f>
        <v>0.455264458724666</v>
      </c>
      <c r="F185" s="9" t="n">
        <f aca="false">'2026 Forecast C'!G167</f>
        <v>0.473178137651822</v>
      </c>
      <c r="G185" s="24" t="n">
        <f aca="false">(MAX(D185:F185)-MIN(D185:F185))*100</f>
        <v>1.81318615140209</v>
      </c>
      <c r="H185" s="24" t="n">
        <f aca="false">'2026 Forecast A'!J167</f>
        <v>1.28585670084365</v>
      </c>
      <c r="I185" s="24" t="n">
        <f aca="false">'2026 Forecast B'!J167</f>
        <v>1.87006919874525</v>
      </c>
      <c r="J185" s="24" t="n">
        <f aca="false">'2026 Forecast C'!J167</f>
        <v>1.26135644325249</v>
      </c>
      <c r="K185" s="25" t="n">
        <f aca="false">'2026 Forecast A'!F167</f>
        <v>2011</v>
      </c>
      <c r="L185" s="26" t="str">
        <f aca="false">IF(OR(AND(D185&gt;0.5,E185&gt;0.5,F185&gt;0.5),AND(D185&lt;0.5,E185&lt;0.5,F185&lt;0.5)),"Yes","No — toss-up")</f>
        <v>Yes</v>
      </c>
    </row>
    <row r="186" customFormat="false" ht="15" hidden="false" customHeight="false" outlineLevel="0" collapsed="false">
      <c r="A186" s="8" t="str">
        <f aca="false">'2026 Forecast A'!A168</f>
        <v>Lehigh</v>
      </c>
      <c r="B186" s="8" t="str">
        <f aca="false">'2026 Forecast A'!B168</f>
        <v>NORTH WHITEHALL</v>
      </c>
      <c r="C186" s="8" t="str">
        <f aca="false">'2026 Forecast A'!C168</f>
        <v>NORTH WHITEHALL 2ND DISTRICT</v>
      </c>
      <c r="D186" s="9" t="n">
        <f aca="false">'2026 Forecast A'!G168</f>
        <v>0.437325905292479</v>
      </c>
      <c r="E186" s="9" t="n">
        <f aca="false">'2026 Forecast B'!G168</f>
        <v>0.436565096952909</v>
      </c>
      <c r="F186" s="9" t="n">
        <f aca="false">'2026 Forecast C'!G168</f>
        <v>0.434015927189989</v>
      </c>
      <c r="G186" s="24" t="n">
        <f aca="false">(MAX(D186:F186)-MIN(D186:F186))*100</f>
        <v>0.330997810249051</v>
      </c>
      <c r="H186" s="24" t="n">
        <f aca="false">'2026 Forecast A'!J168</f>
        <v>1.28585670084365</v>
      </c>
      <c r="I186" s="24" t="n">
        <f aca="false">'2026 Forecast B'!J168</f>
        <v>1.87006919874525</v>
      </c>
      <c r="J186" s="24" t="n">
        <f aca="false">'2026 Forecast C'!J168</f>
        <v>1.26135644325249</v>
      </c>
      <c r="K186" s="25" t="n">
        <f aca="false">'2026 Forecast A'!F168</f>
        <v>1795</v>
      </c>
      <c r="L186" s="26" t="str">
        <f aca="false">IF(OR(AND(D186&gt;0.5,E186&gt;0.5,F186&gt;0.5),AND(D186&lt;0.5,E186&lt;0.5,F186&lt;0.5)),"Yes","No — toss-up")</f>
        <v>Yes</v>
      </c>
    </row>
    <row r="187" customFormat="false" ht="15" hidden="false" customHeight="false" outlineLevel="0" collapsed="false">
      <c r="A187" s="8" t="str">
        <f aca="false">'2026 Forecast A'!A169</f>
        <v>Lehigh</v>
      </c>
      <c r="B187" s="8" t="str">
        <f aca="false">'2026 Forecast A'!B169</f>
        <v>NORTH WHITEHALL</v>
      </c>
      <c r="C187" s="8" t="str">
        <f aca="false">'2026 Forecast A'!C169</f>
        <v>NORTH WHITEHALL 3RD DISTRICT</v>
      </c>
      <c r="D187" s="9" t="n">
        <f aca="false">'2026 Forecast A'!G169</f>
        <v>0.435233160621762</v>
      </c>
      <c r="E187" s="9" t="n">
        <f aca="false">'2026 Forecast B'!G169</f>
        <v>0.43298969072165</v>
      </c>
      <c r="F187" s="9" t="n">
        <f aca="false">'2026 Forecast C'!G169</f>
        <v>0.432346723044398</v>
      </c>
      <c r="G187" s="24" t="n">
        <f aca="false">(MAX(D187:F187)-MIN(D187:F187))*100</f>
        <v>0.288643757736418</v>
      </c>
      <c r="H187" s="24" t="n">
        <f aca="false">'2026 Forecast A'!J169</f>
        <v>1.85532414445586</v>
      </c>
      <c r="I187" s="24" t="n">
        <f aca="false">'2026 Forecast B'!J169</f>
        <v>2.0110742867014</v>
      </c>
      <c r="J187" s="24" t="n">
        <f aca="false">'2026 Forecast C'!J169</f>
        <v>2.12060277043418</v>
      </c>
      <c r="K187" s="25" t="n">
        <f aca="false">'2026 Forecast A'!F169</f>
        <v>965</v>
      </c>
      <c r="L187" s="26" t="str">
        <f aca="false">IF(OR(AND(D187&gt;0.5,E187&gt;0.5,F187&gt;0.5),AND(D187&lt;0.5,E187&lt;0.5,F187&lt;0.5)),"Yes","No — toss-up")</f>
        <v>Yes</v>
      </c>
    </row>
    <row r="188" customFormat="false" ht="15" hidden="false" customHeight="false" outlineLevel="0" collapsed="false">
      <c r="A188" s="8" t="str">
        <f aca="false">'2026 Forecast A'!A170</f>
        <v>Lehigh</v>
      </c>
      <c r="B188" s="8" t="str">
        <f aca="false">'2026 Forecast A'!B170</f>
        <v>NORTH WHITEHALL</v>
      </c>
      <c r="C188" s="8" t="str">
        <f aca="false">'2026 Forecast A'!C170</f>
        <v>NORTH WHITEHALL 4TH DISTRICT</v>
      </c>
      <c r="D188" s="9" t="n">
        <f aca="false">'2026 Forecast A'!G170</f>
        <v>0.446899501069138</v>
      </c>
      <c r="E188" s="9" t="n">
        <f aca="false">'2026 Forecast B'!G170</f>
        <v>0.440738112136267</v>
      </c>
      <c r="F188" s="9" t="n">
        <f aca="false">'2026 Forecast C'!G170</f>
        <v>0.44364161849711</v>
      </c>
      <c r="G188" s="24" t="n">
        <f aca="false">(MAX(D188:F188)-MIN(D188:F188))*100</f>
        <v>0.616138893287072</v>
      </c>
      <c r="H188" s="24" t="n">
        <f aca="false">'2026 Forecast A'!J170</f>
        <v>1.28585670084365</v>
      </c>
      <c r="I188" s="24" t="n">
        <f aca="false">'2026 Forecast B'!J170</f>
        <v>1.87006919874525</v>
      </c>
      <c r="J188" s="24" t="n">
        <f aca="false">'2026 Forecast C'!J170</f>
        <v>1.26135644325249</v>
      </c>
      <c r="K188" s="25" t="n">
        <f aca="false">'2026 Forecast A'!F170</f>
        <v>1403</v>
      </c>
      <c r="L188" s="26" t="str">
        <f aca="false">IF(OR(AND(D188&gt;0.5,E188&gt;0.5,F188&gt;0.5),AND(D188&lt;0.5,E188&lt;0.5,F188&lt;0.5)),"Yes","No — toss-up")</f>
        <v>Yes</v>
      </c>
    </row>
    <row r="189" customFormat="false" ht="15" hidden="false" customHeight="false" outlineLevel="0" collapsed="false">
      <c r="A189" s="8" t="str">
        <f aca="false">'2026 Forecast A'!A171</f>
        <v>Lehigh</v>
      </c>
      <c r="B189" s="8" t="str">
        <f aca="false">'2026 Forecast A'!B171</f>
        <v>NORTH WHITEHALL</v>
      </c>
      <c r="C189" s="8" t="str">
        <f aca="false">'2026 Forecast A'!C171</f>
        <v>NORTH WHITEHALL 5TH DISTRICT</v>
      </c>
      <c r="D189" s="9" t="n">
        <f aca="false">'2026 Forecast A'!G171</f>
        <v>0.426190476190476</v>
      </c>
      <c r="E189" s="9" t="n">
        <f aca="false">'2026 Forecast B'!G171</f>
        <v>0.419558359621451</v>
      </c>
      <c r="F189" s="9" t="n">
        <f aca="false">'2026 Forecast C'!G171</f>
        <v>0.421647819063005</v>
      </c>
      <c r="G189" s="24" t="n">
        <f aca="false">(MAX(D189:F189)-MIN(D189:F189))*100</f>
        <v>0.663211656902507</v>
      </c>
      <c r="H189" s="24" t="n">
        <f aca="false">'2026 Forecast A'!J171</f>
        <v>1.28585670084365</v>
      </c>
      <c r="I189" s="24" t="n">
        <f aca="false">'2026 Forecast B'!J171</f>
        <v>1.87006919874525</v>
      </c>
      <c r="J189" s="24" t="n">
        <f aca="false">'2026 Forecast C'!J171</f>
        <v>1.26135644325249</v>
      </c>
      <c r="K189" s="25" t="n">
        <f aca="false">'2026 Forecast A'!F171</f>
        <v>1260</v>
      </c>
      <c r="L189" s="26" t="str">
        <f aca="false">IF(OR(AND(D189&gt;0.5,E189&gt;0.5,F189&gt;0.5),AND(D189&lt;0.5,E189&lt;0.5,F189&lt;0.5)),"Yes","No — toss-up")</f>
        <v>Yes</v>
      </c>
    </row>
    <row r="190" customFormat="false" ht="15" hidden="false" customHeight="false" outlineLevel="0" collapsed="false">
      <c r="A190" s="8" t="str">
        <f aca="false">'2026 Forecast A'!A172</f>
        <v>Lehigh</v>
      </c>
      <c r="B190" s="8" t="str">
        <f aca="false">'2026 Forecast A'!B172</f>
        <v>NORTH WHITEHALL</v>
      </c>
      <c r="C190" s="8" t="str">
        <f aca="false">'2026 Forecast A'!C172</f>
        <v>NORTH WHITEHALL 6TH DISTRICT</v>
      </c>
      <c r="D190" s="9" t="n">
        <f aca="false">'2026 Forecast A'!G172</f>
        <v>0.474332648870637</v>
      </c>
      <c r="E190" s="9" t="n">
        <f aca="false">'2026 Forecast B'!G172</f>
        <v>0.469867211440245</v>
      </c>
      <c r="F190" s="9" t="n">
        <f aca="false">'2026 Forecast C'!G172</f>
        <v>0.472251308900524</v>
      </c>
      <c r="G190" s="24" t="n">
        <f aca="false">(MAX(D190:F190)-MIN(D190:F190))*100</f>
        <v>0.446543743039141</v>
      </c>
      <c r="H190" s="24" t="n">
        <f aca="false">'2026 Forecast A'!J172</f>
        <v>1.85532414445586</v>
      </c>
      <c r="I190" s="24" t="n">
        <f aca="false">'2026 Forecast B'!J172</f>
        <v>2.0110742867014</v>
      </c>
      <c r="J190" s="24" t="n">
        <f aca="false">'2026 Forecast C'!J172</f>
        <v>2.12060277043418</v>
      </c>
      <c r="K190" s="25" t="n">
        <f aca="false">'2026 Forecast A'!F172</f>
        <v>974</v>
      </c>
      <c r="L190" s="26" t="str">
        <f aca="false">IF(OR(AND(D190&gt;0.5,E190&gt;0.5,F190&gt;0.5),AND(D190&lt;0.5,E190&lt;0.5,F190&lt;0.5)),"Yes","No — toss-up")</f>
        <v>Yes</v>
      </c>
    </row>
    <row r="191" customFormat="false" ht="15" hidden="false" customHeight="false" outlineLevel="0" collapsed="false">
      <c r="A191" s="8" t="str">
        <f aca="false">'2026 Forecast A'!A173</f>
        <v>Lehigh</v>
      </c>
      <c r="B191" s="8" t="str">
        <f aca="false">'2026 Forecast A'!B173</f>
        <v>SALISBURY</v>
      </c>
      <c r="C191" s="8" t="str">
        <f aca="false">'2026 Forecast A'!C173</f>
        <v>SALISBURY 1ST WARD</v>
      </c>
      <c r="D191" s="9" t="n">
        <f aca="false">'2026 Forecast A'!G173</f>
        <v>0.54275092936803</v>
      </c>
      <c r="E191" s="9" t="n">
        <f aca="false">'2026 Forecast B'!G173</f>
        <v>0.552460538532962</v>
      </c>
      <c r="F191" s="9" t="n">
        <f aca="false">'2026 Forecast C'!G173</f>
        <v>0.543809523809524</v>
      </c>
      <c r="G191" s="24" t="n">
        <f aca="false">(MAX(D191:F191)-MIN(D191:F191))*100</f>
        <v>0.970960916493224</v>
      </c>
      <c r="H191" s="24" t="n">
        <f aca="false">'2026 Forecast A'!J173</f>
        <v>1.85532414445586</v>
      </c>
      <c r="I191" s="24" t="n">
        <f aca="false">'2026 Forecast B'!J173</f>
        <v>2.0110742867014</v>
      </c>
      <c r="J191" s="24" t="n">
        <f aca="false">'2026 Forecast C'!J173</f>
        <v>2.12060277043418</v>
      </c>
      <c r="K191" s="25" t="n">
        <f aca="false">'2026 Forecast A'!F173</f>
        <v>1076</v>
      </c>
      <c r="L191" s="26" t="str">
        <f aca="false">IF(OR(AND(D191&gt;0.5,E191&gt;0.5,F191&gt;0.5),AND(D191&lt;0.5,E191&lt;0.5,F191&lt;0.5)),"Yes","No — toss-up")</f>
        <v>Yes</v>
      </c>
    </row>
    <row r="192" customFormat="false" ht="15" hidden="false" customHeight="false" outlineLevel="0" collapsed="false">
      <c r="A192" s="8" t="str">
        <f aca="false">'2026 Forecast A'!A174</f>
        <v>Lehigh</v>
      </c>
      <c r="B192" s="8" t="str">
        <f aca="false">'2026 Forecast A'!B174</f>
        <v>SALISBURY</v>
      </c>
      <c r="C192" s="8" t="str">
        <f aca="false">'2026 Forecast A'!C174</f>
        <v>SALISBURY 2ND WARD</v>
      </c>
      <c r="D192" s="9" t="n">
        <f aca="false">'2026 Forecast A'!G174</f>
        <v>0.550925925925926</v>
      </c>
      <c r="E192" s="9" t="n">
        <f aca="false">'2026 Forecast B'!G174</f>
        <v>0.559230769230769</v>
      </c>
      <c r="F192" s="9" t="n">
        <f aca="false">'2026 Forecast C'!G174</f>
        <v>0.55153422501967</v>
      </c>
      <c r="G192" s="24" t="n">
        <f aca="false">(MAX(D192:F192)-MIN(D192:F192))*100</f>
        <v>0.830484330484327</v>
      </c>
      <c r="H192" s="24" t="n">
        <f aca="false">'2026 Forecast A'!J174</f>
        <v>1.28585670084365</v>
      </c>
      <c r="I192" s="24" t="n">
        <f aca="false">'2026 Forecast B'!J174</f>
        <v>1.87006919874525</v>
      </c>
      <c r="J192" s="24" t="n">
        <f aca="false">'2026 Forecast C'!J174</f>
        <v>1.26135644325249</v>
      </c>
      <c r="K192" s="25" t="n">
        <f aca="false">'2026 Forecast A'!F174</f>
        <v>1296</v>
      </c>
      <c r="L192" s="26" t="str">
        <f aca="false">IF(OR(AND(D192&gt;0.5,E192&gt;0.5,F192&gt;0.5),AND(D192&lt;0.5,E192&lt;0.5,F192&lt;0.5)),"Yes","No — toss-up")</f>
        <v>Yes</v>
      </c>
    </row>
    <row r="193" customFormat="false" ht="15" hidden="false" customHeight="false" outlineLevel="0" collapsed="false">
      <c r="A193" s="8" t="str">
        <f aca="false">'2026 Forecast A'!A175</f>
        <v>Lehigh</v>
      </c>
      <c r="B193" s="8" t="str">
        <f aca="false">'2026 Forecast A'!B175</f>
        <v>SALISBURY</v>
      </c>
      <c r="C193" s="8" t="str">
        <f aca="false">'2026 Forecast A'!C175</f>
        <v>SALISBURY 3RD WARD 1ST DIST</v>
      </c>
      <c r="D193" s="9" t="n">
        <f aca="false">'2026 Forecast A'!G175</f>
        <v>0.54180602006689</v>
      </c>
      <c r="E193" s="9" t="n">
        <f aca="false">'2026 Forecast B'!G175</f>
        <v>0.539867109634552</v>
      </c>
      <c r="F193" s="9" t="n">
        <f aca="false">'2026 Forecast C'!G175</f>
        <v>0.543589743589744</v>
      </c>
      <c r="G193" s="24" t="n">
        <f aca="false">(MAX(D193:F193)-MIN(D193:F193))*100</f>
        <v>0.372263395519201</v>
      </c>
      <c r="H193" s="24" t="n">
        <f aca="false">'2026 Forecast A'!J175</f>
        <v>3.25434931194355</v>
      </c>
      <c r="I193" s="24" t="n">
        <f aca="false">'2026 Forecast B'!J175</f>
        <v>3.09864730606258</v>
      </c>
      <c r="J193" s="24" t="n">
        <f aca="false">'2026 Forecast C'!J175</f>
        <v>3.7041269898902</v>
      </c>
      <c r="K193" s="25" t="n">
        <f aca="false">'2026 Forecast A'!F175</f>
        <v>598</v>
      </c>
      <c r="L193" s="26" t="str">
        <f aca="false">IF(OR(AND(D193&gt;0.5,E193&gt;0.5,F193&gt;0.5),AND(D193&lt;0.5,E193&lt;0.5,F193&lt;0.5)),"Yes","No — toss-up")</f>
        <v>Yes</v>
      </c>
    </row>
    <row r="194" customFormat="false" ht="15" hidden="false" customHeight="false" outlineLevel="0" collapsed="false">
      <c r="A194" s="8" t="str">
        <f aca="false">'2026 Forecast A'!A176</f>
        <v>Lehigh</v>
      </c>
      <c r="B194" s="8" t="str">
        <f aca="false">'2026 Forecast A'!B176</f>
        <v>SALISBURY</v>
      </c>
      <c r="C194" s="8" t="str">
        <f aca="false">'2026 Forecast A'!C176</f>
        <v>SALISBURY 3RD WARD 2ND DIST</v>
      </c>
      <c r="D194" s="9" t="n">
        <f aca="false">'2026 Forecast A'!G176</f>
        <v>0.550295857988166</v>
      </c>
      <c r="E194" s="9" t="n">
        <f aca="false">'2026 Forecast B'!G176</f>
        <v>0.551470588235294</v>
      </c>
      <c r="F194" s="9" t="n">
        <f aca="false">'2026 Forecast C'!G176</f>
        <v>0.550680786686838</v>
      </c>
      <c r="G194" s="24" t="n">
        <f aca="false">(MAX(D194:F194)-MIN(D194:F194))*100</f>
        <v>0.117473024712844</v>
      </c>
      <c r="H194" s="24" t="n">
        <f aca="false">'2026 Forecast A'!J176</f>
        <v>3.25434931194355</v>
      </c>
      <c r="I194" s="24" t="n">
        <f aca="false">'2026 Forecast B'!J176</f>
        <v>3.09864730606258</v>
      </c>
      <c r="J194" s="24" t="n">
        <f aca="false">'2026 Forecast C'!J176</f>
        <v>3.7041269898902</v>
      </c>
      <c r="K194" s="25" t="n">
        <f aca="false">'2026 Forecast A'!F176</f>
        <v>676</v>
      </c>
      <c r="L194" s="26" t="str">
        <f aca="false">IF(OR(AND(D194&gt;0.5,E194&gt;0.5,F194&gt;0.5),AND(D194&lt;0.5,E194&lt;0.5,F194&lt;0.5)),"Yes","No — toss-up")</f>
        <v>Yes</v>
      </c>
    </row>
    <row r="195" customFormat="false" ht="15" hidden="false" customHeight="false" outlineLevel="0" collapsed="false">
      <c r="A195" s="8" t="str">
        <f aca="false">'2026 Forecast A'!A177</f>
        <v>Lehigh</v>
      </c>
      <c r="B195" s="8" t="str">
        <f aca="false">'2026 Forecast A'!B177</f>
        <v>SALISBURY</v>
      </c>
      <c r="C195" s="8" t="str">
        <f aca="false">'2026 Forecast A'!C177</f>
        <v>SALISBURY 4TH WARD 1ST DIST</v>
      </c>
      <c r="D195" s="9" t="n">
        <f aca="false">'2026 Forecast A'!G177</f>
        <v>0.533116178067318</v>
      </c>
      <c r="E195" s="9" t="n">
        <f aca="false">'2026 Forecast B'!G177</f>
        <v>0.53125</v>
      </c>
      <c r="F195" s="9" t="n">
        <f aca="false">'2026 Forecast C'!G177</f>
        <v>0.533776301218162</v>
      </c>
      <c r="G195" s="24" t="n">
        <f aca="false">(MAX(D195:F195)-MIN(D195:F195))*100</f>
        <v>0.252630121816166</v>
      </c>
      <c r="H195" s="24" t="n">
        <f aca="false">'2026 Forecast A'!J177</f>
        <v>1.85532414445586</v>
      </c>
      <c r="I195" s="24" t="n">
        <f aca="false">'2026 Forecast B'!J177</f>
        <v>2.0110742867014</v>
      </c>
      <c r="J195" s="24" t="n">
        <f aca="false">'2026 Forecast C'!J177</f>
        <v>2.12060277043418</v>
      </c>
      <c r="K195" s="25" t="n">
        <f aca="false">'2026 Forecast A'!F177</f>
        <v>921</v>
      </c>
      <c r="L195" s="26" t="str">
        <f aca="false">IF(OR(AND(D195&gt;0.5,E195&gt;0.5,F195&gt;0.5),AND(D195&lt;0.5,E195&lt;0.5,F195&lt;0.5)),"Yes","No — toss-up")</f>
        <v>Yes</v>
      </c>
    </row>
    <row r="196" customFormat="false" ht="15" hidden="false" customHeight="false" outlineLevel="0" collapsed="false">
      <c r="A196" s="8" t="str">
        <f aca="false">'2026 Forecast A'!A178</f>
        <v>Lehigh</v>
      </c>
      <c r="B196" s="8" t="str">
        <f aca="false">'2026 Forecast A'!B178</f>
        <v>SALISBURY</v>
      </c>
      <c r="C196" s="8" t="str">
        <f aca="false">'2026 Forecast A'!C178</f>
        <v>SALISBURY 4TH WARD 2ND DIST</v>
      </c>
      <c r="D196" s="9" t="n">
        <f aca="false">'2026 Forecast A'!G178</f>
        <v>0.525167785234899</v>
      </c>
      <c r="E196" s="9" t="n">
        <f aca="false">'2026 Forecast B'!G178</f>
        <v>0.526755852842809</v>
      </c>
      <c r="F196" s="9" t="n">
        <f aca="false">'2026 Forecast C'!G178</f>
        <v>0.524701873935264</v>
      </c>
      <c r="G196" s="24" t="n">
        <f aca="false">(MAX(D196:F196)-MIN(D196:F196))*100</f>
        <v>0.205397890754533</v>
      </c>
      <c r="H196" s="24" t="n">
        <f aca="false">'2026 Forecast A'!J178</f>
        <v>3.25434931194355</v>
      </c>
      <c r="I196" s="24" t="n">
        <f aca="false">'2026 Forecast B'!J178</f>
        <v>3.09864730606258</v>
      </c>
      <c r="J196" s="24" t="n">
        <f aca="false">'2026 Forecast C'!J178</f>
        <v>3.7041269898902</v>
      </c>
      <c r="K196" s="25" t="n">
        <f aca="false">'2026 Forecast A'!F178</f>
        <v>596</v>
      </c>
      <c r="L196" s="26" t="str">
        <f aca="false">IF(OR(AND(D196&gt;0.5,E196&gt;0.5,F196&gt;0.5),AND(D196&lt;0.5,E196&lt;0.5,F196&lt;0.5)),"Yes","No — toss-up")</f>
        <v>Yes</v>
      </c>
    </row>
    <row r="197" customFormat="false" ht="15" hidden="false" customHeight="false" outlineLevel="0" collapsed="false">
      <c r="A197" s="8" t="str">
        <f aca="false">'2026 Forecast A'!A179</f>
        <v>Lehigh</v>
      </c>
      <c r="B197" s="8" t="str">
        <f aca="false">'2026 Forecast A'!B179</f>
        <v>SALISBURY</v>
      </c>
      <c r="C197" s="8" t="str">
        <f aca="false">'2026 Forecast A'!C179</f>
        <v>SALISBURY 5TH WARD 1ST DIST</v>
      </c>
      <c r="D197" s="9" t="n">
        <f aca="false">'2026 Forecast A'!G179</f>
        <v>0.565597667638484</v>
      </c>
      <c r="E197" s="9" t="n">
        <f aca="false">'2026 Forecast B'!G179</f>
        <v>0.552173913043478</v>
      </c>
      <c r="F197" s="9" t="n">
        <f aca="false">'2026 Forecast C'!G179</f>
        <v>0.568047337278107</v>
      </c>
      <c r="G197" s="24" t="n">
        <f aca="false">(MAX(D197:F197)-MIN(D197:F197))*100</f>
        <v>1.58734242346282</v>
      </c>
      <c r="H197" s="24" t="n">
        <f aca="false">'2026 Forecast A'!J179</f>
        <v>3.25434931194355</v>
      </c>
      <c r="I197" s="24" t="n">
        <f aca="false">'2026 Forecast B'!J179</f>
        <v>3.09864730606258</v>
      </c>
      <c r="J197" s="24" t="n">
        <f aca="false">'2026 Forecast C'!J179</f>
        <v>3.7041269898902</v>
      </c>
      <c r="K197" s="25" t="n">
        <f aca="false">'2026 Forecast A'!F179</f>
        <v>686</v>
      </c>
      <c r="L197" s="26" t="str">
        <f aca="false">IF(OR(AND(D197&gt;0.5,E197&gt;0.5,F197&gt;0.5),AND(D197&lt;0.5,E197&lt;0.5,F197&lt;0.5)),"Yes","No — toss-up")</f>
        <v>Yes</v>
      </c>
    </row>
    <row r="198" customFormat="false" ht="15" hidden="false" customHeight="false" outlineLevel="0" collapsed="false">
      <c r="A198" s="8" t="str">
        <f aca="false">'2026 Forecast A'!A180</f>
        <v>Lehigh</v>
      </c>
      <c r="B198" s="8" t="str">
        <f aca="false">'2026 Forecast A'!B180</f>
        <v>SALISBURY</v>
      </c>
      <c r="C198" s="8" t="str">
        <f aca="false">'2026 Forecast A'!C180</f>
        <v>SALISBURY 5TH WARD 2ND DIST</v>
      </c>
      <c r="D198" s="9" t="n">
        <f aca="false">'2026 Forecast A'!G180</f>
        <v>0.542769857433809</v>
      </c>
      <c r="E198" s="9" t="n">
        <f aca="false">'2026 Forecast B'!G180</f>
        <v>0.541876892028254</v>
      </c>
      <c r="F198" s="9" t="n">
        <f aca="false">'2026 Forecast C'!G180</f>
        <v>0.544224765868887</v>
      </c>
      <c r="G198" s="24" t="n">
        <f aca="false">(MAX(D198:F198)-MIN(D198:F198))*100</f>
        <v>0.234787384063229</v>
      </c>
      <c r="H198" s="24" t="n">
        <f aca="false">'2026 Forecast A'!J180</f>
        <v>1.85532414445586</v>
      </c>
      <c r="I198" s="24" t="n">
        <f aca="false">'2026 Forecast B'!J180</f>
        <v>2.0110742867014</v>
      </c>
      <c r="J198" s="24" t="n">
        <f aca="false">'2026 Forecast C'!J180</f>
        <v>2.12060277043418</v>
      </c>
      <c r="K198" s="25" t="n">
        <f aca="false">'2026 Forecast A'!F180</f>
        <v>982</v>
      </c>
      <c r="L198" s="26" t="str">
        <f aca="false">IF(OR(AND(D198&gt;0.5,E198&gt;0.5,F198&gt;0.5),AND(D198&lt;0.5,E198&lt;0.5,F198&lt;0.5)),"Yes","No — toss-up")</f>
        <v>Yes</v>
      </c>
    </row>
    <row r="199" customFormat="false" ht="15" hidden="false" customHeight="false" outlineLevel="0" collapsed="false">
      <c r="A199" s="8" t="str">
        <f aca="false">'2026 Forecast A'!A181</f>
        <v>Lehigh</v>
      </c>
      <c r="B199" s="8" t="str">
        <f aca="false">'2026 Forecast A'!B181</f>
        <v>SLATINGTON</v>
      </c>
      <c r="C199" s="8" t="str">
        <f aca="false">'2026 Forecast A'!C181</f>
        <v>SLATINGTON 1ST DIST</v>
      </c>
      <c r="D199" s="9" t="n">
        <f aca="false">'2026 Forecast A'!G181</f>
        <v>0.486486486486487</v>
      </c>
      <c r="E199" s="9" t="n">
        <f aca="false">'2026 Forecast B'!G181</f>
        <v>0.497572815533981</v>
      </c>
      <c r="F199" s="9" t="n">
        <f aca="false">'2026 Forecast C'!G181</f>
        <v>0.482587064676617</v>
      </c>
      <c r="G199" s="24" t="n">
        <f aca="false">(MAX(D199:F199)-MIN(D199:F199))*100</f>
        <v>1.49857508573636</v>
      </c>
      <c r="H199" s="24" t="n">
        <f aca="false">'2026 Forecast A'!J181</f>
        <v>3.25434931194355</v>
      </c>
      <c r="I199" s="24" t="n">
        <f aca="false">'2026 Forecast B'!J181</f>
        <v>3.09864730606258</v>
      </c>
      <c r="J199" s="24" t="n">
        <f aca="false">'2026 Forecast C'!J181</f>
        <v>3.7041269898902</v>
      </c>
      <c r="K199" s="25" t="n">
        <f aca="false">'2026 Forecast A'!F181</f>
        <v>407</v>
      </c>
      <c r="L199" s="26" t="str">
        <f aca="false">IF(OR(AND(D199&gt;0.5,E199&gt;0.5,F199&gt;0.5),AND(D199&lt;0.5,E199&lt;0.5,F199&lt;0.5)),"Yes","No — toss-up")</f>
        <v>Yes</v>
      </c>
    </row>
    <row r="200" customFormat="false" ht="15" hidden="false" customHeight="false" outlineLevel="0" collapsed="false">
      <c r="A200" s="8" t="str">
        <f aca="false">'2026 Forecast A'!A182</f>
        <v>Lehigh</v>
      </c>
      <c r="B200" s="8" t="str">
        <f aca="false">'2026 Forecast A'!B182</f>
        <v>SLATINGTON</v>
      </c>
      <c r="C200" s="8" t="str">
        <f aca="false">'2026 Forecast A'!C182</f>
        <v>SLATINGTON 2ND DIST</v>
      </c>
      <c r="D200" s="9" t="n">
        <f aca="false">'2026 Forecast A'!G182</f>
        <v>0.446629213483146</v>
      </c>
      <c r="E200" s="9" t="n">
        <f aca="false">'2026 Forecast B'!G182</f>
        <v>0.459383753501401</v>
      </c>
      <c r="F200" s="9" t="n">
        <f aca="false">'2026 Forecast C'!G182</f>
        <v>0.444444444444444</v>
      </c>
      <c r="G200" s="24" t="n">
        <f aca="false">(MAX(D200:F200)-MIN(D200:F200))*100</f>
        <v>1.49393090569561</v>
      </c>
      <c r="H200" s="24" t="n">
        <f aca="false">'2026 Forecast A'!J182</f>
        <v>3.25434931194355</v>
      </c>
      <c r="I200" s="24" t="n">
        <f aca="false">'2026 Forecast B'!J182</f>
        <v>3.09864730606258</v>
      </c>
      <c r="J200" s="24" t="n">
        <f aca="false">'2026 Forecast C'!J182</f>
        <v>3.7041269898902</v>
      </c>
      <c r="K200" s="25" t="n">
        <f aca="false">'2026 Forecast A'!F182</f>
        <v>356</v>
      </c>
      <c r="L200" s="26" t="str">
        <f aca="false">IF(OR(AND(D200&gt;0.5,E200&gt;0.5,F200&gt;0.5),AND(D200&lt;0.5,E200&lt;0.5,F200&lt;0.5)),"Yes","No — toss-up")</f>
        <v>Yes</v>
      </c>
    </row>
    <row r="201" customFormat="false" ht="15" hidden="false" customHeight="false" outlineLevel="0" collapsed="false">
      <c r="A201" s="8" t="str">
        <f aca="false">'2026 Forecast A'!A183</f>
        <v>Lehigh</v>
      </c>
      <c r="B201" s="8" t="str">
        <f aca="false">'2026 Forecast A'!B183</f>
        <v>SLATINGTON</v>
      </c>
      <c r="C201" s="8" t="str">
        <f aca="false">'2026 Forecast A'!C183</f>
        <v>SLATINGTON 3RD DIST</v>
      </c>
      <c r="D201" s="9" t="n">
        <f aca="false">'2026 Forecast A'!G183</f>
        <v>0.468706536856745</v>
      </c>
      <c r="E201" s="9" t="n">
        <f aca="false">'2026 Forecast B'!G183</f>
        <v>0.466942148760331</v>
      </c>
      <c r="F201" s="9" t="n">
        <f aca="false">'2026 Forecast C'!G183</f>
        <v>0.467329545454545</v>
      </c>
      <c r="G201" s="24" t="n">
        <f aca="false">(MAX(D201:F201)-MIN(D201:F201))*100</f>
        <v>0.176438809641488</v>
      </c>
      <c r="H201" s="24" t="n">
        <f aca="false">'2026 Forecast A'!J183</f>
        <v>3.25434931194355</v>
      </c>
      <c r="I201" s="24" t="n">
        <f aca="false">'2026 Forecast B'!J183</f>
        <v>3.09864730606258</v>
      </c>
      <c r="J201" s="24" t="n">
        <f aca="false">'2026 Forecast C'!J183</f>
        <v>3.7041269898902</v>
      </c>
      <c r="K201" s="25" t="n">
        <f aca="false">'2026 Forecast A'!F183</f>
        <v>719</v>
      </c>
      <c r="L201" s="26" t="str">
        <f aca="false">IF(OR(AND(D201&gt;0.5,E201&gt;0.5,F201&gt;0.5),AND(D201&lt;0.5,E201&lt;0.5,F201&lt;0.5)),"Yes","No — toss-up")</f>
        <v>Yes</v>
      </c>
    </row>
    <row r="202" customFormat="false" ht="15" hidden="false" customHeight="false" outlineLevel="0" collapsed="false">
      <c r="A202" s="8" t="str">
        <f aca="false">'2026 Forecast A'!A184</f>
        <v>Lehigh</v>
      </c>
      <c r="B202" s="8" t="str">
        <f aca="false">'2026 Forecast A'!B184</f>
        <v>SOUTH WHITEHALL</v>
      </c>
      <c r="C202" s="8" t="str">
        <f aca="false">'2026 Forecast A'!C184</f>
        <v>SOUTH WHITEHALL 1ST DISTRICT</v>
      </c>
      <c r="D202" s="9" t="n">
        <f aca="false">'2026 Forecast A'!G184</f>
        <v>0.543778801843318</v>
      </c>
      <c r="E202" s="9" t="n">
        <f aca="false">'2026 Forecast B'!G184</f>
        <v>0.549573210768221</v>
      </c>
      <c r="F202" s="9" t="n">
        <f aca="false">'2026 Forecast C'!G184</f>
        <v>0.54484153742414</v>
      </c>
      <c r="G202" s="24" t="n">
        <f aca="false">(MAX(D202:F202)-MIN(D202:F202))*100</f>
        <v>0.579440892490268</v>
      </c>
      <c r="H202" s="24" t="n">
        <f aca="false">'2026 Forecast A'!J184</f>
        <v>1.28585670084365</v>
      </c>
      <c r="I202" s="24" t="n">
        <f aca="false">'2026 Forecast B'!J184</f>
        <v>1.87006919874525</v>
      </c>
      <c r="J202" s="24" t="n">
        <f aca="false">'2026 Forecast C'!J184</f>
        <v>1.26135644325249</v>
      </c>
      <c r="K202" s="25" t="n">
        <f aca="false">'2026 Forecast A'!F184</f>
        <v>1519</v>
      </c>
      <c r="L202" s="26" t="str">
        <f aca="false">IF(OR(AND(D202&gt;0.5,E202&gt;0.5,F202&gt;0.5),AND(D202&lt;0.5,E202&lt;0.5,F202&lt;0.5)),"Yes","No — toss-up")</f>
        <v>Yes</v>
      </c>
    </row>
    <row r="203" customFormat="false" ht="15" hidden="false" customHeight="false" outlineLevel="0" collapsed="false">
      <c r="A203" s="8" t="str">
        <f aca="false">'2026 Forecast A'!A185</f>
        <v>Lehigh</v>
      </c>
      <c r="B203" s="8" t="str">
        <f aca="false">'2026 Forecast A'!B185</f>
        <v>SOUTH WHITEHALL</v>
      </c>
      <c r="C203" s="8" t="str">
        <f aca="false">'2026 Forecast A'!C185</f>
        <v>SOUTH WHITEHALL 2ND DISTRICT</v>
      </c>
      <c r="D203" s="9" t="n">
        <f aca="false">'2026 Forecast A'!G185</f>
        <v>0.545718432510885</v>
      </c>
      <c r="E203" s="9" t="n">
        <f aca="false">'2026 Forecast B'!G185</f>
        <v>0.552023121387283</v>
      </c>
      <c r="F203" s="9" t="n">
        <f aca="false">'2026 Forecast C'!G185</f>
        <v>0.546666666666667</v>
      </c>
      <c r="G203" s="24" t="n">
        <f aca="false">(MAX(D203:F203)-MIN(D203:F203))*100</f>
        <v>0.63046888763979</v>
      </c>
      <c r="H203" s="24" t="n">
        <f aca="false">'2026 Forecast A'!J185</f>
        <v>3.25434931194355</v>
      </c>
      <c r="I203" s="24" t="n">
        <f aca="false">'2026 Forecast B'!J185</f>
        <v>3.09864730606258</v>
      </c>
      <c r="J203" s="24" t="n">
        <f aca="false">'2026 Forecast C'!J185</f>
        <v>3.7041269898902</v>
      </c>
      <c r="K203" s="25" t="n">
        <f aca="false">'2026 Forecast A'!F185</f>
        <v>689</v>
      </c>
      <c r="L203" s="26" t="str">
        <f aca="false">IF(OR(AND(D203&gt;0.5,E203&gt;0.5,F203&gt;0.5),AND(D203&lt;0.5,E203&lt;0.5,F203&lt;0.5)),"Yes","No — toss-up")</f>
        <v>Yes</v>
      </c>
    </row>
    <row r="204" customFormat="false" ht="15" hidden="false" customHeight="false" outlineLevel="0" collapsed="false">
      <c r="A204" s="8" t="str">
        <f aca="false">'2026 Forecast A'!A186</f>
        <v>Lehigh</v>
      </c>
      <c r="B204" s="8" t="str">
        <f aca="false">'2026 Forecast A'!B186</f>
        <v>SOUTH WHITEHALL</v>
      </c>
      <c r="C204" s="8" t="str">
        <f aca="false">'2026 Forecast A'!C186</f>
        <v>SOUTH WHITEHALL 3RD DISTRICT</v>
      </c>
      <c r="D204" s="9" t="n">
        <f aca="false">'2026 Forecast A'!G186</f>
        <v>0.599431818181818</v>
      </c>
      <c r="E204" s="9" t="n">
        <f aca="false">'2026 Forecast B'!G186</f>
        <v>0.595346197502838</v>
      </c>
      <c r="F204" s="9" t="n">
        <f aca="false">'2026 Forecast C'!G186</f>
        <v>0.604490500863558</v>
      </c>
      <c r="G204" s="24" t="n">
        <f aca="false">(MAX(D204:F204)-MIN(D204:F204))*100</f>
        <v>0.914430336072014</v>
      </c>
      <c r="H204" s="24" t="n">
        <f aca="false">'2026 Forecast A'!J186</f>
        <v>1.28585670084365</v>
      </c>
      <c r="I204" s="24" t="n">
        <f aca="false">'2026 Forecast B'!J186</f>
        <v>1.87006919874525</v>
      </c>
      <c r="J204" s="24" t="n">
        <f aca="false">'2026 Forecast C'!J186</f>
        <v>1.26135644325249</v>
      </c>
      <c r="K204" s="25" t="n">
        <f aca="false">'2026 Forecast A'!F186</f>
        <v>1760</v>
      </c>
      <c r="L204" s="26" t="str">
        <f aca="false">IF(OR(AND(D204&gt;0.5,E204&gt;0.5,F204&gt;0.5),AND(D204&lt;0.5,E204&lt;0.5,F204&lt;0.5)),"Yes","No — toss-up")</f>
        <v>Yes</v>
      </c>
    </row>
    <row r="205" customFormat="false" ht="15" hidden="false" customHeight="false" outlineLevel="0" collapsed="false">
      <c r="A205" s="8" t="str">
        <f aca="false">'2026 Forecast A'!A187</f>
        <v>Lehigh</v>
      </c>
      <c r="B205" s="8" t="str">
        <f aca="false">'2026 Forecast A'!B187</f>
        <v>SOUTH WHITEHALL</v>
      </c>
      <c r="C205" s="8" t="str">
        <f aca="false">'2026 Forecast A'!C187</f>
        <v>SOUTH WHITEHALL 4TH DISTRICT</v>
      </c>
      <c r="D205" s="9" t="n">
        <f aca="false">'2026 Forecast A'!G187</f>
        <v>0.538628944504897</v>
      </c>
      <c r="E205" s="9" t="n">
        <f aca="false">'2026 Forecast B'!G187</f>
        <v>0.541711809317443</v>
      </c>
      <c r="F205" s="9" t="n">
        <f aca="false">'2026 Forecast C'!G187</f>
        <v>0.54</v>
      </c>
      <c r="G205" s="24" t="n">
        <f aca="false">(MAX(D205:F205)-MIN(D205:F205))*100</f>
        <v>0.308286481254649</v>
      </c>
      <c r="H205" s="24" t="n">
        <f aca="false">'2026 Forecast A'!J187</f>
        <v>1.85532414445586</v>
      </c>
      <c r="I205" s="24" t="n">
        <f aca="false">'2026 Forecast B'!J187</f>
        <v>2.0110742867014</v>
      </c>
      <c r="J205" s="24" t="n">
        <f aca="false">'2026 Forecast C'!J187</f>
        <v>2.12060277043418</v>
      </c>
      <c r="K205" s="25" t="n">
        <f aca="false">'2026 Forecast A'!F187</f>
        <v>919</v>
      </c>
      <c r="L205" s="26" t="str">
        <f aca="false">IF(OR(AND(D205&gt;0.5,E205&gt;0.5,F205&gt;0.5),AND(D205&lt;0.5,E205&lt;0.5,F205&lt;0.5)),"Yes","No — toss-up")</f>
        <v>Yes</v>
      </c>
    </row>
    <row r="206" customFormat="false" ht="15" hidden="false" customHeight="false" outlineLevel="0" collapsed="false">
      <c r="A206" s="8" t="str">
        <f aca="false">'2026 Forecast A'!A188</f>
        <v>Lehigh</v>
      </c>
      <c r="B206" s="8" t="str">
        <f aca="false">'2026 Forecast A'!B188</f>
        <v>SOUTH WHITEHALL</v>
      </c>
      <c r="C206" s="8" t="str">
        <f aca="false">'2026 Forecast A'!C188</f>
        <v>SOUTH WHITEHALL 5TH DISTRICT</v>
      </c>
      <c r="D206" s="9" t="n">
        <f aca="false">'2026 Forecast A'!G188</f>
        <v>0.628970775095299</v>
      </c>
      <c r="E206" s="9" t="n">
        <f aca="false">'2026 Forecast B'!G188</f>
        <v>0.617534942820839</v>
      </c>
      <c r="F206" s="9" t="n">
        <f aca="false">'2026 Forecast C'!G188</f>
        <v>0.636481241914618</v>
      </c>
      <c r="G206" s="24" t="n">
        <f aca="false">(MAX(D206:F206)-MIN(D206:F206))*100</f>
        <v>1.89462990937798</v>
      </c>
      <c r="H206" s="24" t="n">
        <f aca="false">'2026 Forecast A'!J188</f>
        <v>1.28585670084365</v>
      </c>
      <c r="I206" s="24" t="n">
        <f aca="false">'2026 Forecast B'!J188</f>
        <v>1.87006919874525</v>
      </c>
      <c r="J206" s="24" t="n">
        <f aca="false">'2026 Forecast C'!J188</f>
        <v>1.26135644325249</v>
      </c>
      <c r="K206" s="25" t="n">
        <f aca="false">'2026 Forecast A'!F188</f>
        <v>1574</v>
      </c>
      <c r="L206" s="26" t="str">
        <f aca="false">IF(OR(AND(D206&gt;0.5,E206&gt;0.5,F206&gt;0.5),AND(D206&lt;0.5,E206&lt;0.5,F206&lt;0.5)),"Yes","No — toss-up")</f>
        <v>Yes</v>
      </c>
    </row>
    <row r="207" customFormat="false" ht="15" hidden="false" customHeight="false" outlineLevel="0" collapsed="false">
      <c r="A207" s="8" t="str">
        <f aca="false">'2026 Forecast A'!A189</f>
        <v>Lehigh</v>
      </c>
      <c r="B207" s="8" t="str">
        <f aca="false">'2026 Forecast A'!B189</f>
        <v>SOUTH WHITEHALL</v>
      </c>
      <c r="C207" s="8" t="str">
        <f aca="false">'2026 Forecast A'!C189</f>
        <v>SOUTH WHITEHALL 6TH DISTRICT</v>
      </c>
      <c r="D207" s="9" t="n">
        <f aca="false">'2026 Forecast A'!G189</f>
        <v>0.626451612903226</v>
      </c>
      <c r="E207" s="9" t="n">
        <f aca="false">'2026 Forecast B'!G189</f>
        <v>0.62033462033462</v>
      </c>
      <c r="F207" s="9" t="n">
        <f aca="false">'2026 Forecast C'!G189</f>
        <v>0.633267845448592</v>
      </c>
      <c r="G207" s="24" t="n">
        <f aca="false">(MAX(D207:F207)-MIN(D207:F207))*100</f>
        <v>1.29332251139718</v>
      </c>
      <c r="H207" s="24" t="n">
        <f aca="false">'2026 Forecast A'!J189</f>
        <v>1.28585670084365</v>
      </c>
      <c r="I207" s="24" t="n">
        <f aca="false">'2026 Forecast B'!J189</f>
        <v>1.87006919874525</v>
      </c>
      <c r="J207" s="24" t="n">
        <f aca="false">'2026 Forecast C'!J189</f>
        <v>1.26135644325249</v>
      </c>
      <c r="K207" s="25" t="n">
        <f aca="false">'2026 Forecast A'!F189</f>
        <v>1550</v>
      </c>
      <c r="L207" s="26" t="str">
        <f aca="false">IF(OR(AND(D207&gt;0.5,E207&gt;0.5,F207&gt;0.5),AND(D207&lt;0.5,E207&lt;0.5,F207&lt;0.5)),"Yes","No — toss-up")</f>
        <v>Yes</v>
      </c>
    </row>
    <row r="208" customFormat="false" ht="15" hidden="false" customHeight="false" outlineLevel="0" collapsed="false">
      <c r="A208" s="8" t="str">
        <f aca="false">'2026 Forecast A'!A190</f>
        <v>Lehigh</v>
      </c>
      <c r="B208" s="8" t="str">
        <f aca="false">'2026 Forecast A'!B190</f>
        <v>SOUTH WHITEHALL</v>
      </c>
      <c r="C208" s="8" t="str">
        <f aca="false">'2026 Forecast A'!C190</f>
        <v>SOUTH WHITEHALL 7TH DISTRICT</v>
      </c>
      <c r="D208" s="9" t="n">
        <f aca="false">'2026 Forecast A'!G190</f>
        <v>0.55638166047088</v>
      </c>
      <c r="E208" s="9" t="n">
        <f aca="false">'2026 Forecast B'!G190</f>
        <v>0.562115621156212</v>
      </c>
      <c r="F208" s="9" t="n">
        <f aca="false">'2026 Forecast C'!G190</f>
        <v>0.558080808080808</v>
      </c>
      <c r="G208" s="24" t="n">
        <f aca="false">(MAX(D208:F208)-MIN(D208:F208))*100</f>
        <v>0.573396068533183</v>
      </c>
      <c r="H208" s="24" t="n">
        <f aca="false">'2026 Forecast A'!J190</f>
        <v>1.85532414445586</v>
      </c>
      <c r="I208" s="24" t="n">
        <f aca="false">'2026 Forecast B'!J190</f>
        <v>2.0110742867014</v>
      </c>
      <c r="J208" s="24" t="n">
        <f aca="false">'2026 Forecast C'!J190</f>
        <v>2.12060277043418</v>
      </c>
      <c r="K208" s="25" t="n">
        <f aca="false">'2026 Forecast A'!F190</f>
        <v>807</v>
      </c>
      <c r="L208" s="26" t="str">
        <f aca="false">IF(OR(AND(D208&gt;0.5,E208&gt;0.5,F208&gt;0.5),AND(D208&lt;0.5,E208&lt;0.5,F208&lt;0.5)),"Yes","No — toss-up")</f>
        <v>Yes</v>
      </c>
    </row>
    <row r="209" customFormat="false" ht="15" hidden="false" customHeight="false" outlineLevel="0" collapsed="false">
      <c r="A209" s="8" t="str">
        <f aca="false">'2026 Forecast A'!A191</f>
        <v>Lehigh</v>
      </c>
      <c r="B209" s="8" t="str">
        <f aca="false">'2026 Forecast A'!B191</f>
        <v>SOUTH WHITEHALL</v>
      </c>
      <c r="C209" s="8" t="str">
        <f aca="false">'2026 Forecast A'!C191</f>
        <v>SOUTH WHITEHALL 8TH DISTRICT</v>
      </c>
      <c r="D209" s="9" t="n">
        <f aca="false">'2026 Forecast A'!G191</f>
        <v>0.544303797468354</v>
      </c>
      <c r="E209" s="9" t="n">
        <f aca="false">'2026 Forecast B'!G191</f>
        <v>0.546112115732369</v>
      </c>
      <c r="F209" s="9" t="n">
        <f aca="false">'2026 Forecast C'!G191</f>
        <v>0.545537757437071</v>
      </c>
      <c r="G209" s="24" t="n">
        <f aca="false">(MAX(D209:F209)-MIN(D209:F209))*100</f>
        <v>0.180831826401451</v>
      </c>
      <c r="H209" s="24" t="n">
        <f aca="false">'2026 Forecast A'!J191</f>
        <v>1.28585670084365</v>
      </c>
      <c r="I209" s="24" t="n">
        <f aca="false">'2026 Forecast B'!J191</f>
        <v>1.87006919874525</v>
      </c>
      <c r="J209" s="24" t="n">
        <f aca="false">'2026 Forecast C'!J191</f>
        <v>1.26135644325249</v>
      </c>
      <c r="K209" s="25" t="n">
        <f aca="false">'2026 Forecast A'!F191</f>
        <v>2212</v>
      </c>
      <c r="L209" s="26" t="str">
        <f aca="false">IF(OR(AND(D209&gt;0.5,E209&gt;0.5,F209&gt;0.5),AND(D209&lt;0.5,E209&lt;0.5,F209&lt;0.5)),"Yes","No — toss-up")</f>
        <v>Yes</v>
      </c>
    </row>
    <row r="210" customFormat="false" ht="15" hidden="false" customHeight="false" outlineLevel="0" collapsed="false">
      <c r="A210" s="8" t="str">
        <f aca="false">'2026 Forecast A'!A192</f>
        <v>Lehigh</v>
      </c>
      <c r="B210" s="8" t="str">
        <f aca="false">'2026 Forecast A'!B192</f>
        <v>UPPER MACUNGIE</v>
      </c>
      <c r="C210" s="8" t="str">
        <f aca="false">'2026 Forecast A'!C192</f>
        <v>UPPER MACUNGIE 1ST DISTRICT</v>
      </c>
      <c r="D210" s="9" t="n">
        <f aca="false">'2026 Forecast A'!G192</f>
        <v>0.546182266009852</v>
      </c>
      <c r="E210" s="9" t="n">
        <f aca="false">'2026 Forecast B'!G192</f>
        <v>0.543558282208589</v>
      </c>
      <c r="F210" s="9" t="n">
        <f aca="false">'2026 Forecast C'!G192</f>
        <v>0.547062539481996</v>
      </c>
      <c r="G210" s="24" t="n">
        <f aca="false">(MAX(D210:F210)-MIN(D210:F210))*100</f>
        <v>0.350425727340731</v>
      </c>
      <c r="H210" s="24" t="n">
        <f aca="false">'2026 Forecast A'!J192</f>
        <v>1.28585670084365</v>
      </c>
      <c r="I210" s="24" t="n">
        <f aca="false">'2026 Forecast B'!J192</f>
        <v>1.87006919874525</v>
      </c>
      <c r="J210" s="24" t="n">
        <f aca="false">'2026 Forecast C'!J192</f>
        <v>1.26135644325249</v>
      </c>
      <c r="K210" s="25" t="n">
        <f aca="false">'2026 Forecast A'!F192</f>
        <v>1624</v>
      </c>
      <c r="L210" s="26" t="str">
        <f aca="false">IF(OR(AND(D210&gt;0.5,E210&gt;0.5,F210&gt;0.5),AND(D210&lt;0.5,E210&lt;0.5,F210&lt;0.5)),"Yes","No — toss-up")</f>
        <v>Yes</v>
      </c>
    </row>
    <row r="211" customFormat="false" ht="15" hidden="false" customHeight="false" outlineLevel="0" collapsed="false">
      <c r="A211" s="8" t="str">
        <f aca="false">'2026 Forecast A'!A193</f>
        <v>Lehigh</v>
      </c>
      <c r="B211" s="8" t="str">
        <f aca="false">'2026 Forecast A'!B193</f>
        <v>UPPER MACUNGIE</v>
      </c>
      <c r="C211" s="8" t="str">
        <f aca="false">'2026 Forecast A'!C193</f>
        <v>UPPER MACUNGIE 2ND DISTRICT</v>
      </c>
      <c r="D211" s="9" t="n">
        <f aca="false">'2026 Forecast A'!G193</f>
        <v>0.547779273216689</v>
      </c>
      <c r="E211" s="9" t="n">
        <f aca="false">'2026 Forecast B'!G193</f>
        <v>0.54075723830735</v>
      </c>
      <c r="F211" s="9" t="n">
        <f aca="false">'2026 Forecast C'!G193</f>
        <v>0.548920532843362</v>
      </c>
      <c r="G211" s="24" t="n">
        <f aca="false">(MAX(D211:F211)-MIN(D211:F211))*100</f>
        <v>0.816329453601272</v>
      </c>
      <c r="H211" s="24" t="n">
        <f aca="false">'2026 Forecast A'!J193</f>
        <v>1.28585670084365</v>
      </c>
      <c r="I211" s="24" t="n">
        <f aca="false">'2026 Forecast B'!J193</f>
        <v>1.87006919874525</v>
      </c>
      <c r="J211" s="24" t="n">
        <f aca="false">'2026 Forecast C'!J193</f>
        <v>1.26135644325249</v>
      </c>
      <c r="K211" s="25" t="n">
        <f aca="false">'2026 Forecast A'!F193</f>
        <v>2229</v>
      </c>
      <c r="L211" s="26" t="str">
        <f aca="false">IF(OR(AND(D211&gt;0.5,E211&gt;0.5,F211&gt;0.5),AND(D211&lt;0.5,E211&lt;0.5,F211&lt;0.5)),"Yes","No — toss-up")</f>
        <v>Yes</v>
      </c>
    </row>
    <row r="212" customFormat="false" ht="15" hidden="false" customHeight="false" outlineLevel="0" collapsed="false">
      <c r="A212" s="8" t="str">
        <f aca="false">'2026 Forecast A'!A194</f>
        <v>Lehigh</v>
      </c>
      <c r="B212" s="8" t="str">
        <f aca="false">'2026 Forecast A'!B194</f>
        <v>UPPER MACUNGIE</v>
      </c>
      <c r="C212" s="8" t="str">
        <f aca="false">'2026 Forecast A'!C194</f>
        <v>UPPER MACUNGIE 3RD DISTRICT</v>
      </c>
      <c r="D212" s="9" t="n">
        <f aca="false">'2026 Forecast A'!G194</f>
        <v>0.516110797060486</v>
      </c>
      <c r="E212" s="9" t="n">
        <f aca="false">'2026 Forecast B'!G194</f>
        <v>0.517847025495751</v>
      </c>
      <c r="F212" s="9" t="n">
        <f aca="false">'2026 Forecast C'!G194</f>
        <v>0.516590389016018</v>
      </c>
      <c r="G212" s="24" t="n">
        <f aca="false">(MAX(D212:F212)-MIN(D212:F212))*100</f>
        <v>0.173622843526455</v>
      </c>
      <c r="H212" s="24" t="n">
        <f aca="false">'2026 Forecast A'!J194</f>
        <v>1.28585670084365</v>
      </c>
      <c r="I212" s="24" t="n">
        <f aca="false">'2026 Forecast B'!J194</f>
        <v>1.87006919874525</v>
      </c>
      <c r="J212" s="24" t="n">
        <f aca="false">'2026 Forecast C'!J194</f>
        <v>1.26135644325249</v>
      </c>
      <c r="K212" s="25" t="n">
        <f aca="false">'2026 Forecast A'!F194</f>
        <v>1769</v>
      </c>
      <c r="L212" s="26" t="str">
        <f aca="false">IF(OR(AND(D212&gt;0.5,E212&gt;0.5,F212&gt;0.5),AND(D212&lt;0.5,E212&lt;0.5,F212&lt;0.5)),"Yes","No — toss-up")</f>
        <v>Yes</v>
      </c>
    </row>
    <row r="213" customFormat="false" ht="15" hidden="false" customHeight="false" outlineLevel="0" collapsed="false">
      <c r="A213" s="8" t="str">
        <f aca="false">'2026 Forecast A'!A195</f>
        <v>Lehigh</v>
      </c>
      <c r="B213" s="8" t="str">
        <f aca="false">'2026 Forecast A'!B195</f>
        <v>UPPER MACUNGIE</v>
      </c>
      <c r="C213" s="8" t="str">
        <f aca="false">'2026 Forecast A'!C195</f>
        <v>UPPER MACUNGIE 4TH DISTRICT</v>
      </c>
      <c r="D213" s="9" t="n">
        <f aca="false">'2026 Forecast A'!G195</f>
        <v>0.573891625615764</v>
      </c>
      <c r="E213" s="9" t="n">
        <f aca="false">'2026 Forecast B'!G195</f>
        <v>0.57354149548069</v>
      </c>
      <c r="F213" s="9" t="n">
        <f aca="false">'2026 Forecast C'!G195</f>
        <v>0.576342281879195</v>
      </c>
      <c r="G213" s="24" t="n">
        <f aca="false">(MAX(D213:F213)-MIN(D213:F213))*100</f>
        <v>0.280078639850445</v>
      </c>
      <c r="H213" s="24" t="n">
        <f aca="false">'2026 Forecast A'!J195</f>
        <v>1.28585670084365</v>
      </c>
      <c r="I213" s="24" t="n">
        <f aca="false">'2026 Forecast B'!J195</f>
        <v>1.87006919874525</v>
      </c>
      <c r="J213" s="24" t="n">
        <f aca="false">'2026 Forecast C'!J195</f>
        <v>2.12060277043418</v>
      </c>
      <c r="K213" s="25" t="n">
        <f aca="false">'2026 Forecast A'!F195</f>
        <v>1218</v>
      </c>
      <c r="L213" s="26" t="str">
        <f aca="false">IF(OR(AND(D213&gt;0.5,E213&gt;0.5,F213&gt;0.5),AND(D213&lt;0.5,E213&lt;0.5,F213&lt;0.5)),"Yes","No — toss-up")</f>
        <v>Yes</v>
      </c>
    </row>
    <row r="214" customFormat="false" ht="15" hidden="false" customHeight="false" outlineLevel="0" collapsed="false">
      <c r="A214" s="8" t="str">
        <f aca="false">'2026 Forecast A'!A196</f>
        <v>Lehigh</v>
      </c>
      <c r="B214" s="8" t="str">
        <f aca="false">'2026 Forecast A'!B196</f>
        <v>UPPER MACUNGIE</v>
      </c>
      <c r="C214" s="8" t="str">
        <f aca="false">'2026 Forecast A'!C196</f>
        <v>UPPER MACUNGIE 5TH DISTRICT</v>
      </c>
      <c r="D214" s="9" t="n">
        <f aca="false">'2026 Forecast A'!G196</f>
        <v>0.575190575190575</v>
      </c>
      <c r="E214" s="9" t="n">
        <f aca="false">'2026 Forecast B'!G196</f>
        <v>0.571181755355909</v>
      </c>
      <c r="F214" s="9" t="n">
        <f aca="false">'2026 Forecast C'!G196</f>
        <v>0.578556263269639</v>
      </c>
      <c r="G214" s="24" t="n">
        <f aca="false">(MAX(D214:F214)-MIN(D214:F214))*100</f>
        <v>0.737450791373029</v>
      </c>
      <c r="H214" s="24" t="n">
        <f aca="false">'2026 Forecast A'!J196</f>
        <v>1.28585670084365</v>
      </c>
      <c r="I214" s="24" t="n">
        <f aca="false">'2026 Forecast B'!J196</f>
        <v>1.87006919874525</v>
      </c>
      <c r="J214" s="24" t="n">
        <f aca="false">'2026 Forecast C'!J196</f>
        <v>1.26135644325249</v>
      </c>
      <c r="K214" s="25" t="n">
        <f aca="false">'2026 Forecast A'!F196</f>
        <v>2886</v>
      </c>
      <c r="L214" s="26" t="str">
        <f aca="false">IF(OR(AND(D214&gt;0.5,E214&gt;0.5,F214&gt;0.5),AND(D214&lt;0.5,E214&lt;0.5,F214&lt;0.5)),"Yes","No — toss-up")</f>
        <v>Yes</v>
      </c>
    </row>
    <row r="215" customFormat="false" ht="15" hidden="false" customHeight="false" outlineLevel="0" collapsed="false">
      <c r="A215" s="8" t="str">
        <f aca="false">'2026 Forecast A'!A197</f>
        <v>Lehigh</v>
      </c>
      <c r="B215" s="8" t="str">
        <f aca="false">'2026 Forecast A'!B197</f>
        <v>UPPER MACUNGIE</v>
      </c>
      <c r="C215" s="8" t="str">
        <f aca="false">'2026 Forecast A'!C197</f>
        <v>UPPER MACUNGIE 6TH DISTRICT</v>
      </c>
      <c r="D215" s="9" t="n">
        <f aca="false">'2026 Forecast A'!G197</f>
        <v>0.554465161923454</v>
      </c>
      <c r="E215" s="9" t="n">
        <f aca="false">'2026 Forecast B'!G197</f>
        <v>0.553949903660886</v>
      </c>
      <c r="F215" s="9" t="n">
        <f aca="false">'2026 Forecast C'!G197</f>
        <v>0.55533199195171</v>
      </c>
      <c r="G215" s="24" t="n">
        <f aca="false">(MAX(D215:F215)-MIN(D215:F215))*100</f>
        <v>0.138208829082387</v>
      </c>
      <c r="H215" s="24" t="n">
        <f aca="false">'2026 Forecast A'!J197</f>
        <v>1.85532414445586</v>
      </c>
      <c r="I215" s="24" t="n">
        <f aca="false">'2026 Forecast B'!J197</f>
        <v>2.0110742867014</v>
      </c>
      <c r="J215" s="24" t="n">
        <f aca="false">'2026 Forecast C'!J197</f>
        <v>2.12060277043418</v>
      </c>
      <c r="K215" s="25" t="n">
        <f aca="false">'2026 Forecast A'!F197</f>
        <v>1019</v>
      </c>
      <c r="L215" s="26" t="str">
        <f aca="false">IF(OR(AND(D215&gt;0.5,E215&gt;0.5,F215&gt;0.5),AND(D215&lt;0.5,E215&lt;0.5,F215&lt;0.5)),"Yes","No — toss-up")</f>
        <v>Yes</v>
      </c>
    </row>
    <row r="216" customFormat="false" ht="15" hidden="false" customHeight="false" outlineLevel="0" collapsed="false">
      <c r="A216" s="8" t="str">
        <f aca="false">'2026 Forecast A'!A198</f>
        <v>Lehigh</v>
      </c>
      <c r="B216" s="8" t="str">
        <f aca="false">'2026 Forecast A'!B198</f>
        <v>UPPER MACUNGIE</v>
      </c>
      <c r="C216" s="8" t="str">
        <f aca="false">'2026 Forecast A'!C198</f>
        <v>UPPER MACUNGIE 7TH DISTRICT</v>
      </c>
      <c r="D216" s="9" t="n">
        <f aca="false">'2026 Forecast A'!G198</f>
        <v>0.589847715736041</v>
      </c>
      <c r="E216" s="9" t="n">
        <f aca="false">'2026 Forecast B'!G198</f>
        <v>0.588588588588589</v>
      </c>
      <c r="F216" s="9" t="n">
        <f aca="false">'2026 Forecast C'!G198</f>
        <v>0.59190031152648</v>
      </c>
      <c r="G216" s="24" t="n">
        <f aca="false">(MAX(D216:F216)-MIN(D216:F216))*100</f>
        <v>0.331172293789117</v>
      </c>
      <c r="H216" s="24" t="n">
        <f aca="false">'2026 Forecast A'!J198</f>
        <v>1.85532414445586</v>
      </c>
      <c r="I216" s="24" t="n">
        <f aca="false">'2026 Forecast B'!J198</f>
        <v>2.0110742867014</v>
      </c>
      <c r="J216" s="24" t="n">
        <f aca="false">'2026 Forecast C'!J198</f>
        <v>2.12060277043418</v>
      </c>
      <c r="K216" s="25" t="n">
        <f aca="false">'2026 Forecast A'!F198</f>
        <v>985</v>
      </c>
      <c r="L216" s="26" t="str">
        <f aca="false">IF(OR(AND(D216&gt;0.5,E216&gt;0.5,F216&gt;0.5),AND(D216&lt;0.5,E216&lt;0.5,F216&lt;0.5)),"Yes","No — toss-up")</f>
        <v>Yes</v>
      </c>
    </row>
    <row r="217" customFormat="false" ht="15" hidden="false" customHeight="false" outlineLevel="0" collapsed="false">
      <c r="A217" s="8" t="str">
        <f aca="false">'2026 Forecast A'!A199</f>
        <v>Lehigh</v>
      </c>
      <c r="B217" s="8" t="str">
        <f aca="false">'2026 Forecast A'!B199</f>
        <v>UPPER MACUNGIE</v>
      </c>
      <c r="C217" s="8" t="str">
        <f aca="false">'2026 Forecast A'!C199</f>
        <v>UPPER MACUNGIE 8TH DISTRICT</v>
      </c>
      <c r="D217" s="9" t="n">
        <f aca="false">'2026 Forecast A'!G199</f>
        <v>0.551942186088528</v>
      </c>
      <c r="E217" s="9" t="n">
        <f aca="false">'2026 Forecast B'!G199</f>
        <v>0.55877034358047</v>
      </c>
      <c r="F217" s="9" t="n">
        <f aca="false">'2026 Forecast C'!G199</f>
        <v>0.553191489361702</v>
      </c>
      <c r="G217" s="24" t="n">
        <f aca="false">(MAX(D217:F217)-MIN(D217:F217))*100</f>
        <v>0.682815749194266</v>
      </c>
      <c r="H217" s="24" t="n">
        <f aca="false">'2026 Forecast A'!J199</f>
        <v>1.85532414445586</v>
      </c>
      <c r="I217" s="24" t="n">
        <f aca="false">'2026 Forecast B'!J199</f>
        <v>2.0110742867014</v>
      </c>
      <c r="J217" s="24" t="n">
        <f aca="false">'2026 Forecast C'!J199</f>
        <v>2.12060277043418</v>
      </c>
      <c r="K217" s="25" t="n">
        <f aca="false">'2026 Forecast A'!F199</f>
        <v>1107</v>
      </c>
      <c r="L217" s="26" t="str">
        <f aca="false">IF(OR(AND(D217&gt;0.5,E217&gt;0.5,F217&gt;0.5),AND(D217&lt;0.5,E217&lt;0.5,F217&lt;0.5)),"Yes","No — toss-up")</f>
        <v>Yes</v>
      </c>
    </row>
    <row r="218" customFormat="false" ht="15" hidden="false" customHeight="false" outlineLevel="0" collapsed="false">
      <c r="A218" s="8" t="str">
        <f aca="false">'2026 Forecast A'!A200</f>
        <v>Lehigh</v>
      </c>
      <c r="B218" s="8" t="str">
        <f aca="false">'2026 Forecast A'!B200</f>
        <v>UPPER MILFORD</v>
      </c>
      <c r="C218" s="8" t="str">
        <f aca="false">'2026 Forecast A'!C200</f>
        <v>UPPER MILFORD EASTERN DISTRICT</v>
      </c>
      <c r="D218" s="9" t="n">
        <f aca="false">'2026 Forecast A'!G200</f>
        <v>0.511913357400722</v>
      </c>
      <c r="E218" s="9" t="n">
        <f aca="false">'2026 Forecast B'!G200</f>
        <v>0.501620453727044</v>
      </c>
      <c r="F218" s="9" t="n">
        <f aca="false">'2026 Forecast C'!G200</f>
        <v>0.51150895140665</v>
      </c>
      <c r="G218" s="24" t="n">
        <f aca="false">(MAX(D218:F218)-MIN(D218:F218))*100</f>
        <v>1.02929036736784</v>
      </c>
      <c r="H218" s="24" t="n">
        <f aca="false">'2026 Forecast A'!J200</f>
        <v>1.28585670084365</v>
      </c>
      <c r="I218" s="24" t="n">
        <f aca="false">'2026 Forecast B'!J200</f>
        <v>1.87006919874525</v>
      </c>
      <c r="J218" s="24" t="n">
        <f aca="false">'2026 Forecast C'!J200</f>
        <v>1.26135644325249</v>
      </c>
      <c r="K218" s="25" t="n">
        <f aca="false">'2026 Forecast A'!F200</f>
        <v>2770</v>
      </c>
      <c r="L218" s="26" t="str">
        <f aca="false">IF(OR(AND(D218&gt;0.5,E218&gt;0.5,F218&gt;0.5),AND(D218&lt;0.5,E218&lt;0.5,F218&lt;0.5)),"Yes","No — toss-up")</f>
        <v>Yes</v>
      </c>
    </row>
    <row r="219" customFormat="false" ht="15" hidden="false" customHeight="false" outlineLevel="0" collapsed="false">
      <c r="A219" s="8" t="str">
        <f aca="false">'2026 Forecast A'!A201</f>
        <v>Lehigh</v>
      </c>
      <c r="B219" s="8" t="str">
        <f aca="false">'2026 Forecast A'!B201</f>
        <v>UPPER MILFORD</v>
      </c>
      <c r="C219" s="8" t="str">
        <f aca="false">'2026 Forecast A'!C201</f>
        <v>UPPER MILFORD WESTERN DISTRICT</v>
      </c>
      <c r="D219" s="9" t="n">
        <f aca="false">'2026 Forecast A'!G201</f>
        <v>0.430325932923949</v>
      </c>
      <c r="E219" s="9" t="n">
        <f aca="false">'2026 Forecast B'!G201</f>
        <v>0.419840150446638</v>
      </c>
      <c r="F219" s="9" t="n">
        <f aca="false">'2026 Forecast C'!G201</f>
        <v>0.42658349328215</v>
      </c>
      <c r="G219" s="24" t="n">
        <f aca="false">(MAX(D219:F219)-MIN(D219:F219))*100</f>
        <v>1.04857824773105</v>
      </c>
      <c r="H219" s="24" t="n">
        <f aca="false">'2026 Forecast A'!J201</f>
        <v>1.28585670084365</v>
      </c>
      <c r="I219" s="24" t="n">
        <f aca="false">'2026 Forecast B'!J201</f>
        <v>1.87006919874525</v>
      </c>
      <c r="J219" s="24" t="n">
        <f aca="false">'2026 Forecast C'!J201</f>
        <v>1.26135644325249</v>
      </c>
      <c r="K219" s="25" t="n">
        <f aca="false">'2026 Forecast A'!F201</f>
        <v>2117</v>
      </c>
      <c r="L219" s="26" t="str">
        <f aca="false">IF(OR(AND(D219&gt;0.5,E219&gt;0.5,F219&gt;0.5),AND(D219&lt;0.5,E219&lt;0.5,F219&lt;0.5)),"Yes","No — toss-up")</f>
        <v>Yes</v>
      </c>
    </row>
    <row r="220" customFormat="false" ht="15" hidden="false" customHeight="false" outlineLevel="0" collapsed="false">
      <c r="A220" s="8" t="str">
        <f aca="false">'2026 Forecast A'!A202</f>
        <v>Lehigh</v>
      </c>
      <c r="B220" s="8" t="str">
        <f aca="false">'2026 Forecast A'!B202</f>
        <v>UPPER SAUCON</v>
      </c>
      <c r="C220" s="8" t="str">
        <f aca="false">'2026 Forecast A'!C202</f>
        <v>UPPER SAUCON 1ST DISTRICT</v>
      </c>
      <c r="D220" s="9" t="n">
        <f aca="false">'2026 Forecast A'!G202</f>
        <v>0.541289291422483</v>
      </c>
      <c r="E220" s="9" t="n">
        <f aca="false">'2026 Forecast B'!G202</f>
        <v>0.537234042553192</v>
      </c>
      <c r="F220" s="9" t="n">
        <f aca="false">'2026 Forecast C'!G202</f>
        <v>0.542702702702703</v>
      </c>
      <c r="G220" s="24" t="n">
        <f aca="false">(MAX(D220:F220)-MIN(D220:F220))*100</f>
        <v>0.54686601495112</v>
      </c>
      <c r="H220" s="24" t="n">
        <f aca="false">'2026 Forecast A'!J202</f>
        <v>1.28585670084365</v>
      </c>
      <c r="I220" s="24" t="n">
        <f aca="false">'2026 Forecast B'!J202</f>
        <v>1.87006919874525</v>
      </c>
      <c r="J220" s="24" t="n">
        <f aca="false">'2026 Forecast C'!J202</f>
        <v>1.26135644325249</v>
      </c>
      <c r="K220" s="25" t="n">
        <f aca="false">'2026 Forecast A'!F202</f>
        <v>1877</v>
      </c>
      <c r="L220" s="26" t="str">
        <f aca="false">IF(OR(AND(D220&gt;0.5,E220&gt;0.5,F220&gt;0.5),AND(D220&lt;0.5,E220&lt;0.5,F220&lt;0.5)),"Yes","No — toss-up")</f>
        <v>Yes</v>
      </c>
    </row>
    <row r="221" customFormat="false" ht="15" hidden="false" customHeight="false" outlineLevel="0" collapsed="false">
      <c r="A221" s="8" t="str">
        <f aca="false">'2026 Forecast A'!A203</f>
        <v>Lehigh</v>
      </c>
      <c r="B221" s="8" t="str">
        <f aca="false">'2026 Forecast A'!B203</f>
        <v>UPPER SAUCON</v>
      </c>
      <c r="C221" s="8" t="str">
        <f aca="false">'2026 Forecast A'!C203</f>
        <v>UPPER SAUCON 2ND DISTRICT</v>
      </c>
      <c r="D221" s="9" t="n">
        <f aca="false">'2026 Forecast A'!G203</f>
        <v>0.525773195876289</v>
      </c>
      <c r="E221" s="9" t="n">
        <f aca="false">'2026 Forecast B'!G203</f>
        <v>0.522377109317682</v>
      </c>
      <c r="F221" s="9" t="n">
        <f aca="false">'2026 Forecast C'!G203</f>
        <v>0.525688756515264</v>
      </c>
      <c r="G221" s="24" t="n">
        <f aca="false">(MAX(D221:F221)-MIN(D221:F221))*100</f>
        <v>0.339608655860713</v>
      </c>
      <c r="H221" s="24" t="n">
        <f aca="false">'2026 Forecast A'!J203</f>
        <v>1.28585670084365</v>
      </c>
      <c r="I221" s="24" t="n">
        <f aca="false">'2026 Forecast B'!J203</f>
        <v>1.87006919874525</v>
      </c>
      <c r="J221" s="24" t="n">
        <f aca="false">'2026 Forecast C'!J203</f>
        <v>1.26135644325249</v>
      </c>
      <c r="K221" s="25" t="n">
        <f aca="false">'2026 Forecast A'!F203</f>
        <v>1358</v>
      </c>
      <c r="L221" s="26" t="str">
        <f aca="false">IF(OR(AND(D221&gt;0.5,E221&gt;0.5,F221&gt;0.5),AND(D221&lt;0.5,E221&lt;0.5,F221&lt;0.5)),"Yes","No — toss-up")</f>
        <v>Yes</v>
      </c>
    </row>
    <row r="222" customFormat="false" ht="15" hidden="false" customHeight="false" outlineLevel="0" collapsed="false">
      <c r="A222" s="8" t="str">
        <f aca="false">'2026 Forecast A'!A204</f>
        <v>Lehigh</v>
      </c>
      <c r="B222" s="8" t="str">
        <f aca="false">'2026 Forecast A'!B204</f>
        <v>UPPER SAUCON</v>
      </c>
      <c r="C222" s="8" t="str">
        <f aca="false">'2026 Forecast A'!C204</f>
        <v>UPPER SAUCON 3RD DISTRICT</v>
      </c>
      <c r="D222" s="9" t="n">
        <f aca="false">'2026 Forecast A'!G204</f>
        <v>0.53030303030303</v>
      </c>
      <c r="E222" s="9" t="n">
        <f aca="false">'2026 Forecast B'!G204</f>
        <v>0.519083969465649</v>
      </c>
      <c r="F222" s="9" t="n">
        <f aca="false">'2026 Forecast C'!G204</f>
        <v>0.532717474980754</v>
      </c>
      <c r="G222" s="24" t="n">
        <f aca="false">(MAX(D222:F222)-MIN(D222:F222))*100</f>
        <v>1.36335055151056</v>
      </c>
      <c r="H222" s="24" t="n">
        <f aca="false">'2026 Forecast A'!J204</f>
        <v>1.28585670084365</v>
      </c>
      <c r="I222" s="24" t="n">
        <f aca="false">'2026 Forecast B'!J204</f>
        <v>1.87006919874525</v>
      </c>
      <c r="J222" s="24" t="n">
        <f aca="false">'2026 Forecast C'!J204</f>
        <v>1.26135644325249</v>
      </c>
      <c r="K222" s="25" t="n">
        <f aca="false">'2026 Forecast A'!F204</f>
        <v>1320</v>
      </c>
      <c r="L222" s="26" t="str">
        <f aca="false">IF(OR(AND(D222&gt;0.5,E222&gt;0.5,F222&gt;0.5),AND(D222&lt;0.5,E222&lt;0.5,F222&lt;0.5)),"Yes","No — toss-up")</f>
        <v>Yes</v>
      </c>
    </row>
    <row r="223" customFormat="false" ht="15" hidden="false" customHeight="false" outlineLevel="0" collapsed="false">
      <c r="A223" s="8" t="str">
        <f aca="false">'2026 Forecast A'!A205</f>
        <v>Lehigh</v>
      </c>
      <c r="B223" s="8" t="str">
        <f aca="false">'2026 Forecast A'!B205</f>
        <v>UPPER SAUCON</v>
      </c>
      <c r="C223" s="8" t="str">
        <f aca="false">'2026 Forecast A'!C205</f>
        <v>UPPER SAUCON 4TH DISTRICT</v>
      </c>
      <c r="D223" s="9" t="n">
        <f aca="false">'2026 Forecast A'!G205</f>
        <v>0.529274004683841</v>
      </c>
      <c r="E223" s="9" t="n">
        <f aca="false">'2026 Forecast B'!G205</f>
        <v>0.526755852842809</v>
      </c>
      <c r="F223" s="9" t="n">
        <f aca="false">'2026 Forecast C'!G205</f>
        <v>0.530446549391069</v>
      </c>
      <c r="G223" s="24" t="n">
        <f aca="false">(MAX(D223:F223)-MIN(D223:F223))*100</f>
        <v>0.369069654825971</v>
      </c>
      <c r="H223" s="24" t="n">
        <f aca="false">'2026 Forecast A'!J205</f>
        <v>1.28585670084365</v>
      </c>
      <c r="I223" s="24" t="n">
        <f aca="false">'2026 Forecast B'!J205</f>
        <v>1.87006919874525</v>
      </c>
      <c r="J223" s="24" t="n">
        <f aca="false">'2026 Forecast C'!J205</f>
        <v>1.26135644325249</v>
      </c>
      <c r="K223" s="25" t="n">
        <f aca="false">'2026 Forecast A'!F205</f>
        <v>2989</v>
      </c>
      <c r="L223" s="26" t="str">
        <f aca="false">IF(OR(AND(D223&gt;0.5,E223&gt;0.5,F223&gt;0.5),AND(D223&lt;0.5,E223&lt;0.5,F223&lt;0.5)),"Yes","No — toss-up")</f>
        <v>Yes</v>
      </c>
    </row>
    <row r="224" customFormat="false" ht="15" hidden="false" customHeight="false" outlineLevel="0" collapsed="false">
      <c r="A224" s="8" t="str">
        <f aca="false">'2026 Forecast A'!A206</f>
        <v>Lehigh</v>
      </c>
      <c r="B224" s="8" t="str">
        <f aca="false">'2026 Forecast A'!B206</f>
        <v>UPPER SAUCON</v>
      </c>
      <c r="C224" s="8" t="str">
        <f aca="false">'2026 Forecast A'!C206</f>
        <v>UPPER SAUCON 5TH DISTRICT</v>
      </c>
      <c r="D224" s="9" t="n">
        <f aca="false">'2026 Forecast A'!G206</f>
        <v>0.546086956521739</v>
      </c>
      <c r="E224" s="9" t="n">
        <f aca="false">'2026 Forecast B'!G206</f>
        <v>0.539325842696629</v>
      </c>
      <c r="F224" s="9" t="n">
        <f aca="false">'2026 Forecast C'!G206</f>
        <v>0.546902654867257</v>
      </c>
      <c r="G224" s="24" t="n">
        <f aca="false">(MAX(D224:F224)-MIN(D224:F224))*100</f>
        <v>0.757681217062745</v>
      </c>
      <c r="H224" s="24" t="n">
        <f aca="false">'2026 Forecast A'!J206</f>
        <v>1.85532414445586</v>
      </c>
      <c r="I224" s="24" t="n">
        <f aca="false">'2026 Forecast B'!J206</f>
        <v>2.0110742867014</v>
      </c>
      <c r="J224" s="24" t="n">
        <f aca="false">'2026 Forecast C'!J206</f>
        <v>2.12060277043418</v>
      </c>
      <c r="K224" s="25" t="n">
        <f aca="false">'2026 Forecast A'!F206</f>
        <v>1150</v>
      </c>
      <c r="L224" s="26" t="str">
        <f aca="false">IF(OR(AND(D224&gt;0.5,E224&gt;0.5,F224&gt;0.5),AND(D224&lt;0.5,E224&lt;0.5,F224&lt;0.5)),"Yes","No — toss-up")</f>
        <v>Yes</v>
      </c>
    </row>
    <row r="225" customFormat="false" ht="15" hidden="false" customHeight="false" outlineLevel="0" collapsed="false">
      <c r="A225" s="8" t="str">
        <f aca="false">'2026 Forecast A'!A207</f>
        <v>Lehigh</v>
      </c>
      <c r="B225" s="8" t="str">
        <f aca="false">'2026 Forecast A'!B207</f>
        <v>UPPER SAUCON</v>
      </c>
      <c r="C225" s="8" t="str">
        <f aca="false">'2026 Forecast A'!C207</f>
        <v>UPPER SAUCON 6TH DISTRICT</v>
      </c>
      <c r="D225" s="9" t="n">
        <f aca="false">'2026 Forecast A'!G207</f>
        <v>0.56078083407276</v>
      </c>
      <c r="E225" s="9" t="n">
        <f aca="false">'2026 Forecast B'!G207</f>
        <v>0.548586572438163</v>
      </c>
      <c r="F225" s="9" t="n">
        <f aca="false">'2026 Forecast C'!G207</f>
        <v>0.564705882352941</v>
      </c>
      <c r="G225" s="24" t="n">
        <f aca="false">(MAX(D225:F225)-MIN(D225:F225))*100</f>
        <v>1.61193099147786</v>
      </c>
      <c r="H225" s="24" t="n">
        <f aca="false">'2026 Forecast A'!J207</f>
        <v>1.85532414445586</v>
      </c>
      <c r="I225" s="24" t="n">
        <f aca="false">'2026 Forecast B'!J207</f>
        <v>2.0110742867014</v>
      </c>
      <c r="J225" s="24" t="n">
        <f aca="false">'2026 Forecast C'!J207</f>
        <v>2.12060277043418</v>
      </c>
      <c r="K225" s="25" t="n">
        <f aca="false">'2026 Forecast A'!F207</f>
        <v>1127</v>
      </c>
      <c r="L225" s="26" t="str">
        <f aca="false">IF(OR(AND(D225&gt;0.5,E225&gt;0.5,F225&gt;0.5),AND(D225&lt;0.5,E225&lt;0.5,F225&lt;0.5)),"Yes","No — toss-up")</f>
        <v>Yes</v>
      </c>
    </row>
    <row r="226" customFormat="false" ht="15" hidden="false" customHeight="false" outlineLevel="0" collapsed="false">
      <c r="A226" s="8" t="str">
        <f aca="false">'2026 Forecast A'!A208</f>
        <v>Lehigh</v>
      </c>
      <c r="B226" s="8" t="str">
        <f aca="false">'2026 Forecast A'!B208</f>
        <v>WASHINGTON</v>
      </c>
      <c r="C226" s="8" t="str">
        <f aca="false">'2026 Forecast A'!C208</f>
        <v>WASHINGTON EASTERN DISTRICT</v>
      </c>
      <c r="D226" s="9" t="n">
        <f aca="false">'2026 Forecast A'!G208</f>
        <v>0.358695652173913</v>
      </c>
      <c r="E226" s="9" t="n">
        <f aca="false">'2026 Forecast B'!G208</f>
        <v>0.365325077399381</v>
      </c>
      <c r="F226" s="9" t="n">
        <f aca="false">'2026 Forecast C'!G208</f>
        <v>0.350157728706625</v>
      </c>
      <c r="G226" s="24" t="n">
        <f aca="false">(MAX(D226:F226)-MIN(D226:F226))*100</f>
        <v>1.51673486927562</v>
      </c>
      <c r="H226" s="24" t="n">
        <f aca="false">'2026 Forecast A'!J208</f>
        <v>3.25434931194355</v>
      </c>
      <c r="I226" s="24" t="n">
        <f aca="false">'2026 Forecast B'!J208</f>
        <v>3.09864730606258</v>
      </c>
      <c r="J226" s="24" t="n">
        <f aca="false">'2026 Forecast C'!J208</f>
        <v>3.7041269898902</v>
      </c>
      <c r="K226" s="25" t="n">
        <f aca="false">'2026 Forecast A'!F208</f>
        <v>644</v>
      </c>
      <c r="L226" s="26" t="str">
        <f aca="false">IF(OR(AND(D226&gt;0.5,E226&gt;0.5,F226&gt;0.5),AND(D226&lt;0.5,E226&lt;0.5,F226&lt;0.5)),"Yes","No — toss-up")</f>
        <v>Yes</v>
      </c>
    </row>
    <row r="227" customFormat="false" ht="15" hidden="false" customHeight="false" outlineLevel="0" collapsed="false">
      <c r="A227" s="8" t="str">
        <f aca="false">'2026 Forecast A'!A209</f>
        <v>Lehigh</v>
      </c>
      <c r="B227" s="8" t="str">
        <f aca="false">'2026 Forecast A'!B209</f>
        <v>WASHINGTON</v>
      </c>
      <c r="C227" s="8" t="str">
        <f aca="false">'2026 Forecast A'!C209</f>
        <v>WASHINGTON SOUTHERN DISTRICT</v>
      </c>
      <c r="D227" s="9" t="n">
        <f aca="false">'2026 Forecast A'!G209</f>
        <v>0.382508409418549</v>
      </c>
      <c r="E227" s="9" t="n">
        <f aca="false">'2026 Forecast B'!G209</f>
        <v>0.382226469182991</v>
      </c>
      <c r="F227" s="9" t="n">
        <f aca="false">'2026 Forecast C'!G209</f>
        <v>0.375612144955926</v>
      </c>
      <c r="G227" s="24" t="n">
        <f aca="false">(MAX(D227:F227)-MIN(D227:F227))*100</f>
        <v>0.689626446262326</v>
      </c>
      <c r="H227" s="24" t="n">
        <f aca="false">'2026 Forecast A'!J209</f>
        <v>1.28585670084365</v>
      </c>
      <c r="I227" s="24" t="n">
        <f aca="false">'2026 Forecast B'!J209</f>
        <v>1.87006919874525</v>
      </c>
      <c r="J227" s="24" t="n">
        <f aca="false">'2026 Forecast C'!J209</f>
        <v>1.26135644325249</v>
      </c>
      <c r="K227" s="25" t="n">
        <f aca="false">'2026 Forecast A'!F209</f>
        <v>2081</v>
      </c>
      <c r="L227" s="26" t="str">
        <f aca="false">IF(OR(AND(D227&gt;0.5,E227&gt;0.5,F227&gt;0.5),AND(D227&lt;0.5,E227&lt;0.5,F227&lt;0.5)),"Yes","No — toss-up")</f>
        <v>Yes</v>
      </c>
    </row>
    <row r="228" customFormat="false" ht="15" hidden="false" customHeight="false" outlineLevel="0" collapsed="false">
      <c r="A228" s="8" t="str">
        <f aca="false">'2026 Forecast A'!A210</f>
        <v>Lehigh</v>
      </c>
      <c r="B228" s="8" t="str">
        <f aca="false">'2026 Forecast A'!B210</f>
        <v>WASHINGTON</v>
      </c>
      <c r="C228" s="8" t="str">
        <f aca="false">'2026 Forecast A'!C210</f>
        <v>WASHINGTON WESTERN DISTRICT</v>
      </c>
      <c r="D228" s="9" t="n">
        <f aca="false">'2026 Forecast A'!G210</f>
        <v>0.329225352112676</v>
      </c>
      <c r="E228" s="9" t="n">
        <f aca="false">'2026 Forecast B'!G210</f>
        <v>0.328070175438597</v>
      </c>
      <c r="F228" s="9" t="n">
        <f aca="false">'2026 Forecast C'!G210</f>
        <v>0.320284697508897</v>
      </c>
      <c r="G228" s="24" t="n">
        <f aca="false">(MAX(D228:F228)-MIN(D228:F228))*100</f>
        <v>0.894065460377924</v>
      </c>
      <c r="H228" s="24" t="n">
        <f aca="false">'2026 Forecast A'!J210</f>
        <v>3.25434931194355</v>
      </c>
      <c r="I228" s="24" t="n">
        <f aca="false">'2026 Forecast B'!J210</f>
        <v>3.09864730606258</v>
      </c>
      <c r="J228" s="24" t="n">
        <f aca="false">'2026 Forecast C'!J210</f>
        <v>3.7041269898902</v>
      </c>
      <c r="K228" s="25" t="n">
        <f aca="false">'2026 Forecast A'!F210</f>
        <v>568</v>
      </c>
      <c r="L228" s="26" t="str">
        <f aca="false">IF(OR(AND(D228&gt;0.5,E228&gt;0.5,F228&gt;0.5),AND(D228&lt;0.5,E228&lt;0.5,F228&lt;0.5)),"Yes","No — toss-up")</f>
        <v>Yes</v>
      </c>
    </row>
    <row r="229" customFormat="false" ht="15" hidden="false" customHeight="false" outlineLevel="0" collapsed="false">
      <c r="A229" s="8" t="str">
        <f aca="false">'2026 Forecast A'!A211</f>
        <v>Lehigh</v>
      </c>
      <c r="B229" s="8" t="str">
        <f aca="false">'2026 Forecast A'!B211</f>
        <v>WEISENBERG</v>
      </c>
      <c r="C229" s="8" t="str">
        <f aca="false">'2026 Forecast A'!C211</f>
        <v>WEISENBERG</v>
      </c>
      <c r="D229" s="9" t="n">
        <f aca="false">'2026 Forecast A'!G211</f>
        <v>0.395668614644208</v>
      </c>
      <c r="E229" s="9" t="n">
        <f aca="false">'2026 Forecast B'!G211</f>
        <v>0.384615384615385</v>
      </c>
      <c r="F229" s="9" t="n">
        <f aca="false">'2026 Forecast C'!G211</f>
        <v>0.38986013986014</v>
      </c>
      <c r="G229" s="24" t="n">
        <f aca="false">(MAX(D229:F229)-MIN(D229:F229))*100</f>
        <v>1.1053230028823</v>
      </c>
      <c r="H229" s="24" t="n">
        <f aca="false">'2026 Forecast A'!J211</f>
        <v>1.28585670084365</v>
      </c>
      <c r="I229" s="24" t="n">
        <f aca="false">'2026 Forecast B'!J211</f>
        <v>1.87006919874525</v>
      </c>
      <c r="J229" s="24" t="n">
        <f aca="false">'2026 Forecast C'!J211</f>
        <v>1.26135644325249</v>
      </c>
      <c r="K229" s="25" t="n">
        <f aca="false">'2026 Forecast A'!F211</f>
        <v>2909</v>
      </c>
      <c r="L229" s="26" t="str">
        <f aca="false">IF(OR(AND(D229&gt;0.5,E229&gt;0.5,F229&gt;0.5),AND(D229&lt;0.5,E229&lt;0.5,F229&lt;0.5)),"Yes","No — toss-up")</f>
        <v>Yes</v>
      </c>
    </row>
    <row r="230" customFormat="false" ht="15" hidden="false" customHeight="false" outlineLevel="0" collapsed="false">
      <c r="A230" s="8" t="str">
        <f aca="false">'2026 Forecast A'!A212</f>
        <v>Lehigh</v>
      </c>
      <c r="B230" s="8" t="str">
        <f aca="false">'2026 Forecast A'!B212</f>
        <v>WHITEHALL</v>
      </c>
      <c r="C230" s="8" t="str">
        <f aca="false">'2026 Forecast A'!C212</f>
        <v>WHITEHALL 10TH DISTRICT</v>
      </c>
      <c r="D230" s="9" t="n">
        <f aca="false">'2026 Forecast A'!G212</f>
        <v>0.52551724137931</v>
      </c>
      <c r="E230" s="9" t="n">
        <f aca="false">'2026 Forecast B'!G212</f>
        <v>0.528275862068966</v>
      </c>
      <c r="F230" s="9" t="n">
        <f aca="false">'2026 Forecast C'!G212</f>
        <v>0.524544179523142</v>
      </c>
      <c r="G230" s="24" t="n">
        <f aca="false">(MAX(D230:F230)-MIN(D230:F230))*100</f>
        <v>0.373168254582379</v>
      </c>
      <c r="H230" s="24" t="n">
        <f aca="false">'2026 Forecast A'!J212</f>
        <v>1.28585670084365</v>
      </c>
      <c r="I230" s="24" t="n">
        <f aca="false">'2026 Forecast B'!J212</f>
        <v>1.87006919874525</v>
      </c>
      <c r="J230" s="24" t="n">
        <f aca="false">'2026 Forecast C'!J212</f>
        <v>1.26135644325249</v>
      </c>
      <c r="K230" s="25" t="n">
        <f aca="false">'2026 Forecast A'!F212</f>
        <v>1450</v>
      </c>
      <c r="L230" s="26" t="str">
        <f aca="false">IF(OR(AND(D230&gt;0.5,E230&gt;0.5,F230&gt;0.5),AND(D230&lt;0.5,E230&lt;0.5,F230&lt;0.5)),"Yes","No — toss-up")</f>
        <v>Yes</v>
      </c>
    </row>
    <row r="231" customFormat="false" ht="15" hidden="false" customHeight="false" outlineLevel="0" collapsed="false">
      <c r="A231" s="8" t="str">
        <f aca="false">'2026 Forecast A'!A213</f>
        <v>Lehigh</v>
      </c>
      <c r="B231" s="8" t="str">
        <f aca="false">'2026 Forecast A'!B213</f>
        <v>WHITEHALL</v>
      </c>
      <c r="C231" s="8" t="str">
        <f aca="false">'2026 Forecast A'!C213</f>
        <v>WHITEHALL 11TH DISTRICT</v>
      </c>
      <c r="D231" s="9" t="n">
        <f aca="false">'2026 Forecast A'!G213</f>
        <v>0.525193798449612</v>
      </c>
      <c r="E231" s="9" t="n">
        <f aca="false">'2026 Forecast B'!G213</f>
        <v>0.531007751937985</v>
      </c>
      <c r="F231" s="9" t="n">
        <f aca="false">'2026 Forecast C'!G213</f>
        <v>0.524801587301587</v>
      </c>
      <c r="G231" s="24" t="n">
        <f aca="false">(MAX(D231:F231)-MIN(D231:F231))*100</f>
        <v>0.620616463639723</v>
      </c>
      <c r="H231" s="24" t="n">
        <f aca="false">'2026 Forecast A'!J213</f>
        <v>1.85532414445586</v>
      </c>
      <c r="I231" s="24" t="n">
        <f aca="false">'2026 Forecast B'!J213</f>
        <v>2.0110742867014</v>
      </c>
      <c r="J231" s="24" t="n">
        <f aca="false">'2026 Forecast C'!J213</f>
        <v>2.12060277043418</v>
      </c>
      <c r="K231" s="25" t="n">
        <f aca="false">'2026 Forecast A'!F213</f>
        <v>1032</v>
      </c>
      <c r="L231" s="26" t="str">
        <f aca="false">IF(OR(AND(D231&gt;0.5,E231&gt;0.5,F231&gt;0.5),AND(D231&lt;0.5,E231&lt;0.5,F231&lt;0.5)),"Yes","No — toss-up")</f>
        <v>Yes</v>
      </c>
    </row>
    <row r="232" customFormat="false" ht="15" hidden="false" customHeight="false" outlineLevel="0" collapsed="false">
      <c r="A232" s="8" t="str">
        <f aca="false">'2026 Forecast A'!A214</f>
        <v>Lehigh</v>
      </c>
      <c r="B232" s="8" t="str">
        <f aca="false">'2026 Forecast A'!B214</f>
        <v>WHITEHALL</v>
      </c>
      <c r="C232" s="8" t="str">
        <f aca="false">'2026 Forecast A'!C214</f>
        <v>WHITEHALL 12TH DISTRICT</v>
      </c>
      <c r="D232" s="9" t="n">
        <f aca="false">'2026 Forecast A'!G214</f>
        <v>0.596579476861167</v>
      </c>
      <c r="E232" s="9" t="n">
        <f aca="false">'2026 Forecast B'!G214</f>
        <v>0.599800399201597</v>
      </c>
      <c r="F232" s="9" t="n">
        <f aca="false">'2026 Forecast C'!G214</f>
        <v>0.598343685300207</v>
      </c>
      <c r="G232" s="24" t="n">
        <f aca="false">(MAX(D232:F232)-MIN(D232:F232))*100</f>
        <v>0.322092234042981</v>
      </c>
      <c r="H232" s="24" t="n">
        <f aca="false">'2026 Forecast A'!J214</f>
        <v>1.85532414445586</v>
      </c>
      <c r="I232" s="24" t="n">
        <f aca="false">'2026 Forecast B'!J214</f>
        <v>2.0110742867014</v>
      </c>
      <c r="J232" s="24" t="n">
        <f aca="false">'2026 Forecast C'!J214</f>
        <v>2.12060277043418</v>
      </c>
      <c r="K232" s="25" t="n">
        <f aca="false">'2026 Forecast A'!F214</f>
        <v>994</v>
      </c>
      <c r="L232" s="26" t="str">
        <f aca="false">IF(OR(AND(D232&gt;0.5,E232&gt;0.5,F232&gt;0.5),AND(D232&lt;0.5,E232&lt;0.5,F232&lt;0.5)),"Yes","No — toss-up")</f>
        <v>Yes</v>
      </c>
    </row>
    <row r="233" customFormat="false" ht="15" hidden="false" customHeight="false" outlineLevel="0" collapsed="false">
      <c r="A233" s="8" t="str">
        <f aca="false">'2026 Forecast A'!A215</f>
        <v>Lehigh</v>
      </c>
      <c r="B233" s="8" t="str">
        <f aca="false">'2026 Forecast A'!B215</f>
        <v>WHITEHALL</v>
      </c>
      <c r="C233" s="8" t="str">
        <f aca="false">'2026 Forecast A'!C215</f>
        <v>WHITEHALL 1ST DISTRICT</v>
      </c>
      <c r="D233" s="9" t="n">
        <f aca="false">'2026 Forecast A'!G215</f>
        <v>0.620057859209258</v>
      </c>
      <c r="E233" s="9" t="n">
        <f aca="false">'2026 Forecast B'!G215</f>
        <v>0.62724692526017</v>
      </c>
      <c r="F233" s="9" t="n">
        <f aca="false">'2026 Forecast C'!G215</f>
        <v>0.621807465618861</v>
      </c>
      <c r="G233" s="24" t="n">
        <f aca="false">(MAX(D233:F233)-MIN(D233:F233))*100</f>
        <v>0.718906605091285</v>
      </c>
      <c r="H233" s="24" t="n">
        <f aca="false">'2026 Forecast A'!J215</f>
        <v>1.85532414445586</v>
      </c>
      <c r="I233" s="24" t="n">
        <f aca="false">'2026 Forecast B'!J215</f>
        <v>2.0110742867014</v>
      </c>
      <c r="J233" s="24" t="n">
        <f aca="false">'2026 Forecast C'!J215</f>
        <v>2.12060277043418</v>
      </c>
      <c r="K233" s="25" t="n">
        <f aca="false">'2026 Forecast A'!F215</f>
        <v>1037</v>
      </c>
      <c r="L233" s="26" t="str">
        <f aca="false">IF(OR(AND(D233&gt;0.5,E233&gt;0.5,F233&gt;0.5),AND(D233&lt;0.5,E233&lt;0.5,F233&lt;0.5)),"Yes","No — toss-up")</f>
        <v>Yes</v>
      </c>
    </row>
    <row r="234" customFormat="false" ht="15" hidden="false" customHeight="false" outlineLevel="0" collapsed="false">
      <c r="A234" s="8" t="str">
        <f aca="false">'2026 Forecast A'!A216</f>
        <v>Lehigh</v>
      </c>
      <c r="B234" s="8" t="str">
        <f aca="false">'2026 Forecast A'!B216</f>
        <v>WHITEHALL</v>
      </c>
      <c r="C234" s="8" t="str">
        <f aca="false">'2026 Forecast A'!C216</f>
        <v>WHITEHALL 2ND DISTRICT</v>
      </c>
      <c r="D234" s="9" t="n">
        <f aca="false">'2026 Forecast A'!G216</f>
        <v>0.589201877934272</v>
      </c>
      <c r="E234" s="9" t="n">
        <f aca="false">'2026 Forecast B'!G216</f>
        <v>0.596244131455399</v>
      </c>
      <c r="F234" s="9" t="n">
        <f aca="false">'2026 Forecast C'!G216</f>
        <v>0.592233009708738</v>
      </c>
      <c r="G234" s="24" t="n">
        <f aca="false">(MAX(D234:F234)-MIN(D234:F234))*100</f>
        <v>0.704225352112675</v>
      </c>
      <c r="H234" s="24" t="n">
        <f aca="false">'2026 Forecast A'!J216</f>
        <v>3.25434931194355</v>
      </c>
      <c r="I234" s="24" t="n">
        <f aca="false">'2026 Forecast B'!J216</f>
        <v>3.09864730606258</v>
      </c>
      <c r="J234" s="24" t="n">
        <f aca="false">'2026 Forecast C'!J216</f>
        <v>3.7041269898902</v>
      </c>
      <c r="K234" s="25" t="n">
        <f aca="false">'2026 Forecast A'!F216</f>
        <v>426</v>
      </c>
      <c r="L234" s="26" t="str">
        <f aca="false">IF(OR(AND(D234&gt;0.5,E234&gt;0.5,F234&gt;0.5),AND(D234&lt;0.5,E234&lt;0.5,F234&lt;0.5)),"Yes","No — toss-up")</f>
        <v>Yes</v>
      </c>
    </row>
    <row r="235" customFormat="false" ht="15" hidden="false" customHeight="false" outlineLevel="0" collapsed="false">
      <c r="A235" s="8" t="str">
        <f aca="false">'2026 Forecast A'!A217</f>
        <v>Lehigh</v>
      </c>
      <c r="B235" s="8" t="str">
        <f aca="false">'2026 Forecast A'!B217</f>
        <v>WHITEHALL</v>
      </c>
      <c r="C235" s="8" t="str">
        <f aca="false">'2026 Forecast A'!C217</f>
        <v>WHITEHALL 3RD DISTRICT</v>
      </c>
      <c r="D235" s="9" t="n">
        <f aca="false">'2026 Forecast A'!G217</f>
        <v>0.634285714285714</v>
      </c>
      <c r="E235" s="9" t="n">
        <f aca="false">'2026 Forecast B'!G217</f>
        <v>0.637383177570093</v>
      </c>
      <c r="F235" s="9" t="n">
        <f aca="false">'2026 Forecast C'!G217</f>
        <v>0.635496183206107</v>
      </c>
      <c r="G235" s="24" t="n">
        <f aca="false">(MAX(D235:F235)-MIN(D235:F235))*100</f>
        <v>0.309746328437921</v>
      </c>
      <c r="H235" s="24" t="n">
        <f aca="false">'2026 Forecast A'!J217</f>
        <v>3.25434931194355</v>
      </c>
      <c r="I235" s="24" t="n">
        <f aca="false">'2026 Forecast B'!J217</f>
        <v>3.09864730606258</v>
      </c>
      <c r="J235" s="24" t="n">
        <f aca="false">'2026 Forecast C'!J217</f>
        <v>3.7041269898902</v>
      </c>
      <c r="K235" s="25" t="n">
        <f aca="false">'2026 Forecast A'!F217</f>
        <v>525</v>
      </c>
      <c r="L235" s="26" t="str">
        <f aca="false">IF(OR(AND(D235&gt;0.5,E235&gt;0.5,F235&gt;0.5),AND(D235&lt;0.5,E235&lt;0.5,F235&lt;0.5)),"Yes","No — toss-up")</f>
        <v>Yes</v>
      </c>
    </row>
    <row r="236" customFormat="false" ht="15" hidden="false" customHeight="false" outlineLevel="0" collapsed="false">
      <c r="A236" s="8" t="str">
        <f aca="false">'2026 Forecast A'!A218</f>
        <v>Lehigh</v>
      </c>
      <c r="B236" s="8" t="str">
        <f aca="false">'2026 Forecast A'!B218</f>
        <v>WHITEHALL</v>
      </c>
      <c r="C236" s="8" t="str">
        <f aca="false">'2026 Forecast A'!C218</f>
        <v>WHITEHALL 4TH DISTRICT</v>
      </c>
      <c r="D236" s="9" t="n">
        <f aca="false">'2026 Forecast A'!G218</f>
        <v>0.596</v>
      </c>
      <c r="E236" s="9" t="n">
        <f aca="false">'2026 Forecast B'!G218</f>
        <v>0.602377807133421</v>
      </c>
      <c r="F236" s="9" t="n">
        <f aca="false">'2026 Forecast C'!G218</f>
        <v>0.600554785020804</v>
      </c>
      <c r="G236" s="24" t="n">
        <f aca="false">(MAX(D236:F236)-MIN(D236:F236))*100</f>
        <v>0.63778071334214</v>
      </c>
      <c r="H236" s="24" t="n">
        <f aca="false">'2026 Forecast A'!J218</f>
        <v>3.25434931194355</v>
      </c>
      <c r="I236" s="24" t="n">
        <f aca="false">'2026 Forecast B'!J218</f>
        <v>3.09864730606258</v>
      </c>
      <c r="J236" s="24" t="n">
        <f aca="false">'2026 Forecast C'!J218</f>
        <v>3.7041269898902</v>
      </c>
      <c r="K236" s="25" t="n">
        <f aca="false">'2026 Forecast A'!F218</f>
        <v>750</v>
      </c>
      <c r="L236" s="26" t="str">
        <f aca="false">IF(OR(AND(D236&gt;0.5,E236&gt;0.5,F236&gt;0.5),AND(D236&lt;0.5,E236&lt;0.5,F236&lt;0.5)),"Yes","No — toss-up")</f>
        <v>Yes</v>
      </c>
    </row>
    <row r="237" customFormat="false" ht="15" hidden="false" customHeight="false" outlineLevel="0" collapsed="false">
      <c r="A237" s="8" t="str">
        <f aca="false">'2026 Forecast A'!A219</f>
        <v>Lehigh</v>
      </c>
      <c r="B237" s="8" t="str">
        <f aca="false">'2026 Forecast A'!B219</f>
        <v>WHITEHALL</v>
      </c>
      <c r="C237" s="8" t="str">
        <f aca="false">'2026 Forecast A'!C219</f>
        <v>WHITEHALL 5TH DISTRICT</v>
      </c>
      <c r="D237" s="9" t="n">
        <f aca="false">'2026 Forecast A'!G219</f>
        <v>0.526427061310782</v>
      </c>
      <c r="E237" s="9" t="n">
        <f aca="false">'2026 Forecast B'!G219</f>
        <v>0.532631578947369</v>
      </c>
      <c r="F237" s="9" t="n">
        <f aca="false">'2026 Forecast C'!G219</f>
        <v>0.524731182795699</v>
      </c>
      <c r="G237" s="24" t="n">
        <f aca="false">(MAX(D237:F237)-MIN(D237:F237))*100</f>
        <v>0.790039615166949</v>
      </c>
      <c r="H237" s="24" t="n">
        <f aca="false">'2026 Forecast A'!J219</f>
        <v>3.25434931194355</v>
      </c>
      <c r="I237" s="24" t="n">
        <f aca="false">'2026 Forecast B'!J219</f>
        <v>3.09864730606258</v>
      </c>
      <c r="J237" s="24" t="n">
        <f aca="false">'2026 Forecast C'!J219</f>
        <v>3.7041269898902</v>
      </c>
      <c r="K237" s="25" t="n">
        <f aca="false">'2026 Forecast A'!F219</f>
        <v>473</v>
      </c>
      <c r="L237" s="26" t="str">
        <f aca="false">IF(OR(AND(D237&gt;0.5,E237&gt;0.5,F237&gt;0.5),AND(D237&lt;0.5,E237&lt;0.5,F237&lt;0.5)),"Yes","No — toss-up")</f>
        <v>Yes</v>
      </c>
    </row>
    <row r="238" customFormat="false" ht="15" hidden="false" customHeight="false" outlineLevel="0" collapsed="false">
      <c r="A238" s="8" t="str">
        <f aca="false">'2026 Forecast A'!A220</f>
        <v>Lehigh</v>
      </c>
      <c r="B238" s="8" t="str">
        <f aca="false">'2026 Forecast A'!B220</f>
        <v>WHITEHALL</v>
      </c>
      <c r="C238" s="8" t="str">
        <f aca="false">'2026 Forecast A'!C220</f>
        <v>WHITEHALL 6TH DISTRICT</v>
      </c>
      <c r="D238" s="9" t="n">
        <f aca="false">'2026 Forecast A'!G220</f>
        <v>0.560190703218117</v>
      </c>
      <c r="E238" s="9" t="n">
        <f aca="false">'2026 Forecast B'!G220</f>
        <v>0.570238095238095</v>
      </c>
      <c r="F238" s="9" t="n">
        <f aca="false">'2026 Forecast C'!G220</f>
        <v>0.561660561660562</v>
      </c>
      <c r="G238" s="24" t="n">
        <f aca="false">(MAX(D238:F238)-MIN(D238:F238))*100</f>
        <v>1.00473920199784</v>
      </c>
      <c r="H238" s="24" t="n">
        <f aca="false">'2026 Forecast A'!J220</f>
        <v>1.85532414445586</v>
      </c>
      <c r="I238" s="24" t="n">
        <f aca="false">'2026 Forecast B'!J220</f>
        <v>2.0110742867014</v>
      </c>
      <c r="J238" s="24" t="n">
        <f aca="false">'2026 Forecast C'!J220</f>
        <v>2.12060277043418</v>
      </c>
      <c r="K238" s="25" t="n">
        <f aca="false">'2026 Forecast A'!F220</f>
        <v>839</v>
      </c>
      <c r="L238" s="26" t="str">
        <f aca="false">IF(OR(AND(D238&gt;0.5,E238&gt;0.5,F238&gt;0.5),AND(D238&lt;0.5,E238&lt;0.5,F238&lt;0.5)),"Yes","No — toss-up")</f>
        <v>Yes</v>
      </c>
    </row>
    <row r="239" customFormat="false" ht="15" hidden="false" customHeight="false" outlineLevel="0" collapsed="false">
      <c r="A239" s="8" t="str">
        <f aca="false">'2026 Forecast A'!A221</f>
        <v>Lehigh</v>
      </c>
      <c r="B239" s="8" t="str">
        <f aca="false">'2026 Forecast A'!B221</f>
        <v>WHITEHALL</v>
      </c>
      <c r="C239" s="8" t="str">
        <f aca="false">'2026 Forecast A'!C221</f>
        <v>WHITEHALL 7TH DISTRICT</v>
      </c>
      <c r="D239" s="9" t="n">
        <f aca="false">'2026 Forecast A'!G221</f>
        <v>0.52072192513369</v>
      </c>
      <c r="E239" s="9" t="n">
        <f aca="false">'2026 Forecast B'!G221</f>
        <v>0.526595744680851</v>
      </c>
      <c r="F239" s="9" t="n">
        <f aca="false">'2026 Forecast C'!G221</f>
        <v>0.520191649555099</v>
      </c>
      <c r="G239" s="24" t="n">
        <f aca="false">(MAX(D239:F239)-MIN(D239:F239))*100</f>
        <v>0.64040951257518</v>
      </c>
      <c r="H239" s="24" t="n">
        <f aca="false">'2026 Forecast A'!J221</f>
        <v>1.28585670084365</v>
      </c>
      <c r="I239" s="24" t="n">
        <f aca="false">'2026 Forecast B'!J221</f>
        <v>1.87006919874525</v>
      </c>
      <c r="J239" s="24" t="n">
        <f aca="false">'2026 Forecast C'!J221</f>
        <v>1.26135644325249</v>
      </c>
      <c r="K239" s="25" t="n">
        <f aca="false">'2026 Forecast A'!F221</f>
        <v>1496</v>
      </c>
      <c r="L239" s="26" t="str">
        <f aca="false">IF(OR(AND(D239&gt;0.5,E239&gt;0.5,F239&gt;0.5),AND(D239&lt;0.5,E239&lt;0.5,F239&lt;0.5)),"Yes","No — toss-up")</f>
        <v>Yes</v>
      </c>
    </row>
    <row r="240" customFormat="false" ht="15" hidden="false" customHeight="false" outlineLevel="0" collapsed="false">
      <c r="A240" s="8" t="str">
        <f aca="false">'2026 Forecast A'!A222</f>
        <v>Lehigh</v>
      </c>
      <c r="B240" s="8" t="str">
        <f aca="false">'2026 Forecast A'!B222</f>
        <v>WHITEHALL</v>
      </c>
      <c r="C240" s="8" t="str">
        <f aca="false">'2026 Forecast A'!C222</f>
        <v>WHITEHALL 8TH DISTRICT</v>
      </c>
      <c r="D240" s="9" t="n">
        <f aca="false">'2026 Forecast A'!G222</f>
        <v>0.541359541359541</v>
      </c>
      <c r="E240" s="9" t="n">
        <f aca="false">'2026 Forecast B'!G222</f>
        <v>0.549307253463733</v>
      </c>
      <c r="F240" s="9" t="n">
        <f aca="false">'2026 Forecast C'!G222</f>
        <v>0.541946308724832</v>
      </c>
      <c r="G240" s="24" t="n">
        <f aca="false">(MAX(D240:F240)-MIN(D240:F240))*100</f>
        <v>0.794771210419132</v>
      </c>
      <c r="H240" s="24" t="n">
        <f aca="false">'2026 Forecast A'!J222</f>
        <v>1.28585670084365</v>
      </c>
      <c r="I240" s="24" t="n">
        <f aca="false">'2026 Forecast B'!J222</f>
        <v>1.87006919874525</v>
      </c>
      <c r="J240" s="24" t="n">
        <f aca="false">'2026 Forecast C'!J222</f>
        <v>2.12060277043418</v>
      </c>
      <c r="K240" s="25" t="n">
        <f aca="false">'2026 Forecast A'!F222</f>
        <v>1221</v>
      </c>
      <c r="L240" s="26" t="str">
        <f aca="false">IF(OR(AND(D240&gt;0.5,E240&gt;0.5,F240&gt;0.5),AND(D240&lt;0.5,E240&lt;0.5,F240&lt;0.5)),"Yes","No — toss-up")</f>
        <v>Yes</v>
      </c>
    </row>
    <row r="241" customFormat="false" ht="15" hidden="false" customHeight="false" outlineLevel="0" collapsed="false">
      <c r="A241" s="8" t="str">
        <f aca="false">'2026 Forecast A'!A223</f>
        <v>Lehigh</v>
      </c>
      <c r="B241" s="8" t="str">
        <f aca="false">'2026 Forecast A'!B223</f>
        <v>WHITEHALL</v>
      </c>
      <c r="C241" s="8" t="str">
        <f aca="false">'2026 Forecast A'!C223</f>
        <v>WHITEHALL 9TH DISTRICT</v>
      </c>
      <c r="D241" s="9" t="n">
        <f aca="false">'2026 Forecast A'!G223</f>
        <v>0.556155507559395</v>
      </c>
      <c r="E241" s="9" t="n">
        <f aca="false">'2026 Forecast B'!G223</f>
        <v>0.564047362755651</v>
      </c>
      <c r="F241" s="9" t="n">
        <f aca="false">'2026 Forecast C'!G223</f>
        <v>0.557777777777778</v>
      </c>
      <c r="G241" s="24" t="n">
        <f aca="false">(MAX(D241:F241)-MIN(D241:F241))*100</f>
        <v>0.789185519625602</v>
      </c>
      <c r="H241" s="24" t="n">
        <f aca="false">'2026 Forecast A'!J223</f>
        <v>1.85532414445586</v>
      </c>
      <c r="I241" s="24" t="n">
        <f aca="false">'2026 Forecast B'!J223</f>
        <v>2.0110742867014</v>
      </c>
      <c r="J241" s="24" t="n">
        <f aca="false">'2026 Forecast C'!J223</f>
        <v>2.12060277043418</v>
      </c>
      <c r="K241" s="25" t="n">
        <f aca="false">'2026 Forecast A'!F223</f>
        <v>926</v>
      </c>
      <c r="L241" s="26" t="str">
        <f aca="false">IF(OR(AND(D241&gt;0.5,E241&gt;0.5,F241&gt;0.5),AND(D241&lt;0.5,E241&lt;0.5,F241&lt;0.5)),"Yes","No — toss-up")</f>
        <v>Yes</v>
      </c>
    </row>
    <row r="242" customFormat="false" ht="15" hidden="false" customHeight="false" outlineLevel="0" collapsed="false">
      <c r="A242" s="8" t="str">
        <f aca="false">'2026 Forecast A'!A224</f>
        <v>Monroe</v>
      </c>
      <c r="B242" s="8" t="str">
        <f aca="false">'2026 Forecast A'!B224</f>
        <v>ELDRED TOWNSHIP</v>
      </c>
      <c r="C242" s="8" t="str">
        <f aca="false">'2026 Forecast A'!C224</f>
        <v>ELDRED</v>
      </c>
      <c r="D242" s="9" t="n">
        <f aca="false">'2026 Forecast A'!G224</f>
        <v>0.348153730218538</v>
      </c>
      <c r="E242" s="9" t="n">
        <f aca="false">'2026 Forecast B'!G224</f>
        <v>0.349887133182844</v>
      </c>
      <c r="F242" s="9" t="n">
        <f aca="false">'2026 Forecast C'!G224</f>
        <v>0.338672768878719</v>
      </c>
      <c r="G242" s="24" t="n">
        <f aca="false">(MAX(D242:F242)-MIN(D242:F242))*100</f>
        <v>1.12143643041257</v>
      </c>
      <c r="H242" s="24" t="n">
        <f aca="false">'2026 Forecast A'!J224</f>
        <v>1.28585670084365</v>
      </c>
      <c r="I242" s="24" t="n">
        <f aca="false">'2026 Forecast B'!J224</f>
        <v>1.87006919874525</v>
      </c>
      <c r="J242" s="24" t="n">
        <f aca="false">'2026 Forecast C'!J224</f>
        <v>1.26135644325249</v>
      </c>
      <c r="K242" s="25" t="n">
        <f aca="false">'2026 Forecast A'!F224</f>
        <v>1327</v>
      </c>
      <c r="L242" s="26" t="str">
        <f aca="false">IF(OR(AND(D242&gt;0.5,E242&gt;0.5,F242&gt;0.5),AND(D242&lt;0.5,E242&lt;0.5,F242&lt;0.5)),"Yes","No — toss-up")</f>
        <v>Yes</v>
      </c>
    </row>
    <row r="243" customFormat="false" ht="15" hidden="false" customHeight="false" outlineLevel="0" collapsed="false">
      <c r="A243" s="8" t="str">
        <f aca="false">'2026 Forecast A'!A225</f>
        <v>Monroe</v>
      </c>
      <c r="B243" s="8" t="str">
        <f aca="false">'2026 Forecast A'!B225</f>
        <v>POLK TOWNSHIP</v>
      </c>
      <c r="C243" s="8" t="str">
        <f aca="false">'2026 Forecast A'!C225</f>
        <v>POLK</v>
      </c>
      <c r="D243" s="9" t="n">
        <f aca="false">'2026 Forecast A'!G225</f>
        <v>0.373574978076586</v>
      </c>
      <c r="E243" s="9" t="n">
        <f aca="false">'2026 Forecast B'!G225</f>
        <v>0.375584112149533</v>
      </c>
      <c r="F243" s="9" t="n">
        <f aca="false">'2026 Forecast C'!G225</f>
        <v>0.365911799761621</v>
      </c>
      <c r="G243" s="24" t="n">
        <f aca="false">(MAX(D243:F243)-MIN(D243:F243))*100</f>
        <v>0.967231238791172</v>
      </c>
      <c r="H243" s="24" t="n">
        <f aca="false">'2026 Forecast A'!J225</f>
        <v>1.28585670084365</v>
      </c>
      <c r="I243" s="24" t="n">
        <f aca="false">'2026 Forecast B'!J225</f>
        <v>1.87006919874525</v>
      </c>
      <c r="J243" s="24" t="n">
        <f aca="false">'2026 Forecast C'!J225</f>
        <v>1.26135644325249</v>
      </c>
      <c r="K243" s="25" t="n">
        <f aca="false">'2026 Forecast A'!F225</f>
        <v>3421</v>
      </c>
      <c r="L243" s="26" t="str">
        <f aca="false">IF(OR(AND(D243&gt;0.5,E243&gt;0.5,F243&gt;0.5),AND(D243&lt;0.5,E243&lt;0.5,F243&lt;0.5)),"Yes","No — toss-up")</f>
        <v>Yes</v>
      </c>
    </row>
    <row r="244" customFormat="false" ht="15" hidden="false" customHeight="false" outlineLevel="0" collapsed="false">
      <c r="A244" s="8" t="str">
        <f aca="false">'2026 Forecast A'!A226</f>
        <v>Monroe</v>
      </c>
      <c r="B244" s="8" t="str">
        <f aca="false">'2026 Forecast A'!B226</f>
        <v>ROSS TOWNSHIP</v>
      </c>
      <c r="C244" s="8" t="str">
        <f aca="false">'2026 Forecast A'!C226</f>
        <v>ROSS 1</v>
      </c>
      <c r="D244" s="9" t="n">
        <f aca="false">'2026 Forecast A'!G226</f>
        <v>0.3896</v>
      </c>
      <c r="E244" s="9" t="n">
        <f aca="false">'2026 Forecast B'!G226</f>
        <v>0.387869114126097</v>
      </c>
      <c r="F244" s="9" t="n">
        <f aca="false">'2026 Forecast C'!G226</f>
        <v>0.382686084142395</v>
      </c>
      <c r="G244" s="24" t="n">
        <f aca="false">(MAX(D244:F244)-MIN(D244:F244))*100</f>
        <v>0.69139158576052</v>
      </c>
      <c r="H244" s="24" t="n">
        <f aca="false">'2026 Forecast A'!J226</f>
        <v>1.28585670084365</v>
      </c>
      <c r="I244" s="24" t="n">
        <f aca="false">'2026 Forecast B'!J226</f>
        <v>1.87006919874525</v>
      </c>
      <c r="J244" s="24" t="n">
        <f aca="false">'2026 Forecast C'!J226</f>
        <v>1.26135644325249</v>
      </c>
      <c r="K244" s="25" t="n">
        <f aca="false">'2026 Forecast A'!F226</f>
        <v>1250</v>
      </c>
      <c r="L244" s="26" t="str">
        <f aca="false">IF(OR(AND(D244&gt;0.5,E244&gt;0.5,F244&gt;0.5),AND(D244&lt;0.5,E244&lt;0.5,F244&lt;0.5)),"Yes","No — toss-up")</f>
        <v>Yes</v>
      </c>
    </row>
    <row r="245" customFormat="false" ht="15" hidden="false" customHeight="false" outlineLevel="0" collapsed="false">
      <c r="A245" s="8" t="str">
        <f aca="false">'2026 Forecast A'!A227</f>
        <v>Northampton</v>
      </c>
      <c r="B245" s="8" t="str">
        <f aca="false">'2026 Forecast A'!B227</f>
        <v>ALLEN</v>
      </c>
      <c r="C245" s="8" t="str">
        <f aca="false">'2026 Forecast A'!C227</f>
        <v>ALLEN TWSP - NORTH</v>
      </c>
      <c r="D245" s="9" t="n">
        <f aca="false">'2026 Forecast A'!G227</f>
        <v>0.459038591740014</v>
      </c>
      <c r="E245" s="9" t="n">
        <f aca="false">'2026 Forecast B'!G227</f>
        <v>0.454790823211876</v>
      </c>
      <c r="F245" s="9" t="n">
        <f aca="false">'2026 Forecast C'!G227</f>
        <v>0.456536618754278</v>
      </c>
      <c r="G245" s="24" t="n">
        <f aca="false">(MAX(D245:F245)-MIN(D245:F245))*100</f>
        <v>0.424776852813769</v>
      </c>
      <c r="H245" s="24" t="n">
        <f aca="false">'2026 Forecast A'!J227</f>
        <v>1.28585670084365</v>
      </c>
      <c r="I245" s="24" t="n">
        <f aca="false">'2026 Forecast B'!J227</f>
        <v>1.87006919874525</v>
      </c>
      <c r="J245" s="24" t="n">
        <f aca="false">'2026 Forecast C'!J227</f>
        <v>1.26135644325249</v>
      </c>
      <c r="K245" s="25" t="n">
        <f aca="false">'2026 Forecast A'!F227</f>
        <v>1477</v>
      </c>
      <c r="L245" s="26" t="str">
        <f aca="false">IF(OR(AND(D245&gt;0.5,E245&gt;0.5,F245&gt;0.5),AND(D245&lt;0.5,E245&lt;0.5,F245&lt;0.5)),"Yes","No — toss-up")</f>
        <v>Yes</v>
      </c>
    </row>
    <row r="246" customFormat="false" ht="15" hidden="false" customHeight="false" outlineLevel="0" collapsed="false">
      <c r="A246" s="8" t="str">
        <f aca="false">'2026 Forecast A'!A228</f>
        <v>Northampton</v>
      </c>
      <c r="B246" s="8" t="str">
        <f aca="false">'2026 Forecast A'!B228</f>
        <v>ALLEN</v>
      </c>
      <c r="C246" s="8" t="str">
        <f aca="false">'2026 Forecast A'!C228</f>
        <v>ALLEN TWSP - SOUTH</v>
      </c>
      <c r="D246" s="9" t="n">
        <f aca="false">'2026 Forecast A'!G228</f>
        <v>0.514583333333333</v>
      </c>
      <c r="E246" s="9" t="n">
        <f aca="false">'2026 Forecast B'!G228</f>
        <v>0.509381514940931</v>
      </c>
      <c r="F246" s="9" t="n">
        <f aca="false">'2026 Forecast C'!G228</f>
        <v>0.513513513513514</v>
      </c>
      <c r="G246" s="24" t="n">
        <f aca="false">(MAX(D246:F246)-MIN(D246:F246))*100</f>
        <v>0.520181839240208</v>
      </c>
      <c r="H246" s="24" t="n">
        <f aca="false">'2026 Forecast A'!J228</f>
        <v>1.28585670084365</v>
      </c>
      <c r="I246" s="24" t="n">
        <f aca="false">'2026 Forecast B'!J228</f>
        <v>1.87006919874525</v>
      </c>
      <c r="J246" s="24" t="n">
        <f aca="false">'2026 Forecast C'!J228</f>
        <v>1.26135644325249</v>
      </c>
      <c r="K246" s="25" t="n">
        <f aca="false">'2026 Forecast A'!F228</f>
        <v>1440</v>
      </c>
      <c r="L246" s="26" t="str">
        <f aca="false">IF(OR(AND(D246&gt;0.5,E246&gt;0.5,F246&gt;0.5),AND(D246&lt;0.5,E246&lt;0.5,F246&lt;0.5)),"Yes","No — toss-up")</f>
        <v>Yes</v>
      </c>
    </row>
    <row r="247" customFormat="false" ht="15" hidden="false" customHeight="false" outlineLevel="0" collapsed="false">
      <c r="A247" s="8" t="str">
        <f aca="false">'2026 Forecast A'!A229</f>
        <v>Northampton</v>
      </c>
      <c r="B247" s="8" t="str">
        <f aca="false">'2026 Forecast A'!B229</f>
        <v>BANGOR</v>
      </c>
      <c r="C247" s="8" t="str">
        <f aca="false">'2026 Forecast A'!C229</f>
        <v>BANGOR BORO NORTH</v>
      </c>
      <c r="D247" s="9" t="n">
        <f aca="false">'2026 Forecast A'!G229</f>
        <v>0.438814531548757</v>
      </c>
      <c r="E247" s="9" t="n">
        <f aca="false">'2026 Forecast B'!G229</f>
        <v>0.435238095238095</v>
      </c>
      <c r="F247" s="9" t="n">
        <f aca="false">'2026 Forecast C'!G229</f>
        <v>0.435530085959885</v>
      </c>
      <c r="G247" s="24" t="n">
        <f aca="false">(MAX(D247:F247)-MIN(D247:F247))*100</f>
        <v>0.35764363106619</v>
      </c>
      <c r="H247" s="24" t="n">
        <f aca="false">'2026 Forecast A'!J229</f>
        <v>1.85532414445586</v>
      </c>
      <c r="I247" s="24" t="n">
        <f aca="false">'2026 Forecast B'!J229</f>
        <v>2.0110742867014</v>
      </c>
      <c r="J247" s="24" t="n">
        <f aca="false">'2026 Forecast C'!J229</f>
        <v>2.12060277043418</v>
      </c>
      <c r="K247" s="25" t="n">
        <f aca="false">'2026 Forecast A'!F229</f>
        <v>1046</v>
      </c>
      <c r="L247" s="26" t="str">
        <f aca="false">IF(OR(AND(D247&gt;0.5,E247&gt;0.5,F247&gt;0.5),AND(D247&lt;0.5,E247&lt;0.5,F247&lt;0.5)),"Yes","No — toss-up")</f>
        <v>Yes</v>
      </c>
    </row>
    <row r="248" customFormat="false" ht="15" hidden="false" customHeight="false" outlineLevel="0" collapsed="false">
      <c r="A248" s="8" t="str">
        <f aca="false">'2026 Forecast A'!A230</f>
        <v>Northampton</v>
      </c>
      <c r="B248" s="8" t="str">
        <f aca="false">'2026 Forecast A'!B230</f>
        <v>BANGOR</v>
      </c>
      <c r="C248" s="8" t="str">
        <f aca="false">'2026 Forecast A'!C230</f>
        <v>BANGOR BORO SOUTH</v>
      </c>
      <c r="D248" s="9" t="n">
        <f aca="false">'2026 Forecast A'!G230</f>
        <v>0.453654188948307</v>
      </c>
      <c r="E248" s="9" t="n">
        <f aca="false">'2026 Forecast B'!G230</f>
        <v>0.447321428571429</v>
      </c>
      <c r="F248" s="9" t="n">
        <f aca="false">'2026 Forecast C'!G230</f>
        <v>0.451871657754011</v>
      </c>
      <c r="G248" s="24" t="n">
        <f aca="false">(MAX(D248:F248)-MIN(D248:F248))*100</f>
        <v>0.633276037687802</v>
      </c>
      <c r="H248" s="24" t="n">
        <f aca="false">'2026 Forecast A'!J230</f>
        <v>1.85532414445586</v>
      </c>
      <c r="I248" s="24" t="n">
        <f aca="false">'2026 Forecast B'!J230</f>
        <v>2.0110742867014</v>
      </c>
      <c r="J248" s="24" t="n">
        <f aca="false">'2026 Forecast C'!J230</f>
        <v>2.12060277043418</v>
      </c>
      <c r="K248" s="25" t="n">
        <f aca="false">'2026 Forecast A'!F230</f>
        <v>1122</v>
      </c>
      <c r="L248" s="26" t="str">
        <f aca="false">IF(OR(AND(D248&gt;0.5,E248&gt;0.5,F248&gt;0.5),AND(D248&lt;0.5,E248&lt;0.5,F248&lt;0.5)),"Yes","No — toss-up")</f>
        <v>Yes</v>
      </c>
    </row>
    <row r="249" customFormat="false" ht="15" hidden="false" customHeight="false" outlineLevel="0" collapsed="false">
      <c r="A249" s="8" t="str">
        <f aca="false">'2026 Forecast A'!A231</f>
        <v>Northampton</v>
      </c>
      <c r="B249" s="8" t="str">
        <f aca="false">'2026 Forecast A'!B231</f>
        <v>BATH</v>
      </c>
      <c r="C249" s="8" t="str">
        <f aca="false">'2026 Forecast A'!C231</f>
        <v>BATH BORO</v>
      </c>
      <c r="D249" s="9" t="n">
        <f aca="false">'2026 Forecast A'!G231</f>
        <v>0.514953271028037</v>
      </c>
      <c r="E249" s="9" t="n">
        <f aca="false">'2026 Forecast B'!G231</f>
        <v>0.515320334261838</v>
      </c>
      <c r="F249" s="9" t="n">
        <f aca="false">'2026 Forecast C'!G231</f>
        <v>0.514124293785311</v>
      </c>
      <c r="G249" s="24" t="n">
        <f aca="false">(MAX(D249:F249)-MIN(D249:F249))*100</f>
        <v>0.119604047652766</v>
      </c>
      <c r="H249" s="24" t="n">
        <f aca="false">'2026 Forecast A'!J231</f>
        <v>1.85532414445586</v>
      </c>
      <c r="I249" s="24" t="n">
        <f aca="false">'2026 Forecast B'!J231</f>
        <v>2.0110742867014</v>
      </c>
      <c r="J249" s="24" t="n">
        <f aca="false">'2026 Forecast C'!J231</f>
        <v>2.12060277043418</v>
      </c>
      <c r="K249" s="25" t="n">
        <f aca="false">'2026 Forecast A'!F231</f>
        <v>1070</v>
      </c>
      <c r="L249" s="26" t="str">
        <f aca="false">IF(OR(AND(D249&gt;0.5,E249&gt;0.5,F249&gt;0.5),AND(D249&lt;0.5,E249&lt;0.5,F249&lt;0.5)),"Yes","No — toss-up")</f>
        <v>Yes</v>
      </c>
    </row>
    <row r="250" customFormat="false" ht="15" hidden="false" customHeight="false" outlineLevel="0" collapsed="false">
      <c r="A250" s="8" t="str">
        <f aca="false">'2026 Forecast A'!A232</f>
        <v>Northampton</v>
      </c>
      <c r="B250" s="8" t="str">
        <f aca="false">'2026 Forecast A'!B232</f>
        <v>BETHLEHEM</v>
      </c>
      <c r="C250" s="8" t="str">
        <f aca="false">'2026 Forecast A'!C232</f>
        <v>BETHLEHEM 14TH WARD 1ST DISTRICT</v>
      </c>
      <c r="D250" s="9" t="n">
        <f aca="false">'2026 Forecast A'!G232</f>
        <v>0.670233463035019</v>
      </c>
      <c r="E250" s="9" t="n">
        <f aca="false">'2026 Forecast B'!G232</f>
        <v>0.660487804878049</v>
      </c>
      <c r="F250" s="9" t="n">
        <f aca="false">'2026 Forecast C'!G232</f>
        <v>0.675196850393701</v>
      </c>
      <c r="G250" s="24" t="n">
        <f aca="false">(MAX(D250:F250)-MIN(D250:F250))*100</f>
        <v>1.4709045515652</v>
      </c>
      <c r="H250" s="24" t="n">
        <f aca="false">'2026 Forecast A'!J232</f>
        <v>1.85532414445586</v>
      </c>
      <c r="I250" s="24" t="n">
        <f aca="false">'2026 Forecast B'!J232</f>
        <v>2.0110742867014</v>
      </c>
      <c r="J250" s="24" t="n">
        <f aca="false">'2026 Forecast C'!J232</f>
        <v>2.12060277043418</v>
      </c>
      <c r="K250" s="25" t="n">
        <f aca="false">'2026 Forecast A'!F232</f>
        <v>1028</v>
      </c>
      <c r="L250" s="26" t="str">
        <f aca="false">IF(OR(AND(D250&gt;0.5,E250&gt;0.5,F250&gt;0.5),AND(D250&lt;0.5,E250&lt;0.5,F250&lt;0.5)),"Yes","No — toss-up")</f>
        <v>Yes</v>
      </c>
    </row>
    <row r="251" customFormat="false" ht="15" hidden="false" customHeight="false" outlineLevel="0" collapsed="false">
      <c r="A251" s="8" t="str">
        <f aca="false">'2026 Forecast A'!A233</f>
        <v>Northampton</v>
      </c>
      <c r="B251" s="8" t="str">
        <f aca="false">'2026 Forecast A'!B233</f>
        <v>BETHLEHEM</v>
      </c>
      <c r="C251" s="8" t="str">
        <f aca="false">'2026 Forecast A'!C233</f>
        <v>BETHLEHEM 14TH WARD 2ND DISTRICT</v>
      </c>
      <c r="D251" s="9" t="n">
        <f aca="false">'2026 Forecast A'!G233</f>
        <v>0.631788079470199</v>
      </c>
      <c r="E251" s="9" t="n">
        <f aca="false">'2026 Forecast B'!G233</f>
        <v>0.630881378396289</v>
      </c>
      <c r="F251" s="9" t="n">
        <f aca="false">'2026 Forecast C'!G233</f>
        <v>0.639112903225807</v>
      </c>
      <c r="G251" s="24" t="n">
        <f aca="false">(MAX(D251:F251)-MIN(D251:F251))*100</f>
        <v>0.823152482951761</v>
      </c>
      <c r="H251" s="24" t="n">
        <f aca="false">'2026 Forecast A'!J233</f>
        <v>1.28585670084365</v>
      </c>
      <c r="I251" s="24" t="n">
        <f aca="false">'2026 Forecast B'!J233</f>
        <v>1.87006919874525</v>
      </c>
      <c r="J251" s="24" t="n">
        <f aca="false">'2026 Forecast C'!J233</f>
        <v>1.26135644325249</v>
      </c>
      <c r="K251" s="25" t="n">
        <f aca="false">'2026 Forecast A'!F233</f>
        <v>1510</v>
      </c>
      <c r="L251" s="26" t="str">
        <f aca="false">IF(OR(AND(D251&gt;0.5,E251&gt;0.5,F251&gt;0.5),AND(D251&lt;0.5,E251&lt;0.5,F251&lt;0.5)),"Yes","No — toss-up")</f>
        <v>Yes</v>
      </c>
    </row>
    <row r="252" customFormat="false" ht="15" hidden="false" customHeight="false" outlineLevel="0" collapsed="false">
      <c r="A252" s="8" t="str">
        <f aca="false">'2026 Forecast A'!A234</f>
        <v>Northampton</v>
      </c>
      <c r="B252" s="8" t="str">
        <f aca="false">'2026 Forecast A'!B234</f>
        <v>BETHLEHEM</v>
      </c>
      <c r="C252" s="8" t="str">
        <f aca="false">'2026 Forecast A'!C234</f>
        <v>BETHLEHEM 14TH WARD 3RD DISTRICT</v>
      </c>
      <c r="D252" s="9" t="n">
        <f aca="false">'2026 Forecast A'!G234</f>
        <v>0.685540950455005</v>
      </c>
      <c r="E252" s="9" t="n">
        <f aca="false">'2026 Forecast B'!G234</f>
        <v>0.671732522796353</v>
      </c>
      <c r="F252" s="9" t="n">
        <f aca="false">'2026 Forecast C'!G234</f>
        <v>0.69120654396728</v>
      </c>
      <c r="G252" s="24" t="n">
        <f aca="false">(MAX(D252:F252)-MIN(D252:F252))*100</f>
        <v>1.94740211709277</v>
      </c>
      <c r="H252" s="24" t="n">
        <f aca="false">'2026 Forecast A'!J234</f>
        <v>1.85532414445586</v>
      </c>
      <c r="I252" s="24" t="n">
        <f aca="false">'2026 Forecast B'!J234</f>
        <v>2.0110742867014</v>
      </c>
      <c r="J252" s="24" t="n">
        <f aca="false">'2026 Forecast C'!J234</f>
        <v>2.12060277043418</v>
      </c>
      <c r="K252" s="25" t="n">
        <f aca="false">'2026 Forecast A'!F234</f>
        <v>989</v>
      </c>
      <c r="L252" s="26" t="str">
        <f aca="false">IF(OR(AND(D252&gt;0.5,E252&gt;0.5,F252&gt;0.5),AND(D252&lt;0.5,E252&lt;0.5,F252&lt;0.5)),"Yes","No — toss-up")</f>
        <v>Yes</v>
      </c>
    </row>
    <row r="253" customFormat="false" ht="15" hidden="false" customHeight="false" outlineLevel="0" collapsed="false">
      <c r="A253" s="8" t="str">
        <f aca="false">'2026 Forecast A'!A235</f>
        <v>Northampton</v>
      </c>
      <c r="B253" s="8" t="str">
        <f aca="false">'2026 Forecast A'!B235</f>
        <v>BETHLEHEM</v>
      </c>
      <c r="C253" s="8" t="str">
        <f aca="false">'2026 Forecast A'!C235</f>
        <v>BETHLEHEM 14TH WARD 4TH DISTRICT</v>
      </c>
      <c r="D253" s="9" t="n">
        <f aca="false">'2026 Forecast A'!G235</f>
        <v>0.675496688741722</v>
      </c>
      <c r="E253" s="9" t="n">
        <f aca="false">'2026 Forecast B'!G235</f>
        <v>0.6684350132626</v>
      </c>
      <c r="F253" s="9" t="n">
        <f aca="false">'2026 Forecast C'!G235</f>
        <v>0.680851063829787</v>
      </c>
      <c r="G253" s="24" t="n">
        <f aca="false">(MAX(D253:F253)-MIN(D253:F253))*100</f>
        <v>1.24160505671878</v>
      </c>
      <c r="H253" s="24" t="n">
        <f aca="false">'2026 Forecast A'!J235</f>
        <v>3.25434931194355</v>
      </c>
      <c r="I253" s="24" t="n">
        <f aca="false">'2026 Forecast B'!J235</f>
        <v>3.09864730606258</v>
      </c>
      <c r="J253" s="24" t="n">
        <f aca="false">'2026 Forecast C'!J235</f>
        <v>3.7041269898902</v>
      </c>
      <c r="K253" s="25" t="n">
        <f aca="false">'2026 Forecast A'!F235</f>
        <v>755</v>
      </c>
      <c r="L253" s="26" t="str">
        <f aca="false">IF(OR(AND(D253&gt;0.5,E253&gt;0.5,F253&gt;0.5),AND(D253&lt;0.5,E253&lt;0.5,F253&lt;0.5)),"Yes","No — toss-up")</f>
        <v>Yes</v>
      </c>
    </row>
    <row r="254" customFormat="false" ht="15" hidden="false" customHeight="false" outlineLevel="0" collapsed="false">
      <c r="A254" s="8" t="str">
        <f aca="false">'2026 Forecast A'!A236</f>
        <v>Northampton</v>
      </c>
      <c r="B254" s="8" t="str">
        <f aca="false">'2026 Forecast A'!B236</f>
        <v>BETHLEHEM</v>
      </c>
      <c r="C254" s="8" t="str">
        <f aca="false">'2026 Forecast A'!C236</f>
        <v>BETHLEHEM 14TH WARD 5TH DISTRICT</v>
      </c>
      <c r="D254" s="9" t="n">
        <f aca="false">'2026 Forecast A'!G236</f>
        <v>0.643410852713178</v>
      </c>
      <c r="E254" s="9" t="n">
        <f aca="false">'2026 Forecast B'!G236</f>
        <v>0.65009746588694</v>
      </c>
      <c r="F254" s="9" t="n">
        <f aca="false">'2026 Forecast C'!G236</f>
        <v>0.646365422396857</v>
      </c>
      <c r="G254" s="24" t="n">
        <f aca="false">(MAX(D254:F254)-MIN(D254:F254))*100</f>
        <v>0.668661317376129</v>
      </c>
      <c r="H254" s="24" t="n">
        <f aca="false">'2026 Forecast A'!J236</f>
        <v>1.85532414445586</v>
      </c>
      <c r="I254" s="24" t="n">
        <f aca="false">'2026 Forecast B'!J236</f>
        <v>2.0110742867014</v>
      </c>
      <c r="J254" s="24" t="n">
        <f aca="false">'2026 Forecast C'!J236</f>
        <v>2.12060277043418</v>
      </c>
      <c r="K254" s="25" t="n">
        <f aca="false">'2026 Forecast A'!F236</f>
        <v>1032</v>
      </c>
      <c r="L254" s="26" t="str">
        <f aca="false">IF(OR(AND(D254&gt;0.5,E254&gt;0.5,F254&gt;0.5),AND(D254&lt;0.5,E254&lt;0.5,F254&lt;0.5)),"Yes","No — toss-up")</f>
        <v>Yes</v>
      </c>
    </row>
    <row r="255" customFormat="false" ht="15" hidden="false" customHeight="false" outlineLevel="0" collapsed="false">
      <c r="A255" s="8" t="str">
        <f aca="false">'2026 Forecast A'!A237</f>
        <v>Northampton</v>
      </c>
      <c r="B255" s="8" t="str">
        <f aca="false">'2026 Forecast A'!B237</f>
        <v>BETHLEHEM</v>
      </c>
      <c r="C255" s="8" t="str">
        <f aca="false">'2026 Forecast A'!C237</f>
        <v>BETHLEHEM 14TH WARD 6TH DISTRICT</v>
      </c>
      <c r="D255" s="9" t="n">
        <f aca="false">'2026 Forecast A'!G237</f>
        <v>0.665056360708535</v>
      </c>
      <c r="E255" s="9" t="n">
        <f aca="false">'2026 Forecast B'!G237</f>
        <v>0.66131621187801</v>
      </c>
      <c r="F255" s="9" t="n">
        <f aca="false">'2026 Forecast C'!G237</f>
        <v>0.66936790923825</v>
      </c>
      <c r="G255" s="24" t="n">
        <f aca="false">(MAX(D255:F255)-MIN(D255:F255))*100</f>
        <v>0.805169736024003</v>
      </c>
      <c r="H255" s="24" t="n">
        <f aca="false">'2026 Forecast A'!J237</f>
        <v>1.28585670084365</v>
      </c>
      <c r="I255" s="24" t="n">
        <f aca="false">'2026 Forecast B'!J237</f>
        <v>1.87006919874525</v>
      </c>
      <c r="J255" s="24" t="n">
        <f aca="false">'2026 Forecast C'!J237</f>
        <v>1.26135644325249</v>
      </c>
      <c r="K255" s="25" t="n">
        <f aca="false">'2026 Forecast A'!F237</f>
        <v>1242</v>
      </c>
      <c r="L255" s="26" t="str">
        <f aca="false">IF(OR(AND(D255&gt;0.5,E255&gt;0.5,F255&gt;0.5),AND(D255&lt;0.5,E255&lt;0.5,F255&lt;0.5)),"Yes","No — toss-up")</f>
        <v>Yes</v>
      </c>
    </row>
    <row r="256" customFormat="false" ht="15" hidden="false" customHeight="false" outlineLevel="0" collapsed="false">
      <c r="A256" s="8" t="str">
        <f aca="false">'2026 Forecast A'!A238</f>
        <v>Northampton</v>
      </c>
      <c r="B256" s="8" t="str">
        <f aca="false">'2026 Forecast A'!B238</f>
        <v>BETHLEHEM</v>
      </c>
      <c r="C256" s="8" t="str">
        <f aca="false">'2026 Forecast A'!C238</f>
        <v>BETHLEHEM 14TH WARD 7TH DISTRICT</v>
      </c>
      <c r="D256" s="9" t="n">
        <f aca="false">'2026 Forecast A'!G238</f>
        <v>0.619834710743802</v>
      </c>
      <c r="E256" s="9" t="n">
        <f aca="false">'2026 Forecast B'!G238</f>
        <v>0.625</v>
      </c>
      <c r="F256" s="9" t="n">
        <f aca="false">'2026 Forecast C'!G238</f>
        <v>0.625</v>
      </c>
      <c r="G256" s="24" t="n">
        <f aca="false">(MAX(D256:F256)-MIN(D256:F256))*100</f>
        <v>0.51652892561983</v>
      </c>
      <c r="H256" s="24" t="n">
        <f aca="false">'2026 Forecast A'!J238</f>
        <v>1.85532414445586</v>
      </c>
      <c r="I256" s="24" t="n">
        <f aca="false">'2026 Forecast B'!J238</f>
        <v>2.0110742867014</v>
      </c>
      <c r="J256" s="24" t="n">
        <f aca="false">'2026 Forecast C'!J238</f>
        <v>2.12060277043418</v>
      </c>
      <c r="K256" s="25" t="n">
        <f aca="false">'2026 Forecast A'!F238</f>
        <v>1089</v>
      </c>
      <c r="L256" s="26" t="str">
        <f aca="false">IF(OR(AND(D256&gt;0.5,E256&gt;0.5,F256&gt;0.5),AND(D256&lt;0.5,E256&lt;0.5,F256&lt;0.5)),"Yes","No — toss-up")</f>
        <v>Yes</v>
      </c>
    </row>
    <row r="257" customFormat="false" ht="15" hidden="false" customHeight="false" outlineLevel="0" collapsed="false">
      <c r="A257" s="8" t="str">
        <f aca="false">'2026 Forecast A'!A239</f>
        <v>Northampton</v>
      </c>
      <c r="B257" s="8" t="str">
        <f aca="false">'2026 Forecast A'!B239</f>
        <v>BETHLEHEM</v>
      </c>
      <c r="C257" s="8" t="str">
        <f aca="false">'2026 Forecast A'!C239</f>
        <v>BETHLEHEM 14TH WARD 8TH DISTRICT</v>
      </c>
      <c r="D257" s="9" t="n">
        <f aca="false">'2026 Forecast A'!G239</f>
        <v>0.677027027027027</v>
      </c>
      <c r="E257" s="9" t="n">
        <f aca="false">'2026 Forecast B'!G239</f>
        <v>0.667119565217391</v>
      </c>
      <c r="F257" s="9" t="n">
        <f aca="false">'2026 Forecast C'!G239</f>
        <v>0.684065934065934</v>
      </c>
      <c r="G257" s="24" t="n">
        <f aca="false">(MAX(D257:F257)-MIN(D257:F257))*100</f>
        <v>1.69463688485427</v>
      </c>
      <c r="H257" s="24" t="n">
        <f aca="false">'2026 Forecast A'!J239</f>
        <v>3.25434931194355</v>
      </c>
      <c r="I257" s="24" t="n">
        <f aca="false">'2026 Forecast B'!J239</f>
        <v>3.09864730606258</v>
      </c>
      <c r="J257" s="24" t="n">
        <f aca="false">'2026 Forecast C'!J239</f>
        <v>3.7041269898902</v>
      </c>
      <c r="K257" s="25" t="n">
        <f aca="false">'2026 Forecast A'!F239</f>
        <v>740</v>
      </c>
      <c r="L257" s="26" t="str">
        <f aca="false">IF(OR(AND(D257&gt;0.5,E257&gt;0.5,F257&gt;0.5),AND(D257&lt;0.5,E257&lt;0.5,F257&lt;0.5)),"Yes","No — toss-up")</f>
        <v>Yes</v>
      </c>
    </row>
    <row r="258" customFormat="false" ht="15" hidden="false" customHeight="false" outlineLevel="0" collapsed="false">
      <c r="A258" s="8" t="str">
        <f aca="false">'2026 Forecast A'!A240</f>
        <v>Northampton</v>
      </c>
      <c r="B258" s="8" t="str">
        <f aca="false">'2026 Forecast A'!B240</f>
        <v>BETHLEHEM</v>
      </c>
      <c r="C258" s="8" t="str">
        <f aca="false">'2026 Forecast A'!C240</f>
        <v>BETHLEHEM 15TH WARD 1ST DISTRICT</v>
      </c>
      <c r="D258" s="9" t="n">
        <f aca="false">'2026 Forecast A'!G240</f>
        <v>0.704241071428571</v>
      </c>
      <c r="E258" s="9" t="n">
        <f aca="false">'2026 Forecast B'!G240</f>
        <v>0.697309417040359</v>
      </c>
      <c r="F258" s="9" t="n">
        <f aca="false">'2026 Forecast C'!G240</f>
        <v>0.710407239819005</v>
      </c>
      <c r="G258" s="24" t="n">
        <f aca="false">(MAX(D258:F258)-MIN(D258:F258))*100</f>
        <v>1.30978227786458</v>
      </c>
      <c r="H258" s="24" t="n">
        <f aca="false">'2026 Forecast A'!J240</f>
        <v>1.85532414445586</v>
      </c>
      <c r="I258" s="24" t="n">
        <f aca="false">'2026 Forecast B'!J240</f>
        <v>2.0110742867014</v>
      </c>
      <c r="J258" s="24" t="n">
        <f aca="false">'2026 Forecast C'!J240</f>
        <v>2.12060277043418</v>
      </c>
      <c r="K258" s="25" t="n">
        <f aca="false">'2026 Forecast A'!F240</f>
        <v>896</v>
      </c>
      <c r="L258" s="26" t="str">
        <f aca="false">IF(OR(AND(D258&gt;0.5,E258&gt;0.5,F258&gt;0.5),AND(D258&lt;0.5,E258&lt;0.5,F258&lt;0.5)),"Yes","No — toss-up")</f>
        <v>Yes</v>
      </c>
    </row>
    <row r="259" customFormat="false" ht="15" hidden="false" customHeight="false" outlineLevel="0" collapsed="false">
      <c r="A259" s="8" t="str">
        <f aca="false">'2026 Forecast A'!A241</f>
        <v>Northampton</v>
      </c>
      <c r="B259" s="8" t="str">
        <f aca="false">'2026 Forecast A'!B241</f>
        <v>BETHLEHEM</v>
      </c>
      <c r="C259" s="8" t="str">
        <f aca="false">'2026 Forecast A'!C241</f>
        <v>BETHLEHEM 15TH WARD 2ND DISTRICT</v>
      </c>
      <c r="D259" s="9" t="n">
        <f aca="false">'2026 Forecast A'!G241</f>
        <v>0.651553316540722</v>
      </c>
      <c r="E259" s="9" t="n">
        <f aca="false">'2026 Forecast B'!G241</f>
        <v>0.654499151103565</v>
      </c>
      <c r="F259" s="9" t="n">
        <f aca="false">'2026 Forecast C'!G241</f>
        <v>0.656116338751069</v>
      </c>
      <c r="G259" s="24" t="n">
        <f aca="false">(MAX(D259:F259)-MIN(D259:F259))*100</f>
        <v>0.456302221034721</v>
      </c>
      <c r="H259" s="24" t="n">
        <f aca="false">'2026 Forecast A'!J241</f>
        <v>1.85532414445586</v>
      </c>
      <c r="I259" s="24" t="n">
        <f aca="false">'2026 Forecast B'!J241</f>
        <v>2.0110742867014</v>
      </c>
      <c r="J259" s="24" t="n">
        <f aca="false">'2026 Forecast C'!J241</f>
        <v>2.12060277043418</v>
      </c>
      <c r="K259" s="25" t="n">
        <f aca="false">'2026 Forecast A'!F241</f>
        <v>1191</v>
      </c>
      <c r="L259" s="26" t="str">
        <f aca="false">IF(OR(AND(D259&gt;0.5,E259&gt;0.5,F259&gt;0.5),AND(D259&lt;0.5,E259&lt;0.5,F259&lt;0.5)),"Yes","No — toss-up")</f>
        <v>Yes</v>
      </c>
    </row>
    <row r="260" customFormat="false" ht="15" hidden="false" customHeight="false" outlineLevel="0" collapsed="false">
      <c r="A260" s="8" t="str">
        <f aca="false">'2026 Forecast A'!A242</f>
        <v>Northampton</v>
      </c>
      <c r="B260" s="8" t="str">
        <f aca="false">'2026 Forecast A'!B242</f>
        <v>BETHLEHEM</v>
      </c>
      <c r="C260" s="8" t="str">
        <f aca="false">'2026 Forecast A'!C242</f>
        <v>BETHLEHEM 15TH WARD 3RD DISTRICT</v>
      </c>
      <c r="D260" s="9" t="n">
        <f aca="false">'2026 Forecast A'!G242</f>
        <v>0.714285714285714</v>
      </c>
      <c r="E260" s="9" t="n">
        <f aca="false">'2026 Forecast B'!G242</f>
        <v>0.726574500768049</v>
      </c>
      <c r="F260" s="9" t="n">
        <f aca="false">'2026 Forecast C'!G242</f>
        <v>0.720289855072464</v>
      </c>
      <c r="G260" s="24" t="n">
        <f aca="false">(MAX(D260:F260)-MIN(D260:F260))*100</f>
        <v>1.22887864823349</v>
      </c>
      <c r="H260" s="24" t="n">
        <f aca="false">'2026 Forecast A'!J242</f>
        <v>3.25434931194355</v>
      </c>
      <c r="I260" s="24" t="n">
        <f aca="false">'2026 Forecast B'!J242</f>
        <v>3.09864730606258</v>
      </c>
      <c r="J260" s="24" t="n">
        <f aca="false">'2026 Forecast C'!J242</f>
        <v>3.7041269898902</v>
      </c>
      <c r="K260" s="25" t="n">
        <f aca="false">'2026 Forecast A'!F242</f>
        <v>651</v>
      </c>
      <c r="L260" s="26" t="str">
        <f aca="false">IF(OR(AND(D260&gt;0.5,E260&gt;0.5,F260&gt;0.5),AND(D260&lt;0.5,E260&lt;0.5,F260&lt;0.5)),"Yes","No — toss-up")</f>
        <v>Yes</v>
      </c>
    </row>
    <row r="261" customFormat="false" ht="15" hidden="false" customHeight="false" outlineLevel="0" collapsed="false">
      <c r="A261" s="8" t="str">
        <f aca="false">'2026 Forecast A'!A243</f>
        <v>Northampton</v>
      </c>
      <c r="B261" s="8" t="str">
        <f aca="false">'2026 Forecast A'!B243</f>
        <v>BETHLEHEM</v>
      </c>
      <c r="C261" s="8" t="str">
        <f aca="false">'2026 Forecast A'!C243</f>
        <v>BETHLEHEM 16TH WARD</v>
      </c>
      <c r="D261" s="9" t="n">
        <f aca="false">'2026 Forecast A'!G243</f>
        <v>0.656599552572707</v>
      </c>
      <c r="E261" s="9" t="n">
        <f aca="false">'2026 Forecast B'!G243</f>
        <v>0.658454647256439</v>
      </c>
      <c r="F261" s="9" t="n">
        <f aca="false">'2026 Forecast C'!G243</f>
        <v>0.66331096196868</v>
      </c>
      <c r="G261" s="24" t="n">
        <f aca="false">(MAX(D261:F261)-MIN(D261:F261))*100</f>
        <v>0.671140939597315</v>
      </c>
      <c r="H261" s="24" t="n">
        <f aca="false">'2026 Forecast A'!J243</f>
        <v>1.85532414445586</v>
      </c>
      <c r="I261" s="24" t="n">
        <f aca="false">'2026 Forecast B'!J243</f>
        <v>2.0110742867014</v>
      </c>
      <c r="J261" s="24" t="n">
        <f aca="false">'2026 Forecast C'!J243</f>
        <v>2.12060277043418</v>
      </c>
      <c r="K261" s="25" t="n">
        <f aca="false">'2026 Forecast A'!F243</f>
        <v>894</v>
      </c>
      <c r="L261" s="26" t="str">
        <f aca="false">IF(OR(AND(D261&gt;0.5,E261&gt;0.5,F261&gt;0.5),AND(D261&lt;0.5,E261&lt;0.5,F261&lt;0.5)),"Yes","No — toss-up")</f>
        <v>Yes</v>
      </c>
    </row>
    <row r="262" customFormat="false" ht="15" hidden="false" customHeight="false" outlineLevel="0" collapsed="false">
      <c r="A262" s="8" t="str">
        <f aca="false">'2026 Forecast A'!A244</f>
        <v>Northampton</v>
      </c>
      <c r="B262" s="8" t="str">
        <f aca="false">'2026 Forecast A'!B244</f>
        <v>BETHLEHEM</v>
      </c>
      <c r="C262" s="8" t="str">
        <f aca="false">'2026 Forecast A'!C244</f>
        <v>BETHLEHEM 17TH WARD</v>
      </c>
      <c r="D262" s="9" t="n">
        <f aca="false">'2026 Forecast A'!G244</f>
        <v>0.735135135135135</v>
      </c>
      <c r="E262" s="9" t="n">
        <f aca="false">'2026 Forecast B'!G244</f>
        <v>0.737967914438503</v>
      </c>
      <c r="F262" s="9" t="n">
        <f aca="false">'2026 Forecast C'!G244</f>
        <v>0.737373737373737</v>
      </c>
      <c r="G262" s="24" t="n">
        <f aca="false">(MAX(D262:F262)-MIN(D262:F262))*100</f>
        <v>0.283277930336745</v>
      </c>
      <c r="H262" s="24" t="n">
        <f aca="false">'2026 Forecast A'!J244</f>
        <v>3.25434931194355</v>
      </c>
      <c r="I262" s="24" t="n">
        <f aca="false">'2026 Forecast B'!J244</f>
        <v>3.09864730606258</v>
      </c>
      <c r="J262" s="24" t="n">
        <f aca="false">'2026 Forecast C'!J244</f>
        <v>3.7041269898902</v>
      </c>
      <c r="K262" s="25" t="n">
        <f aca="false">'2026 Forecast A'!F244</f>
        <v>185</v>
      </c>
      <c r="L262" s="26" t="str">
        <f aca="false">IF(OR(AND(D262&gt;0.5,E262&gt;0.5,F262&gt;0.5),AND(D262&lt;0.5,E262&lt;0.5,F262&lt;0.5)),"Yes","No — toss-up")</f>
        <v>Yes</v>
      </c>
    </row>
    <row r="263" customFormat="false" ht="15" hidden="false" customHeight="false" outlineLevel="0" collapsed="false">
      <c r="A263" s="8" t="str">
        <f aca="false">'2026 Forecast A'!A245</f>
        <v>Northampton</v>
      </c>
      <c r="B263" s="8" t="str">
        <f aca="false">'2026 Forecast A'!B245</f>
        <v>BETHLEHEM</v>
      </c>
      <c r="C263" s="8" t="str">
        <f aca="false">'2026 Forecast A'!C245</f>
        <v>BETHLEHEM 1ST WARD - NORTHERN</v>
      </c>
      <c r="D263" s="9" t="n">
        <f aca="false">'2026 Forecast A'!G245</f>
        <v>0.751898734177215</v>
      </c>
      <c r="E263" s="9" t="n">
        <f aca="false">'2026 Forecast B'!G245</f>
        <v>0.760705289672544</v>
      </c>
      <c r="F263" s="9" t="n">
        <f aca="false">'2026 Forecast C'!G245</f>
        <v>0.759615384615385</v>
      </c>
      <c r="G263" s="24" t="n">
        <f aca="false">(MAX(D263:F263)-MIN(D263:F263))*100</f>
        <v>0.880655549532883</v>
      </c>
      <c r="H263" s="24" t="n">
        <f aca="false">'2026 Forecast A'!J245</f>
        <v>3.25434931194355</v>
      </c>
      <c r="I263" s="24" t="n">
        <f aca="false">'2026 Forecast B'!J245</f>
        <v>3.09864730606258</v>
      </c>
      <c r="J263" s="24" t="n">
        <f aca="false">'2026 Forecast C'!J245</f>
        <v>3.7041269898902</v>
      </c>
      <c r="K263" s="25" t="n">
        <f aca="false">'2026 Forecast A'!F245</f>
        <v>395</v>
      </c>
      <c r="L263" s="26" t="str">
        <f aca="false">IF(OR(AND(D263&gt;0.5,E263&gt;0.5,F263&gt;0.5),AND(D263&lt;0.5,E263&lt;0.5,F263&lt;0.5)),"Yes","No — toss-up")</f>
        <v>Yes</v>
      </c>
    </row>
    <row r="264" customFormat="false" ht="15" hidden="false" customHeight="false" outlineLevel="0" collapsed="false">
      <c r="A264" s="8" t="str">
        <f aca="false">'2026 Forecast A'!A246</f>
        <v>Northampton</v>
      </c>
      <c r="B264" s="8" t="str">
        <f aca="false">'2026 Forecast A'!B246</f>
        <v>BETHLEHEM</v>
      </c>
      <c r="C264" s="8" t="str">
        <f aca="false">'2026 Forecast A'!C246</f>
        <v>BETHLEHEM 1ST WARD - SOUTHERN</v>
      </c>
      <c r="D264" s="9" t="n">
        <f aca="false">'2026 Forecast A'!G246</f>
        <v>0.747126436781609</v>
      </c>
      <c r="E264" s="9" t="n">
        <f aca="false">'2026 Forecast B'!G246</f>
        <v>0.742690058479532</v>
      </c>
      <c r="F264" s="9" t="n">
        <f aca="false">'2026 Forecast C'!G246</f>
        <v>0.754820936639118</v>
      </c>
      <c r="G264" s="24" t="n">
        <f aca="false">(MAX(D264:F264)-MIN(D264:F264))*100</f>
        <v>1.21308781595862</v>
      </c>
      <c r="H264" s="24" t="n">
        <f aca="false">'2026 Forecast A'!J246</f>
        <v>3.25434931194355</v>
      </c>
      <c r="I264" s="24" t="n">
        <f aca="false">'2026 Forecast B'!J246</f>
        <v>3.09864730606258</v>
      </c>
      <c r="J264" s="24" t="n">
        <f aca="false">'2026 Forecast C'!J246</f>
        <v>3.7041269898902</v>
      </c>
      <c r="K264" s="25" t="n">
        <f aca="false">'2026 Forecast A'!F246</f>
        <v>348</v>
      </c>
      <c r="L264" s="26" t="str">
        <f aca="false">IF(OR(AND(D264&gt;0.5,E264&gt;0.5,F264&gt;0.5),AND(D264&lt;0.5,E264&lt;0.5,F264&lt;0.5)),"Yes","No — toss-up")</f>
        <v>Yes</v>
      </c>
    </row>
    <row r="265" customFormat="false" ht="15" hidden="false" customHeight="false" outlineLevel="0" collapsed="false">
      <c r="A265" s="8" t="str">
        <f aca="false">'2026 Forecast A'!A247</f>
        <v>Northampton</v>
      </c>
      <c r="B265" s="8" t="str">
        <f aca="false">'2026 Forecast A'!B247</f>
        <v>BETHLEHEM</v>
      </c>
      <c r="C265" s="8" t="str">
        <f aca="false">'2026 Forecast A'!C247</f>
        <v>BETHLEHEM 2ND WARD</v>
      </c>
      <c r="D265" s="9" t="n">
        <f aca="false">'2026 Forecast A'!G247</f>
        <v>0.788187372708758</v>
      </c>
      <c r="E265" s="9" t="n">
        <f aca="false">'2026 Forecast B'!G247</f>
        <v>0.778242677824268</v>
      </c>
      <c r="F265" s="9" t="n">
        <f aca="false">'2026 Forecast C'!G247</f>
        <v>0.793307086614173</v>
      </c>
      <c r="G265" s="24" t="n">
        <f aca="false">(MAX(D265:F265)-MIN(D265:F265))*100</f>
        <v>1.50644087899054</v>
      </c>
      <c r="H265" s="24" t="n">
        <f aca="false">'2026 Forecast A'!J247</f>
        <v>3.25434931194355</v>
      </c>
      <c r="I265" s="24" t="n">
        <f aca="false">'2026 Forecast B'!J247</f>
        <v>3.09864730606258</v>
      </c>
      <c r="J265" s="24" t="n">
        <f aca="false">'2026 Forecast C'!J247</f>
        <v>3.7041269898902</v>
      </c>
      <c r="K265" s="25" t="n">
        <f aca="false">'2026 Forecast A'!F247</f>
        <v>491</v>
      </c>
      <c r="L265" s="26" t="str">
        <f aca="false">IF(OR(AND(D265&gt;0.5,E265&gt;0.5,F265&gt;0.5),AND(D265&lt;0.5,E265&lt;0.5,F265&lt;0.5)),"Yes","No — toss-up")</f>
        <v>Yes</v>
      </c>
    </row>
    <row r="266" customFormat="false" ht="15" hidden="false" customHeight="false" outlineLevel="0" collapsed="false">
      <c r="A266" s="8" t="str">
        <f aca="false">'2026 Forecast A'!A248</f>
        <v>Northampton</v>
      </c>
      <c r="B266" s="8" t="str">
        <f aca="false">'2026 Forecast A'!B248</f>
        <v>BETHLEHEM</v>
      </c>
      <c r="C266" s="8" t="str">
        <f aca="false">'2026 Forecast A'!C248</f>
        <v>BETHLEHEM 3RD WARD</v>
      </c>
      <c r="D266" s="9" t="n">
        <f aca="false">'2026 Forecast A'!G248</f>
        <v>0.826190476190476</v>
      </c>
      <c r="E266" s="9" t="n">
        <f aca="false">'2026 Forecast B'!G248</f>
        <v>0.797515527950311</v>
      </c>
      <c r="F266" s="9" t="n">
        <f aca="false">'2026 Forecast C'!G248</f>
        <v>0.82837528604119</v>
      </c>
      <c r="G266" s="24" t="n">
        <f aca="false">(MAX(D266:F266)-MIN(D266:F266))*100</f>
        <v>3.08597580908794</v>
      </c>
      <c r="H266" s="24" t="n">
        <f aca="false">'2026 Forecast A'!J248</f>
        <v>1.85532414445586</v>
      </c>
      <c r="I266" s="24" t="n">
        <f aca="false">'2026 Forecast B'!J248</f>
        <v>2.0110742867014</v>
      </c>
      <c r="J266" s="24" t="n">
        <f aca="false">'2026 Forecast C'!J248</f>
        <v>2.12060277043418</v>
      </c>
      <c r="K266" s="25" t="n">
        <f aca="false">'2026 Forecast A'!F248</f>
        <v>840</v>
      </c>
      <c r="L266" s="26" t="str">
        <f aca="false">IF(OR(AND(D266&gt;0.5,E266&gt;0.5,F266&gt;0.5),AND(D266&lt;0.5,E266&lt;0.5,F266&lt;0.5)),"Yes","No — toss-up")</f>
        <v>Yes</v>
      </c>
    </row>
    <row r="267" customFormat="false" ht="15" hidden="false" customHeight="false" outlineLevel="0" collapsed="false">
      <c r="A267" s="8" t="str">
        <f aca="false">'2026 Forecast A'!A249</f>
        <v>Northampton</v>
      </c>
      <c r="B267" s="8" t="str">
        <f aca="false">'2026 Forecast A'!B249</f>
        <v>BETHLEHEM</v>
      </c>
      <c r="C267" s="8" t="str">
        <f aca="false">'2026 Forecast A'!C249</f>
        <v>BETHLEHEM 4TH WARD</v>
      </c>
      <c r="D267" s="9" t="n">
        <f aca="false">'2026 Forecast A'!G249</f>
        <v>0.762357414448669</v>
      </c>
      <c r="E267" s="9" t="n">
        <f aca="false">'2026 Forecast B'!G249</f>
        <v>0.764132553606238</v>
      </c>
      <c r="F267" s="9" t="n">
        <f aca="false">'2026 Forecast C'!G249</f>
        <v>0.767955801104972</v>
      </c>
      <c r="G267" s="24" t="n">
        <f aca="false">(MAX(D267:F267)-MIN(D267:F267))*100</f>
        <v>0.559838665630319</v>
      </c>
      <c r="H267" s="24" t="n">
        <f aca="false">'2026 Forecast A'!J249</f>
        <v>3.25434931194355</v>
      </c>
      <c r="I267" s="24" t="n">
        <f aca="false">'2026 Forecast B'!J249</f>
        <v>3.09864730606258</v>
      </c>
      <c r="J267" s="24" t="n">
        <f aca="false">'2026 Forecast C'!J249</f>
        <v>3.7041269898902</v>
      </c>
      <c r="K267" s="25" t="n">
        <f aca="false">'2026 Forecast A'!F249</f>
        <v>526</v>
      </c>
      <c r="L267" s="26" t="str">
        <f aca="false">IF(OR(AND(D267&gt;0.5,E267&gt;0.5,F267&gt;0.5),AND(D267&lt;0.5,E267&lt;0.5,F267&lt;0.5)),"Yes","No — toss-up")</f>
        <v>Yes</v>
      </c>
    </row>
    <row r="268" customFormat="false" ht="15" hidden="false" customHeight="false" outlineLevel="0" collapsed="false">
      <c r="A268" s="8" t="str">
        <f aca="false">'2026 Forecast A'!A250</f>
        <v>Northampton</v>
      </c>
      <c r="B268" s="8" t="str">
        <f aca="false">'2026 Forecast A'!B250</f>
        <v>BETHLEHEM</v>
      </c>
      <c r="C268" s="8" t="str">
        <f aca="false">'2026 Forecast A'!C250</f>
        <v>BETHLEHEM 5TH WARD</v>
      </c>
      <c r="D268" s="9" t="n">
        <f aca="false">'2026 Forecast A'!G250</f>
        <v>0.744186046511628</v>
      </c>
      <c r="E268" s="9" t="n">
        <f aca="false">'2026 Forecast B'!G250</f>
        <v>0.750577367205543</v>
      </c>
      <c r="F268" s="9" t="n">
        <f aca="false">'2026 Forecast C'!G250</f>
        <v>0.748373101952278</v>
      </c>
      <c r="G268" s="24" t="n">
        <f aca="false">(MAX(D268:F268)-MIN(D268:F268))*100</f>
        <v>0.639132069391479</v>
      </c>
      <c r="H268" s="24" t="n">
        <f aca="false">'2026 Forecast A'!J250</f>
        <v>3.25434931194355</v>
      </c>
      <c r="I268" s="24" t="n">
        <f aca="false">'2026 Forecast B'!J250</f>
        <v>3.09864730606258</v>
      </c>
      <c r="J268" s="24" t="n">
        <f aca="false">'2026 Forecast C'!J250</f>
        <v>3.7041269898902</v>
      </c>
      <c r="K268" s="25" t="n">
        <f aca="false">'2026 Forecast A'!F250</f>
        <v>430</v>
      </c>
      <c r="L268" s="26" t="str">
        <f aca="false">IF(OR(AND(D268&gt;0.5,E268&gt;0.5,F268&gt;0.5),AND(D268&lt;0.5,E268&lt;0.5,F268&lt;0.5)),"Yes","No — toss-up")</f>
        <v>Yes</v>
      </c>
    </row>
    <row r="269" customFormat="false" ht="15" hidden="false" customHeight="false" outlineLevel="0" collapsed="false">
      <c r="A269" s="8" t="str">
        <f aca="false">'2026 Forecast A'!A251</f>
        <v>Northampton</v>
      </c>
      <c r="B269" s="8" t="str">
        <f aca="false">'2026 Forecast A'!B251</f>
        <v>BETHLEHEM</v>
      </c>
      <c r="C269" s="8" t="str">
        <f aca="false">'2026 Forecast A'!C251</f>
        <v>BETHLEHEM 6TH WARD</v>
      </c>
      <c r="D269" s="9" t="n">
        <f aca="false">'2026 Forecast A'!G251</f>
        <v>0.755102040816327</v>
      </c>
      <c r="E269" s="9" t="n">
        <f aca="false">'2026 Forecast B'!G251</f>
        <v>0.744897959183674</v>
      </c>
      <c r="F269" s="9" t="n">
        <f aca="false">'2026 Forecast C'!G251</f>
        <v>0.761739130434783</v>
      </c>
      <c r="G269" s="24" t="n">
        <f aca="false">(MAX(D269:F269)-MIN(D269:F269))*100</f>
        <v>1.68411712511091</v>
      </c>
      <c r="H269" s="24" t="n">
        <f aca="false">'2026 Forecast A'!J251</f>
        <v>3.25434931194355</v>
      </c>
      <c r="I269" s="24" t="n">
        <f aca="false">'2026 Forecast B'!J251</f>
        <v>3.09864730606258</v>
      </c>
      <c r="J269" s="24" t="n">
        <f aca="false">'2026 Forecast C'!J251</f>
        <v>3.7041269898902</v>
      </c>
      <c r="K269" s="25" t="n">
        <f aca="false">'2026 Forecast A'!F251</f>
        <v>588</v>
      </c>
      <c r="L269" s="26" t="str">
        <f aca="false">IF(OR(AND(D269&gt;0.5,E269&gt;0.5,F269&gt;0.5),AND(D269&lt;0.5,E269&lt;0.5,F269&lt;0.5)),"Yes","No — toss-up")</f>
        <v>Yes</v>
      </c>
    </row>
    <row r="270" customFormat="false" ht="15" hidden="false" customHeight="false" outlineLevel="0" collapsed="false">
      <c r="A270" s="8" t="str">
        <f aca="false">'2026 Forecast A'!A252</f>
        <v>Northampton</v>
      </c>
      <c r="B270" s="8" t="str">
        <f aca="false">'2026 Forecast A'!B252</f>
        <v>BETHLEHEM</v>
      </c>
      <c r="C270" s="8" t="str">
        <f aca="false">'2026 Forecast A'!C252</f>
        <v>BETHLEHEM 7TH WARD</v>
      </c>
      <c r="D270" s="9" t="n">
        <f aca="false">'2026 Forecast A'!G252</f>
        <v>0.735588972431078</v>
      </c>
      <c r="E270" s="9" t="n">
        <f aca="false">'2026 Forecast B'!G252</f>
        <v>0.739294710327456</v>
      </c>
      <c r="F270" s="9" t="n">
        <f aca="false">'2026 Forecast C'!G252</f>
        <v>0.741935483870968</v>
      </c>
      <c r="G270" s="24" t="n">
        <f aca="false">(MAX(D270:F270)-MIN(D270:F270))*100</f>
        <v>0.634651143989007</v>
      </c>
      <c r="H270" s="24" t="n">
        <f aca="false">'2026 Forecast A'!J252</f>
        <v>1.85532414445586</v>
      </c>
      <c r="I270" s="24" t="n">
        <f aca="false">'2026 Forecast B'!J252</f>
        <v>2.0110742867014</v>
      </c>
      <c r="J270" s="24" t="n">
        <f aca="false">'2026 Forecast C'!J252</f>
        <v>2.12060277043418</v>
      </c>
      <c r="K270" s="25" t="n">
        <f aca="false">'2026 Forecast A'!F252</f>
        <v>798</v>
      </c>
      <c r="L270" s="26" t="str">
        <f aca="false">IF(OR(AND(D270&gt;0.5,E270&gt;0.5,F270&gt;0.5),AND(D270&lt;0.5,E270&lt;0.5,F270&lt;0.5)),"Yes","No — toss-up")</f>
        <v>Yes</v>
      </c>
    </row>
    <row r="271" customFormat="false" ht="15" hidden="false" customHeight="false" outlineLevel="0" collapsed="false">
      <c r="A271" s="8" t="str">
        <f aca="false">'2026 Forecast A'!A253</f>
        <v>Northampton</v>
      </c>
      <c r="B271" s="8" t="str">
        <f aca="false">'2026 Forecast A'!B253</f>
        <v>BETHLEHEM</v>
      </c>
      <c r="C271" s="8" t="str">
        <f aca="false">'2026 Forecast A'!C253</f>
        <v>BETHLEHEM 8TH WARD</v>
      </c>
      <c r="D271" s="9" t="n">
        <f aca="false">'2026 Forecast A'!G253</f>
        <v>0.719350073855244</v>
      </c>
      <c r="E271" s="9" t="n">
        <f aca="false">'2026 Forecast B'!G253</f>
        <v>0.724702380952381</v>
      </c>
      <c r="F271" s="9" t="n">
        <f aca="false">'2026 Forecast C'!G253</f>
        <v>0.725146198830409</v>
      </c>
      <c r="G271" s="24" t="n">
        <f aca="false">(MAX(D271:F271)-MIN(D271:F271))*100</f>
        <v>0.579612497516557</v>
      </c>
      <c r="H271" s="24" t="n">
        <f aca="false">'2026 Forecast A'!J253</f>
        <v>3.25434931194355</v>
      </c>
      <c r="I271" s="24" t="n">
        <f aca="false">'2026 Forecast B'!J253</f>
        <v>3.09864730606258</v>
      </c>
      <c r="J271" s="24" t="n">
        <f aca="false">'2026 Forecast C'!J253</f>
        <v>3.7041269898902</v>
      </c>
      <c r="K271" s="25" t="n">
        <f aca="false">'2026 Forecast A'!F253</f>
        <v>677</v>
      </c>
      <c r="L271" s="26" t="str">
        <f aca="false">IF(OR(AND(D271&gt;0.5,E271&gt;0.5,F271&gt;0.5),AND(D271&lt;0.5,E271&lt;0.5,F271&lt;0.5)),"Yes","No — toss-up")</f>
        <v>Yes</v>
      </c>
    </row>
    <row r="272" customFormat="false" ht="15" hidden="false" customHeight="false" outlineLevel="0" collapsed="false">
      <c r="A272" s="8" t="str">
        <f aca="false">'2026 Forecast A'!A254</f>
        <v>Northampton</v>
      </c>
      <c r="B272" s="8" t="str">
        <f aca="false">'2026 Forecast A'!B254</f>
        <v>BETHLEHEM</v>
      </c>
      <c r="C272" s="8" t="str">
        <f aca="false">'2026 Forecast A'!C254</f>
        <v>BETHLEHEM 9TH WARD EAST</v>
      </c>
      <c r="D272" s="9" t="n">
        <f aca="false">'2026 Forecast A'!G254</f>
        <v>0.719101123595506</v>
      </c>
      <c r="E272" s="9" t="n">
        <f aca="false">'2026 Forecast B'!G254</f>
        <v>0.724094881398252</v>
      </c>
      <c r="F272" s="9" t="n">
        <f aca="false">'2026 Forecast C'!G254</f>
        <v>0.724438902743142</v>
      </c>
      <c r="G272" s="24" t="n">
        <f aca="false">(MAX(D272:F272)-MIN(D272:F272))*100</f>
        <v>0.533777914763656</v>
      </c>
      <c r="H272" s="24" t="n">
        <f aca="false">'2026 Forecast A'!J254</f>
        <v>1.85532414445586</v>
      </c>
      <c r="I272" s="24" t="n">
        <f aca="false">'2026 Forecast B'!J254</f>
        <v>2.0110742867014</v>
      </c>
      <c r="J272" s="24" t="n">
        <f aca="false">'2026 Forecast C'!J254</f>
        <v>2.12060277043418</v>
      </c>
      <c r="K272" s="25" t="n">
        <f aca="false">'2026 Forecast A'!F254</f>
        <v>801</v>
      </c>
      <c r="L272" s="26" t="str">
        <f aca="false">IF(OR(AND(D272&gt;0.5,E272&gt;0.5,F272&gt;0.5),AND(D272&lt;0.5,E272&lt;0.5,F272&lt;0.5)),"Yes","No — toss-up")</f>
        <v>Yes</v>
      </c>
    </row>
    <row r="273" customFormat="false" ht="15" hidden="false" customHeight="false" outlineLevel="0" collapsed="false">
      <c r="A273" s="8" t="str">
        <f aca="false">'2026 Forecast A'!A255</f>
        <v>Northampton</v>
      </c>
      <c r="B273" s="8" t="str">
        <f aca="false">'2026 Forecast A'!B255</f>
        <v>BETHLEHEM</v>
      </c>
      <c r="C273" s="8" t="str">
        <f aca="false">'2026 Forecast A'!C255</f>
        <v>BETHLEHEM 9TH WARD WEST</v>
      </c>
      <c r="D273" s="9" t="n">
        <f aca="false">'2026 Forecast A'!G255</f>
        <v>0.664766248574687</v>
      </c>
      <c r="E273" s="9" t="n">
        <f aca="false">'2026 Forecast B'!G255</f>
        <v>0.672665916760405</v>
      </c>
      <c r="F273" s="9" t="n">
        <f aca="false">'2026 Forecast C'!G255</f>
        <v>0.660958904109589</v>
      </c>
      <c r="G273" s="24" t="n">
        <f aca="false">(MAX(D273:F273)-MIN(D273:F273))*100</f>
        <v>1.1707012650816</v>
      </c>
      <c r="H273" s="24" t="n">
        <f aca="false">'2026 Forecast A'!J255</f>
        <v>1.85532414445586</v>
      </c>
      <c r="I273" s="24" t="n">
        <f aca="false">'2026 Forecast B'!J255</f>
        <v>2.0110742867014</v>
      </c>
      <c r="J273" s="24" t="n">
        <f aca="false">'2026 Forecast C'!J255</f>
        <v>2.12060277043418</v>
      </c>
      <c r="K273" s="25" t="n">
        <f aca="false">'2026 Forecast A'!F255</f>
        <v>877</v>
      </c>
      <c r="L273" s="26" t="str">
        <f aca="false">IF(OR(AND(D273&gt;0.5,E273&gt;0.5,F273&gt;0.5),AND(D273&lt;0.5,E273&lt;0.5,F273&lt;0.5)),"Yes","No — toss-up")</f>
        <v>Yes</v>
      </c>
    </row>
    <row r="274" customFormat="false" ht="15" hidden="false" customHeight="false" outlineLevel="0" collapsed="false">
      <c r="A274" s="8" t="str">
        <f aca="false">'2026 Forecast A'!A256</f>
        <v>Northampton</v>
      </c>
      <c r="B274" s="8" t="str">
        <f aca="false">'2026 Forecast A'!B256</f>
        <v>BETHLEHEM TOWNSHIP</v>
      </c>
      <c r="C274" s="8" t="str">
        <f aca="false">'2026 Forecast A'!C256</f>
        <v>BETHLEHEM TWSP 1ST WARD 1ST DISTRICT</v>
      </c>
      <c r="D274" s="9" t="n">
        <f aca="false">'2026 Forecast A'!G256</f>
        <v>0.573298429319372</v>
      </c>
      <c r="E274" s="9" t="n">
        <f aca="false">'2026 Forecast B'!G256</f>
        <v>0.575360419397117</v>
      </c>
      <c r="F274" s="9" t="n">
        <f aca="false">'2026 Forecast C'!G256</f>
        <v>0.577483443708609</v>
      </c>
      <c r="G274" s="24" t="n">
        <f aca="false">(MAX(D274:F274)-MIN(D274:F274))*100</f>
        <v>0.418501438923757</v>
      </c>
      <c r="H274" s="24" t="n">
        <f aca="false">'2026 Forecast A'!J256</f>
        <v>3.25434931194355</v>
      </c>
      <c r="I274" s="24" t="n">
        <f aca="false">'2026 Forecast B'!J256</f>
        <v>3.09864730606258</v>
      </c>
      <c r="J274" s="24" t="n">
        <f aca="false">'2026 Forecast C'!J256</f>
        <v>3.7041269898902</v>
      </c>
      <c r="K274" s="25" t="n">
        <f aca="false">'2026 Forecast A'!F256</f>
        <v>764</v>
      </c>
      <c r="L274" s="26" t="str">
        <f aca="false">IF(OR(AND(D274&gt;0.5,E274&gt;0.5,F274&gt;0.5),AND(D274&lt;0.5,E274&lt;0.5,F274&lt;0.5)),"Yes","No — toss-up")</f>
        <v>Yes</v>
      </c>
    </row>
    <row r="275" customFormat="false" ht="15" hidden="false" customHeight="false" outlineLevel="0" collapsed="false">
      <c r="A275" s="8" t="str">
        <f aca="false">'2026 Forecast A'!A257</f>
        <v>Northampton</v>
      </c>
      <c r="B275" s="8" t="str">
        <f aca="false">'2026 Forecast A'!B257</f>
        <v>BETHLEHEM TOWNSHIP</v>
      </c>
      <c r="C275" s="8" t="str">
        <f aca="false">'2026 Forecast A'!C257</f>
        <v>BETHLEHEM TWSP 1ST WARD 2ND DISTRICT</v>
      </c>
      <c r="D275" s="9" t="n">
        <f aca="false">'2026 Forecast A'!G257</f>
        <v>0.560496380558428</v>
      </c>
      <c r="E275" s="9" t="n">
        <f aca="false">'2026 Forecast B'!G257</f>
        <v>0.56580310880829</v>
      </c>
      <c r="F275" s="9" t="n">
        <f aca="false">'2026 Forecast C'!G257</f>
        <v>0.562043795620438</v>
      </c>
      <c r="G275" s="24" t="n">
        <f aca="false">(MAX(D275:F275)-MIN(D275:F275))*100</f>
        <v>0.5306728249862</v>
      </c>
      <c r="H275" s="24" t="n">
        <f aca="false">'2026 Forecast A'!J257</f>
        <v>1.85532414445586</v>
      </c>
      <c r="I275" s="24" t="n">
        <f aca="false">'2026 Forecast B'!J257</f>
        <v>2.0110742867014</v>
      </c>
      <c r="J275" s="24" t="n">
        <f aca="false">'2026 Forecast C'!J257</f>
        <v>2.12060277043418</v>
      </c>
      <c r="K275" s="25" t="n">
        <f aca="false">'2026 Forecast A'!F257</f>
        <v>967</v>
      </c>
      <c r="L275" s="26" t="str">
        <f aca="false">IF(OR(AND(D275&gt;0.5,E275&gt;0.5,F275&gt;0.5),AND(D275&lt;0.5,E275&lt;0.5,F275&lt;0.5)),"Yes","No — toss-up")</f>
        <v>Yes</v>
      </c>
    </row>
    <row r="276" customFormat="false" ht="15" hidden="false" customHeight="false" outlineLevel="0" collapsed="false">
      <c r="A276" s="8" t="str">
        <f aca="false">'2026 Forecast A'!A258</f>
        <v>Northampton</v>
      </c>
      <c r="B276" s="8" t="str">
        <f aca="false">'2026 Forecast A'!B258</f>
        <v>BETHLEHEM TOWNSHIP</v>
      </c>
      <c r="C276" s="8" t="str">
        <f aca="false">'2026 Forecast A'!C258</f>
        <v>BETHLEHEM TWSP 1ST WARD 3RD DISTRICT</v>
      </c>
      <c r="D276" s="9" t="n">
        <f aca="false">'2026 Forecast A'!G258</f>
        <v>0.59280303030303</v>
      </c>
      <c r="E276" s="9" t="n">
        <f aca="false">'2026 Forecast B'!G258</f>
        <v>0.587901701323251</v>
      </c>
      <c r="F276" s="9" t="n">
        <f aca="false">'2026 Forecast C'!G258</f>
        <v>0.597302504816956</v>
      </c>
      <c r="G276" s="24" t="n">
        <f aca="false">(MAX(D276:F276)-MIN(D276:F276))*100</f>
        <v>0.940080349370431</v>
      </c>
      <c r="H276" s="24" t="n">
        <f aca="false">'2026 Forecast A'!J258</f>
        <v>1.85532414445586</v>
      </c>
      <c r="I276" s="24" t="n">
        <f aca="false">'2026 Forecast B'!J258</f>
        <v>2.0110742867014</v>
      </c>
      <c r="J276" s="24" t="n">
        <f aca="false">'2026 Forecast C'!J258</f>
        <v>2.12060277043418</v>
      </c>
      <c r="K276" s="25" t="n">
        <f aca="false">'2026 Forecast A'!F258</f>
        <v>1056</v>
      </c>
      <c r="L276" s="26" t="str">
        <f aca="false">IF(OR(AND(D276&gt;0.5,E276&gt;0.5,F276&gt;0.5),AND(D276&lt;0.5,E276&lt;0.5,F276&lt;0.5)),"Yes","No — toss-up")</f>
        <v>Yes</v>
      </c>
    </row>
    <row r="277" customFormat="false" ht="15" hidden="false" customHeight="false" outlineLevel="0" collapsed="false">
      <c r="A277" s="8" t="str">
        <f aca="false">'2026 Forecast A'!A259</f>
        <v>Northampton</v>
      </c>
      <c r="B277" s="8" t="str">
        <f aca="false">'2026 Forecast A'!B259</f>
        <v>BETHLEHEM TOWNSHIP</v>
      </c>
      <c r="C277" s="8" t="str">
        <f aca="false">'2026 Forecast A'!C259</f>
        <v>BETHLEHEM TWSP 1ST WARD 4TH DISTRICT</v>
      </c>
      <c r="D277" s="9" t="n">
        <f aca="false">'2026 Forecast A'!G259</f>
        <v>0.543278084714549</v>
      </c>
      <c r="E277" s="9" t="n">
        <f aca="false">'2026 Forecast B'!G259</f>
        <v>0.5451197053407</v>
      </c>
      <c r="F277" s="9" t="n">
        <f aca="false">'2026 Forecast C'!G259</f>
        <v>0.544609665427509</v>
      </c>
      <c r="G277" s="24" t="n">
        <f aca="false">(MAX(D277:F277)-MIN(D277:F277))*100</f>
        <v>0.184162062615112</v>
      </c>
      <c r="H277" s="24" t="n">
        <f aca="false">'2026 Forecast A'!J259</f>
        <v>3.25434931194355</v>
      </c>
      <c r="I277" s="24" t="n">
        <f aca="false">'2026 Forecast B'!J259</f>
        <v>3.09864730606258</v>
      </c>
      <c r="J277" s="24" t="n">
        <f aca="false">'2026 Forecast C'!J259</f>
        <v>3.7041269898902</v>
      </c>
      <c r="K277" s="25" t="n">
        <f aca="false">'2026 Forecast A'!F259</f>
        <v>543</v>
      </c>
      <c r="L277" s="26" t="str">
        <f aca="false">IF(OR(AND(D277&gt;0.5,E277&gt;0.5,F277&gt;0.5),AND(D277&lt;0.5,E277&lt;0.5,F277&lt;0.5)),"Yes","No — toss-up")</f>
        <v>Yes</v>
      </c>
    </row>
    <row r="278" customFormat="false" ht="15" hidden="false" customHeight="false" outlineLevel="0" collapsed="false">
      <c r="A278" s="8" t="str">
        <f aca="false">'2026 Forecast A'!A260</f>
        <v>Northampton</v>
      </c>
      <c r="B278" s="8" t="str">
        <f aca="false">'2026 Forecast A'!B260</f>
        <v>BETHLEHEM TOWNSHIP</v>
      </c>
      <c r="C278" s="8" t="str">
        <f aca="false">'2026 Forecast A'!C260</f>
        <v>BETHLEHEM TWSP 2ND WARD 1ST DISTRICT</v>
      </c>
      <c r="D278" s="9" t="n">
        <f aca="false">'2026 Forecast A'!G260</f>
        <v>0.597122302158273</v>
      </c>
      <c r="E278" s="9" t="n">
        <f aca="false">'2026 Forecast B'!G260</f>
        <v>0.602641056422569</v>
      </c>
      <c r="F278" s="9" t="n">
        <f aca="false">'2026 Forecast C'!G260</f>
        <v>0.602189781021898</v>
      </c>
      <c r="G278" s="24" t="n">
        <f aca="false">(MAX(D278:F278)-MIN(D278:F278))*100</f>
        <v>0.551875426429571</v>
      </c>
      <c r="H278" s="24" t="n">
        <f aca="false">'2026 Forecast A'!J260</f>
        <v>1.85532414445586</v>
      </c>
      <c r="I278" s="24" t="n">
        <f aca="false">'2026 Forecast B'!J260</f>
        <v>2.0110742867014</v>
      </c>
      <c r="J278" s="24" t="n">
        <f aca="false">'2026 Forecast C'!J260</f>
        <v>2.12060277043418</v>
      </c>
      <c r="K278" s="25" t="n">
        <f aca="false">'2026 Forecast A'!F260</f>
        <v>834</v>
      </c>
      <c r="L278" s="26" t="str">
        <f aca="false">IF(OR(AND(D278&gt;0.5,E278&gt;0.5,F278&gt;0.5),AND(D278&lt;0.5,E278&lt;0.5,F278&lt;0.5)),"Yes","No — toss-up")</f>
        <v>Yes</v>
      </c>
    </row>
    <row r="279" customFormat="false" ht="15" hidden="false" customHeight="false" outlineLevel="0" collapsed="false">
      <c r="A279" s="8" t="str">
        <f aca="false">'2026 Forecast A'!A261</f>
        <v>Northampton</v>
      </c>
      <c r="B279" s="8" t="str">
        <f aca="false">'2026 Forecast A'!B261</f>
        <v>BETHLEHEM TOWNSHIP</v>
      </c>
      <c r="C279" s="8" t="str">
        <f aca="false">'2026 Forecast A'!C261</f>
        <v>BETHLEHEM TWSP 2ND WARD 2ND DISTRICT</v>
      </c>
      <c r="D279" s="9" t="n">
        <f aca="false">'2026 Forecast A'!G261</f>
        <v>0.560948081264108</v>
      </c>
      <c r="E279" s="9" t="n">
        <f aca="false">'2026 Forecast B'!G261</f>
        <v>0.565610859728507</v>
      </c>
      <c r="F279" s="9" t="n">
        <f aca="false">'2026 Forecast C'!G261</f>
        <v>0.562785388127854</v>
      </c>
      <c r="G279" s="24" t="n">
        <f aca="false">(MAX(D279:F279)-MIN(D279:F279))*100</f>
        <v>0.466277846439844</v>
      </c>
      <c r="H279" s="24" t="n">
        <f aca="false">'2026 Forecast A'!J261</f>
        <v>1.85532414445586</v>
      </c>
      <c r="I279" s="24" t="n">
        <f aca="false">'2026 Forecast B'!J261</f>
        <v>2.0110742867014</v>
      </c>
      <c r="J279" s="24" t="n">
        <f aca="false">'2026 Forecast C'!J261</f>
        <v>2.12060277043418</v>
      </c>
      <c r="K279" s="25" t="n">
        <f aca="false">'2026 Forecast A'!F261</f>
        <v>886</v>
      </c>
      <c r="L279" s="26" t="str">
        <f aca="false">IF(OR(AND(D279&gt;0.5,E279&gt;0.5,F279&gt;0.5),AND(D279&lt;0.5,E279&lt;0.5,F279&lt;0.5)),"Yes","No — toss-up")</f>
        <v>Yes</v>
      </c>
    </row>
    <row r="280" customFormat="false" ht="15" hidden="false" customHeight="false" outlineLevel="0" collapsed="false">
      <c r="A280" s="8" t="str">
        <f aca="false">'2026 Forecast A'!A262</f>
        <v>Northampton</v>
      </c>
      <c r="B280" s="8" t="str">
        <f aca="false">'2026 Forecast A'!B262</f>
        <v>BETHLEHEM TOWNSHIP</v>
      </c>
      <c r="C280" s="8" t="str">
        <f aca="false">'2026 Forecast A'!C262</f>
        <v>BETHLEHEM TWSP 2ND WARD 3RD DISTRICT</v>
      </c>
      <c r="D280" s="9" t="n">
        <f aca="false">'2026 Forecast A'!G262</f>
        <v>0.588126159554731</v>
      </c>
      <c r="E280" s="9" t="n">
        <f aca="false">'2026 Forecast B'!G262</f>
        <v>0.596654275092937</v>
      </c>
      <c r="F280" s="9" t="n">
        <f aca="false">'2026 Forecast C'!G262</f>
        <v>0.591760299625468</v>
      </c>
      <c r="G280" s="24" t="n">
        <f aca="false">(MAX(D280:F280)-MIN(D280:F280))*100</f>
        <v>0.852811553820576</v>
      </c>
      <c r="H280" s="24" t="n">
        <f aca="false">'2026 Forecast A'!J262</f>
        <v>3.25434931194355</v>
      </c>
      <c r="I280" s="24" t="n">
        <f aca="false">'2026 Forecast B'!J262</f>
        <v>3.09864730606258</v>
      </c>
      <c r="J280" s="24" t="n">
        <f aca="false">'2026 Forecast C'!J262</f>
        <v>3.7041269898902</v>
      </c>
      <c r="K280" s="25" t="n">
        <f aca="false">'2026 Forecast A'!F262</f>
        <v>539</v>
      </c>
      <c r="L280" s="26" t="str">
        <f aca="false">IF(OR(AND(D280&gt;0.5,E280&gt;0.5,F280&gt;0.5),AND(D280&lt;0.5,E280&lt;0.5,F280&lt;0.5)),"Yes","No — toss-up")</f>
        <v>Yes</v>
      </c>
    </row>
    <row r="281" customFormat="false" ht="15" hidden="false" customHeight="false" outlineLevel="0" collapsed="false">
      <c r="A281" s="8" t="str">
        <f aca="false">'2026 Forecast A'!A263</f>
        <v>Northampton</v>
      </c>
      <c r="B281" s="8" t="str">
        <f aca="false">'2026 Forecast A'!B263</f>
        <v>BETHLEHEM TOWNSHIP</v>
      </c>
      <c r="C281" s="8" t="str">
        <f aca="false">'2026 Forecast A'!C263</f>
        <v>BETHLEHEM TWSP 2ND WARD 4TH DISTRICT</v>
      </c>
      <c r="D281" s="9" t="n">
        <f aca="false">'2026 Forecast A'!G263</f>
        <v>0.611336032388664</v>
      </c>
      <c r="E281" s="9" t="n">
        <f aca="false">'2026 Forecast B'!G263</f>
        <v>0.60893098782138</v>
      </c>
      <c r="F281" s="9" t="n">
        <f aca="false">'2026 Forecast C'!G263</f>
        <v>0.616963064295486</v>
      </c>
      <c r="G281" s="24" t="n">
        <f aca="false">(MAX(D281:F281)-MIN(D281:F281))*100</f>
        <v>0.803207647410542</v>
      </c>
      <c r="H281" s="24" t="n">
        <f aca="false">'2026 Forecast A'!J263</f>
        <v>3.25434931194355</v>
      </c>
      <c r="I281" s="24" t="n">
        <f aca="false">'2026 Forecast B'!J263</f>
        <v>3.09864730606258</v>
      </c>
      <c r="J281" s="24" t="n">
        <f aca="false">'2026 Forecast C'!J263</f>
        <v>3.7041269898902</v>
      </c>
      <c r="K281" s="25" t="n">
        <f aca="false">'2026 Forecast A'!F263</f>
        <v>741</v>
      </c>
      <c r="L281" s="26" t="str">
        <f aca="false">IF(OR(AND(D281&gt;0.5,E281&gt;0.5,F281&gt;0.5),AND(D281&lt;0.5,E281&lt;0.5,F281&lt;0.5)),"Yes","No — toss-up")</f>
        <v>Yes</v>
      </c>
    </row>
    <row r="282" customFormat="false" ht="15" hidden="false" customHeight="false" outlineLevel="0" collapsed="false">
      <c r="A282" s="8" t="str">
        <f aca="false">'2026 Forecast A'!A264</f>
        <v>Northampton</v>
      </c>
      <c r="B282" s="8" t="str">
        <f aca="false">'2026 Forecast A'!B264</f>
        <v>BETHLEHEM TOWNSHIP</v>
      </c>
      <c r="C282" s="8" t="str">
        <f aca="false">'2026 Forecast A'!C264</f>
        <v>BETHLEHEM TWSP 3RD WARD 1ST DISTRICT</v>
      </c>
      <c r="D282" s="9" t="n">
        <f aca="false">'2026 Forecast A'!G264</f>
        <v>0.630385487528345</v>
      </c>
      <c r="E282" s="9" t="n">
        <f aca="false">'2026 Forecast B'!G264</f>
        <v>0.621315192743764</v>
      </c>
      <c r="F282" s="9" t="n">
        <f aca="false">'2026 Forecast C'!G264</f>
        <v>0.634090909090909</v>
      </c>
      <c r="G282" s="24" t="n">
        <f aca="false">(MAX(D282:F282)-MIN(D282:F282))*100</f>
        <v>1.27757163471449</v>
      </c>
      <c r="H282" s="24" t="n">
        <f aca="false">'2026 Forecast A'!J264</f>
        <v>3.25434931194355</v>
      </c>
      <c r="I282" s="24" t="n">
        <f aca="false">'2026 Forecast B'!J264</f>
        <v>3.09864730606258</v>
      </c>
      <c r="J282" s="24" t="n">
        <f aca="false">'2026 Forecast C'!J264</f>
        <v>3.7041269898902</v>
      </c>
      <c r="K282" s="25" t="n">
        <f aca="false">'2026 Forecast A'!F264</f>
        <v>441</v>
      </c>
      <c r="L282" s="26" t="str">
        <f aca="false">IF(OR(AND(D282&gt;0.5,E282&gt;0.5,F282&gt;0.5),AND(D282&lt;0.5,E282&lt;0.5,F282&lt;0.5)),"Yes","No — toss-up")</f>
        <v>Yes</v>
      </c>
    </row>
    <row r="283" customFormat="false" ht="15" hidden="false" customHeight="false" outlineLevel="0" collapsed="false">
      <c r="A283" s="8" t="str">
        <f aca="false">'2026 Forecast A'!A265</f>
        <v>Northampton</v>
      </c>
      <c r="B283" s="8" t="str">
        <f aca="false">'2026 Forecast A'!B265</f>
        <v>BETHLEHEM TOWNSHIP</v>
      </c>
      <c r="C283" s="8" t="str">
        <f aca="false">'2026 Forecast A'!C265</f>
        <v>BETHLEHEM TWSP 3RD WARD 2ND DISTRICT</v>
      </c>
      <c r="D283" s="9" t="n">
        <f aca="false">'2026 Forecast A'!G265</f>
        <v>0.548387096774194</v>
      </c>
      <c r="E283" s="9" t="n">
        <f aca="false">'2026 Forecast B'!G265</f>
        <v>0.546531302876481</v>
      </c>
      <c r="F283" s="9" t="n">
        <f aca="false">'2026 Forecast C'!G265</f>
        <v>0.550949913644214</v>
      </c>
      <c r="G283" s="24" t="n">
        <f aca="false">(MAX(D283:F283)-MIN(D283:F283))*100</f>
        <v>0.441861076773364</v>
      </c>
      <c r="H283" s="24" t="n">
        <f aca="false">'2026 Forecast A'!J265</f>
        <v>3.25434931194355</v>
      </c>
      <c r="I283" s="24" t="n">
        <f aca="false">'2026 Forecast B'!J265</f>
        <v>3.09864730606258</v>
      </c>
      <c r="J283" s="24" t="n">
        <f aca="false">'2026 Forecast C'!J265</f>
        <v>3.7041269898902</v>
      </c>
      <c r="K283" s="25" t="n">
        <f aca="false">'2026 Forecast A'!F265</f>
        <v>589</v>
      </c>
      <c r="L283" s="26" t="str">
        <f aca="false">IF(OR(AND(D283&gt;0.5,E283&gt;0.5,F283&gt;0.5),AND(D283&lt;0.5,E283&lt;0.5,F283&lt;0.5)),"Yes","No — toss-up")</f>
        <v>Yes</v>
      </c>
    </row>
    <row r="284" customFormat="false" ht="15" hidden="false" customHeight="false" outlineLevel="0" collapsed="false">
      <c r="A284" s="8" t="str">
        <f aca="false">'2026 Forecast A'!A266</f>
        <v>Northampton</v>
      </c>
      <c r="B284" s="8" t="str">
        <f aca="false">'2026 Forecast A'!B266</f>
        <v>BETHLEHEM TOWNSHIP</v>
      </c>
      <c r="C284" s="8" t="str">
        <f aca="false">'2026 Forecast A'!C266</f>
        <v>BETHLEHEM TWSP 3RD WARD 3RD DISTRICT</v>
      </c>
      <c r="D284" s="9" t="n">
        <f aca="false">'2026 Forecast A'!G266</f>
        <v>0.568740955137482</v>
      </c>
      <c r="E284" s="9" t="n">
        <f aca="false">'2026 Forecast B'!G266</f>
        <v>0.572463768115942</v>
      </c>
      <c r="F284" s="9" t="n">
        <f aca="false">'2026 Forecast C'!G266</f>
        <v>0.573313782991202</v>
      </c>
      <c r="G284" s="24" t="n">
        <f aca="false">(MAX(D284:F284)-MIN(D284:F284))*100</f>
        <v>0.457282785372049</v>
      </c>
      <c r="H284" s="24" t="n">
        <f aca="false">'2026 Forecast A'!J266</f>
        <v>3.25434931194355</v>
      </c>
      <c r="I284" s="24" t="n">
        <f aca="false">'2026 Forecast B'!J266</f>
        <v>3.09864730606258</v>
      </c>
      <c r="J284" s="24" t="n">
        <f aca="false">'2026 Forecast C'!J266</f>
        <v>3.7041269898902</v>
      </c>
      <c r="K284" s="25" t="n">
        <f aca="false">'2026 Forecast A'!F266</f>
        <v>691</v>
      </c>
      <c r="L284" s="26" t="str">
        <f aca="false">IF(OR(AND(D284&gt;0.5,E284&gt;0.5,F284&gt;0.5),AND(D284&lt;0.5,E284&lt;0.5,F284&lt;0.5)),"Yes","No — toss-up")</f>
        <v>Yes</v>
      </c>
    </row>
    <row r="285" customFormat="false" ht="15" hidden="false" customHeight="false" outlineLevel="0" collapsed="false">
      <c r="A285" s="8" t="str">
        <f aca="false">'2026 Forecast A'!A267</f>
        <v>Northampton</v>
      </c>
      <c r="B285" s="8" t="str">
        <f aca="false">'2026 Forecast A'!B267</f>
        <v>BETHLEHEM TOWNSHIP</v>
      </c>
      <c r="C285" s="8" t="str">
        <f aca="false">'2026 Forecast A'!C267</f>
        <v>BETHLEHEM TWSP 3RD WARD 4TH DISTRICT</v>
      </c>
      <c r="D285" s="9" t="n">
        <f aca="false">'2026 Forecast A'!G267</f>
        <v>0.603960396039604</v>
      </c>
      <c r="E285" s="9" t="n">
        <f aca="false">'2026 Forecast B'!G267</f>
        <v>0.606435643564356</v>
      </c>
      <c r="F285" s="9" t="n">
        <f aca="false">'2026 Forecast C'!G267</f>
        <v>0.608260325406759</v>
      </c>
      <c r="G285" s="24" t="n">
        <f aca="false">(MAX(D285:F285)-MIN(D285:F285))*100</f>
        <v>0.429992936715451</v>
      </c>
      <c r="H285" s="24" t="n">
        <f aca="false">'2026 Forecast A'!J267</f>
        <v>1.85532414445586</v>
      </c>
      <c r="I285" s="24" t="n">
        <f aca="false">'2026 Forecast B'!J267</f>
        <v>2.0110742867014</v>
      </c>
      <c r="J285" s="24" t="n">
        <f aca="false">'2026 Forecast C'!J267</f>
        <v>2.12060277043418</v>
      </c>
      <c r="K285" s="25" t="n">
        <f aca="false">'2026 Forecast A'!F267</f>
        <v>808</v>
      </c>
      <c r="L285" s="26" t="str">
        <f aca="false">IF(OR(AND(D285&gt;0.5,E285&gt;0.5,F285&gt;0.5),AND(D285&lt;0.5,E285&lt;0.5,F285&lt;0.5)),"Yes","No — toss-up")</f>
        <v>Yes</v>
      </c>
    </row>
    <row r="286" customFormat="false" ht="15" hidden="false" customHeight="false" outlineLevel="0" collapsed="false">
      <c r="A286" s="8" t="str">
        <f aca="false">'2026 Forecast A'!A268</f>
        <v>Northampton</v>
      </c>
      <c r="B286" s="8" t="str">
        <f aca="false">'2026 Forecast A'!B268</f>
        <v>BETHLEHEM TOWNSHIP</v>
      </c>
      <c r="C286" s="8" t="str">
        <f aca="false">'2026 Forecast A'!C268</f>
        <v>BETHLEHEM TWSP 3RD WARD 5TH DISTRICT</v>
      </c>
      <c r="D286" s="9" t="n">
        <f aca="false">'2026 Forecast A'!G268</f>
        <v>0.546321525885559</v>
      </c>
      <c r="E286" s="9" t="n">
        <f aca="false">'2026 Forecast B'!G268</f>
        <v>0.546195652173913</v>
      </c>
      <c r="F286" s="9" t="n">
        <f aca="false">'2026 Forecast C'!G268</f>
        <v>0.547850208044383</v>
      </c>
      <c r="G286" s="24" t="n">
        <f aca="false">(MAX(D286:F286)-MIN(D286:F286))*100</f>
        <v>0.16545558704697</v>
      </c>
      <c r="H286" s="24" t="n">
        <f aca="false">'2026 Forecast A'!J268</f>
        <v>3.25434931194355</v>
      </c>
      <c r="I286" s="24" t="n">
        <f aca="false">'2026 Forecast B'!J268</f>
        <v>3.09864730606258</v>
      </c>
      <c r="J286" s="24" t="n">
        <f aca="false">'2026 Forecast C'!J268</f>
        <v>3.7041269898902</v>
      </c>
      <c r="K286" s="25" t="n">
        <f aca="false">'2026 Forecast A'!F268</f>
        <v>734</v>
      </c>
      <c r="L286" s="26" t="str">
        <f aca="false">IF(OR(AND(D286&gt;0.5,E286&gt;0.5,F286&gt;0.5),AND(D286&lt;0.5,E286&lt;0.5,F286&lt;0.5)),"Yes","No — toss-up")</f>
        <v>Yes</v>
      </c>
    </row>
    <row r="287" customFormat="false" ht="15" hidden="false" customHeight="false" outlineLevel="0" collapsed="false">
      <c r="A287" s="8" t="str">
        <f aca="false">'2026 Forecast A'!A269</f>
        <v>Northampton</v>
      </c>
      <c r="B287" s="8" t="str">
        <f aca="false">'2026 Forecast A'!B269</f>
        <v>BETHLEHEM TOWNSHIP</v>
      </c>
      <c r="C287" s="8" t="str">
        <f aca="false">'2026 Forecast A'!C269</f>
        <v>BETHLEHEM TWSP 4TH WARD 1ST DISTRICT</v>
      </c>
      <c r="D287" s="9" t="n">
        <f aca="false">'2026 Forecast A'!G269</f>
        <v>0.600583090379009</v>
      </c>
      <c r="E287" s="9" t="n">
        <f aca="false">'2026 Forecast B'!G269</f>
        <v>0.600873998543336</v>
      </c>
      <c r="F287" s="9" t="n">
        <f aca="false">'2026 Forecast C'!G269</f>
        <v>0.606593406593407</v>
      </c>
      <c r="G287" s="24" t="n">
        <f aca="false">(MAX(D287:F287)-MIN(D287:F287))*100</f>
        <v>0.601031621439785</v>
      </c>
      <c r="H287" s="24" t="n">
        <f aca="false">'2026 Forecast A'!J269</f>
        <v>1.28585670084365</v>
      </c>
      <c r="I287" s="24" t="n">
        <f aca="false">'2026 Forecast B'!J269</f>
        <v>1.87006919874525</v>
      </c>
      <c r="J287" s="24" t="n">
        <f aca="false">'2026 Forecast C'!J269</f>
        <v>1.26135644325249</v>
      </c>
      <c r="K287" s="25" t="n">
        <f aca="false">'2026 Forecast A'!F269</f>
        <v>1372</v>
      </c>
      <c r="L287" s="26" t="str">
        <f aca="false">IF(OR(AND(D287&gt;0.5,E287&gt;0.5,F287&gt;0.5),AND(D287&lt;0.5,E287&lt;0.5,F287&lt;0.5)),"Yes","No — toss-up")</f>
        <v>Yes</v>
      </c>
    </row>
    <row r="288" customFormat="false" ht="15" hidden="false" customHeight="false" outlineLevel="0" collapsed="false">
      <c r="A288" s="8" t="str">
        <f aca="false">'2026 Forecast A'!A270</f>
        <v>Northampton</v>
      </c>
      <c r="B288" s="8" t="str">
        <f aca="false">'2026 Forecast A'!B270</f>
        <v>BETHLEHEM TOWNSHIP</v>
      </c>
      <c r="C288" s="8" t="str">
        <f aca="false">'2026 Forecast A'!C270</f>
        <v>BETHLEHEM TWSP 4TH WARD 2ND DISTRICT</v>
      </c>
      <c r="D288" s="9" t="n">
        <f aca="false">'2026 Forecast A'!G270</f>
        <v>0.546838407494145</v>
      </c>
      <c r="E288" s="9" t="n">
        <f aca="false">'2026 Forecast B'!G270</f>
        <v>0.544496487119438</v>
      </c>
      <c r="F288" s="9" t="n">
        <f aca="false">'2026 Forecast C'!G270</f>
        <v>0.548578199052133</v>
      </c>
      <c r="G288" s="24" t="n">
        <f aca="false">(MAX(D288:F288)-MIN(D288:F288))*100</f>
        <v>0.408171193269469</v>
      </c>
      <c r="H288" s="24" t="n">
        <f aca="false">'2026 Forecast A'!J270</f>
        <v>1.85532414445586</v>
      </c>
      <c r="I288" s="24" t="n">
        <f aca="false">'2026 Forecast B'!J270</f>
        <v>2.0110742867014</v>
      </c>
      <c r="J288" s="24" t="n">
        <f aca="false">'2026 Forecast C'!J270</f>
        <v>2.12060277043418</v>
      </c>
      <c r="K288" s="25" t="n">
        <f aca="false">'2026 Forecast A'!F270</f>
        <v>854</v>
      </c>
      <c r="L288" s="26" t="str">
        <f aca="false">IF(OR(AND(D288&gt;0.5,E288&gt;0.5,F288&gt;0.5),AND(D288&lt;0.5,E288&lt;0.5,F288&lt;0.5)),"Yes","No — toss-up")</f>
        <v>Yes</v>
      </c>
    </row>
    <row r="289" customFormat="false" ht="15" hidden="false" customHeight="false" outlineLevel="0" collapsed="false">
      <c r="A289" s="8" t="str">
        <f aca="false">'2026 Forecast A'!A271</f>
        <v>Northampton</v>
      </c>
      <c r="B289" s="8" t="str">
        <f aca="false">'2026 Forecast A'!B271</f>
        <v>BETHLEHEM TOWNSHIP</v>
      </c>
      <c r="C289" s="8" t="str">
        <f aca="false">'2026 Forecast A'!C271</f>
        <v>BETHLEHEM TWSP 4TH WARD 3RD DISTRICT</v>
      </c>
      <c r="D289" s="9" t="n">
        <f aca="false">'2026 Forecast A'!G271</f>
        <v>0.557416267942584</v>
      </c>
      <c r="E289" s="9" t="n">
        <f aca="false">'2026 Forecast B'!G271</f>
        <v>0.559808612440191</v>
      </c>
      <c r="F289" s="9" t="n">
        <f aca="false">'2026 Forecast C'!G271</f>
        <v>0.559466019417476</v>
      </c>
      <c r="G289" s="24" t="n">
        <f aca="false">(MAX(D289:F289)-MIN(D289:F289))*100</f>
        <v>0.239234449760772</v>
      </c>
      <c r="H289" s="24" t="n">
        <f aca="false">'2026 Forecast A'!J271</f>
        <v>1.85532414445586</v>
      </c>
      <c r="I289" s="24" t="n">
        <f aca="false">'2026 Forecast B'!J271</f>
        <v>2.0110742867014</v>
      </c>
      <c r="J289" s="24" t="n">
        <f aca="false">'2026 Forecast C'!J271</f>
        <v>2.12060277043418</v>
      </c>
      <c r="K289" s="25" t="n">
        <f aca="false">'2026 Forecast A'!F271</f>
        <v>836</v>
      </c>
      <c r="L289" s="26" t="str">
        <f aca="false">IF(OR(AND(D289&gt;0.5,E289&gt;0.5,F289&gt;0.5),AND(D289&lt;0.5,E289&lt;0.5,F289&lt;0.5)),"Yes","No — toss-up")</f>
        <v>Yes</v>
      </c>
    </row>
    <row r="290" customFormat="false" ht="15" hidden="false" customHeight="false" outlineLevel="0" collapsed="false">
      <c r="A290" s="8" t="str">
        <f aca="false">'2026 Forecast A'!A272</f>
        <v>Northampton</v>
      </c>
      <c r="B290" s="8" t="str">
        <f aca="false">'2026 Forecast A'!B272</f>
        <v>BETHLEHEM TOWNSHIP</v>
      </c>
      <c r="C290" s="8" t="str">
        <f aca="false">'2026 Forecast A'!C272</f>
        <v>BETHLEHEM TWSP 4TH WARD 4TH DISTRICT</v>
      </c>
      <c r="D290" s="9" t="n">
        <f aca="false">'2026 Forecast A'!G272</f>
        <v>0.555828220858896</v>
      </c>
      <c r="E290" s="9" t="n">
        <f aca="false">'2026 Forecast B'!G272</f>
        <v>0.560885608856089</v>
      </c>
      <c r="F290" s="9" t="n">
        <f aca="false">'2026 Forecast C'!G272</f>
        <v>0.557356608478803</v>
      </c>
      <c r="G290" s="24" t="n">
        <f aca="false">(MAX(D290:F290)-MIN(D290:F290))*100</f>
        <v>0.50573879971928</v>
      </c>
      <c r="H290" s="24" t="n">
        <f aca="false">'2026 Forecast A'!J272</f>
        <v>1.85532414445586</v>
      </c>
      <c r="I290" s="24" t="n">
        <f aca="false">'2026 Forecast B'!J272</f>
        <v>2.0110742867014</v>
      </c>
      <c r="J290" s="24" t="n">
        <f aca="false">'2026 Forecast C'!J272</f>
        <v>2.12060277043418</v>
      </c>
      <c r="K290" s="25" t="n">
        <f aca="false">'2026 Forecast A'!F272</f>
        <v>815</v>
      </c>
      <c r="L290" s="26" t="str">
        <f aca="false">IF(OR(AND(D290&gt;0.5,E290&gt;0.5,F290&gt;0.5),AND(D290&lt;0.5,E290&lt;0.5,F290&lt;0.5)),"Yes","No — toss-up")</f>
        <v>Yes</v>
      </c>
    </row>
    <row r="291" customFormat="false" ht="15" hidden="false" customHeight="false" outlineLevel="0" collapsed="false">
      <c r="A291" s="8" t="str">
        <f aca="false">'2026 Forecast A'!A273</f>
        <v>Northampton</v>
      </c>
      <c r="B291" s="8" t="str">
        <f aca="false">'2026 Forecast A'!B273</f>
        <v>BUSHKILL</v>
      </c>
      <c r="C291" s="8" t="str">
        <f aca="false">'2026 Forecast A'!C273</f>
        <v>BUSHKILL TWSP - BUSHKILL CENTER</v>
      </c>
      <c r="D291" s="9" t="n">
        <f aca="false">'2026 Forecast A'!G273</f>
        <v>0.427367377293009</v>
      </c>
      <c r="E291" s="9" t="n">
        <f aca="false">'2026 Forecast B'!G273</f>
        <v>0.417202174987642</v>
      </c>
      <c r="F291" s="9" t="n">
        <f aca="false">'2026 Forecast C'!G273</f>
        <v>0.423541247484909</v>
      </c>
      <c r="G291" s="24" t="n">
        <f aca="false">(MAX(D291:F291)-MIN(D291:F291))*100</f>
        <v>1.01652023053673</v>
      </c>
      <c r="H291" s="24" t="n">
        <f aca="false">'2026 Forecast A'!J273</f>
        <v>1.28585670084365</v>
      </c>
      <c r="I291" s="24" t="n">
        <f aca="false">'2026 Forecast B'!J273</f>
        <v>1.87006919874525</v>
      </c>
      <c r="J291" s="24" t="n">
        <f aca="false">'2026 Forecast C'!J273</f>
        <v>1.26135644325249</v>
      </c>
      <c r="K291" s="25" t="n">
        <f aca="false">'2026 Forecast A'!F273</f>
        <v>2017</v>
      </c>
      <c r="L291" s="26" t="str">
        <f aca="false">IF(OR(AND(D291&gt;0.5,E291&gt;0.5,F291&gt;0.5),AND(D291&lt;0.5,E291&lt;0.5,F291&lt;0.5)),"Yes","No — toss-up")</f>
        <v>Yes</v>
      </c>
    </row>
    <row r="292" customFormat="false" ht="15" hidden="false" customHeight="false" outlineLevel="0" collapsed="false">
      <c r="A292" s="8" t="str">
        <f aca="false">'2026 Forecast A'!A274</f>
        <v>Northampton</v>
      </c>
      <c r="B292" s="8" t="str">
        <f aca="false">'2026 Forecast A'!B274</f>
        <v>BUSHKILL</v>
      </c>
      <c r="C292" s="8" t="str">
        <f aca="false">'2026 Forecast A'!C274</f>
        <v>BUSHKILL TWSP - CHERRY HILL</v>
      </c>
      <c r="D292" s="9" t="n">
        <f aca="false">'2026 Forecast A'!G274</f>
        <v>0.44953596287703</v>
      </c>
      <c r="E292" s="9" t="n">
        <f aca="false">'2026 Forecast B'!G274</f>
        <v>0.437825332562175</v>
      </c>
      <c r="F292" s="9" t="n">
        <f aca="false">'2026 Forecast C'!G274</f>
        <v>0.448235294117647</v>
      </c>
      <c r="G292" s="24" t="n">
        <f aca="false">(MAX(D292:F292)-MIN(D292:F292))*100</f>
        <v>1.17106303148555</v>
      </c>
      <c r="H292" s="24" t="n">
        <f aca="false">'2026 Forecast A'!J274</f>
        <v>1.28585670084365</v>
      </c>
      <c r="I292" s="24" t="n">
        <f aca="false">'2026 Forecast B'!J274</f>
        <v>1.87006919874525</v>
      </c>
      <c r="J292" s="24" t="n">
        <f aca="false">'2026 Forecast C'!J274</f>
        <v>1.26135644325249</v>
      </c>
      <c r="K292" s="25" t="n">
        <f aca="false">'2026 Forecast A'!F274</f>
        <v>1724</v>
      </c>
      <c r="L292" s="26" t="str">
        <f aca="false">IF(OR(AND(D292&gt;0.5,E292&gt;0.5,F292&gt;0.5),AND(D292&lt;0.5,E292&lt;0.5,F292&lt;0.5)),"Yes","No — toss-up")</f>
        <v>Yes</v>
      </c>
    </row>
    <row r="293" customFormat="false" ht="15" hidden="false" customHeight="false" outlineLevel="0" collapsed="false">
      <c r="A293" s="8" t="str">
        <f aca="false">'2026 Forecast A'!A275</f>
        <v>Northampton</v>
      </c>
      <c r="B293" s="8" t="str">
        <f aca="false">'2026 Forecast A'!B275</f>
        <v>BUSHKILL</v>
      </c>
      <c r="C293" s="8" t="str">
        <f aca="false">'2026 Forecast A'!C275</f>
        <v>BUSHKILL TWSP - CLEARFIELD</v>
      </c>
      <c r="D293" s="9" t="n">
        <f aca="false">'2026 Forecast A'!G275</f>
        <v>0.390882638215325</v>
      </c>
      <c r="E293" s="9" t="n">
        <f aca="false">'2026 Forecast B'!G275</f>
        <v>0.38894277400582</v>
      </c>
      <c r="F293" s="9" t="n">
        <f aca="false">'2026 Forecast C'!G275</f>
        <v>0.385294117647059</v>
      </c>
      <c r="G293" s="24" t="n">
        <f aca="false">(MAX(D293:F293)-MIN(D293:F293))*100</f>
        <v>0.558852056826609</v>
      </c>
      <c r="H293" s="24" t="n">
        <f aca="false">'2026 Forecast A'!J275</f>
        <v>1.85532414445586</v>
      </c>
      <c r="I293" s="24" t="n">
        <f aca="false">'2026 Forecast B'!J275</f>
        <v>2.0110742867014</v>
      </c>
      <c r="J293" s="24" t="n">
        <f aca="false">'2026 Forecast C'!J275</f>
        <v>2.12060277043418</v>
      </c>
      <c r="K293" s="25" t="n">
        <f aca="false">'2026 Forecast A'!F275</f>
        <v>1031</v>
      </c>
      <c r="L293" s="26" t="str">
        <f aca="false">IF(OR(AND(D293&gt;0.5,E293&gt;0.5,F293&gt;0.5),AND(D293&lt;0.5,E293&lt;0.5,F293&lt;0.5)),"Yes","No — toss-up")</f>
        <v>Yes</v>
      </c>
    </row>
    <row r="294" customFormat="false" ht="15" hidden="false" customHeight="false" outlineLevel="0" collapsed="false">
      <c r="A294" s="8" t="str">
        <f aca="false">'2026 Forecast A'!A276</f>
        <v>Northampton</v>
      </c>
      <c r="B294" s="8" t="str">
        <f aca="false">'2026 Forecast A'!B276</f>
        <v>CHAPMAN</v>
      </c>
      <c r="C294" s="8" t="str">
        <f aca="false">'2026 Forecast A'!C276</f>
        <v>CHAPMAN</v>
      </c>
      <c r="D294" s="9" t="n">
        <f aca="false">'2026 Forecast A'!G276</f>
        <v>0.388349514563107</v>
      </c>
      <c r="E294" s="9" t="n">
        <f aca="false">'2026 Forecast B'!G276</f>
        <v>0.394230769230769</v>
      </c>
      <c r="F294" s="9" t="n">
        <f aca="false">'2026 Forecast C'!G276</f>
        <v>0.382352941176471</v>
      </c>
      <c r="G294" s="24" t="n">
        <f aca="false">(MAX(D294:F294)-MIN(D294:F294))*100</f>
        <v>1.18778280542987</v>
      </c>
      <c r="H294" s="24" t="n">
        <f aca="false">'2026 Forecast A'!J276</f>
        <v>3.25434931194355</v>
      </c>
      <c r="I294" s="24" t="n">
        <f aca="false">'2026 Forecast B'!J276</f>
        <v>3.09864730606258</v>
      </c>
      <c r="J294" s="24" t="n">
        <f aca="false">'2026 Forecast C'!J276</f>
        <v>3.7041269898902</v>
      </c>
      <c r="K294" s="25" t="n">
        <f aca="false">'2026 Forecast A'!F276</f>
        <v>103</v>
      </c>
      <c r="L294" s="26" t="str">
        <f aca="false">IF(OR(AND(D294&gt;0.5,E294&gt;0.5,F294&gt;0.5),AND(D294&lt;0.5,E294&lt;0.5,F294&lt;0.5)),"Yes","No — toss-up")</f>
        <v>Yes</v>
      </c>
    </row>
    <row r="295" customFormat="false" ht="15" hidden="false" customHeight="false" outlineLevel="0" collapsed="false">
      <c r="A295" s="8" t="str">
        <f aca="false">'2026 Forecast A'!A277</f>
        <v>Northampton</v>
      </c>
      <c r="B295" s="8" t="str">
        <f aca="false">'2026 Forecast A'!B277</f>
        <v>EAST ALLEN</v>
      </c>
      <c r="C295" s="8" t="str">
        <f aca="false">'2026 Forecast A'!C277</f>
        <v>EAST ALLEN TWSP - EASTERN</v>
      </c>
      <c r="D295" s="9" t="n">
        <f aca="false">'2026 Forecast A'!G277</f>
        <v>0.467986798679868</v>
      </c>
      <c r="E295" s="9" t="n">
        <f aca="false">'2026 Forecast B'!G277</f>
        <v>0.454963839579224</v>
      </c>
      <c r="F295" s="9" t="n">
        <f aca="false">'2026 Forecast C'!G277</f>
        <v>0.46747149564051</v>
      </c>
      <c r="G295" s="24" t="n">
        <f aca="false">(MAX(D295:F295)-MIN(D295:F295))*100</f>
        <v>1.30229591006438</v>
      </c>
      <c r="H295" s="24" t="n">
        <f aca="false">'2026 Forecast A'!J277</f>
        <v>1.28585670084365</v>
      </c>
      <c r="I295" s="24" t="n">
        <f aca="false">'2026 Forecast B'!J277</f>
        <v>1.87006919874525</v>
      </c>
      <c r="J295" s="24" t="n">
        <f aca="false">'2026 Forecast C'!J277</f>
        <v>1.26135644325249</v>
      </c>
      <c r="K295" s="25" t="n">
        <f aca="false">'2026 Forecast A'!F277</f>
        <v>1515</v>
      </c>
      <c r="L295" s="26" t="str">
        <f aca="false">IF(OR(AND(D295&gt;0.5,E295&gt;0.5,F295&gt;0.5),AND(D295&lt;0.5,E295&lt;0.5,F295&lt;0.5)),"Yes","No — toss-up")</f>
        <v>Yes</v>
      </c>
    </row>
    <row r="296" customFormat="false" ht="15" hidden="false" customHeight="false" outlineLevel="0" collapsed="false">
      <c r="A296" s="8" t="str">
        <f aca="false">'2026 Forecast A'!A278</f>
        <v>Northampton</v>
      </c>
      <c r="B296" s="8" t="str">
        <f aca="false">'2026 Forecast A'!B278</f>
        <v>EAST ALLEN</v>
      </c>
      <c r="C296" s="8" t="str">
        <f aca="false">'2026 Forecast A'!C278</f>
        <v>EAST ALLEN TWSP - WESTERN</v>
      </c>
      <c r="D296" s="9" t="n">
        <f aca="false">'2026 Forecast A'!G278</f>
        <v>0.492936802973978</v>
      </c>
      <c r="E296" s="9" t="n">
        <f aca="false">'2026 Forecast B'!G278</f>
        <v>0.491071428571429</v>
      </c>
      <c r="F296" s="9" t="n">
        <f aca="false">'2026 Forecast C'!G278</f>
        <v>0.490895295902883</v>
      </c>
      <c r="G296" s="24" t="n">
        <f aca="false">(MAX(D296:F296)-MIN(D296:F296))*100</f>
        <v>0.204150707109452</v>
      </c>
      <c r="H296" s="24" t="n">
        <f aca="false">'2026 Forecast A'!J278</f>
        <v>1.28585670084365</v>
      </c>
      <c r="I296" s="24" t="n">
        <f aca="false">'2026 Forecast B'!J278</f>
        <v>1.87006919874525</v>
      </c>
      <c r="J296" s="24" t="n">
        <f aca="false">'2026 Forecast C'!J278</f>
        <v>1.26135644325249</v>
      </c>
      <c r="K296" s="25" t="n">
        <f aca="false">'2026 Forecast A'!F278</f>
        <v>1345</v>
      </c>
      <c r="L296" s="26" t="str">
        <f aca="false">IF(OR(AND(D296&gt;0.5,E296&gt;0.5,F296&gt;0.5),AND(D296&lt;0.5,E296&lt;0.5,F296&lt;0.5)),"Yes","No — toss-up")</f>
        <v>Yes</v>
      </c>
    </row>
    <row r="297" customFormat="false" ht="15" hidden="false" customHeight="false" outlineLevel="0" collapsed="false">
      <c r="A297" s="8" t="str">
        <f aca="false">'2026 Forecast A'!A279</f>
        <v>Northampton</v>
      </c>
      <c r="B297" s="8" t="str">
        <f aca="false">'2026 Forecast A'!B279</f>
        <v>EAST BANGOR</v>
      </c>
      <c r="C297" s="8" t="str">
        <f aca="false">'2026 Forecast A'!C279</f>
        <v>EAST BANGOR</v>
      </c>
      <c r="D297" s="9" t="n">
        <f aca="false">'2026 Forecast A'!G279</f>
        <v>0.438902743142145</v>
      </c>
      <c r="E297" s="9" t="n">
        <f aca="false">'2026 Forecast B'!G279</f>
        <v>0.443890274314214</v>
      </c>
      <c r="F297" s="9" t="n">
        <f aca="false">'2026 Forecast C'!G279</f>
        <v>0.438144329896907</v>
      </c>
      <c r="G297" s="24" t="n">
        <f aca="false">(MAX(D297:F297)-MIN(D297:F297))*100</f>
        <v>0.574594441730725</v>
      </c>
      <c r="H297" s="24" t="n">
        <f aca="false">'2026 Forecast A'!J279</f>
        <v>3.25434931194355</v>
      </c>
      <c r="I297" s="24" t="n">
        <f aca="false">'2026 Forecast B'!J279</f>
        <v>3.09864730606258</v>
      </c>
      <c r="J297" s="24" t="n">
        <f aca="false">'2026 Forecast C'!J279</f>
        <v>3.7041269898902</v>
      </c>
      <c r="K297" s="25" t="n">
        <f aca="false">'2026 Forecast A'!F279</f>
        <v>401</v>
      </c>
      <c r="L297" s="26" t="str">
        <f aca="false">IF(OR(AND(D297&gt;0.5,E297&gt;0.5,F297&gt;0.5),AND(D297&lt;0.5,E297&lt;0.5,F297&lt;0.5)),"Yes","No — toss-up")</f>
        <v>Yes</v>
      </c>
    </row>
    <row r="298" customFormat="false" ht="15" hidden="false" customHeight="false" outlineLevel="0" collapsed="false">
      <c r="A298" s="8" t="str">
        <f aca="false">'2026 Forecast A'!A280</f>
        <v>Northampton</v>
      </c>
      <c r="B298" s="8" t="str">
        <f aca="false">'2026 Forecast A'!B280</f>
        <v>EASTON</v>
      </c>
      <c r="C298" s="8" t="str">
        <f aca="false">'2026 Forecast A'!C280</f>
        <v>EASTON 10TH WARD</v>
      </c>
      <c r="D298" s="9" t="n">
        <f aca="false">'2026 Forecast A'!G280</f>
        <v>0.64</v>
      </c>
      <c r="E298" s="9" t="n">
        <f aca="false">'2026 Forecast B'!G280</f>
        <v>0.669801462904911</v>
      </c>
      <c r="F298" s="9" t="n">
        <f aca="false">'2026 Forecast C'!G280</f>
        <v>0.639153439153439</v>
      </c>
      <c r="G298" s="24" t="n">
        <f aca="false">(MAX(D298:F298)-MIN(D298:F298))*100</f>
        <v>3.0648023751472</v>
      </c>
      <c r="H298" s="24" t="n">
        <f aca="false">'2026 Forecast A'!J280</f>
        <v>1.85532414445586</v>
      </c>
      <c r="I298" s="24" t="n">
        <f aca="false">'2026 Forecast B'!J280</f>
        <v>2.0110742867014</v>
      </c>
      <c r="J298" s="24" t="n">
        <f aca="false">'2026 Forecast C'!J280</f>
        <v>2.12060277043418</v>
      </c>
      <c r="K298" s="25" t="n">
        <f aca="false">'2026 Forecast A'!F280</f>
        <v>950</v>
      </c>
      <c r="L298" s="26" t="str">
        <f aca="false">IF(OR(AND(D298&gt;0.5,E298&gt;0.5,F298&gt;0.5),AND(D298&lt;0.5,E298&lt;0.5,F298&lt;0.5)),"Yes","No — toss-up")</f>
        <v>Yes</v>
      </c>
    </row>
    <row r="299" customFormat="false" ht="15" hidden="false" customHeight="false" outlineLevel="0" collapsed="false">
      <c r="A299" s="8" t="str">
        <f aca="false">'2026 Forecast A'!A281</f>
        <v>Northampton</v>
      </c>
      <c r="B299" s="8" t="str">
        <f aca="false">'2026 Forecast A'!B281</f>
        <v>EASTON</v>
      </c>
      <c r="C299" s="8" t="str">
        <f aca="false">'2026 Forecast A'!C281</f>
        <v>EASTON 11TH WARD</v>
      </c>
      <c r="D299" s="9" t="n">
        <f aca="false">'2026 Forecast A'!G281</f>
        <v>0.665551839464883</v>
      </c>
      <c r="E299" s="9" t="n">
        <f aca="false">'2026 Forecast B'!G281</f>
        <v>0.696160267111853</v>
      </c>
      <c r="F299" s="9" t="n">
        <f aca="false">'2026 Forecast C'!G281</f>
        <v>0.66499162479062</v>
      </c>
      <c r="G299" s="24" t="n">
        <f aca="false">(MAX(D299:F299)-MIN(D299:F299))*100</f>
        <v>3.11686423212333</v>
      </c>
      <c r="H299" s="24" t="n">
        <f aca="false">'2026 Forecast A'!J281</f>
        <v>3.25434931194355</v>
      </c>
      <c r="I299" s="24" t="n">
        <f aca="false">'2026 Forecast B'!J281</f>
        <v>3.09864730606258</v>
      </c>
      <c r="J299" s="24" t="n">
        <f aca="false">'2026 Forecast C'!J281</f>
        <v>3.7041269898902</v>
      </c>
      <c r="K299" s="25" t="n">
        <f aca="false">'2026 Forecast A'!F281</f>
        <v>598</v>
      </c>
      <c r="L299" s="26" t="str">
        <f aca="false">IF(OR(AND(D299&gt;0.5,E299&gt;0.5,F299&gt;0.5),AND(D299&lt;0.5,E299&lt;0.5,F299&lt;0.5)),"Yes","No — toss-up")</f>
        <v>Yes</v>
      </c>
    </row>
    <row r="300" customFormat="false" ht="15" hidden="false" customHeight="false" outlineLevel="0" collapsed="false">
      <c r="A300" s="8" t="str">
        <f aca="false">'2026 Forecast A'!A282</f>
        <v>Northampton</v>
      </c>
      <c r="B300" s="8" t="str">
        <f aca="false">'2026 Forecast A'!B282</f>
        <v>EASTON</v>
      </c>
      <c r="C300" s="8" t="str">
        <f aca="false">'2026 Forecast A'!C282</f>
        <v>EASTON 2ND WARD</v>
      </c>
      <c r="D300" s="9" t="n">
        <f aca="false">'2026 Forecast A'!G282</f>
        <v>0.736760124610592</v>
      </c>
      <c r="E300" s="9" t="n">
        <f aca="false">'2026 Forecast B'!G282</f>
        <v>0.73094867807154</v>
      </c>
      <c r="F300" s="9" t="n">
        <f aca="false">'2026 Forecast C'!G282</f>
        <v>0.743390357698289</v>
      </c>
      <c r="G300" s="24" t="n">
        <f aca="false">(MAX(D300:F300)-MIN(D300:F300))*100</f>
        <v>1.24416796267497</v>
      </c>
      <c r="H300" s="24" t="n">
        <f aca="false">'2026 Forecast A'!J282</f>
        <v>3.25434931194355</v>
      </c>
      <c r="I300" s="24" t="n">
        <f aca="false">'2026 Forecast B'!J282</f>
        <v>3.09864730606258</v>
      </c>
      <c r="J300" s="24" t="n">
        <f aca="false">'2026 Forecast C'!J282</f>
        <v>3.7041269898902</v>
      </c>
      <c r="K300" s="25" t="n">
        <f aca="false">'2026 Forecast A'!F282</f>
        <v>642</v>
      </c>
      <c r="L300" s="26" t="str">
        <f aca="false">IF(OR(AND(D300&gt;0.5,E300&gt;0.5,F300&gt;0.5),AND(D300&lt;0.5,E300&lt;0.5,F300&lt;0.5)),"Yes","No — toss-up")</f>
        <v>Yes</v>
      </c>
    </row>
    <row r="301" customFormat="false" ht="15" hidden="false" customHeight="false" outlineLevel="0" collapsed="false">
      <c r="A301" s="8" t="str">
        <f aca="false">'2026 Forecast A'!A283</f>
        <v>Northampton</v>
      </c>
      <c r="B301" s="8" t="str">
        <f aca="false">'2026 Forecast A'!B283</f>
        <v>EASTON</v>
      </c>
      <c r="C301" s="8" t="str">
        <f aca="false">'2026 Forecast A'!C283</f>
        <v>EASTON 3RD WARD 2ND DISTRICT</v>
      </c>
      <c r="D301" s="9" t="n">
        <f aca="false">'2026 Forecast A'!G283</f>
        <v>0.758169934640523</v>
      </c>
      <c r="E301" s="9" t="n">
        <f aca="false">'2026 Forecast B'!G283</f>
        <v>0.755965292841649</v>
      </c>
      <c r="F301" s="9" t="n">
        <f aca="false">'2026 Forecast C'!G283</f>
        <v>0.765432098765432</v>
      </c>
      <c r="G301" s="24" t="n">
        <f aca="false">(MAX(D301:F301)-MIN(D301:F301))*100</f>
        <v>0.946680592378346</v>
      </c>
      <c r="H301" s="24" t="n">
        <f aca="false">'2026 Forecast A'!J283</f>
        <v>1.85532414445586</v>
      </c>
      <c r="I301" s="24" t="n">
        <f aca="false">'2026 Forecast B'!J283</f>
        <v>2.0110742867014</v>
      </c>
      <c r="J301" s="24" t="n">
        <f aca="false">'2026 Forecast C'!J283</f>
        <v>2.12060277043418</v>
      </c>
      <c r="K301" s="25" t="n">
        <f aca="false">'2026 Forecast A'!F283</f>
        <v>918</v>
      </c>
      <c r="L301" s="26" t="str">
        <f aca="false">IF(OR(AND(D301&gt;0.5,E301&gt;0.5,F301&gt;0.5),AND(D301&lt;0.5,E301&lt;0.5,F301&lt;0.5)),"Yes","No — toss-up")</f>
        <v>Yes</v>
      </c>
    </row>
    <row r="302" customFormat="false" ht="15" hidden="false" customHeight="false" outlineLevel="0" collapsed="false">
      <c r="A302" s="8" t="str">
        <f aca="false">'2026 Forecast A'!A284</f>
        <v>Northampton</v>
      </c>
      <c r="B302" s="8" t="str">
        <f aca="false">'2026 Forecast A'!B284</f>
        <v>EASTON</v>
      </c>
      <c r="C302" s="8" t="str">
        <f aca="false">'2026 Forecast A'!C284</f>
        <v>EASTON 3RD WARD 3RD DISTRICT</v>
      </c>
      <c r="D302" s="9" t="n">
        <f aca="false">'2026 Forecast A'!G284</f>
        <v>0.80517503805175</v>
      </c>
      <c r="E302" s="9" t="n">
        <f aca="false">'2026 Forecast B'!G284</f>
        <v>0.79375</v>
      </c>
      <c r="F302" s="9" t="n">
        <f aca="false">'2026 Forecast C'!G284</f>
        <v>0.808709175738725</v>
      </c>
      <c r="G302" s="24" t="n">
        <f aca="false">(MAX(D302:F302)-MIN(D302:F302))*100</f>
        <v>1.49591757387247</v>
      </c>
      <c r="H302" s="24" t="n">
        <f aca="false">'2026 Forecast A'!J284</f>
        <v>3.25434931194355</v>
      </c>
      <c r="I302" s="24" t="n">
        <f aca="false">'2026 Forecast B'!J284</f>
        <v>3.09864730606258</v>
      </c>
      <c r="J302" s="24" t="n">
        <f aca="false">'2026 Forecast C'!J284</f>
        <v>3.7041269898902</v>
      </c>
      <c r="K302" s="25" t="n">
        <f aca="false">'2026 Forecast A'!F284</f>
        <v>657</v>
      </c>
      <c r="L302" s="26" t="str">
        <f aca="false">IF(OR(AND(D302&gt;0.5,E302&gt;0.5,F302&gt;0.5),AND(D302&lt;0.5,E302&lt;0.5,F302&lt;0.5)),"Yes","No — toss-up")</f>
        <v>Yes</v>
      </c>
    </row>
    <row r="303" customFormat="false" ht="15" hidden="false" customHeight="false" outlineLevel="0" collapsed="false">
      <c r="A303" s="8" t="str">
        <f aca="false">'2026 Forecast A'!A285</f>
        <v>Northampton</v>
      </c>
      <c r="B303" s="8" t="str">
        <f aca="false">'2026 Forecast A'!B285</f>
        <v>EASTON</v>
      </c>
      <c r="C303" s="8" t="str">
        <f aca="false">'2026 Forecast A'!C285</f>
        <v>EASTON 3RD WARD 4TH DISTRICT</v>
      </c>
      <c r="D303" s="9" t="n">
        <f aca="false">'2026 Forecast A'!G285</f>
        <v>0.718232044198895</v>
      </c>
      <c r="E303" s="9" t="n">
        <f aca="false">'2026 Forecast B'!G285</f>
        <v>0.711511789181692</v>
      </c>
      <c r="F303" s="9" t="n">
        <f aca="false">'2026 Forecast C'!G285</f>
        <v>0.724089635854342</v>
      </c>
      <c r="G303" s="24" t="n">
        <f aca="false">(MAX(D303:F303)-MIN(D303:F303))*100</f>
        <v>1.25778466726496</v>
      </c>
      <c r="H303" s="24" t="n">
        <f aca="false">'2026 Forecast A'!J285</f>
        <v>3.25434931194355</v>
      </c>
      <c r="I303" s="24" t="n">
        <f aca="false">'2026 Forecast B'!J285</f>
        <v>3.09864730606258</v>
      </c>
      <c r="J303" s="24" t="n">
        <f aca="false">'2026 Forecast C'!J285</f>
        <v>3.7041269898902</v>
      </c>
      <c r="K303" s="25" t="n">
        <f aca="false">'2026 Forecast A'!F285</f>
        <v>724</v>
      </c>
      <c r="L303" s="26" t="str">
        <f aca="false">IF(OR(AND(D303&gt;0.5,E303&gt;0.5,F303&gt;0.5),AND(D303&lt;0.5,E303&lt;0.5,F303&lt;0.5)),"Yes","No — toss-up")</f>
        <v>Yes</v>
      </c>
    </row>
    <row r="304" customFormat="false" ht="15" hidden="false" customHeight="false" outlineLevel="0" collapsed="false">
      <c r="A304" s="8" t="str">
        <f aca="false">'2026 Forecast A'!A286</f>
        <v>Northampton</v>
      </c>
      <c r="B304" s="8" t="str">
        <f aca="false">'2026 Forecast A'!B286</f>
        <v>EASTON</v>
      </c>
      <c r="C304" s="8" t="str">
        <f aca="false">'2026 Forecast A'!C286</f>
        <v>EASTON 4TH WARD</v>
      </c>
      <c r="D304" s="9" t="n">
        <f aca="false">'2026 Forecast A'!G286</f>
        <v>0.698656429942418</v>
      </c>
      <c r="E304" s="9" t="n">
        <f aca="false">'2026 Forecast B'!G286</f>
        <v>0.702651515151515</v>
      </c>
      <c r="F304" s="9" t="n">
        <f aca="false">'2026 Forecast C'!G286</f>
        <v>0.704980842911877</v>
      </c>
      <c r="G304" s="24" t="n">
        <f aca="false">(MAX(D304:F304)-MIN(D304:F304))*100</f>
        <v>0.632441296945896</v>
      </c>
      <c r="H304" s="24" t="n">
        <f aca="false">'2026 Forecast A'!J286</f>
        <v>3.25434931194355</v>
      </c>
      <c r="I304" s="24" t="n">
        <f aca="false">'2026 Forecast B'!J286</f>
        <v>3.09864730606258</v>
      </c>
      <c r="J304" s="24" t="n">
        <f aca="false">'2026 Forecast C'!J286</f>
        <v>3.7041269898902</v>
      </c>
      <c r="K304" s="25" t="n">
        <f aca="false">'2026 Forecast A'!F286</f>
        <v>521</v>
      </c>
      <c r="L304" s="26" t="str">
        <f aca="false">IF(OR(AND(D304&gt;0.5,E304&gt;0.5,F304&gt;0.5),AND(D304&lt;0.5,E304&lt;0.5,F304&lt;0.5)),"Yes","No — toss-up")</f>
        <v>Yes</v>
      </c>
    </row>
    <row r="305" customFormat="false" ht="15" hidden="false" customHeight="false" outlineLevel="0" collapsed="false">
      <c r="A305" s="8" t="str">
        <f aca="false">'2026 Forecast A'!A287</f>
        <v>Northampton</v>
      </c>
      <c r="B305" s="8" t="str">
        <f aca="false">'2026 Forecast A'!B287</f>
        <v>EASTON</v>
      </c>
      <c r="C305" s="8" t="str">
        <f aca="false">'2026 Forecast A'!C287</f>
        <v>EASTON 5TH WARD</v>
      </c>
      <c r="D305" s="9" t="n">
        <f aca="false">'2026 Forecast A'!G287</f>
        <v>0.743961352657005</v>
      </c>
      <c r="E305" s="9" t="n">
        <f aca="false">'2026 Forecast B'!G287</f>
        <v>0.752427184466019</v>
      </c>
      <c r="F305" s="9" t="n">
        <f aca="false">'2026 Forecast C'!G287</f>
        <v>0.754807692307692</v>
      </c>
      <c r="G305" s="24" t="n">
        <f aca="false">(MAX(D305:F305)-MIN(D305:F305))*100</f>
        <v>1.08463396506875</v>
      </c>
      <c r="H305" s="24" t="n">
        <f aca="false">'2026 Forecast A'!J287</f>
        <v>3.25434931194355</v>
      </c>
      <c r="I305" s="24" t="n">
        <f aca="false">'2026 Forecast B'!J287</f>
        <v>3.09864730606258</v>
      </c>
      <c r="J305" s="24" t="n">
        <f aca="false">'2026 Forecast C'!J287</f>
        <v>3.7041269898902</v>
      </c>
      <c r="K305" s="25" t="n">
        <f aca="false">'2026 Forecast A'!F287</f>
        <v>207</v>
      </c>
      <c r="L305" s="26" t="str">
        <f aca="false">IF(OR(AND(D305&gt;0.5,E305&gt;0.5,F305&gt;0.5),AND(D305&lt;0.5,E305&lt;0.5,F305&lt;0.5)),"Yes","No — toss-up")</f>
        <v>Yes</v>
      </c>
    </row>
    <row r="306" customFormat="false" ht="15" hidden="false" customHeight="false" outlineLevel="0" collapsed="false">
      <c r="A306" s="8" t="str">
        <f aca="false">'2026 Forecast A'!A288</f>
        <v>Northampton</v>
      </c>
      <c r="B306" s="8" t="str">
        <f aca="false">'2026 Forecast A'!B288</f>
        <v>EASTON</v>
      </c>
      <c r="C306" s="8" t="str">
        <f aca="false">'2026 Forecast A'!C288</f>
        <v>EASTON 6TH WARD</v>
      </c>
      <c r="D306" s="9" t="n">
        <f aca="false">'2026 Forecast A'!G288</f>
        <v>0.743150684931507</v>
      </c>
      <c r="E306" s="9" t="n">
        <f aca="false">'2026 Forecast B'!G288</f>
        <v>0.737373737373737</v>
      </c>
      <c r="F306" s="9" t="n">
        <f aca="false">'2026 Forecast C'!G288</f>
        <v>0.747540983606557</v>
      </c>
      <c r="G306" s="24" t="n">
        <f aca="false">(MAX(D306:F306)-MIN(D306:F306))*100</f>
        <v>1.01672462328201</v>
      </c>
      <c r="H306" s="24" t="n">
        <f aca="false">'2026 Forecast A'!J288</f>
        <v>3.25434931194355</v>
      </c>
      <c r="I306" s="24" t="n">
        <f aca="false">'2026 Forecast B'!J288</f>
        <v>3.09864730606258</v>
      </c>
      <c r="J306" s="24" t="n">
        <f aca="false">'2026 Forecast C'!J288</f>
        <v>3.7041269898902</v>
      </c>
      <c r="K306" s="25" t="n">
        <f aca="false">'2026 Forecast A'!F288</f>
        <v>292</v>
      </c>
      <c r="L306" s="26" t="str">
        <f aca="false">IF(OR(AND(D306&gt;0.5,E306&gt;0.5,F306&gt;0.5),AND(D306&lt;0.5,E306&lt;0.5,F306&lt;0.5)),"Yes","No — toss-up")</f>
        <v>Yes</v>
      </c>
    </row>
    <row r="307" customFormat="false" ht="15" hidden="false" customHeight="false" outlineLevel="0" collapsed="false">
      <c r="A307" s="8" t="str">
        <f aca="false">'2026 Forecast A'!A289</f>
        <v>Northampton</v>
      </c>
      <c r="B307" s="8" t="str">
        <f aca="false">'2026 Forecast A'!B289</f>
        <v>EASTON</v>
      </c>
      <c r="C307" s="8" t="str">
        <f aca="false">'2026 Forecast A'!C289</f>
        <v>EASTON 7TH WARD</v>
      </c>
      <c r="D307" s="9" t="n">
        <f aca="false">'2026 Forecast A'!G289</f>
        <v>0.713395638629284</v>
      </c>
      <c r="E307" s="9" t="n">
        <f aca="false">'2026 Forecast B'!G289</f>
        <v>0.710769230769231</v>
      </c>
      <c r="F307" s="9" t="n">
        <f aca="false">'2026 Forecast C'!G289</f>
        <v>0.718562874251497</v>
      </c>
      <c r="G307" s="24" t="n">
        <f aca="false">(MAX(D307:F307)-MIN(D307:F307))*100</f>
        <v>0.779364348226619</v>
      </c>
      <c r="H307" s="24" t="n">
        <f aca="false">'2026 Forecast A'!J289</f>
        <v>3.25434931194355</v>
      </c>
      <c r="I307" s="24" t="n">
        <f aca="false">'2026 Forecast B'!J289</f>
        <v>3.09864730606258</v>
      </c>
      <c r="J307" s="24" t="n">
        <f aca="false">'2026 Forecast C'!J289</f>
        <v>3.7041269898902</v>
      </c>
      <c r="K307" s="25" t="n">
        <f aca="false">'2026 Forecast A'!F289</f>
        <v>321</v>
      </c>
      <c r="L307" s="26" t="str">
        <f aca="false">IF(OR(AND(D307&gt;0.5,E307&gt;0.5,F307&gt;0.5),AND(D307&lt;0.5,E307&lt;0.5,F307&lt;0.5)),"Yes","No — toss-up")</f>
        <v>Yes</v>
      </c>
    </row>
    <row r="308" customFormat="false" ht="15" hidden="false" customHeight="false" outlineLevel="0" collapsed="false">
      <c r="A308" s="8" t="str">
        <f aca="false">'2026 Forecast A'!A290</f>
        <v>Northampton</v>
      </c>
      <c r="B308" s="8" t="str">
        <f aca="false">'2026 Forecast A'!B290</f>
        <v>EASTON</v>
      </c>
      <c r="C308" s="8" t="str">
        <f aca="false">'2026 Forecast A'!C290</f>
        <v>EASTON 8TH WARD</v>
      </c>
      <c r="D308" s="9" t="n">
        <f aca="false">'2026 Forecast A'!G290</f>
        <v>0.657262277951933</v>
      </c>
      <c r="E308" s="9" t="n">
        <f aca="false">'2026 Forecast B'!G290</f>
        <v>0.662839248434238</v>
      </c>
      <c r="F308" s="9" t="n">
        <f aca="false">'2026 Forecast C'!G290</f>
        <v>0.655208333333333</v>
      </c>
      <c r="G308" s="24" t="n">
        <f aca="false">(MAX(D308:F308)-MIN(D308:F308))*100</f>
        <v>0.763091510090475</v>
      </c>
      <c r="H308" s="24" t="n">
        <f aca="false">'2026 Forecast A'!J290</f>
        <v>1.85532414445586</v>
      </c>
      <c r="I308" s="24" t="n">
        <f aca="false">'2026 Forecast B'!J290</f>
        <v>2.0110742867014</v>
      </c>
      <c r="J308" s="24" t="n">
        <f aca="false">'2026 Forecast C'!J290</f>
        <v>2.12060277043418</v>
      </c>
      <c r="K308" s="25" t="n">
        <f aca="false">'2026 Forecast A'!F290</f>
        <v>957</v>
      </c>
      <c r="L308" s="26" t="str">
        <f aca="false">IF(OR(AND(D308&gt;0.5,E308&gt;0.5,F308&gt;0.5),AND(D308&lt;0.5,E308&lt;0.5,F308&lt;0.5)),"Yes","No — toss-up")</f>
        <v>Yes</v>
      </c>
    </row>
    <row r="309" customFormat="false" ht="15" hidden="false" customHeight="false" outlineLevel="0" collapsed="false">
      <c r="A309" s="8" t="str">
        <f aca="false">'2026 Forecast A'!A291</f>
        <v>Northampton</v>
      </c>
      <c r="B309" s="8" t="str">
        <f aca="false">'2026 Forecast A'!B291</f>
        <v>EASTON</v>
      </c>
      <c r="C309" s="8" t="str">
        <f aca="false">'2026 Forecast A'!C291</f>
        <v>EASTON 9TH WARD</v>
      </c>
      <c r="D309" s="9" t="n">
        <f aca="false">'2026 Forecast A'!G291</f>
        <v>0.713368983957219</v>
      </c>
      <c r="E309" s="9" t="n">
        <f aca="false">'2026 Forecast B'!G291</f>
        <v>0.730646871686108</v>
      </c>
      <c r="F309" s="9" t="n">
        <f aca="false">'2026 Forecast C'!G291</f>
        <v>0.719052744886975</v>
      </c>
      <c r="G309" s="24" t="n">
        <f aca="false">(MAX(D309:F309)-MIN(D309:F309))*100</f>
        <v>1.72778877288889</v>
      </c>
      <c r="H309" s="24" t="n">
        <f aca="false">'2026 Forecast A'!J291</f>
        <v>1.85532414445586</v>
      </c>
      <c r="I309" s="24" t="n">
        <f aca="false">'2026 Forecast B'!J291</f>
        <v>2.0110742867014</v>
      </c>
      <c r="J309" s="24" t="n">
        <f aca="false">'2026 Forecast C'!J291</f>
        <v>2.12060277043418</v>
      </c>
      <c r="K309" s="25" t="n">
        <f aca="false">'2026 Forecast A'!F291</f>
        <v>935</v>
      </c>
      <c r="L309" s="26" t="str">
        <f aca="false">IF(OR(AND(D309&gt;0.5,E309&gt;0.5,F309&gt;0.5),AND(D309&lt;0.5,E309&lt;0.5,F309&lt;0.5)),"Yes","No — toss-up")</f>
        <v>Yes</v>
      </c>
    </row>
    <row r="310" customFormat="false" ht="15" hidden="false" customHeight="false" outlineLevel="0" collapsed="false">
      <c r="A310" s="8" t="str">
        <f aca="false">'2026 Forecast A'!A292</f>
        <v>Northampton</v>
      </c>
      <c r="B310" s="8" t="str">
        <f aca="false">'2026 Forecast A'!B292</f>
        <v>FORKS</v>
      </c>
      <c r="C310" s="8" t="str">
        <f aca="false">'2026 Forecast A'!C292</f>
        <v>FORKS TWSP EAST</v>
      </c>
      <c r="D310" s="9" t="n">
        <f aca="false">'2026 Forecast A'!G292</f>
        <v>0.536187113857017</v>
      </c>
      <c r="E310" s="9" t="n">
        <f aca="false">'2026 Forecast B'!G292</f>
        <v>0.543968183826779</v>
      </c>
      <c r="F310" s="9" t="n">
        <f aca="false">'2026 Forecast C'!G292</f>
        <v>0.535553555355536</v>
      </c>
      <c r="G310" s="24" t="n">
        <f aca="false">(MAX(D310:F310)-MIN(D310:F310))*100</f>
        <v>0.841462847124308</v>
      </c>
      <c r="H310" s="24" t="n">
        <f aca="false">'2026 Forecast A'!J292</f>
        <v>1.28585670084365</v>
      </c>
      <c r="I310" s="24" t="n">
        <f aca="false">'2026 Forecast B'!J292</f>
        <v>1.87006919874525</v>
      </c>
      <c r="J310" s="24" t="n">
        <f aca="false">'2026 Forecast C'!J292</f>
        <v>1.26135644325249</v>
      </c>
      <c r="K310" s="25" t="n">
        <f aca="false">'2026 Forecast A'!F292</f>
        <v>2266</v>
      </c>
      <c r="L310" s="26" t="str">
        <f aca="false">IF(OR(AND(D310&gt;0.5,E310&gt;0.5,F310&gt;0.5),AND(D310&lt;0.5,E310&lt;0.5,F310&lt;0.5)),"Yes","No — toss-up")</f>
        <v>Yes</v>
      </c>
    </row>
    <row r="311" customFormat="false" ht="15" hidden="false" customHeight="false" outlineLevel="0" collapsed="false">
      <c r="A311" s="8" t="str">
        <f aca="false">'2026 Forecast A'!A293</f>
        <v>Northampton</v>
      </c>
      <c r="B311" s="8" t="str">
        <f aca="false">'2026 Forecast A'!B293</f>
        <v>FORKS</v>
      </c>
      <c r="C311" s="8" t="str">
        <f aca="false">'2026 Forecast A'!C293</f>
        <v>FORKS TWSP NORTH</v>
      </c>
      <c r="D311" s="9" t="n">
        <f aca="false">'2026 Forecast A'!G293</f>
        <v>0.524835988753515</v>
      </c>
      <c r="E311" s="9" t="n">
        <f aca="false">'2026 Forecast B'!G293</f>
        <v>0.532212885154062</v>
      </c>
      <c r="F311" s="9" t="n">
        <f aca="false">'2026 Forecast C'!G293</f>
        <v>0.519408502772643</v>
      </c>
      <c r="G311" s="24" t="n">
        <f aca="false">(MAX(D311:F311)-MIN(D311:F311))*100</f>
        <v>1.28043823814183</v>
      </c>
      <c r="H311" s="24" t="n">
        <f aca="false">'2026 Forecast A'!J293</f>
        <v>1.85532414445586</v>
      </c>
      <c r="I311" s="24" t="n">
        <f aca="false">'2026 Forecast B'!J293</f>
        <v>2.0110742867014</v>
      </c>
      <c r="J311" s="24" t="n">
        <f aca="false">'2026 Forecast C'!J293</f>
        <v>2.12060277043418</v>
      </c>
      <c r="K311" s="25" t="n">
        <f aca="false">'2026 Forecast A'!F293</f>
        <v>1067</v>
      </c>
      <c r="L311" s="26" t="str">
        <f aca="false">IF(OR(AND(D311&gt;0.5,E311&gt;0.5,F311&gt;0.5),AND(D311&lt;0.5,E311&lt;0.5,F311&lt;0.5)),"Yes","No — toss-up")</f>
        <v>Yes</v>
      </c>
    </row>
    <row r="312" customFormat="false" ht="15" hidden="false" customHeight="false" outlineLevel="0" collapsed="false">
      <c r="A312" s="8" t="str">
        <f aca="false">'2026 Forecast A'!A294</f>
        <v>Northampton</v>
      </c>
      <c r="B312" s="8" t="str">
        <f aca="false">'2026 Forecast A'!B294</f>
        <v>FORKS</v>
      </c>
      <c r="C312" s="8" t="str">
        <f aca="false">'2026 Forecast A'!C294</f>
        <v>FORKS TWSP NORTHWEST</v>
      </c>
      <c r="D312" s="9" t="n">
        <f aca="false">'2026 Forecast A'!G294</f>
        <v>0.578439964943032</v>
      </c>
      <c r="E312" s="9" t="n">
        <f aca="false">'2026 Forecast B'!G294</f>
        <v>0.56540825285338</v>
      </c>
      <c r="F312" s="9" t="n">
        <f aca="false">'2026 Forecast C'!G294</f>
        <v>0.57619477006312</v>
      </c>
      <c r="G312" s="24" t="n">
        <f aca="false">(MAX(D312:F312)-MIN(D312:F312))*100</f>
        <v>1.30317120896523</v>
      </c>
      <c r="H312" s="24" t="n">
        <f aca="false">'2026 Forecast A'!J294</f>
        <v>1.85532414445586</v>
      </c>
      <c r="I312" s="24" t="n">
        <f aca="false">'2026 Forecast B'!J294</f>
        <v>2.0110742867014</v>
      </c>
      <c r="J312" s="24" t="n">
        <f aca="false">'2026 Forecast C'!J294</f>
        <v>2.12060277043418</v>
      </c>
      <c r="K312" s="25" t="n">
        <f aca="false">'2026 Forecast A'!F294</f>
        <v>1141</v>
      </c>
      <c r="L312" s="26" t="str">
        <f aca="false">IF(OR(AND(D312&gt;0.5,E312&gt;0.5,F312&gt;0.5),AND(D312&lt;0.5,E312&lt;0.5,F312&lt;0.5)),"Yes","No — toss-up")</f>
        <v>Yes</v>
      </c>
    </row>
    <row r="313" customFormat="false" ht="15" hidden="false" customHeight="false" outlineLevel="0" collapsed="false">
      <c r="A313" s="8" t="str">
        <f aca="false">'2026 Forecast A'!A295</f>
        <v>Northampton</v>
      </c>
      <c r="B313" s="8" t="str">
        <f aca="false">'2026 Forecast A'!B295</f>
        <v>FORKS</v>
      </c>
      <c r="C313" s="8" t="str">
        <f aca="false">'2026 Forecast A'!C295</f>
        <v>FORKS TWSP SOUTH</v>
      </c>
      <c r="D313" s="9" t="n">
        <f aca="false">'2026 Forecast A'!G295</f>
        <v>0.536363636363636</v>
      </c>
      <c r="E313" s="9" t="n">
        <f aca="false">'2026 Forecast B'!G295</f>
        <v>0.545867393278837</v>
      </c>
      <c r="F313" s="9" t="n">
        <f aca="false">'2026 Forecast C'!G295</f>
        <v>0.531895777178796</v>
      </c>
      <c r="G313" s="24" t="n">
        <f aca="false">(MAX(D313:F313)-MIN(D313:F313))*100</f>
        <v>1.39716161000414</v>
      </c>
      <c r="H313" s="24" t="n">
        <f aca="false">'2026 Forecast A'!J295</f>
        <v>1.85532414445586</v>
      </c>
      <c r="I313" s="24" t="n">
        <f aca="false">'2026 Forecast B'!J295</f>
        <v>2.0110742867014</v>
      </c>
      <c r="J313" s="24" t="n">
        <f aca="false">'2026 Forecast C'!J295</f>
        <v>2.12060277043418</v>
      </c>
      <c r="K313" s="25" t="n">
        <f aca="false">'2026 Forecast A'!F295</f>
        <v>1100</v>
      </c>
      <c r="L313" s="26" t="str">
        <f aca="false">IF(OR(AND(D313&gt;0.5,E313&gt;0.5,F313&gt;0.5),AND(D313&lt;0.5,E313&lt;0.5,F313&lt;0.5)),"Yes","No — toss-up")</f>
        <v>Yes</v>
      </c>
    </row>
    <row r="314" customFormat="false" ht="15" hidden="false" customHeight="false" outlineLevel="0" collapsed="false">
      <c r="A314" s="8" t="str">
        <f aca="false">'2026 Forecast A'!A296</f>
        <v>Northampton</v>
      </c>
      <c r="B314" s="8" t="str">
        <f aca="false">'2026 Forecast A'!B296</f>
        <v>FORKS</v>
      </c>
      <c r="C314" s="8" t="str">
        <f aca="false">'2026 Forecast A'!C296</f>
        <v>FORKS TWSP SOUTHEAST</v>
      </c>
      <c r="D314" s="9" t="n">
        <f aca="false">'2026 Forecast A'!G296</f>
        <v>0.55126582278481</v>
      </c>
      <c r="E314" s="9" t="n">
        <f aca="false">'2026 Forecast B'!G296</f>
        <v>0.559493670886076</v>
      </c>
      <c r="F314" s="9" t="n">
        <f aca="false">'2026 Forecast C'!G296</f>
        <v>0.552956465237167</v>
      </c>
      <c r="G314" s="24" t="n">
        <f aca="false">(MAX(D314:F314)-MIN(D314:F314))*100</f>
        <v>0.822784810126576</v>
      </c>
      <c r="H314" s="24" t="n">
        <f aca="false">'2026 Forecast A'!J296</f>
        <v>1.28585670084365</v>
      </c>
      <c r="I314" s="24" t="n">
        <f aca="false">'2026 Forecast B'!J296</f>
        <v>1.87006919874525</v>
      </c>
      <c r="J314" s="24" t="n">
        <f aca="false">'2026 Forecast C'!J296</f>
        <v>1.26135644325249</v>
      </c>
      <c r="K314" s="25" t="n">
        <f aca="false">'2026 Forecast A'!F296</f>
        <v>1580</v>
      </c>
      <c r="L314" s="26" t="str">
        <f aca="false">IF(OR(AND(D314&gt;0.5,E314&gt;0.5,F314&gt;0.5),AND(D314&lt;0.5,E314&lt;0.5,F314&lt;0.5)),"Yes","No — toss-up")</f>
        <v>Yes</v>
      </c>
    </row>
    <row r="315" customFormat="false" ht="15" hidden="false" customHeight="false" outlineLevel="0" collapsed="false">
      <c r="A315" s="8" t="str">
        <f aca="false">'2026 Forecast A'!A297</f>
        <v>Northampton</v>
      </c>
      <c r="B315" s="8" t="str">
        <f aca="false">'2026 Forecast A'!B297</f>
        <v>FORKS</v>
      </c>
      <c r="C315" s="8" t="str">
        <f aca="false">'2026 Forecast A'!C297</f>
        <v>FORKS TWSP SOUTHWEST</v>
      </c>
      <c r="D315" s="9" t="n">
        <f aca="false">'2026 Forecast A'!G297</f>
        <v>0.526800670016751</v>
      </c>
      <c r="E315" s="9" t="n">
        <f aca="false">'2026 Forecast B'!G297</f>
        <v>0.535833333333333</v>
      </c>
      <c r="F315" s="9" t="n">
        <f aca="false">'2026 Forecast C'!G297</f>
        <v>0.520627062706271</v>
      </c>
      <c r="G315" s="24" t="n">
        <f aca="false">(MAX(D315:F315)-MIN(D315:F315))*100</f>
        <v>1.52062706270627</v>
      </c>
      <c r="H315" s="24" t="n">
        <f aca="false">'2026 Forecast A'!J297</f>
        <v>1.85532414445586</v>
      </c>
      <c r="I315" s="24" t="n">
        <f aca="false">'2026 Forecast B'!J297</f>
        <v>1.87006919874525</v>
      </c>
      <c r="J315" s="24" t="n">
        <f aca="false">'2026 Forecast C'!J297</f>
        <v>1.26135644325249</v>
      </c>
      <c r="K315" s="25" t="n">
        <f aca="false">'2026 Forecast A'!F297</f>
        <v>1194</v>
      </c>
      <c r="L315" s="26" t="str">
        <f aca="false">IF(OR(AND(D315&gt;0.5,E315&gt;0.5,F315&gt;0.5),AND(D315&lt;0.5,E315&lt;0.5,F315&lt;0.5)),"Yes","No — toss-up")</f>
        <v>Yes</v>
      </c>
    </row>
    <row r="316" customFormat="false" ht="15" hidden="false" customHeight="false" outlineLevel="0" collapsed="false">
      <c r="A316" s="8" t="str">
        <f aca="false">'2026 Forecast A'!A298</f>
        <v>Northampton</v>
      </c>
      <c r="B316" s="8" t="str">
        <f aca="false">'2026 Forecast A'!B298</f>
        <v>FORKS</v>
      </c>
      <c r="C316" s="8" t="str">
        <f aca="false">'2026 Forecast A'!C298</f>
        <v>FORKS TWSP WEST</v>
      </c>
      <c r="D316" s="9" t="n">
        <f aca="false">'2026 Forecast A'!G298</f>
        <v>0.485809682804674</v>
      </c>
      <c r="E316" s="9" t="n">
        <f aca="false">'2026 Forecast B'!G298</f>
        <v>0.496253122398002</v>
      </c>
      <c r="F316" s="9" t="n">
        <f aca="false">'2026 Forecast C'!G298</f>
        <v>0.48586118251928</v>
      </c>
      <c r="G316" s="24" t="n">
        <f aca="false">(MAX(D316:F316)-MIN(D316:F316))*100</f>
        <v>1.04434395933272</v>
      </c>
      <c r="H316" s="24" t="n">
        <f aca="false">'2026 Forecast A'!J298</f>
        <v>1.85532414445586</v>
      </c>
      <c r="I316" s="24" t="n">
        <f aca="false">'2026 Forecast B'!J298</f>
        <v>1.87006919874525</v>
      </c>
      <c r="J316" s="24" t="n">
        <f aca="false">'2026 Forecast C'!J298</f>
        <v>2.12060277043418</v>
      </c>
      <c r="K316" s="25" t="n">
        <f aca="false">'2026 Forecast A'!F298</f>
        <v>1198</v>
      </c>
      <c r="L316" s="26" t="str">
        <f aca="false">IF(OR(AND(D316&gt;0.5,E316&gt;0.5,F316&gt;0.5),AND(D316&lt;0.5,E316&lt;0.5,F316&lt;0.5)),"Yes","No — toss-up")</f>
        <v>Yes</v>
      </c>
    </row>
    <row r="317" customFormat="false" ht="15" hidden="false" customHeight="false" outlineLevel="0" collapsed="false">
      <c r="A317" s="8" t="str">
        <f aca="false">'2026 Forecast A'!A299</f>
        <v>Northampton</v>
      </c>
      <c r="B317" s="8" t="str">
        <f aca="false">'2026 Forecast A'!B299</f>
        <v>FREEMANSBURG</v>
      </c>
      <c r="C317" s="8" t="str">
        <f aca="false">'2026 Forecast A'!C299</f>
        <v>FREEMANSBURG</v>
      </c>
      <c r="D317" s="9" t="n">
        <f aca="false">'2026 Forecast A'!G299</f>
        <v>0.632298136645963</v>
      </c>
      <c r="E317" s="9" t="n">
        <f aca="false">'2026 Forecast B'!G299</f>
        <v>0.638717632552404</v>
      </c>
      <c r="F317" s="9" t="n">
        <f aca="false">'2026 Forecast C'!G299</f>
        <v>0.63558282208589</v>
      </c>
      <c r="G317" s="24" t="n">
        <f aca="false">(MAX(D317:F317)-MIN(D317:F317))*100</f>
        <v>0.641949590644175</v>
      </c>
      <c r="H317" s="24" t="n">
        <f aca="false">'2026 Forecast A'!J299</f>
        <v>1.85532414445586</v>
      </c>
      <c r="I317" s="24" t="n">
        <f aca="false">'2026 Forecast B'!J299</f>
        <v>2.0110742867014</v>
      </c>
      <c r="J317" s="24" t="n">
        <f aca="false">'2026 Forecast C'!J299</f>
        <v>2.12060277043418</v>
      </c>
      <c r="K317" s="25" t="n">
        <f aca="false">'2026 Forecast A'!F299</f>
        <v>805</v>
      </c>
      <c r="L317" s="26" t="str">
        <f aca="false">IF(OR(AND(D317&gt;0.5,E317&gt;0.5,F317&gt;0.5),AND(D317&lt;0.5,E317&lt;0.5,F317&lt;0.5)),"Yes","No — toss-up")</f>
        <v>Yes</v>
      </c>
    </row>
    <row r="318" customFormat="false" ht="15" hidden="false" customHeight="false" outlineLevel="0" collapsed="false">
      <c r="A318" s="8" t="str">
        <f aca="false">'2026 Forecast A'!A300</f>
        <v>Northampton</v>
      </c>
      <c r="B318" s="8" t="str">
        <f aca="false">'2026 Forecast A'!B300</f>
        <v>GLENDON</v>
      </c>
      <c r="C318" s="8" t="str">
        <f aca="false">'2026 Forecast A'!C300</f>
        <v>GLENDON</v>
      </c>
      <c r="D318" s="9" t="n">
        <f aca="false">'2026 Forecast A'!G300</f>
        <v>0.554838709677419</v>
      </c>
      <c r="E318" s="9" t="n">
        <f aca="false">'2026 Forecast B'!G300</f>
        <v>0.554838709677419</v>
      </c>
      <c r="F318" s="9" t="n">
        <f aca="false">'2026 Forecast C'!G300</f>
        <v>0.552631578947369</v>
      </c>
      <c r="G318" s="24" t="n">
        <f aca="false">(MAX(D318:F318)-MIN(D318:F318))*100</f>
        <v>0.220713073005085</v>
      </c>
      <c r="H318" s="24" t="n">
        <f aca="false">'2026 Forecast A'!J300</f>
        <v>3.25434931194355</v>
      </c>
      <c r="I318" s="24" t="n">
        <f aca="false">'2026 Forecast B'!J300</f>
        <v>3.09864730606258</v>
      </c>
      <c r="J318" s="24" t="n">
        <f aca="false">'2026 Forecast C'!J300</f>
        <v>3.7041269898902</v>
      </c>
      <c r="K318" s="25" t="n">
        <f aca="false">'2026 Forecast A'!F300</f>
        <v>155</v>
      </c>
      <c r="L318" s="26" t="str">
        <f aca="false">IF(OR(AND(D318&gt;0.5,E318&gt;0.5,F318&gt;0.5),AND(D318&lt;0.5,E318&lt;0.5,F318&lt;0.5)),"Yes","No — toss-up")</f>
        <v>Yes</v>
      </c>
    </row>
    <row r="319" customFormat="false" ht="15" hidden="false" customHeight="false" outlineLevel="0" collapsed="false">
      <c r="A319" s="8" t="str">
        <f aca="false">'2026 Forecast A'!A301</f>
        <v>Northampton</v>
      </c>
      <c r="B319" s="8" t="str">
        <f aca="false">'2026 Forecast A'!B301</f>
        <v>HANOVER</v>
      </c>
      <c r="C319" s="8" t="str">
        <f aca="false">'2026 Forecast A'!C301</f>
        <v>HANOVER #1</v>
      </c>
      <c r="D319" s="9" t="n">
        <f aca="false">'2026 Forecast A'!G301</f>
        <v>0.623147494707128</v>
      </c>
      <c r="E319" s="9" t="n">
        <f aca="false">'2026 Forecast B'!G301</f>
        <v>0.615330520393812</v>
      </c>
      <c r="F319" s="9" t="n">
        <f aca="false">'2026 Forecast C'!G301</f>
        <v>0.629043853342919</v>
      </c>
      <c r="G319" s="24" t="n">
        <f aca="false">(MAX(D319:F319)-MIN(D319:F319))*100</f>
        <v>1.37133329491073</v>
      </c>
      <c r="H319" s="24" t="n">
        <f aca="false">'2026 Forecast A'!J301</f>
        <v>1.28585670084365</v>
      </c>
      <c r="I319" s="24" t="n">
        <f aca="false">'2026 Forecast B'!J301</f>
        <v>1.87006919874525</v>
      </c>
      <c r="J319" s="24" t="n">
        <f aca="false">'2026 Forecast C'!J301</f>
        <v>1.26135644325249</v>
      </c>
      <c r="K319" s="25" t="n">
        <f aca="false">'2026 Forecast A'!F301</f>
        <v>1417</v>
      </c>
      <c r="L319" s="26" t="str">
        <f aca="false">IF(OR(AND(D319&gt;0.5,E319&gt;0.5,F319&gt;0.5),AND(D319&lt;0.5,E319&lt;0.5,F319&lt;0.5)),"Yes","No — toss-up")</f>
        <v>Yes</v>
      </c>
    </row>
    <row r="320" customFormat="false" ht="15" hidden="false" customHeight="false" outlineLevel="0" collapsed="false">
      <c r="A320" s="8" t="str">
        <f aca="false">'2026 Forecast A'!A302</f>
        <v>Northampton</v>
      </c>
      <c r="B320" s="8" t="str">
        <f aca="false">'2026 Forecast A'!B302</f>
        <v>HANOVER</v>
      </c>
      <c r="C320" s="8" t="str">
        <f aca="false">'2026 Forecast A'!C302</f>
        <v>HANOVER #2</v>
      </c>
      <c r="D320" s="9" t="n">
        <f aca="false">'2026 Forecast A'!G302</f>
        <v>0.593684210526316</v>
      </c>
      <c r="E320" s="9" t="n">
        <f aca="false">'2026 Forecast B'!G302</f>
        <v>0.593006993006993</v>
      </c>
      <c r="F320" s="9" t="n">
        <f aca="false">'2026 Forecast C'!G302</f>
        <v>0.597857142857143</v>
      </c>
      <c r="G320" s="24" t="n">
        <f aca="false">(MAX(D320:F320)-MIN(D320:F320))*100</f>
        <v>0.485014985014987</v>
      </c>
      <c r="H320" s="24" t="n">
        <f aca="false">'2026 Forecast A'!J302</f>
        <v>1.28585670084365</v>
      </c>
      <c r="I320" s="24" t="n">
        <f aca="false">'2026 Forecast B'!J302</f>
        <v>1.87006919874525</v>
      </c>
      <c r="J320" s="24" t="n">
        <f aca="false">'2026 Forecast C'!J302</f>
        <v>1.26135644325249</v>
      </c>
      <c r="K320" s="25" t="n">
        <f aca="false">'2026 Forecast A'!F302</f>
        <v>1425</v>
      </c>
      <c r="L320" s="26" t="str">
        <f aca="false">IF(OR(AND(D320&gt;0.5,E320&gt;0.5,F320&gt;0.5),AND(D320&lt;0.5,E320&lt;0.5,F320&lt;0.5)),"Yes","No — toss-up")</f>
        <v>Yes</v>
      </c>
    </row>
    <row r="321" customFormat="false" ht="15" hidden="false" customHeight="false" outlineLevel="0" collapsed="false">
      <c r="A321" s="8" t="str">
        <f aca="false">'2026 Forecast A'!A303</f>
        <v>Northampton</v>
      </c>
      <c r="B321" s="8" t="str">
        <f aca="false">'2026 Forecast A'!B303</f>
        <v>HANOVER</v>
      </c>
      <c r="C321" s="8" t="str">
        <f aca="false">'2026 Forecast A'!C303</f>
        <v>HANOVER #3</v>
      </c>
      <c r="D321" s="9" t="n">
        <f aca="false">'2026 Forecast A'!G303</f>
        <v>0.555699481865285</v>
      </c>
      <c r="E321" s="9" t="n">
        <f aca="false">'2026 Forecast B'!G303</f>
        <v>0.555844155844156</v>
      </c>
      <c r="F321" s="9" t="n">
        <f aca="false">'2026 Forecast C'!G303</f>
        <v>0.55890052356021</v>
      </c>
      <c r="G321" s="24" t="n">
        <f aca="false">(MAX(D321:F321)-MIN(D321:F321))*100</f>
        <v>0.320104169492452</v>
      </c>
      <c r="H321" s="24" t="n">
        <f aca="false">'2026 Forecast A'!J303</f>
        <v>3.25434931194355</v>
      </c>
      <c r="I321" s="24" t="n">
        <f aca="false">'2026 Forecast B'!J303</f>
        <v>3.09864730606258</v>
      </c>
      <c r="J321" s="24" t="n">
        <f aca="false">'2026 Forecast C'!J303</f>
        <v>3.7041269898902</v>
      </c>
      <c r="K321" s="25" t="n">
        <f aca="false">'2026 Forecast A'!F303</f>
        <v>772</v>
      </c>
      <c r="L321" s="26" t="str">
        <f aca="false">IF(OR(AND(D321&gt;0.5,E321&gt;0.5,F321&gt;0.5),AND(D321&lt;0.5,E321&lt;0.5,F321&lt;0.5)),"Yes","No — toss-up")</f>
        <v>Yes</v>
      </c>
    </row>
    <row r="322" customFormat="false" ht="15" hidden="false" customHeight="false" outlineLevel="0" collapsed="false">
      <c r="A322" s="8" t="str">
        <f aca="false">'2026 Forecast A'!A304</f>
        <v>Northampton</v>
      </c>
      <c r="B322" s="8" t="str">
        <f aca="false">'2026 Forecast A'!B304</f>
        <v>HANOVER</v>
      </c>
      <c r="C322" s="8" t="str">
        <f aca="false">'2026 Forecast A'!C304</f>
        <v>HANOVER #4</v>
      </c>
      <c r="D322" s="9" t="n">
        <f aca="false">'2026 Forecast A'!G304</f>
        <v>0.559157212317666</v>
      </c>
      <c r="E322" s="9" t="n">
        <f aca="false">'2026 Forecast B'!G304</f>
        <v>0.557085020242915</v>
      </c>
      <c r="F322" s="9" t="n">
        <f aca="false">'2026 Forecast C'!G304</f>
        <v>0.561115668580804</v>
      </c>
      <c r="G322" s="24" t="n">
        <f aca="false">(MAX(D322:F322)-MIN(D322:F322))*100</f>
        <v>0.403064833788902</v>
      </c>
      <c r="H322" s="24" t="n">
        <f aca="false">'2026 Forecast A'!J304</f>
        <v>1.28585670084365</v>
      </c>
      <c r="I322" s="24" t="n">
        <f aca="false">'2026 Forecast B'!J304</f>
        <v>1.87006919874525</v>
      </c>
      <c r="J322" s="24" t="n">
        <f aca="false">'2026 Forecast C'!J304</f>
        <v>1.26135644325249</v>
      </c>
      <c r="K322" s="25" t="n">
        <f aca="false">'2026 Forecast A'!F304</f>
        <v>1234</v>
      </c>
      <c r="L322" s="26" t="str">
        <f aca="false">IF(OR(AND(D322&gt;0.5,E322&gt;0.5,F322&gt;0.5),AND(D322&lt;0.5,E322&lt;0.5,F322&lt;0.5)),"Yes","No — toss-up")</f>
        <v>Yes</v>
      </c>
    </row>
    <row r="323" customFormat="false" ht="15" hidden="false" customHeight="false" outlineLevel="0" collapsed="false">
      <c r="A323" s="8" t="str">
        <f aca="false">'2026 Forecast A'!A305</f>
        <v>Northampton</v>
      </c>
      <c r="B323" s="8" t="str">
        <f aca="false">'2026 Forecast A'!B305</f>
        <v>HANOVER</v>
      </c>
      <c r="C323" s="8" t="str">
        <f aca="false">'2026 Forecast A'!C305</f>
        <v>HANOVER #5</v>
      </c>
      <c r="D323" s="9" t="n">
        <f aca="false">'2026 Forecast A'!G305</f>
        <v>0.592446892210858</v>
      </c>
      <c r="E323" s="9" t="n">
        <f aca="false">'2026 Forecast B'!G305</f>
        <v>0.590086546026751</v>
      </c>
      <c r="F323" s="9" t="n">
        <f aca="false">'2026 Forecast C'!G305</f>
        <v>0.597299444003177</v>
      </c>
      <c r="G323" s="24" t="n">
        <f aca="false">(MAX(D323:F323)-MIN(D323:F323))*100</f>
        <v>0.721289797642655</v>
      </c>
      <c r="H323" s="24" t="n">
        <f aca="false">'2026 Forecast A'!J305</f>
        <v>1.28585670084365</v>
      </c>
      <c r="I323" s="24" t="n">
        <f aca="false">'2026 Forecast B'!J305</f>
        <v>1.87006919874525</v>
      </c>
      <c r="J323" s="24" t="n">
        <f aca="false">'2026 Forecast C'!J305</f>
        <v>1.26135644325249</v>
      </c>
      <c r="K323" s="25" t="n">
        <f aca="false">'2026 Forecast A'!F305</f>
        <v>1271</v>
      </c>
      <c r="L323" s="26" t="str">
        <f aca="false">IF(OR(AND(D323&gt;0.5,E323&gt;0.5,F323&gt;0.5),AND(D323&lt;0.5,E323&lt;0.5,F323&lt;0.5)),"Yes","No — toss-up")</f>
        <v>Yes</v>
      </c>
    </row>
    <row r="324" customFormat="false" ht="15" hidden="false" customHeight="false" outlineLevel="0" collapsed="false">
      <c r="A324" s="8" t="str">
        <f aca="false">'2026 Forecast A'!A306</f>
        <v>Northampton</v>
      </c>
      <c r="B324" s="8" t="str">
        <f aca="false">'2026 Forecast A'!B306</f>
        <v>HANOVER</v>
      </c>
      <c r="C324" s="8" t="str">
        <f aca="false">'2026 Forecast A'!C306</f>
        <v>HANOVER #6</v>
      </c>
      <c r="D324" s="9" t="n">
        <f aca="false">'2026 Forecast A'!G306</f>
        <v>0.563569682151589</v>
      </c>
      <c r="E324" s="9" t="n">
        <f aca="false">'2026 Forecast B'!G306</f>
        <v>0.565323565323565</v>
      </c>
      <c r="F324" s="9" t="n">
        <f aca="false">'2026 Forecast C'!G306</f>
        <v>0.567164179104478</v>
      </c>
      <c r="G324" s="24" t="n">
        <f aca="false">(MAX(D324:F324)-MIN(D324:F324))*100</f>
        <v>0.359449695288838</v>
      </c>
      <c r="H324" s="24" t="n">
        <f aca="false">'2026 Forecast A'!J306</f>
        <v>1.85532414445586</v>
      </c>
      <c r="I324" s="24" t="n">
        <f aca="false">'2026 Forecast B'!J306</f>
        <v>2.0110742867014</v>
      </c>
      <c r="J324" s="24" t="n">
        <f aca="false">'2026 Forecast C'!J306</f>
        <v>2.12060277043418</v>
      </c>
      <c r="K324" s="25" t="n">
        <f aca="false">'2026 Forecast A'!F306</f>
        <v>818</v>
      </c>
      <c r="L324" s="26" t="str">
        <f aca="false">IF(OR(AND(D324&gt;0.5,E324&gt;0.5,F324&gt;0.5),AND(D324&lt;0.5,E324&lt;0.5,F324&lt;0.5)),"Yes","No — toss-up")</f>
        <v>Yes</v>
      </c>
    </row>
    <row r="325" customFormat="false" ht="15" hidden="false" customHeight="false" outlineLevel="0" collapsed="false">
      <c r="A325" s="8" t="str">
        <f aca="false">'2026 Forecast A'!A307</f>
        <v>Northampton</v>
      </c>
      <c r="B325" s="8" t="str">
        <f aca="false">'2026 Forecast A'!B307</f>
        <v>HELLERTOWN</v>
      </c>
      <c r="C325" s="8" t="str">
        <f aca="false">'2026 Forecast A'!C307</f>
        <v>HELLERTOWN BORO 1ST WARD</v>
      </c>
      <c r="D325" s="9" t="n">
        <f aca="false">'2026 Forecast A'!G307</f>
        <v>0.539349422875131</v>
      </c>
      <c r="E325" s="9" t="n">
        <f aca="false">'2026 Forecast B'!G307</f>
        <v>0.545741324921136</v>
      </c>
      <c r="F325" s="9" t="n">
        <f aca="false">'2026 Forecast C'!G307</f>
        <v>0.540084388185654</v>
      </c>
      <c r="G325" s="24" t="n">
        <f aca="false">(MAX(D325:F325)-MIN(D325:F325))*100</f>
        <v>0.639190204600448</v>
      </c>
      <c r="H325" s="24" t="n">
        <f aca="false">'2026 Forecast A'!J307</f>
        <v>1.85532414445586</v>
      </c>
      <c r="I325" s="24" t="n">
        <f aca="false">'2026 Forecast B'!J307</f>
        <v>2.0110742867014</v>
      </c>
      <c r="J325" s="24" t="n">
        <f aca="false">'2026 Forecast C'!J307</f>
        <v>2.12060277043418</v>
      </c>
      <c r="K325" s="25" t="n">
        <f aca="false">'2026 Forecast A'!F307</f>
        <v>953</v>
      </c>
      <c r="L325" s="26" t="str">
        <f aca="false">IF(OR(AND(D325&gt;0.5,E325&gt;0.5,F325&gt;0.5),AND(D325&lt;0.5,E325&lt;0.5,F325&lt;0.5)),"Yes","No — toss-up")</f>
        <v>Yes</v>
      </c>
    </row>
    <row r="326" customFormat="false" ht="15" hidden="false" customHeight="false" outlineLevel="0" collapsed="false">
      <c r="A326" s="8" t="str">
        <f aca="false">'2026 Forecast A'!A308</f>
        <v>Northampton</v>
      </c>
      <c r="B326" s="8" t="str">
        <f aca="false">'2026 Forecast A'!B308</f>
        <v>HELLERTOWN</v>
      </c>
      <c r="C326" s="8" t="str">
        <f aca="false">'2026 Forecast A'!C308</f>
        <v>HELLERTOWN BORO 2ND WARD</v>
      </c>
      <c r="D326" s="9" t="n">
        <f aca="false">'2026 Forecast A'!G308</f>
        <v>0.552097428958052</v>
      </c>
      <c r="E326" s="9" t="n">
        <f aca="false">'2026 Forecast B'!G308</f>
        <v>0.559183673469388</v>
      </c>
      <c r="F326" s="9" t="n">
        <f aca="false">'2026 Forecast C'!G308</f>
        <v>0.553571428571429</v>
      </c>
      <c r="G326" s="24" t="n">
        <f aca="false">(MAX(D326:F326)-MIN(D326:F326))*100</f>
        <v>0.708624451133633</v>
      </c>
      <c r="H326" s="24" t="n">
        <f aca="false">'2026 Forecast A'!J308</f>
        <v>3.25434931194355</v>
      </c>
      <c r="I326" s="24" t="n">
        <f aca="false">'2026 Forecast B'!J308</f>
        <v>3.09864730606258</v>
      </c>
      <c r="J326" s="24" t="n">
        <f aca="false">'2026 Forecast C'!J308</f>
        <v>3.7041269898902</v>
      </c>
      <c r="K326" s="25" t="n">
        <f aca="false">'2026 Forecast A'!F308</f>
        <v>739</v>
      </c>
      <c r="L326" s="26" t="str">
        <f aca="false">IF(OR(AND(D326&gt;0.5,E326&gt;0.5,F326&gt;0.5),AND(D326&lt;0.5,E326&lt;0.5,F326&lt;0.5)),"Yes","No — toss-up")</f>
        <v>Yes</v>
      </c>
    </row>
    <row r="327" customFormat="false" ht="15" hidden="false" customHeight="false" outlineLevel="0" collapsed="false">
      <c r="A327" s="8" t="str">
        <f aca="false">'2026 Forecast A'!A309</f>
        <v>Northampton</v>
      </c>
      <c r="B327" s="8" t="str">
        <f aca="false">'2026 Forecast A'!B309</f>
        <v>HELLERTOWN</v>
      </c>
      <c r="C327" s="8" t="str">
        <f aca="false">'2026 Forecast A'!C309</f>
        <v>HELLERTOWN BORO 3RD WARD</v>
      </c>
      <c r="D327" s="9" t="n">
        <f aca="false">'2026 Forecast A'!G309</f>
        <v>0.56581352833638</v>
      </c>
      <c r="E327" s="9" t="n">
        <f aca="false">'2026 Forecast B'!G309</f>
        <v>0.569202566452796</v>
      </c>
      <c r="F327" s="9" t="n">
        <f aca="false">'2026 Forecast C'!G309</f>
        <v>0.569302325581395</v>
      </c>
      <c r="G327" s="24" t="n">
        <f aca="false">(MAX(D327:F327)-MIN(D327:F327))*100</f>
        <v>0.348879724501516</v>
      </c>
      <c r="H327" s="24" t="n">
        <f aca="false">'2026 Forecast A'!J309</f>
        <v>1.85532414445586</v>
      </c>
      <c r="I327" s="24" t="n">
        <f aca="false">'2026 Forecast B'!J309</f>
        <v>2.0110742867014</v>
      </c>
      <c r="J327" s="24" t="n">
        <f aca="false">'2026 Forecast C'!J309</f>
        <v>2.12060277043418</v>
      </c>
      <c r="K327" s="25" t="n">
        <f aca="false">'2026 Forecast A'!F309</f>
        <v>1094</v>
      </c>
      <c r="L327" s="26" t="str">
        <f aca="false">IF(OR(AND(D327&gt;0.5,E327&gt;0.5,F327&gt;0.5),AND(D327&lt;0.5,E327&lt;0.5,F327&lt;0.5)),"Yes","No — toss-up")</f>
        <v>Yes</v>
      </c>
    </row>
    <row r="328" customFormat="false" ht="15" hidden="false" customHeight="false" outlineLevel="0" collapsed="false">
      <c r="A328" s="8" t="str">
        <f aca="false">'2026 Forecast A'!A310</f>
        <v>Northampton</v>
      </c>
      <c r="B328" s="8" t="str">
        <f aca="false">'2026 Forecast A'!B310</f>
        <v>LEHIGH</v>
      </c>
      <c r="C328" s="8" t="str">
        <f aca="false">'2026 Forecast A'!C310</f>
        <v>LEHIGH TWSP - CENTRAL</v>
      </c>
      <c r="D328" s="9" t="n">
        <f aca="false">'2026 Forecast A'!G310</f>
        <v>0.384778012684989</v>
      </c>
      <c r="E328" s="9" t="n">
        <f aca="false">'2026 Forecast B'!G310</f>
        <v>0.388615600843289</v>
      </c>
      <c r="F328" s="9" t="n">
        <f aca="false">'2026 Forecast C'!G310</f>
        <v>0.378014184397163</v>
      </c>
      <c r="G328" s="24" t="n">
        <f aca="false">(MAX(D328:F328)-MIN(D328:F328))*100</f>
        <v>1.06014164461257</v>
      </c>
      <c r="H328" s="24" t="n">
        <f aca="false">'2026 Forecast A'!J310</f>
        <v>1.28585670084365</v>
      </c>
      <c r="I328" s="24" t="n">
        <f aca="false">'2026 Forecast B'!J310</f>
        <v>1.87006919874525</v>
      </c>
      <c r="J328" s="24" t="n">
        <f aca="false">'2026 Forecast C'!J310</f>
        <v>1.26135644325249</v>
      </c>
      <c r="K328" s="25" t="n">
        <f aca="false">'2026 Forecast A'!F310</f>
        <v>1419</v>
      </c>
      <c r="L328" s="26" t="str">
        <f aca="false">IF(OR(AND(D328&gt;0.5,E328&gt;0.5,F328&gt;0.5),AND(D328&lt;0.5,E328&lt;0.5,F328&lt;0.5)),"Yes","No — toss-up")</f>
        <v>Yes</v>
      </c>
    </row>
    <row r="329" customFormat="false" ht="15" hidden="false" customHeight="false" outlineLevel="0" collapsed="false">
      <c r="A329" s="8" t="str">
        <f aca="false">'2026 Forecast A'!A311</f>
        <v>Northampton</v>
      </c>
      <c r="B329" s="8" t="str">
        <f aca="false">'2026 Forecast A'!B311</f>
        <v>LEHIGH</v>
      </c>
      <c r="C329" s="8" t="str">
        <f aca="false">'2026 Forecast A'!C311</f>
        <v>LEHIGH TWSP - DANIELSVILLE</v>
      </c>
      <c r="D329" s="9" t="n">
        <f aca="false">'2026 Forecast A'!G311</f>
        <v>0.388681592039801</v>
      </c>
      <c r="E329" s="9" t="n">
        <f aca="false">'2026 Forecast B'!G311</f>
        <v>0.389788293897883</v>
      </c>
      <c r="F329" s="9" t="n">
        <f aca="false">'2026 Forecast C'!G311</f>
        <v>0.382149591451917</v>
      </c>
      <c r="G329" s="24" t="n">
        <f aca="false">(MAX(D329:F329)-MIN(D329:F329))*100</f>
        <v>0.763870244596593</v>
      </c>
      <c r="H329" s="24" t="n">
        <f aca="false">'2026 Forecast A'!J311</f>
        <v>1.28585670084365</v>
      </c>
      <c r="I329" s="24" t="n">
        <f aca="false">'2026 Forecast B'!J311</f>
        <v>1.87006919874525</v>
      </c>
      <c r="J329" s="24" t="n">
        <f aca="false">'2026 Forecast C'!J311</f>
        <v>1.26135644325249</v>
      </c>
      <c r="K329" s="25" t="n">
        <f aca="false">'2026 Forecast A'!F311</f>
        <v>1608</v>
      </c>
      <c r="L329" s="26" t="str">
        <f aca="false">IF(OR(AND(D329&gt;0.5,E329&gt;0.5,F329&gt;0.5),AND(D329&lt;0.5,E329&lt;0.5,F329&lt;0.5)),"Yes","No — toss-up")</f>
        <v>Yes</v>
      </c>
    </row>
    <row r="330" customFormat="false" ht="15" hidden="false" customHeight="false" outlineLevel="0" collapsed="false">
      <c r="A330" s="8" t="str">
        <f aca="false">'2026 Forecast A'!A312</f>
        <v>Northampton</v>
      </c>
      <c r="B330" s="8" t="str">
        <f aca="false">'2026 Forecast A'!B312</f>
        <v>LEHIGH</v>
      </c>
      <c r="C330" s="8" t="str">
        <f aca="false">'2026 Forecast A'!C312</f>
        <v>LEHIGH TWSP - NORTHWESTERN</v>
      </c>
      <c r="D330" s="9" t="n">
        <f aca="false">'2026 Forecast A'!G312</f>
        <v>0.352112676056338</v>
      </c>
      <c r="E330" s="9" t="n">
        <f aca="false">'2026 Forecast B'!G312</f>
        <v>0.35978835978836</v>
      </c>
      <c r="F330" s="9" t="n">
        <f aca="false">'2026 Forecast C'!G312</f>
        <v>0.344765342960289</v>
      </c>
      <c r="G330" s="24" t="n">
        <f aca="false">(MAX(D330:F330)-MIN(D330:F330))*100</f>
        <v>1.50230168280709</v>
      </c>
      <c r="H330" s="24" t="n">
        <f aca="false">'2026 Forecast A'!J312</f>
        <v>3.25434931194355</v>
      </c>
      <c r="I330" s="24" t="n">
        <f aca="false">'2026 Forecast B'!J312</f>
        <v>3.09864730606258</v>
      </c>
      <c r="J330" s="24" t="n">
        <f aca="false">'2026 Forecast C'!J312</f>
        <v>3.7041269898902</v>
      </c>
      <c r="K330" s="25" t="n">
        <f aca="false">'2026 Forecast A'!F312</f>
        <v>568</v>
      </c>
      <c r="L330" s="26" t="str">
        <f aca="false">IF(OR(AND(D330&gt;0.5,E330&gt;0.5,F330&gt;0.5),AND(D330&lt;0.5,E330&lt;0.5,F330&lt;0.5)),"Yes","No — toss-up")</f>
        <v>Yes</v>
      </c>
    </row>
    <row r="331" customFormat="false" ht="15" hidden="false" customHeight="false" outlineLevel="0" collapsed="false">
      <c r="A331" s="8" t="str">
        <f aca="false">'2026 Forecast A'!A313</f>
        <v>Northampton</v>
      </c>
      <c r="B331" s="8" t="str">
        <f aca="false">'2026 Forecast A'!B313</f>
        <v>LEHIGH</v>
      </c>
      <c r="C331" s="8" t="str">
        <f aca="false">'2026 Forecast A'!C313</f>
        <v>LEHIGH TWSP - PENNSVILLE</v>
      </c>
      <c r="D331" s="9" t="n">
        <f aca="false">'2026 Forecast A'!G313</f>
        <v>0.393030794165316</v>
      </c>
      <c r="E331" s="9" t="n">
        <f aca="false">'2026 Forecast B'!G313</f>
        <v>0.394822006472492</v>
      </c>
      <c r="F331" s="9" t="n">
        <f aca="false">'2026 Forecast C'!G313</f>
        <v>0.386568386568387</v>
      </c>
      <c r="G331" s="24" t="n">
        <f aca="false">(MAX(D331:F331)-MIN(D331:F331))*100</f>
        <v>0.825361990410534</v>
      </c>
      <c r="H331" s="24" t="n">
        <f aca="false">'2026 Forecast A'!J313</f>
        <v>1.28585670084365</v>
      </c>
      <c r="I331" s="24" t="n">
        <f aca="false">'2026 Forecast B'!J313</f>
        <v>1.87006919874525</v>
      </c>
      <c r="J331" s="24" t="n">
        <f aca="false">'2026 Forecast C'!J313</f>
        <v>1.26135644325249</v>
      </c>
      <c r="K331" s="25" t="n">
        <f aca="false">'2026 Forecast A'!F313</f>
        <v>1234</v>
      </c>
      <c r="L331" s="26" t="str">
        <f aca="false">IF(OR(AND(D331&gt;0.5,E331&gt;0.5,F331&gt;0.5),AND(D331&lt;0.5,E331&lt;0.5,F331&lt;0.5)),"Yes","No — toss-up")</f>
        <v>Yes</v>
      </c>
    </row>
    <row r="332" customFormat="false" ht="15" hidden="false" customHeight="false" outlineLevel="0" collapsed="false">
      <c r="A332" s="8" t="str">
        <f aca="false">'2026 Forecast A'!A314</f>
        <v>Northampton</v>
      </c>
      <c r="B332" s="8" t="str">
        <f aca="false">'2026 Forecast A'!B314</f>
        <v>LEHIGH</v>
      </c>
      <c r="C332" s="8" t="str">
        <f aca="false">'2026 Forecast A'!C314</f>
        <v>LEHIGH TWSP - TREICHLERS</v>
      </c>
      <c r="D332" s="9" t="n">
        <f aca="false">'2026 Forecast A'!G314</f>
        <v>0.399545970488082</v>
      </c>
      <c r="E332" s="9" t="n">
        <f aca="false">'2026 Forecast B'!G314</f>
        <v>0.397291196388262</v>
      </c>
      <c r="F332" s="9" t="n">
        <f aca="false">'2026 Forecast C'!G314</f>
        <v>0.392898052691867</v>
      </c>
      <c r="G332" s="24" t="n">
        <f aca="false">(MAX(D332:F332)-MIN(D332:F332))*100</f>
        <v>0.66479177962146</v>
      </c>
      <c r="H332" s="24" t="n">
        <f aca="false">'2026 Forecast A'!J314</f>
        <v>1.85532414445586</v>
      </c>
      <c r="I332" s="24" t="n">
        <f aca="false">'2026 Forecast B'!J314</f>
        <v>2.0110742867014</v>
      </c>
      <c r="J332" s="24" t="n">
        <f aca="false">'2026 Forecast C'!J314</f>
        <v>2.12060277043418</v>
      </c>
      <c r="K332" s="25" t="n">
        <f aca="false">'2026 Forecast A'!F314</f>
        <v>881</v>
      </c>
      <c r="L332" s="26" t="str">
        <f aca="false">IF(OR(AND(D332&gt;0.5,E332&gt;0.5,F332&gt;0.5),AND(D332&lt;0.5,E332&lt;0.5,F332&lt;0.5)),"Yes","No — toss-up")</f>
        <v>Yes</v>
      </c>
    </row>
    <row r="333" customFormat="false" ht="15" hidden="false" customHeight="false" outlineLevel="0" collapsed="false">
      <c r="A333" s="8" t="str">
        <f aca="false">'2026 Forecast A'!A315</f>
        <v>Northampton</v>
      </c>
      <c r="B333" s="8" t="str">
        <f aca="false">'2026 Forecast A'!B315</f>
        <v>LOWER MOUNT BETHEL</v>
      </c>
      <c r="C333" s="8" t="str">
        <f aca="false">'2026 Forecast A'!C315</f>
        <v>LOWER MT BETHEL - LOWER</v>
      </c>
      <c r="D333" s="9" t="n">
        <f aca="false">'2026 Forecast A'!G315</f>
        <v>0.397526501766784</v>
      </c>
      <c r="E333" s="9" t="n">
        <f aca="false">'2026 Forecast B'!G315</f>
        <v>0.39646017699115</v>
      </c>
      <c r="F333" s="9" t="n">
        <f aca="false">'2026 Forecast C'!G315</f>
        <v>0.39568345323741</v>
      </c>
      <c r="G333" s="24" t="n">
        <f aca="false">(MAX(D333:F333)-MIN(D333:F333))*100</f>
        <v>0.184304852937439</v>
      </c>
      <c r="H333" s="24" t="n">
        <f aca="false">'2026 Forecast A'!J315</f>
        <v>3.25434931194355</v>
      </c>
      <c r="I333" s="24" t="n">
        <f aca="false">'2026 Forecast B'!J315</f>
        <v>3.09864730606258</v>
      </c>
      <c r="J333" s="24" t="n">
        <f aca="false">'2026 Forecast C'!J315</f>
        <v>3.7041269898902</v>
      </c>
      <c r="K333" s="25" t="n">
        <f aca="false">'2026 Forecast A'!F315</f>
        <v>566</v>
      </c>
      <c r="L333" s="26" t="str">
        <f aca="false">IF(OR(AND(D333&gt;0.5,E333&gt;0.5,F333&gt;0.5),AND(D333&lt;0.5,E333&lt;0.5,F333&lt;0.5)),"Yes","No — toss-up")</f>
        <v>Yes</v>
      </c>
    </row>
    <row r="334" customFormat="false" ht="15" hidden="false" customHeight="false" outlineLevel="0" collapsed="false">
      <c r="A334" s="8" t="str">
        <f aca="false">'2026 Forecast A'!A316</f>
        <v>Northampton</v>
      </c>
      <c r="B334" s="8" t="str">
        <f aca="false">'2026 Forecast A'!B316</f>
        <v>LOWER MOUNT BETHEL</v>
      </c>
      <c r="C334" s="8" t="str">
        <f aca="false">'2026 Forecast A'!C316</f>
        <v>LOWER MT BETHEL - UPPER</v>
      </c>
      <c r="D334" s="9" t="n">
        <f aca="false">'2026 Forecast A'!G316</f>
        <v>0.374342797055731</v>
      </c>
      <c r="E334" s="9" t="n">
        <f aca="false">'2026 Forecast B'!G316</f>
        <v>0.373684210526316</v>
      </c>
      <c r="F334" s="9" t="n">
        <f aca="false">'2026 Forecast C'!G316</f>
        <v>0.368869936034115</v>
      </c>
      <c r="G334" s="24" t="n">
        <f aca="false">(MAX(D334:F334)-MIN(D334:F334))*100</f>
        <v>0.547286102161565</v>
      </c>
      <c r="H334" s="24" t="n">
        <f aca="false">'2026 Forecast A'!J316</f>
        <v>1.85532414445586</v>
      </c>
      <c r="I334" s="24" t="n">
        <f aca="false">'2026 Forecast B'!J316</f>
        <v>2.0110742867014</v>
      </c>
      <c r="J334" s="24" t="n">
        <f aca="false">'2026 Forecast C'!J316</f>
        <v>2.12060277043418</v>
      </c>
      <c r="K334" s="25" t="n">
        <f aca="false">'2026 Forecast A'!F316</f>
        <v>951</v>
      </c>
      <c r="L334" s="26" t="str">
        <f aca="false">IF(OR(AND(D334&gt;0.5,E334&gt;0.5,F334&gt;0.5),AND(D334&lt;0.5,E334&lt;0.5,F334&lt;0.5)),"Yes","No — toss-up")</f>
        <v>Yes</v>
      </c>
    </row>
    <row r="335" customFormat="false" ht="15" hidden="false" customHeight="false" outlineLevel="0" collapsed="false">
      <c r="A335" s="8" t="str">
        <f aca="false">'2026 Forecast A'!A317</f>
        <v>Northampton</v>
      </c>
      <c r="B335" s="8" t="str">
        <f aca="false">'2026 Forecast A'!B317</f>
        <v>LOWER NAZARETH</v>
      </c>
      <c r="C335" s="8" t="str">
        <f aca="false">'2026 Forecast A'!C317</f>
        <v>LOWER NAZARETH EAST</v>
      </c>
      <c r="D335" s="9" t="n">
        <f aca="false">'2026 Forecast A'!G317</f>
        <v>0.459915611814346</v>
      </c>
      <c r="E335" s="9" t="n">
        <f aca="false">'2026 Forecast B'!G317</f>
        <v>0.452830188679245</v>
      </c>
      <c r="F335" s="9" t="n">
        <f aca="false">'2026 Forecast C'!G317</f>
        <v>0.459051724137931</v>
      </c>
      <c r="G335" s="24" t="n">
        <f aca="false">(MAX(D335:F335)-MIN(D335:F335))*100</f>
        <v>0.708542313510069</v>
      </c>
      <c r="H335" s="24" t="n">
        <f aca="false">'2026 Forecast A'!J317</f>
        <v>3.25434931194355</v>
      </c>
      <c r="I335" s="24" t="n">
        <f aca="false">'2026 Forecast B'!J317</f>
        <v>3.09864730606258</v>
      </c>
      <c r="J335" s="24" t="n">
        <f aca="false">'2026 Forecast C'!J317</f>
        <v>3.7041269898902</v>
      </c>
      <c r="K335" s="25" t="n">
        <f aca="false">'2026 Forecast A'!F317</f>
        <v>474</v>
      </c>
      <c r="L335" s="26" t="str">
        <f aca="false">IF(OR(AND(D335&gt;0.5,E335&gt;0.5,F335&gt;0.5),AND(D335&lt;0.5,E335&lt;0.5,F335&lt;0.5)),"Yes","No — toss-up")</f>
        <v>Yes</v>
      </c>
    </row>
    <row r="336" customFormat="false" ht="15" hidden="false" customHeight="false" outlineLevel="0" collapsed="false">
      <c r="A336" s="8" t="str">
        <f aca="false">'2026 Forecast A'!A318</f>
        <v>Northampton</v>
      </c>
      <c r="B336" s="8" t="str">
        <f aca="false">'2026 Forecast A'!B318</f>
        <v>LOWER NAZARETH</v>
      </c>
      <c r="C336" s="8" t="str">
        <f aca="false">'2026 Forecast A'!C318</f>
        <v>LOWER NAZARETH NORTH</v>
      </c>
      <c r="D336" s="9" t="n">
        <f aca="false">'2026 Forecast A'!G318</f>
        <v>0.516473731077471</v>
      </c>
      <c r="E336" s="9" t="n">
        <f aca="false">'2026 Forecast B'!G318</f>
        <v>0.519964507542147</v>
      </c>
      <c r="F336" s="9" t="n">
        <f aca="false">'2026 Forecast C'!G318</f>
        <v>0.51009657594381</v>
      </c>
      <c r="G336" s="24" t="n">
        <f aca="false">(MAX(D336:F336)-MIN(D336:F336))*100</f>
        <v>0.986793159833688</v>
      </c>
      <c r="H336" s="24" t="n">
        <f aca="false">'2026 Forecast A'!J318</f>
        <v>1.85532414445586</v>
      </c>
      <c r="I336" s="24" t="n">
        <f aca="false">'2026 Forecast B'!J318</f>
        <v>2.0110742867014</v>
      </c>
      <c r="J336" s="24" t="n">
        <f aca="false">'2026 Forecast C'!J318</f>
        <v>2.12060277043418</v>
      </c>
      <c r="K336" s="25" t="n">
        <f aca="false">'2026 Forecast A'!F318</f>
        <v>1123</v>
      </c>
      <c r="L336" s="26" t="str">
        <f aca="false">IF(OR(AND(D336&gt;0.5,E336&gt;0.5,F336&gt;0.5),AND(D336&lt;0.5,E336&lt;0.5,F336&lt;0.5)),"Yes","No — toss-up")</f>
        <v>Yes</v>
      </c>
    </row>
    <row r="337" customFormat="false" ht="15" hidden="false" customHeight="false" outlineLevel="0" collapsed="false">
      <c r="A337" s="8" t="str">
        <f aca="false">'2026 Forecast A'!A319</f>
        <v>Northampton</v>
      </c>
      <c r="B337" s="8" t="str">
        <f aca="false">'2026 Forecast A'!B319</f>
        <v>LOWER NAZARETH</v>
      </c>
      <c r="C337" s="8" t="str">
        <f aca="false">'2026 Forecast A'!C319</f>
        <v>LOWER NAZARETH SOUTH</v>
      </c>
      <c r="D337" s="9" t="n">
        <f aca="false">'2026 Forecast A'!G319</f>
        <v>0.47986852917009</v>
      </c>
      <c r="E337" s="9" t="n">
        <f aca="false">'2026 Forecast B'!G319</f>
        <v>0.47921760391198</v>
      </c>
      <c r="F337" s="9" t="n">
        <f aca="false">'2026 Forecast C'!G319</f>
        <v>0.478589420654912</v>
      </c>
      <c r="G337" s="24" t="n">
        <f aca="false">(MAX(D337:F337)-MIN(D337:F337))*100</f>
        <v>0.127910851517854</v>
      </c>
      <c r="H337" s="24" t="n">
        <f aca="false">'2026 Forecast A'!J319</f>
        <v>1.28585670084365</v>
      </c>
      <c r="I337" s="24" t="n">
        <f aca="false">'2026 Forecast B'!J319</f>
        <v>1.87006919874525</v>
      </c>
      <c r="J337" s="24" t="n">
        <f aca="false">'2026 Forecast C'!J319</f>
        <v>2.12060277043418</v>
      </c>
      <c r="K337" s="25" t="n">
        <f aca="false">'2026 Forecast A'!F319</f>
        <v>1217</v>
      </c>
      <c r="L337" s="26" t="str">
        <f aca="false">IF(OR(AND(D337&gt;0.5,E337&gt;0.5,F337&gt;0.5),AND(D337&lt;0.5,E337&lt;0.5,F337&lt;0.5)),"Yes","No — toss-up")</f>
        <v>Yes</v>
      </c>
    </row>
    <row r="338" customFormat="false" ht="15" hidden="false" customHeight="false" outlineLevel="0" collapsed="false">
      <c r="A338" s="8" t="str">
        <f aca="false">'2026 Forecast A'!A320</f>
        <v>Northampton</v>
      </c>
      <c r="B338" s="8" t="str">
        <f aca="false">'2026 Forecast A'!B320</f>
        <v>LOWER NAZARETH</v>
      </c>
      <c r="C338" s="8" t="str">
        <f aca="false">'2026 Forecast A'!C320</f>
        <v>LOWER NAZARETH WEST</v>
      </c>
      <c r="D338" s="9" t="n">
        <f aca="false">'2026 Forecast A'!G320</f>
        <v>0.486901535682024</v>
      </c>
      <c r="E338" s="9" t="n">
        <f aca="false">'2026 Forecast B'!G320</f>
        <v>0.493716337522442</v>
      </c>
      <c r="F338" s="9" t="n">
        <f aca="false">'2026 Forecast C'!G320</f>
        <v>0.479073909171861</v>
      </c>
      <c r="G338" s="24" t="n">
        <f aca="false">(MAX(D338:F338)-MIN(D338:F338))*100</f>
        <v>1.46424283505806</v>
      </c>
      <c r="H338" s="24" t="n">
        <f aca="false">'2026 Forecast A'!J320</f>
        <v>1.85532414445586</v>
      </c>
      <c r="I338" s="24" t="n">
        <f aca="false">'2026 Forecast B'!J320</f>
        <v>2.0110742867014</v>
      </c>
      <c r="J338" s="24" t="n">
        <f aca="false">'2026 Forecast C'!J320</f>
        <v>2.12060277043418</v>
      </c>
      <c r="K338" s="25" t="n">
        <f aca="false">'2026 Forecast A'!F320</f>
        <v>1107</v>
      </c>
      <c r="L338" s="26" t="str">
        <f aca="false">IF(OR(AND(D338&gt;0.5,E338&gt;0.5,F338&gt;0.5),AND(D338&lt;0.5,E338&lt;0.5,F338&lt;0.5)),"Yes","No — toss-up")</f>
        <v>Yes</v>
      </c>
    </row>
    <row r="339" customFormat="false" ht="15" hidden="false" customHeight="false" outlineLevel="0" collapsed="false">
      <c r="A339" s="8" t="str">
        <f aca="false">'2026 Forecast A'!A321</f>
        <v>Northampton</v>
      </c>
      <c r="B339" s="8" t="str">
        <f aca="false">'2026 Forecast A'!B321</f>
        <v>LOWER SAUCON</v>
      </c>
      <c r="C339" s="8" t="str">
        <f aca="false">'2026 Forecast A'!C321</f>
        <v>LOWER SAUCON TWSP - 1</v>
      </c>
      <c r="D339" s="9" t="n">
        <f aca="false">'2026 Forecast A'!G321</f>
        <v>0.562315996074583</v>
      </c>
      <c r="E339" s="9" t="n">
        <f aca="false">'2026 Forecast B'!G321</f>
        <v>0.547502448579824</v>
      </c>
      <c r="F339" s="9" t="n">
        <f aca="false">'2026 Forecast C'!G321</f>
        <v>0.565737051792829</v>
      </c>
      <c r="G339" s="24" t="n">
        <f aca="false">(MAX(D339:F339)-MIN(D339:F339))*100</f>
        <v>1.82346032130051</v>
      </c>
      <c r="H339" s="24" t="n">
        <f aca="false">'2026 Forecast A'!J321</f>
        <v>1.85532414445586</v>
      </c>
      <c r="I339" s="24" t="n">
        <f aca="false">'2026 Forecast B'!J321</f>
        <v>2.0110742867014</v>
      </c>
      <c r="J339" s="24" t="n">
        <f aca="false">'2026 Forecast C'!J321</f>
        <v>2.12060277043418</v>
      </c>
      <c r="K339" s="25" t="n">
        <f aca="false">'2026 Forecast A'!F321</f>
        <v>1019</v>
      </c>
      <c r="L339" s="26" t="str">
        <f aca="false">IF(OR(AND(D339&gt;0.5,E339&gt;0.5,F339&gt;0.5),AND(D339&lt;0.5,E339&lt;0.5,F339&lt;0.5)),"Yes","No — toss-up")</f>
        <v>Yes</v>
      </c>
    </row>
    <row r="340" customFormat="false" ht="15" hidden="false" customHeight="false" outlineLevel="0" collapsed="false">
      <c r="A340" s="8" t="str">
        <f aca="false">'2026 Forecast A'!A322</f>
        <v>Northampton</v>
      </c>
      <c r="B340" s="8" t="str">
        <f aca="false">'2026 Forecast A'!B322</f>
        <v>LOWER SAUCON</v>
      </c>
      <c r="C340" s="8" t="str">
        <f aca="false">'2026 Forecast A'!C322</f>
        <v>LOWER SAUCON TWSP - 2</v>
      </c>
      <c r="D340" s="9" t="n">
        <f aca="false">'2026 Forecast A'!G322</f>
        <v>0.47734375</v>
      </c>
      <c r="E340" s="9" t="n">
        <f aca="false">'2026 Forecast B'!G322</f>
        <v>0.47887323943662</v>
      </c>
      <c r="F340" s="9" t="n">
        <f aca="false">'2026 Forecast C'!G322</f>
        <v>0.475851148060174</v>
      </c>
      <c r="G340" s="24" t="n">
        <f aca="false">(MAX(D340:F340)-MIN(D340:F340))*100</f>
        <v>0.302209137644549</v>
      </c>
      <c r="H340" s="24" t="n">
        <f aca="false">'2026 Forecast A'!J322</f>
        <v>1.28585670084365</v>
      </c>
      <c r="I340" s="24" t="n">
        <f aca="false">'2026 Forecast B'!J322</f>
        <v>1.87006919874525</v>
      </c>
      <c r="J340" s="24" t="n">
        <f aca="false">'2026 Forecast C'!J322</f>
        <v>1.26135644325249</v>
      </c>
      <c r="K340" s="25" t="n">
        <f aca="false">'2026 Forecast A'!F322</f>
        <v>1280</v>
      </c>
      <c r="L340" s="26" t="str">
        <f aca="false">IF(OR(AND(D340&gt;0.5,E340&gt;0.5,F340&gt;0.5),AND(D340&lt;0.5,E340&lt;0.5,F340&lt;0.5)),"Yes","No — toss-up")</f>
        <v>Yes</v>
      </c>
    </row>
    <row r="341" customFormat="false" ht="15" hidden="false" customHeight="false" outlineLevel="0" collapsed="false">
      <c r="A341" s="8" t="str">
        <f aca="false">'2026 Forecast A'!A323</f>
        <v>Northampton</v>
      </c>
      <c r="B341" s="8" t="str">
        <f aca="false">'2026 Forecast A'!B323</f>
        <v>LOWER SAUCON</v>
      </c>
      <c r="C341" s="8" t="str">
        <f aca="false">'2026 Forecast A'!C323</f>
        <v>LOWER SAUCON TWSP - 3</v>
      </c>
      <c r="D341" s="9" t="n">
        <f aca="false">'2026 Forecast A'!G323</f>
        <v>0.452307692307692</v>
      </c>
      <c r="E341" s="9" t="n">
        <f aca="false">'2026 Forecast B'!G323</f>
        <v>0.442148760330579</v>
      </c>
      <c r="F341" s="9" t="n">
        <f aca="false">'2026 Forecast C'!G323</f>
        <v>0.450718685831622</v>
      </c>
      <c r="G341" s="24" t="n">
        <f aca="false">(MAX(D341:F341)-MIN(D341:F341))*100</f>
        <v>1.01589319771138</v>
      </c>
      <c r="H341" s="24" t="n">
        <f aca="false">'2026 Forecast A'!J323</f>
        <v>1.85532414445586</v>
      </c>
      <c r="I341" s="24" t="n">
        <f aca="false">'2026 Forecast B'!J323</f>
        <v>2.0110742867014</v>
      </c>
      <c r="J341" s="24" t="n">
        <f aca="false">'2026 Forecast C'!J323</f>
        <v>2.12060277043418</v>
      </c>
      <c r="K341" s="25" t="n">
        <f aca="false">'2026 Forecast A'!F323</f>
        <v>975</v>
      </c>
      <c r="L341" s="26" t="str">
        <f aca="false">IF(OR(AND(D341&gt;0.5,E341&gt;0.5,F341&gt;0.5),AND(D341&lt;0.5,E341&lt;0.5,F341&lt;0.5)),"Yes","No — toss-up")</f>
        <v>Yes</v>
      </c>
    </row>
    <row r="342" customFormat="false" ht="15" hidden="false" customHeight="false" outlineLevel="0" collapsed="false">
      <c r="A342" s="8" t="str">
        <f aca="false">'2026 Forecast A'!A324</f>
        <v>Northampton</v>
      </c>
      <c r="B342" s="8" t="str">
        <f aca="false">'2026 Forecast A'!B324</f>
        <v>LOWER SAUCON</v>
      </c>
      <c r="C342" s="8" t="str">
        <f aca="false">'2026 Forecast A'!C324</f>
        <v>LOWER SAUCON TWSP - 4</v>
      </c>
      <c r="D342" s="9" t="n">
        <f aca="false">'2026 Forecast A'!G324</f>
        <v>0.556109725685786</v>
      </c>
      <c r="E342" s="9" t="n">
        <f aca="false">'2026 Forecast B'!G324</f>
        <v>0.554726368159204</v>
      </c>
      <c r="F342" s="9" t="n">
        <f aca="false">'2026 Forecast C'!G324</f>
        <v>0.557106598984772</v>
      </c>
      <c r="G342" s="24" t="n">
        <f aca="false">(MAX(D342:F342)-MIN(D342:F342))*100</f>
        <v>0.23802308255676</v>
      </c>
      <c r="H342" s="24" t="n">
        <f aca="false">'2026 Forecast A'!J324</f>
        <v>1.85532414445586</v>
      </c>
      <c r="I342" s="24" t="n">
        <f aca="false">'2026 Forecast B'!J324</f>
        <v>2.0110742867014</v>
      </c>
      <c r="J342" s="24" t="n">
        <f aca="false">'2026 Forecast C'!J324</f>
        <v>2.12060277043418</v>
      </c>
      <c r="K342" s="25" t="n">
        <f aca="false">'2026 Forecast A'!F324</f>
        <v>802</v>
      </c>
      <c r="L342" s="26" t="str">
        <f aca="false">IF(OR(AND(D342&gt;0.5,E342&gt;0.5,F342&gt;0.5),AND(D342&lt;0.5,E342&lt;0.5,F342&lt;0.5)),"Yes","No — toss-up")</f>
        <v>Yes</v>
      </c>
    </row>
    <row r="343" customFormat="false" ht="15" hidden="false" customHeight="false" outlineLevel="0" collapsed="false">
      <c r="A343" s="8" t="str">
        <f aca="false">'2026 Forecast A'!A325</f>
        <v>Northampton</v>
      </c>
      <c r="B343" s="8" t="str">
        <f aca="false">'2026 Forecast A'!B325</f>
        <v>LOWER SAUCON</v>
      </c>
      <c r="C343" s="8" t="str">
        <f aca="false">'2026 Forecast A'!C325</f>
        <v>LOWER SAUCON TWSP - 6</v>
      </c>
      <c r="D343" s="9" t="n">
        <f aca="false">'2026 Forecast A'!G325</f>
        <v>0.461366181410974</v>
      </c>
      <c r="E343" s="9" t="n">
        <f aca="false">'2026 Forecast B'!G325</f>
        <v>0.456886898096305</v>
      </c>
      <c r="F343" s="9" t="n">
        <f aca="false">'2026 Forecast C'!G325</f>
        <v>0.460407239819005</v>
      </c>
      <c r="G343" s="24" t="n">
        <f aca="false">(MAX(D343:F343)-MIN(D343:F343))*100</f>
        <v>0.447928331466962</v>
      </c>
      <c r="H343" s="24" t="n">
        <f aca="false">'2026 Forecast A'!J325</f>
        <v>1.85532414445586</v>
      </c>
      <c r="I343" s="24" t="n">
        <f aca="false">'2026 Forecast B'!J325</f>
        <v>2.0110742867014</v>
      </c>
      <c r="J343" s="24" t="n">
        <f aca="false">'2026 Forecast C'!J325</f>
        <v>2.12060277043418</v>
      </c>
      <c r="K343" s="25" t="n">
        <f aca="false">'2026 Forecast A'!F325</f>
        <v>893</v>
      </c>
      <c r="L343" s="26" t="str">
        <f aca="false">IF(OR(AND(D343&gt;0.5,E343&gt;0.5,F343&gt;0.5),AND(D343&lt;0.5,E343&lt;0.5,F343&lt;0.5)),"Yes","No — toss-up")</f>
        <v>Yes</v>
      </c>
    </row>
    <row r="344" customFormat="false" ht="15" hidden="false" customHeight="false" outlineLevel="0" collapsed="false">
      <c r="A344" s="8" t="str">
        <f aca="false">'2026 Forecast A'!A326</f>
        <v>Northampton</v>
      </c>
      <c r="B344" s="8" t="str">
        <f aca="false">'2026 Forecast A'!B326</f>
        <v>LOWER SAUCON</v>
      </c>
      <c r="C344" s="8" t="str">
        <f aca="false">'2026 Forecast A'!C326</f>
        <v>LOWER SAUCON TWSP - 7</v>
      </c>
      <c r="D344" s="9" t="n">
        <f aca="false">'2026 Forecast A'!G326</f>
        <v>0.50814332247557</v>
      </c>
      <c r="E344" s="9" t="n">
        <f aca="false">'2026 Forecast B'!G326</f>
        <v>0.496153846153846</v>
      </c>
      <c r="F344" s="9" t="n">
        <f aca="false">'2026 Forecast C'!G326</f>
        <v>0.505691056910569</v>
      </c>
      <c r="G344" s="24" t="n">
        <f aca="false">(MAX(D344:F344)-MIN(D344:F344))*100</f>
        <v>1.19894763217239</v>
      </c>
      <c r="H344" s="24" t="n">
        <f aca="false">'2026 Forecast A'!J326</f>
        <v>1.28585670084365</v>
      </c>
      <c r="I344" s="24" t="n">
        <f aca="false">'2026 Forecast B'!J326</f>
        <v>1.87006919874525</v>
      </c>
      <c r="J344" s="24" t="n">
        <f aca="false">'2026 Forecast C'!J326</f>
        <v>1.26135644325249</v>
      </c>
      <c r="K344" s="25" t="n">
        <f aca="false">'2026 Forecast A'!F326</f>
        <v>1842</v>
      </c>
      <c r="L344" s="26" t="str">
        <f aca="false">IF(OR(AND(D344&gt;0.5,E344&gt;0.5,F344&gt;0.5),AND(D344&lt;0.5,E344&lt;0.5,F344&lt;0.5)),"Yes","No — toss-up")</f>
        <v>No — toss-up</v>
      </c>
    </row>
    <row r="345" customFormat="false" ht="15" hidden="false" customHeight="false" outlineLevel="0" collapsed="false">
      <c r="A345" s="8" t="str">
        <f aca="false">'2026 Forecast A'!A327</f>
        <v>Northampton</v>
      </c>
      <c r="B345" s="8" t="str">
        <f aca="false">'2026 Forecast A'!B327</f>
        <v>MOORE</v>
      </c>
      <c r="C345" s="8" t="str">
        <f aca="false">'2026 Forecast A'!C327</f>
        <v>MOORE TWSP - BEERSVILLE</v>
      </c>
      <c r="D345" s="9" t="n">
        <f aca="false">'2026 Forecast A'!G327</f>
        <v>0.388235294117647</v>
      </c>
      <c r="E345" s="9" t="n">
        <f aca="false">'2026 Forecast B'!G327</f>
        <v>0.384916748285994</v>
      </c>
      <c r="F345" s="9" t="n">
        <f aca="false">'2026 Forecast C'!G327</f>
        <v>0.380574826560951</v>
      </c>
      <c r="G345" s="24" t="n">
        <f aca="false">(MAX(D345:F345)-MIN(D345:F345))*100</f>
        <v>0.766046755669564</v>
      </c>
      <c r="H345" s="24" t="n">
        <f aca="false">'2026 Forecast A'!J327</f>
        <v>1.85532414445586</v>
      </c>
      <c r="I345" s="24" t="n">
        <f aca="false">'2026 Forecast B'!J327</f>
        <v>2.0110742867014</v>
      </c>
      <c r="J345" s="24" t="n">
        <f aca="false">'2026 Forecast C'!J327</f>
        <v>2.12060277043418</v>
      </c>
      <c r="K345" s="25" t="n">
        <f aca="false">'2026 Forecast A'!F327</f>
        <v>1020</v>
      </c>
      <c r="L345" s="26" t="str">
        <f aca="false">IF(OR(AND(D345&gt;0.5,E345&gt;0.5,F345&gt;0.5),AND(D345&lt;0.5,E345&lt;0.5,F345&lt;0.5)),"Yes","No — toss-up")</f>
        <v>Yes</v>
      </c>
    </row>
    <row r="346" customFormat="false" ht="15" hidden="false" customHeight="false" outlineLevel="0" collapsed="false">
      <c r="A346" s="8" t="str">
        <f aca="false">'2026 Forecast A'!A328</f>
        <v>Northampton</v>
      </c>
      <c r="B346" s="8" t="str">
        <f aca="false">'2026 Forecast A'!B328</f>
        <v>MOORE</v>
      </c>
      <c r="C346" s="8" t="str">
        <f aca="false">'2026 Forecast A'!C328</f>
        <v>MOORE TWSP - EASTERN</v>
      </c>
      <c r="D346" s="9" t="n">
        <f aca="false">'2026 Forecast A'!G328</f>
        <v>0.383374083129584</v>
      </c>
      <c r="E346" s="9" t="n">
        <f aca="false">'2026 Forecast B'!G328</f>
        <v>0.38747553816047</v>
      </c>
      <c r="F346" s="9" t="n">
        <f aca="false">'2026 Forecast C'!G328</f>
        <v>0.3767258382643</v>
      </c>
      <c r="G346" s="24" t="n">
        <f aca="false">(MAX(D346:F346)-MIN(D346:F346))*100</f>
        <v>1.07496998961699</v>
      </c>
      <c r="H346" s="24" t="n">
        <f aca="false">'2026 Forecast A'!J328</f>
        <v>1.28585670084365</v>
      </c>
      <c r="I346" s="24" t="n">
        <f aca="false">'2026 Forecast B'!J328</f>
        <v>1.87006919874525</v>
      </c>
      <c r="J346" s="24" t="n">
        <f aca="false">'2026 Forecast C'!J328</f>
        <v>1.26135644325249</v>
      </c>
      <c r="K346" s="25" t="n">
        <f aca="false">'2026 Forecast A'!F328</f>
        <v>2045</v>
      </c>
      <c r="L346" s="26" t="str">
        <f aca="false">IF(OR(AND(D346&gt;0.5,E346&gt;0.5,F346&gt;0.5),AND(D346&lt;0.5,E346&lt;0.5,F346&lt;0.5)),"Yes","No — toss-up")</f>
        <v>Yes</v>
      </c>
    </row>
    <row r="347" customFormat="false" ht="15" hidden="false" customHeight="false" outlineLevel="0" collapsed="false">
      <c r="A347" s="8" t="str">
        <f aca="false">'2026 Forecast A'!A329</f>
        <v>Northampton</v>
      </c>
      <c r="B347" s="8" t="str">
        <f aca="false">'2026 Forecast A'!B329</f>
        <v>MOORE</v>
      </c>
      <c r="C347" s="8" t="str">
        <f aca="false">'2026 Forecast A'!C329</f>
        <v>MOORE TWSP - KLECKNERSVILLE</v>
      </c>
      <c r="D347" s="9" t="n">
        <f aca="false">'2026 Forecast A'!G329</f>
        <v>0.363013698630137</v>
      </c>
      <c r="E347" s="9" t="n">
        <f aca="false">'2026 Forecast B'!G329</f>
        <v>0.363387978142077</v>
      </c>
      <c r="F347" s="9" t="n">
        <f aca="false">'2026 Forecast C'!G329</f>
        <v>0.356002775850104</v>
      </c>
      <c r="G347" s="24" t="n">
        <f aca="false">(MAX(D347:F347)-MIN(D347:F347))*100</f>
        <v>0.738520229197243</v>
      </c>
      <c r="H347" s="24" t="n">
        <f aca="false">'2026 Forecast A'!J329</f>
        <v>1.28585670084365</v>
      </c>
      <c r="I347" s="24" t="n">
        <f aca="false">'2026 Forecast B'!J329</f>
        <v>1.87006919874525</v>
      </c>
      <c r="J347" s="24" t="n">
        <f aca="false">'2026 Forecast C'!J329</f>
        <v>1.26135644325249</v>
      </c>
      <c r="K347" s="25" t="n">
        <f aca="false">'2026 Forecast A'!F329</f>
        <v>1460</v>
      </c>
      <c r="L347" s="26" t="str">
        <f aca="false">IF(OR(AND(D347&gt;0.5,E347&gt;0.5,F347&gt;0.5),AND(D347&lt;0.5,E347&lt;0.5,F347&lt;0.5)),"Yes","No — toss-up")</f>
        <v>Yes</v>
      </c>
    </row>
    <row r="348" customFormat="false" ht="15" hidden="false" customHeight="false" outlineLevel="0" collapsed="false">
      <c r="A348" s="8" t="str">
        <f aca="false">'2026 Forecast A'!A330</f>
        <v>Northampton</v>
      </c>
      <c r="B348" s="8" t="str">
        <f aca="false">'2026 Forecast A'!B330</f>
        <v>MOORE</v>
      </c>
      <c r="C348" s="8" t="str">
        <f aca="false">'2026 Forecast A'!C330</f>
        <v>MOORE TWSP - POINT PHILLIPS</v>
      </c>
      <c r="D348" s="9" t="n">
        <f aca="false">'2026 Forecast A'!G330</f>
        <v>0.364963503649635</v>
      </c>
      <c r="E348" s="9" t="n">
        <f aca="false">'2026 Forecast B'!G330</f>
        <v>0.373177842565598</v>
      </c>
      <c r="F348" s="9" t="n">
        <f aca="false">'2026 Forecast C'!G330</f>
        <v>0.35693215339233</v>
      </c>
      <c r="G348" s="24" t="n">
        <f aca="false">(MAX(D348:F348)-MIN(D348:F348))*100</f>
        <v>1.62456891732673</v>
      </c>
      <c r="H348" s="24" t="n">
        <f aca="false">'2026 Forecast A'!J330</f>
        <v>3.25434931194355</v>
      </c>
      <c r="I348" s="24" t="n">
        <f aca="false">'2026 Forecast B'!J330</f>
        <v>3.09864730606258</v>
      </c>
      <c r="J348" s="24" t="n">
        <f aca="false">'2026 Forecast C'!J330</f>
        <v>3.7041269898902</v>
      </c>
      <c r="K348" s="25" t="n">
        <f aca="false">'2026 Forecast A'!F330</f>
        <v>685</v>
      </c>
      <c r="L348" s="26" t="str">
        <f aca="false">IF(OR(AND(D348&gt;0.5,E348&gt;0.5,F348&gt;0.5),AND(D348&lt;0.5,E348&lt;0.5,F348&lt;0.5)),"Yes","No — toss-up")</f>
        <v>Yes</v>
      </c>
    </row>
    <row r="349" customFormat="false" ht="15" hidden="false" customHeight="false" outlineLevel="0" collapsed="false">
      <c r="A349" s="8" t="str">
        <f aca="false">'2026 Forecast A'!A331</f>
        <v>Northampton</v>
      </c>
      <c r="B349" s="8" t="str">
        <f aca="false">'2026 Forecast A'!B331</f>
        <v>NAZARETH</v>
      </c>
      <c r="C349" s="8" t="str">
        <f aca="false">'2026 Forecast A'!C331</f>
        <v>NAZARETH BORO 1ST WARD</v>
      </c>
      <c r="D349" s="9" t="n">
        <f aca="false">'2026 Forecast A'!G331</f>
        <v>0.544131910766246</v>
      </c>
      <c r="E349" s="9" t="n">
        <f aca="false">'2026 Forecast B'!G331</f>
        <v>0.539728682170543</v>
      </c>
      <c r="F349" s="9" t="n">
        <f aca="false">'2026 Forecast C'!G331</f>
        <v>0.545632973503435</v>
      </c>
      <c r="G349" s="24" t="n">
        <f aca="false">(MAX(D349:F349)-MIN(D349:F349))*100</f>
        <v>0.590429133289216</v>
      </c>
      <c r="H349" s="24" t="n">
        <f aca="false">'2026 Forecast A'!J331</f>
        <v>1.85532414445586</v>
      </c>
      <c r="I349" s="24" t="n">
        <f aca="false">'2026 Forecast B'!J331</f>
        <v>2.0110742867014</v>
      </c>
      <c r="J349" s="24" t="n">
        <f aca="false">'2026 Forecast C'!J331</f>
        <v>2.12060277043418</v>
      </c>
      <c r="K349" s="25" t="n">
        <f aca="false">'2026 Forecast A'!F331</f>
        <v>1031</v>
      </c>
      <c r="L349" s="26" t="str">
        <f aca="false">IF(OR(AND(D349&gt;0.5,E349&gt;0.5,F349&gt;0.5),AND(D349&lt;0.5,E349&lt;0.5,F349&lt;0.5)),"Yes","No — toss-up")</f>
        <v>Yes</v>
      </c>
    </row>
    <row r="350" customFormat="false" ht="15" hidden="false" customHeight="false" outlineLevel="0" collapsed="false">
      <c r="A350" s="8" t="str">
        <f aca="false">'2026 Forecast A'!A332</f>
        <v>Northampton</v>
      </c>
      <c r="B350" s="8" t="str">
        <f aca="false">'2026 Forecast A'!B332</f>
        <v>NAZARETH</v>
      </c>
      <c r="C350" s="8" t="str">
        <f aca="false">'2026 Forecast A'!C332</f>
        <v>NAZARETH BORO 2ND WARD</v>
      </c>
      <c r="D350" s="9" t="n">
        <f aca="false">'2026 Forecast A'!G332</f>
        <v>0.551932367149759</v>
      </c>
      <c r="E350" s="9" t="n">
        <f aca="false">'2026 Forecast B'!G332</f>
        <v>0.556091676718938</v>
      </c>
      <c r="F350" s="9" t="n">
        <f aca="false">'2026 Forecast C'!G332</f>
        <v>0.551892551892552</v>
      </c>
      <c r="G350" s="24" t="n">
        <f aca="false">(MAX(D350:F350)-MIN(D350:F350))*100</f>
        <v>0.419912482638651</v>
      </c>
      <c r="H350" s="24" t="n">
        <f aca="false">'2026 Forecast A'!J332</f>
        <v>1.85532414445586</v>
      </c>
      <c r="I350" s="24" t="n">
        <f aca="false">'2026 Forecast B'!J332</f>
        <v>2.0110742867014</v>
      </c>
      <c r="J350" s="24" t="n">
        <f aca="false">'2026 Forecast C'!J332</f>
        <v>2.12060277043418</v>
      </c>
      <c r="K350" s="25" t="n">
        <f aca="false">'2026 Forecast A'!F332</f>
        <v>828</v>
      </c>
      <c r="L350" s="26" t="str">
        <f aca="false">IF(OR(AND(D350&gt;0.5,E350&gt;0.5,F350&gt;0.5),AND(D350&lt;0.5,E350&lt;0.5,F350&lt;0.5)),"Yes","No — toss-up")</f>
        <v>Yes</v>
      </c>
    </row>
    <row r="351" customFormat="false" ht="15" hidden="false" customHeight="false" outlineLevel="0" collapsed="false">
      <c r="A351" s="8" t="str">
        <f aca="false">'2026 Forecast A'!A333</f>
        <v>Northampton</v>
      </c>
      <c r="B351" s="8" t="str">
        <f aca="false">'2026 Forecast A'!B333</f>
        <v>NAZARETH</v>
      </c>
      <c r="C351" s="8" t="str">
        <f aca="false">'2026 Forecast A'!C333</f>
        <v>NAZARETH BORO 3RD WARD</v>
      </c>
      <c r="D351" s="9" t="n">
        <f aca="false">'2026 Forecast A'!G333</f>
        <v>0.533166458072591</v>
      </c>
      <c r="E351" s="9" t="n">
        <f aca="false">'2026 Forecast B'!G333</f>
        <v>0.537106918238994</v>
      </c>
      <c r="F351" s="9" t="n">
        <f aca="false">'2026 Forecast C'!G333</f>
        <v>0.534090909090909</v>
      </c>
      <c r="G351" s="24" t="n">
        <f aca="false">(MAX(D351:F351)-MIN(D351:F351))*100</f>
        <v>0.394046016640293</v>
      </c>
      <c r="H351" s="24" t="n">
        <f aca="false">'2026 Forecast A'!J333</f>
        <v>1.85532414445586</v>
      </c>
      <c r="I351" s="24" t="n">
        <f aca="false">'2026 Forecast B'!J333</f>
        <v>2.0110742867014</v>
      </c>
      <c r="J351" s="24" t="n">
        <f aca="false">'2026 Forecast C'!J333</f>
        <v>2.12060277043418</v>
      </c>
      <c r="K351" s="25" t="n">
        <f aca="false">'2026 Forecast A'!F333</f>
        <v>799</v>
      </c>
      <c r="L351" s="26" t="str">
        <f aca="false">IF(OR(AND(D351&gt;0.5,E351&gt;0.5,F351&gt;0.5),AND(D351&lt;0.5,E351&lt;0.5,F351&lt;0.5)),"Yes","No — toss-up")</f>
        <v>Yes</v>
      </c>
    </row>
    <row r="352" customFormat="false" ht="15" hidden="false" customHeight="false" outlineLevel="0" collapsed="false">
      <c r="A352" s="8" t="str">
        <f aca="false">'2026 Forecast A'!A334</f>
        <v>Northampton</v>
      </c>
      <c r="B352" s="8" t="str">
        <f aca="false">'2026 Forecast A'!B334</f>
        <v>NORTH CATASAUQUA</v>
      </c>
      <c r="C352" s="8" t="str">
        <f aca="false">'2026 Forecast A'!C334</f>
        <v>NORTH CATASAUQUA 1ST WARD</v>
      </c>
      <c r="D352" s="9" t="n">
        <f aca="false">'2026 Forecast A'!G334</f>
        <v>0.5</v>
      </c>
      <c r="E352" s="9" t="n">
        <f aca="false">'2026 Forecast B'!G334</f>
        <v>0.52020202020202</v>
      </c>
      <c r="F352" s="9" t="n">
        <f aca="false">'2026 Forecast C'!G334</f>
        <v>0.498740554156171</v>
      </c>
      <c r="G352" s="24" t="n">
        <f aca="false">(MAX(D352:F352)-MIN(D352:F352))*100</f>
        <v>2.14614660458489</v>
      </c>
      <c r="H352" s="24" t="n">
        <f aca="false">'2026 Forecast A'!J334</f>
        <v>3.25434931194355</v>
      </c>
      <c r="I352" s="24" t="n">
        <f aca="false">'2026 Forecast B'!J334</f>
        <v>3.09864730606258</v>
      </c>
      <c r="J352" s="24" t="n">
        <f aca="false">'2026 Forecast C'!J334</f>
        <v>3.7041269898902</v>
      </c>
      <c r="K352" s="25" t="n">
        <f aca="false">'2026 Forecast A'!F334</f>
        <v>396</v>
      </c>
      <c r="L352" s="26" t="str">
        <f aca="false">IF(OR(AND(D352&gt;0.5,E352&gt;0.5,F352&gt;0.5),AND(D352&lt;0.5,E352&lt;0.5,F352&lt;0.5)),"Yes","No — toss-up")</f>
        <v>No — toss-up</v>
      </c>
    </row>
    <row r="353" customFormat="false" ht="15" hidden="false" customHeight="false" outlineLevel="0" collapsed="false">
      <c r="A353" s="8" t="str">
        <f aca="false">'2026 Forecast A'!A335</f>
        <v>Northampton</v>
      </c>
      <c r="B353" s="8" t="str">
        <f aca="false">'2026 Forecast A'!B335</f>
        <v>NORTH CATASAUQUA</v>
      </c>
      <c r="C353" s="8" t="str">
        <f aca="false">'2026 Forecast A'!C335</f>
        <v>NORTH CATASAUQUA 2ND WARD</v>
      </c>
      <c r="D353" s="9" t="n">
        <f aca="false">'2026 Forecast A'!G335</f>
        <v>0.547465437788019</v>
      </c>
      <c r="E353" s="9" t="n">
        <f aca="false">'2026 Forecast B'!G335</f>
        <v>0.551436515291937</v>
      </c>
      <c r="F353" s="9" t="n">
        <f aca="false">'2026 Forecast C'!G335</f>
        <v>0.548327137546468</v>
      </c>
      <c r="G353" s="24" t="n">
        <f aca="false">(MAX(D353:F353)-MIN(D353:F353))*100</f>
        <v>0.397107750391845</v>
      </c>
      <c r="H353" s="24" t="n">
        <f aca="false">'2026 Forecast A'!J335</f>
        <v>1.85532414445586</v>
      </c>
      <c r="I353" s="24" t="n">
        <f aca="false">'2026 Forecast B'!J335</f>
        <v>2.0110742867014</v>
      </c>
      <c r="J353" s="24" t="n">
        <f aca="false">'2026 Forecast C'!J335</f>
        <v>2.12060277043418</v>
      </c>
      <c r="K353" s="25" t="n">
        <f aca="false">'2026 Forecast A'!F335</f>
        <v>1085</v>
      </c>
      <c r="L353" s="26" t="str">
        <f aca="false">IF(OR(AND(D353&gt;0.5,E353&gt;0.5,F353&gt;0.5),AND(D353&lt;0.5,E353&lt;0.5,F353&lt;0.5)),"Yes","No — toss-up")</f>
        <v>Yes</v>
      </c>
    </row>
    <row r="354" customFormat="false" ht="15" hidden="false" customHeight="false" outlineLevel="0" collapsed="false">
      <c r="A354" s="8" t="str">
        <f aca="false">'2026 Forecast A'!A336</f>
        <v>Northampton</v>
      </c>
      <c r="B354" s="8" t="str">
        <f aca="false">'2026 Forecast A'!B336</f>
        <v>NORTHAMPTON</v>
      </c>
      <c r="C354" s="8" t="str">
        <f aca="false">'2026 Forecast A'!C336</f>
        <v>NORTHAMPTON BORO 1ST WARD</v>
      </c>
      <c r="D354" s="9" t="n">
        <f aca="false">'2026 Forecast A'!G336</f>
        <v>0.527853881278539</v>
      </c>
      <c r="E354" s="9" t="n">
        <f aca="false">'2026 Forecast B'!G336</f>
        <v>0.530482256596906</v>
      </c>
      <c r="F354" s="9" t="n">
        <f aca="false">'2026 Forecast C'!G336</f>
        <v>0.526462395543176</v>
      </c>
      <c r="G354" s="24" t="n">
        <f aca="false">(MAX(D354:F354)-MIN(D354:F354))*100</f>
        <v>0.401986105373076</v>
      </c>
      <c r="H354" s="24" t="n">
        <f aca="false">'2026 Forecast A'!J336</f>
        <v>1.85532414445586</v>
      </c>
      <c r="I354" s="24" t="n">
        <f aca="false">'2026 Forecast B'!J336</f>
        <v>2.0110742867014</v>
      </c>
      <c r="J354" s="24" t="n">
        <f aca="false">'2026 Forecast C'!J336</f>
        <v>2.12060277043418</v>
      </c>
      <c r="K354" s="25" t="n">
        <f aca="false">'2026 Forecast A'!F336</f>
        <v>1095</v>
      </c>
      <c r="L354" s="26" t="str">
        <f aca="false">IF(OR(AND(D354&gt;0.5,E354&gt;0.5,F354&gt;0.5),AND(D354&lt;0.5,E354&lt;0.5,F354&lt;0.5)),"Yes","No — toss-up")</f>
        <v>Yes</v>
      </c>
    </row>
    <row r="355" customFormat="false" ht="15" hidden="false" customHeight="false" outlineLevel="0" collapsed="false">
      <c r="A355" s="8" t="str">
        <f aca="false">'2026 Forecast A'!A337</f>
        <v>Northampton</v>
      </c>
      <c r="B355" s="8" t="str">
        <f aca="false">'2026 Forecast A'!B337</f>
        <v>NORTHAMPTON</v>
      </c>
      <c r="C355" s="8" t="str">
        <f aca="false">'2026 Forecast A'!C337</f>
        <v>NORTHAMPTON BORO 2ND WARD</v>
      </c>
      <c r="D355" s="9" t="n">
        <f aca="false">'2026 Forecast A'!G337</f>
        <v>0.545258620689655</v>
      </c>
      <c r="E355" s="9" t="n">
        <f aca="false">'2026 Forecast B'!G337</f>
        <v>0.546236559139785</v>
      </c>
      <c r="F355" s="9" t="n">
        <f aca="false">'2026 Forecast C'!G337</f>
        <v>0.545157780195865</v>
      </c>
      <c r="G355" s="24" t="n">
        <f aca="false">(MAX(D355:F355)-MIN(D355:F355))*100</f>
        <v>0.107877894391994</v>
      </c>
      <c r="H355" s="24" t="n">
        <f aca="false">'2026 Forecast A'!J337</f>
        <v>1.85532414445586</v>
      </c>
      <c r="I355" s="24" t="n">
        <f aca="false">'2026 Forecast B'!J337</f>
        <v>2.0110742867014</v>
      </c>
      <c r="J355" s="24" t="n">
        <f aca="false">'2026 Forecast C'!J337</f>
        <v>2.12060277043418</v>
      </c>
      <c r="K355" s="25" t="n">
        <f aca="false">'2026 Forecast A'!F337</f>
        <v>928</v>
      </c>
      <c r="L355" s="26" t="str">
        <f aca="false">IF(OR(AND(D355&gt;0.5,E355&gt;0.5,F355&gt;0.5),AND(D355&lt;0.5,E355&lt;0.5,F355&lt;0.5)),"Yes","No — toss-up")</f>
        <v>Yes</v>
      </c>
    </row>
    <row r="356" customFormat="false" ht="15" hidden="false" customHeight="false" outlineLevel="0" collapsed="false">
      <c r="A356" s="8" t="str">
        <f aca="false">'2026 Forecast A'!A338</f>
        <v>Northampton</v>
      </c>
      <c r="B356" s="8" t="str">
        <f aca="false">'2026 Forecast A'!B338</f>
        <v>NORTHAMPTON</v>
      </c>
      <c r="C356" s="8" t="str">
        <f aca="false">'2026 Forecast A'!C338</f>
        <v>NORTHAMPTON BORO 3RD WARD</v>
      </c>
      <c r="D356" s="9" t="n">
        <f aca="false">'2026 Forecast A'!G338</f>
        <v>0.52156265854896</v>
      </c>
      <c r="E356" s="9" t="n">
        <f aca="false">'2026 Forecast B'!G338</f>
        <v>0.528723945094052</v>
      </c>
      <c r="F356" s="9" t="n">
        <f aca="false">'2026 Forecast C'!G338</f>
        <v>0.520844055584148</v>
      </c>
      <c r="G356" s="24" t="n">
        <f aca="false">(MAX(D356:F356)-MIN(D356:F356))*100</f>
        <v>0.787988950990359</v>
      </c>
      <c r="H356" s="24" t="n">
        <f aca="false">'2026 Forecast A'!J338</f>
        <v>1.28585670084365</v>
      </c>
      <c r="I356" s="24" t="n">
        <f aca="false">'2026 Forecast B'!J338</f>
        <v>1.87006919874525</v>
      </c>
      <c r="J356" s="24" t="n">
        <f aca="false">'2026 Forecast C'!J338</f>
        <v>1.26135644325249</v>
      </c>
      <c r="K356" s="25" t="n">
        <f aca="false">'2026 Forecast A'!F338</f>
        <v>1971</v>
      </c>
      <c r="L356" s="26" t="str">
        <f aca="false">IF(OR(AND(D356&gt;0.5,E356&gt;0.5,F356&gt;0.5),AND(D356&lt;0.5,E356&lt;0.5,F356&lt;0.5)),"Yes","No — toss-up")</f>
        <v>Yes</v>
      </c>
    </row>
    <row r="357" customFormat="false" ht="15" hidden="false" customHeight="false" outlineLevel="0" collapsed="false">
      <c r="A357" s="8" t="str">
        <f aca="false">'2026 Forecast A'!A339</f>
        <v>Northampton</v>
      </c>
      <c r="B357" s="8" t="str">
        <f aca="false">'2026 Forecast A'!B339</f>
        <v>NORTHAMPTON</v>
      </c>
      <c r="C357" s="8" t="str">
        <f aca="false">'2026 Forecast A'!C339</f>
        <v>NORTHAMPTON BORO 4TH WARD</v>
      </c>
      <c r="D357" s="9" t="n">
        <f aca="false">'2026 Forecast A'!G339</f>
        <v>0.494199535962877</v>
      </c>
      <c r="E357" s="9" t="n">
        <f aca="false">'2026 Forecast B'!G339</f>
        <v>0.511627906976744</v>
      </c>
      <c r="F357" s="9" t="n">
        <f aca="false">'2026 Forecast C'!G339</f>
        <v>0.491725768321513</v>
      </c>
      <c r="G357" s="24" t="n">
        <f aca="false">(MAX(D357:F357)-MIN(D357:F357))*100</f>
        <v>1.99021386552312</v>
      </c>
      <c r="H357" s="24" t="n">
        <f aca="false">'2026 Forecast A'!J339</f>
        <v>3.25434931194355</v>
      </c>
      <c r="I357" s="24" t="n">
        <f aca="false">'2026 Forecast B'!J339</f>
        <v>3.09864730606258</v>
      </c>
      <c r="J357" s="24" t="n">
        <f aca="false">'2026 Forecast C'!J339</f>
        <v>3.7041269898902</v>
      </c>
      <c r="K357" s="25" t="n">
        <f aca="false">'2026 Forecast A'!F339</f>
        <v>431</v>
      </c>
      <c r="L357" s="26" t="str">
        <f aca="false">IF(OR(AND(D357&gt;0.5,E357&gt;0.5,F357&gt;0.5),AND(D357&lt;0.5,E357&lt;0.5,F357&lt;0.5)),"Yes","No — toss-up")</f>
        <v>No — toss-up</v>
      </c>
    </row>
    <row r="358" customFormat="false" ht="15" hidden="false" customHeight="false" outlineLevel="0" collapsed="false">
      <c r="A358" s="8" t="str">
        <f aca="false">'2026 Forecast A'!A340</f>
        <v>Northampton</v>
      </c>
      <c r="B358" s="8" t="str">
        <f aca="false">'2026 Forecast A'!B340</f>
        <v>PALMER</v>
      </c>
      <c r="C358" s="8" t="str">
        <f aca="false">'2026 Forecast A'!C340</f>
        <v>PALMER - CENTRAL</v>
      </c>
      <c r="D358" s="9" t="n">
        <f aca="false">'2026 Forecast A'!G340</f>
        <v>0.533487297921478</v>
      </c>
      <c r="E358" s="9" t="n">
        <f aca="false">'2026 Forecast B'!G340</f>
        <v>0.536243180046765</v>
      </c>
      <c r="F358" s="9" t="n">
        <f aca="false">'2026 Forecast C'!G340</f>
        <v>0.533179012345679</v>
      </c>
      <c r="G358" s="24" t="n">
        <f aca="false">(MAX(D358:F358)-MIN(D358:F358))*100</f>
        <v>0.306416770108642</v>
      </c>
      <c r="H358" s="24" t="n">
        <f aca="false">'2026 Forecast A'!J340</f>
        <v>1.28585670084365</v>
      </c>
      <c r="I358" s="24" t="n">
        <f aca="false">'2026 Forecast B'!J340</f>
        <v>1.87006919874525</v>
      </c>
      <c r="J358" s="24" t="n">
        <f aca="false">'2026 Forecast C'!J340</f>
        <v>1.26135644325249</v>
      </c>
      <c r="K358" s="25" t="n">
        <f aca="false">'2026 Forecast A'!F340</f>
        <v>1299</v>
      </c>
      <c r="L358" s="26" t="str">
        <f aca="false">IF(OR(AND(D358&gt;0.5,E358&gt;0.5,F358&gt;0.5),AND(D358&lt;0.5,E358&lt;0.5,F358&lt;0.5)),"Yes","No — toss-up")</f>
        <v>Yes</v>
      </c>
    </row>
    <row r="359" customFormat="false" ht="15" hidden="false" customHeight="false" outlineLevel="0" collapsed="false">
      <c r="A359" s="8" t="str">
        <f aca="false">'2026 Forecast A'!A341</f>
        <v>Northampton</v>
      </c>
      <c r="B359" s="8" t="str">
        <f aca="false">'2026 Forecast A'!B341</f>
        <v>PALMER</v>
      </c>
      <c r="C359" s="8" t="str">
        <f aca="false">'2026 Forecast A'!C341</f>
        <v>PALMER - EAST</v>
      </c>
      <c r="D359" s="9" t="n">
        <f aca="false">'2026 Forecast A'!G341</f>
        <v>0.553450608930988</v>
      </c>
      <c r="E359" s="9" t="n">
        <f aca="false">'2026 Forecast B'!G341</f>
        <v>0.548037889039242</v>
      </c>
      <c r="F359" s="9" t="n">
        <f aca="false">'2026 Forecast C'!G341</f>
        <v>0.553250345781466</v>
      </c>
      <c r="G359" s="24" t="n">
        <f aca="false">(MAX(D359:F359)-MIN(D359:F359))*100</f>
        <v>0.541271989174563</v>
      </c>
      <c r="H359" s="24" t="n">
        <f aca="false">'2026 Forecast A'!J341</f>
        <v>3.25434931194355</v>
      </c>
      <c r="I359" s="24" t="n">
        <f aca="false">'2026 Forecast B'!J341</f>
        <v>3.09864730606258</v>
      </c>
      <c r="J359" s="24" t="n">
        <f aca="false">'2026 Forecast C'!J341</f>
        <v>3.7041269898902</v>
      </c>
      <c r="K359" s="25" t="n">
        <f aca="false">'2026 Forecast A'!F341</f>
        <v>739</v>
      </c>
      <c r="L359" s="26" t="str">
        <f aca="false">IF(OR(AND(D359&gt;0.5,E359&gt;0.5,F359&gt;0.5),AND(D359&lt;0.5,E359&lt;0.5,F359&lt;0.5)),"Yes","No — toss-up")</f>
        <v>Yes</v>
      </c>
    </row>
    <row r="360" customFormat="false" ht="15" hidden="false" customHeight="false" outlineLevel="0" collapsed="false">
      <c r="A360" s="8" t="str">
        <f aca="false">'2026 Forecast A'!A342</f>
        <v>Northampton</v>
      </c>
      <c r="B360" s="8" t="str">
        <f aca="false">'2026 Forecast A'!B342</f>
        <v>PALMER</v>
      </c>
      <c r="C360" s="8" t="str">
        <f aca="false">'2026 Forecast A'!C342</f>
        <v>PALMER - NORTH</v>
      </c>
      <c r="D360" s="9" t="n">
        <f aca="false">'2026 Forecast A'!G342</f>
        <v>0.523144104803494</v>
      </c>
      <c r="E360" s="9" t="n">
        <f aca="false">'2026 Forecast B'!G342</f>
        <v>0.53304347826087</v>
      </c>
      <c r="F360" s="9" t="n">
        <f aca="false">'2026 Forecast C'!G342</f>
        <v>0.517718236819361</v>
      </c>
      <c r="G360" s="24" t="n">
        <f aca="false">(MAX(D360:F360)-MIN(D360:F360))*100</f>
        <v>1.53252414415092</v>
      </c>
      <c r="H360" s="24" t="n">
        <f aca="false">'2026 Forecast A'!J342</f>
        <v>1.85532414445586</v>
      </c>
      <c r="I360" s="24" t="n">
        <f aca="false">'2026 Forecast B'!J342</f>
        <v>2.0110742867014</v>
      </c>
      <c r="J360" s="24" t="n">
        <f aca="false">'2026 Forecast C'!J342</f>
        <v>2.12060277043418</v>
      </c>
      <c r="K360" s="25" t="n">
        <f aca="false">'2026 Forecast A'!F342</f>
        <v>1145</v>
      </c>
      <c r="L360" s="26" t="str">
        <f aca="false">IF(OR(AND(D360&gt;0.5,E360&gt;0.5,F360&gt;0.5),AND(D360&lt;0.5,E360&lt;0.5,F360&lt;0.5)),"Yes","No — toss-up")</f>
        <v>Yes</v>
      </c>
    </row>
    <row r="361" customFormat="false" ht="15" hidden="false" customHeight="false" outlineLevel="0" collapsed="false">
      <c r="A361" s="8" t="str">
        <f aca="false">'2026 Forecast A'!A343</f>
        <v>Northampton</v>
      </c>
      <c r="B361" s="8" t="str">
        <f aca="false">'2026 Forecast A'!B343</f>
        <v>PALMER</v>
      </c>
      <c r="C361" s="8" t="str">
        <f aca="false">'2026 Forecast A'!C343</f>
        <v>PALMER - NORTHEAST</v>
      </c>
      <c r="D361" s="9" t="n">
        <f aca="false">'2026 Forecast A'!G343</f>
        <v>0.567123287671233</v>
      </c>
      <c r="E361" s="9" t="n">
        <f aca="false">'2026 Forecast B'!G343</f>
        <v>0.569262577532736</v>
      </c>
      <c r="F361" s="9" t="n">
        <f aca="false">'2026 Forecast C'!G343</f>
        <v>0.56767955801105</v>
      </c>
      <c r="G361" s="24" t="n">
        <f aca="false">(MAX(D361:F361)-MIN(D361:F361))*100</f>
        <v>0.213928986150314</v>
      </c>
      <c r="H361" s="24" t="n">
        <f aca="false">'2026 Forecast A'!J343</f>
        <v>1.28585670084365</v>
      </c>
      <c r="I361" s="24" t="n">
        <f aca="false">'2026 Forecast B'!J343</f>
        <v>1.87006919874525</v>
      </c>
      <c r="J361" s="24" t="n">
        <f aca="false">'2026 Forecast C'!J343</f>
        <v>1.26135644325249</v>
      </c>
      <c r="K361" s="25" t="n">
        <f aca="false">'2026 Forecast A'!F343</f>
        <v>1460</v>
      </c>
      <c r="L361" s="26" t="str">
        <f aca="false">IF(OR(AND(D361&gt;0.5,E361&gt;0.5,F361&gt;0.5),AND(D361&lt;0.5,E361&lt;0.5,F361&lt;0.5)),"Yes","No — toss-up")</f>
        <v>Yes</v>
      </c>
    </row>
    <row r="362" customFormat="false" ht="15" hidden="false" customHeight="false" outlineLevel="0" collapsed="false">
      <c r="A362" s="8" t="str">
        <f aca="false">'2026 Forecast A'!A344</f>
        <v>Northampton</v>
      </c>
      <c r="B362" s="8" t="str">
        <f aca="false">'2026 Forecast A'!B344</f>
        <v>PALMER</v>
      </c>
      <c r="C362" s="8" t="str">
        <f aca="false">'2026 Forecast A'!C344</f>
        <v>PALMER - NORTHWEST</v>
      </c>
      <c r="D362" s="9" t="n">
        <f aca="false">'2026 Forecast A'!G344</f>
        <v>0.539308963445168</v>
      </c>
      <c r="E362" s="9" t="n">
        <f aca="false">'2026 Forecast B'!G344</f>
        <v>0.539308963445168</v>
      </c>
      <c r="F362" s="9" t="n">
        <f aca="false">'2026 Forecast C'!G344</f>
        <v>0.538779731127198</v>
      </c>
      <c r="G362" s="24" t="n">
        <f aca="false">(MAX(D362:F362)-MIN(D362:F362))*100</f>
        <v>0.0529232317970196</v>
      </c>
      <c r="H362" s="24" t="n">
        <f aca="false">'2026 Forecast A'!J344</f>
        <v>1.28585670084365</v>
      </c>
      <c r="I362" s="24" t="n">
        <f aca="false">'2026 Forecast B'!J344</f>
        <v>1.87006919874525</v>
      </c>
      <c r="J362" s="24" t="n">
        <f aca="false">'2026 Forecast C'!J344</f>
        <v>1.26135644325249</v>
      </c>
      <c r="K362" s="25" t="n">
        <f aca="false">'2026 Forecast A'!F344</f>
        <v>1997</v>
      </c>
      <c r="L362" s="26" t="str">
        <f aca="false">IF(OR(AND(D362&gt;0.5,E362&gt;0.5,F362&gt;0.5),AND(D362&lt;0.5,E362&lt;0.5,F362&lt;0.5)),"Yes","No — toss-up")</f>
        <v>Yes</v>
      </c>
    </row>
    <row r="363" customFormat="false" ht="15" hidden="false" customHeight="false" outlineLevel="0" collapsed="false">
      <c r="A363" s="8" t="str">
        <f aca="false">'2026 Forecast A'!A345</f>
        <v>Northampton</v>
      </c>
      <c r="B363" s="8" t="str">
        <f aca="false">'2026 Forecast A'!B345</f>
        <v>PALMER</v>
      </c>
      <c r="C363" s="8" t="str">
        <f aca="false">'2026 Forecast A'!C345</f>
        <v>PALMER - SOUTH</v>
      </c>
      <c r="D363" s="9" t="n">
        <f aca="false">'2026 Forecast A'!G345</f>
        <v>0.539236861051116</v>
      </c>
      <c r="E363" s="9" t="n">
        <f aca="false">'2026 Forecast B'!G345</f>
        <v>0.537742631200575</v>
      </c>
      <c r="F363" s="9" t="n">
        <f aca="false">'2026 Forecast C'!G345</f>
        <v>0.539985326485693</v>
      </c>
      <c r="G363" s="24" t="n">
        <f aca="false">(MAX(D363:F363)-MIN(D363:F363))*100</f>
        <v>0.224269528511822</v>
      </c>
      <c r="H363" s="24" t="n">
        <f aca="false">'2026 Forecast A'!J345</f>
        <v>1.28585670084365</v>
      </c>
      <c r="I363" s="24" t="n">
        <f aca="false">'2026 Forecast B'!J345</f>
        <v>1.87006919874525</v>
      </c>
      <c r="J363" s="24" t="n">
        <f aca="false">'2026 Forecast C'!J345</f>
        <v>1.26135644325249</v>
      </c>
      <c r="K363" s="25" t="n">
        <f aca="false">'2026 Forecast A'!F345</f>
        <v>1389</v>
      </c>
      <c r="L363" s="26" t="str">
        <f aca="false">IF(OR(AND(D363&gt;0.5,E363&gt;0.5,F363&gt;0.5),AND(D363&lt;0.5,E363&lt;0.5,F363&lt;0.5)),"Yes","No — toss-up")</f>
        <v>Yes</v>
      </c>
    </row>
    <row r="364" customFormat="false" ht="15" hidden="false" customHeight="false" outlineLevel="0" collapsed="false">
      <c r="A364" s="8" t="str">
        <f aca="false">'2026 Forecast A'!A346</f>
        <v>Northampton</v>
      </c>
      <c r="B364" s="8" t="str">
        <f aca="false">'2026 Forecast A'!B346</f>
        <v>PALMER</v>
      </c>
      <c r="C364" s="8" t="str">
        <f aca="false">'2026 Forecast A'!C346</f>
        <v>PALMER - SOUTHEAST</v>
      </c>
      <c r="D364" s="9" t="n">
        <f aca="false">'2026 Forecast A'!G346</f>
        <v>0.565606361829026</v>
      </c>
      <c r="E364" s="9" t="n">
        <f aca="false">'2026 Forecast B'!G346</f>
        <v>0.560515873015873</v>
      </c>
      <c r="F364" s="9" t="n">
        <f aca="false">'2026 Forecast C'!G346</f>
        <v>0.563297350343474</v>
      </c>
      <c r="G364" s="24" t="n">
        <f aca="false">(MAX(D364:F364)-MIN(D364:F364))*100</f>
        <v>0.509048881315277</v>
      </c>
      <c r="H364" s="24" t="n">
        <f aca="false">'2026 Forecast A'!J346</f>
        <v>1.85532414445586</v>
      </c>
      <c r="I364" s="24" t="n">
        <f aca="false">'2026 Forecast B'!J346</f>
        <v>2.0110742867014</v>
      </c>
      <c r="J364" s="24" t="n">
        <f aca="false">'2026 Forecast C'!J346</f>
        <v>2.12060277043418</v>
      </c>
      <c r="K364" s="25" t="n">
        <f aca="false">'2026 Forecast A'!F346</f>
        <v>1006</v>
      </c>
      <c r="L364" s="26" t="str">
        <f aca="false">IF(OR(AND(D364&gt;0.5,E364&gt;0.5,F364&gt;0.5),AND(D364&lt;0.5,E364&lt;0.5,F364&lt;0.5)),"Yes","No — toss-up")</f>
        <v>Yes</v>
      </c>
    </row>
    <row r="365" customFormat="false" ht="15" hidden="false" customHeight="false" outlineLevel="0" collapsed="false">
      <c r="A365" s="8" t="str">
        <f aca="false">'2026 Forecast A'!A347</f>
        <v>Northampton</v>
      </c>
      <c r="B365" s="8" t="str">
        <f aca="false">'2026 Forecast A'!B347</f>
        <v>PALMER</v>
      </c>
      <c r="C365" s="8" t="str">
        <f aca="false">'2026 Forecast A'!C347</f>
        <v>PALMER - SOUTHWEST</v>
      </c>
      <c r="D365" s="9" t="n">
        <f aca="false">'2026 Forecast A'!G347</f>
        <v>0.497827975673328</v>
      </c>
      <c r="E365" s="9" t="n">
        <f aca="false">'2026 Forecast B'!G347</f>
        <v>0.50695652173913</v>
      </c>
      <c r="F365" s="9" t="n">
        <f aca="false">'2026 Forecast C'!G347</f>
        <v>0.497321428571429</v>
      </c>
      <c r="G365" s="24" t="n">
        <f aca="false">(MAX(D365:F365)-MIN(D365:F365))*100</f>
        <v>0.963509316770184</v>
      </c>
      <c r="H365" s="24" t="n">
        <f aca="false">'2026 Forecast A'!J347</f>
        <v>1.85532414445586</v>
      </c>
      <c r="I365" s="24" t="n">
        <f aca="false">'2026 Forecast B'!J347</f>
        <v>2.0110742867014</v>
      </c>
      <c r="J365" s="24" t="n">
        <f aca="false">'2026 Forecast C'!J347</f>
        <v>2.12060277043418</v>
      </c>
      <c r="K365" s="25" t="n">
        <f aca="false">'2026 Forecast A'!F347</f>
        <v>1151</v>
      </c>
      <c r="L365" s="26" t="str">
        <f aca="false">IF(OR(AND(D365&gt;0.5,E365&gt;0.5,F365&gt;0.5),AND(D365&lt;0.5,E365&lt;0.5,F365&lt;0.5)),"Yes","No — toss-up")</f>
        <v>No — toss-up</v>
      </c>
    </row>
    <row r="366" customFormat="false" ht="15" hidden="false" customHeight="false" outlineLevel="0" collapsed="false">
      <c r="A366" s="8" t="str">
        <f aca="false">'2026 Forecast A'!A348</f>
        <v>Northampton</v>
      </c>
      <c r="B366" s="8" t="str">
        <f aca="false">'2026 Forecast A'!B348</f>
        <v>PALMER</v>
      </c>
      <c r="C366" s="8" t="str">
        <f aca="false">'2026 Forecast A'!C348</f>
        <v>PALMER - WEST</v>
      </c>
      <c r="D366" s="9" t="n">
        <f aca="false">'2026 Forecast A'!G348</f>
        <v>0.5</v>
      </c>
      <c r="E366" s="9" t="n">
        <f aca="false">'2026 Forecast B'!G348</f>
        <v>0.499689247980112</v>
      </c>
      <c r="F366" s="9" t="n">
        <f aca="false">'2026 Forecast C'!G348</f>
        <v>0.49876390605686</v>
      </c>
      <c r="G366" s="24" t="n">
        <f aca="false">(MAX(D366:F366)-MIN(D366:F366))*100</f>
        <v>0.123609394313967</v>
      </c>
      <c r="H366" s="24" t="n">
        <f aca="false">'2026 Forecast A'!J348</f>
        <v>1.28585670084365</v>
      </c>
      <c r="I366" s="24" t="n">
        <f aca="false">'2026 Forecast B'!J348</f>
        <v>1.87006919874525</v>
      </c>
      <c r="J366" s="24" t="n">
        <f aca="false">'2026 Forecast C'!J348</f>
        <v>1.26135644325249</v>
      </c>
      <c r="K366" s="25" t="n">
        <f aca="false">'2026 Forecast A'!F348</f>
        <v>1624</v>
      </c>
      <c r="L366" s="26" t="str">
        <f aca="false">IF(OR(AND(D366&gt;0.5,E366&gt;0.5,F366&gt;0.5),AND(D366&lt;0.5,E366&lt;0.5,F366&lt;0.5)),"Yes","No — toss-up")</f>
        <v>No — toss-up</v>
      </c>
    </row>
    <row r="367" customFormat="false" ht="15" hidden="false" customHeight="false" outlineLevel="0" collapsed="false">
      <c r="A367" s="8" t="str">
        <f aca="false">'2026 Forecast A'!A349</f>
        <v>Northampton</v>
      </c>
      <c r="B367" s="8" t="str">
        <f aca="false">'2026 Forecast A'!B349</f>
        <v>PEN ARGYL</v>
      </c>
      <c r="C367" s="8" t="str">
        <f aca="false">'2026 Forecast A'!C349</f>
        <v>PEN ARGYL BORO 1ST WARD</v>
      </c>
      <c r="D367" s="9" t="n">
        <f aca="false">'2026 Forecast A'!G349</f>
        <v>0.427350427350427</v>
      </c>
      <c r="E367" s="9" t="n">
        <f aca="false">'2026 Forecast B'!G349</f>
        <v>0.423076923076923</v>
      </c>
      <c r="F367" s="9" t="n">
        <f aca="false">'2026 Forecast C'!G349</f>
        <v>0.422907488986784</v>
      </c>
      <c r="G367" s="24" t="n">
        <f aca="false">(MAX(D367:F367)-MIN(D367:F367))*100</f>
        <v>0.444293836364318</v>
      </c>
      <c r="H367" s="24" t="n">
        <f aca="false">'2026 Forecast A'!J349</f>
        <v>3.25434931194355</v>
      </c>
      <c r="I367" s="24" t="n">
        <f aca="false">'2026 Forecast B'!J349</f>
        <v>3.09864730606258</v>
      </c>
      <c r="J367" s="24" t="n">
        <f aca="false">'2026 Forecast C'!J349</f>
        <v>3.7041269898902</v>
      </c>
      <c r="K367" s="25" t="n">
        <f aca="false">'2026 Forecast A'!F349</f>
        <v>234</v>
      </c>
      <c r="L367" s="26" t="str">
        <f aca="false">IF(OR(AND(D367&gt;0.5,E367&gt;0.5,F367&gt;0.5),AND(D367&lt;0.5,E367&lt;0.5,F367&lt;0.5)),"Yes","No — toss-up")</f>
        <v>Yes</v>
      </c>
    </row>
    <row r="368" customFormat="false" ht="15" hidden="false" customHeight="false" outlineLevel="0" collapsed="false">
      <c r="A368" s="8" t="str">
        <f aca="false">'2026 Forecast A'!A350</f>
        <v>Northampton</v>
      </c>
      <c r="B368" s="8" t="str">
        <f aca="false">'2026 Forecast A'!B350</f>
        <v>PEN ARGYL</v>
      </c>
      <c r="C368" s="8" t="str">
        <f aca="false">'2026 Forecast A'!C350</f>
        <v>PEN ARGYL BORO 2ND WARD</v>
      </c>
      <c r="D368" s="9" t="n">
        <f aca="false">'2026 Forecast A'!G350</f>
        <v>0.401639344262295</v>
      </c>
      <c r="E368" s="9" t="n">
        <f aca="false">'2026 Forecast B'!G350</f>
        <v>0.406862745098039</v>
      </c>
      <c r="F368" s="9" t="n">
        <f aca="false">'2026 Forecast C'!G350</f>
        <v>0.397328881469115</v>
      </c>
      <c r="G368" s="24" t="n">
        <f aca="false">(MAX(D368:F368)-MIN(D368:F368))*100</f>
        <v>0.9533863628924</v>
      </c>
      <c r="H368" s="24" t="n">
        <f aca="false">'2026 Forecast A'!J350</f>
        <v>3.25434931194355</v>
      </c>
      <c r="I368" s="24" t="n">
        <f aca="false">'2026 Forecast B'!J350</f>
        <v>3.09864730606258</v>
      </c>
      <c r="J368" s="24" t="n">
        <f aca="false">'2026 Forecast C'!J350</f>
        <v>3.7041269898902</v>
      </c>
      <c r="K368" s="25" t="n">
        <f aca="false">'2026 Forecast A'!F350</f>
        <v>610</v>
      </c>
      <c r="L368" s="26" t="str">
        <f aca="false">IF(OR(AND(D368&gt;0.5,E368&gt;0.5,F368&gt;0.5),AND(D368&lt;0.5,E368&lt;0.5,F368&lt;0.5)),"Yes","No — toss-up")</f>
        <v>Yes</v>
      </c>
    </row>
    <row r="369" customFormat="false" ht="15" hidden="false" customHeight="false" outlineLevel="0" collapsed="false">
      <c r="A369" s="8" t="str">
        <f aca="false">'2026 Forecast A'!A351</f>
        <v>Northampton</v>
      </c>
      <c r="B369" s="8" t="str">
        <f aca="false">'2026 Forecast A'!B351</f>
        <v>PEN ARGYL</v>
      </c>
      <c r="C369" s="8" t="str">
        <f aca="false">'2026 Forecast A'!C351</f>
        <v>PEN ARGYL BORO 3RD WARD</v>
      </c>
      <c r="D369" s="9" t="n">
        <f aca="false">'2026 Forecast A'!G351</f>
        <v>0.443890274314214</v>
      </c>
      <c r="E369" s="9" t="n">
        <f aca="false">'2026 Forecast B'!G351</f>
        <v>0.443890274314214</v>
      </c>
      <c r="F369" s="9" t="n">
        <f aca="false">'2026 Forecast C'!G351</f>
        <v>0.442159383033419</v>
      </c>
      <c r="G369" s="24" t="n">
        <f aca="false">(MAX(D369:F369)-MIN(D369:F369))*100</f>
        <v>0.173089128079545</v>
      </c>
      <c r="H369" s="24" t="n">
        <f aca="false">'2026 Forecast A'!J351</f>
        <v>3.25434931194355</v>
      </c>
      <c r="I369" s="24" t="n">
        <f aca="false">'2026 Forecast B'!J351</f>
        <v>3.09864730606258</v>
      </c>
      <c r="J369" s="24" t="n">
        <f aca="false">'2026 Forecast C'!J351</f>
        <v>3.7041269898902</v>
      </c>
      <c r="K369" s="25" t="n">
        <f aca="false">'2026 Forecast A'!F351</f>
        <v>401</v>
      </c>
      <c r="L369" s="26" t="str">
        <f aca="false">IF(OR(AND(D369&gt;0.5,E369&gt;0.5,F369&gt;0.5),AND(D369&lt;0.5,E369&lt;0.5,F369&lt;0.5)),"Yes","No — toss-up")</f>
        <v>Yes</v>
      </c>
    </row>
    <row r="370" customFormat="false" ht="15" hidden="false" customHeight="false" outlineLevel="0" collapsed="false">
      <c r="A370" s="8" t="str">
        <f aca="false">'2026 Forecast A'!A352</f>
        <v>Northampton</v>
      </c>
      <c r="B370" s="8" t="str">
        <f aca="false">'2026 Forecast A'!B352</f>
        <v>PEN ARGYL</v>
      </c>
      <c r="C370" s="8" t="str">
        <f aca="false">'2026 Forecast A'!C352</f>
        <v>PEN ARGYL BORO 4TH WARD</v>
      </c>
      <c r="D370" s="9" t="n">
        <f aca="false">'2026 Forecast A'!G352</f>
        <v>0.447826086956522</v>
      </c>
      <c r="E370" s="9" t="n">
        <f aca="false">'2026 Forecast B'!G352</f>
        <v>0.447826086956522</v>
      </c>
      <c r="F370" s="9" t="n">
        <f aca="false">'2026 Forecast C'!G352</f>
        <v>0.444933920704846</v>
      </c>
      <c r="G370" s="24" t="n">
        <f aca="false">(MAX(D370:F370)-MIN(D370:F370))*100</f>
        <v>0.289216625167593</v>
      </c>
      <c r="H370" s="24" t="n">
        <f aca="false">'2026 Forecast A'!J352</f>
        <v>3.25434931194355</v>
      </c>
      <c r="I370" s="24" t="n">
        <f aca="false">'2026 Forecast B'!J352</f>
        <v>3.09864730606258</v>
      </c>
      <c r="J370" s="24" t="n">
        <f aca="false">'2026 Forecast C'!J352</f>
        <v>3.7041269898902</v>
      </c>
      <c r="K370" s="25" t="n">
        <f aca="false">'2026 Forecast A'!F352</f>
        <v>230</v>
      </c>
      <c r="L370" s="26" t="str">
        <f aca="false">IF(OR(AND(D370&gt;0.5,E370&gt;0.5,F370&gt;0.5),AND(D370&lt;0.5,E370&lt;0.5,F370&lt;0.5)),"Yes","No — toss-up")</f>
        <v>Yes</v>
      </c>
    </row>
    <row r="371" customFormat="false" ht="15" hidden="false" customHeight="false" outlineLevel="0" collapsed="false">
      <c r="A371" s="8" t="str">
        <f aca="false">'2026 Forecast A'!A353</f>
        <v>Northampton</v>
      </c>
      <c r="B371" s="8" t="str">
        <f aca="false">'2026 Forecast A'!B353</f>
        <v>PLAINFIELD</v>
      </c>
      <c r="C371" s="8" t="str">
        <f aca="false">'2026 Forecast A'!C353</f>
        <v>PLAINFIELD TWSP - BELFAST</v>
      </c>
      <c r="D371" s="9" t="n">
        <f aca="false">'2026 Forecast A'!G353</f>
        <v>0.396019900497512</v>
      </c>
      <c r="E371" s="9" t="n">
        <f aca="false">'2026 Forecast B'!G353</f>
        <v>0.395233366434955</v>
      </c>
      <c r="F371" s="9" t="n">
        <f aca="false">'2026 Forecast C'!G353</f>
        <v>0.38877755511022</v>
      </c>
      <c r="G371" s="24" t="n">
        <f aca="false">(MAX(D371:F371)-MIN(D371:F371))*100</f>
        <v>0.724234538729202</v>
      </c>
      <c r="H371" s="24" t="n">
        <f aca="false">'2026 Forecast A'!J353</f>
        <v>1.85532414445586</v>
      </c>
      <c r="I371" s="24" t="n">
        <f aca="false">'2026 Forecast B'!J353</f>
        <v>2.0110742867014</v>
      </c>
      <c r="J371" s="24" t="n">
        <f aca="false">'2026 Forecast C'!J353</f>
        <v>2.12060277043418</v>
      </c>
      <c r="K371" s="25" t="n">
        <f aca="false">'2026 Forecast A'!F353</f>
        <v>1005</v>
      </c>
      <c r="L371" s="26" t="str">
        <f aca="false">IF(OR(AND(D371&gt;0.5,E371&gt;0.5,F371&gt;0.5),AND(D371&lt;0.5,E371&lt;0.5,F371&lt;0.5)),"Yes","No — toss-up")</f>
        <v>Yes</v>
      </c>
    </row>
    <row r="372" customFormat="false" ht="15" hidden="false" customHeight="false" outlineLevel="0" collapsed="false">
      <c r="A372" s="8" t="str">
        <f aca="false">'2026 Forecast A'!A354</f>
        <v>Northampton</v>
      </c>
      <c r="B372" s="8" t="str">
        <f aca="false">'2026 Forecast A'!B354</f>
        <v>PLAINFIELD</v>
      </c>
      <c r="C372" s="8" t="str">
        <f aca="false">'2026 Forecast A'!C354</f>
        <v>PLAINFIELD TWSP - DELABOLE</v>
      </c>
      <c r="D372" s="9" t="n">
        <f aca="false">'2026 Forecast A'!G354</f>
        <v>0.40272614622057</v>
      </c>
      <c r="E372" s="9" t="n">
        <f aca="false">'2026 Forecast B'!G354</f>
        <v>0.401730531520396</v>
      </c>
      <c r="F372" s="9" t="n">
        <f aca="false">'2026 Forecast C'!G354</f>
        <v>0.39622641509434</v>
      </c>
      <c r="G372" s="24" t="n">
        <f aca="false">(MAX(D372:F372)-MIN(D372:F372))*100</f>
        <v>0.649973112623037</v>
      </c>
      <c r="H372" s="24" t="n">
        <f aca="false">'2026 Forecast A'!J354</f>
        <v>1.85532414445586</v>
      </c>
      <c r="I372" s="24" t="n">
        <f aca="false">'2026 Forecast B'!J354</f>
        <v>2.0110742867014</v>
      </c>
      <c r="J372" s="24" t="n">
        <f aca="false">'2026 Forecast C'!J354</f>
        <v>2.12060277043418</v>
      </c>
      <c r="K372" s="25" t="n">
        <f aca="false">'2026 Forecast A'!F354</f>
        <v>807</v>
      </c>
      <c r="L372" s="26" t="str">
        <f aca="false">IF(OR(AND(D372&gt;0.5,E372&gt;0.5,F372&gt;0.5),AND(D372&lt;0.5,E372&lt;0.5,F372&lt;0.5)),"Yes","No — toss-up")</f>
        <v>Yes</v>
      </c>
    </row>
    <row r="373" customFormat="false" ht="15" hidden="false" customHeight="false" outlineLevel="0" collapsed="false">
      <c r="A373" s="8" t="str">
        <f aca="false">'2026 Forecast A'!A355</f>
        <v>Northampton</v>
      </c>
      <c r="B373" s="8" t="str">
        <f aca="false">'2026 Forecast A'!B355</f>
        <v>PLAINFIELD</v>
      </c>
      <c r="C373" s="8" t="str">
        <f aca="false">'2026 Forecast A'!C355</f>
        <v>PLAINFIELD TWSP - KESSLERSVILLE</v>
      </c>
      <c r="D373" s="9" t="n">
        <f aca="false">'2026 Forecast A'!G355</f>
        <v>0.385019710906702</v>
      </c>
      <c r="E373" s="9" t="n">
        <f aca="false">'2026 Forecast B'!G355</f>
        <v>0.382699868938401</v>
      </c>
      <c r="F373" s="9" t="n">
        <f aca="false">'2026 Forecast C'!G355</f>
        <v>0.378989361702128</v>
      </c>
      <c r="G373" s="24" t="n">
        <f aca="false">(MAX(D373:F373)-MIN(D373:F373))*100</f>
        <v>0.603034920457407</v>
      </c>
      <c r="H373" s="24" t="n">
        <f aca="false">'2026 Forecast A'!J355</f>
        <v>3.25434931194355</v>
      </c>
      <c r="I373" s="24" t="n">
        <f aca="false">'2026 Forecast B'!J355</f>
        <v>3.09864730606258</v>
      </c>
      <c r="J373" s="24" t="n">
        <f aca="false">'2026 Forecast C'!J355</f>
        <v>3.7041269898902</v>
      </c>
      <c r="K373" s="25" t="n">
        <f aca="false">'2026 Forecast A'!F355</f>
        <v>761</v>
      </c>
      <c r="L373" s="26" t="str">
        <f aca="false">IF(OR(AND(D373&gt;0.5,E373&gt;0.5,F373&gt;0.5),AND(D373&lt;0.5,E373&lt;0.5,F373&lt;0.5)),"Yes","No — toss-up")</f>
        <v>Yes</v>
      </c>
    </row>
    <row r="374" customFormat="false" ht="15" hidden="false" customHeight="false" outlineLevel="0" collapsed="false">
      <c r="A374" s="8" t="str">
        <f aca="false">'2026 Forecast A'!A356</f>
        <v>Northampton</v>
      </c>
      <c r="B374" s="8" t="str">
        <f aca="false">'2026 Forecast A'!B356</f>
        <v>PLAINFIELD</v>
      </c>
      <c r="C374" s="8" t="str">
        <f aca="false">'2026 Forecast A'!C356</f>
        <v>PLAINFIELD TWSP - PLAINFIELD CHURCH</v>
      </c>
      <c r="D374" s="9" t="n">
        <f aca="false">'2026 Forecast A'!G356</f>
        <v>0.384217335058215</v>
      </c>
      <c r="E374" s="9" t="n">
        <f aca="false">'2026 Forecast B'!G356</f>
        <v>0.384020618556701</v>
      </c>
      <c r="F374" s="9" t="n">
        <f aca="false">'2026 Forecast C'!G356</f>
        <v>0.377457404980341</v>
      </c>
      <c r="G374" s="24" t="n">
        <f aca="false">(MAX(D374:F374)-MIN(D374:F374))*100</f>
        <v>0.675993007787401</v>
      </c>
      <c r="H374" s="24" t="n">
        <f aca="false">'2026 Forecast A'!J356</f>
        <v>3.25434931194355</v>
      </c>
      <c r="I374" s="24" t="n">
        <f aca="false">'2026 Forecast B'!J356</f>
        <v>2.0110742867014</v>
      </c>
      <c r="J374" s="24" t="n">
        <f aca="false">'2026 Forecast C'!J356</f>
        <v>3.7041269898902</v>
      </c>
      <c r="K374" s="25" t="n">
        <f aca="false">'2026 Forecast A'!F356</f>
        <v>773</v>
      </c>
      <c r="L374" s="26" t="str">
        <f aca="false">IF(OR(AND(D374&gt;0.5,E374&gt;0.5,F374&gt;0.5),AND(D374&lt;0.5,E374&lt;0.5,F374&lt;0.5)),"Yes","No — toss-up")</f>
        <v>Yes</v>
      </c>
    </row>
    <row r="375" customFormat="false" ht="15" hidden="false" customHeight="false" outlineLevel="0" collapsed="false">
      <c r="A375" s="8" t="str">
        <f aca="false">'2026 Forecast A'!A357</f>
        <v>Northampton</v>
      </c>
      <c r="B375" s="8" t="str">
        <f aca="false">'2026 Forecast A'!B357</f>
        <v>PORTLAND</v>
      </c>
      <c r="C375" s="8" t="str">
        <f aca="false">'2026 Forecast A'!C357</f>
        <v>PORTLAND BORO</v>
      </c>
      <c r="D375" s="9" t="n">
        <f aca="false">'2026 Forecast A'!G357</f>
        <v>0.386473429951691</v>
      </c>
      <c r="E375" s="9" t="n">
        <f aca="false">'2026 Forecast B'!G357</f>
        <v>0.384615384615385</v>
      </c>
      <c r="F375" s="9" t="n">
        <f aca="false">'2026 Forecast C'!G357</f>
        <v>0.376811594202899</v>
      </c>
      <c r="G375" s="24" t="n">
        <f aca="false">(MAX(D375:F375)-MIN(D375:F375))*100</f>
        <v>0.966183574879226</v>
      </c>
      <c r="H375" s="24" t="n">
        <f aca="false">'2026 Forecast A'!J357</f>
        <v>3.25434931194355</v>
      </c>
      <c r="I375" s="24" t="n">
        <f aca="false">'2026 Forecast B'!J357</f>
        <v>3.09864730606258</v>
      </c>
      <c r="J375" s="24" t="n">
        <f aca="false">'2026 Forecast C'!J357</f>
        <v>3.7041269898902</v>
      </c>
      <c r="K375" s="25" t="n">
        <f aca="false">'2026 Forecast A'!F357</f>
        <v>207</v>
      </c>
      <c r="L375" s="26" t="str">
        <f aca="false">IF(OR(AND(D375&gt;0.5,E375&gt;0.5,F375&gt;0.5),AND(D375&lt;0.5,E375&lt;0.5,F375&lt;0.5)),"Yes","No — toss-up")</f>
        <v>Yes</v>
      </c>
    </row>
    <row r="376" customFormat="false" ht="15" hidden="false" customHeight="false" outlineLevel="0" collapsed="false">
      <c r="A376" s="8" t="str">
        <f aca="false">'2026 Forecast A'!A358</f>
        <v>Northampton</v>
      </c>
      <c r="B376" s="8" t="str">
        <f aca="false">'2026 Forecast A'!B358</f>
        <v>ROSETO</v>
      </c>
      <c r="C376" s="8" t="str">
        <f aca="false">'2026 Forecast A'!C358</f>
        <v>ROSETO BORO</v>
      </c>
      <c r="D376" s="9" t="n">
        <f aca="false">'2026 Forecast A'!G358</f>
        <v>0.425474254742547</v>
      </c>
      <c r="E376" s="9" t="n">
        <f aca="false">'2026 Forecast B'!G358</f>
        <v>0.427408412483039</v>
      </c>
      <c r="F376" s="9" t="n">
        <f aca="false">'2026 Forecast C'!G358</f>
        <v>0.420689655172414</v>
      </c>
      <c r="G376" s="24" t="n">
        <f aca="false">(MAX(D376:F376)-MIN(D376:F376))*100</f>
        <v>0.671875731062555</v>
      </c>
      <c r="H376" s="24" t="n">
        <f aca="false">'2026 Forecast A'!J358</f>
        <v>3.25434931194355</v>
      </c>
      <c r="I376" s="24" t="n">
        <f aca="false">'2026 Forecast B'!J358</f>
        <v>3.09864730606258</v>
      </c>
      <c r="J376" s="24" t="n">
        <f aca="false">'2026 Forecast C'!J358</f>
        <v>3.7041269898902</v>
      </c>
      <c r="K376" s="25" t="n">
        <f aca="false">'2026 Forecast A'!F358</f>
        <v>738</v>
      </c>
      <c r="L376" s="26" t="str">
        <f aca="false">IF(OR(AND(D376&gt;0.5,E376&gt;0.5,F376&gt;0.5),AND(D376&lt;0.5,E376&lt;0.5,F376&lt;0.5)),"Yes","No — toss-up")</f>
        <v>Yes</v>
      </c>
    </row>
    <row r="377" customFormat="false" ht="15" hidden="false" customHeight="false" outlineLevel="0" collapsed="false">
      <c r="A377" s="8" t="str">
        <f aca="false">'2026 Forecast A'!A359</f>
        <v>Northampton</v>
      </c>
      <c r="B377" s="8" t="str">
        <f aca="false">'2026 Forecast A'!B359</f>
        <v>STOCKERTOWN</v>
      </c>
      <c r="C377" s="8" t="str">
        <f aca="false">'2026 Forecast A'!C359</f>
        <v>STOCKERTOWN BORO</v>
      </c>
      <c r="D377" s="9" t="n">
        <f aca="false">'2026 Forecast A'!G359</f>
        <v>0.441805225653207</v>
      </c>
      <c r="E377" s="9" t="n">
        <f aca="false">'2026 Forecast B'!G359</f>
        <v>0.450236966824645</v>
      </c>
      <c r="F377" s="9" t="n">
        <f aca="false">'2026 Forecast C'!G359</f>
        <v>0.440677966101695</v>
      </c>
      <c r="G377" s="24" t="n">
        <f aca="false">(MAX(D377:F377)-MIN(D377:F377))*100</f>
        <v>0.955900072294963</v>
      </c>
      <c r="H377" s="24" t="n">
        <f aca="false">'2026 Forecast A'!J359</f>
        <v>3.25434931194355</v>
      </c>
      <c r="I377" s="24" t="n">
        <f aca="false">'2026 Forecast B'!J359</f>
        <v>3.09864730606258</v>
      </c>
      <c r="J377" s="24" t="n">
        <f aca="false">'2026 Forecast C'!J359</f>
        <v>3.7041269898902</v>
      </c>
      <c r="K377" s="25" t="n">
        <f aca="false">'2026 Forecast A'!F359</f>
        <v>421</v>
      </c>
      <c r="L377" s="26" t="str">
        <f aca="false">IF(OR(AND(D377&gt;0.5,E377&gt;0.5,F377&gt;0.5),AND(D377&lt;0.5,E377&lt;0.5,F377&lt;0.5)),"Yes","No — toss-up")</f>
        <v>Yes</v>
      </c>
    </row>
    <row r="378" customFormat="false" ht="15" hidden="false" customHeight="false" outlineLevel="0" collapsed="false">
      <c r="A378" s="8" t="str">
        <f aca="false">'2026 Forecast A'!A360</f>
        <v>Northampton</v>
      </c>
      <c r="B378" s="8" t="str">
        <f aca="false">'2026 Forecast A'!B360</f>
        <v>TATAMY</v>
      </c>
      <c r="C378" s="8" t="str">
        <f aca="false">'2026 Forecast A'!C360</f>
        <v>TATAMY BORO</v>
      </c>
      <c r="D378" s="9" t="n">
        <f aca="false">'2026 Forecast A'!G360</f>
        <v>0.475232198142415</v>
      </c>
      <c r="E378" s="9" t="n">
        <f aca="false">'2026 Forecast B'!G360</f>
        <v>0.472952086553323</v>
      </c>
      <c r="F378" s="9" t="n">
        <f aca="false">'2026 Forecast C'!G360</f>
        <v>0.47244094488189</v>
      </c>
      <c r="G378" s="24" t="n">
        <f aca="false">(MAX(D378:F378)-MIN(D378:F378))*100</f>
        <v>0.27912532605251</v>
      </c>
      <c r="H378" s="24" t="n">
        <f aca="false">'2026 Forecast A'!J360</f>
        <v>3.25434931194355</v>
      </c>
      <c r="I378" s="24" t="n">
        <f aca="false">'2026 Forecast B'!J360</f>
        <v>3.09864730606258</v>
      </c>
      <c r="J378" s="24" t="n">
        <f aca="false">'2026 Forecast C'!J360</f>
        <v>3.7041269898902</v>
      </c>
      <c r="K378" s="25" t="n">
        <f aca="false">'2026 Forecast A'!F360</f>
        <v>646</v>
      </c>
      <c r="L378" s="26" t="str">
        <f aca="false">IF(OR(AND(D378&gt;0.5,E378&gt;0.5,F378&gt;0.5),AND(D378&lt;0.5,E378&lt;0.5,F378&lt;0.5)),"Yes","No — toss-up")</f>
        <v>Yes</v>
      </c>
    </row>
    <row r="379" customFormat="false" ht="15" hidden="false" customHeight="false" outlineLevel="0" collapsed="false">
      <c r="A379" s="8" t="str">
        <f aca="false">'2026 Forecast A'!A361</f>
        <v>Northampton</v>
      </c>
      <c r="B379" s="8" t="str">
        <f aca="false">'2026 Forecast A'!B361</f>
        <v>UPPER MOUNT BETHEL</v>
      </c>
      <c r="C379" s="8" t="str">
        <f aca="false">'2026 Forecast A'!C361</f>
        <v>UPPER MT BETHEL TWSP - CENTERVILLE</v>
      </c>
      <c r="D379" s="9" t="n">
        <f aca="false">'2026 Forecast A'!G361</f>
        <v>0.336293007769145</v>
      </c>
      <c r="E379" s="9" t="n">
        <f aca="false">'2026 Forecast B'!G361</f>
        <v>0.32853982300885</v>
      </c>
      <c r="F379" s="9" t="n">
        <f aca="false">'2026 Forecast C'!G361</f>
        <v>0.328442437923251</v>
      </c>
      <c r="G379" s="24" t="n">
        <f aca="false">(MAX(D379:F379)-MIN(D379:F379))*100</f>
        <v>0.785056984589483</v>
      </c>
      <c r="H379" s="24" t="n">
        <f aca="false">'2026 Forecast A'!J361</f>
        <v>1.85532414445586</v>
      </c>
      <c r="I379" s="24" t="n">
        <f aca="false">'2026 Forecast B'!J361</f>
        <v>2.0110742867014</v>
      </c>
      <c r="J379" s="24" t="n">
        <f aca="false">'2026 Forecast C'!J361</f>
        <v>2.12060277043418</v>
      </c>
      <c r="K379" s="25" t="n">
        <f aca="false">'2026 Forecast A'!F361</f>
        <v>901</v>
      </c>
      <c r="L379" s="26" t="str">
        <f aca="false">IF(OR(AND(D379&gt;0.5,E379&gt;0.5,F379&gt;0.5),AND(D379&lt;0.5,E379&lt;0.5,F379&lt;0.5)),"Yes","No — toss-up")</f>
        <v>Yes</v>
      </c>
    </row>
    <row r="380" customFormat="false" ht="15" hidden="false" customHeight="false" outlineLevel="0" collapsed="false">
      <c r="A380" s="8" t="str">
        <f aca="false">'2026 Forecast A'!A362</f>
        <v>Northampton</v>
      </c>
      <c r="B380" s="8" t="str">
        <f aca="false">'2026 Forecast A'!B362</f>
        <v>UPPER MOUNT BETHEL</v>
      </c>
      <c r="C380" s="8" t="str">
        <f aca="false">'2026 Forecast A'!C362</f>
        <v>UPPER MT BETHEL TWSP - JOHNSONVILLE</v>
      </c>
      <c r="D380" s="9" t="n">
        <f aca="false">'2026 Forecast A'!G362</f>
        <v>0.36906584992343</v>
      </c>
      <c r="E380" s="9" t="n">
        <f aca="false">'2026 Forecast B'!G362</f>
        <v>0.371559633027523</v>
      </c>
      <c r="F380" s="9" t="n">
        <f aca="false">'2026 Forecast C'!G362</f>
        <v>0.362095531587057</v>
      </c>
      <c r="G380" s="24" t="n">
        <f aca="false">(MAX(D380:F380)-MIN(D380:F380))*100</f>
        <v>0.946410144046594</v>
      </c>
      <c r="H380" s="24" t="n">
        <f aca="false">'2026 Forecast A'!J362</f>
        <v>3.25434931194355</v>
      </c>
      <c r="I380" s="24" t="n">
        <f aca="false">'2026 Forecast B'!J362</f>
        <v>3.09864730606258</v>
      </c>
      <c r="J380" s="24" t="n">
        <f aca="false">'2026 Forecast C'!J362</f>
        <v>3.7041269898902</v>
      </c>
      <c r="K380" s="25" t="n">
        <f aca="false">'2026 Forecast A'!F362</f>
        <v>653</v>
      </c>
      <c r="L380" s="26" t="str">
        <f aca="false">IF(OR(AND(D380&gt;0.5,E380&gt;0.5,F380&gt;0.5),AND(D380&lt;0.5,E380&lt;0.5,F380&lt;0.5)),"Yes","No — toss-up")</f>
        <v>Yes</v>
      </c>
    </row>
    <row r="381" customFormat="false" ht="15" hidden="false" customHeight="false" outlineLevel="0" collapsed="false">
      <c r="A381" s="8" t="str">
        <f aca="false">'2026 Forecast A'!A363</f>
        <v>Northampton</v>
      </c>
      <c r="B381" s="8" t="str">
        <f aca="false">'2026 Forecast A'!B363</f>
        <v>UPPER MOUNT BETHEL</v>
      </c>
      <c r="C381" s="8" t="str">
        <f aca="false">'2026 Forecast A'!C363</f>
        <v>UPPER MT BETHEL TWSP - NORTH BANGOR</v>
      </c>
      <c r="D381" s="9" t="n">
        <f aca="false">'2026 Forecast A'!G363</f>
        <v>0.328596802841918</v>
      </c>
      <c r="E381" s="9" t="n">
        <f aca="false">'2026 Forecast B'!G363</f>
        <v>0.337477797513321</v>
      </c>
      <c r="F381" s="9" t="n">
        <f aca="false">'2026 Forecast C'!G363</f>
        <v>0.318425760286225</v>
      </c>
      <c r="G381" s="24" t="n">
        <f aca="false">(MAX(D381:F381)-MIN(D381:F381))*100</f>
        <v>1.90520372270961</v>
      </c>
      <c r="H381" s="24" t="n">
        <f aca="false">'2026 Forecast A'!J363</f>
        <v>3.25434931194355</v>
      </c>
      <c r="I381" s="24" t="n">
        <f aca="false">'2026 Forecast B'!J363</f>
        <v>3.09864730606258</v>
      </c>
      <c r="J381" s="24" t="n">
        <f aca="false">'2026 Forecast C'!J363</f>
        <v>3.7041269898902</v>
      </c>
      <c r="K381" s="25" t="n">
        <f aca="false">'2026 Forecast A'!F363</f>
        <v>563</v>
      </c>
      <c r="L381" s="26" t="str">
        <f aca="false">IF(OR(AND(D381&gt;0.5,E381&gt;0.5,F381&gt;0.5),AND(D381&lt;0.5,E381&lt;0.5,F381&lt;0.5)),"Yes","No — toss-up")</f>
        <v>Yes</v>
      </c>
    </row>
    <row r="382" customFormat="false" ht="15" hidden="false" customHeight="false" outlineLevel="0" collapsed="false">
      <c r="A382" s="8" t="str">
        <f aca="false">'2026 Forecast A'!A364</f>
        <v>Northampton</v>
      </c>
      <c r="B382" s="8" t="str">
        <f aca="false">'2026 Forecast A'!B364</f>
        <v>UPPER MOUNT BETHEL</v>
      </c>
      <c r="C382" s="8" t="str">
        <f aca="false">'2026 Forecast A'!C364</f>
        <v>UPPER MT BETHEL TWSP - SLATEFORD</v>
      </c>
      <c r="D382" s="9" t="n">
        <f aca="false">'2026 Forecast A'!G364</f>
        <v>0.339805825242718</v>
      </c>
      <c r="E382" s="9" t="n">
        <f aca="false">'2026 Forecast B'!G364</f>
        <v>0.335271317829457</v>
      </c>
      <c r="F382" s="9" t="n">
        <f aca="false">'2026 Forecast C'!G364</f>
        <v>0.331360946745562</v>
      </c>
      <c r="G382" s="24" t="n">
        <f aca="false">(MAX(D382:F382)-MIN(D382:F382))*100</f>
        <v>0.844487849715631</v>
      </c>
      <c r="H382" s="24" t="n">
        <f aca="false">'2026 Forecast A'!J364</f>
        <v>3.25434931194355</v>
      </c>
      <c r="I382" s="24" t="n">
        <f aca="false">'2026 Forecast B'!J364</f>
        <v>3.09864730606258</v>
      </c>
      <c r="J382" s="24" t="n">
        <f aca="false">'2026 Forecast C'!J364</f>
        <v>3.7041269898902</v>
      </c>
      <c r="K382" s="25" t="n">
        <f aca="false">'2026 Forecast A'!F364</f>
        <v>515</v>
      </c>
      <c r="L382" s="26" t="str">
        <f aca="false">IF(OR(AND(D382&gt;0.5,E382&gt;0.5,F382&gt;0.5),AND(D382&lt;0.5,E382&lt;0.5,F382&lt;0.5)),"Yes","No — toss-up")</f>
        <v>Yes</v>
      </c>
    </row>
    <row r="383" customFormat="false" ht="15" hidden="false" customHeight="false" outlineLevel="0" collapsed="false">
      <c r="A383" s="8" t="str">
        <f aca="false">'2026 Forecast A'!A365</f>
        <v>Northampton</v>
      </c>
      <c r="B383" s="8" t="str">
        <f aca="false">'2026 Forecast A'!B365</f>
        <v>UPPER MOUNT BETHEL</v>
      </c>
      <c r="C383" s="8" t="str">
        <f aca="false">'2026 Forecast A'!C365</f>
        <v>UPPER MT BETHEL TWSP - WILLIAMSBURG</v>
      </c>
      <c r="D383" s="9" t="n">
        <f aca="false">'2026 Forecast A'!G365</f>
        <v>0.403350515463918</v>
      </c>
      <c r="E383" s="9" t="n">
        <f aca="false">'2026 Forecast B'!G365</f>
        <v>0.39974293059126</v>
      </c>
      <c r="F383" s="9" t="n">
        <f aca="false">'2026 Forecast C'!G365</f>
        <v>0.397919375812744</v>
      </c>
      <c r="G383" s="24" t="n">
        <f aca="false">(MAX(D383:F383)-MIN(D383:F383))*100</f>
        <v>0.54311396511737</v>
      </c>
      <c r="H383" s="24" t="n">
        <f aca="false">'2026 Forecast A'!J365</f>
        <v>1.85532414445586</v>
      </c>
      <c r="I383" s="24" t="n">
        <f aca="false">'2026 Forecast B'!J365</f>
        <v>2.0110742867014</v>
      </c>
      <c r="J383" s="24" t="n">
        <f aca="false">'2026 Forecast C'!J365</f>
        <v>3.7041269898902</v>
      </c>
      <c r="K383" s="25" t="n">
        <f aca="false">'2026 Forecast A'!F365</f>
        <v>776</v>
      </c>
      <c r="L383" s="26" t="str">
        <f aca="false">IF(OR(AND(D383&gt;0.5,E383&gt;0.5,F383&gt;0.5),AND(D383&lt;0.5,E383&lt;0.5,F383&lt;0.5)),"Yes","No — toss-up")</f>
        <v>Yes</v>
      </c>
    </row>
    <row r="384" customFormat="false" ht="15" hidden="false" customHeight="false" outlineLevel="0" collapsed="false">
      <c r="A384" s="8" t="str">
        <f aca="false">'2026 Forecast A'!A366</f>
        <v>Northampton</v>
      </c>
      <c r="B384" s="8" t="str">
        <f aca="false">'2026 Forecast A'!B366</f>
        <v>UPPER NAZARETH</v>
      </c>
      <c r="C384" s="8" t="str">
        <f aca="false">'2026 Forecast A'!C366</f>
        <v>UPPER NAZARETH - EAST 1</v>
      </c>
      <c r="D384" s="9" t="n">
        <f aca="false">'2026 Forecast A'!G366</f>
        <v>0.532224532224532</v>
      </c>
      <c r="E384" s="9" t="n">
        <f aca="false">'2026 Forecast B'!G366</f>
        <v>0.529108706852138</v>
      </c>
      <c r="F384" s="9" t="n">
        <f aca="false">'2026 Forecast C'!G366</f>
        <v>0.534006376195537</v>
      </c>
      <c r="G384" s="24" t="n">
        <f aca="false">(MAX(D384:F384)-MIN(D384:F384))*100</f>
        <v>0.489766934339864</v>
      </c>
      <c r="H384" s="24" t="n">
        <f aca="false">'2026 Forecast A'!J366</f>
        <v>1.28585670084365</v>
      </c>
      <c r="I384" s="24" t="n">
        <f aca="false">'2026 Forecast B'!J366</f>
        <v>1.87006919874525</v>
      </c>
      <c r="J384" s="24" t="n">
        <f aca="false">'2026 Forecast C'!J366</f>
        <v>1.26135644325249</v>
      </c>
      <c r="K384" s="25" t="n">
        <f aca="false">'2026 Forecast A'!F366</f>
        <v>1924</v>
      </c>
      <c r="L384" s="26" t="str">
        <f aca="false">IF(OR(AND(D384&gt;0.5,E384&gt;0.5,F384&gt;0.5),AND(D384&lt;0.5,E384&lt;0.5,F384&lt;0.5)),"Yes","No — toss-up")</f>
        <v>Yes</v>
      </c>
    </row>
    <row r="385" customFormat="false" ht="15" hidden="false" customHeight="false" outlineLevel="0" collapsed="false">
      <c r="A385" s="8" t="str">
        <f aca="false">'2026 Forecast A'!A367</f>
        <v>Northampton</v>
      </c>
      <c r="B385" s="8" t="str">
        <f aca="false">'2026 Forecast A'!B367</f>
        <v>UPPER NAZARETH</v>
      </c>
      <c r="C385" s="8" t="str">
        <f aca="false">'2026 Forecast A'!C367</f>
        <v>UPPER NAZARETH - EAST 2</v>
      </c>
      <c r="D385" s="9" t="n">
        <f aca="false">'2026 Forecast A'!G367</f>
        <v>0.517543859649123</v>
      </c>
      <c r="E385" s="9" t="n">
        <f aca="false">'2026 Forecast B'!G367</f>
        <v>0.525394045534151</v>
      </c>
      <c r="F385" s="9" t="n">
        <f aca="false">'2026 Forecast C'!G367</f>
        <v>0.512998266897747</v>
      </c>
      <c r="G385" s="24" t="n">
        <f aca="false">(MAX(D385:F385)-MIN(D385:F385))*100</f>
        <v>1.23957786364036</v>
      </c>
      <c r="H385" s="24" t="n">
        <f aca="false">'2026 Forecast A'!J367</f>
        <v>3.25434931194355</v>
      </c>
      <c r="I385" s="24" t="n">
        <f aca="false">'2026 Forecast B'!J367</f>
        <v>3.09864730606258</v>
      </c>
      <c r="J385" s="24" t="n">
        <f aca="false">'2026 Forecast C'!J367</f>
        <v>3.7041269898902</v>
      </c>
      <c r="K385" s="25" t="n">
        <f aca="false">'2026 Forecast A'!F367</f>
        <v>570</v>
      </c>
      <c r="L385" s="26" t="str">
        <f aca="false">IF(OR(AND(D385&gt;0.5,E385&gt;0.5,F385&gt;0.5),AND(D385&lt;0.5,E385&lt;0.5,F385&lt;0.5)),"Yes","No — toss-up")</f>
        <v>Yes</v>
      </c>
    </row>
    <row r="386" customFormat="false" ht="15" hidden="false" customHeight="false" outlineLevel="0" collapsed="false">
      <c r="A386" s="8" t="str">
        <f aca="false">'2026 Forecast A'!A368</f>
        <v>Northampton</v>
      </c>
      <c r="B386" s="8" t="str">
        <f aca="false">'2026 Forecast A'!B368</f>
        <v>UPPER NAZARETH</v>
      </c>
      <c r="C386" s="8" t="str">
        <f aca="false">'2026 Forecast A'!C368</f>
        <v>UPPER NAZARETH - WEST 1</v>
      </c>
      <c r="D386" s="9" t="n">
        <f aca="false">'2026 Forecast A'!G368</f>
        <v>0.535318559556787</v>
      </c>
      <c r="E386" s="9" t="n">
        <f aca="false">'2026 Forecast B'!G368</f>
        <v>0.529861111111111</v>
      </c>
      <c r="F386" s="9" t="n">
        <f aca="false">'2026 Forecast C'!G368</f>
        <v>0.535612535612536</v>
      </c>
      <c r="G386" s="24" t="n">
        <f aca="false">(MAX(D386:F386)-MIN(D386:F386))*100</f>
        <v>0.575142450142452</v>
      </c>
      <c r="H386" s="24" t="n">
        <f aca="false">'2026 Forecast A'!J368</f>
        <v>1.28585670084365</v>
      </c>
      <c r="I386" s="24" t="n">
        <f aca="false">'2026 Forecast B'!J368</f>
        <v>1.87006919874525</v>
      </c>
      <c r="J386" s="24" t="n">
        <f aca="false">'2026 Forecast C'!J368</f>
        <v>1.26135644325249</v>
      </c>
      <c r="K386" s="25" t="n">
        <f aca="false">'2026 Forecast A'!F368</f>
        <v>1444</v>
      </c>
      <c r="L386" s="26" t="str">
        <f aca="false">IF(OR(AND(D386&gt;0.5,E386&gt;0.5,F386&gt;0.5),AND(D386&lt;0.5,E386&lt;0.5,F386&lt;0.5)),"Yes","No — toss-up")</f>
        <v>Yes</v>
      </c>
    </row>
    <row r="387" customFormat="false" ht="15" hidden="false" customHeight="false" outlineLevel="0" collapsed="false">
      <c r="A387" s="8" t="str">
        <f aca="false">'2026 Forecast A'!A369</f>
        <v>Northampton</v>
      </c>
      <c r="B387" s="8" t="str">
        <f aca="false">'2026 Forecast A'!B369</f>
        <v>UPPER NAZARETH</v>
      </c>
      <c r="C387" s="8" t="str">
        <f aca="false">'2026 Forecast A'!C369</f>
        <v>UPPER NAZARETH - WEST 2</v>
      </c>
      <c r="D387" s="9" t="n">
        <f aca="false">'2026 Forecast A'!G369</f>
        <v>0.51981351981352</v>
      </c>
      <c r="E387" s="9" t="n">
        <f aca="false">'2026 Forecast B'!G369</f>
        <v>0.523255813953488</v>
      </c>
      <c r="F387" s="9" t="n">
        <f aca="false">'2026 Forecast C'!G369</f>
        <v>0.513761467889908</v>
      </c>
      <c r="G387" s="24" t="n">
        <f aca="false">(MAX(D387:F387)-MIN(D387:F387))*100</f>
        <v>0.949434606358013</v>
      </c>
      <c r="H387" s="24" t="n">
        <f aca="false">'2026 Forecast A'!J369</f>
        <v>3.25434931194355</v>
      </c>
      <c r="I387" s="24" t="n">
        <f aca="false">'2026 Forecast B'!J369</f>
        <v>3.09864730606258</v>
      </c>
      <c r="J387" s="24" t="n">
        <f aca="false">'2026 Forecast C'!J369</f>
        <v>3.7041269898902</v>
      </c>
      <c r="K387" s="25" t="n">
        <f aca="false">'2026 Forecast A'!F369</f>
        <v>429</v>
      </c>
      <c r="L387" s="26" t="str">
        <f aca="false">IF(OR(AND(D387&gt;0.5,E387&gt;0.5,F387&gt;0.5),AND(D387&lt;0.5,E387&lt;0.5,F387&lt;0.5)),"Yes","No — toss-up")</f>
        <v>Yes</v>
      </c>
    </row>
    <row r="388" customFormat="false" ht="15" hidden="false" customHeight="false" outlineLevel="0" collapsed="false">
      <c r="A388" s="8" t="str">
        <f aca="false">'2026 Forecast A'!A370</f>
        <v>Northampton</v>
      </c>
      <c r="B388" s="8" t="str">
        <f aca="false">'2026 Forecast A'!B370</f>
        <v>WALNUTPORT</v>
      </c>
      <c r="C388" s="8" t="str">
        <f aca="false">'2026 Forecast A'!C370</f>
        <v>WALNUTPORT BORO</v>
      </c>
      <c r="D388" s="9" t="n">
        <f aca="false">'2026 Forecast A'!G370</f>
        <v>0.435196195005945</v>
      </c>
      <c r="E388" s="9" t="n">
        <f aca="false">'2026 Forecast B'!G370</f>
        <v>0.438908659549229</v>
      </c>
      <c r="F388" s="9" t="n">
        <f aca="false">'2026 Forecast C'!G370</f>
        <v>0.430844553243574</v>
      </c>
      <c r="G388" s="24" t="n">
        <f aca="false">(MAX(D388:F388)-MIN(D388:F388))*100</f>
        <v>0.806410630565485</v>
      </c>
      <c r="H388" s="24" t="n">
        <f aca="false">'2026 Forecast A'!J370</f>
        <v>1.85532414445586</v>
      </c>
      <c r="I388" s="24" t="n">
        <f aca="false">'2026 Forecast B'!J370</f>
        <v>2.0110742867014</v>
      </c>
      <c r="J388" s="24" t="n">
        <f aca="false">'2026 Forecast C'!J370</f>
        <v>2.12060277043418</v>
      </c>
      <c r="K388" s="25" t="n">
        <f aca="false">'2026 Forecast A'!F370</f>
        <v>841</v>
      </c>
      <c r="L388" s="26" t="str">
        <f aca="false">IF(OR(AND(D388&gt;0.5,E388&gt;0.5,F388&gt;0.5),AND(D388&lt;0.5,E388&lt;0.5,F388&lt;0.5)),"Yes","No — toss-up")</f>
        <v>Yes</v>
      </c>
    </row>
    <row r="389" customFormat="false" ht="15" hidden="false" customHeight="false" outlineLevel="0" collapsed="false">
      <c r="A389" s="8" t="str">
        <f aca="false">'2026 Forecast A'!A371</f>
        <v>Northampton</v>
      </c>
      <c r="B389" s="8" t="str">
        <f aca="false">'2026 Forecast A'!B371</f>
        <v>WASHINGTON</v>
      </c>
      <c r="C389" s="8" t="str">
        <f aca="false">'2026 Forecast A'!C371</f>
        <v>WASHINGTON TWSP - LOWER</v>
      </c>
      <c r="D389" s="9" t="n">
        <f aca="false">'2026 Forecast A'!G371</f>
        <v>0.378463146889702</v>
      </c>
      <c r="E389" s="9" t="n">
        <f aca="false">'2026 Forecast B'!G371</f>
        <v>0.382581648522551</v>
      </c>
      <c r="F389" s="9" t="n">
        <f aca="false">'2026 Forecast C'!G371</f>
        <v>0.371459112773918</v>
      </c>
      <c r="G389" s="24" t="n">
        <f aca="false">(MAX(D389:F389)-MIN(D389:F389))*100</f>
        <v>1.11225357486329</v>
      </c>
      <c r="H389" s="24" t="n">
        <f aca="false">'2026 Forecast A'!J371</f>
        <v>1.28585670084365</v>
      </c>
      <c r="I389" s="24" t="n">
        <f aca="false">'2026 Forecast B'!J371</f>
        <v>1.87006919874525</v>
      </c>
      <c r="J389" s="24" t="n">
        <f aca="false">'2026 Forecast C'!J371</f>
        <v>1.26135644325249</v>
      </c>
      <c r="K389" s="25" t="n">
        <f aca="false">'2026 Forecast A'!F371</f>
        <v>1913</v>
      </c>
      <c r="L389" s="26" t="str">
        <f aca="false">IF(OR(AND(D389&gt;0.5,E389&gt;0.5,F389&gt;0.5),AND(D389&lt;0.5,E389&lt;0.5,F389&lt;0.5)),"Yes","No — toss-up")</f>
        <v>Yes</v>
      </c>
    </row>
    <row r="390" customFormat="false" ht="15" hidden="false" customHeight="false" outlineLevel="0" collapsed="false">
      <c r="A390" s="8" t="str">
        <f aca="false">'2026 Forecast A'!A372</f>
        <v>Northampton</v>
      </c>
      <c r="B390" s="8" t="str">
        <f aca="false">'2026 Forecast A'!B372</f>
        <v>WASHINGTON</v>
      </c>
      <c r="C390" s="8" t="str">
        <f aca="false">'2026 Forecast A'!C372</f>
        <v>WASHINGTON TWSP - UPPER</v>
      </c>
      <c r="D390" s="9" t="n">
        <f aca="false">'2026 Forecast A'!G372</f>
        <v>0.373793103448276</v>
      </c>
      <c r="E390" s="9" t="n">
        <f aca="false">'2026 Forecast B'!G372</f>
        <v>0.373695198329854</v>
      </c>
      <c r="F390" s="9" t="n">
        <f aca="false">'2026 Forecast C'!G372</f>
        <v>0.366089965397924</v>
      </c>
      <c r="G390" s="24" t="n">
        <f aca="false">(MAX(D390:F390)-MIN(D390:F390))*100</f>
        <v>0.7703138050352</v>
      </c>
      <c r="H390" s="24" t="n">
        <f aca="false">'2026 Forecast A'!J372</f>
        <v>1.28585670084365</v>
      </c>
      <c r="I390" s="24" t="n">
        <f aca="false">'2026 Forecast B'!J372</f>
        <v>1.87006919874525</v>
      </c>
      <c r="J390" s="24" t="n">
        <f aca="false">'2026 Forecast C'!J372</f>
        <v>1.26135644325249</v>
      </c>
      <c r="K390" s="25" t="n">
        <f aca="false">'2026 Forecast A'!F372</f>
        <v>1450</v>
      </c>
      <c r="L390" s="26" t="str">
        <f aca="false">IF(OR(AND(D390&gt;0.5,E390&gt;0.5,F390&gt;0.5),AND(D390&lt;0.5,E390&lt;0.5,F390&lt;0.5)),"Yes","No — toss-up")</f>
        <v>Yes</v>
      </c>
    </row>
    <row r="391" customFormat="false" ht="15" hidden="false" customHeight="false" outlineLevel="0" collapsed="false">
      <c r="A391" s="8" t="str">
        <f aca="false">'2026 Forecast A'!A373</f>
        <v>Northampton</v>
      </c>
      <c r="B391" s="8" t="str">
        <f aca="false">'2026 Forecast A'!B373</f>
        <v>WEST EASTON</v>
      </c>
      <c r="C391" s="8" t="str">
        <f aca="false">'2026 Forecast A'!C373</f>
        <v>WEST EASTON</v>
      </c>
      <c r="D391" s="9" t="n">
        <f aca="false">'2026 Forecast A'!G373</f>
        <v>0.529157667386609</v>
      </c>
      <c r="E391" s="9" t="n">
        <f aca="false">'2026 Forecast B'!G373</f>
        <v>0.532327586206897</v>
      </c>
      <c r="F391" s="9" t="n">
        <f aca="false">'2026 Forecast C'!G373</f>
        <v>0.53056768558952</v>
      </c>
      <c r="G391" s="24" t="n">
        <f aca="false">(MAX(D391:F391)-MIN(D391:F391))*100</f>
        <v>0.31699188202875</v>
      </c>
      <c r="H391" s="24" t="n">
        <f aca="false">'2026 Forecast A'!J373</f>
        <v>3.25434931194355</v>
      </c>
      <c r="I391" s="24" t="n">
        <f aca="false">'2026 Forecast B'!J373</f>
        <v>3.09864730606258</v>
      </c>
      <c r="J391" s="24" t="n">
        <f aca="false">'2026 Forecast C'!J373</f>
        <v>3.7041269898902</v>
      </c>
      <c r="K391" s="25" t="n">
        <f aca="false">'2026 Forecast A'!F373</f>
        <v>463</v>
      </c>
      <c r="L391" s="26" t="str">
        <f aca="false">IF(OR(AND(D391&gt;0.5,E391&gt;0.5,F391&gt;0.5),AND(D391&lt;0.5,E391&lt;0.5,F391&lt;0.5)),"Yes","No — toss-up")</f>
        <v>Yes</v>
      </c>
    </row>
    <row r="392" customFormat="false" ht="15" hidden="false" customHeight="false" outlineLevel="0" collapsed="false">
      <c r="A392" s="8" t="str">
        <f aca="false">'2026 Forecast A'!A374</f>
        <v>Northampton</v>
      </c>
      <c r="B392" s="8" t="str">
        <f aca="false">'2026 Forecast A'!B374</f>
        <v>WILLIAMS TOWNSHIP</v>
      </c>
      <c r="C392" s="8" t="str">
        <f aca="false">'2026 Forecast A'!C374</f>
        <v>WILLAMS TWSP - EASTERN</v>
      </c>
      <c r="D392" s="9" t="n">
        <f aca="false">'2026 Forecast A'!G374</f>
        <v>0.476280834914611</v>
      </c>
      <c r="E392" s="9" t="n">
        <f aca="false">'2026 Forecast B'!G374</f>
        <v>0.473036896877956</v>
      </c>
      <c r="F392" s="9" t="n">
        <f aca="false">'2026 Forecast C'!G374</f>
        <v>0.475504322766571</v>
      </c>
      <c r="G392" s="24" t="n">
        <f aca="false">(MAX(D392:F392)-MIN(D392:F392))*100</f>
        <v>0.324393803665451</v>
      </c>
      <c r="H392" s="24" t="n">
        <f aca="false">'2026 Forecast A'!J374</f>
        <v>1.85532414445586</v>
      </c>
      <c r="I392" s="24" t="n">
        <f aca="false">'2026 Forecast B'!J374</f>
        <v>2.0110742867014</v>
      </c>
      <c r="J392" s="24" t="n">
        <f aca="false">'2026 Forecast C'!J374</f>
        <v>2.12060277043418</v>
      </c>
      <c r="K392" s="25" t="n">
        <f aca="false">'2026 Forecast A'!F374</f>
        <v>1054</v>
      </c>
      <c r="L392" s="26" t="str">
        <f aca="false">IF(OR(AND(D392&gt;0.5,E392&gt;0.5,F392&gt;0.5),AND(D392&lt;0.5,E392&lt;0.5,F392&lt;0.5)),"Yes","No — toss-up")</f>
        <v>Yes</v>
      </c>
    </row>
    <row r="393" customFormat="false" ht="15" hidden="false" customHeight="false" outlineLevel="0" collapsed="false">
      <c r="A393" s="8" t="str">
        <f aca="false">'2026 Forecast A'!A375</f>
        <v>Northampton</v>
      </c>
      <c r="B393" s="8" t="str">
        <f aca="false">'2026 Forecast A'!B375</f>
        <v>WILLIAMS TOWNSHIP</v>
      </c>
      <c r="C393" s="8" t="str">
        <f aca="false">'2026 Forecast A'!C375</f>
        <v>WILLIAMS TWSP - MIDDLE</v>
      </c>
      <c r="D393" s="9" t="n">
        <f aca="false">'2026 Forecast A'!G375</f>
        <v>0.437371663244353</v>
      </c>
      <c r="E393" s="9" t="n">
        <f aca="false">'2026 Forecast B'!G375</f>
        <v>0.431052093973442</v>
      </c>
      <c r="F393" s="9" t="n">
        <f aca="false">'2026 Forecast C'!G375</f>
        <v>0.435367114788004</v>
      </c>
      <c r="G393" s="24" t="n">
        <f aca="false">(MAX(D393:F393)-MIN(D393:F393))*100</f>
        <v>0.631956927091087</v>
      </c>
      <c r="H393" s="24" t="n">
        <f aca="false">'2026 Forecast A'!J375</f>
        <v>1.85532414445586</v>
      </c>
      <c r="I393" s="24" t="n">
        <f aca="false">'2026 Forecast B'!J375</f>
        <v>2.0110742867014</v>
      </c>
      <c r="J393" s="24" t="n">
        <f aca="false">'2026 Forecast C'!J375</f>
        <v>2.12060277043418</v>
      </c>
      <c r="K393" s="25" t="n">
        <f aca="false">'2026 Forecast A'!F375</f>
        <v>974</v>
      </c>
      <c r="L393" s="26" t="str">
        <f aca="false">IF(OR(AND(D393&gt;0.5,E393&gt;0.5,F393&gt;0.5),AND(D393&lt;0.5,E393&lt;0.5,F393&lt;0.5)),"Yes","No — toss-up")</f>
        <v>Yes</v>
      </c>
    </row>
    <row r="394" customFormat="false" ht="15" hidden="false" customHeight="false" outlineLevel="0" collapsed="false">
      <c r="A394" s="8" t="str">
        <f aca="false">'2026 Forecast A'!A376</f>
        <v>Northampton</v>
      </c>
      <c r="B394" s="8" t="str">
        <f aca="false">'2026 Forecast A'!B376</f>
        <v>WILLIAMS TOWNSHIP</v>
      </c>
      <c r="C394" s="8" t="str">
        <f aca="false">'2026 Forecast A'!C376</f>
        <v>WILLIAMS TWSP - UPPER</v>
      </c>
      <c r="D394" s="9" t="n">
        <f aca="false">'2026 Forecast A'!G376</f>
        <v>0.535343035343035</v>
      </c>
      <c r="E394" s="9" t="n">
        <f aca="false">'2026 Forecast B'!G376</f>
        <v>0.525879917184265</v>
      </c>
      <c r="F394" s="9" t="n">
        <f aca="false">'2026 Forecast C'!G376</f>
        <v>0.535714285714286</v>
      </c>
      <c r="G394" s="24" t="n">
        <f aca="false">(MAX(D394:F394)-MIN(D394:F394))*100</f>
        <v>0.983436853002073</v>
      </c>
      <c r="H394" s="24" t="n">
        <f aca="false">'2026 Forecast A'!J376</f>
        <v>1.85532414445586</v>
      </c>
      <c r="I394" s="24" t="n">
        <f aca="false">'2026 Forecast B'!J376</f>
        <v>2.0110742867014</v>
      </c>
      <c r="J394" s="24" t="n">
        <f aca="false">'2026 Forecast C'!J376</f>
        <v>2.12060277043418</v>
      </c>
      <c r="K394" s="25" t="n">
        <f aca="false">'2026 Forecast A'!F376</f>
        <v>962</v>
      </c>
      <c r="L394" s="26" t="str">
        <f aca="false">IF(OR(AND(D394&gt;0.5,E394&gt;0.5,F394&gt;0.5),AND(D394&lt;0.5,E394&lt;0.5,F394&lt;0.5)),"Yes","No — toss-up")</f>
        <v>Yes</v>
      </c>
    </row>
    <row r="395" customFormat="false" ht="15" hidden="false" customHeight="false" outlineLevel="0" collapsed="false">
      <c r="A395" s="8" t="str">
        <f aca="false">'2026 Forecast A'!A377</f>
        <v>Northampton</v>
      </c>
      <c r="B395" s="8" t="str">
        <f aca="false">'2026 Forecast A'!B377</f>
        <v>WILLIAMS TOWNSHIP</v>
      </c>
      <c r="C395" s="8" t="str">
        <f aca="false">'2026 Forecast A'!C377</f>
        <v>WILLIAMS TWSP - WESTERN</v>
      </c>
      <c r="D395" s="9" t="n">
        <f aca="false">'2026 Forecast A'!G377</f>
        <v>0.463375796178344</v>
      </c>
      <c r="E395" s="9" t="n">
        <f aca="false">'2026 Forecast B'!G377</f>
        <v>0.465818759936407</v>
      </c>
      <c r="F395" s="9" t="n">
        <f aca="false">'2026 Forecast C'!G377</f>
        <v>0.461290322580645</v>
      </c>
      <c r="G395" s="24" t="n">
        <f aca="false">(MAX(D395:F395)-MIN(D395:F395))*100</f>
        <v>0.452843735576181</v>
      </c>
      <c r="H395" s="24" t="n">
        <f aca="false">'2026 Forecast A'!J377</f>
        <v>3.25434931194355</v>
      </c>
      <c r="I395" s="24" t="n">
        <f aca="false">'2026 Forecast B'!J377</f>
        <v>3.09864730606258</v>
      </c>
      <c r="J395" s="24" t="n">
        <f aca="false">'2026 Forecast C'!J377</f>
        <v>3.7041269898902</v>
      </c>
      <c r="K395" s="25" t="n">
        <f aca="false">'2026 Forecast A'!F377</f>
        <v>628</v>
      </c>
      <c r="L395" s="26" t="str">
        <f aca="false">IF(OR(AND(D395&gt;0.5,E395&gt;0.5,F395&gt;0.5),AND(D395&lt;0.5,E395&lt;0.5,F395&lt;0.5)),"Yes","No — toss-up")</f>
        <v>Yes</v>
      </c>
    </row>
    <row r="396" customFormat="false" ht="15" hidden="false" customHeight="false" outlineLevel="0" collapsed="false">
      <c r="A396" s="8" t="str">
        <f aca="false">'2026 Forecast A'!A378</f>
        <v>Northampton</v>
      </c>
      <c r="B396" s="8" t="str">
        <f aca="false">'2026 Forecast A'!B378</f>
        <v>WILSON</v>
      </c>
      <c r="C396" s="8" t="str">
        <f aca="false">'2026 Forecast A'!C378</f>
        <v>WILSON BORO 1ST WARD</v>
      </c>
      <c r="D396" s="9" t="n">
        <f aca="false">'2026 Forecast A'!G378</f>
        <v>0.621966794380587</v>
      </c>
      <c r="E396" s="9" t="n">
        <f aca="false">'2026 Forecast B'!G378</f>
        <v>0.625798212005109</v>
      </c>
      <c r="F396" s="9" t="n">
        <f aca="false">'2026 Forecast C'!G378</f>
        <v>0.624203821656051</v>
      </c>
      <c r="G396" s="24" t="n">
        <f aca="false">(MAX(D396:F396)-MIN(D396:F396))*100</f>
        <v>0.383141762452111</v>
      </c>
      <c r="H396" s="24" t="n">
        <f aca="false">'2026 Forecast A'!J378</f>
        <v>1.85532414445586</v>
      </c>
      <c r="I396" s="24" t="n">
        <f aca="false">'2026 Forecast B'!J378</f>
        <v>2.0110742867014</v>
      </c>
      <c r="J396" s="24" t="n">
        <f aca="false">'2026 Forecast C'!J378</f>
        <v>2.12060277043418</v>
      </c>
      <c r="K396" s="25" t="n">
        <f aca="false">'2026 Forecast A'!F378</f>
        <v>783</v>
      </c>
      <c r="L396" s="26" t="str">
        <f aca="false">IF(OR(AND(D396&gt;0.5,E396&gt;0.5,F396&gt;0.5),AND(D396&lt;0.5,E396&lt;0.5,F396&lt;0.5)),"Yes","No — toss-up")</f>
        <v>Yes</v>
      </c>
    </row>
    <row r="397" customFormat="false" ht="15" hidden="false" customHeight="false" outlineLevel="0" collapsed="false">
      <c r="A397" s="8" t="str">
        <f aca="false">'2026 Forecast A'!A379</f>
        <v>Northampton</v>
      </c>
      <c r="B397" s="8" t="str">
        <f aca="false">'2026 Forecast A'!B379</f>
        <v>WILSON</v>
      </c>
      <c r="C397" s="8" t="str">
        <f aca="false">'2026 Forecast A'!C379</f>
        <v>WILSON BORO 2ND WARD</v>
      </c>
      <c r="D397" s="9" t="n">
        <f aca="false">'2026 Forecast A'!G379</f>
        <v>0.603395061728395</v>
      </c>
      <c r="E397" s="9" t="n">
        <f aca="false">'2026 Forecast B'!G379</f>
        <v>0.604615384615385</v>
      </c>
      <c r="F397" s="9" t="n">
        <f aca="false">'2026 Forecast C'!G379</f>
        <v>0.605919003115265</v>
      </c>
      <c r="G397" s="24" t="n">
        <f aca="false">(MAX(D397:F397)-MIN(D397:F397))*100</f>
        <v>0.252394138686973</v>
      </c>
      <c r="H397" s="24" t="n">
        <f aca="false">'2026 Forecast A'!J379</f>
        <v>3.25434931194355</v>
      </c>
      <c r="I397" s="24" t="n">
        <f aca="false">'2026 Forecast B'!J379</f>
        <v>3.09864730606258</v>
      </c>
      <c r="J397" s="24" t="n">
        <f aca="false">'2026 Forecast C'!J379</f>
        <v>3.7041269898902</v>
      </c>
      <c r="K397" s="25" t="n">
        <f aca="false">'2026 Forecast A'!F379</f>
        <v>648</v>
      </c>
      <c r="L397" s="26" t="str">
        <f aca="false">IF(OR(AND(D397&gt;0.5,E397&gt;0.5,F397&gt;0.5),AND(D397&lt;0.5,E397&lt;0.5,F397&lt;0.5)),"Yes","No — toss-up")</f>
        <v>Yes</v>
      </c>
    </row>
    <row r="398" customFormat="false" ht="15" hidden="false" customHeight="false" outlineLevel="0" collapsed="false">
      <c r="A398" s="8" t="str">
        <f aca="false">'2026 Forecast A'!A380</f>
        <v>Northampton</v>
      </c>
      <c r="B398" s="8" t="str">
        <f aca="false">'2026 Forecast A'!B380</f>
        <v>WILSON</v>
      </c>
      <c r="C398" s="8" t="str">
        <f aca="false">'2026 Forecast A'!C380</f>
        <v>WILSON BORO 3RD WARD</v>
      </c>
      <c r="D398" s="9" t="n">
        <f aca="false">'2026 Forecast A'!G380</f>
        <v>0.581213307240705</v>
      </c>
      <c r="E398" s="9" t="n">
        <f aca="false">'2026 Forecast B'!G380</f>
        <v>0.588292682926829</v>
      </c>
      <c r="F398" s="9" t="n">
        <f aca="false">'2026 Forecast C'!G380</f>
        <v>0.58234126984127</v>
      </c>
      <c r="G398" s="24" t="n">
        <f aca="false">(MAX(D398:F398)-MIN(D398:F398))*100</f>
        <v>0.707937568612471</v>
      </c>
      <c r="H398" s="24" t="n">
        <f aca="false">'2026 Forecast A'!J380</f>
        <v>1.85532414445586</v>
      </c>
      <c r="I398" s="24" t="n">
        <f aca="false">'2026 Forecast B'!J380</f>
        <v>2.0110742867014</v>
      </c>
      <c r="J398" s="24" t="n">
        <f aca="false">'2026 Forecast C'!J380</f>
        <v>2.12060277043418</v>
      </c>
      <c r="K398" s="25" t="n">
        <f aca="false">'2026 Forecast A'!F380</f>
        <v>1022</v>
      </c>
      <c r="L398" s="26" t="str">
        <f aca="false">IF(OR(AND(D398&gt;0.5,E398&gt;0.5,F398&gt;0.5),AND(D398&lt;0.5,E398&lt;0.5,F398&lt;0.5)),"Yes","No — toss-up")</f>
        <v>Yes</v>
      </c>
    </row>
    <row r="399" customFormat="false" ht="15" hidden="false" customHeight="false" outlineLevel="0" collapsed="false">
      <c r="A399" s="8" t="str">
        <f aca="false">'2026 Forecast A'!A381</f>
        <v>Northampton</v>
      </c>
      <c r="B399" s="8" t="str">
        <f aca="false">'2026 Forecast A'!B381</f>
        <v>WIND GAP</v>
      </c>
      <c r="C399" s="8" t="str">
        <f aca="false">'2026 Forecast A'!C381</f>
        <v>WIND GAP</v>
      </c>
      <c r="D399" s="9" t="n">
        <f aca="false">'2026 Forecast A'!G381</f>
        <v>0.478802992518703</v>
      </c>
      <c r="E399" s="9" t="n">
        <f aca="false">'2026 Forecast B'!G381</f>
        <v>0.476269775187344</v>
      </c>
      <c r="F399" s="9" t="n">
        <f aca="false">'2026 Forecast C'!G381</f>
        <v>0.477935054121565</v>
      </c>
      <c r="G399" s="24" t="n">
        <f aca="false">(MAX(D399:F399)-MIN(D399:F399))*100</f>
        <v>0.253321733135936</v>
      </c>
      <c r="H399" s="24" t="n">
        <f aca="false">'2026 Forecast A'!J381</f>
        <v>1.28585670084365</v>
      </c>
      <c r="I399" s="24" t="n">
        <f aca="false">'2026 Forecast B'!J381</f>
        <v>1.87006919874525</v>
      </c>
      <c r="J399" s="24" t="n">
        <f aca="false">'2026 Forecast C'!J381</f>
        <v>1.26135644325249</v>
      </c>
      <c r="K399" s="25" t="n">
        <f aca="false">'2026 Forecast A'!F381</f>
        <v>1203</v>
      </c>
      <c r="L399" s="26" t="str">
        <f aca="false">IF(OR(AND(D399&gt;0.5,E399&gt;0.5,F399&gt;0.5),AND(D399&lt;0.5,E399&lt;0.5,F399&lt;0.5)),"Yes","No — toss-up")</f>
        <v>Yes</v>
      </c>
    </row>
  </sheetData>
  <mergeCells count="5">
    <mergeCell ref="A5:I5"/>
    <mergeCell ref="A15:I15"/>
    <mergeCell ref="A21:I21"/>
    <mergeCell ref="A26:I26"/>
    <mergeCell ref="A28:L28"/>
  </mergeCells>
  <conditionalFormatting sqref="F23:F25">
    <cfRule type="colorScale" priority="2">
      <colorScale>
        <cfvo type="min" val="0"/>
        <cfvo type="max" val="0"/>
        <color rgb="FF63BE7B"/>
        <color rgb="FFF8696B"/>
      </colorScale>
    </cfRule>
  </conditionalFormatting>
  <conditionalFormatting sqref="D30:F399">
    <cfRule type="colorScale" priority="3">
      <colorScale>
        <cfvo type="num" val="0.25"/>
        <cfvo type="num" val="0.5"/>
        <cfvo type="num" val="0.75"/>
        <color rgb="FFF4B6B6"/>
        <color rgb="FFFFFFFF"/>
        <color rgb="FFB4C7E7"/>
      </colorScale>
    </cfRule>
  </conditionalFormatting>
  <conditionalFormatting sqref="L30:L399">
    <cfRule type="cellIs" priority="4"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51</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55</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B5-SUMPRODUCT(P12:P381,Q12:Q381)/SUM(Q12:Q381)/100</f>
        <v>0.528655752233177</v>
      </c>
      <c r="E5" s="2" t="s">
        <v>63</v>
      </c>
      <c r="F5" s="31" t="n">
        <v>2.23196234271083</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SUM(D12:D381)</f>
        <v>172328</v>
      </c>
      <c r="E8" s="32" t="n">
        <f aca="false">SUM(E12:E381)</f>
        <v>153946</v>
      </c>
      <c r="F8" s="32" t="n">
        <f aca="false">D8+E8</f>
        <v>326274</v>
      </c>
      <c r="G8" s="33" t="n">
        <f aca="false">IF(F8=0,"",D8/F8)</f>
        <v>0.528169575264961</v>
      </c>
      <c r="H8" s="33" t="n">
        <f aca="false">IF(F8=0,"",E8/F8)</f>
        <v>0.471830424735039</v>
      </c>
      <c r="I8" s="11" t="s">
        <v>77</v>
      </c>
      <c r="J8" s="34" t="n">
        <v>2.23196234271083</v>
      </c>
      <c r="K8" s="33" t="n">
        <f aca="false">G8-J8/100</f>
        <v>0.505849951837853</v>
      </c>
      <c r="L8" s="33" t="n">
        <f aca="false">G8+J8/100</f>
        <v>0.55048919869207</v>
      </c>
      <c r="M8" s="32" t="n">
        <f aca="false">ROUND(F8*0.0238,0)</f>
        <v>7765</v>
      </c>
      <c r="N8" s="32" t="n">
        <f aca="false">ROUND(SQRT((F8*J8/100)^2+(G8*M8)^2),0)</f>
        <v>8358</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88</v>
      </c>
      <c r="D12" s="21" t="n">
        <f aca="false">ROUND(Q12*R12,0)</f>
        <v>181</v>
      </c>
      <c r="E12" s="21" t="n">
        <f aca="false">ROUND(Q12,0)-D12</f>
        <v>226</v>
      </c>
      <c r="F12" s="21" t="n">
        <f aca="false">IF(COUNTA(D12:E12)=0,"",SUM(D12:E12))</f>
        <v>407</v>
      </c>
      <c r="G12" s="39" t="n">
        <f aca="false">IF(OR(F12="",F12=0),"",D12/F12)</f>
        <v>0.444717444717445</v>
      </c>
      <c r="H12" s="39" t="n">
        <f aca="false">IF(OR(F12="",F12=0),"",E12/F12)</f>
        <v>0.555282555282555</v>
      </c>
      <c r="I12" s="38" t="s">
        <v>89</v>
      </c>
      <c r="J12" s="40" t="n">
        <v>3.25434931194355</v>
      </c>
      <c r="K12" s="39" t="n">
        <f aca="false">IF(G12="","",MAX(0,G12-J12/100))</f>
        <v>0.412173951598009</v>
      </c>
      <c r="L12" s="39" t="n">
        <f aca="false">IF(G12="","",MIN(1,G12+J12/100))</f>
        <v>0.47726093783688</v>
      </c>
      <c r="M12" s="21" t="n">
        <f aca="false">ROUND(Q12*S12,0)</f>
        <v>32</v>
      </c>
      <c r="N12" s="21" t="n">
        <f aca="false">ROUND(SQRT((F12*J12/100)^2+(G12*M12)^2),0)</f>
        <v>19</v>
      </c>
      <c r="P12" s="41" t="n">
        <v>-8.31206679094644</v>
      </c>
      <c r="Q12" s="42" t="n">
        <v>407.29599392661</v>
      </c>
      <c r="R12" s="43" t="n">
        <f aca="false">MAX(0,MIN(1,P12/100+$D$5))</f>
        <v>0.445535084323712</v>
      </c>
      <c r="S12" s="43" t="n">
        <v>0.0779420971553049</v>
      </c>
      <c r="T12" s="44" t="s">
        <v>90</v>
      </c>
    </row>
    <row r="13" customFormat="false" ht="15" hidden="false" customHeight="false" outlineLevel="0" collapsed="false">
      <c r="A13" s="38" t="s">
        <v>87</v>
      </c>
      <c r="B13" s="38" t="s">
        <v>91</v>
      </c>
      <c r="C13" s="38" t="s">
        <v>91</v>
      </c>
      <c r="D13" s="21" t="n">
        <f aca="false">ROUND(Q13*R13,0)</f>
        <v>113</v>
      </c>
      <c r="E13" s="21" t="n">
        <f aca="false">ROUND(Q13,0)-D13</f>
        <v>234</v>
      </c>
      <c r="F13" s="21" t="n">
        <f aca="false">IF(COUNTA(D13:E13)=0,"",SUM(D13:E13))</f>
        <v>347</v>
      </c>
      <c r="G13" s="39" t="n">
        <f aca="false">IF(OR(F13="",F13=0),"",D13/F13)</f>
        <v>0.325648414985591</v>
      </c>
      <c r="H13" s="39" t="n">
        <f aca="false">IF(OR(F13="",F13=0),"",E13/F13)</f>
        <v>0.674351585014409</v>
      </c>
      <c r="I13" s="38" t="s">
        <v>89</v>
      </c>
      <c r="J13" s="40" t="n">
        <v>3.25434931194355</v>
      </c>
      <c r="K13" s="39" t="n">
        <f aca="false">IF(G13="","",MAX(0,G13-J13/100))</f>
        <v>0.293104921866155</v>
      </c>
      <c r="L13" s="39" t="n">
        <f aca="false">IF(G13="","",MIN(1,G13+J13/100))</f>
        <v>0.358191908105026</v>
      </c>
      <c r="M13" s="21" t="n">
        <f aca="false">ROUND(Q13*S13,0)</f>
        <v>27</v>
      </c>
      <c r="N13" s="21" t="n">
        <f aca="false">ROUND(SQRT((F13*J13/100)^2+(G13*M13)^2),0)</f>
        <v>14</v>
      </c>
      <c r="P13" s="41" t="n">
        <v>-20.2253657341129</v>
      </c>
      <c r="Q13" s="42" t="n">
        <v>346.798621883541</v>
      </c>
      <c r="R13" s="43" t="n">
        <f aca="false">MAX(0,MIN(1,P13/100+$D$5))</f>
        <v>0.326402094892048</v>
      </c>
      <c r="S13" s="43" t="n">
        <v>0.0779420971553049</v>
      </c>
      <c r="T13" s="44" t="s">
        <v>90</v>
      </c>
    </row>
    <row r="14" customFormat="false" ht="15" hidden="false" customHeight="false" outlineLevel="0" collapsed="false">
      <c r="A14" s="38" t="s">
        <v>87</v>
      </c>
      <c r="B14" s="38" t="s">
        <v>92</v>
      </c>
      <c r="C14" s="38" t="s">
        <v>92</v>
      </c>
      <c r="D14" s="21" t="n">
        <f aca="false">ROUND(Q14*R14,0)</f>
        <v>137</v>
      </c>
      <c r="E14" s="21" t="n">
        <f aca="false">ROUND(Q14,0)-D14</f>
        <v>241</v>
      </c>
      <c r="F14" s="21" t="n">
        <f aca="false">IF(COUNTA(D14:E14)=0,"",SUM(D14:E14))</f>
        <v>378</v>
      </c>
      <c r="G14" s="39" t="n">
        <f aca="false">IF(OR(F14="",F14=0),"",D14/F14)</f>
        <v>0.362433862433862</v>
      </c>
      <c r="H14" s="39" t="n">
        <f aca="false">IF(OR(F14="",F14=0),"",E14/F14)</f>
        <v>0.637566137566138</v>
      </c>
      <c r="I14" s="38" t="s">
        <v>89</v>
      </c>
      <c r="J14" s="40" t="n">
        <v>3.25434931194355</v>
      </c>
      <c r="K14" s="39" t="n">
        <f aca="false">IF(G14="","",MAX(0,G14-J14/100))</f>
        <v>0.329890369314427</v>
      </c>
      <c r="L14" s="39" t="n">
        <f aca="false">IF(G14="","",MIN(1,G14+J14/100))</f>
        <v>0.394977355553298</v>
      </c>
      <c r="M14" s="21" t="n">
        <f aca="false">ROUND(Q14*S14,0)</f>
        <v>29</v>
      </c>
      <c r="N14" s="21" t="n">
        <f aca="false">ROUND(SQRT((F14*J14/100)^2+(G14*M14)^2),0)</f>
        <v>16</v>
      </c>
      <c r="P14" s="41" t="n">
        <v>-16.7275130667242</v>
      </c>
      <c r="Q14" s="42" t="n">
        <v>378.394140163941</v>
      </c>
      <c r="R14" s="43" t="n">
        <f aca="false">MAX(0,MIN(1,P14/100+$D$5))</f>
        <v>0.361380621565934</v>
      </c>
      <c r="S14" s="43" t="n">
        <v>0.0779420971553049</v>
      </c>
      <c r="T14" s="44" t="s">
        <v>90</v>
      </c>
    </row>
    <row r="15" customFormat="false" ht="15" hidden="false" customHeight="false" outlineLevel="0" collapsed="false">
      <c r="A15" s="38" t="s">
        <v>87</v>
      </c>
      <c r="B15" s="38" t="s">
        <v>93</v>
      </c>
      <c r="C15" s="38" t="s">
        <v>94</v>
      </c>
      <c r="D15" s="21" t="n">
        <f aca="false">ROUND(Q15*R15,0)</f>
        <v>227</v>
      </c>
      <c r="E15" s="21" t="n">
        <f aca="false">ROUND(Q15,0)-D15</f>
        <v>546</v>
      </c>
      <c r="F15" s="21" t="n">
        <f aca="false">IF(COUNTA(D15:E15)=0,"",SUM(D15:E15))</f>
        <v>773</v>
      </c>
      <c r="G15" s="39" t="n">
        <f aca="false">IF(OR(F15="",F15=0),"",D15/F15)</f>
        <v>0.29366106080207</v>
      </c>
      <c r="H15" s="39" t="n">
        <f aca="false">IF(OR(F15="",F15=0),"",E15/F15)</f>
        <v>0.70633893919793</v>
      </c>
      <c r="I15" s="38" t="s">
        <v>89</v>
      </c>
      <c r="J15" s="40" t="n">
        <v>3.25434931194355</v>
      </c>
      <c r="K15" s="39" t="n">
        <f aca="false">IF(G15="","",MAX(0,G15-J15/100))</f>
        <v>0.261117567682634</v>
      </c>
      <c r="L15" s="39" t="n">
        <f aca="false">IF(G15="","",MIN(1,G15+J15/100))</f>
        <v>0.326204553921505</v>
      </c>
      <c r="M15" s="21" t="n">
        <f aca="false">ROUND(Q15*S15,0)</f>
        <v>60</v>
      </c>
      <c r="N15" s="21" t="n">
        <f aca="false">ROUND(SQRT((F15*J15/100)^2+(G15*M15)^2),0)</f>
        <v>31</v>
      </c>
      <c r="P15" s="41" t="n">
        <v>-23.5065137339274</v>
      </c>
      <c r="Q15" s="42" t="n">
        <v>773.055716898961</v>
      </c>
      <c r="R15" s="43" t="n">
        <f aca="false">MAX(0,MIN(1,P15/100+$D$5))</f>
        <v>0.293590614893903</v>
      </c>
      <c r="S15" s="43" t="n">
        <v>0.0779420971553049</v>
      </c>
      <c r="T15" s="44" t="s">
        <v>90</v>
      </c>
    </row>
    <row r="16" customFormat="false" ht="15" hidden="false" customHeight="false" outlineLevel="0" collapsed="false">
      <c r="A16" s="38" t="s">
        <v>87</v>
      </c>
      <c r="B16" s="38" t="s">
        <v>93</v>
      </c>
      <c r="C16" s="38" t="s">
        <v>95</v>
      </c>
      <c r="D16" s="21" t="n">
        <f aca="false">ROUND(Q16*R16,0)</f>
        <v>217</v>
      </c>
      <c r="E16" s="21" t="n">
        <f aca="false">ROUND(Q16,0)-D16</f>
        <v>455</v>
      </c>
      <c r="F16" s="21" t="n">
        <f aca="false">IF(COUNTA(D16:E16)=0,"",SUM(D16:E16))</f>
        <v>672</v>
      </c>
      <c r="G16" s="39" t="n">
        <f aca="false">IF(OR(F16="",F16=0),"",D16/F16)</f>
        <v>0.322916666666667</v>
      </c>
      <c r="H16" s="39" t="n">
        <f aca="false">IF(OR(F16="",F16=0),"",E16/F16)</f>
        <v>0.677083333333333</v>
      </c>
      <c r="I16" s="38" t="s">
        <v>89</v>
      </c>
      <c r="J16" s="40" t="n">
        <v>3.25434931194355</v>
      </c>
      <c r="K16" s="39" t="n">
        <f aca="false">IF(G16="","",MAX(0,G16-J16/100))</f>
        <v>0.290373173547231</v>
      </c>
      <c r="L16" s="39" t="n">
        <f aca="false">IF(G16="","",MIN(1,G16+J16/100))</f>
        <v>0.355460159786102</v>
      </c>
      <c r="M16" s="21" t="n">
        <f aca="false">ROUND(Q16*S16,0)</f>
        <v>52</v>
      </c>
      <c r="N16" s="21" t="n">
        <f aca="false">ROUND(SQRT((F16*J16/100)^2+(G16*M16)^2),0)</f>
        <v>28</v>
      </c>
      <c r="P16" s="41" t="n">
        <v>-20.5282552259351</v>
      </c>
      <c r="Q16" s="42" t="n">
        <v>671.80885327021</v>
      </c>
      <c r="R16" s="43" t="n">
        <f aca="false">MAX(0,MIN(1,P16/100+$D$5))</f>
        <v>0.323373199973825</v>
      </c>
      <c r="S16" s="43" t="n">
        <v>0.0779420971553049</v>
      </c>
      <c r="T16" s="44" t="s">
        <v>90</v>
      </c>
    </row>
    <row r="17" customFormat="false" ht="15" hidden="false" customHeight="false" outlineLevel="0" collapsed="false">
      <c r="A17" s="38" t="s">
        <v>87</v>
      </c>
      <c r="B17" s="38" t="s">
        <v>96</v>
      </c>
      <c r="C17" s="38" t="s">
        <v>96</v>
      </c>
      <c r="D17" s="21" t="n">
        <f aca="false">ROUND(Q17*R17,0)</f>
        <v>38</v>
      </c>
      <c r="E17" s="21" t="n">
        <f aca="false">ROUND(Q17,0)-D17</f>
        <v>61</v>
      </c>
      <c r="F17" s="21" t="n">
        <f aca="false">IF(COUNTA(D17:E17)=0,"",SUM(D17:E17))</f>
        <v>99</v>
      </c>
      <c r="G17" s="39" t="n">
        <f aca="false">IF(OR(F17="",F17=0),"",D17/F17)</f>
        <v>0.383838383838384</v>
      </c>
      <c r="H17" s="39" t="n">
        <f aca="false">IF(OR(F17="",F17=0),"",E17/F17)</f>
        <v>0.616161616161616</v>
      </c>
      <c r="I17" s="38" t="s">
        <v>89</v>
      </c>
      <c r="J17" s="40" t="n">
        <v>3.25434931194355</v>
      </c>
      <c r="K17" s="39" t="n">
        <f aca="false">IF(G17="","",MAX(0,G17-J17/100))</f>
        <v>0.351294890718948</v>
      </c>
      <c r="L17" s="39" t="n">
        <f aca="false">IF(G17="","",MIN(1,G17+J17/100))</f>
        <v>0.416381876957819</v>
      </c>
      <c r="M17" s="21" t="n">
        <f aca="false">ROUND(Q17*S17,0)</f>
        <v>8</v>
      </c>
      <c r="N17" s="21" t="n">
        <f aca="false">ROUND(SQRT((F17*J17/100)^2+(G17*M17)^2),0)</f>
        <v>4</v>
      </c>
      <c r="P17" s="41" t="n">
        <v>-14.6679409560011</v>
      </c>
      <c r="Q17" s="42" t="n">
        <v>99.4611609046773</v>
      </c>
      <c r="R17" s="43" t="n">
        <f aca="false">MAX(0,MIN(1,P17/100+$D$5))</f>
        <v>0.381976342673166</v>
      </c>
      <c r="S17" s="43" t="n">
        <v>0.0779420971553049</v>
      </c>
      <c r="T17" s="44" t="s">
        <v>90</v>
      </c>
    </row>
    <row r="18" customFormat="false" ht="15" hidden="false" customHeight="false" outlineLevel="0" collapsed="false">
      <c r="A18" s="38" t="s">
        <v>87</v>
      </c>
      <c r="B18" s="38" t="s">
        <v>97</v>
      </c>
      <c r="C18" s="38" t="s">
        <v>98</v>
      </c>
      <c r="D18" s="21" t="n">
        <f aca="false">ROUND(Q18*R18,0)</f>
        <v>297</v>
      </c>
      <c r="E18" s="21" t="n">
        <f aca="false">ROUND(Q18,0)-D18</f>
        <v>616</v>
      </c>
      <c r="F18" s="21" t="n">
        <f aca="false">IF(COUNTA(D18:E18)=0,"",SUM(D18:E18))</f>
        <v>913</v>
      </c>
      <c r="G18" s="39" t="n">
        <f aca="false">IF(OR(F18="",F18=0),"",D18/F18)</f>
        <v>0.325301204819277</v>
      </c>
      <c r="H18" s="39" t="n">
        <f aca="false">IF(OR(F18="",F18=0),"",E18/F18)</f>
        <v>0.674698795180723</v>
      </c>
      <c r="I18" s="38" t="s">
        <v>89</v>
      </c>
      <c r="J18" s="40" t="n">
        <v>1.85532414445586</v>
      </c>
      <c r="K18" s="39" t="n">
        <f aca="false">IF(G18="","",MAX(0,G18-J18/100))</f>
        <v>0.306747963374718</v>
      </c>
      <c r="L18" s="39" t="n">
        <f aca="false">IF(G18="","",MIN(1,G18+J18/100))</f>
        <v>0.343854446263836</v>
      </c>
      <c r="M18" s="21" t="n">
        <f aca="false">ROUND(Q18*S18,0)</f>
        <v>58</v>
      </c>
      <c r="N18" s="21" t="n">
        <f aca="false">ROUND(SQRT((F18*J18/100)^2+(G18*M18)^2),0)</f>
        <v>25</v>
      </c>
      <c r="P18" s="41" t="n">
        <v>-20.3776081058578</v>
      </c>
      <c r="Q18" s="42" t="n">
        <v>913.018028537552</v>
      </c>
      <c r="R18" s="43" t="n">
        <f aca="false">MAX(0,MIN(1,P18/100+$D$5))</f>
        <v>0.324879671174599</v>
      </c>
      <c r="S18" s="43" t="n">
        <v>0.0633793435818552</v>
      </c>
      <c r="T18" s="44" t="s">
        <v>99</v>
      </c>
    </row>
    <row r="19" customFormat="false" ht="15" hidden="false" customHeight="false" outlineLevel="0" collapsed="false">
      <c r="A19" s="38" t="s">
        <v>87</v>
      </c>
      <c r="B19" s="38" t="s">
        <v>97</v>
      </c>
      <c r="C19" s="38" t="s">
        <v>100</v>
      </c>
      <c r="D19" s="21" t="n">
        <f aca="false">ROUND(Q19*R19,0)</f>
        <v>154</v>
      </c>
      <c r="E19" s="21" t="n">
        <f aca="false">ROUND(Q19,0)-D19</f>
        <v>334</v>
      </c>
      <c r="F19" s="21" t="n">
        <f aca="false">IF(COUNTA(D19:E19)=0,"",SUM(D19:E19))</f>
        <v>488</v>
      </c>
      <c r="G19" s="39" t="n">
        <f aca="false">IF(OR(F19="",F19=0),"",D19/F19)</f>
        <v>0.315573770491803</v>
      </c>
      <c r="H19" s="39" t="n">
        <f aca="false">IF(OR(F19="",F19=0),"",E19/F19)</f>
        <v>0.684426229508197</v>
      </c>
      <c r="I19" s="38" t="s">
        <v>89</v>
      </c>
      <c r="J19" s="40" t="n">
        <v>3.25434931194355</v>
      </c>
      <c r="K19" s="39" t="n">
        <f aca="false">IF(G19="","",MAX(0,G19-J19/100))</f>
        <v>0.283030277372368</v>
      </c>
      <c r="L19" s="39" t="n">
        <f aca="false">IF(G19="","",MIN(1,G19+J19/100))</f>
        <v>0.348117263611239</v>
      </c>
      <c r="M19" s="21" t="n">
        <f aca="false">ROUND(Q19*S19,0)</f>
        <v>38</v>
      </c>
      <c r="N19" s="21" t="n">
        <f aca="false">ROUND(SQRT((F19*J19/100)^2+(G19*M19)^2),0)</f>
        <v>20</v>
      </c>
      <c r="P19" s="41" t="n">
        <v>-21.3209919108534</v>
      </c>
      <c r="Q19" s="42" t="n">
        <v>488.244363442217</v>
      </c>
      <c r="R19" s="43" t="n">
        <f aca="false">MAX(0,MIN(1,P19/100+$D$5))</f>
        <v>0.315445833124642</v>
      </c>
      <c r="S19" s="43" t="n">
        <v>0.0779420971553049</v>
      </c>
      <c r="T19" s="44" t="s">
        <v>90</v>
      </c>
    </row>
    <row r="20" customFormat="false" ht="15" hidden="false" customHeight="false" outlineLevel="0" collapsed="false">
      <c r="A20" s="38" t="s">
        <v>87</v>
      </c>
      <c r="B20" s="38" t="s">
        <v>97</v>
      </c>
      <c r="C20" s="38" t="s">
        <v>101</v>
      </c>
      <c r="D20" s="21" t="n">
        <f aca="false">ROUND(Q20*R20,0)</f>
        <v>228</v>
      </c>
      <c r="E20" s="21" t="n">
        <f aca="false">ROUND(Q20,0)-D20</f>
        <v>499</v>
      </c>
      <c r="F20" s="21" t="n">
        <f aca="false">IF(COUNTA(D20:E20)=0,"",SUM(D20:E20))</f>
        <v>727</v>
      </c>
      <c r="G20" s="39" t="n">
        <f aca="false">IF(OR(F20="",F20=0),"",D20/F20)</f>
        <v>0.313617606602476</v>
      </c>
      <c r="H20" s="39" t="n">
        <f aca="false">IF(OR(F20="",F20=0),"",E20/F20)</f>
        <v>0.686382393397524</v>
      </c>
      <c r="I20" s="38" t="s">
        <v>89</v>
      </c>
      <c r="J20" s="40" t="n">
        <v>3.25434931194355</v>
      </c>
      <c r="K20" s="39" t="n">
        <f aca="false">IF(G20="","",MAX(0,G20-J20/100))</f>
        <v>0.28107411348304</v>
      </c>
      <c r="L20" s="39" t="n">
        <f aca="false">IF(G20="","",MIN(1,G20+J20/100))</f>
        <v>0.346161099721911</v>
      </c>
      <c r="M20" s="21" t="n">
        <f aca="false">ROUND(Q20*S20,0)</f>
        <v>57</v>
      </c>
      <c r="N20" s="21" t="n">
        <f aca="false">ROUND(SQRT((F20*J20/100)^2+(G20*M20)^2),0)</f>
        <v>30</v>
      </c>
      <c r="P20" s="41" t="n">
        <v>-21.5298779635524</v>
      </c>
      <c r="Q20" s="42" t="n">
        <v>726.842104927935</v>
      </c>
      <c r="R20" s="43" t="n">
        <f aca="false">MAX(0,MIN(1,P20/100+$D$5))</f>
        <v>0.313356972597653</v>
      </c>
      <c r="S20" s="43" t="n">
        <v>0.0779420971553049</v>
      </c>
      <c r="T20" s="44" t="s">
        <v>90</v>
      </c>
    </row>
    <row r="21" customFormat="false" ht="15" hidden="false" customHeight="false" outlineLevel="0" collapsed="false">
      <c r="A21" s="38" t="s">
        <v>87</v>
      </c>
      <c r="B21" s="38" t="s">
        <v>102</v>
      </c>
      <c r="C21" s="38" t="s">
        <v>103</v>
      </c>
      <c r="D21" s="21" t="n">
        <f aca="false">ROUND(Q21*R21,0)</f>
        <v>231</v>
      </c>
      <c r="E21" s="21" t="n">
        <f aca="false">ROUND(Q21,0)-D21</f>
        <v>238</v>
      </c>
      <c r="F21" s="21" t="n">
        <f aca="false">IF(COUNTA(D21:E21)=0,"",SUM(D21:E21))</f>
        <v>469</v>
      </c>
      <c r="G21" s="39" t="n">
        <f aca="false">IF(OR(F21="",F21=0),"",D21/F21)</f>
        <v>0.492537313432836</v>
      </c>
      <c r="H21" s="39" t="n">
        <f aca="false">IF(OR(F21="",F21=0),"",E21/F21)</f>
        <v>0.507462686567164</v>
      </c>
      <c r="I21" s="38" t="s">
        <v>89</v>
      </c>
      <c r="J21" s="40" t="n">
        <v>3.25434931194355</v>
      </c>
      <c r="K21" s="39" t="n">
        <f aca="false">IF(G21="","",MAX(0,G21-J21/100))</f>
        <v>0.4599938203134</v>
      </c>
      <c r="L21" s="39" t="n">
        <f aca="false">IF(G21="","",MIN(1,G21+J21/100))</f>
        <v>0.525080806552271</v>
      </c>
      <c r="M21" s="21" t="n">
        <f aca="false">ROUND(Q21*S21,0)</f>
        <v>37</v>
      </c>
      <c r="N21" s="21" t="n">
        <f aca="false">ROUND(SQRT((F21*J21/100)^2+(G21*M21)^2),0)</f>
        <v>24</v>
      </c>
      <c r="P21" s="41" t="n">
        <v>-3.61446593826244</v>
      </c>
      <c r="Q21" s="42" t="n">
        <v>468.697530214663</v>
      </c>
      <c r="R21" s="43" t="n">
        <f aca="false">MAX(0,MIN(1,P21/100+$D$5))</f>
        <v>0.492511092850552</v>
      </c>
      <c r="S21" s="43" t="n">
        <v>0.0779420971553049</v>
      </c>
      <c r="T21" s="44" t="s">
        <v>90</v>
      </c>
    </row>
    <row r="22" customFormat="false" ht="15" hidden="false" customHeight="false" outlineLevel="0" collapsed="false">
      <c r="A22" s="38" t="s">
        <v>87</v>
      </c>
      <c r="B22" s="38" t="s">
        <v>102</v>
      </c>
      <c r="C22" s="38" t="s">
        <v>104</v>
      </c>
      <c r="D22" s="21" t="n">
        <f aca="false">ROUND(Q22*R22,0)</f>
        <v>151</v>
      </c>
      <c r="E22" s="21" t="n">
        <f aca="false">ROUND(Q22,0)-D22</f>
        <v>167</v>
      </c>
      <c r="F22" s="21" t="n">
        <f aca="false">IF(COUNTA(D22:E22)=0,"",SUM(D22:E22))</f>
        <v>318</v>
      </c>
      <c r="G22" s="39" t="n">
        <f aca="false">IF(OR(F22="",F22=0),"",D22/F22)</f>
        <v>0.474842767295598</v>
      </c>
      <c r="H22" s="39" t="n">
        <f aca="false">IF(OR(F22="",F22=0),"",E22/F22)</f>
        <v>0.525157232704403</v>
      </c>
      <c r="I22" s="38" t="s">
        <v>89</v>
      </c>
      <c r="J22" s="40" t="n">
        <v>3.25434931194355</v>
      </c>
      <c r="K22" s="39" t="n">
        <f aca="false">IF(G22="","",MAX(0,G22-J22/100))</f>
        <v>0.442299274176162</v>
      </c>
      <c r="L22" s="39" t="n">
        <f aca="false">IF(G22="","",MIN(1,G22+J22/100))</f>
        <v>0.507386260415033</v>
      </c>
      <c r="M22" s="21" t="n">
        <f aca="false">ROUND(Q22*S22,0)</f>
        <v>25</v>
      </c>
      <c r="N22" s="21" t="n">
        <f aca="false">ROUND(SQRT((F22*J22/100)^2+(G22*M22)^2),0)</f>
        <v>16</v>
      </c>
      <c r="P22" s="41" t="n">
        <v>-5.491425982044</v>
      </c>
      <c r="Q22" s="42" t="n">
        <v>318.157563255236</v>
      </c>
      <c r="R22" s="43" t="n">
        <f aca="false">MAX(0,MIN(1,P22/100+$D$5))</f>
        <v>0.473741492412737</v>
      </c>
      <c r="S22" s="43" t="n">
        <v>0.0779420971553049</v>
      </c>
      <c r="T22" s="44" t="s">
        <v>90</v>
      </c>
    </row>
    <row r="23" customFormat="false" ht="15" hidden="false" customHeight="false" outlineLevel="0" collapsed="false">
      <c r="A23" s="38" t="s">
        <v>87</v>
      </c>
      <c r="B23" s="38" t="s">
        <v>102</v>
      </c>
      <c r="C23" s="38" t="s">
        <v>105</v>
      </c>
      <c r="D23" s="21" t="n">
        <f aca="false">ROUND(Q23*R23,0)</f>
        <v>295</v>
      </c>
      <c r="E23" s="21" t="n">
        <f aca="false">ROUND(Q23,0)-D23</f>
        <v>393</v>
      </c>
      <c r="F23" s="21" t="n">
        <f aca="false">IF(COUNTA(D23:E23)=0,"",SUM(D23:E23))</f>
        <v>688</v>
      </c>
      <c r="G23" s="39" t="n">
        <f aca="false">IF(OR(F23="",F23=0),"",D23/F23)</f>
        <v>0.428779069767442</v>
      </c>
      <c r="H23" s="39" t="n">
        <f aca="false">IF(OR(F23="",F23=0),"",E23/F23)</f>
        <v>0.571220930232558</v>
      </c>
      <c r="I23" s="38" t="s">
        <v>89</v>
      </c>
      <c r="J23" s="40" t="n">
        <v>3.25434931194355</v>
      </c>
      <c r="K23" s="39" t="n">
        <f aca="false">IF(G23="","",MAX(0,G23-J23/100))</f>
        <v>0.396235576648006</v>
      </c>
      <c r="L23" s="39" t="n">
        <f aca="false">IF(G23="","",MIN(1,G23+J23/100))</f>
        <v>0.461322562886877</v>
      </c>
      <c r="M23" s="21" t="n">
        <f aca="false">ROUND(Q23*S23,0)</f>
        <v>54</v>
      </c>
      <c r="N23" s="21" t="n">
        <f aca="false">ROUND(SQRT((F23*J23/100)^2+(G23*M23)^2),0)</f>
        <v>32</v>
      </c>
      <c r="P23" s="41" t="n">
        <v>-9.9574663523095</v>
      </c>
      <c r="Q23" s="42" t="n">
        <v>688.229224319467</v>
      </c>
      <c r="R23" s="43" t="n">
        <f aca="false">MAX(0,MIN(1,P23/100+$D$5))</f>
        <v>0.429081088710082</v>
      </c>
      <c r="S23" s="43" t="n">
        <v>0.0779420971553049</v>
      </c>
      <c r="T23" s="44" t="s">
        <v>90</v>
      </c>
    </row>
    <row r="24" customFormat="false" ht="15" hidden="false" customHeight="false" outlineLevel="0" collapsed="false">
      <c r="A24" s="38" t="s">
        <v>87</v>
      </c>
      <c r="B24" s="38" t="s">
        <v>102</v>
      </c>
      <c r="C24" s="38" t="s">
        <v>106</v>
      </c>
      <c r="D24" s="21" t="n">
        <f aca="false">ROUND(Q24*R24,0)</f>
        <v>145</v>
      </c>
      <c r="E24" s="21" t="n">
        <f aca="false">ROUND(Q24,0)-D24</f>
        <v>117</v>
      </c>
      <c r="F24" s="21" t="n">
        <f aca="false">IF(COUNTA(D24:E24)=0,"",SUM(D24:E24))</f>
        <v>262</v>
      </c>
      <c r="G24" s="39" t="n">
        <f aca="false">IF(OR(F24="",F24=0),"",D24/F24)</f>
        <v>0.553435114503817</v>
      </c>
      <c r="H24" s="39" t="n">
        <f aca="false">IF(OR(F24="",F24=0),"",E24/F24)</f>
        <v>0.446564885496183</v>
      </c>
      <c r="I24" s="38" t="s">
        <v>89</v>
      </c>
      <c r="J24" s="40" t="n">
        <v>3.25434931194355</v>
      </c>
      <c r="K24" s="39" t="n">
        <f aca="false">IF(G24="","",MAX(0,G24-J24/100))</f>
        <v>0.520891621384381</v>
      </c>
      <c r="L24" s="39" t="n">
        <f aca="false">IF(G24="","",MIN(1,G24+J24/100))</f>
        <v>0.585978607623252</v>
      </c>
      <c r="M24" s="21" t="n">
        <f aca="false">ROUND(Q24*S24,0)</f>
        <v>20</v>
      </c>
      <c r="N24" s="21" t="n">
        <f aca="false">ROUND(SQRT((F24*J24/100)^2+(G24*M24)^2),0)</f>
        <v>14</v>
      </c>
      <c r="P24" s="41" t="n">
        <v>2.61270539267149</v>
      </c>
      <c r="Q24" s="42" t="n">
        <v>261.584802116054</v>
      </c>
      <c r="R24" s="43" t="n">
        <f aca="false">MAX(0,MIN(1,P24/100+$D$5))</f>
        <v>0.554782806159892</v>
      </c>
      <c r="S24" s="43" t="n">
        <v>0.0779420971553049</v>
      </c>
      <c r="T24" s="44" t="s">
        <v>90</v>
      </c>
    </row>
    <row r="25" customFormat="false" ht="15" hidden="false" customHeight="false" outlineLevel="0" collapsed="false">
      <c r="A25" s="38" t="s">
        <v>87</v>
      </c>
      <c r="B25" s="38" t="s">
        <v>102</v>
      </c>
      <c r="C25" s="38" t="s">
        <v>107</v>
      </c>
      <c r="D25" s="21" t="n">
        <f aca="false">ROUND(Q25*R25,0)</f>
        <v>278</v>
      </c>
      <c r="E25" s="21" t="n">
        <f aca="false">ROUND(Q25,0)-D25</f>
        <v>281</v>
      </c>
      <c r="F25" s="21" t="n">
        <f aca="false">IF(COUNTA(D25:E25)=0,"",SUM(D25:E25))</f>
        <v>559</v>
      </c>
      <c r="G25" s="39" t="n">
        <f aca="false">IF(OR(F25="",F25=0),"",D25/F25)</f>
        <v>0.497316636851521</v>
      </c>
      <c r="H25" s="39" t="n">
        <f aca="false">IF(OR(F25="",F25=0),"",E25/F25)</f>
        <v>0.502683363148479</v>
      </c>
      <c r="I25" s="38" t="s">
        <v>89</v>
      </c>
      <c r="J25" s="40" t="n">
        <v>3.25434931194355</v>
      </c>
      <c r="K25" s="39" t="n">
        <f aca="false">IF(G25="","",MAX(0,G25-J25/100))</f>
        <v>0.464773143732085</v>
      </c>
      <c r="L25" s="39" t="n">
        <f aca="false">IF(G25="","",MIN(1,G25+J25/100))</f>
        <v>0.529860129970956</v>
      </c>
      <c r="M25" s="21" t="n">
        <f aca="false">ROUND(Q25*S25,0)</f>
        <v>44</v>
      </c>
      <c r="N25" s="21" t="n">
        <f aca="false">ROUND(SQRT((F25*J25/100)^2+(G25*M25)^2),0)</f>
        <v>28</v>
      </c>
      <c r="P25" s="41" t="n">
        <v>-3.08889589374106</v>
      </c>
      <c r="Q25" s="42" t="n">
        <v>559.263264805512</v>
      </c>
      <c r="R25" s="43" t="n">
        <f aca="false">MAX(0,MIN(1,P25/100+$D$5))</f>
        <v>0.497766793295766</v>
      </c>
      <c r="S25" s="43" t="n">
        <v>0.0779420971553049</v>
      </c>
      <c r="T25" s="44" t="s">
        <v>90</v>
      </c>
    </row>
    <row r="26" customFormat="false" ht="15" hidden="false" customHeight="false" outlineLevel="0" collapsed="false">
      <c r="A26" s="38" t="s">
        <v>87</v>
      </c>
      <c r="B26" s="38" t="s">
        <v>108</v>
      </c>
      <c r="C26" s="38" t="s">
        <v>109</v>
      </c>
      <c r="D26" s="21" t="n">
        <f aca="false">ROUND(Q26*R26,0)</f>
        <v>112</v>
      </c>
      <c r="E26" s="21" t="n">
        <f aca="false">ROUND(Q26,0)-D26</f>
        <v>170</v>
      </c>
      <c r="F26" s="21" t="n">
        <f aca="false">IF(COUNTA(D26:E26)=0,"",SUM(D26:E26))</f>
        <v>282</v>
      </c>
      <c r="G26" s="39" t="n">
        <f aca="false">IF(OR(F26="",F26=0),"",D26/F26)</f>
        <v>0.397163120567376</v>
      </c>
      <c r="H26" s="39" t="n">
        <f aca="false">IF(OR(F26="",F26=0),"",E26/F26)</f>
        <v>0.602836879432624</v>
      </c>
      <c r="I26" s="38" t="s">
        <v>89</v>
      </c>
      <c r="J26" s="40" t="n">
        <v>3.25434931194355</v>
      </c>
      <c r="K26" s="39" t="n">
        <f aca="false">IF(G26="","",MAX(0,G26-J26/100))</f>
        <v>0.36461962744794</v>
      </c>
      <c r="L26" s="39" t="n">
        <f aca="false">IF(G26="","",MIN(1,G26+J26/100))</f>
        <v>0.429706613686811</v>
      </c>
      <c r="M26" s="21" t="n">
        <f aca="false">ROUND(Q26*S26,0)</f>
        <v>22</v>
      </c>
      <c r="N26" s="21" t="n">
        <f aca="false">ROUND(SQRT((F26*J26/100)^2+(G26*M26)^2),0)</f>
        <v>13</v>
      </c>
      <c r="P26" s="41" t="n">
        <v>-13.0802032645859</v>
      </c>
      <c r="Q26" s="42" t="n">
        <v>282.373160118752</v>
      </c>
      <c r="R26" s="43" t="n">
        <f aca="false">MAX(0,MIN(1,P26/100+$D$5))</f>
        <v>0.397853719587318</v>
      </c>
      <c r="S26" s="43" t="n">
        <v>0.0779420971553049</v>
      </c>
      <c r="T26" s="44" t="s">
        <v>90</v>
      </c>
    </row>
    <row r="27" customFormat="false" ht="15" hidden="false" customHeight="false" outlineLevel="0" collapsed="false">
      <c r="A27" s="38" t="s">
        <v>87</v>
      </c>
      <c r="B27" s="38" t="s">
        <v>108</v>
      </c>
      <c r="C27" s="38" t="s">
        <v>110</v>
      </c>
      <c r="D27" s="21" t="n">
        <f aca="false">ROUND(Q27*R27,0)</f>
        <v>221</v>
      </c>
      <c r="E27" s="21" t="n">
        <f aca="false">ROUND(Q27,0)-D27</f>
        <v>385</v>
      </c>
      <c r="F27" s="21" t="n">
        <f aca="false">IF(COUNTA(D27:E27)=0,"",SUM(D27:E27))</f>
        <v>606</v>
      </c>
      <c r="G27" s="39" t="n">
        <f aca="false">IF(OR(F27="",F27=0),"",D27/F27)</f>
        <v>0.364686468646865</v>
      </c>
      <c r="H27" s="39" t="n">
        <f aca="false">IF(OR(F27="",F27=0),"",E27/F27)</f>
        <v>0.635313531353135</v>
      </c>
      <c r="I27" s="38" t="s">
        <v>89</v>
      </c>
      <c r="J27" s="40" t="n">
        <v>3.25434931194355</v>
      </c>
      <c r="K27" s="39" t="n">
        <f aca="false">IF(G27="","",MAX(0,G27-J27/100))</f>
        <v>0.332142975527429</v>
      </c>
      <c r="L27" s="39" t="n">
        <f aca="false">IF(G27="","",MIN(1,G27+J27/100))</f>
        <v>0.3972299617663</v>
      </c>
      <c r="M27" s="21" t="n">
        <f aca="false">ROUND(Q27*S27,0)</f>
        <v>47</v>
      </c>
      <c r="N27" s="21" t="n">
        <f aca="false">ROUND(SQRT((F27*J27/100)^2+(G27*M27)^2),0)</f>
        <v>26</v>
      </c>
      <c r="P27" s="41" t="n">
        <v>-16.3681352924679</v>
      </c>
      <c r="Q27" s="42" t="n">
        <v>606.379626369141</v>
      </c>
      <c r="R27" s="43" t="n">
        <f aca="false">MAX(0,MIN(1,P27/100+$D$5))</f>
        <v>0.364974399308498</v>
      </c>
      <c r="S27" s="43" t="n">
        <v>0.0779420971553049</v>
      </c>
      <c r="T27" s="44" t="s">
        <v>90</v>
      </c>
    </row>
    <row r="28" customFormat="false" ht="15" hidden="false" customHeight="false" outlineLevel="0" collapsed="false">
      <c r="A28" s="38" t="s">
        <v>87</v>
      </c>
      <c r="B28" s="38" t="s">
        <v>111</v>
      </c>
      <c r="C28" s="38" t="s">
        <v>112</v>
      </c>
      <c r="D28" s="21" t="n">
        <f aca="false">ROUND(Q28*R28,0)</f>
        <v>240</v>
      </c>
      <c r="E28" s="21" t="n">
        <f aca="false">ROUND(Q28,0)-D28</f>
        <v>299</v>
      </c>
      <c r="F28" s="21" t="n">
        <f aca="false">IF(COUNTA(D28:E28)=0,"",SUM(D28:E28))</f>
        <v>539</v>
      </c>
      <c r="G28" s="39" t="n">
        <f aca="false">IF(OR(F28="",F28=0),"",D28/F28)</f>
        <v>0.445269016697588</v>
      </c>
      <c r="H28" s="39" t="n">
        <f aca="false">IF(OR(F28="",F28=0),"",E28/F28)</f>
        <v>0.554730983302412</v>
      </c>
      <c r="I28" s="38" t="s">
        <v>89</v>
      </c>
      <c r="J28" s="40" t="n">
        <v>3.25434931194355</v>
      </c>
      <c r="K28" s="39" t="n">
        <f aca="false">IF(G28="","",MAX(0,G28-J28/100))</f>
        <v>0.412725523578153</v>
      </c>
      <c r="L28" s="39" t="n">
        <f aca="false">IF(G28="","",MIN(1,G28+J28/100))</f>
        <v>0.477812509817024</v>
      </c>
      <c r="M28" s="21" t="n">
        <f aca="false">ROUND(Q28*S28,0)</f>
        <v>42</v>
      </c>
      <c r="N28" s="21" t="n">
        <f aca="false">ROUND(SQRT((F28*J28/100)^2+(G28*M28)^2),0)</f>
        <v>26</v>
      </c>
      <c r="P28" s="41" t="n">
        <v>-8.35102535817493</v>
      </c>
      <c r="Q28" s="42" t="n">
        <v>538.703032512828</v>
      </c>
      <c r="R28" s="43" t="n">
        <f aca="false">MAX(0,MIN(1,P28/100+$D$5))</f>
        <v>0.445145498651427</v>
      </c>
      <c r="S28" s="43" t="n">
        <v>0.0779420971553049</v>
      </c>
      <c r="T28" s="44" t="s">
        <v>90</v>
      </c>
    </row>
    <row r="29" customFormat="false" ht="15" hidden="false" customHeight="false" outlineLevel="0" collapsed="false">
      <c r="A29" s="38" t="s">
        <v>87</v>
      </c>
      <c r="B29" s="38" t="s">
        <v>111</v>
      </c>
      <c r="C29" s="38" t="s">
        <v>113</v>
      </c>
      <c r="D29" s="21" t="n">
        <f aca="false">ROUND(Q29*R29,0)</f>
        <v>137</v>
      </c>
      <c r="E29" s="21" t="n">
        <f aca="false">ROUND(Q29,0)-D29</f>
        <v>174</v>
      </c>
      <c r="F29" s="21" t="n">
        <f aca="false">IF(COUNTA(D29:E29)=0,"",SUM(D29:E29))</f>
        <v>311</v>
      </c>
      <c r="G29" s="39" t="n">
        <f aca="false">IF(OR(F29="",F29=0),"",D29/F29)</f>
        <v>0.440514469453376</v>
      </c>
      <c r="H29" s="39" t="n">
        <f aca="false">IF(OR(F29="",F29=0),"",E29/F29)</f>
        <v>0.559485530546624</v>
      </c>
      <c r="I29" s="38" t="s">
        <v>89</v>
      </c>
      <c r="J29" s="40" t="n">
        <v>3.25434931194355</v>
      </c>
      <c r="K29" s="39" t="n">
        <f aca="false">IF(G29="","",MAX(0,G29-J29/100))</f>
        <v>0.407970976333941</v>
      </c>
      <c r="L29" s="39" t="n">
        <f aca="false">IF(G29="","",MIN(1,G29+J29/100))</f>
        <v>0.473057962572812</v>
      </c>
      <c r="M29" s="21" t="n">
        <f aca="false">ROUND(Q29*S29,0)</f>
        <v>24</v>
      </c>
      <c r="N29" s="21" t="n">
        <f aca="false">ROUND(SQRT((F29*J29/100)^2+(G29*M29)^2),0)</f>
        <v>15</v>
      </c>
      <c r="P29" s="41" t="n">
        <v>-8.83217155013314</v>
      </c>
      <c r="Q29" s="42" t="n">
        <v>311.461687256173</v>
      </c>
      <c r="R29" s="43" t="n">
        <f aca="false">MAX(0,MIN(1,P29/100+$D$5))</f>
        <v>0.440334036731845</v>
      </c>
      <c r="S29" s="43" t="n">
        <v>0.0779420971553049</v>
      </c>
      <c r="T29" s="44" t="s">
        <v>90</v>
      </c>
    </row>
    <row r="30" customFormat="false" ht="15" hidden="false" customHeight="false" outlineLevel="0" collapsed="false">
      <c r="A30" s="38" t="s">
        <v>87</v>
      </c>
      <c r="B30" s="38" t="s">
        <v>111</v>
      </c>
      <c r="C30" s="38" t="s">
        <v>114</v>
      </c>
      <c r="D30" s="21" t="n">
        <f aca="false">ROUND(Q30*R30,0)</f>
        <v>124</v>
      </c>
      <c r="E30" s="21" t="n">
        <f aca="false">ROUND(Q30,0)-D30</f>
        <v>145</v>
      </c>
      <c r="F30" s="21" t="n">
        <f aca="false">IF(COUNTA(D30:E30)=0,"",SUM(D30:E30))</f>
        <v>269</v>
      </c>
      <c r="G30" s="39" t="n">
        <f aca="false">IF(OR(F30="",F30=0),"",D30/F30)</f>
        <v>0.460966542750929</v>
      </c>
      <c r="H30" s="39" t="n">
        <f aca="false">IF(OR(F30="",F30=0),"",E30/F30)</f>
        <v>0.539033457249071</v>
      </c>
      <c r="I30" s="38" t="s">
        <v>89</v>
      </c>
      <c r="J30" s="40" t="n">
        <v>3.25434931194355</v>
      </c>
      <c r="K30" s="39" t="n">
        <f aca="false">IF(G30="","",MAX(0,G30-J30/100))</f>
        <v>0.428423049631494</v>
      </c>
      <c r="L30" s="39" t="n">
        <f aca="false">IF(G30="","",MIN(1,G30+J30/100))</f>
        <v>0.493510035870365</v>
      </c>
      <c r="M30" s="21" t="n">
        <f aca="false">ROUND(Q30*S30,0)</f>
        <v>21</v>
      </c>
      <c r="N30" s="21" t="n">
        <f aca="false">ROUND(SQRT((F30*J30/100)^2+(G30*M30)^2),0)</f>
        <v>13</v>
      </c>
      <c r="P30" s="41" t="n">
        <v>-6.82503443998296</v>
      </c>
      <c r="Q30" s="42" t="n">
        <v>269.479104217397</v>
      </c>
      <c r="R30" s="43" t="n">
        <f aca="false">MAX(0,MIN(1,P30/100+$D$5))</f>
        <v>0.460405407833347</v>
      </c>
      <c r="S30" s="43" t="n">
        <v>0.0779420971553049</v>
      </c>
      <c r="T30" s="44" t="s">
        <v>90</v>
      </c>
    </row>
    <row r="31" customFormat="false" ht="15" hidden="false" customHeight="false" outlineLevel="0" collapsed="false">
      <c r="A31" s="38" t="s">
        <v>87</v>
      </c>
      <c r="B31" s="38" t="s">
        <v>115</v>
      </c>
      <c r="C31" s="38" t="s">
        <v>115</v>
      </c>
      <c r="D31" s="21" t="n">
        <f aca="false">ROUND(Q31*R31,0)</f>
        <v>39</v>
      </c>
      <c r="E31" s="21" t="n">
        <f aca="false">ROUND(Q31,0)-D31</f>
        <v>87</v>
      </c>
      <c r="F31" s="21" t="n">
        <f aca="false">IF(COUNTA(D31:E31)=0,"",SUM(D31:E31))</f>
        <v>126</v>
      </c>
      <c r="G31" s="39" t="n">
        <f aca="false">IF(OR(F31="",F31=0),"",D31/F31)</f>
        <v>0.30952380952381</v>
      </c>
      <c r="H31" s="39" t="n">
        <f aca="false">IF(OR(F31="",F31=0),"",E31/F31)</f>
        <v>0.690476190476191</v>
      </c>
      <c r="I31" s="38" t="s">
        <v>89</v>
      </c>
      <c r="J31" s="40" t="n">
        <v>3.25434931194355</v>
      </c>
      <c r="K31" s="39" t="n">
        <f aca="false">IF(G31="","",MAX(0,G31-J31/100))</f>
        <v>0.276980316404374</v>
      </c>
      <c r="L31" s="39" t="n">
        <f aca="false">IF(G31="","",MIN(1,G31+J31/100))</f>
        <v>0.342067302643245</v>
      </c>
      <c r="M31" s="21" t="n">
        <f aca="false">ROUND(Q31*S31,0)</f>
        <v>10</v>
      </c>
      <c r="N31" s="21" t="n">
        <f aca="false">ROUND(SQRT((F31*J31/100)^2+(G31*M31)^2),0)</f>
        <v>5</v>
      </c>
      <c r="P31" s="41" t="n">
        <v>-22.1117189433541</v>
      </c>
      <c r="Q31" s="42" t="n">
        <v>126.214426790049</v>
      </c>
      <c r="R31" s="43" t="n">
        <f aca="false">MAX(0,MIN(1,P31/100+$D$5))</f>
        <v>0.307538562799636</v>
      </c>
      <c r="S31" s="43" t="n">
        <v>0.0779420971553049</v>
      </c>
      <c r="T31" s="44" t="s">
        <v>90</v>
      </c>
    </row>
    <row r="32" customFormat="false" ht="15" hidden="false" customHeight="false" outlineLevel="0" collapsed="false">
      <c r="A32" s="38" t="s">
        <v>87</v>
      </c>
      <c r="B32" s="38" t="s">
        <v>116</v>
      </c>
      <c r="C32" s="38" t="s">
        <v>116</v>
      </c>
      <c r="D32" s="21" t="n">
        <f aca="false">ROUND(Q32*R32,0)</f>
        <v>66</v>
      </c>
      <c r="E32" s="21" t="n">
        <f aca="false">ROUND(Q32,0)-D32</f>
        <v>196</v>
      </c>
      <c r="F32" s="21" t="n">
        <f aca="false">IF(COUNTA(D32:E32)=0,"",SUM(D32:E32))</f>
        <v>262</v>
      </c>
      <c r="G32" s="39" t="n">
        <f aca="false">IF(OR(F32="",F32=0),"",D32/F32)</f>
        <v>0.251908396946565</v>
      </c>
      <c r="H32" s="39" t="n">
        <f aca="false">IF(OR(F32="",F32=0),"",E32/F32)</f>
        <v>0.748091603053435</v>
      </c>
      <c r="I32" s="38" t="s">
        <v>89</v>
      </c>
      <c r="J32" s="40" t="n">
        <v>3.25434931194355</v>
      </c>
      <c r="K32" s="39" t="n">
        <f aca="false">IF(G32="","",MAX(0,G32-J32/100))</f>
        <v>0.219364903827129</v>
      </c>
      <c r="L32" s="39" t="n">
        <f aca="false">IF(G32="","",MIN(1,G32+J32/100))</f>
        <v>0.284451890066</v>
      </c>
      <c r="M32" s="21" t="n">
        <f aca="false">ROUND(Q32*S32,0)</f>
        <v>20</v>
      </c>
      <c r="N32" s="21" t="n">
        <f aca="false">ROUND(SQRT((F32*J32/100)^2+(G32*M32)^2),0)</f>
        <v>10</v>
      </c>
      <c r="P32" s="41" t="n">
        <v>-27.6888492733451</v>
      </c>
      <c r="Q32" s="42" t="n">
        <v>262.461517897624</v>
      </c>
      <c r="R32" s="43" t="n">
        <f aca="false">MAX(0,MIN(1,P32/100+$D$5))</f>
        <v>0.251767259499726</v>
      </c>
      <c r="S32" s="43" t="n">
        <v>0.0779420971553049</v>
      </c>
      <c r="T32" s="44" t="s">
        <v>90</v>
      </c>
    </row>
    <row r="33" customFormat="false" ht="15" hidden="false" customHeight="false" outlineLevel="0" collapsed="false">
      <c r="A33" s="38" t="s">
        <v>87</v>
      </c>
      <c r="B33" s="38" t="s">
        <v>117</v>
      </c>
      <c r="C33" s="38" t="s">
        <v>118</v>
      </c>
      <c r="D33" s="21" t="n">
        <f aca="false">ROUND(Q33*R33,0)</f>
        <v>278</v>
      </c>
      <c r="E33" s="21" t="n">
        <f aca="false">ROUND(Q33,0)-D33</f>
        <v>359</v>
      </c>
      <c r="F33" s="21" t="n">
        <f aca="false">IF(COUNTA(D33:E33)=0,"",SUM(D33:E33))</f>
        <v>637</v>
      </c>
      <c r="G33" s="39" t="n">
        <f aca="false">IF(OR(F33="",F33=0),"",D33/F33)</f>
        <v>0.436420722135008</v>
      </c>
      <c r="H33" s="39" t="n">
        <f aca="false">IF(OR(F33="",F33=0),"",E33/F33)</f>
        <v>0.563579277864992</v>
      </c>
      <c r="I33" s="38" t="s">
        <v>89</v>
      </c>
      <c r="J33" s="40" t="n">
        <v>3.25434931194355</v>
      </c>
      <c r="K33" s="39" t="n">
        <f aca="false">IF(G33="","",MAX(0,G33-J33/100))</f>
        <v>0.403877229015572</v>
      </c>
      <c r="L33" s="39" t="n">
        <f aca="false">IF(G33="","",MIN(1,G33+J33/100))</f>
        <v>0.468964215254443</v>
      </c>
      <c r="M33" s="21" t="n">
        <f aca="false">ROUND(Q33*S33,0)</f>
        <v>50</v>
      </c>
      <c r="N33" s="21" t="n">
        <f aca="false">ROUND(SQRT((F33*J33/100)^2+(G33*M33)^2),0)</f>
        <v>30</v>
      </c>
      <c r="P33" s="41" t="n">
        <v>-9.32054120071847</v>
      </c>
      <c r="Q33" s="42" t="n">
        <v>637.331217197729</v>
      </c>
      <c r="R33" s="43" t="n">
        <f aca="false">MAX(0,MIN(1,P33/100+$D$5))</f>
        <v>0.435450340225992</v>
      </c>
      <c r="S33" s="43" t="n">
        <v>0.0779420971553049</v>
      </c>
      <c r="T33" s="44" t="s">
        <v>90</v>
      </c>
    </row>
    <row r="34" customFormat="false" ht="15" hidden="false" customHeight="false" outlineLevel="0" collapsed="false">
      <c r="A34" s="38" t="s">
        <v>87</v>
      </c>
      <c r="B34" s="38" t="s">
        <v>117</v>
      </c>
      <c r="C34" s="38" t="s">
        <v>119</v>
      </c>
      <c r="D34" s="21" t="n">
        <f aca="false">ROUND(Q34*R34,0)</f>
        <v>253</v>
      </c>
      <c r="E34" s="21" t="n">
        <f aca="false">ROUND(Q34,0)-D34</f>
        <v>342</v>
      </c>
      <c r="F34" s="21" t="n">
        <f aca="false">IF(COUNTA(D34:E34)=0,"",SUM(D34:E34))</f>
        <v>595</v>
      </c>
      <c r="G34" s="39" t="n">
        <f aca="false">IF(OR(F34="",F34=0),"",D34/F34)</f>
        <v>0.425210084033613</v>
      </c>
      <c r="H34" s="39" t="n">
        <f aca="false">IF(OR(F34="",F34=0),"",E34/F34)</f>
        <v>0.574789915966387</v>
      </c>
      <c r="I34" s="38" t="s">
        <v>89</v>
      </c>
      <c r="J34" s="40" t="n">
        <v>3.25434931194355</v>
      </c>
      <c r="K34" s="39" t="n">
        <f aca="false">IF(G34="","",MAX(0,G34-J34/100))</f>
        <v>0.392666590914178</v>
      </c>
      <c r="L34" s="39" t="n">
        <f aca="false">IF(G34="","",MIN(1,G34+J34/100))</f>
        <v>0.457753577153049</v>
      </c>
      <c r="M34" s="21" t="n">
        <f aca="false">ROUND(Q34*S34,0)</f>
        <v>46</v>
      </c>
      <c r="N34" s="21" t="n">
        <f aca="false">ROUND(SQRT((F34*J34/100)^2+(G34*M34)^2),0)</f>
        <v>28</v>
      </c>
      <c r="P34" s="41" t="n">
        <v>-10.2838958061478</v>
      </c>
      <c r="Q34" s="42" t="n">
        <v>594.705486859161</v>
      </c>
      <c r="R34" s="43" t="n">
        <f aca="false">MAX(0,MIN(1,P34/100+$D$5))</f>
        <v>0.425816794171699</v>
      </c>
      <c r="S34" s="43" t="n">
        <v>0.0779420971553049</v>
      </c>
      <c r="T34" s="44" t="s">
        <v>90</v>
      </c>
    </row>
    <row r="35" customFormat="false" ht="15" hidden="false" customHeight="false" outlineLevel="0" collapsed="false">
      <c r="A35" s="38" t="s">
        <v>87</v>
      </c>
      <c r="B35" s="38" t="s">
        <v>117</v>
      </c>
      <c r="C35" s="38" t="s">
        <v>120</v>
      </c>
      <c r="D35" s="21" t="n">
        <f aca="false">ROUND(Q35*R35,0)</f>
        <v>282</v>
      </c>
      <c r="E35" s="21" t="n">
        <f aca="false">ROUND(Q35,0)-D35</f>
        <v>380</v>
      </c>
      <c r="F35" s="21" t="n">
        <f aca="false">IF(COUNTA(D35:E35)=0,"",SUM(D35:E35))</f>
        <v>662</v>
      </c>
      <c r="G35" s="39" t="n">
        <f aca="false">IF(OR(F35="",F35=0),"",D35/F35)</f>
        <v>0.425981873111783</v>
      </c>
      <c r="H35" s="39" t="n">
        <f aca="false">IF(OR(F35="",F35=0),"",E35/F35)</f>
        <v>0.574018126888218</v>
      </c>
      <c r="I35" s="38" t="s">
        <v>89</v>
      </c>
      <c r="J35" s="40" t="n">
        <v>3.25434931194355</v>
      </c>
      <c r="K35" s="39" t="n">
        <f aca="false">IF(G35="","",MAX(0,G35-J35/100))</f>
        <v>0.393438379992347</v>
      </c>
      <c r="L35" s="39" t="n">
        <f aca="false">IF(G35="","",MIN(1,G35+J35/100))</f>
        <v>0.458525366231218</v>
      </c>
      <c r="M35" s="21" t="n">
        <f aca="false">ROUND(Q35*S35,0)</f>
        <v>52</v>
      </c>
      <c r="N35" s="21" t="n">
        <f aca="false">ROUND(SQRT((F35*J35/100)^2+(G35*M35)^2),0)</f>
        <v>31</v>
      </c>
      <c r="P35" s="41" t="n">
        <v>-10.2643979198174</v>
      </c>
      <c r="Q35" s="42" t="n">
        <v>661.728558444238</v>
      </c>
      <c r="R35" s="43" t="n">
        <f aca="false">MAX(0,MIN(1,P35/100+$D$5))</f>
        <v>0.426011773035003</v>
      </c>
      <c r="S35" s="43" t="n">
        <v>0.0779420971553049</v>
      </c>
      <c r="T35" s="44" t="s">
        <v>90</v>
      </c>
    </row>
    <row r="36" customFormat="false" ht="15" hidden="false" customHeight="false" outlineLevel="0" collapsed="false">
      <c r="A36" s="38" t="s">
        <v>87</v>
      </c>
      <c r="B36" s="38" t="s">
        <v>121</v>
      </c>
      <c r="C36" s="38" t="s">
        <v>122</v>
      </c>
      <c r="D36" s="21" t="n">
        <f aca="false">ROUND(Q36*R36,0)</f>
        <v>291</v>
      </c>
      <c r="E36" s="21" t="n">
        <f aca="false">ROUND(Q36,0)-D36</f>
        <v>591</v>
      </c>
      <c r="F36" s="21" t="n">
        <f aca="false">IF(COUNTA(D36:E36)=0,"",SUM(D36:E36))</f>
        <v>882</v>
      </c>
      <c r="G36" s="39" t="n">
        <f aca="false">IF(OR(F36="",F36=0),"",D36/F36)</f>
        <v>0.329931972789116</v>
      </c>
      <c r="H36" s="39" t="n">
        <f aca="false">IF(OR(F36="",F36=0),"",E36/F36)</f>
        <v>0.670068027210884</v>
      </c>
      <c r="I36" s="38" t="s">
        <v>89</v>
      </c>
      <c r="J36" s="40" t="n">
        <v>1.85532414445586</v>
      </c>
      <c r="K36" s="39" t="n">
        <f aca="false">IF(G36="","",MAX(0,G36-J36/100))</f>
        <v>0.311378731344557</v>
      </c>
      <c r="L36" s="39" t="n">
        <f aca="false">IF(G36="","",MIN(1,G36+J36/100))</f>
        <v>0.348485214233674</v>
      </c>
      <c r="M36" s="21" t="n">
        <f aca="false">ROUND(Q36*S36,0)</f>
        <v>56</v>
      </c>
      <c r="N36" s="21" t="n">
        <f aca="false">ROUND(SQRT((F36*J36/100)^2+(G36*M36)^2),0)</f>
        <v>25</v>
      </c>
      <c r="P36" s="41" t="n">
        <v>-19.8668426417543</v>
      </c>
      <c r="Q36" s="42" t="n">
        <v>882.022795672695</v>
      </c>
      <c r="R36" s="43" t="n">
        <f aca="false">MAX(0,MIN(1,P36/100+$D$5))</f>
        <v>0.329987325815633</v>
      </c>
      <c r="S36" s="43" t="n">
        <v>0.0633793435818552</v>
      </c>
      <c r="T36" s="44" t="s">
        <v>99</v>
      </c>
    </row>
    <row r="37" customFormat="false" ht="15" hidden="false" customHeight="false" outlineLevel="0" collapsed="false">
      <c r="A37" s="38" t="s">
        <v>87</v>
      </c>
      <c r="B37" s="38" t="s">
        <v>121</v>
      </c>
      <c r="C37" s="38" t="s">
        <v>123</v>
      </c>
      <c r="D37" s="21" t="n">
        <f aca="false">ROUND(Q37*R37,0)</f>
        <v>212</v>
      </c>
      <c r="E37" s="21" t="n">
        <f aca="false">ROUND(Q37,0)-D37</f>
        <v>406</v>
      </c>
      <c r="F37" s="21" t="n">
        <f aca="false">IF(COUNTA(D37:E37)=0,"",SUM(D37:E37))</f>
        <v>618</v>
      </c>
      <c r="G37" s="39" t="n">
        <f aca="false">IF(OR(F37="",F37=0),"",D37/F37)</f>
        <v>0.343042071197411</v>
      </c>
      <c r="H37" s="39" t="n">
        <f aca="false">IF(OR(F37="",F37=0),"",E37/F37)</f>
        <v>0.656957928802589</v>
      </c>
      <c r="I37" s="38" t="s">
        <v>89</v>
      </c>
      <c r="J37" s="40" t="n">
        <v>3.25434931194355</v>
      </c>
      <c r="K37" s="39" t="n">
        <f aca="false">IF(G37="","",MAX(0,G37-J37/100))</f>
        <v>0.310498578077976</v>
      </c>
      <c r="L37" s="39" t="n">
        <f aca="false">IF(G37="","",MIN(1,G37+J37/100))</f>
        <v>0.375585564316847</v>
      </c>
      <c r="M37" s="21" t="n">
        <f aca="false">ROUND(Q37*S37,0)</f>
        <v>48</v>
      </c>
      <c r="N37" s="21" t="n">
        <f aca="false">ROUND(SQRT((F37*J37/100)^2+(G37*M37)^2),0)</f>
        <v>26</v>
      </c>
      <c r="P37" s="41" t="n">
        <v>-18.5029029672499</v>
      </c>
      <c r="Q37" s="42" t="n">
        <v>618.191940310301</v>
      </c>
      <c r="R37" s="43" t="n">
        <f aca="false">MAX(0,MIN(1,P37/100+$D$5))</f>
        <v>0.343626722560677</v>
      </c>
      <c r="S37" s="43" t="n">
        <v>0.0779420971553049</v>
      </c>
      <c r="T37" s="44" t="s">
        <v>90</v>
      </c>
    </row>
    <row r="38" customFormat="false" ht="15" hidden="false" customHeight="false" outlineLevel="0" collapsed="false">
      <c r="A38" s="38" t="s">
        <v>87</v>
      </c>
      <c r="B38" s="38" t="s">
        <v>124</v>
      </c>
      <c r="C38" s="38" t="s">
        <v>125</v>
      </c>
      <c r="D38" s="21" t="n">
        <f aca="false">ROUND(Q38*R38,0)</f>
        <v>136</v>
      </c>
      <c r="E38" s="21" t="n">
        <f aca="false">ROUND(Q38,0)-D38</f>
        <v>329</v>
      </c>
      <c r="F38" s="21" t="n">
        <f aca="false">IF(COUNTA(D38:E38)=0,"",SUM(D38:E38))</f>
        <v>465</v>
      </c>
      <c r="G38" s="39" t="n">
        <f aca="false">IF(OR(F38="",F38=0),"",D38/F38)</f>
        <v>0.29247311827957</v>
      </c>
      <c r="H38" s="39" t="n">
        <f aca="false">IF(OR(F38="",F38=0),"",E38/F38)</f>
        <v>0.70752688172043</v>
      </c>
      <c r="I38" s="38" t="s">
        <v>89</v>
      </c>
      <c r="J38" s="40" t="n">
        <v>3.25434931194355</v>
      </c>
      <c r="K38" s="39" t="n">
        <f aca="false">IF(G38="","",MAX(0,G38-J38/100))</f>
        <v>0.259929625160134</v>
      </c>
      <c r="L38" s="39" t="n">
        <f aca="false">IF(G38="","",MIN(1,G38+J38/100))</f>
        <v>0.325016611399005</v>
      </c>
      <c r="M38" s="21" t="n">
        <f aca="false">ROUND(Q38*S38,0)</f>
        <v>36</v>
      </c>
      <c r="N38" s="21" t="n">
        <f aca="false">ROUND(SQRT((F38*J38/100)^2+(G38*M38)^2),0)</f>
        <v>18</v>
      </c>
      <c r="P38" s="41" t="n">
        <v>-23.6896617065758</v>
      </c>
      <c r="Q38" s="42" t="n">
        <v>465.054408129062</v>
      </c>
      <c r="R38" s="43" t="n">
        <f aca="false">MAX(0,MIN(1,P38/100+$D$5))</f>
        <v>0.291759135167419</v>
      </c>
      <c r="S38" s="43" t="n">
        <v>0.0779420971553049</v>
      </c>
      <c r="T38" s="44" t="s">
        <v>90</v>
      </c>
    </row>
    <row r="39" customFormat="false" ht="15" hidden="false" customHeight="false" outlineLevel="0" collapsed="false">
      <c r="A39" s="38" t="s">
        <v>87</v>
      </c>
      <c r="B39" s="38" t="s">
        <v>124</v>
      </c>
      <c r="C39" s="38" t="s">
        <v>126</v>
      </c>
      <c r="D39" s="21" t="n">
        <f aca="false">ROUND(Q39*R39,0)</f>
        <v>112</v>
      </c>
      <c r="E39" s="21" t="n">
        <f aca="false">ROUND(Q39,0)-D39</f>
        <v>216</v>
      </c>
      <c r="F39" s="21" t="n">
        <f aca="false">IF(COUNTA(D39:E39)=0,"",SUM(D39:E39))</f>
        <v>328</v>
      </c>
      <c r="G39" s="39" t="n">
        <f aca="false">IF(OR(F39="",F39=0),"",D39/F39)</f>
        <v>0.341463414634146</v>
      </c>
      <c r="H39" s="39" t="n">
        <f aca="false">IF(OR(F39="",F39=0),"",E39/F39)</f>
        <v>0.658536585365854</v>
      </c>
      <c r="I39" s="38" t="s">
        <v>89</v>
      </c>
      <c r="J39" s="40" t="n">
        <v>3.25434931194355</v>
      </c>
      <c r="K39" s="39" t="n">
        <f aca="false">IF(G39="","",MAX(0,G39-J39/100))</f>
        <v>0.308919921514711</v>
      </c>
      <c r="L39" s="39" t="n">
        <f aca="false">IF(G39="","",MIN(1,G39+J39/100))</f>
        <v>0.374006907753582</v>
      </c>
      <c r="M39" s="21" t="n">
        <f aca="false">ROUND(Q39*S39,0)</f>
        <v>26</v>
      </c>
      <c r="N39" s="21" t="n">
        <f aca="false">ROUND(SQRT((F39*J39/100)^2+(G39*M39)^2),0)</f>
        <v>14</v>
      </c>
      <c r="P39" s="41" t="n">
        <v>-18.6714047259748</v>
      </c>
      <c r="Q39" s="42" t="n">
        <v>328.261905964952</v>
      </c>
      <c r="R39" s="43" t="n">
        <f aca="false">MAX(0,MIN(1,P39/100+$D$5))</f>
        <v>0.341941704973429</v>
      </c>
      <c r="S39" s="43" t="n">
        <v>0.0779420971553049</v>
      </c>
      <c r="T39" s="44" t="s">
        <v>90</v>
      </c>
    </row>
    <row r="40" customFormat="false" ht="15" hidden="false" customHeight="false" outlineLevel="0" collapsed="false">
      <c r="A40" s="38" t="s">
        <v>87</v>
      </c>
      <c r="B40" s="38" t="s">
        <v>124</v>
      </c>
      <c r="C40" s="38" t="s">
        <v>127</v>
      </c>
      <c r="D40" s="21" t="n">
        <f aca="false">ROUND(Q40*R40,0)</f>
        <v>408</v>
      </c>
      <c r="E40" s="21" t="n">
        <f aca="false">ROUND(Q40,0)-D40</f>
        <v>797</v>
      </c>
      <c r="F40" s="21" t="n">
        <f aca="false">IF(COUNTA(D40:E40)=0,"",SUM(D40:E40))</f>
        <v>1205</v>
      </c>
      <c r="G40" s="39" t="n">
        <f aca="false">IF(OR(F40="",F40=0),"",D40/F40)</f>
        <v>0.338589211618257</v>
      </c>
      <c r="H40" s="39" t="n">
        <f aca="false">IF(OR(F40="",F40=0),"",E40/F40)</f>
        <v>0.661410788381743</v>
      </c>
      <c r="I40" s="38" t="s">
        <v>89</v>
      </c>
      <c r="J40" s="40" t="n">
        <v>1.28585670084365</v>
      </c>
      <c r="K40" s="39" t="n">
        <f aca="false">IF(G40="","",MAX(0,G40-J40/100))</f>
        <v>0.325730644609821</v>
      </c>
      <c r="L40" s="39" t="n">
        <f aca="false">IF(G40="","",MIN(1,G40+J40/100))</f>
        <v>0.351447778626694</v>
      </c>
      <c r="M40" s="21" t="n">
        <f aca="false">ROUND(Q40*S40,0)</f>
        <v>168</v>
      </c>
      <c r="N40" s="21" t="n">
        <f aca="false">ROUND(SQRT((F40*J40/100)^2+(G40*M40)^2),0)</f>
        <v>59</v>
      </c>
      <c r="P40" s="41" t="n">
        <v>-18.9792158879148</v>
      </c>
      <c r="Q40" s="42" t="n">
        <v>1204.73397749145</v>
      </c>
      <c r="R40" s="43" t="n">
        <f aca="false">MAX(0,MIN(1,P40/100+$D$5))</f>
        <v>0.338863593354029</v>
      </c>
      <c r="S40" s="43" t="n">
        <v>0.139463116518417</v>
      </c>
      <c r="T40" s="44" t="s">
        <v>128</v>
      </c>
    </row>
    <row r="41" customFormat="false" ht="15" hidden="false" customHeight="false" outlineLevel="0" collapsed="false">
      <c r="A41" s="38" t="s">
        <v>87</v>
      </c>
      <c r="B41" s="38" t="s">
        <v>129</v>
      </c>
      <c r="C41" s="38" t="s">
        <v>130</v>
      </c>
      <c r="D41" s="21" t="n">
        <f aca="false">ROUND(Q41*R41,0)</f>
        <v>272</v>
      </c>
      <c r="E41" s="21" t="n">
        <f aca="false">ROUND(Q41,0)-D41</f>
        <v>340</v>
      </c>
      <c r="F41" s="21" t="n">
        <f aca="false">IF(COUNTA(D41:E41)=0,"",SUM(D41:E41))</f>
        <v>612</v>
      </c>
      <c r="G41" s="39" t="n">
        <f aca="false">IF(OR(F41="",F41=0),"",D41/F41)</f>
        <v>0.444444444444444</v>
      </c>
      <c r="H41" s="39" t="n">
        <f aca="false">IF(OR(F41="",F41=0),"",E41/F41)</f>
        <v>0.555555555555556</v>
      </c>
      <c r="I41" s="38" t="s">
        <v>89</v>
      </c>
      <c r="J41" s="40" t="n">
        <v>3.25434931194355</v>
      </c>
      <c r="K41" s="39" t="n">
        <f aca="false">IF(G41="","",MAX(0,G41-J41/100))</f>
        <v>0.411900951325009</v>
      </c>
      <c r="L41" s="39" t="n">
        <f aca="false">IF(G41="","",MIN(1,G41+J41/100))</f>
        <v>0.47698793756388</v>
      </c>
      <c r="M41" s="21" t="n">
        <f aca="false">ROUND(Q41*S41,0)</f>
        <v>48</v>
      </c>
      <c r="N41" s="21" t="n">
        <f aca="false">ROUND(SQRT((F41*J41/100)^2+(G41*M41)^2),0)</f>
        <v>29</v>
      </c>
      <c r="P41" s="41" t="n">
        <v>-8.40915492200033</v>
      </c>
      <c r="Q41" s="42" t="n">
        <v>611.858107559908</v>
      </c>
      <c r="R41" s="43" t="n">
        <f aca="false">MAX(0,MIN(1,P41/100+$D$5))</f>
        <v>0.444564203013173</v>
      </c>
      <c r="S41" s="43" t="n">
        <v>0.0779420971553049</v>
      </c>
      <c r="T41" s="44" t="s">
        <v>90</v>
      </c>
    </row>
    <row r="42" customFormat="false" ht="15" hidden="false" customHeight="false" outlineLevel="0" collapsed="false">
      <c r="A42" s="38" t="s">
        <v>87</v>
      </c>
      <c r="B42" s="38" t="s">
        <v>129</v>
      </c>
      <c r="C42" s="38" t="s">
        <v>131</v>
      </c>
      <c r="D42" s="21" t="n">
        <f aca="false">ROUND(Q42*R42,0)</f>
        <v>289</v>
      </c>
      <c r="E42" s="21" t="n">
        <f aca="false">ROUND(Q42,0)-D42</f>
        <v>378</v>
      </c>
      <c r="F42" s="21" t="n">
        <f aca="false">IF(COUNTA(D42:E42)=0,"",SUM(D42:E42))</f>
        <v>667</v>
      </c>
      <c r="G42" s="39" t="n">
        <f aca="false">IF(OR(F42="",F42=0),"",D42/F42)</f>
        <v>0.43328335832084</v>
      </c>
      <c r="H42" s="39" t="n">
        <f aca="false">IF(OR(F42="",F42=0),"",E42/F42)</f>
        <v>0.566716641679161</v>
      </c>
      <c r="I42" s="38" t="s">
        <v>89</v>
      </c>
      <c r="J42" s="40" t="n">
        <v>3.25434931194355</v>
      </c>
      <c r="K42" s="39" t="n">
        <f aca="false">IF(G42="","",MAX(0,G42-J42/100))</f>
        <v>0.400739865201404</v>
      </c>
      <c r="L42" s="39" t="n">
        <f aca="false">IF(G42="","",MIN(1,G42+J42/100))</f>
        <v>0.465826851440275</v>
      </c>
      <c r="M42" s="21" t="n">
        <f aca="false">ROUND(Q42*S42,0)</f>
        <v>52</v>
      </c>
      <c r="N42" s="21" t="n">
        <f aca="false">ROUND(SQRT((F42*J42/100)^2+(G42*M42)^2),0)</f>
        <v>31</v>
      </c>
      <c r="P42" s="41" t="n">
        <v>-9.60277732984047</v>
      </c>
      <c r="Q42" s="42" t="n">
        <v>667.214383913676</v>
      </c>
      <c r="R42" s="43" t="n">
        <f aca="false">MAX(0,MIN(1,P42/100+$D$5))</f>
        <v>0.432627978934772</v>
      </c>
      <c r="S42" s="43" t="n">
        <v>0.0779420971553049</v>
      </c>
      <c r="T42" s="44" t="s">
        <v>90</v>
      </c>
    </row>
    <row r="43" customFormat="false" ht="15" hidden="false" customHeight="false" outlineLevel="0" collapsed="false">
      <c r="A43" s="38" t="s">
        <v>87</v>
      </c>
      <c r="B43" s="38" t="s">
        <v>132</v>
      </c>
      <c r="C43" s="38" t="s">
        <v>132</v>
      </c>
      <c r="D43" s="21" t="n">
        <f aca="false">ROUND(Q43*R43,0)</f>
        <v>141</v>
      </c>
      <c r="E43" s="21" t="n">
        <f aca="false">ROUND(Q43,0)-D43</f>
        <v>444</v>
      </c>
      <c r="F43" s="21" t="n">
        <f aca="false">IF(COUNTA(D43:E43)=0,"",SUM(D43:E43))</f>
        <v>585</v>
      </c>
      <c r="G43" s="39" t="n">
        <f aca="false">IF(OR(F43="",F43=0),"",D43/F43)</f>
        <v>0.241025641025641</v>
      </c>
      <c r="H43" s="39" t="n">
        <f aca="false">IF(OR(F43="",F43=0),"",E43/F43)</f>
        <v>0.758974358974359</v>
      </c>
      <c r="I43" s="38" t="s">
        <v>89</v>
      </c>
      <c r="J43" s="40" t="n">
        <v>3.25434931194355</v>
      </c>
      <c r="K43" s="39" t="n">
        <f aca="false">IF(G43="","",MAX(0,G43-J43/100))</f>
        <v>0.208482147906206</v>
      </c>
      <c r="L43" s="39" t="n">
        <f aca="false">IF(G43="","",MIN(1,G43+J43/100))</f>
        <v>0.273569134145077</v>
      </c>
      <c r="M43" s="21" t="n">
        <f aca="false">ROUND(Q43*S43,0)</f>
        <v>46</v>
      </c>
      <c r="N43" s="21" t="n">
        <f aca="false">ROUND(SQRT((F43*J43/100)^2+(G43*M43)^2),0)</f>
        <v>22</v>
      </c>
      <c r="P43" s="41" t="n">
        <v>-28.7096536199183</v>
      </c>
      <c r="Q43" s="42" t="n">
        <v>584.608707914027</v>
      </c>
      <c r="R43" s="43" t="n">
        <f aca="false">MAX(0,MIN(1,P43/100+$D$5))</f>
        <v>0.241559216033994</v>
      </c>
      <c r="S43" s="43" t="n">
        <v>0.0779420971553049</v>
      </c>
      <c r="T43" s="44" t="s">
        <v>90</v>
      </c>
    </row>
    <row r="44" customFormat="false" ht="15" hidden="false" customHeight="false" outlineLevel="0" collapsed="false">
      <c r="A44" s="38" t="s">
        <v>87</v>
      </c>
      <c r="B44" s="38" t="s">
        <v>133</v>
      </c>
      <c r="C44" s="38" t="s">
        <v>134</v>
      </c>
      <c r="D44" s="21" t="n">
        <f aca="false">ROUND(Q44*R44,0)</f>
        <v>286</v>
      </c>
      <c r="E44" s="21" t="n">
        <f aca="false">ROUND(Q44,0)-D44</f>
        <v>454</v>
      </c>
      <c r="F44" s="21" t="n">
        <f aca="false">IF(COUNTA(D44:E44)=0,"",SUM(D44:E44))</f>
        <v>740</v>
      </c>
      <c r="G44" s="39" t="n">
        <f aca="false">IF(OR(F44="",F44=0),"",D44/F44)</f>
        <v>0.386486486486487</v>
      </c>
      <c r="H44" s="39" t="n">
        <f aca="false">IF(OR(F44="",F44=0),"",E44/F44)</f>
        <v>0.613513513513514</v>
      </c>
      <c r="I44" s="38" t="s">
        <v>89</v>
      </c>
      <c r="J44" s="40" t="n">
        <v>3.25434931194355</v>
      </c>
      <c r="K44" s="39" t="n">
        <f aca="false">IF(G44="","",MAX(0,G44-J44/100))</f>
        <v>0.353942993367051</v>
      </c>
      <c r="L44" s="39" t="n">
        <f aca="false">IF(G44="","",MIN(1,G44+J44/100))</f>
        <v>0.419029979605922</v>
      </c>
      <c r="M44" s="21" t="n">
        <f aca="false">ROUND(Q44*S44,0)</f>
        <v>58</v>
      </c>
      <c r="N44" s="21" t="n">
        <f aca="false">ROUND(SQRT((F44*J44/100)^2+(G44*M44)^2),0)</f>
        <v>33</v>
      </c>
      <c r="P44" s="41" t="n">
        <v>-14.2543951756853</v>
      </c>
      <c r="Q44" s="42" t="n">
        <v>740.197934529987</v>
      </c>
      <c r="R44" s="43" t="n">
        <f aca="false">MAX(0,MIN(1,P44/100+$D$5))</f>
        <v>0.386111800476323</v>
      </c>
      <c r="S44" s="43" t="n">
        <v>0.0779420971553049</v>
      </c>
      <c r="T44" s="44" t="s">
        <v>90</v>
      </c>
    </row>
    <row r="45" customFormat="false" ht="15" hidden="false" customHeight="false" outlineLevel="0" collapsed="false">
      <c r="A45" s="38" t="s">
        <v>87</v>
      </c>
      <c r="B45" s="38" t="s">
        <v>133</v>
      </c>
      <c r="C45" s="38" t="s">
        <v>135</v>
      </c>
      <c r="D45" s="21" t="n">
        <f aca="false">ROUND(Q45*R45,0)</f>
        <v>449</v>
      </c>
      <c r="E45" s="21" t="n">
        <f aca="false">ROUND(Q45,0)-D45</f>
        <v>586</v>
      </c>
      <c r="F45" s="21" t="n">
        <f aca="false">IF(COUNTA(D45:E45)=0,"",SUM(D45:E45))</f>
        <v>1035</v>
      </c>
      <c r="G45" s="39" t="n">
        <f aca="false">IF(OR(F45="",F45=0),"",D45/F45)</f>
        <v>0.433816425120773</v>
      </c>
      <c r="H45" s="39" t="n">
        <f aca="false">IF(OR(F45="",F45=0),"",E45/F45)</f>
        <v>0.566183574879227</v>
      </c>
      <c r="I45" s="38" t="s">
        <v>89</v>
      </c>
      <c r="J45" s="40" t="n">
        <v>1.85532414445586</v>
      </c>
      <c r="K45" s="39" t="n">
        <f aca="false">IF(G45="","",MAX(0,G45-J45/100))</f>
        <v>0.415263183676214</v>
      </c>
      <c r="L45" s="39" t="n">
        <f aca="false">IF(G45="","",MIN(1,G45+J45/100))</f>
        <v>0.452369666565332</v>
      </c>
      <c r="M45" s="21" t="n">
        <f aca="false">ROUND(Q45*S45,0)</f>
        <v>66</v>
      </c>
      <c r="N45" s="21" t="n">
        <f aca="false">ROUND(SQRT((F45*J45/100)^2+(G45*M45)^2),0)</f>
        <v>34</v>
      </c>
      <c r="P45" s="41" t="n">
        <v>-9.49530565501666</v>
      </c>
      <c r="Q45" s="42" t="n">
        <v>1035.45657617446</v>
      </c>
      <c r="R45" s="43" t="n">
        <f aca="false">MAX(0,MIN(1,P45/100+$D$5))</f>
        <v>0.43370269568301</v>
      </c>
      <c r="S45" s="43" t="n">
        <v>0.0633793435818552</v>
      </c>
      <c r="T45" s="44" t="s">
        <v>99</v>
      </c>
    </row>
    <row r="46" customFormat="false" ht="15" hidden="false" customHeight="false" outlineLevel="0" collapsed="false">
      <c r="A46" s="38" t="s">
        <v>87</v>
      </c>
      <c r="B46" s="38" t="s">
        <v>133</v>
      </c>
      <c r="C46" s="38" t="s">
        <v>136</v>
      </c>
      <c r="D46" s="21" t="n">
        <f aca="false">ROUND(Q46*R46,0)</f>
        <v>131</v>
      </c>
      <c r="E46" s="21" t="n">
        <f aca="false">ROUND(Q46,0)-D46</f>
        <v>197</v>
      </c>
      <c r="F46" s="21" t="n">
        <f aca="false">IF(COUNTA(D46:E46)=0,"",SUM(D46:E46))</f>
        <v>328</v>
      </c>
      <c r="G46" s="39" t="n">
        <f aca="false">IF(OR(F46="",F46=0),"",D46/F46)</f>
        <v>0.399390243902439</v>
      </c>
      <c r="H46" s="39" t="n">
        <f aca="false">IF(OR(F46="",F46=0),"",E46/F46)</f>
        <v>0.600609756097561</v>
      </c>
      <c r="I46" s="38" t="s">
        <v>89</v>
      </c>
      <c r="J46" s="40" t="n">
        <v>3.25434931194355</v>
      </c>
      <c r="K46" s="39" t="n">
        <f aca="false">IF(G46="","",MAX(0,G46-J46/100))</f>
        <v>0.366846750783004</v>
      </c>
      <c r="L46" s="39" t="n">
        <f aca="false">IF(G46="","",MIN(1,G46+J46/100))</f>
        <v>0.431933737021875</v>
      </c>
      <c r="M46" s="21" t="n">
        <f aca="false">ROUND(Q46*S46,0)</f>
        <v>26</v>
      </c>
      <c r="N46" s="21" t="n">
        <f aca="false">ROUND(SQRT((F46*J46/100)^2+(G46*M46)^2),0)</f>
        <v>15</v>
      </c>
      <c r="P46" s="41" t="n">
        <v>-12.8792917103362</v>
      </c>
      <c r="Q46" s="42" t="n">
        <v>327.745008438463</v>
      </c>
      <c r="R46" s="43" t="n">
        <f aca="false">MAX(0,MIN(1,P46/100+$D$5))</f>
        <v>0.399862835129815</v>
      </c>
      <c r="S46" s="43" t="n">
        <v>0.0779420971553049</v>
      </c>
      <c r="T46" s="44" t="s">
        <v>90</v>
      </c>
    </row>
    <row r="47" customFormat="false" ht="15" hidden="false" customHeight="false" outlineLevel="0" collapsed="false">
      <c r="A47" s="38" t="s">
        <v>87</v>
      </c>
      <c r="B47" s="38" t="s">
        <v>137</v>
      </c>
      <c r="C47" s="38" t="s">
        <v>137</v>
      </c>
      <c r="D47" s="21" t="n">
        <f aca="false">ROUND(Q47*R47,0)</f>
        <v>71</v>
      </c>
      <c r="E47" s="21" t="n">
        <f aca="false">ROUND(Q47,0)-D47</f>
        <v>128</v>
      </c>
      <c r="F47" s="21" t="n">
        <f aca="false">IF(COUNTA(D47:E47)=0,"",SUM(D47:E47))</f>
        <v>199</v>
      </c>
      <c r="G47" s="39" t="n">
        <f aca="false">IF(OR(F47="",F47=0),"",D47/F47)</f>
        <v>0.35678391959799</v>
      </c>
      <c r="H47" s="39" t="n">
        <f aca="false">IF(OR(F47="",F47=0),"",E47/F47)</f>
        <v>0.64321608040201</v>
      </c>
      <c r="I47" s="38" t="s">
        <v>89</v>
      </c>
      <c r="J47" s="40" t="n">
        <v>3.25434931194355</v>
      </c>
      <c r="K47" s="39" t="n">
        <f aca="false">IF(G47="","",MAX(0,G47-J47/100))</f>
        <v>0.324240426478554</v>
      </c>
      <c r="L47" s="39" t="n">
        <f aca="false">IF(G47="","",MIN(1,G47+J47/100))</f>
        <v>0.389327412717425</v>
      </c>
      <c r="M47" s="21" t="n">
        <f aca="false">ROUND(Q47*S47,0)</f>
        <v>16</v>
      </c>
      <c r="N47" s="21" t="n">
        <f aca="false">ROUND(SQRT((F47*J47/100)^2+(G47*M47)^2),0)</f>
        <v>9</v>
      </c>
      <c r="P47" s="41" t="n">
        <v>-17.3132366133168</v>
      </c>
      <c r="Q47" s="42" t="n">
        <v>198.986410259333</v>
      </c>
      <c r="R47" s="43" t="n">
        <f aca="false">MAX(0,MIN(1,P47/100+$D$5))</f>
        <v>0.355523386100008</v>
      </c>
      <c r="S47" s="43" t="n">
        <v>0.0779420971553049</v>
      </c>
      <c r="T47" s="44" t="s">
        <v>90</v>
      </c>
    </row>
    <row r="48" customFormat="false" ht="15" hidden="false" customHeight="false" outlineLevel="0" collapsed="false">
      <c r="A48" s="38" t="s">
        <v>87</v>
      </c>
      <c r="B48" s="38" t="s">
        <v>138</v>
      </c>
      <c r="C48" s="38" t="s">
        <v>139</v>
      </c>
      <c r="D48" s="21" t="n">
        <f aca="false">ROUND(Q48*R48,0)</f>
        <v>369</v>
      </c>
      <c r="E48" s="21" t="n">
        <f aca="false">ROUND(Q48,0)-D48</f>
        <v>513</v>
      </c>
      <c r="F48" s="21" t="n">
        <f aca="false">IF(COUNTA(D48:E48)=0,"",SUM(D48:E48))</f>
        <v>882</v>
      </c>
      <c r="G48" s="39" t="n">
        <f aca="false">IF(OR(F48="",F48=0),"",D48/F48)</f>
        <v>0.418367346938776</v>
      </c>
      <c r="H48" s="39" t="n">
        <f aca="false">IF(OR(F48="",F48=0),"",E48/F48)</f>
        <v>0.581632653061225</v>
      </c>
      <c r="I48" s="38" t="s">
        <v>89</v>
      </c>
      <c r="J48" s="40" t="n">
        <v>1.85532414445586</v>
      </c>
      <c r="K48" s="39" t="n">
        <f aca="false">IF(G48="","",MAX(0,G48-J48/100))</f>
        <v>0.399814105494217</v>
      </c>
      <c r="L48" s="39" t="n">
        <f aca="false">IF(G48="","",MIN(1,G48+J48/100))</f>
        <v>0.436920588383334</v>
      </c>
      <c r="M48" s="21" t="n">
        <f aca="false">ROUND(Q48*S48,0)</f>
        <v>56</v>
      </c>
      <c r="N48" s="21" t="n">
        <f aca="false">ROUND(SQRT((F48*J48/100)^2+(G48*M48)^2),0)</f>
        <v>29</v>
      </c>
      <c r="P48" s="41" t="n">
        <v>-11.0392202563282</v>
      </c>
      <c r="Q48" s="42" t="n">
        <v>882.440033675457</v>
      </c>
      <c r="R48" s="43" t="n">
        <f aca="false">MAX(0,MIN(1,P48/100+$D$5))</f>
        <v>0.418263549669894</v>
      </c>
      <c r="S48" s="43" t="n">
        <v>0.0633793435818552</v>
      </c>
      <c r="T48" s="44" t="s">
        <v>99</v>
      </c>
    </row>
    <row r="49" customFormat="false" ht="15" hidden="false" customHeight="false" outlineLevel="0" collapsed="false">
      <c r="A49" s="38" t="s">
        <v>87</v>
      </c>
      <c r="B49" s="38" t="s">
        <v>138</v>
      </c>
      <c r="C49" s="38" t="s">
        <v>140</v>
      </c>
      <c r="D49" s="21" t="n">
        <f aca="false">ROUND(Q49*R49,0)</f>
        <v>280</v>
      </c>
      <c r="E49" s="21" t="n">
        <f aca="false">ROUND(Q49,0)-D49</f>
        <v>401</v>
      </c>
      <c r="F49" s="21" t="n">
        <f aca="false">IF(COUNTA(D49:E49)=0,"",SUM(D49:E49))</f>
        <v>681</v>
      </c>
      <c r="G49" s="39" t="n">
        <f aca="false">IF(OR(F49="",F49=0),"",D49/F49)</f>
        <v>0.411160058737151</v>
      </c>
      <c r="H49" s="39" t="n">
        <f aca="false">IF(OR(F49="",F49=0),"",E49/F49)</f>
        <v>0.588839941262849</v>
      </c>
      <c r="I49" s="38" t="s">
        <v>89</v>
      </c>
      <c r="J49" s="40" t="n">
        <v>3.25434931194355</v>
      </c>
      <c r="K49" s="39" t="n">
        <f aca="false">IF(G49="","",MAX(0,G49-J49/100))</f>
        <v>0.378616565617716</v>
      </c>
      <c r="L49" s="39" t="n">
        <f aca="false">IF(G49="","",MIN(1,G49+J49/100))</f>
        <v>0.443703551856587</v>
      </c>
      <c r="M49" s="21" t="n">
        <f aca="false">ROUND(Q49*S49,0)</f>
        <v>53</v>
      </c>
      <c r="N49" s="21" t="n">
        <f aca="false">ROUND(SQRT((F49*J49/100)^2+(G49*M49)^2),0)</f>
        <v>31</v>
      </c>
      <c r="P49" s="41" t="n">
        <v>-11.7705495826063</v>
      </c>
      <c r="Q49" s="42" t="n">
        <v>681.443031156668</v>
      </c>
      <c r="R49" s="43" t="n">
        <f aca="false">MAX(0,MIN(1,P49/100+$D$5))</f>
        <v>0.410950256407114</v>
      </c>
      <c r="S49" s="43" t="n">
        <v>0.0779420971553049</v>
      </c>
      <c r="T49" s="44" t="s">
        <v>90</v>
      </c>
    </row>
    <row r="50" customFormat="false" ht="15" hidden="false" customHeight="false" outlineLevel="0" collapsed="false">
      <c r="A50" s="38" t="s">
        <v>87</v>
      </c>
      <c r="B50" s="38" t="s">
        <v>138</v>
      </c>
      <c r="C50" s="38" t="s">
        <v>141</v>
      </c>
      <c r="D50" s="21" t="n">
        <f aca="false">ROUND(Q50*R50,0)</f>
        <v>428</v>
      </c>
      <c r="E50" s="21" t="n">
        <f aca="false">ROUND(Q50,0)-D50</f>
        <v>589</v>
      </c>
      <c r="F50" s="21" t="n">
        <f aca="false">IF(COUNTA(D50:E50)=0,"",SUM(D50:E50))</f>
        <v>1017</v>
      </c>
      <c r="G50" s="39" t="n">
        <f aca="false">IF(OR(F50="",F50=0),"",D50/F50)</f>
        <v>0.420845624385447</v>
      </c>
      <c r="H50" s="39" t="n">
        <f aca="false">IF(OR(F50="",F50=0),"",E50/F50)</f>
        <v>0.579154375614553</v>
      </c>
      <c r="I50" s="38" t="s">
        <v>89</v>
      </c>
      <c r="J50" s="40" t="n">
        <v>1.85532414445586</v>
      </c>
      <c r="K50" s="39" t="n">
        <f aca="false">IF(G50="","",MAX(0,G50-J50/100))</f>
        <v>0.402292382940889</v>
      </c>
      <c r="L50" s="39" t="n">
        <f aca="false">IF(G50="","",MIN(1,G50+J50/100))</f>
        <v>0.439398865830006</v>
      </c>
      <c r="M50" s="21" t="n">
        <f aca="false">ROUND(Q50*S50,0)</f>
        <v>64</v>
      </c>
      <c r="N50" s="21" t="n">
        <f aca="false">ROUND(SQRT((F50*J50/100)^2+(G50*M50)^2),0)</f>
        <v>33</v>
      </c>
      <c r="P50" s="41" t="n">
        <v>-10.7843285758858</v>
      </c>
      <c r="Q50" s="42" t="n">
        <v>1016.76892500359</v>
      </c>
      <c r="R50" s="43" t="n">
        <f aca="false">MAX(0,MIN(1,P50/100+$D$5))</f>
        <v>0.420812466474319</v>
      </c>
      <c r="S50" s="43" t="n">
        <v>0.0633793435818552</v>
      </c>
      <c r="T50" s="44" t="s">
        <v>99</v>
      </c>
    </row>
    <row r="51" customFormat="false" ht="15" hidden="false" customHeight="false" outlineLevel="0" collapsed="false">
      <c r="A51" s="38" t="s">
        <v>87</v>
      </c>
      <c r="B51" s="38" t="s">
        <v>138</v>
      </c>
      <c r="C51" s="38" t="s">
        <v>142</v>
      </c>
      <c r="D51" s="21" t="n">
        <f aca="false">ROUND(Q51*R51,0)</f>
        <v>425</v>
      </c>
      <c r="E51" s="21" t="n">
        <f aca="false">ROUND(Q51,0)-D51</f>
        <v>757</v>
      </c>
      <c r="F51" s="21" t="n">
        <f aca="false">IF(COUNTA(D51:E51)=0,"",SUM(D51:E51))</f>
        <v>1182</v>
      </c>
      <c r="G51" s="39" t="n">
        <f aca="false">IF(OR(F51="",F51=0),"",D51/F51)</f>
        <v>0.359560067681895</v>
      </c>
      <c r="H51" s="39" t="n">
        <f aca="false">IF(OR(F51="",F51=0),"",E51/F51)</f>
        <v>0.640439932318105</v>
      </c>
      <c r="I51" s="38" t="s">
        <v>89</v>
      </c>
      <c r="J51" s="40" t="n">
        <v>1.85532414445586</v>
      </c>
      <c r="K51" s="39" t="n">
        <f aca="false">IF(G51="","",MAX(0,G51-J51/100))</f>
        <v>0.341006826237336</v>
      </c>
      <c r="L51" s="39" t="n">
        <f aca="false">IF(G51="","",MIN(1,G51+J51/100))</f>
        <v>0.378113309126454</v>
      </c>
      <c r="M51" s="21" t="n">
        <f aca="false">ROUND(Q51*S51,0)</f>
        <v>75</v>
      </c>
      <c r="N51" s="21" t="n">
        <f aca="false">ROUND(SQRT((F51*J51/100)^2+(G51*M51)^2),0)</f>
        <v>35</v>
      </c>
      <c r="P51" s="41" t="n">
        <v>-16.9417605668503</v>
      </c>
      <c r="Q51" s="42" t="n">
        <v>1181.82616936057</v>
      </c>
      <c r="R51" s="43" t="n">
        <f aca="false">MAX(0,MIN(1,P51/100+$D$5))</f>
        <v>0.359238146564673</v>
      </c>
      <c r="S51" s="43" t="n">
        <v>0.0633793435818552</v>
      </c>
      <c r="T51" s="44" t="s">
        <v>99</v>
      </c>
    </row>
    <row r="52" customFormat="false" ht="15" hidden="false" customHeight="false" outlineLevel="0" collapsed="false">
      <c r="A52" s="38" t="s">
        <v>87</v>
      </c>
      <c r="B52" s="38" t="s">
        <v>138</v>
      </c>
      <c r="C52" s="38" t="s">
        <v>143</v>
      </c>
      <c r="D52" s="21" t="n">
        <f aca="false">ROUND(Q52*R52,0)</f>
        <v>400</v>
      </c>
      <c r="E52" s="21" t="n">
        <f aca="false">ROUND(Q52,0)-D52</f>
        <v>596</v>
      </c>
      <c r="F52" s="21" t="n">
        <f aca="false">IF(COUNTA(D52:E52)=0,"",SUM(D52:E52))</f>
        <v>996</v>
      </c>
      <c r="G52" s="39" t="n">
        <f aca="false">IF(OR(F52="",F52=0),"",D52/F52)</f>
        <v>0.401606425702811</v>
      </c>
      <c r="H52" s="39" t="n">
        <f aca="false">IF(OR(F52="",F52=0),"",E52/F52)</f>
        <v>0.598393574297189</v>
      </c>
      <c r="I52" s="38" t="s">
        <v>89</v>
      </c>
      <c r="J52" s="40" t="n">
        <v>1.85532414445586</v>
      </c>
      <c r="K52" s="39" t="n">
        <f aca="false">IF(G52="","",MAX(0,G52-J52/100))</f>
        <v>0.383053184258253</v>
      </c>
      <c r="L52" s="39" t="n">
        <f aca="false">IF(G52="","",MIN(1,G52+J52/100))</f>
        <v>0.42015966714737</v>
      </c>
      <c r="M52" s="21" t="n">
        <f aca="false">ROUND(Q52*S52,0)</f>
        <v>63</v>
      </c>
      <c r="N52" s="21" t="n">
        <f aca="false">ROUND(SQRT((F52*J52/100)^2+(G52*M52)^2),0)</f>
        <v>31</v>
      </c>
      <c r="P52" s="41" t="n">
        <v>-12.6704208301279</v>
      </c>
      <c r="Q52" s="42" t="n">
        <v>996.06590503883</v>
      </c>
      <c r="R52" s="43" t="n">
        <f aca="false">MAX(0,MIN(1,P52/100+$D$5))</f>
        <v>0.401951543931897</v>
      </c>
      <c r="S52" s="43" t="n">
        <v>0.0633793435818552</v>
      </c>
      <c r="T52" s="44" t="s">
        <v>99</v>
      </c>
    </row>
    <row r="53" customFormat="false" ht="15" hidden="false" customHeight="false" outlineLevel="0" collapsed="false">
      <c r="A53" s="38" t="s">
        <v>87</v>
      </c>
      <c r="B53" s="38" t="s">
        <v>144</v>
      </c>
      <c r="C53" s="38" t="s">
        <v>145</v>
      </c>
      <c r="D53" s="21" t="n">
        <f aca="false">ROUND(Q53*R53,0)</f>
        <v>161</v>
      </c>
      <c r="E53" s="21" t="n">
        <f aca="false">ROUND(Q53,0)-D53</f>
        <v>155</v>
      </c>
      <c r="F53" s="21" t="n">
        <f aca="false">IF(COUNTA(D53:E53)=0,"",SUM(D53:E53))</f>
        <v>316</v>
      </c>
      <c r="G53" s="39" t="n">
        <f aca="false">IF(OR(F53="",F53=0),"",D53/F53)</f>
        <v>0.509493670886076</v>
      </c>
      <c r="H53" s="39" t="n">
        <f aca="false">IF(OR(F53="",F53=0),"",E53/F53)</f>
        <v>0.490506329113924</v>
      </c>
      <c r="I53" s="38" t="s">
        <v>89</v>
      </c>
      <c r="J53" s="40" t="n">
        <v>3.25434931194355</v>
      </c>
      <c r="K53" s="39" t="n">
        <f aca="false">IF(G53="","",MAX(0,G53-J53/100))</f>
        <v>0.476950177766641</v>
      </c>
      <c r="L53" s="39" t="n">
        <f aca="false">IF(G53="","",MIN(1,G53+J53/100))</f>
        <v>0.542037164005512</v>
      </c>
      <c r="M53" s="21" t="n">
        <f aca="false">ROUND(Q53*S53,0)</f>
        <v>25</v>
      </c>
      <c r="N53" s="21" t="n">
        <f aca="false">ROUND(SQRT((F53*J53/100)^2+(G53*M53)^2),0)</f>
        <v>16</v>
      </c>
      <c r="P53" s="41" t="n">
        <v>-1.9979122160108</v>
      </c>
      <c r="Q53" s="42" t="n">
        <v>315.919129418149</v>
      </c>
      <c r="R53" s="43" t="n">
        <f aca="false">MAX(0,MIN(1,P53/100+$D$5))</f>
        <v>0.508676630073069</v>
      </c>
      <c r="S53" s="43" t="n">
        <v>0.0779420971553049</v>
      </c>
      <c r="T53" s="44" t="s">
        <v>90</v>
      </c>
    </row>
    <row r="54" customFormat="false" ht="15" hidden="false" customHeight="false" outlineLevel="0" collapsed="false">
      <c r="A54" s="38" t="s">
        <v>87</v>
      </c>
      <c r="B54" s="38" t="s">
        <v>144</v>
      </c>
      <c r="C54" s="38" t="s">
        <v>146</v>
      </c>
      <c r="D54" s="21" t="n">
        <f aca="false">ROUND(Q54*R54,0)</f>
        <v>182</v>
      </c>
      <c r="E54" s="21" t="n">
        <f aca="false">ROUND(Q54,0)-D54</f>
        <v>169</v>
      </c>
      <c r="F54" s="21" t="n">
        <f aca="false">IF(COUNTA(D54:E54)=0,"",SUM(D54:E54))</f>
        <v>351</v>
      </c>
      <c r="G54" s="39" t="n">
        <f aca="false">IF(OR(F54="",F54=0),"",D54/F54)</f>
        <v>0.518518518518519</v>
      </c>
      <c r="H54" s="39" t="n">
        <f aca="false">IF(OR(F54="",F54=0),"",E54/F54)</f>
        <v>0.481481481481481</v>
      </c>
      <c r="I54" s="38" t="s">
        <v>89</v>
      </c>
      <c r="J54" s="40" t="n">
        <v>3.25434931194355</v>
      </c>
      <c r="K54" s="39" t="n">
        <f aca="false">IF(G54="","",MAX(0,G54-J54/100))</f>
        <v>0.485975025399083</v>
      </c>
      <c r="L54" s="39" t="n">
        <f aca="false">IF(G54="","",MIN(1,G54+J54/100))</f>
        <v>0.551062011637954</v>
      </c>
      <c r="M54" s="21" t="n">
        <f aca="false">ROUND(Q54*S54,0)</f>
        <v>27</v>
      </c>
      <c r="N54" s="21" t="n">
        <f aca="false">ROUND(SQRT((F54*J54/100)^2+(G54*M54)^2),0)</f>
        <v>18</v>
      </c>
      <c r="P54" s="41" t="n">
        <v>-1.14572150577523</v>
      </c>
      <c r="Q54" s="42" t="n">
        <v>351.283916027475</v>
      </c>
      <c r="R54" s="43" t="n">
        <f aca="false">MAX(0,MIN(1,P54/100+$D$5))</f>
        <v>0.517198537175424</v>
      </c>
      <c r="S54" s="43" t="n">
        <v>0.0779420971553049</v>
      </c>
      <c r="T54" s="44" t="s">
        <v>90</v>
      </c>
    </row>
    <row r="55" customFormat="false" ht="15" hidden="false" customHeight="false" outlineLevel="0" collapsed="false">
      <c r="A55" s="38" t="s">
        <v>87</v>
      </c>
      <c r="B55" s="38" t="s">
        <v>144</v>
      </c>
      <c r="C55" s="38" t="s">
        <v>147</v>
      </c>
      <c r="D55" s="21" t="n">
        <f aca="false">ROUND(Q55*R55,0)</f>
        <v>113</v>
      </c>
      <c r="E55" s="21" t="n">
        <f aca="false">ROUND(Q55,0)-D55</f>
        <v>159</v>
      </c>
      <c r="F55" s="21" t="n">
        <f aca="false">IF(COUNTA(D55:E55)=0,"",SUM(D55:E55))</f>
        <v>272</v>
      </c>
      <c r="G55" s="39" t="n">
        <f aca="false">IF(OR(F55="",F55=0),"",D55/F55)</f>
        <v>0.415441176470588</v>
      </c>
      <c r="H55" s="39" t="n">
        <f aca="false">IF(OR(F55="",F55=0),"",E55/F55)</f>
        <v>0.584558823529412</v>
      </c>
      <c r="I55" s="38" t="s">
        <v>89</v>
      </c>
      <c r="J55" s="40" t="n">
        <v>3.25434931194355</v>
      </c>
      <c r="K55" s="39" t="n">
        <f aca="false">IF(G55="","",MAX(0,G55-J55/100))</f>
        <v>0.382897683351153</v>
      </c>
      <c r="L55" s="39" t="n">
        <f aca="false">IF(G55="","",MIN(1,G55+J55/100))</f>
        <v>0.447984669590024</v>
      </c>
      <c r="M55" s="21" t="n">
        <f aca="false">ROUND(Q55*S55,0)</f>
        <v>21</v>
      </c>
      <c r="N55" s="21" t="n">
        <f aca="false">ROUND(SQRT((F55*J55/100)^2+(G55*M55)^2),0)</f>
        <v>12</v>
      </c>
      <c r="P55" s="41" t="n">
        <v>-11.3351121469191</v>
      </c>
      <c r="Q55" s="42" t="n">
        <v>271.977649417872</v>
      </c>
      <c r="R55" s="43" t="n">
        <f aca="false">MAX(0,MIN(1,P55/100+$D$5))</f>
        <v>0.415304630763985</v>
      </c>
      <c r="S55" s="43" t="n">
        <v>0.0779420971553049</v>
      </c>
      <c r="T55" s="44" t="s">
        <v>90</v>
      </c>
    </row>
    <row r="56" customFormat="false" ht="15" hidden="false" customHeight="false" outlineLevel="0" collapsed="false">
      <c r="A56" s="38" t="s">
        <v>87</v>
      </c>
      <c r="B56" s="38" t="s">
        <v>144</v>
      </c>
      <c r="C56" s="38" t="s">
        <v>148</v>
      </c>
      <c r="D56" s="21" t="n">
        <f aca="false">ROUND(Q56*R56,0)</f>
        <v>189</v>
      </c>
      <c r="E56" s="21" t="n">
        <f aca="false">ROUND(Q56,0)-D56</f>
        <v>229</v>
      </c>
      <c r="F56" s="21" t="n">
        <f aca="false">IF(COUNTA(D56:E56)=0,"",SUM(D56:E56))</f>
        <v>418</v>
      </c>
      <c r="G56" s="39" t="n">
        <f aca="false">IF(OR(F56="",F56=0),"",D56/F56)</f>
        <v>0.452153110047847</v>
      </c>
      <c r="H56" s="39" t="n">
        <f aca="false">IF(OR(F56="",F56=0),"",E56/F56)</f>
        <v>0.547846889952153</v>
      </c>
      <c r="I56" s="38" t="s">
        <v>89</v>
      </c>
      <c r="J56" s="40" t="n">
        <v>3.25434931194355</v>
      </c>
      <c r="K56" s="39" t="n">
        <f aca="false">IF(G56="","",MAX(0,G56-J56/100))</f>
        <v>0.419609616928411</v>
      </c>
      <c r="L56" s="39" t="n">
        <f aca="false">IF(G56="","",MIN(1,G56+J56/100))</f>
        <v>0.484696603167282</v>
      </c>
      <c r="M56" s="21" t="n">
        <f aca="false">ROUND(Q56*S56,0)</f>
        <v>33</v>
      </c>
      <c r="N56" s="21" t="n">
        <f aca="false">ROUND(SQRT((F56*J56/100)^2+(G56*M56)^2),0)</f>
        <v>20</v>
      </c>
      <c r="P56" s="41" t="n">
        <v>-7.74434886516465</v>
      </c>
      <c r="Q56" s="42" t="n">
        <v>418.111920105464</v>
      </c>
      <c r="R56" s="43" t="n">
        <f aca="false">MAX(0,MIN(1,P56/100+$D$5))</f>
        <v>0.45121226358153</v>
      </c>
      <c r="S56" s="43" t="n">
        <v>0.0779420971553049</v>
      </c>
      <c r="T56" s="44" t="s">
        <v>90</v>
      </c>
    </row>
    <row r="57" customFormat="false" ht="15" hidden="false" customHeight="false" outlineLevel="0" collapsed="false">
      <c r="A57" s="38" t="s">
        <v>87</v>
      </c>
      <c r="B57" s="38" t="s">
        <v>149</v>
      </c>
      <c r="C57" s="38" t="s">
        <v>150</v>
      </c>
      <c r="D57" s="21" t="n">
        <f aca="false">ROUND(Q57*R57,0)</f>
        <v>284</v>
      </c>
      <c r="E57" s="21" t="n">
        <f aca="false">ROUND(Q57,0)-D57</f>
        <v>534</v>
      </c>
      <c r="F57" s="21" t="n">
        <f aca="false">IF(COUNTA(D57:E57)=0,"",SUM(D57:E57))</f>
        <v>818</v>
      </c>
      <c r="G57" s="39" t="n">
        <f aca="false">IF(OR(F57="",F57=0),"",D57/F57)</f>
        <v>0.34718826405868</v>
      </c>
      <c r="H57" s="39" t="n">
        <f aca="false">IF(OR(F57="",F57=0),"",E57/F57)</f>
        <v>0.65281173594132</v>
      </c>
      <c r="I57" s="38" t="s">
        <v>89</v>
      </c>
      <c r="J57" s="40" t="n">
        <v>1.85532414445586</v>
      </c>
      <c r="K57" s="39" t="n">
        <f aca="false">IF(G57="","",MAX(0,G57-J57/100))</f>
        <v>0.328635022614121</v>
      </c>
      <c r="L57" s="39" t="n">
        <f aca="false">IF(G57="","",MIN(1,G57+J57/100))</f>
        <v>0.365741505503238</v>
      </c>
      <c r="M57" s="21" t="n">
        <f aca="false">ROUND(Q57*S57,0)</f>
        <v>52</v>
      </c>
      <c r="N57" s="21" t="n">
        <f aca="false">ROUND(SQRT((F57*J57/100)^2+(G57*M57)^2),0)</f>
        <v>24</v>
      </c>
      <c r="P57" s="41" t="n">
        <v>-18.1726818415618</v>
      </c>
      <c r="Q57" s="42" t="n">
        <v>818.129771900081</v>
      </c>
      <c r="R57" s="43" t="n">
        <f aca="false">MAX(0,MIN(1,P57/100+$D$5))</f>
        <v>0.346928933817559</v>
      </c>
      <c r="S57" s="43" t="n">
        <v>0.0633793435818552</v>
      </c>
      <c r="T57" s="44" t="s">
        <v>99</v>
      </c>
    </row>
    <row r="58" customFormat="false" ht="15" hidden="false" customHeight="false" outlineLevel="0" collapsed="false">
      <c r="A58" s="38" t="s">
        <v>87</v>
      </c>
      <c r="B58" s="38" t="s">
        <v>149</v>
      </c>
      <c r="C58" s="38" t="s">
        <v>151</v>
      </c>
      <c r="D58" s="21" t="n">
        <f aca="false">ROUND(Q58*R58,0)</f>
        <v>262</v>
      </c>
      <c r="E58" s="21" t="n">
        <f aca="false">ROUND(Q58,0)-D58</f>
        <v>568</v>
      </c>
      <c r="F58" s="21" t="n">
        <f aca="false">IF(COUNTA(D58:E58)=0,"",SUM(D58:E58))</f>
        <v>830</v>
      </c>
      <c r="G58" s="39" t="n">
        <f aca="false">IF(OR(F58="",F58=0),"",D58/F58)</f>
        <v>0.31566265060241</v>
      </c>
      <c r="H58" s="39" t="n">
        <f aca="false">IF(OR(F58="",F58=0),"",E58/F58)</f>
        <v>0.68433734939759</v>
      </c>
      <c r="I58" s="38" t="s">
        <v>89</v>
      </c>
      <c r="J58" s="40" t="n">
        <v>1.85532414445586</v>
      </c>
      <c r="K58" s="39" t="n">
        <f aca="false">IF(G58="","",MAX(0,G58-J58/100))</f>
        <v>0.297109409157851</v>
      </c>
      <c r="L58" s="39" t="n">
        <f aca="false">IF(G58="","",MIN(1,G58+J58/100))</f>
        <v>0.334215892046968</v>
      </c>
      <c r="M58" s="21" t="n">
        <f aca="false">ROUND(Q58*S58,0)</f>
        <v>53</v>
      </c>
      <c r="N58" s="21" t="n">
        <f aca="false">ROUND(SQRT((F58*J58/100)^2+(G58*M58)^2),0)</f>
        <v>23</v>
      </c>
      <c r="P58" s="41" t="n">
        <v>-21.3515967734136</v>
      </c>
      <c r="Q58" s="42" t="n">
        <v>830.457133620049</v>
      </c>
      <c r="R58" s="43" t="n">
        <f aca="false">MAX(0,MIN(1,P58/100+$D$5))</f>
        <v>0.31513978449904</v>
      </c>
      <c r="S58" s="43" t="n">
        <v>0.0633793435818552</v>
      </c>
      <c r="T58" s="44" t="s">
        <v>99</v>
      </c>
    </row>
    <row r="59" customFormat="false" ht="15" hidden="false" customHeight="false" outlineLevel="0" collapsed="false">
      <c r="A59" s="38" t="s">
        <v>87</v>
      </c>
      <c r="B59" s="38" t="s">
        <v>149</v>
      </c>
      <c r="C59" s="38" t="s">
        <v>152</v>
      </c>
      <c r="D59" s="21" t="n">
        <f aca="false">ROUND(Q59*R59,0)</f>
        <v>243</v>
      </c>
      <c r="E59" s="21" t="n">
        <f aca="false">ROUND(Q59,0)-D59</f>
        <v>499</v>
      </c>
      <c r="F59" s="21" t="n">
        <f aca="false">IF(COUNTA(D59:E59)=0,"",SUM(D59:E59))</f>
        <v>742</v>
      </c>
      <c r="G59" s="39" t="n">
        <f aca="false">IF(OR(F59="",F59=0),"",D59/F59)</f>
        <v>0.327493261455526</v>
      </c>
      <c r="H59" s="39" t="n">
        <f aca="false">IF(OR(F59="",F59=0),"",E59/F59)</f>
        <v>0.672506738544474</v>
      </c>
      <c r="I59" s="38" t="s">
        <v>89</v>
      </c>
      <c r="J59" s="40" t="n">
        <v>3.25434931194355</v>
      </c>
      <c r="K59" s="39" t="n">
        <f aca="false">IF(G59="","",MAX(0,G59-J59/100))</f>
        <v>0.29494976833609</v>
      </c>
      <c r="L59" s="39" t="n">
        <f aca="false">IF(G59="","",MIN(1,G59+J59/100))</f>
        <v>0.360036754574961</v>
      </c>
      <c r="M59" s="21" t="n">
        <f aca="false">ROUND(Q59*S59,0)</f>
        <v>58</v>
      </c>
      <c r="N59" s="21" t="n">
        <f aca="false">ROUND(SQRT((F59*J59/100)^2+(G59*M59)^2),0)</f>
        <v>31</v>
      </c>
      <c r="P59" s="41" t="n">
        <v>-20.1689399094714</v>
      </c>
      <c r="Q59" s="42" t="n">
        <v>741.876584617903</v>
      </c>
      <c r="R59" s="43" t="n">
        <f aca="false">MAX(0,MIN(1,P59/100+$D$5))</f>
        <v>0.326966353138463</v>
      </c>
      <c r="S59" s="43" t="n">
        <v>0.0779420971553049</v>
      </c>
      <c r="T59" s="44" t="s">
        <v>90</v>
      </c>
    </row>
    <row r="60" customFormat="false" ht="15" hidden="false" customHeight="false" outlineLevel="0" collapsed="false">
      <c r="A60" s="38" t="s">
        <v>87</v>
      </c>
      <c r="B60" s="38" t="s">
        <v>153</v>
      </c>
      <c r="C60" s="38" t="s">
        <v>154</v>
      </c>
      <c r="D60" s="21" t="n">
        <f aca="false">ROUND(Q60*R60,0)</f>
        <v>217</v>
      </c>
      <c r="E60" s="21" t="n">
        <f aca="false">ROUND(Q60,0)-D60</f>
        <v>429</v>
      </c>
      <c r="F60" s="21" t="n">
        <f aca="false">IF(COUNTA(D60:E60)=0,"",SUM(D60:E60))</f>
        <v>646</v>
      </c>
      <c r="G60" s="39" t="n">
        <f aca="false">IF(OR(F60="",F60=0),"",D60/F60)</f>
        <v>0.335913312693498</v>
      </c>
      <c r="H60" s="39" t="n">
        <f aca="false">IF(OR(F60="",F60=0),"",E60/F60)</f>
        <v>0.664086687306502</v>
      </c>
      <c r="I60" s="38" t="s">
        <v>89</v>
      </c>
      <c r="J60" s="40" t="n">
        <v>3.25434931194355</v>
      </c>
      <c r="K60" s="39" t="n">
        <f aca="false">IF(G60="","",MAX(0,G60-J60/100))</f>
        <v>0.303369819574063</v>
      </c>
      <c r="L60" s="39" t="n">
        <f aca="false">IF(G60="","",MIN(1,G60+J60/100))</f>
        <v>0.368456805812934</v>
      </c>
      <c r="M60" s="21" t="n">
        <f aca="false">ROUND(Q60*S60,0)</f>
        <v>50</v>
      </c>
      <c r="N60" s="21" t="n">
        <f aca="false">ROUND(SQRT((F60*J60/100)^2+(G60*M60)^2),0)</f>
        <v>27</v>
      </c>
      <c r="P60" s="41" t="n">
        <v>-19.2387223061064</v>
      </c>
      <c r="Q60" s="42" t="n">
        <v>645.895188870604</v>
      </c>
      <c r="R60" s="43" t="n">
        <f aca="false">MAX(0,MIN(1,P60/100+$D$5))</f>
        <v>0.336268529172113</v>
      </c>
      <c r="S60" s="43" t="n">
        <v>0.0779420971553049</v>
      </c>
      <c r="T60" s="44" t="s">
        <v>90</v>
      </c>
    </row>
    <row r="61" customFormat="false" ht="15" hidden="false" customHeight="false" outlineLevel="0" collapsed="false">
      <c r="A61" s="38" t="s">
        <v>87</v>
      </c>
      <c r="B61" s="38" t="s">
        <v>153</v>
      </c>
      <c r="C61" s="38" t="s">
        <v>155</v>
      </c>
      <c r="D61" s="21" t="n">
        <f aca="false">ROUND(Q61*R61,0)</f>
        <v>105</v>
      </c>
      <c r="E61" s="21" t="n">
        <f aca="false">ROUND(Q61,0)-D61</f>
        <v>230</v>
      </c>
      <c r="F61" s="21" t="n">
        <f aca="false">IF(COUNTA(D61:E61)=0,"",SUM(D61:E61))</f>
        <v>335</v>
      </c>
      <c r="G61" s="39" t="n">
        <f aca="false">IF(OR(F61="",F61=0),"",D61/F61)</f>
        <v>0.313432835820896</v>
      </c>
      <c r="H61" s="39" t="n">
        <f aca="false">IF(OR(F61="",F61=0),"",E61/F61)</f>
        <v>0.686567164179105</v>
      </c>
      <c r="I61" s="38" t="s">
        <v>89</v>
      </c>
      <c r="J61" s="40" t="n">
        <v>3.25434931194355</v>
      </c>
      <c r="K61" s="39" t="n">
        <f aca="false">IF(G61="","",MAX(0,G61-J61/100))</f>
        <v>0.28088934270146</v>
      </c>
      <c r="L61" s="39" t="n">
        <f aca="false">IF(G61="","",MIN(1,G61+J61/100))</f>
        <v>0.345976328940331</v>
      </c>
      <c r="M61" s="21" t="n">
        <f aca="false">ROUND(Q61*S61,0)</f>
        <v>26</v>
      </c>
      <c r="N61" s="21" t="n">
        <f aca="false">ROUND(SQRT((F61*J61/100)^2+(G61*M61)^2),0)</f>
        <v>14</v>
      </c>
      <c r="P61" s="41" t="n">
        <v>-21.5484779712849</v>
      </c>
      <c r="Q61" s="42" t="n">
        <v>334.709795397691</v>
      </c>
      <c r="R61" s="43" t="n">
        <f aca="false">MAX(0,MIN(1,P61/100+$D$5))</f>
        <v>0.313170972520328</v>
      </c>
      <c r="S61" s="43" t="n">
        <v>0.0779420971553049</v>
      </c>
      <c r="T61" s="44" t="s">
        <v>90</v>
      </c>
    </row>
    <row r="62" customFormat="false" ht="15" hidden="false" customHeight="false" outlineLevel="0" collapsed="false">
      <c r="A62" s="38" t="s">
        <v>87</v>
      </c>
      <c r="B62" s="38" t="s">
        <v>156</v>
      </c>
      <c r="C62" s="38" t="s">
        <v>156</v>
      </c>
      <c r="D62" s="21" t="n">
        <f aca="false">ROUND(Q62*R62,0)</f>
        <v>48</v>
      </c>
      <c r="E62" s="21" t="n">
        <f aca="false">ROUND(Q62,0)-D62</f>
        <v>70</v>
      </c>
      <c r="F62" s="21" t="n">
        <f aca="false">IF(COUNTA(D62:E62)=0,"",SUM(D62:E62))</f>
        <v>118</v>
      </c>
      <c r="G62" s="39" t="n">
        <f aca="false">IF(OR(F62="",F62=0),"",D62/F62)</f>
        <v>0.406779661016949</v>
      </c>
      <c r="H62" s="39" t="n">
        <f aca="false">IF(OR(F62="",F62=0),"",E62/F62)</f>
        <v>0.593220338983051</v>
      </c>
      <c r="I62" s="38" t="s">
        <v>89</v>
      </c>
      <c r="J62" s="40" t="n">
        <v>3.25434931194355</v>
      </c>
      <c r="K62" s="39" t="n">
        <f aca="false">IF(G62="","",MAX(0,G62-J62/100))</f>
        <v>0.374236167897514</v>
      </c>
      <c r="L62" s="39" t="n">
        <f aca="false">IF(G62="","",MIN(1,G62+J62/100))</f>
        <v>0.439323154136385</v>
      </c>
      <c r="M62" s="21" t="n">
        <f aca="false">ROUND(Q62*S62,0)</f>
        <v>9</v>
      </c>
      <c r="N62" s="21" t="n">
        <f aca="false">ROUND(SQRT((F62*J62/100)^2+(G62*M62)^2),0)</f>
        <v>5</v>
      </c>
      <c r="P62" s="41" t="n">
        <v>-11.8838044651803</v>
      </c>
      <c r="Q62" s="42" t="n">
        <v>117.866379101085</v>
      </c>
      <c r="R62" s="43" t="n">
        <f aca="false">MAX(0,MIN(1,P62/100+$D$5))</f>
        <v>0.409817707581374</v>
      </c>
      <c r="S62" s="43" t="n">
        <v>0.0779420971553049</v>
      </c>
      <c r="T62" s="44" t="s">
        <v>90</v>
      </c>
    </row>
    <row r="63" customFormat="false" ht="15" hidden="false" customHeight="false" outlineLevel="0" collapsed="false">
      <c r="A63" s="38" t="s">
        <v>157</v>
      </c>
      <c r="B63" s="38" t="s">
        <v>158</v>
      </c>
      <c r="C63" s="38" t="s">
        <v>158</v>
      </c>
      <c r="D63" s="21" t="n">
        <f aca="false">ROUND(Q63*R63,0)</f>
        <v>562</v>
      </c>
      <c r="E63" s="21" t="n">
        <f aca="false">ROUND(Q63,0)-D63</f>
        <v>559</v>
      </c>
      <c r="F63" s="21" t="n">
        <f aca="false">IF(COUNTA(D63:E63)=0,"",SUM(D63:E63))</f>
        <v>1121</v>
      </c>
      <c r="G63" s="39" t="n">
        <f aca="false">IF(OR(F63="",F63=0),"",D63/F63)</f>
        <v>0.501338090990187</v>
      </c>
      <c r="H63" s="39" t="n">
        <f aca="false">IF(OR(F63="",F63=0),"",E63/F63)</f>
        <v>0.498661909009813</v>
      </c>
      <c r="I63" s="38" t="s">
        <v>89</v>
      </c>
      <c r="J63" s="40" t="n">
        <v>1.85532414445586</v>
      </c>
      <c r="K63" s="39" t="n">
        <f aca="false">IF(G63="","",MAX(0,G63-J63/100))</f>
        <v>0.482784849545629</v>
      </c>
      <c r="L63" s="39" t="n">
        <f aca="false">IF(G63="","",MIN(1,G63+J63/100))</f>
        <v>0.519891332434746</v>
      </c>
      <c r="M63" s="21" t="n">
        <f aca="false">ROUND(Q63*S63,0)</f>
        <v>71</v>
      </c>
      <c r="N63" s="21" t="n">
        <f aca="false">ROUND(SQRT((F63*J63/100)^2+(G63*M63)^2),0)</f>
        <v>41</v>
      </c>
      <c r="P63" s="41" t="n">
        <v>-2.7276192063959</v>
      </c>
      <c r="Q63" s="42" t="n">
        <v>1120.59097229109</v>
      </c>
      <c r="R63" s="43" t="n">
        <f aca="false">MAX(0,MIN(1,P63/100+$D$5))</f>
        <v>0.501379560169218</v>
      </c>
      <c r="S63" s="43" t="n">
        <v>0.0633793435818552</v>
      </c>
      <c r="T63" s="44" t="s">
        <v>99</v>
      </c>
    </row>
    <row r="64" customFormat="false" ht="15" hidden="false" customHeight="false" outlineLevel="0" collapsed="false">
      <c r="A64" s="38" t="s">
        <v>157</v>
      </c>
      <c r="B64" s="38" t="s">
        <v>159</v>
      </c>
      <c r="C64" s="38" t="s">
        <v>160</v>
      </c>
      <c r="D64" s="21" t="n">
        <f aca="false">ROUND(Q64*R64,0)</f>
        <v>233</v>
      </c>
      <c r="E64" s="21" t="n">
        <f aca="false">ROUND(Q64,0)-D64</f>
        <v>74</v>
      </c>
      <c r="F64" s="21" t="n">
        <f aca="false">IF(COUNTA(D64:E64)=0,"",SUM(D64:E64))</f>
        <v>307</v>
      </c>
      <c r="G64" s="39" t="n">
        <f aca="false">IF(OR(F64="",F64=0),"",D64/F64)</f>
        <v>0.758957654723127</v>
      </c>
      <c r="H64" s="39" t="n">
        <f aca="false">IF(OR(F64="",F64=0),"",E64/F64)</f>
        <v>0.241042345276873</v>
      </c>
      <c r="I64" s="38" t="s">
        <v>89</v>
      </c>
      <c r="J64" s="40" t="n">
        <v>3.25434931194355</v>
      </c>
      <c r="K64" s="39" t="n">
        <f aca="false">IF(G64="","",MAX(0,G64-J64/100))</f>
        <v>0.726414161603692</v>
      </c>
      <c r="L64" s="39" t="n">
        <f aca="false">IF(G64="","",MIN(1,G64+J64/100))</f>
        <v>0.791501147842563</v>
      </c>
      <c r="M64" s="21" t="n">
        <f aca="false">ROUND(Q64*S64,0)</f>
        <v>24</v>
      </c>
      <c r="N64" s="21" t="n">
        <f aca="false">ROUND(SQRT((F64*J64/100)^2+(G64*M64)^2),0)</f>
        <v>21</v>
      </c>
      <c r="P64" s="41" t="n">
        <v>23.0938013176114</v>
      </c>
      <c r="Q64" s="42" t="n">
        <v>307.096593692122</v>
      </c>
      <c r="R64" s="43" t="n">
        <f aca="false">MAX(0,MIN(1,P64/100+$D$5))</f>
        <v>0.759593765409291</v>
      </c>
      <c r="S64" s="43" t="n">
        <v>0.0779420971553049</v>
      </c>
      <c r="T64" s="44" t="s">
        <v>90</v>
      </c>
    </row>
    <row r="65" customFormat="false" ht="15" hidden="false" customHeight="false" outlineLevel="0" collapsed="false">
      <c r="A65" s="38" t="s">
        <v>157</v>
      </c>
      <c r="B65" s="38" t="s">
        <v>159</v>
      </c>
      <c r="C65" s="38" t="s">
        <v>161</v>
      </c>
      <c r="D65" s="21" t="n">
        <f aca="false">ROUND(Q65*R65,0)</f>
        <v>128</v>
      </c>
      <c r="E65" s="21" t="n">
        <f aca="false">ROUND(Q65,0)-D65</f>
        <v>54</v>
      </c>
      <c r="F65" s="21" t="n">
        <f aca="false">IF(COUNTA(D65:E65)=0,"",SUM(D65:E65))</f>
        <v>182</v>
      </c>
      <c r="G65" s="39" t="n">
        <f aca="false">IF(OR(F65="",F65=0),"",D65/F65)</f>
        <v>0.703296703296703</v>
      </c>
      <c r="H65" s="39" t="n">
        <f aca="false">IF(OR(F65="",F65=0),"",E65/F65)</f>
        <v>0.296703296703297</v>
      </c>
      <c r="I65" s="38" t="s">
        <v>89</v>
      </c>
      <c r="J65" s="40" t="n">
        <v>3.25434931194355</v>
      </c>
      <c r="K65" s="39" t="n">
        <f aca="false">IF(G65="","",MAX(0,G65-J65/100))</f>
        <v>0.670753210177268</v>
      </c>
      <c r="L65" s="39" t="n">
        <f aca="false">IF(G65="","",MIN(1,G65+J65/100))</f>
        <v>0.735840196416139</v>
      </c>
      <c r="M65" s="21" t="n">
        <f aca="false">ROUND(Q65*S65,0)</f>
        <v>14</v>
      </c>
      <c r="N65" s="21" t="n">
        <f aca="false">ROUND(SQRT((F65*J65/100)^2+(G65*M65)^2),0)</f>
        <v>11</v>
      </c>
      <c r="P65" s="41" t="n">
        <v>17.6036229208544</v>
      </c>
      <c r="Q65" s="42" t="n">
        <v>181.520880005176</v>
      </c>
      <c r="R65" s="43" t="n">
        <f aca="false">MAX(0,MIN(1,P65/100+$D$5))</f>
        <v>0.70469198144172</v>
      </c>
      <c r="S65" s="43" t="n">
        <v>0.0779420971553049</v>
      </c>
      <c r="T65" s="44" t="s">
        <v>90</v>
      </c>
    </row>
    <row r="66" customFormat="false" ht="15" hidden="false" customHeight="false" outlineLevel="0" collapsed="false">
      <c r="A66" s="38" t="s">
        <v>157</v>
      </c>
      <c r="B66" s="38" t="s">
        <v>159</v>
      </c>
      <c r="C66" s="38" t="s">
        <v>162</v>
      </c>
      <c r="D66" s="21" t="n">
        <f aca="false">ROUND(Q66*R66,0)</f>
        <v>154</v>
      </c>
      <c r="E66" s="21" t="n">
        <f aca="false">ROUND(Q66,0)-D66</f>
        <v>55</v>
      </c>
      <c r="F66" s="21" t="n">
        <f aca="false">IF(COUNTA(D66:E66)=0,"",SUM(D66:E66))</f>
        <v>209</v>
      </c>
      <c r="G66" s="39" t="n">
        <f aca="false">IF(OR(F66="",F66=0),"",D66/F66)</f>
        <v>0.736842105263158</v>
      </c>
      <c r="H66" s="39" t="n">
        <f aca="false">IF(OR(F66="",F66=0),"",E66/F66)</f>
        <v>0.263157894736842</v>
      </c>
      <c r="I66" s="38" t="s">
        <v>89</v>
      </c>
      <c r="J66" s="40" t="n">
        <v>3.25434931194355</v>
      </c>
      <c r="K66" s="39" t="n">
        <f aca="false">IF(G66="","",MAX(0,G66-J66/100))</f>
        <v>0.704298612143722</v>
      </c>
      <c r="L66" s="39" t="n">
        <f aca="false">IF(G66="","",MIN(1,G66+J66/100))</f>
        <v>0.769385598382593</v>
      </c>
      <c r="M66" s="21" t="n">
        <f aca="false">ROUND(Q66*S66,0)</f>
        <v>16</v>
      </c>
      <c r="N66" s="21" t="n">
        <f aca="false">ROUND(SQRT((F66*J66/100)^2+(G66*M66)^2),0)</f>
        <v>14</v>
      </c>
      <c r="P66" s="41" t="n">
        <v>20.8786698262124</v>
      </c>
      <c r="Q66" s="42" t="n">
        <v>209.260898971044</v>
      </c>
      <c r="R66" s="43" t="n">
        <f aca="false">MAX(0,MIN(1,P66/100+$D$5))</f>
        <v>0.737442450495301</v>
      </c>
      <c r="S66" s="43" t="n">
        <v>0.0779420971553049</v>
      </c>
      <c r="T66" s="44" t="s">
        <v>90</v>
      </c>
    </row>
    <row r="67" customFormat="false" ht="15" hidden="false" customHeight="false" outlineLevel="0" collapsed="false">
      <c r="A67" s="38" t="s">
        <v>157</v>
      </c>
      <c r="B67" s="38" t="s">
        <v>159</v>
      </c>
      <c r="C67" s="38" t="s">
        <v>163</v>
      </c>
      <c r="D67" s="21" t="n">
        <f aca="false">ROUND(Q67*R67,0)</f>
        <v>154</v>
      </c>
      <c r="E67" s="21" t="n">
        <f aca="false">ROUND(Q67,0)-D67</f>
        <v>61</v>
      </c>
      <c r="F67" s="21" t="n">
        <f aca="false">IF(COUNTA(D67:E67)=0,"",SUM(D67:E67))</f>
        <v>215</v>
      </c>
      <c r="G67" s="39" t="n">
        <f aca="false">IF(OR(F67="",F67=0),"",D67/F67)</f>
        <v>0.716279069767442</v>
      </c>
      <c r="H67" s="39" t="n">
        <f aca="false">IF(OR(F67="",F67=0),"",E67/F67)</f>
        <v>0.283720930232558</v>
      </c>
      <c r="I67" s="38" t="s">
        <v>89</v>
      </c>
      <c r="J67" s="40" t="n">
        <v>3.25434931194355</v>
      </c>
      <c r="K67" s="39" t="n">
        <f aca="false">IF(G67="","",MAX(0,G67-J67/100))</f>
        <v>0.683735576648006</v>
      </c>
      <c r="L67" s="39" t="n">
        <f aca="false">IF(G67="","",MIN(1,G67+J67/100))</f>
        <v>0.748822562886877</v>
      </c>
      <c r="M67" s="21" t="n">
        <f aca="false">ROUND(Q67*S67,0)</f>
        <v>17</v>
      </c>
      <c r="N67" s="21" t="n">
        <f aca="false">ROUND(SQRT((F67*J67/100)^2+(G67*M67)^2),0)</f>
        <v>14</v>
      </c>
      <c r="P67" s="41" t="n">
        <v>18.8574450397064</v>
      </c>
      <c r="Q67" s="42" t="n">
        <v>214.645853667824</v>
      </c>
      <c r="R67" s="43" t="n">
        <f aca="false">MAX(0,MIN(1,P67/100+$D$5))</f>
        <v>0.71723020263024</v>
      </c>
      <c r="S67" s="43" t="n">
        <v>0.0779420971553049</v>
      </c>
      <c r="T67" s="44" t="s">
        <v>90</v>
      </c>
    </row>
    <row r="68" customFormat="false" ht="15" hidden="false" customHeight="false" outlineLevel="0" collapsed="false">
      <c r="A68" s="38" t="s">
        <v>157</v>
      </c>
      <c r="B68" s="38" t="s">
        <v>159</v>
      </c>
      <c r="C68" s="38" t="s">
        <v>164</v>
      </c>
      <c r="D68" s="21" t="n">
        <f aca="false">ROUND(Q68*R68,0)</f>
        <v>154</v>
      </c>
      <c r="E68" s="21" t="n">
        <f aca="false">ROUND(Q68,0)-D68</f>
        <v>44</v>
      </c>
      <c r="F68" s="21" t="n">
        <f aca="false">IF(COUNTA(D68:E68)=0,"",SUM(D68:E68))</f>
        <v>198</v>
      </c>
      <c r="G68" s="39" t="n">
        <f aca="false">IF(OR(F68="",F68=0),"",D68/F68)</f>
        <v>0.777777777777778</v>
      </c>
      <c r="H68" s="39" t="n">
        <f aca="false">IF(OR(F68="",F68=0),"",E68/F68)</f>
        <v>0.222222222222222</v>
      </c>
      <c r="I68" s="38" t="s">
        <v>89</v>
      </c>
      <c r="J68" s="40" t="n">
        <v>3.25434931194355</v>
      </c>
      <c r="K68" s="39" t="n">
        <f aca="false">IF(G68="","",MAX(0,G68-J68/100))</f>
        <v>0.745234284658342</v>
      </c>
      <c r="L68" s="39" t="n">
        <f aca="false">IF(G68="","",MIN(1,G68+J68/100))</f>
        <v>0.810321270897213</v>
      </c>
      <c r="M68" s="21" t="n">
        <f aca="false">ROUND(Q68*S68,0)</f>
        <v>15</v>
      </c>
      <c r="N68" s="21" t="n">
        <f aca="false">ROUND(SQRT((F68*J68/100)^2+(G68*M68)^2),0)</f>
        <v>13</v>
      </c>
      <c r="P68" s="41" t="n">
        <v>24.9376042489871</v>
      </c>
      <c r="Q68" s="42" t="n">
        <v>197.764494839311</v>
      </c>
      <c r="R68" s="43" t="n">
        <f aca="false">MAX(0,MIN(1,P68/100+$D$5))</f>
        <v>0.778031794723047</v>
      </c>
      <c r="S68" s="43" t="n">
        <v>0.0779420971553049</v>
      </c>
      <c r="T68" s="44" t="s">
        <v>90</v>
      </c>
    </row>
    <row r="69" customFormat="false" ht="15" hidden="false" customHeight="false" outlineLevel="0" collapsed="false">
      <c r="A69" s="38" t="s">
        <v>157</v>
      </c>
      <c r="B69" s="38" t="s">
        <v>159</v>
      </c>
      <c r="C69" s="38" t="s">
        <v>165</v>
      </c>
      <c r="D69" s="21" t="n">
        <f aca="false">ROUND(Q69*R69,0)</f>
        <v>244</v>
      </c>
      <c r="E69" s="21" t="n">
        <f aca="false">ROUND(Q69,0)-D69</f>
        <v>94</v>
      </c>
      <c r="F69" s="21" t="n">
        <f aca="false">IF(COUNTA(D69:E69)=0,"",SUM(D69:E69))</f>
        <v>338</v>
      </c>
      <c r="G69" s="39" t="n">
        <f aca="false">IF(OR(F69="",F69=0),"",D69/F69)</f>
        <v>0.72189349112426</v>
      </c>
      <c r="H69" s="39" t="n">
        <f aca="false">IF(OR(F69="",F69=0),"",E69/F69)</f>
        <v>0.27810650887574</v>
      </c>
      <c r="I69" s="38" t="s">
        <v>89</v>
      </c>
      <c r="J69" s="40" t="n">
        <v>3.25434931194355</v>
      </c>
      <c r="K69" s="39" t="n">
        <f aca="false">IF(G69="","",MAX(0,G69-J69/100))</f>
        <v>0.689349998004825</v>
      </c>
      <c r="L69" s="39" t="n">
        <f aca="false">IF(G69="","",MIN(1,G69+J69/100))</f>
        <v>0.754436984243696</v>
      </c>
      <c r="M69" s="21" t="n">
        <f aca="false">ROUND(Q69*S69,0)</f>
        <v>26</v>
      </c>
      <c r="N69" s="21" t="n">
        <f aca="false">ROUND(SQRT((F69*J69/100)^2+(G69*M69)^2),0)</f>
        <v>22</v>
      </c>
      <c r="P69" s="41" t="n">
        <v>19.4769148011744</v>
      </c>
      <c r="Q69" s="42" t="n">
        <v>337.847271274078</v>
      </c>
      <c r="R69" s="43" t="n">
        <f aca="false">MAX(0,MIN(1,P69/100+$D$5))</f>
        <v>0.723424900244921</v>
      </c>
      <c r="S69" s="43" t="n">
        <v>0.0779420971553049</v>
      </c>
      <c r="T69" s="44" t="s">
        <v>90</v>
      </c>
    </row>
    <row r="70" customFormat="false" ht="15" hidden="false" customHeight="false" outlineLevel="0" collapsed="false">
      <c r="A70" s="38" t="s">
        <v>157</v>
      </c>
      <c r="B70" s="38" t="s">
        <v>159</v>
      </c>
      <c r="C70" s="38" t="s">
        <v>166</v>
      </c>
      <c r="D70" s="21" t="n">
        <f aca="false">ROUND(Q70*R70,0)</f>
        <v>590</v>
      </c>
      <c r="E70" s="21" t="n">
        <f aca="false">ROUND(Q70,0)-D70</f>
        <v>143</v>
      </c>
      <c r="F70" s="21" t="n">
        <f aca="false">IF(COUNTA(D70:E70)=0,"",SUM(D70:E70))</f>
        <v>733</v>
      </c>
      <c r="G70" s="39" t="n">
        <f aca="false">IF(OR(F70="",F70=0),"",D70/F70)</f>
        <v>0.804911323328786</v>
      </c>
      <c r="H70" s="39" t="n">
        <f aca="false">IF(OR(F70="",F70=0),"",E70/F70)</f>
        <v>0.195088676671214</v>
      </c>
      <c r="I70" s="38" t="s">
        <v>89</v>
      </c>
      <c r="J70" s="40" t="n">
        <v>3.25434931194355</v>
      </c>
      <c r="K70" s="39" t="n">
        <f aca="false">IF(G70="","",MAX(0,G70-J70/100))</f>
        <v>0.77236783020935</v>
      </c>
      <c r="L70" s="39" t="n">
        <f aca="false">IF(G70="","",MIN(1,G70+J70/100))</f>
        <v>0.837454816448221</v>
      </c>
      <c r="M70" s="21" t="n">
        <f aca="false">ROUND(Q70*S70,0)</f>
        <v>57</v>
      </c>
      <c r="N70" s="21" t="n">
        <f aca="false">ROUND(SQRT((F70*J70/100)^2+(G70*M70)^2),0)</f>
        <v>52</v>
      </c>
      <c r="P70" s="41" t="n">
        <v>27.5320852559427</v>
      </c>
      <c r="Q70" s="42" t="n">
        <v>733.401873156163</v>
      </c>
      <c r="R70" s="43" t="n">
        <f aca="false">MAX(0,MIN(1,P70/100+$D$5))</f>
        <v>0.803976604792604</v>
      </c>
      <c r="S70" s="43" t="n">
        <v>0.0779420971553049</v>
      </c>
      <c r="T70" s="44" t="s">
        <v>90</v>
      </c>
    </row>
    <row r="71" customFormat="false" ht="15" hidden="false" customHeight="false" outlineLevel="0" collapsed="false">
      <c r="A71" s="38" t="s">
        <v>157</v>
      </c>
      <c r="B71" s="38" t="s">
        <v>159</v>
      </c>
      <c r="C71" s="38" t="s">
        <v>167</v>
      </c>
      <c r="D71" s="21" t="n">
        <f aca="false">ROUND(Q71*R71,0)</f>
        <v>293</v>
      </c>
      <c r="E71" s="21" t="n">
        <f aca="false">ROUND(Q71,0)-D71</f>
        <v>130</v>
      </c>
      <c r="F71" s="21" t="n">
        <f aca="false">IF(COUNTA(D71:E71)=0,"",SUM(D71:E71))</f>
        <v>423</v>
      </c>
      <c r="G71" s="39" t="n">
        <f aca="false">IF(OR(F71="",F71=0),"",D71/F71)</f>
        <v>0.692671394799054</v>
      </c>
      <c r="H71" s="39" t="n">
        <f aca="false">IF(OR(F71="",F71=0),"",E71/F71)</f>
        <v>0.307328605200946</v>
      </c>
      <c r="I71" s="38" t="s">
        <v>89</v>
      </c>
      <c r="J71" s="40" t="n">
        <v>3.25434931194355</v>
      </c>
      <c r="K71" s="39" t="n">
        <f aca="false">IF(G71="","",MAX(0,G71-J71/100))</f>
        <v>0.660127901679619</v>
      </c>
      <c r="L71" s="39" t="n">
        <f aca="false">IF(G71="","",MIN(1,G71+J71/100))</f>
        <v>0.72521488791849</v>
      </c>
      <c r="M71" s="21" t="n">
        <f aca="false">ROUND(Q71*S71,0)</f>
        <v>33</v>
      </c>
      <c r="N71" s="21" t="n">
        <f aca="false">ROUND(SQRT((F71*J71/100)^2+(G71*M71)^2),0)</f>
        <v>27</v>
      </c>
      <c r="P71" s="41" t="n">
        <v>16.4710572658394</v>
      </c>
      <c r="Q71" s="42" t="n">
        <v>422.827915884272</v>
      </c>
      <c r="R71" s="43" t="n">
        <f aca="false">MAX(0,MIN(1,P71/100+$D$5))</f>
        <v>0.69336632489157</v>
      </c>
      <c r="S71" s="43" t="n">
        <v>0.0779420971553049</v>
      </c>
      <c r="T71" s="44" t="s">
        <v>90</v>
      </c>
    </row>
    <row r="72" customFormat="false" ht="15" hidden="false" customHeight="false" outlineLevel="0" collapsed="false">
      <c r="A72" s="38" t="s">
        <v>157</v>
      </c>
      <c r="B72" s="38" t="s">
        <v>159</v>
      </c>
      <c r="C72" s="38" t="s">
        <v>168</v>
      </c>
      <c r="D72" s="21" t="n">
        <f aca="false">ROUND(Q72*R72,0)</f>
        <v>486</v>
      </c>
      <c r="E72" s="21" t="n">
        <f aca="false">ROUND(Q72,0)-D72</f>
        <v>264</v>
      </c>
      <c r="F72" s="21" t="n">
        <f aca="false">IF(COUNTA(D72:E72)=0,"",SUM(D72:E72))</f>
        <v>750</v>
      </c>
      <c r="G72" s="39" t="n">
        <f aca="false">IF(OR(F72="",F72=0),"",D72/F72)</f>
        <v>0.648</v>
      </c>
      <c r="H72" s="39" t="n">
        <f aca="false">IF(OR(F72="",F72=0),"",E72/F72)</f>
        <v>0.352</v>
      </c>
      <c r="I72" s="38" t="s">
        <v>89</v>
      </c>
      <c r="J72" s="40" t="n">
        <v>3.25434931194355</v>
      </c>
      <c r="K72" s="39" t="n">
        <f aca="false">IF(G72="","",MAX(0,G72-J72/100))</f>
        <v>0.615456506880565</v>
      </c>
      <c r="L72" s="39" t="n">
        <f aca="false">IF(G72="","",MIN(1,G72+J72/100))</f>
        <v>0.680543493119436</v>
      </c>
      <c r="M72" s="21" t="n">
        <f aca="false">ROUND(Q72*S72,0)</f>
        <v>58</v>
      </c>
      <c r="N72" s="21" t="n">
        <f aca="false">ROUND(SQRT((F72*J72/100)^2+(G72*M72)^2),0)</f>
        <v>45</v>
      </c>
      <c r="P72" s="41" t="n">
        <v>11.9311121801602</v>
      </c>
      <c r="Q72" s="42" t="n">
        <v>749.994502850902</v>
      </c>
      <c r="R72" s="43" t="n">
        <f aca="false">MAX(0,MIN(1,P72/100+$D$5))</f>
        <v>0.647966874034778</v>
      </c>
      <c r="S72" s="43" t="n">
        <v>0.0779420971553049</v>
      </c>
      <c r="T72" s="44" t="s">
        <v>90</v>
      </c>
    </row>
    <row r="73" customFormat="false" ht="15" hidden="false" customHeight="false" outlineLevel="0" collapsed="false">
      <c r="A73" s="38" t="s">
        <v>157</v>
      </c>
      <c r="B73" s="38" t="s">
        <v>159</v>
      </c>
      <c r="C73" s="38" t="s">
        <v>169</v>
      </c>
      <c r="D73" s="21" t="n">
        <f aca="false">ROUND(Q73*R73,0)</f>
        <v>381</v>
      </c>
      <c r="E73" s="21" t="n">
        <f aca="false">ROUND(Q73,0)-D73</f>
        <v>189</v>
      </c>
      <c r="F73" s="21" t="n">
        <f aca="false">IF(COUNTA(D73:E73)=0,"",SUM(D73:E73))</f>
        <v>570</v>
      </c>
      <c r="G73" s="39" t="n">
        <f aca="false">IF(OR(F73="",F73=0),"",D73/F73)</f>
        <v>0.668421052631579</v>
      </c>
      <c r="H73" s="39" t="n">
        <f aca="false">IF(OR(F73="",F73=0),"",E73/F73)</f>
        <v>0.331578947368421</v>
      </c>
      <c r="I73" s="38" t="s">
        <v>89</v>
      </c>
      <c r="J73" s="40" t="n">
        <v>3.25434931194355</v>
      </c>
      <c r="K73" s="39" t="n">
        <f aca="false">IF(G73="","",MAX(0,G73-J73/100))</f>
        <v>0.635877559512143</v>
      </c>
      <c r="L73" s="39" t="n">
        <f aca="false">IF(G73="","",MIN(1,G73+J73/100))</f>
        <v>0.700964545751014</v>
      </c>
      <c r="M73" s="21" t="n">
        <f aca="false">ROUND(Q73*S73,0)</f>
        <v>44</v>
      </c>
      <c r="N73" s="21" t="n">
        <f aca="false">ROUND(SQRT((F73*J73/100)^2+(G73*M73)^2),0)</f>
        <v>35</v>
      </c>
      <c r="P73" s="41" t="n">
        <v>14.0140353381849</v>
      </c>
      <c r="Q73" s="42" t="n">
        <v>570.228918804456</v>
      </c>
      <c r="R73" s="43" t="n">
        <f aca="false">MAX(0,MIN(1,P73/100+$D$5))</f>
        <v>0.668796105615026</v>
      </c>
      <c r="S73" s="43" t="n">
        <v>0.0779420971553049</v>
      </c>
      <c r="T73" s="44" t="s">
        <v>90</v>
      </c>
    </row>
    <row r="74" customFormat="false" ht="15" hidden="false" customHeight="false" outlineLevel="0" collapsed="false">
      <c r="A74" s="38" t="s">
        <v>157</v>
      </c>
      <c r="B74" s="38" t="s">
        <v>159</v>
      </c>
      <c r="C74" s="38" t="s">
        <v>170</v>
      </c>
      <c r="D74" s="21" t="n">
        <f aca="false">ROUND(Q74*R74,0)</f>
        <v>252</v>
      </c>
      <c r="E74" s="21" t="n">
        <f aca="false">ROUND(Q74,0)-D74</f>
        <v>98</v>
      </c>
      <c r="F74" s="21" t="n">
        <f aca="false">IF(COUNTA(D74:E74)=0,"",SUM(D74:E74))</f>
        <v>350</v>
      </c>
      <c r="G74" s="39" t="n">
        <f aca="false">IF(OR(F74="",F74=0),"",D74/F74)</f>
        <v>0.72</v>
      </c>
      <c r="H74" s="39" t="n">
        <f aca="false">IF(OR(F74="",F74=0),"",E74/F74)</f>
        <v>0.28</v>
      </c>
      <c r="I74" s="38" t="s">
        <v>89</v>
      </c>
      <c r="J74" s="40" t="n">
        <v>3.25434931194355</v>
      </c>
      <c r="K74" s="39" t="n">
        <f aca="false">IF(G74="","",MAX(0,G74-J74/100))</f>
        <v>0.687456506880565</v>
      </c>
      <c r="L74" s="39" t="n">
        <f aca="false">IF(G74="","",MIN(1,G74+J74/100))</f>
        <v>0.752543493119436</v>
      </c>
      <c r="M74" s="21" t="n">
        <f aca="false">ROUND(Q74*S74,0)</f>
        <v>27</v>
      </c>
      <c r="N74" s="21" t="n">
        <f aca="false">ROUND(SQRT((F74*J74/100)^2+(G74*M74)^2),0)</f>
        <v>23</v>
      </c>
      <c r="P74" s="41" t="n">
        <v>19.0826162903993</v>
      </c>
      <c r="Q74" s="42" t="n">
        <v>350.345736269054</v>
      </c>
      <c r="R74" s="43" t="n">
        <f aca="false">MAX(0,MIN(1,P74/100+$D$5))</f>
        <v>0.71948191513717</v>
      </c>
      <c r="S74" s="43" t="n">
        <v>0.0779420971553049</v>
      </c>
      <c r="T74" s="44" t="s">
        <v>90</v>
      </c>
    </row>
    <row r="75" customFormat="false" ht="15" hidden="false" customHeight="false" outlineLevel="0" collapsed="false">
      <c r="A75" s="38" t="s">
        <v>157</v>
      </c>
      <c r="B75" s="38" t="s">
        <v>159</v>
      </c>
      <c r="C75" s="38" t="s">
        <v>171</v>
      </c>
      <c r="D75" s="21" t="n">
        <f aca="false">ROUND(Q75*R75,0)</f>
        <v>317</v>
      </c>
      <c r="E75" s="21" t="n">
        <f aca="false">ROUND(Q75,0)-D75</f>
        <v>156</v>
      </c>
      <c r="F75" s="21" t="n">
        <f aca="false">IF(COUNTA(D75:E75)=0,"",SUM(D75:E75))</f>
        <v>473</v>
      </c>
      <c r="G75" s="39" t="n">
        <f aca="false">IF(OR(F75="",F75=0),"",D75/F75)</f>
        <v>0.670190274841438</v>
      </c>
      <c r="H75" s="39" t="n">
        <f aca="false">IF(OR(F75="",F75=0),"",E75/F75)</f>
        <v>0.329809725158562</v>
      </c>
      <c r="I75" s="38" t="s">
        <v>89</v>
      </c>
      <c r="J75" s="40" t="n">
        <v>3.25434931194355</v>
      </c>
      <c r="K75" s="39" t="n">
        <f aca="false">IF(G75="","",MAX(0,G75-J75/100))</f>
        <v>0.637646781722002</v>
      </c>
      <c r="L75" s="39" t="n">
        <f aca="false">IF(G75="","",MIN(1,G75+J75/100))</f>
        <v>0.702733767960873</v>
      </c>
      <c r="M75" s="21" t="n">
        <f aca="false">ROUND(Q75*S75,0)</f>
        <v>37</v>
      </c>
      <c r="N75" s="21" t="n">
        <f aca="false">ROUND(SQRT((F75*J75/100)^2+(G75*M75)^2),0)</f>
        <v>29</v>
      </c>
      <c r="P75" s="41" t="n">
        <v>14.1914885749348</v>
      </c>
      <c r="Q75" s="42" t="n">
        <v>473.291574245564</v>
      </c>
      <c r="R75" s="43" t="n">
        <f aca="false">MAX(0,MIN(1,P75/100+$D$5))</f>
        <v>0.670570637982524</v>
      </c>
      <c r="S75" s="43" t="n">
        <v>0.0779420971553049</v>
      </c>
      <c r="T75" s="44" t="s">
        <v>90</v>
      </c>
    </row>
    <row r="76" customFormat="false" ht="15" hidden="false" customHeight="false" outlineLevel="0" collapsed="false">
      <c r="A76" s="38" t="s">
        <v>157</v>
      </c>
      <c r="B76" s="38" t="s">
        <v>159</v>
      </c>
      <c r="C76" s="38" t="s">
        <v>172</v>
      </c>
      <c r="D76" s="21" t="n">
        <f aca="false">ROUND(Q76*R76,0)</f>
        <v>387</v>
      </c>
      <c r="E76" s="21" t="n">
        <f aca="false">ROUND(Q76,0)-D76</f>
        <v>196</v>
      </c>
      <c r="F76" s="21" t="n">
        <f aca="false">IF(COUNTA(D76:E76)=0,"",SUM(D76:E76))</f>
        <v>583</v>
      </c>
      <c r="G76" s="39" t="n">
        <f aca="false">IF(OR(F76="",F76=0),"",D76/F76)</f>
        <v>0.663807890222985</v>
      </c>
      <c r="H76" s="39" t="n">
        <f aca="false">IF(OR(F76="",F76=0),"",E76/F76)</f>
        <v>0.336192109777015</v>
      </c>
      <c r="I76" s="38" t="s">
        <v>89</v>
      </c>
      <c r="J76" s="40" t="n">
        <v>3.25434931194355</v>
      </c>
      <c r="K76" s="39" t="n">
        <f aca="false">IF(G76="","",MAX(0,G76-J76/100))</f>
        <v>0.631264397103549</v>
      </c>
      <c r="L76" s="39" t="n">
        <f aca="false">IF(G76="","",MIN(1,G76+J76/100))</f>
        <v>0.69635138334242</v>
      </c>
      <c r="M76" s="21" t="n">
        <f aca="false">ROUND(Q76*S76,0)</f>
        <v>45</v>
      </c>
      <c r="N76" s="21" t="n">
        <f aca="false">ROUND(SQRT((F76*J76/100)^2+(G76*M76)^2),0)</f>
        <v>35</v>
      </c>
      <c r="P76" s="41" t="n">
        <v>13.57697250652</v>
      </c>
      <c r="Q76" s="42" t="n">
        <v>582.906972101252</v>
      </c>
      <c r="R76" s="43" t="n">
        <f aca="false">MAX(0,MIN(1,P76/100+$D$5))</f>
        <v>0.664425477298376</v>
      </c>
      <c r="S76" s="43" t="n">
        <v>0.0779420971553049</v>
      </c>
      <c r="T76" s="44" t="s">
        <v>90</v>
      </c>
    </row>
    <row r="77" customFormat="false" ht="15" hidden="false" customHeight="false" outlineLevel="0" collapsed="false">
      <c r="A77" s="38" t="s">
        <v>157</v>
      </c>
      <c r="B77" s="38" t="s">
        <v>159</v>
      </c>
      <c r="C77" s="38" t="s">
        <v>173</v>
      </c>
      <c r="D77" s="21" t="n">
        <f aca="false">ROUND(Q77*R77,0)</f>
        <v>374</v>
      </c>
      <c r="E77" s="21" t="n">
        <f aca="false">ROUND(Q77,0)-D77</f>
        <v>238</v>
      </c>
      <c r="F77" s="21" t="n">
        <f aca="false">IF(COUNTA(D77:E77)=0,"",SUM(D77:E77))</f>
        <v>612</v>
      </c>
      <c r="G77" s="39" t="n">
        <f aca="false">IF(OR(F77="",F77=0),"",D77/F77)</f>
        <v>0.611111111111111</v>
      </c>
      <c r="H77" s="39" t="n">
        <f aca="false">IF(OR(F77="",F77=0),"",E77/F77)</f>
        <v>0.388888888888889</v>
      </c>
      <c r="I77" s="38" t="s">
        <v>89</v>
      </c>
      <c r="J77" s="40" t="n">
        <v>3.25434931194355</v>
      </c>
      <c r="K77" s="39" t="n">
        <f aca="false">IF(G77="","",MAX(0,G77-J77/100))</f>
        <v>0.578567617991676</v>
      </c>
      <c r="L77" s="39" t="n">
        <f aca="false">IF(G77="","",MIN(1,G77+J77/100))</f>
        <v>0.643654604230547</v>
      </c>
      <c r="M77" s="21" t="n">
        <f aca="false">ROUND(Q77*S77,0)</f>
        <v>48</v>
      </c>
      <c r="N77" s="21" t="n">
        <f aca="false">ROUND(SQRT((F77*J77/100)^2+(G77*M77)^2),0)</f>
        <v>35</v>
      </c>
      <c r="P77" s="41" t="n">
        <v>8.22612273631532</v>
      </c>
      <c r="Q77" s="42" t="n">
        <v>612.486185651987</v>
      </c>
      <c r="R77" s="43" t="n">
        <f aca="false">MAX(0,MIN(1,P77/100+$D$5))</f>
        <v>0.61091697959633</v>
      </c>
      <c r="S77" s="43" t="n">
        <v>0.0779420971553049</v>
      </c>
      <c r="T77" s="44" t="s">
        <v>90</v>
      </c>
    </row>
    <row r="78" customFormat="false" ht="15" hidden="false" customHeight="false" outlineLevel="0" collapsed="false">
      <c r="A78" s="38" t="s">
        <v>157</v>
      </c>
      <c r="B78" s="38" t="s">
        <v>159</v>
      </c>
      <c r="C78" s="38" t="s">
        <v>174</v>
      </c>
      <c r="D78" s="21" t="n">
        <f aca="false">ROUND(Q78*R78,0)</f>
        <v>285</v>
      </c>
      <c r="E78" s="21" t="n">
        <f aca="false">ROUND(Q78,0)-D78</f>
        <v>156</v>
      </c>
      <c r="F78" s="21" t="n">
        <f aca="false">IF(COUNTA(D78:E78)=0,"",SUM(D78:E78))</f>
        <v>441</v>
      </c>
      <c r="G78" s="39" t="n">
        <f aca="false">IF(OR(F78="",F78=0),"",D78/F78)</f>
        <v>0.646258503401361</v>
      </c>
      <c r="H78" s="39" t="n">
        <f aca="false">IF(OR(F78="",F78=0),"",E78/F78)</f>
        <v>0.353741496598639</v>
      </c>
      <c r="I78" s="38" t="s">
        <v>89</v>
      </c>
      <c r="J78" s="40" t="n">
        <v>3.25434931194355</v>
      </c>
      <c r="K78" s="39" t="n">
        <f aca="false">IF(G78="","",MAX(0,G78-J78/100))</f>
        <v>0.613715010281925</v>
      </c>
      <c r="L78" s="39" t="n">
        <f aca="false">IF(G78="","",MIN(1,G78+J78/100))</f>
        <v>0.678801996520796</v>
      </c>
      <c r="M78" s="21" t="n">
        <f aca="false">ROUND(Q78*S78,0)</f>
        <v>34</v>
      </c>
      <c r="N78" s="21" t="n">
        <f aca="false">ROUND(SQRT((F78*J78/100)^2+(G78*M78)^2),0)</f>
        <v>26</v>
      </c>
      <c r="P78" s="41" t="n">
        <v>11.6832135162946</v>
      </c>
      <c r="Q78" s="42" t="n">
        <v>441.161052727093</v>
      </c>
      <c r="R78" s="43" t="n">
        <f aca="false">MAX(0,MIN(1,P78/100+$D$5))</f>
        <v>0.645487887396122</v>
      </c>
      <c r="S78" s="43" t="n">
        <v>0.0779420971553049</v>
      </c>
      <c r="T78" s="44" t="s">
        <v>90</v>
      </c>
    </row>
    <row r="79" customFormat="false" ht="15" hidden="false" customHeight="false" outlineLevel="0" collapsed="false">
      <c r="A79" s="38" t="s">
        <v>157</v>
      </c>
      <c r="B79" s="38" t="s">
        <v>159</v>
      </c>
      <c r="C79" s="38" t="s">
        <v>175</v>
      </c>
      <c r="D79" s="21" t="n">
        <f aca="false">ROUND(Q79*R79,0)</f>
        <v>253</v>
      </c>
      <c r="E79" s="21" t="n">
        <f aca="false">ROUND(Q79,0)-D79</f>
        <v>94</v>
      </c>
      <c r="F79" s="21" t="n">
        <f aca="false">IF(COUNTA(D79:E79)=0,"",SUM(D79:E79))</f>
        <v>347</v>
      </c>
      <c r="G79" s="39" t="n">
        <f aca="false">IF(OR(F79="",F79=0),"",D79/F79)</f>
        <v>0.729106628242075</v>
      </c>
      <c r="H79" s="39" t="n">
        <f aca="false">IF(OR(F79="",F79=0),"",E79/F79)</f>
        <v>0.270893371757925</v>
      </c>
      <c r="I79" s="38" t="s">
        <v>89</v>
      </c>
      <c r="J79" s="40" t="n">
        <v>3.25434931194355</v>
      </c>
      <c r="K79" s="39" t="n">
        <f aca="false">IF(G79="","",MAX(0,G79-J79/100))</f>
        <v>0.69656313512264</v>
      </c>
      <c r="L79" s="39" t="n">
        <f aca="false">IF(G79="","",MIN(1,G79+J79/100))</f>
        <v>0.76165012136151</v>
      </c>
      <c r="M79" s="21" t="n">
        <f aca="false">ROUND(Q79*S79,0)</f>
        <v>27</v>
      </c>
      <c r="N79" s="21" t="n">
        <f aca="false">ROUND(SQRT((F79*J79/100)^2+(G79*M79)^2),0)</f>
        <v>23</v>
      </c>
      <c r="P79" s="41" t="n">
        <v>19.9719535824459</v>
      </c>
      <c r="Q79" s="42" t="n">
        <v>347.284163089726</v>
      </c>
      <c r="R79" s="43" t="n">
        <f aca="false">MAX(0,MIN(1,P79/100+$D$5))</f>
        <v>0.728375288057635</v>
      </c>
      <c r="S79" s="43" t="n">
        <v>0.0779420971553049</v>
      </c>
      <c r="T79" s="44" t="s">
        <v>90</v>
      </c>
    </row>
    <row r="80" customFormat="false" ht="15" hidden="false" customHeight="false" outlineLevel="0" collapsed="false">
      <c r="A80" s="38" t="s">
        <v>157</v>
      </c>
      <c r="B80" s="38" t="s">
        <v>159</v>
      </c>
      <c r="C80" s="38" t="s">
        <v>176</v>
      </c>
      <c r="D80" s="21" t="n">
        <f aca="false">ROUND(Q80*R80,0)</f>
        <v>196</v>
      </c>
      <c r="E80" s="21" t="n">
        <f aca="false">ROUND(Q80,0)-D80</f>
        <v>91</v>
      </c>
      <c r="F80" s="21" t="n">
        <f aca="false">IF(COUNTA(D80:E80)=0,"",SUM(D80:E80))</f>
        <v>287</v>
      </c>
      <c r="G80" s="39" t="n">
        <f aca="false">IF(OR(F80="",F80=0),"",D80/F80)</f>
        <v>0.682926829268293</v>
      </c>
      <c r="H80" s="39" t="n">
        <f aca="false">IF(OR(F80="",F80=0),"",E80/F80)</f>
        <v>0.317073170731707</v>
      </c>
      <c r="I80" s="38" t="s">
        <v>89</v>
      </c>
      <c r="J80" s="40" t="n">
        <v>3.25434931194355</v>
      </c>
      <c r="K80" s="39" t="n">
        <f aca="false">IF(G80="","",MAX(0,G80-J80/100))</f>
        <v>0.650383336148857</v>
      </c>
      <c r="L80" s="39" t="n">
        <f aca="false">IF(G80="","",MIN(1,G80+J80/100))</f>
        <v>0.715470322387728</v>
      </c>
      <c r="M80" s="21" t="n">
        <f aca="false">ROUND(Q80*S80,0)</f>
        <v>22</v>
      </c>
      <c r="N80" s="21" t="n">
        <f aca="false">ROUND(SQRT((F80*J80/100)^2+(G80*M80)^2),0)</f>
        <v>18</v>
      </c>
      <c r="P80" s="41" t="n">
        <v>15.383471462799</v>
      </c>
      <c r="Q80" s="42" t="n">
        <v>286.820041327067</v>
      </c>
      <c r="R80" s="43" t="n">
        <f aca="false">MAX(0,MIN(1,P80/100+$D$5))</f>
        <v>0.682490466861167</v>
      </c>
      <c r="S80" s="43" t="n">
        <v>0.0779420971553049</v>
      </c>
      <c r="T80" s="44" t="s">
        <v>90</v>
      </c>
    </row>
    <row r="81" customFormat="false" ht="15" hidden="false" customHeight="false" outlineLevel="0" collapsed="false">
      <c r="A81" s="38" t="s">
        <v>157</v>
      </c>
      <c r="B81" s="38" t="s">
        <v>159</v>
      </c>
      <c r="C81" s="38" t="s">
        <v>177</v>
      </c>
      <c r="D81" s="21" t="n">
        <f aca="false">ROUND(Q81*R81,0)</f>
        <v>280</v>
      </c>
      <c r="E81" s="21" t="n">
        <f aca="false">ROUND(Q81,0)-D81</f>
        <v>128</v>
      </c>
      <c r="F81" s="21" t="n">
        <f aca="false">IF(COUNTA(D81:E81)=0,"",SUM(D81:E81))</f>
        <v>408</v>
      </c>
      <c r="G81" s="39" t="n">
        <f aca="false">IF(OR(F81="",F81=0),"",D81/F81)</f>
        <v>0.686274509803922</v>
      </c>
      <c r="H81" s="39" t="n">
        <f aca="false">IF(OR(F81="",F81=0),"",E81/F81)</f>
        <v>0.313725490196078</v>
      </c>
      <c r="I81" s="38" t="s">
        <v>89</v>
      </c>
      <c r="J81" s="40" t="n">
        <v>3.25434931194355</v>
      </c>
      <c r="K81" s="39" t="n">
        <f aca="false">IF(G81="","",MAX(0,G81-J81/100))</f>
        <v>0.653731016684486</v>
      </c>
      <c r="L81" s="39" t="n">
        <f aca="false">IF(G81="","",MIN(1,G81+J81/100))</f>
        <v>0.718818002923357</v>
      </c>
      <c r="M81" s="21" t="n">
        <f aca="false">ROUND(Q81*S81,0)</f>
        <v>32</v>
      </c>
      <c r="N81" s="21" t="n">
        <f aca="false">ROUND(SQRT((F81*J81/100)^2+(G81*M81)^2),0)</f>
        <v>26</v>
      </c>
      <c r="P81" s="41" t="n">
        <v>15.6686560397516</v>
      </c>
      <c r="Q81" s="42" t="n">
        <v>407.905790214375</v>
      </c>
      <c r="R81" s="43" t="n">
        <f aca="false">MAX(0,MIN(1,P81/100+$D$5))</f>
        <v>0.685342312630692</v>
      </c>
      <c r="S81" s="43" t="n">
        <v>0.0779420971553049</v>
      </c>
      <c r="T81" s="44" t="s">
        <v>90</v>
      </c>
    </row>
    <row r="82" customFormat="false" ht="15" hidden="false" customHeight="false" outlineLevel="0" collapsed="false">
      <c r="A82" s="38" t="s">
        <v>157</v>
      </c>
      <c r="B82" s="38" t="s">
        <v>159</v>
      </c>
      <c r="C82" s="38" t="s">
        <v>178</v>
      </c>
      <c r="D82" s="21" t="n">
        <f aca="false">ROUND(Q82*R82,0)</f>
        <v>212</v>
      </c>
      <c r="E82" s="21" t="n">
        <f aca="false">ROUND(Q82,0)-D82</f>
        <v>86</v>
      </c>
      <c r="F82" s="21" t="n">
        <f aca="false">IF(COUNTA(D82:E82)=0,"",SUM(D82:E82))</f>
        <v>298</v>
      </c>
      <c r="G82" s="39" t="n">
        <f aca="false">IF(OR(F82="",F82=0),"",D82/F82)</f>
        <v>0.711409395973154</v>
      </c>
      <c r="H82" s="39" t="n">
        <f aca="false">IF(OR(F82="",F82=0),"",E82/F82)</f>
        <v>0.288590604026846</v>
      </c>
      <c r="I82" s="38" t="s">
        <v>89</v>
      </c>
      <c r="J82" s="40" t="n">
        <v>3.25434931194355</v>
      </c>
      <c r="K82" s="39" t="n">
        <f aca="false">IF(G82="","",MAX(0,G82-J82/100))</f>
        <v>0.678865902853719</v>
      </c>
      <c r="L82" s="39" t="n">
        <f aca="false">IF(G82="","",MIN(1,G82+J82/100))</f>
        <v>0.74395288909259</v>
      </c>
      <c r="M82" s="21" t="n">
        <f aca="false">ROUND(Q82*S82,0)</f>
        <v>23</v>
      </c>
      <c r="N82" s="21" t="n">
        <f aca="false">ROUND(SQRT((F82*J82/100)^2+(G82*M82)^2),0)</f>
        <v>19</v>
      </c>
      <c r="P82" s="41" t="n">
        <v>18.4390294237407</v>
      </c>
      <c r="Q82" s="42" t="n">
        <v>297.636337210527</v>
      </c>
      <c r="R82" s="43" t="n">
        <f aca="false">MAX(0,MIN(1,P82/100+$D$5))</f>
        <v>0.713046046470584</v>
      </c>
      <c r="S82" s="43" t="n">
        <v>0.0779420971553049</v>
      </c>
      <c r="T82" s="44" t="s">
        <v>90</v>
      </c>
    </row>
    <row r="83" customFormat="false" ht="15" hidden="false" customHeight="false" outlineLevel="0" collapsed="false">
      <c r="A83" s="38" t="s">
        <v>157</v>
      </c>
      <c r="B83" s="38" t="s">
        <v>159</v>
      </c>
      <c r="C83" s="38" t="s">
        <v>179</v>
      </c>
      <c r="D83" s="21" t="n">
        <f aca="false">ROUND(Q83*R83,0)</f>
        <v>370</v>
      </c>
      <c r="E83" s="21" t="n">
        <f aca="false">ROUND(Q83,0)-D83</f>
        <v>179</v>
      </c>
      <c r="F83" s="21" t="n">
        <f aca="false">IF(COUNTA(D83:E83)=0,"",SUM(D83:E83))</f>
        <v>549</v>
      </c>
      <c r="G83" s="39" t="n">
        <f aca="false">IF(OR(F83="",F83=0),"",D83/F83)</f>
        <v>0.673952641165756</v>
      </c>
      <c r="H83" s="39" t="n">
        <f aca="false">IF(OR(F83="",F83=0),"",E83/F83)</f>
        <v>0.326047358834244</v>
      </c>
      <c r="I83" s="38" t="s">
        <v>89</v>
      </c>
      <c r="J83" s="40" t="n">
        <v>3.25434931194355</v>
      </c>
      <c r="K83" s="39" t="n">
        <f aca="false">IF(G83="","",MAX(0,G83-J83/100))</f>
        <v>0.64140914804632</v>
      </c>
      <c r="L83" s="39" t="n">
        <f aca="false">IF(G83="","",MIN(1,G83+J83/100))</f>
        <v>0.706496134285191</v>
      </c>
      <c r="M83" s="21" t="n">
        <f aca="false">ROUND(Q83*S83,0)</f>
        <v>43</v>
      </c>
      <c r="N83" s="21" t="n">
        <f aca="false">ROUND(SQRT((F83*J83/100)^2+(G83*M83)^2),0)</f>
        <v>34</v>
      </c>
      <c r="P83" s="41" t="n">
        <v>14.4284746670645</v>
      </c>
      <c r="Q83" s="42" t="n">
        <v>549.215323951397</v>
      </c>
      <c r="R83" s="43" t="n">
        <f aca="false">MAX(0,MIN(1,P83/100+$D$5))</f>
        <v>0.672940498903821</v>
      </c>
      <c r="S83" s="43" t="n">
        <v>0.0779420971553049</v>
      </c>
      <c r="T83" s="44" t="s">
        <v>90</v>
      </c>
    </row>
    <row r="84" customFormat="false" ht="15" hidden="false" customHeight="false" outlineLevel="0" collapsed="false">
      <c r="A84" s="38" t="s">
        <v>157</v>
      </c>
      <c r="B84" s="38" t="s">
        <v>159</v>
      </c>
      <c r="C84" s="38" t="s">
        <v>180</v>
      </c>
      <c r="D84" s="21" t="n">
        <f aca="false">ROUND(Q84*R84,0)</f>
        <v>364</v>
      </c>
      <c r="E84" s="21" t="n">
        <f aca="false">ROUND(Q84,0)-D84</f>
        <v>175</v>
      </c>
      <c r="F84" s="21" t="n">
        <f aca="false">IF(COUNTA(D84:E84)=0,"",SUM(D84:E84))</f>
        <v>539</v>
      </c>
      <c r="G84" s="39" t="n">
        <f aca="false">IF(OR(F84="",F84=0),"",D84/F84)</f>
        <v>0.675324675324675</v>
      </c>
      <c r="H84" s="39" t="n">
        <f aca="false">IF(OR(F84="",F84=0),"",E84/F84)</f>
        <v>0.324675324675325</v>
      </c>
      <c r="I84" s="38" t="s">
        <v>89</v>
      </c>
      <c r="J84" s="40" t="n">
        <v>3.25434931194355</v>
      </c>
      <c r="K84" s="39" t="n">
        <f aca="false">IF(G84="","",MAX(0,G84-J84/100))</f>
        <v>0.64278118220524</v>
      </c>
      <c r="L84" s="39" t="n">
        <f aca="false">IF(G84="","",MIN(1,G84+J84/100))</f>
        <v>0.707868168444111</v>
      </c>
      <c r="M84" s="21" t="n">
        <f aca="false">ROUND(Q84*S84,0)</f>
        <v>42</v>
      </c>
      <c r="N84" s="21" t="n">
        <f aca="false">ROUND(SQRT((F84*J84/100)^2+(G84*M84)^2),0)</f>
        <v>33</v>
      </c>
      <c r="P84" s="41" t="n">
        <v>14.6357036912489</v>
      </c>
      <c r="Q84" s="42" t="n">
        <v>538.959826519295</v>
      </c>
      <c r="R84" s="43" t="n">
        <f aca="false">MAX(0,MIN(1,P84/100+$D$5))</f>
        <v>0.675012789145665</v>
      </c>
      <c r="S84" s="43" t="n">
        <v>0.0779420971553049</v>
      </c>
      <c r="T84" s="44" t="s">
        <v>90</v>
      </c>
    </row>
    <row r="85" customFormat="false" ht="15" hidden="false" customHeight="false" outlineLevel="0" collapsed="false">
      <c r="A85" s="38" t="s">
        <v>157</v>
      </c>
      <c r="B85" s="38" t="s">
        <v>159</v>
      </c>
      <c r="C85" s="38" t="s">
        <v>181</v>
      </c>
      <c r="D85" s="21" t="n">
        <f aca="false">ROUND(Q85*R85,0)</f>
        <v>341</v>
      </c>
      <c r="E85" s="21" t="n">
        <f aca="false">ROUND(Q85,0)-D85</f>
        <v>222</v>
      </c>
      <c r="F85" s="21" t="n">
        <f aca="false">IF(COUNTA(D85:E85)=0,"",SUM(D85:E85))</f>
        <v>563</v>
      </c>
      <c r="G85" s="39" t="n">
        <f aca="false">IF(OR(F85="",F85=0),"",D85/F85)</f>
        <v>0.605683836589698</v>
      </c>
      <c r="H85" s="39" t="n">
        <f aca="false">IF(OR(F85="",F85=0),"",E85/F85)</f>
        <v>0.394316163410302</v>
      </c>
      <c r="I85" s="38" t="s">
        <v>89</v>
      </c>
      <c r="J85" s="40" t="n">
        <v>3.25434931194355</v>
      </c>
      <c r="K85" s="39" t="n">
        <f aca="false">IF(G85="","",MAX(0,G85-J85/100))</f>
        <v>0.573140343470263</v>
      </c>
      <c r="L85" s="39" t="n">
        <f aca="false">IF(G85="","",MIN(1,G85+J85/100))</f>
        <v>0.638227329709134</v>
      </c>
      <c r="M85" s="21" t="n">
        <f aca="false">ROUND(Q85*S85,0)</f>
        <v>44</v>
      </c>
      <c r="N85" s="21" t="n">
        <f aca="false">ROUND(SQRT((F85*J85/100)^2+(G85*M85)^2),0)</f>
        <v>32</v>
      </c>
      <c r="P85" s="41" t="n">
        <v>7.66978398102632</v>
      </c>
      <c r="Q85" s="42" t="n">
        <v>563.403586223287</v>
      </c>
      <c r="R85" s="43" t="n">
        <f aca="false">MAX(0,MIN(1,P85/100+$D$5))</f>
        <v>0.60535359204344</v>
      </c>
      <c r="S85" s="43" t="n">
        <v>0.0779420971553049</v>
      </c>
      <c r="T85" s="44" t="s">
        <v>90</v>
      </c>
    </row>
    <row r="86" customFormat="false" ht="15" hidden="false" customHeight="false" outlineLevel="0" collapsed="false">
      <c r="A86" s="38" t="s">
        <v>157</v>
      </c>
      <c r="B86" s="38" t="s">
        <v>159</v>
      </c>
      <c r="C86" s="38" t="s">
        <v>182</v>
      </c>
      <c r="D86" s="21" t="n">
        <f aca="false">ROUND(Q86*R86,0)</f>
        <v>382</v>
      </c>
      <c r="E86" s="21" t="n">
        <f aca="false">ROUND(Q86,0)-D86</f>
        <v>204</v>
      </c>
      <c r="F86" s="21" t="n">
        <f aca="false">IF(COUNTA(D86:E86)=0,"",SUM(D86:E86))</f>
        <v>586</v>
      </c>
      <c r="G86" s="39" t="n">
        <f aca="false">IF(OR(F86="",F86=0),"",D86/F86)</f>
        <v>0.651877133105802</v>
      </c>
      <c r="H86" s="39" t="n">
        <f aca="false">IF(OR(F86="",F86=0),"",E86/F86)</f>
        <v>0.348122866894198</v>
      </c>
      <c r="I86" s="38" t="s">
        <v>89</v>
      </c>
      <c r="J86" s="40" t="n">
        <v>3.25434931194355</v>
      </c>
      <c r="K86" s="39" t="n">
        <f aca="false">IF(G86="","",MAX(0,G86-J86/100))</f>
        <v>0.619333639986367</v>
      </c>
      <c r="L86" s="39" t="n">
        <f aca="false">IF(G86="","",MIN(1,G86+J86/100))</f>
        <v>0.684420626225238</v>
      </c>
      <c r="M86" s="21" t="n">
        <f aca="false">ROUND(Q86*S86,0)</f>
        <v>46</v>
      </c>
      <c r="N86" s="21" t="n">
        <f aca="false">ROUND(SQRT((F86*J86/100)^2+(G86*M86)^2),0)</f>
        <v>36</v>
      </c>
      <c r="P86" s="41" t="n">
        <v>12.3117564879413</v>
      </c>
      <c r="Q86" s="42" t="n">
        <v>585.623622703492</v>
      </c>
      <c r="R86" s="43" t="n">
        <f aca="false">MAX(0,MIN(1,P86/100+$D$5))</f>
        <v>0.65177331711259</v>
      </c>
      <c r="S86" s="43" t="n">
        <v>0.0779420971553049</v>
      </c>
      <c r="T86" s="44" t="s">
        <v>90</v>
      </c>
    </row>
    <row r="87" customFormat="false" ht="15" hidden="false" customHeight="false" outlineLevel="0" collapsed="false">
      <c r="A87" s="38" t="s">
        <v>157</v>
      </c>
      <c r="B87" s="38" t="s">
        <v>159</v>
      </c>
      <c r="C87" s="38" t="s">
        <v>183</v>
      </c>
      <c r="D87" s="21" t="n">
        <f aca="false">ROUND(Q87*R87,0)</f>
        <v>480</v>
      </c>
      <c r="E87" s="21" t="n">
        <f aca="false">ROUND(Q87,0)-D87</f>
        <v>253</v>
      </c>
      <c r="F87" s="21" t="n">
        <f aca="false">IF(COUNTA(D87:E87)=0,"",SUM(D87:E87))</f>
        <v>733</v>
      </c>
      <c r="G87" s="39" t="n">
        <f aca="false">IF(OR(F87="",F87=0),"",D87/F87)</f>
        <v>0.654843110504775</v>
      </c>
      <c r="H87" s="39" t="n">
        <f aca="false">IF(OR(F87="",F87=0),"",E87/F87)</f>
        <v>0.345156889495225</v>
      </c>
      <c r="I87" s="38" t="s">
        <v>89</v>
      </c>
      <c r="J87" s="40" t="n">
        <v>3.25434931194355</v>
      </c>
      <c r="K87" s="39" t="n">
        <f aca="false">IF(G87="","",MAX(0,G87-J87/100))</f>
        <v>0.62229961738534</v>
      </c>
      <c r="L87" s="39" t="n">
        <f aca="false">IF(G87="","",MIN(1,G87+J87/100))</f>
        <v>0.68738660362421</v>
      </c>
      <c r="M87" s="21" t="n">
        <f aca="false">ROUND(Q87*S87,0)</f>
        <v>57</v>
      </c>
      <c r="N87" s="21" t="n">
        <f aca="false">ROUND(SQRT((F87*J87/100)^2+(G87*M87)^2),0)</f>
        <v>44</v>
      </c>
      <c r="P87" s="41" t="n">
        <v>12.6487400375202</v>
      </c>
      <c r="Q87" s="42" t="n">
        <v>733.311926235693</v>
      </c>
      <c r="R87" s="43" t="n">
        <f aca="false">MAX(0,MIN(1,P87/100+$D$5))</f>
        <v>0.655143152608379</v>
      </c>
      <c r="S87" s="43" t="n">
        <v>0.0779420971553049</v>
      </c>
      <c r="T87" s="44" t="s">
        <v>90</v>
      </c>
    </row>
    <row r="88" customFormat="false" ht="15" hidden="false" customHeight="false" outlineLevel="0" collapsed="false">
      <c r="A88" s="38" t="s">
        <v>157</v>
      </c>
      <c r="B88" s="38" t="s">
        <v>159</v>
      </c>
      <c r="C88" s="38" t="s">
        <v>184</v>
      </c>
      <c r="D88" s="21" t="n">
        <f aca="false">ROUND(Q88*R88,0)</f>
        <v>302</v>
      </c>
      <c r="E88" s="21" t="n">
        <f aca="false">ROUND(Q88,0)-D88</f>
        <v>189</v>
      </c>
      <c r="F88" s="21" t="n">
        <f aca="false">IF(COUNTA(D88:E88)=0,"",SUM(D88:E88))</f>
        <v>491</v>
      </c>
      <c r="G88" s="39" t="n">
        <f aca="false">IF(OR(F88="",F88=0),"",D88/F88)</f>
        <v>0.615071283095723</v>
      </c>
      <c r="H88" s="39" t="n">
        <f aca="false">IF(OR(F88="",F88=0),"",E88/F88)</f>
        <v>0.384928716904277</v>
      </c>
      <c r="I88" s="38" t="s">
        <v>89</v>
      </c>
      <c r="J88" s="40" t="n">
        <v>3.25434931194355</v>
      </c>
      <c r="K88" s="39" t="n">
        <f aca="false">IF(G88="","",MAX(0,G88-J88/100))</f>
        <v>0.582527789976288</v>
      </c>
      <c r="L88" s="39" t="n">
        <f aca="false">IF(G88="","",MIN(1,G88+J88/100))</f>
        <v>0.647614776215159</v>
      </c>
      <c r="M88" s="21" t="n">
        <f aca="false">ROUND(Q88*S88,0)</f>
        <v>38</v>
      </c>
      <c r="N88" s="21" t="n">
        <f aca="false">ROUND(SQRT((F88*J88/100)^2+(G88*M88)^2),0)</f>
        <v>28</v>
      </c>
      <c r="P88" s="41" t="n">
        <v>8.64847436096802</v>
      </c>
      <c r="Q88" s="42" t="n">
        <v>491.258466400516</v>
      </c>
      <c r="R88" s="43" t="n">
        <f aca="false">MAX(0,MIN(1,P88/100+$D$5))</f>
        <v>0.615140495842857</v>
      </c>
      <c r="S88" s="43" t="n">
        <v>0.0779420971553049</v>
      </c>
      <c r="T88" s="44" t="s">
        <v>90</v>
      </c>
    </row>
    <row r="89" customFormat="false" ht="15" hidden="false" customHeight="false" outlineLevel="0" collapsed="false">
      <c r="A89" s="38" t="s">
        <v>157</v>
      </c>
      <c r="B89" s="38" t="s">
        <v>159</v>
      </c>
      <c r="C89" s="38" t="s">
        <v>185</v>
      </c>
      <c r="D89" s="21" t="n">
        <f aca="false">ROUND(Q89*R89,0)</f>
        <v>298</v>
      </c>
      <c r="E89" s="21" t="n">
        <f aca="false">ROUND(Q89,0)-D89</f>
        <v>158</v>
      </c>
      <c r="F89" s="21" t="n">
        <f aca="false">IF(COUNTA(D89:E89)=0,"",SUM(D89:E89))</f>
        <v>456</v>
      </c>
      <c r="G89" s="39" t="n">
        <f aca="false">IF(OR(F89="",F89=0),"",D89/F89)</f>
        <v>0.653508771929825</v>
      </c>
      <c r="H89" s="39" t="n">
        <f aca="false">IF(OR(F89="",F89=0),"",E89/F89)</f>
        <v>0.346491228070175</v>
      </c>
      <c r="I89" s="38" t="s">
        <v>89</v>
      </c>
      <c r="J89" s="40" t="n">
        <v>3.25434931194355</v>
      </c>
      <c r="K89" s="39" t="n">
        <f aca="false">IF(G89="","",MAX(0,G89-J89/100))</f>
        <v>0.620965278810389</v>
      </c>
      <c r="L89" s="39" t="n">
        <f aca="false">IF(G89="","",MIN(1,G89+J89/100))</f>
        <v>0.68605226504926</v>
      </c>
      <c r="M89" s="21" t="n">
        <f aca="false">ROUND(Q89*S89,0)</f>
        <v>36</v>
      </c>
      <c r="N89" s="21" t="n">
        <f aca="false">ROUND(SQRT((F89*J89/100)^2+(G89*M89)^2),0)</f>
        <v>28</v>
      </c>
      <c r="P89" s="41" t="n">
        <v>12.6069085686268</v>
      </c>
      <c r="Q89" s="42" t="n">
        <v>455.598054984683</v>
      </c>
      <c r="R89" s="43" t="n">
        <f aca="false">MAX(0,MIN(1,P89/100+$D$5))</f>
        <v>0.654724837919445</v>
      </c>
      <c r="S89" s="43" t="n">
        <v>0.0779420971553049</v>
      </c>
      <c r="T89" s="44" t="s">
        <v>90</v>
      </c>
    </row>
    <row r="90" customFormat="false" ht="15" hidden="false" customHeight="false" outlineLevel="0" collapsed="false">
      <c r="A90" s="38" t="s">
        <v>157</v>
      </c>
      <c r="B90" s="38" t="s">
        <v>159</v>
      </c>
      <c r="C90" s="38" t="s">
        <v>186</v>
      </c>
      <c r="D90" s="21" t="n">
        <f aca="false">ROUND(Q90*R90,0)</f>
        <v>537</v>
      </c>
      <c r="E90" s="21" t="n">
        <f aca="false">ROUND(Q90,0)-D90</f>
        <v>321</v>
      </c>
      <c r="F90" s="21" t="n">
        <f aca="false">IF(COUNTA(D90:E90)=0,"",SUM(D90:E90))</f>
        <v>858</v>
      </c>
      <c r="G90" s="39" t="n">
        <f aca="false">IF(OR(F90="",F90=0),"",D90/F90)</f>
        <v>0.625874125874126</v>
      </c>
      <c r="H90" s="39" t="n">
        <f aca="false">IF(OR(F90="",F90=0),"",E90/F90)</f>
        <v>0.374125874125874</v>
      </c>
      <c r="I90" s="38" t="s">
        <v>89</v>
      </c>
      <c r="J90" s="40" t="n">
        <v>1.85532414445586</v>
      </c>
      <c r="K90" s="39" t="n">
        <f aca="false">IF(G90="","",MAX(0,G90-J90/100))</f>
        <v>0.607320884429567</v>
      </c>
      <c r="L90" s="39" t="n">
        <f aca="false">IF(G90="","",MIN(1,G90+J90/100))</f>
        <v>0.644427367318684</v>
      </c>
      <c r="M90" s="21" t="n">
        <f aca="false">ROUND(Q90*S90,0)</f>
        <v>54</v>
      </c>
      <c r="N90" s="21" t="n">
        <f aca="false">ROUND(SQRT((F90*J90/100)^2+(G90*M90)^2),0)</f>
        <v>37</v>
      </c>
      <c r="P90" s="41" t="n">
        <v>9.77890996823066</v>
      </c>
      <c r="Q90" s="42" t="n">
        <v>857.832991101195</v>
      </c>
      <c r="R90" s="43" t="n">
        <f aca="false">MAX(0,MIN(1,P90/100+$D$5))</f>
        <v>0.626444851915483</v>
      </c>
      <c r="S90" s="43" t="n">
        <v>0.0633793435818552</v>
      </c>
      <c r="T90" s="44" t="s">
        <v>99</v>
      </c>
    </row>
    <row r="91" customFormat="false" ht="15" hidden="false" customHeight="false" outlineLevel="0" collapsed="false">
      <c r="A91" s="38" t="s">
        <v>157</v>
      </c>
      <c r="B91" s="38" t="s">
        <v>159</v>
      </c>
      <c r="C91" s="38" t="s">
        <v>187</v>
      </c>
      <c r="D91" s="21" t="n">
        <f aca="false">ROUND(Q91*R91,0)</f>
        <v>377</v>
      </c>
      <c r="E91" s="21" t="n">
        <f aca="false">ROUND(Q91,0)-D91</f>
        <v>152</v>
      </c>
      <c r="F91" s="21" t="n">
        <f aca="false">IF(COUNTA(D91:E91)=0,"",SUM(D91:E91))</f>
        <v>529</v>
      </c>
      <c r="G91" s="39" t="n">
        <f aca="false">IF(OR(F91="",F91=0),"",D91/F91)</f>
        <v>0.712665406427221</v>
      </c>
      <c r="H91" s="39" t="n">
        <f aca="false">IF(OR(F91="",F91=0),"",E91/F91)</f>
        <v>0.287334593572779</v>
      </c>
      <c r="I91" s="38" t="s">
        <v>89</v>
      </c>
      <c r="J91" s="40" t="n">
        <v>3.25434931194355</v>
      </c>
      <c r="K91" s="39" t="n">
        <f aca="false">IF(G91="","",MAX(0,G91-J91/100))</f>
        <v>0.680121913307786</v>
      </c>
      <c r="L91" s="39" t="n">
        <f aca="false">IF(G91="","",MIN(1,G91+J91/100))</f>
        <v>0.745208899546657</v>
      </c>
      <c r="M91" s="21" t="n">
        <f aca="false">ROUND(Q91*S91,0)</f>
        <v>41</v>
      </c>
      <c r="N91" s="21" t="n">
        <f aca="false">ROUND(SQRT((F91*J91/100)^2+(G91*M91)^2),0)</f>
        <v>34</v>
      </c>
      <c r="P91" s="41" t="n">
        <v>18.4055333884513</v>
      </c>
      <c r="Q91" s="42" t="n">
        <v>528.583571876737</v>
      </c>
      <c r="R91" s="43" t="n">
        <f aca="false">MAX(0,MIN(1,P91/100+$D$5))</f>
        <v>0.71271108611769</v>
      </c>
      <c r="S91" s="43" t="n">
        <v>0.0779420971553049</v>
      </c>
      <c r="T91" s="44" t="s">
        <v>90</v>
      </c>
    </row>
    <row r="92" customFormat="false" ht="15" hidden="false" customHeight="false" outlineLevel="0" collapsed="false">
      <c r="A92" s="38" t="s">
        <v>157</v>
      </c>
      <c r="B92" s="38" t="s">
        <v>159</v>
      </c>
      <c r="C92" s="38" t="s">
        <v>188</v>
      </c>
      <c r="D92" s="21" t="n">
        <f aca="false">ROUND(Q92*R92,0)</f>
        <v>451</v>
      </c>
      <c r="E92" s="21" t="n">
        <f aca="false">ROUND(Q92,0)-D92</f>
        <v>212</v>
      </c>
      <c r="F92" s="21" t="n">
        <f aca="false">IF(COUNTA(D92:E92)=0,"",SUM(D92:E92))</f>
        <v>663</v>
      </c>
      <c r="G92" s="39" t="n">
        <f aca="false">IF(OR(F92="",F92=0),"",D92/F92)</f>
        <v>0.680241327300151</v>
      </c>
      <c r="H92" s="39" t="n">
        <f aca="false">IF(OR(F92="",F92=0),"",E92/F92)</f>
        <v>0.319758672699849</v>
      </c>
      <c r="I92" s="38" t="s">
        <v>89</v>
      </c>
      <c r="J92" s="40" t="n">
        <v>3.25434931194355</v>
      </c>
      <c r="K92" s="39" t="n">
        <f aca="false">IF(G92="","",MAX(0,G92-J92/100))</f>
        <v>0.647697834180715</v>
      </c>
      <c r="L92" s="39" t="n">
        <f aca="false">IF(G92="","",MIN(1,G92+J92/100))</f>
        <v>0.712784820419586</v>
      </c>
      <c r="M92" s="21" t="n">
        <f aca="false">ROUND(Q92*S92,0)</f>
        <v>52</v>
      </c>
      <c r="N92" s="21" t="n">
        <f aca="false">ROUND(SQRT((F92*J92/100)^2+(G92*M92)^2),0)</f>
        <v>41</v>
      </c>
      <c r="P92" s="41" t="n">
        <v>15.1530636738745</v>
      </c>
      <c r="Q92" s="42" t="n">
        <v>663.159227599343</v>
      </c>
      <c r="R92" s="43" t="n">
        <f aca="false">MAX(0,MIN(1,P92/100+$D$5))</f>
        <v>0.680186388971921</v>
      </c>
      <c r="S92" s="43" t="n">
        <v>0.0779420971553049</v>
      </c>
      <c r="T92" s="44" t="s">
        <v>90</v>
      </c>
    </row>
    <row r="93" customFormat="false" ht="15" hidden="false" customHeight="false" outlineLevel="0" collapsed="false">
      <c r="A93" s="38" t="s">
        <v>157</v>
      </c>
      <c r="B93" s="38" t="s">
        <v>159</v>
      </c>
      <c r="C93" s="38" t="s">
        <v>189</v>
      </c>
      <c r="D93" s="21" t="n">
        <f aca="false">ROUND(Q93*R93,0)</f>
        <v>495</v>
      </c>
      <c r="E93" s="21" t="n">
        <f aca="false">ROUND(Q93,0)-D93</f>
        <v>242</v>
      </c>
      <c r="F93" s="21" t="n">
        <f aca="false">IF(COUNTA(D93:E93)=0,"",SUM(D93:E93))</f>
        <v>737</v>
      </c>
      <c r="G93" s="39" t="n">
        <f aca="false">IF(OR(F93="",F93=0),"",D93/F93)</f>
        <v>0.671641791044776</v>
      </c>
      <c r="H93" s="39" t="n">
        <f aca="false">IF(OR(F93="",F93=0),"",E93/F93)</f>
        <v>0.328358208955224</v>
      </c>
      <c r="I93" s="38" t="s">
        <v>89</v>
      </c>
      <c r="J93" s="40" t="n">
        <v>3.25434931194355</v>
      </c>
      <c r="K93" s="39" t="n">
        <f aca="false">IF(G93="","",MAX(0,G93-J93/100))</f>
        <v>0.639098297925341</v>
      </c>
      <c r="L93" s="39" t="n">
        <f aca="false">IF(G93="","",MIN(1,G93+J93/100))</f>
        <v>0.704185284164212</v>
      </c>
      <c r="M93" s="21" t="n">
        <f aca="false">ROUND(Q93*S93,0)</f>
        <v>57</v>
      </c>
      <c r="N93" s="21" t="n">
        <f aca="false">ROUND(SQRT((F93*J93/100)^2+(G93*M93)^2),0)</f>
        <v>45</v>
      </c>
      <c r="P93" s="41" t="n">
        <v>14.271832775442</v>
      </c>
      <c r="Q93" s="42" t="n">
        <v>736.744909333233</v>
      </c>
      <c r="R93" s="43" t="n">
        <f aca="false">MAX(0,MIN(1,P93/100+$D$5))</f>
        <v>0.671374079987597</v>
      </c>
      <c r="S93" s="43" t="n">
        <v>0.0779420971553049</v>
      </c>
      <c r="T93" s="44" t="s">
        <v>90</v>
      </c>
    </row>
    <row r="94" customFormat="false" ht="15" hidden="false" customHeight="false" outlineLevel="0" collapsed="false">
      <c r="A94" s="38" t="s">
        <v>157</v>
      </c>
      <c r="B94" s="38" t="s">
        <v>159</v>
      </c>
      <c r="C94" s="38" t="s">
        <v>190</v>
      </c>
      <c r="D94" s="21" t="n">
        <f aca="false">ROUND(Q94*R94,0)</f>
        <v>345</v>
      </c>
      <c r="E94" s="21" t="n">
        <f aca="false">ROUND(Q94,0)-D94</f>
        <v>236</v>
      </c>
      <c r="F94" s="21" t="n">
        <f aca="false">IF(COUNTA(D94:E94)=0,"",SUM(D94:E94))</f>
        <v>581</v>
      </c>
      <c r="G94" s="39" t="n">
        <f aca="false">IF(OR(F94="",F94=0),"",D94/F94)</f>
        <v>0.593803786574871</v>
      </c>
      <c r="H94" s="39" t="n">
        <f aca="false">IF(OR(F94="",F94=0),"",E94/F94)</f>
        <v>0.406196213425129</v>
      </c>
      <c r="I94" s="38" t="s">
        <v>191</v>
      </c>
      <c r="J94" s="40" t="n">
        <v>3.25434931194355</v>
      </c>
      <c r="K94" s="39" t="n">
        <f aca="false">IF(G94="","",MAX(0,G94-J94/100))</f>
        <v>0.561260293455435</v>
      </c>
      <c r="L94" s="39" t="n">
        <f aca="false">IF(G94="","",MIN(1,G94+J94/100))</f>
        <v>0.626347279694306</v>
      </c>
      <c r="M94" s="21" t="n">
        <f aca="false">ROUND(Q94*S94,0)</f>
        <v>45</v>
      </c>
      <c r="N94" s="21" t="n">
        <f aca="false">ROUND(SQRT((F94*J94/100)^2+(G94*M94)^2),0)</f>
        <v>33</v>
      </c>
      <c r="P94" s="41" t="n">
        <v>6.45362682756992</v>
      </c>
      <c r="Q94" s="42" t="n">
        <v>581.0485697966</v>
      </c>
      <c r="R94" s="43" t="n">
        <f aca="false">MAX(0,MIN(1,P94/100+$D$5))</f>
        <v>0.593192020508876</v>
      </c>
      <c r="S94" s="43" t="n">
        <v>0.0779420971553049</v>
      </c>
      <c r="T94" s="44" t="s">
        <v>90</v>
      </c>
    </row>
    <row r="95" customFormat="false" ht="15" hidden="false" customHeight="false" outlineLevel="0" collapsed="false">
      <c r="A95" s="38" t="s">
        <v>157</v>
      </c>
      <c r="B95" s="38" t="s">
        <v>159</v>
      </c>
      <c r="C95" s="38" t="s">
        <v>192</v>
      </c>
      <c r="D95" s="21" t="n">
        <f aca="false">ROUND(Q95*R95,0)</f>
        <v>770</v>
      </c>
      <c r="E95" s="21" t="n">
        <f aca="false">ROUND(Q95,0)-D95</f>
        <v>527</v>
      </c>
      <c r="F95" s="21" t="n">
        <f aca="false">IF(COUNTA(D95:E95)=0,"",SUM(D95:E95))</f>
        <v>1297</v>
      </c>
      <c r="G95" s="39" t="n">
        <f aca="false">IF(OR(F95="",F95=0),"",D95/F95)</f>
        <v>0.593677717810332</v>
      </c>
      <c r="H95" s="39" t="n">
        <f aca="false">IF(OR(F95="",F95=0),"",E95/F95)</f>
        <v>0.406322282189669</v>
      </c>
      <c r="I95" s="38" t="s">
        <v>191</v>
      </c>
      <c r="J95" s="40" t="n">
        <v>1.28585670084365</v>
      </c>
      <c r="K95" s="39" t="n">
        <f aca="false">IF(G95="","",MAX(0,G95-J95/100))</f>
        <v>0.580819150801895</v>
      </c>
      <c r="L95" s="39" t="n">
        <f aca="false">IF(G95="","",MIN(1,G95+J95/100))</f>
        <v>0.606536284818768</v>
      </c>
      <c r="M95" s="21" t="n">
        <f aca="false">ROUND(Q95*S95,0)</f>
        <v>181</v>
      </c>
      <c r="N95" s="21" t="n">
        <f aca="false">ROUND(SQRT((F95*J95/100)^2+(G95*M95)^2),0)</f>
        <v>109</v>
      </c>
      <c r="P95" s="41" t="n">
        <v>6.47323588885477</v>
      </c>
      <c r="Q95" s="42" t="n">
        <v>1297.29819631216</v>
      </c>
      <c r="R95" s="43" t="n">
        <f aca="false">MAX(0,MIN(1,P95/100+$D$5))</f>
        <v>0.593388111121724</v>
      </c>
      <c r="S95" s="43" t="n">
        <v>0.139463116518417</v>
      </c>
      <c r="T95" s="44" t="s">
        <v>128</v>
      </c>
    </row>
    <row r="96" customFormat="false" ht="15" hidden="false" customHeight="false" outlineLevel="0" collapsed="false">
      <c r="A96" s="38" t="s">
        <v>157</v>
      </c>
      <c r="B96" s="38" t="s">
        <v>159</v>
      </c>
      <c r="C96" s="38" t="s">
        <v>193</v>
      </c>
      <c r="D96" s="21" t="n">
        <f aca="false">ROUND(Q96*R96,0)</f>
        <v>434</v>
      </c>
      <c r="E96" s="21" t="n">
        <f aca="false">ROUND(Q96,0)-D96</f>
        <v>176</v>
      </c>
      <c r="F96" s="21" t="n">
        <f aca="false">IF(COUNTA(D96:E96)=0,"",SUM(D96:E96))</f>
        <v>610</v>
      </c>
      <c r="G96" s="39" t="n">
        <f aca="false">IF(OR(F96="",F96=0),"",D96/F96)</f>
        <v>0.711475409836066</v>
      </c>
      <c r="H96" s="39" t="n">
        <f aca="false">IF(OR(F96="",F96=0),"",E96/F96)</f>
        <v>0.288524590163934</v>
      </c>
      <c r="I96" s="38" t="s">
        <v>89</v>
      </c>
      <c r="J96" s="40" t="n">
        <v>3.25434931194355</v>
      </c>
      <c r="K96" s="39" t="n">
        <f aca="false">IF(G96="","",MAX(0,G96-J96/100))</f>
        <v>0.67893191671663</v>
      </c>
      <c r="L96" s="39" t="n">
        <f aca="false">IF(G96="","",MIN(1,G96+J96/100))</f>
        <v>0.744018902955501</v>
      </c>
      <c r="M96" s="21" t="n">
        <f aca="false">ROUND(Q96*S96,0)</f>
        <v>48</v>
      </c>
      <c r="N96" s="21" t="n">
        <f aca="false">ROUND(SQRT((F96*J96/100)^2+(G96*M96)^2),0)</f>
        <v>40</v>
      </c>
      <c r="P96" s="41" t="n">
        <v>18.3725504748626</v>
      </c>
      <c r="Q96" s="42" t="n">
        <v>609.661218951122</v>
      </c>
      <c r="R96" s="43" t="n">
        <f aca="false">MAX(0,MIN(1,P96/100+$D$5))</f>
        <v>0.712381256981803</v>
      </c>
      <c r="S96" s="43" t="n">
        <v>0.0779420971553049</v>
      </c>
      <c r="T96" s="44" t="s">
        <v>90</v>
      </c>
    </row>
    <row r="97" customFormat="false" ht="15" hidden="false" customHeight="false" outlineLevel="0" collapsed="false">
      <c r="A97" s="38" t="s">
        <v>157</v>
      </c>
      <c r="B97" s="38" t="s">
        <v>159</v>
      </c>
      <c r="C97" s="38" t="s">
        <v>194</v>
      </c>
      <c r="D97" s="21" t="n">
        <f aca="false">ROUND(Q97*R97,0)</f>
        <v>534</v>
      </c>
      <c r="E97" s="21" t="n">
        <f aca="false">ROUND(Q97,0)-D97</f>
        <v>279</v>
      </c>
      <c r="F97" s="21" t="n">
        <f aca="false">IF(COUNTA(D97:E97)=0,"",SUM(D97:E97))</f>
        <v>813</v>
      </c>
      <c r="G97" s="39" t="n">
        <f aca="false">IF(OR(F97="",F97=0),"",D97/F97)</f>
        <v>0.656826568265683</v>
      </c>
      <c r="H97" s="39" t="n">
        <f aca="false">IF(OR(F97="",F97=0),"",E97/F97)</f>
        <v>0.343173431734317</v>
      </c>
      <c r="I97" s="38" t="s">
        <v>89</v>
      </c>
      <c r="J97" s="40" t="n">
        <v>1.85532414445586</v>
      </c>
      <c r="K97" s="39" t="n">
        <f aca="false">IF(G97="","",MAX(0,G97-J97/100))</f>
        <v>0.638273326821124</v>
      </c>
      <c r="L97" s="39" t="n">
        <f aca="false">IF(G97="","",MIN(1,G97+J97/100))</f>
        <v>0.675379809710241</v>
      </c>
      <c r="M97" s="21" t="n">
        <f aca="false">ROUND(Q97*S97,0)</f>
        <v>52</v>
      </c>
      <c r="N97" s="21" t="n">
        <f aca="false">ROUND(SQRT((F97*J97/100)^2+(G97*M97)^2),0)</f>
        <v>37</v>
      </c>
      <c r="P97" s="41" t="n">
        <v>12.8224507422024</v>
      </c>
      <c r="Q97" s="42" t="n">
        <v>812.568118018431</v>
      </c>
      <c r="R97" s="43" t="n">
        <f aca="false">MAX(0,MIN(1,P97/100+$D$5))</f>
        <v>0.656880259655201</v>
      </c>
      <c r="S97" s="43" t="n">
        <v>0.0633793435818552</v>
      </c>
      <c r="T97" s="44" t="s">
        <v>99</v>
      </c>
    </row>
    <row r="98" customFormat="false" ht="15" hidden="false" customHeight="false" outlineLevel="0" collapsed="false">
      <c r="A98" s="38" t="s">
        <v>157</v>
      </c>
      <c r="B98" s="38" t="s">
        <v>159</v>
      </c>
      <c r="C98" s="38" t="s">
        <v>195</v>
      </c>
      <c r="D98" s="21" t="n">
        <f aca="false">ROUND(Q98*R98,0)</f>
        <v>13</v>
      </c>
      <c r="E98" s="21" t="n">
        <f aca="false">ROUND(Q98,0)-D98</f>
        <v>10</v>
      </c>
      <c r="F98" s="21" t="n">
        <f aca="false">IF(COUNTA(D98:E98)=0,"",SUM(D98:E98))</f>
        <v>23</v>
      </c>
      <c r="G98" s="39" t="n">
        <f aca="false">IF(OR(F98="",F98=0),"",D98/F98)</f>
        <v>0.565217391304348</v>
      </c>
      <c r="H98" s="39" t="n">
        <f aca="false">IF(OR(F98="",F98=0),"",E98/F98)</f>
        <v>0.434782608695652</v>
      </c>
      <c r="I98" s="38" t="s">
        <v>191</v>
      </c>
      <c r="J98" s="40" t="n">
        <v>3.25434931194355</v>
      </c>
      <c r="K98" s="39" t="n">
        <f aca="false">IF(G98="","",MAX(0,G98-J98/100))</f>
        <v>0.532673898184912</v>
      </c>
      <c r="L98" s="39" t="n">
        <f aca="false">IF(G98="","",MIN(1,G98+J98/100))</f>
        <v>0.597760884423783</v>
      </c>
      <c r="M98" s="21" t="n">
        <f aca="false">ROUND(Q98*S98,0)</f>
        <v>2</v>
      </c>
      <c r="N98" s="21" t="n">
        <f aca="false">ROUND(SQRT((F98*J98/100)^2+(G98*M98)^2),0)</f>
        <v>1</v>
      </c>
      <c r="P98" s="41" t="n">
        <v>3.36434653124624</v>
      </c>
      <c r="Q98" s="42" t="n">
        <v>22.6971441547565</v>
      </c>
      <c r="R98" s="43" t="n">
        <f aca="false">MAX(0,MIN(1,P98/100+$D$5))</f>
        <v>0.562299217545639</v>
      </c>
      <c r="S98" s="43" t="n">
        <v>0.0779420971553049</v>
      </c>
      <c r="T98" s="44" t="s">
        <v>90</v>
      </c>
    </row>
    <row r="99" customFormat="false" ht="15" hidden="false" customHeight="false" outlineLevel="0" collapsed="false">
      <c r="A99" s="38" t="s">
        <v>157</v>
      </c>
      <c r="B99" s="38" t="s">
        <v>159</v>
      </c>
      <c r="C99" s="38" t="s">
        <v>196</v>
      </c>
      <c r="D99" s="21" t="n">
        <f aca="false">ROUND(Q99*R99,0)</f>
        <v>245</v>
      </c>
      <c r="E99" s="21" t="n">
        <f aca="false">ROUND(Q99,0)-D99</f>
        <v>159</v>
      </c>
      <c r="F99" s="21" t="n">
        <f aca="false">IF(COUNTA(D99:E99)=0,"",SUM(D99:E99))</f>
        <v>404</v>
      </c>
      <c r="G99" s="39" t="n">
        <f aca="false">IF(OR(F99="",F99=0),"",D99/F99)</f>
        <v>0.606435643564356</v>
      </c>
      <c r="H99" s="39" t="n">
        <f aca="false">IF(OR(F99="",F99=0),"",E99/F99)</f>
        <v>0.393564356435644</v>
      </c>
      <c r="I99" s="38" t="s">
        <v>89</v>
      </c>
      <c r="J99" s="40" t="n">
        <v>3.25434931194355</v>
      </c>
      <c r="K99" s="39" t="n">
        <f aca="false">IF(G99="","",MAX(0,G99-J99/100))</f>
        <v>0.573892150444921</v>
      </c>
      <c r="L99" s="39" t="n">
        <f aca="false">IF(G99="","",MIN(1,G99+J99/100))</f>
        <v>0.638979136683792</v>
      </c>
      <c r="M99" s="21" t="n">
        <f aca="false">ROUND(Q99*S99,0)</f>
        <v>32</v>
      </c>
      <c r="N99" s="21" t="n">
        <f aca="false">ROUND(SQRT((F99*J99/100)^2+(G99*M99)^2),0)</f>
        <v>23</v>
      </c>
      <c r="P99" s="41" t="n">
        <v>7.82631422499354</v>
      </c>
      <c r="Q99" s="42" t="n">
        <v>404.487513181941</v>
      </c>
      <c r="R99" s="43" t="n">
        <f aca="false">MAX(0,MIN(1,P99/100+$D$5))</f>
        <v>0.606918894483112</v>
      </c>
      <c r="S99" s="43" t="n">
        <v>0.0779420971553049</v>
      </c>
      <c r="T99" s="44" t="s">
        <v>90</v>
      </c>
    </row>
    <row r="100" customFormat="false" ht="15" hidden="false" customHeight="false" outlineLevel="0" collapsed="false">
      <c r="A100" s="38" t="s">
        <v>157</v>
      </c>
      <c r="B100" s="38" t="s">
        <v>159</v>
      </c>
      <c r="C100" s="38" t="s">
        <v>197</v>
      </c>
      <c r="D100" s="21" t="n">
        <f aca="false">ROUND(Q100*R100,0)</f>
        <v>358</v>
      </c>
      <c r="E100" s="21" t="n">
        <f aca="false">ROUND(Q100,0)-D100</f>
        <v>170</v>
      </c>
      <c r="F100" s="21" t="n">
        <f aca="false">IF(COUNTA(D100:E100)=0,"",SUM(D100:E100))</f>
        <v>528</v>
      </c>
      <c r="G100" s="39" t="n">
        <f aca="false">IF(OR(F100="",F100=0),"",D100/F100)</f>
        <v>0.678030303030303</v>
      </c>
      <c r="H100" s="39" t="n">
        <f aca="false">IF(OR(F100="",F100=0),"",E100/F100)</f>
        <v>0.321969696969697</v>
      </c>
      <c r="I100" s="38" t="s">
        <v>89</v>
      </c>
      <c r="J100" s="40" t="n">
        <v>3.25434931194355</v>
      </c>
      <c r="K100" s="39" t="n">
        <f aca="false">IF(G100="","",MAX(0,G100-J100/100))</f>
        <v>0.645486809910868</v>
      </c>
      <c r="L100" s="39" t="n">
        <f aca="false">IF(G100="","",MIN(1,G100+J100/100))</f>
        <v>0.710573796149739</v>
      </c>
      <c r="M100" s="21" t="n">
        <f aca="false">ROUND(Q100*S100,0)</f>
        <v>41</v>
      </c>
      <c r="N100" s="21" t="n">
        <f aca="false">ROUND(SQRT((F100*J100/100)^2+(G100*M100)^2),0)</f>
        <v>33</v>
      </c>
      <c r="P100" s="41" t="n">
        <v>14.8585200458216</v>
      </c>
      <c r="Q100" s="42" t="n">
        <v>527.947402149296</v>
      </c>
      <c r="R100" s="43" t="n">
        <f aca="false">MAX(0,MIN(1,P100/100+$D$5))</f>
        <v>0.677240952691393</v>
      </c>
      <c r="S100" s="43" t="n">
        <v>0.0779420971553049</v>
      </c>
      <c r="T100" s="44" t="s">
        <v>90</v>
      </c>
    </row>
    <row r="101" customFormat="false" ht="15" hidden="false" customHeight="false" outlineLevel="0" collapsed="false">
      <c r="A101" s="38" t="s">
        <v>157</v>
      </c>
      <c r="B101" s="38" t="s">
        <v>159</v>
      </c>
      <c r="C101" s="38" t="s">
        <v>198</v>
      </c>
      <c r="D101" s="21" t="n">
        <f aca="false">ROUND(Q101*R101,0)</f>
        <v>290</v>
      </c>
      <c r="E101" s="21" t="n">
        <f aca="false">ROUND(Q101,0)-D101</f>
        <v>167</v>
      </c>
      <c r="F101" s="21" t="n">
        <f aca="false">IF(COUNTA(D101:E101)=0,"",SUM(D101:E101))</f>
        <v>457</v>
      </c>
      <c r="G101" s="39" t="n">
        <f aca="false">IF(OR(F101="",F101=0),"",D101/F101)</f>
        <v>0.634573304157549</v>
      </c>
      <c r="H101" s="39" t="n">
        <f aca="false">IF(OR(F101="",F101=0),"",E101/F101)</f>
        <v>0.365426695842451</v>
      </c>
      <c r="I101" s="38" t="s">
        <v>89</v>
      </c>
      <c r="J101" s="40" t="n">
        <v>3.25434931194355</v>
      </c>
      <c r="K101" s="39" t="n">
        <f aca="false">IF(G101="","",MAX(0,G101-J101/100))</f>
        <v>0.602029811038114</v>
      </c>
      <c r="L101" s="39" t="n">
        <f aca="false">IF(G101="","",MIN(1,G101+J101/100))</f>
        <v>0.667116797276985</v>
      </c>
      <c r="M101" s="21" t="n">
        <f aca="false">ROUND(Q101*S101,0)</f>
        <v>36</v>
      </c>
      <c r="N101" s="21" t="n">
        <f aca="false">ROUND(SQRT((F101*J101/100)^2+(G101*M101)^2),0)</f>
        <v>27</v>
      </c>
      <c r="P101" s="41" t="n">
        <v>10.6001332006283</v>
      </c>
      <c r="Q101" s="42" t="n">
        <v>457.198355310868</v>
      </c>
      <c r="R101" s="43" t="n">
        <f aca="false">MAX(0,MIN(1,P101/100+$D$5))</f>
        <v>0.63465708423946</v>
      </c>
      <c r="S101" s="43" t="n">
        <v>0.0779420971553049</v>
      </c>
      <c r="T101" s="44" t="s">
        <v>90</v>
      </c>
    </row>
    <row r="102" customFormat="false" ht="15" hidden="false" customHeight="false" outlineLevel="0" collapsed="false">
      <c r="A102" s="38" t="s">
        <v>157</v>
      </c>
      <c r="B102" s="38" t="s">
        <v>159</v>
      </c>
      <c r="C102" s="38" t="s">
        <v>199</v>
      </c>
      <c r="D102" s="21" t="n">
        <f aca="false">ROUND(Q102*R102,0)</f>
        <v>236</v>
      </c>
      <c r="E102" s="21" t="n">
        <f aca="false">ROUND(Q102,0)-D102</f>
        <v>117</v>
      </c>
      <c r="F102" s="21" t="n">
        <f aca="false">IF(COUNTA(D102:E102)=0,"",SUM(D102:E102))</f>
        <v>353</v>
      </c>
      <c r="G102" s="39" t="n">
        <f aca="false">IF(OR(F102="",F102=0),"",D102/F102)</f>
        <v>0.668555240793201</v>
      </c>
      <c r="H102" s="39" t="n">
        <f aca="false">IF(OR(F102="",F102=0),"",E102/F102)</f>
        <v>0.331444759206799</v>
      </c>
      <c r="I102" s="38" t="s">
        <v>89</v>
      </c>
      <c r="J102" s="40" t="n">
        <v>3.25434931194355</v>
      </c>
      <c r="K102" s="39" t="n">
        <f aca="false">IF(G102="","",MAX(0,G102-J102/100))</f>
        <v>0.636011747673766</v>
      </c>
      <c r="L102" s="39" t="n">
        <f aca="false">IF(G102="","",MIN(1,G102+J102/100))</f>
        <v>0.701098733912637</v>
      </c>
      <c r="M102" s="21" t="n">
        <f aca="false">ROUND(Q102*S102,0)</f>
        <v>28</v>
      </c>
      <c r="N102" s="21" t="n">
        <f aca="false">ROUND(SQRT((F102*J102/100)^2+(G102*M102)^2),0)</f>
        <v>22</v>
      </c>
      <c r="P102" s="41" t="n">
        <v>14.0944750986042</v>
      </c>
      <c r="Q102" s="42" t="n">
        <v>353.136564399273</v>
      </c>
      <c r="R102" s="43" t="n">
        <f aca="false">MAX(0,MIN(1,P102/100+$D$5))</f>
        <v>0.669600503219219</v>
      </c>
      <c r="S102" s="43" t="n">
        <v>0.0779420971553049</v>
      </c>
      <c r="T102" s="44" t="s">
        <v>90</v>
      </c>
    </row>
    <row r="103" customFormat="false" ht="15" hidden="false" customHeight="false" outlineLevel="0" collapsed="false">
      <c r="A103" s="38" t="s">
        <v>157</v>
      </c>
      <c r="B103" s="38" t="s">
        <v>159</v>
      </c>
      <c r="C103" s="38" t="s">
        <v>200</v>
      </c>
      <c r="D103" s="21" t="n">
        <f aca="false">ROUND(Q103*R103,0)</f>
        <v>415</v>
      </c>
      <c r="E103" s="21" t="n">
        <f aca="false">ROUND(Q103,0)-D103</f>
        <v>233</v>
      </c>
      <c r="F103" s="21" t="n">
        <f aca="false">IF(COUNTA(D103:E103)=0,"",SUM(D103:E103))</f>
        <v>648</v>
      </c>
      <c r="G103" s="39" t="n">
        <f aca="false">IF(OR(F103="",F103=0),"",D103/F103)</f>
        <v>0.640432098765432</v>
      </c>
      <c r="H103" s="39" t="n">
        <f aca="false">IF(OR(F103="",F103=0),"",E103/F103)</f>
        <v>0.359567901234568</v>
      </c>
      <c r="I103" s="38" t="s">
        <v>89</v>
      </c>
      <c r="J103" s="40" t="n">
        <v>3.25434931194355</v>
      </c>
      <c r="K103" s="39" t="n">
        <f aca="false">IF(G103="","",MAX(0,G103-J103/100))</f>
        <v>0.607888605645997</v>
      </c>
      <c r="L103" s="39" t="n">
        <f aca="false">IF(G103="","",MIN(1,G103+J103/100))</f>
        <v>0.672975591884868</v>
      </c>
      <c r="M103" s="21" t="n">
        <f aca="false">ROUND(Q103*S103,0)</f>
        <v>50</v>
      </c>
      <c r="N103" s="21" t="n">
        <f aca="false">ROUND(SQRT((F103*J103/100)^2+(G103*M103)^2),0)</f>
        <v>38</v>
      </c>
      <c r="P103" s="41" t="n">
        <v>11.2220836134468</v>
      </c>
      <c r="Q103" s="42" t="n">
        <v>647.561781370313</v>
      </c>
      <c r="R103" s="43" t="n">
        <f aca="false">MAX(0,MIN(1,P103/100+$D$5))</f>
        <v>0.640876588367645</v>
      </c>
      <c r="S103" s="43" t="n">
        <v>0.0779420971553049</v>
      </c>
      <c r="T103" s="44" t="s">
        <v>90</v>
      </c>
    </row>
    <row r="104" customFormat="false" ht="15" hidden="false" customHeight="false" outlineLevel="0" collapsed="false">
      <c r="A104" s="38" t="s">
        <v>157</v>
      </c>
      <c r="B104" s="38" t="s">
        <v>159</v>
      </c>
      <c r="C104" s="38" t="s">
        <v>201</v>
      </c>
      <c r="D104" s="21" t="n">
        <f aca="false">ROUND(Q104*R104,0)</f>
        <v>1</v>
      </c>
      <c r="E104" s="21" t="n">
        <f aca="false">ROUND(Q104,0)-D104</f>
        <v>1</v>
      </c>
      <c r="F104" s="21" t="n">
        <f aca="false">IF(COUNTA(D104:E104)=0,"",SUM(D104:E104))</f>
        <v>2</v>
      </c>
      <c r="G104" s="39" t="n">
        <f aca="false">IF(OR(F104="",F104=0),"",D104/F104)</f>
        <v>0.5</v>
      </c>
      <c r="H104" s="39" t="n">
        <f aca="false">IF(OR(F104="",F104=0),"",E104/F104)</f>
        <v>0.5</v>
      </c>
      <c r="I104" s="38" t="s">
        <v>191</v>
      </c>
      <c r="J104" s="40" t="n">
        <v>3.25434931194355</v>
      </c>
      <c r="K104" s="39" t="n">
        <f aca="false">IF(G104="","",MAX(0,G104-J104/100))</f>
        <v>0.467456506880565</v>
      </c>
      <c r="L104" s="39" t="n">
        <f aca="false">IF(G104="","",MIN(1,G104+J104/100))</f>
        <v>0.532543493119436</v>
      </c>
      <c r="M104" s="21" t="n">
        <f aca="false">ROUND(Q104*S104,0)</f>
        <v>0</v>
      </c>
      <c r="N104" s="21" t="n">
        <f aca="false">ROUND(SQRT((F104*J104/100)^2+(G104*M104)^2),0)</f>
        <v>0</v>
      </c>
      <c r="P104" s="41" t="n">
        <v>-0.678609104184326</v>
      </c>
      <c r="Q104" s="42" t="n">
        <v>2.31659471211327</v>
      </c>
      <c r="R104" s="43" t="n">
        <f aca="false">MAX(0,MIN(1,P104/100+$D$5))</f>
        <v>0.521869661191333</v>
      </c>
      <c r="S104" s="43" t="n">
        <v>0.0779420971553049</v>
      </c>
      <c r="T104" s="44" t="s">
        <v>90</v>
      </c>
    </row>
    <row r="105" customFormat="false" ht="15" hidden="false" customHeight="false" outlineLevel="0" collapsed="false">
      <c r="A105" s="38" t="s">
        <v>157</v>
      </c>
      <c r="B105" s="38" t="s">
        <v>159</v>
      </c>
      <c r="C105" s="38" t="s">
        <v>202</v>
      </c>
      <c r="D105" s="21" t="n">
        <f aca="false">ROUND(Q105*R105,0)</f>
        <v>487</v>
      </c>
      <c r="E105" s="21" t="n">
        <f aca="false">ROUND(Q105,0)-D105</f>
        <v>256</v>
      </c>
      <c r="F105" s="21" t="n">
        <f aca="false">IF(COUNTA(D105:E105)=0,"",SUM(D105:E105))</f>
        <v>743</v>
      </c>
      <c r="G105" s="39" t="n">
        <f aca="false">IF(OR(F105="",F105=0),"",D105/F105)</f>
        <v>0.655450874831763</v>
      </c>
      <c r="H105" s="39" t="n">
        <f aca="false">IF(OR(F105="",F105=0),"",E105/F105)</f>
        <v>0.344549125168237</v>
      </c>
      <c r="I105" s="38" t="s">
        <v>89</v>
      </c>
      <c r="J105" s="40" t="n">
        <v>3.25434931194355</v>
      </c>
      <c r="K105" s="39" t="n">
        <f aca="false">IF(G105="","",MAX(0,G105-J105/100))</f>
        <v>0.622907381712328</v>
      </c>
      <c r="L105" s="39" t="n">
        <f aca="false">IF(G105="","",MIN(1,G105+J105/100))</f>
        <v>0.687994367951199</v>
      </c>
      <c r="M105" s="21" t="n">
        <f aca="false">ROUND(Q105*S105,0)</f>
        <v>58</v>
      </c>
      <c r="N105" s="21" t="n">
        <f aca="false">ROUND(SQRT((F105*J105/100)^2+(G105*M105)^2),0)</f>
        <v>45</v>
      </c>
      <c r="P105" s="41" t="n">
        <v>12.7320617549059</v>
      </c>
      <c r="Q105" s="42" t="n">
        <v>742.856692135741</v>
      </c>
      <c r="R105" s="43" t="n">
        <f aca="false">MAX(0,MIN(1,P105/100+$D$5))</f>
        <v>0.655976369782236</v>
      </c>
      <c r="S105" s="43" t="n">
        <v>0.0779420971553049</v>
      </c>
      <c r="T105" s="44" t="s">
        <v>90</v>
      </c>
    </row>
    <row r="106" customFormat="false" ht="15" hidden="false" customHeight="false" outlineLevel="0" collapsed="false">
      <c r="A106" s="38" t="s">
        <v>157</v>
      </c>
      <c r="B106" s="38" t="s">
        <v>159</v>
      </c>
      <c r="C106" s="38" t="s">
        <v>203</v>
      </c>
      <c r="D106" s="21" t="n">
        <f aca="false">ROUND(Q106*R106,0)</f>
        <v>217</v>
      </c>
      <c r="E106" s="21" t="n">
        <f aca="false">ROUND(Q106,0)-D106</f>
        <v>66</v>
      </c>
      <c r="F106" s="21" t="n">
        <f aca="false">IF(COUNTA(D106:E106)=0,"",SUM(D106:E106))</f>
        <v>283</v>
      </c>
      <c r="G106" s="39" t="n">
        <f aca="false">IF(OR(F106="",F106=0),"",D106/F106)</f>
        <v>0.76678445229682</v>
      </c>
      <c r="H106" s="39" t="n">
        <f aca="false">IF(OR(F106="",F106=0),"",E106/F106)</f>
        <v>0.23321554770318</v>
      </c>
      <c r="I106" s="38" t="s">
        <v>89</v>
      </c>
      <c r="J106" s="40" t="n">
        <v>3.25434931194355</v>
      </c>
      <c r="K106" s="39" t="n">
        <f aca="false">IF(G106="","",MAX(0,G106-J106/100))</f>
        <v>0.734240959177384</v>
      </c>
      <c r="L106" s="39" t="n">
        <f aca="false">IF(G106="","",MIN(1,G106+J106/100))</f>
        <v>0.799327945416255</v>
      </c>
      <c r="M106" s="21" t="n">
        <f aca="false">ROUND(Q106*S106,0)</f>
        <v>22</v>
      </c>
      <c r="N106" s="21" t="n">
        <f aca="false">ROUND(SQRT((F106*J106/100)^2+(G106*M106)^2),0)</f>
        <v>19</v>
      </c>
      <c r="P106" s="41" t="n">
        <v>23.7484071919803</v>
      </c>
      <c r="Q106" s="42" t="n">
        <v>283.222150218582</v>
      </c>
      <c r="R106" s="43" t="n">
        <f aca="false">MAX(0,MIN(1,P106/100+$D$5))</f>
        <v>0.766139824152979</v>
      </c>
      <c r="S106" s="43" t="n">
        <v>0.0779420971553049</v>
      </c>
      <c r="T106" s="44" t="s">
        <v>90</v>
      </c>
    </row>
    <row r="107" customFormat="false" ht="15" hidden="false" customHeight="false" outlineLevel="0" collapsed="false">
      <c r="A107" s="38" t="s">
        <v>157</v>
      </c>
      <c r="B107" s="38" t="s">
        <v>159</v>
      </c>
      <c r="C107" s="38" t="s">
        <v>204</v>
      </c>
      <c r="D107" s="21" t="n">
        <f aca="false">ROUND(Q107*R107,0)</f>
        <v>204</v>
      </c>
      <c r="E107" s="21" t="n">
        <f aca="false">ROUND(Q107,0)-D107</f>
        <v>74</v>
      </c>
      <c r="F107" s="21" t="n">
        <f aca="false">IF(COUNTA(D107:E107)=0,"",SUM(D107:E107))</f>
        <v>278</v>
      </c>
      <c r="G107" s="39" t="n">
        <f aca="false">IF(OR(F107="",F107=0),"",D107/F107)</f>
        <v>0.733812949640288</v>
      </c>
      <c r="H107" s="39" t="n">
        <f aca="false">IF(OR(F107="",F107=0),"",E107/F107)</f>
        <v>0.266187050359712</v>
      </c>
      <c r="I107" s="38" t="s">
        <v>89</v>
      </c>
      <c r="J107" s="40" t="n">
        <v>3.25434931194355</v>
      </c>
      <c r="K107" s="39" t="n">
        <f aca="false">IF(G107="","",MAX(0,G107-J107/100))</f>
        <v>0.701269456520852</v>
      </c>
      <c r="L107" s="39" t="n">
        <f aca="false">IF(G107="","",MIN(1,G107+J107/100))</f>
        <v>0.766356442759723</v>
      </c>
      <c r="M107" s="21" t="n">
        <f aca="false">ROUND(Q107*S107,0)</f>
        <v>22</v>
      </c>
      <c r="N107" s="21" t="n">
        <f aca="false">ROUND(SQRT((F107*J107/100)^2+(G107*M107)^2),0)</f>
        <v>19</v>
      </c>
      <c r="P107" s="41" t="n">
        <v>20.5873177389921</v>
      </c>
      <c r="Q107" s="42" t="n">
        <v>277.951965617069</v>
      </c>
      <c r="R107" s="43" t="n">
        <f aca="false">MAX(0,MIN(1,P107/100+$D$5))</f>
        <v>0.734528929623097</v>
      </c>
      <c r="S107" s="43" t="n">
        <v>0.0779420971553049</v>
      </c>
      <c r="T107" s="44" t="s">
        <v>90</v>
      </c>
    </row>
    <row r="108" customFormat="false" ht="15" hidden="false" customHeight="false" outlineLevel="0" collapsed="false">
      <c r="A108" s="38" t="s">
        <v>157</v>
      </c>
      <c r="B108" s="38" t="s">
        <v>159</v>
      </c>
      <c r="C108" s="38" t="s">
        <v>205</v>
      </c>
      <c r="D108" s="21" t="n">
        <f aca="false">ROUND(Q108*R108,0)</f>
        <v>425</v>
      </c>
      <c r="E108" s="21" t="n">
        <f aca="false">ROUND(Q108,0)-D108</f>
        <v>135</v>
      </c>
      <c r="F108" s="21" t="n">
        <f aca="false">IF(COUNTA(D108:E108)=0,"",SUM(D108:E108))</f>
        <v>560</v>
      </c>
      <c r="G108" s="39" t="n">
        <f aca="false">IF(OR(F108="",F108=0),"",D108/F108)</f>
        <v>0.758928571428571</v>
      </c>
      <c r="H108" s="39" t="n">
        <f aca="false">IF(OR(F108="",F108=0),"",E108/F108)</f>
        <v>0.241071428571429</v>
      </c>
      <c r="I108" s="38" t="s">
        <v>89</v>
      </c>
      <c r="J108" s="40" t="n">
        <v>3.25434931194355</v>
      </c>
      <c r="K108" s="39" t="n">
        <f aca="false">IF(G108="","",MAX(0,G108-J108/100))</f>
        <v>0.726385078309136</v>
      </c>
      <c r="L108" s="39" t="n">
        <f aca="false">IF(G108="","",MIN(1,G108+J108/100))</f>
        <v>0.791472064548007</v>
      </c>
      <c r="M108" s="21" t="n">
        <f aca="false">ROUND(Q108*S108,0)</f>
        <v>44</v>
      </c>
      <c r="N108" s="21" t="n">
        <f aca="false">ROUND(SQRT((F108*J108/100)^2+(G108*M108)^2),0)</f>
        <v>38</v>
      </c>
      <c r="P108" s="41" t="n">
        <v>22.9126609424909</v>
      </c>
      <c r="Q108" s="42" t="n">
        <v>560.255514531086</v>
      </c>
      <c r="R108" s="43" t="n">
        <f aca="false">MAX(0,MIN(1,P108/100+$D$5))</f>
        <v>0.757782361658085</v>
      </c>
      <c r="S108" s="43" t="n">
        <v>0.0779420971553049</v>
      </c>
      <c r="T108" s="44" t="s">
        <v>90</v>
      </c>
    </row>
    <row r="109" customFormat="false" ht="15" hidden="false" customHeight="false" outlineLevel="0" collapsed="false">
      <c r="A109" s="38" t="s">
        <v>157</v>
      </c>
      <c r="B109" s="38" t="s">
        <v>159</v>
      </c>
      <c r="C109" s="38" t="s">
        <v>206</v>
      </c>
      <c r="D109" s="21" t="n">
        <f aca="false">ROUND(Q109*R109,0)</f>
        <v>157</v>
      </c>
      <c r="E109" s="21" t="n">
        <f aca="false">ROUND(Q109,0)-D109</f>
        <v>60</v>
      </c>
      <c r="F109" s="21" t="n">
        <f aca="false">IF(COUNTA(D109:E109)=0,"",SUM(D109:E109))</f>
        <v>217</v>
      </c>
      <c r="G109" s="39" t="n">
        <f aca="false">IF(OR(F109="",F109=0),"",D109/F109)</f>
        <v>0.723502304147465</v>
      </c>
      <c r="H109" s="39" t="n">
        <f aca="false">IF(OR(F109="",F109=0),"",E109/F109)</f>
        <v>0.276497695852535</v>
      </c>
      <c r="I109" s="38" t="s">
        <v>89</v>
      </c>
      <c r="J109" s="40" t="n">
        <v>3.25434931194355</v>
      </c>
      <c r="K109" s="39" t="n">
        <f aca="false">IF(G109="","",MAX(0,G109-J109/100))</f>
        <v>0.69095881102803</v>
      </c>
      <c r="L109" s="39" t="n">
        <f aca="false">IF(G109="","",MIN(1,G109+J109/100))</f>
        <v>0.756045797266901</v>
      </c>
      <c r="M109" s="21" t="n">
        <f aca="false">ROUND(Q109*S109,0)</f>
        <v>17</v>
      </c>
      <c r="N109" s="21" t="n">
        <f aca="false">ROUND(SQRT((F109*J109/100)^2+(G109*M109)^2),0)</f>
        <v>14</v>
      </c>
      <c r="P109" s="41" t="n">
        <v>19.5998062271024</v>
      </c>
      <c r="Q109" s="42" t="n">
        <v>216.982404433821</v>
      </c>
      <c r="R109" s="43" t="n">
        <f aca="false">MAX(0,MIN(1,P109/100+$D$5))</f>
        <v>0.724653814504201</v>
      </c>
      <c r="S109" s="43" t="n">
        <v>0.0779420971553049</v>
      </c>
      <c r="T109" s="44" t="s">
        <v>90</v>
      </c>
    </row>
    <row r="110" customFormat="false" ht="15" hidden="false" customHeight="false" outlineLevel="0" collapsed="false">
      <c r="A110" s="38" t="s">
        <v>157</v>
      </c>
      <c r="B110" s="38" t="s">
        <v>159</v>
      </c>
      <c r="C110" s="38" t="s">
        <v>207</v>
      </c>
      <c r="D110" s="21" t="n">
        <f aca="false">ROUND(Q110*R110,0)</f>
        <v>238</v>
      </c>
      <c r="E110" s="21" t="n">
        <f aca="false">ROUND(Q110,0)-D110</f>
        <v>66</v>
      </c>
      <c r="F110" s="21" t="n">
        <f aca="false">IF(COUNTA(D110:E110)=0,"",SUM(D110:E110))</f>
        <v>304</v>
      </c>
      <c r="G110" s="39" t="n">
        <f aca="false">IF(OR(F110="",F110=0),"",D110/F110)</f>
        <v>0.782894736842105</v>
      </c>
      <c r="H110" s="39" t="n">
        <f aca="false">IF(OR(F110="",F110=0),"",E110/F110)</f>
        <v>0.217105263157895</v>
      </c>
      <c r="I110" s="38" t="s">
        <v>89</v>
      </c>
      <c r="J110" s="40" t="n">
        <v>3.25434931194355</v>
      </c>
      <c r="K110" s="39" t="n">
        <f aca="false">IF(G110="","",MAX(0,G110-J110/100))</f>
        <v>0.75035124372267</v>
      </c>
      <c r="L110" s="39" t="n">
        <f aca="false">IF(G110="","",MIN(1,G110+J110/100))</f>
        <v>0.815438229961541</v>
      </c>
      <c r="M110" s="21" t="n">
        <f aca="false">ROUND(Q110*S110,0)</f>
        <v>24</v>
      </c>
      <c r="N110" s="21" t="n">
        <f aca="false">ROUND(SQRT((F110*J110/100)^2+(G110*M110)^2),0)</f>
        <v>21</v>
      </c>
      <c r="P110" s="41" t="n">
        <v>25.6208097991297</v>
      </c>
      <c r="Q110" s="42" t="n">
        <v>303.605065778775</v>
      </c>
      <c r="R110" s="43" t="n">
        <f aca="false">MAX(0,MIN(1,P110/100+$D$5))</f>
        <v>0.784863850224474</v>
      </c>
      <c r="S110" s="43" t="n">
        <v>0.0779420971553049</v>
      </c>
      <c r="T110" s="44" t="s">
        <v>90</v>
      </c>
    </row>
    <row r="111" customFormat="false" ht="15" hidden="false" customHeight="false" outlineLevel="0" collapsed="false">
      <c r="A111" s="38" t="s">
        <v>157</v>
      </c>
      <c r="B111" s="38" t="s">
        <v>159</v>
      </c>
      <c r="C111" s="38" t="s">
        <v>208</v>
      </c>
      <c r="D111" s="21" t="n">
        <f aca="false">ROUND(Q111*R111,0)</f>
        <v>73</v>
      </c>
      <c r="E111" s="21" t="n">
        <f aca="false">ROUND(Q111,0)-D111</f>
        <v>34</v>
      </c>
      <c r="F111" s="21" t="n">
        <f aca="false">IF(COUNTA(D111:E111)=0,"",SUM(D111:E111))</f>
        <v>107</v>
      </c>
      <c r="G111" s="39" t="n">
        <f aca="false">IF(OR(F111="",F111=0),"",D111/F111)</f>
        <v>0.682242990654206</v>
      </c>
      <c r="H111" s="39" t="n">
        <f aca="false">IF(OR(F111="",F111=0),"",E111/F111)</f>
        <v>0.317757009345794</v>
      </c>
      <c r="I111" s="38" t="s">
        <v>89</v>
      </c>
      <c r="J111" s="40" t="n">
        <v>3.25434931194355</v>
      </c>
      <c r="K111" s="39" t="n">
        <f aca="false">IF(G111="","",MAX(0,G111-J111/100))</f>
        <v>0.64969949753477</v>
      </c>
      <c r="L111" s="39" t="n">
        <f aca="false">IF(G111="","",MIN(1,G111+J111/100))</f>
        <v>0.714786483773641</v>
      </c>
      <c r="M111" s="21" t="n">
        <f aca="false">ROUND(Q111*S111,0)</f>
        <v>8</v>
      </c>
      <c r="N111" s="21" t="n">
        <f aca="false">ROUND(SQRT((F111*J111/100)^2+(G111*M111)^2),0)</f>
        <v>6</v>
      </c>
      <c r="P111" s="41" t="n">
        <v>15.3334924353977</v>
      </c>
      <c r="Q111" s="42" t="n">
        <v>107.129719339103</v>
      </c>
      <c r="R111" s="43" t="n">
        <f aca="false">MAX(0,MIN(1,P111/100+$D$5))</f>
        <v>0.681990676587153</v>
      </c>
      <c r="S111" s="43" t="n">
        <v>0.0779420971553049</v>
      </c>
      <c r="T111" s="44" t="s">
        <v>90</v>
      </c>
    </row>
    <row r="112" customFormat="false" ht="15" hidden="false" customHeight="false" outlineLevel="0" collapsed="false">
      <c r="A112" s="38" t="s">
        <v>157</v>
      </c>
      <c r="B112" s="38" t="s">
        <v>159</v>
      </c>
      <c r="C112" s="38" t="s">
        <v>209</v>
      </c>
      <c r="D112" s="21" t="n">
        <f aca="false">ROUND(Q112*R112,0)</f>
        <v>173</v>
      </c>
      <c r="E112" s="21" t="n">
        <f aca="false">ROUND(Q112,0)-D112</f>
        <v>87</v>
      </c>
      <c r="F112" s="21" t="n">
        <f aca="false">IF(COUNTA(D112:E112)=0,"",SUM(D112:E112))</f>
        <v>260</v>
      </c>
      <c r="G112" s="39" t="n">
        <f aca="false">IF(OR(F112="",F112=0),"",D112/F112)</f>
        <v>0.665384615384615</v>
      </c>
      <c r="H112" s="39" t="n">
        <f aca="false">IF(OR(F112="",F112=0),"",E112/F112)</f>
        <v>0.334615384615385</v>
      </c>
      <c r="I112" s="38" t="s">
        <v>89</v>
      </c>
      <c r="J112" s="40" t="n">
        <v>3.25434931194355</v>
      </c>
      <c r="K112" s="39" t="n">
        <f aca="false">IF(G112="","",MAX(0,G112-J112/100))</f>
        <v>0.63284112226518</v>
      </c>
      <c r="L112" s="39" t="n">
        <f aca="false">IF(G112="","",MIN(1,G112+J112/100))</f>
        <v>0.697928108504051</v>
      </c>
      <c r="M112" s="21" t="n">
        <f aca="false">ROUND(Q112*S112,0)</f>
        <v>20</v>
      </c>
      <c r="N112" s="21" t="n">
        <f aca="false">ROUND(SQRT((F112*J112/100)^2+(G112*M112)^2),0)</f>
        <v>16</v>
      </c>
      <c r="P112" s="41" t="n">
        <v>13.8501441976774</v>
      </c>
      <c r="Q112" s="42" t="n">
        <v>259.975509640433</v>
      </c>
      <c r="R112" s="43" t="n">
        <f aca="false">MAX(0,MIN(1,P112/100+$D$5))</f>
        <v>0.667157194209951</v>
      </c>
      <c r="S112" s="43" t="n">
        <v>0.0779420971553049</v>
      </c>
      <c r="T112" s="44" t="s">
        <v>90</v>
      </c>
    </row>
    <row r="113" customFormat="false" ht="15" hidden="false" customHeight="false" outlineLevel="0" collapsed="false">
      <c r="A113" s="38" t="s">
        <v>157</v>
      </c>
      <c r="B113" s="38" t="s">
        <v>159</v>
      </c>
      <c r="C113" s="38" t="s">
        <v>210</v>
      </c>
      <c r="D113" s="21" t="n">
        <f aca="false">ROUND(Q113*R113,0)</f>
        <v>269</v>
      </c>
      <c r="E113" s="21" t="n">
        <f aca="false">ROUND(Q113,0)-D113</f>
        <v>83</v>
      </c>
      <c r="F113" s="21" t="n">
        <f aca="false">IF(COUNTA(D113:E113)=0,"",SUM(D113:E113))</f>
        <v>352</v>
      </c>
      <c r="G113" s="39" t="n">
        <f aca="false">IF(OR(F113="",F113=0),"",D113/F113)</f>
        <v>0.764204545454545</v>
      </c>
      <c r="H113" s="39" t="n">
        <f aca="false">IF(OR(F113="",F113=0),"",E113/F113)</f>
        <v>0.235795454545455</v>
      </c>
      <c r="I113" s="38" t="s">
        <v>89</v>
      </c>
      <c r="J113" s="40" t="n">
        <v>3.25434931194355</v>
      </c>
      <c r="K113" s="39" t="n">
        <f aca="false">IF(G113="","",MAX(0,G113-J113/100))</f>
        <v>0.73166105233511</v>
      </c>
      <c r="L113" s="39" t="n">
        <f aca="false">IF(G113="","",MIN(1,G113+J113/100))</f>
        <v>0.796748038573981</v>
      </c>
      <c r="M113" s="21" t="n">
        <f aca="false">ROUND(Q113*S113,0)</f>
        <v>27</v>
      </c>
      <c r="N113" s="21" t="n">
        <f aca="false">ROUND(SQRT((F113*J113/100)^2+(G113*M113)^2),0)</f>
        <v>24</v>
      </c>
      <c r="P113" s="41" t="n">
        <v>23.7011730792</v>
      </c>
      <c r="Q113" s="42" t="n">
        <v>351.741038872648</v>
      </c>
      <c r="R113" s="43" t="n">
        <f aca="false">MAX(0,MIN(1,P113/100+$D$5))</f>
        <v>0.765667483025177</v>
      </c>
      <c r="S113" s="43" t="n">
        <v>0.0779420971553049</v>
      </c>
      <c r="T113" s="44" t="s">
        <v>90</v>
      </c>
    </row>
    <row r="114" customFormat="false" ht="15" hidden="false" customHeight="false" outlineLevel="0" collapsed="false">
      <c r="A114" s="38" t="s">
        <v>157</v>
      </c>
      <c r="B114" s="38" t="s">
        <v>159</v>
      </c>
      <c r="C114" s="38" t="s">
        <v>211</v>
      </c>
      <c r="D114" s="21" t="n">
        <f aca="false">ROUND(Q114*R114,0)</f>
        <v>97</v>
      </c>
      <c r="E114" s="21" t="n">
        <f aca="false">ROUND(Q114,0)-D114</f>
        <v>29</v>
      </c>
      <c r="F114" s="21" t="n">
        <f aca="false">IF(COUNTA(D114:E114)=0,"",SUM(D114:E114))</f>
        <v>126</v>
      </c>
      <c r="G114" s="39" t="n">
        <f aca="false">IF(OR(F114="",F114=0),"",D114/F114)</f>
        <v>0.76984126984127</v>
      </c>
      <c r="H114" s="39" t="n">
        <f aca="false">IF(OR(F114="",F114=0),"",E114/F114)</f>
        <v>0.23015873015873</v>
      </c>
      <c r="I114" s="38" t="s">
        <v>89</v>
      </c>
      <c r="J114" s="40" t="n">
        <v>3.25434931194355</v>
      </c>
      <c r="K114" s="39" t="n">
        <f aca="false">IF(G114="","",MAX(0,G114-J114/100))</f>
        <v>0.737297776721834</v>
      </c>
      <c r="L114" s="39" t="n">
        <f aca="false">IF(G114="","",MIN(1,G114+J114/100))</f>
        <v>0.802384762960705</v>
      </c>
      <c r="M114" s="21" t="n">
        <f aca="false">ROUND(Q114*S114,0)</f>
        <v>10</v>
      </c>
      <c r="N114" s="21" t="n">
        <f aca="false">ROUND(SQRT((F114*J114/100)^2+(G114*M114)^2),0)</f>
        <v>9</v>
      </c>
      <c r="P114" s="41" t="n">
        <v>24.1276838163281</v>
      </c>
      <c r="Q114" s="42" t="n">
        <v>125.606529711477</v>
      </c>
      <c r="R114" s="43" t="n">
        <f aca="false">MAX(0,MIN(1,P114/100+$D$5))</f>
        <v>0.769932590396457</v>
      </c>
      <c r="S114" s="43" t="n">
        <v>0.0779420971553049</v>
      </c>
      <c r="T114" s="44" t="s">
        <v>90</v>
      </c>
    </row>
    <row r="115" customFormat="false" ht="15" hidden="false" customHeight="false" outlineLevel="0" collapsed="false">
      <c r="A115" s="38" t="s">
        <v>157</v>
      </c>
      <c r="B115" s="38" t="s">
        <v>159</v>
      </c>
      <c r="C115" s="38" t="s">
        <v>212</v>
      </c>
      <c r="D115" s="21" t="n">
        <f aca="false">ROUND(Q115*R115,0)</f>
        <v>115</v>
      </c>
      <c r="E115" s="21" t="n">
        <f aca="false">ROUND(Q115,0)-D115</f>
        <v>36</v>
      </c>
      <c r="F115" s="21" t="n">
        <f aca="false">IF(COUNTA(D115:E115)=0,"",SUM(D115:E115))</f>
        <v>151</v>
      </c>
      <c r="G115" s="39" t="n">
        <f aca="false">IF(OR(F115="",F115=0),"",D115/F115)</f>
        <v>0.76158940397351</v>
      </c>
      <c r="H115" s="39" t="n">
        <f aca="false">IF(OR(F115="",F115=0),"",E115/F115)</f>
        <v>0.23841059602649</v>
      </c>
      <c r="I115" s="38" t="s">
        <v>89</v>
      </c>
      <c r="J115" s="40" t="n">
        <v>3.25434931194355</v>
      </c>
      <c r="K115" s="39" t="n">
        <f aca="false">IF(G115="","",MAX(0,G115-J115/100))</f>
        <v>0.729045910854074</v>
      </c>
      <c r="L115" s="39" t="n">
        <f aca="false">IF(G115="","",MIN(1,G115+J115/100))</f>
        <v>0.794132897092945</v>
      </c>
      <c r="M115" s="21" t="n">
        <f aca="false">ROUND(Q115*S115,0)</f>
        <v>12</v>
      </c>
      <c r="N115" s="21" t="n">
        <f aca="false">ROUND(SQRT((F115*J115/100)^2+(G115*M115)^2),0)</f>
        <v>10</v>
      </c>
      <c r="P115" s="41" t="n">
        <v>23.2813834948956</v>
      </c>
      <c r="Q115" s="42" t="n">
        <v>151.434007061042</v>
      </c>
      <c r="R115" s="43" t="n">
        <f aca="false">MAX(0,MIN(1,P115/100+$D$5))</f>
        <v>0.761469587182133</v>
      </c>
      <c r="S115" s="43" t="n">
        <v>0.0779420971553049</v>
      </c>
      <c r="T115" s="44" t="s">
        <v>90</v>
      </c>
    </row>
    <row r="116" customFormat="false" ht="15" hidden="false" customHeight="false" outlineLevel="0" collapsed="false">
      <c r="A116" s="38" t="s">
        <v>157</v>
      </c>
      <c r="B116" s="38" t="s">
        <v>159</v>
      </c>
      <c r="C116" s="38" t="s">
        <v>213</v>
      </c>
      <c r="D116" s="21" t="n">
        <f aca="false">ROUND(Q116*R116,0)</f>
        <v>180</v>
      </c>
      <c r="E116" s="21" t="n">
        <f aca="false">ROUND(Q116,0)-D116</f>
        <v>55</v>
      </c>
      <c r="F116" s="21" t="n">
        <f aca="false">IF(COUNTA(D116:E116)=0,"",SUM(D116:E116))</f>
        <v>235</v>
      </c>
      <c r="G116" s="39" t="n">
        <f aca="false">IF(OR(F116="",F116=0),"",D116/F116)</f>
        <v>0.765957446808511</v>
      </c>
      <c r="H116" s="39" t="n">
        <f aca="false">IF(OR(F116="",F116=0),"",E116/F116)</f>
        <v>0.234042553191489</v>
      </c>
      <c r="I116" s="38" t="s">
        <v>89</v>
      </c>
      <c r="J116" s="40" t="n">
        <v>3.25434931194355</v>
      </c>
      <c r="K116" s="39" t="n">
        <f aca="false">IF(G116="","",MAX(0,G116-J116/100))</f>
        <v>0.733413953689075</v>
      </c>
      <c r="L116" s="39" t="n">
        <f aca="false">IF(G116="","",MIN(1,G116+J116/100))</f>
        <v>0.798500939927946</v>
      </c>
      <c r="M116" s="21" t="n">
        <f aca="false">ROUND(Q116*S116,0)</f>
        <v>18</v>
      </c>
      <c r="N116" s="21" t="n">
        <f aca="false">ROUND(SQRT((F116*J116/100)^2+(G116*M116)^2),0)</f>
        <v>16</v>
      </c>
      <c r="P116" s="41" t="n">
        <v>23.6089067590787</v>
      </c>
      <c r="Q116" s="42" t="n">
        <v>235.098925733802</v>
      </c>
      <c r="R116" s="43" t="n">
        <f aca="false">MAX(0,MIN(1,P116/100+$D$5))</f>
        <v>0.764744819823964</v>
      </c>
      <c r="S116" s="43" t="n">
        <v>0.0779420971553049</v>
      </c>
      <c r="T116" s="44" t="s">
        <v>90</v>
      </c>
    </row>
    <row r="117" customFormat="false" ht="15" hidden="false" customHeight="false" outlineLevel="0" collapsed="false">
      <c r="A117" s="38" t="s">
        <v>157</v>
      </c>
      <c r="B117" s="38" t="s">
        <v>159</v>
      </c>
      <c r="C117" s="38" t="s">
        <v>214</v>
      </c>
      <c r="D117" s="21" t="n">
        <f aca="false">ROUND(Q117*R117,0)</f>
        <v>323</v>
      </c>
      <c r="E117" s="21" t="n">
        <f aca="false">ROUND(Q117,0)-D117</f>
        <v>139</v>
      </c>
      <c r="F117" s="21" t="n">
        <f aca="false">IF(COUNTA(D117:E117)=0,"",SUM(D117:E117))</f>
        <v>462</v>
      </c>
      <c r="G117" s="39" t="n">
        <f aca="false">IF(OR(F117="",F117=0),"",D117/F117)</f>
        <v>0.699134199134199</v>
      </c>
      <c r="H117" s="39" t="n">
        <f aca="false">IF(OR(F117="",F117=0),"",E117/F117)</f>
        <v>0.300865800865801</v>
      </c>
      <c r="I117" s="38" t="s">
        <v>89</v>
      </c>
      <c r="J117" s="40" t="n">
        <v>3.25434931194355</v>
      </c>
      <c r="K117" s="39" t="n">
        <f aca="false">IF(G117="","",MAX(0,G117-J117/100))</f>
        <v>0.666590706014764</v>
      </c>
      <c r="L117" s="39" t="n">
        <f aca="false">IF(G117="","",MIN(1,G117+J117/100))</f>
        <v>0.731677692253635</v>
      </c>
      <c r="M117" s="21" t="n">
        <f aca="false">ROUND(Q117*S117,0)</f>
        <v>36</v>
      </c>
      <c r="N117" s="21" t="n">
        <f aca="false">ROUND(SQRT((F117*J117/100)^2+(G117*M117)^2),0)</f>
        <v>29</v>
      </c>
      <c r="P117" s="41" t="n">
        <v>16.9831563543597</v>
      </c>
      <c r="Q117" s="42" t="n">
        <v>462.172596528696</v>
      </c>
      <c r="R117" s="43" t="n">
        <f aca="false">MAX(0,MIN(1,P117/100+$D$5))</f>
        <v>0.698487315776774</v>
      </c>
      <c r="S117" s="43" t="n">
        <v>0.0779420971553049</v>
      </c>
      <c r="T117" s="44" t="s">
        <v>90</v>
      </c>
    </row>
    <row r="118" customFormat="false" ht="15" hidden="false" customHeight="false" outlineLevel="0" collapsed="false">
      <c r="A118" s="38" t="s">
        <v>157</v>
      </c>
      <c r="B118" s="38" t="s">
        <v>159</v>
      </c>
      <c r="C118" s="38" t="s">
        <v>215</v>
      </c>
      <c r="D118" s="21" t="n">
        <f aca="false">ROUND(Q118*R118,0)</f>
        <v>150</v>
      </c>
      <c r="E118" s="21" t="n">
        <f aca="false">ROUND(Q118,0)-D118</f>
        <v>60</v>
      </c>
      <c r="F118" s="21" t="n">
        <f aca="false">IF(COUNTA(D118:E118)=0,"",SUM(D118:E118))</f>
        <v>210</v>
      </c>
      <c r="G118" s="39" t="n">
        <f aca="false">IF(OR(F118="",F118=0),"",D118/F118)</f>
        <v>0.714285714285714</v>
      </c>
      <c r="H118" s="39" t="n">
        <f aca="false">IF(OR(F118="",F118=0),"",E118/F118)</f>
        <v>0.285714285714286</v>
      </c>
      <c r="I118" s="38" t="s">
        <v>89</v>
      </c>
      <c r="J118" s="40" t="n">
        <v>3.25434931194355</v>
      </c>
      <c r="K118" s="39" t="n">
        <f aca="false">IF(G118="","",MAX(0,G118-J118/100))</f>
        <v>0.681742221166279</v>
      </c>
      <c r="L118" s="39" t="n">
        <f aca="false">IF(G118="","",MIN(1,G118+J118/100))</f>
        <v>0.74682920740515</v>
      </c>
      <c r="M118" s="21" t="n">
        <f aca="false">ROUND(Q118*S118,0)</f>
        <v>16</v>
      </c>
      <c r="N118" s="21" t="n">
        <f aca="false">ROUND(SQRT((F118*J118/100)^2+(G118*M118)^2),0)</f>
        <v>13</v>
      </c>
      <c r="P118" s="41" t="n">
        <v>18.5550979488938</v>
      </c>
      <c r="Q118" s="42" t="n">
        <v>209.924105214183</v>
      </c>
      <c r="R118" s="43" t="n">
        <f aca="false">MAX(0,MIN(1,P118/100+$D$5))</f>
        <v>0.714206731722115</v>
      </c>
      <c r="S118" s="43" t="n">
        <v>0.0779420971553049</v>
      </c>
      <c r="T118" s="44" t="s">
        <v>90</v>
      </c>
    </row>
    <row r="119" customFormat="false" ht="15" hidden="false" customHeight="false" outlineLevel="0" collapsed="false">
      <c r="A119" s="38" t="s">
        <v>157</v>
      </c>
      <c r="B119" s="38" t="s">
        <v>159</v>
      </c>
      <c r="C119" s="38" t="s">
        <v>216</v>
      </c>
      <c r="D119" s="21" t="n">
        <f aca="false">ROUND(Q119*R119,0)</f>
        <v>156</v>
      </c>
      <c r="E119" s="21" t="n">
        <f aca="false">ROUND(Q119,0)-D119</f>
        <v>59</v>
      </c>
      <c r="F119" s="21" t="n">
        <f aca="false">IF(COUNTA(D119:E119)=0,"",SUM(D119:E119))</f>
        <v>215</v>
      </c>
      <c r="G119" s="39" t="n">
        <f aca="false">IF(OR(F119="",F119=0),"",D119/F119)</f>
        <v>0.725581395348837</v>
      </c>
      <c r="H119" s="39" t="n">
        <f aca="false">IF(OR(F119="",F119=0),"",E119/F119)</f>
        <v>0.274418604651163</v>
      </c>
      <c r="I119" s="38" t="s">
        <v>89</v>
      </c>
      <c r="J119" s="40" t="n">
        <v>3.25434931194355</v>
      </c>
      <c r="K119" s="39" t="n">
        <f aca="false">IF(G119="","",MAX(0,G119-J119/100))</f>
        <v>0.693037902229402</v>
      </c>
      <c r="L119" s="39" t="n">
        <f aca="false">IF(G119="","",MIN(1,G119+J119/100))</f>
        <v>0.758124888468273</v>
      </c>
      <c r="M119" s="21" t="n">
        <f aca="false">ROUND(Q119*S119,0)</f>
        <v>17</v>
      </c>
      <c r="N119" s="21" t="n">
        <f aca="false">ROUND(SQRT((F119*J119/100)^2+(G119*M119)^2),0)</f>
        <v>14</v>
      </c>
      <c r="P119" s="41" t="n">
        <v>19.4292233087307</v>
      </c>
      <c r="Q119" s="42" t="n">
        <v>215.1532536966</v>
      </c>
      <c r="R119" s="43" t="n">
        <f aca="false">MAX(0,MIN(1,P119/100+$D$5))</f>
        <v>0.722947985320483</v>
      </c>
      <c r="S119" s="43" t="n">
        <v>0.0779420971553049</v>
      </c>
      <c r="T119" s="44" t="s">
        <v>90</v>
      </c>
    </row>
    <row r="120" customFormat="false" ht="15" hidden="false" customHeight="false" outlineLevel="0" collapsed="false">
      <c r="A120" s="38" t="s">
        <v>157</v>
      </c>
      <c r="B120" s="38" t="s">
        <v>159</v>
      </c>
      <c r="C120" s="38" t="s">
        <v>217</v>
      </c>
      <c r="D120" s="21" t="n">
        <f aca="false">ROUND(Q120*R120,0)</f>
        <v>307</v>
      </c>
      <c r="E120" s="21" t="n">
        <f aca="false">ROUND(Q120,0)-D120</f>
        <v>158</v>
      </c>
      <c r="F120" s="21" t="n">
        <f aca="false">IF(COUNTA(D120:E120)=0,"",SUM(D120:E120))</f>
        <v>465</v>
      </c>
      <c r="G120" s="39" t="n">
        <f aca="false">IF(OR(F120="",F120=0),"",D120/F120)</f>
        <v>0.660215053763441</v>
      </c>
      <c r="H120" s="39" t="n">
        <f aca="false">IF(OR(F120="",F120=0),"",E120/F120)</f>
        <v>0.339784946236559</v>
      </c>
      <c r="I120" s="38" t="s">
        <v>89</v>
      </c>
      <c r="J120" s="40" t="n">
        <v>3.25434931194355</v>
      </c>
      <c r="K120" s="39" t="n">
        <f aca="false">IF(G120="","",MAX(0,G120-J120/100))</f>
        <v>0.627671560644005</v>
      </c>
      <c r="L120" s="39" t="n">
        <f aca="false">IF(G120="","",MIN(1,G120+J120/100))</f>
        <v>0.692758546882876</v>
      </c>
      <c r="M120" s="21" t="n">
        <f aca="false">ROUND(Q120*S120,0)</f>
        <v>36</v>
      </c>
      <c r="N120" s="21" t="n">
        <f aca="false">ROUND(SQRT((F120*J120/100)^2+(G120*M120)^2),0)</f>
        <v>28</v>
      </c>
      <c r="P120" s="41" t="n">
        <v>13.1110919091713</v>
      </c>
      <c r="Q120" s="42" t="n">
        <v>464.77009091137</v>
      </c>
      <c r="R120" s="43" t="n">
        <f aca="false">MAX(0,MIN(1,P120/100+$D$5))</f>
        <v>0.659766671324889</v>
      </c>
      <c r="S120" s="43" t="n">
        <v>0.0779420971553049</v>
      </c>
      <c r="T120" s="44" t="s">
        <v>90</v>
      </c>
    </row>
    <row r="121" customFormat="false" ht="15" hidden="false" customHeight="false" outlineLevel="0" collapsed="false">
      <c r="A121" s="38" t="s">
        <v>157</v>
      </c>
      <c r="B121" s="38" t="s">
        <v>159</v>
      </c>
      <c r="C121" s="38" t="s">
        <v>218</v>
      </c>
      <c r="D121" s="21" t="n">
        <f aca="false">ROUND(Q121*R121,0)</f>
        <v>206</v>
      </c>
      <c r="E121" s="21" t="n">
        <f aca="false">ROUND(Q121,0)-D121</f>
        <v>73</v>
      </c>
      <c r="F121" s="21" t="n">
        <f aca="false">IF(COUNTA(D121:E121)=0,"",SUM(D121:E121))</f>
        <v>279</v>
      </c>
      <c r="G121" s="39" t="n">
        <f aca="false">IF(OR(F121="",F121=0),"",D121/F121)</f>
        <v>0.738351254480287</v>
      </c>
      <c r="H121" s="39" t="n">
        <f aca="false">IF(OR(F121="",F121=0),"",E121/F121)</f>
        <v>0.261648745519713</v>
      </c>
      <c r="I121" s="38" t="s">
        <v>89</v>
      </c>
      <c r="J121" s="40" t="n">
        <v>3.25434931194355</v>
      </c>
      <c r="K121" s="39" t="n">
        <f aca="false">IF(G121="","",MAX(0,G121-J121/100))</f>
        <v>0.705807761360851</v>
      </c>
      <c r="L121" s="39" t="n">
        <f aca="false">IF(G121="","",MIN(1,G121+J121/100))</f>
        <v>0.770894747599722</v>
      </c>
      <c r="M121" s="21" t="n">
        <f aca="false">ROUND(Q121*S121,0)</f>
        <v>22</v>
      </c>
      <c r="N121" s="21" t="n">
        <f aca="false">ROUND(SQRT((F121*J121/100)^2+(G121*M121)^2),0)</f>
        <v>19</v>
      </c>
      <c r="P121" s="41" t="n">
        <v>21.0989024280885</v>
      </c>
      <c r="Q121" s="42" t="n">
        <v>279.123702910629</v>
      </c>
      <c r="R121" s="43" t="n">
        <f aca="false">MAX(0,MIN(1,P121/100+$D$5))</f>
        <v>0.739644776514062</v>
      </c>
      <c r="S121" s="43" t="n">
        <v>0.0779420971553049</v>
      </c>
      <c r="T121" s="44" t="s">
        <v>90</v>
      </c>
    </row>
    <row r="122" customFormat="false" ht="15" hidden="false" customHeight="false" outlineLevel="0" collapsed="false">
      <c r="A122" s="38" t="s">
        <v>157</v>
      </c>
      <c r="B122" s="38" t="s">
        <v>219</v>
      </c>
      <c r="C122" s="38" t="s">
        <v>220</v>
      </c>
      <c r="D122" s="21" t="n">
        <f aca="false">ROUND(Q122*R122,0)</f>
        <v>480</v>
      </c>
      <c r="E122" s="21" t="n">
        <f aca="false">ROUND(Q122,0)-D122</f>
        <v>169</v>
      </c>
      <c r="F122" s="21" t="n">
        <f aca="false">IF(COUNTA(D122:E122)=0,"",SUM(D122:E122))</f>
        <v>649</v>
      </c>
      <c r="G122" s="39" t="n">
        <f aca="false">IF(OR(F122="",F122=0),"",D122/F122)</f>
        <v>0.73959938366718</v>
      </c>
      <c r="H122" s="39" t="n">
        <f aca="false">IF(OR(F122="",F122=0),"",E122/F122)</f>
        <v>0.26040061633282</v>
      </c>
      <c r="I122" s="38" t="s">
        <v>89</v>
      </c>
      <c r="J122" s="40" t="n">
        <v>3.25434931194355</v>
      </c>
      <c r="K122" s="39" t="n">
        <f aca="false">IF(G122="","",MAX(0,G122-J122/100))</f>
        <v>0.707055890547745</v>
      </c>
      <c r="L122" s="39" t="n">
        <f aca="false">IF(G122="","",MIN(1,G122+J122/100))</f>
        <v>0.772142876786616</v>
      </c>
      <c r="M122" s="21" t="n">
        <f aca="false">ROUND(Q122*S122,0)</f>
        <v>51</v>
      </c>
      <c r="N122" s="21" t="n">
        <f aca="false">ROUND(SQRT((F122*J122/100)^2+(G122*M122)^2),0)</f>
        <v>43</v>
      </c>
      <c r="P122" s="41" t="n">
        <v>21.0310354389487</v>
      </c>
      <c r="Q122" s="42" t="n">
        <v>648.940805514967</v>
      </c>
      <c r="R122" s="43" t="n">
        <f aca="false">MAX(0,MIN(1,P122/100+$D$5))</f>
        <v>0.738966106622664</v>
      </c>
      <c r="S122" s="43" t="n">
        <v>0.0779420971553049</v>
      </c>
      <c r="T122" s="44" t="s">
        <v>90</v>
      </c>
    </row>
    <row r="123" customFormat="false" ht="15" hidden="false" customHeight="false" outlineLevel="0" collapsed="false">
      <c r="A123" s="38" t="s">
        <v>157</v>
      </c>
      <c r="B123" s="38" t="s">
        <v>219</v>
      </c>
      <c r="C123" s="38" t="s">
        <v>221</v>
      </c>
      <c r="D123" s="21" t="n">
        <f aca="false">ROUND(Q123*R123,0)</f>
        <v>327</v>
      </c>
      <c r="E123" s="21" t="n">
        <f aca="false">ROUND(Q123,0)-D123</f>
        <v>133</v>
      </c>
      <c r="F123" s="21" t="n">
        <f aca="false">IF(COUNTA(D123:E123)=0,"",SUM(D123:E123))</f>
        <v>460</v>
      </c>
      <c r="G123" s="39" t="n">
        <f aca="false">IF(OR(F123="",F123=0),"",D123/F123)</f>
        <v>0.710869565217391</v>
      </c>
      <c r="H123" s="39" t="n">
        <f aca="false">IF(OR(F123="",F123=0),"",E123/F123)</f>
        <v>0.289130434782609</v>
      </c>
      <c r="I123" s="38" t="s">
        <v>89</v>
      </c>
      <c r="J123" s="40" t="n">
        <v>3.25434931194355</v>
      </c>
      <c r="K123" s="39" t="n">
        <f aca="false">IF(G123="","",MAX(0,G123-J123/100))</f>
        <v>0.678326072097956</v>
      </c>
      <c r="L123" s="39" t="n">
        <f aca="false">IF(G123="","",MIN(1,G123+J123/100))</f>
        <v>0.743413058336827</v>
      </c>
      <c r="M123" s="21" t="n">
        <f aca="false">ROUND(Q123*S123,0)</f>
        <v>36</v>
      </c>
      <c r="N123" s="21" t="n">
        <f aca="false">ROUND(SQRT((F123*J123/100)^2+(G123*M123)^2),0)</f>
        <v>30</v>
      </c>
      <c r="P123" s="41" t="n">
        <v>18.1656530463897</v>
      </c>
      <c r="Q123" s="42" t="n">
        <v>460.196627422189</v>
      </c>
      <c r="R123" s="43" t="n">
        <f aca="false">MAX(0,MIN(1,P123/100+$D$5))</f>
        <v>0.710312282697074</v>
      </c>
      <c r="S123" s="43" t="n">
        <v>0.0779420971553049</v>
      </c>
      <c r="T123" s="44" t="s">
        <v>90</v>
      </c>
    </row>
    <row r="124" customFormat="false" ht="15" hidden="false" customHeight="false" outlineLevel="0" collapsed="false">
      <c r="A124" s="38" t="s">
        <v>157</v>
      </c>
      <c r="B124" s="38" t="s">
        <v>219</v>
      </c>
      <c r="C124" s="38" t="s">
        <v>222</v>
      </c>
      <c r="D124" s="21" t="n">
        <f aca="false">ROUND(Q124*R124,0)</f>
        <v>356</v>
      </c>
      <c r="E124" s="21" t="n">
        <f aca="false">ROUND(Q124,0)-D124</f>
        <v>122</v>
      </c>
      <c r="F124" s="21" t="n">
        <f aca="false">IF(COUNTA(D124:E124)=0,"",SUM(D124:E124))</f>
        <v>478</v>
      </c>
      <c r="G124" s="39" t="n">
        <f aca="false">IF(OR(F124="",F124=0),"",D124/F124)</f>
        <v>0.744769874476987</v>
      </c>
      <c r="H124" s="39" t="n">
        <f aca="false">IF(OR(F124="",F124=0),"",E124/F124)</f>
        <v>0.255230125523013</v>
      </c>
      <c r="I124" s="38" t="s">
        <v>89</v>
      </c>
      <c r="J124" s="40" t="n">
        <v>3.25434931194355</v>
      </c>
      <c r="K124" s="39" t="n">
        <f aca="false">IF(G124="","",MAX(0,G124-J124/100))</f>
        <v>0.712226381357552</v>
      </c>
      <c r="L124" s="39" t="n">
        <f aca="false">IF(G124="","",MIN(1,G124+J124/100))</f>
        <v>0.777313367596423</v>
      </c>
      <c r="M124" s="21" t="n">
        <f aca="false">ROUND(Q124*S124,0)</f>
        <v>37</v>
      </c>
      <c r="N124" s="21" t="n">
        <f aca="false">ROUND(SQRT((F124*J124/100)^2+(G124*M124)^2),0)</f>
        <v>32</v>
      </c>
      <c r="P124" s="41" t="n">
        <v>21.6452874921316</v>
      </c>
      <c r="Q124" s="42" t="n">
        <v>478.41754657262</v>
      </c>
      <c r="R124" s="43" t="n">
        <f aca="false">MAX(0,MIN(1,P124/100+$D$5))</f>
        <v>0.745108627154492</v>
      </c>
      <c r="S124" s="43" t="n">
        <v>0.0779420971553049</v>
      </c>
      <c r="T124" s="44" t="s">
        <v>90</v>
      </c>
    </row>
    <row r="125" customFormat="false" ht="15" hidden="false" customHeight="false" outlineLevel="0" collapsed="false">
      <c r="A125" s="38" t="s">
        <v>157</v>
      </c>
      <c r="B125" s="38" t="s">
        <v>219</v>
      </c>
      <c r="C125" s="38" t="s">
        <v>223</v>
      </c>
      <c r="D125" s="21" t="n">
        <f aca="false">ROUND(Q125*R125,0)</f>
        <v>438</v>
      </c>
      <c r="E125" s="21" t="n">
        <f aca="false">ROUND(Q125,0)-D125</f>
        <v>167</v>
      </c>
      <c r="F125" s="21" t="n">
        <f aca="false">IF(COUNTA(D125:E125)=0,"",SUM(D125:E125))</f>
        <v>605</v>
      </c>
      <c r="G125" s="39" t="n">
        <f aca="false">IF(OR(F125="",F125=0),"",D125/F125)</f>
        <v>0.72396694214876</v>
      </c>
      <c r="H125" s="39" t="n">
        <f aca="false">IF(OR(F125="",F125=0),"",E125/F125)</f>
        <v>0.27603305785124</v>
      </c>
      <c r="I125" s="38" t="s">
        <v>89</v>
      </c>
      <c r="J125" s="40" t="n">
        <v>3.25434931194355</v>
      </c>
      <c r="K125" s="39" t="n">
        <f aca="false">IF(G125="","",MAX(0,G125-J125/100))</f>
        <v>0.691423449029325</v>
      </c>
      <c r="L125" s="39" t="n">
        <f aca="false">IF(G125="","",MIN(1,G125+J125/100))</f>
        <v>0.756510435268196</v>
      </c>
      <c r="M125" s="21" t="n">
        <f aca="false">ROUND(Q125*S125,0)</f>
        <v>47</v>
      </c>
      <c r="N125" s="21" t="n">
        <f aca="false">ROUND(SQRT((F125*J125/100)^2+(G125*M125)^2),0)</f>
        <v>39</v>
      </c>
      <c r="P125" s="41" t="n">
        <v>19.5581497993791</v>
      </c>
      <c r="Q125" s="42" t="n">
        <v>605.444324396141</v>
      </c>
      <c r="R125" s="43" t="n">
        <f aca="false">MAX(0,MIN(1,P125/100+$D$5))</f>
        <v>0.724237250226967</v>
      </c>
      <c r="S125" s="43" t="n">
        <v>0.0779420971553049</v>
      </c>
      <c r="T125" s="44" t="s">
        <v>90</v>
      </c>
    </row>
    <row r="126" customFormat="false" ht="15" hidden="false" customHeight="false" outlineLevel="0" collapsed="false">
      <c r="A126" s="38" t="s">
        <v>157</v>
      </c>
      <c r="B126" s="38" t="s">
        <v>219</v>
      </c>
      <c r="C126" s="38" t="s">
        <v>224</v>
      </c>
      <c r="D126" s="21" t="n">
        <f aca="false">ROUND(Q126*R126,0)</f>
        <v>620</v>
      </c>
      <c r="E126" s="21" t="n">
        <f aca="false">ROUND(Q126,0)-D126</f>
        <v>284</v>
      </c>
      <c r="F126" s="21" t="n">
        <f aca="false">IF(COUNTA(D126:E126)=0,"",SUM(D126:E126))</f>
        <v>904</v>
      </c>
      <c r="G126" s="39" t="n">
        <f aca="false">IF(OR(F126="",F126=0),"",D126/F126)</f>
        <v>0.685840707964602</v>
      </c>
      <c r="H126" s="39" t="n">
        <f aca="false">IF(OR(F126="",F126=0),"",E126/F126)</f>
        <v>0.314159292035398</v>
      </c>
      <c r="I126" s="38" t="s">
        <v>89</v>
      </c>
      <c r="J126" s="40" t="n">
        <v>1.85532414445586</v>
      </c>
      <c r="K126" s="39" t="n">
        <f aca="false">IF(G126="","",MAX(0,G126-J126/100))</f>
        <v>0.667287466520043</v>
      </c>
      <c r="L126" s="39" t="n">
        <f aca="false">IF(G126="","",MIN(1,G126+J126/100))</f>
        <v>0.70439394940916</v>
      </c>
      <c r="M126" s="21" t="n">
        <f aca="false">ROUND(Q126*S126,0)</f>
        <v>57</v>
      </c>
      <c r="N126" s="21" t="n">
        <f aca="false">ROUND(SQRT((F126*J126/100)^2+(G126*M126)^2),0)</f>
        <v>43</v>
      </c>
      <c r="P126" s="41" t="n">
        <v>15.7526621065666</v>
      </c>
      <c r="Q126" s="42" t="n">
        <v>903.844465070774</v>
      </c>
      <c r="R126" s="43" t="n">
        <f aca="false">MAX(0,MIN(1,P126/100+$D$5))</f>
        <v>0.686182373298842</v>
      </c>
      <c r="S126" s="43" t="n">
        <v>0.0633793435818552</v>
      </c>
      <c r="T126" s="44" t="s">
        <v>99</v>
      </c>
    </row>
    <row r="127" customFormat="false" ht="15" hidden="false" customHeight="false" outlineLevel="0" collapsed="false">
      <c r="A127" s="38" t="s">
        <v>157</v>
      </c>
      <c r="B127" s="38" t="s">
        <v>219</v>
      </c>
      <c r="C127" s="38" t="s">
        <v>225</v>
      </c>
      <c r="D127" s="21" t="n">
        <f aca="false">ROUND(Q127*R127,0)</f>
        <v>425</v>
      </c>
      <c r="E127" s="21" t="n">
        <f aca="false">ROUND(Q127,0)-D127</f>
        <v>220</v>
      </c>
      <c r="F127" s="21" t="n">
        <f aca="false">IF(COUNTA(D127:E127)=0,"",SUM(D127:E127))</f>
        <v>645</v>
      </c>
      <c r="G127" s="39" t="n">
        <f aca="false">IF(OR(F127="",F127=0),"",D127/F127)</f>
        <v>0.658914728682171</v>
      </c>
      <c r="H127" s="39" t="n">
        <f aca="false">IF(OR(F127="",F127=0),"",E127/F127)</f>
        <v>0.341085271317829</v>
      </c>
      <c r="I127" s="38" t="s">
        <v>89</v>
      </c>
      <c r="J127" s="40" t="n">
        <v>3.25434931194355</v>
      </c>
      <c r="K127" s="39" t="n">
        <f aca="false">IF(G127="","",MAX(0,G127-J127/100))</f>
        <v>0.626371235562735</v>
      </c>
      <c r="L127" s="39" t="n">
        <f aca="false">IF(G127="","",MIN(1,G127+J127/100))</f>
        <v>0.691458221801606</v>
      </c>
      <c r="M127" s="21" t="n">
        <f aca="false">ROUND(Q127*S127,0)</f>
        <v>50</v>
      </c>
      <c r="N127" s="21" t="n">
        <f aca="false">ROUND(SQRT((F127*J127/100)^2+(G127*M127)^2),0)</f>
        <v>39</v>
      </c>
      <c r="P127" s="41" t="n">
        <v>13.0300246273148</v>
      </c>
      <c r="Q127" s="42" t="n">
        <v>644.797638015107</v>
      </c>
      <c r="R127" s="43" t="n">
        <f aca="false">MAX(0,MIN(1,P127/100+$D$5))</f>
        <v>0.658955998506325</v>
      </c>
      <c r="S127" s="43" t="n">
        <v>0.0779420971553049</v>
      </c>
      <c r="T127" s="44" t="s">
        <v>90</v>
      </c>
    </row>
    <row r="128" customFormat="false" ht="15" hidden="false" customHeight="false" outlineLevel="0" collapsed="false">
      <c r="A128" s="38" t="s">
        <v>157</v>
      </c>
      <c r="B128" s="38" t="s">
        <v>219</v>
      </c>
      <c r="C128" s="38" t="s">
        <v>226</v>
      </c>
      <c r="D128" s="21" t="n">
        <f aca="false">ROUND(Q128*R128,0)</f>
        <v>490</v>
      </c>
      <c r="E128" s="21" t="n">
        <f aca="false">ROUND(Q128,0)-D128</f>
        <v>276</v>
      </c>
      <c r="F128" s="21" t="n">
        <f aca="false">IF(COUNTA(D128:E128)=0,"",SUM(D128:E128))</f>
        <v>766</v>
      </c>
      <c r="G128" s="39" t="n">
        <f aca="false">IF(OR(F128="",F128=0),"",D128/F128)</f>
        <v>0.639686684073107</v>
      </c>
      <c r="H128" s="39" t="n">
        <f aca="false">IF(OR(F128="",F128=0),"",E128/F128)</f>
        <v>0.360313315926893</v>
      </c>
      <c r="I128" s="38" t="s">
        <v>89</v>
      </c>
      <c r="J128" s="40" t="n">
        <v>3.25434931194355</v>
      </c>
      <c r="K128" s="39" t="n">
        <f aca="false">IF(G128="","",MAX(0,G128-J128/100))</f>
        <v>0.607143190953672</v>
      </c>
      <c r="L128" s="39" t="n">
        <f aca="false">IF(G128="","",MIN(1,G128+J128/100))</f>
        <v>0.672230177192543</v>
      </c>
      <c r="M128" s="21" t="n">
        <f aca="false">ROUND(Q128*S128,0)</f>
        <v>60</v>
      </c>
      <c r="N128" s="21" t="n">
        <f aca="false">ROUND(SQRT((F128*J128/100)^2+(G128*M128)^2),0)</f>
        <v>46</v>
      </c>
      <c r="P128" s="41" t="n">
        <v>11.0988819329054</v>
      </c>
      <c r="Q128" s="42" t="n">
        <v>765.659302714537</v>
      </c>
      <c r="R128" s="43" t="n">
        <f aca="false">MAX(0,MIN(1,P128/100+$D$5))</f>
        <v>0.639644571562231</v>
      </c>
      <c r="S128" s="43" t="n">
        <v>0.0779420971553049</v>
      </c>
      <c r="T128" s="44" t="s">
        <v>90</v>
      </c>
    </row>
    <row r="129" customFormat="false" ht="15" hidden="false" customHeight="false" outlineLevel="0" collapsed="false">
      <c r="A129" s="38" t="s">
        <v>157</v>
      </c>
      <c r="B129" s="38" t="s">
        <v>219</v>
      </c>
      <c r="C129" s="38" t="s">
        <v>227</v>
      </c>
      <c r="D129" s="21" t="n">
        <f aca="false">ROUND(Q129*R129,0)</f>
        <v>630</v>
      </c>
      <c r="E129" s="21" t="n">
        <f aca="false">ROUND(Q129,0)-D129</f>
        <v>341</v>
      </c>
      <c r="F129" s="21" t="n">
        <f aca="false">IF(COUNTA(D129:E129)=0,"",SUM(D129:E129))</f>
        <v>971</v>
      </c>
      <c r="G129" s="39" t="n">
        <f aca="false">IF(OR(F129="",F129=0),"",D129/F129)</f>
        <v>0.648815653964985</v>
      </c>
      <c r="H129" s="39" t="n">
        <f aca="false">IF(OR(F129="",F129=0),"",E129/F129)</f>
        <v>0.351184346035015</v>
      </c>
      <c r="I129" s="38" t="s">
        <v>89</v>
      </c>
      <c r="J129" s="40" t="n">
        <v>1.85532414445586</v>
      </c>
      <c r="K129" s="39" t="n">
        <f aca="false">IF(G129="","",MAX(0,G129-J129/100))</f>
        <v>0.630262412520426</v>
      </c>
      <c r="L129" s="39" t="n">
        <f aca="false">IF(G129="","",MIN(1,G129+J129/100))</f>
        <v>0.667368895409543</v>
      </c>
      <c r="M129" s="21" t="n">
        <f aca="false">ROUND(Q129*S129,0)</f>
        <v>62</v>
      </c>
      <c r="N129" s="21" t="n">
        <f aca="false">ROUND(SQRT((F129*J129/100)^2+(G129*M129)^2),0)</f>
        <v>44</v>
      </c>
      <c r="P129" s="41" t="n">
        <v>12.0426491514316</v>
      </c>
      <c r="Q129" s="42" t="n">
        <v>971.012363064517</v>
      </c>
      <c r="R129" s="43" t="n">
        <f aca="false">MAX(0,MIN(1,P129/100+$D$5))</f>
        <v>0.649082243747493</v>
      </c>
      <c r="S129" s="43" t="n">
        <v>0.0633793435818552</v>
      </c>
      <c r="T129" s="44" t="s">
        <v>99</v>
      </c>
    </row>
    <row r="130" customFormat="false" ht="15" hidden="false" customHeight="false" outlineLevel="0" collapsed="false">
      <c r="A130" s="38" t="s">
        <v>157</v>
      </c>
      <c r="B130" s="38" t="s">
        <v>219</v>
      </c>
      <c r="C130" s="38" t="s">
        <v>228</v>
      </c>
      <c r="D130" s="21" t="n">
        <f aca="false">ROUND(Q130*R130,0)</f>
        <v>454</v>
      </c>
      <c r="E130" s="21" t="n">
        <f aca="false">ROUND(Q130,0)-D130</f>
        <v>241</v>
      </c>
      <c r="F130" s="21" t="n">
        <f aca="false">IF(COUNTA(D130:E130)=0,"",SUM(D130:E130))</f>
        <v>695</v>
      </c>
      <c r="G130" s="39" t="n">
        <f aca="false">IF(OR(F130="",F130=0),"",D130/F130)</f>
        <v>0.653237410071943</v>
      </c>
      <c r="H130" s="39" t="n">
        <f aca="false">IF(OR(F130="",F130=0),"",E130/F130)</f>
        <v>0.346762589928058</v>
      </c>
      <c r="I130" s="38" t="s">
        <v>89</v>
      </c>
      <c r="J130" s="40" t="n">
        <v>3.25434931194355</v>
      </c>
      <c r="K130" s="39" t="n">
        <f aca="false">IF(G130="","",MAX(0,G130-J130/100))</f>
        <v>0.620693916952507</v>
      </c>
      <c r="L130" s="39" t="n">
        <f aca="false">IF(G130="","",MIN(1,G130+J130/100))</f>
        <v>0.685780903191378</v>
      </c>
      <c r="M130" s="21" t="n">
        <f aca="false">ROUND(Q130*S130,0)</f>
        <v>54</v>
      </c>
      <c r="N130" s="21" t="n">
        <f aca="false">ROUND(SQRT((F130*J130/100)^2+(G130*M130)^2),0)</f>
        <v>42</v>
      </c>
      <c r="P130" s="41" t="n">
        <v>12.4279209392786</v>
      </c>
      <c r="Q130" s="42" t="n">
        <v>695.154470580452</v>
      </c>
      <c r="R130" s="43" t="n">
        <f aca="false">MAX(0,MIN(1,P130/100+$D$5))</f>
        <v>0.652934961625962</v>
      </c>
      <c r="S130" s="43" t="n">
        <v>0.0779420971553049</v>
      </c>
      <c r="T130" s="44" t="s">
        <v>90</v>
      </c>
    </row>
    <row r="131" customFormat="false" ht="15" hidden="false" customHeight="false" outlineLevel="0" collapsed="false">
      <c r="A131" s="38" t="s">
        <v>157</v>
      </c>
      <c r="B131" s="38" t="s">
        <v>219</v>
      </c>
      <c r="C131" s="38" t="s">
        <v>229</v>
      </c>
      <c r="D131" s="21" t="n">
        <f aca="false">ROUND(Q131*R131,0)</f>
        <v>381</v>
      </c>
      <c r="E131" s="21" t="n">
        <f aca="false">ROUND(Q131,0)-D131</f>
        <v>245</v>
      </c>
      <c r="F131" s="21" t="n">
        <f aca="false">IF(COUNTA(D131:E131)=0,"",SUM(D131:E131))</f>
        <v>626</v>
      </c>
      <c r="G131" s="39" t="n">
        <f aca="false">IF(OR(F131="",F131=0),"",D131/F131)</f>
        <v>0.608626198083067</v>
      </c>
      <c r="H131" s="39" t="n">
        <f aca="false">IF(OR(F131="",F131=0),"",E131/F131)</f>
        <v>0.391373801916933</v>
      </c>
      <c r="I131" s="38" t="s">
        <v>89</v>
      </c>
      <c r="J131" s="40" t="n">
        <v>3.25434931194355</v>
      </c>
      <c r="K131" s="39" t="n">
        <f aca="false">IF(G131="","",MAX(0,G131-J131/100))</f>
        <v>0.576082704963632</v>
      </c>
      <c r="L131" s="39" t="n">
        <f aca="false">IF(G131="","",MIN(1,G131+J131/100))</f>
        <v>0.641169691202503</v>
      </c>
      <c r="M131" s="21" t="n">
        <f aca="false">ROUND(Q131*S131,0)</f>
        <v>49</v>
      </c>
      <c r="N131" s="21" t="n">
        <f aca="false">ROUND(SQRT((F131*J131/100)^2+(G131*M131)^2),0)</f>
        <v>36</v>
      </c>
      <c r="P131" s="41" t="n">
        <v>8.0244849661281</v>
      </c>
      <c r="Q131" s="42" t="n">
        <v>626.281885737201</v>
      </c>
      <c r="R131" s="43" t="n">
        <f aca="false">MAX(0,MIN(1,P131/100+$D$5))</f>
        <v>0.608900601894458</v>
      </c>
      <c r="S131" s="43" t="n">
        <v>0.0779420971553049</v>
      </c>
      <c r="T131" s="44" t="s">
        <v>90</v>
      </c>
    </row>
    <row r="132" customFormat="false" ht="15" hidden="false" customHeight="false" outlineLevel="0" collapsed="false">
      <c r="A132" s="38" t="s">
        <v>157</v>
      </c>
      <c r="B132" s="38" t="s">
        <v>219</v>
      </c>
      <c r="C132" s="38" t="s">
        <v>230</v>
      </c>
      <c r="D132" s="21" t="n">
        <f aca="false">ROUND(Q132*R132,0)</f>
        <v>442</v>
      </c>
      <c r="E132" s="21" t="n">
        <f aca="false">ROUND(Q132,0)-D132</f>
        <v>220</v>
      </c>
      <c r="F132" s="21" t="n">
        <f aca="false">IF(COUNTA(D132:E132)=0,"",SUM(D132:E132))</f>
        <v>662</v>
      </c>
      <c r="G132" s="39" t="n">
        <f aca="false">IF(OR(F132="",F132=0),"",D132/F132)</f>
        <v>0.667673716012085</v>
      </c>
      <c r="H132" s="39" t="n">
        <f aca="false">IF(OR(F132="",F132=0),"",E132/F132)</f>
        <v>0.332326283987915</v>
      </c>
      <c r="I132" s="38" t="s">
        <v>89</v>
      </c>
      <c r="J132" s="40" t="n">
        <v>3.25434931194355</v>
      </c>
      <c r="K132" s="39" t="n">
        <f aca="false">IF(G132="","",MAX(0,G132-J132/100))</f>
        <v>0.635130222892649</v>
      </c>
      <c r="L132" s="39" t="n">
        <f aca="false">IF(G132="","",MIN(1,G132+J132/100))</f>
        <v>0.70021720913152</v>
      </c>
      <c r="M132" s="21" t="n">
        <f aca="false">ROUND(Q132*S132,0)</f>
        <v>52</v>
      </c>
      <c r="N132" s="21" t="n">
        <f aca="false">ROUND(SQRT((F132*J132/100)^2+(G132*M132)^2),0)</f>
        <v>41</v>
      </c>
      <c r="P132" s="41" t="n">
        <v>13.8350314366907</v>
      </c>
      <c r="Q132" s="42" t="n">
        <v>662.17137069134</v>
      </c>
      <c r="R132" s="43" t="n">
        <f aca="false">MAX(0,MIN(1,P132/100+$D$5))</f>
        <v>0.667006066600084</v>
      </c>
      <c r="S132" s="43" t="n">
        <v>0.0779420971553049</v>
      </c>
      <c r="T132" s="44" t="s">
        <v>90</v>
      </c>
    </row>
    <row r="133" customFormat="false" ht="15" hidden="false" customHeight="false" outlineLevel="0" collapsed="false">
      <c r="A133" s="38" t="s">
        <v>157</v>
      </c>
      <c r="B133" s="38" t="s">
        <v>219</v>
      </c>
      <c r="C133" s="38" t="s">
        <v>231</v>
      </c>
      <c r="D133" s="21" t="n">
        <f aca="false">ROUND(Q133*R133,0)</f>
        <v>494</v>
      </c>
      <c r="E133" s="21" t="n">
        <f aca="false">ROUND(Q133,0)-D133</f>
        <v>271</v>
      </c>
      <c r="F133" s="21" t="n">
        <f aca="false">IF(COUNTA(D133:E133)=0,"",SUM(D133:E133))</f>
        <v>765</v>
      </c>
      <c r="G133" s="39" t="n">
        <f aca="false">IF(OR(F133="",F133=0),"",D133/F133)</f>
        <v>0.645751633986928</v>
      </c>
      <c r="H133" s="39" t="n">
        <f aca="false">IF(OR(F133="",F133=0),"",E133/F133)</f>
        <v>0.354248366013072</v>
      </c>
      <c r="I133" s="38" t="s">
        <v>89</v>
      </c>
      <c r="J133" s="40" t="n">
        <v>3.25434931194355</v>
      </c>
      <c r="K133" s="39" t="n">
        <f aca="false">IF(G133="","",MAX(0,G133-J133/100))</f>
        <v>0.613208140867493</v>
      </c>
      <c r="L133" s="39" t="n">
        <f aca="false">IF(G133="","",MIN(1,G133+J133/100))</f>
        <v>0.678295127106364</v>
      </c>
      <c r="M133" s="21" t="n">
        <f aca="false">ROUND(Q133*S133,0)</f>
        <v>60</v>
      </c>
      <c r="N133" s="21" t="n">
        <f aca="false">ROUND(SQRT((F133*J133/100)^2+(G133*M133)^2),0)</f>
        <v>46</v>
      </c>
      <c r="P133" s="41" t="n">
        <v>11.6803141709003</v>
      </c>
      <c r="Q133" s="42" t="n">
        <v>765.464842047604</v>
      </c>
      <c r="R133" s="43" t="n">
        <f aca="false">MAX(0,MIN(1,P133/100+$D$5))</f>
        <v>0.645458893942179</v>
      </c>
      <c r="S133" s="43" t="n">
        <v>0.0779420971553049</v>
      </c>
      <c r="T133" s="44" t="s">
        <v>90</v>
      </c>
    </row>
    <row r="134" customFormat="false" ht="15" hidden="false" customHeight="false" outlineLevel="0" collapsed="false">
      <c r="A134" s="38" t="s">
        <v>157</v>
      </c>
      <c r="B134" s="38" t="s">
        <v>232</v>
      </c>
      <c r="C134" s="38" t="s">
        <v>233</v>
      </c>
      <c r="D134" s="21" t="n">
        <f aca="false">ROUND(Q134*R134,0)</f>
        <v>421</v>
      </c>
      <c r="E134" s="21" t="n">
        <f aca="false">ROUND(Q134,0)-D134</f>
        <v>284</v>
      </c>
      <c r="F134" s="21" t="n">
        <f aca="false">IF(COUNTA(D134:E134)=0,"",SUM(D134:E134))</f>
        <v>705</v>
      </c>
      <c r="G134" s="39" t="n">
        <f aca="false">IF(OR(F134="",F134=0),"",D134/F134)</f>
        <v>0.597163120567376</v>
      </c>
      <c r="H134" s="39" t="n">
        <f aca="false">IF(OR(F134="",F134=0),"",E134/F134)</f>
        <v>0.402836879432624</v>
      </c>
      <c r="I134" s="38" t="s">
        <v>89</v>
      </c>
      <c r="J134" s="40" t="n">
        <v>3.25434931194355</v>
      </c>
      <c r="K134" s="39" t="n">
        <f aca="false">IF(G134="","",MAX(0,G134-J134/100))</f>
        <v>0.56461962744794</v>
      </c>
      <c r="L134" s="39" t="n">
        <f aca="false">IF(G134="","",MIN(1,G134+J134/100))</f>
        <v>0.629706613686811</v>
      </c>
      <c r="M134" s="21" t="n">
        <f aca="false">ROUND(Q134*S134,0)</f>
        <v>55</v>
      </c>
      <c r="N134" s="21" t="n">
        <f aca="false">ROUND(SQRT((F134*J134/100)^2+(G134*M134)^2),0)</f>
        <v>40</v>
      </c>
      <c r="P134" s="41" t="n">
        <v>6.82348308691418</v>
      </c>
      <c r="Q134" s="42" t="n">
        <v>705.452999021756</v>
      </c>
      <c r="R134" s="43" t="n">
        <f aca="false">MAX(0,MIN(1,P134/100+$D$5))</f>
        <v>0.596890583102319</v>
      </c>
      <c r="S134" s="43" t="n">
        <v>0.0779420971553049</v>
      </c>
      <c r="T134" s="44" t="s">
        <v>90</v>
      </c>
    </row>
    <row r="135" customFormat="false" ht="15" hidden="false" customHeight="false" outlineLevel="0" collapsed="false">
      <c r="A135" s="38" t="s">
        <v>157</v>
      </c>
      <c r="B135" s="38" t="s">
        <v>232</v>
      </c>
      <c r="C135" s="38" t="s">
        <v>234</v>
      </c>
      <c r="D135" s="21" t="n">
        <f aca="false">ROUND(Q135*R135,0)</f>
        <v>415</v>
      </c>
      <c r="E135" s="21" t="n">
        <f aca="false">ROUND(Q135,0)-D135</f>
        <v>360</v>
      </c>
      <c r="F135" s="21" t="n">
        <f aca="false">IF(COUNTA(D135:E135)=0,"",SUM(D135:E135))</f>
        <v>775</v>
      </c>
      <c r="G135" s="39" t="n">
        <f aca="false">IF(OR(F135="",F135=0),"",D135/F135)</f>
        <v>0.535483870967742</v>
      </c>
      <c r="H135" s="39" t="n">
        <f aca="false">IF(OR(F135="",F135=0),"",E135/F135)</f>
        <v>0.464516129032258</v>
      </c>
      <c r="I135" s="38" t="s">
        <v>89</v>
      </c>
      <c r="J135" s="40" t="n">
        <v>3.25434931194355</v>
      </c>
      <c r="K135" s="39" t="n">
        <f aca="false">IF(G135="","",MAX(0,G135-J135/100))</f>
        <v>0.502940377848307</v>
      </c>
      <c r="L135" s="39" t="n">
        <f aca="false">IF(G135="","",MIN(1,G135+J135/100))</f>
        <v>0.568027364087178</v>
      </c>
      <c r="M135" s="21" t="n">
        <f aca="false">ROUND(Q135*S135,0)</f>
        <v>60</v>
      </c>
      <c r="N135" s="21" t="n">
        <f aca="false">ROUND(SQRT((F135*J135/100)^2+(G135*M135)^2),0)</f>
        <v>41</v>
      </c>
      <c r="P135" s="41" t="n">
        <v>0.714197133268868</v>
      </c>
      <c r="Q135" s="42" t="n">
        <v>775.261047713751</v>
      </c>
      <c r="R135" s="43" t="n">
        <f aca="false">MAX(0,MIN(1,P135/100+$D$5))</f>
        <v>0.535797723565865</v>
      </c>
      <c r="S135" s="43" t="n">
        <v>0.0779420971553049</v>
      </c>
      <c r="T135" s="44" t="s">
        <v>90</v>
      </c>
    </row>
    <row r="136" customFormat="false" ht="15" hidden="false" customHeight="false" outlineLevel="0" collapsed="false">
      <c r="A136" s="38" t="s">
        <v>157</v>
      </c>
      <c r="B136" s="38" t="s">
        <v>232</v>
      </c>
      <c r="C136" s="38" t="s">
        <v>235</v>
      </c>
      <c r="D136" s="21" t="n">
        <f aca="false">ROUND(Q136*R136,0)</f>
        <v>450</v>
      </c>
      <c r="E136" s="21" t="n">
        <f aca="false">ROUND(Q136,0)-D136</f>
        <v>372</v>
      </c>
      <c r="F136" s="21" t="n">
        <f aca="false">IF(COUNTA(D136:E136)=0,"",SUM(D136:E136))</f>
        <v>822</v>
      </c>
      <c r="G136" s="39" t="n">
        <f aca="false">IF(OR(F136="",F136=0),"",D136/F136)</f>
        <v>0.547445255474453</v>
      </c>
      <c r="H136" s="39" t="n">
        <f aca="false">IF(OR(F136="",F136=0),"",E136/F136)</f>
        <v>0.452554744525547</v>
      </c>
      <c r="I136" s="38" t="s">
        <v>89</v>
      </c>
      <c r="J136" s="40" t="n">
        <v>1.85532414445586</v>
      </c>
      <c r="K136" s="39" t="n">
        <f aca="false">IF(G136="","",MAX(0,G136-J136/100))</f>
        <v>0.528892014029894</v>
      </c>
      <c r="L136" s="39" t="n">
        <f aca="false">IF(G136="","",MIN(1,G136+J136/100))</f>
        <v>0.565998496919011</v>
      </c>
      <c r="M136" s="21" t="n">
        <f aca="false">ROUND(Q136*S136,0)</f>
        <v>52</v>
      </c>
      <c r="N136" s="21" t="n">
        <f aca="false">ROUND(SQRT((F136*J136/100)^2+(G136*M136)^2),0)</f>
        <v>32</v>
      </c>
      <c r="P136" s="41" t="n">
        <v>1.89035824873031</v>
      </c>
      <c r="Q136" s="42" t="n">
        <v>821.645862703002</v>
      </c>
      <c r="R136" s="43" t="n">
        <f aca="false">MAX(0,MIN(1,P136/100+$D$5))</f>
        <v>0.54755933472048</v>
      </c>
      <c r="S136" s="43" t="n">
        <v>0.0633793435818552</v>
      </c>
      <c r="T136" s="44" t="s">
        <v>99</v>
      </c>
    </row>
    <row r="137" customFormat="false" ht="15" hidden="false" customHeight="false" outlineLevel="0" collapsed="false">
      <c r="A137" s="38" t="s">
        <v>157</v>
      </c>
      <c r="B137" s="38" t="s">
        <v>236</v>
      </c>
      <c r="C137" s="38" t="s">
        <v>236</v>
      </c>
      <c r="D137" s="21" t="n">
        <f aca="false">ROUND(Q137*R137,0)</f>
        <v>713</v>
      </c>
      <c r="E137" s="21" t="n">
        <f aca="false">ROUND(Q137,0)-D137</f>
        <v>618</v>
      </c>
      <c r="F137" s="21" t="n">
        <f aca="false">IF(COUNTA(D137:E137)=0,"",SUM(D137:E137))</f>
        <v>1331</v>
      </c>
      <c r="G137" s="39" t="n">
        <f aca="false">IF(OR(F137="",F137=0),"",D137/F137)</f>
        <v>0.535687453042825</v>
      </c>
      <c r="H137" s="39" t="n">
        <f aca="false">IF(OR(F137="",F137=0),"",E137/F137)</f>
        <v>0.464312546957175</v>
      </c>
      <c r="I137" s="38" t="s">
        <v>89</v>
      </c>
      <c r="J137" s="40" t="n">
        <v>1.28585670084365</v>
      </c>
      <c r="K137" s="39" t="n">
        <f aca="false">IF(G137="","",MAX(0,G137-J137/100))</f>
        <v>0.522828886034388</v>
      </c>
      <c r="L137" s="39" t="n">
        <f aca="false">IF(G137="","",MIN(1,G137+J137/100))</f>
        <v>0.548546020051262</v>
      </c>
      <c r="M137" s="21" t="n">
        <f aca="false">ROUND(Q137*S137,0)</f>
        <v>186</v>
      </c>
      <c r="N137" s="21" t="n">
        <f aca="false">ROUND(SQRT((F137*J137/100)^2+(G137*M137)^2),0)</f>
        <v>101</v>
      </c>
      <c r="P137" s="41" t="n">
        <v>0.745743058133144</v>
      </c>
      <c r="Q137" s="42" t="n">
        <v>1330.68042288688</v>
      </c>
      <c r="R137" s="43" t="n">
        <f aca="false">MAX(0,MIN(1,P137/100+$D$5))</f>
        <v>0.536113182814508</v>
      </c>
      <c r="S137" s="43" t="n">
        <v>0.139463116518417</v>
      </c>
      <c r="T137" s="44" t="s">
        <v>128</v>
      </c>
    </row>
    <row r="138" customFormat="false" ht="15" hidden="false" customHeight="false" outlineLevel="0" collapsed="false">
      <c r="A138" s="38" t="s">
        <v>157</v>
      </c>
      <c r="B138" s="38" t="s">
        <v>237</v>
      </c>
      <c r="C138" s="38" t="s">
        <v>238</v>
      </c>
      <c r="D138" s="21" t="n">
        <f aca="false">ROUND(Q138*R138,0)</f>
        <v>330</v>
      </c>
      <c r="E138" s="21" t="n">
        <f aca="false">ROUND(Q138,0)-D138</f>
        <v>271</v>
      </c>
      <c r="F138" s="21" t="n">
        <f aca="false">IF(COUNTA(D138:E138)=0,"",SUM(D138:E138))</f>
        <v>601</v>
      </c>
      <c r="G138" s="39" t="n">
        <f aca="false">IF(OR(F138="",F138=0),"",D138/F138)</f>
        <v>0.549084858569052</v>
      </c>
      <c r="H138" s="39" t="n">
        <f aca="false">IF(OR(F138="",F138=0),"",E138/F138)</f>
        <v>0.450915141430948</v>
      </c>
      <c r="I138" s="38" t="s">
        <v>89</v>
      </c>
      <c r="J138" s="40" t="n">
        <v>3.25434931194355</v>
      </c>
      <c r="K138" s="39" t="n">
        <f aca="false">IF(G138="","",MAX(0,G138-J138/100))</f>
        <v>0.516541365449616</v>
      </c>
      <c r="L138" s="39" t="n">
        <f aca="false">IF(G138="","",MIN(1,G138+J138/100))</f>
        <v>0.581628351688487</v>
      </c>
      <c r="M138" s="21" t="n">
        <f aca="false">ROUND(Q138*S138,0)</f>
        <v>47</v>
      </c>
      <c r="N138" s="21" t="n">
        <f aca="false">ROUND(SQRT((F138*J138/100)^2+(G138*M138)^2),0)</f>
        <v>32</v>
      </c>
      <c r="P138" s="41" t="n">
        <v>1.97508686983157</v>
      </c>
      <c r="Q138" s="42" t="n">
        <v>601.275290012196</v>
      </c>
      <c r="R138" s="43" t="n">
        <f aca="false">MAX(0,MIN(1,P138/100+$D$5))</f>
        <v>0.548406620931492</v>
      </c>
      <c r="S138" s="43" t="n">
        <v>0.0779420971553049</v>
      </c>
      <c r="T138" s="44" t="s">
        <v>90</v>
      </c>
    </row>
    <row r="139" customFormat="false" ht="15" hidden="false" customHeight="false" outlineLevel="0" collapsed="false">
      <c r="A139" s="38" t="s">
        <v>157</v>
      </c>
      <c r="B139" s="38" t="s">
        <v>237</v>
      </c>
      <c r="C139" s="38" t="s">
        <v>239</v>
      </c>
      <c r="D139" s="21" t="n">
        <f aca="false">ROUND(Q139*R139,0)</f>
        <v>460</v>
      </c>
      <c r="E139" s="21" t="n">
        <f aca="false">ROUND(Q139,0)-D139</f>
        <v>365</v>
      </c>
      <c r="F139" s="21" t="n">
        <f aca="false">IF(COUNTA(D139:E139)=0,"",SUM(D139:E139))</f>
        <v>825</v>
      </c>
      <c r="G139" s="39" t="n">
        <f aca="false">IF(OR(F139="",F139=0),"",D139/F139)</f>
        <v>0.557575757575758</v>
      </c>
      <c r="H139" s="39" t="n">
        <f aca="false">IF(OR(F139="",F139=0),"",E139/F139)</f>
        <v>0.442424242424242</v>
      </c>
      <c r="I139" s="38" t="s">
        <v>89</v>
      </c>
      <c r="J139" s="40" t="n">
        <v>1.85532414445586</v>
      </c>
      <c r="K139" s="39" t="n">
        <f aca="false">IF(G139="","",MAX(0,G139-J139/100))</f>
        <v>0.539022516131199</v>
      </c>
      <c r="L139" s="39" t="n">
        <f aca="false">IF(G139="","",MIN(1,G139+J139/100))</f>
        <v>0.576128999020316</v>
      </c>
      <c r="M139" s="21" t="n">
        <f aca="false">ROUND(Q139*S139,0)</f>
        <v>52</v>
      </c>
      <c r="N139" s="21" t="n">
        <f aca="false">ROUND(SQRT((F139*J139/100)^2+(G139*M139)^2),0)</f>
        <v>33</v>
      </c>
      <c r="P139" s="41" t="n">
        <v>2.87046471983077</v>
      </c>
      <c r="Q139" s="42" t="n">
        <v>824.54292056135</v>
      </c>
      <c r="R139" s="43" t="n">
        <f aca="false">MAX(0,MIN(1,P139/100+$D$5))</f>
        <v>0.557360399431484</v>
      </c>
      <c r="S139" s="43" t="n">
        <v>0.0633793435818552</v>
      </c>
      <c r="T139" s="44" t="s">
        <v>99</v>
      </c>
    </row>
    <row r="140" customFormat="false" ht="15" hidden="false" customHeight="false" outlineLevel="0" collapsed="false">
      <c r="A140" s="38" t="s">
        <v>157</v>
      </c>
      <c r="B140" s="38" t="s">
        <v>240</v>
      </c>
      <c r="C140" s="38" t="s">
        <v>241</v>
      </c>
      <c r="D140" s="21" t="n">
        <f aca="false">ROUND(Q140*R140,0)</f>
        <v>495</v>
      </c>
      <c r="E140" s="21" t="n">
        <f aca="false">ROUND(Q140,0)-D140</f>
        <v>368</v>
      </c>
      <c r="F140" s="21" t="n">
        <f aca="false">IF(COUNTA(D140:E140)=0,"",SUM(D140:E140))</f>
        <v>863</v>
      </c>
      <c r="G140" s="39" t="n">
        <f aca="false">IF(OR(F140="",F140=0),"",D140/F140)</f>
        <v>0.573580533024334</v>
      </c>
      <c r="H140" s="39" t="n">
        <f aca="false">IF(OR(F140="",F140=0),"",E140/F140)</f>
        <v>0.426419466975666</v>
      </c>
      <c r="I140" s="38" t="s">
        <v>89</v>
      </c>
      <c r="J140" s="40" t="n">
        <v>1.85532414445586</v>
      </c>
      <c r="K140" s="39" t="n">
        <f aca="false">IF(G140="","",MAX(0,G140-J140/100))</f>
        <v>0.555027291579775</v>
      </c>
      <c r="L140" s="39" t="n">
        <f aca="false">IF(G140="","",MIN(1,G140+J140/100))</f>
        <v>0.592133774468892</v>
      </c>
      <c r="M140" s="21" t="n">
        <f aca="false">ROUND(Q140*S140,0)</f>
        <v>55</v>
      </c>
      <c r="N140" s="21" t="n">
        <f aca="false">ROUND(SQRT((F140*J140/100)^2+(G140*M140)^2),0)</f>
        <v>35</v>
      </c>
      <c r="P140" s="41" t="n">
        <v>4.50503891332157</v>
      </c>
      <c r="Q140" s="42" t="n">
        <v>863.251902488709</v>
      </c>
      <c r="R140" s="43" t="n">
        <f aca="false">MAX(0,MIN(1,P140/100+$D$5))</f>
        <v>0.573706141366392</v>
      </c>
      <c r="S140" s="43" t="n">
        <v>0.0633793435818552</v>
      </c>
      <c r="T140" s="44" t="s">
        <v>99</v>
      </c>
    </row>
    <row r="141" customFormat="false" ht="15" hidden="false" customHeight="false" outlineLevel="0" collapsed="false">
      <c r="A141" s="38" t="s">
        <v>157</v>
      </c>
      <c r="B141" s="38" t="s">
        <v>240</v>
      </c>
      <c r="C141" s="38" t="s">
        <v>242</v>
      </c>
      <c r="D141" s="21" t="n">
        <f aca="false">ROUND(Q141*R141,0)</f>
        <v>489</v>
      </c>
      <c r="E141" s="21" t="n">
        <f aca="false">ROUND(Q141,0)-D141</f>
        <v>376</v>
      </c>
      <c r="F141" s="21" t="n">
        <f aca="false">IF(COUNTA(D141:E141)=0,"",SUM(D141:E141))</f>
        <v>865</v>
      </c>
      <c r="G141" s="39" t="n">
        <f aca="false">IF(OR(F141="",F141=0),"",D141/F141)</f>
        <v>0.565317919075145</v>
      </c>
      <c r="H141" s="39" t="n">
        <f aca="false">IF(OR(F141="",F141=0),"",E141/F141)</f>
        <v>0.434682080924856</v>
      </c>
      <c r="I141" s="38" t="s">
        <v>89</v>
      </c>
      <c r="J141" s="40" t="n">
        <v>1.85532414445586</v>
      </c>
      <c r="K141" s="39" t="n">
        <f aca="false">IF(G141="","",MAX(0,G141-J141/100))</f>
        <v>0.546764677630586</v>
      </c>
      <c r="L141" s="39" t="n">
        <f aca="false">IF(G141="","",MIN(1,G141+J141/100))</f>
        <v>0.583871160519703</v>
      </c>
      <c r="M141" s="21" t="n">
        <f aca="false">ROUND(Q141*S141,0)</f>
        <v>55</v>
      </c>
      <c r="N141" s="21" t="n">
        <f aca="false">ROUND(SQRT((F141*J141/100)^2+(G141*M141)^2),0)</f>
        <v>35</v>
      </c>
      <c r="P141" s="41" t="n">
        <v>3.72258452273163</v>
      </c>
      <c r="Q141" s="42" t="n">
        <v>864.717886057068</v>
      </c>
      <c r="R141" s="43" t="n">
        <f aca="false">MAX(0,MIN(1,P141/100+$D$5))</f>
        <v>0.565881597460493</v>
      </c>
      <c r="S141" s="43" t="n">
        <v>0.0633793435818552</v>
      </c>
      <c r="T141" s="44" t="s">
        <v>99</v>
      </c>
    </row>
    <row r="142" customFormat="false" ht="15" hidden="false" customHeight="false" outlineLevel="0" collapsed="false">
      <c r="A142" s="38" t="s">
        <v>157</v>
      </c>
      <c r="B142" s="38" t="s">
        <v>240</v>
      </c>
      <c r="C142" s="38" t="s">
        <v>243</v>
      </c>
      <c r="D142" s="21" t="n">
        <f aca="false">ROUND(Q142*R142,0)</f>
        <v>717</v>
      </c>
      <c r="E142" s="21" t="n">
        <f aca="false">ROUND(Q142,0)-D142</f>
        <v>586</v>
      </c>
      <c r="F142" s="21" t="n">
        <f aca="false">IF(COUNTA(D142:E142)=0,"",SUM(D142:E142))</f>
        <v>1303</v>
      </c>
      <c r="G142" s="39" t="n">
        <f aca="false">IF(OR(F142="",F142=0),"",D142/F142)</f>
        <v>0.550268610897928</v>
      </c>
      <c r="H142" s="39" t="n">
        <f aca="false">IF(OR(F142="",F142=0),"",E142/F142)</f>
        <v>0.449731389102072</v>
      </c>
      <c r="I142" s="38" t="s">
        <v>89</v>
      </c>
      <c r="J142" s="40" t="n">
        <v>1.28585670084365</v>
      </c>
      <c r="K142" s="39" t="n">
        <f aca="false">IF(G142="","",MAX(0,G142-J142/100))</f>
        <v>0.537410043889491</v>
      </c>
      <c r="L142" s="39" t="n">
        <f aca="false">IF(G142="","",MIN(1,G142+J142/100))</f>
        <v>0.563127177906365</v>
      </c>
      <c r="M142" s="21" t="n">
        <f aca="false">ROUND(Q142*S142,0)</f>
        <v>182</v>
      </c>
      <c r="N142" s="21" t="n">
        <f aca="false">ROUND(SQRT((F142*J142/100)^2+(G142*M142)^2),0)</f>
        <v>102</v>
      </c>
      <c r="P142" s="41" t="n">
        <v>2.15459510062226</v>
      </c>
      <c r="Q142" s="42" t="n">
        <v>1302.74671901716</v>
      </c>
      <c r="R142" s="43" t="n">
        <f aca="false">MAX(0,MIN(1,P142/100+$D$5))</f>
        <v>0.550201703239399</v>
      </c>
      <c r="S142" s="43" t="n">
        <v>0.139463116518417</v>
      </c>
      <c r="T142" s="44" t="s">
        <v>128</v>
      </c>
    </row>
    <row r="143" customFormat="false" ht="15" hidden="false" customHeight="false" outlineLevel="0" collapsed="false">
      <c r="A143" s="38" t="s">
        <v>157</v>
      </c>
      <c r="B143" s="38" t="s">
        <v>240</v>
      </c>
      <c r="C143" s="38" t="s">
        <v>244</v>
      </c>
      <c r="D143" s="21" t="n">
        <f aca="false">ROUND(Q143*R143,0)</f>
        <v>576</v>
      </c>
      <c r="E143" s="21" t="n">
        <f aca="false">ROUND(Q143,0)-D143</f>
        <v>401</v>
      </c>
      <c r="F143" s="21" t="n">
        <f aca="false">IF(COUNTA(D143:E143)=0,"",SUM(D143:E143))</f>
        <v>977</v>
      </c>
      <c r="G143" s="39" t="n">
        <f aca="false">IF(OR(F143="",F143=0),"",D143/F143)</f>
        <v>0.589559877175026</v>
      </c>
      <c r="H143" s="39" t="n">
        <f aca="false">IF(OR(F143="",F143=0),"",E143/F143)</f>
        <v>0.410440122824974</v>
      </c>
      <c r="I143" s="38" t="s">
        <v>89</v>
      </c>
      <c r="J143" s="40" t="n">
        <v>1.85532414445586</v>
      </c>
      <c r="K143" s="39" t="n">
        <f aca="false">IF(G143="","",MAX(0,G143-J143/100))</f>
        <v>0.571006635730467</v>
      </c>
      <c r="L143" s="39" t="n">
        <f aca="false">IF(G143="","",MIN(1,G143+J143/100))</f>
        <v>0.608113118619584</v>
      </c>
      <c r="M143" s="21" t="n">
        <f aca="false">ROUND(Q143*S143,0)</f>
        <v>62</v>
      </c>
      <c r="N143" s="21" t="n">
        <f aca="false">ROUND(SQRT((F143*J143/100)^2+(G143*M143)^2),0)</f>
        <v>41</v>
      </c>
      <c r="P143" s="41" t="n">
        <v>6.04697842205972</v>
      </c>
      <c r="Q143" s="42" t="n">
        <v>977.391924768689</v>
      </c>
      <c r="R143" s="43" t="n">
        <f aca="false">MAX(0,MIN(1,P143/100+$D$5))</f>
        <v>0.589125536453774</v>
      </c>
      <c r="S143" s="43" t="n">
        <v>0.0633793435818552</v>
      </c>
      <c r="T143" s="44" t="s">
        <v>99</v>
      </c>
    </row>
    <row r="144" customFormat="false" ht="15" hidden="false" customHeight="false" outlineLevel="0" collapsed="false">
      <c r="A144" s="38" t="s">
        <v>157</v>
      </c>
      <c r="B144" s="38" t="s">
        <v>240</v>
      </c>
      <c r="C144" s="38" t="s">
        <v>245</v>
      </c>
      <c r="D144" s="21" t="n">
        <f aca="false">ROUND(Q144*R144,0)</f>
        <v>324</v>
      </c>
      <c r="E144" s="21" t="n">
        <f aca="false">ROUND(Q144,0)-D144</f>
        <v>270</v>
      </c>
      <c r="F144" s="21" t="n">
        <f aca="false">IF(COUNTA(D144:E144)=0,"",SUM(D144:E144))</f>
        <v>594</v>
      </c>
      <c r="G144" s="39" t="n">
        <f aca="false">IF(OR(F144="",F144=0),"",D144/F144)</f>
        <v>0.545454545454545</v>
      </c>
      <c r="H144" s="39" t="n">
        <f aca="false">IF(OR(F144="",F144=0),"",E144/F144)</f>
        <v>0.454545454545455</v>
      </c>
      <c r="I144" s="38" t="s">
        <v>89</v>
      </c>
      <c r="J144" s="40" t="n">
        <v>3.25434931194355</v>
      </c>
      <c r="K144" s="39" t="n">
        <f aca="false">IF(G144="","",MAX(0,G144-J144/100))</f>
        <v>0.51291105233511</v>
      </c>
      <c r="L144" s="39" t="n">
        <f aca="false">IF(G144="","",MIN(1,G144+J144/100))</f>
        <v>0.577998038573981</v>
      </c>
      <c r="M144" s="21" t="n">
        <f aca="false">ROUND(Q144*S144,0)</f>
        <v>46</v>
      </c>
      <c r="N144" s="21" t="n">
        <f aca="false">ROUND(SQRT((F144*J144/100)^2+(G144*M144)^2),0)</f>
        <v>32</v>
      </c>
      <c r="P144" s="41" t="n">
        <v>1.61221420292062</v>
      </c>
      <c r="Q144" s="42" t="n">
        <v>594.482952423667</v>
      </c>
      <c r="R144" s="43" t="n">
        <f aca="false">MAX(0,MIN(1,P144/100+$D$5))</f>
        <v>0.544777894262383</v>
      </c>
      <c r="S144" s="43" t="n">
        <v>0.0779420971553049</v>
      </c>
      <c r="T144" s="44" t="s">
        <v>90</v>
      </c>
    </row>
    <row r="145" customFormat="false" ht="15" hidden="false" customHeight="false" outlineLevel="0" collapsed="false">
      <c r="A145" s="38" t="s">
        <v>157</v>
      </c>
      <c r="B145" s="38" t="s">
        <v>240</v>
      </c>
      <c r="C145" s="38" t="s">
        <v>246</v>
      </c>
      <c r="D145" s="21" t="n">
        <f aca="false">ROUND(Q145*R145,0)</f>
        <v>648</v>
      </c>
      <c r="E145" s="21" t="n">
        <f aca="false">ROUND(Q145,0)-D145</f>
        <v>416</v>
      </c>
      <c r="F145" s="21" t="n">
        <f aca="false">IF(COUNTA(D145:E145)=0,"",SUM(D145:E145))</f>
        <v>1064</v>
      </c>
      <c r="G145" s="39" t="n">
        <f aca="false">IF(OR(F145="",F145=0),"",D145/F145)</f>
        <v>0.609022556390978</v>
      </c>
      <c r="H145" s="39" t="n">
        <f aca="false">IF(OR(F145="",F145=0),"",E145/F145)</f>
        <v>0.390977443609023</v>
      </c>
      <c r="I145" s="38" t="s">
        <v>89</v>
      </c>
      <c r="J145" s="40" t="n">
        <v>1.85532414445586</v>
      </c>
      <c r="K145" s="39" t="n">
        <f aca="false">IF(G145="","",MAX(0,G145-J145/100))</f>
        <v>0.590469314946419</v>
      </c>
      <c r="L145" s="39" t="n">
        <f aca="false">IF(G145="","",MIN(1,G145+J145/100))</f>
        <v>0.627575797835536</v>
      </c>
      <c r="M145" s="21" t="n">
        <f aca="false">ROUND(Q145*S145,0)</f>
        <v>67</v>
      </c>
      <c r="N145" s="21" t="n">
        <f aca="false">ROUND(SQRT((F145*J145/100)^2+(G145*M145)^2),0)</f>
        <v>45</v>
      </c>
      <c r="P145" s="41" t="n">
        <v>8.06180834384392</v>
      </c>
      <c r="Q145" s="42" t="n">
        <v>1064.22391178696</v>
      </c>
      <c r="R145" s="43" t="n">
        <f aca="false">MAX(0,MIN(1,P145/100+$D$5))</f>
        <v>0.609273835671616</v>
      </c>
      <c r="S145" s="43" t="n">
        <v>0.0633793435818552</v>
      </c>
      <c r="T145" s="44" t="s">
        <v>99</v>
      </c>
    </row>
    <row r="146" customFormat="false" ht="15" hidden="false" customHeight="false" outlineLevel="0" collapsed="false">
      <c r="A146" s="38" t="s">
        <v>157</v>
      </c>
      <c r="B146" s="38" t="s">
        <v>247</v>
      </c>
      <c r="C146" s="38" t="s">
        <v>248</v>
      </c>
      <c r="D146" s="21" t="n">
        <f aca="false">ROUND(Q146*R146,0)</f>
        <v>428</v>
      </c>
      <c r="E146" s="21" t="n">
        <f aca="false">ROUND(Q146,0)-D146</f>
        <v>178</v>
      </c>
      <c r="F146" s="21" t="n">
        <f aca="false">IF(COUNTA(D146:E146)=0,"",SUM(D146:E146))</f>
        <v>606</v>
      </c>
      <c r="G146" s="39" t="n">
        <f aca="false">IF(OR(F146="",F146=0),"",D146/F146)</f>
        <v>0.706270627062706</v>
      </c>
      <c r="H146" s="39" t="n">
        <f aca="false">IF(OR(F146="",F146=0),"",E146/F146)</f>
        <v>0.293729372937294</v>
      </c>
      <c r="I146" s="38" t="s">
        <v>89</v>
      </c>
      <c r="J146" s="40" t="n">
        <v>3.25434931194355</v>
      </c>
      <c r="K146" s="39" t="n">
        <f aca="false">IF(G146="","",MAX(0,G146-J146/100))</f>
        <v>0.673727133943271</v>
      </c>
      <c r="L146" s="39" t="n">
        <f aca="false">IF(G146="","",MIN(1,G146+J146/100))</f>
        <v>0.738814120182142</v>
      </c>
      <c r="M146" s="21" t="n">
        <f aca="false">ROUND(Q146*S146,0)</f>
        <v>47</v>
      </c>
      <c r="N146" s="21" t="n">
        <f aca="false">ROUND(SQRT((F146*J146/100)^2+(G146*M146)^2),0)</f>
        <v>39</v>
      </c>
      <c r="P146" s="41" t="n">
        <v>17.8137685883165</v>
      </c>
      <c r="Q146" s="42" t="n">
        <v>605.734556762565</v>
      </c>
      <c r="R146" s="43" t="n">
        <f aca="false">MAX(0,MIN(1,P146/100+$D$5))</f>
        <v>0.706793438116341</v>
      </c>
      <c r="S146" s="43" t="n">
        <v>0.0779420971553049</v>
      </c>
      <c r="T146" s="44" t="s">
        <v>90</v>
      </c>
    </row>
    <row r="147" customFormat="false" ht="15" hidden="false" customHeight="false" outlineLevel="0" collapsed="false">
      <c r="A147" s="38" t="s">
        <v>157</v>
      </c>
      <c r="B147" s="38" t="s">
        <v>247</v>
      </c>
      <c r="C147" s="38" t="s">
        <v>249</v>
      </c>
      <c r="D147" s="21" t="n">
        <f aca="false">ROUND(Q147*R147,0)</f>
        <v>334</v>
      </c>
      <c r="E147" s="21" t="n">
        <f aca="false">ROUND(Q147,0)-D147</f>
        <v>159</v>
      </c>
      <c r="F147" s="21" t="n">
        <f aca="false">IF(COUNTA(D147:E147)=0,"",SUM(D147:E147))</f>
        <v>493</v>
      </c>
      <c r="G147" s="39" t="n">
        <f aca="false">IF(OR(F147="",F147=0),"",D147/F147)</f>
        <v>0.677484787018256</v>
      </c>
      <c r="H147" s="39" t="n">
        <f aca="false">IF(OR(F147="",F147=0),"",E147/F147)</f>
        <v>0.322515212981744</v>
      </c>
      <c r="I147" s="38" t="s">
        <v>89</v>
      </c>
      <c r="J147" s="40" t="n">
        <v>3.25434931194355</v>
      </c>
      <c r="K147" s="39" t="n">
        <f aca="false">IF(G147="","",MAX(0,G147-J147/100))</f>
        <v>0.64494129389882</v>
      </c>
      <c r="L147" s="39" t="n">
        <f aca="false">IF(G147="","",MIN(1,G147+J147/100))</f>
        <v>0.710028280137691</v>
      </c>
      <c r="M147" s="21" t="n">
        <f aca="false">ROUND(Q147*S147,0)</f>
        <v>38</v>
      </c>
      <c r="N147" s="21" t="n">
        <f aca="false">ROUND(SQRT((F147*J147/100)^2+(G147*M147)^2),0)</f>
        <v>30</v>
      </c>
      <c r="P147" s="41" t="n">
        <v>14.8652237694206</v>
      </c>
      <c r="Q147" s="42" t="n">
        <v>493.246345301787</v>
      </c>
      <c r="R147" s="43" t="n">
        <f aca="false">MAX(0,MIN(1,P147/100+$D$5))</f>
        <v>0.677307989927382</v>
      </c>
      <c r="S147" s="43" t="n">
        <v>0.0779420971553049</v>
      </c>
      <c r="T147" s="44" t="s">
        <v>90</v>
      </c>
    </row>
    <row r="148" customFormat="false" ht="15" hidden="false" customHeight="false" outlineLevel="0" collapsed="false">
      <c r="A148" s="38" t="s">
        <v>157</v>
      </c>
      <c r="B148" s="38" t="s">
        <v>247</v>
      </c>
      <c r="C148" s="38" t="s">
        <v>250</v>
      </c>
      <c r="D148" s="21" t="n">
        <f aca="false">ROUND(Q148*R148,0)</f>
        <v>367</v>
      </c>
      <c r="E148" s="21" t="n">
        <f aca="false">ROUND(Q148,0)-D148</f>
        <v>162</v>
      </c>
      <c r="F148" s="21" t="n">
        <f aca="false">IF(COUNTA(D148:E148)=0,"",SUM(D148:E148))</f>
        <v>529</v>
      </c>
      <c r="G148" s="39" t="n">
        <f aca="false">IF(OR(F148="",F148=0),"",D148/F148)</f>
        <v>0.693761814744802</v>
      </c>
      <c r="H148" s="39" t="n">
        <f aca="false">IF(OR(F148="",F148=0),"",E148/F148)</f>
        <v>0.306238185255198</v>
      </c>
      <c r="I148" s="38" t="s">
        <v>89</v>
      </c>
      <c r="J148" s="40" t="n">
        <v>3.25434931194355</v>
      </c>
      <c r="K148" s="39" t="n">
        <f aca="false">IF(G148="","",MAX(0,G148-J148/100))</f>
        <v>0.661218321625366</v>
      </c>
      <c r="L148" s="39" t="n">
        <f aca="false">IF(G148="","",MIN(1,G148+J148/100))</f>
        <v>0.726305307864237</v>
      </c>
      <c r="M148" s="21" t="n">
        <f aca="false">ROUND(Q148*S148,0)</f>
        <v>41</v>
      </c>
      <c r="N148" s="21" t="n">
        <f aca="false">ROUND(SQRT((F148*J148/100)^2+(G148*M148)^2),0)</f>
        <v>33</v>
      </c>
      <c r="P148" s="41" t="n">
        <v>16.5111844218502</v>
      </c>
      <c r="Q148" s="42" t="n">
        <v>529.339904485306</v>
      </c>
      <c r="R148" s="43" t="n">
        <f aca="false">MAX(0,MIN(1,P148/100+$D$5))</f>
        <v>0.693767596451678</v>
      </c>
      <c r="S148" s="43" t="n">
        <v>0.0779420971553049</v>
      </c>
      <c r="T148" s="44" t="s">
        <v>90</v>
      </c>
    </row>
    <row r="149" customFormat="false" ht="15" hidden="false" customHeight="false" outlineLevel="0" collapsed="false">
      <c r="A149" s="38" t="s">
        <v>157</v>
      </c>
      <c r="B149" s="38" t="s">
        <v>251</v>
      </c>
      <c r="C149" s="38" t="s">
        <v>251</v>
      </c>
      <c r="D149" s="21" t="n">
        <f aca="false">ROUND(Q149*R149,0)</f>
        <v>299</v>
      </c>
      <c r="E149" s="21" t="n">
        <f aca="false">ROUND(Q149,0)-D149</f>
        <v>213</v>
      </c>
      <c r="F149" s="21" t="n">
        <f aca="false">IF(COUNTA(D149:E149)=0,"",SUM(D149:E149))</f>
        <v>512</v>
      </c>
      <c r="G149" s="39" t="n">
        <f aca="false">IF(OR(F149="",F149=0),"",D149/F149)</f>
        <v>0.583984375</v>
      </c>
      <c r="H149" s="39" t="n">
        <f aca="false">IF(OR(F149="",F149=0),"",E149/F149)</f>
        <v>0.416015625</v>
      </c>
      <c r="I149" s="38" t="s">
        <v>89</v>
      </c>
      <c r="J149" s="40" t="n">
        <v>3.25434931194355</v>
      </c>
      <c r="K149" s="39" t="n">
        <f aca="false">IF(G149="","",MAX(0,G149-J149/100))</f>
        <v>0.551440881880565</v>
      </c>
      <c r="L149" s="39" t="n">
        <f aca="false">IF(G149="","",MIN(1,G149+J149/100))</f>
        <v>0.616527868119436</v>
      </c>
      <c r="M149" s="21" t="n">
        <f aca="false">ROUND(Q149*S149,0)</f>
        <v>40</v>
      </c>
      <c r="N149" s="21" t="n">
        <f aca="false">ROUND(SQRT((F149*J149/100)^2+(G149*M149)^2),0)</f>
        <v>29</v>
      </c>
      <c r="P149" s="41" t="n">
        <v>5.59151791107694</v>
      </c>
      <c r="Q149" s="42" t="n">
        <v>512.112154322023</v>
      </c>
      <c r="R149" s="43" t="n">
        <f aca="false">MAX(0,MIN(1,P149/100+$D$5))</f>
        <v>0.584570931343946</v>
      </c>
      <c r="S149" s="43" t="n">
        <v>0.0779420971553049</v>
      </c>
      <c r="T149" s="44" t="s">
        <v>90</v>
      </c>
    </row>
    <row r="150" customFormat="false" ht="15" hidden="false" customHeight="false" outlineLevel="0" collapsed="false">
      <c r="A150" s="38" t="s">
        <v>157</v>
      </c>
      <c r="B150" s="38" t="s">
        <v>252</v>
      </c>
      <c r="C150" s="38" t="s">
        <v>252</v>
      </c>
      <c r="D150" s="21" t="n">
        <f aca="false">ROUND(Q150*R150,0)</f>
        <v>620</v>
      </c>
      <c r="E150" s="21" t="n">
        <f aca="false">ROUND(Q150,0)-D150</f>
        <v>1137</v>
      </c>
      <c r="F150" s="21" t="n">
        <f aca="false">IF(COUNTA(D150:E150)=0,"",SUM(D150:E150))</f>
        <v>1757</v>
      </c>
      <c r="G150" s="39" t="n">
        <f aca="false">IF(OR(F150="",F150=0),"",D150/F150)</f>
        <v>0.35287421741605</v>
      </c>
      <c r="H150" s="39" t="n">
        <f aca="false">IF(OR(F150="",F150=0),"",E150/F150)</f>
        <v>0.64712578258395</v>
      </c>
      <c r="I150" s="38" t="s">
        <v>89</v>
      </c>
      <c r="J150" s="40" t="n">
        <v>1.28585670084365</v>
      </c>
      <c r="K150" s="39" t="n">
        <f aca="false">IF(G150="","",MAX(0,G150-J150/100))</f>
        <v>0.340015650407614</v>
      </c>
      <c r="L150" s="39" t="n">
        <f aca="false">IF(G150="","",MIN(1,G150+J150/100))</f>
        <v>0.365732784424487</v>
      </c>
      <c r="M150" s="21" t="n">
        <f aca="false">ROUND(Q150*S150,0)</f>
        <v>245</v>
      </c>
      <c r="N150" s="21" t="n">
        <f aca="false">ROUND(SQRT((F150*J150/100)^2+(G150*M150)^2),0)</f>
        <v>89</v>
      </c>
      <c r="P150" s="41" t="n">
        <v>-17.5966482639039</v>
      </c>
      <c r="Q150" s="42" t="n">
        <v>1756.53311477882</v>
      </c>
      <c r="R150" s="43" t="n">
        <f aca="false">MAX(0,MIN(1,P150/100+$D$5))</f>
        <v>0.352689269594138</v>
      </c>
      <c r="S150" s="43" t="n">
        <v>0.139463116518417</v>
      </c>
      <c r="T150" s="44" t="s">
        <v>128</v>
      </c>
    </row>
    <row r="151" customFormat="false" ht="15" hidden="false" customHeight="false" outlineLevel="0" collapsed="false">
      <c r="A151" s="38" t="s">
        <v>157</v>
      </c>
      <c r="B151" s="38" t="s">
        <v>253</v>
      </c>
      <c r="C151" s="38" t="s">
        <v>254</v>
      </c>
      <c r="D151" s="21" t="n">
        <f aca="false">ROUND(Q151*R151,0)</f>
        <v>880</v>
      </c>
      <c r="E151" s="21" t="n">
        <f aca="false">ROUND(Q151,0)-D151</f>
        <v>748</v>
      </c>
      <c r="F151" s="21" t="n">
        <f aca="false">IF(COUNTA(D151:E151)=0,"",SUM(D151:E151))</f>
        <v>1628</v>
      </c>
      <c r="G151" s="39" t="n">
        <f aca="false">IF(OR(F151="",F151=0),"",D151/F151)</f>
        <v>0.540540540540541</v>
      </c>
      <c r="H151" s="39" t="n">
        <f aca="false">IF(OR(F151="",F151=0),"",E151/F151)</f>
        <v>0.45945945945946</v>
      </c>
      <c r="I151" s="38" t="s">
        <v>89</v>
      </c>
      <c r="J151" s="40" t="n">
        <v>1.28585670084365</v>
      </c>
      <c r="K151" s="39" t="n">
        <f aca="false">IF(G151="","",MAX(0,G151-J151/100))</f>
        <v>0.527681973532104</v>
      </c>
      <c r="L151" s="39" t="n">
        <f aca="false">IF(G151="","",MIN(1,G151+J151/100))</f>
        <v>0.553399107548977</v>
      </c>
      <c r="M151" s="21" t="n">
        <f aca="false">ROUND(Q151*S151,0)</f>
        <v>227</v>
      </c>
      <c r="N151" s="21" t="n">
        <f aca="false">ROUND(SQRT((F151*J151/100)^2+(G151*M151)^2),0)</f>
        <v>124</v>
      </c>
      <c r="P151" s="41" t="n">
        <v>1.19660834986304</v>
      </c>
      <c r="Q151" s="42" t="n">
        <v>1627.63571900694</v>
      </c>
      <c r="R151" s="43" t="n">
        <f aca="false">MAX(0,MIN(1,P151/100+$D$5))</f>
        <v>0.540621835731807</v>
      </c>
      <c r="S151" s="43" t="n">
        <v>0.139463116518417</v>
      </c>
      <c r="T151" s="44" t="s">
        <v>128</v>
      </c>
    </row>
    <row r="152" customFormat="false" ht="15" hidden="false" customHeight="false" outlineLevel="0" collapsed="false">
      <c r="A152" s="38" t="s">
        <v>157</v>
      </c>
      <c r="B152" s="38" t="s">
        <v>253</v>
      </c>
      <c r="C152" s="38" t="s">
        <v>255</v>
      </c>
      <c r="D152" s="21" t="n">
        <f aca="false">ROUND(Q152*R152,0)</f>
        <v>982</v>
      </c>
      <c r="E152" s="21" t="n">
        <f aca="false">ROUND(Q152,0)-D152</f>
        <v>817</v>
      </c>
      <c r="F152" s="21" t="n">
        <f aca="false">IF(COUNTA(D152:E152)=0,"",SUM(D152:E152))</f>
        <v>1799</v>
      </c>
      <c r="G152" s="39" t="n">
        <f aca="false">IF(OR(F152="",F152=0),"",D152/F152)</f>
        <v>0.54585881045025</v>
      </c>
      <c r="H152" s="39" t="n">
        <f aca="false">IF(OR(F152="",F152=0),"",E152/F152)</f>
        <v>0.45414118954975</v>
      </c>
      <c r="I152" s="38" t="s">
        <v>89</v>
      </c>
      <c r="J152" s="40" t="n">
        <v>1.28585670084365</v>
      </c>
      <c r="K152" s="39" t="n">
        <f aca="false">IF(G152="","",MAX(0,G152-J152/100))</f>
        <v>0.533000243441814</v>
      </c>
      <c r="L152" s="39" t="n">
        <f aca="false">IF(G152="","",MIN(1,G152+J152/100))</f>
        <v>0.558717377458687</v>
      </c>
      <c r="M152" s="21" t="n">
        <f aca="false">ROUND(Q152*S152,0)</f>
        <v>251</v>
      </c>
      <c r="N152" s="21" t="n">
        <f aca="false">ROUND(SQRT((F152*J152/100)^2+(G152*M152)^2),0)</f>
        <v>139</v>
      </c>
      <c r="P152" s="41" t="n">
        <v>1.72726321822735</v>
      </c>
      <c r="Q152" s="42" t="n">
        <v>1799.19319120038</v>
      </c>
      <c r="R152" s="43" t="n">
        <f aca="false">MAX(0,MIN(1,P152/100+$D$5))</f>
        <v>0.54592838441545</v>
      </c>
      <c r="S152" s="43" t="n">
        <v>0.139463116518417</v>
      </c>
      <c r="T152" s="44" t="s">
        <v>128</v>
      </c>
    </row>
    <row r="153" customFormat="false" ht="15" hidden="false" customHeight="false" outlineLevel="0" collapsed="false">
      <c r="A153" s="38" t="s">
        <v>157</v>
      </c>
      <c r="B153" s="38" t="s">
        <v>253</v>
      </c>
      <c r="C153" s="38" t="s">
        <v>256</v>
      </c>
      <c r="D153" s="21" t="n">
        <f aca="false">ROUND(Q153*R153,0)</f>
        <v>1706</v>
      </c>
      <c r="E153" s="21" t="n">
        <f aca="false">ROUND(Q153,0)-D153</f>
        <v>1429</v>
      </c>
      <c r="F153" s="21" t="n">
        <f aca="false">IF(COUNTA(D153:E153)=0,"",SUM(D153:E153))</f>
        <v>3135</v>
      </c>
      <c r="G153" s="39" t="n">
        <f aca="false">IF(OR(F153="",F153=0),"",D153/F153)</f>
        <v>0.544178628389155</v>
      </c>
      <c r="H153" s="39" t="n">
        <f aca="false">IF(OR(F153="",F153=0),"",E153/F153)</f>
        <v>0.455821371610845</v>
      </c>
      <c r="I153" s="38" t="s">
        <v>89</v>
      </c>
      <c r="J153" s="40" t="n">
        <v>1.28585670084365</v>
      </c>
      <c r="K153" s="39" t="n">
        <f aca="false">IF(G153="","",MAX(0,G153-J153/100))</f>
        <v>0.531320061380718</v>
      </c>
      <c r="L153" s="39" t="n">
        <f aca="false">IF(G153="","",MIN(1,G153+J153/100))</f>
        <v>0.557037195397591</v>
      </c>
      <c r="M153" s="21" t="n">
        <f aca="false">ROUND(Q153*S153,0)</f>
        <v>437</v>
      </c>
      <c r="N153" s="21" t="n">
        <f aca="false">ROUND(SQRT((F153*J153/100)^2+(G153*M153)^2),0)</f>
        <v>241</v>
      </c>
      <c r="P153" s="41" t="n">
        <v>1.57051100864372</v>
      </c>
      <c r="Q153" s="42" t="n">
        <v>3134.51942707854</v>
      </c>
      <c r="R153" s="43" t="n">
        <f aca="false">MAX(0,MIN(1,P153/100+$D$5))</f>
        <v>0.544360862319614</v>
      </c>
      <c r="S153" s="43" t="n">
        <v>0.139463116518417</v>
      </c>
      <c r="T153" s="44" t="s">
        <v>128</v>
      </c>
    </row>
    <row r="154" customFormat="false" ht="15" hidden="false" customHeight="false" outlineLevel="0" collapsed="false">
      <c r="A154" s="38" t="s">
        <v>157</v>
      </c>
      <c r="B154" s="38" t="s">
        <v>253</v>
      </c>
      <c r="C154" s="38" t="s">
        <v>257</v>
      </c>
      <c r="D154" s="21" t="n">
        <f aca="false">ROUND(Q154*R154,0)</f>
        <v>859</v>
      </c>
      <c r="E154" s="21" t="n">
        <f aca="false">ROUND(Q154,0)-D154</f>
        <v>734</v>
      </c>
      <c r="F154" s="21" t="n">
        <f aca="false">IF(COUNTA(D154:E154)=0,"",SUM(D154:E154))</f>
        <v>1593</v>
      </c>
      <c r="G154" s="39" t="n">
        <f aca="false">IF(OR(F154="",F154=0),"",D154/F154)</f>
        <v>0.539234149403641</v>
      </c>
      <c r="H154" s="39" t="n">
        <f aca="false">IF(OR(F154="",F154=0),"",E154/F154)</f>
        <v>0.460765850596359</v>
      </c>
      <c r="I154" s="38" t="s">
        <v>89</v>
      </c>
      <c r="J154" s="40" t="n">
        <v>1.28585670084365</v>
      </c>
      <c r="K154" s="39" t="n">
        <f aca="false">IF(G154="","",MAX(0,G154-J154/100))</f>
        <v>0.526375582395204</v>
      </c>
      <c r="L154" s="39" t="n">
        <f aca="false">IF(G154="","",MIN(1,G154+J154/100))</f>
        <v>0.552092716412078</v>
      </c>
      <c r="M154" s="21" t="n">
        <f aca="false">ROUND(Q154*S154,0)</f>
        <v>222</v>
      </c>
      <c r="N154" s="21" t="n">
        <f aca="false">ROUND(SQRT((F154*J154/100)^2+(G154*M154)^2),0)</f>
        <v>121</v>
      </c>
      <c r="P154" s="41" t="n">
        <v>1.04597683214837</v>
      </c>
      <c r="Q154" s="42" t="n">
        <v>1593.31485290042</v>
      </c>
      <c r="R154" s="43" t="n">
        <f aca="false">MAX(0,MIN(1,P154/100+$D$5))</f>
        <v>0.53911552055466</v>
      </c>
      <c r="S154" s="43" t="n">
        <v>0.139463116518417</v>
      </c>
      <c r="T154" s="44" t="s">
        <v>128</v>
      </c>
    </row>
    <row r="155" customFormat="false" ht="15" hidden="false" customHeight="false" outlineLevel="0" collapsed="false">
      <c r="A155" s="38" t="s">
        <v>157</v>
      </c>
      <c r="B155" s="38" t="s">
        <v>253</v>
      </c>
      <c r="C155" s="38" t="s">
        <v>258</v>
      </c>
      <c r="D155" s="21" t="n">
        <f aca="false">ROUND(Q155*R155,0)</f>
        <v>781</v>
      </c>
      <c r="E155" s="21" t="n">
        <f aca="false">ROUND(Q155,0)-D155</f>
        <v>669</v>
      </c>
      <c r="F155" s="21" t="n">
        <f aca="false">IF(COUNTA(D155:E155)=0,"",SUM(D155:E155))</f>
        <v>1450</v>
      </c>
      <c r="G155" s="39" t="n">
        <f aca="false">IF(OR(F155="",F155=0),"",D155/F155)</f>
        <v>0.538620689655172</v>
      </c>
      <c r="H155" s="39" t="n">
        <f aca="false">IF(OR(F155="",F155=0),"",E155/F155)</f>
        <v>0.461379310344828</v>
      </c>
      <c r="I155" s="38" t="s">
        <v>89</v>
      </c>
      <c r="J155" s="40" t="n">
        <v>1.28585670084365</v>
      </c>
      <c r="K155" s="39" t="n">
        <f aca="false">IF(G155="","",MAX(0,G155-J155/100))</f>
        <v>0.525762122646736</v>
      </c>
      <c r="L155" s="39" t="n">
        <f aca="false">IF(G155="","",MIN(1,G155+J155/100))</f>
        <v>0.551479256663609</v>
      </c>
      <c r="M155" s="21" t="n">
        <f aca="false">ROUND(Q155*S155,0)</f>
        <v>202</v>
      </c>
      <c r="N155" s="21" t="n">
        <f aca="false">ROUND(SQRT((F155*J155/100)^2+(G155*M155)^2),0)</f>
        <v>110</v>
      </c>
      <c r="P155" s="41" t="n">
        <v>0.985204888405447</v>
      </c>
      <c r="Q155" s="42" t="n">
        <v>1449.95915579871</v>
      </c>
      <c r="R155" s="43" t="n">
        <f aca="false">MAX(0,MIN(1,P155/100+$D$5))</f>
        <v>0.538507801117231</v>
      </c>
      <c r="S155" s="43" t="n">
        <v>0.139463116518417</v>
      </c>
      <c r="T155" s="44" t="s">
        <v>128</v>
      </c>
    </row>
    <row r="156" customFormat="false" ht="15" hidden="false" customHeight="false" outlineLevel="0" collapsed="false">
      <c r="A156" s="38" t="s">
        <v>157</v>
      </c>
      <c r="B156" s="38" t="s">
        <v>253</v>
      </c>
      <c r="C156" s="38" t="s">
        <v>259</v>
      </c>
      <c r="D156" s="21" t="n">
        <f aca="false">ROUND(Q156*R156,0)</f>
        <v>715</v>
      </c>
      <c r="E156" s="21" t="n">
        <f aca="false">ROUND(Q156,0)-D156</f>
        <v>574</v>
      </c>
      <c r="F156" s="21" t="n">
        <f aca="false">IF(COUNTA(D156:E156)=0,"",SUM(D156:E156))</f>
        <v>1289</v>
      </c>
      <c r="G156" s="39" t="n">
        <f aca="false">IF(OR(F156="",F156=0),"",D156/F156)</f>
        <v>0.554693560899922</v>
      </c>
      <c r="H156" s="39" t="n">
        <f aca="false">IF(OR(F156="",F156=0),"",E156/F156)</f>
        <v>0.445306439100078</v>
      </c>
      <c r="I156" s="38" t="s">
        <v>89</v>
      </c>
      <c r="J156" s="40" t="n">
        <v>1.28585670084365</v>
      </c>
      <c r="K156" s="39" t="n">
        <f aca="false">IF(G156="","",MAX(0,G156-J156/100))</f>
        <v>0.541834993891486</v>
      </c>
      <c r="L156" s="39" t="n">
        <f aca="false">IF(G156="","",MIN(1,G156+J156/100))</f>
        <v>0.567552127908359</v>
      </c>
      <c r="M156" s="21" t="n">
        <f aca="false">ROUND(Q156*S156,0)</f>
        <v>180</v>
      </c>
      <c r="N156" s="21" t="n">
        <f aca="false">ROUND(SQRT((F156*J156/100)^2+(G156*M156)^2),0)</f>
        <v>101</v>
      </c>
      <c r="P156" s="41" t="n">
        <v>2.61626738506843</v>
      </c>
      <c r="Q156" s="42" t="n">
        <v>1288.56199349361</v>
      </c>
      <c r="R156" s="43" t="n">
        <f aca="false">MAX(0,MIN(1,P156/100+$D$5))</f>
        <v>0.554818426083861</v>
      </c>
      <c r="S156" s="43" t="n">
        <v>0.139463116518417</v>
      </c>
      <c r="T156" s="44" t="s">
        <v>128</v>
      </c>
    </row>
    <row r="157" customFormat="false" ht="15" hidden="false" customHeight="false" outlineLevel="0" collapsed="false">
      <c r="A157" s="38" t="s">
        <v>157</v>
      </c>
      <c r="B157" s="38" t="s">
        <v>253</v>
      </c>
      <c r="C157" s="38" t="s">
        <v>260</v>
      </c>
      <c r="D157" s="21" t="n">
        <f aca="false">ROUND(Q157*R157,0)</f>
        <v>1414</v>
      </c>
      <c r="E157" s="21" t="n">
        <f aca="false">ROUND(Q157,0)-D157</f>
        <v>1211</v>
      </c>
      <c r="F157" s="21" t="n">
        <f aca="false">IF(COUNTA(D157:E157)=0,"",SUM(D157:E157))</f>
        <v>2625</v>
      </c>
      <c r="G157" s="39" t="n">
        <f aca="false">IF(OR(F157="",F157=0),"",D157/F157)</f>
        <v>0.538666666666667</v>
      </c>
      <c r="H157" s="39" t="n">
        <f aca="false">IF(OR(F157="",F157=0),"",E157/F157)</f>
        <v>0.461333333333333</v>
      </c>
      <c r="I157" s="38" t="s">
        <v>89</v>
      </c>
      <c r="J157" s="40" t="n">
        <v>1.28585670084365</v>
      </c>
      <c r="K157" s="39" t="n">
        <f aca="false">IF(G157="","",MAX(0,G157-J157/100))</f>
        <v>0.52580809965823</v>
      </c>
      <c r="L157" s="39" t="n">
        <f aca="false">IF(G157="","",MIN(1,G157+J157/100))</f>
        <v>0.551525233675103</v>
      </c>
      <c r="M157" s="21" t="n">
        <f aca="false">ROUND(Q157*S157,0)</f>
        <v>366</v>
      </c>
      <c r="N157" s="21" t="n">
        <f aca="false">ROUND(SQRT((F157*J157/100)^2+(G157*M157)^2),0)</f>
        <v>200</v>
      </c>
      <c r="P157" s="41" t="n">
        <v>1.01284801382193</v>
      </c>
      <c r="Q157" s="42" t="n">
        <v>2624.90282943049</v>
      </c>
      <c r="R157" s="43" t="n">
        <f aca="false">MAX(0,MIN(1,P157/100+$D$5))</f>
        <v>0.538784232371396</v>
      </c>
      <c r="S157" s="43" t="n">
        <v>0.139463116518417</v>
      </c>
      <c r="T157" s="44" t="s">
        <v>128</v>
      </c>
    </row>
    <row r="158" customFormat="false" ht="15" hidden="false" customHeight="false" outlineLevel="0" collapsed="false">
      <c r="A158" s="38" t="s">
        <v>157</v>
      </c>
      <c r="B158" s="38" t="s">
        <v>253</v>
      </c>
      <c r="C158" s="38" t="s">
        <v>261</v>
      </c>
      <c r="D158" s="21" t="n">
        <f aca="false">ROUND(Q158*R158,0)</f>
        <v>796</v>
      </c>
      <c r="E158" s="21" t="n">
        <f aca="false">ROUND(Q158,0)-D158</f>
        <v>603</v>
      </c>
      <c r="F158" s="21" t="n">
        <f aca="false">IF(COUNTA(D158:E158)=0,"",SUM(D158:E158))</f>
        <v>1399</v>
      </c>
      <c r="G158" s="39" t="n">
        <f aca="false">IF(OR(F158="",F158=0),"",D158/F158)</f>
        <v>0.568977841315225</v>
      </c>
      <c r="H158" s="39" t="n">
        <f aca="false">IF(OR(F158="",F158=0),"",E158/F158)</f>
        <v>0.431022158684775</v>
      </c>
      <c r="I158" s="38" t="s">
        <v>89</v>
      </c>
      <c r="J158" s="40" t="n">
        <v>1.28585670084365</v>
      </c>
      <c r="K158" s="39" t="n">
        <f aca="false">IF(G158="","",MAX(0,G158-J158/100))</f>
        <v>0.556119274306789</v>
      </c>
      <c r="L158" s="39" t="n">
        <f aca="false">IF(G158="","",MIN(1,G158+J158/100))</f>
        <v>0.581836408323662</v>
      </c>
      <c r="M158" s="21" t="n">
        <f aca="false">ROUND(Q158*S158,0)</f>
        <v>195</v>
      </c>
      <c r="N158" s="21" t="n">
        <f aca="false">ROUND(SQRT((F158*J158/100)^2+(G158*M158)^2),0)</f>
        <v>112</v>
      </c>
      <c r="P158" s="41" t="n">
        <v>4.02002630724659</v>
      </c>
      <c r="Q158" s="42" t="n">
        <v>1399.44629475631</v>
      </c>
      <c r="R158" s="43" t="n">
        <f aca="false">MAX(0,MIN(1,P158/100+$D$5))</f>
        <v>0.568856015305643</v>
      </c>
      <c r="S158" s="43" t="n">
        <v>0.139463116518417</v>
      </c>
      <c r="T158" s="44" t="s">
        <v>128</v>
      </c>
    </row>
    <row r="159" customFormat="false" ht="15" hidden="false" customHeight="false" outlineLevel="0" collapsed="false">
      <c r="A159" s="38" t="s">
        <v>157</v>
      </c>
      <c r="B159" s="38" t="s">
        <v>253</v>
      </c>
      <c r="C159" s="38" t="s">
        <v>262</v>
      </c>
      <c r="D159" s="21" t="n">
        <f aca="false">ROUND(Q159*R159,0)</f>
        <v>779</v>
      </c>
      <c r="E159" s="21" t="n">
        <f aca="false">ROUND(Q159,0)-D159</f>
        <v>637</v>
      </c>
      <c r="F159" s="21" t="n">
        <f aca="false">IF(COUNTA(D159:E159)=0,"",SUM(D159:E159))</f>
        <v>1416</v>
      </c>
      <c r="G159" s="39" t="n">
        <f aca="false">IF(OR(F159="",F159=0),"",D159/F159)</f>
        <v>0.550141242937853</v>
      </c>
      <c r="H159" s="39" t="n">
        <f aca="false">IF(OR(F159="",F159=0),"",E159/F159)</f>
        <v>0.449858757062147</v>
      </c>
      <c r="I159" s="38" t="s">
        <v>89</v>
      </c>
      <c r="J159" s="40" t="n">
        <v>1.28585670084365</v>
      </c>
      <c r="K159" s="39" t="n">
        <f aca="false">IF(G159="","",MAX(0,G159-J159/100))</f>
        <v>0.537282675929417</v>
      </c>
      <c r="L159" s="39" t="n">
        <f aca="false">IF(G159="","",MIN(1,G159+J159/100))</f>
        <v>0.56299980994629</v>
      </c>
      <c r="M159" s="21" t="n">
        <f aca="false">ROUND(Q159*S159,0)</f>
        <v>197</v>
      </c>
      <c r="N159" s="21" t="n">
        <f aca="false">ROUND(SQRT((F159*J159/100)^2+(G159*M159)^2),0)</f>
        <v>110</v>
      </c>
      <c r="P159" s="41" t="n">
        <v>2.150438138226</v>
      </c>
      <c r="Q159" s="42" t="n">
        <v>1415.6685013819</v>
      </c>
      <c r="R159" s="43" t="n">
        <f aca="false">MAX(0,MIN(1,P159/100+$D$5))</f>
        <v>0.550160133615437</v>
      </c>
      <c r="S159" s="43" t="n">
        <v>0.139463116518417</v>
      </c>
      <c r="T159" s="44" t="s">
        <v>128</v>
      </c>
    </row>
    <row r="160" customFormat="false" ht="15" hidden="false" customHeight="false" outlineLevel="0" collapsed="false">
      <c r="A160" s="38" t="s">
        <v>157</v>
      </c>
      <c r="B160" s="38" t="s">
        <v>253</v>
      </c>
      <c r="C160" s="38" t="s">
        <v>263</v>
      </c>
      <c r="D160" s="21" t="n">
        <f aca="false">ROUND(Q160*R160,0)</f>
        <v>521</v>
      </c>
      <c r="E160" s="21" t="n">
        <f aca="false">ROUND(Q160,0)-D160</f>
        <v>427</v>
      </c>
      <c r="F160" s="21" t="n">
        <f aca="false">IF(COUNTA(D160:E160)=0,"",SUM(D160:E160))</f>
        <v>948</v>
      </c>
      <c r="G160" s="39" t="n">
        <f aca="false">IF(OR(F160="",F160=0),"",D160/F160)</f>
        <v>0.54957805907173</v>
      </c>
      <c r="H160" s="39" t="n">
        <f aca="false">IF(OR(F160="",F160=0),"",E160/F160)</f>
        <v>0.45042194092827</v>
      </c>
      <c r="I160" s="38" t="s">
        <v>89</v>
      </c>
      <c r="J160" s="40" t="n">
        <v>1.85532414445586</v>
      </c>
      <c r="K160" s="39" t="n">
        <f aca="false">IF(G160="","",MAX(0,G160-J160/100))</f>
        <v>0.531024817627171</v>
      </c>
      <c r="L160" s="39" t="n">
        <f aca="false">IF(G160="","",MIN(1,G160+J160/100))</f>
        <v>0.568131300516289</v>
      </c>
      <c r="M160" s="21" t="n">
        <f aca="false">ROUND(Q160*S160,0)</f>
        <v>60</v>
      </c>
      <c r="N160" s="21" t="n">
        <f aca="false">ROUND(SQRT((F160*J160/100)^2+(G160*M160)^2),0)</f>
        <v>37</v>
      </c>
      <c r="P160" s="41" t="n">
        <v>2.09243484509528</v>
      </c>
      <c r="Q160" s="42" t="n">
        <v>947.589255607449</v>
      </c>
      <c r="R160" s="43" t="n">
        <f aca="false">MAX(0,MIN(1,P160/100+$D$5))</f>
        <v>0.549580100684129</v>
      </c>
      <c r="S160" s="43" t="n">
        <v>0.0633793435818552</v>
      </c>
      <c r="T160" s="44" t="s">
        <v>99</v>
      </c>
    </row>
    <row r="161" customFormat="false" ht="15" hidden="false" customHeight="false" outlineLevel="0" collapsed="false">
      <c r="A161" s="38" t="s">
        <v>157</v>
      </c>
      <c r="B161" s="38" t="s">
        <v>264</v>
      </c>
      <c r="C161" s="38" t="s">
        <v>264</v>
      </c>
      <c r="D161" s="21" t="n">
        <f aca="false">ROUND(Q161*R161,0)</f>
        <v>970</v>
      </c>
      <c r="E161" s="21" t="n">
        <f aca="false">ROUND(Q161,0)-D161</f>
        <v>1341</v>
      </c>
      <c r="F161" s="21" t="n">
        <f aca="false">IF(COUNTA(D161:E161)=0,"",SUM(D161:E161))</f>
        <v>2311</v>
      </c>
      <c r="G161" s="39" t="n">
        <f aca="false">IF(OR(F161="",F161=0),"",D161/F161)</f>
        <v>0.419731717871052</v>
      </c>
      <c r="H161" s="39" t="n">
        <f aca="false">IF(OR(F161="",F161=0),"",E161/F161)</f>
        <v>0.580268282128949</v>
      </c>
      <c r="I161" s="38" t="s">
        <v>89</v>
      </c>
      <c r="J161" s="40" t="n">
        <v>1.28585670084365</v>
      </c>
      <c r="K161" s="39" t="n">
        <f aca="false">IF(G161="","",MAX(0,G161-J161/100))</f>
        <v>0.406873150862615</v>
      </c>
      <c r="L161" s="39" t="n">
        <f aca="false">IF(G161="","",MIN(1,G161+J161/100))</f>
        <v>0.432590284879488</v>
      </c>
      <c r="M161" s="21" t="n">
        <f aca="false">ROUND(Q161*S161,0)</f>
        <v>322</v>
      </c>
      <c r="N161" s="21" t="n">
        <f aca="false">ROUND(SQRT((F161*J161/100)^2+(G161*M161)^2),0)</f>
        <v>138</v>
      </c>
      <c r="P161" s="41" t="n">
        <v>-10.8870384586808</v>
      </c>
      <c r="Q161" s="42" t="n">
        <v>2311.19365136338</v>
      </c>
      <c r="R161" s="43" t="n">
        <f aca="false">MAX(0,MIN(1,P161/100+$D$5))</f>
        <v>0.419785367646369</v>
      </c>
      <c r="S161" s="43" t="n">
        <v>0.139463116518417</v>
      </c>
      <c r="T161" s="44" t="s">
        <v>128</v>
      </c>
    </row>
    <row r="162" customFormat="false" ht="15" hidden="false" customHeight="false" outlineLevel="0" collapsed="false">
      <c r="A162" s="38" t="s">
        <v>157</v>
      </c>
      <c r="B162" s="38" t="s">
        <v>265</v>
      </c>
      <c r="C162" s="38" t="s">
        <v>265</v>
      </c>
      <c r="D162" s="21" t="n">
        <f aca="false">ROUND(Q162*R162,0)</f>
        <v>526</v>
      </c>
      <c r="E162" s="21" t="n">
        <f aca="false">ROUND(Q162,0)-D162</f>
        <v>784</v>
      </c>
      <c r="F162" s="21" t="n">
        <f aca="false">IF(COUNTA(D162:E162)=0,"",SUM(D162:E162))</f>
        <v>1310</v>
      </c>
      <c r="G162" s="39" t="n">
        <f aca="false">IF(OR(F162="",F162=0),"",D162/F162)</f>
        <v>0.401526717557252</v>
      </c>
      <c r="H162" s="39" t="n">
        <f aca="false">IF(OR(F162="",F162=0),"",E162/F162)</f>
        <v>0.598473282442748</v>
      </c>
      <c r="I162" s="38" t="s">
        <v>89</v>
      </c>
      <c r="J162" s="40" t="n">
        <v>1.28585670084365</v>
      </c>
      <c r="K162" s="39" t="n">
        <f aca="false">IF(G162="","",MAX(0,G162-J162/100))</f>
        <v>0.388668150548815</v>
      </c>
      <c r="L162" s="39" t="n">
        <f aca="false">IF(G162="","",MIN(1,G162+J162/100))</f>
        <v>0.414385284565688</v>
      </c>
      <c r="M162" s="21" t="n">
        <f aca="false">ROUND(Q162*S162,0)</f>
        <v>183</v>
      </c>
      <c r="N162" s="21" t="n">
        <f aca="false">ROUND(SQRT((F162*J162/100)^2+(G162*M162)^2),0)</f>
        <v>75</v>
      </c>
      <c r="P162" s="41" t="n">
        <v>-12.7010558871415</v>
      </c>
      <c r="Q162" s="42" t="n">
        <v>1310.03192142867</v>
      </c>
      <c r="R162" s="43" t="n">
        <f aca="false">MAX(0,MIN(1,P162/100+$D$5))</f>
        <v>0.401645193361761</v>
      </c>
      <c r="S162" s="43" t="n">
        <v>0.139463116518417</v>
      </c>
      <c r="T162" s="44" t="s">
        <v>128</v>
      </c>
    </row>
    <row r="163" customFormat="false" ht="15" hidden="false" customHeight="false" outlineLevel="0" collapsed="false">
      <c r="A163" s="38" t="s">
        <v>157</v>
      </c>
      <c r="B163" s="38" t="s">
        <v>266</v>
      </c>
      <c r="C163" s="38" t="s">
        <v>267</v>
      </c>
      <c r="D163" s="21" t="n">
        <f aca="false">ROUND(Q163*R163,0)</f>
        <v>188</v>
      </c>
      <c r="E163" s="21" t="n">
        <f aca="false">ROUND(Q163,0)-D163</f>
        <v>405</v>
      </c>
      <c r="F163" s="21" t="n">
        <f aca="false">IF(COUNTA(D163:E163)=0,"",SUM(D163:E163))</f>
        <v>593</v>
      </c>
      <c r="G163" s="39" t="n">
        <f aca="false">IF(OR(F163="",F163=0),"",D163/F163)</f>
        <v>0.317032040472175</v>
      </c>
      <c r="H163" s="39" t="n">
        <f aca="false">IF(OR(F163="",F163=0),"",E163/F163)</f>
        <v>0.682967959527825</v>
      </c>
      <c r="I163" s="38" t="s">
        <v>89</v>
      </c>
      <c r="J163" s="40" t="n">
        <v>3.25434931194355</v>
      </c>
      <c r="K163" s="39" t="n">
        <f aca="false">IF(G163="","",MAX(0,G163-J163/100))</f>
        <v>0.28448854735274</v>
      </c>
      <c r="L163" s="39" t="n">
        <f aca="false">IF(G163="","",MIN(1,G163+J163/100))</f>
        <v>0.349575533591611</v>
      </c>
      <c r="M163" s="21" t="n">
        <f aca="false">ROUND(Q163*S163,0)</f>
        <v>46</v>
      </c>
      <c r="N163" s="21" t="n">
        <f aca="false">ROUND(SQRT((F163*J163/100)^2+(G163*M163)^2),0)</f>
        <v>24</v>
      </c>
      <c r="P163" s="41" t="n">
        <v>-21.1422918424845</v>
      </c>
      <c r="Q163" s="42" t="n">
        <v>593.140462173653</v>
      </c>
      <c r="R163" s="43" t="n">
        <f aca="false">MAX(0,MIN(1,P163/100+$D$5))</f>
        <v>0.317232833808331</v>
      </c>
      <c r="S163" s="43" t="n">
        <v>0.0779420971553049</v>
      </c>
      <c r="T163" s="44" t="s">
        <v>90</v>
      </c>
    </row>
    <row r="164" customFormat="false" ht="15" hidden="false" customHeight="false" outlineLevel="0" collapsed="false">
      <c r="A164" s="38" t="s">
        <v>157</v>
      </c>
      <c r="B164" s="38" t="s">
        <v>266</v>
      </c>
      <c r="C164" s="38" t="s">
        <v>268</v>
      </c>
      <c r="D164" s="21" t="n">
        <f aca="false">ROUND(Q164*R164,0)</f>
        <v>144</v>
      </c>
      <c r="E164" s="21" t="n">
        <f aca="false">ROUND(Q164,0)-D164</f>
        <v>256</v>
      </c>
      <c r="F164" s="21" t="n">
        <f aca="false">IF(COUNTA(D164:E164)=0,"",SUM(D164:E164))</f>
        <v>400</v>
      </c>
      <c r="G164" s="39" t="n">
        <f aca="false">IF(OR(F164="",F164=0),"",D164/F164)</f>
        <v>0.36</v>
      </c>
      <c r="H164" s="39" t="n">
        <f aca="false">IF(OR(F164="",F164=0),"",E164/F164)</f>
        <v>0.64</v>
      </c>
      <c r="I164" s="38" t="s">
        <v>89</v>
      </c>
      <c r="J164" s="40" t="n">
        <v>3.25434931194355</v>
      </c>
      <c r="K164" s="39" t="n">
        <f aca="false">IF(G164="","",MAX(0,G164-J164/100))</f>
        <v>0.327456506880565</v>
      </c>
      <c r="L164" s="39" t="n">
        <f aca="false">IF(G164="","",MIN(1,G164+J164/100))</f>
        <v>0.392543493119436</v>
      </c>
      <c r="M164" s="21" t="n">
        <f aca="false">ROUND(Q164*S164,0)</f>
        <v>31</v>
      </c>
      <c r="N164" s="21" t="n">
        <f aca="false">ROUND(SQRT((F164*J164/100)^2+(G164*M164)^2),0)</f>
        <v>17</v>
      </c>
      <c r="P164" s="41" t="n">
        <v>-16.8849599004067</v>
      </c>
      <c r="Q164" s="42" t="n">
        <v>400.365505589474</v>
      </c>
      <c r="R164" s="43" t="n">
        <f aca="false">MAX(0,MIN(1,P164/100+$D$5))</f>
        <v>0.359806153229109</v>
      </c>
      <c r="S164" s="43" t="n">
        <v>0.0779420971553049</v>
      </c>
      <c r="T164" s="44" t="s">
        <v>90</v>
      </c>
    </row>
    <row r="165" customFormat="false" ht="15" hidden="false" customHeight="false" outlineLevel="0" collapsed="false">
      <c r="A165" s="38" t="s">
        <v>157</v>
      </c>
      <c r="B165" s="38" t="s">
        <v>266</v>
      </c>
      <c r="C165" s="38" t="s">
        <v>269</v>
      </c>
      <c r="D165" s="21" t="n">
        <f aca="false">ROUND(Q165*R165,0)</f>
        <v>503</v>
      </c>
      <c r="E165" s="21" t="n">
        <f aca="false">ROUND(Q165,0)-D165</f>
        <v>840</v>
      </c>
      <c r="F165" s="21" t="n">
        <f aca="false">IF(COUNTA(D165:E165)=0,"",SUM(D165:E165))</f>
        <v>1343</v>
      </c>
      <c r="G165" s="39" t="n">
        <f aca="false">IF(OR(F165="",F165=0),"",D165/F165)</f>
        <v>0.374534623976173</v>
      </c>
      <c r="H165" s="39" t="n">
        <f aca="false">IF(OR(F165="",F165=0),"",E165/F165)</f>
        <v>0.625465376023827</v>
      </c>
      <c r="I165" s="38" t="s">
        <v>89</v>
      </c>
      <c r="J165" s="40" t="n">
        <v>1.28585670084365</v>
      </c>
      <c r="K165" s="39" t="n">
        <f aca="false">IF(G165="","",MAX(0,G165-J165/100))</f>
        <v>0.361676056967736</v>
      </c>
      <c r="L165" s="39" t="n">
        <f aca="false">IF(G165="","",MIN(1,G165+J165/100))</f>
        <v>0.387393190984609</v>
      </c>
      <c r="M165" s="21" t="n">
        <f aca="false">ROUND(Q165*S165,0)</f>
        <v>187</v>
      </c>
      <c r="N165" s="21" t="n">
        <f aca="false">ROUND(SQRT((F165*J165/100)^2+(G165*M165)^2),0)</f>
        <v>72</v>
      </c>
      <c r="P165" s="41" t="n">
        <v>-15.3804159808402</v>
      </c>
      <c r="Q165" s="42" t="n">
        <v>1342.78844995248</v>
      </c>
      <c r="R165" s="43" t="n">
        <f aca="false">MAX(0,MIN(1,P165/100+$D$5))</f>
        <v>0.374851592424775</v>
      </c>
      <c r="S165" s="43" t="n">
        <v>0.139463116518417</v>
      </c>
      <c r="T165" s="44" t="s">
        <v>128</v>
      </c>
    </row>
    <row r="166" customFormat="false" ht="15" hidden="false" customHeight="false" outlineLevel="0" collapsed="false">
      <c r="A166" s="38" t="s">
        <v>157</v>
      </c>
      <c r="B166" s="38" t="s">
        <v>270</v>
      </c>
      <c r="C166" s="38" t="s">
        <v>270</v>
      </c>
      <c r="D166" s="21" t="n">
        <f aca="false">ROUND(Q166*R166,0)</f>
        <v>888</v>
      </c>
      <c r="E166" s="21" t="n">
        <f aca="false">ROUND(Q166,0)-D166</f>
        <v>688</v>
      </c>
      <c r="F166" s="21" t="n">
        <f aca="false">IF(COUNTA(D166:E166)=0,"",SUM(D166:E166))</f>
        <v>1576</v>
      </c>
      <c r="G166" s="39" t="n">
        <f aca="false">IF(OR(F166="",F166=0),"",D166/F166)</f>
        <v>0.563451776649746</v>
      </c>
      <c r="H166" s="39" t="n">
        <f aca="false">IF(OR(F166="",F166=0),"",E166/F166)</f>
        <v>0.436548223350254</v>
      </c>
      <c r="I166" s="38" t="s">
        <v>89</v>
      </c>
      <c r="J166" s="40" t="n">
        <v>1.28585670084365</v>
      </c>
      <c r="K166" s="39" t="n">
        <f aca="false">IF(G166="","",MAX(0,G166-J166/100))</f>
        <v>0.55059320964131</v>
      </c>
      <c r="L166" s="39" t="n">
        <f aca="false">IF(G166="","",MIN(1,G166+J166/100))</f>
        <v>0.576310343658183</v>
      </c>
      <c r="M166" s="21" t="n">
        <f aca="false">ROUND(Q166*S166,0)</f>
        <v>220</v>
      </c>
      <c r="N166" s="21" t="n">
        <f aca="false">ROUND(SQRT((F166*J166/100)^2+(G166*M166)^2),0)</f>
        <v>126</v>
      </c>
      <c r="P166" s="41" t="n">
        <v>3.50931506985428</v>
      </c>
      <c r="Q166" s="42" t="n">
        <v>1575.90649255613</v>
      </c>
      <c r="R166" s="43" t="n">
        <f aca="false">MAX(0,MIN(1,P166/100+$D$5))</f>
        <v>0.563748902931719</v>
      </c>
      <c r="S166" s="43" t="n">
        <v>0.139463116518417</v>
      </c>
      <c r="T166" s="44" t="s">
        <v>128</v>
      </c>
    </row>
    <row r="167" customFormat="false" ht="15" hidden="false" customHeight="false" outlineLevel="0" collapsed="false">
      <c r="A167" s="38" t="s">
        <v>157</v>
      </c>
      <c r="B167" s="38" t="s">
        <v>271</v>
      </c>
      <c r="C167" s="38" t="s">
        <v>272</v>
      </c>
      <c r="D167" s="21" t="n">
        <f aca="false">ROUND(Q167*R167,0)</f>
        <v>952</v>
      </c>
      <c r="E167" s="21" t="n">
        <f aca="false">ROUND(Q167,0)-D167</f>
        <v>1059</v>
      </c>
      <c r="F167" s="21" t="n">
        <f aca="false">IF(COUNTA(D167:E167)=0,"",SUM(D167:E167))</f>
        <v>2011</v>
      </c>
      <c r="G167" s="39" t="n">
        <f aca="false">IF(OR(F167="",F167=0),"",D167/F167)</f>
        <v>0.473396320238687</v>
      </c>
      <c r="H167" s="39" t="n">
        <f aca="false">IF(OR(F167="",F167=0),"",E167/F167)</f>
        <v>0.526603679761313</v>
      </c>
      <c r="I167" s="38" t="s">
        <v>89</v>
      </c>
      <c r="J167" s="40" t="n">
        <v>1.28585670084365</v>
      </c>
      <c r="K167" s="39" t="n">
        <f aca="false">IF(G167="","",MAX(0,G167-J167/100))</f>
        <v>0.460537753230251</v>
      </c>
      <c r="L167" s="39" t="n">
        <f aca="false">IF(G167="","",MIN(1,G167+J167/100))</f>
        <v>0.486254887247124</v>
      </c>
      <c r="M167" s="21" t="n">
        <f aca="false">ROUND(Q167*S167,0)</f>
        <v>280</v>
      </c>
      <c r="N167" s="21" t="n">
        <f aca="false">ROUND(SQRT((F167*J167/100)^2+(G167*M167)^2),0)</f>
        <v>135</v>
      </c>
      <c r="P167" s="41" t="n">
        <v>-5.50066957276453</v>
      </c>
      <c r="Q167" s="42" t="n">
        <v>2010.88656051712</v>
      </c>
      <c r="R167" s="43" t="n">
        <f aca="false">MAX(0,MIN(1,P167/100+$D$5))</f>
        <v>0.473649056505531</v>
      </c>
      <c r="S167" s="43" t="n">
        <v>0.139463116518417</v>
      </c>
      <c r="T167" s="44" t="s">
        <v>128</v>
      </c>
    </row>
    <row r="168" customFormat="false" ht="15" hidden="false" customHeight="false" outlineLevel="0" collapsed="false">
      <c r="A168" s="38" t="s">
        <v>157</v>
      </c>
      <c r="B168" s="38" t="s">
        <v>271</v>
      </c>
      <c r="C168" s="38" t="s">
        <v>273</v>
      </c>
      <c r="D168" s="21" t="n">
        <f aca="false">ROUND(Q168*R168,0)</f>
        <v>785</v>
      </c>
      <c r="E168" s="21" t="n">
        <f aca="false">ROUND(Q168,0)-D168</f>
        <v>1010</v>
      </c>
      <c r="F168" s="21" t="n">
        <f aca="false">IF(COUNTA(D168:E168)=0,"",SUM(D168:E168))</f>
        <v>1795</v>
      </c>
      <c r="G168" s="39" t="n">
        <f aca="false">IF(OR(F168="",F168=0),"",D168/F168)</f>
        <v>0.437325905292479</v>
      </c>
      <c r="H168" s="39" t="n">
        <f aca="false">IF(OR(F168="",F168=0),"",E168/F168)</f>
        <v>0.562674094707521</v>
      </c>
      <c r="I168" s="38" t="s">
        <v>89</v>
      </c>
      <c r="J168" s="40" t="n">
        <v>1.28585670084365</v>
      </c>
      <c r="K168" s="39" t="n">
        <f aca="false">IF(G168="","",MAX(0,G168-J168/100))</f>
        <v>0.424467338284043</v>
      </c>
      <c r="L168" s="39" t="n">
        <f aca="false">IF(G168="","",MIN(1,G168+J168/100))</f>
        <v>0.450184472300916</v>
      </c>
      <c r="M168" s="21" t="n">
        <f aca="false">ROUND(Q168*S168,0)</f>
        <v>250</v>
      </c>
      <c r="N168" s="21" t="n">
        <f aca="false">ROUND(SQRT((F168*J168/100)^2+(G168*M168)^2),0)</f>
        <v>112</v>
      </c>
      <c r="P168" s="41" t="n">
        <v>-9.12143270447581</v>
      </c>
      <c r="Q168" s="42" t="n">
        <v>1794.52211841216</v>
      </c>
      <c r="R168" s="43" t="n">
        <f aca="false">MAX(0,MIN(1,P168/100+$D$5))</f>
        <v>0.437441425188419</v>
      </c>
      <c r="S168" s="43" t="n">
        <v>0.139463116518417</v>
      </c>
      <c r="T168" s="44" t="s">
        <v>128</v>
      </c>
    </row>
    <row r="169" customFormat="false" ht="15" hidden="false" customHeight="false" outlineLevel="0" collapsed="false">
      <c r="A169" s="38" t="s">
        <v>157</v>
      </c>
      <c r="B169" s="38" t="s">
        <v>271</v>
      </c>
      <c r="C169" s="38" t="s">
        <v>274</v>
      </c>
      <c r="D169" s="21" t="n">
        <f aca="false">ROUND(Q169*R169,0)</f>
        <v>420</v>
      </c>
      <c r="E169" s="21" t="n">
        <f aca="false">ROUND(Q169,0)-D169</f>
        <v>545</v>
      </c>
      <c r="F169" s="21" t="n">
        <f aca="false">IF(COUNTA(D169:E169)=0,"",SUM(D169:E169))</f>
        <v>965</v>
      </c>
      <c r="G169" s="39" t="n">
        <f aca="false">IF(OR(F169="",F169=0),"",D169/F169)</f>
        <v>0.435233160621762</v>
      </c>
      <c r="H169" s="39" t="n">
        <f aca="false">IF(OR(F169="",F169=0),"",E169/F169)</f>
        <v>0.564766839378238</v>
      </c>
      <c r="I169" s="38" t="s">
        <v>89</v>
      </c>
      <c r="J169" s="40" t="n">
        <v>1.85532414445586</v>
      </c>
      <c r="K169" s="39" t="n">
        <f aca="false">IF(G169="","",MAX(0,G169-J169/100))</f>
        <v>0.416679919177203</v>
      </c>
      <c r="L169" s="39" t="n">
        <f aca="false">IF(G169="","",MIN(1,G169+J169/100))</f>
        <v>0.45378640206632</v>
      </c>
      <c r="M169" s="21" t="n">
        <f aca="false">ROUND(Q169*S169,0)</f>
        <v>61</v>
      </c>
      <c r="N169" s="21" t="n">
        <f aca="false">ROUND(SQRT((F169*J169/100)^2+(G169*M169)^2),0)</f>
        <v>32</v>
      </c>
      <c r="P169" s="41" t="n">
        <v>-9.34197326930811</v>
      </c>
      <c r="Q169" s="42" t="n">
        <v>964.91672738722</v>
      </c>
      <c r="R169" s="43" t="n">
        <f aca="false">MAX(0,MIN(1,P169/100+$D$5))</f>
        <v>0.435236019540096</v>
      </c>
      <c r="S169" s="43" t="n">
        <v>0.0633793435818552</v>
      </c>
      <c r="T169" s="44" t="s">
        <v>99</v>
      </c>
    </row>
    <row r="170" customFormat="false" ht="15" hidden="false" customHeight="false" outlineLevel="0" collapsed="false">
      <c r="A170" s="38" t="s">
        <v>157</v>
      </c>
      <c r="B170" s="38" t="s">
        <v>271</v>
      </c>
      <c r="C170" s="38" t="s">
        <v>275</v>
      </c>
      <c r="D170" s="21" t="n">
        <f aca="false">ROUND(Q170*R170,0)</f>
        <v>627</v>
      </c>
      <c r="E170" s="21" t="n">
        <f aca="false">ROUND(Q170,0)-D170</f>
        <v>776</v>
      </c>
      <c r="F170" s="21" t="n">
        <f aca="false">IF(COUNTA(D170:E170)=0,"",SUM(D170:E170))</f>
        <v>1403</v>
      </c>
      <c r="G170" s="39" t="n">
        <f aca="false">IF(OR(F170="",F170=0),"",D170/F170)</f>
        <v>0.446899501069138</v>
      </c>
      <c r="H170" s="39" t="n">
        <f aca="false">IF(OR(F170="",F170=0),"",E170/F170)</f>
        <v>0.553100498930862</v>
      </c>
      <c r="I170" s="38" t="s">
        <v>89</v>
      </c>
      <c r="J170" s="40" t="n">
        <v>1.28585670084365</v>
      </c>
      <c r="K170" s="39" t="n">
        <f aca="false">IF(G170="","",MAX(0,G170-J170/100))</f>
        <v>0.434040934060701</v>
      </c>
      <c r="L170" s="39" t="n">
        <f aca="false">IF(G170="","",MIN(1,G170+J170/100))</f>
        <v>0.459758068077574</v>
      </c>
      <c r="M170" s="21" t="n">
        <f aca="false">ROUND(Q170*S170,0)</f>
        <v>196</v>
      </c>
      <c r="N170" s="21" t="n">
        <f aca="false">ROUND(SQRT((F170*J170/100)^2+(G170*M170)^2),0)</f>
        <v>89</v>
      </c>
      <c r="P170" s="41" t="n">
        <v>-8.21412048713044</v>
      </c>
      <c r="Q170" s="42" t="n">
        <v>1403.1653046602</v>
      </c>
      <c r="R170" s="43" t="n">
        <f aca="false">MAX(0,MIN(1,P170/100+$D$5))</f>
        <v>0.446514547361872</v>
      </c>
      <c r="S170" s="43" t="n">
        <v>0.139463116518417</v>
      </c>
      <c r="T170" s="44" t="s">
        <v>128</v>
      </c>
    </row>
    <row r="171" customFormat="false" ht="15" hidden="false" customHeight="false" outlineLevel="0" collapsed="false">
      <c r="A171" s="38" t="s">
        <v>157</v>
      </c>
      <c r="B171" s="38" t="s">
        <v>271</v>
      </c>
      <c r="C171" s="38" t="s">
        <v>276</v>
      </c>
      <c r="D171" s="21" t="n">
        <f aca="false">ROUND(Q171*R171,0)</f>
        <v>537</v>
      </c>
      <c r="E171" s="21" t="n">
        <f aca="false">ROUND(Q171,0)-D171</f>
        <v>723</v>
      </c>
      <c r="F171" s="21" t="n">
        <f aca="false">IF(COUNTA(D171:E171)=0,"",SUM(D171:E171))</f>
        <v>1260</v>
      </c>
      <c r="G171" s="39" t="n">
        <f aca="false">IF(OR(F171="",F171=0),"",D171/F171)</f>
        <v>0.426190476190476</v>
      </c>
      <c r="H171" s="39" t="n">
        <f aca="false">IF(OR(F171="",F171=0),"",E171/F171)</f>
        <v>0.573809523809524</v>
      </c>
      <c r="I171" s="38" t="s">
        <v>89</v>
      </c>
      <c r="J171" s="40" t="n">
        <v>1.28585670084365</v>
      </c>
      <c r="K171" s="39" t="n">
        <f aca="false">IF(G171="","",MAX(0,G171-J171/100))</f>
        <v>0.41333190918204</v>
      </c>
      <c r="L171" s="39" t="n">
        <f aca="false">IF(G171="","",MIN(1,G171+J171/100))</f>
        <v>0.439049043198913</v>
      </c>
      <c r="M171" s="21" t="n">
        <f aca="false">ROUND(Q171*S171,0)</f>
        <v>176</v>
      </c>
      <c r="N171" s="21" t="n">
        <f aca="false">ROUND(SQRT((F171*J171/100)^2+(G171*M171)^2),0)</f>
        <v>77</v>
      </c>
      <c r="P171" s="41" t="n">
        <v>-10.2799964948579</v>
      </c>
      <c r="Q171" s="42" t="n">
        <v>1260.12279074201</v>
      </c>
      <c r="R171" s="43" t="n">
        <f aca="false">MAX(0,MIN(1,P171/100+$D$5))</f>
        <v>0.425855787284597</v>
      </c>
      <c r="S171" s="43" t="n">
        <v>0.139463116518417</v>
      </c>
      <c r="T171" s="44" t="s">
        <v>128</v>
      </c>
    </row>
    <row r="172" customFormat="false" ht="15" hidden="false" customHeight="false" outlineLevel="0" collapsed="false">
      <c r="A172" s="38" t="s">
        <v>157</v>
      </c>
      <c r="B172" s="38" t="s">
        <v>271</v>
      </c>
      <c r="C172" s="38" t="s">
        <v>277</v>
      </c>
      <c r="D172" s="21" t="n">
        <f aca="false">ROUND(Q172*R172,0)</f>
        <v>462</v>
      </c>
      <c r="E172" s="21" t="n">
        <f aca="false">ROUND(Q172,0)-D172</f>
        <v>512</v>
      </c>
      <c r="F172" s="21" t="n">
        <f aca="false">IF(COUNTA(D172:E172)=0,"",SUM(D172:E172))</f>
        <v>974</v>
      </c>
      <c r="G172" s="39" t="n">
        <f aca="false">IF(OR(F172="",F172=0),"",D172/F172)</f>
        <v>0.474332648870637</v>
      </c>
      <c r="H172" s="39" t="n">
        <f aca="false">IF(OR(F172="",F172=0),"",E172/F172)</f>
        <v>0.525667351129364</v>
      </c>
      <c r="I172" s="38" t="s">
        <v>89</v>
      </c>
      <c r="J172" s="40" t="n">
        <v>1.85532414445586</v>
      </c>
      <c r="K172" s="39" t="n">
        <f aca="false">IF(G172="","",MAX(0,G172-J172/100))</f>
        <v>0.455779407426078</v>
      </c>
      <c r="L172" s="39" t="n">
        <f aca="false">IF(G172="","",MIN(1,G172+J172/100))</f>
        <v>0.492885890315195</v>
      </c>
      <c r="M172" s="21" t="n">
        <f aca="false">ROUND(Q172*S172,0)</f>
        <v>62</v>
      </c>
      <c r="N172" s="21" t="n">
        <f aca="false">ROUND(SQRT((F172*J172/100)^2+(G172*M172)^2),0)</f>
        <v>35</v>
      </c>
      <c r="P172" s="41" t="n">
        <v>-5.40114480019744</v>
      </c>
      <c r="Q172" s="42" t="n">
        <v>974.178042151237</v>
      </c>
      <c r="R172" s="43" t="n">
        <f aca="false">MAX(0,MIN(1,P172/100+$D$5))</f>
        <v>0.474644304231202</v>
      </c>
      <c r="S172" s="43" t="n">
        <v>0.0633793435818552</v>
      </c>
      <c r="T172" s="44" t="s">
        <v>99</v>
      </c>
    </row>
    <row r="173" customFormat="false" ht="15" hidden="false" customHeight="false" outlineLevel="0" collapsed="false">
      <c r="A173" s="38" t="s">
        <v>157</v>
      </c>
      <c r="B173" s="38" t="s">
        <v>278</v>
      </c>
      <c r="C173" s="38" t="s">
        <v>279</v>
      </c>
      <c r="D173" s="21" t="n">
        <f aca="false">ROUND(Q173*R173,0)</f>
        <v>584</v>
      </c>
      <c r="E173" s="21" t="n">
        <f aca="false">ROUND(Q173,0)-D173</f>
        <v>492</v>
      </c>
      <c r="F173" s="21" t="n">
        <f aca="false">IF(COUNTA(D173:E173)=0,"",SUM(D173:E173))</f>
        <v>1076</v>
      </c>
      <c r="G173" s="39" t="n">
        <f aca="false">IF(OR(F173="",F173=0),"",D173/F173)</f>
        <v>0.54275092936803</v>
      </c>
      <c r="H173" s="39" t="n">
        <f aca="false">IF(OR(F173="",F173=0),"",E173/F173)</f>
        <v>0.45724907063197</v>
      </c>
      <c r="I173" s="38" t="s">
        <v>89</v>
      </c>
      <c r="J173" s="40" t="n">
        <v>1.85532414445586</v>
      </c>
      <c r="K173" s="39" t="n">
        <f aca="false">IF(G173="","",MAX(0,G173-J173/100))</f>
        <v>0.524197687923471</v>
      </c>
      <c r="L173" s="39" t="n">
        <f aca="false">IF(G173="","",MIN(1,G173+J173/100))</f>
        <v>0.561304170812588</v>
      </c>
      <c r="M173" s="21" t="n">
        <f aca="false">ROUND(Q173*S173,0)</f>
        <v>68</v>
      </c>
      <c r="N173" s="21" t="n">
        <f aca="false">ROUND(SQRT((F173*J173/100)^2+(G173*M173)^2),0)</f>
        <v>42</v>
      </c>
      <c r="P173" s="41" t="n">
        <v>1.42398484347167</v>
      </c>
      <c r="Q173" s="42" t="n">
        <v>1075.59606979765</v>
      </c>
      <c r="R173" s="43" t="n">
        <f aca="false">MAX(0,MIN(1,P173/100+$D$5))</f>
        <v>0.542895600667893</v>
      </c>
      <c r="S173" s="43" t="n">
        <v>0.0633793435818552</v>
      </c>
      <c r="T173" s="44" t="s">
        <v>99</v>
      </c>
    </row>
    <row r="174" customFormat="false" ht="15" hidden="false" customHeight="false" outlineLevel="0" collapsed="false">
      <c r="A174" s="38" t="s">
        <v>157</v>
      </c>
      <c r="B174" s="38" t="s">
        <v>278</v>
      </c>
      <c r="C174" s="38" t="s">
        <v>280</v>
      </c>
      <c r="D174" s="21" t="n">
        <f aca="false">ROUND(Q174*R174,0)</f>
        <v>714</v>
      </c>
      <c r="E174" s="21" t="n">
        <f aca="false">ROUND(Q174,0)-D174</f>
        <v>582</v>
      </c>
      <c r="F174" s="21" t="n">
        <f aca="false">IF(COUNTA(D174:E174)=0,"",SUM(D174:E174))</f>
        <v>1296</v>
      </c>
      <c r="G174" s="39" t="n">
        <f aca="false">IF(OR(F174="",F174=0),"",D174/F174)</f>
        <v>0.550925925925926</v>
      </c>
      <c r="H174" s="39" t="n">
        <f aca="false">IF(OR(F174="",F174=0),"",E174/F174)</f>
        <v>0.449074074074074</v>
      </c>
      <c r="I174" s="38" t="s">
        <v>89</v>
      </c>
      <c r="J174" s="40" t="n">
        <v>1.28585670084365</v>
      </c>
      <c r="K174" s="39" t="n">
        <f aca="false">IF(G174="","",MAX(0,G174-J174/100))</f>
        <v>0.538067358917489</v>
      </c>
      <c r="L174" s="39" t="n">
        <f aca="false">IF(G174="","",MIN(1,G174+J174/100))</f>
        <v>0.563784492934363</v>
      </c>
      <c r="M174" s="21" t="n">
        <f aca="false">ROUND(Q174*S174,0)</f>
        <v>181</v>
      </c>
      <c r="N174" s="21" t="n">
        <f aca="false">ROUND(SQRT((F174*J174/100)^2+(G174*M174)^2),0)</f>
        <v>101</v>
      </c>
      <c r="P174" s="41" t="n">
        <v>2.19947870005743</v>
      </c>
      <c r="Q174" s="42" t="n">
        <v>1295.98257231502</v>
      </c>
      <c r="R174" s="43" t="n">
        <f aca="false">MAX(0,MIN(1,P174/100+$D$5))</f>
        <v>0.550650539233751</v>
      </c>
      <c r="S174" s="43" t="n">
        <v>0.139463116518417</v>
      </c>
      <c r="T174" s="44" t="s">
        <v>128</v>
      </c>
    </row>
    <row r="175" customFormat="false" ht="15" hidden="false" customHeight="false" outlineLevel="0" collapsed="false">
      <c r="A175" s="38" t="s">
        <v>157</v>
      </c>
      <c r="B175" s="38" t="s">
        <v>278</v>
      </c>
      <c r="C175" s="38" t="s">
        <v>281</v>
      </c>
      <c r="D175" s="21" t="n">
        <f aca="false">ROUND(Q175*R175,0)</f>
        <v>324</v>
      </c>
      <c r="E175" s="21" t="n">
        <f aca="false">ROUND(Q175,0)-D175</f>
        <v>274</v>
      </c>
      <c r="F175" s="21" t="n">
        <f aca="false">IF(COUNTA(D175:E175)=0,"",SUM(D175:E175))</f>
        <v>598</v>
      </c>
      <c r="G175" s="39" t="n">
        <f aca="false">IF(OR(F175="",F175=0),"",D175/F175)</f>
        <v>0.54180602006689</v>
      </c>
      <c r="H175" s="39" t="n">
        <f aca="false">IF(OR(F175="",F175=0),"",E175/F175)</f>
        <v>0.45819397993311</v>
      </c>
      <c r="I175" s="38" t="s">
        <v>89</v>
      </c>
      <c r="J175" s="40" t="n">
        <v>3.25434931194355</v>
      </c>
      <c r="K175" s="39" t="n">
        <f aca="false">IF(G175="","",MAX(0,G175-J175/100))</f>
        <v>0.509262526947454</v>
      </c>
      <c r="L175" s="39" t="n">
        <f aca="false">IF(G175="","",MIN(1,G175+J175/100))</f>
        <v>0.574349513186325</v>
      </c>
      <c r="M175" s="21" t="n">
        <f aca="false">ROUND(Q175*S175,0)</f>
        <v>47</v>
      </c>
      <c r="N175" s="21" t="n">
        <f aca="false">ROUND(SQRT((F175*J175/100)^2+(G175*M175)^2),0)</f>
        <v>32</v>
      </c>
      <c r="P175" s="41" t="n">
        <v>1.32553950834013</v>
      </c>
      <c r="Q175" s="42" t="n">
        <v>597.593974798157</v>
      </c>
      <c r="R175" s="43" t="n">
        <f aca="false">MAX(0,MIN(1,P175/100+$D$5))</f>
        <v>0.541911147316578</v>
      </c>
      <c r="S175" s="43" t="n">
        <v>0.0779420971553049</v>
      </c>
      <c r="T175" s="44" t="s">
        <v>90</v>
      </c>
    </row>
    <row r="176" customFormat="false" ht="15" hidden="false" customHeight="false" outlineLevel="0" collapsed="false">
      <c r="A176" s="38" t="s">
        <v>157</v>
      </c>
      <c r="B176" s="38" t="s">
        <v>278</v>
      </c>
      <c r="C176" s="38" t="s">
        <v>282</v>
      </c>
      <c r="D176" s="21" t="n">
        <f aca="false">ROUND(Q176*R176,0)</f>
        <v>372</v>
      </c>
      <c r="E176" s="21" t="n">
        <f aca="false">ROUND(Q176,0)-D176</f>
        <v>304</v>
      </c>
      <c r="F176" s="21" t="n">
        <f aca="false">IF(COUNTA(D176:E176)=0,"",SUM(D176:E176))</f>
        <v>676</v>
      </c>
      <c r="G176" s="39" t="n">
        <f aca="false">IF(OR(F176="",F176=0),"",D176/F176)</f>
        <v>0.550295857988166</v>
      </c>
      <c r="H176" s="39" t="n">
        <f aca="false">IF(OR(F176="",F176=0),"",E176/F176)</f>
        <v>0.449704142011834</v>
      </c>
      <c r="I176" s="38" t="s">
        <v>89</v>
      </c>
      <c r="J176" s="40" t="n">
        <v>3.25434931194355</v>
      </c>
      <c r="K176" s="39" t="n">
        <f aca="false">IF(G176="","",MAX(0,G176-J176/100))</f>
        <v>0.51775236486873</v>
      </c>
      <c r="L176" s="39" t="n">
        <f aca="false">IF(G176="","",MIN(1,G176+J176/100))</f>
        <v>0.582839351107601</v>
      </c>
      <c r="M176" s="21" t="n">
        <f aca="false">ROUND(Q176*S176,0)</f>
        <v>53</v>
      </c>
      <c r="N176" s="21" t="n">
        <f aca="false">ROUND(SQRT((F176*J176/100)^2+(G176*M176)^2),0)</f>
        <v>37</v>
      </c>
      <c r="P176" s="41" t="n">
        <v>2.16914676293149</v>
      </c>
      <c r="Q176" s="42" t="n">
        <v>675.783161021904</v>
      </c>
      <c r="R176" s="43" t="n">
        <f aca="false">MAX(0,MIN(1,P176/100+$D$5))</f>
        <v>0.550347219862492</v>
      </c>
      <c r="S176" s="43" t="n">
        <v>0.0779420971553049</v>
      </c>
      <c r="T176" s="44" t="s">
        <v>90</v>
      </c>
    </row>
    <row r="177" customFormat="false" ht="15" hidden="false" customHeight="false" outlineLevel="0" collapsed="false">
      <c r="A177" s="38" t="s">
        <v>157</v>
      </c>
      <c r="B177" s="38" t="s">
        <v>278</v>
      </c>
      <c r="C177" s="38" t="s">
        <v>283</v>
      </c>
      <c r="D177" s="21" t="n">
        <f aca="false">ROUND(Q177*R177,0)</f>
        <v>491</v>
      </c>
      <c r="E177" s="21" t="n">
        <f aca="false">ROUND(Q177,0)-D177</f>
        <v>430</v>
      </c>
      <c r="F177" s="21" t="n">
        <f aca="false">IF(COUNTA(D177:E177)=0,"",SUM(D177:E177))</f>
        <v>921</v>
      </c>
      <c r="G177" s="39" t="n">
        <f aca="false">IF(OR(F177="",F177=0),"",D177/F177)</f>
        <v>0.533116178067318</v>
      </c>
      <c r="H177" s="39" t="n">
        <f aca="false">IF(OR(F177="",F177=0),"",E177/F177)</f>
        <v>0.466883821932682</v>
      </c>
      <c r="I177" s="38" t="s">
        <v>89</v>
      </c>
      <c r="J177" s="40" t="n">
        <v>1.85532414445586</v>
      </c>
      <c r="K177" s="39" t="n">
        <f aca="false">IF(G177="","",MAX(0,G177-J177/100))</f>
        <v>0.51456293662276</v>
      </c>
      <c r="L177" s="39" t="n">
        <f aca="false">IF(G177="","",MIN(1,G177+J177/100))</f>
        <v>0.551669419511877</v>
      </c>
      <c r="M177" s="21" t="n">
        <f aca="false">ROUND(Q177*S177,0)</f>
        <v>58</v>
      </c>
      <c r="N177" s="21" t="n">
        <f aca="false">ROUND(SQRT((F177*J177/100)^2+(G177*M177)^2),0)</f>
        <v>35</v>
      </c>
      <c r="P177" s="41" t="n">
        <v>0.473681497027077</v>
      </c>
      <c r="Q177" s="42" t="n">
        <v>920.596787110339</v>
      </c>
      <c r="R177" s="43" t="n">
        <f aca="false">MAX(0,MIN(1,P177/100+$D$5))</f>
        <v>0.533392567203447</v>
      </c>
      <c r="S177" s="43" t="n">
        <v>0.0633793435818552</v>
      </c>
      <c r="T177" s="44" t="s">
        <v>99</v>
      </c>
    </row>
    <row r="178" customFormat="false" ht="15" hidden="false" customHeight="false" outlineLevel="0" collapsed="false">
      <c r="A178" s="38" t="s">
        <v>157</v>
      </c>
      <c r="B178" s="38" t="s">
        <v>278</v>
      </c>
      <c r="C178" s="38" t="s">
        <v>284</v>
      </c>
      <c r="D178" s="21" t="n">
        <f aca="false">ROUND(Q178*R178,0)</f>
        <v>313</v>
      </c>
      <c r="E178" s="21" t="n">
        <f aca="false">ROUND(Q178,0)-D178</f>
        <v>283</v>
      </c>
      <c r="F178" s="21" t="n">
        <f aca="false">IF(COUNTA(D178:E178)=0,"",SUM(D178:E178))</f>
        <v>596</v>
      </c>
      <c r="G178" s="39" t="n">
        <f aca="false">IF(OR(F178="",F178=0),"",D178/F178)</f>
        <v>0.525167785234899</v>
      </c>
      <c r="H178" s="39" t="n">
        <f aca="false">IF(OR(F178="",F178=0),"",E178/F178)</f>
        <v>0.474832214765101</v>
      </c>
      <c r="I178" s="38" t="s">
        <v>89</v>
      </c>
      <c r="J178" s="40" t="n">
        <v>3.25434931194355</v>
      </c>
      <c r="K178" s="39" t="n">
        <f aca="false">IF(G178="","",MAX(0,G178-J178/100))</f>
        <v>0.492624292115464</v>
      </c>
      <c r="L178" s="39" t="n">
        <f aca="false">IF(G178="","",MIN(1,G178+J178/100))</f>
        <v>0.557711278354335</v>
      </c>
      <c r="M178" s="21" t="n">
        <f aca="false">ROUND(Q178*S178,0)</f>
        <v>46</v>
      </c>
      <c r="N178" s="21" t="n">
        <f aca="false">ROUND(SQRT((F178*J178/100)^2+(G178*M178)^2),0)</f>
        <v>31</v>
      </c>
      <c r="P178" s="41" t="n">
        <v>-0.264012358444175</v>
      </c>
      <c r="Q178" s="42" t="n">
        <v>595.856657875199</v>
      </c>
      <c r="R178" s="43" t="n">
        <f aca="false">MAX(0,MIN(1,P178/100+$D$5))</f>
        <v>0.526015628648735</v>
      </c>
      <c r="S178" s="43" t="n">
        <v>0.0779420971553049</v>
      </c>
      <c r="T178" s="44" t="s">
        <v>90</v>
      </c>
    </row>
    <row r="179" customFormat="false" ht="15" hidden="false" customHeight="false" outlineLevel="0" collapsed="false">
      <c r="A179" s="38" t="s">
        <v>157</v>
      </c>
      <c r="B179" s="38" t="s">
        <v>278</v>
      </c>
      <c r="C179" s="38" t="s">
        <v>285</v>
      </c>
      <c r="D179" s="21" t="n">
        <f aca="false">ROUND(Q179*R179,0)</f>
        <v>388</v>
      </c>
      <c r="E179" s="21" t="n">
        <f aca="false">ROUND(Q179,0)-D179</f>
        <v>298</v>
      </c>
      <c r="F179" s="21" t="n">
        <f aca="false">IF(COUNTA(D179:E179)=0,"",SUM(D179:E179))</f>
        <v>686</v>
      </c>
      <c r="G179" s="39" t="n">
        <f aca="false">IF(OR(F179="",F179=0),"",D179/F179)</f>
        <v>0.565597667638484</v>
      </c>
      <c r="H179" s="39" t="n">
        <f aca="false">IF(OR(F179="",F179=0),"",E179/F179)</f>
        <v>0.434402332361516</v>
      </c>
      <c r="I179" s="38" t="s">
        <v>89</v>
      </c>
      <c r="J179" s="40" t="n">
        <v>3.25434931194355</v>
      </c>
      <c r="K179" s="39" t="n">
        <f aca="false">IF(G179="","",MAX(0,G179-J179/100))</f>
        <v>0.533054174519049</v>
      </c>
      <c r="L179" s="39" t="n">
        <f aca="false">IF(G179="","",MIN(1,G179+J179/100))</f>
        <v>0.59814116075792</v>
      </c>
      <c r="M179" s="21" t="n">
        <f aca="false">ROUND(Q179*S179,0)</f>
        <v>53</v>
      </c>
      <c r="N179" s="21" t="n">
        <f aca="false">ROUND(SQRT((F179*J179/100)^2+(G179*M179)^2),0)</f>
        <v>37</v>
      </c>
      <c r="P179" s="41" t="n">
        <v>3.65020076385128</v>
      </c>
      <c r="Q179" s="42" t="n">
        <v>686.337778378707</v>
      </c>
      <c r="R179" s="43" t="n">
        <f aca="false">MAX(0,MIN(1,P179/100+$D$5))</f>
        <v>0.56515775987169</v>
      </c>
      <c r="S179" s="43" t="n">
        <v>0.0779420971553049</v>
      </c>
      <c r="T179" s="44" t="s">
        <v>90</v>
      </c>
    </row>
    <row r="180" customFormat="false" ht="15" hidden="false" customHeight="false" outlineLevel="0" collapsed="false">
      <c r="A180" s="38" t="s">
        <v>157</v>
      </c>
      <c r="B180" s="38" t="s">
        <v>278</v>
      </c>
      <c r="C180" s="38" t="s">
        <v>286</v>
      </c>
      <c r="D180" s="21" t="n">
        <f aca="false">ROUND(Q180*R180,0)</f>
        <v>533</v>
      </c>
      <c r="E180" s="21" t="n">
        <f aca="false">ROUND(Q180,0)-D180</f>
        <v>449</v>
      </c>
      <c r="F180" s="21" t="n">
        <f aca="false">IF(COUNTA(D180:E180)=0,"",SUM(D180:E180))</f>
        <v>982</v>
      </c>
      <c r="G180" s="39" t="n">
        <f aca="false">IF(OR(F180="",F180=0),"",D180/F180)</f>
        <v>0.542769857433809</v>
      </c>
      <c r="H180" s="39" t="n">
        <f aca="false">IF(OR(F180="",F180=0),"",E180/F180)</f>
        <v>0.457230142566191</v>
      </c>
      <c r="I180" s="38" t="s">
        <v>89</v>
      </c>
      <c r="J180" s="40" t="n">
        <v>1.85532414445586</v>
      </c>
      <c r="K180" s="39" t="n">
        <f aca="false">IF(G180="","",MAX(0,G180-J180/100))</f>
        <v>0.52421661598925</v>
      </c>
      <c r="L180" s="39" t="n">
        <f aca="false">IF(G180="","",MIN(1,G180+J180/100))</f>
        <v>0.561323098878367</v>
      </c>
      <c r="M180" s="21" t="n">
        <f aca="false">ROUND(Q180*S180,0)</f>
        <v>62</v>
      </c>
      <c r="N180" s="21" t="n">
        <f aca="false">ROUND(SQRT((F180*J180/100)^2+(G180*M180)^2),0)</f>
        <v>38</v>
      </c>
      <c r="P180" s="41" t="n">
        <v>1.44424865622487</v>
      </c>
      <c r="Q180" s="42" t="n">
        <v>982.010517688579</v>
      </c>
      <c r="R180" s="43" t="n">
        <f aca="false">MAX(0,MIN(1,P180/100+$D$5))</f>
        <v>0.543098238795425</v>
      </c>
      <c r="S180" s="43" t="n">
        <v>0.0633793435818552</v>
      </c>
      <c r="T180" s="44" t="s">
        <v>99</v>
      </c>
    </row>
    <row r="181" customFormat="false" ht="15" hidden="false" customHeight="false" outlineLevel="0" collapsed="false">
      <c r="A181" s="38" t="s">
        <v>157</v>
      </c>
      <c r="B181" s="38" t="s">
        <v>287</v>
      </c>
      <c r="C181" s="38" t="s">
        <v>288</v>
      </c>
      <c r="D181" s="21" t="n">
        <f aca="false">ROUND(Q181*R181,0)</f>
        <v>198</v>
      </c>
      <c r="E181" s="21" t="n">
        <f aca="false">ROUND(Q181,0)-D181</f>
        <v>209</v>
      </c>
      <c r="F181" s="21" t="n">
        <f aca="false">IF(COUNTA(D181:E181)=0,"",SUM(D181:E181))</f>
        <v>407</v>
      </c>
      <c r="G181" s="39" t="n">
        <f aca="false">IF(OR(F181="",F181=0),"",D181/F181)</f>
        <v>0.486486486486487</v>
      </c>
      <c r="H181" s="39" t="n">
        <f aca="false">IF(OR(F181="",F181=0),"",E181/F181)</f>
        <v>0.513513513513514</v>
      </c>
      <c r="I181" s="38" t="s">
        <v>89</v>
      </c>
      <c r="J181" s="40" t="n">
        <v>3.25434931194355</v>
      </c>
      <c r="K181" s="39" t="n">
        <f aca="false">IF(G181="","",MAX(0,G181-J181/100))</f>
        <v>0.453942993367051</v>
      </c>
      <c r="L181" s="39" t="n">
        <f aca="false">IF(G181="","",MIN(1,G181+J181/100))</f>
        <v>0.519029979605922</v>
      </c>
      <c r="M181" s="21" t="n">
        <f aca="false">ROUND(Q181*S181,0)</f>
        <v>32</v>
      </c>
      <c r="N181" s="21" t="n">
        <f aca="false">ROUND(SQRT((F181*J181/100)^2+(G181*M181)^2),0)</f>
        <v>20</v>
      </c>
      <c r="P181" s="41" t="n">
        <v>-4.28406196565193</v>
      </c>
      <c r="Q181" s="42" t="n">
        <v>406.581952692668</v>
      </c>
      <c r="R181" s="43" t="n">
        <f aca="false">MAX(0,MIN(1,P181/100+$D$5))</f>
        <v>0.485815132576657</v>
      </c>
      <c r="S181" s="43" t="n">
        <v>0.0779420971553049</v>
      </c>
      <c r="T181" s="44" t="s">
        <v>90</v>
      </c>
    </row>
    <row r="182" customFormat="false" ht="15" hidden="false" customHeight="false" outlineLevel="0" collapsed="false">
      <c r="A182" s="38" t="s">
        <v>157</v>
      </c>
      <c r="B182" s="38" t="s">
        <v>287</v>
      </c>
      <c r="C182" s="38" t="s">
        <v>289</v>
      </c>
      <c r="D182" s="21" t="n">
        <f aca="false">ROUND(Q182*R182,0)</f>
        <v>159</v>
      </c>
      <c r="E182" s="21" t="n">
        <f aca="false">ROUND(Q182,0)-D182</f>
        <v>197</v>
      </c>
      <c r="F182" s="21" t="n">
        <f aca="false">IF(COUNTA(D182:E182)=0,"",SUM(D182:E182))</f>
        <v>356</v>
      </c>
      <c r="G182" s="39" t="n">
        <f aca="false">IF(OR(F182="",F182=0),"",D182/F182)</f>
        <v>0.446629213483146</v>
      </c>
      <c r="H182" s="39" t="n">
        <f aca="false">IF(OR(F182="",F182=0),"",E182/F182)</f>
        <v>0.553370786516854</v>
      </c>
      <c r="I182" s="38" t="s">
        <v>89</v>
      </c>
      <c r="J182" s="40" t="n">
        <v>3.25434931194355</v>
      </c>
      <c r="K182" s="39" t="n">
        <f aca="false">IF(G182="","",MAX(0,G182-J182/100))</f>
        <v>0.414085720363711</v>
      </c>
      <c r="L182" s="39" t="n">
        <f aca="false">IF(G182="","",MIN(1,G182+J182/100))</f>
        <v>0.479172706602582</v>
      </c>
      <c r="M182" s="21" t="n">
        <f aca="false">ROUND(Q182*S182,0)</f>
        <v>28</v>
      </c>
      <c r="N182" s="21" t="n">
        <f aca="false">ROUND(SQRT((F182*J182/100)^2+(G182*M182)^2),0)</f>
        <v>17</v>
      </c>
      <c r="P182" s="41" t="n">
        <v>-8.19538467355068</v>
      </c>
      <c r="Q182" s="42" t="n">
        <v>355.56667800366</v>
      </c>
      <c r="R182" s="43" t="n">
        <f aca="false">MAX(0,MIN(1,P182/100+$D$5))</f>
        <v>0.44670190549767</v>
      </c>
      <c r="S182" s="43" t="n">
        <v>0.0779420971553049</v>
      </c>
      <c r="T182" s="44" t="s">
        <v>90</v>
      </c>
    </row>
    <row r="183" customFormat="false" ht="15" hidden="false" customHeight="false" outlineLevel="0" collapsed="false">
      <c r="A183" s="38" t="s">
        <v>157</v>
      </c>
      <c r="B183" s="38" t="s">
        <v>287</v>
      </c>
      <c r="C183" s="38" t="s">
        <v>290</v>
      </c>
      <c r="D183" s="21" t="n">
        <f aca="false">ROUND(Q183*R183,0)</f>
        <v>337</v>
      </c>
      <c r="E183" s="21" t="n">
        <f aca="false">ROUND(Q183,0)-D183</f>
        <v>382</v>
      </c>
      <c r="F183" s="21" t="n">
        <f aca="false">IF(COUNTA(D183:E183)=0,"",SUM(D183:E183))</f>
        <v>719</v>
      </c>
      <c r="G183" s="39" t="n">
        <f aca="false">IF(OR(F183="",F183=0),"",D183/F183)</f>
        <v>0.468706536856745</v>
      </c>
      <c r="H183" s="39" t="n">
        <f aca="false">IF(OR(F183="",F183=0),"",E183/F183)</f>
        <v>0.531293463143255</v>
      </c>
      <c r="I183" s="38" t="s">
        <v>89</v>
      </c>
      <c r="J183" s="40" t="n">
        <v>3.25434931194355</v>
      </c>
      <c r="K183" s="39" t="n">
        <f aca="false">IF(G183="","",MAX(0,G183-J183/100))</f>
        <v>0.43616304373731</v>
      </c>
      <c r="L183" s="39" t="n">
        <f aca="false">IF(G183="","",MIN(1,G183+J183/100))</f>
        <v>0.501250029976181</v>
      </c>
      <c r="M183" s="21" t="n">
        <f aca="false">ROUND(Q183*S183,0)</f>
        <v>56</v>
      </c>
      <c r="N183" s="21" t="n">
        <f aca="false">ROUND(SQRT((F183*J183/100)^2+(G183*M183)^2),0)</f>
        <v>35</v>
      </c>
      <c r="P183" s="41" t="n">
        <v>-5.9682900688197</v>
      </c>
      <c r="Q183" s="42" t="n">
        <v>718.723505727702</v>
      </c>
      <c r="R183" s="43" t="n">
        <f aca="false">MAX(0,MIN(1,P183/100+$D$5))</f>
        <v>0.46897285154498</v>
      </c>
      <c r="S183" s="43" t="n">
        <v>0.0779420971553049</v>
      </c>
      <c r="T183" s="44" t="s">
        <v>90</v>
      </c>
    </row>
    <row r="184" customFormat="false" ht="15" hidden="false" customHeight="false" outlineLevel="0" collapsed="false">
      <c r="A184" s="38" t="s">
        <v>157</v>
      </c>
      <c r="B184" s="38" t="s">
        <v>291</v>
      </c>
      <c r="C184" s="38" t="s">
        <v>292</v>
      </c>
      <c r="D184" s="21" t="n">
        <f aca="false">ROUND(Q184*R184,0)</f>
        <v>826</v>
      </c>
      <c r="E184" s="21" t="n">
        <f aca="false">ROUND(Q184,0)-D184</f>
        <v>693</v>
      </c>
      <c r="F184" s="21" t="n">
        <f aca="false">IF(COUNTA(D184:E184)=0,"",SUM(D184:E184))</f>
        <v>1519</v>
      </c>
      <c r="G184" s="39" t="n">
        <f aca="false">IF(OR(F184="",F184=0),"",D184/F184)</f>
        <v>0.543778801843318</v>
      </c>
      <c r="H184" s="39" t="n">
        <f aca="false">IF(OR(F184="",F184=0),"",E184/F184)</f>
        <v>0.456221198156682</v>
      </c>
      <c r="I184" s="38" t="s">
        <v>89</v>
      </c>
      <c r="J184" s="40" t="n">
        <v>1.28585670084365</v>
      </c>
      <c r="K184" s="39" t="n">
        <f aca="false">IF(G184="","",MAX(0,G184-J184/100))</f>
        <v>0.530920234834881</v>
      </c>
      <c r="L184" s="39" t="n">
        <f aca="false">IF(G184="","",MIN(1,G184+J184/100))</f>
        <v>0.556637368851755</v>
      </c>
      <c r="M184" s="21" t="n">
        <f aca="false">ROUND(Q184*S184,0)</f>
        <v>212</v>
      </c>
      <c r="N184" s="21" t="n">
        <f aca="false">ROUND(SQRT((F184*J184/100)^2+(G184*M184)^2),0)</f>
        <v>117</v>
      </c>
      <c r="P184" s="41" t="n">
        <v>1.52359608802185</v>
      </c>
      <c r="Q184" s="42" t="n">
        <v>1518.758689588</v>
      </c>
      <c r="R184" s="43" t="n">
        <f aca="false">MAX(0,MIN(1,P184/100+$D$5))</f>
        <v>0.543891713113395</v>
      </c>
      <c r="S184" s="43" t="n">
        <v>0.139463116518417</v>
      </c>
      <c r="T184" s="44" t="s">
        <v>128</v>
      </c>
    </row>
    <row r="185" customFormat="false" ht="15" hidden="false" customHeight="false" outlineLevel="0" collapsed="false">
      <c r="A185" s="38" t="s">
        <v>157</v>
      </c>
      <c r="B185" s="38" t="s">
        <v>291</v>
      </c>
      <c r="C185" s="38" t="s">
        <v>293</v>
      </c>
      <c r="D185" s="21" t="n">
        <f aca="false">ROUND(Q185*R185,0)</f>
        <v>376</v>
      </c>
      <c r="E185" s="21" t="n">
        <f aca="false">ROUND(Q185,0)-D185</f>
        <v>313</v>
      </c>
      <c r="F185" s="21" t="n">
        <f aca="false">IF(COUNTA(D185:E185)=0,"",SUM(D185:E185))</f>
        <v>689</v>
      </c>
      <c r="G185" s="39" t="n">
        <f aca="false">IF(OR(F185="",F185=0),"",D185/F185)</f>
        <v>0.545718432510885</v>
      </c>
      <c r="H185" s="39" t="n">
        <f aca="false">IF(OR(F185="",F185=0),"",E185/F185)</f>
        <v>0.454281567489115</v>
      </c>
      <c r="I185" s="38" t="s">
        <v>89</v>
      </c>
      <c r="J185" s="40" t="n">
        <v>3.25434931194355</v>
      </c>
      <c r="K185" s="39" t="n">
        <f aca="false">IF(G185="","",MAX(0,G185-J185/100))</f>
        <v>0.51317493939145</v>
      </c>
      <c r="L185" s="39" t="n">
        <f aca="false">IF(G185="","",MIN(1,G185+J185/100))</f>
        <v>0.578261925630321</v>
      </c>
      <c r="M185" s="21" t="n">
        <f aca="false">ROUND(Q185*S185,0)</f>
        <v>54</v>
      </c>
      <c r="N185" s="21" t="n">
        <f aca="false">ROUND(SQRT((F185*J185/100)^2+(G185*M185)^2),0)</f>
        <v>37</v>
      </c>
      <c r="P185" s="41" t="n">
        <v>1.68011709837542</v>
      </c>
      <c r="Q185" s="42" t="n">
        <v>688.802735097543</v>
      </c>
      <c r="R185" s="43" t="n">
        <f aca="false">MAX(0,MIN(1,P185/100+$D$5))</f>
        <v>0.545456923216931</v>
      </c>
      <c r="S185" s="43" t="n">
        <v>0.0779420971553049</v>
      </c>
      <c r="T185" s="44" t="s">
        <v>90</v>
      </c>
    </row>
    <row r="186" customFormat="false" ht="15" hidden="false" customHeight="false" outlineLevel="0" collapsed="false">
      <c r="A186" s="38" t="s">
        <v>157</v>
      </c>
      <c r="B186" s="38" t="s">
        <v>291</v>
      </c>
      <c r="C186" s="38" t="s">
        <v>294</v>
      </c>
      <c r="D186" s="21" t="n">
        <f aca="false">ROUND(Q186*R186,0)</f>
        <v>1055</v>
      </c>
      <c r="E186" s="21" t="n">
        <f aca="false">ROUND(Q186,0)-D186</f>
        <v>705</v>
      </c>
      <c r="F186" s="21" t="n">
        <f aca="false">IF(COUNTA(D186:E186)=0,"",SUM(D186:E186))</f>
        <v>1760</v>
      </c>
      <c r="G186" s="39" t="n">
        <f aca="false">IF(OR(F186="",F186=0),"",D186/F186)</f>
        <v>0.599431818181818</v>
      </c>
      <c r="H186" s="39" t="n">
        <f aca="false">IF(OR(F186="",F186=0),"",E186/F186)</f>
        <v>0.400568181818182</v>
      </c>
      <c r="I186" s="38" t="s">
        <v>89</v>
      </c>
      <c r="J186" s="40" t="n">
        <v>1.28585670084365</v>
      </c>
      <c r="K186" s="39" t="n">
        <f aca="false">IF(G186="","",MAX(0,G186-J186/100))</f>
        <v>0.586573251173382</v>
      </c>
      <c r="L186" s="39" t="n">
        <f aca="false">IF(G186="","",MIN(1,G186+J186/100))</f>
        <v>0.612290385190255</v>
      </c>
      <c r="M186" s="21" t="n">
        <f aca="false">ROUND(Q186*S186,0)</f>
        <v>245</v>
      </c>
      <c r="N186" s="21" t="n">
        <f aca="false">ROUND(SQRT((F186*J186/100)^2+(G186*M186)^2),0)</f>
        <v>149</v>
      </c>
      <c r="P186" s="41" t="n">
        <v>7.07922918069591</v>
      </c>
      <c r="Q186" s="42" t="n">
        <v>1760.0115154211</v>
      </c>
      <c r="R186" s="43" t="n">
        <f aca="false">MAX(0,MIN(1,P186/100+$D$5))</f>
        <v>0.599448044040136</v>
      </c>
      <c r="S186" s="43" t="n">
        <v>0.139463116518417</v>
      </c>
      <c r="T186" s="44" t="s">
        <v>128</v>
      </c>
    </row>
    <row r="187" customFormat="false" ht="15" hidden="false" customHeight="false" outlineLevel="0" collapsed="false">
      <c r="A187" s="38" t="s">
        <v>157</v>
      </c>
      <c r="B187" s="38" t="s">
        <v>291</v>
      </c>
      <c r="C187" s="38" t="s">
        <v>295</v>
      </c>
      <c r="D187" s="21" t="n">
        <f aca="false">ROUND(Q187*R187,0)</f>
        <v>495</v>
      </c>
      <c r="E187" s="21" t="n">
        <f aca="false">ROUND(Q187,0)-D187</f>
        <v>424</v>
      </c>
      <c r="F187" s="21" t="n">
        <f aca="false">IF(COUNTA(D187:E187)=0,"",SUM(D187:E187))</f>
        <v>919</v>
      </c>
      <c r="G187" s="39" t="n">
        <f aca="false">IF(OR(F187="",F187=0),"",D187/F187)</f>
        <v>0.538628944504897</v>
      </c>
      <c r="H187" s="39" t="n">
        <f aca="false">IF(OR(F187="",F187=0),"",E187/F187)</f>
        <v>0.461371055495103</v>
      </c>
      <c r="I187" s="38" t="s">
        <v>89</v>
      </c>
      <c r="J187" s="40" t="n">
        <v>1.85532414445586</v>
      </c>
      <c r="K187" s="39" t="n">
        <f aca="false">IF(G187="","",MAX(0,G187-J187/100))</f>
        <v>0.520075703060338</v>
      </c>
      <c r="L187" s="39" t="n">
        <f aca="false">IF(G187="","",MIN(1,G187+J187/100))</f>
        <v>0.557182185949455</v>
      </c>
      <c r="M187" s="21" t="n">
        <f aca="false">ROUND(Q187*S187,0)</f>
        <v>58</v>
      </c>
      <c r="N187" s="21" t="n">
        <f aca="false">ROUND(SQRT((F187*J187/100)^2+(G187*M187)^2),0)</f>
        <v>36</v>
      </c>
      <c r="P187" s="41" t="n">
        <v>1.04103067660627</v>
      </c>
      <c r="Q187" s="42" t="n">
        <v>918.718816250533</v>
      </c>
      <c r="R187" s="43" t="n">
        <f aca="false">MAX(0,MIN(1,P187/100+$D$5))</f>
        <v>0.539066058999239</v>
      </c>
      <c r="S187" s="43" t="n">
        <v>0.0633793435818552</v>
      </c>
      <c r="T187" s="44" t="s">
        <v>99</v>
      </c>
    </row>
    <row r="188" customFormat="false" ht="15" hidden="false" customHeight="false" outlineLevel="0" collapsed="false">
      <c r="A188" s="38" t="s">
        <v>157</v>
      </c>
      <c r="B188" s="38" t="s">
        <v>291</v>
      </c>
      <c r="C188" s="38" t="s">
        <v>296</v>
      </c>
      <c r="D188" s="21" t="n">
        <f aca="false">ROUND(Q188*R188,0)</f>
        <v>990</v>
      </c>
      <c r="E188" s="21" t="n">
        <f aca="false">ROUND(Q188,0)-D188</f>
        <v>584</v>
      </c>
      <c r="F188" s="21" t="n">
        <f aca="false">IF(COUNTA(D188:E188)=0,"",SUM(D188:E188))</f>
        <v>1574</v>
      </c>
      <c r="G188" s="39" t="n">
        <f aca="false">IF(OR(F188="",F188=0),"",D188/F188)</f>
        <v>0.628970775095299</v>
      </c>
      <c r="H188" s="39" t="n">
        <f aca="false">IF(OR(F188="",F188=0),"",E188/F188)</f>
        <v>0.371029224904701</v>
      </c>
      <c r="I188" s="38" t="s">
        <v>89</v>
      </c>
      <c r="J188" s="40" t="n">
        <v>1.28585670084365</v>
      </c>
      <c r="K188" s="39" t="n">
        <f aca="false">IF(G188="","",MAX(0,G188-J188/100))</f>
        <v>0.616112208086862</v>
      </c>
      <c r="L188" s="39" t="n">
        <f aca="false">IF(G188="","",MIN(1,G188+J188/100))</f>
        <v>0.641829342103735</v>
      </c>
      <c r="M188" s="21" t="n">
        <f aca="false">ROUND(Q188*S188,0)</f>
        <v>219</v>
      </c>
      <c r="N188" s="21" t="n">
        <f aca="false">ROUND(SQRT((F188*J188/100)^2+(G188*M188)^2),0)</f>
        <v>139</v>
      </c>
      <c r="P188" s="41" t="n">
        <v>10.0633463301077</v>
      </c>
      <c r="Q188" s="42" t="n">
        <v>1573.64280331457</v>
      </c>
      <c r="R188" s="43" t="n">
        <f aca="false">MAX(0,MIN(1,P188/100+$D$5))</f>
        <v>0.629289215534254</v>
      </c>
      <c r="S188" s="43" t="n">
        <v>0.139463116518417</v>
      </c>
      <c r="T188" s="44" t="s">
        <v>128</v>
      </c>
    </row>
    <row r="189" customFormat="false" ht="15" hidden="false" customHeight="false" outlineLevel="0" collapsed="false">
      <c r="A189" s="38" t="s">
        <v>157</v>
      </c>
      <c r="B189" s="38" t="s">
        <v>291</v>
      </c>
      <c r="C189" s="38" t="s">
        <v>297</v>
      </c>
      <c r="D189" s="21" t="n">
        <f aca="false">ROUND(Q189*R189,0)</f>
        <v>971</v>
      </c>
      <c r="E189" s="21" t="n">
        <f aca="false">ROUND(Q189,0)-D189</f>
        <v>579</v>
      </c>
      <c r="F189" s="21" t="n">
        <f aca="false">IF(COUNTA(D189:E189)=0,"",SUM(D189:E189))</f>
        <v>1550</v>
      </c>
      <c r="G189" s="39" t="n">
        <f aca="false">IF(OR(F189="",F189=0),"",D189/F189)</f>
        <v>0.626451612903226</v>
      </c>
      <c r="H189" s="39" t="n">
        <f aca="false">IF(OR(F189="",F189=0),"",E189/F189)</f>
        <v>0.373548387096774</v>
      </c>
      <c r="I189" s="38" t="s">
        <v>89</v>
      </c>
      <c r="J189" s="40" t="n">
        <v>1.28585670084365</v>
      </c>
      <c r="K189" s="39" t="n">
        <f aca="false">IF(G189="","",MAX(0,G189-J189/100))</f>
        <v>0.613593045894789</v>
      </c>
      <c r="L189" s="39" t="n">
        <f aca="false">IF(G189="","",MIN(1,G189+J189/100))</f>
        <v>0.639310179911662</v>
      </c>
      <c r="M189" s="21" t="n">
        <f aca="false">ROUND(Q189*S189,0)</f>
        <v>216</v>
      </c>
      <c r="N189" s="21" t="n">
        <f aca="false">ROUND(SQRT((F189*J189/100)^2+(G189*M189)^2),0)</f>
        <v>137</v>
      </c>
      <c r="P189" s="41" t="n">
        <v>9.80934203289211</v>
      </c>
      <c r="Q189" s="42" t="n">
        <v>1549.82826515833</v>
      </c>
      <c r="R189" s="43" t="n">
        <f aca="false">MAX(0,MIN(1,P189/100+$D$5))</f>
        <v>0.626749172562098</v>
      </c>
      <c r="S189" s="43" t="n">
        <v>0.139463116518417</v>
      </c>
      <c r="T189" s="44" t="s">
        <v>128</v>
      </c>
    </row>
    <row r="190" customFormat="false" ht="15" hidden="false" customHeight="false" outlineLevel="0" collapsed="false">
      <c r="A190" s="38" t="s">
        <v>157</v>
      </c>
      <c r="B190" s="38" t="s">
        <v>291</v>
      </c>
      <c r="C190" s="38" t="s">
        <v>298</v>
      </c>
      <c r="D190" s="21" t="n">
        <f aca="false">ROUND(Q190*R190,0)</f>
        <v>449</v>
      </c>
      <c r="E190" s="21" t="n">
        <f aca="false">ROUND(Q190,0)-D190</f>
        <v>358</v>
      </c>
      <c r="F190" s="21" t="n">
        <f aca="false">IF(COUNTA(D190:E190)=0,"",SUM(D190:E190))</f>
        <v>807</v>
      </c>
      <c r="G190" s="39" t="n">
        <f aca="false">IF(OR(F190="",F190=0),"",D190/F190)</f>
        <v>0.55638166047088</v>
      </c>
      <c r="H190" s="39" t="n">
        <f aca="false">IF(OR(F190="",F190=0),"",E190/F190)</f>
        <v>0.44361833952912</v>
      </c>
      <c r="I190" s="38" t="s">
        <v>89</v>
      </c>
      <c r="J190" s="40" t="n">
        <v>1.85532414445586</v>
      </c>
      <c r="K190" s="39" t="n">
        <f aca="false">IF(G190="","",MAX(0,G190-J190/100))</f>
        <v>0.537828419026321</v>
      </c>
      <c r="L190" s="39" t="n">
        <f aca="false">IF(G190="","",MIN(1,G190+J190/100))</f>
        <v>0.574934901915438</v>
      </c>
      <c r="M190" s="21" t="n">
        <f aca="false">ROUND(Q190*S190,0)</f>
        <v>51</v>
      </c>
      <c r="N190" s="21" t="n">
        <f aca="false">ROUND(SQRT((F190*J190/100)^2+(G190*M190)^2),0)</f>
        <v>32</v>
      </c>
      <c r="P190" s="41" t="n">
        <v>2.76839450186603</v>
      </c>
      <c r="Q190" s="42" t="n">
        <v>807.237803003959</v>
      </c>
      <c r="R190" s="43" t="n">
        <f aca="false">MAX(0,MIN(1,P190/100+$D$5))</f>
        <v>0.556339697251837</v>
      </c>
      <c r="S190" s="43" t="n">
        <v>0.0633793435818552</v>
      </c>
      <c r="T190" s="44" t="s">
        <v>99</v>
      </c>
    </row>
    <row r="191" customFormat="false" ht="15" hidden="false" customHeight="false" outlineLevel="0" collapsed="false">
      <c r="A191" s="38" t="s">
        <v>157</v>
      </c>
      <c r="B191" s="38" t="s">
        <v>291</v>
      </c>
      <c r="C191" s="38" t="s">
        <v>299</v>
      </c>
      <c r="D191" s="21" t="n">
        <f aca="false">ROUND(Q191*R191,0)</f>
        <v>1204</v>
      </c>
      <c r="E191" s="21" t="n">
        <f aca="false">ROUND(Q191,0)-D191</f>
        <v>1008</v>
      </c>
      <c r="F191" s="21" t="n">
        <f aca="false">IF(COUNTA(D191:E191)=0,"",SUM(D191:E191))</f>
        <v>2212</v>
      </c>
      <c r="G191" s="39" t="n">
        <f aca="false">IF(OR(F191="",F191=0),"",D191/F191)</f>
        <v>0.544303797468354</v>
      </c>
      <c r="H191" s="39" t="n">
        <f aca="false">IF(OR(F191="",F191=0),"",E191/F191)</f>
        <v>0.455696202531646</v>
      </c>
      <c r="I191" s="38" t="s">
        <v>89</v>
      </c>
      <c r="J191" s="40" t="n">
        <v>1.28585670084365</v>
      </c>
      <c r="K191" s="39" t="n">
        <f aca="false">IF(G191="","",MAX(0,G191-J191/100))</f>
        <v>0.531445230459918</v>
      </c>
      <c r="L191" s="39" t="n">
        <f aca="false">IF(G191="","",MIN(1,G191+J191/100))</f>
        <v>0.557162364476791</v>
      </c>
      <c r="M191" s="21" t="n">
        <f aca="false">ROUND(Q191*S191,0)</f>
        <v>309</v>
      </c>
      <c r="N191" s="21" t="n">
        <f aca="false">ROUND(SQRT((F191*J191/100)^2+(G191*M191)^2),0)</f>
        <v>171</v>
      </c>
      <c r="P191" s="41" t="n">
        <v>1.54878686677566</v>
      </c>
      <c r="Q191" s="42" t="n">
        <v>2212.37284489463</v>
      </c>
      <c r="R191" s="43" t="n">
        <f aca="false">MAX(0,MIN(1,P191/100+$D$5))</f>
        <v>0.544143620900933</v>
      </c>
      <c r="S191" s="43" t="n">
        <v>0.139463116518417</v>
      </c>
      <c r="T191" s="44" t="s">
        <v>128</v>
      </c>
    </row>
    <row r="192" customFormat="false" ht="15" hidden="false" customHeight="false" outlineLevel="0" collapsed="false">
      <c r="A192" s="38" t="s">
        <v>157</v>
      </c>
      <c r="B192" s="38" t="s">
        <v>300</v>
      </c>
      <c r="C192" s="38" t="s">
        <v>301</v>
      </c>
      <c r="D192" s="21" t="n">
        <f aca="false">ROUND(Q192*R192,0)</f>
        <v>887</v>
      </c>
      <c r="E192" s="21" t="n">
        <f aca="false">ROUND(Q192,0)-D192</f>
        <v>737</v>
      </c>
      <c r="F192" s="21" t="n">
        <f aca="false">IF(COUNTA(D192:E192)=0,"",SUM(D192:E192))</f>
        <v>1624</v>
      </c>
      <c r="G192" s="39" t="n">
        <f aca="false">IF(OR(F192="",F192=0),"",D192/F192)</f>
        <v>0.546182266009852</v>
      </c>
      <c r="H192" s="39" t="n">
        <f aca="false">IF(OR(F192="",F192=0),"",E192/F192)</f>
        <v>0.453817733990148</v>
      </c>
      <c r="I192" s="38" t="s">
        <v>89</v>
      </c>
      <c r="J192" s="40" t="n">
        <v>1.28585670084365</v>
      </c>
      <c r="K192" s="39" t="n">
        <f aca="false">IF(G192="","",MAX(0,G192-J192/100))</f>
        <v>0.533323699001416</v>
      </c>
      <c r="L192" s="39" t="n">
        <f aca="false">IF(G192="","",MIN(1,G192+J192/100))</f>
        <v>0.559040833018289</v>
      </c>
      <c r="M192" s="21" t="n">
        <f aca="false">ROUND(Q192*S192,0)</f>
        <v>227</v>
      </c>
      <c r="N192" s="21" t="n">
        <f aca="false">ROUND(SQRT((F192*J192/100)^2+(G192*M192)^2),0)</f>
        <v>126</v>
      </c>
      <c r="P192" s="41" t="n">
        <v>1.74399224362672</v>
      </c>
      <c r="Q192" s="42" t="n">
        <v>1624.14613770415</v>
      </c>
      <c r="R192" s="43" t="n">
        <f aca="false">MAX(0,MIN(1,P192/100+$D$5))</f>
        <v>0.546095674669444</v>
      </c>
      <c r="S192" s="43" t="n">
        <v>0.139463116518417</v>
      </c>
      <c r="T192" s="44" t="s">
        <v>128</v>
      </c>
    </row>
    <row r="193" customFormat="false" ht="15" hidden="false" customHeight="false" outlineLevel="0" collapsed="false">
      <c r="A193" s="38" t="s">
        <v>157</v>
      </c>
      <c r="B193" s="38" t="s">
        <v>300</v>
      </c>
      <c r="C193" s="38" t="s">
        <v>302</v>
      </c>
      <c r="D193" s="21" t="n">
        <f aca="false">ROUND(Q193*R193,0)</f>
        <v>1221</v>
      </c>
      <c r="E193" s="21" t="n">
        <f aca="false">ROUND(Q193,0)-D193</f>
        <v>1008</v>
      </c>
      <c r="F193" s="21" t="n">
        <f aca="false">IF(COUNTA(D193:E193)=0,"",SUM(D193:E193))</f>
        <v>2229</v>
      </c>
      <c r="G193" s="39" t="n">
        <f aca="false">IF(OR(F193="",F193=0),"",D193/F193)</f>
        <v>0.547779273216689</v>
      </c>
      <c r="H193" s="39" t="n">
        <f aca="false">IF(OR(F193="",F193=0),"",E193/F193)</f>
        <v>0.452220726783311</v>
      </c>
      <c r="I193" s="38" t="s">
        <v>89</v>
      </c>
      <c r="J193" s="40" t="n">
        <v>1.28585670084365</v>
      </c>
      <c r="K193" s="39" t="n">
        <f aca="false">IF(G193="","",MAX(0,G193-J193/100))</f>
        <v>0.534920706208253</v>
      </c>
      <c r="L193" s="39" t="n">
        <f aca="false">IF(G193="","",MIN(1,G193+J193/100))</f>
        <v>0.560637840225126</v>
      </c>
      <c r="M193" s="21" t="n">
        <f aca="false">ROUND(Q193*S193,0)</f>
        <v>311</v>
      </c>
      <c r="N193" s="21" t="n">
        <f aca="false">ROUND(SQRT((F193*J193/100)^2+(G193*M193)^2),0)</f>
        <v>173</v>
      </c>
      <c r="P193" s="41" t="n">
        <v>1.92022410051651</v>
      </c>
      <c r="Q193" s="42" t="n">
        <v>2229.30944560662</v>
      </c>
      <c r="R193" s="43" t="n">
        <f aca="false">MAX(0,MIN(1,P193/100+$D$5))</f>
        <v>0.547857993238342</v>
      </c>
      <c r="S193" s="43" t="n">
        <v>0.139463116518417</v>
      </c>
      <c r="T193" s="44" t="s">
        <v>128</v>
      </c>
    </row>
    <row r="194" customFormat="false" ht="15" hidden="false" customHeight="false" outlineLevel="0" collapsed="false">
      <c r="A194" s="38" t="s">
        <v>157</v>
      </c>
      <c r="B194" s="38" t="s">
        <v>300</v>
      </c>
      <c r="C194" s="38" t="s">
        <v>303</v>
      </c>
      <c r="D194" s="21" t="n">
        <f aca="false">ROUND(Q194*R194,0)</f>
        <v>913</v>
      </c>
      <c r="E194" s="21" t="n">
        <f aca="false">ROUND(Q194,0)-D194</f>
        <v>856</v>
      </c>
      <c r="F194" s="21" t="n">
        <f aca="false">IF(COUNTA(D194:E194)=0,"",SUM(D194:E194))</f>
        <v>1769</v>
      </c>
      <c r="G194" s="39" t="n">
        <f aca="false">IF(OR(F194="",F194=0),"",D194/F194)</f>
        <v>0.516110797060486</v>
      </c>
      <c r="H194" s="39" t="n">
        <f aca="false">IF(OR(F194="",F194=0),"",E194/F194)</f>
        <v>0.483889202939514</v>
      </c>
      <c r="I194" s="38" t="s">
        <v>89</v>
      </c>
      <c r="J194" s="40" t="n">
        <v>1.28585670084365</v>
      </c>
      <c r="K194" s="39" t="n">
        <f aca="false">IF(G194="","",MAX(0,G194-J194/100))</f>
        <v>0.50325223005205</v>
      </c>
      <c r="L194" s="39" t="n">
        <f aca="false">IF(G194="","",MIN(1,G194+J194/100))</f>
        <v>0.528969364068923</v>
      </c>
      <c r="M194" s="21" t="n">
        <f aca="false">ROUND(Q194*S194,0)</f>
        <v>247</v>
      </c>
      <c r="N194" s="21" t="n">
        <f aca="false">ROUND(SQRT((F194*J194/100)^2+(G194*M194)^2),0)</f>
        <v>129</v>
      </c>
      <c r="P194" s="41" t="n">
        <v>-1.27302067269646</v>
      </c>
      <c r="Q194" s="42" t="n">
        <v>1769.19681932974</v>
      </c>
      <c r="R194" s="43" t="n">
        <f aca="false">MAX(0,MIN(1,P194/100+$D$5))</f>
        <v>0.515925545506212</v>
      </c>
      <c r="S194" s="43" t="n">
        <v>0.139463116518417</v>
      </c>
      <c r="T194" s="44" t="s">
        <v>128</v>
      </c>
    </row>
    <row r="195" customFormat="false" ht="15" hidden="false" customHeight="false" outlineLevel="0" collapsed="false">
      <c r="A195" s="38" t="s">
        <v>157</v>
      </c>
      <c r="B195" s="38" t="s">
        <v>300</v>
      </c>
      <c r="C195" s="38" t="s">
        <v>304</v>
      </c>
      <c r="D195" s="21" t="n">
        <f aca="false">ROUND(Q195*R195,0)</f>
        <v>699</v>
      </c>
      <c r="E195" s="21" t="n">
        <f aca="false">ROUND(Q195,0)-D195</f>
        <v>519</v>
      </c>
      <c r="F195" s="21" t="n">
        <f aca="false">IF(COUNTA(D195:E195)=0,"",SUM(D195:E195))</f>
        <v>1218</v>
      </c>
      <c r="G195" s="39" t="n">
        <f aca="false">IF(OR(F195="",F195=0),"",D195/F195)</f>
        <v>0.573891625615764</v>
      </c>
      <c r="H195" s="39" t="n">
        <f aca="false">IF(OR(F195="",F195=0),"",E195/F195)</f>
        <v>0.426108374384236</v>
      </c>
      <c r="I195" s="38" t="s">
        <v>89</v>
      </c>
      <c r="J195" s="40" t="n">
        <v>1.28585670084365</v>
      </c>
      <c r="K195" s="39" t="n">
        <f aca="false">IF(G195="","",MAX(0,G195-J195/100))</f>
        <v>0.561033058607327</v>
      </c>
      <c r="L195" s="39" t="n">
        <f aca="false">IF(G195="","",MIN(1,G195+J195/100))</f>
        <v>0.5867501926242</v>
      </c>
      <c r="M195" s="21" t="n">
        <f aca="false">ROUND(Q195*S195,0)</f>
        <v>170</v>
      </c>
      <c r="N195" s="21" t="n">
        <f aca="false">ROUND(SQRT((F195*J195/100)^2+(G195*M195)^2),0)</f>
        <v>99</v>
      </c>
      <c r="P195" s="41" t="n">
        <v>4.49680242862728</v>
      </c>
      <c r="Q195" s="42" t="n">
        <v>1218.07185564777</v>
      </c>
      <c r="R195" s="43" t="n">
        <f aca="false">MAX(0,MIN(1,P195/100+$D$5))</f>
        <v>0.573623776519449</v>
      </c>
      <c r="S195" s="43" t="n">
        <v>0.139463116518417</v>
      </c>
      <c r="T195" s="44" t="s">
        <v>128</v>
      </c>
    </row>
    <row r="196" customFormat="false" ht="15" hidden="false" customHeight="false" outlineLevel="0" collapsed="false">
      <c r="A196" s="38" t="s">
        <v>157</v>
      </c>
      <c r="B196" s="38" t="s">
        <v>300</v>
      </c>
      <c r="C196" s="38" t="s">
        <v>305</v>
      </c>
      <c r="D196" s="21" t="n">
        <f aca="false">ROUND(Q196*R196,0)</f>
        <v>1660</v>
      </c>
      <c r="E196" s="21" t="n">
        <f aca="false">ROUND(Q196,0)-D196</f>
        <v>1226</v>
      </c>
      <c r="F196" s="21" t="n">
        <f aca="false">IF(COUNTA(D196:E196)=0,"",SUM(D196:E196))</f>
        <v>2886</v>
      </c>
      <c r="G196" s="39" t="n">
        <f aca="false">IF(OR(F196="",F196=0),"",D196/F196)</f>
        <v>0.575190575190575</v>
      </c>
      <c r="H196" s="39" t="n">
        <f aca="false">IF(OR(F196="",F196=0),"",E196/F196)</f>
        <v>0.424809424809425</v>
      </c>
      <c r="I196" s="38" t="s">
        <v>89</v>
      </c>
      <c r="J196" s="40" t="n">
        <v>1.28585670084365</v>
      </c>
      <c r="K196" s="39" t="n">
        <f aca="false">IF(G196="","",MAX(0,G196-J196/100))</f>
        <v>0.562332008182139</v>
      </c>
      <c r="L196" s="39" t="n">
        <f aca="false">IF(G196="","",MIN(1,G196+J196/100))</f>
        <v>0.588049142199012</v>
      </c>
      <c r="M196" s="21" t="n">
        <f aca="false">ROUND(Q196*S196,0)</f>
        <v>402</v>
      </c>
      <c r="N196" s="21" t="n">
        <f aca="false">ROUND(SQRT((F196*J196/100)^2+(G196*M196)^2),0)</f>
        <v>234</v>
      </c>
      <c r="P196" s="41" t="n">
        <v>4.65181097637616</v>
      </c>
      <c r="Q196" s="42" t="n">
        <v>2885.82816283824</v>
      </c>
      <c r="R196" s="43" t="n">
        <f aca="false">MAX(0,MIN(1,P196/100+$D$5))</f>
        <v>0.575173861996938</v>
      </c>
      <c r="S196" s="43" t="n">
        <v>0.139463116518417</v>
      </c>
      <c r="T196" s="44" t="s">
        <v>128</v>
      </c>
    </row>
    <row r="197" customFormat="false" ht="15" hidden="false" customHeight="false" outlineLevel="0" collapsed="false">
      <c r="A197" s="38" t="s">
        <v>157</v>
      </c>
      <c r="B197" s="38" t="s">
        <v>300</v>
      </c>
      <c r="C197" s="38" t="s">
        <v>306</v>
      </c>
      <c r="D197" s="21" t="n">
        <f aca="false">ROUND(Q197*R197,0)</f>
        <v>565</v>
      </c>
      <c r="E197" s="21" t="n">
        <f aca="false">ROUND(Q197,0)-D197</f>
        <v>454</v>
      </c>
      <c r="F197" s="21" t="n">
        <f aca="false">IF(COUNTA(D197:E197)=0,"",SUM(D197:E197))</f>
        <v>1019</v>
      </c>
      <c r="G197" s="39" t="n">
        <f aca="false">IF(OR(F197="",F197=0),"",D197/F197)</f>
        <v>0.554465161923454</v>
      </c>
      <c r="H197" s="39" t="n">
        <f aca="false">IF(OR(F197="",F197=0),"",E197/F197)</f>
        <v>0.445534838076546</v>
      </c>
      <c r="I197" s="38" t="s">
        <v>89</v>
      </c>
      <c r="J197" s="40" t="n">
        <v>1.85532414445586</v>
      </c>
      <c r="K197" s="39" t="n">
        <f aca="false">IF(G197="","",MAX(0,G197-J197/100))</f>
        <v>0.535911920478896</v>
      </c>
      <c r="L197" s="39" t="n">
        <f aca="false">IF(G197="","",MIN(1,G197+J197/100))</f>
        <v>0.573018403368013</v>
      </c>
      <c r="M197" s="21" t="n">
        <f aca="false">ROUND(Q197*S197,0)</f>
        <v>65</v>
      </c>
      <c r="N197" s="21" t="n">
        <f aca="false">ROUND(SQRT((F197*J197/100)^2+(G197*M197)^2),0)</f>
        <v>41</v>
      </c>
      <c r="P197" s="41" t="n">
        <v>2.59503056157181</v>
      </c>
      <c r="Q197" s="42" t="n">
        <v>1019.35421707997</v>
      </c>
      <c r="R197" s="43" t="n">
        <f aca="false">MAX(0,MIN(1,P197/100+$D$5))</f>
        <v>0.554606057848895</v>
      </c>
      <c r="S197" s="43" t="n">
        <v>0.0633793435818552</v>
      </c>
      <c r="T197" s="44" t="s">
        <v>99</v>
      </c>
    </row>
    <row r="198" customFormat="false" ht="15" hidden="false" customHeight="false" outlineLevel="0" collapsed="false">
      <c r="A198" s="38" t="s">
        <v>157</v>
      </c>
      <c r="B198" s="38" t="s">
        <v>300</v>
      </c>
      <c r="C198" s="38" t="s">
        <v>307</v>
      </c>
      <c r="D198" s="21" t="n">
        <f aca="false">ROUND(Q198*R198,0)</f>
        <v>581</v>
      </c>
      <c r="E198" s="21" t="n">
        <f aca="false">ROUND(Q198,0)-D198</f>
        <v>404</v>
      </c>
      <c r="F198" s="21" t="n">
        <f aca="false">IF(COUNTA(D198:E198)=0,"",SUM(D198:E198))</f>
        <v>985</v>
      </c>
      <c r="G198" s="39" t="n">
        <f aca="false">IF(OR(F198="",F198=0),"",D198/F198)</f>
        <v>0.589847715736041</v>
      </c>
      <c r="H198" s="39" t="n">
        <f aca="false">IF(OR(F198="",F198=0),"",E198/F198)</f>
        <v>0.410152284263959</v>
      </c>
      <c r="I198" s="38" t="s">
        <v>89</v>
      </c>
      <c r="J198" s="40" t="n">
        <v>1.85532414445586</v>
      </c>
      <c r="K198" s="39" t="n">
        <f aca="false">IF(G198="","",MAX(0,G198-J198/100))</f>
        <v>0.571294474291482</v>
      </c>
      <c r="L198" s="39" t="n">
        <f aca="false">IF(G198="","",MIN(1,G198+J198/100))</f>
        <v>0.608400957180599</v>
      </c>
      <c r="M198" s="21" t="n">
        <f aca="false">ROUND(Q198*S198,0)</f>
        <v>62</v>
      </c>
      <c r="N198" s="21" t="n">
        <f aca="false">ROUND(SQRT((F198*J198/100)^2+(G198*M198)^2),0)</f>
        <v>41</v>
      </c>
      <c r="P198" s="41" t="n">
        <v>6.13889435038151</v>
      </c>
      <c r="Q198" s="42" t="n">
        <v>985.196055332738</v>
      </c>
      <c r="R198" s="43" t="n">
        <f aca="false">MAX(0,MIN(1,P198/100+$D$5))</f>
        <v>0.590044695736992</v>
      </c>
      <c r="S198" s="43" t="n">
        <v>0.0633793435818552</v>
      </c>
      <c r="T198" s="44" t="s">
        <v>99</v>
      </c>
    </row>
    <row r="199" customFormat="false" ht="15" hidden="false" customHeight="false" outlineLevel="0" collapsed="false">
      <c r="A199" s="38" t="s">
        <v>157</v>
      </c>
      <c r="B199" s="38" t="s">
        <v>300</v>
      </c>
      <c r="C199" s="38" t="s">
        <v>308</v>
      </c>
      <c r="D199" s="21" t="n">
        <f aca="false">ROUND(Q199*R199,0)</f>
        <v>611</v>
      </c>
      <c r="E199" s="21" t="n">
        <f aca="false">ROUND(Q199,0)-D199</f>
        <v>496</v>
      </c>
      <c r="F199" s="21" t="n">
        <f aca="false">IF(COUNTA(D199:E199)=0,"",SUM(D199:E199))</f>
        <v>1107</v>
      </c>
      <c r="G199" s="39" t="n">
        <f aca="false">IF(OR(F199="",F199=0),"",D199/F199)</f>
        <v>0.551942186088528</v>
      </c>
      <c r="H199" s="39" t="n">
        <f aca="false">IF(OR(F199="",F199=0),"",E199/F199)</f>
        <v>0.448057813911472</v>
      </c>
      <c r="I199" s="38" t="s">
        <v>89</v>
      </c>
      <c r="J199" s="40" t="n">
        <v>1.85532414445586</v>
      </c>
      <c r="K199" s="39" t="n">
        <f aca="false">IF(G199="","",MAX(0,G199-J199/100))</f>
        <v>0.533388944643969</v>
      </c>
      <c r="L199" s="39" t="n">
        <f aca="false">IF(G199="","",MIN(1,G199+J199/100))</f>
        <v>0.570495427533086</v>
      </c>
      <c r="M199" s="21" t="n">
        <f aca="false">ROUND(Q199*S199,0)</f>
        <v>70</v>
      </c>
      <c r="N199" s="21" t="n">
        <f aca="false">ROUND(SQRT((F199*J199/100)^2+(G199*M199)^2),0)</f>
        <v>44</v>
      </c>
      <c r="P199" s="41" t="n">
        <v>2.30625611447692</v>
      </c>
      <c r="Q199" s="42" t="n">
        <v>1107.35365937565</v>
      </c>
      <c r="R199" s="43" t="n">
        <f aca="false">MAX(0,MIN(1,P199/100+$D$5))</f>
        <v>0.551718313377946</v>
      </c>
      <c r="S199" s="43" t="n">
        <v>0.0633793435818552</v>
      </c>
      <c r="T199" s="44" t="s">
        <v>99</v>
      </c>
    </row>
    <row r="200" customFormat="false" ht="15" hidden="false" customHeight="false" outlineLevel="0" collapsed="false">
      <c r="A200" s="38" t="s">
        <v>157</v>
      </c>
      <c r="B200" s="38" t="s">
        <v>309</v>
      </c>
      <c r="C200" s="38" t="s">
        <v>310</v>
      </c>
      <c r="D200" s="21" t="n">
        <f aca="false">ROUND(Q200*R200,0)</f>
        <v>1418</v>
      </c>
      <c r="E200" s="21" t="n">
        <f aca="false">ROUND(Q200,0)-D200</f>
        <v>1352</v>
      </c>
      <c r="F200" s="21" t="n">
        <f aca="false">IF(COUNTA(D200:E200)=0,"",SUM(D200:E200))</f>
        <v>2770</v>
      </c>
      <c r="G200" s="39" t="n">
        <f aca="false">IF(OR(F200="",F200=0),"",D200/F200)</f>
        <v>0.511913357400722</v>
      </c>
      <c r="H200" s="39" t="n">
        <f aca="false">IF(OR(F200="",F200=0),"",E200/F200)</f>
        <v>0.488086642599278</v>
      </c>
      <c r="I200" s="38" t="s">
        <v>89</v>
      </c>
      <c r="J200" s="40" t="n">
        <v>1.28585670084365</v>
      </c>
      <c r="K200" s="39" t="n">
        <f aca="false">IF(G200="","",MAX(0,G200-J200/100))</f>
        <v>0.499054790392285</v>
      </c>
      <c r="L200" s="39" t="n">
        <f aca="false">IF(G200="","",MIN(1,G200+J200/100))</f>
        <v>0.524771924409159</v>
      </c>
      <c r="M200" s="21" t="n">
        <f aca="false">ROUND(Q200*S200,0)</f>
        <v>386</v>
      </c>
      <c r="N200" s="21" t="n">
        <f aca="false">ROUND(SQRT((F200*J200/100)^2+(G200*M200)^2),0)</f>
        <v>201</v>
      </c>
      <c r="P200" s="41" t="n">
        <v>-1.67232460027558</v>
      </c>
      <c r="Q200" s="42" t="n">
        <v>2769.68411704839</v>
      </c>
      <c r="R200" s="43" t="n">
        <f aca="false">MAX(0,MIN(1,P200/100+$D$5))</f>
        <v>0.511932506230421</v>
      </c>
      <c r="S200" s="43" t="n">
        <v>0.139463116518417</v>
      </c>
      <c r="T200" s="44" t="s">
        <v>128</v>
      </c>
    </row>
    <row r="201" customFormat="false" ht="15" hidden="false" customHeight="false" outlineLevel="0" collapsed="false">
      <c r="A201" s="38" t="s">
        <v>157</v>
      </c>
      <c r="B201" s="38" t="s">
        <v>309</v>
      </c>
      <c r="C201" s="38" t="s">
        <v>311</v>
      </c>
      <c r="D201" s="21" t="n">
        <f aca="false">ROUND(Q201*R201,0)</f>
        <v>911</v>
      </c>
      <c r="E201" s="21" t="n">
        <f aca="false">ROUND(Q201,0)-D201</f>
        <v>1206</v>
      </c>
      <c r="F201" s="21" t="n">
        <f aca="false">IF(COUNTA(D201:E201)=0,"",SUM(D201:E201))</f>
        <v>2117</v>
      </c>
      <c r="G201" s="39" t="n">
        <f aca="false">IF(OR(F201="",F201=0),"",D201/F201)</f>
        <v>0.430325932923949</v>
      </c>
      <c r="H201" s="39" t="n">
        <f aca="false">IF(OR(F201="",F201=0),"",E201/F201)</f>
        <v>0.569674067076051</v>
      </c>
      <c r="I201" s="38" t="s">
        <v>89</v>
      </c>
      <c r="J201" s="40" t="n">
        <v>1.28585670084365</v>
      </c>
      <c r="K201" s="39" t="n">
        <f aca="false">IF(G201="","",MAX(0,G201-J201/100))</f>
        <v>0.417467365915513</v>
      </c>
      <c r="L201" s="39" t="n">
        <f aca="false">IF(G201="","",MIN(1,G201+J201/100))</f>
        <v>0.443184499932386</v>
      </c>
      <c r="M201" s="21" t="n">
        <f aca="false">ROUND(Q201*S201,0)</f>
        <v>295</v>
      </c>
      <c r="N201" s="21" t="n">
        <f aca="false">ROUND(SQRT((F201*J201/100)^2+(G201*M201)^2),0)</f>
        <v>130</v>
      </c>
      <c r="P201" s="41" t="n">
        <v>-9.85451733315865</v>
      </c>
      <c r="Q201" s="42" t="n">
        <v>2116.96372889862</v>
      </c>
      <c r="R201" s="43" t="n">
        <f aca="false">MAX(0,MIN(1,P201/100+$D$5))</f>
        <v>0.43011057890159</v>
      </c>
      <c r="S201" s="43" t="n">
        <v>0.139463116518417</v>
      </c>
      <c r="T201" s="44" t="s">
        <v>128</v>
      </c>
    </row>
    <row r="202" customFormat="false" ht="15" hidden="false" customHeight="false" outlineLevel="0" collapsed="false">
      <c r="A202" s="38" t="s">
        <v>157</v>
      </c>
      <c r="B202" s="38" t="s">
        <v>312</v>
      </c>
      <c r="C202" s="38" t="s">
        <v>313</v>
      </c>
      <c r="D202" s="21" t="n">
        <f aca="false">ROUND(Q202*R202,0)</f>
        <v>1016</v>
      </c>
      <c r="E202" s="21" t="n">
        <f aca="false">ROUND(Q202,0)-D202</f>
        <v>861</v>
      </c>
      <c r="F202" s="21" t="n">
        <f aca="false">IF(COUNTA(D202:E202)=0,"",SUM(D202:E202))</f>
        <v>1877</v>
      </c>
      <c r="G202" s="39" t="n">
        <f aca="false">IF(OR(F202="",F202=0),"",D202/F202)</f>
        <v>0.541289291422483</v>
      </c>
      <c r="H202" s="39" t="n">
        <f aca="false">IF(OR(F202="",F202=0),"",E202/F202)</f>
        <v>0.458710708577517</v>
      </c>
      <c r="I202" s="38" t="s">
        <v>89</v>
      </c>
      <c r="J202" s="40" t="n">
        <v>1.28585670084365</v>
      </c>
      <c r="K202" s="39" t="n">
        <f aca="false">IF(G202="","",MAX(0,G202-J202/100))</f>
        <v>0.528430724414046</v>
      </c>
      <c r="L202" s="39" t="n">
        <f aca="false">IF(G202="","",MIN(1,G202+J202/100))</f>
        <v>0.554147858430919</v>
      </c>
      <c r="M202" s="21" t="n">
        <f aca="false">ROUND(Q202*S202,0)</f>
        <v>262</v>
      </c>
      <c r="N202" s="21" t="n">
        <f aca="false">ROUND(SQRT((F202*J202/100)^2+(G202*M202)^2),0)</f>
        <v>144</v>
      </c>
      <c r="P202" s="41" t="n">
        <v>1.27790589704544</v>
      </c>
      <c r="Q202" s="42" t="n">
        <v>1877.00091264023</v>
      </c>
      <c r="R202" s="43" t="n">
        <f aca="false">MAX(0,MIN(1,P202/100+$D$5))</f>
        <v>0.541434811203631</v>
      </c>
      <c r="S202" s="43" t="n">
        <v>0.139463116518417</v>
      </c>
      <c r="T202" s="44" t="s">
        <v>128</v>
      </c>
    </row>
    <row r="203" customFormat="false" ht="15" hidden="false" customHeight="false" outlineLevel="0" collapsed="false">
      <c r="A203" s="38" t="s">
        <v>157</v>
      </c>
      <c r="B203" s="38" t="s">
        <v>312</v>
      </c>
      <c r="C203" s="38" t="s">
        <v>314</v>
      </c>
      <c r="D203" s="21" t="n">
        <f aca="false">ROUND(Q203*R203,0)</f>
        <v>714</v>
      </c>
      <c r="E203" s="21" t="n">
        <f aca="false">ROUND(Q203,0)-D203</f>
        <v>644</v>
      </c>
      <c r="F203" s="21" t="n">
        <f aca="false">IF(COUNTA(D203:E203)=0,"",SUM(D203:E203))</f>
        <v>1358</v>
      </c>
      <c r="G203" s="39" t="n">
        <f aca="false">IF(OR(F203="",F203=0),"",D203/F203)</f>
        <v>0.525773195876289</v>
      </c>
      <c r="H203" s="39" t="n">
        <f aca="false">IF(OR(F203="",F203=0),"",E203/F203)</f>
        <v>0.474226804123711</v>
      </c>
      <c r="I203" s="38" t="s">
        <v>89</v>
      </c>
      <c r="J203" s="40" t="n">
        <v>1.28585670084365</v>
      </c>
      <c r="K203" s="39" t="n">
        <f aca="false">IF(G203="","",MAX(0,G203-J203/100))</f>
        <v>0.512914628867852</v>
      </c>
      <c r="L203" s="39" t="n">
        <f aca="false">IF(G203="","",MIN(1,G203+J203/100))</f>
        <v>0.538631762884725</v>
      </c>
      <c r="M203" s="21" t="n">
        <f aca="false">ROUND(Q203*S203,0)</f>
        <v>189</v>
      </c>
      <c r="N203" s="21" t="n">
        <f aca="false">ROUND(SQRT((F203*J203/100)^2+(G203*M203)^2),0)</f>
        <v>101</v>
      </c>
      <c r="P203" s="41" t="n">
        <v>-0.309283471237164</v>
      </c>
      <c r="Q203" s="42" t="n">
        <v>1358.38222165771</v>
      </c>
      <c r="R203" s="43" t="n">
        <f aca="false">MAX(0,MIN(1,P203/100+$D$5))</f>
        <v>0.525562917520805</v>
      </c>
      <c r="S203" s="43" t="n">
        <v>0.139463116518417</v>
      </c>
      <c r="T203" s="44" t="s">
        <v>128</v>
      </c>
    </row>
    <row r="204" customFormat="false" ht="15" hidden="false" customHeight="false" outlineLevel="0" collapsed="false">
      <c r="A204" s="38" t="s">
        <v>157</v>
      </c>
      <c r="B204" s="38" t="s">
        <v>312</v>
      </c>
      <c r="C204" s="38" t="s">
        <v>315</v>
      </c>
      <c r="D204" s="21" t="n">
        <f aca="false">ROUND(Q204*R204,0)</f>
        <v>700</v>
      </c>
      <c r="E204" s="21" t="n">
        <f aca="false">ROUND(Q204,0)-D204</f>
        <v>620</v>
      </c>
      <c r="F204" s="21" t="n">
        <f aca="false">IF(COUNTA(D204:E204)=0,"",SUM(D204:E204))</f>
        <v>1320</v>
      </c>
      <c r="G204" s="39" t="n">
        <f aca="false">IF(OR(F204="",F204=0),"",D204/F204)</f>
        <v>0.53030303030303</v>
      </c>
      <c r="H204" s="39" t="n">
        <f aca="false">IF(OR(F204="",F204=0),"",E204/F204)</f>
        <v>0.46969696969697</v>
      </c>
      <c r="I204" s="38" t="s">
        <v>89</v>
      </c>
      <c r="J204" s="40" t="n">
        <v>1.28585670084365</v>
      </c>
      <c r="K204" s="39" t="n">
        <f aca="false">IF(G204="","",MAX(0,G204-J204/100))</f>
        <v>0.517444463294594</v>
      </c>
      <c r="L204" s="39" t="n">
        <f aca="false">IF(G204="","",MIN(1,G204+J204/100))</f>
        <v>0.543161597311467</v>
      </c>
      <c r="M204" s="21" t="n">
        <f aca="false">ROUND(Q204*S204,0)</f>
        <v>184</v>
      </c>
      <c r="N204" s="21" t="n">
        <f aca="false">ROUND(SQRT((F204*J204/100)^2+(G204*M204)^2),0)</f>
        <v>99</v>
      </c>
      <c r="P204" s="41" t="n">
        <v>0.178712641782957</v>
      </c>
      <c r="Q204" s="42" t="n">
        <v>1320.08334671186</v>
      </c>
      <c r="R204" s="43" t="n">
        <f aca="false">MAX(0,MIN(1,P204/100+$D$5))</f>
        <v>0.530442878651006</v>
      </c>
      <c r="S204" s="43" t="n">
        <v>0.139463116518417</v>
      </c>
      <c r="T204" s="44" t="s">
        <v>128</v>
      </c>
    </row>
    <row r="205" customFormat="false" ht="15" hidden="false" customHeight="false" outlineLevel="0" collapsed="false">
      <c r="A205" s="38" t="s">
        <v>157</v>
      </c>
      <c r="B205" s="38" t="s">
        <v>312</v>
      </c>
      <c r="C205" s="38" t="s">
        <v>316</v>
      </c>
      <c r="D205" s="21" t="n">
        <f aca="false">ROUND(Q205*R205,0)</f>
        <v>1582</v>
      </c>
      <c r="E205" s="21" t="n">
        <f aca="false">ROUND(Q205,0)-D205</f>
        <v>1407</v>
      </c>
      <c r="F205" s="21" t="n">
        <f aca="false">IF(COUNTA(D205:E205)=0,"",SUM(D205:E205))</f>
        <v>2989</v>
      </c>
      <c r="G205" s="39" t="n">
        <f aca="false">IF(OR(F205="",F205=0),"",D205/F205)</f>
        <v>0.529274004683841</v>
      </c>
      <c r="H205" s="39" t="n">
        <f aca="false">IF(OR(F205="",F205=0),"",E205/F205)</f>
        <v>0.470725995316159</v>
      </c>
      <c r="I205" s="38" t="s">
        <v>89</v>
      </c>
      <c r="J205" s="40" t="n">
        <v>1.28585670084365</v>
      </c>
      <c r="K205" s="39" t="n">
        <f aca="false">IF(G205="","",MAX(0,G205-J205/100))</f>
        <v>0.516415437675404</v>
      </c>
      <c r="L205" s="39" t="n">
        <f aca="false">IF(G205="","",MIN(1,G205+J205/100))</f>
        <v>0.542132571692277</v>
      </c>
      <c r="M205" s="21" t="n">
        <f aca="false">ROUND(Q205*S205,0)</f>
        <v>417</v>
      </c>
      <c r="N205" s="21" t="n">
        <f aca="false">ROUND(SQRT((F205*J205/100)^2+(G205*M205)^2),0)</f>
        <v>224</v>
      </c>
      <c r="P205" s="41" t="n">
        <v>0.0669946105215263</v>
      </c>
      <c r="Q205" s="42" t="n">
        <v>2989.44446047355</v>
      </c>
      <c r="R205" s="43" t="n">
        <f aca="false">MAX(0,MIN(1,P205/100+$D$5))</f>
        <v>0.529325698338392</v>
      </c>
      <c r="S205" s="43" t="n">
        <v>0.139463116518417</v>
      </c>
      <c r="T205" s="44" t="s">
        <v>128</v>
      </c>
    </row>
    <row r="206" customFormat="false" ht="15" hidden="false" customHeight="false" outlineLevel="0" collapsed="false">
      <c r="A206" s="38" t="s">
        <v>157</v>
      </c>
      <c r="B206" s="38" t="s">
        <v>312</v>
      </c>
      <c r="C206" s="38" t="s">
        <v>317</v>
      </c>
      <c r="D206" s="21" t="n">
        <f aca="false">ROUND(Q206*R206,0)</f>
        <v>628</v>
      </c>
      <c r="E206" s="21" t="n">
        <f aca="false">ROUND(Q206,0)-D206</f>
        <v>522</v>
      </c>
      <c r="F206" s="21" t="n">
        <f aca="false">IF(COUNTA(D206:E206)=0,"",SUM(D206:E206))</f>
        <v>1150</v>
      </c>
      <c r="G206" s="39" t="n">
        <f aca="false">IF(OR(F206="",F206=0),"",D206/F206)</f>
        <v>0.546086956521739</v>
      </c>
      <c r="H206" s="39" t="n">
        <f aca="false">IF(OR(F206="",F206=0),"",E206/F206)</f>
        <v>0.453913043478261</v>
      </c>
      <c r="I206" s="38" t="s">
        <v>89</v>
      </c>
      <c r="J206" s="40" t="n">
        <v>1.85532414445586</v>
      </c>
      <c r="K206" s="39" t="n">
        <f aca="false">IF(G206="","",MAX(0,G206-J206/100))</f>
        <v>0.527533715077181</v>
      </c>
      <c r="L206" s="39" t="n">
        <f aca="false">IF(G206="","",MIN(1,G206+J206/100))</f>
        <v>0.564640197966298</v>
      </c>
      <c r="M206" s="21" t="n">
        <f aca="false">ROUND(Q206*S206,0)</f>
        <v>73</v>
      </c>
      <c r="N206" s="21" t="n">
        <f aca="false">ROUND(SQRT((F206*J206/100)^2+(G206*M206)^2),0)</f>
        <v>45</v>
      </c>
      <c r="P206" s="41" t="n">
        <v>1.74546446766982</v>
      </c>
      <c r="Q206" s="42" t="n">
        <v>1150.19870121623</v>
      </c>
      <c r="R206" s="43" t="n">
        <f aca="false">MAX(0,MIN(1,P206/100+$D$5))</f>
        <v>0.546110396909875</v>
      </c>
      <c r="S206" s="43" t="n">
        <v>0.0633793435818552</v>
      </c>
      <c r="T206" s="44" t="s">
        <v>99</v>
      </c>
    </row>
    <row r="207" customFormat="false" ht="15" hidden="false" customHeight="false" outlineLevel="0" collapsed="false">
      <c r="A207" s="38" t="s">
        <v>157</v>
      </c>
      <c r="B207" s="38" t="s">
        <v>312</v>
      </c>
      <c r="C207" s="38" t="s">
        <v>318</v>
      </c>
      <c r="D207" s="21" t="n">
        <f aca="false">ROUND(Q207*R207,0)</f>
        <v>632</v>
      </c>
      <c r="E207" s="21" t="n">
        <f aca="false">ROUND(Q207,0)-D207</f>
        <v>495</v>
      </c>
      <c r="F207" s="21" t="n">
        <f aca="false">IF(COUNTA(D207:E207)=0,"",SUM(D207:E207))</f>
        <v>1127</v>
      </c>
      <c r="G207" s="39" t="n">
        <f aca="false">IF(OR(F207="",F207=0),"",D207/F207)</f>
        <v>0.56078083407276</v>
      </c>
      <c r="H207" s="39" t="n">
        <f aca="false">IF(OR(F207="",F207=0),"",E207/F207)</f>
        <v>0.439219165927241</v>
      </c>
      <c r="I207" s="38" t="s">
        <v>89</v>
      </c>
      <c r="J207" s="40" t="n">
        <v>1.85532414445586</v>
      </c>
      <c r="K207" s="39" t="n">
        <f aca="false">IF(G207="","",MAX(0,G207-J207/100))</f>
        <v>0.542227592628201</v>
      </c>
      <c r="L207" s="39" t="n">
        <f aca="false">IF(G207="","",MIN(1,G207+J207/100))</f>
        <v>0.579334075517318</v>
      </c>
      <c r="M207" s="21" t="n">
        <f aca="false">ROUND(Q207*S207,0)</f>
        <v>71</v>
      </c>
      <c r="N207" s="21" t="n">
        <f aca="false">ROUND(SQRT((F207*J207/100)^2+(G207*M207)^2),0)</f>
        <v>45</v>
      </c>
      <c r="P207" s="41" t="n">
        <v>3.26223128631303</v>
      </c>
      <c r="Q207" s="42" t="n">
        <v>1126.62603323016</v>
      </c>
      <c r="R207" s="43" t="n">
        <f aca="false">MAX(0,MIN(1,P207/100+$D$5))</f>
        <v>0.561278065096307</v>
      </c>
      <c r="S207" s="43" t="n">
        <v>0.0633793435818552</v>
      </c>
      <c r="T207" s="44" t="s">
        <v>99</v>
      </c>
    </row>
    <row r="208" customFormat="false" ht="15" hidden="false" customHeight="false" outlineLevel="0" collapsed="false">
      <c r="A208" s="38" t="s">
        <v>157</v>
      </c>
      <c r="B208" s="38" t="s">
        <v>319</v>
      </c>
      <c r="C208" s="38" t="s">
        <v>320</v>
      </c>
      <c r="D208" s="21" t="n">
        <f aca="false">ROUND(Q208*R208,0)</f>
        <v>231</v>
      </c>
      <c r="E208" s="21" t="n">
        <f aca="false">ROUND(Q208,0)-D208</f>
        <v>413</v>
      </c>
      <c r="F208" s="21" t="n">
        <f aca="false">IF(COUNTA(D208:E208)=0,"",SUM(D208:E208))</f>
        <v>644</v>
      </c>
      <c r="G208" s="39" t="n">
        <f aca="false">IF(OR(F208="",F208=0),"",D208/F208)</f>
        <v>0.358695652173913</v>
      </c>
      <c r="H208" s="39" t="n">
        <f aca="false">IF(OR(F208="",F208=0),"",E208/F208)</f>
        <v>0.641304347826087</v>
      </c>
      <c r="I208" s="38" t="s">
        <v>89</v>
      </c>
      <c r="J208" s="40" t="n">
        <v>3.25434931194355</v>
      </c>
      <c r="K208" s="39" t="n">
        <f aca="false">IF(G208="","",MAX(0,G208-J208/100))</f>
        <v>0.326152159054478</v>
      </c>
      <c r="L208" s="39" t="n">
        <f aca="false">IF(G208="","",MIN(1,G208+J208/100))</f>
        <v>0.391239145293349</v>
      </c>
      <c r="M208" s="21" t="n">
        <f aca="false">ROUND(Q208*S208,0)</f>
        <v>50</v>
      </c>
      <c r="N208" s="21" t="n">
        <f aca="false">ROUND(SQRT((F208*J208/100)^2+(G208*M208)^2),0)</f>
        <v>28</v>
      </c>
      <c r="P208" s="41" t="n">
        <v>-17.01345416685</v>
      </c>
      <c r="Q208" s="42" t="n">
        <v>644.05036019609</v>
      </c>
      <c r="R208" s="43" t="n">
        <f aca="false">MAX(0,MIN(1,P208/100+$D$5))</f>
        <v>0.358521210564676</v>
      </c>
      <c r="S208" s="43" t="n">
        <v>0.0779420971553049</v>
      </c>
      <c r="T208" s="44" t="s">
        <v>90</v>
      </c>
    </row>
    <row r="209" customFormat="false" ht="15" hidden="false" customHeight="false" outlineLevel="0" collapsed="false">
      <c r="A209" s="38" t="s">
        <v>157</v>
      </c>
      <c r="B209" s="38" t="s">
        <v>319</v>
      </c>
      <c r="C209" s="38" t="s">
        <v>321</v>
      </c>
      <c r="D209" s="21" t="n">
        <f aca="false">ROUND(Q209*R209,0)</f>
        <v>796</v>
      </c>
      <c r="E209" s="21" t="n">
        <f aca="false">ROUND(Q209,0)-D209</f>
        <v>1285</v>
      </c>
      <c r="F209" s="21" t="n">
        <f aca="false">IF(COUNTA(D209:E209)=0,"",SUM(D209:E209))</f>
        <v>2081</v>
      </c>
      <c r="G209" s="39" t="n">
        <f aca="false">IF(OR(F209="",F209=0),"",D209/F209)</f>
        <v>0.382508409418549</v>
      </c>
      <c r="H209" s="39" t="n">
        <f aca="false">IF(OR(F209="",F209=0),"",E209/F209)</f>
        <v>0.617491590581451</v>
      </c>
      <c r="I209" s="38" t="s">
        <v>89</v>
      </c>
      <c r="J209" s="40" t="n">
        <v>1.28585670084365</v>
      </c>
      <c r="K209" s="39" t="n">
        <f aca="false">IF(G209="","",MAX(0,G209-J209/100))</f>
        <v>0.369649842410112</v>
      </c>
      <c r="L209" s="39" t="n">
        <f aca="false">IF(G209="","",MIN(1,G209+J209/100))</f>
        <v>0.395366976426985</v>
      </c>
      <c r="M209" s="21" t="n">
        <f aca="false">ROUND(Q209*S209,0)</f>
        <v>290</v>
      </c>
      <c r="N209" s="21" t="n">
        <f aca="false">ROUND(SQRT((F209*J209/100)^2+(G209*M209)^2),0)</f>
        <v>114</v>
      </c>
      <c r="P209" s="41" t="n">
        <v>-14.6162295782494</v>
      </c>
      <c r="Q209" s="42" t="n">
        <v>2080.99549906048</v>
      </c>
      <c r="R209" s="43" t="n">
        <f aca="false">MAX(0,MIN(1,P209/100+$D$5))</f>
        <v>0.382493456450682</v>
      </c>
      <c r="S209" s="43" t="n">
        <v>0.139463116518417</v>
      </c>
      <c r="T209" s="44" t="s">
        <v>128</v>
      </c>
    </row>
    <row r="210" customFormat="false" ht="15" hidden="false" customHeight="false" outlineLevel="0" collapsed="false">
      <c r="A210" s="38" t="s">
        <v>157</v>
      </c>
      <c r="B210" s="38" t="s">
        <v>319</v>
      </c>
      <c r="C210" s="38" t="s">
        <v>322</v>
      </c>
      <c r="D210" s="21" t="n">
        <f aca="false">ROUND(Q210*R210,0)</f>
        <v>187</v>
      </c>
      <c r="E210" s="21" t="n">
        <f aca="false">ROUND(Q210,0)-D210</f>
        <v>381</v>
      </c>
      <c r="F210" s="21" t="n">
        <f aca="false">IF(COUNTA(D210:E210)=0,"",SUM(D210:E210))</f>
        <v>568</v>
      </c>
      <c r="G210" s="39" t="n">
        <f aca="false">IF(OR(F210="",F210=0),"",D210/F210)</f>
        <v>0.329225352112676</v>
      </c>
      <c r="H210" s="39" t="n">
        <f aca="false">IF(OR(F210="",F210=0),"",E210/F210)</f>
        <v>0.670774647887324</v>
      </c>
      <c r="I210" s="38" t="s">
        <v>89</v>
      </c>
      <c r="J210" s="40" t="n">
        <v>3.25434931194355</v>
      </c>
      <c r="K210" s="39" t="n">
        <f aca="false">IF(G210="","",MAX(0,G210-J210/100))</f>
        <v>0.296681858993241</v>
      </c>
      <c r="L210" s="39" t="n">
        <f aca="false">IF(G210="","",MIN(1,G210+J210/100))</f>
        <v>0.361768845232112</v>
      </c>
      <c r="M210" s="21" t="n">
        <f aca="false">ROUND(Q210*S210,0)</f>
        <v>44</v>
      </c>
      <c r="N210" s="21" t="n">
        <f aca="false">ROUND(SQRT((F210*J210/100)^2+(G210*M210)^2),0)</f>
        <v>23</v>
      </c>
      <c r="P210" s="41" t="n">
        <v>-19.9030136825154</v>
      </c>
      <c r="Q210" s="42" t="n">
        <v>567.785997697101</v>
      </c>
      <c r="R210" s="43" t="n">
        <f aca="false">MAX(0,MIN(1,P210/100+$D$5))</f>
        <v>0.329625615408022</v>
      </c>
      <c r="S210" s="43" t="n">
        <v>0.0779420971553049</v>
      </c>
      <c r="T210" s="44" t="s">
        <v>90</v>
      </c>
    </row>
    <row r="211" customFormat="false" ht="15" hidden="false" customHeight="false" outlineLevel="0" collapsed="false">
      <c r="A211" s="38" t="s">
        <v>157</v>
      </c>
      <c r="B211" s="38" t="s">
        <v>323</v>
      </c>
      <c r="C211" s="38" t="s">
        <v>323</v>
      </c>
      <c r="D211" s="21" t="n">
        <f aca="false">ROUND(Q211*R211,0)</f>
        <v>1151</v>
      </c>
      <c r="E211" s="21" t="n">
        <f aca="false">ROUND(Q211,0)-D211</f>
        <v>1758</v>
      </c>
      <c r="F211" s="21" t="n">
        <f aca="false">IF(COUNTA(D211:E211)=0,"",SUM(D211:E211))</f>
        <v>2909</v>
      </c>
      <c r="G211" s="39" t="n">
        <f aca="false">IF(OR(F211="",F211=0),"",D211/F211)</f>
        <v>0.395668614644208</v>
      </c>
      <c r="H211" s="39" t="n">
        <f aca="false">IF(OR(F211="",F211=0),"",E211/F211)</f>
        <v>0.604331385355792</v>
      </c>
      <c r="I211" s="38" t="s">
        <v>89</v>
      </c>
      <c r="J211" s="40" t="n">
        <v>1.28585670084365</v>
      </c>
      <c r="K211" s="39" t="n">
        <f aca="false">IF(G211="","",MAX(0,G211-J211/100))</f>
        <v>0.382810047635771</v>
      </c>
      <c r="L211" s="39" t="n">
        <f aca="false">IF(G211="","",MIN(1,G211+J211/100))</f>
        <v>0.408527181652644</v>
      </c>
      <c r="M211" s="21" t="n">
        <f aca="false">ROUND(Q211*S211,0)</f>
        <v>406</v>
      </c>
      <c r="N211" s="21" t="n">
        <f aca="false">ROUND(SQRT((F211*J211/100)^2+(G211*M211)^2),0)</f>
        <v>165</v>
      </c>
      <c r="P211" s="41" t="n">
        <v>-13.3025039192031</v>
      </c>
      <c r="Q211" s="42" t="n">
        <v>2909.45909753476</v>
      </c>
      <c r="R211" s="43" t="n">
        <f aca="false">MAX(0,MIN(1,P211/100+$D$5))</f>
        <v>0.395630713041145</v>
      </c>
      <c r="S211" s="43" t="n">
        <v>0.139463116518417</v>
      </c>
      <c r="T211" s="44" t="s">
        <v>128</v>
      </c>
    </row>
    <row r="212" customFormat="false" ht="15" hidden="false" customHeight="false" outlineLevel="0" collapsed="false">
      <c r="A212" s="38" t="s">
        <v>157</v>
      </c>
      <c r="B212" s="38" t="s">
        <v>324</v>
      </c>
      <c r="C212" s="38" t="s">
        <v>325</v>
      </c>
      <c r="D212" s="21" t="n">
        <f aca="false">ROUND(Q212*R212,0)</f>
        <v>762</v>
      </c>
      <c r="E212" s="21" t="n">
        <f aca="false">ROUND(Q212,0)-D212</f>
        <v>688</v>
      </c>
      <c r="F212" s="21" t="n">
        <f aca="false">IF(COUNTA(D212:E212)=0,"",SUM(D212:E212))</f>
        <v>1450</v>
      </c>
      <c r="G212" s="39" t="n">
        <f aca="false">IF(OR(F212="",F212=0),"",D212/F212)</f>
        <v>0.52551724137931</v>
      </c>
      <c r="H212" s="39" t="n">
        <f aca="false">IF(OR(F212="",F212=0),"",E212/F212)</f>
        <v>0.47448275862069</v>
      </c>
      <c r="I212" s="38" t="s">
        <v>89</v>
      </c>
      <c r="J212" s="40" t="n">
        <v>1.28585670084365</v>
      </c>
      <c r="K212" s="39" t="n">
        <f aca="false">IF(G212="","",MAX(0,G212-J212/100))</f>
        <v>0.512658674370874</v>
      </c>
      <c r="L212" s="39" t="n">
        <f aca="false">IF(G212="","",MIN(1,G212+J212/100))</f>
        <v>0.538375808387747</v>
      </c>
      <c r="M212" s="21" t="n">
        <f aca="false">ROUND(Q212*S212,0)</f>
        <v>202</v>
      </c>
      <c r="N212" s="21" t="n">
        <f aca="false">ROUND(SQRT((F212*J212/100)^2+(G212*M212)^2),0)</f>
        <v>108</v>
      </c>
      <c r="P212" s="41" t="n">
        <v>-0.34224875066981</v>
      </c>
      <c r="Q212" s="42" t="n">
        <v>1450.12036096187</v>
      </c>
      <c r="R212" s="43" t="n">
        <f aca="false">MAX(0,MIN(1,P212/100+$D$5))</f>
        <v>0.525233264726479</v>
      </c>
      <c r="S212" s="43" t="n">
        <v>0.139463116518417</v>
      </c>
      <c r="T212" s="44" t="s">
        <v>128</v>
      </c>
    </row>
    <row r="213" customFormat="false" ht="15" hidden="false" customHeight="false" outlineLevel="0" collapsed="false">
      <c r="A213" s="38" t="s">
        <v>157</v>
      </c>
      <c r="B213" s="38" t="s">
        <v>324</v>
      </c>
      <c r="C213" s="38" t="s">
        <v>326</v>
      </c>
      <c r="D213" s="21" t="n">
        <f aca="false">ROUND(Q213*R213,0)</f>
        <v>542</v>
      </c>
      <c r="E213" s="21" t="n">
        <f aca="false">ROUND(Q213,0)-D213</f>
        <v>490</v>
      </c>
      <c r="F213" s="21" t="n">
        <f aca="false">IF(COUNTA(D213:E213)=0,"",SUM(D213:E213))</f>
        <v>1032</v>
      </c>
      <c r="G213" s="39" t="n">
        <f aca="false">IF(OR(F213="",F213=0),"",D213/F213)</f>
        <v>0.525193798449612</v>
      </c>
      <c r="H213" s="39" t="n">
        <f aca="false">IF(OR(F213="",F213=0),"",E213/F213)</f>
        <v>0.474806201550388</v>
      </c>
      <c r="I213" s="38" t="s">
        <v>89</v>
      </c>
      <c r="J213" s="40" t="n">
        <v>1.85532414445586</v>
      </c>
      <c r="K213" s="39" t="n">
        <f aca="false">IF(G213="","",MAX(0,G213-J213/100))</f>
        <v>0.506640557005054</v>
      </c>
      <c r="L213" s="39" t="n">
        <f aca="false">IF(G213="","",MIN(1,G213+J213/100))</f>
        <v>0.543747039894171</v>
      </c>
      <c r="M213" s="21" t="n">
        <f aca="false">ROUND(Q213*S213,0)</f>
        <v>65</v>
      </c>
      <c r="N213" s="21" t="n">
        <f aca="false">ROUND(SQRT((F213*J213/100)^2+(G213*M213)^2),0)</f>
        <v>39</v>
      </c>
      <c r="P213" s="41" t="n">
        <v>-0.336549114968295</v>
      </c>
      <c r="Q213" s="42" t="n">
        <v>1032.44435912434</v>
      </c>
      <c r="R213" s="43" t="n">
        <f aca="false">MAX(0,MIN(1,P213/100+$D$5))</f>
        <v>0.525290261083494</v>
      </c>
      <c r="S213" s="43" t="n">
        <v>0.0633793435818552</v>
      </c>
      <c r="T213" s="44" t="s">
        <v>99</v>
      </c>
    </row>
    <row r="214" customFormat="false" ht="15" hidden="false" customHeight="false" outlineLevel="0" collapsed="false">
      <c r="A214" s="38" t="s">
        <v>157</v>
      </c>
      <c r="B214" s="38" t="s">
        <v>324</v>
      </c>
      <c r="C214" s="38" t="s">
        <v>327</v>
      </c>
      <c r="D214" s="21" t="n">
        <f aca="false">ROUND(Q214*R214,0)</f>
        <v>593</v>
      </c>
      <c r="E214" s="21" t="n">
        <f aca="false">ROUND(Q214,0)-D214</f>
        <v>401</v>
      </c>
      <c r="F214" s="21" t="n">
        <f aca="false">IF(COUNTA(D214:E214)=0,"",SUM(D214:E214))</f>
        <v>994</v>
      </c>
      <c r="G214" s="39" t="n">
        <f aca="false">IF(OR(F214="",F214=0),"",D214/F214)</f>
        <v>0.596579476861167</v>
      </c>
      <c r="H214" s="39" t="n">
        <f aca="false">IF(OR(F214="",F214=0),"",E214/F214)</f>
        <v>0.403420523138833</v>
      </c>
      <c r="I214" s="38" t="s">
        <v>89</v>
      </c>
      <c r="J214" s="40" t="n">
        <v>1.85532414445586</v>
      </c>
      <c r="K214" s="39" t="n">
        <f aca="false">IF(G214="","",MAX(0,G214-J214/100))</f>
        <v>0.578026235416608</v>
      </c>
      <c r="L214" s="39" t="n">
        <f aca="false">IF(G214="","",MIN(1,G214+J214/100))</f>
        <v>0.615132718305726</v>
      </c>
      <c r="M214" s="21" t="n">
        <f aca="false">ROUND(Q214*S214,0)</f>
        <v>63</v>
      </c>
      <c r="N214" s="21" t="n">
        <f aca="false">ROUND(SQRT((F214*J214/100)^2+(G214*M214)^2),0)</f>
        <v>42</v>
      </c>
      <c r="P214" s="41" t="n">
        <v>6.76962000293171</v>
      </c>
      <c r="Q214" s="42" t="n">
        <v>994.229471174454</v>
      </c>
      <c r="R214" s="43" t="n">
        <f aca="false">MAX(0,MIN(1,P214/100+$D$5))</f>
        <v>0.596351952262494</v>
      </c>
      <c r="S214" s="43" t="n">
        <v>0.0633793435818552</v>
      </c>
      <c r="T214" s="44" t="s">
        <v>99</v>
      </c>
    </row>
    <row r="215" customFormat="false" ht="15" hidden="false" customHeight="false" outlineLevel="0" collapsed="false">
      <c r="A215" s="38" t="s">
        <v>157</v>
      </c>
      <c r="B215" s="38" t="s">
        <v>324</v>
      </c>
      <c r="C215" s="38" t="s">
        <v>328</v>
      </c>
      <c r="D215" s="21" t="n">
        <f aca="false">ROUND(Q215*R215,0)</f>
        <v>643</v>
      </c>
      <c r="E215" s="21" t="n">
        <f aca="false">ROUND(Q215,0)-D215</f>
        <v>394</v>
      </c>
      <c r="F215" s="21" t="n">
        <f aca="false">IF(COUNTA(D215:E215)=0,"",SUM(D215:E215))</f>
        <v>1037</v>
      </c>
      <c r="G215" s="39" t="n">
        <f aca="false">IF(OR(F215="",F215=0),"",D215/F215)</f>
        <v>0.620057859209258</v>
      </c>
      <c r="H215" s="39" t="n">
        <f aca="false">IF(OR(F215="",F215=0),"",E215/F215)</f>
        <v>0.379942140790743</v>
      </c>
      <c r="I215" s="38" t="s">
        <v>89</v>
      </c>
      <c r="J215" s="40" t="n">
        <v>1.85532414445586</v>
      </c>
      <c r="K215" s="39" t="n">
        <f aca="false">IF(G215="","",MAX(0,G215-J215/100))</f>
        <v>0.601504617764699</v>
      </c>
      <c r="L215" s="39" t="n">
        <f aca="false">IF(G215="","",MIN(1,G215+J215/100))</f>
        <v>0.638611100653816</v>
      </c>
      <c r="M215" s="21" t="n">
        <f aca="false">ROUND(Q215*S215,0)</f>
        <v>66</v>
      </c>
      <c r="N215" s="21" t="n">
        <f aca="false">ROUND(SQRT((F215*J215/100)^2+(G215*M215)^2),0)</f>
        <v>45</v>
      </c>
      <c r="P215" s="41" t="n">
        <v>9.15746890041884</v>
      </c>
      <c r="Q215" s="42" t="n">
        <v>1037.13943392029</v>
      </c>
      <c r="R215" s="43" t="n">
        <f aca="false">MAX(0,MIN(1,P215/100+$D$5))</f>
        <v>0.620230441237365</v>
      </c>
      <c r="S215" s="43" t="n">
        <v>0.0633793435818552</v>
      </c>
      <c r="T215" s="44" t="s">
        <v>99</v>
      </c>
    </row>
    <row r="216" customFormat="false" ht="15" hidden="false" customHeight="false" outlineLevel="0" collapsed="false">
      <c r="A216" s="38" t="s">
        <v>157</v>
      </c>
      <c r="B216" s="38" t="s">
        <v>324</v>
      </c>
      <c r="C216" s="38" t="s">
        <v>329</v>
      </c>
      <c r="D216" s="21" t="n">
        <f aca="false">ROUND(Q216*R216,0)</f>
        <v>251</v>
      </c>
      <c r="E216" s="21" t="n">
        <f aca="false">ROUND(Q216,0)-D216</f>
        <v>175</v>
      </c>
      <c r="F216" s="21" t="n">
        <f aca="false">IF(COUNTA(D216:E216)=0,"",SUM(D216:E216))</f>
        <v>426</v>
      </c>
      <c r="G216" s="39" t="n">
        <f aca="false">IF(OR(F216="",F216=0),"",D216/F216)</f>
        <v>0.589201877934272</v>
      </c>
      <c r="H216" s="39" t="n">
        <f aca="false">IF(OR(F216="",F216=0),"",E216/F216)</f>
        <v>0.410798122065728</v>
      </c>
      <c r="I216" s="38" t="s">
        <v>89</v>
      </c>
      <c r="J216" s="40" t="n">
        <v>3.25434931194355</v>
      </c>
      <c r="K216" s="39" t="n">
        <f aca="false">IF(G216="","",MAX(0,G216-J216/100))</f>
        <v>0.556658384814837</v>
      </c>
      <c r="L216" s="39" t="n">
        <f aca="false">IF(G216="","",MIN(1,G216+J216/100))</f>
        <v>0.621745371053708</v>
      </c>
      <c r="M216" s="21" t="n">
        <f aca="false">ROUND(Q216*S216,0)</f>
        <v>33</v>
      </c>
      <c r="N216" s="21" t="n">
        <f aca="false">ROUND(SQRT((F216*J216/100)^2+(G216*M216)^2),0)</f>
        <v>24</v>
      </c>
      <c r="P216" s="41" t="n">
        <v>6.19488312589435</v>
      </c>
      <c r="Q216" s="42" t="n">
        <v>425.770220765529</v>
      </c>
      <c r="R216" s="43" t="n">
        <f aca="false">MAX(0,MIN(1,P216/100+$D$5))</f>
        <v>0.59060458349212</v>
      </c>
      <c r="S216" s="43" t="n">
        <v>0.0779420971553049</v>
      </c>
      <c r="T216" s="44" t="s">
        <v>90</v>
      </c>
    </row>
    <row r="217" customFormat="false" ht="15" hidden="false" customHeight="false" outlineLevel="0" collapsed="false">
      <c r="A217" s="38" t="s">
        <v>157</v>
      </c>
      <c r="B217" s="38" t="s">
        <v>324</v>
      </c>
      <c r="C217" s="38" t="s">
        <v>330</v>
      </c>
      <c r="D217" s="21" t="n">
        <f aca="false">ROUND(Q217*R217,0)</f>
        <v>333</v>
      </c>
      <c r="E217" s="21" t="n">
        <f aca="false">ROUND(Q217,0)-D217</f>
        <v>192</v>
      </c>
      <c r="F217" s="21" t="n">
        <f aca="false">IF(COUNTA(D217:E217)=0,"",SUM(D217:E217))</f>
        <v>525</v>
      </c>
      <c r="G217" s="39" t="n">
        <f aca="false">IF(OR(F217="",F217=0),"",D217/F217)</f>
        <v>0.634285714285714</v>
      </c>
      <c r="H217" s="39" t="n">
        <f aca="false">IF(OR(F217="",F217=0),"",E217/F217)</f>
        <v>0.365714285714286</v>
      </c>
      <c r="I217" s="38" t="s">
        <v>89</v>
      </c>
      <c r="J217" s="40" t="n">
        <v>3.25434931194355</v>
      </c>
      <c r="K217" s="39" t="n">
        <f aca="false">IF(G217="","",MAX(0,G217-J217/100))</f>
        <v>0.601742221166279</v>
      </c>
      <c r="L217" s="39" t="n">
        <f aca="false">IF(G217="","",MIN(1,G217+J217/100))</f>
        <v>0.66682920740515</v>
      </c>
      <c r="M217" s="21" t="n">
        <f aca="false">ROUND(Q217*S217,0)</f>
        <v>41</v>
      </c>
      <c r="N217" s="21" t="n">
        <f aca="false">ROUND(SQRT((F217*J217/100)^2+(G217*M217)^2),0)</f>
        <v>31</v>
      </c>
      <c r="P217" s="41" t="n">
        <v>10.5881993508468</v>
      </c>
      <c r="Q217" s="42" t="n">
        <v>525.490963247512</v>
      </c>
      <c r="R217" s="43" t="n">
        <f aca="false">MAX(0,MIN(1,P217/100+$D$5))</f>
        <v>0.634537745741645</v>
      </c>
      <c r="S217" s="43" t="n">
        <v>0.0779420971553049</v>
      </c>
      <c r="T217" s="44" t="s">
        <v>90</v>
      </c>
    </row>
    <row r="218" customFormat="false" ht="15" hidden="false" customHeight="false" outlineLevel="0" collapsed="false">
      <c r="A218" s="38" t="s">
        <v>157</v>
      </c>
      <c r="B218" s="38" t="s">
        <v>324</v>
      </c>
      <c r="C218" s="38" t="s">
        <v>331</v>
      </c>
      <c r="D218" s="21" t="n">
        <f aca="false">ROUND(Q218*R218,0)</f>
        <v>447</v>
      </c>
      <c r="E218" s="21" t="n">
        <f aca="false">ROUND(Q218,0)-D218</f>
        <v>303</v>
      </c>
      <c r="F218" s="21" t="n">
        <f aca="false">IF(COUNTA(D218:E218)=0,"",SUM(D218:E218))</f>
        <v>750</v>
      </c>
      <c r="G218" s="39" t="n">
        <f aca="false">IF(OR(F218="",F218=0),"",D218/F218)</f>
        <v>0.596</v>
      </c>
      <c r="H218" s="39" t="n">
        <f aca="false">IF(OR(F218="",F218=0),"",E218/F218)</f>
        <v>0.404</v>
      </c>
      <c r="I218" s="38" t="s">
        <v>89</v>
      </c>
      <c r="J218" s="40" t="n">
        <v>3.25434931194355</v>
      </c>
      <c r="K218" s="39" t="n">
        <f aca="false">IF(G218="","",MAX(0,G218-J218/100))</f>
        <v>0.563456506880565</v>
      </c>
      <c r="L218" s="39" t="n">
        <f aca="false">IF(G218="","",MIN(1,G218+J218/100))</f>
        <v>0.628543493119436</v>
      </c>
      <c r="M218" s="21" t="n">
        <f aca="false">ROUND(Q218*S218,0)</f>
        <v>58</v>
      </c>
      <c r="N218" s="21" t="n">
        <f aca="false">ROUND(SQRT((F218*J218/100)^2+(G218*M218)^2),0)</f>
        <v>42</v>
      </c>
      <c r="P218" s="41" t="n">
        <v>6.65824283126126</v>
      </c>
      <c r="Q218" s="42" t="n">
        <v>750.379639790472</v>
      </c>
      <c r="R218" s="43" t="n">
        <f aca="false">MAX(0,MIN(1,P218/100+$D$5))</f>
        <v>0.595238180545789</v>
      </c>
      <c r="S218" s="43" t="n">
        <v>0.0779420971553049</v>
      </c>
      <c r="T218" s="44" t="s">
        <v>90</v>
      </c>
    </row>
    <row r="219" customFormat="false" ht="15" hidden="false" customHeight="false" outlineLevel="0" collapsed="false">
      <c r="A219" s="38" t="s">
        <v>157</v>
      </c>
      <c r="B219" s="38" t="s">
        <v>324</v>
      </c>
      <c r="C219" s="38" t="s">
        <v>332</v>
      </c>
      <c r="D219" s="21" t="n">
        <f aca="false">ROUND(Q219*R219,0)</f>
        <v>249</v>
      </c>
      <c r="E219" s="21" t="n">
        <f aca="false">ROUND(Q219,0)-D219</f>
        <v>224</v>
      </c>
      <c r="F219" s="21" t="n">
        <f aca="false">IF(COUNTA(D219:E219)=0,"",SUM(D219:E219))</f>
        <v>473</v>
      </c>
      <c r="G219" s="39" t="n">
        <f aca="false">IF(OR(F219="",F219=0),"",D219/F219)</f>
        <v>0.526427061310782</v>
      </c>
      <c r="H219" s="39" t="n">
        <f aca="false">IF(OR(F219="",F219=0),"",E219/F219)</f>
        <v>0.473572938689218</v>
      </c>
      <c r="I219" s="38" t="s">
        <v>89</v>
      </c>
      <c r="J219" s="40" t="n">
        <v>3.25434931194355</v>
      </c>
      <c r="K219" s="39" t="n">
        <f aca="false">IF(G219="","",MAX(0,G219-J219/100))</f>
        <v>0.493883568191347</v>
      </c>
      <c r="L219" s="39" t="n">
        <f aca="false">IF(G219="","",MIN(1,G219+J219/100))</f>
        <v>0.558970554430218</v>
      </c>
      <c r="M219" s="21" t="n">
        <f aca="false">ROUND(Q219*S219,0)</f>
        <v>37</v>
      </c>
      <c r="N219" s="21" t="n">
        <f aca="false">ROUND(SQRT((F219*J219/100)^2+(G219*M219)^2),0)</f>
        <v>25</v>
      </c>
      <c r="P219" s="41" t="n">
        <v>-0.326421066940425</v>
      </c>
      <c r="Q219" s="42" t="n">
        <v>473.485261979452</v>
      </c>
      <c r="R219" s="43" t="n">
        <f aca="false">MAX(0,MIN(1,P219/100+$D$5))</f>
        <v>0.525391541563772</v>
      </c>
      <c r="S219" s="43" t="n">
        <v>0.0779420971553049</v>
      </c>
      <c r="T219" s="44" t="s">
        <v>90</v>
      </c>
    </row>
    <row r="220" customFormat="false" ht="15" hidden="false" customHeight="false" outlineLevel="0" collapsed="false">
      <c r="A220" s="38" t="s">
        <v>157</v>
      </c>
      <c r="B220" s="38" t="s">
        <v>324</v>
      </c>
      <c r="C220" s="38" t="s">
        <v>333</v>
      </c>
      <c r="D220" s="21" t="n">
        <f aca="false">ROUND(Q220*R220,0)</f>
        <v>470</v>
      </c>
      <c r="E220" s="21" t="n">
        <f aca="false">ROUND(Q220,0)-D220</f>
        <v>369</v>
      </c>
      <c r="F220" s="21" t="n">
        <f aca="false">IF(COUNTA(D220:E220)=0,"",SUM(D220:E220))</f>
        <v>839</v>
      </c>
      <c r="G220" s="39" t="n">
        <f aca="false">IF(OR(F220="",F220=0),"",D220/F220)</f>
        <v>0.560190703218117</v>
      </c>
      <c r="H220" s="39" t="n">
        <f aca="false">IF(OR(F220="",F220=0),"",E220/F220)</f>
        <v>0.439809296781883</v>
      </c>
      <c r="I220" s="38" t="s">
        <v>89</v>
      </c>
      <c r="J220" s="40" t="n">
        <v>1.85532414445586</v>
      </c>
      <c r="K220" s="39" t="n">
        <f aca="false">IF(G220="","",MAX(0,G220-J220/100))</f>
        <v>0.541637461773558</v>
      </c>
      <c r="L220" s="39" t="n">
        <f aca="false">IF(G220="","",MIN(1,G220+J220/100))</f>
        <v>0.578743944662675</v>
      </c>
      <c r="M220" s="21" t="n">
        <f aca="false">ROUND(Q220*S220,0)</f>
        <v>53</v>
      </c>
      <c r="N220" s="21" t="n">
        <f aca="false">ROUND(SQRT((F220*J220/100)^2+(G220*M220)^2),0)</f>
        <v>34</v>
      </c>
      <c r="P220" s="41" t="n">
        <v>3.21604193483198</v>
      </c>
      <c r="Q220" s="42" t="n">
        <v>838.795910636741</v>
      </c>
      <c r="R220" s="43" t="n">
        <f aca="false">MAX(0,MIN(1,P220/100+$D$5))</f>
        <v>0.560816171581496</v>
      </c>
      <c r="S220" s="43" t="n">
        <v>0.0633793435818552</v>
      </c>
      <c r="T220" s="44" t="s">
        <v>99</v>
      </c>
    </row>
    <row r="221" customFormat="false" ht="15" hidden="false" customHeight="false" outlineLevel="0" collapsed="false">
      <c r="A221" s="38" t="s">
        <v>157</v>
      </c>
      <c r="B221" s="38" t="s">
        <v>324</v>
      </c>
      <c r="C221" s="38" t="s">
        <v>334</v>
      </c>
      <c r="D221" s="21" t="n">
        <f aca="false">ROUND(Q221*R221,0)</f>
        <v>779</v>
      </c>
      <c r="E221" s="21" t="n">
        <f aca="false">ROUND(Q221,0)-D221</f>
        <v>717</v>
      </c>
      <c r="F221" s="21" t="n">
        <f aca="false">IF(COUNTA(D221:E221)=0,"",SUM(D221:E221))</f>
        <v>1496</v>
      </c>
      <c r="G221" s="39" t="n">
        <f aca="false">IF(OR(F221="",F221=0),"",D221/F221)</f>
        <v>0.52072192513369</v>
      </c>
      <c r="H221" s="39" t="n">
        <f aca="false">IF(OR(F221="",F221=0),"",E221/F221)</f>
        <v>0.47927807486631</v>
      </c>
      <c r="I221" s="38" t="s">
        <v>89</v>
      </c>
      <c r="J221" s="40" t="n">
        <v>1.28585670084365</v>
      </c>
      <c r="K221" s="39" t="n">
        <f aca="false">IF(G221="","",MAX(0,G221-J221/100))</f>
        <v>0.507863358125253</v>
      </c>
      <c r="L221" s="39" t="n">
        <f aca="false">IF(G221="","",MIN(1,G221+J221/100))</f>
        <v>0.533580492142126</v>
      </c>
      <c r="M221" s="21" t="n">
        <f aca="false">ROUND(Q221*S221,0)</f>
        <v>209</v>
      </c>
      <c r="N221" s="21" t="n">
        <f aca="false">ROUND(SQRT((F221*J221/100)^2+(G221*M221)^2),0)</f>
        <v>111</v>
      </c>
      <c r="P221" s="41" t="n">
        <v>-0.81956152970615</v>
      </c>
      <c r="Q221" s="42" t="n">
        <v>1495.80199021126</v>
      </c>
      <c r="R221" s="43" t="n">
        <f aca="false">MAX(0,MIN(1,P221/100+$D$5))</f>
        <v>0.520460136936115</v>
      </c>
      <c r="S221" s="43" t="n">
        <v>0.139463116518417</v>
      </c>
      <c r="T221" s="44" t="s">
        <v>128</v>
      </c>
    </row>
    <row r="222" customFormat="false" ht="15" hidden="false" customHeight="false" outlineLevel="0" collapsed="false">
      <c r="A222" s="38" t="s">
        <v>157</v>
      </c>
      <c r="B222" s="38" t="s">
        <v>324</v>
      </c>
      <c r="C222" s="38" t="s">
        <v>335</v>
      </c>
      <c r="D222" s="21" t="n">
        <f aca="false">ROUND(Q222*R222,0)</f>
        <v>661</v>
      </c>
      <c r="E222" s="21" t="n">
        <f aca="false">ROUND(Q222,0)-D222</f>
        <v>560</v>
      </c>
      <c r="F222" s="21" t="n">
        <f aca="false">IF(COUNTA(D222:E222)=0,"",SUM(D222:E222))</f>
        <v>1221</v>
      </c>
      <c r="G222" s="39" t="n">
        <f aca="false">IF(OR(F222="",F222=0),"",D222/F222)</f>
        <v>0.541359541359541</v>
      </c>
      <c r="H222" s="39" t="n">
        <f aca="false">IF(OR(F222="",F222=0),"",E222/F222)</f>
        <v>0.458640458640459</v>
      </c>
      <c r="I222" s="38" t="s">
        <v>89</v>
      </c>
      <c r="J222" s="40" t="n">
        <v>1.28585670084365</v>
      </c>
      <c r="K222" s="39" t="n">
        <f aca="false">IF(G222="","",MAX(0,G222-J222/100))</f>
        <v>0.528500974351105</v>
      </c>
      <c r="L222" s="39" t="n">
        <f aca="false">IF(G222="","",MIN(1,G222+J222/100))</f>
        <v>0.554218108367978</v>
      </c>
      <c r="M222" s="21" t="n">
        <f aca="false">ROUND(Q222*S222,0)</f>
        <v>170</v>
      </c>
      <c r="N222" s="21" t="n">
        <f aca="false">ROUND(SQRT((F222*J222/100)^2+(G222*M222)^2),0)</f>
        <v>93</v>
      </c>
      <c r="P222" s="41" t="n">
        <v>1.25252556898848</v>
      </c>
      <c r="Q222" s="42" t="n">
        <v>1220.52497827016</v>
      </c>
      <c r="R222" s="43" t="n">
        <f aca="false">MAX(0,MIN(1,P222/100+$D$5))</f>
        <v>0.541181007923061</v>
      </c>
      <c r="S222" s="43" t="n">
        <v>0.139463116518417</v>
      </c>
      <c r="T222" s="44" t="s">
        <v>128</v>
      </c>
    </row>
    <row r="223" customFormat="false" ht="15" hidden="false" customHeight="false" outlineLevel="0" collapsed="false">
      <c r="A223" s="38" t="s">
        <v>157</v>
      </c>
      <c r="B223" s="38" t="s">
        <v>324</v>
      </c>
      <c r="C223" s="38" t="s">
        <v>336</v>
      </c>
      <c r="D223" s="21" t="n">
        <f aca="false">ROUND(Q223*R223,0)</f>
        <v>515</v>
      </c>
      <c r="E223" s="21" t="n">
        <f aca="false">ROUND(Q223,0)-D223</f>
        <v>411</v>
      </c>
      <c r="F223" s="21" t="n">
        <f aca="false">IF(COUNTA(D223:E223)=0,"",SUM(D223:E223))</f>
        <v>926</v>
      </c>
      <c r="G223" s="39" t="n">
        <f aca="false">IF(OR(F223="",F223=0),"",D223/F223)</f>
        <v>0.556155507559395</v>
      </c>
      <c r="H223" s="39" t="n">
        <f aca="false">IF(OR(F223="",F223=0),"",E223/F223)</f>
        <v>0.443844492440605</v>
      </c>
      <c r="I223" s="38" t="s">
        <v>89</v>
      </c>
      <c r="J223" s="40" t="n">
        <v>1.85532414445586</v>
      </c>
      <c r="K223" s="39" t="n">
        <f aca="false">IF(G223="","",MAX(0,G223-J223/100))</f>
        <v>0.537602266114837</v>
      </c>
      <c r="L223" s="39" t="n">
        <f aca="false">IF(G223="","",MIN(1,G223+J223/100))</f>
        <v>0.574708749003954</v>
      </c>
      <c r="M223" s="21" t="n">
        <f aca="false">ROUND(Q223*S223,0)</f>
        <v>59</v>
      </c>
      <c r="N223" s="21" t="n">
        <f aca="false">ROUND(SQRT((F223*J223/100)^2+(G223*M223)^2),0)</f>
        <v>37</v>
      </c>
      <c r="P223" s="41" t="n">
        <v>2.79039536634468</v>
      </c>
      <c r="Q223" s="42" t="n">
        <v>926.051490863461</v>
      </c>
      <c r="R223" s="43" t="n">
        <f aca="false">MAX(0,MIN(1,P223/100+$D$5))</f>
        <v>0.556559705896623</v>
      </c>
      <c r="S223" s="43" t="n">
        <v>0.0633793435818552</v>
      </c>
      <c r="T223" s="44" t="s">
        <v>99</v>
      </c>
    </row>
    <row r="224" customFormat="false" ht="15" hidden="false" customHeight="false" outlineLevel="0" collapsed="false">
      <c r="A224" s="38" t="s">
        <v>337</v>
      </c>
      <c r="B224" s="38" t="s">
        <v>338</v>
      </c>
      <c r="C224" s="38" t="s">
        <v>339</v>
      </c>
      <c r="D224" s="21" t="n">
        <f aca="false">ROUND(Q224*R224,0)</f>
        <v>462</v>
      </c>
      <c r="E224" s="21" t="n">
        <f aca="false">ROUND(Q224,0)-D224</f>
        <v>865</v>
      </c>
      <c r="F224" s="21" t="n">
        <f aca="false">IF(COUNTA(D224:E224)=0,"",SUM(D224:E224))</f>
        <v>1327</v>
      </c>
      <c r="G224" s="39" t="n">
        <f aca="false">IF(OR(F224="",F224=0),"",D224/F224)</f>
        <v>0.348153730218538</v>
      </c>
      <c r="H224" s="39" t="n">
        <f aca="false">IF(OR(F224="",F224=0),"",E224/F224)</f>
        <v>0.651846269781462</v>
      </c>
      <c r="I224" s="38" t="s">
        <v>89</v>
      </c>
      <c r="J224" s="40" t="n">
        <v>1.28585670084365</v>
      </c>
      <c r="K224" s="39" t="n">
        <f aca="false">IF(G224="","",MAX(0,G224-J224/100))</f>
        <v>0.335295163210102</v>
      </c>
      <c r="L224" s="39" t="n">
        <f aca="false">IF(G224="","",MIN(1,G224+J224/100))</f>
        <v>0.361012297226975</v>
      </c>
      <c r="M224" s="21" t="n">
        <f aca="false">ROUND(Q224*S224,0)</f>
        <v>185</v>
      </c>
      <c r="N224" s="21" t="n">
        <f aca="false">ROUND(SQRT((F224*J224/100)^2+(G224*M224)^2),0)</f>
        <v>67</v>
      </c>
      <c r="P224" s="41" t="n">
        <v>-18.0698859341141</v>
      </c>
      <c r="Q224" s="42" t="n">
        <v>1327.08852605348</v>
      </c>
      <c r="R224" s="43" t="n">
        <f aca="false">MAX(0,MIN(1,P224/100+$D$5))</f>
        <v>0.347956892892035</v>
      </c>
      <c r="S224" s="43" t="n">
        <v>0.139463116518417</v>
      </c>
      <c r="T224" s="44" t="s">
        <v>128</v>
      </c>
    </row>
    <row r="225" customFormat="false" ht="15" hidden="false" customHeight="false" outlineLevel="0" collapsed="false">
      <c r="A225" s="38" t="s">
        <v>337</v>
      </c>
      <c r="B225" s="38" t="s">
        <v>340</v>
      </c>
      <c r="C225" s="38" t="s">
        <v>341</v>
      </c>
      <c r="D225" s="21" t="n">
        <f aca="false">ROUND(Q225*R225,0)</f>
        <v>1278</v>
      </c>
      <c r="E225" s="21" t="n">
        <f aca="false">ROUND(Q225,0)-D225</f>
        <v>2143</v>
      </c>
      <c r="F225" s="21" t="n">
        <f aca="false">IF(COUNTA(D225:E225)=0,"",SUM(D225:E225))</f>
        <v>3421</v>
      </c>
      <c r="G225" s="39" t="n">
        <f aca="false">IF(OR(F225="",F225=0),"",D225/F225)</f>
        <v>0.373574978076586</v>
      </c>
      <c r="H225" s="39" t="n">
        <f aca="false">IF(OR(F225="",F225=0),"",E225/F225)</f>
        <v>0.626425021923414</v>
      </c>
      <c r="I225" s="38" t="s">
        <v>89</v>
      </c>
      <c r="J225" s="40" t="n">
        <v>1.28585670084365</v>
      </c>
      <c r="K225" s="39" t="n">
        <f aca="false">IF(G225="","",MAX(0,G225-J225/100))</f>
        <v>0.360716411068149</v>
      </c>
      <c r="L225" s="39" t="n">
        <f aca="false">IF(G225="","",MIN(1,G225+J225/100))</f>
        <v>0.386433545085022</v>
      </c>
      <c r="M225" s="21" t="n">
        <f aca="false">ROUND(Q225*S225,0)</f>
        <v>477</v>
      </c>
      <c r="N225" s="21" t="n">
        <f aca="false">ROUND(SQRT((F225*J225/100)^2+(G225*M225)^2),0)</f>
        <v>184</v>
      </c>
      <c r="P225" s="41" t="n">
        <v>-15.5146665610565</v>
      </c>
      <c r="Q225" s="42" t="n">
        <v>3420.99849187</v>
      </c>
      <c r="R225" s="43" t="n">
        <f aca="false">MAX(0,MIN(1,P225/100+$D$5))</f>
        <v>0.373509086622611</v>
      </c>
      <c r="S225" s="43" t="n">
        <v>0.139463116518417</v>
      </c>
      <c r="T225" s="44" t="s">
        <v>128</v>
      </c>
    </row>
    <row r="226" customFormat="false" ht="15" hidden="false" customHeight="false" outlineLevel="0" collapsed="false">
      <c r="A226" s="38" t="s">
        <v>337</v>
      </c>
      <c r="B226" s="38" t="s">
        <v>342</v>
      </c>
      <c r="C226" s="38" t="s">
        <v>343</v>
      </c>
      <c r="D226" s="21" t="n">
        <f aca="false">ROUND(Q226*R226,0)</f>
        <v>487</v>
      </c>
      <c r="E226" s="21" t="n">
        <f aca="false">ROUND(Q226,0)-D226</f>
        <v>763</v>
      </c>
      <c r="F226" s="21" t="n">
        <f aca="false">IF(COUNTA(D226:E226)=0,"",SUM(D226:E226))</f>
        <v>1250</v>
      </c>
      <c r="G226" s="39" t="n">
        <f aca="false">IF(OR(F226="",F226=0),"",D226/F226)</f>
        <v>0.3896</v>
      </c>
      <c r="H226" s="39" t="n">
        <f aca="false">IF(OR(F226="",F226=0),"",E226/F226)</f>
        <v>0.6104</v>
      </c>
      <c r="I226" s="38" t="s">
        <v>89</v>
      </c>
      <c r="J226" s="40" t="n">
        <v>1.28585670084365</v>
      </c>
      <c r="K226" s="39" t="n">
        <f aca="false">IF(G226="","",MAX(0,G226-J226/100))</f>
        <v>0.376741432991564</v>
      </c>
      <c r="L226" s="39" t="n">
        <f aca="false">IF(G226="","",MIN(1,G226+J226/100))</f>
        <v>0.402458567008437</v>
      </c>
      <c r="M226" s="21" t="n">
        <f aca="false">ROUND(Q226*S226,0)</f>
        <v>174</v>
      </c>
      <c r="N226" s="21" t="n">
        <f aca="false">ROUND(SQRT((F226*J226/100)^2+(G226*M226)^2),0)</f>
        <v>70</v>
      </c>
      <c r="P226" s="41" t="n">
        <v>-13.9328478534989</v>
      </c>
      <c r="Q226" s="42" t="n">
        <v>1249.93801532672</v>
      </c>
      <c r="R226" s="43" t="n">
        <f aca="false">MAX(0,MIN(1,P226/100+$D$5))</f>
        <v>0.389327273698188</v>
      </c>
      <c r="S226" s="43" t="n">
        <v>0.139463116518417</v>
      </c>
      <c r="T226" s="44" t="s">
        <v>128</v>
      </c>
    </row>
    <row r="227" customFormat="false" ht="15" hidden="false" customHeight="false" outlineLevel="0" collapsed="false">
      <c r="A227" s="38" t="s">
        <v>344</v>
      </c>
      <c r="B227" s="38" t="s">
        <v>345</v>
      </c>
      <c r="C227" s="38" t="s">
        <v>346</v>
      </c>
      <c r="D227" s="21" t="n">
        <f aca="false">ROUND(Q227*R227,0)</f>
        <v>678</v>
      </c>
      <c r="E227" s="21" t="n">
        <f aca="false">ROUND(Q227,0)-D227</f>
        <v>799</v>
      </c>
      <c r="F227" s="21" t="n">
        <f aca="false">IF(COUNTA(D227:E227)=0,"",SUM(D227:E227))</f>
        <v>1477</v>
      </c>
      <c r="G227" s="39" t="n">
        <f aca="false">IF(OR(F227="",F227=0),"",D227/F227)</f>
        <v>0.459038591740014</v>
      </c>
      <c r="H227" s="39" t="n">
        <f aca="false">IF(OR(F227="",F227=0),"",E227/F227)</f>
        <v>0.540961408259987</v>
      </c>
      <c r="I227" s="38" t="s">
        <v>89</v>
      </c>
      <c r="J227" s="40" t="n">
        <v>1.28585670084365</v>
      </c>
      <c r="K227" s="39" t="n">
        <f aca="false">IF(G227="","",MAX(0,G227-J227/100))</f>
        <v>0.446180024731577</v>
      </c>
      <c r="L227" s="39" t="n">
        <f aca="false">IF(G227="","",MIN(1,G227+J227/100))</f>
        <v>0.47189715874845</v>
      </c>
      <c r="M227" s="21" t="n">
        <f aca="false">ROUND(Q227*S227,0)</f>
        <v>206</v>
      </c>
      <c r="N227" s="21" t="n">
        <f aca="false">ROUND(SQRT((F227*J227/100)^2+(G227*M227)^2),0)</f>
        <v>96</v>
      </c>
      <c r="P227" s="41" t="n">
        <v>-6.95445682326358</v>
      </c>
      <c r="Q227" s="42" t="n">
        <v>1477.38681146563</v>
      </c>
      <c r="R227" s="43" t="n">
        <f aca="false">MAX(0,MIN(1,P227/100+$D$5))</f>
        <v>0.459111184000541</v>
      </c>
      <c r="S227" s="43" t="n">
        <v>0.139463116518417</v>
      </c>
      <c r="T227" s="44" t="s">
        <v>128</v>
      </c>
    </row>
    <row r="228" customFormat="false" ht="15" hidden="false" customHeight="false" outlineLevel="0" collapsed="false">
      <c r="A228" s="38" t="s">
        <v>344</v>
      </c>
      <c r="B228" s="38" t="s">
        <v>345</v>
      </c>
      <c r="C228" s="38" t="s">
        <v>347</v>
      </c>
      <c r="D228" s="21" t="n">
        <f aca="false">ROUND(Q228*R228,0)</f>
        <v>741</v>
      </c>
      <c r="E228" s="21" t="n">
        <f aca="false">ROUND(Q228,0)-D228</f>
        <v>699</v>
      </c>
      <c r="F228" s="21" t="n">
        <f aca="false">IF(COUNTA(D228:E228)=0,"",SUM(D228:E228))</f>
        <v>1440</v>
      </c>
      <c r="G228" s="39" t="n">
        <f aca="false">IF(OR(F228="",F228=0),"",D228/F228)</f>
        <v>0.514583333333333</v>
      </c>
      <c r="H228" s="39" t="n">
        <f aca="false">IF(OR(F228="",F228=0),"",E228/F228)</f>
        <v>0.485416666666667</v>
      </c>
      <c r="I228" s="38" t="s">
        <v>89</v>
      </c>
      <c r="J228" s="40" t="n">
        <v>1.28585670084365</v>
      </c>
      <c r="K228" s="39" t="n">
        <f aca="false">IF(G228="","",MAX(0,G228-J228/100))</f>
        <v>0.501724766324897</v>
      </c>
      <c r="L228" s="39" t="n">
        <f aca="false">IF(G228="","",MIN(1,G228+J228/100))</f>
        <v>0.52744190034177</v>
      </c>
      <c r="M228" s="21" t="n">
        <f aca="false">ROUND(Q228*S228,0)</f>
        <v>201</v>
      </c>
      <c r="N228" s="21" t="n">
        <f aca="false">ROUND(SQRT((F228*J228/100)^2+(G228*M228)^2),0)</f>
        <v>105</v>
      </c>
      <c r="P228" s="41" t="n">
        <v>-1.37517362545272</v>
      </c>
      <c r="Q228" s="42" t="n">
        <v>1439.91742847671</v>
      </c>
      <c r="R228" s="43" t="n">
        <f aca="false">MAX(0,MIN(1,P228/100+$D$5))</f>
        <v>0.514904015978649</v>
      </c>
      <c r="S228" s="43" t="n">
        <v>0.139463116518417</v>
      </c>
      <c r="T228" s="44" t="s">
        <v>128</v>
      </c>
    </row>
    <row r="229" customFormat="false" ht="15" hidden="false" customHeight="false" outlineLevel="0" collapsed="false">
      <c r="A229" s="38" t="s">
        <v>344</v>
      </c>
      <c r="B229" s="38" t="s">
        <v>348</v>
      </c>
      <c r="C229" s="38" t="s">
        <v>349</v>
      </c>
      <c r="D229" s="21" t="n">
        <f aca="false">ROUND(Q229*R229,0)</f>
        <v>459</v>
      </c>
      <c r="E229" s="21" t="n">
        <f aca="false">ROUND(Q229,0)-D229</f>
        <v>587</v>
      </c>
      <c r="F229" s="21" t="n">
        <f aca="false">IF(COUNTA(D229:E229)=0,"",SUM(D229:E229))</f>
        <v>1046</v>
      </c>
      <c r="G229" s="39" t="n">
        <f aca="false">IF(OR(F229="",F229=0),"",D229/F229)</f>
        <v>0.438814531548757</v>
      </c>
      <c r="H229" s="39" t="n">
        <f aca="false">IF(OR(F229="",F229=0),"",E229/F229)</f>
        <v>0.561185468451243</v>
      </c>
      <c r="I229" s="38" t="s">
        <v>191</v>
      </c>
      <c r="J229" s="40" t="n">
        <v>1.85532414445586</v>
      </c>
      <c r="K229" s="39" t="n">
        <f aca="false">IF(G229="","",MAX(0,G229-J229/100))</f>
        <v>0.420261290104199</v>
      </c>
      <c r="L229" s="39" t="n">
        <f aca="false">IF(G229="","",MIN(1,G229+J229/100))</f>
        <v>0.457367772993316</v>
      </c>
      <c r="M229" s="21" t="n">
        <f aca="false">ROUND(Q229*S229,0)</f>
        <v>66</v>
      </c>
      <c r="N229" s="21" t="n">
        <f aca="false">ROUND(SQRT((F229*J229/100)^2+(G229*M229)^2),0)</f>
        <v>35</v>
      </c>
      <c r="P229" s="41" t="n">
        <v>-9.00930988170942</v>
      </c>
      <c r="Q229" s="42" t="n">
        <v>1045.5574018295</v>
      </c>
      <c r="R229" s="43" t="n">
        <f aca="false">MAX(0,MIN(1,P229/100+$D$5))</f>
        <v>0.438562653416082</v>
      </c>
      <c r="S229" s="43" t="n">
        <v>0.0633793435818552</v>
      </c>
      <c r="T229" s="44" t="s">
        <v>99</v>
      </c>
    </row>
    <row r="230" customFormat="false" ht="15" hidden="false" customHeight="false" outlineLevel="0" collapsed="false">
      <c r="A230" s="38" t="s">
        <v>344</v>
      </c>
      <c r="B230" s="38" t="s">
        <v>348</v>
      </c>
      <c r="C230" s="38" t="s">
        <v>350</v>
      </c>
      <c r="D230" s="21" t="n">
        <f aca="false">ROUND(Q230*R230,0)</f>
        <v>509</v>
      </c>
      <c r="E230" s="21" t="n">
        <f aca="false">ROUND(Q230,0)-D230</f>
        <v>613</v>
      </c>
      <c r="F230" s="21" t="n">
        <f aca="false">IF(COUNTA(D230:E230)=0,"",SUM(D230:E230))</f>
        <v>1122</v>
      </c>
      <c r="G230" s="39" t="n">
        <f aca="false">IF(OR(F230="",F230=0),"",D230/F230)</f>
        <v>0.453654188948307</v>
      </c>
      <c r="H230" s="39" t="n">
        <f aca="false">IF(OR(F230="",F230=0),"",E230/F230)</f>
        <v>0.546345811051693</v>
      </c>
      <c r="I230" s="38" t="s">
        <v>191</v>
      </c>
      <c r="J230" s="40" t="n">
        <v>1.85532414445586</v>
      </c>
      <c r="K230" s="39" t="n">
        <f aca="false">IF(G230="","",MAX(0,G230-J230/100))</f>
        <v>0.435100947503748</v>
      </c>
      <c r="L230" s="39" t="n">
        <f aca="false">IF(G230="","",MIN(1,G230+J230/100))</f>
        <v>0.472207430392865</v>
      </c>
      <c r="M230" s="21" t="n">
        <f aca="false">ROUND(Q230*S230,0)</f>
        <v>71</v>
      </c>
      <c r="N230" s="21" t="n">
        <f aca="false">ROUND(SQRT((F230*J230/100)^2+(G230*M230)^2),0)</f>
        <v>38</v>
      </c>
      <c r="P230" s="41" t="n">
        <v>-7.46862298665743</v>
      </c>
      <c r="Q230" s="42" t="n">
        <v>1121.52030183303</v>
      </c>
      <c r="R230" s="43" t="n">
        <f aca="false">MAX(0,MIN(1,P230/100+$D$5))</f>
        <v>0.453969522366602</v>
      </c>
      <c r="S230" s="43" t="n">
        <v>0.0633793435818552</v>
      </c>
      <c r="T230" s="44" t="s">
        <v>99</v>
      </c>
    </row>
    <row r="231" customFormat="false" ht="15" hidden="false" customHeight="false" outlineLevel="0" collapsed="false">
      <c r="A231" s="38" t="s">
        <v>344</v>
      </c>
      <c r="B231" s="38" t="s">
        <v>351</v>
      </c>
      <c r="C231" s="38" t="s">
        <v>352</v>
      </c>
      <c r="D231" s="21" t="n">
        <f aca="false">ROUND(Q231*R231,0)</f>
        <v>551</v>
      </c>
      <c r="E231" s="21" t="n">
        <f aca="false">ROUND(Q231,0)-D231</f>
        <v>519</v>
      </c>
      <c r="F231" s="21" t="n">
        <f aca="false">IF(COUNTA(D231:E231)=0,"",SUM(D231:E231))</f>
        <v>1070</v>
      </c>
      <c r="G231" s="39" t="n">
        <f aca="false">IF(OR(F231="",F231=0),"",D231/F231)</f>
        <v>0.514953271028037</v>
      </c>
      <c r="H231" s="39" t="n">
        <f aca="false">IF(OR(F231="",F231=0),"",E231/F231)</f>
        <v>0.485046728971963</v>
      </c>
      <c r="I231" s="38" t="s">
        <v>89</v>
      </c>
      <c r="J231" s="40" t="n">
        <v>1.85532414445586</v>
      </c>
      <c r="K231" s="39" t="n">
        <f aca="false">IF(G231="","",MAX(0,G231-J231/100))</f>
        <v>0.496400029583479</v>
      </c>
      <c r="L231" s="39" t="n">
        <f aca="false">IF(G231="","",MIN(1,G231+J231/100))</f>
        <v>0.533506512472596</v>
      </c>
      <c r="M231" s="21" t="n">
        <f aca="false">ROUND(Q231*S231,0)</f>
        <v>68</v>
      </c>
      <c r="N231" s="21" t="n">
        <f aca="false">ROUND(SQRT((F231*J231/100)^2+(G231*M231)^2),0)</f>
        <v>40</v>
      </c>
      <c r="P231" s="41" t="n">
        <v>-1.35911581998771</v>
      </c>
      <c r="Q231" s="42" t="n">
        <v>1070.35891151498</v>
      </c>
      <c r="R231" s="43" t="n">
        <f aca="false">MAX(0,MIN(1,P231/100+$D$5))</f>
        <v>0.5150645940333</v>
      </c>
      <c r="S231" s="43" t="n">
        <v>0.0633793435818552</v>
      </c>
      <c r="T231" s="44" t="s">
        <v>99</v>
      </c>
    </row>
    <row r="232" customFormat="false" ht="15" hidden="false" customHeight="false" outlineLevel="0" collapsed="false">
      <c r="A232" s="38" t="s">
        <v>344</v>
      </c>
      <c r="B232" s="38" t="s">
        <v>219</v>
      </c>
      <c r="C232" s="38" t="s">
        <v>353</v>
      </c>
      <c r="D232" s="21" t="n">
        <f aca="false">ROUND(Q232*R232,0)</f>
        <v>689</v>
      </c>
      <c r="E232" s="21" t="n">
        <f aca="false">ROUND(Q232,0)-D232</f>
        <v>339</v>
      </c>
      <c r="F232" s="21" t="n">
        <f aca="false">IF(COUNTA(D232:E232)=0,"",SUM(D232:E232))</f>
        <v>1028</v>
      </c>
      <c r="G232" s="39" t="n">
        <f aca="false">IF(OR(F232="",F232=0),"",D232/F232)</f>
        <v>0.670233463035019</v>
      </c>
      <c r="H232" s="39" t="n">
        <f aca="false">IF(OR(F232="",F232=0),"",E232/F232)</f>
        <v>0.329766536964981</v>
      </c>
      <c r="I232" s="38" t="s">
        <v>89</v>
      </c>
      <c r="J232" s="40" t="n">
        <v>1.85532414445586</v>
      </c>
      <c r="K232" s="39" t="n">
        <f aca="false">IF(G232="","",MAX(0,G232-J232/100))</f>
        <v>0.651680221590461</v>
      </c>
      <c r="L232" s="39" t="n">
        <f aca="false">IF(G232="","",MIN(1,G232+J232/100))</f>
        <v>0.688786704479578</v>
      </c>
      <c r="M232" s="21" t="n">
        <f aca="false">ROUND(Q232*S232,0)</f>
        <v>65</v>
      </c>
      <c r="N232" s="21" t="n">
        <f aca="false">ROUND(SQRT((F232*J232/100)^2+(G232*M232)^2),0)</f>
        <v>48</v>
      </c>
      <c r="P232" s="41" t="n">
        <v>14.1256818074489</v>
      </c>
      <c r="Q232" s="42" t="n">
        <v>1027.98025322762</v>
      </c>
      <c r="R232" s="43" t="n">
        <f aca="false">MAX(0,MIN(1,P232/100+$D$5))</f>
        <v>0.669912570307666</v>
      </c>
      <c r="S232" s="43" t="n">
        <v>0.0633793435818552</v>
      </c>
      <c r="T232" s="44" t="s">
        <v>99</v>
      </c>
    </row>
    <row r="233" customFormat="false" ht="15" hidden="false" customHeight="false" outlineLevel="0" collapsed="false">
      <c r="A233" s="38" t="s">
        <v>344</v>
      </c>
      <c r="B233" s="38" t="s">
        <v>219</v>
      </c>
      <c r="C233" s="38" t="s">
        <v>354</v>
      </c>
      <c r="D233" s="21" t="n">
        <f aca="false">ROUND(Q233*R233,0)</f>
        <v>954</v>
      </c>
      <c r="E233" s="21" t="n">
        <f aca="false">ROUND(Q233,0)-D233</f>
        <v>556</v>
      </c>
      <c r="F233" s="21" t="n">
        <f aca="false">IF(COUNTA(D233:E233)=0,"",SUM(D233:E233))</f>
        <v>1510</v>
      </c>
      <c r="G233" s="39" t="n">
        <f aca="false">IF(OR(F233="",F233=0),"",D233/F233)</f>
        <v>0.631788079470199</v>
      </c>
      <c r="H233" s="39" t="n">
        <f aca="false">IF(OR(F233="",F233=0),"",E233/F233)</f>
        <v>0.368211920529801</v>
      </c>
      <c r="I233" s="38" t="s">
        <v>89</v>
      </c>
      <c r="J233" s="40" t="n">
        <v>1.28585670084365</v>
      </c>
      <c r="K233" s="39" t="n">
        <f aca="false">IF(G233="","",MAX(0,G233-J233/100))</f>
        <v>0.618929512461762</v>
      </c>
      <c r="L233" s="39" t="n">
        <f aca="false">IF(G233="","",MIN(1,G233+J233/100))</f>
        <v>0.644646646478635</v>
      </c>
      <c r="M233" s="21" t="n">
        <f aca="false">ROUND(Q233*S233,0)</f>
        <v>211</v>
      </c>
      <c r="N233" s="21" t="n">
        <f aca="false">ROUND(SQRT((F233*J233/100)^2+(G233*M233)^2),0)</f>
        <v>135</v>
      </c>
      <c r="P233" s="41" t="n">
        <v>10.2869788322026</v>
      </c>
      <c r="Q233" s="42" t="n">
        <v>1510.02940339365</v>
      </c>
      <c r="R233" s="43" t="n">
        <f aca="false">MAX(0,MIN(1,P233/100+$D$5))</f>
        <v>0.631525540555203</v>
      </c>
      <c r="S233" s="43" t="n">
        <v>0.139463116518417</v>
      </c>
      <c r="T233" s="44" t="s">
        <v>128</v>
      </c>
    </row>
    <row r="234" customFormat="false" ht="15" hidden="false" customHeight="false" outlineLevel="0" collapsed="false">
      <c r="A234" s="38" t="s">
        <v>344</v>
      </c>
      <c r="B234" s="38" t="s">
        <v>219</v>
      </c>
      <c r="C234" s="38" t="s">
        <v>355</v>
      </c>
      <c r="D234" s="21" t="n">
        <f aca="false">ROUND(Q234*R234,0)</f>
        <v>678</v>
      </c>
      <c r="E234" s="21" t="n">
        <f aca="false">ROUND(Q234,0)-D234</f>
        <v>311</v>
      </c>
      <c r="F234" s="21" t="n">
        <f aca="false">IF(COUNTA(D234:E234)=0,"",SUM(D234:E234))</f>
        <v>989</v>
      </c>
      <c r="G234" s="39" t="n">
        <f aca="false">IF(OR(F234="",F234=0),"",D234/F234)</f>
        <v>0.685540950455005</v>
      </c>
      <c r="H234" s="39" t="n">
        <f aca="false">IF(OR(F234="",F234=0),"",E234/F234)</f>
        <v>0.314459049544995</v>
      </c>
      <c r="I234" s="38" t="s">
        <v>89</v>
      </c>
      <c r="J234" s="40" t="n">
        <v>1.85532414445586</v>
      </c>
      <c r="K234" s="39" t="n">
        <f aca="false">IF(G234="","",MAX(0,G234-J234/100))</f>
        <v>0.666987709010447</v>
      </c>
      <c r="L234" s="39" t="n">
        <f aca="false">IF(G234="","",MIN(1,G234+J234/100))</f>
        <v>0.704094191899564</v>
      </c>
      <c r="M234" s="21" t="n">
        <f aca="false">ROUND(Q234*S234,0)</f>
        <v>63</v>
      </c>
      <c r="N234" s="21" t="n">
        <f aca="false">ROUND(SQRT((F234*J234/100)^2+(G234*M234)^2),0)</f>
        <v>47</v>
      </c>
      <c r="P234" s="41" t="n">
        <v>15.6677048728957</v>
      </c>
      <c r="Q234" s="42" t="n">
        <v>989.489957590787</v>
      </c>
      <c r="R234" s="43" t="n">
        <f aca="false">MAX(0,MIN(1,P234/100+$D$5))</f>
        <v>0.685332800962134</v>
      </c>
      <c r="S234" s="43" t="n">
        <v>0.0633793435818552</v>
      </c>
      <c r="T234" s="44" t="s">
        <v>99</v>
      </c>
    </row>
    <row r="235" customFormat="false" ht="15" hidden="false" customHeight="false" outlineLevel="0" collapsed="false">
      <c r="A235" s="38" t="s">
        <v>344</v>
      </c>
      <c r="B235" s="38" t="s">
        <v>219</v>
      </c>
      <c r="C235" s="38" t="s">
        <v>356</v>
      </c>
      <c r="D235" s="21" t="n">
        <f aca="false">ROUND(Q235*R235,0)</f>
        <v>510</v>
      </c>
      <c r="E235" s="21" t="n">
        <f aca="false">ROUND(Q235,0)-D235</f>
        <v>245</v>
      </c>
      <c r="F235" s="21" t="n">
        <f aca="false">IF(COUNTA(D235:E235)=0,"",SUM(D235:E235))</f>
        <v>755</v>
      </c>
      <c r="G235" s="39" t="n">
        <f aca="false">IF(OR(F235="",F235=0),"",D235/F235)</f>
        <v>0.675496688741722</v>
      </c>
      <c r="H235" s="39" t="n">
        <f aca="false">IF(OR(F235="",F235=0),"",E235/F235)</f>
        <v>0.324503311258278</v>
      </c>
      <c r="I235" s="38" t="s">
        <v>89</v>
      </c>
      <c r="J235" s="40" t="n">
        <v>3.25434931194355</v>
      </c>
      <c r="K235" s="39" t="n">
        <f aca="false">IF(G235="","",MAX(0,G235-J235/100))</f>
        <v>0.642953195622286</v>
      </c>
      <c r="L235" s="39" t="n">
        <f aca="false">IF(G235="","",MIN(1,G235+J235/100))</f>
        <v>0.708040181861157</v>
      </c>
      <c r="M235" s="21" t="n">
        <f aca="false">ROUND(Q235*S235,0)</f>
        <v>59</v>
      </c>
      <c r="N235" s="21" t="n">
        <f aca="false">ROUND(SQRT((F235*J235/100)^2+(G235*M235)^2),0)</f>
        <v>47</v>
      </c>
      <c r="P235" s="41" t="n">
        <v>14.638072720413</v>
      </c>
      <c r="Q235" s="42" t="n">
        <v>754.924612158746</v>
      </c>
      <c r="R235" s="43" t="n">
        <f aca="false">MAX(0,MIN(1,P235/100+$D$5))</f>
        <v>0.675036479437307</v>
      </c>
      <c r="S235" s="43" t="n">
        <v>0.0779420971553049</v>
      </c>
      <c r="T235" s="44" t="s">
        <v>90</v>
      </c>
    </row>
    <row r="236" customFormat="false" ht="15" hidden="false" customHeight="false" outlineLevel="0" collapsed="false">
      <c r="A236" s="38" t="s">
        <v>344</v>
      </c>
      <c r="B236" s="38" t="s">
        <v>219</v>
      </c>
      <c r="C236" s="38" t="s">
        <v>357</v>
      </c>
      <c r="D236" s="21" t="n">
        <f aca="false">ROUND(Q236*R236,0)</f>
        <v>664</v>
      </c>
      <c r="E236" s="21" t="n">
        <f aca="false">ROUND(Q236,0)-D236</f>
        <v>368</v>
      </c>
      <c r="F236" s="21" t="n">
        <f aca="false">IF(COUNTA(D236:E236)=0,"",SUM(D236:E236))</f>
        <v>1032</v>
      </c>
      <c r="G236" s="39" t="n">
        <f aca="false">IF(OR(F236="",F236=0),"",D236/F236)</f>
        <v>0.643410852713178</v>
      </c>
      <c r="H236" s="39" t="n">
        <f aca="false">IF(OR(F236="",F236=0),"",E236/F236)</f>
        <v>0.356589147286822</v>
      </c>
      <c r="I236" s="38" t="s">
        <v>89</v>
      </c>
      <c r="J236" s="40" t="n">
        <v>1.85532414445586</v>
      </c>
      <c r="K236" s="39" t="n">
        <f aca="false">IF(G236="","",MAX(0,G236-J236/100))</f>
        <v>0.62485761126862</v>
      </c>
      <c r="L236" s="39" t="n">
        <f aca="false">IF(G236="","",MIN(1,G236+J236/100))</f>
        <v>0.661964094157737</v>
      </c>
      <c r="M236" s="21" t="n">
        <f aca="false">ROUND(Q236*S236,0)</f>
        <v>65</v>
      </c>
      <c r="N236" s="21" t="n">
        <f aca="false">ROUND(SQRT((F236*J236/100)^2+(G236*M236)^2),0)</f>
        <v>46</v>
      </c>
      <c r="P236" s="41" t="n">
        <v>11.4580603465498</v>
      </c>
      <c r="Q236" s="42" t="n">
        <v>1032.21954753375</v>
      </c>
      <c r="R236" s="43" t="n">
        <f aca="false">MAX(0,MIN(1,P236/100+$D$5))</f>
        <v>0.643236355698675</v>
      </c>
      <c r="S236" s="43" t="n">
        <v>0.0633793435818552</v>
      </c>
      <c r="T236" s="44" t="s">
        <v>99</v>
      </c>
    </row>
    <row r="237" customFormat="false" ht="15" hidden="false" customHeight="false" outlineLevel="0" collapsed="false">
      <c r="A237" s="38" t="s">
        <v>344</v>
      </c>
      <c r="B237" s="38" t="s">
        <v>219</v>
      </c>
      <c r="C237" s="38" t="s">
        <v>358</v>
      </c>
      <c r="D237" s="21" t="n">
        <f aca="false">ROUND(Q237*R237,0)</f>
        <v>826</v>
      </c>
      <c r="E237" s="21" t="n">
        <f aca="false">ROUND(Q237,0)-D237</f>
        <v>416</v>
      </c>
      <c r="F237" s="21" t="n">
        <f aca="false">IF(COUNTA(D237:E237)=0,"",SUM(D237:E237))</f>
        <v>1242</v>
      </c>
      <c r="G237" s="39" t="n">
        <f aca="false">IF(OR(F237="",F237=0),"",D237/F237)</f>
        <v>0.665056360708535</v>
      </c>
      <c r="H237" s="39" t="n">
        <f aca="false">IF(OR(F237="",F237=0),"",E237/F237)</f>
        <v>0.334943639291465</v>
      </c>
      <c r="I237" s="38" t="s">
        <v>89</v>
      </c>
      <c r="J237" s="40" t="n">
        <v>1.28585670084365</v>
      </c>
      <c r="K237" s="39" t="n">
        <f aca="false">IF(G237="","",MAX(0,G237-J237/100))</f>
        <v>0.652197793700098</v>
      </c>
      <c r="L237" s="39" t="n">
        <f aca="false">IF(G237="","",MIN(1,G237+J237/100))</f>
        <v>0.677914927716971</v>
      </c>
      <c r="M237" s="21" t="n">
        <f aca="false">ROUND(Q237*S237,0)</f>
        <v>173</v>
      </c>
      <c r="N237" s="21" t="n">
        <f aca="false">ROUND(SQRT((F237*J237/100)^2+(G237*M237)^2),0)</f>
        <v>116</v>
      </c>
      <c r="P237" s="41" t="n">
        <v>13.6353682509482</v>
      </c>
      <c r="Q237" s="42" t="n">
        <v>1241.5262679809</v>
      </c>
      <c r="R237" s="43" t="n">
        <f aca="false">MAX(0,MIN(1,P237/100+$D$5))</f>
        <v>0.665009434742659</v>
      </c>
      <c r="S237" s="43" t="n">
        <v>0.139463116518417</v>
      </c>
      <c r="T237" s="44" t="s">
        <v>128</v>
      </c>
    </row>
    <row r="238" customFormat="false" ht="15" hidden="false" customHeight="false" outlineLevel="0" collapsed="false">
      <c r="A238" s="38" t="s">
        <v>344</v>
      </c>
      <c r="B238" s="38" t="s">
        <v>219</v>
      </c>
      <c r="C238" s="38" t="s">
        <v>359</v>
      </c>
      <c r="D238" s="21" t="n">
        <f aca="false">ROUND(Q238*R238,0)</f>
        <v>675</v>
      </c>
      <c r="E238" s="21" t="n">
        <f aca="false">ROUND(Q238,0)-D238</f>
        <v>414</v>
      </c>
      <c r="F238" s="21" t="n">
        <f aca="false">IF(COUNTA(D238:E238)=0,"",SUM(D238:E238))</f>
        <v>1089</v>
      </c>
      <c r="G238" s="39" t="n">
        <f aca="false">IF(OR(F238="",F238=0),"",D238/F238)</f>
        <v>0.619834710743802</v>
      </c>
      <c r="H238" s="39" t="n">
        <f aca="false">IF(OR(F238="",F238=0),"",E238/F238)</f>
        <v>0.380165289256198</v>
      </c>
      <c r="I238" s="38" t="s">
        <v>89</v>
      </c>
      <c r="J238" s="40" t="n">
        <v>1.85532414445586</v>
      </c>
      <c r="K238" s="39" t="n">
        <f aca="false">IF(G238="","",MAX(0,G238-J238/100))</f>
        <v>0.601281469299243</v>
      </c>
      <c r="L238" s="39" t="n">
        <f aca="false">IF(G238="","",MIN(1,G238+J238/100))</f>
        <v>0.63838795218836</v>
      </c>
      <c r="M238" s="21" t="n">
        <f aca="false">ROUND(Q238*S238,0)</f>
        <v>69</v>
      </c>
      <c r="N238" s="21" t="n">
        <f aca="false">ROUND(SQRT((F238*J238/100)^2+(G238*M238)^2),0)</f>
        <v>47</v>
      </c>
      <c r="P238" s="41" t="n">
        <v>9.13805851593888</v>
      </c>
      <c r="Q238" s="42" t="n">
        <v>1089.30199060792</v>
      </c>
      <c r="R238" s="43" t="n">
        <f aca="false">MAX(0,MIN(1,P238/100+$D$5))</f>
        <v>0.620036337392566</v>
      </c>
      <c r="S238" s="43" t="n">
        <v>0.0633793435818552</v>
      </c>
      <c r="T238" s="44" t="s">
        <v>99</v>
      </c>
    </row>
    <row r="239" customFormat="false" ht="15" hidden="false" customHeight="false" outlineLevel="0" collapsed="false">
      <c r="A239" s="38" t="s">
        <v>344</v>
      </c>
      <c r="B239" s="38" t="s">
        <v>219</v>
      </c>
      <c r="C239" s="38" t="s">
        <v>360</v>
      </c>
      <c r="D239" s="21" t="n">
        <f aca="false">ROUND(Q239*R239,0)</f>
        <v>501</v>
      </c>
      <c r="E239" s="21" t="n">
        <f aca="false">ROUND(Q239,0)-D239</f>
        <v>239</v>
      </c>
      <c r="F239" s="21" t="n">
        <f aca="false">IF(COUNTA(D239:E239)=0,"",SUM(D239:E239))</f>
        <v>740</v>
      </c>
      <c r="G239" s="39" t="n">
        <f aca="false">IF(OR(F239="",F239=0),"",D239/F239)</f>
        <v>0.677027027027027</v>
      </c>
      <c r="H239" s="39" t="n">
        <f aca="false">IF(OR(F239="",F239=0),"",E239/F239)</f>
        <v>0.322972972972973</v>
      </c>
      <c r="I239" s="38" t="s">
        <v>89</v>
      </c>
      <c r="J239" s="40" t="n">
        <v>3.25434931194355</v>
      </c>
      <c r="K239" s="39" t="n">
        <f aca="false">IF(G239="","",MAX(0,G239-J239/100))</f>
        <v>0.644483533907592</v>
      </c>
      <c r="L239" s="39" t="n">
        <f aca="false">IF(G239="","",MIN(1,G239+J239/100))</f>
        <v>0.709570520146463</v>
      </c>
      <c r="M239" s="21" t="n">
        <f aca="false">ROUND(Q239*S239,0)</f>
        <v>58</v>
      </c>
      <c r="N239" s="21" t="n">
        <f aca="false">ROUND(SQRT((F239*J239/100)^2+(G239*M239)^2),0)</f>
        <v>46</v>
      </c>
      <c r="P239" s="41" t="n">
        <v>14.9440833832832</v>
      </c>
      <c r="Q239" s="42" t="n">
        <v>739.556455997862</v>
      </c>
      <c r="R239" s="43" t="n">
        <f aca="false">MAX(0,MIN(1,P239/100+$D$5))</f>
        <v>0.678096586066009</v>
      </c>
      <c r="S239" s="43" t="n">
        <v>0.0779420971553049</v>
      </c>
      <c r="T239" s="44" t="s">
        <v>90</v>
      </c>
    </row>
    <row r="240" customFormat="false" ht="15" hidden="false" customHeight="false" outlineLevel="0" collapsed="false">
      <c r="A240" s="38" t="s">
        <v>344</v>
      </c>
      <c r="B240" s="38" t="s">
        <v>219</v>
      </c>
      <c r="C240" s="38" t="s">
        <v>361</v>
      </c>
      <c r="D240" s="21" t="n">
        <f aca="false">ROUND(Q240*R240,0)</f>
        <v>631</v>
      </c>
      <c r="E240" s="21" t="n">
        <f aca="false">ROUND(Q240,0)-D240</f>
        <v>265</v>
      </c>
      <c r="F240" s="21" t="n">
        <f aca="false">IF(COUNTA(D240:E240)=0,"",SUM(D240:E240))</f>
        <v>896</v>
      </c>
      <c r="G240" s="39" t="n">
        <f aca="false">IF(OR(F240="",F240=0),"",D240/F240)</f>
        <v>0.704241071428571</v>
      </c>
      <c r="H240" s="39" t="n">
        <f aca="false">IF(OR(F240="",F240=0),"",E240/F240)</f>
        <v>0.295758928571429</v>
      </c>
      <c r="I240" s="38" t="s">
        <v>89</v>
      </c>
      <c r="J240" s="40" t="n">
        <v>1.85532414445586</v>
      </c>
      <c r="K240" s="39" t="n">
        <f aca="false">IF(G240="","",MAX(0,G240-J240/100))</f>
        <v>0.685687829984013</v>
      </c>
      <c r="L240" s="39" t="n">
        <f aca="false">IF(G240="","",MIN(1,G240+J240/100))</f>
        <v>0.72279431287313</v>
      </c>
      <c r="M240" s="21" t="n">
        <f aca="false">ROUND(Q240*S240,0)</f>
        <v>57</v>
      </c>
      <c r="N240" s="21" t="n">
        <f aca="false">ROUND(SQRT((F240*J240/100)^2+(G240*M240)^2),0)</f>
        <v>43</v>
      </c>
      <c r="P240" s="41" t="n">
        <v>17.5622985820938</v>
      </c>
      <c r="Q240" s="42" t="n">
        <v>896.005908733303</v>
      </c>
      <c r="R240" s="43" t="n">
        <f aca="false">MAX(0,MIN(1,P240/100+$D$5))</f>
        <v>0.704278738054115</v>
      </c>
      <c r="S240" s="43" t="n">
        <v>0.0633793435818552</v>
      </c>
      <c r="T240" s="44" t="s">
        <v>99</v>
      </c>
    </row>
    <row r="241" customFormat="false" ht="15" hidden="false" customHeight="false" outlineLevel="0" collapsed="false">
      <c r="A241" s="38" t="s">
        <v>344</v>
      </c>
      <c r="B241" s="38" t="s">
        <v>219</v>
      </c>
      <c r="C241" s="38" t="s">
        <v>362</v>
      </c>
      <c r="D241" s="21" t="n">
        <f aca="false">ROUND(Q241*R241,0)</f>
        <v>776</v>
      </c>
      <c r="E241" s="21" t="n">
        <f aca="false">ROUND(Q241,0)-D241</f>
        <v>415</v>
      </c>
      <c r="F241" s="21" t="n">
        <f aca="false">IF(COUNTA(D241:E241)=0,"",SUM(D241:E241))</f>
        <v>1191</v>
      </c>
      <c r="G241" s="39" t="n">
        <f aca="false">IF(OR(F241="",F241=0),"",D241/F241)</f>
        <v>0.651553316540722</v>
      </c>
      <c r="H241" s="39" t="n">
        <f aca="false">IF(OR(F241="",F241=0),"",E241/F241)</f>
        <v>0.348446683459278</v>
      </c>
      <c r="I241" s="38" t="s">
        <v>89</v>
      </c>
      <c r="J241" s="40" t="n">
        <v>1.85532414445586</v>
      </c>
      <c r="K241" s="39" t="n">
        <f aca="false">IF(G241="","",MAX(0,G241-J241/100))</f>
        <v>0.633000075096164</v>
      </c>
      <c r="L241" s="39" t="n">
        <f aca="false">IF(G241="","",MIN(1,G241+J241/100))</f>
        <v>0.670106557985281</v>
      </c>
      <c r="M241" s="21" t="n">
        <f aca="false">ROUND(Q241*S241,0)</f>
        <v>75</v>
      </c>
      <c r="N241" s="21" t="n">
        <f aca="false">ROUND(SQRT((F241*J241/100)^2+(G241*M241)^2),0)</f>
        <v>54</v>
      </c>
      <c r="P241" s="41" t="n">
        <v>12.2807489714413</v>
      </c>
      <c r="Q241" s="42" t="n">
        <v>1190.54496977196</v>
      </c>
      <c r="R241" s="43" t="n">
        <f aca="false">MAX(0,MIN(1,P241/100+$D$5))</f>
        <v>0.65146324194759</v>
      </c>
      <c r="S241" s="43" t="n">
        <v>0.0633793435818552</v>
      </c>
      <c r="T241" s="44" t="s">
        <v>99</v>
      </c>
    </row>
    <row r="242" customFormat="false" ht="15" hidden="false" customHeight="false" outlineLevel="0" collapsed="false">
      <c r="A242" s="38" t="s">
        <v>344</v>
      </c>
      <c r="B242" s="38" t="s">
        <v>219</v>
      </c>
      <c r="C242" s="38" t="s">
        <v>363</v>
      </c>
      <c r="D242" s="21" t="n">
        <f aca="false">ROUND(Q242*R242,0)</f>
        <v>465</v>
      </c>
      <c r="E242" s="21" t="n">
        <f aca="false">ROUND(Q242,0)-D242</f>
        <v>186</v>
      </c>
      <c r="F242" s="21" t="n">
        <f aca="false">IF(COUNTA(D242:E242)=0,"",SUM(D242:E242))</f>
        <v>651</v>
      </c>
      <c r="G242" s="39" t="n">
        <f aca="false">IF(OR(F242="",F242=0),"",D242/F242)</f>
        <v>0.714285714285714</v>
      </c>
      <c r="H242" s="39" t="n">
        <f aca="false">IF(OR(F242="",F242=0),"",E242/F242)</f>
        <v>0.285714285714286</v>
      </c>
      <c r="I242" s="38" t="s">
        <v>89</v>
      </c>
      <c r="J242" s="40" t="n">
        <v>3.25434931194355</v>
      </c>
      <c r="K242" s="39" t="n">
        <f aca="false">IF(G242="","",MAX(0,G242-J242/100))</f>
        <v>0.681742221166279</v>
      </c>
      <c r="L242" s="39" t="n">
        <f aca="false">IF(G242="","",MIN(1,G242+J242/100))</f>
        <v>0.74682920740515</v>
      </c>
      <c r="M242" s="21" t="n">
        <f aca="false">ROUND(Q242*S242,0)</f>
        <v>51</v>
      </c>
      <c r="N242" s="21" t="n">
        <f aca="false">ROUND(SQRT((F242*J242/100)^2+(G242*M242)^2),0)</f>
        <v>42</v>
      </c>
      <c r="P242" s="41" t="n">
        <v>18.5925024264046</v>
      </c>
      <c r="Q242" s="42" t="n">
        <v>651.369599567547</v>
      </c>
      <c r="R242" s="43" t="n">
        <f aca="false">MAX(0,MIN(1,P242/100+$D$5))</f>
        <v>0.714580776497223</v>
      </c>
      <c r="S242" s="43" t="n">
        <v>0.0779420971553049</v>
      </c>
      <c r="T242" s="44" t="s">
        <v>90</v>
      </c>
    </row>
    <row r="243" customFormat="false" ht="15" hidden="false" customHeight="false" outlineLevel="0" collapsed="false">
      <c r="A243" s="38" t="s">
        <v>344</v>
      </c>
      <c r="B243" s="38" t="s">
        <v>219</v>
      </c>
      <c r="C243" s="38" t="s">
        <v>364</v>
      </c>
      <c r="D243" s="21" t="n">
        <f aca="false">ROUND(Q243*R243,0)</f>
        <v>587</v>
      </c>
      <c r="E243" s="21" t="n">
        <f aca="false">ROUND(Q243,0)-D243</f>
        <v>307</v>
      </c>
      <c r="F243" s="21" t="n">
        <f aca="false">IF(COUNTA(D243:E243)=0,"",SUM(D243:E243))</f>
        <v>894</v>
      </c>
      <c r="G243" s="39" t="n">
        <f aca="false">IF(OR(F243="",F243=0),"",D243/F243)</f>
        <v>0.656599552572707</v>
      </c>
      <c r="H243" s="39" t="n">
        <f aca="false">IF(OR(F243="",F243=0),"",E243/F243)</f>
        <v>0.343400447427293</v>
      </c>
      <c r="I243" s="38" t="s">
        <v>89</v>
      </c>
      <c r="J243" s="40" t="n">
        <v>1.85532414445586</v>
      </c>
      <c r="K243" s="39" t="n">
        <f aca="false">IF(G243="","",MAX(0,G243-J243/100))</f>
        <v>0.638046311128148</v>
      </c>
      <c r="L243" s="39" t="n">
        <f aca="false">IF(G243="","",MIN(1,G243+J243/100))</f>
        <v>0.675152794017266</v>
      </c>
      <c r="M243" s="21" t="n">
        <f aca="false">ROUND(Q243*S243,0)</f>
        <v>57</v>
      </c>
      <c r="N243" s="21" t="n">
        <f aca="false">ROUND(SQRT((F243*J243/100)^2+(G243*M243)^2),0)</f>
        <v>41</v>
      </c>
      <c r="P243" s="41" t="n">
        <v>12.8347939613347</v>
      </c>
      <c r="Q243" s="42" t="n">
        <v>893.917954933914</v>
      </c>
      <c r="R243" s="43" t="n">
        <f aca="false">MAX(0,MIN(1,P243/100+$D$5))</f>
        <v>0.657003691846524</v>
      </c>
      <c r="S243" s="43" t="n">
        <v>0.0633793435818552</v>
      </c>
      <c r="T243" s="44" t="s">
        <v>99</v>
      </c>
    </row>
    <row r="244" customFormat="false" ht="15" hidden="false" customHeight="false" outlineLevel="0" collapsed="false">
      <c r="A244" s="38" t="s">
        <v>344</v>
      </c>
      <c r="B244" s="38" t="s">
        <v>219</v>
      </c>
      <c r="C244" s="38" t="s">
        <v>365</v>
      </c>
      <c r="D244" s="21" t="n">
        <f aca="false">ROUND(Q244*R244,0)</f>
        <v>136</v>
      </c>
      <c r="E244" s="21" t="n">
        <f aca="false">ROUND(Q244,0)-D244</f>
        <v>49</v>
      </c>
      <c r="F244" s="21" t="n">
        <f aca="false">IF(COUNTA(D244:E244)=0,"",SUM(D244:E244))</f>
        <v>185</v>
      </c>
      <c r="G244" s="39" t="n">
        <f aca="false">IF(OR(F244="",F244=0),"",D244/F244)</f>
        <v>0.735135135135135</v>
      </c>
      <c r="H244" s="39" t="n">
        <f aca="false">IF(OR(F244="",F244=0),"",E244/F244)</f>
        <v>0.264864864864865</v>
      </c>
      <c r="I244" s="38" t="s">
        <v>89</v>
      </c>
      <c r="J244" s="40" t="n">
        <v>3.25434931194355</v>
      </c>
      <c r="K244" s="39" t="n">
        <f aca="false">IF(G244="","",MAX(0,G244-J244/100))</f>
        <v>0.7025916420157</v>
      </c>
      <c r="L244" s="39" t="n">
        <f aca="false">IF(G244="","",MIN(1,G244+J244/100))</f>
        <v>0.767678628254571</v>
      </c>
      <c r="M244" s="21" t="n">
        <f aca="false">ROUND(Q244*S244,0)</f>
        <v>14</v>
      </c>
      <c r="N244" s="21" t="n">
        <f aca="false">ROUND(SQRT((F244*J244/100)^2+(G244*M244)^2),0)</f>
        <v>12</v>
      </c>
      <c r="P244" s="41" t="n">
        <v>20.4172484554863</v>
      </c>
      <c r="Q244" s="42" t="n">
        <v>185.229646384463</v>
      </c>
      <c r="R244" s="43" t="n">
        <f aca="false">MAX(0,MIN(1,P244/100+$D$5))</f>
        <v>0.73282823678804</v>
      </c>
      <c r="S244" s="43" t="n">
        <v>0.0779420971553049</v>
      </c>
      <c r="T244" s="44" t="s">
        <v>90</v>
      </c>
    </row>
    <row r="245" customFormat="false" ht="15" hidden="false" customHeight="false" outlineLevel="0" collapsed="false">
      <c r="A245" s="38" t="s">
        <v>344</v>
      </c>
      <c r="B245" s="38" t="s">
        <v>219</v>
      </c>
      <c r="C245" s="38" t="s">
        <v>366</v>
      </c>
      <c r="D245" s="21" t="n">
        <f aca="false">ROUND(Q245*R245,0)</f>
        <v>297</v>
      </c>
      <c r="E245" s="21" t="n">
        <f aca="false">ROUND(Q245,0)-D245</f>
        <v>98</v>
      </c>
      <c r="F245" s="21" t="n">
        <f aca="false">IF(COUNTA(D245:E245)=0,"",SUM(D245:E245))</f>
        <v>395</v>
      </c>
      <c r="G245" s="39" t="n">
        <f aca="false">IF(OR(F245="",F245=0),"",D245/F245)</f>
        <v>0.751898734177215</v>
      </c>
      <c r="H245" s="39" t="n">
        <f aca="false">IF(OR(F245="",F245=0),"",E245/F245)</f>
        <v>0.248101265822785</v>
      </c>
      <c r="I245" s="38" t="s">
        <v>89</v>
      </c>
      <c r="J245" s="40" t="n">
        <v>3.25434931194355</v>
      </c>
      <c r="K245" s="39" t="n">
        <f aca="false">IF(G245="","",MAX(0,G245-J245/100))</f>
        <v>0.71935524105778</v>
      </c>
      <c r="L245" s="39" t="n">
        <f aca="false">IF(G245="","",MIN(1,G245+J245/100))</f>
        <v>0.784442227296651</v>
      </c>
      <c r="M245" s="21" t="n">
        <f aca="false">ROUND(Q245*S245,0)</f>
        <v>31</v>
      </c>
      <c r="N245" s="21" t="n">
        <f aca="false">ROUND(SQRT((F245*J245/100)^2+(G245*M245)^2),0)</f>
        <v>27</v>
      </c>
      <c r="P245" s="41" t="n">
        <v>22.4345517876573</v>
      </c>
      <c r="Q245" s="42" t="n">
        <v>394.504080030737</v>
      </c>
      <c r="R245" s="43" t="n">
        <f aca="false">MAX(0,MIN(1,P245/100+$D$5))</f>
        <v>0.75300127010975</v>
      </c>
      <c r="S245" s="43" t="n">
        <v>0.0779420971553049</v>
      </c>
      <c r="T245" s="44" t="s">
        <v>90</v>
      </c>
    </row>
    <row r="246" customFormat="false" ht="15" hidden="false" customHeight="false" outlineLevel="0" collapsed="false">
      <c r="A246" s="38" t="s">
        <v>344</v>
      </c>
      <c r="B246" s="38" t="s">
        <v>219</v>
      </c>
      <c r="C246" s="38" t="s">
        <v>367</v>
      </c>
      <c r="D246" s="21" t="n">
        <f aca="false">ROUND(Q246*R246,0)</f>
        <v>260</v>
      </c>
      <c r="E246" s="21" t="n">
        <f aca="false">ROUND(Q246,0)-D246</f>
        <v>88</v>
      </c>
      <c r="F246" s="21" t="n">
        <f aca="false">IF(COUNTA(D246:E246)=0,"",SUM(D246:E246))</f>
        <v>348</v>
      </c>
      <c r="G246" s="39" t="n">
        <f aca="false">IF(OR(F246="",F246=0),"",D246/F246)</f>
        <v>0.747126436781609</v>
      </c>
      <c r="H246" s="39" t="n">
        <f aca="false">IF(OR(F246="",F246=0),"",E246/F246)</f>
        <v>0.252873563218391</v>
      </c>
      <c r="I246" s="38" t="s">
        <v>89</v>
      </c>
      <c r="J246" s="40" t="n">
        <v>3.25434931194355</v>
      </c>
      <c r="K246" s="39" t="n">
        <f aca="false">IF(G246="","",MAX(0,G246-J246/100))</f>
        <v>0.714582943662174</v>
      </c>
      <c r="L246" s="39" t="n">
        <f aca="false">IF(G246="","",MIN(1,G246+J246/100))</f>
        <v>0.779669929901045</v>
      </c>
      <c r="M246" s="21" t="n">
        <f aca="false">ROUND(Q246*S246,0)</f>
        <v>27</v>
      </c>
      <c r="N246" s="21" t="n">
        <f aca="false">ROUND(SQRT((F246*J246/100)^2+(G246*M246)^2),0)</f>
        <v>23</v>
      </c>
      <c r="P246" s="41" t="n">
        <v>21.8985264553716</v>
      </c>
      <c r="Q246" s="42" t="n">
        <v>347.864985965249</v>
      </c>
      <c r="R246" s="43" t="n">
        <f aca="false">MAX(0,MIN(1,P246/100+$D$5))</f>
        <v>0.747641016786893</v>
      </c>
      <c r="S246" s="43" t="n">
        <v>0.0779420971553049</v>
      </c>
      <c r="T246" s="44" t="s">
        <v>90</v>
      </c>
    </row>
    <row r="247" customFormat="false" ht="15" hidden="false" customHeight="false" outlineLevel="0" collapsed="false">
      <c r="A247" s="38" t="s">
        <v>344</v>
      </c>
      <c r="B247" s="38" t="s">
        <v>219</v>
      </c>
      <c r="C247" s="38" t="s">
        <v>368</v>
      </c>
      <c r="D247" s="21" t="n">
        <f aca="false">ROUND(Q247*R247,0)</f>
        <v>387</v>
      </c>
      <c r="E247" s="21" t="n">
        <f aca="false">ROUND(Q247,0)-D247</f>
        <v>104</v>
      </c>
      <c r="F247" s="21" t="n">
        <f aca="false">IF(COUNTA(D247:E247)=0,"",SUM(D247:E247))</f>
        <v>491</v>
      </c>
      <c r="G247" s="39" t="n">
        <f aca="false">IF(OR(F247="",F247=0),"",D247/F247)</f>
        <v>0.788187372708758</v>
      </c>
      <c r="H247" s="39" t="n">
        <f aca="false">IF(OR(F247="",F247=0),"",E247/F247)</f>
        <v>0.211812627291242</v>
      </c>
      <c r="I247" s="38" t="s">
        <v>89</v>
      </c>
      <c r="J247" s="40" t="n">
        <v>3.25434931194355</v>
      </c>
      <c r="K247" s="39" t="n">
        <f aca="false">IF(G247="","",MAX(0,G247-J247/100))</f>
        <v>0.755643879589322</v>
      </c>
      <c r="L247" s="39" t="n">
        <f aca="false">IF(G247="","",MIN(1,G247+J247/100))</f>
        <v>0.820730865828193</v>
      </c>
      <c r="M247" s="21" t="n">
        <f aca="false">ROUND(Q247*S247,0)</f>
        <v>38</v>
      </c>
      <c r="N247" s="21" t="n">
        <f aca="false">ROUND(SQRT((F247*J247/100)^2+(G247*M247)^2),0)</f>
        <v>34</v>
      </c>
      <c r="P247" s="41" t="n">
        <v>25.969926690412</v>
      </c>
      <c r="Q247" s="42" t="n">
        <v>491.041730849225</v>
      </c>
      <c r="R247" s="43" t="n">
        <f aca="false">MAX(0,MIN(1,P247/100+$D$5))</f>
        <v>0.788355019137296</v>
      </c>
      <c r="S247" s="43" t="n">
        <v>0.0779420971553049</v>
      </c>
      <c r="T247" s="44" t="s">
        <v>90</v>
      </c>
    </row>
    <row r="248" customFormat="false" ht="15" hidden="false" customHeight="false" outlineLevel="0" collapsed="false">
      <c r="A248" s="38" t="s">
        <v>344</v>
      </c>
      <c r="B248" s="38" t="s">
        <v>219</v>
      </c>
      <c r="C248" s="38" t="s">
        <v>369</v>
      </c>
      <c r="D248" s="21" t="n">
        <f aca="false">ROUND(Q248*R248,0)</f>
        <v>694</v>
      </c>
      <c r="E248" s="21" t="n">
        <f aca="false">ROUND(Q248,0)-D248</f>
        <v>146</v>
      </c>
      <c r="F248" s="21" t="n">
        <f aca="false">IF(COUNTA(D248:E248)=0,"",SUM(D248:E248))</f>
        <v>840</v>
      </c>
      <c r="G248" s="39" t="n">
        <f aca="false">IF(OR(F248="",F248=0),"",D248/F248)</f>
        <v>0.826190476190476</v>
      </c>
      <c r="H248" s="39" t="n">
        <f aca="false">IF(OR(F248="",F248=0),"",E248/F248)</f>
        <v>0.173809523809524</v>
      </c>
      <c r="I248" s="38" t="s">
        <v>89</v>
      </c>
      <c r="J248" s="40" t="n">
        <v>1.85532414445586</v>
      </c>
      <c r="K248" s="39" t="n">
        <f aca="false">IF(G248="","",MAX(0,G248-J248/100))</f>
        <v>0.807637234745918</v>
      </c>
      <c r="L248" s="39" t="n">
        <f aca="false">IF(G248="","",MIN(1,G248+J248/100))</f>
        <v>0.844743717635035</v>
      </c>
      <c r="M248" s="21" t="n">
        <f aca="false">ROUND(Q248*S248,0)</f>
        <v>53</v>
      </c>
      <c r="N248" s="21" t="n">
        <f aca="false">ROUND(SQRT((F248*J248/100)^2+(G248*M248)^2),0)</f>
        <v>46</v>
      </c>
      <c r="P248" s="41" t="n">
        <v>29.6937631776944</v>
      </c>
      <c r="Q248" s="42" t="n">
        <v>840.447472212662</v>
      </c>
      <c r="R248" s="43" t="n">
        <f aca="false">MAX(0,MIN(1,P248/100+$D$5))</f>
        <v>0.825593384010121</v>
      </c>
      <c r="S248" s="43" t="n">
        <v>0.0633793435818552</v>
      </c>
      <c r="T248" s="44" t="s">
        <v>99</v>
      </c>
    </row>
    <row r="249" customFormat="false" ht="15" hidden="false" customHeight="false" outlineLevel="0" collapsed="false">
      <c r="A249" s="38" t="s">
        <v>344</v>
      </c>
      <c r="B249" s="38" t="s">
        <v>219</v>
      </c>
      <c r="C249" s="38" t="s">
        <v>370</v>
      </c>
      <c r="D249" s="21" t="n">
        <f aca="false">ROUND(Q249*R249,0)</f>
        <v>401</v>
      </c>
      <c r="E249" s="21" t="n">
        <f aca="false">ROUND(Q249,0)-D249</f>
        <v>125</v>
      </c>
      <c r="F249" s="21" t="n">
        <f aca="false">IF(COUNTA(D249:E249)=0,"",SUM(D249:E249))</f>
        <v>526</v>
      </c>
      <c r="G249" s="39" t="n">
        <f aca="false">IF(OR(F249="",F249=0),"",D249/F249)</f>
        <v>0.762357414448669</v>
      </c>
      <c r="H249" s="39" t="n">
        <f aca="false">IF(OR(F249="",F249=0),"",E249/F249)</f>
        <v>0.237642585551331</v>
      </c>
      <c r="I249" s="38" t="s">
        <v>89</v>
      </c>
      <c r="J249" s="40" t="n">
        <v>3.25434931194355</v>
      </c>
      <c r="K249" s="39" t="n">
        <f aca="false">IF(G249="","",MAX(0,G249-J249/100))</f>
        <v>0.729813921329234</v>
      </c>
      <c r="L249" s="39" t="n">
        <f aca="false">IF(G249="","",MIN(1,G249+J249/100))</f>
        <v>0.794900907568105</v>
      </c>
      <c r="M249" s="21" t="n">
        <f aca="false">ROUND(Q249*S249,0)</f>
        <v>41</v>
      </c>
      <c r="N249" s="21" t="n">
        <f aca="false">ROUND(SQRT((F249*J249/100)^2+(G249*M249)^2),0)</f>
        <v>36</v>
      </c>
      <c r="P249" s="41" t="n">
        <v>23.35224746272</v>
      </c>
      <c r="Q249" s="42" t="n">
        <v>525.800122257377</v>
      </c>
      <c r="R249" s="43" t="n">
        <f aca="false">MAX(0,MIN(1,P249/100+$D$5))</f>
        <v>0.762178226860376</v>
      </c>
      <c r="S249" s="43" t="n">
        <v>0.0779420971553049</v>
      </c>
      <c r="T249" s="44" t="s">
        <v>90</v>
      </c>
    </row>
    <row r="250" customFormat="false" ht="15" hidden="false" customHeight="false" outlineLevel="0" collapsed="false">
      <c r="A250" s="38" t="s">
        <v>344</v>
      </c>
      <c r="B250" s="38" t="s">
        <v>219</v>
      </c>
      <c r="C250" s="38" t="s">
        <v>371</v>
      </c>
      <c r="D250" s="21" t="n">
        <f aca="false">ROUND(Q250*R250,0)</f>
        <v>320</v>
      </c>
      <c r="E250" s="21" t="n">
        <f aca="false">ROUND(Q250,0)-D250</f>
        <v>110</v>
      </c>
      <c r="F250" s="21" t="n">
        <f aca="false">IF(COUNTA(D250:E250)=0,"",SUM(D250:E250))</f>
        <v>430</v>
      </c>
      <c r="G250" s="39" t="n">
        <f aca="false">IF(OR(F250="",F250=0),"",D250/F250)</f>
        <v>0.744186046511628</v>
      </c>
      <c r="H250" s="39" t="n">
        <f aca="false">IF(OR(F250="",F250=0),"",E250/F250)</f>
        <v>0.255813953488372</v>
      </c>
      <c r="I250" s="38" t="s">
        <v>89</v>
      </c>
      <c r="J250" s="40" t="n">
        <v>3.25434931194355</v>
      </c>
      <c r="K250" s="39" t="n">
        <f aca="false">IF(G250="","",MAX(0,G250-J250/100))</f>
        <v>0.711642553392192</v>
      </c>
      <c r="L250" s="39" t="n">
        <f aca="false">IF(G250="","",MIN(1,G250+J250/100))</f>
        <v>0.776729539631063</v>
      </c>
      <c r="M250" s="21" t="n">
        <f aca="false">ROUND(Q250*S250,0)</f>
        <v>34</v>
      </c>
      <c r="N250" s="21" t="n">
        <f aca="false">ROUND(SQRT((F250*J250/100)^2+(G250*M250)^2),0)</f>
        <v>29</v>
      </c>
      <c r="P250" s="41" t="n">
        <v>21.4284978424207</v>
      </c>
      <c r="Q250" s="42" t="n">
        <v>430.355851553187</v>
      </c>
      <c r="R250" s="43" t="n">
        <f aca="false">MAX(0,MIN(1,P250/100+$D$5))</f>
        <v>0.742940730657384</v>
      </c>
      <c r="S250" s="43" t="n">
        <v>0.0779420971553049</v>
      </c>
      <c r="T250" s="44" t="s">
        <v>90</v>
      </c>
    </row>
    <row r="251" customFormat="false" ht="15" hidden="false" customHeight="false" outlineLevel="0" collapsed="false">
      <c r="A251" s="38" t="s">
        <v>344</v>
      </c>
      <c r="B251" s="38" t="s">
        <v>219</v>
      </c>
      <c r="C251" s="38" t="s">
        <v>372</v>
      </c>
      <c r="D251" s="21" t="n">
        <f aca="false">ROUND(Q251*R251,0)</f>
        <v>444</v>
      </c>
      <c r="E251" s="21" t="n">
        <f aca="false">ROUND(Q251,0)-D251</f>
        <v>144</v>
      </c>
      <c r="F251" s="21" t="n">
        <f aca="false">IF(COUNTA(D251:E251)=0,"",SUM(D251:E251))</f>
        <v>588</v>
      </c>
      <c r="G251" s="39" t="n">
        <f aca="false">IF(OR(F251="",F251=0),"",D251/F251)</f>
        <v>0.755102040816327</v>
      </c>
      <c r="H251" s="39" t="n">
        <f aca="false">IF(OR(F251="",F251=0),"",E251/F251)</f>
        <v>0.244897959183673</v>
      </c>
      <c r="I251" s="38" t="s">
        <v>89</v>
      </c>
      <c r="J251" s="40" t="n">
        <v>3.25434931194355</v>
      </c>
      <c r="K251" s="39" t="n">
        <f aca="false">IF(G251="","",MAX(0,G251-J251/100))</f>
        <v>0.722558547696891</v>
      </c>
      <c r="L251" s="39" t="n">
        <f aca="false">IF(G251="","",MIN(1,G251+J251/100))</f>
        <v>0.787645533935762</v>
      </c>
      <c r="M251" s="21" t="n">
        <f aca="false">ROUND(Q251*S251,0)</f>
        <v>46</v>
      </c>
      <c r="N251" s="21" t="n">
        <f aca="false">ROUND(SQRT((F251*J251/100)^2+(G251*M251)^2),0)</f>
        <v>40</v>
      </c>
      <c r="P251" s="41" t="n">
        <v>22.616308637386</v>
      </c>
      <c r="Q251" s="42" t="n">
        <v>587.849246068273</v>
      </c>
      <c r="R251" s="43" t="n">
        <f aca="false">MAX(0,MIN(1,P251/100+$D$5))</f>
        <v>0.754818838607037</v>
      </c>
      <c r="S251" s="43" t="n">
        <v>0.0779420971553049</v>
      </c>
      <c r="T251" s="44" t="s">
        <v>90</v>
      </c>
    </row>
    <row r="252" customFormat="false" ht="15" hidden="false" customHeight="false" outlineLevel="0" collapsed="false">
      <c r="A252" s="38" t="s">
        <v>344</v>
      </c>
      <c r="B252" s="38" t="s">
        <v>219</v>
      </c>
      <c r="C252" s="38" t="s">
        <v>373</v>
      </c>
      <c r="D252" s="21" t="n">
        <f aca="false">ROUND(Q252*R252,0)</f>
        <v>587</v>
      </c>
      <c r="E252" s="21" t="n">
        <f aca="false">ROUND(Q252,0)-D252</f>
        <v>211</v>
      </c>
      <c r="F252" s="21" t="n">
        <f aca="false">IF(COUNTA(D252:E252)=0,"",SUM(D252:E252))</f>
        <v>798</v>
      </c>
      <c r="G252" s="39" t="n">
        <f aca="false">IF(OR(F252="",F252=0),"",D252/F252)</f>
        <v>0.735588972431078</v>
      </c>
      <c r="H252" s="39" t="n">
        <f aca="false">IF(OR(F252="",F252=0),"",E252/F252)</f>
        <v>0.264411027568922</v>
      </c>
      <c r="I252" s="38" t="s">
        <v>89</v>
      </c>
      <c r="J252" s="40" t="n">
        <v>1.85532414445586</v>
      </c>
      <c r="K252" s="39" t="n">
        <f aca="false">IF(G252="","",MAX(0,G252-J252/100))</f>
        <v>0.717035730986519</v>
      </c>
      <c r="L252" s="39" t="n">
        <f aca="false">IF(G252="","",MIN(1,G252+J252/100))</f>
        <v>0.754142213875636</v>
      </c>
      <c r="M252" s="21" t="n">
        <f aca="false">ROUND(Q252*S252,0)</f>
        <v>51</v>
      </c>
      <c r="N252" s="21" t="n">
        <f aca="false">ROUND(SQRT((F252*J252/100)^2+(G252*M252)^2),0)</f>
        <v>40</v>
      </c>
      <c r="P252" s="41" t="n">
        <v>20.768412941915</v>
      </c>
      <c r="Q252" s="42" t="n">
        <v>797.820848971981</v>
      </c>
      <c r="R252" s="43" t="n">
        <f aca="false">MAX(0,MIN(1,P252/100+$D$5))</f>
        <v>0.736339881652326</v>
      </c>
      <c r="S252" s="43" t="n">
        <v>0.0633793435818552</v>
      </c>
      <c r="T252" s="44" t="s">
        <v>99</v>
      </c>
    </row>
    <row r="253" customFormat="false" ht="15" hidden="false" customHeight="false" outlineLevel="0" collapsed="false">
      <c r="A253" s="38" t="s">
        <v>344</v>
      </c>
      <c r="B253" s="38" t="s">
        <v>219</v>
      </c>
      <c r="C253" s="38" t="s">
        <v>374</v>
      </c>
      <c r="D253" s="21" t="n">
        <f aca="false">ROUND(Q253*R253,0)</f>
        <v>487</v>
      </c>
      <c r="E253" s="21" t="n">
        <f aca="false">ROUND(Q253,0)-D253</f>
        <v>190</v>
      </c>
      <c r="F253" s="21" t="n">
        <f aca="false">IF(COUNTA(D253:E253)=0,"",SUM(D253:E253))</f>
        <v>677</v>
      </c>
      <c r="G253" s="39" t="n">
        <f aca="false">IF(OR(F253="",F253=0),"",D253/F253)</f>
        <v>0.719350073855244</v>
      </c>
      <c r="H253" s="39" t="n">
        <f aca="false">IF(OR(F253="",F253=0),"",E253/F253)</f>
        <v>0.280649926144756</v>
      </c>
      <c r="I253" s="38" t="s">
        <v>89</v>
      </c>
      <c r="J253" s="40" t="n">
        <v>3.25434931194355</v>
      </c>
      <c r="K253" s="39" t="n">
        <f aca="false">IF(G253="","",MAX(0,G253-J253/100))</f>
        <v>0.686806580735808</v>
      </c>
      <c r="L253" s="39" t="n">
        <f aca="false">IF(G253="","",MIN(1,G253+J253/100))</f>
        <v>0.751893566974679</v>
      </c>
      <c r="M253" s="21" t="n">
        <f aca="false">ROUND(Q253*S253,0)</f>
        <v>53</v>
      </c>
      <c r="N253" s="21" t="n">
        <f aca="false">ROUND(SQRT((F253*J253/100)^2+(G253*M253)^2),0)</f>
        <v>44</v>
      </c>
      <c r="P253" s="41" t="n">
        <v>19.0830065300839</v>
      </c>
      <c r="Q253" s="42" t="n">
        <v>676.580770946245</v>
      </c>
      <c r="R253" s="43" t="n">
        <f aca="false">MAX(0,MIN(1,P253/100+$D$5))</f>
        <v>0.719485817534016</v>
      </c>
      <c r="S253" s="43" t="n">
        <v>0.0779420971553049</v>
      </c>
      <c r="T253" s="44" t="s">
        <v>90</v>
      </c>
    </row>
    <row r="254" customFormat="false" ht="15" hidden="false" customHeight="false" outlineLevel="0" collapsed="false">
      <c r="A254" s="38" t="s">
        <v>344</v>
      </c>
      <c r="B254" s="38" t="s">
        <v>219</v>
      </c>
      <c r="C254" s="38" t="s">
        <v>375</v>
      </c>
      <c r="D254" s="21" t="n">
        <f aca="false">ROUND(Q254*R254,0)</f>
        <v>576</v>
      </c>
      <c r="E254" s="21" t="n">
        <f aca="false">ROUND(Q254,0)-D254</f>
        <v>225</v>
      </c>
      <c r="F254" s="21" t="n">
        <f aca="false">IF(COUNTA(D254:E254)=0,"",SUM(D254:E254))</f>
        <v>801</v>
      </c>
      <c r="G254" s="39" t="n">
        <f aca="false">IF(OR(F254="",F254=0),"",D254/F254)</f>
        <v>0.719101123595506</v>
      </c>
      <c r="H254" s="39" t="n">
        <f aca="false">IF(OR(F254="",F254=0),"",E254/F254)</f>
        <v>0.280898876404494</v>
      </c>
      <c r="I254" s="38" t="s">
        <v>89</v>
      </c>
      <c r="J254" s="40" t="n">
        <v>1.85532414445586</v>
      </c>
      <c r="K254" s="39" t="n">
        <f aca="false">IF(G254="","",MAX(0,G254-J254/100))</f>
        <v>0.700547882150947</v>
      </c>
      <c r="L254" s="39" t="n">
        <f aca="false">IF(G254="","",MIN(1,G254+J254/100))</f>
        <v>0.737654365040064</v>
      </c>
      <c r="M254" s="21" t="n">
        <f aca="false">ROUND(Q254*S254,0)</f>
        <v>51</v>
      </c>
      <c r="N254" s="21" t="n">
        <f aca="false">ROUND(SQRT((F254*J254/100)^2+(G254*M254)^2),0)</f>
        <v>40</v>
      </c>
      <c r="P254" s="41" t="n">
        <v>19.0864788373122</v>
      </c>
      <c r="Q254" s="42" t="n">
        <v>801.081694890784</v>
      </c>
      <c r="R254" s="43" t="n">
        <f aca="false">MAX(0,MIN(1,P254/100+$D$5))</f>
        <v>0.719520540606298</v>
      </c>
      <c r="S254" s="43" t="n">
        <v>0.0633793435818552</v>
      </c>
      <c r="T254" s="44" t="s">
        <v>99</v>
      </c>
    </row>
    <row r="255" customFormat="false" ht="15" hidden="false" customHeight="false" outlineLevel="0" collapsed="false">
      <c r="A255" s="38" t="s">
        <v>344</v>
      </c>
      <c r="B255" s="38" t="s">
        <v>219</v>
      </c>
      <c r="C255" s="38" t="s">
        <v>376</v>
      </c>
      <c r="D255" s="21" t="n">
        <f aca="false">ROUND(Q255*R255,0)</f>
        <v>583</v>
      </c>
      <c r="E255" s="21" t="n">
        <f aca="false">ROUND(Q255,0)-D255</f>
        <v>294</v>
      </c>
      <c r="F255" s="21" t="n">
        <f aca="false">IF(COUNTA(D255:E255)=0,"",SUM(D255:E255))</f>
        <v>877</v>
      </c>
      <c r="G255" s="39" t="n">
        <f aca="false">IF(OR(F255="",F255=0),"",D255/F255)</f>
        <v>0.664766248574687</v>
      </c>
      <c r="H255" s="39" t="n">
        <f aca="false">IF(OR(F255="",F255=0),"",E255/F255)</f>
        <v>0.335233751425314</v>
      </c>
      <c r="I255" s="38" t="s">
        <v>191</v>
      </c>
      <c r="J255" s="40" t="n">
        <v>1.85532414445586</v>
      </c>
      <c r="K255" s="39" t="n">
        <f aca="false">IF(G255="","",MAX(0,G255-J255/100))</f>
        <v>0.646213007130128</v>
      </c>
      <c r="L255" s="39" t="n">
        <f aca="false">IF(G255="","",MIN(1,G255+J255/100))</f>
        <v>0.683319490019245</v>
      </c>
      <c r="M255" s="21" t="n">
        <f aca="false">ROUND(Q255*S255,0)</f>
        <v>56</v>
      </c>
      <c r="N255" s="21" t="n">
        <f aca="false">ROUND(SQRT((F255*J255/100)^2+(G255*M255)^2),0)</f>
        <v>41</v>
      </c>
      <c r="P255" s="41" t="n">
        <v>13.540564995807</v>
      </c>
      <c r="Q255" s="42" t="n">
        <v>877.464977447505</v>
      </c>
      <c r="R255" s="43" t="n">
        <f aca="false">MAX(0,MIN(1,P255/100+$D$5))</f>
        <v>0.664061402191247</v>
      </c>
      <c r="S255" s="43" t="n">
        <v>0.0633793435818552</v>
      </c>
      <c r="T255" s="44" t="s">
        <v>99</v>
      </c>
    </row>
    <row r="256" customFormat="false" ht="15" hidden="false" customHeight="false" outlineLevel="0" collapsed="false">
      <c r="A256" s="38" t="s">
        <v>344</v>
      </c>
      <c r="B256" s="38" t="s">
        <v>377</v>
      </c>
      <c r="C256" s="38" t="s">
        <v>378</v>
      </c>
      <c r="D256" s="21" t="n">
        <f aca="false">ROUND(Q256*R256,0)</f>
        <v>438</v>
      </c>
      <c r="E256" s="21" t="n">
        <f aca="false">ROUND(Q256,0)-D256</f>
        <v>326</v>
      </c>
      <c r="F256" s="21" t="n">
        <f aca="false">IF(COUNTA(D256:E256)=0,"",SUM(D256:E256))</f>
        <v>764</v>
      </c>
      <c r="G256" s="39" t="n">
        <f aca="false">IF(OR(F256="",F256=0),"",D256/F256)</f>
        <v>0.573298429319372</v>
      </c>
      <c r="H256" s="39" t="n">
        <f aca="false">IF(OR(F256="",F256=0),"",E256/F256)</f>
        <v>0.426701570680628</v>
      </c>
      <c r="I256" s="38" t="s">
        <v>89</v>
      </c>
      <c r="J256" s="40" t="n">
        <v>3.25434931194355</v>
      </c>
      <c r="K256" s="39" t="n">
        <f aca="false">IF(G256="","",MAX(0,G256-J256/100))</f>
        <v>0.540754936199936</v>
      </c>
      <c r="L256" s="39" t="n">
        <f aca="false">IF(G256="","",MIN(1,G256+J256/100))</f>
        <v>0.605841922438807</v>
      </c>
      <c r="M256" s="21" t="n">
        <f aca="false">ROUND(Q256*S256,0)</f>
        <v>60</v>
      </c>
      <c r="N256" s="21" t="n">
        <f aca="false">ROUND(SQRT((F256*J256/100)^2+(G256*M256)^2),0)</f>
        <v>42</v>
      </c>
      <c r="P256" s="41" t="n">
        <v>4.43754924557247</v>
      </c>
      <c r="Q256" s="42" t="n">
        <v>764.105473847342</v>
      </c>
      <c r="R256" s="43" t="n">
        <f aca="false">MAX(0,MIN(1,P256/100+$D$5))</f>
        <v>0.573031244688901</v>
      </c>
      <c r="S256" s="43" t="n">
        <v>0.0779420971553049</v>
      </c>
      <c r="T256" s="44" t="s">
        <v>90</v>
      </c>
    </row>
    <row r="257" customFormat="false" ht="15" hidden="false" customHeight="false" outlineLevel="0" collapsed="false">
      <c r="A257" s="38" t="s">
        <v>344</v>
      </c>
      <c r="B257" s="38" t="s">
        <v>377</v>
      </c>
      <c r="C257" s="38" t="s">
        <v>379</v>
      </c>
      <c r="D257" s="21" t="n">
        <f aca="false">ROUND(Q257*R257,0)</f>
        <v>542</v>
      </c>
      <c r="E257" s="21" t="n">
        <f aca="false">ROUND(Q257,0)-D257</f>
        <v>425</v>
      </c>
      <c r="F257" s="21" t="n">
        <f aca="false">IF(COUNTA(D257:E257)=0,"",SUM(D257:E257))</f>
        <v>967</v>
      </c>
      <c r="G257" s="39" t="n">
        <f aca="false">IF(OR(F257="",F257=0),"",D257/F257)</f>
        <v>0.560496380558428</v>
      </c>
      <c r="H257" s="39" t="n">
        <f aca="false">IF(OR(F257="",F257=0),"",E257/F257)</f>
        <v>0.439503619441572</v>
      </c>
      <c r="I257" s="38" t="s">
        <v>89</v>
      </c>
      <c r="J257" s="40" t="n">
        <v>1.85532414445586</v>
      </c>
      <c r="K257" s="39" t="n">
        <f aca="false">IF(G257="","",MAX(0,G257-J257/100))</f>
        <v>0.54194313911387</v>
      </c>
      <c r="L257" s="39" t="n">
        <f aca="false">IF(G257="","",MIN(1,G257+J257/100))</f>
        <v>0.579049622002987</v>
      </c>
      <c r="M257" s="21" t="n">
        <f aca="false">ROUND(Q257*S257,0)</f>
        <v>61</v>
      </c>
      <c r="N257" s="21" t="n">
        <f aca="false">ROUND(SQRT((F257*J257/100)^2+(G257*M257)^2),0)</f>
        <v>39</v>
      </c>
      <c r="P257" s="41" t="n">
        <v>3.12281221108838</v>
      </c>
      <c r="Q257" s="42" t="n">
        <v>967.377552437008</v>
      </c>
      <c r="R257" s="43" t="n">
        <f aca="false">MAX(0,MIN(1,P257/100+$D$5))</f>
        <v>0.55988387434406</v>
      </c>
      <c r="S257" s="43" t="n">
        <v>0.0633793435818552</v>
      </c>
      <c r="T257" s="44" t="s">
        <v>99</v>
      </c>
    </row>
    <row r="258" customFormat="false" ht="15" hidden="false" customHeight="false" outlineLevel="0" collapsed="false">
      <c r="A258" s="38" t="s">
        <v>344</v>
      </c>
      <c r="B258" s="38" t="s">
        <v>377</v>
      </c>
      <c r="C258" s="38" t="s">
        <v>380</v>
      </c>
      <c r="D258" s="21" t="n">
        <f aca="false">ROUND(Q258*R258,0)</f>
        <v>626</v>
      </c>
      <c r="E258" s="21" t="n">
        <f aca="false">ROUND(Q258,0)-D258</f>
        <v>430</v>
      </c>
      <c r="F258" s="21" t="n">
        <f aca="false">IF(COUNTA(D258:E258)=0,"",SUM(D258:E258))</f>
        <v>1056</v>
      </c>
      <c r="G258" s="39" t="n">
        <f aca="false">IF(OR(F258="",F258=0),"",D258/F258)</f>
        <v>0.59280303030303</v>
      </c>
      <c r="H258" s="39" t="n">
        <f aca="false">IF(OR(F258="",F258=0),"",E258/F258)</f>
        <v>0.40719696969697</v>
      </c>
      <c r="I258" s="38" t="s">
        <v>89</v>
      </c>
      <c r="J258" s="40" t="n">
        <v>1.85532414445586</v>
      </c>
      <c r="K258" s="39" t="n">
        <f aca="false">IF(G258="","",MAX(0,G258-J258/100))</f>
        <v>0.574249788858472</v>
      </c>
      <c r="L258" s="39" t="n">
        <f aca="false">IF(G258="","",MIN(1,G258+J258/100))</f>
        <v>0.611356271747589</v>
      </c>
      <c r="M258" s="21" t="n">
        <f aca="false">ROUND(Q258*S258,0)</f>
        <v>67</v>
      </c>
      <c r="N258" s="21" t="n">
        <f aca="false">ROUND(SQRT((F258*J258/100)^2+(G258*M258)^2),0)</f>
        <v>44</v>
      </c>
      <c r="P258" s="41" t="n">
        <v>6.40828115450761</v>
      </c>
      <c r="Q258" s="42" t="n">
        <v>1055.73051508069</v>
      </c>
      <c r="R258" s="43" t="n">
        <f aca="false">MAX(0,MIN(1,P258/100+$D$5))</f>
        <v>0.592738563778253</v>
      </c>
      <c r="S258" s="43" t="n">
        <v>0.0633793435818552</v>
      </c>
      <c r="T258" s="44" t="s">
        <v>99</v>
      </c>
    </row>
    <row r="259" customFormat="false" ht="15" hidden="false" customHeight="false" outlineLevel="0" collapsed="false">
      <c r="A259" s="38" t="s">
        <v>344</v>
      </c>
      <c r="B259" s="38" t="s">
        <v>377</v>
      </c>
      <c r="C259" s="38" t="s">
        <v>381</v>
      </c>
      <c r="D259" s="21" t="n">
        <f aca="false">ROUND(Q259*R259,0)</f>
        <v>295</v>
      </c>
      <c r="E259" s="21" t="n">
        <f aca="false">ROUND(Q259,0)-D259</f>
        <v>248</v>
      </c>
      <c r="F259" s="21" t="n">
        <f aca="false">IF(COUNTA(D259:E259)=0,"",SUM(D259:E259))</f>
        <v>543</v>
      </c>
      <c r="G259" s="39" t="n">
        <f aca="false">IF(OR(F259="",F259=0),"",D259/F259)</f>
        <v>0.543278084714549</v>
      </c>
      <c r="H259" s="39" t="n">
        <f aca="false">IF(OR(F259="",F259=0),"",E259/F259)</f>
        <v>0.456721915285451</v>
      </c>
      <c r="I259" s="38" t="s">
        <v>89</v>
      </c>
      <c r="J259" s="40" t="n">
        <v>3.25434931194355</v>
      </c>
      <c r="K259" s="39" t="n">
        <f aca="false">IF(G259="","",MAX(0,G259-J259/100))</f>
        <v>0.510734591595113</v>
      </c>
      <c r="L259" s="39" t="n">
        <f aca="false">IF(G259="","",MIN(1,G259+J259/100))</f>
        <v>0.575821577833984</v>
      </c>
      <c r="M259" s="21" t="n">
        <f aca="false">ROUND(Q259*S259,0)</f>
        <v>42</v>
      </c>
      <c r="N259" s="21" t="n">
        <f aca="false">ROUND(SQRT((F259*J259/100)^2+(G259*M259)^2),0)</f>
        <v>29</v>
      </c>
      <c r="P259" s="41" t="n">
        <v>1.55032028644927</v>
      </c>
      <c r="Q259" s="42" t="n">
        <v>542.606104042274</v>
      </c>
      <c r="R259" s="43" t="n">
        <f aca="false">MAX(0,MIN(1,P259/100+$D$5))</f>
        <v>0.544158955097669</v>
      </c>
      <c r="S259" s="43" t="n">
        <v>0.0779420971553049</v>
      </c>
      <c r="T259" s="44" t="s">
        <v>90</v>
      </c>
    </row>
    <row r="260" customFormat="false" ht="15" hidden="false" customHeight="false" outlineLevel="0" collapsed="false">
      <c r="A260" s="38" t="s">
        <v>344</v>
      </c>
      <c r="B260" s="38" t="s">
        <v>377</v>
      </c>
      <c r="C260" s="38" t="s">
        <v>382</v>
      </c>
      <c r="D260" s="21" t="n">
        <f aca="false">ROUND(Q260*R260,0)</f>
        <v>498</v>
      </c>
      <c r="E260" s="21" t="n">
        <f aca="false">ROUND(Q260,0)-D260</f>
        <v>336</v>
      </c>
      <c r="F260" s="21" t="n">
        <f aca="false">IF(COUNTA(D260:E260)=0,"",SUM(D260:E260))</f>
        <v>834</v>
      </c>
      <c r="G260" s="39" t="n">
        <f aca="false">IF(OR(F260="",F260=0),"",D260/F260)</f>
        <v>0.597122302158273</v>
      </c>
      <c r="H260" s="39" t="n">
        <f aca="false">IF(OR(F260="",F260=0),"",E260/F260)</f>
        <v>0.402877697841727</v>
      </c>
      <c r="I260" s="38" t="s">
        <v>89</v>
      </c>
      <c r="J260" s="40" t="n">
        <v>1.85532414445586</v>
      </c>
      <c r="K260" s="39" t="n">
        <f aca="false">IF(G260="","",MAX(0,G260-J260/100))</f>
        <v>0.578569060713715</v>
      </c>
      <c r="L260" s="39" t="n">
        <f aca="false">IF(G260="","",MIN(1,G260+J260/100))</f>
        <v>0.615675543602832</v>
      </c>
      <c r="M260" s="21" t="n">
        <f aca="false">ROUND(Q260*S260,0)</f>
        <v>53</v>
      </c>
      <c r="N260" s="21" t="n">
        <f aca="false">ROUND(SQRT((F260*J260/100)^2+(G260*M260)^2),0)</f>
        <v>35</v>
      </c>
      <c r="P260" s="41" t="n">
        <v>6.84066443213262</v>
      </c>
      <c r="Q260" s="42" t="n">
        <v>833.83907450997</v>
      </c>
      <c r="R260" s="43" t="n">
        <f aca="false">MAX(0,MIN(1,P260/100+$D$5))</f>
        <v>0.597062396554503</v>
      </c>
      <c r="S260" s="43" t="n">
        <v>0.0633793435818552</v>
      </c>
      <c r="T260" s="44" t="s">
        <v>99</v>
      </c>
    </row>
    <row r="261" customFormat="false" ht="15" hidden="false" customHeight="false" outlineLevel="0" collapsed="false">
      <c r="A261" s="38" t="s">
        <v>344</v>
      </c>
      <c r="B261" s="38" t="s">
        <v>377</v>
      </c>
      <c r="C261" s="38" t="s">
        <v>383</v>
      </c>
      <c r="D261" s="21" t="n">
        <f aca="false">ROUND(Q261*R261,0)</f>
        <v>497</v>
      </c>
      <c r="E261" s="21" t="n">
        <f aca="false">ROUND(Q261,0)-D261</f>
        <v>389</v>
      </c>
      <c r="F261" s="21" t="n">
        <f aca="false">IF(COUNTA(D261:E261)=0,"",SUM(D261:E261))</f>
        <v>886</v>
      </c>
      <c r="G261" s="39" t="n">
        <f aca="false">IF(OR(F261="",F261=0),"",D261/F261)</f>
        <v>0.560948081264108</v>
      </c>
      <c r="H261" s="39" t="n">
        <f aca="false">IF(OR(F261="",F261=0),"",E261/F261)</f>
        <v>0.439051918735892</v>
      </c>
      <c r="I261" s="38" t="s">
        <v>89</v>
      </c>
      <c r="J261" s="40" t="n">
        <v>1.85532414445586</v>
      </c>
      <c r="K261" s="39" t="n">
        <f aca="false">IF(G261="","",MAX(0,G261-J261/100))</f>
        <v>0.54239483981955</v>
      </c>
      <c r="L261" s="39" t="n">
        <f aca="false">IF(G261="","",MIN(1,G261+J261/100))</f>
        <v>0.579501322708667</v>
      </c>
      <c r="M261" s="21" t="n">
        <f aca="false">ROUND(Q261*S261,0)</f>
        <v>56</v>
      </c>
      <c r="N261" s="21" t="n">
        <f aca="false">ROUND(SQRT((F261*J261/100)^2+(G261*M261)^2),0)</f>
        <v>35</v>
      </c>
      <c r="P261" s="41" t="n">
        <v>3.21945602259975</v>
      </c>
      <c r="Q261" s="42" t="n">
        <v>885.64065003635</v>
      </c>
      <c r="R261" s="43" t="n">
        <f aca="false">MAX(0,MIN(1,P261/100+$D$5))</f>
        <v>0.560850312459174</v>
      </c>
      <c r="S261" s="43" t="n">
        <v>0.0633793435818552</v>
      </c>
      <c r="T261" s="44" t="s">
        <v>99</v>
      </c>
    </row>
    <row r="262" customFormat="false" ht="15" hidden="false" customHeight="false" outlineLevel="0" collapsed="false">
      <c r="A262" s="38" t="s">
        <v>344</v>
      </c>
      <c r="B262" s="38" t="s">
        <v>377</v>
      </c>
      <c r="C262" s="38" t="s">
        <v>384</v>
      </c>
      <c r="D262" s="21" t="n">
        <f aca="false">ROUND(Q262*R262,0)</f>
        <v>317</v>
      </c>
      <c r="E262" s="21" t="n">
        <f aca="false">ROUND(Q262,0)-D262</f>
        <v>222</v>
      </c>
      <c r="F262" s="21" t="n">
        <f aca="false">IF(COUNTA(D262:E262)=0,"",SUM(D262:E262))</f>
        <v>539</v>
      </c>
      <c r="G262" s="39" t="n">
        <f aca="false">IF(OR(F262="",F262=0),"",D262/F262)</f>
        <v>0.588126159554731</v>
      </c>
      <c r="H262" s="39" t="n">
        <f aca="false">IF(OR(F262="",F262=0),"",E262/F262)</f>
        <v>0.411873840445269</v>
      </c>
      <c r="I262" s="38" t="s">
        <v>89</v>
      </c>
      <c r="J262" s="40" t="n">
        <v>3.25434931194355</v>
      </c>
      <c r="K262" s="39" t="n">
        <f aca="false">IF(G262="","",MAX(0,G262-J262/100))</f>
        <v>0.555582666435296</v>
      </c>
      <c r="L262" s="39" t="n">
        <f aca="false">IF(G262="","",MIN(1,G262+J262/100))</f>
        <v>0.620669652674167</v>
      </c>
      <c r="M262" s="21" t="n">
        <f aca="false">ROUND(Q262*S262,0)</f>
        <v>42</v>
      </c>
      <c r="N262" s="21" t="n">
        <f aca="false">ROUND(SQRT((F262*J262/100)^2+(G262*M262)^2),0)</f>
        <v>30</v>
      </c>
      <c r="P262" s="41" t="n">
        <v>5.98915501114373</v>
      </c>
      <c r="Q262" s="42" t="n">
        <v>539.219876194127</v>
      </c>
      <c r="R262" s="43" t="n">
        <f aca="false">MAX(0,MIN(1,P262/100+$D$5))</f>
        <v>0.588547302344614</v>
      </c>
      <c r="S262" s="43" t="n">
        <v>0.0779420971553049</v>
      </c>
      <c r="T262" s="44" t="s">
        <v>90</v>
      </c>
    </row>
    <row r="263" customFormat="false" ht="15" hidden="false" customHeight="false" outlineLevel="0" collapsed="false">
      <c r="A263" s="38" t="s">
        <v>344</v>
      </c>
      <c r="B263" s="38" t="s">
        <v>377</v>
      </c>
      <c r="C263" s="38" t="s">
        <v>385</v>
      </c>
      <c r="D263" s="21" t="n">
        <f aca="false">ROUND(Q263*R263,0)</f>
        <v>453</v>
      </c>
      <c r="E263" s="21" t="n">
        <f aca="false">ROUND(Q263,0)-D263</f>
        <v>288</v>
      </c>
      <c r="F263" s="21" t="n">
        <f aca="false">IF(COUNTA(D263:E263)=0,"",SUM(D263:E263))</f>
        <v>741</v>
      </c>
      <c r="G263" s="39" t="n">
        <f aca="false">IF(OR(F263="",F263=0),"",D263/F263)</f>
        <v>0.611336032388664</v>
      </c>
      <c r="H263" s="39" t="n">
        <f aca="false">IF(OR(F263="",F263=0),"",E263/F263)</f>
        <v>0.388663967611336</v>
      </c>
      <c r="I263" s="38" t="s">
        <v>89</v>
      </c>
      <c r="J263" s="40" t="n">
        <v>3.25434931194355</v>
      </c>
      <c r="K263" s="39" t="n">
        <f aca="false">IF(G263="","",MAX(0,G263-J263/100))</f>
        <v>0.578792539269229</v>
      </c>
      <c r="L263" s="39" t="n">
        <f aca="false">IF(G263="","",MIN(1,G263+J263/100))</f>
        <v>0.6438795255081</v>
      </c>
      <c r="M263" s="21" t="n">
        <f aca="false">ROUND(Q263*S263,0)</f>
        <v>58</v>
      </c>
      <c r="N263" s="21" t="n">
        <f aca="false">ROUND(SQRT((F263*J263/100)^2+(G263*M263)^2),0)</f>
        <v>43</v>
      </c>
      <c r="P263" s="41" t="n">
        <v>8.25351308289757</v>
      </c>
      <c r="Q263" s="42" t="n">
        <v>741.226656166189</v>
      </c>
      <c r="R263" s="43" t="n">
        <f aca="false">MAX(0,MIN(1,P263/100+$D$5))</f>
        <v>0.611190883062152</v>
      </c>
      <c r="S263" s="43" t="n">
        <v>0.0779420971553049</v>
      </c>
      <c r="T263" s="44" t="s">
        <v>90</v>
      </c>
    </row>
    <row r="264" customFormat="false" ht="15" hidden="false" customHeight="false" outlineLevel="0" collapsed="false">
      <c r="A264" s="38" t="s">
        <v>344</v>
      </c>
      <c r="B264" s="38" t="s">
        <v>377</v>
      </c>
      <c r="C264" s="38" t="s">
        <v>386</v>
      </c>
      <c r="D264" s="21" t="n">
        <f aca="false">ROUND(Q264*R264,0)</f>
        <v>278</v>
      </c>
      <c r="E264" s="21" t="n">
        <f aca="false">ROUND(Q264,0)-D264</f>
        <v>163</v>
      </c>
      <c r="F264" s="21" t="n">
        <f aca="false">IF(COUNTA(D264:E264)=0,"",SUM(D264:E264))</f>
        <v>441</v>
      </c>
      <c r="G264" s="39" t="n">
        <f aca="false">IF(OR(F264="",F264=0),"",D264/F264)</f>
        <v>0.630385487528345</v>
      </c>
      <c r="H264" s="39" t="n">
        <f aca="false">IF(OR(F264="",F264=0),"",E264/F264)</f>
        <v>0.369614512471655</v>
      </c>
      <c r="I264" s="38" t="s">
        <v>89</v>
      </c>
      <c r="J264" s="40" t="n">
        <v>3.25434931194355</v>
      </c>
      <c r="K264" s="39" t="n">
        <f aca="false">IF(G264="","",MAX(0,G264-J264/100))</f>
        <v>0.597841994408909</v>
      </c>
      <c r="L264" s="39" t="n">
        <f aca="false">IF(G264="","",MIN(1,G264+J264/100))</f>
        <v>0.66292898064778</v>
      </c>
      <c r="M264" s="21" t="n">
        <f aca="false">ROUND(Q264*S264,0)</f>
        <v>34</v>
      </c>
      <c r="N264" s="21" t="n">
        <f aca="false">ROUND(SQRT((F264*J264/100)^2+(G264*M264)^2),0)</f>
        <v>26</v>
      </c>
      <c r="P264" s="41" t="n">
        <v>10.1549694742443</v>
      </c>
      <c r="Q264" s="42" t="n">
        <v>440.807857248153</v>
      </c>
      <c r="R264" s="43" t="n">
        <f aca="false">MAX(0,MIN(1,P264/100+$D$5))</f>
        <v>0.63020544697562</v>
      </c>
      <c r="S264" s="43" t="n">
        <v>0.0779420971553049</v>
      </c>
      <c r="T264" s="44" t="s">
        <v>90</v>
      </c>
    </row>
    <row r="265" customFormat="false" ht="15" hidden="false" customHeight="false" outlineLevel="0" collapsed="false">
      <c r="A265" s="38" t="s">
        <v>344</v>
      </c>
      <c r="B265" s="38" t="s">
        <v>377</v>
      </c>
      <c r="C265" s="38" t="s">
        <v>387</v>
      </c>
      <c r="D265" s="21" t="n">
        <f aca="false">ROUND(Q265*R265,0)</f>
        <v>323</v>
      </c>
      <c r="E265" s="21" t="n">
        <f aca="false">ROUND(Q265,0)-D265</f>
        <v>266</v>
      </c>
      <c r="F265" s="21" t="n">
        <f aca="false">IF(COUNTA(D265:E265)=0,"",SUM(D265:E265))</f>
        <v>589</v>
      </c>
      <c r="G265" s="39" t="n">
        <f aca="false">IF(OR(F265="",F265=0),"",D265/F265)</f>
        <v>0.548387096774194</v>
      </c>
      <c r="H265" s="39" t="n">
        <f aca="false">IF(OR(F265="",F265=0),"",E265/F265)</f>
        <v>0.451612903225806</v>
      </c>
      <c r="I265" s="38" t="s">
        <v>89</v>
      </c>
      <c r="J265" s="40" t="n">
        <v>3.25434931194355</v>
      </c>
      <c r="K265" s="39" t="n">
        <f aca="false">IF(G265="","",MAX(0,G265-J265/100))</f>
        <v>0.515843603654758</v>
      </c>
      <c r="L265" s="39" t="n">
        <f aca="false">IF(G265="","",MIN(1,G265+J265/100))</f>
        <v>0.580930589893629</v>
      </c>
      <c r="M265" s="21" t="n">
        <f aca="false">ROUND(Q265*S265,0)</f>
        <v>46</v>
      </c>
      <c r="N265" s="21" t="n">
        <f aca="false">ROUND(SQRT((F265*J265/100)^2+(G265*M265)^2),0)</f>
        <v>32</v>
      </c>
      <c r="P265" s="41" t="n">
        <v>1.97101264772608</v>
      </c>
      <c r="Q265" s="42" t="n">
        <v>588.534132570718</v>
      </c>
      <c r="R265" s="43" t="n">
        <f aca="false">MAX(0,MIN(1,P265/100+$D$5))</f>
        <v>0.548365878710437</v>
      </c>
      <c r="S265" s="43" t="n">
        <v>0.0779420971553049</v>
      </c>
      <c r="T265" s="44" t="s">
        <v>90</v>
      </c>
    </row>
    <row r="266" customFormat="false" ht="15" hidden="false" customHeight="false" outlineLevel="0" collapsed="false">
      <c r="A266" s="38" t="s">
        <v>344</v>
      </c>
      <c r="B266" s="38" t="s">
        <v>377</v>
      </c>
      <c r="C266" s="38" t="s">
        <v>388</v>
      </c>
      <c r="D266" s="21" t="n">
        <f aca="false">ROUND(Q266*R266,0)</f>
        <v>393</v>
      </c>
      <c r="E266" s="21" t="n">
        <f aca="false">ROUND(Q266,0)-D266</f>
        <v>298</v>
      </c>
      <c r="F266" s="21" t="n">
        <f aca="false">IF(COUNTA(D266:E266)=0,"",SUM(D266:E266))</f>
        <v>691</v>
      </c>
      <c r="G266" s="39" t="n">
        <f aca="false">IF(OR(F266="",F266=0),"",D266/F266)</f>
        <v>0.568740955137482</v>
      </c>
      <c r="H266" s="39" t="n">
        <f aca="false">IF(OR(F266="",F266=0),"",E266/F266)</f>
        <v>0.431259044862518</v>
      </c>
      <c r="I266" s="38" t="s">
        <v>89</v>
      </c>
      <c r="J266" s="40" t="n">
        <v>3.25434931194355</v>
      </c>
      <c r="K266" s="39" t="n">
        <f aca="false">IF(G266="","",MAX(0,G266-J266/100))</f>
        <v>0.536197462018046</v>
      </c>
      <c r="L266" s="39" t="n">
        <f aca="false">IF(G266="","",MIN(1,G266+J266/100))</f>
        <v>0.601284448256917</v>
      </c>
      <c r="M266" s="21" t="n">
        <f aca="false">ROUND(Q266*S266,0)</f>
        <v>54</v>
      </c>
      <c r="N266" s="21" t="n">
        <f aca="false">ROUND(SQRT((F266*J266/100)^2+(G266*M266)^2),0)</f>
        <v>38</v>
      </c>
      <c r="P266" s="41" t="n">
        <v>4.06161480412369</v>
      </c>
      <c r="Q266" s="42" t="n">
        <v>690.800278500013</v>
      </c>
      <c r="R266" s="43" t="n">
        <f aca="false">MAX(0,MIN(1,P266/100+$D$5))</f>
        <v>0.569271900274414</v>
      </c>
      <c r="S266" s="43" t="n">
        <v>0.0779420971553049</v>
      </c>
      <c r="T266" s="44" t="s">
        <v>90</v>
      </c>
    </row>
    <row r="267" customFormat="false" ht="15" hidden="false" customHeight="false" outlineLevel="0" collapsed="false">
      <c r="A267" s="38" t="s">
        <v>344</v>
      </c>
      <c r="B267" s="38" t="s">
        <v>377</v>
      </c>
      <c r="C267" s="38" t="s">
        <v>389</v>
      </c>
      <c r="D267" s="21" t="n">
        <f aca="false">ROUND(Q267*R267,0)</f>
        <v>488</v>
      </c>
      <c r="E267" s="21" t="n">
        <f aca="false">ROUND(Q267,0)-D267</f>
        <v>320</v>
      </c>
      <c r="F267" s="21" t="n">
        <f aca="false">IF(COUNTA(D267:E267)=0,"",SUM(D267:E267))</f>
        <v>808</v>
      </c>
      <c r="G267" s="39" t="n">
        <f aca="false">IF(OR(F267="",F267=0),"",D267/F267)</f>
        <v>0.603960396039604</v>
      </c>
      <c r="H267" s="39" t="n">
        <f aca="false">IF(OR(F267="",F267=0),"",E267/F267)</f>
        <v>0.396039603960396</v>
      </c>
      <c r="I267" s="38" t="s">
        <v>89</v>
      </c>
      <c r="J267" s="40" t="n">
        <v>1.85532414445586</v>
      </c>
      <c r="K267" s="39" t="n">
        <f aca="false">IF(G267="","",MAX(0,G267-J267/100))</f>
        <v>0.585407154595045</v>
      </c>
      <c r="L267" s="39" t="n">
        <f aca="false">IF(G267="","",MIN(1,G267+J267/100))</f>
        <v>0.622513637484163</v>
      </c>
      <c r="M267" s="21" t="n">
        <f aca="false">ROUND(Q267*S267,0)</f>
        <v>51</v>
      </c>
      <c r="N267" s="21" t="n">
        <f aca="false">ROUND(SQRT((F267*J267/100)^2+(G267*M267)^2),0)</f>
        <v>34</v>
      </c>
      <c r="P267" s="41" t="n">
        <v>7.5265823758892</v>
      </c>
      <c r="Q267" s="42" t="n">
        <v>807.763687863595</v>
      </c>
      <c r="R267" s="43" t="n">
        <f aca="false">MAX(0,MIN(1,P267/100+$D$5))</f>
        <v>0.603921575992069</v>
      </c>
      <c r="S267" s="43" t="n">
        <v>0.0633793435818552</v>
      </c>
      <c r="T267" s="44" t="s">
        <v>99</v>
      </c>
    </row>
    <row r="268" customFormat="false" ht="15" hidden="false" customHeight="false" outlineLevel="0" collapsed="false">
      <c r="A268" s="38" t="s">
        <v>344</v>
      </c>
      <c r="B268" s="38" t="s">
        <v>377</v>
      </c>
      <c r="C268" s="38" t="s">
        <v>390</v>
      </c>
      <c r="D268" s="21" t="n">
        <f aca="false">ROUND(Q268*R268,0)</f>
        <v>401</v>
      </c>
      <c r="E268" s="21" t="n">
        <f aca="false">ROUND(Q268,0)-D268</f>
        <v>333</v>
      </c>
      <c r="F268" s="21" t="n">
        <f aca="false">IF(COUNTA(D268:E268)=0,"",SUM(D268:E268))</f>
        <v>734</v>
      </c>
      <c r="G268" s="39" t="n">
        <f aca="false">IF(OR(F268="",F268=0),"",D268/F268)</f>
        <v>0.546321525885559</v>
      </c>
      <c r="H268" s="39" t="n">
        <f aca="false">IF(OR(F268="",F268=0),"",E268/F268)</f>
        <v>0.453678474114441</v>
      </c>
      <c r="I268" s="38" t="s">
        <v>89</v>
      </c>
      <c r="J268" s="40" t="n">
        <v>3.25434931194355</v>
      </c>
      <c r="K268" s="39" t="n">
        <f aca="false">IF(G268="","",MAX(0,G268-J268/100))</f>
        <v>0.513778032766123</v>
      </c>
      <c r="L268" s="39" t="n">
        <f aca="false">IF(G268="","",MIN(1,G268+J268/100))</f>
        <v>0.578865019004994</v>
      </c>
      <c r="M268" s="21" t="n">
        <f aca="false">ROUND(Q268*S268,0)</f>
        <v>57</v>
      </c>
      <c r="N268" s="21" t="n">
        <f aca="false">ROUND(SQRT((F268*J268/100)^2+(G268*M268)^2),0)</f>
        <v>39</v>
      </c>
      <c r="P268" s="41" t="n">
        <v>1.70974423900368</v>
      </c>
      <c r="Q268" s="42" t="n">
        <v>734.086920906714</v>
      </c>
      <c r="R268" s="43" t="n">
        <f aca="false">MAX(0,MIN(1,P268/100+$D$5))</f>
        <v>0.545753194623213</v>
      </c>
      <c r="S268" s="43" t="n">
        <v>0.0779420971553049</v>
      </c>
      <c r="T268" s="44" t="s">
        <v>90</v>
      </c>
    </row>
    <row r="269" customFormat="false" ht="15" hidden="false" customHeight="false" outlineLevel="0" collapsed="false">
      <c r="A269" s="38" t="s">
        <v>344</v>
      </c>
      <c r="B269" s="38" t="s">
        <v>377</v>
      </c>
      <c r="C269" s="38" t="s">
        <v>391</v>
      </c>
      <c r="D269" s="21" t="n">
        <f aca="false">ROUND(Q269*R269,0)</f>
        <v>824</v>
      </c>
      <c r="E269" s="21" t="n">
        <f aca="false">ROUND(Q269,0)-D269</f>
        <v>548</v>
      </c>
      <c r="F269" s="21" t="n">
        <f aca="false">IF(COUNTA(D269:E269)=0,"",SUM(D269:E269))</f>
        <v>1372</v>
      </c>
      <c r="G269" s="39" t="n">
        <f aca="false">IF(OR(F269="",F269=0),"",D269/F269)</f>
        <v>0.600583090379009</v>
      </c>
      <c r="H269" s="39" t="n">
        <f aca="false">IF(OR(F269="",F269=0),"",E269/F269)</f>
        <v>0.399416909620991</v>
      </c>
      <c r="I269" s="38" t="s">
        <v>89</v>
      </c>
      <c r="J269" s="40" t="n">
        <v>1.28585670084365</v>
      </c>
      <c r="K269" s="39" t="n">
        <f aca="false">IF(G269="","",MAX(0,G269-J269/100))</f>
        <v>0.587724523370572</v>
      </c>
      <c r="L269" s="39" t="n">
        <f aca="false">IF(G269="","",MIN(1,G269+J269/100))</f>
        <v>0.613441657387445</v>
      </c>
      <c r="M269" s="21" t="n">
        <f aca="false">ROUND(Q269*S269,0)</f>
        <v>191</v>
      </c>
      <c r="N269" s="21" t="n">
        <f aca="false">ROUND(SQRT((F269*J269/100)^2+(G269*M269)^2),0)</f>
        <v>116</v>
      </c>
      <c r="P269" s="41" t="n">
        <v>7.21178363098588</v>
      </c>
      <c r="Q269" s="42" t="n">
        <v>1371.71253639297</v>
      </c>
      <c r="R269" s="43" t="n">
        <f aca="false">MAX(0,MIN(1,P269/100+$D$5))</f>
        <v>0.600773588543035</v>
      </c>
      <c r="S269" s="43" t="n">
        <v>0.139463116518417</v>
      </c>
      <c r="T269" s="44" t="s">
        <v>128</v>
      </c>
    </row>
    <row r="270" customFormat="false" ht="15" hidden="false" customHeight="false" outlineLevel="0" collapsed="false">
      <c r="A270" s="38" t="s">
        <v>344</v>
      </c>
      <c r="B270" s="38" t="s">
        <v>377</v>
      </c>
      <c r="C270" s="38" t="s">
        <v>392</v>
      </c>
      <c r="D270" s="21" t="n">
        <f aca="false">ROUND(Q270*R270,0)</f>
        <v>467</v>
      </c>
      <c r="E270" s="21" t="n">
        <f aca="false">ROUND(Q270,0)-D270</f>
        <v>387</v>
      </c>
      <c r="F270" s="21" t="n">
        <f aca="false">IF(COUNTA(D270:E270)=0,"",SUM(D270:E270))</f>
        <v>854</v>
      </c>
      <c r="G270" s="39" t="n">
        <f aca="false">IF(OR(F270="",F270=0),"",D270/F270)</f>
        <v>0.546838407494145</v>
      </c>
      <c r="H270" s="39" t="n">
        <f aca="false">IF(OR(F270="",F270=0),"",E270/F270)</f>
        <v>0.453161592505855</v>
      </c>
      <c r="I270" s="38" t="s">
        <v>89</v>
      </c>
      <c r="J270" s="40" t="n">
        <v>1.85532414445586</v>
      </c>
      <c r="K270" s="39" t="n">
        <f aca="false">IF(G270="","",MAX(0,G270-J270/100))</f>
        <v>0.528285166049587</v>
      </c>
      <c r="L270" s="39" t="n">
        <f aca="false">IF(G270="","",MIN(1,G270+J270/100))</f>
        <v>0.565391648938704</v>
      </c>
      <c r="M270" s="21" t="n">
        <f aca="false">ROUND(Q270*S270,0)</f>
        <v>54</v>
      </c>
      <c r="N270" s="21" t="n">
        <f aca="false">ROUND(SQRT((F270*J270/100)^2+(G270*M270)^2),0)</f>
        <v>34</v>
      </c>
      <c r="P270" s="41" t="n">
        <v>1.81957892842875</v>
      </c>
      <c r="Q270" s="42" t="n">
        <v>854.484917505682</v>
      </c>
      <c r="R270" s="43" t="n">
        <f aca="false">MAX(0,MIN(1,P270/100+$D$5))</f>
        <v>0.546851541517464</v>
      </c>
      <c r="S270" s="43" t="n">
        <v>0.0633793435818552</v>
      </c>
      <c r="T270" s="44" t="s">
        <v>99</v>
      </c>
    </row>
    <row r="271" customFormat="false" ht="15" hidden="false" customHeight="false" outlineLevel="0" collapsed="false">
      <c r="A271" s="38" t="s">
        <v>344</v>
      </c>
      <c r="B271" s="38" t="s">
        <v>377</v>
      </c>
      <c r="C271" s="38" t="s">
        <v>393</v>
      </c>
      <c r="D271" s="21" t="n">
        <f aca="false">ROUND(Q271*R271,0)</f>
        <v>466</v>
      </c>
      <c r="E271" s="21" t="n">
        <f aca="false">ROUND(Q271,0)-D271</f>
        <v>370</v>
      </c>
      <c r="F271" s="21" t="n">
        <f aca="false">IF(COUNTA(D271:E271)=0,"",SUM(D271:E271))</f>
        <v>836</v>
      </c>
      <c r="G271" s="39" t="n">
        <f aca="false">IF(OR(F271="",F271=0),"",D271/F271)</f>
        <v>0.557416267942584</v>
      </c>
      <c r="H271" s="39" t="n">
        <f aca="false">IF(OR(F271="",F271=0),"",E271/F271)</f>
        <v>0.442583732057416</v>
      </c>
      <c r="I271" s="38" t="s">
        <v>89</v>
      </c>
      <c r="J271" s="40" t="n">
        <v>1.85532414445586</v>
      </c>
      <c r="K271" s="39" t="n">
        <f aca="false">IF(G271="","",MAX(0,G271-J271/100))</f>
        <v>0.538863026498025</v>
      </c>
      <c r="L271" s="39" t="n">
        <f aca="false">IF(G271="","",MIN(1,G271+J271/100))</f>
        <v>0.575969509387142</v>
      </c>
      <c r="M271" s="21" t="n">
        <f aca="false">ROUND(Q271*S271,0)</f>
        <v>53</v>
      </c>
      <c r="N271" s="21" t="n">
        <f aca="false">ROUND(SQRT((F271*J271/100)^2+(G271*M271)^2),0)</f>
        <v>33</v>
      </c>
      <c r="P271" s="41" t="n">
        <v>2.96016211770957</v>
      </c>
      <c r="Q271" s="42" t="n">
        <v>835.540124484886</v>
      </c>
      <c r="R271" s="43" t="n">
        <f aca="false">MAX(0,MIN(1,P271/100+$D$5))</f>
        <v>0.558257373410272</v>
      </c>
      <c r="S271" s="43" t="n">
        <v>0.0633793435818552</v>
      </c>
      <c r="T271" s="44" t="s">
        <v>99</v>
      </c>
    </row>
    <row r="272" customFormat="false" ht="15" hidden="false" customHeight="false" outlineLevel="0" collapsed="false">
      <c r="A272" s="38" t="s">
        <v>344</v>
      </c>
      <c r="B272" s="38" t="s">
        <v>377</v>
      </c>
      <c r="C272" s="38" t="s">
        <v>394</v>
      </c>
      <c r="D272" s="21" t="n">
        <f aca="false">ROUND(Q272*R272,0)</f>
        <v>453</v>
      </c>
      <c r="E272" s="21" t="n">
        <f aca="false">ROUND(Q272,0)-D272</f>
        <v>362</v>
      </c>
      <c r="F272" s="21" t="n">
        <f aca="false">IF(COUNTA(D272:E272)=0,"",SUM(D272:E272))</f>
        <v>815</v>
      </c>
      <c r="G272" s="39" t="n">
        <f aca="false">IF(OR(F272="",F272=0),"",D272/F272)</f>
        <v>0.555828220858896</v>
      </c>
      <c r="H272" s="39" t="n">
        <f aca="false">IF(OR(F272="",F272=0),"",E272/F272)</f>
        <v>0.444171779141104</v>
      </c>
      <c r="I272" s="38" t="s">
        <v>89</v>
      </c>
      <c r="J272" s="40" t="n">
        <v>1.85532414445586</v>
      </c>
      <c r="K272" s="39" t="n">
        <f aca="false">IF(G272="","",MAX(0,G272-J272/100))</f>
        <v>0.537274979414337</v>
      </c>
      <c r="L272" s="39" t="n">
        <f aca="false">IF(G272="","",MIN(1,G272+J272/100))</f>
        <v>0.574381462303454</v>
      </c>
      <c r="M272" s="21" t="n">
        <f aca="false">ROUND(Q272*S272,0)</f>
        <v>52</v>
      </c>
      <c r="N272" s="21" t="n">
        <f aca="false">ROUND(SQRT((F272*J272/100)^2+(G272*M272)^2),0)</f>
        <v>33</v>
      </c>
      <c r="P272" s="41" t="n">
        <v>2.68815162860823</v>
      </c>
      <c r="Q272" s="42" t="n">
        <v>815.445560761538</v>
      </c>
      <c r="R272" s="43" t="n">
        <f aca="false">MAX(0,MIN(1,P272/100+$D$5))</f>
        <v>0.555537268519259</v>
      </c>
      <c r="S272" s="43" t="n">
        <v>0.0633793435818552</v>
      </c>
      <c r="T272" s="44" t="s">
        <v>99</v>
      </c>
    </row>
    <row r="273" customFormat="false" ht="15" hidden="false" customHeight="false" outlineLevel="0" collapsed="false">
      <c r="A273" s="38" t="s">
        <v>344</v>
      </c>
      <c r="B273" s="38" t="s">
        <v>395</v>
      </c>
      <c r="C273" s="38" t="s">
        <v>396</v>
      </c>
      <c r="D273" s="21" t="n">
        <f aca="false">ROUND(Q273*R273,0)</f>
        <v>862</v>
      </c>
      <c r="E273" s="21" t="n">
        <f aca="false">ROUND(Q273,0)-D273</f>
        <v>1155</v>
      </c>
      <c r="F273" s="21" t="n">
        <f aca="false">IF(COUNTA(D273:E273)=0,"",SUM(D273:E273))</f>
        <v>2017</v>
      </c>
      <c r="G273" s="39" t="n">
        <f aca="false">IF(OR(F273="",F273=0),"",D273/F273)</f>
        <v>0.427367377293009</v>
      </c>
      <c r="H273" s="39" t="n">
        <f aca="false">IF(OR(F273="",F273=0),"",E273/F273)</f>
        <v>0.572632622706991</v>
      </c>
      <c r="I273" s="38" t="s">
        <v>89</v>
      </c>
      <c r="J273" s="40" t="n">
        <v>1.28585670084365</v>
      </c>
      <c r="K273" s="39" t="n">
        <f aca="false">IF(G273="","",MAX(0,G273-J273/100))</f>
        <v>0.414508810284573</v>
      </c>
      <c r="L273" s="39" t="n">
        <f aca="false">IF(G273="","",MIN(1,G273+J273/100))</f>
        <v>0.440225944301446</v>
      </c>
      <c r="M273" s="21" t="n">
        <f aca="false">ROUND(Q273*S273,0)</f>
        <v>281</v>
      </c>
      <c r="N273" s="21" t="n">
        <f aca="false">ROUND(SQRT((F273*J273/100)^2+(G273*M273)^2),0)</f>
        <v>123</v>
      </c>
      <c r="P273" s="41" t="n">
        <v>-10.1411080357169</v>
      </c>
      <c r="Q273" s="42" t="n">
        <v>2017.08640124167</v>
      </c>
      <c r="R273" s="43" t="n">
        <f aca="false">MAX(0,MIN(1,P273/100+$D$5))</f>
        <v>0.427244671876008</v>
      </c>
      <c r="S273" s="43" t="n">
        <v>0.139463116518417</v>
      </c>
      <c r="T273" s="44" t="s">
        <v>128</v>
      </c>
    </row>
    <row r="274" customFormat="false" ht="15" hidden="false" customHeight="false" outlineLevel="0" collapsed="false">
      <c r="A274" s="38" t="s">
        <v>344</v>
      </c>
      <c r="B274" s="38" t="s">
        <v>395</v>
      </c>
      <c r="C274" s="38" t="s">
        <v>397</v>
      </c>
      <c r="D274" s="21" t="n">
        <f aca="false">ROUND(Q274*R274,0)</f>
        <v>775</v>
      </c>
      <c r="E274" s="21" t="n">
        <f aca="false">ROUND(Q274,0)-D274</f>
        <v>949</v>
      </c>
      <c r="F274" s="21" t="n">
        <f aca="false">IF(COUNTA(D274:E274)=0,"",SUM(D274:E274))</f>
        <v>1724</v>
      </c>
      <c r="G274" s="39" t="n">
        <f aca="false">IF(OR(F274="",F274=0),"",D274/F274)</f>
        <v>0.44953596287703</v>
      </c>
      <c r="H274" s="39" t="n">
        <f aca="false">IF(OR(F274="",F274=0),"",E274/F274)</f>
        <v>0.55046403712297</v>
      </c>
      <c r="I274" s="38" t="s">
        <v>89</v>
      </c>
      <c r="J274" s="40" t="n">
        <v>1.28585670084365</v>
      </c>
      <c r="K274" s="39" t="n">
        <f aca="false">IF(G274="","",MAX(0,G274-J274/100))</f>
        <v>0.436677395868594</v>
      </c>
      <c r="L274" s="39" t="n">
        <f aca="false">IF(G274="","",MIN(1,G274+J274/100))</f>
        <v>0.462394529885467</v>
      </c>
      <c r="M274" s="21" t="n">
        <f aca="false">ROUND(Q274*S274,0)</f>
        <v>240</v>
      </c>
      <c r="N274" s="21" t="n">
        <f aca="false">ROUND(SQRT((F274*J274/100)^2+(G274*M274)^2),0)</f>
        <v>110</v>
      </c>
      <c r="P274" s="41" t="n">
        <v>-7.88377856588435</v>
      </c>
      <c r="Q274" s="42" t="n">
        <v>1723.61800235547</v>
      </c>
      <c r="R274" s="43" t="n">
        <f aca="false">MAX(0,MIN(1,P274/100+$D$5))</f>
        <v>0.449817966574333</v>
      </c>
      <c r="S274" s="43" t="n">
        <v>0.139463116518417</v>
      </c>
      <c r="T274" s="44" t="s">
        <v>128</v>
      </c>
    </row>
    <row r="275" customFormat="false" ht="15" hidden="false" customHeight="false" outlineLevel="0" collapsed="false">
      <c r="A275" s="38" t="s">
        <v>344</v>
      </c>
      <c r="B275" s="38" t="s">
        <v>395</v>
      </c>
      <c r="C275" s="38" t="s">
        <v>398</v>
      </c>
      <c r="D275" s="21" t="n">
        <f aca="false">ROUND(Q275*R275,0)</f>
        <v>403</v>
      </c>
      <c r="E275" s="21" t="n">
        <f aca="false">ROUND(Q275,0)-D275</f>
        <v>628</v>
      </c>
      <c r="F275" s="21" t="n">
        <f aca="false">IF(COUNTA(D275:E275)=0,"",SUM(D275:E275))</f>
        <v>1031</v>
      </c>
      <c r="G275" s="39" t="n">
        <f aca="false">IF(OR(F275="",F275=0),"",D275/F275)</f>
        <v>0.390882638215325</v>
      </c>
      <c r="H275" s="39" t="n">
        <f aca="false">IF(OR(F275="",F275=0),"",E275/F275)</f>
        <v>0.609117361784675</v>
      </c>
      <c r="I275" s="38" t="s">
        <v>89</v>
      </c>
      <c r="J275" s="40" t="n">
        <v>1.85532414445586</v>
      </c>
      <c r="K275" s="39" t="n">
        <f aca="false">IF(G275="","",MAX(0,G275-J275/100))</f>
        <v>0.372329396770766</v>
      </c>
      <c r="L275" s="39" t="n">
        <f aca="false">IF(G275="","",MIN(1,G275+J275/100))</f>
        <v>0.409435879659884</v>
      </c>
      <c r="M275" s="21" t="n">
        <f aca="false">ROUND(Q275*S275,0)</f>
        <v>65</v>
      </c>
      <c r="N275" s="21" t="n">
        <f aca="false">ROUND(SQRT((F275*J275/100)^2+(G275*M275)^2),0)</f>
        <v>32</v>
      </c>
      <c r="P275" s="41" t="n">
        <v>-13.7337857415099</v>
      </c>
      <c r="Q275" s="42" t="n">
        <v>1030.59384797256</v>
      </c>
      <c r="R275" s="43" t="n">
        <f aca="false">MAX(0,MIN(1,P275/100+$D$5))</f>
        <v>0.391317894818078</v>
      </c>
      <c r="S275" s="43" t="n">
        <v>0.0633793435818552</v>
      </c>
      <c r="T275" s="44" t="s">
        <v>99</v>
      </c>
    </row>
    <row r="276" customFormat="false" ht="15" hidden="false" customHeight="false" outlineLevel="0" collapsed="false">
      <c r="A276" s="38" t="s">
        <v>344</v>
      </c>
      <c r="B276" s="38" t="s">
        <v>399</v>
      </c>
      <c r="C276" s="38" t="s">
        <v>399</v>
      </c>
      <c r="D276" s="21" t="n">
        <f aca="false">ROUND(Q276*R276,0)</f>
        <v>40</v>
      </c>
      <c r="E276" s="21" t="n">
        <f aca="false">ROUND(Q276,0)-D276</f>
        <v>63</v>
      </c>
      <c r="F276" s="21" t="n">
        <f aca="false">IF(COUNTA(D276:E276)=0,"",SUM(D276:E276))</f>
        <v>103</v>
      </c>
      <c r="G276" s="39" t="n">
        <f aca="false">IF(OR(F276="",F276=0),"",D276/F276)</f>
        <v>0.388349514563107</v>
      </c>
      <c r="H276" s="39" t="n">
        <f aca="false">IF(OR(F276="",F276=0),"",E276/F276)</f>
        <v>0.611650485436893</v>
      </c>
      <c r="I276" s="38" t="s">
        <v>89</v>
      </c>
      <c r="J276" s="40" t="n">
        <v>3.25434931194355</v>
      </c>
      <c r="K276" s="39" t="n">
        <f aca="false">IF(G276="","",MAX(0,G276-J276/100))</f>
        <v>0.355806021443671</v>
      </c>
      <c r="L276" s="39" t="n">
        <f aca="false">IF(G276="","",MIN(1,G276+J276/100))</f>
        <v>0.420893007682542</v>
      </c>
      <c r="M276" s="21" t="n">
        <f aca="false">ROUND(Q276*S276,0)</f>
        <v>8</v>
      </c>
      <c r="N276" s="21" t="n">
        <f aca="false">ROUND(SQRT((F276*J276/100)^2+(G276*M276)^2),0)</f>
        <v>5</v>
      </c>
      <c r="P276" s="41" t="n">
        <v>-13.7974899306088</v>
      </c>
      <c r="Q276" s="42" t="n">
        <v>103.308203468058</v>
      </c>
      <c r="R276" s="43" t="n">
        <f aca="false">MAX(0,MIN(1,P276/100+$D$5))</f>
        <v>0.390680852927089</v>
      </c>
      <c r="S276" s="43" t="n">
        <v>0.0779420971553049</v>
      </c>
      <c r="T276" s="44" t="s">
        <v>90</v>
      </c>
    </row>
    <row r="277" customFormat="false" ht="15" hidden="false" customHeight="false" outlineLevel="0" collapsed="false">
      <c r="A277" s="38" t="s">
        <v>344</v>
      </c>
      <c r="B277" s="38" t="s">
        <v>400</v>
      </c>
      <c r="C277" s="38" t="s">
        <v>401</v>
      </c>
      <c r="D277" s="21" t="n">
        <f aca="false">ROUND(Q277*R277,0)</f>
        <v>709</v>
      </c>
      <c r="E277" s="21" t="n">
        <f aca="false">ROUND(Q277,0)-D277</f>
        <v>806</v>
      </c>
      <c r="F277" s="21" t="n">
        <f aca="false">IF(COUNTA(D277:E277)=0,"",SUM(D277:E277))</f>
        <v>1515</v>
      </c>
      <c r="G277" s="39" t="n">
        <f aca="false">IF(OR(F277="",F277=0),"",D277/F277)</f>
        <v>0.467986798679868</v>
      </c>
      <c r="H277" s="39" t="n">
        <f aca="false">IF(OR(F277="",F277=0),"",E277/F277)</f>
        <v>0.532013201320132</v>
      </c>
      <c r="I277" s="38" t="s">
        <v>89</v>
      </c>
      <c r="J277" s="40" t="n">
        <v>1.28585670084365</v>
      </c>
      <c r="K277" s="39" t="n">
        <f aca="false">IF(G277="","",MAX(0,G277-J277/100))</f>
        <v>0.455128231671431</v>
      </c>
      <c r="L277" s="39" t="n">
        <f aca="false">IF(G277="","",MIN(1,G277+J277/100))</f>
        <v>0.480845365688305</v>
      </c>
      <c r="M277" s="21" t="n">
        <f aca="false">ROUND(Q277*S277,0)</f>
        <v>211</v>
      </c>
      <c r="N277" s="21" t="n">
        <f aca="false">ROUND(SQRT((F277*J277/100)^2+(G277*M277)^2),0)</f>
        <v>101</v>
      </c>
      <c r="P277" s="41" t="n">
        <v>-6.05118397269875</v>
      </c>
      <c r="Q277" s="42" t="n">
        <v>1515.09574107635</v>
      </c>
      <c r="R277" s="43" t="n">
        <f aca="false">MAX(0,MIN(1,P277/100+$D$5))</f>
        <v>0.468143912506189</v>
      </c>
      <c r="S277" s="43" t="n">
        <v>0.139463116518417</v>
      </c>
      <c r="T277" s="44" t="s">
        <v>128</v>
      </c>
    </row>
    <row r="278" customFormat="false" ht="15" hidden="false" customHeight="false" outlineLevel="0" collapsed="false">
      <c r="A278" s="38" t="s">
        <v>344</v>
      </c>
      <c r="B278" s="38" t="s">
        <v>400</v>
      </c>
      <c r="C278" s="38" t="s">
        <v>402</v>
      </c>
      <c r="D278" s="21" t="n">
        <f aca="false">ROUND(Q278*R278,0)</f>
        <v>663</v>
      </c>
      <c r="E278" s="21" t="n">
        <f aca="false">ROUND(Q278,0)-D278</f>
        <v>682</v>
      </c>
      <c r="F278" s="21" t="n">
        <f aca="false">IF(COUNTA(D278:E278)=0,"",SUM(D278:E278))</f>
        <v>1345</v>
      </c>
      <c r="G278" s="39" t="n">
        <f aca="false">IF(OR(F278="",F278=0),"",D278/F278)</f>
        <v>0.492936802973978</v>
      </c>
      <c r="H278" s="39" t="n">
        <f aca="false">IF(OR(F278="",F278=0),"",E278/F278)</f>
        <v>0.507063197026022</v>
      </c>
      <c r="I278" s="38" t="s">
        <v>89</v>
      </c>
      <c r="J278" s="40" t="n">
        <v>1.28585670084365</v>
      </c>
      <c r="K278" s="39" t="n">
        <f aca="false">IF(G278="","",MAX(0,G278-J278/100))</f>
        <v>0.480078235965541</v>
      </c>
      <c r="L278" s="39" t="n">
        <f aca="false">IF(G278="","",MIN(1,G278+J278/100))</f>
        <v>0.505795369982414</v>
      </c>
      <c r="M278" s="21" t="n">
        <f aca="false">ROUND(Q278*S278,0)</f>
        <v>188</v>
      </c>
      <c r="N278" s="21" t="n">
        <f aca="false">ROUND(SQRT((F278*J278/100)^2+(G278*M278)^2),0)</f>
        <v>94</v>
      </c>
      <c r="P278" s="41" t="n">
        <v>-3.56080336949576</v>
      </c>
      <c r="Q278" s="42" t="n">
        <v>1345.16279941106</v>
      </c>
      <c r="R278" s="43" t="n">
        <f aca="false">MAX(0,MIN(1,P278/100+$D$5))</f>
        <v>0.493047718538219</v>
      </c>
      <c r="S278" s="43" t="n">
        <v>0.139463116518417</v>
      </c>
      <c r="T278" s="44" t="s">
        <v>128</v>
      </c>
    </row>
    <row r="279" customFormat="false" ht="15" hidden="false" customHeight="false" outlineLevel="0" collapsed="false">
      <c r="A279" s="38" t="s">
        <v>344</v>
      </c>
      <c r="B279" s="38" t="s">
        <v>403</v>
      </c>
      <c r="C279" s="38" t="s">
        <v>403</v>
      </c>
      <c r="D279" s="21" t="n">
        <f aca="false">ROUND(Q279*R279,0)</f>
        <v>176</v>
      </c>
      <c r="E279" s="21" t="n">
        <f aca="false">ROUND(Q279,0)-D279</f>
        <v>225</v>
      </c>
      <c r="F279" s="21" t="n">
        <f aca="false">IF(COUNTA(D279:E279)=0,"",SUM(D279:E279))</f>
        <v>401</v>
      </c>
      <c r="G279" s="39" t="n">
        <f aca="false">IF(OR(F279="",F279=0),"",D279/F279)</f>
        <v>0.438902743142145</v>
      </c>
      <c r="H279" s="39" t="n">
        <f aca="false">IF(OR(F279="",F279=0),"",E279/F279)</f>
        <v>0.561097256857855</v>
      </c>
      <c r="I279" s="38" t="s">
        <v>89</v>
      </c>
      <c r="J279" s="40" t="n">
        <v>3.25434931194355</v>
      </c>
      <c r="K279" s="39" t="n">
        <f aca="false">IF(G279="","",MAX(0,G279-J279/100))</f>
        <v>0.406359250022709</v>
      </c>
      <c r="L279" s="39" t="n">
        <f aca="false">IF(G279="","",MIN(1,G279+J279/100))</f>
        <v>0.47144623626158</v>
      </c>
      <c r="M279" s="21" t="n">
        <f aca="false">ROUND(Q279*S279,0)</f>
        <v>31</v>
      </c>
      <c r="N279" s="21" t="n">
        <f aca="false">ROUND(SQRT((F279*J279/100)^2+(G279*M279)^2),0)</f>
        <v>19</v>
      </c>
      <c r="P279" s="41" t="n">
        <v>-8.86866285482925</v>
      </c>
      <c r="Q279" s="42" t="n">
        <v>400.8381819353</v>
      </c>
      <c r="R279" s="43" t="n">
        <f aca="false">MAX(0,MIN(1,P279/100+$D$5))</f>
        <v>0.439969123684884</v>
      </c>
      <c r="S279" s="43" t="n">
        <v>0.0779420971553049</v>
      </c>
      <c r="T279" s="44" t="s">
        <v>90</v>
      </c>
    </row>
    <row r="280" customFormat="false" ht="15" hidden="false" customHeight="false" outlineLevel="0" collapsed="false">
      <c r="A280" s="38" t="s">
        <v>344</v>
      </c>
      <c r="B280" s="38" t="s">
        <v>404</v>
      </c>
      <c r="C280" s="38" t="s">
        <v>405</v>
      </c>
      <c r="D280" s="21" t="n">
        <f aca="false">ROUND(Q280*R280,0)</f>
        <v>608</v>
      </c>
      <c r="E280" s="21" t="n">
        <f aca="false">ROUND(Q280,0)-D280</f>
        <v>342</v>
      </c>
      <c r="F280" s="21" t="n">
        <f aca="false">IF(COUNTA(D280:E280)=0,"",SUM(D280:E280))</f>
        <v>950</v>
      </c>
      <c r="G280" s="39" t="n">
        <f aca="false">IF(OR(F280="",F280=0),"",D280/F280)</f>
        <v>0.64</v>
      </c>
      <c r="H280" s="39" t="n">
        <f aca="false">IF(OR(F280="",F280=0),"",E280/F280)</f>
        <v>0.36</v>
      </c>
      <c r="I280" s="38" t="s">
        <v>191</v>
      </c>
      <c r="J280" s="40" t="n">
        <v>1.85532414445586</v>
      </c>
      <c r="K280" s="39" t="n">
        <f aca="false">IF(G280="","",MAX(0,G280-J280/100))</f>
        <v>0.621446758555441</v>
      </c>
      <c r="L280" s="39" t="n">
        <f aca="false">IF(G280="","",MIN(1,G280+J280/100))</f>
        <v>0.658553241444559</v>
      </c>
      <c r="M280" s="21" t="n">
        <f aca="false">ROUND(Q280*S280,0)</f>
        <v>60</v>
      </c>
      <c r="N280" s="21" t="n">
        <f aca="false">ROUND(SQRT((F280*J280/100)^2+(G280*M280)^2),0)</f>
        <v>42</v>
      </c>
      <c r="P280" s="41" t="n">
        <v>11.1807139150851</v>
      </c>
      <c r="Q280" s="42" t="n">
        <v>949.511038991395</v>
      </c>
      <c r="R280" s="43" t="n">
        <f aca="false">MAX(0,MIN(1,P280/100+$D$5))</f>
        <v>0.640462891384028</v>
      </c>
      <c r="S280" s="43" t="n">
        <v>0.0633793435818552</v>
      </c>
      <c r="T280" s="44" t="s">
        <v>99</v>
      </c>
    </row>
    <row r="281" customFormat="false" ht="15" hidden="false" customHeight="false" outlineLevel="0" collapsed="false">
      <c r="A281" s="38" t="s">
        <v>344</v>
      </c>
      <c r="B281" s="38" t="s">
        <v>404</v>
      </c>
      <c r="C281" s="38" t="s">
        <v>406</v>
      </c>
      <c r="D281" s="21" t="n">
        <f aca="false">ROUND(Q281*R281,0)</f>
        <v>398</v>
      </c>
      <c r="E281" s="21" t="n">
        <f aca="false">ROUND(Q281,0)-D281</f>
        <v>200</v>
      </c>
      <c r="F281" s="21" t="n">
        <f aca="false">IF(COUNTA(D281:E281)=0,"",SUM(D281:E281))</f>
        <v>598</v>
      </c>
      <c r="G281" s="39" t="n">
        <f aca="false">IF(OR(F281="",F281=0),"",D281/F281)</f>
        <v>0.665551839464883</v>
      </c>
      <c r="H281" s="39" t="n">
        <f aca="false">IF(OR(F281="",F281=0),"",E281/F281)</f>
        <v>0.334448160535117</v>
      </c>
      <c r="I281" s="38" t="s">
        <v>89</v>
      </c>
      <c r="J281" s="40" t="n">
        <v>3.25434931194355</v>
      </c>
      <c r="K281" s="39" t="n">
        <f aca="false">IF(G281="","",MAX(0,G281-J281/100))</f>
        <v>0.633008346345447</v>
      </c>
      <c r="L281" s="39" t="n">
        <f aca="false">IF(G281="","",MIN(1,G281+J281/100))</f>
        <v>0.698095332584318</v>
      </c>
      <c r="M281" s="21" t="n">
        <f aca="false">ROUND(Q281*S281,0)</f>
        <v>47</v>
      </c>
      <c r="N281" s="21" t="n">
        <f aca="false">ROUND(SQRT((F281*J281/100)^2+(G281*M281)^2),0)</f>
        <v>37</v>
      </c>
      <c r="P281" s="41" t="n">
        <v>13.6710613313982</v>
      </c>
      <c r="Q281" s="42" t="n">
        <v>598.127995463998</v>
      </c>
      <c r="R281" s="43" t="n">
        <f aca="false">MAX(0,MIN(1,P281/100+$D$5))</f>
        <v>0.665366365547159</v>
      </c>
      <c r="S281" s="43" t="n">
        <v>0.0779420971553049</v>
      </c>
      <c r="T281" s="44" t="s">
        <v>90</v>
      </c>
    </row>
    <row r="282" customFormat="false" ht="15" hidden="false" customHeight="false" outlineLevel="0" collapsed="false">
      <c r="A282" s="38" t="s">
        <v>344</v>
      </c>
      <c r="B282" s="38" t="s">
        <v>404</v>
      </c>
      <c r="C282" s="38" t="s">
        <v>407</v>
      </c>
      <c r="D282" s="21" t="n">
        <f aca="false">ROUND(Q282*R282,0)</f>
        <v>473</v>
      </c>
      <c r="E282" s="21" t="n">
        <f aca="false">ROUND(Q282,0)-D282</f>
        <v>169</v>
      </c>
      <c r="F282" s="21" t="n">
        <f aca="false">IF(COUNTA(D282:E282)=0,"",SUM(D282:E282))</f>
        <v>642</v>
      </c>
      <c r="G282" s="39" t="n">
        <f aca="false">IF(OR(F282="",F282=0),"",D282/F282)</f>
        <v>0.736760124610592</v>
      </c>
      <c r="H282" s="39" t="n">
        <f aca="false">IF(OR(F282="",F282=0),"",E282/F282)</f>
        <v>0.263239875389408</v>
      </c>
      <c r="I282" s="38" t="s">
        <v>89</v>
      </c>
      <c r="J282" s="40" t="n">
        <v>3.25434931194355</v>
      </c>
      <c r="K282" s="39" t="n">
        <f aca="false">IF(G282="","",MAX(0,G282-J282/100))</f>
        <v>0.704216631491156</v>
      </c>
      <c r="L282" s="39" t="n">
        <f aca="false">IF(G282="","",MIN(1,G282+J282/100))</f>
        <v>0.769303617730027</v>
      </c>
      <c r="M282" s="21" t="n">
        <f aca="false">ROUND(Q282*S282,0)</f>
        <v>50</v>
      </c>
      <c r="N282" s="21" t="n">
        <f aca="false">ROUND(SQRT((F282*J282/100)^2+(G282*M282)^2),0)</f>
        <v>42</v>
      </c>
      <c r="P282" s="41" t="n">
        <v>20.8372313944924</v>
      </c>
      <c r="Q282" s="42" t="n">
        <v>642.338154960191</v>
      </c>
      <c r="R282" s="43" t="n">
        <f aca="false">MAX(0,MIN(1,P282/100+$D$5))</f>
        <v>0.737028066178101</v>
      </c>
      <c r="S282" s="43" t="n">
        <v>0.0779420971553049</v>
      </c>
      <c r="T282" s="44" t="s">
        <v>90</v>
      </c>
    </row>
    <row r="283" customFormat="false" ht="15" hidden="false" customHeight="false" outlineLevel="0" collapsed="false">
      <c r="A283" s="38" t="s">
        <v>344</v>
      </c>
      <c r="B283" s="38" t="s">
        <v>404</v>
      </c>
      <c r="C283" s="38" t="s">
        <v>408</v>
      </c>
      <c r="D283" s="21" t="n">
        <f aca="false">ROUND(Q283*R283,0)</f>
        <v>696</v>
      </c>
      <c r="E283" s="21" t="n">
        <f aca="false">ROUND(Q283,0)-D283</f>
        <v>222</v>
      </c>
      <c r="F283" s="21" t="n">
        <f aca="false">IF(COUNTA(D283:E283)=0,"",SUM(D283:E283))</f>
        <v>918</v>
      </c>
      <c r="G283" s="39" t="n">
        <f aca="false">IF(OR(F283="",F283=0),"",D283/F283)</f>
        <v>0.758169934640523</v>
      </c>
      <c r="H283" s="39" t="n">
        <f aca="false">IF(OR(F283="",F283=0),"",E283/F283)</f>
        <v>0.241830065359477</v>
      </c>
      <c r="I283" s="38" t="s">
        <v>89</v>
      </c>
      <c r="J283" s="40" t="n">
        <v>1.85532414445586</v>
      </c>
      <c r="K283" s="39" t="n">
        <f aca="false">IF(G283="","",MAX(0,G283-J283/100))</f>
        <v>0.739616693195964</v>
      </c>
      <c r="L283" s="39" t="n">
        <f aca="false">IF(G283="","",MIN(1,G283+J283/100))</f>
        <v>0.776723176085082</v>
      </c>
      <c r="M283" s="21" t="n">
        <f aca="false">ROUND(Q283*S283,0)</f>
        <v>58</v>
      </c>
      <c r="N283" s="21" t="n">
        <f aca="false">ROUND(SQRT((F283*J283/100)^2+(G283*M283)^2),0)</f>
        <v>47</v>
      </c>
      <c r="P283" s="41" t="n">
        <v>22.9215739993858</v>
      </c>
      <c r="Q283" s="42" t="n">
        <v>918.252835096964</v>
      </c>
      <c r="R283" s="43" t="n">
        <f aca="false">MAX(0,MIN(1,P283/100+$D$5))</f>
        <v>0.757871492227035</v>
      </c>
      <c r="S283" s="43" t="n">
        <v>0.0633793435818552</v>
      </c>
      <c r="T283" s="44" t="s">
        <v>99</v>
      </c>
    </row>
    <row r="284" customFormat="false" ht="15" hidden="false" customHeight="false" outlineLevel="0" collapsed="false">
      <c r="A284" s="38" t="s">
        <v>344</v>
      </c>
      <c r="B284" s="38" t="s">
        <v>404</v>
      </c>
      <c r="C284" s="38" t="s">
        <v>409</v>
      </c>
      <c r="D284" s="21" t="n">
        <f aca="false">ROUND(Q284*R284,0)</f>
        <v>529</v>
      </c>
      <c r="E284" s="21" t="n">
        <f aca="false">ROUND(Q284,0)-D284</f>
        <v>128</v>
      </c>
      <c r="F284" s="21" t="n">
        <f aca="false">IF(COUNTA(D284:E284)=0,"",SUM(D284:E284))</f>
        <v>657</v>
      </c>
      <c r="G284" s="39" t="n">
        <f aca="false">IF(OR(F284="",F284=0),"",D284/F284)</f>
        <v>0.80517503805175</v>
      </c>
      <c r="H284" s="39" t="n">
        <f aca="false">IF(OR(F284="",F284=0),"",E284/F284)</f>
        <v>0.19482496194825</v>
      </c>
      <c r="I284" s="38" t="s">
        <v>89</v>
      </c>
      <c r="J284" s="40" t="n">
        <v>3.25434931194355</v>
      </c>
      <c r="K284" s="39" t="n">
        <f aca="false">IF(G284="","",MAX(0,G284-J284/100))</f>
        <v>0.772631544932315</v>
      </c>
      <c r="L284" s="39" t="n">
        <f aca="false">IF(G284="","",MIN(1,G284+J284/100))</f>
        <v>0.837718531171186</v>
      </c>
      <c r="M284" s="21" t="n">
        <f aca="false">ROUND(Q284*S284,0)</f>
        <v>51</v>
      </c>
      <c r="N284" s="21" t="n">
        <f aca="false">ROUND(SQRT((F284*J284/100)^2+(G284*M284)^2),0)</f>
        <v>46</v>
      </c>
      <c r="P284" s="41" t="n">
        <v>27.6524117226454</v>
      </c>
      <c r="Q284" s="42" t="n">
        <v>656.855463564752</v>
      </c>
      <c r="R284" s="43" t="n">
        <f aca="false">MAX(0,MIN(1,P284/100+$D$5))</f>
        <v>0.805179869459631</v>
      </c>
      <c r="S284" s="43" t="n">
        <v>0.0779420971553049</v>
      </c>
      <c r="T284" s="44" t="s">
        <v>90</v>
      </c>
    </row>
    <row r="285" customFormat="false" ht="15" hidden="false" customHeight="false" outlineLevel="0" collapsed="false">
      <c r="A285" s="38" t="s">
        <v>344</v>
      </c>
      <c r="B285" s="38" t="s">
        <v>404</v>
      </c>
      <c r="C285" s="38" t="s">
        <v>410</v>
      </c>
      <c r="D285" s="21" t="n">
        <f aca="false">ROUND(Q285*R285,0)</f>
        <v>520</v>
      </c>
      <c r="E285" s="21" t="n">
        <f aca="false">ROUND(Q285,0)-D285</f>
        <v>204</v>
      </c>
      <c r="F285" s="21" t="n">
        <f aca="false">IF(COUNTA(D285:E285)=0,"",SUM(D285:E285))</f>
        <v>724</v>
      </c>
      <c r="G285" s="39" t="n">
        <f aca="false">IF(OR(F285="",F285=0),"",D285/F285)</f>
        <v>0.718232044198895</v>
      </c>
      <c r="H285" s="39" t="n">
        <f aca="false">IF(OR(F285="",F285=0),"",E285/F285)</f>
        <v>0.281767955801105</v>
      </c>
      <c r="I285" s="38" t="s">
        <v>89</v>
      </c>
      <c r="J285" s="40" t="n">
        <v>3.25434931194355</v>
      </c>
      <c r="K285" s="39" t="n">
        <f aca="false">IF(G285="","",MAX(0,G285-J285/100))</f>
        <v>0.68568855107946</v>
      </c>
      <c r="L285" s="39" t="n">
        <f aca="false">IF(G285="","",MIN(1,G285+J285/100))</f>
        <v>0.750775537318331</v>
      </c>
      <c r="M285" s="21" t="n">
        <f aca="false">ROUND(Q285*S285,0)</f>
        <v>56</v>
      </c>
      <c r="N285" s="21" t="n">
        <f aca="false">ROUND(SQRT((F285*J285/100)^2+(G285*M285)^2),0)</f>
        <v>47</v>
      </c>
      <c r="P285" s="41" t="n">
        <v>18.8860372325862</v>
      </c>
      <c r="Q285" s="42" t="n">
        <v>724.042541614798</v>
      </c>
      <c r="R285" s="43" t="n">
        <f aca="false">MAX(0,MIN(1,P285/100+$D$5))</f>
        <v>0.717516124559039</v>
      </c>
      <c r="S285" s="43" t="n">
        <v>0.0779420971553049</v>
      </c>
      <c r="T285" s="44" t="s">
        <v>90</v>
      </c>
    </row>
    <row r="286" customFormat="false" ht="15" hidden="false" customHeight="false" outlineLevel="0" collapsed="false">
      <c r="A286" s="38" t="s">
        <v>344</v>
      </c>
      <c r="B286" s="38" t="s">
        <v>404</v>
      </c>
      <c r="C286" s="38" t="s">
        <v>411</v>
      </c>
      <c r="D286" s="21" t="n">
        <f aca="false">ROUND(Q286*R286,0)</f>
        <v>364</v>
      </c>
      <c r="E286" s="21" t="n">
        <f aca="false">ROUND(Q286,0)-D286</f>
        <v>157</v>
      </c>
      <c r="F286" s="21" t="n">
        <f aca="false">IF(COUNTA(D286:E286)=0,"",SUM(D286:E286))</f>
        <v>521</v>
      </c>
      <c r="G286" s="39" t="n">
        <f aca="false">IF(OR(F286="",F286=0),"",D286/F286)</f>
        <v>0.698656429942418</v>
      </c>
      <c r="H286" s="39" t="n">
        <f aca="false">IF(OR(F286="",F286=0),"",E286/F286)</f>
        <v>0.301343570057582</v>
      </c>
      <c r="I286" s="38" t="s">
        <v>89</v>
      </c>
      <c r="J286" s="40" t="n">
        <v>3.25434931194355</v>
      </c>
      <c r="K286" s="39" t="n">
        <f aca="false">IF(G286="","",MAX(0,G286-J286/100))</f>
        <v>0.666112936822983</v>
      </c>
      <c r="L286" s="39" t="n">
        <f aca="false">IF(G286="","",MIN(1,G286+J286/100))</f>
        <v>0.731199923061854</v>
      </c>
      <c r="M286" s="21" t="n">
        <f aca="false">ROUND(Q286*S286,0)</f>
        <v>41</v>
      </c>
      <c r="N286" s="21" t="n">
        <f aca="false">ROUND(SQRT((F286*J286/100)^2+(G286*M286)^2),0)</f>
        <v>33</v>
      </c>
      <c r="P286" s="41" t="n">
        <v>16.9924650852719</v>
      </c>
      <c r="Q286" s="42" t="n">
        <v>520.586773125293</v>
      </c>
      <c r="R286" s="43" t="n">
        <f aca="false">MAX(0,MIN(1,P286/100+$D$5))</f>
        <v>0.698580403085896</v>
      </c>
      <c r="S286" s="43" t="n">
        <v>0.0779420971553049</v>
      </c>
      <c r="T286" s="44" t="s">
        <v>90</v>
      </c>
    </row>
    <row r="287" customFormat="false" ht="15" hidden="false" customHeight="false" outlineLevel="0" collapsed="false">
      <c r="A287" s="38" t="s">
        <v>344</v>
      </c>
      <c r="B287" s="38" t="s">
        <v>404</v>
      </c>
      <c r="C287" s="38" t="s">
        <v>412</v>
      </c>
      <c r="D287" s="21" t="n">
        <f aca="false">ROUND(Q287*R287,0)</f>
        <v>154</v>
      </c>
      <c r="E287" s="21" t="n">
        <f aca="false">ROUND(Q287,0)-D287</f>
        <v>53</v>
      </c>
      <c r="F287" s="21" t="n">
        <f aca="false">IF(COUNTA(D287:E287)=0,"",SUM(D287:E287))</f>
        <v>207</v>
      </c>
      <c r="G287" s="39" t="n">
        <f aca="false">IF(OR(F287="",F287=0),"",D287/F287)</f>
        <v>0.743961352657005</v>
      </c>
      <c r="H287" s="39" t="n">
        <f aca="false">IF(OR(F287="",F287=0),"",E287/F287)</f>
        <v>0.256038647342995</v>
      </c>
      <c r="I287" s="38" t="s">
        <v>89</v>
      </c>
      <c r="J287" s="40" t="n">
        <v>3.25434931194355</v>
      </c>
      <c r="K287" s="39" t="n">
        <f aca="false">IF(G287="","",MAX(0,G287-J287/100))</f>
        <v>0.711417859537569</v>
      </c>
      <c r="L287" s="39" t="n">
        <f aca="false">IF(G287="","",MIN(1,G287+J287/100))</f>
        <v>0.77650484577644</v>
      </c>
      <c r="M287" s="21" t="n">
        <f aca="false">ROUND(Q287*S287,0)</f>
        <v>16</v>
      </c>
      <c r="N287" s="21" t="n">
        <f aca="false">ROUND(SQRT((F287*J287/100)^2+(G287*M287)^2),0)</f>
        <v>14</v>
      </c>
      <c r="P287" s="41" t="n">
        <v>21.5818822986461</v>
      </c>
      <c r="Q287" s="42" t="n">
        <v>206.850097718563</v>
      </c>
      <c r="R287" s="43" t="n">
        <f aca="false">MAX(0,MIN(1,P287/100+$D$5))</f>
        <v>0.744474575219637</v>
      </c>
      <c r="S287" s="43" t="n">
        <v>0.0779420971553049</v>
      </c>
      <c r="T287" s="44" t="s">
        <v>90</v>
      </c>
    </row>
    <row r="288" customFormat="false" ht="15" hidden="false" customHeight="false" outlineLevel="0" collapsed="false">
      <c r="A288" s="38" t="s">
        <v>344</v>
      </c>
      <c r="B288" s="38" t="s">
        <v>404</v>
      </c>
      <c r="C288" s="38" t="s">
        <v>413</v>
      </c>
      <c r="D288" s="21" t="n">
        <f aca="false">ROUND(Q288*R288,0)</f>
        <v>217</v>
      </c>
      <c r="E288" s="21" t="n">
        <f aca="false">ROUND(Q288,0)-D288</f>
        <v>75</v>
      </c>
      <c r="F288" s="21" t="n">
        <f aca="false">IF(COUNTA(D288:E288)=0,"",SUM(D288:E288))</f>
        <v>292</v>
      </c>
      <c r="G288" s="39" t="n">
        <f aca="false">IF(OR(F288="",F288=0),"",D288/F288)</f>
        <v>0.743150684931507</v>
      </c>
      <c r="H288" s="39" t="n">
        <f aca="false">IF(OR(F288="",F288=0),"",E288/F288)</f>
        <v>0.256849315068493</v>
      </c>
      <c r="I288" s="38" t="s">
        <v>89</v>
      </c>
      <c r="J288" s="40" t="n">
        <v>3.25434931194355</v>
      </c>
      <c r="K288" s="39" t="n">
        <f aca="false">IF(G288="","",MAX(0,G288-J288/100))</f>
        <v>0.710607191812071</v>
      </c>
      <c r="L288" s="39" t="n">
        <f aca="false">IF(G288="","",MIN(1,G288+J288/100))</f>
        <v>0.775694178050942</v>
      </c>
      <c r="M288" s="21" t="n">
        <f aca="false">ROUND(Q288*S288,0)</f>
        <v>23</v>
      </c>
      <c r="N288" s="21" t="n">
        <f aca="false">ROUND(SQRT((F288*J288/100)^2+(G288*M288)^2),0)</f>
        <v>20</v>
      </c>
      <c r="P288" s="41" t="n">
        <v>21.2525477273179</v>
      </c>
      <c r="Q288" s="42" t="n">
        <v>292.239501041408</v>
      </c>
      <c r="R288" s="43" t="n">
        <f aca="false">MAX(0,MIN(1,P288/100+$D$5))</f>
        <v>0.741181229506355</v>
      </c>
      <c r="S288" s="43" t="n">
        <v>0.0779420971553049</v>
      </c>
      <c r="T288" s="44" t="s">
        <v>90</v>
      </c>
    </row>
    <row r="289" customFormat="false" ht="15" hidden="false" customHeight="false" outlineLevel="0" collapsed="false">
      <c r="A289" s="38" t="s">
        <v>344</v>
      </c>
      <c r="B289" s="38" t="s">
        <v>404</v>
      </c>
      <c r="C289" s="38" t="s">
        <v>414</v>
      </c>
      <c r="D289" s="21" t="n">
        <f aca="false">ROUND(Q289*R289,0)</f>
        <v>229</v>
      </c>
      <c r="E289" s="21" t="n">
        <f aca="false">ROUND(Q289,0)-D289</f>
        <v>92</v>
      </c>
      <c r="F289" s="21" t="n">
        <f aca="false">IF(COUNTA(D289:E289)=0,"",SUM(D289:E289))</f>
        <v>321</v>
      </c>
      <c r="G289" s="39" t="n">
        <f aca="false">IF(OR(F289="",F289=0),"",D289/F289)</f>
        <v>0.713395638629284</v>
      </c>
      <c r="H289" s="39" t="n">
        <f aca="false">IF(OR(F289="",F289=0),"",E289/F289)</f>
        <v>0.286604361370717</v>
      </c>
      <c r="I289" s="38" t="s">
        <v>89</v>
      </c>
      <c r="J289" s="40" t="n">
        <v>3.25434931194355</v>
      </c>
      <c r="K289" s="39" t="n">
        <f aca="false">IF(G289="","",MAX(0,G289-J289/100))</f>
        <v>0.680852145509848</v>
      </c>
      <c r="L289" s="39" t="n">
        <f aca="false">IF(G289="","",MIN(1,G289+J289/100))</f>
        <v>0.745939131748719</v>
      </c>
      <c r="M289" s="21" t="n">
        <f aca="false">ROUND(Q289*S289,0)</f>
        <v>25</v>
      </c>
      <c r="N289" s="21" t="n">
        <f aca="false">ROUND(SQRT((F289*J289/100)^2+(G289*M289)^2),0)</f>
        <v>21</v>
      </c>
      <c r="P289" s="41" t="n">
        <v>18.323419555419</v>
      </c>
      <c r="Q289" s="42" t="n">
        <v>321.249270998678</v>
      </c>
      <c r="R289" s="43" t="n">
        <f aca="false">MAX(0,MIN(1,P289/100+$D$5))</f>
        <v>0.711889947787366</v>
      </c>
      <c r="S289" s="43" t="n">
        <v>0.0779420971553049</v>
      </c>
      <c r="T289" s="44" t="s">
        <v>90</v>
      </c>
    </row>
    <row r="290" customFormat="false" ht="15" hidden="false" customHeight="false" outlineLevel="0" collapsed="false">
      <c r="A290" s="38" t="s">
        <v>344</v>
      </c>
      <c r="B290" s="38" t="s">
        <v>404</v>
      </c>
      <c r="C290" s="38" t="s">
        <v>415</v>
      </c>
      <c r="D290" s="21" t="n">
        <f aca="false">ROUND(Q290*R290,0)</f>
        <v>629</v>
      </c>
      <c r="E290" s="21" t="n">
        <f aca="false">ROUND(Q290,0)-D290</f>
        <v>328</v>
      </c>
      <c r="F290" s="21" t="n">
        <f aca="false">IF(COUNTA(D290:E290)=0,"",SUM(D290:E290))</f>
        <v>957</v>
      </c>
      <c r="G290" s="39" t="n">
        <f aca="false">IF(OR(F290="",F290=0),"",D290/F290)</f>
        <v>0.657262277951933</v>
      </c>
      <c r="H290" s="39" t="n">
        <f aca="false">IF(OR(F290="",F290=0),"",E290/F290)</f>
        <v>0.342737722048067</v>
      </c>
      <c r="I290" s="38" t="s">
        <v>191</v>
      </c>
      <c r="J290" s="40" t="n">
        <v>1.85532414445586</v>
      </c>
      <c r="K290" s="39" t="n">
        <f aca="false">IF(G290="","",MAX(0,G290-J290/100))</f>
        <v>0.638709036507375</v>
      </c>
      <c r="L290" s="39" t="n">
        <f aca="false">IF(G290="","",MIN(1,G290+J290/100))</f>
        <v>0.675815519396492</v>
      </c>
      <c r="M290" s="21" t="n">
        <f aca="false">ROUND(Q290*S290,0)</f>
        <v>61</v>
      </c>
      <c r="N290" s="21" t="n">
        <f aca="false">ROUND(SQRT((F290*J290/100)^2+(G290*M290)^2),0)</f>
        <v>44</v>
      </c>
      <c r="P290" s="41" t="n">
        <v>12.8884897726167</v>
      </c>
      <c r="Q290" s="42" t="n">
        <v>956.849126344687</v>
      </c>
      <c r="R290" s="43" t="n">
        <f aca="false">MAX(0,MIN(1,P290/100+$D$5))</f>
        <v>0.657540649959344</v>
      </c>
      <c r="S290" s="43" t="n">
        <v>0.0633793435818552</v>
      </c>
      <c r="T290" s="44" t="s">
        <v>99</v>
      </c>
    </row>
    <row r="291" customFormat="false" ht="15" hidden="false" customHeight="false" outlineLevel="0" collapsed="false">
      <c r="A291" s="38" t="s">
        <v>344</v>
      </c>
      <c r="B291" s="38" t="s">
        <v>404</v>
      </c>
      <c r="C291" s="38" t="s">
        <v>416</v>
      </c>
      <c r="D291" s="21" t="n">
        <f aca="false">ROUND(Q291*R291,0)</f>
        <v>667</v>
      </c>
      <c r="E291" s="21" t="n">
        <f aca="false">ROUND(Q291,0)-D291</f>
        <v>268</v>
      </c>
      <c r="F291" s="21" t="n">
        <f aca="false">IF(COUNTA(D291:E291)=0,"",SUM(D291:E291))</f>
        <v>935</v>
      </c>
      <c r="G291" s="39" t="n">
        <f aca="false">IF(OR(F291="",F291=0),"",D291/F291)</f>
        <v>0.713368983957219</v>
      </c>
      <c r="H291" s="39" t="n">
        <f aca="false">IF(OR(F291="",F291=0),"",E291/F291)</f>
        <v>0.286631016042781</v>
      </c>
      <c r="I291" s="38" t="s">
        <v>89</v>
      </c>
      <c r="J291" s="40" t="n">
        <v>1.85532414445586</v>
      </c>
      <c r="K291" s="39" t="n">
        <f aca="false">IF(G291="","",MAX(0,G291-J291/100))</f>
        <v>0.694815742512661</v>
      </c>
      <c r="L291" s="39" t="n">
        <f aca="false">IF(G291="","",MIN(1,G291+J291/100))</f>
        <v>0.731922225401778</v>
      </c>
      <c r="M291" s="21" t="n">
        <f aca="false">ROUND(Q291*S291,0)</f>
        <v>59</v>
      </c>
      <c r="N291" s="21" t="n">
        <f aca="false">ROUND(SQRT((F291*J291/100)^2+(G291*M291)^2),0)</f>
        <v>46</v>
      </c>
      <c r="P291" s="41" t="n">
        <v>18.4604803523881</v>
      </c>
      <c r="Q291" s="42" t="n">
        <v>935.412806734296</v>
      </c>
      <c r="R291" s="43" t="n">
        <f aca="false">MAX(0,MIN(1,P291/100+$D$5))</f>
        <v>0.713260555757058</v>
      </c>
      <c r="S291" s="43" t="n">
        <v>0.0633793435818552</v>
      </c>
      <c r="T291" s="44" t="s">
        <v>99</v>
      </c>
    </row>
    <row r="292" customFormat="false" ht="15" hidden="false" customHeight="false" outlineLevel="0" collapsed="false">
      <c r="A292" s="38" t="s">
        <v>344</v>
      </c>
      <c r="B292" s="38" t="s">
        <v>417</v>
      </c>
      <c r="C292" s="38" t="s">
        <v>418</v>
      </c>
      <c r="D292" s="21" t="n">
        <f aca="false">ROUND(Q292*R292,0)</f>
        <v>1215</v>
      </c>
      <c r="E292" s="21" t="n">
        <f aca="false">ROUND(Q292,0)-D292</f>
        <v>1051</v>
      </c>
      <c r="F292" s="21" t="n">
        <f aca="false">IF(COUNTA(D292:E292)=0,"",SUM(D292:E292))</f>
        <v>2266</v>
      </c>
      <c r="G292" s="39" t="n">
        <f aca="false">IF(OR(F292="",F292=0),"",D292/F292)</f>
        <v>0.536187113857017</v>
      </c>
      <c r="H292" s="39" t="n">
        <f aca="false">IF(OR(F292="",F292=0),"",E292/F292)</f>
        <v>0.463812886142983</v>
      </c>
      <c r="I292" s="38" t="s">
        <v>89</v>
      </c>
      <c r="J292" s="40" t="n">
        <v>1.28585670084365</v>
      </c>
      <c r="K292" s="39" t="n">
        <f aca="false">IF(G292="","",MAX(0,G292-J292/100))</f>
        <v>0.52332854684858</v>
      </c>
      <c r="L292" s="39" t="n">
        <f aca="false">IF(G292="","",MIN(1,G292+J292/100))</f>
        <v>0.549045680865453</v>
      </c>
      <c r="M292" s="21" t="n">
        <f aca="false">ROUND(Q292*S292,0)</f>
        <v>316</v>
      </c>
      <c r="N292" s="21" t="n">
        <f aca="false">ROUND(SQRT((F292*J292/100)^2+(G292*M292)^2),0)</f>
        <v>172</v>
      </c>
      <c r="P292" s="41" t="n">
        <v>0.759351899358322</v>
      </c>
      <c r="Q292" s="42" t="n">
        <v>2266.32960845007</v>
      </c>
      <c r="R292" s="43" t="n">
        <f aca="false">MAX(0,MIN(1,P292/100+$D$5))</f>
        <v>0.53624927122676</v>
      </c>
      <c r="S292" s="43" t="n">
        <v>0.139463116518417</v>
      </c>
      <c r="T292" s="44" t="s">
        <v>128</v>
      </c>
    </row>
    <row r="293" customFormat="false" ht="15" hidden="false" customHeight="false" outlineLevel="0" collapsed="false">
      <c r="A293" s="38" t="s">
        <v>344</v>
      </c>
      <c r="B293" s="38" t="s">
        <v>417</v>
      </c>
      <c r="C293" s="38" t="s">
        <v>419</v>
      </c>
      <c r="D293" s="21" t="n">
        <f aca="false">ROUND(Q293*R293,0)</f>
        <v>560</v>
      </c>
      <c r="E293" s="21" t="n">
        <f aca="false">ROUND(Q293,0)-D293</f>
        <v>507</v>
      </c>
      <c r="F293" s="21" t="n">
        <f aca="false">IF(COUNTA(D293:E293)=0,"",SUM(D293:E293))</f>
        <v>1067</v>
      </c>
      <c r="G293" s="39" t="n">
        <f aca="false">IF(OR(F293="",F293=0),"",D293/F293)</f>
        <v>0.524835988753515</v>
      </c>
      <c r="H293" s="39" t="n">
        <f aca="false">IF(OR(F293="",F293=0),"",E293/F293)</f>
        <v>0.475164011246486</v>
      </c>
      <c r="I293" s="38" t="s">
        <v>191</v>
      </c>
      <c r="J293" s="40" t="n">
        <v>1.85532414445586</v>
      </c>
      <c r="K293" s="39" t="n">
        <f aca="false">IF(G293="","",MAX(0,G293-J293/100))</f>
        <v>0.506282747308956</v>
      </c>
      <c r="L293" s="39" t="n">
        <f aca="false">IF(G293="","",MIN(1,G293+J293/100))</f>
        <v>0.543389230198073</v>
      </c>
      <c r="M293" s="21" t="n">
        <f aca="false">ROUND(Q293*S293,0)</f>
        <v>68</v>
      </c>
      <c r="N293" s="21" t="n">
        <f aca="false">ROUND(SQRT((F293*J293/100)^2+(G293*M293)^2),0)</f>
        <v>41</v>
      </c>
      <c r="P293" s="41" t="n">
        <v>-0.334380160085098</v>
      </c>
      <c r="Q293" s="42" t="n">
        <v>1066.98375140806</v>
      </c>
      <c r="R293" s="43" t="n">
        <f aca="false">MAX(0,MIN(1,P293/100+$D$5))</f>
        <v>0.525311950632326</v>
      </c>
      <c r="S293" s="43" t="n">
        <v>0.0633793435818552</v>
      </c>
      <c r="T293" s="44" t="s">
        <v>99</v>
      </c>
    </row>
    <row r="294" customFormat="false" ht="15" hidden="false" customHeight="false" outlineLevel="0" collapsed="false">
      <c r="A294" s="38" t="s">
        <v>344</v>
      </c>
      <c r="B294" s="38" t="s">
        <v>417</v>
      </c>
      <c r="C294" s="38" t="s">
        <v>420</v>
      </c>
      <c r="D294" s="21" t="n">
        <f aca="false">ROUND(Q294*R294,0)</f>
        <v>660</v>
      </c>
      <c r="E294" s="21" t="n">
        <f aca="false">ROUND(Q294,0)-D294</f>
        <v>481</v>
      </c>
      <c r="F294" s="21" t="n">
        <f aca="false">IF(COUNTA(D294:E294)=0,"",SUM(D294:E294))</f>
        <v>1141</v>
      </c>
      <c r="G294" s="39" t="n">
        <f aca="false">IF(OR(F294="",F294=0),"",D294/F294)</f>
        <v>0.578439964943032</v>
      </c>
      <c r="H294" s="39" t="n">
        <f aca="false">IF(OR(F294="",F294=0),"",E294/F294)</f>
        <v>0.421560035056968</v>
      </c>
      <c r="I294" s="38" t="s">
        <v>191</v>
      </c>
      <c r="J294" s="40" t="n">
        <v>1.85532414445586</v>
      </c>
      <c r="K294" s="39" t="n">
        <f aca="false">IF(G294="","",MAX(0,G294-J294/100))</f>
        <v>0.559886723498474</v>
      </c>
      <c r="L294" s="39" t="n">
        <f aca="false">IF(G294="","",MIN(1,G294+J294/100))</f>
        <v>0.596993206387591</v>
      </c>
      <c r="M294" s="21" t="n">
        <f aca="false">ROUND(Q294*S294,0)</f>
        <v>72</v>
      </c>
      <c r="N294" s="21" t="n">
        <f aca="false">ROUND(SQRT((F294*J294/100)^2+(G294*M294)^2),0)</f>
        <v>47</v>
      </c>
      <c r="P294" s="41" t="n">
        <v>4.96298897774945</v>
      </c>
      <c r="Q294" s="42" t="n">
        <v>1141.10990653179</v>
      </c>
      <c r="R294" s="43" t="n">
        <f aca="false">MAX(0,MIN(1,P294/100+$D$5))</f>
        <v>0.578285642010671</v>
      </c>
      <c r="S294" s="43" t="n">
        <v>0.0633793435818552</v>
      </c>
      <c r="T294" s="44" t="s">
        <v>99</v>
      </c>
    </row>
    <row r="295" customFormat="false" ht="15" hidden="false" customHeight="false" outlineLevel="0" collapsed="false">
      <c r="A295" s="38" t="s">
        <v>344</v>
      </c>
      <c r="B295" s="38" t="s">
        <v>417</v>
      </c>
      <c r="C295" s="38" t="s">
        <v>421</v>
      </c>
      <c r="D295" s="21" t="n">
        <f aca="false">ROUND(Q295*R295,0)</f>
        <v>590</v>
      </c>
      <c r="E295" s="21" t="n">
        <f aca="false">ROUND(Q295,0)-D295</f>
        <v>510</v>
      </c>
      <c r="F295" s="21" t="n">
        <f aca="false">IF(COUNTA(D295:E295)=0,"",SUM(D295:E295))</f>
        <v>1100</v>
      </c>
      <c r="G295" s="39" t="n">
        <f aca="false">IF(OR(F295="",F295=0),"",D295/F295)</f>
        <v>0.536363636363636</v>
      </c>
      <c r="H295" s="39" t="n">
        <f aca="false">IF(OR(F295="",F295=0),"",E295/F295)</f>
        <v>0.463636363636364</v>
      </c>
      <c r="I295" s="38" t="s">
        <v>191</v>
      </c>
      <c r="J295" s="40" t="n">
        <v>1.85532414445586</v>
      </c>
      <c r="K295" s="39" t="n">
        <f aca="false">IF(G295="","",MAX(0,G295-J295/100))</f>
        <v>0.517810394919078</v>
      </c>
      <c r="L295" s="39" t="n">
        <f aca="false">IF(G295="","",MIN(1,G295+J295/100))</f>
        <v>0.554916877808195</v>
      </c>
      <c r="M295" s="21" t="n">
        <f aca="false">ROUND(Q295*S295,0)</f>
        <v>70</v>
      </c>
      <c r="N295" s="21" t="n">
        <f aca="false">ROUND(SQRT((F295*J295/100)^2+(G295*M295)^2),0)</f>
        <v>43</v>
      </c>
      <c r="P295" s="41" t="n">
        <v>0.778522100846115</v>
      </c>
      <c r="Q295" s="42" t="n">
        <v>1099.87384353448</v>
      </c>
      <c r="R295" s="43" t="n">
        <f aca="false">MAX(0,MIN(1,P295/100+$D$5))</f>
        <v>0.536440973241638</v>
      </c>
      <c r="S295" s="43" t="n">
        <v>0.0633793435818552</v>
      </c>
      <c r="T295" s="44" t="s">
        <v>99</v>
      </c>
    </row>
    <row r="296" customFormat="false" ht="15" hidden="false" customHeight="false" outlineLevel="0" collapsed="false">
      <c r="A296" s="38" t="s">
        <v>344</v>
      </c>
      <c r="B296" s="38" t="s">
        <v>417</v>
      </c>
      <c r="C296" s="38" t="s">
        <v>422</v>
      </c>
      <c r="D296" s="21" t="n">
        <f aca="false">ROUND(Q296*R296,0)</f>
        <v>871</v>
      </c>
      <c r="E296" s="21" t="n">
        <f aca="false">ROUND(Q296,0)-D296</f>
        <v>709</v>
      </c>
      <c r="F296" s="21" t="n">
        <f aca="false">IF(COUNTA(D296:E296)=0,"",SUM(D296:E296))</f>
        <v>1580</v>
      </c>
      <c r="G296" s="39" t="n">
        <f aca="false">IF(OR(F296="",F296=0),"",D296/F296)</f>
        <v>0.55126582278481</v>
      </c>
      <c r="H296" s="39" t="n">
        <f aca="false">IF(OR(F296="",F296=0),"",E296/F296)</f>
        <v>0.44873417721519</v>
      </c>
      <c r="I296" s="38" t="s">
        <v>89</v>
      </c>
      <c r="J296" s="40" t="n">
        <v>1.28585670084365</v>
      </c>
      <c r="K296" s="39" t="n">
        <f aca="false">IF(G296="","",MAX(0,G296-J296/100))</f>
        <v>0.538407255776374</v>
      </c>
      <c r="L296" s="39" t="n">
        <f aca="false">IF(G296="","",MIN(1,G296+J296/100))</f>
        <v>0.564124389793247</v>
      </c>
      <c r="M296" s="21" t="n">
        <f aca="false">ROUND(Q296*S296,0)</f>
        <v>220</v>
      </c>
      <c r="N296" s="21" t="n">
        <f aca="false">ROUND(SQRT((F296*J296/100)^2+(G296*M296)^2),0)</f>
        <v>123</v>
      </c>
      <c r="P296" s="41" t="n">
        <v>2.24494922977536</v>
      </c>
      <c r="Q296" s="42" t="n">
        <v>1579.76922821002</v>
      </c>
      <c r="R296" s="43" t="n">
        <f aca="false">MAX(0,MIN(1,P296/100+$D$5))</f>
        <v>0.55110524453093</v>
      </c>
      <c r="S296" s="43" t="n">
        <v>0.139463116518417</v>
      </c>
      <c r="T296" s="44" t="s">
        <v>128</v>
      </c>
    </row>
    <row r="297" customFormat="false" ht="15" hidden="false" customHeight="false" outlineLevel="0" collapsed="false">
      <c r="A297" s="38" t="s">
        <v>344</v>
      </c>
      <c r="B297" s="38" t="s">
        <v>417</v>
      </c>
      <c r="C297" s="38" t="s">
        <v>423</v>
      </c>
      <c r="D297" s="21" t="n">
        <f aca="false">ROUND(Q297*R297,0)</f>
        <v>629</v>
      </c>
      <c r="E297" s="21" t="n">
        <f aca="false">ROUND(Q297,0)-D297</f>
        <v>565</v>
      </c>
      <c r="F297" s="21" t="n">
        <f aca="false">IF(COUNTA(D297:E297)=0,"",SUM(D297:E297))</f>
        <v>1194</v>
      </c>
      <c r="G297" s="39" t="n">
        <f aca="false">IF(OR(F297="",F297=0),"",D297/F297)</f>
        <v>0.526800670016751</v>
      </c>
      <c r="H297" s="39" t="n">
        <f aca="false">IF(OR(F297="",F297=0),"",E297/F297)</f>
        <v>0.47319932998325</v>
      </c>
      <c r="I297" s="38" t="s">
        <v>191</v>
      </c>
      <c r="J297" s="40" t="n">
        <v>1.85532414445586</v>
      </c>
      <c r="K297" s="39" t="n">
        <f aca="false">IF(G297="","",MAX(0,G297-J297/100))</f>
        <v>0.508247428572192</v>
      </c>
      <c r="L297" s="39" t="n">
        <f aca="false">IF(G297="","",MIN(1,G297+J297/100))</f>
        <v>0.545353911461309</v>
      </c>
      <c r="M297" s="21" t="n">
        <f aca="false">ROUND(Q297*S297,0)</f>
        <v>76</v>
      </c>
      <c r="N297" s="21" t="n">
        <f aca="false">ROUND(SQRT((F297*J297/100)^2+(G297*M297)^2),0)</f>
        <v>46</v>
      </c>
      <c r="P297" s="41" t="n">
        <v>-0.197390137479652</v>
      </c>
      <c r="Q297" s="42" t="n">
        <v>1194.23661076844</v>
      </c>
      <c r="R297" s="43" t="n">
        <f aca="false">MAX(0,MIN(1,P297/100+$D$5))</f>
        <v>0.52668185085838</v>
      </c>
      <c r="S297" s="43" t="n">
        <v>0.0633793435818552</v>
      </c>
      <c r="T297" s="44" t="s">
        <v>99</v>
      </c>
    </row>
    <row r="298" customFormat="false" ht="15" hidden="false" customHeight="false" outlineLevel="0" collapsed="false">
      <c r="A298" s="38" t="s">
        <v>344</v>
      </c>
      <c r="B298" s="38" t="s">
        <v>417</v>
      </c>
      <c r="C298" s="38" t="s">
        <v>424</v>
      </c>
      <c r="D298" s="21" t="n">
        <f aca="false">ROUND(Q298*R298,0)</f>
        <v>582</v>
      </c>
      <c r="E298" s="21" t="n">
        <f aca="false">ROUND(Q298,0)-D298</f>
        <v>616</v>
      </c>
      <c r="F298" s="21" t="n">
        <f aca="false">IF(COUNTA(D298:E298)=0,"",SUM(D298:E298))</f>
        <v>1198</v>
      </c>
      <c r="G298" s="39" t="n">
        <f aca="false">IF(OR(F298="",F298=0),"",D298/F298)</f>
        <v>0.485809682804674</v>
      </c>
      <c r="H298" s="39" t="n">
        <f aca="false">IF(OR(F298="",F298=0),"",E298/F298)</f>
        <v>0.514190317195326</v>
      </c>
      <c r="I298" s="38" t="s">
        <v>191</v>
      </c>
      <c r="J298" s="40" t="n">
        <v>1.85532414445586</v>
      </c>
      <c r="K298" s="39" t="n">
        <f aca="false">IF(G298="","",MAX(0,G298-J298/100))</f>
        <v>0.467256441360116</v>
      </c>
      <c r="L298" s="39" t="n">
        <f aca="false">IF(G298="","",MIN(1,G298+J298/100))</f>
        <v>0.504362924249233</v>
      </c>
      <c r="M298" s="21" t="n">
        <f aca="false">ROUND(Q298*S298,0)</f>
        <v>76</v>
      </c>
      <c r="N298" s="21" t="n">
        <f aca="false">ROUND(SQRT((F298*J298/100)^2+(G298*M298)^2),0)</f>
        <v>43</v>
      </c>
      <c r="P298" s="41" t="n">
        <v>-4.30899153231607</v>
      </c>
      <c r="Q298" s="42" t="n">
        <v>1197.70318855137</v>
      </c>
      <c r="R298" s="43" t="n">
        <f aca="false">MAX(0,MIN(1,P298/100+$D$5))</f>
        <v>0.485565836910016</v>
      </c>
      <c r="S298" s="43" t="n">
        <v>0.0633793435818552</v>
      </c>
      <c r="T298" s="44" t="s">
        <v>99</v>
      </c>
    </row>
    <row r="299" customFormat="false" ht="15" hidden="false" customHeight="false" outlineLevel="0" collapsed="false">
      <c r="A299" s="38" t="s">
        <v>344</v>
      </c>
      <c r="B299" s="38" t="s">
        <v>425</v>
      </c>
      <c r="C299" s="38" t="s">
        <v>425</v>
      </c>
      <c r="D299" s="21" t="n">
        <f aca="false">ROUND(Q299*R299,0)</f>
        <v>509</v>
      </c>
      <c r="E299" s="21" t="n">
        <f aca="false">ROUND(Q299,0)-D299</f>
        <v>296</v>
      </c>
      <c r="F299" s="21" t="n">
        <f aca="false">IF(COUNTA(D299:E299)=0,"",SUM(D299:E299))</f>
        <v>805</v>
      </c>
      <c r="G299" s="39" t="n">
        <f aca="false">IF(OR(F299="",F299=0),"",D299/F299)</f>
        <v>0.632298136645963</v>
      </c>
      <c r="H299" s="39" t="n">
        <f aca="false">IF(OR(F299="",F299=0),"",E299/F299)</f>
        <v>0.367701863354037</v>
      </c>
      <c r="I299" s="38" t="s">
        <v>89</v>
      </c>
      <c r="J299" s="40" t="n">
        <v>1.85532414445586</v>
      </c>
      <c r="K299" s="39" t="n">
        <f aca="false">IF(G299="","",MAX(0,G299-J299/100))</f>
        <v>0.613744895201404</v>
      </c>
      <c r="L299" s="39" t="n">
        <f aca="false">IF(G299="","",MIN(1,G299+J299/100))</f>
        <v>0.650851378090521</v>
      </c>
      <c r="M299" s="21" t="n">
        <f aca="false">ROUND(Q299*S299,0)</f>
        <v>51</v>
      </c>
      <c r="N299" s="21" t="n">
        <f aca="false">ROUND(SQRT((F299*J299/100)^2+(G299*M299)^2),0)</f>
        <v>36</v>
      </c>
      <c r="P299" s="41" t="n">
        <v>10.3482552467446</v>
      </c>
      <c r="Q299" s="42" t="n">
        <v>804.81223635984</v>
      </c>
      <c r="R299" s="43" t="n">
        <f aca="false">MAX(0,MIN(1,P299/100+$D$5))</f>
        <v>0.632138304700623</v>
      </c>
      <c r="S299" s="43" t="n">
        <v>0.0633793435818552</v>
      </c>
      <c r="T299" s="44" t="s">
        <v>99</v>
      </c>
    </row>
    <row r="300" customFormat="false" ht="15" hidden="false" customHeight="false" outlineLevel="0" collapsed="false">
      <c r="A300" s="38" t="s">
        <v>344</v>
      </c>
      <c r="B300" s="38" t="s">
        <v>426</v>
      </c>
      <c r="C300" s="38" t="s">
        <v>426</v>
      </c>
      <c r="D300" s="21" t="n">
        <f aca="false">ROUND(Q300*R300,0)</f>
        <v>86</v>
      </c>
      <c r="E300" s="21" t="n">
        <f aca="false">ROUND(Q300,0)-D300</f>
        <v>69</v>
      </c>
      <c r="F300" s="21" t="n">
        <f aca="false">IF(COUNTA(D300:E300)=0,"",SUM(D300:E300))</f>
        <v>155</v>
      </c>
      <c r="G300" s="39" t="n">
        <f aca="false">IF(OR(F300="",F300=0),"",D300/F300)</f>
        <v>0.554838709677419</v>
      </c>
      <c r="H300" s="39" t="n">
        <f aca="false">IF(OR(F300="",F300=0),"",E300/F300)</f>
        <v>0.445161290322581</v>
      </c>
      <c r="I300" s="38" t="s">
        <v>89</v>
      </c>
      <c r="J300" s="40" t="n">
        <v>3.25434931194355</v>
      </c>
      <c r="K300" s="39" t="n">
        <f aca="false">IF(G300="","",MAX(0,G300-J300/100))</f>
        <v>0.522295216557984</v>
      </c>
      <c r="L300" s="39" t="n">
        <f aca="false">IF(G300="","",MIN(1,G300+J300/100))</f>
        <v>0.587382202796855</v>
      </c>
      <c r="M300" s="21" t="n">
        <f aca="false">ROUND(Q300*S300,0)</f>
        <v>12</v>
      </c>
      <c r="N300" s="21" t="n">
        <f aca="false">ROUND(SQRT((F300*J300/100)^2+(G300*M300)^2),0)</f>
        <v>8</v>
      </c>
      <c r="P300" s="41" t="n">
        <v>2.53059509737224</v>
      </c>
      <c r="Q300" s="42" t="n">
        <v>155.408093938878</v>
      </c>
      <c r="R300" s="43" t="n">
        <f aca="false">MAX(0,MIN(1,P300/100+$D$5))</f>
        <v>0.553961703206899</v>
      </c>
      <c r="S300" s="43" t="n">
        <v>0.0779420971553049</v>
      </c>
      <c r="T300" s="44" t="s">
        <v>90</v>
      </c>
    </row>
    <row r="301" customFormat="false" ht="15" hidden="false" customHeight="false" outlineLevel="0" collapsed="false">
      <c r="A301" s="38" t="s">
        <v>344</v>
      </c>
      <c r="B301" s="38" t="s">
        <v>251</v>
      </c>
      <c r="C301" s="38" t="s">
        <v>427</v>
      </c>
      <c r="D301" s="21" t="n">
        <f aca="false">ROUND(Q301*R301,0)</f>
        <v>883</v>
      </c>
      <c r="E301" s="21" t="n">
        <f aca="false">ROUND(Q301,0)-D301</f>
        <v>534</v>
      </c>
      <c r="F301" s="21" t="n">
        <f aca="false">IF(COUNTA(D301:E301)=0,"",SUM(D301:E301))</f>
        <v>1417</v>
      </c>
      <c r="G301" s="39" t="n">
        <f aca="false">IF(OR(F301="",F301=0),"",D301/F301)</f>
        <v>0.623147494707128</v>
      </c>
      <c r="H301" s="39" t="n">
        <f aca="false">IF(OR(F301="",F301=0),"",E301/F301)</f>
        <v>0.376852505292872</v>
      </c>
      <c r="I301" s="38" t="s">
        <v>89</v>
      </c>
      <c r="J301" s="40" t="n">
        <v>1.28585670084365</v>
      </c>
      <c r="K301" s="39" t="n">
        <f aca="false">IF(G301="","",MAX(0,G301-J301/100))</f>
        <v>0.610288927698691</v>
      </c>
      <c r="L301" s="39" t="n">
        <f aca="false">IF(G301="","",MIN(1,G301+J301/100))</f>
        <v>0.636006061715564</v>
      </c>
      <c r="M301" s="21" t="n">
        <f aca="false">ROUND(Q301*S301,0)</f>
        <v>198</v>
      </c>
      <c r="N301" s="21" t="n">
        <f aca="false">ROUND(SQRT((F301*J301/100)^2+(G301*M301)^2),0)</f>
        <v>125</v>
      </c>
      <c r="P301" s="41" t="n">
        <v>9.42951746364582</v>
      </c>
      <c r="Q301" s="42" t="n">
        <v>1416.79881679312</v>
      </c>
      <c r="R301" s="43" t="n">
        <f aca="false">MAX(0,MIN(1,P301/100+$D$5))</f>
        <v>0.622950926869635</v>
      </c>
      <c r="S301" s="43" t="n">
        <v>0.139463116518417</v>
      </c>
      <c r="T301" s="44" t="s">
        <v>128</v>
      </c>
    </row>
    <row r="302" customFormat="false" ht="15" hidden="false" customHeight="false" outlineLevel="0" collapsed="false">
      <c r="A302" s="38" t="s">
        <v>344</v>
      </c>
      <c r="B302" s="38" t="s">
        <v>251</v>
      </c>
      <c r="C302" s="38" t="s">
        <v>428</v>
      </c>
      <c r="D302" s="21" t="n">
        <f aca="false">ROUND(Q302*R302,0)</f>
        <v>846</v>
      </c>
      <c r="E302" s="21" t="n">
        <f aca="false">ROUND(Q302,0)-D302</f>
        <v>579</v>
      </c>
      <c r="F302" s="21" t="n">
        <f aca="false">IF(COUNTA(D302:E302)=0,"",SUM(D302:E302))</f>
        <v>1425</v>
      </c>
      <c r="G302" s="39" t="n">
        <f aca="false">IF(OR(F302="",F302=0),"",D302/F302)</f>
        <v>0.593684210526316</v>
      </c>
      <c r="H302" s="39" t="n">
        <f aca="false">IF(OR(F302="",F302=0),"",E302/F302)</f>
        <v>0.406315789473684</v>
      </c>
      <c r="I302" s="38" t="s">
        <v>89</v>
      </c>
      <c r="J302" s="40" t="n">
        <v>1.28585670084365</v>
      </c>
      <c r="K302" s="39" t="n">
        <f aca="false">IF(G302="","",MAX(0,G302-J302/100))</f>
        <v>0.580825643517879</v>
      </c>
      <c r="L302" s="39" t="n">
        <f aca="false">IF(G302="","",MIN(1,G302+J302/100))</f>
        <v>0.606542777534752</v>
      </c>
      <c r="M302" s="21" t="n">
        <f aca="false">ROUND(Q302*S302,0)</f>
        <v>199</v>
      </c>
      <c r="N302" s="21" t="n">
        <f aca="false">ROUND(SQRT((F302*J302/100)^2+(G302*M302)^2),0)</f>
        <v>120</v>
      </c>
      <c r="P302" s="41" t="n">
        <v>6.516392797373</v>
      </c>
      <c r="Q302" s="42" t="n">
        <v>1424.96104289614</v>
      </c>
      <c r="R302" s="43" t="n">
        <f aca="false">MAX(0,MIN(1,P302/100+$D$5))</f>
        <v>0.593819680206907</v>
      </c>
      <c r="S302" s="43" t="n">
        <v>0.139463116518417</v>
      </c>
      <c r="T302" s="44" t="s">
        <v>128</v>
      </c>
    </row>
    <row r="303" customFormat="false" ht="15" hidden="false" customHeight="false" outlineLevel="0" collapsed="false">
      <c r="A303" s="38" t="s">
        <v>344</v>
      </c>
      <c r="B303" s="38" t="s">
        <v>251</v>
      </c>
      <c r="C303" s="38" t="s">
        <v>429</v>
      </c>
      <c r="D303" s="21" t="n">
        <f aca="false">ROUND(Q303*R303,0)</f>
        <v>429</v>
      </c>
      <c r="E303" s="21" t="n">
        <f aca="false">ROUND(Q303,0)-D303</f>
        <v>343</v>
      </c>
      <c r="F303" s="21" t="n">
        <f aca="false">IF(COUNTA(D303:E303)=0,"",SUM(D303:E303))</f>
        <v>772</v>
      </c>
      <c r="G303" s="39" t="n">
        <f aca="false">IF(OR(F303="",F303=0),"",D303/F303)</f>
        <v>0.555699481865285</v>
      </c>
      <c r="H303" s="39" t="n">
        <f aca="false">IF(OR(F303="",F303=0),"",E303/F303)</f>
        <v>0.444300518134715</v>
      </c>
      <c r="I303" s="38" t="s">
        <v>89</v>
      </c>
      <c r="J303" s="40" t="n">
        <v>3.25434931194355</v>
      </c>
      <c r="K303" s="39" t="n">
        <f aca="false">IF(G303="","",MAX(0,G303-J303/100))</f>
        <v>0.52315598874585</v>
      </c>
      <c r="L303" s="39" t="n">
        <f aca="false">IF(G303="","",MIN(1,G303+J303/100))</f>
        <v>0.58824297498472</v>
      </c>
      <c r="M303" s="21" t="n">
        <f aca="false">ROUND(Q303*S303,0)</f>
        <v>60</v>
      </c>
      <c r="N303" s="21" t="n">
        <f aca="false">ROUND(SQRT((F303*J303/100)^2+(G303*M303)^2),0)</f>
        <v>42</v>
      </c>
      <c r="P303" s="41" t="n">
        <v>2.79559598259371</v>
      </c>
      <c r="Q303" s="42" t="n">
        <v>771.504313883214</v>
      </c>
      <c r="R303" s="43" t="n">
        <f aca="false">MAX(0,MIN(1,P303/100+$D$5))</f>
        <v>0.556611712059114</v>
      </c>
      <c r="S303" s="43" t="n">
        <v>0.0779420971553049</v>
      </c>
      <c r="T303" s="44" t="s">
        <v>90</v>
      </c>
    </row>
    <row r="304" customFormat="false" ht="15" hidden="false" customHeight="false" outlineLevel="0" collapsed="false">
      <c r="A304" s="38" t="s">
        <v>344</v>
      </c>
      <c r="B304" s="38" t="s">
        <v>251</v>
      </c>
      <c r="C304" s="38" t="s">
        <v>430</v>
      </c>
      <c r="D304" s="21" t="n">
        <f aca="false">ROUND(Q304*R304,0)</f>
        <v>690</v>
      </c>
      <c r="E304" s="21" t="n">
        <f aca="false">ROUND(Q304,0)-D304</f>
        <v>544</v>
      </c>
      <c r="F304" s="21" t="n">
        <f aca="false">IF(COUNTA(D304:E304)=0,"",SUM(D304:E304))</f>
        <v>1234</v>
      </c>
      <c r="G304" s="39" t="n">
        <f aca="false">IF(OR(F304="",F304=0),"",D304/F304)</f>
        <v>0.559157212317666</v>
      </c>
      <c r="H304" s="39" t="n">
        <f aca="false">IF(OR(F304="",F304=0),"",E304/F304)</f>
        <v>0.440842787682334</v>
      </c>
      <c r="I304" s="38" t="s">
        <v>89</v>
      </c>
      <c r="J304" s="40" t="n">
        <v>1.28585670084365</v>
      </c>
      <c r="K304" s="39" t="n">
        <f aca="false">IF(G304="","",MAX(0,G304-J304/100))</f>
        <v>0.54629864530923</v>
      </c>
      <c r="L304" s="39" t="n">
        <f aca="false">IF(G304="","",MIN(1,G304+J304/100))</f>
        <v>0.572015779326103</v>
      </c>
      <c r="M304" s="21" t="n">
        <f aca="false">ROUND(Q304*S304,0)</f>
        <v>172</v>
      </c>
      <c r="N304" s="21" t="n">
        <f aca="false">ROUND(SQRT((F304*J304/100)^2+(G304*M304)^2),0)</f>
        <v>97</v>
      </c>
      <c r="P304" s="41" t="n">
        <v>2.99746991162526</v>
      </c>
      <c r="Q304" s="42" t="n">
        <v>1234.44634846106</v>
      </c>
      <c r="R304" s="43" t="n">
        <f aca="false">MAX(0,MIN(1,P304/100+$D$5))</f>
        <v>0.558630451349429</v>
      </c>
      <c r="S304" s="43" t="n">
        <v>0.139463116518417</v>
      </c>
      <c r="T304" s="44" t="s">
        <v>128</v>
      </c>
    </row>
    <row r="305" customFormat="false" ht="15" hidden="false" customHeight="false" outlineLevel="0" collapsed="false">
      <c r="A305" s="38" t="s">
        <v>344</v>
      </c>
      <c r="B305" s="38" t="s">
        <v>251</v>
      </c>
      <c r="C305" s="38" t="s">
        <v>431</v>
      </c>
      <c r="D305" s="21" t="n">
        <f aca="false">ROUND(Q305*R305,0)</f>
        <v>753</v>
      </c>
      <c r="E305" s="21" t="n">
        <f aca="false">ROUND(Q305,0)-D305</f>
        <v>518</v>
      </c>
      <c r="F305" s="21" t="n">
        <f aca="false">IF(COUNTA(D305:E305)=0,"",SUM(D305:E305))</f>
        <v>1271</v>
      </c>
      <c r="G305" s="39" t="n">
        <f aca="false">IF(OR(F305="",F305=0),"",D305/F305)</f>
        <v>0.592446892210858</v>
      </c>
      <c r="H305" s="39" t="n">
        <f aca="false">IF(OR(F305="",F305=0),"",E305/F305)</f>
        <v>0.407553107789142</v>
      </c>
      <c r="I305" s="38" t="s">
        <v>89</v>
      </c>
      <c r="J305" s="40" t="n">
        <v>1.28585670084365</v>
      </c>
      <c r="K305" s="39" t="n">
        <f aca="false">IF(G305="","",MAX(0,G305-J305/100))</f>
        <v>0.579588325202421</v>
      </c>
      <c r="L305" s="39" t="n">
        <f aca="false">IF(G305="","",MIN(1,G305+J305/100))</f>
        <v>0.605305459219294</v>
      </c>
      <c r="M305" s="21" t="n">
        <f aca="false">ROUND(Q305*S305,0)</f>
        <v>177</v>
      </c>
      <c r="N305" s="21" t="n">
        <f aca="false">ROUND(SQRT((F305*J305/100)^2+(G305*M305)^2),0)</f>
        <v>106</v>
      </c>
      <c r="P305" s="41" t="n">
        <v>6.34511162797621</v>
      </c>
      <c r="Q305" s="42" t="n">
        <v>1271.43435968221</v>
      </c>
      <c r="R305" s="43" t="n">
        <f aca="false">MAX(0,MIN(1,P305/100+$D$5))</f>
        <v>0.592106868512939</v>
      </c>
      <c r="S305" s="43" t="n">
        <v>0.139463116518417</v>
      </c>
      <c r="T305" s="44" t="s">
        <v>128</v>
      </c>
    </row>
    <row r="306" customFormat="false" ht="15" hidden="false" customHeight="false" outlineLevel="0" collapsed="false">
      <c r="A306" s="38" t="s">
        <v>344</v>
      </c>
      <c r="B306" s="38" t="s">
        <v>251</v>
      </c>
      <c r="C306" s="38" t="s">
        <v>432</v>
      </c>
      <c r="D306" s="21" t="n">
        <f aca="false">ROUND(Q306*R306,0)</f>
        <v>461</v>
      </c>
      <c r="E306" s="21" t="n">
        <f aca="false">ROUND(Q306,0)-D306</f>
        <v>357</v>
      </c>
      <c r="F306" s="21" t="n">
        <f aca="false">IF(COUNTA(D306:E306)=0,"",SUM(D306:E306))</f>
        <v>818</v>
      </c>
      <c r="G306" s="39" t="n">
        <f aca="false">IF(OR(F306="",F306=0),"",D306/F306)</f>
        <v>0.563569682151589</v>
      </c>
      <c r="H306" s="39" t="n">
        <f aca="false">IF(OR(F306="",F306=0),"",E306/F306)</f>
        <v>0.436430317848411</v>
      </c>
      <c r="I306" s="38" t="s">
        <v>89</v>
      </c>
      <c r="J306" s="40" t="n">
        <v>1.85532414445586</v>
      </c>
      <c r="K306" s="39" t="n">
        <f aca="false">IF(G306="","",MAX(0,G306-J306/100))</f>
        <v>0.545016440707031</v>
      </c>
      <c r="L306" s="39" t="n">
        <f aca="false">IF(G306="","",MIN(1,G306+J306/100))</f>
        <v>0.582122923596148</v>
      </c>
      <c r="M306" s="21" t="n">
        <f aca="false">ROUND(Q306*S306,0)</f>
        <v>52</v>
      </c>
      <c r="N306" s="21" t="n">
        <f aca="false">ROUND(SQRT((F306*J306/100)^2+(G306*M306)^2),0)</f>
        <v>33</v>
      </c>
      <c r="P306" s="41" t="n">
        <v>3.5050286853064</v>
      </c>
      <c r="Q306" s="42" t="n">
        <v>817.540092611337</v>
      </c>
      <c r="R306" s="43" t="n">
        <f aca="false">MAX(0,MIN(1,P306/100+$D$5))</f>
        <v>0.563706039086241</v>
      </c>
      <c r="S306" s="43" t="n">
        <v>0.0633793435818552</v>
      </c>
      <c r="T306" s="44" t="s">
        <v>99</v>
      </c>
    </row>
    <row r="307" customFormat="false" ht="15" hidden="false" customHeight="false" outlineLevel="0" collapsed="false">
      <c r="A307" s="38" t="s">
        <v>344</v>
      </c>
      <c r="B307" s="38" t="s">
        <v>433</v>
      </c>
      <c r="C307" s="38" t="s">
        <v>434</v>
      </c>
      <c r="D307" s="21" t="n">
        <f aca="false">ROUND(Q307*R307,0)</f>
        <v>514</v>
      </c>
      <c r="E307" s="21" t="n">
        <f aca="false">ROUND(Q307,0)-D307</f>
        <v>439</v>
      </c>
      <c r="F307" s="21" t="n">
        <f aca="false">IF(COUNTA(D307:E307)=0,"",SUM(D307:E307))</f>
        <v>953</v>
      </c>
      <c r="G307" s="39" t="n">
        <f aca="false">IF(OR(F307="",F307=0),"",D307/F307)</f>
        <v>0.539349422875131</v>
      </c>
      <c r="H307" s="39" t="n">
        <f aca="false">IF(OR(F307="",F307=0),"",E307/F307)</f>
        <v>0.460650577124869</v>
      </c>
      <c r="I307" s="38" t="s">
        <v>89</v>
      </c>
      <c r="J307" s="40" t="n">
        <v>1.85532414445586</v>
      </c>
      <c r="K307" s="39" t="n">
        <f aca="false">IF(G307="","",MAX(0,G307-J307/100))</f>
        <v>0.520796181430573</v>
      </c>
      <c r="L307" s="39" t="n">
        <f aca="false">IF(G307="","",MIN(1,G307+J307/100))</f>
        <v>0.55790266431969</v>
      </c>
      <c r="M307" s="21" t="n">
        <f aca="false">ROUND(Q307*S307,0)</f>
        <v>60</v>
      </c>
      <c r="N307" s="21" t="n">
        <f aca="false">ROUND(SQRT((F307*J307/100)^2+(G307*M307)^2),0)</f>
        <v>37</v>
      </c>
      <c r="P307" s="41" t="n">
        <v>1.13609103411182</v>
      </c>
      <c r="Q307" s="42" t="n">
        <v>952.556047329782</v>
      </c>
      <c r="R307" s="43" t="n">
        <f aca="false">MAX(0,MIN(1,P307/100+$D$5))</f>
        <v>0.540016662574295</v>
      </c>
      <c r="S307" s="43" t="n">
        <v>0.0633793435818552</v>
      </c>
      <c r="T307" s="44" t="s">
        <v>99</v>
      </c>
    </row>
    <row r="308" customFormat="false" ht="15" hidden="false" customHeight="false" outlineLevel="0" collapsed="false">
      <c r="A308" s="38" t="s">
        <v>344</v>
      </c>
      <c r="B308" s="38" t="s">
        <v>433</v>
      </c>
      <c r="C308" s="38" t="s">
        <v>435</v>
      </c>
      <c r="D308" s="21" t="n">
        <f aca="false">ROUND(Q308*R308,0)</f>
        <v>408</v>
      </c>
      <c r="E308" s="21" t="n">
        <f aca="false">ROUND(Q308,0)-D308</f>
        <v>331</v>
      </c>
      <c r="F308" s="21" t="n">
        <f aca="false">IF(COUNTA(D308:E308)=0,"",SUM(D308:E308))</f>
        <v>739</v>
      </c>
      <c r="G308" s="39" t="n">
        <f aca="false">IF(OR(F308="",F308=0),"",D308/F308)</f>
        <v>0.552097428958052</v>
      </c>
      <c r="H308" s="39" t="n">
        <f aca="false">IF(OR(F308="",F308=0),"",E308/F308)</f>
        <v>0.447902571041949</v>
      </c>
      <c r="I308" s="38" t="s">
        <v>89</v>
      </c>
      <c r="J308" s="40" t="n">
        <v>3.25434931194355</v>
      </c>
      <c r="K308" s="39" t="n">
        <f aca="false">IF(G308="","",MAX(0,G308-J308/100))</f>
        <v>0.519553935838616</v>
      </c>
      <c r="L308" s="39" t="n">
        <f aca="false">IF(G308="","",MIN(1,G308+J308/100))</f>
        <v>0.584640922077487</v>
      </c>
      <c r="M308" s="21" t="n">
        <f aca="false">ROUND(Q308*S308,0)</f>
        <v>58</v>
      </c>
      <c r="N308" s="21" t="n">
        <f aca="false">ROUND(SQRT((F308*J308/100)^2+(G308*M308)^2),0)</f>
        <v>40</v>
      </c>
      <c r="P308" s="41" t="n">
        <v>2.32425249592186</v>
      </c>
      <c r="Q308" s="42" t="n">
        <v>739.273637071354</v>
      </c>
      <c r="R308" s="43" t="n">
        <f aca="false">MAX(0,MIN(1,P308/100+$D$5))</f>
        <v>0.551898277192395</v>
      </c>
      <c r="S308" s="43" t="n">
        <v>0.0779420971553049</v>
      </c>
      <c r="T308" s="44" t="s">
        <v>90</v>
      </c>
    </row>
    <row r="309" customFormat="false" ht="15" hidden="false" customHeight="false" outlineLevel="0" collapsed="false">
      <c r="A309" s="38" t="s">
        <v>344</v>
      </c>
      <c r="B309" s="38" t="s">
        <v>433</v>
      </c>
      <c r="C309" s="38" t="s">
        <v>436</v>
      </c>
      <c r="D309" s="21" t="n">
        <f aca="false">ROUND(Q309*R309,0)</f>
        <v>619</v>
      </c>
      <c r="E309" s="21" t="n">
        <f aca="false">ROUND(Q309,0)-D309</f>
        <v>475</v>
      </c>
      <c r="F309" s="21" t="n">
        <f aca="false">IF(COUNTA(D309:E309)=0,"",SUM(D309:E309))</f>
        <v>1094</v>
      </c>
      <c r="G309" s="39" t="n">
        <f aca="false">IF(OR(F309="",F309=0),"",D309/F309)</f>
        <v>0.56581352833638</v>
      </c>
      <c r="H309" s="39" t="n">
        <f aca="false">IF(OR(F309="",F309=0),"",E309/F309)</f>
        <v>0.43418647166362</v>
      </c>
      <c r="I309" s="38" t="s">
        <v>89</v>
      </c>
      <c r="J309" s="40" t="n">
        <v>1.85532414445586</v>
      </c>
      <c r="K309" s="39" t="n">
        <f aca="false">IF(G309="","",MAX(0,G309-J309/100))</f>
        <v>0.547260286891822</v>
      </c>
      <c r="L309" s="39" t="n">
        <f aca="false">IF(G309="","",MIN(1,G309+J309/100))</f>
        <v>0.584366769780939</v>
      </c>
      <c r="M309" s="21" t="n">
        <f aca="false">ROUND(Q309*S309,0)</f>
        <v>69</v>
      </c>
      <c r="N309" s="21" t="n">
        <f aca="false">ROUND(SQRT((F309*J309/100)^2+(G309*M309)^2),0)</f>
        <v>44</v>
      </c>
      <c r="P309" s="41" t="n">
        <v>3.75208683119181</v>
      </c>
      <c r="Q309" s="42" t="n">
        <v>1094.15487799961</v>
      </c>
      <c r="R309" s="43" t="n">
        <f aca="false">MAX(0,MIN(1,P309/100+$D$5))</f>
        <v>0.566176620545095</v>
      </c>
      <c r="S309" s="43" t="n">
        <v>0.0633793435818552</v>
      </c>
      <c r="T309" s="44" t="s">
        <v>99</v>
      </c>
    </row>
    <row r="310" customFormat="false" ht="15" hidden="false" customHeight="false" outlineLevel="0" collapsed="false">
      <c r="A310" s="38" t="s">
        <v>344</v>
      </c>
      <c r="B310" s="38" t="s">
        <v>437</v>
      </c>
      <c r="C310" s="38" t="s">
        <v>438</v>
      </c>
      <c r="D310" s="21" t="n">
        <f aca="false">ROUND(Q310*R310,0)</f>
        <v>546</v>
      </c>
      <c r="E310" s="21" t="n">
        <f aca="false">ROUND(Q310,0)-D310</f>
        <v>873</v>
      </c>
      <c r="F310" s="21" t="n">
        <f aca="false">IF(COUNTA(D310:E310)=0,"",SUM(D310:E310))</f>
        <v>1419</v>
      </c>
      <c r="G310" s="39" t="n">
        <f aca="false">IF(OR(F310="",F310=0),"",D310/F310)</f>
        <v>0.384778012684989</v>
      </c>
      <c r="H310" s="39" t="n">
        <f aca="false">IF(OR(F310="",F310=0),"",E310/F310)</f>
        <v>0.615221987315011</v>
      </c>
      <c r="I310" s="38" t="s">
        <v>89</v>
      </c>
      <c r="J310" s="40" t="n">
        <v>1.28585670084365</v>
      </c>
      <c r="K310" s="39" t="n">
        <f aca="false">IF(G310="","",MAX(0,G310-J310/100))</f>
        <v>0.371919445676553</v>
      </c>
      <c r="L310" s="39" t="n">
        <f aca="false">IF(G310="","",MIN(1,G310+J310/100))</f>
        <v>0.397636579693426</v>
      </c>
      <c r="M310" s="21" t="n">
        <f aca="false">ROUND(Q310*S310,0)</f>
        <v>198</v>
      </c>
      <c r="N310" s="21" t="n">
        <f aca="false">ROUND(SQRT((F310*J310/100)^2+(G310*M310)^2),0)</f>
        <v>78</v>
      </c>
      <c r="P310" s="41" t="n">
        <v>-14.344762372995</v>
      </c>
      <c r="Q310" s="42" t="n">
        <v>1418.69381006964</v>
      </c>
      <c r="R310" s="43" t="n">
        <f aca="false">MAX(0,MIN(1,P310/100+$D$5))</f>
        <v>0.385208128503227</v>
      </c>
      <c r="S310" s="43" t="n">
        <v>0.139463116518417</v>
      </c>
      <c r="T310" s="44" t="s">
        <v>128</v>
      </c>
    </row>
    <row r="311" customFormat="false" ht="15" hidden="false" customHeight="false" outlineLevel="0" collapsed="false">
      <c r="A311" s="38" t="s">
        <v>344</v>
      </c>
      <c r="B311" s="38" t="s">
        <v>437</v>
      </c>
      <c r="C311" s="38" t="s">
        <v>439</v>
      </c>
      <c r="D311" s="21" t="n">
        <f aca="false">ROUND(Q311*R311,0)</f>
        <v>625</v>
      </c>
      <c r="E311" s="21" t="n">
        <f aca="false">ROUND(Q311,0)-D311</f>
        <v>983</v>
      </c>
      <c r="F311" s="21" t="n">
        <f aca="false">IF(COUNTA(D311:E311)=0,"",SUM(D311:E311))</f>
        <v>1608</v>
      </c>
      <c r="G311" s="39" t="n">
        <f aca="false">IF(OR(F311="",F311=0),"",D311/F311)</f>
        <v>0.388681592039801</v>
      </c>
      <c r="H311" s="39" t="n">
        <f aca="false">IF(OR(F311="",F311=0),"",E311/F311)</f>
        <v>0.611318407960199</v>
      </c>
      <c r="I311" s="38" t="s">
        <v>89</v>
      </c>
      <c r="J311" s="40" t="n">
        <v>1.28585670084365</v>
      </c>
      <c r="K311" s="39" t="n">
        <f aca="false">IF(G311="","",MAX(0,G311-J311/100))</f>
        <v>0.375823025031365</v>
      </c>
      <c r="L311" s="39" t="n">
        <f aca="false">IF(G311="","",MIN(1,G311+J311/100))</f>
        <v>0.401540159048238</v>
      </c>
      <c r="M311" s="21" t="n">
        <f aca="false">ROUND(Q311*S311,0)</f>
        <v>224</v>
      </c>
      <c r="N311" s="21" t="n">
        <f aca="false">ROUND(SQRT((F311*J311/100)^2+(G311*M311)^2),0)</f>
        <v>89</v>
      </c>
      <c r="P311" s="41" t="n">
        <v>-14.0140371320327</v>
      </c>
      <c r="Q311" s="42" t="n">
        <v>1608.26602128202</v>
      </c>
      <c r="R311" s="43" t="n">
        <f aca="false">MAX(0,MIN(1,P311/100+$D$5))</f>
        <v>0.38851538091285</v>
      </c>
      <c r="S311" s="43" t="n">
        <v>0.139463116518417</v>
      </c>
      <c r="T311" s="44" t="s">
        <v>128</v>
      </c>
    </row>
    <row r="312" customFormat="false" ht="15" hidden="false" customHeight="false" outlineLevel="0" collapsed="false">
      <c r="A312" s="38" t="s">
        <v>344</v>
      </c>
      <c r="B312" s="38" t="s">
        <v>437</v>
      </c>
      <c r="C312" s="38" t="s">
        <v>440</v>
      </c>
      <c r="D312" s="21" t="n">
        <f aca="false">ROUND(Q312*R312,0)</f>
        <v>200</v>
      </c>
      <c r="E312" s="21" t="n">
        <f aca="false">ROUND(Q312,0)-D312</f>
        <v>368</v>
      </c>
      <c r="F312" s="21" t="n">
        <f aca="false">IF(COUNTA(D312:E312)=0,"",SUM(D312:E312))</f>
        <v>568</v>
      </c>
      <c r="G312" s="39" t="n">
        <f aca="false">IF(OR(F312="",F312=0),"",D312/F312)</f>
        <v>0.352112676056338</v>
      </c>
      <c r="H312" s="39" t="n">
        <f aca="false">IF(OR(F312="",F312=0),"",E312/F312)</f>
        <v>0.647887323943662</v>
      </c>
      <c r="I312" s="38" t="s">
        <v>89</v>
      </c>
      <c r="J312" s="40" t="n">
        <v>3.25434931194355</v>
      </c>
      <c r="K312" s="39" t="n">
        <f aca="false">IF(G312="","",MAX(0,G312-J312/100))</f>
        <v>0.319569182936903</v>
      </c>
      <c r="L312" s="39" t="n">
        <f aca="false">IF(G312="","",MIN(1,G312+J312/100))</f>
        <v>0.384656169175774</v>
      </c>
      <c r="M312" s="21" t="n">
        <f aca="false">ROUND(Q312*S312,0)</f>
        <v>44</v>
      </c>
      <c r="N312" s="21" t="n">
        <f aca="false">ROUND(SQRT((F312*J312/100)^2+(G312*M312)^2),0)</f>
        <v>24</v>
      </c>
      <c r="P312" s="41" t="n">
        <v>-17.5699070574548</v>
      </c>
      <c r="Q312" s="42" t="n">
        <v>567.578818943169</v>
      </c>
      <c r="R312" s="43" t="n">
        <f aca="false">MAX(0,MIN(1,P312/100+$D$5))</f>
        <v>0.352956681658629</v>
      </c>
      <c r="S312" s="43" t="n">
        <v>0.0779420971553049</v>
      </c>
      <c r="T312" s="44" t="s">
        <v>90</v>
      </c>
    </row>
    <row r="313" customFormat="false" ht="15" hidden="false" customHeight="false" outlineLevel="0" collapsed="false">
      <c r="A313" s="38" t="s">
        <v>344</v>
      </c>
      <c r="B313" s="38" t="s">
        <v>437</v>
      </c>
      <c r="C313" s="38" t="s">
        <v>441</v>
      </c>
      <c r="D313" s="21" t="n">
        <f aca="false">ROUND(Q313*R313,0)</f>
        <v>485</v>
      </c>
      <c r="E313" s="21" t="n">
        <f aca="false">ROUND(Q313,0)-D313</f>
        <v>749</v>
      </c>
      <c r="F313" s="21" t="n">
        <f aca="false">IF(COUNTA(D313:E313)=0,"",SUM(D313:E313))</f>
        <v>1234</v>
      </c>
      <c r="G313" s="39" t="n">
        <f aca="false">IF(OR(F313="",F313=0),"",D313/F313)</f>
        <v>0.393030794165316</v>
      </c>
      <c r="H313" s="39" t="n">
        <f aca="false">IF(OR(F313="",F313=0),"",E313/F313)</f>
        <v>0.606969205834684</v>
      </c>
      <c r="I313" s="38" t="s">
        <v>89</v>
      </c>
      <c r="J313" s="40" t="n">
        <v>1.28585670084365</v>
      </c>
      <c r="K313" s="39" t="n">
        <f aca="false">IF(G313="","",MAX(0,G313-J313/100))</f>
        <v>0.38017222715688</v>
      </c>
      <c r="L313" s="39" t="n">
        <f aca="false">IF(G313="","",MIN(1,G313+J313/100))</f>
        <v>0.405889361173753</v>
      </c>
      <c r="M313" s="21" t="n">
        <f aca="false">ROUND(Q313*S313,0)</f>
        <v>172</v>
      </c>
      <c r="N313" s="21" t="n">
        <f aca="false">ROUND(SQRT((F313*J313/100)^2+(G313*M313)^2),0)</f>
        <v>69</v>
      </c>
      <c r="P313" s="41" t="n">
        <v>-13.5949750568714</v>
      </c>
      <c r="Q313" s="42" t="n">
        <v>1234.30913799319</v>
      </c>
      <c r="R313" s="43" t="n">
        <f aca="false">MAX(0,MIN(1,P313/100+$D$5))</f>
        <v>0.392706001664463</v>
      </c>
      <c r="S313" s="43" t="n">
        <v>0.139463116518417</v>
      </c>
      <c r="T313" s="44" t="s">
        <v>128</v>
      </c>
    </row>
    <row r="314" customFormat="false" ht="15" hidden="false" customHeight="false" outlineLevel="0" collapsed="false">
      <c r="A314" s="38" t="s">
        <v>344</v>
      </c>
      <c r="B314" s="38" t="s">
        <v>437</v>
      </c>
      <c r="C314" s="38" t="s">
        <v>442</v>
      </c>
      <c r="D314" s="21" t="n">
        <f aca="false">ROUND(Q314*R314,0)</f>
        <v>352</v>
      </c>
      <c r="E314" s="21" t="n">
        <f aca="false">ROUND(Q314,0)-D314</f>
        <v>529</v>
      </c>
      <c r="F314" s="21" t="n">
        <f aca="false">IF(COUNTA(D314:E314)=0,"",SUM(D314:E314))</f>
        <v>881</v>
      </c>
      <c r="G314" s="39" t="n">
        <f aca="false">IF(OR(F314="",F314=0),"",D314/F314)</f>
        <v>0.399545970488082</v>
      </c>
      <c r="H314" s="39" t="n">
        <f aca="false">IF(OR(F314="",F314=0),"",E314/F314)</f>
        <v>0.600454029511918</v>
      </c>
      <c r="I314" s="38" t="s">
        <v>89</v>
      </c>
      <c r="J314" s="40" t="n">
        <v>1.85532414445586</v>
      </c>
      <c r="K314" s="39" t="n">
        <f aca="false">IF(G314="","",MAX(0,G314-J314/100))</f>
        <v>0.380992729043523</v>
      </c>
      <c r="L314" s="39" t="n">
        <f aca="false">IF(G314="","",MIN(1,G314+J314/100))</f>
        <v>0.41809921193264</v>
      </c>
      <c r="M314" s="21" t="n">
        <f aca="false">ROUND(Q314*S314,0)</f>
        <v>56</v>
      </c>
      <c r="N314" s="21" t="n">
        <f aca="false">ROUND(SQRT((F314*J314/100)^2+(G314*M314)^2),0)</f>
        <v>28</v>
      </c>
      <c r="P314" s="41" t="n">
        <v>-12.9016709896852</v>
      </c>
      <c r="Q314" s="42" t="n">
        <v>881.342233321968</v>
      </c>
      <c r="R314" s="43" t="n">
        <f aca="false">MAX(0,MIN(1,P314/100+$D$5))</f>
        <v>0.399639042336325</v>
      </c>
      <c r="S314" s="43" t="n">
        <v>0.0633793435818552</v>
      </c>
      <c r="T314" s="44" t="s">
        <v>99</v>
      </c>
    </row>
    <row r="315" customFormat="false" ht="15" hidden="false" customHeight="false" outlineLevel="0" collapsed="false">
      <c r="A315" s="38" t="s">
        <v>344</v>
      </c>
      <c r="B315" s="38" t="s">
        <v>443</v>
      </c>
      <c r="C315" s="38" t="s">
        <v>444</v>
      </c>
      <c r="D315" s="21" t="n">
        <f aca="false">ROUND(Q315*R315,0)</f>
        <v>225</v>
      </c>
      <c r="E315" s="21" t="n">
        <f aca="false">ROUND(Q315,0)-D315</f>
        <v>341</v>
      </c>
      <c r="F315" s="21" t="n">
        <f aca="false">IF(COUNTA(D315:E315)=0,"",SUM(D315:E315))</f>
        <v>566</v>
      </c>
      <c r="G315" s="39" t="n">
        <f aca="false">IF(OR(F315="",F315=0),"",D315/F315)</f>
        <v>0.397526501766784</v>
      </c>
      <c r="H315" s="39" t="n">
        <f aca="false">IF(OR(F315="",F315=0),"",E315/F315)</f>
        <v>0.602473498233216</v>
      </c>
      <c r="I315" s="38" t="s">
        <v>89</v>
      </c>
      <c r="J315" s="40" t="n">
        <v>3.25434931194355</v>
      </c>
      <c r="K315" s="39" t="n">
        <f aca="false">IF(G315="","",MAX(0,G315-J315/100))</f>
        <v>0.364983008647349</v>
      </c>
      <c r="L315" s="39" t="n">
        <f aca="false">IF(G315="","",MIN(1,G315+J315/100))</f>
        <v>0.43006999488622</v>
      </c>
      <c r="M315" s="21" t="n">
        <f aca="false">ROUND(Q315*S315,0)</f>
        <v>44</v>
      </c>
      <c r="N315" s="21" t="n">
        <f aca="false">ROUND(SQRT((F315*J315/100)^2+(G315*M315)^2),0)</f>
        <v>25</v>
      </c>
      <c r="P315" s="41" t="n">
        <v>-13.0711746214063</v>
      </c>
      <c r="Q315" s="42" t="n">
        <v>566.162739850725</v>
      </c>
      <c r="R315" s="43" t="n">
        <f aca="false">MAX(0,MIN(1,P315/100+$D$5))</f>
        <v>0.397944006019113</v>
      </c>
      <c r="S315" s="43" t="n">
        <v>0.0779420971553049</v>
      </c>
      <c r="T315" s="44" t="s">
        <v>90</v>
      </c>
    </row>
    <row r="316" customFormat="false" ht="15" hidden="false" customHeight="false" outlineLevel="0" collapsed="false">
      <c r="A316" s="38" t="s">
        <v>344</v>
      </c>
      <c r="B316" s="38" t="s">
        <v>443</v>
      </c>
      <c r="C316" s="38" t="s">
        <v>445</v>
      </c>
      <c r="D316" s="21" t="n">
        <f aca="false">ROUND(Q316*R316,0)</f>
        <v>356</v>
      </c>
      <c r="E316" s="21" t="n">
        <f aca="false">ROUND(Q316,0)-D316</f>
        <v>595</v>
      </c>
      <c r="F316" s="21" t="n">
        <f aca="false">IF(COUNTA(D316:E316)=0,"",SUM(D316:E316))</f>
        <v>951</v>
      </c>
      <c r="G316" s="39" t="n">
        <f aca="false">IF(OR(F316="",F316=0),"",D316/F316)</f>
        <v>0.374342797055731</v>
      </c>
      <c r="H316" s="39" t="n">
        <f aca="false">IF(OR(F316="",F316=0),"",E316/F316)</f>
        <v>0.625657202944269</v>
      </c>
      <c r="I316" s="38" t="s">
        <v>89</v>
      </c>
      <c r="J316" s="40" t="n">
        <v>1.85532414445586</v>
      </c>
      <c r="K316" s="39" t="n">
        <f aca="false">IF(G316="","",MAX(0,G316-J316/100))</f>
        <v>0.355789555611172</v>
      </c>
      <c r="L316" s="39" t="n">
        <f aca="false">IF(G316="","",MIN(1,G316+J316/100))</f>
        <v>0.392896038500289</v>
      </c>
      <c r="M316" s="21" t="n">
        <f aca="false">ROUND(Q316*S316,0)</f>
        <v>60</v>
      </c>
      <c r="N316" s="21" t="n">
        <f aca="false">ROUND(SQRT((F316*J316/100)^2+(G316*M316)^2),0)</f>
        <v>29</v>
      </c>
      <c r="P316" s="41" t="n">
        <v>-15.39825863594</v>
      </c>
      <c r="Q316" s="42" t="n">
        <v>951.384686685453</v>
      </c>
      <c r="R316" s="43" t="n">
        <f aca="false">MAX(0,MIN(1,P316/100+$D$5))</f>
        <v>0.374673165873777</v>
      </c>
      <c r="S316" s="43" t="n">
        <v>0.0633793435818552</v>
      </c>
      <c r="T316" s="44" t="s">
        <v>99</v>
      </c>
    </row>
    <row r="317" customFormat="false" ht="15" hidden="false" customHeight="false" outlineLevel="0" collapsed="false">
      <c r="A317" s="38" t="s">
        <v>344</v>
      </c>
      <c r="B317" s="38" t="s">
        <v>446</v>
      </c>
      <c r="C317" s="38" t="s">
        <v>447</v>
      </c>
      <c r="D317" s="21" t="n">
        <f aca="false">ROUND(Q317*R317,0)</f>
        <v>218</v>
      </c>
      <c r="E317" s="21" t="n">
        <f aca="false">ROUND(Q317,0)-D317</f>
        <v>256</v>
      </c>
      <c r="F317" s="21" t="n">
        <f aca="false">IF(COUNTA(D317:E317)=0,"",SUM(D317:E317))</f>
        <v>474</v>
      </c>
      <c r="G317" s="39" t="n">
        <f aca="false">IF(OR(F317="",F317=0),"",D317/F317)</f>
        <v>0.459915611814346</v>
      </c>
      <c r="H317" s="39" t="n">
        <f aca="false">IF(OR(F317="",F317=0),"",E317/F317)</f>
        <v>0.540084388185654</v>
      </c>
      <c r="I317" s="38" t="s">
        <v>191</v>
      </c>
      <c r="J317" s="40" t="n">
        <v>3.25434931194355</v>
      </c>
      <c r="K317" s="39" t="n">
        <f aca="false">IF(G317="","",MAX(0,G317-J317/100))</f>
        <v>0.427372118694911</v>
      </c>
      <c r="L317" s="39" t="n">
        <f aca="false">IF(G317="","",MIN(1,G317+J317/100))</f>
        <v>0.492459104933782</v>
      </c>
      <c r="M317" s="21" t="n">
        <f aca="false">ROUND(Q317*S317,0)</f>
        <v>37</v>
      </c>
      <c r="N317" s="21" t="n">
        <f aca="false">ROUND(SQRT((F317*J317/100)^2+(G317*M317)^2),0)</f>
        <v>23</v>
      </c>
      <c r="P317" s="41" t="n">
        <v>-6.76582485370725</v>
      </c>
      <c r="Q317" s="42" t="n">
        <v>473.811287389388</v>
      </c>
      <c r="R317" s="43" t="n">
        <f aca="false">MAX(0,MIN(1,P317/100+$D$5))</f>
        <v>0.460997503696104</v>
      </c>
      <c r="S317" s="43" t="n">
        <v>0.0779420971553049</v>
      </c>
      <c r="T317" s="44" t="s">
        <v>90</v>
      </c>
    </row>
    <row r="318" customFormat="false" ht="15" hidden="false" customHeight="false" outlineLevel="0" collapsed="false">
      <c r="A318" s="38" t="s">
        <v>344</v>
      </c>
      <c r="B318" s="38" t="s">
        <v>446</v>
      </c>
      <c r="C318" s="38" t="s">
        <v>448</v>
      </c>
      <c r="D318" s="21" t="n">
        <f aca="false">ROUND(Q318*R318,0)</f>
        <v>580</v>
      </c>
      <c r="E318" s="21" t="n">
        <f aca="false">ROUND(Q318,0)-D318</f>
        <v>543</v>
      </c>
      <c r="F318" s="21" t="n">
        <f aca="false">IF(COUNTA(D318:E318)=0,"",SUM(D318:E318))</f>
        <v>1123</v>
      </c>
      <c r="G318" s="39" t="n">
        <f aca="false">IF(OR(F318="",F318=0),"",D318/F318)</f>
        <v>0.516473731077471</v>
      </c>
      <c r="H318" s="39" t="n">
        <f aca="false">IF(OR(F318="",F318=0),"",E318/F318)</f>
        <v>0.483526268922529</v>
      </c>
      <c r="I318" s="38" t="s">
        <v>191</v>
      </c>
      <c r="J318" s="40" t="n">
        <v>1.85532414445586</v>
      </c>
      <c r="K318" s="39" t="n">
        <f aca="false">IF(G318="","",MAX(0,G318-J318/100))</f>
        <v>0.497920489632912</v>
      </c>
      <c r="L318" s="39" t="n">
        <f aca="false">IF(G318="","",MIN(1,G318+J318/100))</f>
        <v>0.53502697252203</v>
      </c>
      <c r="M318" s="21" t="n">
        <f aca="false">ROUND(Q318*S318,0)</f>
        <v>71</v>
      </c>
      <c r="N318" s="21" t="n">
        <f aca="false">ROUND(SQRT((F318*J318/100)^2+(G318*M318)^2),0)</f>
        <v>42</v>
      </c>
      <c r="P318" s="41" t="n">
        <v>-1.22709993784506</v>
      </c>
      <c r="Q318" s="42" t="n">
        <v>1122.88212418091</v>
      </c>
      <c r="R318" s="43" t="n">
        <f aca="false">MAX(0,MIN(1,P318/100+$D$5))</f>
        <v>0.516384752854726</v>
      </c>
      <c r="S318" s="43" t="n">
        <v>0.0633793435818552</v>
      </c>
      <c r="T318" s="44" t="s">
        <v>99</v>
      </c>
    </row>
    <row r="319" customFormat="false" ht="15" hidden="false" customHeight="false" outlineLevel="0" collapsed="false">
      <c r="A319" s="38" t="s">
        <v>344</v>
      </c>
      <c r="B319" s="38" t="s">
        <v>446</v>
      </c>
      <c r="C319" s="38" t="s">
        <v>449</v>
      </c>
      <c r="D319" s="21" t="n">
        <f aca="false">ROUND(Q319*R319,0)</f>
        <v>584</v>
      </c>
      <c r="E319" s="21" t="n">
        <f aca="false">ROUND(Q319,0)-D319</f>
        <v>633</v>
      </c>
      <c r="F319" s="21" t="n">
        <f aca="false">IF(COUNTA(D319:E319)=0,"",SUM(D319:E319))</f>
        <v>1217</v>
      </c>
      <c r="G319" s="39" t="n">
        <f aca="false">IF(OR(F319="",F319=0),"",D319/F319)</f>
        <v>0.47986852917009</v>
      </c>
      <c r="H319" s="39" t="n">
        <f aca="false">IF(OR(F319="",F319=0),"",E319/F319)</f>
        <v>0.52013147082991</v>
      </c>
      <c r="I319" s="38" t="s">
        <v>89</v>
      </c>
      <c r="J319" s="40" t="n">
        <v>1.28585670084365</v>
      </c>
      <c r="K319" s="39" t="n">
        <f aca="false">IF(G319="","",MAX(0,G319-J319/100))</f>
        <v>0.467009962161654</v>
      </c>
      <c r="L319" s="39" t="n">
        <f aca="false">IF(G319="","",MIN(1,G319+J319/100))</f>
        <v>0.492727096178527</v>
      </c>
      <c r="M319" s="21" t="n">
        <f aca="false">ROUND(Q319*S319,0)</f>
        <v>170</v>
      </c>
      <c r="N319" s="21" t="n">
        <f aca="false">ROUND(SQRT((F319*J319/100)^2+(G319*M319)^2),0)</f>
        <v>83</v>
      </c>
      <c r="P319" s="41" t="n">
        <v>-4.88764340613502</v>
      </c>
      <c r="Q319" s="42" t="n">
        <v>1217.48372853473</v>
      </c>
      <c r="R319" s="43" t="n">
        <f aca="false">MAX(0,MIN(1,P319/100+$D$5))</f>
        <v>0.479779318171826</v>
      </c>
      <c r="S319" s="43" t="n">
        <v>0.139463116518417</v>
      </c>
      <c r="T319" s="44" t="s">
        <v>128</v>
      </c>
    </row>
    <row r="320" customFormat="false" ht="15" hidden="false" customHeight="false" outlineLevel="0" collapsed="false">
      <c r="A320" s="38" t="s">
        <v>344</v>
      </c>
      <c r="B320" s="38" t="s">
        <v>446</v>
      </c>
      <c r="C320" s="38" t="s">
        <v>450</v>
      </c>
      <c r="D320" s="21" t="n">
        <f aca="false">ROUND(Q320*R320,0)</f>
        <v>539</v>
      </c>
      <c r="E320" s="21" t="n">
        <f aca="false">ROUND(Q320,0)-D320</f>
        <v>568</v>
      </c>
      <c r="F320" s="21" t="n">
        <f aca="false">IF(COUNTA(D320:E320)=0,"",SUM(D320:E320))</f>
        <v>1107</v>
      </c>
      <c r="G320" s="39" t="n">
        <f aca="false">IF(OR(F320="",F320=0),"",D320/F320)</f>
        <v>0.486901535682024</v>
      </c>
      <c r="H320" s="39" t="n">
        <f aca="false">IF(OR(F320="",F320=0),"",E320/F320)</f>
        <v>0.513098464317977</v>
      </c>
      <c r="I320" s="38" t="s">
        <v>191</v>
      </c>
      <c r="J320" s="40" t="n">
        <v>1.85532414445586</v>
      </c>
      <c r="K320" s="39" t="n">
        <f aca="false">IF(G320="","",MAX(0,G320-J320/100))</f>
        <v>0.468348294237465</v>
      </c>
      <c r="L320" s="39" t="n">
        <f aca="false">IF(G320="","",MIN(1,G320+J320/100))</f>
        <v>0.505454777126582</v>
      </c>
      <c r="M320" s="21" t="n">
        <f aca="false">ROUND(Q320*S320,0)</f>
        <v>70</v>
      </c>
      <c r="N320" s="21" t="n">
        <f aca="false">ROUND(SQRT((F320*J320/100)^2+(G320*M320)^2),0)</f>
        <v>40</v>
      </c>
      <c r="P320" s="41" t="n">
        <v>-4.12909149259881</v>
      </c>
      <c r="Q320" s="42" t="n">
        <v>1106.54696104493</v>
      </c>
      <c r="R320" s="43" t="n">
        <f aca="false">MAX(0,MIN(1,P320/100+$D$5))</f>
        <v>0.487364837307189</v>
      </c>
      <c r="S320" s="43" t="n">
        <v>0.0633793435818552</v>
      </c>
      <c r="T320" s="44" t="s">
        <v>99</v>
      </c>
    </row>
    <row r="321" customFormat="false" ht="15" hidden="false" customHeight="false" outlineLevel="0" collapsed="false">
      <c r="A321" s="38" t="s">
        <v>344</v>
      </c>
      <c r="B321" s="38" t="s">
        <v>451</v>
      </c>
      <c r="C321" s="38" t="s">
        <v>452</v>
      </c>
      <c r="D321" s="21" t="n">
        <f aca="false">ROUND(Q321*R321,0)</f>
        <v>573</v>
      </c>
      <c r="E321" s="21" t="n">
        <f aca="false">ROUND(Q321,0)-D321</f>
        <v>446</v>
      </c>
      <c r="F321" s="21" t="n">
        <f aca="false">IF(COUNTA(D321:E321)=0,"",SUM(D321:E321))</f>
        <v>1019</v>
      </c>
      <c r="G321" s="39" t="n">
        <f aca="false">IF(OR(F321="",F321=0),"",D321/F321)</f>
        <v>0.562315996074583</v>
      </c>
      <c r="H321" s="39" t="n">
        <f aca="false">IF(OR(F321="",F321=0),"",E321/F321)</f>
        <v>0.437684003925417</v>
      </c>
      <c r="I321" s="38" t="s">
        <v>89</v>
      </c>
      <c r="J321" s="40" t="n">
        <v>1.85532414445586</v>
      </c>
      <c r="K321" s="39" t="n">
        <f aca="false">IF(G321="","",MAX(0,G321-J321/100))</f>
        <v>0.543762754630024</v>
      </c>
      <c r="L321" s="39" t="n">
        <f aca="false">IF(G321="","",MIN(1,G321+J321/100))</f>
        <v>0.580869237519142</v>
      </c>
      <c r="M321" s="21" t="n">
        <f aca="false">ROUND(Q321*S321,0)</f>
        <v>65</v>
      </c>
      <c r="N321" s="21" t="n">
        <f aca="false">ROUND(SQRT((F321*J321/100)^2+(G321*M321)^2),0)</f>
        <v>41</v>
      </c>
      <c r="P321" s="41" t="n">
        <v>3.36066783862123</v>
      </c>
      <c r="Q321" s="42" t="n">
        <v>1019.12500869015</v>
      </c>
      <c r="R321" s="43" t="n">
        <f aca="false">MAX(0,MIN(1,P321/100+$D$5))</f>
        <v>0.562262430619389</v>
      </c>
      <c r="S321" s="43" t="n">
        <v>0.0633793435818552</v>
      </c>
      <c r="T321" s="44" t="s">
        <v>99</v>
      </c>
    </row>
    <row r="322" customFormat="false" ht="15" hidden="false" customHeight="false" outlineLevel="0" collapsed="false">
      <c r="A322" s="38" t="s">
        <v>344</v>
      </c>
      <c r="B322" s="38" t="s">
        <v>451</v>
      </c>
      <c r="C322" s="38" t="s">
        <v>453</v>
      </c>
      <c r="D322" s="21" t="n">
        <f aca="false">ROUND(Q322*R322,0)</f>
        <v>611</v>
      </c>
      <c r="E322" s="21" t="n">
        <f aca="false">ROUND(Q322,0)-D322</f>
        <v>669</v>
      </c>
      <c r="F322" s="21" t="n">
        <f aca="false">IF(COUNTA(D322:E322)=0,"",SUM(D322:E322))</f>
        <v>1280</v>
      </c>
      <c r="G322" s="39" t="n">
        <f aca="false">IF(OR(F322="",F322=0),"",D322/F322)</f>
        <v>0.47734375</v>
      </c>
      <c r="H322" s="39" t="n">
        <f aca="false">IF(OR(F322="",F322=0),"",E322/F322)</f>
        <v>0.52265625</v>
      </c>
      <c r="I322" s="38" t="s">
        <v>89</v>
      </c>
      <c r="J322" s="40" t="n">
        <v>1.28585670084365</v>
      </c>
      <c r="K322" s="39" t="n">
        <f aca="false">IF(G322="","",MAX(0,G322-J322/100))</f>
        <v>0.464485182991564</v>
      </c>
      <c r="L322" s="39" t="n">
        <f aca="false">IF(G322="","",MIN(1,G322+J322/100))</f>
        <v>0.490202317008437</v>
      </c>
      <c r="M322" s="21" t="n">
        <f aca="false">ROUND(Q322*S322,0)</f>
        <v>179</v>
      </c>
      <c r="N322" s="21" t="n">
        <f aca="false">ROUND(SQRT((F322*J322/100)^2+(G322*M322)^2),0)</f>
        <v>87</v>
      </c>
      <c r="P322" s="41" t="n">
        <v>-5.16892999016893</v>
      </c>
      <c r="Q322" s="42" t="n">
        <v>1280.11996708497</v>
      </c>
      <c r="R322" s="43" t="n">
        <f aca="false">MAX(0,MIN(1,P322/100+$D$5))</f>
        <v>0.476966452331487</v>
      </c>
      <c r="S322" s="43" t="n">
        <v>0.139463116518417</v>
      </c>
      <c r="T322" s="44" t="s">
        <v>128</v>
      </c>
    </row>
    <row r="323" customFormat="false" ht="15" hidden="false" customHeight="false" outlineLevel="0" collapsed="false">
      <c r="A323" s="38" t="s">
        <v>344</v>
      </c>
      <c r="B323" s="38" t="s">
        <v>451</v>
      </c>
      <c r="C323" s="38" t="s">
        <v>454</v>
      </c>
      <c r="D323" s="21" t="n">
        <f aca="false">ROUND(Q323*R323,0)</f>
        <v>441</v>
      </c>
      <c r="E323" s="21" t="n">
        <f aca="false">ROUND(Q323,0)-D323</f>
        <v>534</v>
      </c>
      <c r="F323" s="21" t="n">
        <f aca="false">IF(COUNTA(D323:E323)=0,"",SUM(D323:E323))</f>
        <v>975</v>
      </c>
      <c r="G323" s="39" t="n">
        <f aca="false">IF(OR(F323="",F323=0),"",D323/F323)</f>
        <v>0.452307692307692</v>
      </c>
      <c r="H323" s="39" t="n">
        <f aca="false">IF(OR(F323="",F323=0),"",E323/F323)</f>
        <v>0.547692307692308</v>
      </c>
      <c r="I323" s="38" t="s">
        <v>191</v>
      </c>
      <c r="J323" s="40" t="n">
        <v>1.85532414445586</v>
      </c>
      <c r="K323" s="39" t="n">
        <f aca="false">IF(G323="","",MAX(0,G323-J323/100))</f>
        <v>0.433754450863134</v>
      </c>
      <c r="L323" s="39" t="n">
        <f aca="false">IF(G323="","",MIN(1,G323+J323/100))</f>
        <v>0.470860933752251</v>
      </c>
      <c r="M323" s="21" t="n">
        <f aca="false">ROUND(Q323*S323,0)</f>
        <v>62</v>
      </c>
      <c r="N323" s="21" t="n">
        <f aca="false">ROUND(SQRT((F323*J323/100)^2+(G323*M323)^2),0)</f>
        <v>33</v>
      </c>
      <c r="P323" s="41" t="n">
        <v>-7.67171117175872</v>
      </c>
      <c r="Q323" s="42" t="n">
        <v>975.379911063511</v>
      </c>
      <c r="R323" s="43" t="n">
        <f aca="false">MAX(0,MIN(1,P323/100+$D$5))</f>
        <v>0.451938640515589</v>
      </c>
      <c r="S323" s="43" t="n">
        <v>0.0633793435818552</v>
      </c>
      <c r="T323" s="44" t="s">
        <v>99</v>
      </c>
    </row>
    <row r="324" customFormat="false" ht="15" hidden="false" customHeight="false" outlineLevel="0" collapsed="false">
      <c r="A324" s="38" t="s">
        <v>344</v>
      </c>
      <c r="B324" s="38" t="s">
        <v>451</v>
      </c>
      <c r="C324" s="38" t="s">
        <v>455</v>
      </c>
      <c r="D324" s="21" t="n">
        <f aca="false">ROUND(Q324*R324,0)</f>
        <v>446</v>
      </c>
      <c r="E324" s="21" t="n">
        <f aca="false">ROUND(Q324,0)-D324</f>
        <v>356</v>
      </c>
      <c r="F324" s="21" t="n">
        <f aca="false">IF(COUNTA(D324:E324)=0,"",SUM(D324:E324))</f>
        <v>802</v>
      </c>
      <c r="G324" s="39" t="n">
        <f aca="false">IF(OR(F324="",F324=0),"",D324/F324)</f>
        <v>0.556109725685786</v>
      </c>
      <c r="H324" s="39" t="n">
        <f aca="false">IF(OR(F324="",F324=0),"",E324/F324)</f>
        <v>0.443890274314214</v>
      </c>
      <c r="I324" s="38" t="s">
        <v>89</v>
      </c>
      <c r="J324" s="40" t="n">
        <v>1.85532414445586</v>
      </c>
      <c r="K324" s="39" t="n">
        <f aca="false">IF(G324="","",MAX(0,G324-J324/100))</f>
        <v>0.537556484241227</v>
      </c>
      <c r="L324" s="39" t="n">
        <f aca="false">IF(G324="","",MIN(1,G324+J324/100))</f>
        <v>0.574662967130344</v>
      </c>
      <c r="M324" s="21" t="n">
        <f aca="false">ROUND(Q324*S324,0)</f>
        <v>51</v>
      </c>
      <c r="N324" s="21" t="n">
        <f aca="false">ROUND(SQRT((F324*J324/100)^2+(G324*M324)^2),0)</f>
        <v>32</v>
      </c>
      <c r="P324" s="41" t="n">
        <v>2.73436513050123</v>
      </c>
      <c r="Q324" s="42" t="n">
        <v>802.18680034095</v>
      </c>
      <c r="R324" s="43" t="n">
        <f aca="false">MAX(0,MIN(1,P324/100+$D$5))</f>
        <v>0.555999403538189</v>
      </c>
      <c r="S324" s="43" t="n">
        <v>0.0633793435818552</v>
      </c>
      <c r="T324" s="44" t="s">
        <v>99</v>
      </c>
    </row>
    <row r="325" customFormat="false" ht="15" hidden="false" customHeight="false" outlineLevel="0" collapsed="false">
      <c r="A325" s="38" t="s">
        <v>344</v>
      </c>
      <c r="B325" s="38" t="s">
        <v>451</v>
      </c>
      <c r="C325" s="38" t="s">
        <v>456</v>
      </c>
      <c r="D325" s="21" t="n">
        <f aca="false">ROUND(Q325*R325,0)</f>
        <v>412</v>
      </c>
      <c r="E325" s="21" t="n">
        <f aca="false">ROUND(Q325,0)-D325</f>
        <v>481</v>
      </c>
      <c r="F325" s="21" t="n">
        <f aca="false">IF(COUNTA(D325:E325)=0,"",SUM(D325:E325))</f>
        <v>893</v>
      </c>
      <c r="G325" s="39" t="n">
        <f aca="false">IF(OR(F325="",F325=0),"",D325/F325)</f>
        <v>0.461366181410974</v>
      </c>
      <c r="H325" s="39" t="n">
        <f aca="false">IF(OR(F325="",F325=0),"",E325/F325)</f>
        <v>0.538633818589026</v>
      </c>
      <c r="I325" s="38" t="s">
        <v>89</v>
      </c>
      <c r="J325" s="40" t="n">
        <v>1.85532414445586</v>
      </c>
      <c r="K325" s="39" t="n">
        <f aca="false">IF(G325="","",MAX(0,G325-J325/100))</f>
        <v>0.442812939966416</v>
      </c>
      <c r="L325" s="39" t="n">
        <f aca="false">IF(G325="","",MIN(1,G325+J325/100))</f>
        <v>0.479919422855533</v>
      </c>
      <c r="M325" s="21" t="n">
        <f aca="false">ROUND(Q325*S325,0)</f>
        <v>57</v>
      </c>
      <c r="N325" s="21" t="n">
        <f aca="false">ROUND(SQRT((F325*J325/100)^2+(G325*M325)^2),0)</f>
        <v>31</v>
      </c>
      <c r="P325" s="41" t="n">
        <v>-6.70820295966384</v>
      </c>
      <c r="Q325" s="42" t="n">
        <v>892.548235885242</v>
      </c>
      <c r="R325" s="43" t="n">
        <f aca="false">MAX(0,MIN(1,P325/100+$D$5))</f>
        <v>0.461573722636538</v>
      </c>
      <c r="S325" s="43" t="n">
        <v>0.0633793435818552</v>
      </c>
      <c r="T325" s="44" t="s">
        <v>99</v>
      </c>
    </row>
    <row r="326" customFormat="false" ht="15" hidden="false" customHeight="false" outlineLevel="0" collapsed="false">
      <c r="A326" s="38" t="s">
        <v>344</v>
      </c>
      <c r="B326" s="38" t="s">
        <v>451</v>
      </c>
      <c r="C326" s="38" t="s">
        <v>457</v>
      </c>
      <c r="D326" s="21" t="n">
        <f aca="false">ROUND(Q326*R326,0)</f>
        <v>936</v>
      </c>
      <c r="E326" s="21" t="n">
        <f aca="false">ROUND(Q326,0)-D326</f>
        <v>906</v>
      </c>
      <c r="F326" s="21" t="n">
        <f aca="false">IF(COUNTA(D326:E326)=0,"",SUM(D326:E326))</f>
        <v>1842</v>
      </c>
      <c r="G326" s="39" t="n">
        <f aca="false">IF(OR(F326="",F326=0),"",D326/F326)</f>
        <v>0.50814332247557</v>
      </c>
      <c r="H326" s="39" t="n">
        <f aca="false">IF(OR(F326="",F326=0),"",E326/F326)</f>
        <v>0.49185667752443</v>
      </c>
      <c r="I326" s="38" t="s">
        <v>191</v>
      </c>
      <c r="J326" s="40" t="n">
        <v>1.28585670084365</v>
      </c>
      <c r="K326" s="39" t="n">
        <f aca="false">IF(G326="","",MAX(0,G326-J326/100))</f>
        <v>0.495284755467134</v>
      </c>
      <c r="L326" s="39" t="n">
        <f aca="false">IF(G326="","",MIN(1,G326+J326/100))</f>
        <v>0.521001889484007</v>
      </c>
      <c r="M326" s="21" t="n">
        <f aca="false">ROUND(Q326*S326,0)</f>
        <v>257</v>
      </c>
      <c r="N326" s="21" t="n">
        <f aca="false">ROUND(SQRT((F326*J326/100)^2+(G326*M326)^2),0)</f>
        <v>133</v>
      </c>
      <c r="P326" s="41" t="n">
        <v>-2.08219737163993</v>
      </c>
      <c r="Q326" s="42" t="n">
        <v>1842.21553902239</v>
      </c>
      <c r="R326" s="43" t="n">
        <f aca="false">MAX(0,MIN(1,P326/100+$D$5))</f>
        <v>0.507833778516777</v>
      </c>
      <c r="S326" s="43" t="n">
        <v>0.139463116518417</v>
      </c>
      <c r="T326" s="44" t="s">
        <v>128</v>
      </c>
    </row>
    <row r="327" customFormat="false" ht="15" hidden="false" customHeight="false" outlineLevel="0" collapsed="false">
      <c r="A327" s="38" t="s">
        <v>344</v>
      </c>
      <c r="B327" s="38" t="s">
        <v>458</v>
      </c>
      <c r="C327" s="38" t="s">
        <v>459</v>
      </c>
      <c r="D327" s="21" t="n">
        <f aca="false">ROUND(Q327*R327,0)</f>
        <v>396</v>
      </c>
      <c r="E327" s="21" t="n">
        <f aca="false">ROUND(Q327,0)-D327</f>
        <v>624</v>
      </c>
      <c r="F327" s="21" t="n">
        <f aca="false">IF(COUNTA(D327:E327)=0,"",SUM(D327:E327))</f>
        <v>1020</v>
      </c>
      <c r="G327" s="39" t="n">
        <f aca="false">IF(OR(F327="",F327=0),"",D327/F327)</f>
        <v>0.388235294117647</v>
      </c>
      <c r="H327" s="39" t="n">
        <f aca="false">IF(OR(F327="",F327=0),"",E327/F327)</f>
        <v>0.611764705882353</v>
      </c>
      <c r="I327" s="38" t="s">
        <v>89</v>
      </c>
      <c r="J327" s="40" t="n">
        <v>1.85532414445586</v>
      </c>
      <c r="K327" s="39" t="n">
        <f aca="false">IF(G327="","",MAX(0,G327-J327/100))</f>
        <v>0.369682052673088</v>
      </c>
      <c r="L327" s="39" t="n">
        <f aca="false">IF(G327="","",MIN(1,G327+J327/100))</f>
        <v>0.406788535562206</v>
      </c>
      <c r="M327" s="21" t="n">
        <f aca="false">ROUND(Q327*S327,0)</f>
        <v>65</v>
      </c>
      <c r="N327" s="21" t="n">
        <f aca="false">ROUND(SQRT((F327*J327/100)^2+(G327*M327)^2),0)</f>
        <v>32</v>
      </c>
      <c r="P327" s="41" t="n">
        <v>-14.0987759294841</v>
      </c>
      <c r="Q327" s="42" t="n">
        <v>1020.23049183428</v>
      </c>
      <c r="R327" s="43" t="n">
        <f aca="false">MAX(0,MIN(1,P327/100+$D$5))</f>
        <v>0.387667992938335</v>
      </c>
      <c r="S327" s="43" t="n">
        <v>0.0633793435818552</v>
      </c>
      <c r="T327" s="44" t="s">
        <v>99</v>
      </c>
    </row>
    <row r="328" customFormat="false" ht="15" hidden="false" customHeight="false" outlineLevel="0" collapsed="false">
      <c r="A328" s="38" t="s">
        <v>344</v>
      </c>
      <c r="B328" s="38" t="s">
        <v>458</v>
      </c>
      <c r="C328" s="38" t="s">
        <v>460</v>
      </c>
      <c r="D328" s="21" t="n">
        <f aca="false">ROUND(Q328*R328,0)</f>
        <v>784</v>
      </c>
      <c r="E328" s="21" t="n">
        <f aca="false">ROUND(Q328,0)-D328</f>
        <v>1261</v>
      </c>
      <c r="F328" s="21" t="n">
        <f aca="false">IF(COUNTA(D328:E328)=0,"",SUM(D328:E328))</f>
        <v>2045</v>
      </c>
      <c r="G328" s="39" t="n">
        <f aca="false">IF(OR(F328="",F328=0),"",D328/F328)</f>
        <v>0.383374083129584</v>
      </c>
      <c r="H328" s="39" t="n">
        <f aca="false">IF(OR(F328="",F328=0),"",E328/F328)</f>
        <v>0.616625916870416</v>
      </c>
      <c r="I328" s="38" t="s">
        <v>89</v>
      </c>
      <c r="J328" s="40" t="n">
        <v>1.28585670084365</v>
      </c>
      <c r="K328" s="39" t="n">
        <f aca="false">IF(G328="","",MAX(0,G328-J328/100))</f>
        <v>0.370515516121148</v>
      </c>
      <c r="L328" s="39" t="n">
        <f aca="false">IF(G328="","",MIN(1,G328+J328/100))</f>
        <v>0.396232650138021</v>
      </c>
      <c r="M328" s="21" t="n">
        <f aca="false">ROUND(Q328*S328,0)</f>
        <v>285</v>
      </c>
      <c r="N328" s="21" t="n">
        <f aca="false">ROUND(SQRT((F328*J328/100)^2+(G328*M328)^2),0)</f>
        <v>112</v>
      </c>
      <c r="P328" s="41" t="n">
        <v>-14.5136984355173</v>
      </c>
      <c r="Q328" s="42" t="n">
        <v>2044.71991686592</v>
      </c>
      <c r="R328" s="43" t="n">
        <f aca="false">MAX(0,MIN(1,P328/100+$D$5))</f>
        <v>0.383518767878004</v>
      </c>
      <c r="S328" s="43" t="n">
        <v>0.139463116518417</v>
      </c>
      <c r="T328" s="44" t="s">
        <v>128</v>
      </c>
    </row>
    <row r="329" customFormat="false" ht="15" hidden="false" customHeight="false" outlineLevel="0" collapsed="false">
      <c r="A329" s="38" t="s">
        <v>344</v>
      </c>
      <c r="B329" s="38" t="s">
        <v>458</v>
      </c>
      <c r="C329" s="38" t="s">
        <v>461</v>
      </c>
      <c r="D329" s="21" t="n">
        <f aca="false">ROUND(Q329*R329,0)</f>
        <v>530</v>
      </c>
      <c r="E329" s="21" t="n">
        <f aca="false">ROUND(Q329,0)-D329</f>
        <v>930</v>
      </c>
      <c r="F329" s="21" t="n">
        <f aca="false">IF(COUNTA(D329:E329)=0,"",SUM(D329:E329))</f>
        <v>1460</v>
      </c>
      <c r="G329" s="39" t="n">
        <f aca="false">IF(OR(F329="",F329=0),"",D329/F329)</f>
        <v>0.363013698630137</v>
      </c>
      <c r="H329" s="39" t="n">
        <f aca="false">IF(OR(F329="",F329=0),"",E329/F329)</f>
        <v>0.636986301369863</v>
      </c>
      <c r="I329" s="38" t="s">
        <v>89</v>
      </c>
      <c r="J329" s="40" t="n">
        <v>1.28585670084365</v>
      </c>
      <c r="K329" s="39" t="n">
        <f aca="false">IF(G329="","",MAX(0,G329-J329/100))</f>
        <v>0.350155131621701</v>
      </c>
      <c r="L329" s="39" t="n">
        <f aca="false">IF(G329="","",MIN(1,G329+J329/100))</f>
        <v>0.375872265638574</v>
      </c>
      <c r="M329" s="21" t="n">
        <f aca="false">ROUND(Q329*S329,0)</f>
        <v>204</v>
      </c>
      <c r="N329" s="21" t="n">
        <f aca="false">ROUND(SQRT((F329*J329/100)^2+(G329*M329)^2),0)</f>
        <v>76</v>
      </c>
      <c r="P329" s="41" t="n">
        <v>-16.5829276411226</v>
      </c>
      <c r="Q329" s="42" t="n">
        <v>1460.29228501872</v>
      </c>
      <c r="R329" s="43" t="n">
        <f aca="false">MAX(0,MIN(1,P329/100+$D$5))</f>
        <v>0.362826475821951</v>
      </c>
      <c r="S329" s="43" t="n">
        <v>0.139463116518417</v>
      </c>
      <c r="T329" s="44" t="s">
        <v>128</v>
      </c>
    </row>
    <row r="330" customFormat="false" ht="15" hidden="false" customHeight="false" outlineLevel="0" collapsed="false">
      <c r="A330" s="38" t="s">
        <v>344</v>
      </c>
      <c r="B330" s="38" t="s">
        <v>458</v>
      </c>
      <c r="C330" s="38" t="s">
        <v>462</v>
      </c>
      <c r="D330" s="21" t="n">
        <f aca="false">ROUND(Q330*R330,0)</f>
        <v>250</v>
      </c>
      <c r="E330" s="21" t="n">
        <f aca="false">ROUND(Q330,0)-D330</f>
        <v>435</v>
      </c>
      <c r="F330" s="21" t="n">
        <f aca="false">IF(COUNTA(D330:E330)=0,"",SUM(D330:E330))</f>
        <v>685</v>
      </c>
      <c r="G330" s="39" t="n">
        <f aca="false">IF(OR(F330="",F330=0),"",D330/F330)</f>
        <v>0.364963503649635</v>
      </c>
      <c r="H330" s="39" t="n">
        <f aca="false">IF(OR(F330="",F330=0),"",E330/F330)</f>
        <v>0.635036496350365</v>
      </c>
      <c r="I330" s="38" t="s">
        <v>89</v>
      </c>
      <c r="J330" s="40" t="n">
        <v>3.25434931194355</v>
      </c>
      <c r="K330" s="39" t="n">
        <f aca="false">IF(G330="","",MAX(0,G330-J330/100))</f>
        <v>0.3324200105302</v>
      </c>
      <c r="L330" s="39" t="n">
        <f aca="false">IF(G330="","",MIN(1,G330+J330/100))</f>
        <v>0.397506996769071</v>
      </c>
      <c r="M330" s="21" t="n">
        <f aca="false">ROUND(Q330*S330,0)</f>
        <v>53</v>
      </c>
      <c r="N330" s="21" t="n">
        <f aca="false">ROUND(SQRT((F330*J330/100)^2+(G330*M330)^2),0)</f>
        <v>30</v>
      </c>
      <c r="P330" s="41" t="n">
        <v>-16.4342352472022</v>
      </c>
      <c r="Q330" s="42" t="n">
        <v>685.315880770423</v>
      </c>
      <c r="R330" s="43" t="n">
        <f aca="false">MAX(0,MIN(1,P330/100+$D$5))</f>
        <v>0.364313399761154</v>
      </c>
      <c r="S330" s="43" t="n">
        <v>0.0779420971553049</v>
      </c>
      <c r="T330" s="44" t="s">
        <v>90</v>
      </c>
    </row>
    <row r="331" customFormat="false" ht="15" hidden="false" customHeight="false" outlineLevel="0" collapsed="false">
      <c r="A331" s="38" t="s">
        <v>344</v>
      </c>
      <c r="B331" s="38" t="s">
        <v>463</v>
      </c>
      <c r="C331" s="38" t="s">
        <v>464</v>
      </c>
      <c r="D331" s="21" t="n">
        <f aca="false">ROUND(Q331*R331,0)</f>
        <v>561</v>
      </c>
      <c r="E331" s="21" t="n">
        <f aca="false">ROUND(Q331,0)-D331</f>
        <v>470</v>
      </c>
      <c r="F331" s="21" t="n">
        <f aca="false">IF(COUNTA(D331:E331)=0,"",SUM(D331:E331))</f>
        <v>1031</v>
      </c>
      <c r="G331" s="39" t="n">
        <f aca="false">IF(OR(F331="",F331=0),"",D331/F331)</f>
        <v>0.544131910766246</v>
      </c>
      <c r="H331" s="39" t="n">
        <f aca="false">IF(OR(F331="",F331=0),"",E331/F331)</f>
        <v>0.455868089233754</v>
      </c>
      <c r="I331" s="38" t="s">
        <v>89</v>
      </c>
      <c r="J331" s="40" t="n">
        <v>1.85532414445586</v>
      </c>
      <c r="K331" s="39" t="n">
        <f aca="false">IF(G331="","",MAX(0,G331-J331/100))</f>
        <v>0.525578669321688</v>
      </c>
      <c r="L331" s="39" t="n">
        <f aca="false">IF(G331="","",MIN(1,G331+J331/100))</f>
        <v>0.562685152210805</v>
      </c>
      <c r="M331" s="21" t="n">
        <f aca="false">ROUND(Q331*S331,0)</f>
        <v>65</v>
      </c>
      <c r="N331" s="21" t="n">
        <f aca="false">ROUND(SQRT((F331*J331/100)^2+(G331*M331)^2),0)</f>
        <v>40</v>
      </c>
      <c r="P331" s="41" t="n">
        <v>1.55650374161447</v>
      </c>
      <c r="Q331" s="42" t="n">
        <v>1031.12143861707</v>
      </c>
      <c r="R331" s="43" t="n">
        <f aca="false">MAX(0,MIN(1,P331/100+$D$5))</f>
        <v>0.544220789649321</v>
      </c>
      <c r="S331" s="43" t="n">
        <v>0.0633793435818552</v>
      </c>
      <c r="T331" s="44" t="s">
        <v>99</v>
      </c>
    </row>
    <row r="332" customFormat="false" ht="15" hidden="false" customHeight="false" outlineLevel="0" collapsed="false">
      <c r="A332" s="38" t="s">
        <v>344</v>
      </c>
      <c r="B332" s="38" t="s">
        <v>463</v>
      </c>
      <c r="C332" s="38" t="s">
        <v>465</v>
      </c>
      <c r="D332" s="21" t="n">
        <f aca="false">ROUND(Q332*R332,0)</f>
        <v>457</v>
      </c>
      <c r="E332" s="21" t="n">
        <f aca="false">ROUND(Q332,0)-D332</f>
        <v>371</v>
      </c>
      <c r="F332" s="21" t="n">
        <f aca="false">IF(COUNTA(D332:E332)=0,"",SUM(D332:E332))</f>
        <v>828</v>
      </c>
      <c r="G332" s="39" t="n">
        <f aca="false">IF(OR(F332="",F332=0),"",D332/F332)</f>
        <v>0.551932367149759</v>
      </c>
      <c r="H332" s="39" t="n">
        <f aca="false">IF(OR(F332="",F332=0),"",E332/F332)</f>
        <v>0.448067632850242</v>
      </c>
      <c r="I332" s="38" t="s">
        <v>89</v>
      </c>
      <c r="J332" s="40" t="n">
        <v>1.85532414445586</v>
      </c>
      <c r="K332" s="39" t="n">
        <f aca="false">IF(G332="","",MAX(0,G332-J332/100))</f>
        <v>0.5333791257052</v>
      </c>
      <c r="L332" s="39" t="n">
        <f aca="false">IF(G332="","",MIN(1,G332+J332/100))</f>
        <v>0.570485608594317</v>
      </c>
      <c r="M332" s="21" t="n">
        <f aca="false">ROUND(Q332*S332,0)</f>
        <v>52</v>
      </c>
      <c r="N332" s="21" t="n">
        <f aca="false">ROUND(SQRT((F332*J332/100)^2+(G332*M332)^2),0)</f>
        <v>33</v>
      </c>
      <c r="P332" s="41" t="n">
        <v>2.30380547506099</v>
      </c>
      <c r="Q332" s="42" t="n">
        <v>828.002639087367</v>
      </c>
      <c r="R332" s="43" t="n">
        <f aca="false">MAX(0,MIN(1,P332/100+$D$5))</f>
        <v>0.551693806983787</v>
      </c>
      <c r="S332" s="43" t="n">
        <v>0.0633793435818552</v>
      </c>
      <c r="T332" s="44" t="s">
        <v>99</v>
      </c>
    </row>
    <row r="333" customFormat="false" ht="15" hidden="false" customHeight="false" outlineLevel="0" collapsed="false">
      <c r="A333" s="38" t="s">
        <v>344</v>
      </c>
      <c r="B333" s="38" t="s">
        <v>463</v>
      </c>
      <c r="C333" s="38" t="s">
        <v>466</v>
      </c>
      <c r="D333" s="21" t="n">
        <f aca="false">ROUND(Q333*R333,0)</f>
        <v>426</v>
      </c>
      <c r="E333" s="21" t="n">
        <f aca="false">ROUND(Q333,0)-D333</f>
        <v>373</v>
      </c>
      <c r="F333" s="21" t="n">
        <f aca="false">IF(COUNTA(D333:E333)=0,"",SUM(D333:E333))</f>
        <v>799</v>
      </c>
      <c r="G333" s="39" t="n">
        <f aca="false">IF(OR(F333="",F333=0),"",D333/F333)</f>
        <v>0.533166458072591</v>
      </c>
      <c r="H333" s="39" t="n">
        <f aca="false">IF(OR(F333="",F333=0),"",E333/F333)</f>
        <v>0.466833541927409</v>
      </c>
      <c r="I333" s="38" t="s">
        <v>89</v>
      </c>
      <c r="J333" s="40" t="n">
        <v>1.85532414445586</v>
      </c>
      <c r="K333" s="39" t="n">
        <f aca="false">IF(G333="","",MAX(0,G333-J333/100))</f>
        <v>0.514613216628032</v>
      </c>
      <c r="L333" s="39" t="n">
        <f aca="false">IF(G333="","",MIN(1,G333+J333/100))</f>
        <v>0.551719699517149</v>
      </c>
      <c r="M333" s="21" t="n">
        <f aca="false">ROUND(Q333*S333,0)</f>
        <v>51</v>
      </c>
      <c r="N333" s="21" t="n">
        <f aca="false">ROUND(SQRT((F333*J333/100)^2+(G333*M333)^2),0)</f>
        <v>31</v>
      </c>
      <c r="P333" s="41" t="n">
        <v>0.439266222370317</v>
      </c>
      <c r="Q333" s="42" t="n">
        <v>798.737249022967</v>
      </c>
      <c r="R333" s="43" t="n">
        <f aca="false">MAX(0,MIN(1,P333/100+$D$5))</f>
        <v>0.53304841445688</v>
      </c>
      <c r="S333" s="43" t="n">
        <v>0.0633793435818552</v>
      </c>
      <c r="T333" s="44" t="s">
        <v>99</v>
      </c>
    </row>
    <row r="334" customFormat="false" ht="15" hidden="false" customHeight="false" outlineLevel="0" collapsed="false">
      <c r="A334" s="38" t="s">
        <v>344</v>
      </c>
      <c r="B334" s="38" t="s">
        <v>467</v>
      </c>
      <c r="C334" s="38" t="s">
        <v>468</v>
      </c>
      <c r="D334" s="21" t="n">
        <f aca="false">ROUND(Q334*R334,0)</f>
        <v>198</v>
      </c>
      <c r="E334" s="21" t="n">
        <f aca="false">ROUND(Q334,0)-D334</f>
        <v>198</v>
      </c>
      <c r="F334" s="21" t="n">
        <f aca="false">IF(COUNTA(D334:E334)=0,"",SUM(D334:E334))</f>
        <v>396</v>
      </c>
      <c r="G334" s="39" t="n">
        <f aca="false">IF(OR(F334="",F334=0),"",D334/F334)</f>
        <v>0.5</v>
      </c>
      <c r="H334" s="39" t="n">
        <f aca="false">IF(OR(F334="",F334=0),"",E334/F334)</f>
        <v>0.5</v>
      </c>
      <c r="I334" s="38" t="s">
        <v>89</v>
      </c>
      <c r="J334" s="40" t="n">
        <v>3.25434931194355</v>
      </c>
      <c r="K334" s="39" t="n">
        <f aca="false">IF(G334="","",MAX(0,G334-J334/100))</f>
        <v>0.467456506880565</v>
      </c>
      <c r="L334" s="39" t="n">
        <f aca="false">IF(G334="","",MIN(1,G334+J334/100))</f>
        <v>0.532543493119436</v>
      </c>
      <c r="M334" s="21" t="n">
        <f aca="false">ROUND(Q334*S334,0)</f>
        <v>31</v>
      </c>
      <c r="N334" s="21" t="n">
        <f aca="false">ROUND(SQRT((F334*J334/100)^2+(G334*M334)^2),0)</f>
        <v>20</v>
      </c>
      <c r="P334" s="41" t="n">
        <v>-2.93248503991842</v>
      </c>
      <c r="Q334" s="42" t="n">
        <v>396.007350653015</v>
      </c>
      <c r="R334" s="43" t="n">
        <f aca="false">MAX(0,MIN(1,P334/100+$D$5))</f>
        <v>0.499330901833993</v>
      </c>
      <c r="S334" s="43" t="n">
        <v>0.0779420971553049</v>
      </c>
      <c r="T334" s="44" t="s">
        <v>90</v>
      </c>
    </row>
    <row r="335" customFormat="false" ht="15" hidden="false" customHeight="false" outlineLevel="0" collapsed="false">
      <c r="A335" s="38" t="s">
        <v>344</v>
      </c>
      <c r="B335" s="38" t="s">
        <v>467</v>
      </c>
      <c r="C335" s="38" t="s">
        <v>469</v>
      </c>
      <c r="D335" s="21" t="n">
        <f aca="false">ROUND(Q335*R335,0)</f>
        <v>594</v>
      </c>
      <c r="E335" s="21" t="n">
        <f aca="false">ROUND(Q335,0)-D335</f>
        <v>491</v>
      </c>
      <c r="F335" s="21" t="n">
        <f aca="false">IF(COUNTA(D335:E335)=0,"",SUM(D335:E335))</f>
        <v>1085</v>
      </c>
      <c r="G335" s="39" t="n">
        <f aca="false">IF(OR(F335="",F335=0),"",D335/F335)</f>
        <v>0.547465437788019</v>
      </c>
      <c r="H335" s="39" t="n">
        <f aca="false">IF(OR(F335="",F335=0),"",E335/F335)</f>
        <v>0.452534562211982</v>
      </c>
      <c r="I335" s="38" t="s">
        <v>89</v>
      </c>
      <c r="J335" s="40" t="n">
        <v>1.85532414445586</v>
      </c>
      <c r="K335" s="39" t="n">
        <f aca="false">IF(G335="","",MAX(0,G335-J335/100))</f>
        <v>0.52891219634346</v>
      </c>
      <c r="L335" s="39" t="n">
        <f aca="false">IF(G335="","",MIN(1,G335+J335/100))</f>
        <v>0.566018679232577</v>
      </c>
      <c r="M335" s="21" t="n">
        <f aca="false">ROUND(Q335*S335,0)</f>
        <v>69</v>
      </c>
      <c r="N335" s="21" t="n">
        <f aca="false">ROUND(SQRT((F335*J335/100)^2+(G335*M335)^2),0)</f>
        <v>43</v>
      </c>
      <c r="P335" s="41" t="n">
        <v>1.89556403353326</v>
      </c>
      <c r="Q335" s="42" t="n">
        <v>1084.65942856286</v>
      </c>
      <c r="R335" s="43" t="n">
        <f aca="false">MAX(0,MIN(1,P335/100+$D$5))</f>
        <v>0.547611392568509</v>
      </c>
      <c r="S335" s="43" t="n">
        <v>0.0633793435818552</v>
      </c>
      <c r="T335" s="44" t="s">
        <v>99</v>
      </c>
    </row>
    <row r="336" customFormat="false" ht="15" hidden="false" customHeight="false" outlineLevel="0" collapsed="false">
      <c r="A336" s="38" t="s">
        <v>344</v>
      </c>
      <c r="B336" s="38" t="s">
        <v>470</v>
      </c>
      <c r="C336" s="38" t="s">
        <v>471</v>
      </c>
      <c r="D336" s="21" t="n">
        <f aca="false">ROUND(Q336*R336,0)</f>
        <v>578</v>
      </c>
      <c r="E336" s="21" t="n">
        <f aca="false">ROUND(Q336,0)-D336</f>
        <v>517</v>
      </c>
      <c r="F336" s="21" t="n">
        <f aca="false">IF(COUNTA(D336:E336)=0,"",SUM(D336:E336))</f>
        <v>1095</v>
      </c>
      <c r="G336" s="39" t="n">
        <f aca="false">IF(OR(F336="",F336=0),"",D336/F336)</f>
        <v>0.527853881278539</v>
      </c>
      <c r="H336" s="39" t="n">
        <f aca="false">IF(OR(F336="",F336=0),"",E336/F336)</f>
        <v>0.472146118721461</v>
      </c>
      <c r="I336" s="38" t="s">
        <v>89</v>
      </c>
      <c r="J336" s="40" t="n">
        <v>1.85532414445586</v>
      </c>
      <c r="K336" s="39" t="n">
        <f aca="false">IF(G336="","",MAX(0,G336-J336/100))</f>
        <v>0.50930063983398</v>
      </c>
      <c r="L336" s="39" t="n">
        <f aca="false">IF(G336="","",MIN(1,G336+J336/100))</f>
        <v>0.546407122723097</v>
      </c>
      <c r="M336" s="21" t="n">
        <f aca="false">ROUND(Q336*S336,0)</f>
        <v>69</v>
      </c>
      <c r="N336" s="21" t="n">
        <f aca="false">ROUND(SQRT((F336*J336/100)^2+(G336*M336)^2),0)</f>
        <v>42</v>
      </c>
      <c r="P336" s="41" t="n">
        <v>-0.0898271380636477</v>
      </c>
      <c r="Q336" s="42" t="n">
        <v>1095.02789939126</v>
      </c>
      <c r="R336" s="43" t="n">
        <f aca="false">MAX(0,MIN(1,P336/100+$D$5))</f>
        <v>0.52775748085254</v>
      </c>
      <c r="S336" s="43" t="n">
        <v>0.0633793435818552</v>
      </c>
      <c r="T336" s="44" t="s">
        <v>99</v>
      </c>
    </row>
    <row r="337" customFormat="false" ht="15" hidden="false" customHeight="false" outlineLevel="0" collapsed="false">
      <c r="A337" s="38" t="s">
        <v>344</v>
      </c>
      <c r="B337" s="38" t="s">
        <v>470</v>
      </c>
      <c r="C337" s="38" t="s">
        <v>472</v>
      </c>
      <c r="D337" s="21" t="n">
        <f aca="false">ROUND(Q337*R337,0)</f>
        <v>506</v>
      </c>
      <c r="E337" s="21" t="n">
        <f aca="false">ROUND(Q337,0)-D337</f>
        <v>422</v>
      </c>
      <c r="F337" s="21" t="n">
        <f aca="false">IF(COUNTA(D337:E337)=0,"",SUM(D337:E337))</f>
        <v>928</v>
      </c>
      <c r="G337" s="39" t="n">
        <f aca="false">IF(OR(F337="",F337=0),"",D337/F337)</f>
        <v>0.545258620689655</v>
      </c>
      <c r="H337" s="39" t="n">
        <f aca="false">IF(OR(F337="",F337=0),"",E337/F337)</f>
        <v>0.454741379310345</v>
      </c>
      <c r="I337" s="38" t="s">
        <v>89</v>
      </c>
      <c r="J337" s="40" t="n">
        <v>1.85532414445586</v>
      </c>
      <c r="K337" s="39" t="n">
        <f aca="false">IF(G337="","",MAX(0,G337-J337/100))</f>
        <v>0.526705379245097</v>
      </c>
      <c r="L337" s="39" t="n">
        <f aca="false">IF(G337="","",MIN(1,G337+J337/100))</f>
        <v>0.563811862134214</v>
      </c>
      <c r="M337" s="21" t="n">
        <f aca="false">ROUND(Q337*S337,0)</f>
        <v>59</v>
      </c>
      <c r="N337" s="21" t="n">
        <f aca="false">ROUND(SQRT((F337*J337/100)^2+(G337*M337)^2),0)</f>
        <v>36</v>
      </c>
      <c r="P337" s="41" t="n">
        <v>1.6754025775463</v>
      </c>
      <c r="Q337" s="42" t="n">
        <v>927.973305822627</v>
      </c>
      <c r="R337" s="43" t="n">
        <f aca="false">MAX(0,MIN(1,P337/100+$D$5))</f>
        <v>0.54540977800864</v>
      </c>
      <c r="S337" s="43" t="n">
        <v>0.0633793435818552</v>
      </c>
      <c r="T337" s="44" t="s">
        <v>99</v>
      </c>
    </row>
    <row r="338" customFormat="false" ht="15" hidden="false" customHeight="false" outlineLevel="0" collapsed="false">
      <c r="A338" s="38" t="s">
        <v>344</v>
      </c>
      <c r="B338" s="38" t="s">
        <v>470</v>
      </c>
      <c r="C338" s="38" t="s">
        <v>473</v>
      </c>
      <c r="D338" s="21" t="n">
        <f aca="false">ROUND(Q338*R338,0)</f>
        <v>1028</v>
      </c>
      <c r="E338" s="21" t="n">
        <f aca="false">ROUND(Q338,0)-D338</f>
        <v>943</v>
      </c>
      <c r="F338" s="21" t="n">
        <f aca="false">IF(COUNTA(D338:E338)=0,"",SUM(D338:E338))</f>
        <v>1971</v>
      </c>
      <c r="G338" s="39" t="n">
        <f aca="false">IF(OR(F338="",F338=0),"",D338/F338)</f>
        <v>0.52156265854896</v>
      </c>
      <c r="H338" s="39" t="n">
        <f aca="false">IF(OR(F338="",F338=0),"",E338/F338)</f>
        <v>0.47843734145104</v>
      </c>
      <c r="I338" s="38" t="s">
        <v>89</v>
      </c>
      <c r="J338" s="40" t="n">
        <v>1.28585670084365</v>
      </c>
      <c r="K338" s="39" t="n">
        <f aca="false">IF(G338="","",MAX(0,G338-J338/100))</f>
        <v>0.508704091540523</v>
      </c>
      <c r="L338" s="39" t="n">
        <f aca="false">IF(G338="","",MIN(1,G338+J338/100))</f>
        <v>0.534421225557397</v>
      </c>
      <c r="M338" s="21" t="n">
        <f aca="false">ROUND(Q338*S338,0)</f>
        <v>275</v>
      </c>
      <c r="N338" s="21" t="n">
        <f aca="false">ROUND(SQRT((F338*J338/100)^2+(G338*M338)^2),0)</f>
        <v>146</v>
      </c>
      <c r="P338" s="41" t="n">
        <v>-0.688876423323185</v>
      </c>
      <c r="Q338" s="42" t="n">
        <v>1970.92487816161</v>
      </c>
      <c r="R338" s="43" t="n">
        <f aca="false">MAX(0,MIN(1,P338/100+$D$5))</f>
        <v>0.521766987999945</v>
      </c>
      <c r="S338" s="43" t="n">
        <v>0.139463116518417</v>
      </c>
      <c r="T338" s="44" t="s">
        <v>128</v>
      </c>
    </row>
    <row r="339" customFormat="false" ht="15" hidden="false" customHeight="false" outlineLevel="0" collapsed="false">
      <c r="A339" s="38" t="s">
        <v>344</v>
      </c>
      <c r="B339" s="38" t="s">
        <v>470</v>
      </c>
      <c r="C339" s="38" t="s">
        <v>474</v>
      </c>
      <c r="D339" s="21" t="n">
        <f aca="false">ROUND(Q339*R339,0)</f>
        <v>213</v>
      </c>
      <c r="E339" s="21" t="n">
        <f aca="false">ROUND(Q339,0)-D339</f>
        <v>218</v>
      </c>
      <c r="F339" s="21" t="n">
        <f aca="false">IF(COUNTA(D339:E339)=0,"",SUM(D339:E339))</f>
        <v>431</v>
      </c>
      <c r="G339" s="39" t="n">
        <f aca="false">IF(OR(F339="",F339=0),"",D339/F339)</f>
        <v>0.494199535962877</v>
      </c>
      <c r="H339" s="39" t="n">
        <f aca="false">IF(OR(F339="",F339=0),"",E339/F339)</f>
        <v>0.505800464037123</v>
      </c>
      <c r="I339" s="38" t="s">
        <v>89</v>
      </c>
      <c r="J339" s="40" t="n">
        <v>3.25434931194355</v>
      </c>
      <c r="K339" s="39" t="n">
        <f aca="false">IF(G339="","",MAX(0,G339-J339/100))</f>
        <v>0.461656042843442</v>
      </c>
      <c r="L339" s="39" t="n">
        <f aca="false">IF(G339="","",MIN(1,G339+J339/100))</f>
        <v>0.526743029082313</v>
      </c>
      <c r="M339" s="21" t="n">
        <f aca="false">ROUND(Q339*S339,0)</f>
        <v>34</v>
      </c>
      <c r="N339" s="21" t="n">
        <f aca="false">ROUND(SQRT((F339*J339/100)^2+(G339*M339)^2),0)</f>
        <v>22</v>
      </c>
      <c r="P339" s="41" t="n">
        <v>-3.47373440787599</v>
      </c>
      <c r="Q339" s="42" t="n">
        <v>430.974717842612</v>
      </c>
      <c r="R339" s="43" t="n">
        <f aca="false">MAX(0,MIN(1,P339/100+$D$5))</f>
        <v>0.493918408154417</v>
      </c>
      <c r="S339" s="43" t="n">
        <v>0.0779420971553049</v>
      </c>
      <c r="T339" s="44" t="s">
        <v>90</v>
      </c>
    </row>
    <row r="340" customFormat="false" ht="15" hidden="false" customHeight="false" outlineLevel="0" collapsed="false">
      <c r="A340" s="38" t="s">
        <v>344</v>
      </c>
      <c r="B340" s="38" t="s">
        <v>475</v>
      </c>
      <c r="C340" s="38" t="s">
        <v>476</v>
      </c>
      <c r="D340" s="21" t="n">
        <f aca="false">ROUND(Q340*R340,0)</f>
        <v>693</v>
      </c>
      <c r="E340" s="21" t="n">
        <f aca="false">ROUND(Q340,0)-D340</f>
        <v>606</v>
      </c>
      <c r="F340" s="21" t="n">
        <f aca="false">IF(COUNTA(D340:E340)=0,"",SUM(D340:E340))</f>
        <v>1299</v>
      </c>
      <c r="G340" s="39" t="n">
        <f aca="false">IF(OR(F340="",F340=0),"",D340/F340)</f>
        <v>0.533487297921478</v>
      </c>
      <c r="H340" s="39" t="n">
        <f aca="false">IF(OR(F340="",F340=0),"",E340/F340)</f>
        <v>0.466512702078522</v>
      </c>
      <c r="I340" s="38" t="s">
        <v>89</v>
      </c>
      <c r="J340" s="40" t="n">
        <v>1.28585670084365</v>
      </c>
      <c r="K340" s="39" t="n">
        <f aca="false">IF(G340="","",MAX(0,G340-J340/100))</f>
        <v>0.520628730913042</v>
      </c>
      <c r="L340" s="39" t="n">
        <f aca="false">IF(G340="","",MIN(1,G340+J340/100))</f>
        <v>0.546345864929915</v>
      </c>
      <c r="M340" s="21" t="n">
        <f aca="false">ROUND(Q340*S340,0)</f>
        <v>181</v>
      </c>
      <c r="N340" s="21" t="n">
        <f aca="false">ROUND(SQRT((F340*J340/100)^2+(G340*M340)^2),0)</f>
        <v>98</v>
      </c>
      <c r="P340" s="41" t="n">
        <v>0.470835221910643</v>
      </c>
      <c r="Q340" s="42" t="n">
        <v>1298.99368063802</v>
      </c>
      <c r="R340" s="43" t="n">
        <f aca="false">MAX(0,MIN(1,P340/100+$D$5))</f>
        <v>0.533364104452283</v>
      </c>
      <c r="S340" s="43" t="n">
        <v>0.139463116518417</v>
      </c>
      <c r="T340" s="44" t="s">
        <v>128</v>
      </c>
    </row>
    <row r="341" customFormat="false" ht="15" hidden="false" customHeight="false" outlineLevel="0" collapsed="false">
      <c r="A341" s="38" t="s">
        <v>344</v>
      </c>
      <c r="B341" s="38" t="s">
        <v>475</v>
      </c>
      <c r="C341" s="38" t="s">
        <v>477</v>
      </c>
      <c r="D341" s="21" t="n">
        <f aca="false">ROUND(Q341*R341,0)</f>
        <v>409</v>
      </c>
      <c r="E341" s="21" t="n">
        <f aca="false">ROUND(Q341,0)-D341</f>
        <v>330</v>
      </c>
      <c r="F341" s="21" t="n">
        <f aca="false">IF(COUNTA(D341:E341)=0,"",SUM(D341:E341))</f>
        <v>739</v>
      </c>
      <c r="G341" s="39" t="n">
        <f aca="false">IF(OR(F341="",F341=0),"",D341/F341)</f>
        <v>0.553450608930988</v>
      </c>
      <c r="H341" s="39" t="n">
        <f aca="false">IF(OR(F341="",F341=0),"",E341/F341)</f>
        <v>0.446549391069012</v>
      </c>
      <c r="I341" s="38" t="s">
        <v>191</v>
      </c>
      <c r="J341" s="40" t="n">
        <v>3.25434931194355</v>
      </c>
      <c r="K341" s="39" t="n">
        <f aca="false">IF(G341="","",MAX(0,G341-J341/100))</f>
        <v>0.520907115811552</v>
      </c>
      <c r="L341" s="39" t="n">
        <f aca="false">IF(G341="","",MIN(1,G341+J341/100))</f>
        <v>0.585994102050423</v>
      </c>
      <c r="M341" s="21" t="n">
        <f aca="false">ROUND(Q341*S341,0)</f>
        <v>58</v>
      </c>
      <c r="N341" s="21" t="n">
        <f aca="false">ROUND(SQRT((F341*J341/100)^2+(G341*M341)^2),0)</f>
        <v>40</v>
      </c>
      <c r="P341" s="41" t="n">
        <v>2.45861424238102</v>
      </c>
      <c r="Q341" s="42" t="n">
        <v>739.284493681316</v>
      </c>
      <c r="R341" s="43" t="n">
        <f aca="false">MAX(0,MIN(1,P341/100+$D$5))</f>
        <v>0.553241894656987</v>
      </c>
      <c r="S341" s="43" t="n">
        <v>0.0779420971553049</v>
      </c>
      <c r="T341" s="44" t="s">
        <v>90</v>
      </c>
    </row>
    <row r="342" customFormat="false" ht="15" hidden="false" customHeight="false" outlineLevel="0" collapsed="false">
      <c r="A342" s="38" t="s">
        <v>344</v>
      </c>
      <c r="B342" s="38" t="s">
        <v>475</v>
      </c>
      <c r="C342" s="38" t="s">
        <v>478</v>
      </c>
      <c r="D342" s="21" t="n">
        <f aca="false">ROUND(Q342*R342,0)</f>
        <v>599</v>
      </c>
      <c r="E342" s="21" t="n">
        <f aca="false">ROUND(Q342,0)-D342</f>
        <v>546</v>
      </c>
      <c r="F342" s="21" t="n">
        <f aca="false">IF(COUNTA(D342:E342)=0,"",SUM(D342:E342))</f>
        <v>1145</v>
      </c>
      <c r="G342" s="39" t="n">
        <f aca="false">IF(OR(F342="",F342=0),"",D342/F342)</f>
        <v>0.523144104803494</v>
      </c>
      <c r="H342" s="39" t="n">
        <f aca="false">IF(OR(F342="",F342=0),"",E342/F342)</f>
        <v>0.476855895196507</v>
      </c>
      <c r="I342" s="38" t="s">
        <v>191</v>
      </c>
      <c r="J342" s="40" t="n">
        <v>1.85532414445586</v>
      </c>
      <c r="K342" s="39" t="n">
        <f aca="false">IF(G342="","",MAX(0,G342-J342/100))</f>
        <v>0.504590863358935</v>
      </c>
      <c r="L342" s="39" t="n">
        <f aca="false">IF(G342="","",MIN(1,G342+J342/100))</f>
        <v>0.541697346248052</v>
      </c>
      <c r="M342" s="21" t="n">
        <f aca="false">ROUND(Q342*S342,0)</f>
        <v>73</v>
      </c>
      <c r="N342" s="21" t="n">
        <f aca="false">ROUND(SQRT((F342*J342/100)^2+(G342*M342)^2),0)</f>
        <v>44</v>
      </c>
      <c r="P342" s="41" t="n">
        <v>-0.519971354421071</v>
      </c>
      <c r="Q342" s="42" t="n">
        <v>1145.11728407157</v>
      </c>
      <c r="R342" s="43" t="n">
        <f aca="false">MAX(0,MIN(1,P342/100+$D$5))</f>
        <v>0.523456038688966</v>
      </c>
      <c r="S342" s="43" t="n">
        <v>0.0633793435818552</v>
      </c>
      <c r="T342" s="44" t="s">
        <v>99</v>
      </c>
    </row>
    <row r="343" customFormat="false" ht="15" hidden="false" customHeight="false" outlineLevel="0" collapsed="false">
      <c r="A343" s="38" t="s">
        <v>344</v>
      </c>
      <c r="B343" s="38" t="s">
        <v>475</v>
      </c>
      <c r="C343" s="38" t="s">
        <v>479</v>
      </c>
      <c r="D343" s="21" t="n">
        <f aca="false">ROUND(Q343*R343,0)</f>
        <v>828</v>
      </c>
      <c r="E343" s="21" t="n">
        <f aca="false">ROUND(Q343,0)-D343</f>
        <v>632</v>
      </c>
      <c r="F343" s="21" t="n">
        <f aca="false">IF(COUNTA(D343:E343)=0,"",SUM(D343:E343))</f>
        <v>1460</v>
      </c>
      <c r="G343" s="39" t="n">
        <f aca="false">IF(OR(F343="",F343=0),"",D343/F343)</f>
        <v>0.567123287671233</v>
      </c>
      <c r="H343" s="39" t="n">
        <f aca="false">IF(OR(F343="",F343=0),"",E343/F343)</f>
        <v>0.432876712328767</v>
      </c>
      <c r="I343" s="38" t="s">
        <v>89</v>
      </c>
      <c r="J343" s="40" t="n">
        <v>1.28585670084365</v>
      </c>
      <c r="K343" s="39" t="n">
        <f aca="false">IF(G343="","",MAX(0,G343-J343/100))</f>
        <v>0.554264720662796</v>
      </c>
      <c r="L343" s="39" t="n">
        <f aca="false">IF(G343="","",MIN(1,G343+J343/100))</f>
        <v>0.57998185467967</v>
      </c>
      <c r="M343" s="21" t="n">
        <f aca="false">ROUND(Q343*S343,0)</f>
        <v>204</v>
      </c>
      <c r="N343" s="21" t="n">
        <f aca="false">ROUND(SQRT((F343*J343/100)^2+(G343*M343)^2),0)</f>
        <v>117</v>
      </c>
      <c r="P343" s="41" t="n">
        <v>3.8289057159151</v>
      </c>
      <c r="Q343" s="42" t="n">
        <v>1459.62157396093</v>
      </c>
      <c r="R343" s="43" t="n">
        <f aca="false">MAX(0,MIN(1,P343/100+$D$5))</f>
        <v>0.566944809392328</v>
      </c>
      <c r="S343" s="43" t="n">
        <v>0.139463116518417</v>
      </c>
      <c r="T343" s="44" t="s">
        <v>128</v>
      </c>
    </row>
    <row r="344" customFormat="false" ht="15" hidden="false" customHeight="false" outlineLevel="0" collapsed="false">
      <c r="A344" s="38" t="s">
        <v>344</v>
      </c>
      <c r="B344" s="38" t="s">
        <v>475</v>
      </c>
      <c r="C344" s="38" t="s">
        <v>480</v>
      </c>
      <c r="D344" s="21" t="n">
        <f aca="false">ROUND(Q344*R344,0)</f>
        <v>1077</v>
      </c>
      <c r="E344" s="21" t="n">
        <f aca="false">ROUND(Q344,0)-D344</f>
        <v>920</v>
      </c>
      <c r="F344" s="21" t="n">
        <f aca="false">IF(COUNTA(D344:E344)=0,"",SUM(D344:E344))</f>
        <v>1997</v>
      </c>
      <c r="G344" s="39" t="n">
        <f aca="false">IF(OR(F344="",F344=0),"",D344/F344)</f>
        <v>0.539308963445168</v>
      </c>
      <c r="H344" s="39" t="n">
        <f aca="false">IF(OR(F344="",F344=0),"",E344/F344)</f>
        <v>0.460691036554832</v>
      </c>
      <c r="I344" s="38" t="s">
        <v>89</v>
      </c>
      <c r="J344" s="40" t="n">
        <v>1.28585670084365</v>
      </c>
      <c r="K344" s="39" t="n">
        <f aca="false">IF(G344="","",MAX(0,G344-J344/100))</f>
        <v>0.526450396436731</v>
      </c>
      <c r="L344" s="39" t="n">
        <f aca="false">IF(G344="","",MIN(1,G344+J344/100))</f>
        <v>0.552167530453604</v>
      </c>
      <c r="M344" s="21" t="n">
        <f aca="false">ROUND(Q344*S344,0)</f>
        <v>279</v>
      </c>
      <c r="N344" s="21" t="n">
        <f aca="false">ROUND(SQRT((F344*J344/100)^2+(G344*M344)^2),0)</f>
        <v>153</v>
      </c>
      <c r="P344" s="41" t="n">
        <v>1.05131457751922</v>
      </c>
      <c r="Q344" s="42" t="n">
        <v>1997.15092364055</v>
      </c>
      <c r="R344" s="43" t="n">
        <f aca="false">MAX(0,MIN(1,P344/100+$D$5))</f>
        <v>0.539168898008369</v>
      </c>
      <c r="S344" s="43" t="n">
        <v>0.139463116518417</v>
      </c>
      <c r="T344" s="44" t="s">
        <v>128</v>
      </c>
    </row>
    <row r="345" customFormat="false" ht="15" hidden="false" customHeight="false" outlineLevel="0" collapsed="false">
      <c r="A345" s="38" t="s">
        <v>344</v>
      </c>
      <c r="B345" s="38" t="s">
        <v>475</v>
      </c>
      <c r="C345" s="38" t="s">
        <v>481</v>
      </c>
      <c r="D345" s="21" t="n">
        <f aca="false">ROUND(Q345*R345,0)</f>
        <v>749</v>
      </c>
      <c r="E345" s="21" t="n">
        <f aca="false">ROUND(Q345,0)-D345</f>
        <v>640</v>
      </c>
      <c r="F345" s="21" t="n">
        <f aca="false">IF(COUNTA(D345:E345)=0,"",SUM(D345:E345))</f>
        <v>1389</v>
      </c>
      <c r="G345" s="39" t="n">
        <f aca="false">IF(OR(F345="",F345=0),"",D345/F345)</f>
        <v>0.539236861051116</v>
      </c>
      <c r="H345" s="39" t="n">
        <f aca="false">IF(OR(F345="",F345=0),"",E345/F345)</f>
        <v>0.460763138948884</v>
      </c>
      <c r="I345" s="38" t="s">
        <v>89</v>
      </c>
      <c r="J345" s="40" t="n">
        <v>1.28585670084365</v>
      </c>
      <c r="K345" s="39" t="n">
        <f aca="false">IF(G345="","",MAX(0,G345-J345/100))</f>
        <v>0.526378294042679</v>
      </c>
      <c r="L345" s="39" t="n">
        <f aca="false">IF(G345="","",MIN(1,G345+J345/100))</f>
        <v>0.552095428059553</v>
      </c>
      <c r="M345" s="21" t="n">
        <f aca="false">ROUND(Q345*S345,0)</f>
        <v>194</v>
      </c>
      <c r="N345" s="21" t="n">
        <f aca="false">ROUND(SQRT((F345*J345/100)^2+(G345*M345)^2),0)</f>
        <v>106</v>
      </c>
      <c r="P345" s="41" t="n">
        <v>1.03995859636189</v>
      </c>
      <c r="Q345" s="42" t="n">
        <v>1388.65005204396</v>
      </c>
      <c r="R345" s="43" t="n">
        <f aca="false">MAX(0,MIN(1,P345/100+$D$5))</f>
        <v>0.539055338196796</v>
      </c>
      <c r="S345" s="43" t="n">
        <v>0.139463116518417</v>
      </c>
      <c r="T345" s="44" t="s">
        <v>128</v>
      </c>
    </row>
    <row r="346" customFormat="false" ht="15" hidden="false" customHeight="false" outlineLevel="0" collapsed="false">
      <c r="A346" s="38" t="s">
        <v>344</v>
      </c>
      <c r="B346" s="38" t="s">
        <v>475</v>
      </c>
      <c r="C346" s="38" t="s">
        <v>482</v>
      </c>
      <c r="D346" s="21" t="n">
        <f aca="false">ROUND(Q346*R346,0)</f>
        <v>569</v>
      </c>
      <c r="E346" s="21" t="n">
        <f aca="false">ROUND(Q346,0)-D346</f>
        <v>437</v>
      </c>
      <c r="F346" s="21" t="n">
        <f aca="false">IF(COUNTA(D346:E346)=0,"",SUM(D346:E346))</f>
        <v>1006</v>
      </c>
      <c r="G346" s="39" t="n">
        <f aca="false">IF(OR(F346="",F346=0),"",D346/F346)</f>
        <v>0.565606361829026</v>
      </c>
      <c r="H346" s="39" t="n">
        <f aca="false">IF(OR(F346="",F346=0),"",E346/F346)</f>
        <v>0.434393638170974</v>
      </c>
      <c r="I346" s="38" t="s">
        <v>191</v>
      </c>
      <c r="J346" s="40" t="n">
        <v>1.85532414445586</v>
      </c>
      <c r="K346" s="39" t="n">
        <f aca="false">IF(G346="","",MAX(0,G346-J346/100))</f>
        <v>0.547053120384467</v>
      </c>
      <c r="L346" s="39" t="n">
        <f aca="false">IF(G346="","",MIN(1,G346+J346/100))</f>
        <v>0.584159603273584</v>
      </c>
      <c r="M346" s="21" t="n">
        <f aca="false">ROUND(Q346*S346,0)</f>
        <v>64</v>
      </c>
      <c r="N346" s="21" t="n">
        <f aca="false">ROUND(SQRT((F346*J346/100)^2+(G346*M346)^2),0)</f>
        <v>41</v>
      </c>
      <c r="P346" s="41" t="n">
        <v>3.72393648330595</v>
      </c>
      <c r="Q346" s="42" t="n">
        <v>1006.13621628797</v>
      </c>
      <c r="R346" s="43" t="n">
        <f aca="false">MAX(0,MIN(1,P346/100+$D$5))</f>
        <v>0.565895117066236</v>
      </c>
      <c r="S346" s="43" t="n">
        <v>0.0633793435818552</v>
      </c>
      <c r="T346" s="44" t="s">
        <v>99</v>
      </c>
    </row>
    <row r="347" customFormat="false" ht="15" hidden="false" customHeight="false" outlineLevel="0" collapsed="false">
      <c r="A347" s="38" t="s">
        <v>344</v>
      </c>
      <c r="B347" s="38" t="s">
        <v>475</v>
      </c>
      <c r="C347" s="38" t="s">
        <v>483</v>
      </c>
      <c r="D347" s="21" t="n">
        <f aca="false">ROUND(Q347*R347,0)</f>
        <v>573</v>
      </c>
      <c r="E347" s="21" t="n">
        <f aca="false">ROUND(Q347,0)-D347</f>
        <v>578</v>
      </c>
      <c r="F347" s="21" t="n">
        <f aca="false">IF(COUNTA(D347:E347)=0,"",SUM(D347:E347))</f>
        <v>1151</v>
      </c>
      <c r="G347" s="39" t="n">
        <f aca="false">IF(OR(F347="",F347=0),"",D347/F347)</f>
        <v>0.497827975673328</v>
      </c>
      <c r="H347" s="39" t="n">
        <f aca="false">IF(OR(F347="",F347=0),"",E347/F347)</f>
        <v>0.502172024326672</v>
      </c>
      <c r="I347" s="38" t="s">
        <v>191</v>
      </c>
      <c r="J347" s="40" t="n">
        <v>1.85532414445586</v>
      </c>
      <c r="K347" s="39" t="n">
        <f aca="false">IF(G347="","",MAX(0,G347-J347/100))</f>
        <v>0.479274734228769</v>
      </c>
      <c r="L347" s="39" t="n">
        <f aca="false">IF(G347="","",MIN(1,G347+J347/100))</f>
        <v>0.516381217117886</v>
      </c>
      <c r="M347" s="21" t="n">
        <f aca="false">ROUND(Q347*S347,0)</f>
        <v>73</v>
      </c>
      <c r="N347" s="21" t="n">
        <f aca="false">ROUND(SQRT((F347*J347/100)^2+(G347*M347)^2),0)</f>
        <v>42</v>
      </c>
      <c r="P347" s="41" t="n">
        <v>-3.07754791267482</v>
      </c>
      <c r="Q347" s="42" t="n">
        <v>1150.6563729542</v>
      </c>
      <c r="R347" s="43" t="n">
        <f aca="false">MAX(0,MIN(1,P347/100+$D$5))</f>
        <v>0.497880273106428</v>
      </c>
      <c r="S347" s="43" t="n">
        <v>0.0633793435818552</v>
      </c>
      <c r="T347" s="44" t="s">
        <v>99</v>
      </c>
    </row>
    <row r="348" customFormat="false" ht="15" hidden="false" customHeight="false" outlineLevel="0" collapsed="false">
      <c r="A348" s="38" t="s">
        <v>344</v>
      </c>
      <c r="B348" s="38" t="s">
        <v>475</v>
      </c>
      <c r="C348" s="38" t="s">
        <v>484</v>
      </c>
      <c r="D348" s="21" t="n">
        <f aca="false">ROUND(Q348*R348,0)</f>
        <v>812</v>
      </c>
      <c r="E348" s="21" t="n">
        <f aca="false">ROUND(Q348,0)-D348</f>
        <v>812</v>
      </c>
      <c r="F348" s="21" t="n">
        <f aca="false">IF(COUNTA(D348:E348)=0,"",SUM(D348:E348))</f>
        <v>1624</v>
      </c>
      <c r="G348" s="39" t="n">
        <f aca="false">IF(OR(F348="",F348=0),"",D348/F348)</f>
        <v>0.5</v>
      </c>
      <c r="H348" s="39" t="n">
        <f aca="false">IF(OR(F348="",F348=0),"",E348/F348)</f>
        <v>0.5</v>
      </c>
      <c r="I348" s="38" t="s">
        <v>191</v>
      </c>
      <c r="J348" s="40" t="n">
        <v>1.28585670084365</v>
      </c>
      <c r="K348" s="39" t="n">
        <f aca="false">IF(G348="","",MAX(0,G348-J348/100))</f>
        <v>0.487141432991564</v>
      </c>
      <c r="L348" s="39" t="n">
        <f aca="false">IF(G348="","",MIN(1,G348+J348/100))</f>
        <v>0.512858567008437</v>
      </c>
      <c r="M348" s="21" t="n">
        <f aca="false">ROUND(Q348*S348,0)</f>
        <v>227</v>
      </c>
      <c r="N348" s="21" t="n">
        <f aca="false">ROUND(SQRT((F348*J348/100)^2+(G348*M348)^2),0)</f>
        <v>115</v>
      </c>
      <c r="P348" s="41" t="n">
        <v>-2.88823891576091</v>
      </c>
      <c r="Q348" s="42" t="n">
        <v>1624.43071187894</v>
      </c>
      <c r="R348" s="43" t="n">
        <f aca="false">MAX(0,MIN(1,P348/100+$D$5))</f>
        <v>0.499773363075567</v>
      </c>
      <c r="S348" s="43" t="n">
        <v>0.139463116518417</v>
      </c>
      <c r="T348" s="44" t="s">
        <v>128</v>
      </c>
    </row>
    <row r="349" customFormat="false" ht="15" hidden="false" customHeight="false" outlineLevel="0" collapsed="false">
      <c r="A349" s="38" t="s">
        <v>344</v>
      </c>
      <c r="B349" s="38" t="s">
        <v>485</v>
      </c>
      <c r="C349" s="38" t="s">
        <v>486</v>
      </c>
      <c r="D349" s="21" t="n">
        <f aca="false">ROUND(Q349*R349,0)</f>
        <v>100</v>
      </c>
      <c r="E349" s="21" t="n">
        <f aca="false">ROUND(Q349,0)-D349</f>
        <v>134</v>
      </c>
      <c r="F349" s="21" t="n">
        <f aca="false">IF(COUNTA(D349:E349)=0,"",SUM(D349:E349))</f>
        <v>234</v>
      </c>
      <c r="G349" s="39" t="n">
        <f aca="false">IF(OR(F349="",F349=0),"",D349/F349)</f>
        <v>0.427350427350427</v>
      </c>
      <c r="H349" s="39" t="n">
        <f aca="false">IF(OR(F349="",F349=0),"",E349/F349)</f>
        <v>0.572649572649573</v>
      </c>
      <c r="I349" s="38" t="s">
        <v>89</v>
      </c>
      <c r="J349" s="40" t="n">
        <v>3.25434931194355</v>
      </c>
      <c r="K349" s="39" t="n">
        <f aca="false">IF(G349="","",MAX(0,G349-J349/100))</f>
        <v>0.394806934230992</v>
      </c>
      <c r="L349" s="39" t="n">
        <f aca="false">IF(G349="","",MIN(1,G349+J349/100))</f>
        <v>0.459893920469863</v>
      </c>
      <c r="M349" s="21" t="n">
        <f aca="false">ROUND(Q349*S349,0)</f>
        <v>18</v>
      </c>
      <c r="N349" s="21" t="n">
        <f aca="false">ROUND(SQRT((F349*J349/100)^2+(G349*M349)^2),0)</f>
        <v>11</v>
      </c>
      <c r="P349" s="41" t="n">
        <v>-10.2285078661765</v>
      </c>
      <c r="Q349" s="42" t="n">
        <v>233.662791535946</v>
      </c>
      <c r="R349" s="43" t="n">
        <f aca="false">MAX(0,MIN(1,P349/100+$D$5))</f>
        <v>0.426370673571412</v>
      </c>
      <c r="S349" s="43" t="n">
        <v>0.0779420971553049</v>
      </c>
      <c r="T349" s="44" t="s">
        <v>90</v>
      </c>
    </row>
    <row r="350" customFormat="false" ht="15" hidden="false" customHeight="false" outlineLevel="0" collapsed="false">
      <c r="A350" s="38" t="s">
        <v>344</v>
      </c>
      <c r="B350" s="38" t="s">
        <v>485</v>
      </c>
      <c r="C350" s="38" t="s">
        <v>487</v>
      </c>
      <c r="D350" s="21" t="n">
        <f aca="false">ROUND(Q350*R350,0)</f>
        <v>245</v>
      </c>
      <c r="E350" s="21" t="n">
        <f aca="false">ROUND(Q350,0)-D350</f>
        <v>365</v>
      </c>
      <c r="F350" s="21" t="n">
        <f aca="false">IF(COUNTA(D350:E350)=0,"",SUM(D350:E350))</f>
        <v>610</v>
      </c>
      <c r="G350" s="39" t="n">
        <f aca="false">IF(OR(F350="",F350=0),"",D350/F350)</f>
        <v>0.401639344262295</v>
      </c>
      <c r="H350" s="39" t="n">
        <f aca="false">IF(OR(F350="",F350=0),"",E350/F350)</f>
        <v>0.598360655737705</v>
      </c>
      <c r="I350" s="38" t="s">
        <v>89</v>
      </c>
      <c r="J350" s="40" t="n">
        <v>3.25434931194355</v>
      </c>
      <c r="K350" s="39" t="n">
        <f aca="false">IF(G350="","",MAX(0,G350-J350/100))</f>
        <v>0.36909585114286</v>
      </c>
      <c r="L350" s="39" t="n">
        <f aca="false">IF(G350="","",MIN(1,G350+J350/100))</f>
        <v>0.434182837381731</v>
      </c>
      <c r="M350" s="21" t="n">
        <f aca="false">ROUND(Q350*S350,0)</f>
        <v>48</v>
      </c>
      <c r="N350" s="21" t="n">
        <f aca="false">ROUND(SQRT((F350*J350/100)^2+(G350*M350)^2),0)</f>
        <v>28</v>
      </c>
      <c r="P350" s="41" t="n">
        <v>-12.6206612145491</v>
      </c>
      <c r="Q350" s="42" t="n">
        <v>609.919221897411</v>
      </c>
      <c r="R350" s="43" t="n">
        <f aca="false">MAX(0,MIN(1,P350/100+$D$5))</f>
        <v>0.402449140087685</v>
      </c>
      <c r="S350" s="43" t="n">
        <v>0.0779420971553049</v>
      </c>
      <c r="T350" s="44" t="s">
        <v>90</v>
      </c>
    </row>
    <row r="351" customFormat="false" ht="15" hidden="false" customHeight="false" outlineLevel="0" collapsed="false">
      <c r="A351" s="38" t="s">
        <v>344</v>
      </c>
      <c r="B351" s="38" t="s">
        <v>485</v>
      </c>
      <c r="C351" s="38" t="s">
        <v>488</v>
      </c>
      <c r="D351" s="21" t="n">
        <f aca="false">ROUND(Q351*R351,0)</f>
        <v>178</v>
      </c>
      <c r="E351" s="21" t="n">
        <f aca="false">ROUND(Q351,0)-D351</f>
        <v>223</v>
      </c>
      <c r="F351" s="21" t="n">
        <f aca="false">IF(COUNTA(D351:E351)=0,"",SUM(D351:E351))</f>
        <v>401</v>
      </c>
      <c r="G351" s="39" t="n">
        <f aca="false">IF(OR(F351="",F351=0),"",D351/F351)</f>
        <v>0.443890274314214</v>
      </c>
      <c r="H351" s="39" t="n">
        <f aca="false">IF(OR(F351="",F351=0),"",E351/F351)</f>
        <v>0.556109725685786</v>
      </c>
      <c r="I351" s="38" t="s">
        <v>89</v>
      </c>
      <c r="J351" s="40" t="n">
        <v>3.25434931194355</v>
      </c>
      <c r="K351" s="39" t="n">
        <f aca="false">IF(G351="","",MAX(0,G351-J351/100))</f>
        <v>0.411346781194779</v>
      </c>
      <c r="L351" s="39" t="n">
        <f aca="false">IF(G351="","",MIN(1,G351+J351/100))</f>
        <v>0.47643376743365</v>
      </c>
      <c r="M351" s="21" t="n">
        <f aca="false">ROUND(Q351*S351,0)</f>
        <v>31</v>
      </c>
      <c r="N351" s="21" t="n">
        <f aca="false">ROUND(SQRT((F351*J351/100)^2+(G351*M351)^2),0)</f>
        <v>19</v>
      </c>
      <c r="P351" s="41" t="n">
        <v>-8.39188502228794</v>
      </c>
      <c r="Q351" s="42" t="n">
        <v>401.180646020523</v>
      </c>
      <c r="R351" s="43" t="n">
        <f aca="false">MAX(0,MIN(1,P351/100+$D$5))</f>
        <v>0.444736902010297</v>
      </c>
      <c r="S351" s="43" t="n">
        <v>0.0779420971553049</v>
      </c>
      <c r="T351" s="44" t="s">
        <v>90</v>
      </c>
    </row>
    <row r="352" customFormat="false" ht="15" hidden="false" customHeight="false" outlineLevel="0" collapsed="false">
      <c r="A352" s="38" t="s">
        <v>344</v>
      </c>
      <c r="B352" s="38" t="s">
        <v>485</v>
      </c>
      <c r="C352" s="38" t="s">
        <v>489</v>
      </c>
      <c r="D352" s="21" t="n">
        <f aca="false">ROUND(Q352*R352,0)</f>
        <v>103</v>
      </c>
      <c r="E352" s="21" t="n">
        <f aca="false">ROUND(Q352,0)-D352</f>
        <v>127</v>
      </c>
      <c r="F352" s="21" t="n">
        <f aca="false">IF(COUNTA(D352:E352)=0,"",SUM(D352:E352))</f>
        <v>230</v>
      </c>
      <c r="G352" s="39" t="n">
        <f aca="false">IF(OR(F352="",F352=0),"",D352/F352)</f>
        <v>0.447826086956522</v>
      </c>
      <c r="H352" s="39" t="n">
        <f aca="false">IF(OR(F352="",F352=0),"",E352/F352)</f>
        <v>0.552173913043478</v>
      </c>
      <c r="I352" s="38" t="s">
        <v>89</v>
      </c>
      <c r="J352" s="40" t="n">
        <v>3.25434931194355</v>
      </c>
      <c r="K352" s="39" t="n">
        <f aca="false">IF(G352="","",MAX(0,G352-J352/100))</f>
        <v>0.415282593837086</v>
      </c>
      <c r="L352" s="39" t="n">
        <f aca="false">IF(G352="","",MIN(1,G352+J352/100))</f>
        <v>0.480369580075957</v>
      </c>
      <c r="M352" s="21" t="n">
        <f aca="false">ROUND(Q352*S352,0)</f>
        <v>18</v>
      </c>
      <c r="N352" s="21" t="n">
        <f aca="false">ROUND(SQRT((F352*J352/100)^2+(G352*M352)^2),0)</f>
        <v>11</v>
      </c>
      <c r="P352" s="41" t="n">
        <v>-8.2563096173021</v>
      </c>
      <c r="Q352" s="42" t="n">
        <v>230.062850368388</v>
      </c>
      <c r="R352" s="43" t="n">
        <f aca="false">MAX(0,MIN(1,P352/100+$D$5))</f>
        <v>0.446092656060156</v>
      </c>
      <c r="S352" s="43" t="n">
        <v>0.0779420971553049</v>
      </c>
      <c r="T352" s="44" t="s">
        <v>90</v>
      </c>
    </row>
    <row r="353" customFormat="false" ht="15" hidden="false" customHeight="false" outlineLevel="0" collapsed="false">
      <c r="A353" s="38" t="s">
        <v>344</v>
      </c>
      <c r="B353" s="38" t="s">
        <v>490</v>
      </c>
      <c r="C353" s="38" t="s">
        <v>491</v>
      </c>
      <c r="D353" s="21" t="n">
        <f aca="false">ROUND(Q353*R353,0)</f>
        <v>398</v>
      </c>
      <c r="E353" s="21" t="n">
        <f aca="false">ROUND(Q353,0)-D353</f>
        <v>607</v>
      </c>
      <c r="F353" s="21" t="n">
        <f aca="false">IF(COUNTA(D353:E353)=0,"",SUM(D353:E353))</f>
        <v>1005</v>
      </c>
      <c r="G353" s="39" t="n">
        <f aca="false">IF(OR(F353="",F353=0),"",D353/F353)</f>
        <v>0.396019900497512</v>
      </c>
      <c r="H353" s="39" t="n">
        <f aca="false">IF(OR(F353="",F353=0),"",E353/F353)</f>
        <v>0.603980099502488</v>
      </c>
      <c r="I353" s="38" t="s">
        <v>89</v>
      </c>
      <c r="J353" s="40" t="n">
        <v>1.85532414445586</v>
      </c>
      <c r="K353" s="39" t="n">
        <f aca="false">IF(G353="","",MAX(0,G353-J353/100))</f>
        <v>0.377466659052954</v>
      </c>
      <c r="L353" s="39" t="n">
        <f aca="false">IF(G353="","",MIN(1,G353+J353/100))</f>
        <v>0.414573141942071</v>
      </c>
      <c r="M353" s="21" t="n">
        <f aca="false">ROUND(Q353*S353,0)</f>
        <v>64</v>
      </c>
      <c r="N353" s="21" t="n">
        <f aca="false">ROUND(SQRT((F353*J353/100)^2+(G353*M353)^2),0)</f>
        <v>31</v>
      </c>
      <c r="P353" s="41" t="n">
        <v>-13.313617391257</v>
      </c>
      <c r="Q353" s="42" t="n">
        <v>1005.24084279772</v>
      </c>
      <c r="R353" s="43" t="n">
        <f aca="false">MAX(0,MIN(1,P353/100+$D$5))</f>
        <v>0.395519578320607</v>
      </c>
      <c r="S353" s="43" t="n">
        <v>0.0633793435818552</v>
      </c>
      <c r="T353" s="44" t="s">
        <v>99</v>
      </c>
    </row>
    <row r="354" customFormat="false" ht="15" hidden="false" customHeight="false" outlineLevel="0" collapsed="false">
      <c r="A354" s="38" t="s">
        <v>344</v>
      </c>
      <c r="B354" s="38" t="s">
        <v>490</v>
      </c>
      <c r="C354" s="38" t="s">
        <v>492</v>
      </c>
      <c r="D354" s="21" t="n">
        <f aca="false">ROUND(Q354*R354,0)</f>
        <v>325</v>
      </c>
      <c r="E354" s="21" t="n">
        <f aca="false">ROUND(Q354,0)-D354</f>
        <v>482</v>
      </c>
      <c r="F354" s="21" t="n">
        <f aca="false">IF(COUNTA(D354:E354)=0,"",SUM(D354:E354))</f>
        <v>807</v>
      </c>
      <c r="G354" s="39" t="n">
        <f aca="false">IF(OR(F354="",F354=0),"",D354/F354)</f>
        <v>0.40272614622057</v>
      </c>
      <c r="H354" s="39" t="n">
        <f aca="false">IF(OR(F354="",F354=0),"",E354/F354)</f>
        <v>0.59727385377943</v>
      </c>
      <c r="I354" s="38" t="s">
        <v>89</v>
      </c>
      <c r="J354" s="40" t="n">
        <v>1.85532414445586</v>
      </c>
      <c r="K354" s="39" t="n">
        <f aca="false">IF(G354="","",MAX(0,G354-J354/100))</f>
        <v>0.384172904776011</v>
      </c>
      <c r="L354" s="39" t="n">
        <f aca="false">IF(G354="","",MIN(1,G354+J354/100))</f>
        <v>0.421279387665129</v>
      </c>
      <c r="M354" s="21" t="n">
        <f aca="false">ROUND(Q354*S354,0)</f>
        <v>51</v>
      </c>
      <c r="N354" s="21" t="n">
        <f aca="false">ROUND(SQRT((F354*J354/100)^2+(G354*M354)^2),0)</f>
        <v>25</v>
      </c>
      <c r="P354" s="41" t="n">
        <v>-12.6481365265765</v>
      </c>
      <c r="Q354" s="42" t="n">
        <v>806.984302310188</v>
      </c>
      <c r="R354" s="43" t="n">
        <f aca="false">MAX(0,MIN(1,P354/100+$D$5))</f>
        <v>0.402174386967412</v>
      </c>
      <c r="S354" s="43" t="n">
        <v>0.0633793435818552</v>
      </c>
      <c r="T354" s="44" t="s">
        <v>99</v>
      </c>
    </row>
    <row r="355" customFormat="false" ht="15" hidden="false" customHeight="false" outlineLevel="0" collapsed="false">
      <c r="A355" s="38" t="s">
        <v>344</v>
      </c>
      <c r="B355" s="38" t="s">
        <v>490</v>
      </c>
      <c r="C355" s="38" t="s">
        <v>493</v>
      </c>
      <c r="D355" s="21" t="n">
        <f aca="false">ROUND(Q355*R355,0)</f>
        <v>293</v>
      </c>
      <c r="E355" s="21" t="n">
        <f aca="false">ROUND(Q355,0)-D355</f>
        <v>468</v>
      </c>
      <c r="F355" s="21" t="n">
        <f aca="false">IF(COUNTA(D355:E355)=0,"",SUM(D355:E355))</f>
        <v>761</v>
      </c>
      <c r="G355" s="39" t="n">
        <f aca="false">IF(OR(F355="",F355=0),"",D355/F355)</f>
        <v>0.385019710906702</v>
      </c>
      <c r="H355" s="39" t="n">
        <f aca="false">IF(OR(F355="",F355=0),"",E355/F355)</f>
        <v>0.614980289093298</v>
      </c>
      <c r="I355" s="38" t="s">
        <v>89</v>
      </c>
      <c r="J355" s="40" t="n">
        <v>3.25434931194355</v>
      </c>
      <c r="K355" s="39" t="n">
        <f aca="false">IF(G355="","",MAX(0,G355-J355/100))</f>
        <v>0.352476217787266</v>
      </c>
      <c r="L355" s="39" t="n">
        <f aca="false">IF(G355="","",MIN(1,G355+J355/100))</f>
        <v>0.417563204026137</v>
      </c>
      <c r="M355" s="21" t="n">
        <f aca="false">ROUND(Q355*S355,0)</f>
        <v>59</v>
      </c>
      <c r="N355" s="21" t="n">
        <f aca="false">ROUND(SQRT((F355*J355/100)^2+(G355*M355)^2),0)</f>
        <v>34</v>
      </c>
      <c r="P355" s="41" t="n">
        <v>-14.3037694881709</v>
      </c>
      <c r="Q355" s="42" t="n">
        <v>760.938098763253</v>
      </c>
      <c r="R355" s="43" t="n">
        <f aca="false">MAX(0,MIN(1,P355/100+$D$5))</f>
        <v>0.385618057351468</v>
      </c>
      <c r="S355" s="43" t="n">
        <v>0.0779420971553049</v>
      </c>
      <c r="T355" s="44" t="s">
        <v>90</v>
      </c>
    </row>
    <row r="356" customFormat="false" ht="15" hidden="false" customHeight="false" outlineLevel="0" collapsed="false">
      <c r="A356" s="38" t="s">
        <v>344</v>
      </c>
      <c r="B356" s="38" t="s">
        <v>490</v>
      </c>
      <c r="C356" s="38" t="s">
        <v>494</v>
      </c>
      <c r="D356" s="21" t="n">
        <f aca="false">ROUND(Q356*R356,0)</f>
        <v>297</v>
      </c>
      <c r="E356" s="21" t="n">
        <f aca="false">ROUND(Q356,0)-D356</f>
        <v>476</v>
      </c>
      <c r="F356" s="21" t="n">
        <f aca="false">IF(COUNTA(D356:E356)=0,"",SUM(D356:E356))</f>
        <v>773</v>
      </c>
      <c r="G356" s="39" t="n">
        <f aca="false">IF(OR(F356="",F356=0),"",D356/F356)</f>
        <v>0.384217335058215</v>
      </c>
      <c r="H356" s="39" t="n">
        <f aca="false">IF(OR(F356="",F356=0),"",E356/F356)</f>
        <v>0.615782664941785</v>
      </c>
      <c r="I356" s="38" t="s">
        <v>89</v>
      </c>
      <c r="J356" s="40" t="n">
        <v>3.25434931194355</v>
      </c>
      <c r="K356" s="39" t="n">
        <f aca="false">IF(G356="","",MAX(0,G356-J356/100))</f>
        <v>0.351673841938779</v>
      </c>
      <c r="L356" s="39" t="n">
        <f aca="false">IF(G356="","",MIN(1,G356+J356/100))</f>
        <v>0.41676082817765</v>
      </c>
      <c r="M356" s="21" t="n">
        <f aca="false">ROUND(Q356*S356,0)</f>
        <v>60</v>
      </c>
      <c r="N356" s="21" t="n">
        <f aca="false">ROUND(SQRT((F356*J356/100)^2+(G356*M356)^2),0)</f>
        <v>34</v>
      </c>
      <c r="P356" s="41" t="n">
        <v>-14.4490458240955</v>
      </c>
      <c r="Q356" s="42" t="n">
        <v>773.428510360151</v>
      </c>
      <c r="R356" s="43" t="n">
        <f aca="false">MAX(0,MIN(1,P356/100+$D$5))</f>
        <v>0.384165293992222</v>
      </c>
      <c r="S356" s="43" t="n">
        <v>0.0779420971553049</v>
      </c>
      <c r="T356" s="44" t="s">
        <v>90</v>
      </c>
    </row>
    <row r="357" customFormat="false" ht="15" hidden="false" customHeight="false" outlineLevel="0" collapsed="false">
      <c r="A357" s="38" t="s">
        <v>344</v>
      </c>
      <c r="B357" s="38" t="s">
        <v>495</v>
      </c>
      <c r="C357" s="38" t="s">
        <v>496</v>
      </c>
      <c r="D357" s="21" t="n">
        <f aca="false">ROUND(Q357*R357,0)</f>
        <v>80</v>
      </c>
      <c r="E357" s="21" t="n">
        <f aca="false">ROUND(Q357,0)-D357</f>
        <v>127</v>
      </c>
      <c r="F357" s="21" t="n">
        <f aca="false">IF(COUNTA(D357:E357)=0,"",SUM(D357:E357))</f>
        <v>207</v>
      </c>
      <c r="G357" s="39" t="n">
        <f aca="false">IF(OR(F357="",F357=0),"",D357/F357)</f>
        <v>0.386473429951691</v>
      </c>
      <c r="H357" s="39" t="n">
        <f aca="false">IF(OR(F357="",F357=0),"",E357/F357)</f>
        <v>0.613526570048309</v>
      </c>
      <c r="I357" s="38" t="s">
        <v>89</v>
      </c>
      <c r="J357" s="40" t="n">
        <v>3.25434931194355</v>
      </c>
      <c r="K357" s="39" t="n">
        <f aca="false">IF(G357="","",MAX(0,G357-J357/100))</f>
        <v>0.353929936832255</v>
      </c>
      <c r="L357" s="39" t="n">
        <f aca="false">IF(G357="","",MIN(1,G357+J357/100))</f>
        <v>0.419016923071126</v>
      </c>
      <c r="M357" s="21" t="n">
        <f aca="false">ROUND(Q357*S357,0)</f>
        <v>16</v>
      </c>
      <c r="N357" s="21" t="n">
        <f aca="false">ROUND(SQRT((F357*J357/100)^2+(G357*M357)^2),0)</f>
        <v>9</v>
      </c>
      <c r="P357" s="41" t="n">
        <v>-14.4695029125504</v>
      </c>
      <c r="Q357" s="42" t="n">
        <v>207.211631044639</v>
      </c>
      <c r="R357" s="43" t="n">
        <f aca="false">MAX(0,MIN(1,P357/100+$D$5))</f>
        <v>0.383960723107672</v>
      </c>
      <c r="S357" s="43" t="n">
        <v>0.0779420971553049</v>
      </c>
      <c r="T357" s="44" t="s">
        <v>90</v>
      </c>
    </row>
    <row r="358" customFormat="false" ht="15" hidden="false" customHeight="false" outlineLevel="0" collapsed="false">
      <c r="A358" s="38" t="s">
        <v>344</v>
      </c>
      <c r="B358" s="38" t="s">
        <v>497</v>
      </c>
      <c r="C358" s="38" t="s">
        <v>498</v>
      </c>
      <c r="D358" s="21" t="n">
        <f aca="false">ROUND(Q358*R358,0)</f>
        <v>314</v>
      </c>
      <c r="E358" s="21" t="n">
        <f aca="false">ROUND(Q358,0)-D358</f>
        <v>424</v>
      </c>
      <c r="F358" s="21" t="n">
        <f aca="false">IF(COUNTA(D358:E358)=0,"",SUM(D358:E358))</f>
        <v>738</v>
      </c>
      <c r="G358" s="39" t="n">
        <f aca="false">IF(OR(F358="",F358=0),"",D358/F358)</f>
        <v>0.425474254742547</v>
      </c>
      <c r="H358" s="39" t="n">
        <f aca="false">IF(OR(F358="",F358=0),"",E358/F358)</f>
        <v>0.574525745257453</v>
      </c>
      <c r="I358" s="38" t="s">
        <v>89</v>
      </c>
      <c r="J358" s="40" t="n">
        <v>3.25434931194355</v>
      </c>
      <c r="K358" s="39" t="n">
        <f aca="false">IF(G358="","",MAX(0,G358-J358/100))</f>
        <v>0.392930761623112</v>
      </c>
      <c r="L358" s="39" t="n">
        <f aca="false">IF(G358="","",MIN(1,G358+J358/100))</f>
        <v>0.458017747861983</v>
      </c>
      <c r="M358" s="21" t="n">
        <f aca="false">ROUND(Q358*S358,0)</f>
        <v>57</v>
      </c>
      <c r="N358" s="21" t="n">
        <f aca="false">ROUND(SQRT((F358*J358/100)^2+(G358*M358)^2),0)</f>
        <v>34</v>
      </c>
      <c r="P358" s="41" t="n">
        <v>-10.2955267794292</v>
      </c>
      <c r="Q358" s="42" t="n">
        <v>737.654653559671</v>
      </c>
      <c r="R358" s="43" t="n">
        <f aca="false">MAX(0,MIN(1,P358/100+$D$5))</f>
        <v>0.425700484438885</v>
      </c>
      <c r="S358" s="43" t="n">
        <v>0.0779420971553049</v>
      </c>
      <c r="T358" s="44" t="s">
        <v>90</v>
      </c>
    </row>
    <row r="359" customFormat="false" ht="15" hidden="false" customHeight="false" outlineLevel="0" collapsed="false">
      <c r="A359" s="38" t="s">
        <v>344</v>
      </c>
      <c r="B359" s="38" t="s">
        <v>499</v>
      </c>
      <c r="C359" s="38" t="s">
        <v>500</v>
      </c>
      <c r="D359" s="21" t="n">
        <f aca="false">ROUND(Q359*R359,0)</f>
        <v>186</v>
      </c>
      <c r="E359" s="21" t="n">
        <f aca="false">ROUND(Q359,0)-D359</f>
        <v>235</v>
      </c>
      <c r="F359" s="21" t="n">
        <f aca="false">IF(COUNTA(D359:E359)=0,"",SUM(D359:E359))</f>
        <v>421</v>
      </c>
      <c r="G359" s="39" t="n">
        <f aca="false">IF(OR(F359="",F359=0),"",D359/F359)</f>
        <v>0.441805225653207</v>
      </c>
      <c r="H359" s="39" t="n">
        <f aca="false">IF(OR(F359="",F359=0),"",E359/F359)</f>
        <v>0.558194774346793</v>
      </c>
      <c r="I359" s="38" t="s">
        <v>89</v>
      </c>
      <c r="J359" s="40" t="n">
        <v>3.25434931194355</v>
      </c>
      <c r="K359" s="39" t="n">
        <f aca="false">IF(G359="","",MAX(0,G359-J359/100))</f>
        <v>0.409261732533771</v>
      </c>
      <c r="L359" s="39" t="n">
        <f aca="false">IF(G359="","",MIN(1,G359+J359/100))</f>
        <v>0.474348718772642</v>
      </c>
      <c r="M359" s="21" t="n">
        <f aca="false">ROUND(Q359*S359,0)</f>
        <v>33</v>
      </c>
      <c r="N359" s="21" t="n">
        <f aca="false">ROUND(SQRT((F359*J359/100)^2+(G359*M359)^2),0)</f>
        <v>20</v>
      </c>
      <c r="P359" s="41" t="n">
        <v>-8.61085002479031</v>
      </c>
      <c r="Q359" s="42" t="n">
        <v>421.230419708321</v>
      </c>
      <c r="R359" s="43" t="n">
        <f aca="false">MAX(0,MIN(1,P359/100+$D$5))</f>
        <v>0.442547251985274</v>
      </c>
      <c r="S359" s="43" t="n">
        <v>0.0779420971553049</v>
      </c>
      <c r="T359" s="44" t="s">
        <v>90</v>
      </c>
    </row>
    <row r="360" customFormat="false" ht="15" hidden="false" customHeight="false" outlineLevel="0" collapsed="false">
      <c r="A360" s="38" t="s">
        <v>344</v>
      </c>
      <c r="B360" s="38" t="s">
        <v>501</v>
      </c>
      <c r="C360" s="38" t="s">
        <v>502</v>
      </c>
      <c r="D360" s="21" t="n">
        <f aca="false">ROUND(Q360*R360,0)</f>
        <v>307</v>
      </c>
      <c r="E360" s="21" t="n">
        <f aca="false">ROUND(Q360,0)-D360</f>
        <v>339</v>
      </c>
      <c r="F360" s="21" t="n">
        <f aca="false">IF(COUNTA(D360:E360)=0,"",SUM(D360:E360))</f>
        <v>646</v>
      </c>
      <c r="G360" s="39" t="n">
        <f aca="false">IF(OR(F360="",F360=0),"",D360/F360)</f>
        <v>0.475232198142415</v>
      </c>
      <c r="H360" s="39" t="n">
        <f aca="false">IF(OR(F360="",F360=0),"",E360/F360)</f>
        <v>0.524767801857585</v>
      </c>
      <c r="I360" s="38" t="s">
        <v>89</v>
      </c>
      <c r="J360" s="40" t="n">
        <v>3.25434931194355</v>
      </c>
      <c r="K360" s="39" t="n">
        <f aca="false">IF(G360="","",MAX(0,G360-J360/100))</f>
        <v>0.442688705022979</v>
      </c>
      <c r="L360" s="39" t="n">
        <f aca="false">IF(G360="","",MIN(1,G360+J360/100))</f>
        <v>0.50777569126185</v>
      </c>
      <c r="M360" s="21" t="n">
        <f aca="false">ROUND(Q360*S360,0)</f>
        <v>50</v>
      </c>
      <c r="N360" s="21" t="n">
        <f aca="false">ROUND(SQRT((F360*J360/100)^2+(G360*M360)^2),0)</f>
        <v>32</v>
      </c>
      <c r="P360" s="41" t="n">
        <v>-5.35858335364406</v>
      </c>
      <c r="Q360" s="42" t="n">
        <v>645.547553659564</v>
      </c>
      <c r="R360" s="43" t="n">
        <f aca="false">MAX(0,MIN(1,P360/100+$D$5))</f>
        <v>0.475069918696736</v>
      </c>
      <c r="S360" s="43" t="n">
        <v>0.0779420971553049</v>
      </c>
      <c r="T360" s="44" t="s">
        <v>90</v>
      </c>
    </row>
    <row r="361" customFormat="false" ht="15" hidden="false" customHeight="false" outlineLevel="0" collapsed="false">
      <c r="A361" s="38" t="s">
        <v>344</v>
      </c>
      <c r="B361" s="38" t="s">
        <v>503</v>
      </c>
      <c r="C361" s="38" t="s">
        <v>504</v>
      </c>
      <c r="D361" s="21" t="n">
        <f aca="false">ROUND(Q361*R361,0)</f>
        <v>303</v>
      </c>
      <c r="E361" s="21" t="n">
        <f aca="false">ROUND(Q361,0)-D361</f>
        <v>598</v>
      </c>
      <c r="F361" s="21" t="n">
        <f aca="false">IF(COUNTA(D361:E361)=0,"",SUM(D361:E361))</f>
        <v>901</v>
      </c>
      <c r="G361" s="39" t="n">
        <f aca="false">IF(OR(F361="",F361=0),"",D361/F361)</f>
        <v>0.336293007769145</v>
      </c>
      <c r="H361" s="39" t="n">
        <f aca="false">IF(OR(F361="",F361=0),"",E361/F361)</f>
        <v>0.663706992230855</v>
      </c>
      <c r="I361" s="38" t="s">
        <v>89</v>
      </c>
      <c r="J361" s="40" t="n">
        <v>1.85532414445586</v>
      </c>
      <c r="K361" s="39" t="n">
        <f aca="false">IF(G361="","",MAX(0,G361-J361/100))</f>
        <v>0.317739766324587</v>
      </c>
      <c r="L361" s="39" t="n">
        <f aca="false">IF(G361="","",MIN(1,G361+J361/100))</f>
        <v>0.354846249213704</v>
      </c>
      <c r="M361" s="21" t="n">
        <f aca="false">ROUND(Q361*S361,0)</f>
        <v>57</v>
      </c>
      <c r="N361" s="21" t="n">
        <f aca="false">ROUND(SQRT((F361*J361/100)^2+(G361*M361)^2),0)</f>
        <v>25</v>
      </c>
      <c r="P361" s="41" t="n">
        <v>-19.2294081142694</v>
      </c>
      <c r="Q361" s="42" t="n">
        <v>901.15883698203</v>
      </c>
      <c r="R361" s="43" t="n">
        <f aca="false">MAX(0,MIN(1,P361/100+$D$5))</f>
        <v>0.336361671090483</v>
      </c>
      <c r="S361" s="43" t="n">
        <v>0.0633793435818552</v>
      </c>
      <c r="T361" s="44" t="s">
        <v>99</v>
      </c>
    </row>
    <row r="362" customFormat="false" ht="15" hidden="false" customHeight="false" outlineLevel="0" collapsed="false">
      <c r="A362" s="38" t="s">
        <v>344</v>
      </c>
      <c r="B362" s="38" t="s">
        <v>503</v>
      </c>
      <c r="C362" s="38" t="s">
        <v>505</v>
      </c>
      <c r="D362" s="21" t="n">
        <f aca="false">ROUND(Q362*R362,0)</f>
        <v>241</v>
      </c>
      <c r="E362" s="21" t="n">
        <f aca="false">ROUND(Q362,0)-D362</f>
        <v>412</v>
      </c>
      <c r="F362" s="21" t="n">
        <f aca="false">IF(COUNTA(D362:E362)=0,"",SUM(D362:E362))</f>
        <v>653</v>
      </c>
      <c r="G362" s="39" t="n">
        <f aca="false">IF(OR(F362="",F362=0),"",D362/F362)</f>
        <v>0.36906584992343</v>
      </c>
      <c r="H362" s="39" t="n">
        <f aca="false">IF(OR(F362="",F362=0),"",E362/F362)</f>
        <v>0.63093415007657</v>
      </c>
      <c r="I362" s="38" t="s">
        <v>89</v>
      </c>
      <c r="J362" s="40" t="n">
        <v>3.25434931194355</v>
      </c>
      <c r="K362" s="39" t="n">
        <f aca="false">IF(G362="","",MAX(0,G362-J362/100))</f>
        <v>0.336522356803995</v>
      </c>
      <c r="L362" s="39" t="n">
        <f aca="false">IF(G362="","",MIN(1,G362+J362/100))</f>
        <v>0.401609343042866</v>
      </c>
      <c r="M362" s="21" t="n">
        <f aca="false">ROUND(Q362*S362,0)</f>
        <v>51</v>
      </c>
      <c r="N362" s="21" t="n">
        <f aca="false">ROUND(SQRT((F362*J362/100)^2+(G362*M362)^2),0)</f>
        <v>28</v>
      </c>
      <c r="P362" s="41" t="n">
        <v>-15.982143867655</v>
      </c>
      <c r="Q362" s="42" t="n">
        <v>653.352385798845</v>
      </c>
      <c r="R362" s="43" t="n">
        <f aca="false">MAX(0,MIN(1,P362/100+$D$5))</f>
        <v>0.368834313556626</v>
      </c>
      <c r="S362" s="43" t="n">
        <v>0.0779420971553049</v>
      </c>
      <c r="T362" s="44" t="s">
        <v>90</v>
      </c>
    </row>
    <row r="363" customFormat="false" ht="15" hidden="false" customHeight="false" outlineLevel="0" collapsed="false">
      <c r="A363" s="38" t="s">
        <v>344</v>
      </c>
      <c r="B363" s="38" t="s">
        <v>503</v>
      </c>
      <c r="C363" s="38" t="s">
        <v>506</v>
      </c>
      <c r="D363" s="21" t="n">
        <f aca="false">ROUND(Q363*R363,0)</f>
        <v>185</v>
      </c>
      <c r="E363" s="21" t="n">
        <f aca="false">ROUND(Q363,0)-D363</f>
        <v>378</v>
      </c>
      <c r="F363" s="21" t="n">
        <f aca="false">IF(COUNTA(D363:E363)=0,"",SUM(D363:E363))</f>
        <v>563</v>
      </c>
      <c r="G363" s="39" t="n">
        <f aca="false">IF(OR(F363="",F363=0),"",D363/F363)</f>
        <v>0.328596802841918</v>
      </c>
      <c r="H363" s="39" t="n">
        <f aca="false">IF(OR(F363="",F363=0),"",E363/F363)</f>
        <v>0.671403197158082</v>
      </c>
      <c r="I363" s="38" t="s">
        <v>89</v>
      </c>
      <c r="J363" s="40" t="n">
        <v>3.25434931194355</v>
      </c>
      <c r="K363" s="39" t="n">
        <f aca="false">IF(G363="","",MAX(0,G363-J363/100))</f>
        <v>0.296053309722483</v>
      </c>
      <c r="L363" s="39" t="n">
        <f aca="false">IF(G363="","",MIN(1,G363+J363/100))</f>
        <v>0.361140295961354</v>
      </c>
      <c r="M363" s="21" t="n">
        <f aca="false">ROUND(Q363*S363,0)</f>
        <v>44</v>
      </c>
      <c r="N363" s="21" t="n">
        <f aca="false">ROUND(SQRT((F363*J363/100)^2+(G363*M363)^2),0)</f>
        <v>23</v>
      </c>
      <c r="P363" s="41" t="n">
        <v>-19.9853857726086</v>
      </c>
      <c r="Q363" s="42" t="n">
        <v>563.403999604542</v>
      </c>
      <c r="R363" s="43" t="n">
        <f aca="false">MAX(0,MIN(1,P363/100+$D$5))</f>
        <v>0.32880189450709</v>
      </c>
      <c r="S363" s="43" t="n">
        <v>0.0779420971553049</v>
      </c>
      <c r="T363" s="44" t="s">
        <v>90</v>
      </c>
    </row>
    <row r="364" customFormat="false" ht="15" hidden="false" customHeight="false" outlineLevel="0" collapsed="false">
      <c r="A364" s="38" t="s">
        <v>344</v>
      </c>
      <c r="B364" s="38" t="s">
        <v>503</v>
      </c>
      <c r="C364" s="38" t="s">
        <v>507</v>
      </c>
      <c r="D364" s="21" t="n">
        <f aca="false">ROUND(Q364*R364,0)</f>
        <v>175</v>
      </c>
      <c r="E364" s="21" t="n">
        <f aca="false">ROUND(Q364,0)-D364</f>
        <v>340</v>
      </c>
      <c r="F364" s="21" t="n">
        <f aca="false">IF(COUNTA(D364:E364)=0,"",SUM(D364:E364))</f>
        <v>515</v>
      </c>
      <c r="G364" s="39" t="n">
        <f aca="false">IF(OR(F364="",F364=0),"",D364/F364)</f>
        <v>0.339805825242718</v>
      </c>
      <c r="H364" s="39" t="n">
        <f aca="false">IF(OR(F364="",F364=0),"",E364/F364)</f>
        <v>0.660194174757282</v>
      </c>
      <c r="I364" s="38" t="s">
        <v>89</v>
      </c>
      <c r="J364" s="40" t="n">
        <v>3.25434931194355</v>
      </c>
      <c r="K364" s="39" t="n">
        <f aca="false">IF(G364="","",MAX(0,G364-J364/100))</f>
        <v>0.307262332123283</v>
      </c>
      <c r="L364" s="39" t="n">
        <f aca="false">IF(G364="","",MIN(1,G364+J364/100))</f>
        <v>0.372349318362154</v>
      </c>
      <c r="M364" s="21" t="n">
        <f aca="false">ROUND(Q364*S364,0)</f>
        <v>40</v>
      </c>
      <c r="N364" s="21" t="n">
        <f aca="false">ROUND(SQRT((F364*J364/100)^2+(G364*M364)^2),0)</f>
        <v>22</v>
      </c>
      <c r="P364" s="41" t="n">
        <v>-18.9826917361534</v>
      </c>
      <c r="Q364" s="42" t="n">
        <v>515.015291110784</v>
      </c>
      <c r="R364" s="43" t="n">
        <f aca="false">MAX(0,MIN(1,P364/100+$D$5))</f>
        <v>0.338828834871643</v>
      </c>
      <c r="S364" s="43" t="n">
        <v>0.0779420971553049</v>
      </c>
      <c r="T364" s="44" t="s">
        <v>90</v>
      </c>
    </row>
    <row r="365" customFormat="false" ht="15" hidden="false" customHeight="false" outlineLevel="0" collapsed="false">
      <c r="A365" s="38" t="s">
        <v>344</v>
      </c>
      <c r="B365" s="38" t="s">
        <v>503</v>
      </c>
      <c r="C365" s="38" t="s">
        <v>508</v>
      </c>
      <c r="D365" s="21" t="n">
        <f aca="false">ROUND(Q365*R365,0)</f>
        <v>313</v>
      </c>
      <c r="E365" s="21" t="n">
        <f aca="false">ROUND(Q365,0)-D365</f>
        <v>463</v>
      </c>
      <c r="F365" s="21" t="n">
        <f aca="false">IF(COUNTA(D365:E365)=0,"",SUM(D365:E365))</f>
        <v>776</v>
      </c>
      <c r="G365" s="39" t="n">
        <f aca="false">IF(OR(F365="",F365=0),"",D365/F365)</f>
        <v>0.403350515463918</v>
      </c>
      <c r="H365" s="39" t="n">
        <f aca="false">IF(OR(F365="",F365=0),"",E365/F365)</f>
        <v>0.596649484536083</v>
      </c>
      <c r="I365" s="38" t="s">
        <v>89</v>
      </c>
      <c r="J365" s="40" t="n">
        <v>1.85532414445586</v>
      </c>
      <c r="K365" s="39" t="n">
        <f aca="false">IF(G365="","",MAX(0,G365-J365/100))</f>
        <v>0.384797274019359</v>
      </c>
      <c r="L365" s="39" t="n">
        <f aca="false">IF(G365="","",MIN(1,G365+J365/100))</f>
        <v>0.421903756908476</v>
      </c>
      <c r="M365" s="21" t="n">
        <f aca="false">ROUND(Q365*S365,0)</f>
        <v>49</v>
      </c>
      <c r="N365" s="21" t="n">
        <f aca="false">ROUND(SQRT((F365*J365/100)^2+(G365*M365)^2),0)</f>
        <v>24</v>
      </c>
      <c r="P365" s="41" t="n">
        <v>-12.5510561761835</v>
      </c>
      <c r="Q365" s="42" t="n">
        <v>775.779967813524</v>
      </c>
      <c r="R365" s="43" t="n">
        <f aca="false">MAX(0,MIN(1,P365/100+$D$5))</f>
        <v>0.403145190471342</v>
      </c>
      <c r="S365" s="43" t="n">
        <v>0.0633793435818552</v>
      </c>
      <c r="T365" s="44" t="s">
        <v>99</v>
      </c>
    </row>
    <row r="366" customFormat="false" ht="15" hidden="false" customHeight="false" outlineLevel="0" collapsed="false">
      <c r="A366" s="38" t="s">
        <v>344</v>
      </c>
      <c r="B366" s="38" t="s">
        <v>509</v>
      </c>
      <c r="C366" s="38" t="s">
        <v>510</v>
      </c>
      <c r="D366" s="21" t="n">
        <f aca="false">ROUND(Q366*R366,0)</f>
        <v>1024</v>
      </c>
      <c r="E366" s="21" t="n">
        <f aca="false">ROUND(Q366,0)-D366</f>
        <v>900</v>
      </c>
      <c r="F366" s="21" t="n">
        <f aca="false">IF(COUNTA(D366:E366)=0,"",SUM(D366:E366))</f>
        <v>1924</v>
      </c>
      <c r="G366" s="39" t="n">
        <f aca="false">IF(OR(F366="",F366=0),"",D366/F366)</f>
        <v>0.532224532224532</v>
      </c>
      <c r="H366" s="39" t="n">
        <f aca="false">IF(OR(F366="",F366=0),"",E366/F366)</f>
        <v>0.467775467775468</v>
      </c>
      <c r="I366" s="38" t="s">
        <v>89</v>
      </c>
      <c r="J366" s="40" t="n">
        <v>1.28585670084365</v>
      </c>
      <c r="K366" s="39" t="n">
        <f aca="false">IF(G366="","",MAX(0,G366-J366/100))</f>
        <v>0.519365965216096</v>
      </c>
      <c r="L366" s="39" t="n">
        <f aca="false">IF(G366="","",MIN(1,G366+J366/100))</f>
        <v>0.545083099232969</v>
      </c>
      <c r="M366" s="21" t="n">
        <f aca="false">ROUND(Q366*S366,0)</f>
        <v>268</v>
      </c>
      <c r="N366" s="21" t="n">
        <f aca="false">ROUND(SQRT((F366*J366/100)^2+(G366*M366)^2),0)</f>
        <v>145</v>
      </c>
      <c r="P366" s="41" t="n">
        <v>0.344129660247556</v>
      </c>
      <c r="Q366" s="42" t="n">
        <v>1923.66328278025</v>
      </c>
      <c r="R366" s="43" t="n">
        <f aca="false">MAX(0,MIN(1,P366/100+$D$5))</f>
        <v>0.532097048835652</v>
      </c>
      <c r="S366" s="43" t="n">
        <v>0.139463116518417</v>
      </c>
      <c r="T366" s="44" t="s">
        <v>128</v>
      </c>
    </row>
    <row r="367" customFormat="false" ht="15" hidden="false" customHeight="false" outlineLevel="0" collapsed="false">
      <c r="A367" s="38" t="s">
        <v>344</v>
      </c>
      <c r="B367" s="38" t="s">
        <v>509</v>
      </c>
      <c r="C367" s="38" t="s">
        <v>511</v>
      </c>
      <c r="D367" s="21" t="n">
        <f aca="false">ROUND(Q367*R367,0)</f>
        <v>295</v>
      </c>
      <c r="E367" s="21" t="n">
        <f aca="false">ROUND(Q367,0)-D367</f>
        <v>275</v>
      </c>
      <c r="F367" s="21" t="n">
        <f aca="false">IF(COUNTA(D367:E367)=0,"",SUM(D367:E367))</f>
        <v>570</v>
      </c>
      <c r="G367" s="39" t="n">
        <f aca="false">IF(OR(F367="",F367=0),"",D367/F367)</f>
        <v>0.517543859649123</v>
      </c>
      <c r="H367" s="39" t="n">
        <f aca="false">IF(OR(F367="",F367=0),"",E367/F367)</f>
        <v>0.482456140350877</v>
      </c>
      <c r="I367" s="38" t="s">
        <v>191</v>
      </c>
      <c r="J367" s="40" t="n">
        <v>3.25434931194355</v>
      </c>
      <c r="K367" s="39" t="n">
        <f aca="false">IF(G367="","",MAX(0,G367-J367/100))</f>
        <v>0.485000366529687</v>
      </c>
      <c r="L367" s="39" t="n">
        <f aca="false">IF(G367="","",MIN(1,G367+J367/100))</f>
        <v>0.550087352768558</v>
      </c>
      <c r="M367" s="21" t="n">
        <f aca="false">ROUND(Q367*S367,0)</f>
        <v>44</v>
      </c>
      <c r="N367" s="21" t="n">
        <f aca="false">ROUND(SQRT((F367*J367/100)^2+(G367*M367)^2),0)</f>
        <v>29</v>
      </c>
      <c r="P367" s="41" t="n">
        <v>-1.09383936452444</v>
      </c>
      <c r="Q367" s="42" t="n">
        <v>570.247665954223</v>
      </c>
      <c r="R367" s="43" t="n">
        <f aca="false">MAX(0,MIN(1,P367/100+$D$5))</f>
        <v>0.517717358587932</v>
      </c>
      <c r="S367" s="43" t="n">
        <v>0.0779420971553049</v>
      </c>
      <c r="T367" s="44" t="s">
        <v>90</v>
      </c>
    </row>
    <row r="368" customFormat="false" ht="15" hidden="false" customHeight="false" outlineLevel="0" collapsed="false">
      <c r="A368" s="38" t="s">
        <v>344</v>
      </c>
      <c r="B368" s="38" t="s">
        <v>509</v>
      </c>
      <c r="C368" s="38" t="s">
        <v>512</v>
      </c>
      <c r="D368" s="21" t="n">
        <f aca="false">ROUND(Q368*R368,0)</f>
        <v>773</v>
      </c>
      <c r="E368" s="21" t="n">
        <f aca="false">ROUND(Q368,0)-D368</f>
        <v>671</v>
      </c>
      <c r="F368" s="21" t="n">
        <f aca="false">IF(COUNTA(D368:E368)=0,"",SUM(D368:E368))</f>
        <v>1444</v>
      </c>
      <c r="G368" s="39" t="n">
        <f aca="false">IF(OR(F368="",F368=0),"",D368/F368)</f>
        <v>0.535318559556787</v>
      </c>
      <c r="H368" s="39" t="n">
        <f aca="false">IF(OR(F368="",F368=0),"",E368/F368)</f>
        <v>0.464681440443213</v>
      </c>
      <c r="I368" s="38" t="s">
        <v>89</v>
      </c>
      <c r="J368" s="40" t="n">
        <v>1.28585670084365</v>
      </c>
      <c r="K368" s="39" t="n">
        <f aca="false">IF(G368="","",MAX(0,G368-J368/100))</f>
        <v>0.52245999254835</v>
      </c>
      <c r="L368" s="39" t="n">
        <f aca="false">IF(G368="","",MIN(1,G368+J368/100))</f>
        <v>0.548177126565223</v>
      </c>
      <c r="M368" s="21" t="n">
        <f aca="false">ROUND(Q368*S368,0)</f>
        <v>201</v>
      </c>
      <c r="N368" s="21" t="n">
        <f aca="false">ROUND(SQRT((F368*J368/100)^2+(G368*M368)^2),0)</f>
        <v>109</v>
      </c>
      <c r="P368" s="41" t="n">
        <v>0.697243503121775</v>
      </c>
      <c r="Q368" s="42" t="n">
        <v>1443.66744627657</v>
      </c>
      <c r="R368" s="43" t="n">
        <f aca="false">MAX(0,MIN(1,P368/100+$D$5))</f>
        <v>0.535628187264394</v>
      </c>
      <c r="S368" s="43" t="n">
        <v>0.139463116518417</v>
      </c>
      <c r="T368" s="44" t="s">
        <v>128</v>
      </c>
    </row>
    <row r="369" customFormat="false" ht="15" hidden="false" customHeight="false" outlineLevel="0" collapsed="false">
      <c r="A369" s="38" t="s">
        <v>344</v>
      </c>
      <c r="B369" s="38" t="s">
        <v>509</v>
      </c>
      <c r="C369" s="38" t="s">
        <v>513</v>
      </c>
      <c r="D369" s="21" t="n">
        <f aca="false">ROUND(Q369*R369,0)</f>
        <v>223</v>
      </c>
      <c r="E369" s="21" t="n">
        <f aca="false">ROUND(Q369,0)-D369</f>
        <v>206</v>
      </c>
      <c r="F369" s="21" t="n">
        <f aca="false">IF(COUNTA(D369:E369)=0,"",SUM(D369:E369))</f>
        <v>429</v>
      </c>
      <c r="G369" s="39" t="n">
        <f aca="false">IF(OR(F369="",F369=0),"",D369/F369)</f>
        <v>0.51981351981352</v>
      </c>
      <c r="H369" s="39" t="n">
        <f aca="false">IF(OR(F369="",F369=0),"",E369/F369)</f>
        <v>0.48018648018648</v>
      </c>
      <c r="I369" s="38" t="s">
        <v>191</v>
      </c>
      <c r="J369" s="40" t="n">
        <v>3.25434931194355</v>
      </c>
      <c r="K369" s="39" t="n">
        <f aca="false">IF(G369="","",MAX(0,G369-J369/100))</f>
        <v>0.487270026694084</v>
      </c>
      <c r="L369" s="39" t="n">
        <f aca="false">IF(G369="","",MIN(1,G369+J369/100))</f>
        <v>0.552357012932955</v>
      </c>
      <c r="M369" s="21" t="n">
        <f aca="false">ROUND(Q369*S369,0)</f>
        <v>33</v>
      </c>
      <c r="N369" s="21" t="n">
        <f aca="false">ROUND(SQRT((F369*J369/100)^2+(G369*M369)^2),0)</f>
        <v>22</v>
      </c>
      <c r="P369" s="41" t="n">
        <v>-0.859836217638564</v>
      </c>
      <c r="Q369" s="42" t="n">
        <v>429.457398307732</v>
      </c>
      <c r="R369" s="43" t="n">
        <f aca="false">MAX(0,MIN(1,P369/100+$D$5))</f>
        <v>0.520057390056791</v>
      </c>
      <c r="S369" s="43" t="n">
        <v>0.0779420971553049</v>
      </c>
      <c r="T369" s="44" t="s">
        <v>90</v>
      </c>
    </row>
    <row r="370" customFormat="false" ht="15" hidden="false" customHeight="false" outlineLevel="0" collapsed="false">
      <c r="A370" s="38" t="s">
        <v>344</v>
      </c>
      <c r="B370" s="38" t="s">
        <v>514</v>
      </c>
      <c r="C370" s="38" t="s">
        <v>515</v>
      </c>
      <c r="D370" s="21" t="n">
        <f aca="false">ROUND(Q370*R370,0)</f>
        <v>366</v>
      </c>
      <c r="E370" s="21" t="n">
        <f aca="false">ROUND(Q370,0)-D370</f>
        <v>475</v>
      </c>
      <c r="F370" s="21" t="n">
        <f aca="false">IF(COUNTA(D370:E370)=0,"",SUM(D370:E370))</f>
        <v>841</v>
      </c>
      <c r="G370" s="39" t="n">
        <f aca="false">IF(OR(F370="",F370=0),"",D370/F370)</f>
        <v>0.435196195005945</v>
      </c>
      <c r="H370" s="39" t="n">
        <f aca="false">IF(OR(F370="",F370=0),"",E370/F370)</f>
        <v>0.564803804994055</v>
      </c>
      <c r="I370" s="38" t="s">
        <v>89</v>
      </c>
      <c r="J370" s="40" t="n">
        <v>1.85532414445586</v>
      </c>
      <c r="K370" s="39" t="n">
        <f aca="false">IF(G370="","",MAX(0,G370-J370/100))</f>
        <v>0.416642953561387</v>
      </c>
      <c r="L370" s="39" t="n">
        <f aca="false">IF(G370="","",MIN(1,G370+J370/100))</f>
        <v>0.453749436450504</v>
      </c>
      <c r="M370" s="21" t="n">
        <f aca="false">ROUND(Q370*S370,0)</f>
        <v>53</v>
      </c>
      <c r="N370" s="21" t="n">
        <f aca="false">ROUND(SQRT((F370*J370/100)^2+(G370*M370)^2),0)</f>
        <v>28</v>
      </c>
      <c r="P370" s="41" t="n">
        <v>-9.3379183654795</v>
      </c>
      <c r="Q370" s="42" t="n">
        <v>840.638266796113</v>
      </c>
      <c r="R370" s="43" t="n">
        <f aca="false">MAX(0,MIN(1,P370/100+$D$5))</f>
        <v>0.435276568578382</v>
      </c>
      <c r="S370" s="43" t="n">
        <v>0.0633793435818552</v>
      </c>
      <c r="T370" s="44" t="s">
        <v>99</v>
      </c>
    </row>
    <row r="371" customFormat="false" ht="15" hidden="false" customHeight="false" outlineLevel="0" collapsed="false">
      <c r="A371" s="38" t="s">
        <v>344</v>
      </c>
      <c r="B371" s="38" t="s">
        <v>319</v>
      </c>
      <c r="C371" s="38" t="s">
        <v>516</v>
      </c>
      <c r="D371" s="21" t="n">
        <f aca="false">ROUND(Q371*R371,0)</f>
        <v>724</v>
      </c>
      <c r="E371" s="21" t="n">
        <f aca="false">ROUND(Q371,0)-D371</f>
        <v>1189</v>
      </c>
      <c r="F371" s="21" t="n">
        <f aca="false">IF(COUNTA(D371:E371)=0,"",SUM(D371:E371))</f>
        <v>1913</v>
      </c>
      <c r="G371" s="39" t="n">
        <f aca="false">IF(OR(F371="",F371=0),"",D371/F371)</f>
        <v>0.378463146889702</v>
      </c>
      <c r="H371" s="39" t="n">
        <f aca="false">IF(OR(F371="",F371=0),"",E371/F371)</f>
        <v>0.621536853110298</v>
      </c>
      <c r="I371" s="38" t="s">
        <v>89</v>
      </c>
      <c r="J371" s="40" t="n">
        <v>1.28585670084365</v>
      </c>
      <c r="K371" s="39" t="n">
        <f aca="false">IF(G371="","",MAX(0,G371-J371/100))</f>
        <v>0.365604579881266</v>
      </c>
      <c r="L371" s="39" t="n">
        <f aca="false">IF(G371="","",MIN(1,G371+J371/100))</f>
        <v>0.391321713898139</v>
      </c>
      <c r="M371" s="21" t="n">
        <f aca="false">ROUND(Q371*S371,0)</f>
        <v>267</v>
      </c>
      <c r="N371" s="21" t="n">
        <f aca="false">ROUND(SQRT((F371*J371/100)^2+(G371*M371)^2),0)</f>
        <v>104</v>
      </c>
      <c r="P371" s="41" t="n">
        <v>-15.0311163809576</v>
      </c>
      <c r="Q371" s="42" t="n">
        <v>1912.91377754551</v>
      </c>
      <c r="R371" s="43" t="n">
        <f aca="false">MAX(0,MIN(1,P371/100+$D$5))</f>
        <v>0.3783445884236</v>
      </c>
      <c r="S371" s="43" t="n">
        <v>0.139463116518417</v>
      </c>
      <c r="T371" s="44" t="s">
        <v>128</v>
      </c>
    </row>
    <row r="372" customFormat="false" ht="15" hidden="false" customHeight="false" outlineLevel="0" collapsed="false">
      <c r="A372" s="38" t="s">
        <v>344</v>
      </c>
      <c r="B372" s="38" t="s">
        <v>319</v>
      </c>
      <c r="C372" s="38" t="s">
        <v>517</v>
      </c>
      <c r="D372" s="21" t="n">
        <f aca="false">ROUND(Q372*R372,0)</f>
        <v>542</v>
      </c>
      <c r="E372" s="21" t="n">
        <f aca="false">ROUND(Q372,0)-D372</f>
        <v>908</v>
      </c>
      <c r="F372" s="21" t="n">
        <f aca="false">IF(COUNTA(D372:E372)=0,"",SUM(D372:E372))</f>
        <v>1450</v>
      </c>
      <c r="G372" s="39" t="n">
        <f aca="false">IF(OR(F372="",F372=0),"",D372/F372)</f>
        <v>0.373793103448276</v>
      </c>
      <c r="H372" s="39" t="n">
        <f aca="false">IF(OR(F372="",F372=0),"",E372/F372)</f>
        <v>0.626206896551724</v>
      </c>
      <c r="I372" s="38" t="s">
        <v>518</v>
      </c>
      <c r="J372" s="40" t="n">
        <v>1.28585670084365</v>
      </c>
      <c r="K372" s="39" t="n">
        <f aca="false">IF(G372="","",MAX(0,G372-J372/100))</f>
        <v>0.360934536439839</v>
      </c>
      <c r="L372" s="39" t="n">
        <f aca="false">IF(G372="","",MIN(1,G372+J372/100))</f>
        <v>0.386651670456712</v>
      </c>
      <c r="M372" s="21" t="n">
        <f aca="false">ROUND(Q372*S372,0)</f>
        <v>202</v>
      </c>
      <c r="N372" s="21" t="n">
        <f aca="false">ROUND(SQRT((F372*J372/100)^2+(G372*M372)^2),0)</f>
        <v>78</v>
      </c>
      <c r="P372" s="41" t="n">
        <v>-15.5023731462124</v>
      </c>
      <c r="Q372" s="42" t="n">
        <v>1449.88022384284</v>
      </c>
      <c r="R372" s="43" t="n">
        <f aca="false">MAX(0,MIN(1,P372/100+$D$5))</f>
        <v>0.373632020771053</v>
      </c>
      <c r="S372" s="43" t="n">
        <v>0.139463116518417</v>
      </c>
      <c r="T372" s="44" t="s">
        <v>128</v>
      </c>
    </row>
    <row r="373" customFormat="false" ht="15" hidden="false" customHeight="false" outlineLevel="0" collapsed="false">
      <c r="A373" s="38" t="s">
        <v>344</v>
      </c>
      <c r="B373" s="38" t="s">
        <v>519</v>
      </c>
      <c r="C373" s="38" t="s">
        <v>519</v>
      </c>
      <c r="D373" s="21" t="n">
        <f aca="false">ROUND(Q373*R373,0)</f>
        <v>245</v>
      </c>
      <c r="E373" s="21" t="n">
        <f aca="false">ROUND(Q373,0)-D373</f>
        <v>218</v>
      </c>
      <c r="F373" s="21" t="n">
        <f aca="false">IF(COUNTA(D373:E373)=0,"",SUM(D373:E373))</f>
        <v>463</v>
      </c>
      <c r="G373" s="39" t="n">
        <f aca="false">IF(OR(F373="",F373=0),"",D373/F373)</f>
        <v>0.529157667386609</v>
      </c>
      <c r="H373" s="39" t="n">
        <f aca="false">IF(OR(F373="",F373=0),"",E373/F373)</f>
        <v>0.470842332613391</v>
      </c>
      <c r="I373" s="38" t="s">
        <v>89</v>
      </c>
      <c r="J373" s="40" t="n">
        <v>3.25434931194355</v>
      </c>
      <c r="K373" s="39" t="n">
        <f aca="false">IF(G373="","",MAX(0,G373-J373/100))</f>
        <v>0.496614174267174</v>
      </c>
      <c r="L373" s="39" t="n">
        <f aca="false">IF(G373="","",MIN(1,G373+J373/100))</f>
        <v>0.561701160506045</v>
      </c>
      <c r="M373" s="21" t="n">
        <f aca="false">ROUND(Q373*S373,0)</f>
        <v>36</v>
      </c>
      <c r="N373" s="21" t="n">
        <f aca="false">ROUND(SQRT((F373*J373/100)^2+(G373*M373)^2),0)</f>
        <v>24</v>
      </c>
      <c r="P373" s="41" t="n">
        <v>0.0608969394322613</v>
      </c>
      <c r="Q373" s="42" t="n">
        <v>462.734150024746</v>
      </c>
      <c r="R373" s="43" t="n">
        <f aca="false">MAX(0,MIN(1,P373/100+$D$5))</f>
        <v>0.529264721627499</v>
      </c>
      <c r="S373" s="43" t="n">
        <v>0.0779420971553049</v>
      </c>
      <c r="T373" s="44" t="s">
        <v>90</v>
      </c>
    </row>
    <row r="374" customFormat="false" ht="15" hidden="false" customHeight="false" outlineLevel="0" collapsed="false">
      <c r="A374" s="38" t="s">
        <v>344</v>
      </c>
      <c r="B374" s="38" t="s">
        <v>520</v>
      </c>
      <c r="C374" s="38" t="s">
        <v>521</v>
      </c>
      <c r="D374" s="21" t="n">
        <f aca="false">ROUND(Q374*R374,0)</f>
        <v>502</v>
      </c>
      <c r="E374" s="21" t="n">
        <f aca="false">ROUND(Q374,0)-D374</f>
        <v>552</v>
      </c>
      <c r="F374" s="21" t="n">
        <f aca="false">IF(COUNTA(D374:E374)=0,"",SUM(D374:E374))</f>
        <v>1054</v>
      </c>
      <c r="G374" s="39" t="n">
        <f aca="false">IF(OR(F374="",F374=0),"",D374/F374)</f>
        <v>0.476280834914611</v>
      </c>
      <c r="H374" s="39" t="n">
        <f aca="false">IF(OR(F374="",F374=0),"",E374/F374)</f>
        <v>0.523719165085389</v>
      </c>
      <c r="I374" s="38" t="s">
        <v>89</v>
      </c>
      <c r="J374" s="40" t="n">
        <v>1.85532414445586</v>
      </c>
      <c r="K374" s="39" t="n">
        <f aca="false">IF(G374="","",MAX(0,G374-J374/100))</f>
        <v>0.457727593470052</v>
      </c>
      <c r="L374" s="39" t="n">
        <f aca="false">IF(G374="","",MIN(1,G374+J374/100))</f>
        <v>0.49483407635917</v>
      </c>
      <c r="M374" s="21" t="n">
        <f aca="false">ROUND(Q374*S374,0)</f>
        <v>67</v>
      </c>
      <c r="N374" s="21" t="n">
        <f aca="false">ROUND(SQRT((F374*J374/100)^2+(G374*M374)^2),0)</f>
        <v>37</v>
      </c>
      <c r="P374" s="41" t="n">
        <v>-5.23390750932136</v>
      </c>
      <c r="Q374" s="42" t="n">
        <v>1054.03582365187</v>
      </c>
      <c r="R374" s="43" t="n">
        <f aca="false">MAX(0,MIN(1,P374/100+$D$5))</f>
        <v>0.476316677139963</v>
      </c>
      <c r="S374" s="43" t="n">
        <v>0.0633793435818552</v>
      </c>
      <c r="T374" s="44" t="s">
        <v>99</v>
      </c>
    </row>
    <row r="375" customFormat="false" ht="15" hidden="false" customHeight="false" outlineLevel="0" collapsed="false">
      <c r="A375" s="38" t="s">
        <v>344</v>
      </c>
      <c r="B375" s="38" t="s">
        <v>520</v>
      </c>
      <c r="C375" s="38" t="s">
        <v>522</v>
      </c>
      <c r="D375" s="21" t="n">
        <f aca="false">ROUND(Q375*R375,0)</f>
        <v>426</v>
      </c>
      <c r="E375" s="21" t="n">
        <f aca="false">ROUND(Q375,0)-D375</f>
        <v>548</v>
      </c>
      <c r="F375" s="21" t="n">
        <f aca="false">IF(COUNTA(D375:E375)=0,"",SUM(D375:E375))</f>
        <v>974</v>
      </c>
      <c r="G375" s="39" t="n">
        <f aca="false">IF(OR(F375="",F375=0),"",D375/F375)</f>
        <v>0.437371663244353</v>
      </c>
      <c r="H375" s="39" t="n">
        <f aca="false">IF(OR(F375="",F375=0),"",E375/F375)</f>
        <v>0.562628336755647</v>
      </c>
      <c r="I375" s="38" t="s">
        <v>89</v>
      </c>
      <c r="J375" s="40" t="n">
        <v>1.85532414445586</v>
      </c>
      <c r="K375" s="39" t="n">
        <f aca="false">IF(G375="","",MAX(0,G375-J375/100))</f>
        <v>0.418818421799795</v>
      </c>
      <c r="L375" s="39" t="n">
        <f aca="false">IF(G375="","",MIN(1,G375+J375/100))</f>
        <v>0.455924904688912</v>
      </c>
      <c r="M375" s="21" t="n">
        <f aca="false">ROUND(Q375*S375,0)</f>
        <v>62</v>
      </c>
      <c r="N375" s="21" t="n">
        <f aca="false">ROUND(SQRT((F375*J375/100)^2+(G375*M375)^2),0)</f>
        <v>33</v>
      </c>
      <c r="P375" s="41" t="n">
        <v>-9.0873547168522</v>
      </c>
      <c r="Q375" s="42" t="n">
        <v>973.745613511381</v>
      </c>
      <c r="R375" s="43" t="n">
        <f aca="false">MAX(0,MIN(1,P375/100+$D$5))</f>
        <v>0.437782205064655</v>
      </c>
      <c r="S375" s="43" t="n">
        <v>0.0633793435818552</v>
      </c>
      <c r="T375" s="44" t="s">
        <v>99</v>
      </c>
    </row>
    <row r="376" customFormat="false" ht="15" hidden="false" customHeight="false" outlineLevel="0" collapsed="false">
      <c r="A376" s="38" t="s">
        <v>344</v>
      </c>
      <c r="B376" s="38" t="s">
        <v>520</v>
      </c>
      <c r="C376" s="38" t="s">
        <v>523</v>
      </c>
      <c r="D376" s="21" t="n">
        <f aca="false">ROUND(Q376*R376,0)</f>
        <v>515</v>
      </c>
      <c r="E376" s="21" t="n">
        <f aca="false">ROUND(Q376,0)-D376</f>
        <v>447</v>
      </c>
      <c r="F376" s="21" t="n">
        <f aca="false">IF(COUNTA(D376:E376)=0,"",SUM(D376:E376))</f>
        <v>962</v>
      </c>
      <c r="G376" s="39" t="n">
        <f aca="false">IF(OR(F376="",F376=0),"",D376/F376)</f>
        <v>0.535343035343035</v>
      </c>
      <c r="H376" s="39" t="n">
        <f aca="false">IF(OR(F376="",F376=0),"",E376/F376)</f>
        <v>0.464656964656965</v>
      </c>
      <c r="I376" s="38" t="s">
        <v>89</v>
      </c>
      <c r="J376" s="40" t="n">
        <v>1.85532414445586</v>
      </c>
      <c r="K376" s="39" t="n">
        <f aca="false">IF(G376="","",MAX(0,G376-J376/100))</f>
        <v>0.516789793898477</v>
      </c>
      <c r="L376" s="39" t="n">
        <f aca="false">IF(G376="","",MIN(1,G376+J376/100))</f>
        <v>0.553896276787594</v>
      </c>
      <c r="M376" s="21" t="n">
        <f aca="false">ROUND(Q376*S376,0)</f>
        <v>61</v>
      </c>
      <c r="N376" s="21" t="n">
        <f aca="false">ROUND(SQRT((F376*J376/100)^2+(G376*M376)^2),0)</f>
        <v>37</v>
      </c>
      <c r="P376" s="41" t="n">
        <v>0.64283542075415</v>
      </c>
      <c r="Q376" s="42" t="n">
        <v>962.325822742282</v>
      </c>
      <c r="R376" s="43" t="n">
        <f aca="false">MAX(0,MIN(1,P376/100+$D$5))</f>
        <v>0.535084106440718</v>
      </c>
      <c r="S376" s="43" t="n">
        <v>0.0633793435818552</v>
      </c>
      <c r="T376" s="44" t="s">
        <v>99</v>
      </c>
    </row>
    <row r="377" customFormat="false" ht="15" hidden="false" customHeight="false" outlineLevel="0" collapsed="false">
      <c r="A377" s="38" t="s">
        <v>344</v>
      </c>
      <c r="B377" s="38" t="s">
        <v>520</v>
      </c>
      <c r="C377" s="38" t="s">
        <v>524</v>
      </c>
      <c r="D377" s="21" t="n">
        <f aca="false">ROUND(Q377*R377,0)</f>
        <v>291</v>
      </c>
      <c r="E377" s="21" t="n">
        <f aca="false">ROUND(Q377,0)-D377</f>
        <v>337</v>
      </c>
      <c r="F377" s="21" t="n">
        <f aca="false">IF(COUNTA(D377:E377)=0,"",SUM(D377:E377))</f>
        <v>628</v>
      </c>
      <c r="G377" s="39" t="n">
        <f aca="false">IF(OR(F377="",F377=0),"",D377/F377)</f>
        <v>0.463375796178344</v>
      </c>
      <c r="H377" s="39" t="n">
        <f aca="false">IF(OR(F377="",F377=0),"",E377/F377)</f>
        <v>0.536624203821656</v>
      </c>
      <c r="I377" s="38" t="s">
        <v>89</v>
      </c>
      <c r="J377" s="40" t="n">
        <v>3.25434931194355</v>
      </c>
      <c r="K377" s="39" t="n">
        <f aca="false">IF(G377="","",MAX(0,G377-J377/100))</f>
        <v>0.430832303058908</v>
      </c>
      <c r="L377" s="39" t="n">
        <f aca="false">IF(G377="","",MIN(1,G377+J377/100))</f>
        <v>0.495919289297779</v>
      </c>
      <c r="M377" s="21" t="n">
        <f aca="false">ROUND(Q377*S377,0)</f>
        <v>49</v>
      </c>
      <c r="N377" s="21" t="n">
        <f aca="false">ROUND(SQRT((F377*J377/100)^2+(G377*M377)^2),0)</f>
        <v>31</v>
      </c>
      <c r="P377" s="41" t="n">
        <v>-6.51774897939038</v>
      </c>
      <c r="Q377" s="42" t="n">
        <v>627.883710093273</v>
      </c>
      <c r="R377" s="43" t="n">
        <f aca="false">MAX(0,MIN(1,P377/100+$D$5))</f>
        <v>0.463478262439273</v>
      </c>
      <c r="S377" s="43" t="n">
        <v>0.0779420971553049</v>
      </c>
      <c r="T377" s="44" t="s">
        <v>90</v>
      </c>
    </row>
    <row r="378" customFormat="false" ht="15" hidden="false" customHeight="false" outlineLevel="0" collapsed="false">
      <c r="A378" s="38" t="s">
        <v>344</v>
      </c>
      <c r="B378" s="38" t="s">
        <v>525</v>
      </c>
      <c r="C378" s="38" t="s">
        <v>526</v>
      </c>
      <c r="D378" s="21" t="n">
        <f aca="false">ROUND(Q378*R378,0)</f>
        <v>487</v>
      </c>
      <c r="E378" s="21" t="n">
        <f aca="false">ROUND(Q378,0)-D378</f>
        <v>296</v>
      </c>
      <c r="F378" s="21" t="n">
        <f aca="false">IF(COUNTA(D378:E378)=0,"",SUM(D378:E378))</f>
        <v>783</v>
      </c>
      <c r="G378" s="39" t="n">
        <f aca="false">IF(OR(F378="",F378=0),"",D378/F378)</f>
        <v>0.621966794380587</v>
      </c>
      <c r="H378" s="39" t="n">
        <f aca="false">IF(OR(F378="",F378=0),"",E378/F378)</f>
        <v>0.378033205619413</v>
      </c>
      <c r="I378" s="38" t="s">
        <v>89</v>
      </c>
      <c r="J378" s="40" t="n">
        <v>1.85532414445586</v>
      </c>
      <c r="K378" s="39" t="n">
        <f aca="false">IF(G378="","",MAX(0,G378-J378/100))</f>
        <v>0.603413552936029</v>
      </c>
      <c r="L378" s="39" t="n">
        <f aca="false">IF(G378="","",MIN(1,G378+J378/100))</f>
        <v>0.640520035825146</v>
      </c>
      <c r="M378" s="21" t="n">
        <f aca="false">ROUND(Q378*S378,0)</f>
        <v>50</v>
      </c>
      <c r="N378" s="21" t="n">
        <f aca="false">ROUND(SQRT((F378*J378/100)^2+(G378*M378)^2),0)</f>
        <v>34</v>
      </c>
      <c r="P378" s="41" t="n">
        <v>9.31979882381106</v>
      </c>
      <c r="Q378" s="42" t="n">
        <v>782.833997614533</v>
      </c>
      <c r="R378" s="43" t="n">
        <f aca="false">MAX(0,MIN(1,P378/100+$D$5))</f>
        <v>0.621853740471287</v>
      </c>
      <c r="S378" s="43" t="n">
        <v>0.0633793435818552</v>
      </c>
      <c r="T378" s="44" t="s">
        <v>99</v>
      </c>
    </row>
    <row r="379" customFormat="false" ht="15" hidden="false" customHeight="false" outlineLevel="0" collapsed="false">
      <c r="A379" s="38" t="s">
        <v>344</v>
      </c>
      <c r="B379" s="38" t="s">
        <v>525</v>
      </c>
      <c r="C379" s="38" t="s">
        <v>527</v>
      </c>
      <c r="D379" s="21" t="n">
        <f aca="false">ROUND(Q379*R379,0)</f>
        <v>391</v>
      </c>
      <c r="E379" s="21" t="n">
        <f aca="false">ROUND(Q379,0)-D379</f>
        <v>257</v>
      </c>
      <c r="F379" s="21" t="n">
        <f aca="false">IF(COUNTA(D379:E379)=0,"",SUM(D379:E379))</f>
        <v>648</v>
      </c>
      <c r="G379" s="39" t="n">
        <f aca="false">IF(OR(F379="",F379=0),"",D379/F379)</f>
        <v>0.603395061728395</v>
      </c>
      <c r="H379" s="39" t="n">
        <f aca="false">IF(OR(F379="",F379=0),"",E379/F379)</f>
        <v>0.396604938271605</v>
      </c>
      <c r="I379" s="38" t="s">
        <v>89</v>
      </c>
      <c r="J379" s="40" t="n">
        <v>3.25434931194355</v>
      </c>
      <c r="K379" s="39" t="n">
        <f aca="false">IF(G379="","",MAX(0,G379-J379/100))</f>
        <v>0.57085156860896</v>
      </c>
      <c r="L379" s="39" t="n">
        <f aca="false">IF(G379="","",MIN(1,G379+J379/100))</f>
        <v>0.635938554847831</v>
      </c>
      <c r="M379" s="21" t="n">
        <f aca="false">ROUND(Q379*S379,0)</f>
        <v>51</v>
      </c>
      <c r="N379" s="21" t="n">
        <f aca="false">ROUND(SQRT((F379*J379/100)^2+(G379*M379)^2),0)</f>
        <v>37</v>
      </c>
      <c r="P379" s="41" t="n">
        <v>7.44511898001772</v>
      </c>
      <c r="Q379" s="42" t="n">
        <v>648.443577078772</v>
      </c>
      <c r="R379" s="43" t="n">
        <f aca="false">MAX(0,MIN(1,P379/100+$D$5))</f>
        <v>0.603106942033354</v>
      </c>
      <c r="S379" s="43" t="n">
        <v>0.0779420971553049</v>
      </c>
      <c r="T379" s="44" t="s">
        <v>90</v>
      </c>
    </row>
    <row r="380" customFormat="false" ht="15" hidden="false" customHeight="false" outlineLevel="0" collapsed="false">
      <c r="A380" s="38" t="s">
        <v>344</v>
      </c>
      <c r="B380" s="38" t="s">
        <v>525</v>
      </c>
      <c r="C380" s="38" t="s">
        <v>528</v>
      </c>
      <c r="D380" s="21" t="n">
        <f aca="false">ROUND(Q380*R380,0)</f>
        <v>594</v>
      </c>
      <c r="E380" s="21" t="n">
        <f aca="false">ROUND(Q380,0)-D380</f>
        <v>428</v>
      </c>
      <c r="F380" s="21" t="n">
        <f aca="false">IF(COUNTA(D380:E380)=0,"",SUM(D380:E380))</f>
        <v>1022</v>
      </c>
      <c r="G380" s="39" t="n">
        <f aca="false">IF(OR(F380="",F380=0),"",D380/F380)</f>
        <v>0.581213307240705</v>
      </c>
      <c r="H380" s="39" t="n">
        <f aca="false">IF(OR(F380="",F380=0),"",E380/F380)</f>
        <v>0.418786692759296</v>
      </c>
      <c r="I380" s="38" t="s">
        <v>89</v>
      </c>
      <c r="J380" s="40" t="n">
        <v>1.85532414445586</v>
      </c>
      <c r="K380" s="39" t="n">
        <f aca="false">IF(G380="","",MAX(0,G380-J380/100))</f>
        <v>0.562660065796146</v>
      </c>
      <c r="L380" s="39" t="n">
        <f aca="false">IF(G380="","",MIN(1,G380+J380/100))</f>
        <v>0.599766548685263</v>
      </c>
      <c r="M380" s="21" t="n">
        <f aca="false">ROUND(Q380*S380,0)</f>
        <v>65</v>
      </c>
      <c r="N380" s="21" t="n">
        <f aca="false">ROUND(SQRT((F380*J380/100)^2+(G380*M380)^2),0)</f>
        <v>42</v>
      </c>
      <c r="P380" s="41" t="n">
        <v>5.25801116408801</v>
      </c>
      <c r="Q380" s="42" t="n">
        <v>1021.65208659648</v>
      </c>
      <c r="R380" s="43" t="n">
        <f aca="false">MAX(0,MIN(1,P380/100+$D$5))</f>
        <v>0.581235863874057</v>
      </c>
      <c r="S380" s="43" t="n">
        <v>0.0633793435818552</v>
      </c>
      <c r="T380" s="44" t="s">
        <v>99</v>
      </c>
    </row>
    <row r="381" customFormat="false" ht="15" hidden="false" customHeight="false" outlineLevel="0" collapsed="false">
      <c r="A381" s="38" t="s">
        <v>344</v>
      </c>
      <c r="B381" s="38" t="s">
        <v>529</v>
      </c>
      <c r="C381" s="38" t="s">
        <v>529</v>
      </c>
      <c r="D381" s="21" t="n">
        <f aca="false">ROUND(Q381*R381,0)</f>
        <v>576</v>
      </c>
      <c r="E381" s="21" t="n">
        <f aca="false">ROUND(Q381,0)-D381</f>
        <v>627</v>
      </c>
      <c r="F381" s="21" t="n">
        <f aca="false">IF(COUNTA(D381:E381)=0,"",SUM(D381:E381))</f>
        <v>1203</v>
      </c>
      <c r="G381" s="39" t="n">
        <f aca="false">IF(OR(F381="",F381=0),"",D381/F381)</f>
        <v>0.478802992518703</v>
      </c>
      <c r="H381" s="39" t="n">
        <f aca="false">IF(OR(F381="",F381=0),"",E381/F381)</f>
        <v>0.521197007481297</v>
      </c>
      <c r="I381" s="38" t="s">
        <v>89</v>
      </c>
      <c r="J381" s="40" t="n">
        <v>1.28585670084365</v>
      </c>
      <c r="K381" s="39" t="n">
        <f aca="false">IF(G381="","",MAX(0,G381-J381/100))</f>
        <v>0.465944425510267</v>
      </c>
      <c r="L381" s="39" t="n">
        <f aca="false">IF(G381="","",MIN(1,G381+J381/100))</f>
        <v>0.49166155952714</v>
      </c>
      <c r="M381" s="21" t="n">
        <f aca="false">ROUND(Q381*S381,0)</f>
        <v>168</v>
      </c>
      <c r="N381" s="21" t="n">
        <f aca="false">ROUND(SQRT((F381*J381/100)^2+(G381*M381)^2),0)</f>
        <v>82</v>
      </c>
      <c r="P381" s="41" t="n">
        <v>-4.99582885348602</v>
      </c>
      <c r="Q381" s="42" t="n">
        <v>1202.52358377538</v>
      </c>
      <c r="R381" s="43" t="n">
        <f aca="false">MAX(0,MIN(1,P381/100+$D$5))</f>
        <v>0.478697463698316</v>
      </c>
      <c r="S381" s="43" t="n">
        <v>0.139463116518417</v>
      </c>
      <c r="T381" s="44" t="s">
        <v>128</v>
      </c>
    </row>
  </sheetData>
  <mergeCells count="4">
    <mergeCell ref="A3:I3"/>
    <mergeCell ref="A6:N6"/>
    <mergeCell ref="A9:N9"/>
    <mergeCell ref="A10:N10"/>
  </mergeCells>
  <conditionalFormatting sqref="G12:G381">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530</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531</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B5-SUMPRODUCT(P12:P381,Q12:Q381)/SUM(Q12:Q381)/100</f>
        <v>0.53782569466376</v>
      </c>
      <c r="E5" s="2" t="s">
        <v>63</v>
      </c>
      <c r="F5" s="31" t="n">
        <v>2.23370886944203</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SUM(D12:D381)</f>
        <v>172783</v>
      </c>
      <c r="E8" s="32" t="n">
        <f aca="false">SUM(E12:E381)</f>
        <v>154340</v>
      </c>
      <c r="F8" s="32" t="n">
        <f aca="false">D8+E8</f>
        <v>327123</v>
      </c>
      <c r="G8" s="33" t="n">
        <f aca="false">IF(F8=0,"",D8/F8)</f>
        <v>0.528189702344378</v>
      </c>
      <c r="H8" s="33" t="n">
        <f aca="false">IF(F8=0,"",E8/F8)</f>
        <v>0.471810297655622</v>
      </c>
      <c r="I8" s="11" t="s">
        <v>77</v>
      </c>
      <c r="J8" s="34" t="n">
        <v>2.23370886944203</v>
      </c>
      <c r="K8" s="33" t="n">
        <f aca="false">G8-J8/100</f>
        <v>0.505852613649958</v>
      </c>
      <c r="L8" s="33" t="n">
        <f aca="false">G8+J8/100</f>
        <v>0.550526791038798</v>
      </c>
      <c r="M8" s="32" t="n">
        <f aca="false">ROUND(F8*0.0244,0)</f>
        <v>7982</v>
      </c>
      <c r="N8" s="32" t="n">
        <f aca="false">ROUND(SQRT((F8*J8/100)^2+(G8*M8)^2),0)</f>
        <v>8436</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88</v>
      </c>
      <c r="D12" s="21" t="n">
        <f aca="false">ROUND(Q12*R12,0)</f>
        <v>183</v>
      </c>
      <c r="E12" s="21" t="n">
        <f aca="false">ROUND(Q12,0)-D12</f>
        <v>225</v>
      </c>
      <c r="F12" s="21" t="n">
        <f aca="false">IF(COUNTA(D12:E12)=0,"",SUM(D12:E12))</f>
        <v>408</v>
      </c>
      <c r="G12" s="39" t="n">
        <f aca="false">IF(OR(F12="",F12=0),"",D12/F12)</f>
        <v>0.448529411764706</v>
      </c>
      <c r="H12" s="39" t="n">
        <f aca="false">IF(OR(F12="",F12=0),"",E12/F12)</f>
        <v>0.551470588235294</v>
      </c>
      <c r="I12" s="38" t="s">
        <v>89</v>
      </c>
      <c r="J12" s="40" t="n">
        <v>3.09864730606258</v>
      </c>
      <c r="K12" s="39" t="n">
        <f aca="false">IF(G12="","",MAX(0,G12-J12/100))</f>
        <v>0.41754293870408</v>
      </c>
      <c r="L12" s="39" t="n">
        <f aca="false">IF(G12="","",MIN(1,G12+J12/100))</f>
        <v>0.479515884825332</v>
      </c>
      <c r="M12" s="21" t="n">
        <f aca="false">ROUND(Q12*S12,0)</f>
        <v>30</v>
      </c>
      <c r="N12" s="21" t="n">
        <f aca="false">ROUND(SQRT((F12*J12/100)^2+(G12*M12)^2),0)</f>
        <v>18</v>
      </c>
      <c r="P12" s="41" t="n">
        <v>-9.05374822084652</v>
      </c>
      <c r="Q12" s="42" t="n">
        <v>408.492223732324</v>
      </c>
      <c r="R12" s="43" t="n">
        <f aca="false">MAX(0,MIN(1,P12/100+$D$5))</f>
        <v>0.447288212455295</v>
      </c>
      <c r="S12" s="43" t="n">
        <v>0.0731122618343653</v>
      </c>
      <c r="T12" s="44" t="s">
        <v>90</v>
      </c>
    </row>
    <row r="13" customFormat="false" ht="15" hidden="false" customHeight="false" outlineLevel="0" collapsed="false">
      <c r="A13" s="38" t="s">
        <v>87</v>
      </c>
      <c r="B13" s="38" t="s">
        <v>91</v>
      </c>
      <c r="C13" s="38" t="s">
        <v>91</v>
      </c>
      <c r="D13" s="21" t="n">
        <f aca="false">ROUND(Q13*R13,0)</f>
        <v>115</v>
      </c>
      <c r="E13" s="21" t="n">
        <f aca="false">ROUND(Q13,0)-D13</f>
        <v>229</v>
      </c>
      <c r="F13" s="21" t="n">
        <f aca="false">IF(COUNTA(D13:E13)=0,"",SUM(D13:E13))</f>
        <v>344</v>
      </c>
      <c r="G13" s="39" t="n">
        <f aca="false">IF(OR(F13="",F13=0),"",D13/F13)</f>
        <v>0.334302325581395</v>
      </c>
      <c r="H13" s="39" t="n">
        <f aca="false">IF(OR(F13="",F13=0),"",E13/F13)</f>
        <v>0.665697674418605</v>
      </c>
      <c r="I13" s="38" t="s">
        <v>89</v>
      </c>
      <c r="J13" s="40" t="n">
        <v>3.09864730606258</v>
      </c>
      <c r="K13" s="39" t="n">
        <f aca="false">IF(G13="","",MAX(0,G13-J13/100))</f>
        <v>0.30331585252077</v>
      </c>
      <c r="L13" s="39" t="n">
        <f aca="false">IF(G13="","",MIN(1,G13+J13/100))</f>
        <v>0.365288798642021</v>
      </c>
      <c r="M13" s="21" t="n">
        <f aca="false">ROUND(Q13*S13,0)</f>
        <v>25</v>
      </c>
      <c r="N13" s="21" t="n">
        <f aca="false">ROUND(SQRT((F13*J13/100)^2+(G13*M13)^2),0)</f>
        <v>14</v>
      </c>
      <c r="P13" s="41" t="n">
        <v>-20.3625103549883</v>
      </c>
      <c r="Q13" s="42" t="n">
        <v>344.066301536092</v>
      </c>
      <c r="R13" s="43" t="n">
        <f aca="false">MAX(0,MIN(1,P13/100+$D$5))</f>
        <v>0.334200591113877</v>
      </c>
      <c r="S13" s="43" t="n">
        <v>0.0731122618343653</v>
      </c>
      <c r="T13" s="44" t="s">
        <v>90</v>
      </c>
    </row>
    <row r="14" customFormat="false" ht="15" hidden="false" customHeight="false" outlineLevel="0" collapsed="false">
      <c r="A14" s="38" t="s">
        <v>87</v>
      </c>
      <c r="B14" s="38" t="s">
        <v>92</v>
      </c>
      <c r="C14" s="38" t="s">
        <v>92</v>
      </c>
      <c r="D14" s="21" t="n">
        <f aca="false">ROUND(Q14*R14,0)</f>
        <v>142</v>
      </c>
      <c r="E14" s="21" t="n">
        <f aca="false">ROUND(Q14,0)-D14</f>
        <v>236</v>
      </c>
      <c r="F14" s="21" t="n">
        <f aca="false">IF(COUNTA(D14:E14)=0,"",SUM(D14:E14))</f>
        <v>378</v>
      </c>
      <c r="G14" s="39" t="n">
        <f aca="false">IF(OR(F14="",F14=0),"",D14/F14)</f>
        <v>0.375661375661376</v>
      </c>
      <c r="H14" s="39" t="n">
        <f aca="false">IF(OR(F14="",F14=0),"",E14/F14)</f>
        <v>0.624338624338624</v>
      </c>
      <c r="I14" s="38" t="s">
        <v>89</v>
      </c>
      <c r="J14" s="40" t="n">
        <v>3.09864730606258</v>
      </c>
      <c r="K14" s="39" t="n">
        <f aca="false">IF(G14="","",MAX(0,G14-J14/100))</f>
        <v>0.34467490260075</v>
      </c>
      <c r="L14" s="39" t="n">
        <f aca="false">IF(G14="","",MIN(1,G14+J14/100))</f>
        <v>0.406647848722001</v>
      </c>
      <c r="M14" s="21" t="n">
        <f aca="false">ROUND(Q14*S14,0)</f>
        <v>28</v>
      </c>
      <c r="N14" s="21" t="n">
        <f aca="false">ROUND(SQRT((F14*J14/100)^2+(G14*M14)^2),0)</f>
        <v>16</v>
      </c>
      <c r="P14" s="41" t="n">
        <v>-16.1169926458229</v>
      </c>
      <c r="Q14" s="42" t="n">
        <v>377.967233649082</v>
      </c>
      <c r="R14" s="43" t="n">
        <f aca="false">MAX(0,MIN(1,P14/100+$D$5))</f>
        <v>0.376655768205531</v>
      </c>
      <c r="S14" s="43" t="n">
        <v>0.0731122618343653</v>
      </c>
      <c r="T14" s="44" t="s">
        <v>90</v>
      </c>
    </row>
    <row r="15" customFormat="false" ht="15" hidden="false" customHeight="false" outlineLevel="0" collapsed="false">
      <c r="A15" s="38" t="s">
        <v>87</v>
      </c>
      <c r="B15" s="38" t="s">
        <v>93</v>
      </c>
      <c r="C15" s="38" t="s">
        <v>94</v>
      </c>
      <c r="D15" s="21" t="n">
        <f aca="false">ROUND(Q15*R15,0)</f>
        <v>232</v>
      </c>
      <c r="E15" s="21" t="n">
        <f aca="false">ROUND(Q15,0)-D15</f>
        <v>540</v>
      </c>
      <c r="F15" s="21" t="n">
        <f aca="false">IF(COUNTA(D15:E15)=0,"",SUM(D15:E15))</f>
        <v>772</v>
      </c>
      <c r="G15" s="39" t="n">
        <f aca="false">IF(OR(F15="",F15=0),"",D15/F15)</f>
        <v>0.300518134715026</v>
      </c>
      <c r="H15" s="39" t="n">
        <f aca="false">IF(OR(F15="",F15=0),"",E15/F15)</f>
        <v>0.699481865284974</v>
      </c>
      <c r="I15" s="38" t="s">
        <v>89</v>
      </c>
      <c r="J15" s="40" t="n">
        <v>3.09864730606258</v>
      </c>
      <c r="K15" s="39" t="n">
        <f aca="false">IF(G15="","",MAX(0,G15-J15/100))</f>
        <v>0.2695316616544</v>
      </c>
      <c r="L15" s="39" t="n">
        <f aca="false">IF(G15="","",MIN(1,G15+J15/100))</f>
        <v>0.331504607775652</v>
      </c>
      <c r="M15" s="21" t="n">
        <f aca="false">ROUND(Q15*S15,0)</f>
        <v>56</v>
      </c>
      <c r="N15" s="21" t="n">
        <f aca="false">ROUND(SQRT((F15*J15/100)^2+(G15*M15)^2),0)</f>
        <v>29</v>
      </c>
      <c r="P15" s="41" t="n">
        <v>-23.7420579610114</v>
      </c>
      <c r="Q15" s="42" t="n">
        <v>772.156199591219</v>
      </c>
      <c r="R15" s="43" t="n">
        <f aca="false">MAX(0,MIN(1,P15/100+$D$5))</f>
        <v>0.300405115053646</v>
      </c>
      <c r="S15" s="43" t="n">
        <v>0.0731122618343653</v>
      </c>
      <c r="T15" s="44" t="s">
        <v>90</v>
      </c>
    </row>
    <row r="16" customFormat="false" ht="15" hidden="false" customHeight="false" outlineLevel="0" collapsed="false">
      <c r="A16" s="38" t="s">
        <v>87</v>
      </c>
      <c r="B16" s="38" t="s">
        <v>93</v>
      </c>
      <c r="C16" s="38" t="s">
        <v>95</v>
      </c>
      <c r="D16" s="21" t="n">
        <f aca="false">ROUND(Q16*R16,0)</f>
        <v>216</v>
      </c>
      <c r="E16" s="21" t="n">
        <f aca="false">ROUND(Q16,0)-D16</f>
        <v>454</v>
      </c>
      <c r="F16" s="21" t="n">
        <f aca="false">IF(COUNTA(D16:E16)=0,"",SUM(D16:E16))</f>
        <v>670</v>
      </c>
      <c r="G16" s="39" t="n">
        <f aca="false">IF(OR(F16="",F16=0),"",D16/F16)</f>
        <v>0.322388059701493</v>
      </c>
      <c r="H16" s="39" t="n">
        <f aca="false">IF(OR(F16="",F16=0),"",E16/F16)</f>
        <v>0.677611940298508</v>
      </c>
      <c r="I16" s="38" t="s">
        <v>89</v>
      </c>
      <c r="J16" s="40" t="n">
        <v>3.09864730606258</v>
      </c>
      <c r="K16" s="39" t="n">
        <f aca="false">IF(G16="","",MAX(0,G16-J16/100))</f>
        <v>0.291401586640867</v>
      </c>
      <c r="L16" s="39" t="n">
        <f aca="false">IF(G16="","",MIN(1,G16+J16/100))</f>
        <v>0.353374532762118</v>
      </c>
      <c r="M16" s="21" t="n">
        <f aca="false">ROUND(Q16*S16,0)</f>
        <v>49</v>
      </c>
      <c r="N16" s="21" t="n">
        <f aca="false">ROUND(SQRT((F16*J16/100)^2+(G16*M16)^2),0)</f>
        <v>26</v>
      </c>
      <c r="P16" s="41" t="n">
        <v>-21.5539328431427</v>
      </c>
      <c r="Q16" s="42" t="n">
        <v>670.252159071017</v>
      </c>
      <c r="R16" s="43" t="n">
        <f aca="false">MAX(0,MIN(1,P16/100+$D$5))</f>
        <v>0.322286366232332</v>
      </c>
      <c r="S16" s="43" t="n">
        <v>0.0731122618343653</v>
      </c>
      <c r="T16" s="44" t="s">
        <v>90</v>
      </c>
    </row>
    <row r="17" customFormat="false" ht="15" hidden="false" customHeight="false" outlineLevel="0" collapsed="false">
      <c r="A17" s="38" t="s">
        <v>87</v>
      </c>
      <c r="B17" s="38" t="s">
        <v>96</v>
      </c>
      <c r="C17" s="38" t="s">
        <v>96</v>
      </c>
      <c r="D17" s="21" t="n">
        <f aca="false">ROUND(Q17*R17,0)</f>
        <v>39</v>
      </c>
      <c r="E17" s="21" t="n">
        <f aca="false">ROUND(Q17,0)-D17</f>
        <v>61</v>
      </c>
      <c r="F17" s="21" t="n">
        <f aca="false">IF(COUNTA(D17:E17)=0,"",SUM(D17:E17))</f>
        <v>100</v>
      </c>
      <c r="G17" s="39" t="n">
        <f aca="false">IF(OR(F17="",F17=0),"",D17/F17)</f>
        <v>0.39</v>
      </c>
      <c r="H17" s="39" t="n">
        <f aca="false">IF(OR(F17="",F17=0),"",E17/F17)</f>
        <v>0.61</v>
      </c>
      <c r="I17" s="38" t="s">
        <v>89</v>
      </c>
      <c r="J17" s="40" t="n">
        <v>3.09864730606258</v>
      </c>
      <c r="K17" s="39" t="n">
        <f aca="false">IF(G17="","",MAX(0,G17-J17/100))</f>
        <v>0.359013526939374</v>
      </c>
      <c r="L17" s="39" t="n">
        <f aca="false">IF(G17="","",MIN(1,G17+J17/100))</f>
        <v>0.420986473060626</v>
      </c>
      <c r="M17" s="21" t="n">
        <f aca="false">ROUND(Q17*S17,0)</f>
        <v>7</v>
      </c>
      <c r="N17" s="21" t="n">
        <f aca="false">ROUND(SQRT((F17*J17/100)^2+(G17*M17)^2),0)</f>
        <v>4</v>
      </c>
      <c r="P17" s="41" t="n">
        <v>-14.6447442156671</v>
      </c>
      <c r="Q17" s="42" t="n">
        <v>99.6086388742845</v>
      </c>
      <c r="R17" s="43" t="n">
        <f aca="false">MAX(0,MIN(1,P17/100+$D$5))</f>
        <v>0.391378252507089</v>
      </c>
      <c r="S17" s="43" t="n">
        <v>0.0731122618343653</v>
      </c>
      <c r="T17" s="44" t="s">
        <v>90</v>
      </c>
    </row>
    <row r="18" customFormat="false" ht="15" hidden="false" customHeight="false" outlineLevel="0" collapsed="false">
      <c r="A18" s="38" t="s">
        <v>87</v>
      </c>
      <c r="B18" s="38" t="s">
        <v>97</v>
      </c>
      <c r="C18" s="38" t="s">
        <v>98</v>
      </c>
      <c r="D18" s="21" t="n">
        <f aca="false">ROUND(Q18*R18,0)</f>
        <v>297</v>
      </c>
      <c r="E18" s="21" t="n">
        <f aca="false">ROUND(Q18,0)-D18</f>
        <v>616</v>
      </c>
      <c r="F18" s="21" t="n">
        <f aca="false">IF(COUNTA(D18:E18)=0,"",SUM(D18:E18))</f>
        <v>913</v>
      </c>
      <c r="G18" s="39" t="n">
        <f aca="false">IF(OR(F18="",F18=0),"",D18/F18)</f>
        <v>0.325301204819277</v>
      </c>
      <c r="H18" s="39" t="n">
        <f aca="false">IF(OR(F18="",F18=0),"",E18/F18)</f>
        <v>0.674698795180723</v>
      </c>
      <c r="I18" s="38" t="s">
        <v>89</v>
      </c>
      <c r="J18" s="40" t="n">
        <v>2.0110742867014</v>
      </c>
      <c r="K18" s="39" t="n">
        <f aca="false">IF(G18="","",MAX(0,G18-J18/100))</f>
        <v>0.305190461952263</v>
      </c>
      <c r="L18" s="39" t="n">
        <f aca="false">IF(G18="","",MIN(1,G18+J18/100))</f>
        <v>0.345411947686291</v>
      </c>
      <c r="M18" s="21" t="n">
        <f aca="false">ROUND(Q18*S18,0)</f>
        <v>56</v>
      </c>
      <c r="N18" s="21" t="n">
        <f aca="false">ROUND(SQRT((F18*J18/100)^2+(G18*M18)^2),0)</f>
        <v>26</v>
      </c>
      <c r="P18" s="41" t="n">
        <v>-21.2717179940786</v>
      </c>
      <c r="Q18" s="42" t="n">
        <v>913.326525954519</v>
      </c>
      <c r="R18" s="43" t="n">
        <f aca="false">MAX(0,MIN(1,P18/100+$D$5))</f>
        <v>0.325108514722974</v>
      </c>
      <c r="S18" s="43" t="n">
        <v>0.0608302283160348</v>
      </c>
      <c r="T18" s="44" t="s">
        <v>99</v>
      </c>
    </row>
    <row r="19" customFormat="false" ht="15" hidden="false" customHeight="false" outlineLevel="0" collapsed="false">
      <c r="A19" s="38" t="s">
        <v>87</v>
      </c>
      <c r="B19" s="38" t="s">
        <v>97</v>
      </c>
      <c r="C19" s="38" t="s">
        <v>100</v>
      </c>
      <c r="D19" s="21" t="n">
        <f aca="false">ROUND(Q19*R19,0)</f>
        <v>158</v>
      </c>
      <c r="E19" s="21" t="n">
        <f aca="false">ROUND(Q19,0)-D19</f>
        <v>332</v>
      </c>
      <c r="F19" s="21" t="n">
        <f aca="false">IF(COUNTA(D19:E19)=0,"",SUM(D19:E19))</f>
        <v>490</v>
      </c>
      <c r="G19" s="39" t="n">
        <f aca="false">IF(OR(F19="",F19=0),"",D19/F19)</f>
        <v>0.322448979591837</v>
      </c>
      <c r="H19" s="39" t="n">
        <f aca="false">IF(OR(F19="",F19=0),"",E19/F19)</f>
        <v>0.677551020408163</v>
      </c>
      <c r="I19" s="38" t="s">
        <v>89</v>
      </c>
      <c r="J19" s="40" t="n">
        <v>3.09864730606258</v>
      </c>
      <c r="K19" s="39" t="n">
        <f aca="false">IF(G19="","",MAX(0,G19-J19/100))</f>
        <v>0.291462506531211</v>
      </c>
      <c r="L19" s="39" t="n">
        <f aca="false">IF(G19="","",MIN(1,G19+J19/100))</f>
        <v>0.353435452652463</v>
      </c>
      <c r="M19" s="21" t="n">
        <f aca="false">ROUND(Q19*S19,0)</f>
        <v>36</v>
      </c>
      <c r="N19" s="21" t="n">
        <f aca="false">ROUND(SQRT((F19*J19/100)^2+(G19*M19)^2),0)</f>
        <v>19</v>
      </c>
      <c r="P19" s="41" t="n">
        <v>-21.5721289403016</v>
      </c>
      <c r="Q19" s="42" t="n">
        <v>489.57207948568</v>
      </c>
      <c r="R19" s="43" t="n">
        <f aca="false">MAX(0,MIN(1,P19/100+$D$5))</f>
        <v>0.322104405260744</v>
      </c>
      <c r="S19" s="43" t="n">
        <v>0.0731122618343653</v>
      </c>
      <c r="T19" s="44" t="s">
        <v>90</v>
      </c>
    </row>
    <row r="20" customFormat="false" ht="15" hidden="false" customHeight="false" outlineLevel="0" collapsed="false">
      <c r="A20" s="38" t="s">
        <v>87</v>
      </c>
      <c r="B20" s="38" t="s">
        <v>97</v>
      </c>
      <c r="C20" s="38" t="s">
        <v>101</v>
      </c>
      <c r="D20" s="21" t="n">
        <f aca="false">ROUND(Q20*R20,0)</f>
        <v>228</v>
      </c>
      <c r="E20" s="21" t="n">
        <f aca="false">ROUND(Q20,0)-D20</f>
        <v>499</v>
      </c>
      <c r="F20" s="21" t="n">
        <f aca="false">IF(COUNTA(D20:E20)=0,"",SUM(D20:E20))</f>
        <v>727</v>
      </c>
      <c r="G20" s="39" t="n">
        <f aca="false">IF(OR(F20="",F20=0),"",D20/F20)</f>
        <v>0.313617606602476</v>
      </c>
      <c r="H20" s="39" t="n">
        <f aca="false">IF(OR(F20="",F20=0),"",E20/F20)</f>
        <v>0.686382393397524</v>
      </c>
      <c r="I20" s="38" t="s">
        <v>89</v>
      </c>
      <c r="J20" s="40" t="n">
        <v>3.09864730606258</v>
      </c>
      <c r="K20" s="39" t="n">
        <f aca="false">IF(G20="","",MAX(0,G20-J20/100))</f>
        <v>0.28263113354185</v>
      </c>
      <c r="L20" s="39" t="n">
        <f aca="false">IF(G20="","",MIN(1,G20+J20/100))</f>
        <v>0.344604079663102</v>
      </c>
      <c r="M20" s="21" t="n">
        <f aca="false">ROUND(Q20*S20,0)</f>
        <v>53</v>
      </c>
      <c r="N20" s="21" t="n">
        <f aca="false">ROUND(SQRT((F20*J20/100)^2+(G20*M20)^2),0)</f>
        <v>28</v>
      </c>
      <c r="P20" s="41" t="n">
        <v>-22.407704007993</v>
      </c>
      <c r="Q20" s="42" t="n">
        <v>726.703470143633</v>
      </c>
      <c r="R20" s="43" t="n">
        <f aca="false">MAX(0,MIN(1,P20/100+$D$5))</f>
        <v>0.313748654583829</v>
      </c>
      <c r="S20" s="43" t="n">
        <v>0.0731122618343653</v>
      </c>
      <c r="T20" s="44" t="s">
        <v>90</v>
      </c>
    </row>
    <row r="21" customFormat="false" ht="15" hidden="false" customHeight="false" outlineLevel="0" collapsed="false">
      <c r="A21" s="38" t="s">
        <v>87</v>
      </c>
      <c r="B21" s="38" t="s">
        <v>102</v>
      </c>
      <c r="C21" s="38" t="s">
        <v>103</v>
      </c>
      <c r="D21" s="21" t="n">
        <f aca="false">ROUND(Q21*R21,0)</f>
        <v>235</v>
      </c>
      <c r="E21" s="21" t="n">
        <f aca="false">ROUND(Q21,0)-D21</f>
        <v>232</v>
      </c>
      <c r="F21" s="21" t="n">
        <f aca="false">IF(COUNTA(D21:E21)=0,"",SUM(D21:E21))</f>
        <v>467</v>
      </c>
      <c r="G21" s="39" t="n">
        <f aca="false">IF(OR(F21="",F21=0),"",D21/F21)</f>
        <v>0.50321199143469</v>
      </c>
      <c r="H21" s="39" t="n">
        <f aca="false">IF(OR(F21="",F21=0),"",E21/F21)</f>
        <v>0.49678800856531</v>
      </c>
      <c r="I21" s="38" t="s">
        <v>89</v>
      </c>
      <c r="J21" s="40" t="n">
        <v>3.09864730606258</v>
      </c>
      <c r="K21" s="39" t="n">
        <f aca="false">IF(G21="","",MAX(0,G21-J21/100))</f>
        <v>0.472225518374064</v>
      </c>
      <c r="L21" s="39" t="n">
        <f aca="false">IF(G21="","",MIN(1,G21+J21/100))</f>
        <v>0.534198464495315</v>
      </c>
      <c r="M21" s="21" t="n">
        <f aca="false">ROUND(Q21*S21,0)</f>
        <v>34</v>
      </c>
      <c r="N21" s="21" t="n">
        <f aca="false">ROUND(SQRT((F21*J21/100)^2+(G21*M21)^2),0)</f>
        <v>22</v>
      </c>
      <c r="P21" s="41" t="n">
        <v>-3.60001180367413</v>
      </c>
      <c r="Q21" s="42" t="n">
        <v>467.39754185133</v>
      </c>
      <c r="R21" s="43" t="n">
        <f aca="false">MAX(0,MIN(1,P21/100+$D$5))</f>
        <v>0.501825576627019</v>
      </c>
      <c r="S21" s="43" t="n">
        <v>0.0731122618343653</v>
      </c>
      <c r="T21" s="44" t="s">
        <v>90</v>
      </c>
    </row>
    <row r="22" customFormat="false" ht="15" hidden="false" customHeight="false" outlineLevel="0" collapsed="false">
      <c r="A22" s="38" t="s">
        <v>87</v>
      </c>
      <c r="B22" s="38" t="s">
        <v>102</v>
      </c>
      <c r="C22" s="38" t="s">
        <v>104</v>
      </c>
      <c r="D22" s="21" t="n">
        <f aca="false">ROUND(Q22*R22,0)</f>
        <v>157</v>
      </c>
      <c r="E22" s="21" t="n">
        <f aca="false">ROUND(Q22,0)-D22</f>
        <v>160</v>
      </c>
      <c r="F22" s="21" t="n">
        <f aca="false">IF(COUNTA(D22:E22)=0,"",SUM(D22:E22))</f>
        <v>317</v>
      </c>
      <c r="G22" s="39" t="n">
        <f aca="false">IF(OR(F22="",F22=0),"",D22/F22)</f>
        <v>0.495268138801262</v>
      </c>
      <c r="H22" s="39" t="n">
        <f aca="false">IF(OR(F22="",F22=0),"",E22/F22)</f>
        <v>0.504731861198738</v>
      </c>
      <c r="I22" s="38" t="s">
        <v>89</v>
      </c>
      <c r="J22" s="40" t="n">
        <v>3.09864730606258</v>
      </c>
      <c r="K22" s="39" t="n">
        <f aca="false">IF(G22="","",MAX(0,G22-J22/100))</f>
        <v>0.464281665740636</v>
      </c>
      <c r="L22" s="39" t="n">
        <f aca="false">IF(G22="","",MIN(1,G22+J22/100))</f>
        <v>0.526254611861888</v>
      </c>
      <c r="M22" s="21" t="n">
        <f aca="false">ROUND(Q22*S22,0)</f>
        <v>23</v>
      </c>
      <c r="N22" s="21" t="n">
        <f aca="false">ROUND(SQRT((F22*J22/100)^2+(G22*M22)^2),0)</f>
        <v>15</v>
      </c>
      <c r="P22" s="41" t="n">
        <v>-4.2888179551096</v>
      </c>
      <c r="Q22" s="42" t="n">
        <v>316.501872393837</v>
      </c>
      <c r="R22" s="43" t="n">
        <f aca="false">MAX(0,MIN(1,P22/100+$D$5))</f>
        <v>0.494937515112664</v>
      </c>
      <c r="S22" s="43" t="n">
        <v>0.0731122618343653</v>
      </c>
      <c r="T22" s="44" t="s">
        <v>90</v>
      </c>
    </row>
    <row r="23" customFormat="false" ht="15" hidden="false" customHeight="false" outlineLevel="0" collapsed="false">
      <c r="A23" s="38" t="s">
        <v>87</v>
      </c>
      <c r="B23" s="38" t="s">
        <v>102</v>
      </c>
      <c r="C23" s="38" t="s">
        <v>105</v>
      </c>
      <c r="D23" s="21" t="n">
        <f aca="false">ROUND(Q23*R23,0)</f>
        <v>298</v>
      </c>
      <c r="E23" s="21" t="n">
        <f aca="false">ROUND(Q23,0)-D23</f>
        <v>389</v>
      </c>
      <c r="F23" s="21" t="n">
        <f aca="false">IF(COUNTA(D23:E23)=0,"",SUM(D23:E23))</f>
        <v>687</v>
      </c>
      <c r="G23" s="39" t="n">
        <f aca="false">IF(OR(F23="",F23=0),"",D23/F23)</f>
        <v>0.433770014556041</v>
      </c>
      <c r="H23" s="39" t="n">
        <f aca="false">IF(OR(F23="",F23=0),"",E23/F23)</f>
        <v>0.566229985443959</v>
      </c>
      <c r="I23" s="38" t="s">
        <v>89</v>
      </c>
      <c r="J23" s="40" t="n">
        <v>3.09864730606258</v>
      </c>
      <c r="K23" s="39" t="n">
        <f aca="false">IF(G23="","",MAX(0,G23-J23/100))</f>
        <v>0.402783541495415</v>
      </c>
      <c r="L23" s="39" t="n">
        <f aca="false">IF(G23="","",MIN(1,G23+J23/100))</f>
        <v>0.464756487616667</v>
      </c>
      <c r="M23" s="21" t="n">
        <f aca="false">ROUND(Q23*S23,0)</f>
        <v>50</v>
      </c>
      <c r="N23" s="21" t="n">
        <f aca="false">ROUND(SQRT((F23*J23/100)^2+(G23*M23)^2),0)</f>
        <v>30</v>
      </c>
      <c r="P23" s="41" t="n">
        <v>-10.4164991540154</v>
      </c>
      <c r="Q23" s="42" t="n">
        <v>686.634830947946</v>
      </c>
      <c r="R23" s="43" t="n">
        <f aca="false">MAX(0,MIN(1,P23/100+$D$5))</f>
        <v>0.433660703123606</v>
      </c>
      <c r="S23" s="43" t="n">
        <v>0.0731122618343653</v>
      </c>
      <c r="T23" s="44" t="s">
        <v>90</v>
      </c>
    </row>
    <row r="24" customFormat="false" ht="15" hidden="false" customHeight="false" outlineLevel="0" collapsed="false">
      <c r="A24" s="38" t="s">
        <v>87</v>
      </c>
      <c r="B24" s="38" t="s">
        <v>102</v>
      </c>
      <c r="C24" s="38" t="s">
        <v>106</v>
      </c>
      <c r="D24" s="21" t="n">
        <f aca="false">ROUND(Q24*R24,0)</f>
        <v>145</v>
      </c>
      <c r="E24" s="21" t="n">
        <f aca="false">ROUND(Q24,0)-D24</f>
        <v>117</v>
      </c>
      <c r="F24" s="21" t="n">
        <f aca="false">IF(COUNTA(D24:E24)=0,"",SUM(D24:E24))</f>
        <v>262</v>
      </c>
      <c r="G24" s="39" t="n">
        <f aca="false">IF(OR(F24="",F24=0),"",D24/F24)</f>
        <v>0.553435114503817</v>
      </c>
      <c r="H24" s="39" t="n">
        <f aca="false">IF(OR(F24="",F24=0),"",E24/F24)</f>
        <v>0.446564885496183</v>
      </c>
      <c r="I24" s="38" t="s">
        <v>89</v>
      </c>
      <c r="J24" s="40" t="n">
        <v>3.09864730606258</v>
      </c>
      <c r="K24" s="39" t="n">
        <f aca="false">IF(G24="","",MAX(0,G24-J24/100))</f>
        <v>0.522448641443191</v>
      </c>
      <c r="L24" s="39" t="n">
        <f aca="false">IF(G24="","",MIN(1,G24+J24/100))</f>
        <v>0.584421587564443</v>
      </c>
      <c r="M24" s="21" t="n">
        <f aca="false">ROUND(Q24*S24,0)</f>
        <v>19</v>
      </c>
      <c r="N24" s="21" t="n">
        <f aca="false">ROUND(SQRT((F24*J24/100)^2+(G24*M24)^2),0)</f>
        <v>13</v>
      </c>
      <c r="P24" s="41" t="n">
        <v>1.60369521178341</v>
      </c>
      <c r="Q24" s="42" t="n">
        <v>261.883315772378</v>
      </c>
      <c r="R24" s="43" t="n">
        <f aca="false">MAX(0,MIN(1,P24/100+$D$5))</f>
        <v>0.553862646781594</v>
      </c>
      <c r="S24" s="43" t="n">
        <v>0.0731122618343653</v>
      </c>
      <c r="T24" s="44" t="s">
        <v>90</v>
      </c>
    </row>
    <row r="25" customFormat="false" ht="15" hidden="false" customHeight="false" outlineLevel="0" collapsed="false">
      <c r="A25" s="38" t="s">
        <v>87</v>
      </c>
      <c r="B25" s="38" t="s">
        <v>102</v>
      </c>
      <c r="C25" s="38" t="s">
        <v>107</v>
      </c>
      <c r="D25" s="21" t="n">
        <f aca="false">ROUND(Q25*R25,0)</f>
        <v>281</v>
      </c>
      <c r="E25" s="21" t="n">
        <f aca="false">ROUND(Q25,0)-D25</f>
        <v>278</v>
      </c>
      <c r="F25" s="21" t="n">
        <f aca="false">IF(COUNTA(D25:E25)=0,"",SUM(D25:E25))</f>
        <v>559</v>
      </c>
      <c r="G25" s="39" t="n">
        <f aca="false">IF(OR(F25="",F25=0),"",D25/F25)</f>
        <v>0.502683363148479</v>
      </c>
      <c r="H25" s="39" t="n">
        <f aca="false">IF(OR(F25="",F25=0),"",E25/F25)</f>
        <v>0.497316636851521</v>
      </c>
      <c r="I25" s="38" t="s">
        <v>89</v>
      </c>
      <c r="J25" s="40" t="n">
        <v>3.09864730606258</v>
      </c>
      <c r="K25" s="39" t="n">
        <f aca="false">IF(G25="","",MAX(0,G25-J25/100))</f>
        <v>0.471696890087854</v>
      </c>
      <c r="L25" s="39" t="n">
        <f aca="false">IF(G25="","",MIN(1,G25+J25/100))</f>
        <v>0.533669836209105</v>
      </c>
      <c r="M25" s="21" t="n">
        <f aca="false">ROUND(Q25*S25,0)</f>
        <v>41</v>
      </c>
      <c r="N25" s="21" t="n">
        <f aca="false">ROUND(SQRT((F25*J25/100)^2+(G25*M25)^2),0)</f>
        <v>27</v>
      </c>
      <c r="P25" s="41" t="n">
        <v>-3.58414157259336</v>
      </c>
      <c r="Q25" s="42" t="n">
        <v>559.037750133544</v>
      </c>
      <c r="R25" s="43" t="n">
        <f aca="false">MAX(0,MIN(1,P25/100+$D$5))</f>
        <v>0.501984278937826</v>
      </c>
      <c r="S25" s="43" t="n">
        <v>0.0731122618343653</v>
      </c>
      <c r="T25" s="44" t="s">
        <v>90</v>
      </c>
    </row>
    <row r="26" customFormat="false" ht="15" hidden="false" customHeight="false" outlineLevel="0" collapsed="false">
      <c r="A26" s="38" t="s">
        <v>87</v>
      </c>
      <c r="B26" s="38" t="s">
        <v>108</v>
      </c>
      <c r="C26" s="38" t="s">
        <v>109</v>
      </c>
      <c r="D26" s="21" t="n">
        <f aca="false">ROUND(Q26*R26,0)</f>
        <v>112</v>
      </c>
      <c r="E26" s="21" t="n">
        <f aca="false">ROUND(Q26,0)-D26</f>
        <v>170</v>
      </c>
      <c r="F26" s="21" t="n">
        <f aca="false">IF(COUNTA(D26:E26)=0,"",SUM(D26:E26))</f>
        <v>282</v>
      </c>
      <c r="G26" s="39" t="n">
        <f aca="false">IF(OR(F26="",F26=0),"",D26/F26)</f>
        <v>0.397163120567376</v>
      </c>
      <c r="H26" s="39" t="n">
        <f aca="false">IF(OR(F26="",F26=0),"",E26/F26)</f>
        <v>0.602836879432624</v>
      </c>
      <c r="I26" s="38" t="s">
        <v>89</v>
      </c>
      <c r="J26" s="40" t="n">
        <v>3.09864730606258</v>
      </c>
      <c r="K26" s="39" t="n">
        <f aca="false">IF(G26="","",MAX(0,G26-J26/100))</f>
        <v>0.36617664750675</v>
      </c>
      <c r="L26" s="39" t="n">
        <f aca="false">IF(G26="","",MIN(1,G26+J26/100))</f>
        <v>0.428149593628002</v>
      </c>
      <c r="M26" s="21" t="n">
        <f aca="false">ROUND(Q26*S26,0)</f>
        <v>21</v>
      </c>
      <c r="N26" s="21" t="n">
        <f aca="false">ROUND(SQRT((F26*J26/100)^2+(G26*M26)^2),0)</f>
        <v>12</v>
      </c>
      <c r="P26" s="41" t="n">
        <v>-13.9467711487313</v>
      </c>
      <c r="Q26" s="42" t="n">
        <v>282.00304185136</v>
      </c>
      <c r="R26" s="43" t="n">
        <f aca="false">MAX(0,MIN(1,P26/100+$D$5))</f>
        <v>0.398357983176447</v>
      </c>
      <c r="S26" s="43" t="n">
        <v>0.0731122618343653</v>
      </c>
      <c r="T26" s="44" t="s">
        <v>90</v>
      </c>
    </row>
    <row r="27" customFormat="false" ht="15" hidden="false" customHeight="false" outlineLevel="0" collapsed="false">
      <c r="A27" s="38" t="s">
        <v>87</v>
      </c>
      <c r="B27" s="38" t="s">
        <v>108</v>
      </c>
      <c r="C27" s="38" t="s">
        <v>110</v>
      </c>
      <c r="D27" s="21" t="n">
        <f aca="false">ROUND(Q27*R27,0)</f>
        <v>224</v>
      </c>
      <c r="E27" s="21" t="n">
        <f aca="false">ROUND(Q27,0)-D27</f>
        <v>386</v>
      </c>
      <c r="F27" s="21" t="n">
        <f aca="false">IF(COUNTA(D27:E27)=0,"",SUM(D27:E27))</f>
        <v>610</v>
      </c>
      <c r="G27" s="39" t="n">
        <f aca="false">IF(OR(F27="",F27=0),"",D27/F27)</f>
        <v>0.367213114754098</v>
      </c>
      <c r="H27" s="39" t="n">
        <f aca="false">IF(OR(F27="",F27=0),"",E27/F27)</f>
        <v>0.632786885245902</v>
      </c>
      <c r="I27" s="38" t="s">
        <v>89</v>
      </c>
      <c r="J27" s="40" t="n">
        <v>3.09864730606258</v>
      </c>
      <c r="K27" s="39" t="n">
        <f aca="false">IF(G27="","",MAX(0,G27-J27/100))</f>
        <v>0.336226641693473</v>
      </c>
      <c r="L27" s="39" t="n">
        <f aca="false">IF(G27="","",MIN(1,G27+J27/100))</f>
        <v>0.398199587814724</v>
      </c>
      <c r="M27" s="21" t="n">
        <f aca="false">ROUND(Q27*S27,0)</f>
        <v>45</v>
      </c>
      <c r="N27" s="21" t="n">
        <f aca="false">ROUND(SQRT((F27*J27/100)^2+(G27*M27)^2),0)</f>
        <v>25</v>
      </c>
      <c r="P27" s="41" t="n">
        <v>-17.1355949617381</v>
      </c>
      <c r="Q27" s="42" t="n">
        <v>609.992141056019</v>
      </c>
      <c r="R27" s="43" t="n">
        <f aca="false">MAX(0,MIN(1,P27/100+$D$5))</f>
        <v>0.366469745046379</v>
      </c>
      <c r="S27" s="43" t="n">
        <v>0.0731122618343653</v>
      </c>
      <c r="T27" s="44" t="s">
        <v>90</v>
      </c>
    </row>
    <row r="28" customFormat="false" ht="15" hidden="false" customHeight="false" outlineLevel="0" collapsed="false">
      <c r="A28" s="38" t="s">
        <v>87</v>
      </c>
      <c r="B28" s="38" t="s">
        <v>111</v>
      </c>
      <c r="C28" s="38" t="s">
        <v>112</v>
      </c>
      <c r="D28" s="21" t="n">
        <f aca="false">ROUND(Q28*R28,0)</f>
        <v>242</v>
      </c>
      <c r="E28" s="21" t="n">
        <f aca="false">ROUND(Q28,0)-D28</f>
        <v>294</v>
      </c>
      <c r="F28" s="21" t="n">
        <f aca="false">IF(COUNTA(D28:E28)=0,"",SUM(D28:E28))</f>
        <v>536</v>
      </c>
      <c r="G28" s="39" t="n">
        <f aca="false">IF(OR(F28="",F28=0),"",D28/F28)</f>
        <v>0.451492537313433</v>
      </c>
      <c r="H28" s="39" t="n">
        <f aca="false">IF(OR(F28="",F28=0),"",E28/F28)</f>
        <v>0.548507462686567</v>
      </c>
      <c r="I28" s="38" t="s">
        <v>89</v>
      </c>
      <c r="J28" s="40" t="n">
        <v>3.09864730606258</v>
      </c>
      <c r="K28" s="39" t="n">
        <f aca="false">IF(G28="","",MAX(0,G28-J28/100))</f>
        <v>0.420506064252807</v>
      </c>
      <c r="L28" s="39" t="n">
        <f aca="false">IF(G28="","",MIN(1,G28+J28/100))</f>
        <v>0.482479010374059</v>
      </c>
      <c r="M28" s="21" t="n">
        <f aca="false">ROUND(Q28*S28,0)</f>
        <v>39</v>
      </c>
      <c r="N28" s="21" t="n">
        <f aca="false">ROUND(SQRT((F28*J28/100)^2+(G28*M28)^2),0)</f>
        <v>24</v>
      </c>
      <c r="P28" s="41" t="n">
        <v>-8.58432446719977</v>
      </c>
      <c r="Q28" s="42" t="n">
        <v>536.476766712876</v>
      </c>
      <c r="R28" s="43" t="n">
        <f aca="false">MAX(0,MIN(1,P28/100+$D$5))</f>
        <v>0.451982449991762</v>
      </c>
      <c r="S28" s="43" t="n">
        <v>0.0731122618343653</v>
      </c>
      <c r="T28" s="44" t="s">
        <v>90</v>
      </c>
    </row>
    <row r="29" customFormat="false" ht="15" hidden="false" customHeight="false" outlineLevel="0" collapsed="false">
      <c r="A29" s="38" t="s">
        <v>87</v>
      </c>
      <c r="B29" s="38" t="s">
        <v>111</v>
      </c>
      <c r="C29" s="38" t="s">
        <v>113</v>
      </c>
      <c r="D29" s="21" t="n">
        <f aca="false">ROUND(Q29*R29,0)</f>
        <v>139</v>
      </c>
      <c r="E29" s="21" t="n">
        <f aca="false">ROUND(Q29,0)-D29</f>
        <v>170</v>
      </c>
      <c r="F29" s="21" t="n">
        <f aca="false">IF(COUNTA(D29:E29)=0,"",SUM(D29:E29))</f>
        <v>309</v>
      </c>
      <c r="G29" s="39" t="n">
        <f aca="false">IF(OR(F29="",F29=0),"",D29/F29)</f>
        <v>0.449838187702265</v>
      </c>
      <c r="H29" s="39" t="n">
        <f aca="false">IF(OR(F29="",F29=0),"",E29/F29)</f>
        <v>0.550161812297735</v>
      </c>
      <c r="I29" s="38" t="s">
        <v>89</v>
      </c>
      <c r="J29" s="40" t="n">
        <v>3.09864730606258</v>
      </c>
      <c r="K29" s="39" t="n">
        <f aca="false">IF(G29="","",MAX(0,G29-J29/100))</f>
        <v>0.41885171464164</v>
      </c>
      <c r="L29" s="39" t="n">
        <f aca="false">IF(G29="","",MIN(1,G29+J29/100))</f>
        <v>0.480824660762891</v>
      </c>
      <c r="M29" s="21" t="n">
        <f aca="false">ROUND(Q29*S29,0)</f>
        <v>23</v>
      </c>
      <c r="N29" s="21" t="n">
        <f aca="false">ROUND(SQRT((F29*J29/100)^2+(G29*M29)^2),0)</f>
        <v>14</v>
      </c>
      <c r="P29" s="41" t="n">
        <v>-8.70380982549158</v>
      </c>
      <c r="Q29" s="42" t="n">
        <v>309.424140479849</v>
      </c>
      <c r="R29" s="43" t="n">
        <f aca="false">MAX(0,MIN(1,P29/100+$D$5))</f>
        <v>0.450787596408844</v>
      </c>
      <c r="S29" s="43" t="n">
        <v>0.0731122618343653</v>
      </c>
      <c r="T29" s="44" t="s">
        <v>90</v>
      </c>
    </row>
    <row r="30" customFormat="false" ht="15" hidden="false" customHeight="false" outlineLevel="0" collapsed="false">
      <c r="A30" s="38" t="s">
        <v>87</v>
      </c>
      <c r="B30" s="38" t="s">
        <v>111</v>
      </c>
      <c r="C30" s="38" t="s">
        <v>114</v>
      </c>
      <c r="D30" s="21" t="n">
        <f aca="false">ROUND(Q30*R30,0)</f>
        <v>129</v>
      </c>
      <c r="E30" s="21" t="n">
        <f aca="false">ROUND(Q30,0)-D30</f>
        <v>140</v>
      </c>
      <c r="F30" s="21" t="n">
        <f aca="false">IF(COUNTA(D30:E30)=0,"",SUM(D30:E30))</f>
        <v>269</v>
      </c>
      <c r="G30" s="39" t="n">
        <f aca="false">IF(OR(F30="",F30=0),"",D30/F30)</f>
        <v>0.479553903345725</v>
      </c>
      <c r="H30" s="39" t="n">
        <f aca="false">IF(OR(F30="",F30=0),"",E30/F30)</f>
        <v>0.520446096654275</v>
      </c>
      <c r="I30" s="38" t="s">
        <v>89</v>
      </c>
      <c r="J30" s="40" t="n">
        <v>3.09864730606258</v>
      </c>
      <c r="K30" s="39" t="n">
        <f aca="false">IF(G30="","",MAX(0,G30-J30/100))</f>
        <v>0.448567430285099</v>
      </c>
      <c r="L30" s="39" t="n">
        <f aca="false">IF(G30="","",MIN(1,G30+J30/100))</f>
        <v>0.510540376406351</v>
      </c>
      <c r="M30" s="21" t="n">
        <f aca="false">ROUND(Q30*S30,0)</f>
        <v>20</v>
      </c>
      <c r="N30" s="21" t="n">
        <f aca="false">ROUND(SQRT((F30*J30/100)^2+(G30*M30)^2),0)</f>
        <v>13</v>
      </c>
      <c r="P30" s="41" t="n">
        <v>-5.88397869393532</v>
      </c>
      <c r="Q30" s="42" t="n">
        <v>268.986906877734</v>
      </c>
      <c r="R30" s="43" t="n">
        <f aca="false">MAX(0,MIN(1,P30/100+$D$5))</f>
        <v>0.478985907724407</v>
      </c>
      <c r="S30" s="43" t="n">
        <v>0.0731122618343653</v>
      </c>
      <c r="T30" s="44" t="s">
        <v>90</v>
      </c>
    </row>
    <row r="31" customFormat="false" ht="15" hidden="false" customHeight="false" outlineLevel="0" collapsed="false">
      <c r="A31" s="38" t="s">
        <v>87</v>
      </c>
      <c r="B31" s="38" t="s">
        <v>115</v>
      </c>
      <c r="C31" s="38" t="s">
        <v>115</v>
      </c>
      <c r="D31" s="21" t="n">
        <f aca="false">ROUND(Q31*R31,0)</f>
        <v>39</v>
      </c>
      <c r="E31" s="21" t="n">
        <f aca="false">ROUND(Q31,0)-D31</f>
        <v>87</v>
      </c>
      <c r="F31" s="21" t="n">
        <f aca="false">IF(COUNTA(D31:E31)=0,"",SUM(D31:E31))</f>
        <v>126</v>
      </c>
      <c r="G31" s="39" t="n">
        <f aca="false">IF(OR(F31="",F31=0),"",D31/F31)</f>
        <v>0.30952380952381</v>
      </c>
      <c r="H31" s="39" t="n">
        <f aca="false">IF(OR(F31="",F31=0),"",E31/F31)</f>
        <v>0.690476190476191</v>
      </c>
      <c r="I31" s="38" t="s">
        <v>89</v>
      </c>
      <c r="J31" s="40" t="n">
        <v>3.09864730606258</v>
      </c>
      <c r="K31" s="39" t="n">
        <f aca="false">IF(G31="","",MAX(0,G31-J31/100))</f>
        <v>0.278537336463184</v>
      </c>
      <c r="L31" s="39" t="n">
        <f aca="false">IF(G31="","",MIN(1,G31+J31/100))</f>
        <v>0.340510282584435</v>
      </c>
      <c r="M31" s="21" t="n">
        <f aca="false">ROUND(Q31*S31,0)</f>
        <v>9</v>
      </c>
      <c r="N31" s="21" t="n">
        <f aca="false">ROUND(SQRT((F31*J31/100)^2+(G31*M31)^2),0)</f>
        <v>5</v>
      </c>
      <c r="P31" s="41" t="n">
        <v>-22.5826807766534</v>
      </c>
      <c r="Q31" s="42" t="n">
        <v>126.365570614781</v>
      </c>
      <c r="R31" s="43" t="n">
        <f aca="false">MAX(0,MIN(1,P31/100+$D$5))</f>
        <v>0.311998886897226</v>
      </c>
      <c r="S31" s="43" t="n">
        <v>0.0731122618343653</v>
      </c>
      <c r="T31" s="44" t="s">
        <v>90</v>
      </c>
    </row>
    <row r="32" customFormat="false" ht="15" hidden="false" customHeight="false" outlineLevel="0" collapsed="false">
      <c r="A32" s="38" t="s">
        <v>87</v>
      </c>
      <c r="B32" s="38" t="s">
        <v>116</v>
      </c>
      <c r="C32" s="38" t="s">
        <v>116</v>
      </c>
      <c r="D32" s="21" t="n">
        <f aca="false">ROUND(Q32*R32,0)</f>
        <v>68</v>
      </c>
      <c r="E32" s="21" t="n">
        <f aca="false">ROUND(Q32,0)-D32</f>
        <v>195</v>
      </c>
      <c r="F32" s="21" t="n">
        <f aca="false">IF(COUNTA(D32:E32)=0,"",SUM(D32:E32))</f>
        <v>263</v>
      </c>
      <c r="G32" s="39" t="n">
        <f aca="false">IF(OR(F32="",F32=0),"",D32/F32)</f>
        <v>0.258555133079848</v>
      </c>
      <c r="H32" s="39" t="n">
        <f aca="false">IF(OR(F32="",F32=0),"",E32/F32)</f>
        <v>0.741444866920152</v>
      </c>
      <c r="I32" s="38" t="s">
        <v>89</v>
      </c>
      <c r="J32" s="40" t="n">
        <v>3.09864730606258</v>
      </c>
      <c r="K32" s="39" t="n">
        <f aca="false">IF(G32="","",MAX(0,G32-J32/100))</f>
        <v>0.227568660019222</v>
      </c>
      <c r="L32" s="39" t="n">
        <f aca="false">IF(G32="","",MIN(1,G32+J32/100))</f>
        <v>0.289541606140474</v>
      </c>
      <c r="M32" s="21" t="n">
        <f aca="false">ROUND(Q32*S32,0)</f>
        <v>19</v>
      </c>
      <c r="N32" s="21" t="n">
        <f aca="false">ROUND(SQRT((F32*J32/100)^2+(G32*M32)^2),0)</f>
        <v>10</v>
      </c>
      <c r="P32" s="41" t="n">
        <v>-28.0068681337416</v>
      </c>
      <c r="Q32" s="42" t="n">
        <v>262.954868692673</v>
      </c>
      <c r="R32" s="43" t="n">
        <f aca="false">MAX(0,MIN(1,P32/100+$D$5))</f>
        <v>0.257757013326343</v>
      </c>
      <c r="S32" s="43" t="n">
        <v>0.0731122618343653</v>
      </c>
      <c r="T32" s="44" t="s">
        <v>90</v>
      </c>
    </row>
    <row r="33" customFormat="false" ht="15" hidden="false" customHeight="false" outlineLevel="0" collapsed="false">
      <c r="A33" s="38" t="s">
        <v>87</v>
      </c>
      <c r="B33" s="38" t="s">
        <v>117</v>
      </c>
      <c r="C33" s="38" t="s">
        <v>118</v>
      </c>
      <c r="D33" s="21" t="n">
        <f aca="false">ROUND(Q33*R33,0)</f>
        <v>279</v>
      </c>
      <c r="E33" s="21" t="n">
        <f aca="false">ROUND(Q33,0)-D33</f>
        <v>359</v>
      </c>
      <c r="F33" s="21" t="n">
        <f aca="false">IF(COUNTA(D33:E33)=0,"",SUM(D33:E33))</f>
        <v>638</v>
      </c>
      <c r="G33" s="39" t="n">
        <f aca="false">IF(OR(F33="",F33=0),"",D33/F33)</f>
        <v>0.43730407523511</v>
      </c>
      <c r="H33" s="39" t="n">
        <f aca="false">IF(OR(F33="",F33=0),"",E33/F33)</f>
        <v>0.56269592476489</v>
      </c>
      <c r="I33" s="38" t="s">
        <v>89</v>
      </c>
      <c r="J33" s="40" t="n">
        <v>3.09864730606258</v>
      </c>
      <c r="K33" s="39" t="n">
        <f aca="false">IF(G33="","",MAX(0,G33-J33/100))</f>
        <v>0.406317602174484</v>
      </c>
      <c r="L33" s="39" t="n">
        <f aca="false">IF(G33="","",MIN(1,G33+J33/100))</f>
        <v>0.468290548295736</v>
      </c>
      <c r="M33" s="21" t="n">
        <f aca="false">ROUND(Q33*S33,0)</f>
        <v>47</v>
      </c>
      <c r="N33" s="21" t="n">
        <f aca="false">ROUND(SQRT((F33*J33/100)^2+(G33*M33)^2),0)</f>
        <v>29</v>
      </c>
      <c r="P33" s="41" t="n">
        <v>-10.065615517185</v>
      </c>
      <c r="Q33" s="42" t="n">
        <v>637.934408228227</v>
      </c>
      <c r="R33" s="43" t="n">
        <f aca="false">MAX(0,MIN(1,P33/100+$D$5))</f>
        <v>0.43716953949191</v>
      </c>
      <c r="S33" s="43" t="n">
        <v>0.0731122618343653</v>
      </c>
      <c r="T33" s="44" t="s">
        <v>90</v>
      </c>
    </row>
    <row r="34" customFormat="false" ht="15" hidden="false" customHeight="false" outlineLevel="0" collapsed="false">
      <c r="A34" s="38" t="s">
        <v>87</v>
      </c>
      <c r="B34" s="38" t="s">
        <v>117</v>
      </c>
      <c r="C34" s="38" t="s">
        <v>119</v>
      </c>
      <c r="D34" s="21" t="n">
        <f aca="false">ROUND(Q34*R34,0)</f>
        <v>254</v>
      </c>
      <c r="E34" s="21" t="n">
        <f aca="false">ROUND(Q34,0)-D34</f>
        <v>341</v>
      </c>
      <c r="F34" s="21" t="n">
        <f aca="false">IF(COUNTA(D34:E34)=0,"",SUM(D34:E34))</f>
        <v>595</v>
      </c>
      <c r="G34" s="39" t="n">
        <f aca="false">IF(OR(F34="",F34=0),"",D34/F34)</f>
        <v>0.426890756302521</v>
      </c>
      <c r="H34" s="39" t="n">
        <f aca="false">IF(OR(F34="",F34=0),"",E34/F34)</f>
        <v>0.573109243697479</v>
      </c>
      <c r="I34" s="38" t="s">
        <v>89</v>
      </c>
      <c r="J34" s="40" t="n">
        <v>3.09864730606258</v>
      </c>
      <c r="K34" s="39" t="n">
        <f aca="false">IF(G34="","",MAX(0,G34-J34/100))</f>
        <v>0.395904283241895</v>
      </c>
      <c r="L34" s="39" t="n">
        <f aca="false">IF(G34="","",MIN(1,G34+J34/100))</f>
        <v>0.457877229363147</v>
      </c>
      <c r="M34" s="21" t="n">
        <f aca="false">ROUND(Q34*S34,0)</f>
        <v>44</v>
      </c>
      <c r="N34" s="21" t="n">
        <f aca="false">ROUND(SQRT((F34*J34/100)^2+(G34*M34)^2),0)</f>
        <v>26</v>
      </c>
      <c r="P34" s="41" t="n">
        <v>-11.1278466573727</v>
      </c>
      <c r="Q34" s="42" t="n">
        <v>595.19898151607</v>
      </c>
      <c r="R34" s="43" t="n">
        <f aca="false">MAX(0,MIN(1,P34/100+$D$5))</f>
        <v>0.426547228090033</v>
      </c>
      <c r="S34" s="43" t="n">
        <v>0.0731122618343653</v>
      </c>
      <c r="T34" s="44" t="s">
        <v>90</v>
      </c>
    </row>
    <row r="35" customFormat="false" ht="15" hidden="false" customHeight="false" outlineLevel="0" collapsed="false">
      <c r="A35" s="38" t="s">
        <v>87</v>
      </c>
      <c r="B35" s="38" t="s">
        <v>117</v>
      </c>
      <c r="C35" s="38" t="s">
        <v>120</v>
      </c>
      <c r="D35" s="21" t="n">
        <f aca="false">ROUND(Q35*R35,0)</f>
        <v>285</v>
      </c>
      <c r="E35" s="21" t="n">
        <f aca="false">ROUND(Q35,0)-D35</f>
        <v>380</v>
      </c>
      <c r="F35" s="21" t="n">
        <f aca="false">IF(COUNTA(D35:E35)=0,"",SUM(D35:E35))</f>
        <v>665</v>
      </c>
      <c r="G35" s="39" t="n">
        <f aca="false">IF(OR(F35="",F35=0),"",D35/F35)</f>
        <v>0.428571428571429</v>
      </c>
      <c r="H35" s="39" t="n">
        <f aca="false">IF(OR(F35="",F35=0),"",E35/F35)</f>
        <v>0.571428571428571</v>
      </c>
      <c r="I35" s="38" t="s">
        <v>89</v>
      </c>
      <c r="J35" s="40" t="n">
        <v>3.09864730606258</v>
      </c>
      <c r="K35" s="39" t="n">
        <f aca="false">IF(G35="","",MAX(0,G35-J35/100))</f>
        <v>0.397584955510803</v>
      </c>
      <c r="L35" s="39" t="n">
        <f aca="false">IF(G35="","",MIN(1,G35+J35/100))</f>
        <v>0.459557901632054</v>
      </c>
      <c r="M35" s="21" t="n">
        <f aca="false">ROUND(Q35*S35,0)</f>
        <v>49</v>
      </c>
      <c r="N35" s="21" t="n">
        <f aca="false">ROUND(SQRT((F35*J35/100)^2+(G35*M35)^2),0)</f>
        <v>29</v>
      </c>
      <c r="P35" s="41" t="n">
        <v>-10.9410086530777</v>
      </c>
      <c r="Q35" s="42" t="n">
        <v>664.612004482699</v>
      </c>
      <c r="R35" s="43" t="n">
        <f aca="false">MAX(0,MIN(1,P35/100+$D$5))</f>
        <v>0.428415608132983</v>
      </c>
      <c r="S35" s="43" t="n">
        <v>0.0731122618343653</v>
      </c>
      <c r="T35" s="44" t="s">
        <v>90</v>
      </c>
    </row>
    <row r="36" customFormat="false" ht="15" hidden="false" customHeight="false" outlineLevel="0" collapsed="false">
      <c r="A36" s="38" t="s">
        <v>87</v>
      </c>
      <c r="B36" s="38" t="s">
        <v>121</v>
      </c>
      <c r="C36" s="38" t="s">
        <v>122</v>
      </c>
      <c r="D36" s="21" t="n">
        <f aca="false">ROUND(Q36*R36,0)</f>
        <v>296</v>
      </c>
      <c r="E36" s="21" t="n">
        <f aca="false">ROUND(Q36,0)-D36</f>
        <v>585</v>
      </c>
      <c r="F36" s="21" t="n">
        <f aca="false">IF(COUNTA(D36:E36)=0,"",SUM(D36:E36))</f>
        <v>881</v>
      </c>
      <c r="G36" s="39" t="n">
        <f aca="false">IF(OR(F36="",F36=0),"",D36/F36)</f>
        <v>0.335981838819523</v>
      </c>
      <c r="H36" s="39" t="n">
        <f aca="false">IF(OR(F36="",F36=0),"",E36/F36)</f>
        <v>0.664018161180477</v>
      </c>
      <c r="I36" s="38" t="s">
        <v>89</v>
      </c>
      <c r="J36" s="40" t="n">
        <v>2.0110742867014</v>
      </c>
      <c r="K36" s="39" t="n">
        <f aca="false">IF(G36="","",MAX(0,G36-J36/100))</f>
        <v>0.315871095952509</v>
      </c>
      <c r="L36" s="39" t="n">
        <f aca="false">IF(G36="","",MIN(1,G36+J36/100))</f>
        <v>0.356092581686537</v>
      </c>
      <c r="M36" s="21" t="n">
        <f aca="false">ROUND(Q36*S36,0)</f>
        <v>54</v>
      </c>
      <c r="N36" s="21" t="n">
        <f aca="false">ROUND(SQRT((F36*J36/100)^2+(G36*M36)^2),0)</f>
        <v>25</v>
      </c>
      <c r="P36" s="41" t="n">
        <v>-20.1398362961547</v>
      </c>
      <c r="Q36" s="42" t="n">
        <v>881.161833072758</v>
      </c>
      <c r="R36" s="43" t="n">
        <f aca="false">MAX(0,MIN(1,P36/100+$D$5))</f>
        <v>0.336427331702213</v>
      </c>
      <c r="S36" s="43" t="n">
        <v>0.0608302283160348</v>
      </c>
      <c r="T36" s="44" t="s">
        <v>99</v>
      </c>
    </row>
    <row r="37" customFormat="false" ht="15" hidden="false" customHeight="false" outlineLevel="0" collapsed="false">
      <c r="A37" s="38" t="s">
        <v>87</v>
      </c>
      <c r="B37" s="38" t="s">
        <v>121</v>
      </c>
      <c r="C37" s="38" t="s">
        <v>123</v>
      </c>
      <c r="D37" s="21" t="n">
        <f aca="false">ROUND(Q37*R37,0)</f>
        <v>213</v>
      </c>
      <c r="E37" s="21" t="n">
        <f aca="false">ROUND(Q37,0)-D37</f>
        <v>406</v>
      </c>
      <c r="F37" s="21" t="n">
        <f aca="false">IF(COUNTA(D37:E37)=0,"",SUM(D37:E37))</f>
        <v>619</v>
      </c>
      <c r="G37" s="39" t="n">
        <f aca="false">IF(OR(F37="",F37=0),"",D37/F37)</f>
        <v>0.344103392568659</v>
      </c>
      <c r="H37" s="39" t="n">
        <f aca="false">IF(OR(F37="",F37=0),"",E37/F37)</f>
        <v>0.655896607431341</v>
      </c>
      <c r="I37" s="38" t="s">
        <v>89</v>
      </c>
      <c r="J37" s="40" t="n">
        <v>3.09864730606258</v>
      </c>
      <c r="K37" s="39" t="n">
        <f aca="false">IF(G37="","",MAX(0,G37-J37/100))</f>
        <v>0.313116919508033</v>
      </c>
      <c r="L37" s="39" t="n">
        <f aca="false">IF(G37="","",MIN(1,G37+J37/100))</f>
        <v>0.375089865629285</v>
      </c>
      <c r="M37" s="21" t="n">
        <f aca="false">ROUND(Q37*S37,0)</f>
        <v>45</v>
      </c>
      <c r="N37" s="21" t="n">
        <f aca="false">ROUND(SQRT((F37*J37/100)^2+(G37*M37)^2),0)</f>
        <v>25</v>
      </c>
      <c r="P37" s="41" t="n">
        <v>-19.3945017477238</v>
      </c>
      <c r="Q37" s="42" t="n">
        <v>619.370338618139</v>
      </c>
      <c r="R37" s="43" t="n">
        <f aca="false">MAX(0,MIN(1,P37/100+$D$5))</f>
        <v>0.343880677186522</v>
      </c>
      <c r="S37" s="43" t="n">
        <v>0.0731122618343653</v>
      </c>
      <c r="T37" s="44" t="s">
        <v>90</v>
      </c>
    </row>
    <row r="38" customFormat="false" ht="15" hidden="false" customHeight="false" outlineLevel="0" collapsed="false">
      <c r="A38" s="38" t="s">
        <v>87</v>
      </c>
      <c r="B38" s="38" t="s">
        <v>124</v>
      </c>
      <c r="C38" s="38" t="s">
        <v>125</v>
      </c>
      <c r="D38" s="21" t="n">
        <f aca="false">ROUND(Q38*R38,0)</f>
        <v>138</v>
      </c>
      <c r="E38" s="21" t="n">
        <f aca="false">ROUND(Q38,0)-D38</f>
        <v>325</v>
      </c>
      <c r="F38" s="21" t="n">
        <f aca="false">IF(COUNTA(D38:E38)=0,"",SUM(D38:E38))</f>
        <v>463</v>
      </c>
      <c r="G38" s="39" t="n">
        <f aca="false">IF(OR(F38="",F38=0),"",D38/F38)</f>
        <v>0.298056155507559</v>
      </c>
      <c r="H38" s="39" t="n">
        <f aca="false">IF(OR(F38="",F38=0),"",E38/F38)</f>
        <v>0.701943844492441</v>
      </c>
      <c r="I38" s="38" t="s">
        <v>89</v>
      </c>
      <c r="J38" s="40" t="n">
        <v>3.09864730606258</v>
      </c>
      <c r="K38" s="39" t="n">
        <f aca="false">IF(G38="","",MAX(0,G38-J38/100))</f>
        <v>0.267069682446934</v>
      </c>
      <c r="L38" s="39" t="n">
        <f aca="false">IF(G38="","",MIN(1,G38+J38/100))</f>
        <v>0.329042628568185</v>
      </c>
      <c r="M38" s="21" t="n">
        <f aca="false">ROUND(Q38*S38,0)</f>
        <v>34</v>
      </c>
      <c r="N38" s="21" t="n">
        <f aca="false">ROUND(SQRT((F38*J38/100)^2+(G38*M38)^2),0)</f>
        <v>18</v>
      </c>
      <c r="P38" s="41" t="n">
        <v>-24.0267446876605</v>
      </c>
      <c r="Q38" s="42" t="n">
        <v>463.490063333844</v>
      </c>
      <c r="R38" s="43" t="n">
        <f aca="false">MAX(0,MIN(1,P38/100+$D$5))</f>
        <v>0.297558247787155</v>
      </c>
      <c r="S38" s="43" t="n">
        <v>0.0731122618343653</v>
      </c>
      <c r="T38" s="44" t="s">
        <v>90</v>
      </c>
    </row>
    <row r="39" customFormat="false" ht="15" hidden="false" customHeight="false" outlineLevel="0" collapsed="false">
      <c r="A39" s="38" t="s">
        <v>87</v>
      </c>
      <c r="B39" s="38" t="s">
        <v>124</v>
      </c>
      <c r="C39" s="38" t="s">
        <v>126</v>
      </c>
      <c r="D39" s="21" t="n">
        <f aca="false">ROUND(Q39*R39,0)</f>
        <v>114</v>
      </c>
      <c r="E39" s="21" t="n">
        <f aca="false">ROUND(Q39,0)-D39</f>
        <v>215</v>
      </c>
      <c r="F39" s="21" t="n">
        <f aca="false">IF(COUNTA(D39:E39)=0,"",SUM(D39:E39))</f>
        <v>329</v>
      </c>
      <c r="G39" s="39" t="n">
        <f aca="false">IF(OR(F39="",F39=0),"",D39/F39)</f>
        <v>0.346504559270517</v>
      </c>
      <c r="H39" s="39" t="n">
        <f aca="false">IF(OR(F39="",F39=0),"",E39/F39)</f>
        <v>0.653495440729483</v>
      </c>
      <c r="I39" s="38" t="s">
        <v>89</v>
      </c>
      <c r="J39" s="40" t="n">
        <v>3.09864730606258</v>
      </c>
      <c r="K39" s="39" t="n">
        <f aca="false">IF(G39="","",MAX(0,G39-J39/100))</f>
        <v>0.315518086209891</v>
      </c>
      <c r="L39" s="39" t="n">
        <f aca="false">IF(G39="","",MIN(1,G39+J39/100))</f>
        <v>0.377491032331143</v>
      </c>
      <c r="M39" s="21" t="n">
        <f aca="false">ROUND(Q39*S39,0)</f>
        <v>24</v>
      </c>
      <c r="N39" s="21" t="n">
        <f aca="false">ROUND(SQRT((F39*J39/100)^2+(G39*M39)^2),0)</f>
        <v>13</v>
      </c>
      <c r="P39" s="41" t="n">
        <v>-19.0960999615197</v>
      </c>
      <c r="Q39" s="42" t="n">
        <v>328.798833549144</v>
      </c>
      <c r="R39" s="43" t="n">
        <f aca="false">MAX(0,MIN(1,P39/100+$D$5))</f>
        <v>0.346864695048562</v>
      </c>
      <c r="S39" s="43" t="n">
        <v>0.0731122618343653</v>
      </c>
      <c r="T39" s="44" t="s">
        <v>90</v>
      </c>
    </row>
    <row r="40" customFormat="false" ht="15" hidden="false" customHeight="false" outlineLevel="0" collapsed="false">
      <c r="A40" s="38" t="s">
        <v>87</v>
      </c>
      <c r="B40" s="38" t="s">
        <v>124</v>
      </c>
      <c r="C40" s="38" t="s">
        <v>127</v>
      </c>
      <c r="D40" s="21" t="n">
        <f aca="false">ROUND(Q40*R40,0)</f>
        <v>411</v>
      </c>
      <c r="E40" s="21" t="n">
        <f aca="false">ROUND(Q40,0)-D40</f>
        <v>795</v>
      </c>
      <c r="F40" s="21" t="n">
        <f aca="false">IF(COUNTA(D40:E40)=0,"",SUM(D40:E40))</f>
        <v>1206</v>
      </c>
      <c r="G40" s="39" t="n">
        <f aca="false">IF(OR(F40="",F40=0),"",D40/F40)</f>
        <v>0.340796019900498</v>
      </c>
      <c r="H40" s="39" t="n">
        <f aca="false">IF(OR(F40="",F40=0),"",E40/F40)</f>
        <v>0.659203980099503</v>
      </c>
      <c r="I40" s="38" t="s">
        <v>89</v>
      </c>
      <c r="J40" s="40" t="n">
        <v>1.87006919874525</v>
      </c>
      <c r="K40" s="39" t="n">
        <f aca="false">IF(G40="","",MAX(0,G40-J40/100))</f>
        <v>0.322095327913045</v>
      </c>
      <c r="L40" s="39" t="n">
        <f aca="false">IF(G40="","",MIN(1,G40+J40/100))</f>
        <v>0.35949671188795</v>
      </c>
      <c r="M40" s="21" t="n">
        <f aca="false">ROUND(Q40*S40,0)</f>
        <v>167</v>
      </c>
      <c r="N40" s="21" t="n">
        <f aca="false">ROUND(SQRT((F40*J40/100)^2+(G40*M40)^2),0)</f>
        <v>61</v>
      </c>
      <c r="P40" s="41" t="n">
        <v>-19.7070769409594</v>
      </c>
      <c r="Q40" s="42" t="n">
        <v>1206.16153519277</v>
      </c>
      <c r="R40" s="43" t="n">
        <f aca="false">MAX(0,MIN(1,P40/100+$D$5))</f>
        <v>0.340754925254166</v>
      </c>
      <c r="S40" s="43" t="n">
        <v>0.138178110610255</v>
      </c>
      <c r="T40" s="44" t="s">
        <v>128</v>
      </c>
    </row>
    <row r="41" customFormat="false" ht="15" hidden="false" customHeight="false" outlineLevel="0" collapsed="false">
      <c r="A41" s="38" t="s">
        <v>87</v>
      </c>
      <c r="B41" s="38" t="s">
        <v>129</v>
      </c>
      <c r="C41" s="38" t="s">
        <v>130</v>
      </c>
      <c r="D41" s="21" t="n">
        <f aca="false">ROUND(Q41*R41,0)</f>
        <v>272</v>
      </c>
      <c r="E41" s="21" t="n">
        <f aca="false">ROUND(Q41,0)-D41</f>
        <v>340</v>
      </c>
      <c r="F41" s="21" t="n">
        <f aca="false">IF(COUNTA(D41:E41)=0,"",SUM(D41:E41))</f>
        <v>612</v>
      </c>
      <c r="G41" s="39" t="n">
        <f aca="false">IF(OR(F41="",F41=0),"",D41/F41)</f>
        <v>0.444444444444444</v>
      </c>
      <c r="H41" s="39" t="n">
        <f aca="false">IF(OR(F41="",F41=0),"",E41/F41)</f>
        <v>0.555555555555556</v>
      </c>
      <c r="I41" s="38" t="s">
        <v>89</v>
      </c>
      <c r="J41" s="40" t="n">
        <v>3.09864730606258</v>
      </c>
      <c r="K41" s="39" t="n">
        <f aca="false">IF(G41="","",MAX(0,G41-J41/100))</f>
        <v>0.413457971383819</v>
      </c>
      <c r="L41" s="39" t="n">
        <f aca="false">IF(G41="","",MIN(1,G41+J41/100))</f>
        <v>0.47543091750507</v>
      </c>
      <c r="M41" s="21" t="n">
        <f aca="false">ROUND(Q41*S41,0)</f>
        <v>45</v>
      </c>
      <c r="N41" s="21" t="n">
        <f aca="false">ROUND(SQRT((F41*J41/100)^2+(G41*M41)^2),0)</f>
        <v>28</v>
      </c>
      <c r="P41" s="41" t="n">
        <v>-9.28034874977914</v>
      </c>
      <c r="Q41" s="42" t="n">
        <v>611.839331788516</v>
      </c>
      <c r="R41" s="43" t="n">
        <f aca="false">MAX(0,MIN(1,P41/100+$D$5))</f>
        <v>0.445022207165968</v>
      </c>
      <c r="S41" s="43" t="n">
        <v>0.0731122618343653</v>
      </c>
      <c r="T41" s="44" t="s">
        <v>90</v>
      </c>
    </row>
    <row r="42" customFormat="false" ht="15" hidden="false" customHeight="false" outlineLevel="0" collapsed="false">
      <c r="A42" s="38" t="s">
        <v>87</v>
      </c>
      <c r="B42" s="38" t="s">
        <v>129</v>
      </c>
      <c r="C42" s="38" t="s">
        <v>131</v>
      </c>
      <c r="D42" s="21" t="n">
        <f aca="false">ROUND(Q42*R42,0)</f>
        <v>292</v>
      </c>
      <c r="E42" s="21" t="n">
        <f aca="false">ROUND(Q42,0)-D42</f>
        <v>377</v>
      </c>
      <c r="F42" s="21" t="n">
        <f aca="false">IF(COUNTA(D42:E42)=0,"",SUM(D42:E42))</f>
        <v>669</v>
      </c>
      <c r="G42" s="39" t="n">
        <f aca="false">IF(OR(F42="",F42=0),"",D42/F42)</f>
        <v>0.436472346786248</v>
      </c>
      <c r="H42" s="39" t="n">
        <f aca="false">IF(OR(F42="",F42=0),"",E42/F42)</f>
        <v>0.563527653213752</v>
      </c>
      <c r="I42" s="38" t="s">
        <v>89</v>
      </c>
      <c r="J42" s="40" t="n">
        <v>3.09864730606258</v>
      </c>
      <c r="K42" s="39" t="n">
        <f aca="false">IF(G42="","",MAX(0,G42-J42/100))</f>
        <v>0.405485873725622</v>
      </c>
      <c r="L42" s="39" t="n">
        <f aca="false">IF(G42="","",MIN(1,G42+J42/100))</f>
        <v>0.467458819846874</v>
      </c>
      <c r="M42" s="21" t="n">
        <f aca="false">ROUND(Q42*S42,0)</f>
        <v>49</v>
      </c>
      <c r="N42" s="21" t="n">
        <f aca="false">ROUND(SQRT((F42*J42/100)^2+(G42*M42)^2),0)</f>
        <v>30</v>
      </c>
      <c r="P42" s="41" t="n">
        <v>-10.1150448021652</v>
      </c>
      <c r="Q42" s="42" t="n">
        <v>668.657882093504</v>
      </c>
      <c r="R42" s="43" t="n">
        <f aca="false">MAX(0,MIN(1,P42/100+$D$5))</f>
        <v>0.436675246642108</v>
      </c>
      <c r="S42" s="43" t="n">
        <v>0.0731122618343653</v>
      </c>
      <c r="T42" s="44" t="s">
        <v>90</v>
      </c>
    </row>
    <row r="43" customFormat="false" ht="15" hidden="false" customHeight="false" outlineLevel="0" collapsed="false">
      <c r="A43" s="38" t="s">
        <v>87</v>
      </c>
      <c r="B43" s="38" t="s">
        <v>132</v>
      </c>
      <c r="C43" s="38" t="s">
        <v>132</v>
      </c>
      <c r="D43" s="21" t="n">
        <f aca="false">ROUND(Q43*R43,0)</f>
        <v>148</v>
      </c>
      <c r="E43" s="21" t="n">
        <f aca="false">ROUND(Q43,0)-D43</f>
        <v>438</v>
      </c>
      <c r="F43" s="21" t="n">
        <f aca="false">IF(COUNTA(D43:E43)=0,"",SUM(D43:E43))</f>
        <v>586</v>
      </c>
      <c r="G43" s="39" t="n">
        <f aca="false">IF(OR(F43="",F43=0),"",D43/F43)</f>
        <v>0.252559726962457</v>
      </c>
      <c r="H43" s="39" t="n">
        <f aca="false">IF(OR(F43="",F43=0),"",E43/F43)</f>
        <v>0.747440273037543</v>
      </c>
      <c r="I43" s="38" t="s">
        <v>89</v>
      </c>
      <c r="J43" s="40" t="n">
        <v>3.09864730606258</v>
      </c>
      <c r="K43" s="39" t="n">
        <f aca="false">IF(G43="","",MAX(0,G43-J43/100))</f>
        <v>0.221573253901832</v>
      </c>
      <c r="L43" s="39" t="n">
        <f aca="false">IF(G43="","",MIN(1,G43+J43/100))</f>
        <v>0.283546200023083</v>
      </c>
      <c r="M43" s="21" t="n">
        <f aca="false">ROUND(Q43*S43,0)</f>
        <v>43</v>
      </c>
      <c r="N43" s="21" t="n">
        <f aca="false">ROUND(SQRT((F43*J43/100)^2+(G43*M43)^2),0)</f>
        <v>21</v>
      </c>
      <c r="P43" s="41" t="n">
        <v>-28.5871298593438</v>
      </c>
      <c r="Q43" s="42" t="n">
        <v>585.830331905714</v>
      </c>
      <c r="R43" s="43" t="n">
        <f aca="false">MAX(0,MIN(1,P43/100+$D$5))</f>
        <v>0.251954396070322</v>
      </c>
      <c r="S43" s="43" t="n">
        <v>0.0731122618343653</v>
      </c>
      <c r="T43" s="44" t="s">
        <v>90</v>
      </c>
    </row>
    <row r="44" customFormat="false" ht="15" hidden="false" customHeight="false" outlineLevel="0" collapsed="false">
      <c r="A44" s="38" t="s">
        <v>87</v>
      </c>
      <c r="B44" s="38" t="s">
        <v>133</v>
      </c>
      <c r="C44" s="38" t="s">
        <v>134</v>
      </c>
      <c r="D44" s="21" t="n">
        <f aca="false">ROUND(Q44*R44,0)</f>
        <v>290</v>
      </c>
      <c r="E44" s="21" t="n">
        <f aca="false">ROUND(Q44,0)-D44</f>
        <v>452</v>
      </c>
      <c r="F44" s="21" t="n">
        <f aca="false">IF(COUNTA(D44:E44)=0,"",SUM(D44:E44))</f>
        <v>742</v>
      </c>
      <c r="G44" s="39" t="n">
        <f aca="false">IF(OR(F44="",F44=0),"",D44/F44)</f>
        <v>0.390835579514825</v>
      </c>
      <c r="H44" s="39" t="n">
        <f aca="false">IF(OR(F44="",F44=0),"",E44/F44)</f>
        <v>0.609164420485175</v>
      </c>
      <c r="I44" s="38" t="s">
        <v>89</v>
      </c>
      <c r="J44" s="40" t="n">
        <v>3.09864730606258</v>
      </c>
      <c r="K44" s="39" t="n">
        <f aca="false">IF(G44="","",MAX(0,G44-J44/100))</f>
        <v>0.359849106454199</v>
      </c>
      <c r="L44" s="39" t="n">
        <f aca="false">IF(G44="","",MIN(1,G44+J44/100))</f>
        <v>0.421822052575451</v>
      </c>
      <c r="M44" s="21" t="n">
        <f aca="false">ROUND(Q44*S44,0)</f>
        <v>54</v>
      </c>
      <c r="N44" s="21" t="n">
        <f aca="false">ROUND(SQRT((F44*J44/100)^2+(G44*M44)^2),0)</f>
        <v>31</v>
      </c>
      <c r="P44" s="41" t="n">
        <v>-14.6694908634083</v>
      </c>
      <c r="Q44" s="42" t="n">
        <v>741.776613789042</v>
      </c>
      <c r="R44" s="43" t="n">
        <f aca="false">MAX(0,MIN(1,P44/100+$D$5))</f>
        <v>0.391130786029677</v>
      </c>
      <c r="S44" s="43" t="n">
        <v>0.0731122618343653</v>
      </c>
      <c r="T44" s="44" t="s">
        <v>90</v>
      </c>
    </row>
    <row r="45" customFormat="false" ht="15" hidden="false" customHeight="false" outlineLevel="0" collapsed="false">
      <c r="A45" s="38" t="s">
        <v>87</v>
      </c>
      <c r="B45" s="38" t="s">
        <v>133</v>
      </c>
      <c r="C45" s="38" t="s">
        <v>135</v>
      </c>
      <c r="D45" s="21" t="n">
        <f aca="false">ROUND(Q45*R45,0)</f>
        <v>456</v>
      </c>
      <c r="E45" s="21" t="n">
        <f aca="false">ROUND(Q45,0)-D45</f>
        <v>587</v>
      </c>
      <c r="F45" s="21" t="n">
        <f aca="false">IF(COUNTA(D45:E45)=0,"",SUM(D45:E45))</f>
        <v>1043</v>
      </c>
      <c r="G45" s="39" t="n">
        <f aca="false">IF(OR(F45="",F45=0),"",D45/F45)</f>
        <v>0.437200383509108</v>
      </c>
      <c r="H45" s="39" t="n">
        <f aca="false">IF(OR(F45="",F45=0),"",E45/F45)</f>
        <v>0.562799616490892</v>
      </c>
      <c r="I45" s="38" t="s">
        <v>89</v>
      </c>
      <c r="J45" s="40" t="n">
        <v>2.0110742867014</v>
      </c>
      <c r="K45" s="39" t="n">
        <f aca="false">IF(G45="","",MAX(0,G45-J45/100))</f>
        <v>0.417089640642094</v>
      </c>
      <c r="L45" s="39" t="n">
        <f aca="false">IF(G45="","",MIN(1,G45+J45/100))</f>
        <v>0.457311126376122</v>
      </c>
      <c r="M45" s="21" t="n">
        <f aca="false">ROUND(Q45*S45,0)</f>
        <v>63</v>
      </c>
      <c r="N45" s="21" t="n">
        <f aca="false">ROUND(SQRT((F45*J45/100)^2+(G45*M45)^2),0)</f>
        <v>35</v>
      </c>
      <c r="P45" s="41" t="n">
        <v>-10.0057770846575</v>
      </c>
      <c r="Q45" s="42" t="n">
        <v>1042.72390540192</v>
      </c>
      <c r="R45" s="43" t="n">
        <f aca="false">MAX(0,MIN(1,P45/100+$D$5))</f>
        <v>0.437767923817185</v>
      </c>
      <c r="S45" s="43" t="n">
        <v>0.0608302283160348</v>
      </c>
      <c r="T45" s="44" t="s">
        <v>99</v>
      </c>
    </row>
    <row r="46" customFormat="false" ht="15" hidden="false" customHeight="false" outlineLevel="0" collapsed="false">
      <c r="A46" s="38" t="s">
        <v>87</v>
      </c>
      <c r="B46" s="38" t="s">
        <v>133</v>
      </c>
      <c r="C46" s="38" t="s">
        <v>136</v>
      </c>
      <c r="D46" s="21" t="n">
        <f aca="false">ROUND(Q46*R46,0)</f>
        <v>133</v>
      </c>
      <c r="E46" s="21" t="n">
        <f aca="false">ROUND(Q46,0)-D46</f>
        <v>195</v>
      </c>
      <c r="F46" s="21" t="n">
        <f aca="false">IF(COUNTA(D46:E46)=0,"",SUM(D46:E46))</f>
        <v>328</v>
      </c>
      <c r="G46" s="39" t="n">
        <f aca="false">IF(OR(F46="",F46=0),"",D46/F46)</f>
        <v>0.405487804878049</v>
      </c>
      <c r="H46" s="39" t="n">
        <f aca="false">IF(OR(F46="",F46=0),"",E46/F46)</f>
        <v>0.594512195121951</v>
      </c>
      <c r="I46" s="38" t="s">
        <v>89</v>
      </c>
      <c r="J46" s="40" t="n">
        <v>3.09864730606258</v>
      </c>
      <c r="K46" s="39" t="n">
        <f aca="false">IF(G46="","",MAX(0,G46-J46/100))</f>
        <v>0.374501331817423</v>
      </c>
      <c r="L46" s="39" t="n">
        <f aca="false">IF(G46="","",MIN(1,G46+J46/100))</f>
        <v>0.436474277938675</v>
      </c>
      <c r="M46" s="21" t="n">
        <f aca="false">ROUND(Q46*S46,0)</f>
        <v>24</v>
      </c>
      <c r="N46" s="21" t="n">
        <f aca="false">ROUND(SQRT((F46*J46/100)^2+(G46*M46)^2),0)</f>
        <v>14</v>
      </c>
      <c r="P46" s="41" t="n">
        <v>-13.283837137317</v>
      </c>
      <c r="Q46" s="42" t="n">
        <v>328.455649772149</v>
      </c>
      <c r="R46" s="43" t="n">
        <f aca="false">MAX(0,MIN(1,P46/100+$D$5))</f>
        <v>0.40498732329059</v>
      </c>
      <c r="S46" s="43" t="n">
        <v>0.0731122618343653</v>
      </c>
      <c r="T46" s="44" t="s">
        <v>90</v>
      </c>
    </row>
    <row r="47" customFormat="false" ht="15" hidden="false" customHeight="false" outlineLevel="0" collapsed="false">
      <c r="A47" s="38" t="s">
        <v>87</v>
      </c>
      <c r="B47" s="38" t="s">
        <v>137</v>
      </c>
      <c r="C47" s="38" t="s">
        <v>137</v>
      </c>
      <c r="D47" s="21" t="n">
        <f aca="false">ROUND(Q47*R47,0)</f>
        <v>72</v>
      </c>
      <c r="E47" s="21" t="n">
        <f aca="false">ROUND(Q47,0)-D47</f>
        <v>127</v>
      </c>
      <c r="F47" s="21" t="n">
        <f aca="false">IF(COUNTA(D47:E47)=0,"",SUM(D47:E47))</f>
        <v>199</v>
      </c>
      <c r="G47" s="39" t="n">
        <f aca="false">IF(OR(F47="",F47=0),"",D47/F47)</f>
        <v>0.361809045226131</v>
      </c>
      <c r="H47" s="39" t="n">
        <f aca="false">IF(OR(F47="",F47=0),"",E47/F47)</f>
        <v>0.638190954773869</v>
      </c>
      <c r="I47" s="38" t="s">
        <v>89</v>
      </c>
      <c r="J47" s="40" t="n">
        <v>3.09864730606258</v>
      </c>
      <c r="K47" s="39" t="n">
        <f aca="false">IF(G47="","",MAX(0,G47-J47/100))</f>
        <v>0.330822572165505</v>
      </c>
      <c r="L47" s="39" t="n">
        <f aca="false">IF(G47="","",MIN(1,G47+J47/100))</f>
        <v>0.392795518286756</v>
      </c>
      <c r="M47" s="21" t="n">
        <f aca="false">ROUND(Q47*S47,0)</f>
        <v>15</v>
      </c>
      <c r="N47" s="21" t="n">
        <f aca="false">ROUND(SQRT((F47*J47/100)^2+(G47*M47)^2),0)</f>
        <v>8</v>
      </c>
      <c r="P47" s="41" t="n">
        <v>-17.5111737034495</v>
      </c>
      <c r="Q47" s="42" t="n">
        <v>199.176739836077</v>
      </c>
      <c r="R47" s="43" t="n">
        <f aca="false">MAX(0,MIN(1,P47/100+$D$5))</f>
        <v>0.362713957629265</v>
      </c>
      <c r="S47" s="43" t="n">
        <v>0.0731122618343653</v>
      </c>
      <c r="T47" s="44" t="s">
        <v>90</v>
      </c>
    </row>
    <row r="48" customFormat="false" ht="15" hidden="false" customHeight="false" outlineLevel="0" collapsed="false">
      <c r="A48" s="38" t="s">
        <v>87</v>
      </c>
      <c r="B48" s="38" t="s">
        <v>138</v>
      </c>
      <c r="C48" s="38" t="s">
        <v>139</v>
      </c>
      <c r="D48" s="21" t="n">
        <f aca="false">ROUND(Q48*R48,0)</f>
        <v>373</v>
      </c>
      <c r="E48" s="21" t="n">
        <f aca="false">ROUND(Q48,0)-D48</f>
        <v>510</v>
      </c>
      <c r="F48" s="21" t="n">
        <f aca="false">IF(COUNTA(D48:E48)=0,"",SUM(D48:E48))</f>
        <v>883</v>
      </c>
      <c r="G48" s="39" t="n">
        <f aca="false">IF(OR(F48="",F48=0),"",D48/F48)</f>
        <v>0.42242355605889</v>
      </c>
      <c r="H48" s="39" t="n">
        <f aca="false">IF(OR(F48="",F48=0),"",E48/F48)</f>
        <v>0.57757644394111</v>
      </c>
      <c r="I48" s="38" t="s">
        <v>89</v>
      </c>
      <c r="J48" s="40" t="n">
        <v>2.0110742867014</v>
      </c>
      <c r="K48" s="39" t="n">
        <f aca="false">IF(G48="","",MAX(0,G48-J48/100))</f>
        <v>0.402312813191876</v>
      </c>
      <c r="L48" s="39" t="n">
        <f aca="false">IF(G48="","",MIN(1,G48+J48/100))</f>
        <v>0.442534298925904</v>
      </c>
      <c r="M48" s="21" t="n">
        <f aca="false">ROUND(Q48*S48,0)</f>
        <v>54</v>
      </c>
      <c r="N48" s="21" t="n">
        <f aca="false">ROUND(SQRT((F48*J48/100)^2+(G48*M48)^2),0)</f>
        <v>29</v>
      </c>
      <c r="P48" s="41" t="n">
        <v>-11.5273442232573</v>
      </c>
      <c r="Q48" s="42" t="n">
        <v>883.163175794367</v>
      </c>
      <c r="R48" s="43" t="n">
        <f aca="false">MAX(0,MIN(1,P48/100+$D$5))</f>
        <v>0.422552252431187</v>
      </c>
      <c r="S48" s="43" t="n">
        <v>0.0608302283160348</v>
      </c>
      <c r="T48" s="44" t="s">
        <v>99</v>
      </c>
    </row>
    <row r="49" customFormat="false" ht="15" hidden="false" customHeight="false" outlineLevel="0" collapsed="false">
      <c r="A49" s="38" t="s">
        <v>87</v>
      </c>
      <c r="B49" s="38" t="s">
        <v>138</v>
      </c>
      <c r="C49" s="38" t="s">
        <v>140</v>
      </c>
      <c r="D49" s="21" t="n">
        <f aca="false">ROUND(Q49*R49,0)</f>
        <v>283</v>
      </c>
      <c r="E49" s="21" t="n">
        <f aca="false">ROUND(Q49,0)-D49</f>
        <v>395</v>
      </c>
      <c r="F49" s="21" t="n">
        <f aca="false">IF(COUNTA(D49:E49)=0,"",SUM(D49:E49))</f>
        <v>678</v>
      </c>
      <c r="G49" s="39" t="n">
        <f aca="false">IF(OR(F49="",F49=0),"",D49/F49)</f>
        <v>0.41740412979351</v>
      </c>
      <c r="H49" s="39" t="n">
        <f aca="false">IF(OR(F49="",F49=0),"",E49/F49)</f>
        <v>0.58259587020649</v>
      </c>
      <c r="I49" s="38" t="s">
        <v>89</v>
      </c>
      <c r="J49" s="40" t="n">
        <v>3.09864730606258</v>
      </c>
      <c r="K49" s="39" t="n">
        <f aca="false">IF(G49="","",MAX(0,G49-J49/100))</f>
        <v>0.386417656732885</v>
      </c>
      <c r="L49" s="39" t="n">
        <f aca="false">IF(G49="","",MIN(1,G49+J49/100))</f>
        <v>0.448390602854136</v>
      </c>
      <c r="M49" s="21" t="n">
        <f aca="false">ROUND(Q49*S49,0)</f>
        <v>50</v>
      </c>
      <c r="N49" s="21" t="n">
        <f aca="false">ROUND(SQRT((F49*J49/100)^2+(G49*M49)^2),0)</f>
        <v>30</v>
      </c>
      <c r="P49" s="41" t="n">
        <v>-12.0065173143197</v>
      </c>
      <c r="Q49" s="42" t="n">
        <v>677.949724021777</v>
      </c>
      <c r="R49" s="43" t="n">
        <f aca="false">MAX(0,MIN(1,P49/100+$D$5))</f>
        <v>0.417760521520562</v>
      </c>
      <c r="S49" s="43" t="n">
        <v>0.0731122618343653</v>
      </c>
      <c r="T49" s="44" t="s">
        <v>90</v>
      </c>
    </row>
    <row r="50" customFormat="false" ht="15" hidden="false" customHeight="false" outlineLevel="0" collapsed="false">
      <c r="A50" s="38" t="s">
        <v>87</v>
      </c>
      <c r="B50" s="38" t="s">
        <v>138</v>
      </c>
      <c r="C50" s="38" t="s">
        <v>141</v>
      </c>
      <c r="D50" s="21" t="n">
        <f aca="false">ROUND(Q50*R50,0)</f>
        <v>429</v>
      </c>
      <c r="E50" s="21" t="n">
        <f aca="false">ROUND(Q50,0)-D50</f>
        <v>591</v>
      </c>
      <c r="F50" s="21" t="n">
        <f aca="false">IF(COUNTA(D50:E50)=0,"",SUM(D50:E50))</f>
        <v>1020</v>
      </c>
      <c r="G50" s="39" t="n">
        <f aca="false">IF(OR(F50="",F50=0),"",D50/F50)</f>
        <v>0.420588235294118</v>
      </c>
      <c r="H50" s="39" t="n">
        <f aca="false">IF(OR(F50="",F50=0),"",E50/F50)</f>
        <v>0.579411764705882</v>
      </c>
      <c r="I50" s="38" t="s">
        <v>89</v>
      </c>
      <c r="J50" s="40" t="n">
        <v>2.0110742867014</v>
      </c>
      <c r="K50" s="39" t="n">
        <f aca="false">IF(G50="","",MAX(0,G50-J50/100))</f>
        <v>0.400477492427104</v>
      </c>
      <c r="L50" s="39" t="n">
        <f aca="false">IF(G50="","",MIN(1,G50+J50/100))</f>
        <v>0.440698978161132</v>
      </c>
      <c r="M50" s="21" t="n">
        <f aca="false">ROUND(Q50*S50,0)</f>
        <v>62</v>
      </c>
      <c r="N50" s="21" t="n">
        <f aca="false">ROUND(SQRT((F50*J50/100)^2+(G50*M50)^2),0)</f>
        <v>33</v>
      </c>
      <c r="P50" s="41" t="n">
        <v>-11.6894448710709</v>
      </c>
      <c r="Q50" s="42" t="n">
        <v>1019.83270339381</v>
      </c>
      <c r="R50" s="43" t="n">
        <f aca="false">MAX(0,MIN(1,P50/100+$D$5))</f>
        <v>0.420931245953051</v>
      </c>
      <c r="S50" s="43" t="n">
        <v>0.0608302283160348</v>
      </c>
      <c r="T50" s="44" t="s">
        <v>99</v>
      </c>
    </row>
    <row r="51" customFormat="false" ht="15" hidden="false" customHeight="false" outlineLevel="0" collapsed="false">
      <c r="A51" s="38" t="s">
        <v>87</v>
      </c>
      <c r="B51" s="38" t="s">
        <v>138</v>
      </c>
      <c r="C51" s="38" t="s">
        <v>142</v>
      </c>
      <c r="D51" s="21" t="n">
        <f aca="false">ROUND(Q51*R51,0)</f>
        <v>433</v>
      </c>
      <c r="E51" s="21" t="n">
        <f aca="false">ROUND(Q51,0)-D51</f>
        <v>756</v>
      </c>
      <c r="F51" s="21" t="n">
        <f aca="false">IF(COUNTA(D51:E51)=0,"",SUM(D51:E51))</f>
        <v>1189</v>
      </c>
      <c r="G51" s="39" t="n">
        <f aca="false">IF(OR(F51="",F51=0),"",D51/F51)</f>
        <v>0.36417157275021</v>
      </c>
      <c r="H51" s="39" t="n">
        <f aca="false">IF(OR(F51="",F51=0),"",E51/F51)</f>
        <v>0.63582842724979</v>
      </c>
      <c r="I51" s="38" t="s">
        <v>89</v>
      </c>
      <c r="J51" s="40" t="n">
        <v>2.0110742867014</v>
      </c>
      <c r="K51" s="39" t="n">
        <f aca="false">IF(G51="","",MAX(0,G51-J51/100))</f>
        <v>0.344060829883196</v>
      </c>
      <c r="L51" s="39" t="n">
        <f aca="false">IF(G51="","",MIN(1,G51+J51/100))</f>
        <v>0.384282315617224</v>
      </c>
      <c r="M51" s="21" t="n">
        <f aca="false">ROUND(Q51*S51,0)</f>
        <v>72</v>
      </c>
      <c r="N51" s="21" t="n">
        <f aca="false">ROUND(SQRT((F51*J51/100)^2+(G51*M51)^2),0)</f>
        <v>35</v>
      </c>
      <c r="P51" s="41" t="n">
        <v>-17.3755995618652</v>
      </c>
      <c r="Q51" s="42" t="n">
        <v>1189.46360372161</v>
      </c>
      <c r="R51" s="43" t="n">
        <f aca="false">MAX(0,MIN(1,P51/100+$D$5))</f>
        <v>0.364069699045108</v>
      </c>
      <c r="S51" s="43" t="n">
        <v>0.0608302283160348</v>
      </c>
      <c r="T51" s="44" t="s">
        <v>99</v>
      </c>
    </row>
    <row r="52" customFormat="false" ht="15" hidden="false" customHeight="false" outlineLevel="0" collapsed="false">
      <c r="A52" s="38" t="s">
        <v>87</v>
      </c>
      <c r="B52" s="38" t="s">
        <v>138</v>
      </c>
      <c r="C52" s="38" t="s">
        <v>143</v>
      </c>
      <c r="D52" s="21" t="n">
        <f aca="false">ROUND(Q52*R52,0)</f>
        <v>401</v>
      </c>
      <c r="E52" s="21" t="n">
        <f aca="false">ROUND(Q52,0)-D52</f>
        <v>597</v>
      </c>
      <c r="F52" s="21" t="n">
        <f aca="false">IF(COUNTA(D52:E52)=0,"",SUM(D52:E52))</f>
        <v>998</v>
      </c>
      <c r="G52" s="39" t="n">
        <f aca="false">IF(OR(F52="",F52=0),"",D52/F52)</f>
        <v>0.401803607214429</v>
      </c>
      <c r="H52" s="39" t="n">
        <f aca="false">IF(OR(F52="",F52=0),"",E52/F52)</f>
        <v>0.598196392785571</v>
      </c>
      <c r="I52" s="38" t="s">
        <v>89</v>
      </c>
      <c r="J52" s="40" t="n">
        <v>2.0110742867014</v>
      </c>
      <c r="K52" s="39" t="n">
        <f aca="false">IF(G52="","",MAX(0,G52-J52/100))</f>
        <v>0.381692864347415</v>
      </c>
      <c r="L52" s="39" t="n">
        <f aca="false">IF(G52="","",MIN(1,G52+J52/100))</f>
        <v>0.421914350081443</v>
      </c>
      <c r="M52" s="21" t="n">
        <f aca="false">ROUND(Q52*S52,0)</f>
        <v>61</v>
      </c>
      <c r="N52" s="21" t="n">
        <f aca="false">ROUND(SQRT((F52*J52/100)^2+(G52*M52)^2),0)</f>
        <v>32</v>
      </c>
      <c r="P52" s="41" t="n">
        <v>-13.5723287510776</v>
      </c>
      <c r="Q52" s="42" t="n">
        <v>998.171284411049</v>
      </c>
      <c r="R52" s="43" t="n">
        <f aca="false">MAX(0,MIN(1,P52/100+$D$5))</f>
        <v>0.402102407152983</v>
      </c>
      <c r="S52" s="43" t="n">
        <v>0.0608302283160348</v>
      </c>
      <c r="T52" s="44" t="s">
        <v>99</v>
      </c>
    </row>
    <row r="53" customFormat="false" ht="15" hidden="false" customHeight="false" outlineLevel="0" collapsed="false">
      <c r="A53" s="38" t="s">
        <v>87</v>
      </c>
      <c r="B53" s="38" t="s">
        <v>144</v>
      </c>
      <c r="C53" s="38" t="s">
        <v>145</v>
      </c>
      <c r="D53" s="21" t="n">
        <f aca="false">ROUND(Q53*R53,0)</f>
        <v>163</v>
      </c>
      <c r="E53" s="21" t="n">
        <f aca="false">ROUND(Q53,0)-D53</f>
        <v>151</v>
      </c>
      <c r="F53" s="21" t="n">
        <f aca="false">IF(COUNTA(D53:E53)=0,"",SUM(D53:E53))</f>
        <v>314</v>
      </c>
      <c r="G53" s="39" t="n">
        <f aca="false">IF(OR(F53="",F53=0),"",D53/F53)</f>
        <v>0.519108280254777</v>
      </c>
      <c r="H53" s="39" t="n">
        <f aca="false">IF(OR(F53="",F53=0),"",E53/F53)</f>
        <v>0.480891719745223</v>
      </c>
      <c r="I53" s="38" t="s">
        <v>89</v>
      </c>
      <c r="J53" s="40" t="n">
        <v>3.09864730606258</v>
      </c>
      <c r="K53" s="39" t="n">
        <f aca="false">IF(G53="","",MAX(0,G53-J53/100))</f>
        <v>0.488121807194151</v>
      </c>
      <c r="L53" s="39" t="n">
        <f aca="false">IF(G53="","",MIN(1,G53+J53/100))</f>
        <v>0.550094753315403</v>
      </c>
      <c r="M53" s="21" t="n">
        <f aca="false">ROUND(Q53*S53,0)</f>
        <v>23</v>
      </c>
      <c r="N53" s="21" t="n">
        <f aca="false">ROUND(SQRT((F53*J53/100)^2+(G53*M53)^2),0)</f>
        <v>15</v>
      </c>
      <c r="P53" s="41" t="n">
        <v>-1.89680825242165</v>
      </c>
      <c r="Q53" s="42" t="n">
        <v>314.160361817576</v>
      </c>
      <c r="R53" s="43" t="n">
        <f aca="false">MAX(0,MIN(1,P53/100+$D$5))</f>
        <v>0.518857612139543</v>
      </c>
      <c r="S53" s="43" t="n">
        <v>0.0731122618343653</v>
      </c>
      <c r="T53" s="44" t="s">
        <v>90</v>
      </c>
    </row>
    <row r="54" customFormat="false" ht="15" hidden="false" customHeight="false" outlineLevel="0" collapsed="false">
      <c r="A54" s="38" t="s">
        <v>87</v>
      </c>
      <c r="B54" s="38" t="s">
        <v>144</v>
      </c>
      <c r="C54" s="38" t="s">
        <v>146</v>
      </c>
      <c r="D54" s="21" t="n">
        <f aca="false">ROUND(Q54*R54,0)</f>
        <v>186</v>
      </c>
      <c r="E54" s="21" t="n">
        <f aca="false">ROUND(Q54,0)-D54</f>
        <v>167</v>
      </c>
      <c r="F54" s="21" t="n">
        <f aca="false">IF(COUNTA(D54:E54)=0,"",SUM(D54:E54))</f>
        <v>353</v>
      </c>
      <c r="G54" s="39" t="n">
        <f aca="false">IF(OR(F54="",F54=0),"",D54/F54)</f>
        <v>0.526912181303116</v>
      </c>
      <c r="H54" s="39" t="n">
        <f aca="false">IF(OR(F54="",F54=0),"",E54/F54)</f>
        <v>0.473087818696884</v>
      </c>
      <c r="I54" s="38" t="s">
        <v>89</v>
      </c>
      <c r="J54" s="40" t="n">
        <v>3.09864730606258</v>
      </c>
      <c r="K54" s="39" t="n">
        <f aca="false">IF(G54="","",MAX(0,G54-J54/100))</f>
        <v>0.49592570824249</v>
      </c>
      <c r="L54" s="39" t="n">
        <f aca="false">IF(G54="","",MIN(1,G54+J54/100))</f>
        <v>0.557898654363742</v>
      </c>
      <c r="M54" s="21" t="n">
        <f aca="false">ROUND(Q54*S54,0)</f>
        <v>26</v>
      </c>
      <c r="N54" s="21" t="n">
        <f aca="false">ROUND(SQRT((F54*J54/100)^2+(G54*M54)^2),0)</f>
        <v>18</v>
      </c>
      <c r="P54" s="41" t="n">
        <v>-0.887901115547381</v>
      </c>
      <c r="Q54" s="42" t="n">
        <v>352.53153096062</v>
      </c>
      <c r="R54" s="43" t="n">
        <f aca="false">MAX(0,MIN(1,P54/100+$D$5))</f>
        <v>0.528946683508286</v>
      </c>
      <c r="S54" s="43" t="n">
        <v>0.0731122618343653</v>
      </c>
      <c r="T54" s="44" t="s">
        <v>90</v>
      </c>
    </row>
    <row r="55" customFormat="false" ht="15" hidden="false" customHeight="false" outlineLevel="0" collapsed="false">
      <c r="A55" s="38" t="s">
        <v>87</v>
      </c>
      <c r="B55" s="38" t="s">
        <v>144</v>
      </c>
      <c r="C55" s="38" t="s">
        <v>147</v>
      </c>
      <c r="D55" s="21" t="n">
        <f aca="false">ROUND(Q55*R55,0)</f>
        <v>116</v>
      </c>
      <c r="E55" s="21" t="n">
        <f aca="false">ROUND(Q55,0)-D55</f>
        <v>157</v>
      </c>
      <c r="F55" s="21" t="n">
        <f aca="false">IF(COUNTA(D55:E55)=0,"",SUM(D55:E55))</f>
        <v>273</v>
      </c>
      <c r="G55" s="39" t="n">
        <f aca="false">IF(OR(F55="",F55=0),"",D55/F55)</f>
        <v>0.424908424908425</v>
      </c>
      <c r="H55" s="39" t="n">
        <f aca="false">IF(OR(F55="",F55=0),"",E55/F55)</f>
        <v>0.575091575091575</v>
      </c>
      <c r="I55" s="38" t="s">
        <v>89</v>
      </c>
      <c r="J55" s="40" t="n">
        <v>3.09864730606258</v>
      </c>
      <c r="K55" s="39" t="n">
        <f aca="false">IF(G55="","",MAX(0,G55-J55/100))</f>
        <v>0.393921951847799</v>
      </c>
      <c r="L55" s="39" t="n">
        <f aca="false">IF(G55="","",MIN(1,G55+J55/100))</f>
        <v>0.455894897969051</v>
      </c>
      <c r="M55" s="21" t="n">
        <f aca="false">ROUND(Q55*S55,0)</f>
        <v>20</v>
      </c>
      <c r="N55" s="21" t="n">
        <f aca="false">ROUND(SQRT((F55*J55/100)^2+(G55*M55)^2),0)</f>
        <v>12</v>
      </c>
      <c r="P55" s="41" t="n">
        <v>-11.3019190467258</v>
      </c>
      <c r="Q55" s="42" t="n">
        <v>272.550997530684</v>
      </c>
      <c r="R55" s="43" t="n">
        <f aca="false">MAX(0,MIN(1,P55/100+$D$5))</f>
        <v>0.424806504196502</v>
      </c>
      <c r="S55" s="43" t="n">
        <v>0.0731122618343653</v>
      </c>
      <c r="T55" s="44" t="s">
        <v>90</v>
      </c>
    </row>
    <row r="56" customFormat="false" ht="15" hidden="false" customHeight="false" outlineLevel="0" collapsed="false">
      <c r="A56" s="38" t="s">
        <v>87</v>
      </c>
      <c r="B56" s="38" t="s">
        <v>144</v>
      </c>
      <c r="C56" s="38" t="s">
        <v>148</v>
      </c>
      <c r="D56" s="21" t="n">
        <f aca="false">ROUND(Q56*R56,0)</f>
        <v>189</v>
      </c>
      <c r="E56" s="21" t="n">
        <f aca="false">ROUND(Q56,0)-D56</f>
        <v>229</v>
      </c>
      <c r="F56" s="21" t="n">
        <f aca="false">IF(COUNTA(D56:E56)=0,"",SUM(D56:E56))</f>
        <v>418</v>
      </c>
      <c r="G56" s="39" t="n">
        <f aca="false">IF(OR(F56="",F56=0),"",D56/F56)</f>
        <v>0.452153110047847</v>
      </c>
      <c r="H56" s="39" t="n">
        <f aca="false">IF(OR(F56="",F56=0),"",E56/F56)</f>
        <v>0.547846889952153</v>
      </c>
      <c r="I56" s="38" t="s">
        <v>89</v>
      </c>
      <c r="J56" s="40" t="n">
        <v>3.09864730606258</v>
      </c>
      <c r="K56" s="39" t="n">
        <f aca="false">IF(G56="","",MAX(0,G56-J56/100))</f>
        <v>0.421166636987221</v>
      </c>
      <c r="L56" s="39" t="n">
        <f aca="false">IF(G56="","",MIN(1,G56+J56/100))</f>
        <v>0.483139583108473</v>
      </c>
      <c r="M56" s="21" t="n">
        <f aca="false">ROUND(Q56*S56,0)</f>
        <v>31</v>
      </c>
      <c r="N56" s="21" t="n">
        <f aca="false">ROUND(SQRT((F56*J56/100)^2+(G56*M56)^2),0)</f>
        <v>19</v>
      </c>
      <c r="P56" s="41" t="n">
        <v>-8.64146898317018</v>
      </c>
      <c r="Q56" s="42" t="n">
        <v>417.898781890698</v>
      </c>
      <c r="R56" s="43" t="n">
        <f aca="false">MAX(0,MIN(1,P56/100+$D$5))</f>
        <v>0.451411004832058</v>
      </c>
      <c r="S56" s="43" t="n">
        <v>0.0731122618343653</v>
      </c>
      <c r="T56" s="44" t="s">
        <v>90</v>
      </c>
    </row>
    <row r="57" customFormat="false" ht="15" hidden="false" customHeight="false" outlineLevel="0" collapsed="false">
      <c r="A57" s="38" t="s">
        <v>87</v>
      </c>
      <c r="B57" s="38" t="s">
        <v>149</v>
      </c>
      <c r="C57" s="38" t="s">
        <v>150</v>
      </c>
      <c r="D57" s="21" t="n">
        <f aca="false">ROUND(Q57*R57,0)</f>
        <v>283</v>
      </c>
      <c r="E57" s="21" t="n">
        <f aca="false">ROUND(Q57,0)-D57</f>
        <v>538</v>
      </c>
      <c r="F57" s="21" t="n">
        <f aca="false">IF(COUNTA(D57:E57)=0,"",SUM(D57:E57))</f>
        <v>821</v>
      </c>
      <c r="G57" s="39" t="n">
        <f aca="false">IF(OR(F57="",F57=0),"",D57/F57)</f>
        <v>0.344701583434836</v>
      </c>
      <c r="H57" s="39" t="n">
        <f aca="false">IF(OR(F57="",F57=0),"",E57/F57)</f>
        <v>0.655298416565164</v>
      </c>
      <c r="I57" s="38" t="s">
        <v>89</v>
      </c>
      <c r="J57" s="40" t="n">
        <v>2.0110742867014</v>
      </c>
      <c r="K57" s="39" t="n">
        <f aca="false">IF(G57="","",MAX(0,G57-J57/100))</f>
        <v>0.324590840567822</v>
      </c>
      <c r="L57" s="39" t="n">
        <f aca="false">IF(G57="","",MIN(1,G57+J57/100))</f>
        <v>0.36481232630185</v>
      </c>
      <c r="M57" s="21" t="n">
        <f aca="false">ROUND(Q57*S57,0)</f>
        <v>50</v>
      </c>
      <c r="N57" s="21" t="n">
        <f aca="false">ROUND(SQRT((F57*J57/100)^2+(G57*M57)^2),0)</f>
        <v>24</v>
      </c>
      <c r="P57" s="41" t="n">
        <v>-19.296058828714</v>
      </c>
      <c r="Q57" s="42" t="n">
        <v>821.306874140974</v>
      </c>
      <c r="R57" s="43" t="n">
        <f aca="false">MAX(0,MIN(1,P57/100+$D$5))</f>
        <v>0.34486510637662</v>
      </c>
      <c r="S57" s="43" t="n">
        <v>0.0608302283160348</v>
      </c>
      <c r="T57" s="44" t="s">
        <v>99</v>
      </c>
    </row>
    <row r="58" customFormat="false" ht="15" hidden="false" customHeight="false" outlineLevel="0" collapsed="false">
      <c r="A58" s="38" t="s">
        <v>87</v>
      </c>
      <c r="B58" s="38" t="s">
        <v>149</v>
      </c>
      <c r="C58" s="38" t="s">
        <v>151</v>
      </c>
      <c r="D58" s="21" t="n">
        <f aca="false">ROUND(Q58*R58,0)</f>
        <v>267</v>
      </c>
      <c r="E58" s="21" t="n">
        <f aca="false">ROUND(Q58,0)-D58</f>
        <v>565</v>
      </c>
      <c r="F58" s="21" t="n">
        <f aca="false">IF(COUNTA(D58:E58)=0,"",SUM(D58:E58))</f>
        <v>832</v>
      </c>
      <c r="G58" s="39" t="n">
        <f aca="false">IF(OR(F58="",F58=0),"",D58/F58)</f>
        <v>0.320913461538462</v>
      </c>
      <c r="H58" s="39" t="n">
        <f aca="false">IF(OR(F58="",F58=0),"",E58/F58)</f>
        <v>0.679086538461538</v>
      </c>
      <c r="I58" s="38" t="s">
        <v>89</v>
      </c>
      <c r="J58" s="40" t="n">
        <v>2.0110742867014</v>
      </c>
      <c r="K58" s="39" t="n">
        <f aca="false">IF(G58="","",MAX(0,G58-J58/100))</f>
        <v>0.300802718671448</v>
      </c>
      <c r="L58" s="39" t="n">
        <f aca="false">IF(G58="","",MIN(1,G58+J58/100))</f>
        <v>0.341024204405476</v>
      </c>
      <c r="M58" s="21" t="n">
        <f aca="false">ROUND(Q58*S58,0)</f>
        <v>51</v>
      </c>
      <c r="N58" s="21" t="n">
        <f aca="false">ROUND(SQRT((F58*J58/100)^2+(G58*M58)^2),0)</f>
        <v>23</v>
      </c>
      <c r="P58" s="41" t="n">
        <v>-21.7215425059419</v>
      </c>
      <c r="Q58" s="42" t="n">
        <v>832.018723265475</v>
      </c>
      <c r="R58" s="43" t="n">
        <f aca="false">MAX(0,MIN(1,P58/100+$D$5))</f>
        <v>0.320610269604341</v>
      </c>
      <c r="S58" s="43" t="n">
        <v>0.0608302283160348</v>
      </c>
      <c r="T58" s="44" t="s">
        <v>99</v>
      </c>
    </row>
    <row r="59" customFormat="false" ht="15" hidden="false" customHeight="false" outlineLevel="0" collapsed="false">
      <c r="A59" s="38" t="s">
        <v>87</v>
      </c>
      <c r="B59" s="38" t="s">
        <v>149</v>
      </c>
      <c r="C59" s="38" t="s">
        <v>152</v>
      </c>
      <c r="D59" s="21" t="n">
        <f aca="false">ROUND(Q59*R59,0)</f>
        <v>245</v>
      </c>
      <c r="E59" s="21" t="n">
        <f aca="false">ROUND(Q59,0)-D59</f>
        <v>497</v>
      </c>
      <c r="F59" s="21" t="n">
        <f aca="false">IF(COUNTA(D59:E59)=0,"",SUM(D59:E59))</f>
        <v>742</v>
      </c>
      <c r="G59" s="39" t="n">
        <f aca="false">IF(OR(F59="",F59=0),"",D59/F59)</f>
        <v>0.330188679245283</v>
      </c>
      <c r="H59" s="39" t="n">
        <f aca="false">IF(OR(F59="",F59=0),"",E59/F59)</f>
        <v>0.669811320754717</v>
      </c>
      <c r="I59" s="38" t="s">
        <v>89</v>
      </c>
      <c r="J59" s="40" t="n">
        <v>3.09864730606258</v>
      </c>
      <c r="K59" s="39" t="n">
        <f aca="false">IF(G59="","",MAX(0,G59-J59/100))</f>
        <v>0.299202206184657</v>
      </c>
      <c r="L59" s="39" t="n">
        <f aca="false">IF(G59="","",MIN(1,G59+J59/100))</f>
        <v>0.361175152305909</v>
      </c>
      <c r="M59" s="21" t="n">
        <f aca="false">ROUND(Q59*S59,0)</f>
        <v>54</v>
      </c>
      <c r="N59" s="21" t="n">
        <f aca="false">ROUND(SQRT((F59*J59/100)^2+(G59*M59)^2),0)</f>
        <v>29</v>
      </c>
      <c r="P59" s="41" t="n">
        <v>-20.7192302781334</v>
      </c>
      <c r="Q59" s="42" t="n">
        <v>741.896816338749</v>
      </c>
      <c r="R59" s="43" t="n">
        <f aca="false">MAX(0,MIN(1,P59/100+$D$5))</f>
        <v>0.330633391882426</v>
      </c>
      <c r="S59" s="43" t="n">
        <v>0.0731122618343653</v>
      </c>
      <c r="T59" s="44" t="s">
        <v>90</v>
      </c>
    </row>
    <row r="60" customFormat="false" ht="15" hidden="false" customHeight="false" outlineLevel="0" collapsed="false">
      <c r="A60" s="38" t="s">
        <v>87</v>
      </c>
      <c r="B60" s="38" t="s">
        <v>153</v>
      </c>
      <c r="C60" s="38" t="s">
        <v>154</v>
      </c>
      <c r="D60" s="21" t="n">
        <f aca="false">ROUND(Q60*R60,0)</f>
        <v>219</v>
      </c>
      <c r="E60" s="21" t="n">
        <f aca="false">ROUND(Q60,0)-D60</f>
        <v>430</v>
      </c>
      <c r="F60" s="21" t="n">
        <f aca="false">IF(COUNTA(D60:E60)=0,"",SUM(D60:E60))</f>
        <v>649</v>
      </c>
      <c r="G60" s="39" t="n">
        <f aca="false">IF(OR(F60="",F60=0),"",D60/F60)</f>
        <v>0.337442218798151</v>
      </c>
      <c r="H60" s="39" t="n">
        <f aca="false">IF(OR(F60="",F60=0),"",E60/F60)</f>
        <v>0.662557781201849</v>
      </c>
      <c r="I60" s="38" t="s">
        <v>89</v>
      </c>
      <c r="J60" s="40" t="n">
        <v>3.09864730606258</v>
      </c>
      <c r="K60" s="39" t="n">
        <f aca="false">IF(G60="","",MAX(0,G60-J60/100))</f>
        <v>0.306455745737525</v>
      </c>
      <c r="L60" s="39" t="n">
        <f aca="false">IF(G60="","",MIN(1,G60+J60/100))</f>
        <v>0.368428691858777</v>
      </c>
      <c r="M60" s="21" t="n">
        <f aca="false">ROUND(Q60*S60,0)</f>
        <v>47</v>
      </c>
      <c r="N60" s="21" t="n">
        <f aca="false">ROUND(SQRT((F60*J60/100)^2+(G60*M60)^2),0)</f>
        <v>26</v>
      </c>
      <c r="P60" s="41" t="n">
        <v>-19.9918182265665</v>
      </c>
      <c r="Q60" s="42" t="n">
        <v>648.642401235242</v>
      </c>
      <c r="R60" s="43" t="n">
        <f aca="false">MAX(0,MIN(1,P60/100+$D$5))</f>
        <v>0.337907512398094</v>
      </c>
      <c r="S60" s="43" t="n">
        <v>0.0731122618343653</v>
      </c>
      <c r="T60" s="44" t="s">
        <v>90</v>
      </c>
    </row>
    <row r="61" customFormat="false" ht="15" hidden="false" customHeight="false" outlineLevel="0" collapsed="false">
      <c r="A61" s="38" t="s">
        <v>87</v>
      </c>
      <c r="B61" s="38" t="s">
        <v>153</v>
      </c>
      <c r="C61" s="38" t="s">
        <v>155</v>
      </c>
      <c r="D61" s="21" t="n">
        <f aca="false">ROUND(Q61*R61,0)</f>
        <v>110</v>
      </c>
      <c r="E61" s="21" t="n">
        <f aca="false">ROUND(Q61,0)-D61</f>
        <v>226</v>
      </c>
      <c r="F61" s="21" t="n">
        <f aca="false">IF(COUNTA(D61:E61)=0,"",SUM(D61:E61))</f>
        <v>336</v>
      </c>
      <c r="G61" s="39" t="n">
        <f aca="false">IF(OR(F61="",F61=0),"",D61/F61)</f>
        <v>0.327380952380952</v>
      </c>
      <c r="H61" s="39" t="n">
        <f aca="false">IF(OR(F61="",F61=0),"",E61/F61)</f>
        <v>0.672619047619048</v>
      </c>
      <c r="I61" s="38" t="s">
        <v>89</v>
      </c>
      <c r="J61" s="40" t="n">
        <v>3.09864730606258</v>
      </c>
      <c r="K61" s="39" t="n">
        <f aca="false">IF(G61="","",MAX(0,G61-J61/100))</f>
        <v>0.296394479320327</v>
      </c>
      <c r="L61" s="39" t="n">
        <f aca="false">IF(G61="","",MIN(1,G61+J61/100))</f>
        <v>0.358367425441578</v>
      </c>
      <c r="M61" s="21" t="n">
        <f aca="false">ROUND(Q61*S61,0)</f>
        <v>25</v>
      </c>
      <c r="N61" s="21" t="n">
        <f aca="false">ROUND(SQRT((F61*J61/100)^2+(G61*M61)^2),0)</f>
        <v>13</v>
      </c>
      <c r="P61" s="41" t="n">
        <v>-21.1967298092351</v>
      </c>
      <c r="Q61" s="42" t="n">
        <v>336.408456459019</v>
      </c>
      <c r="R61" s="43" t="n">
        <f aca="false">MAX(0,MIN(1,P61/100+$D$5))</f>
        <v>0.325858396571409</v>
      </c>
      <c r="S61" s="43" t="n">
        <v>0.0731122618343653</v>
      </c>
      <c r="T61" s="44" t="s">
        <v>90</v>
      </c>
    </row>
    <row r="62" customFormat="false" ht="15" hidden="false" customHeight="false" outlineLevel="0" collapsed="false">
      <c r="A62" s="38" t="s">
        <v>87</v>
      </c>
      <c r="B62" s="38" t="s">
        <v>156</v>
      </c>
      <c r="C62" s="38" t="s">
        <v>156</v>
      </c>
      <c r="D62" s="21" t="n">
        <f aca="false">ROUND(Q62*R62,0)</f>
        <v>49</v>
      </c>
      <c r="E62" s="21" t="n">
        <f aca="false">ROUND(Q62,0)-D62</f>
        <v>68</v>
      </c>
      <c r="F62" s="21" t="n">
        <f aca="false">IF(COUNTA(D62:E62)=0,"",SUM(D62:E62))</f>
        <v>117</v>
      </c>
      <c r="G62" s="39" t="n">
        <f aca="false">IF(OR(F62="",F62=0),"",D62/F62)</f>
        <v>0.418803418803419</v>
      </c>
      <c r="H62" s="39" t="n">
        <f aca="false">IF(OR(F62="",F62=0),"",E62/F62)</f>
        <v>0.581196581196581</v>
      </c>
      <c r="I62" s="38" t="s">
        <v>89</v>
      </c>
      <c r="J62" s="40" t="n">
        <v>3.09864730606258</v>
      </c>
      <c r="K62" s="39" t="n">
        <f aca="false">IF(G62="","",MAX(0,G62-J62/100))</f>
        <v>0.387816945742793</v>
      </c>
      <c r="L62" s="39" t="n">
        <f aca="false">IF(G62="","",MIN(1,G62+J62/100))</f>
        <v>0.449789891864045</v>
      </c>
      <c r="M62" s="21" t="n">
        <f aca="false">ROUND(Q62*S62,0)</f>
        <v>9</v>
      </c>
      <c r="N62" s="21" t="n">
        <f aca="false">ROUND(SQRT((F62*J62/100)^2+(G62*M62)^2),0)</f>
        <v>5</v>
      </c>
      <c r="P62" s="41" t="n">
        <v>-12.2525255104501</v>
      </c>
      <c r="Q62" s="42" t="n">
        <v>116.983693457666</v>
      </c>
      <c r="R62" s="43" t="n">
        <f aca="false">MAX(0,MIN(1,P62/100+$D$5))</f>
        <v>0.415300439559259</v>
      </c>
      <c r="S62" s="43" t="n">
        <v>0.0731122618343653</v>
      </c>
      <c r="T62" s="44" t="s">
        <v>90</v>
      </c>
    </row>
    <row r="63" customFormat="false" ht="15" hidden="false" customHeight="false" outlineLevel="0" collapsed="false">
      <c r="A63" s="38" t="s">
        <v>157</v>
      </c>
      <c r="B63" s="38" t="s">
        <v>158</v>
      </c>
      <c r="C63" s="38" t="s">
        <v>158</v>
      </c>
      <c r="D63" s="21" t="n">
        <f aca="false">ROUND(Q63*R63,0)</f>
        <v>575</v>
      </c>
      <c r="E63" s="21" t="n">
        <f aca="false">ROUND(Q63,0)-D63</f>
        <v>547</v>
      </c>
      <c r="F63" s="21" t="n">
        <f aca="false">IF(COUNTA(D63:E63)=0,"",SUM(D63:E63))</f>
        <v>1122</v>
      </c>
      <c r="G63" s="39" t="n">
        <f aca="false">IF(OR(F63="",F63=0),"",D63/F63)</f>
        <v>0.512477718360071</v>
      </c>
      <c r="H63" s="39" t="n">
        <f aca="false">IF(OR(F63="",F63=0),"",E63/F63)</f>
        <v>0.487522281639929</v>
      </c>
      <c r="I63" s="38" t="s">
        <v>89</v>
      </c>
      <c r="J63" s="40" t="n">
        <v>2.0110742867014</v>
      </c>
      <c r="K63" s="39" t="n">
        <f aca="false">IF(G63="","",MAX(0,G63-J63/100))</f>
        <v>0.492366975493057</v>
      </c>
      <c r="L63" s="39" t="n">
        <f aca="false">IF(G63="","",MIN(1,G63+J63/100))</f>
        <v>0.532588461227085</v>
      </c>
      <c r="M63" s="21" t="n">
        <f aca="false">ROUND(Q63*S63,0)</f>
        <v>68</v>
      </c>
      <c r="N63" s="21" t="n">
        <f aca="false">ROUND(SQRT((F63*J63/100)^2+(G63*M63)^2),0)</f>
        <v>42</v>
      </c>
      <c r="P63" s="41" t="n">
        <v>-2.54573130695408</v>
      </c>
      <c r="Q63" s="42" t="n">
        <v>1122.40956066904</v>
      </c>
      <c r="R63" s="43" t="n">
        <f aca="false">MAX(0,MIN(1,P63/100+$D$5))</f>
        <v>0.512368381594219</v>
      </c>
      <c r="S63" s="43" t="n">
        <v>0.0608302283160348</v>
      </c>
      <c r="T63" s="44" t="s">
        <v>99</v>
      </c>
    </row>
    <row r="64" customFormat="false" ht="15" hidden="false" customHeight="false" outlineLevel="0" collapsed="false">
      <c r="A64" s="38" t="s">
        <v>157</v>
      </c>
      <c r="B64" s="38" t="s">
        <v>159</v>
      </c>
      <c r="C64" s="38" t="s">
        <v>160</v>
      </c>
      <c r="D64" s="21" t="n">
        <f aca="false">ROUND(Q64*R64,0)</f>
        <v>233</v>
      </c>
      <c r="E64" s="21" t="n">
        <f aca="false">ROUND(Q64,0)-D64</f>
        <v>76</v>
      </c>
      <c r="F64" s="21" t="n">
        <f aca="false">IF(COUNTA(D64:E64)=0,"",SUM(D64:E64))</f>
        <v>309</v>
      </c>
      <c r="G64" s="39" t="n">
        <f aca="false">IF(OR(F64="",F64=0),"",D64/F64)</f>
        <v>0.754045307443366</v>
      </c>
      <c r="H64" s="39" t="n">
        <f aca="false">IF(OR(F64="",F64=0),"",E64/F64)</f>
        <v>0.245954692556634</v>
      </c>
      <c r="I64" s="38" t="s">
        <v>89</v>
      </c>
      <c r="J64" s="40" t="n">
        <v>3.09864730606258</v>
      </c>
      <c r="K64" s="39" t="n">
        <f aca="false">IF(G64="","",MAX(0,G64-J64/100))</f>
        <v>0.72305883438274</v>
      </c>
      <c r="L64" s="39" t="n">
        <f aca="false">IF(G64="","",MIN(1,G64+J64/100))</f>
        <v>0.785031780503992</v>
      </c>
      <c r="M64" s="21" t="n">
        <f aca="false">ROUND(Q64*S64,0)</f>
        <v>23</v>
      </c>
      <c r="N64" s="21" t="n">
        <f aca="false">ROUND(SQRT((F64*J64/100)^2+(G64*M64)^2),0)</f>
        <v>20</v>
      </c>
      <c r="P64" s="41" t="n">
        <v>21.7232016122236</v>
      </c>
      <c r="Q64" s="42" t="n">
        <v>308.5408702571</v>
      </c>
      <c r="R64" s="43" t="n">
        <f aca="false">MAX(0,MIN(1,P64/100+$D$5))</f>
        <v>0.755057710785996</v>
      </c>
      <c r="S64" s="43" t="n">
        <v>0.0731122618343653</v>
      </c>
      <c r="T64" s="44" t="s">
        <v>90</v>
      </c>
    </row>
    <row r="65" customFormat="false" ht="15" hidden="false" customHeight="false" outlineLevel="0" collapsed="false">
      <c r="A65" s="38" t="s">
        <v>157</v>
      </c>
      <c r="B65" s="38" t="s">
        <v>159</v>
      </c>
      <c r="C65" s="38" t="s">
        <v>161</v>
      </c>
      <c r="D65" s="21" t="n">
        <f aca="false">ROUND(Q65*R65,0)</f>
        <v>131</v>
      </c>
      <c r="E65" s="21" t="n">
        <f aca="false">ROUND(Q65,0)-D65</f>
        <v>53</v>
      </c>
      <c r="F65" s="21" t="n">
        <f aca="false">IF(COUNTA(D65:E65)=0,"",SUM(D65:E65))</f>
        <v>184</v>
      </c>
      <c r="G65" s="39" t="n">
        <f aca="false">IF(OR(F65="",F65=0),"",D65/F65)</f>
        <v>0.711956521739131</v>
      </c>
      <c r="H65" s="39" t="n">
        <f aca="false">IF(OR(F65="",F65=0),"",E65/F65)</f>
        <v>0.28804347826087</v>
      </c>
      <c r="I65" s="38" t="s">
        <v>89</v>
      </c>
      <c r="J65" s="40" t="n">
        <v>3.09864730606258</v>
      </c>
      <c r="K65" s="39" t="n">
        <f aca="false">IF(G65="","",MAX(0,G65-J65/100))</f>
        <v>0.680970048678505</v>
      </c>
      <c r="L65" s="39" t="n">
        <f aca="false">IF(G65="","",MIN(1,G65+J65/100))</f>
        <v>0.742942994799756</v>
      </c>
      <c r="M65" s="21" t="n">
        <f aca="false">ROUND(Q65*S65,0)</f>
        <v>13</v>
      </c>
      <c r="N65" s="21" t="n">
        <f aca="false">ROUND(SQRT((F65*J65/100)^2+(G65*M65)^2),0)</f>
        <v>11</v>
      </c>
      <c r="P65" s="41" t="n">
        <v>17.1815096162652</v>
      </c>
      <c r="Q65" s="42" t="n">
        <v>184.456014425557</v>
      </c>
      <c r="R65" s="43" t="n">
        <f aca="false">MAX(0,MIN(1,P65/100+$D$5))</f>
        <v>0.709640790826412</v>
      </c>
      <c r="S65" s="43" t="n">
        <v>0.0731122618343653</v>
      </c>
      <c r="T65" s="44" t="s">
        <v>90</v>
      </c>
    </row>
    <row r="66" customFormat="false" ht="15" hidden="false" customHeight="false" outlineLevel="0" collapsed="false">
      <c r="A66" s="38" t="s">
        <v>157</v>
      </c>
      <c r="B66" s="38" t="s">
        <v>159</v>
      </c>
      <c r="C66" s="38" t="s">
        <v>162</v>
      </c>
      <c r="D66" s="21" t="n">
        <f aca="false">ROUND(Q66*R66,0)</f>
        <v>159</v>
      </c>
      <c r="E66" s="21" t="n">
        <f aca="false">ROUND(Q66,0)-D66</f>
        <v>55</v>
      </c>
      <c r="F66" s="21" t="n">
        <f aca="false">IF(COUNTA(D66:E66)=0,"",SUM(D66:E66))</f>
        <v>214</v>
      </c>
      <c r="G66" s="39" t="n">
        <f aca="false">IF(OR(F66="",F66=0),"",D66/F66)</f>
        <v>0.742990654205608</v>
      </c>
      <c r="H66" s="39" t="n">
        <f aca="false">IF(OR(F66="",F66=0),"",E66/F66)</f>
        <v>0.257009345794393</v>
      </c>
      <c r="I66" s="38" t="s">
        <v>89</v>
      </c>
      <c r="J66" s="40" t="n">
        <v>3.09864730606258</v>
      </c>
      <c r="K66" s="39" t="n">
        <f aca="false">IF(G66="","",MAX(0,G66-J66/100))</f>
        <v>0.712004181144982</v>
      </c>
      <c r="L66" s="39" t="n">
        <f aca="false">IF(G66="","",MIN(1,G66+J66/100))</f>
        <v>0.773977127266233</v>
      </c>
      <c r="M66" s="21" t="n">
        <f aca="false">ROUND(Q66*S66,0)</f>
        <v>16</v>
      </c>
      <c r="N66" s="21" t="n">
        <f aca="false">ROUND(SQRT((F66*J66/100)^2+(G66*M66)^2),0)</f>
        <v>14</v>
      </c>
      <c r="P66" s="41" t="n">
        <v>20.5591189053192</v>
      </c>
      <c r="Q66" s="42" t="n">
        <v>213.812307575542</v>
      </c>
      <c r="R66" s="43" t="n">
        <f aca="false">MAX(0,MIN(1,P66/100+$D$5))</f>
        <v>0.743416883716952</v>
      </c>
      <c r="S66" s="43" t="n">
        <v>0.0731122618343653</v>
      </c>
      <c r="T66" s="44" t="s">
        <v>90</v>
      </c>
    </row>
    <row r="67" customFormat="false" ht="15" hidden="false" customHeight="false" outlineLevel="0" collapsed="false">
      <c r="A67" s="38" t="s">
        <v>157</v>
      </c>
      <c r="B67" s="38" t="s">
        <v>159</v>
      </c>
      <c r="C67" s="38" t="s">
        <v>163</v>
      </c>
      <c r="D67" s="21" t="n">
        <f aca="false">ROUND(Q67*R67,0)</f>
        <v>157</v>
      </c>
      <c r="E67" s="21" t="n">
        <f aca="false">ROUND(Q67,0)-D67</f>
        <v>62</v>
      </c>
      <c r="F67" s="21" t="n">
        <f aca="false">IF(COUNTA(D67:E67)=0,"",SUM(D67:E67))</f>
        <v>219</v>
      </c>
      <c r="G67" s="39" t="n">
        <f aca="false">IF(OR(F67="",F67=0),"",D67/F67)</f>
        <v>0.71689497716895</v>
      </c>
      <c r="H67" s="39" t="n">
        <f aca="false">IF(OR(F67="",F67=0),"",E67/F67)</f>
        <v>0.28310502283105</v>
      </c>
      <c r="I67" s="38" t="s">
        <v>89</v>
      </c>
      <c r="J67" s="40" t="n">
        <v>3.09864730606258</v>
      </c>
      <c r="K67" s="39" t="n">
        <f aca="false">IF(G67="","",MAX(0,G67-J67/100))</f>
        <v>0.685908504108324</v>
      </c>
      <c r="L67" s="39" t="n">
        <f aca="false">IF(G67="","",MIN(1,G67+J67/100))</f>
        <v>0.747881450229576</v>
      </c>
      <c r="M67" s="21" t="n">
        <f aca="false">ROUND(Q67*S67,0)</f>
        <v>16</v>
      </c>
      <c r="N67" s="21" t="n">
        <f aca="false">ROUND(SQRT((F67*J67/100)^2+(G67*M67)^2),0)</f>
        <v>13</v>
      </c>
      <c r="P67" s="41" t="n">
        <v>18.1198857232105</v>
      </c>
      <c r="Q67" s="42" t="n">
        <v>218.565886725571</v>
      </c>
      <c r="R67" s="43" t="n">
        <f aca="false">MAX(0,MIN(1,P67/100+$D$5))</f>
        <v>0.719024551895864</v>
      </c>
      <c r="S67" s="43" t="n">
        <v>0.0731122618343653</v>
      </c>
      <c r="T67" s="44" t="s">
        <v>90</v>
      </c>
    </row>
    <row r="68" customFormat="false" ht="15" hidden="false" customHeight="false" outlineLevel="0" collapsed="false">
      <c r="A68" s="38" t="s">
        <v>157</v>
      </c>
      <c r="B68" s="38" t="s">
        <v>159</v>
      </c>
      <c r="C68" s="38" t="s">
        <v>164</v>
      </c>
      <c r="D68" s="21" t="n">
        <f aca="false">ROUND(Q68*R68,0)</f>
        <v>158</v>
      </c>
      <c r="E68" s="21" t="n">
        <f aca="false">ROUND(Q68,0)-D68</f>
        <v>43</v>
      </c>
      <c r="F68" s="21" t="n">
        <f aca="false">IF(COUNTA(D68:E68)=0,"",SUM(D68:E68))</f>
        <v>201</v>
      </c>
      <c r="G68" s="39" t="n">
        <f aca="false">IF(OR(F68="",F68=0),"",D68/F68)</f>
        <v>0.786069651741294</v>
      </c>
      <c r="H68" s="39" t="n">
        <f aca="false">IF(OR(F68="",F68=0),"",E68/F68)</f>
        <v>0.213930348258706</v>
      </c>
      <c r="I68" s="38" t="s">
        <v>89</v>
      </c>
      <c r="J68" s="40" t="n">
        <v>3.09864730606258</v>
      </c>
      <c r="K68" s="39" t="n">
        <f aca="false">IF(G68="","",MAX(0,G68-J68/100))</f>
        <v>0.755083178680668</v>
      </c>
      <c r="L68" s="39" t="n">
        <f aca="false">IF(G68="","",MIN(1,G68+J68/100))</f>
        <v>0.817056124801919</v>
      </c>
      <c r="M68" s="21" t="n">
        <f aca="false">ROUND(Q68*S68,0)</f>
        <v>15</v>
      </c>
      <c r="N68" s="21" t="n">
        <f aca="false">ROUND(SQRT((F68*J68/100)^2+(G68*M68)^2),0)</f>
        <v>13</v>
      </c>
      <c r="P68" s="41" t="n">
        <v>24.766251705005</v>
      </c>
      <c r="Q68" s="42" t="n">
        <v>200.70248339326</v>
      </c>
      <c r="R68" s="43" t="n">
        <f aca="false">MAX(0,MIN(1,P68/100+$D$5))</f>
        <v>0.78548821171381</v>
      </c>
      <c r="S68" s="43" t="n">
        <v>0.0731122618343653</v>
      </c>
      <c r="T68" s="44" t="s">
        <v>90</v>
      </c>
    </row>
    <row r="69" customFormat="false" ht="15" hidden="false" customHeight="false" outlineLevel="0" collapsed="false">
      <c r="A69" s="38" t="s">
        <v>157</v>
      </c>
      <c r="B69" s="38" t="s">
        <v>159</v>
      </c>
      <c r="C69" s="38" t="s">
        <v>165</v>
      </c>
      <c r="D69" s="21" t="n">
        <f aca="false">ROUND(Q69*R69,0)</f>
        <v>242</v>
      </c>
      <c r="E69" s="21" t="n">
        <f aca="false">ROUND(Q69,0)-D69</f>
        <v>99</v>
      </c>
      <c r="F69" s="21" t="n">
        <f aca="false">IF(COUNTA(D69:E69)=0,"",SUM(D69:E69))</f>
        <v>341</v>
      </c>
      <c r="G69" s="39" t="n">
        <f aca="false">IF(OR(F69="",F69=0),"",D69/F69)</f>
        <v>0.709677419354839</v>
      </c>
      <c r="H69" s="39" t="n">
        <f aca="false">IF(OR(F69="",F69=0),"",E69/F69)</f>
        <v>0.290322580645161</v>
      </c>
      <c r="I69" s="38" t="s">
        <v>89</v>
      </c>
      <c r="J69" s="40" t="n">
        <v>3.09864730606258</v>
      </c>
      <c r="K69" s="39" t="n">
        <f aca="false">IF(G69="","",MAX(0,G69-J69/100))</f>
        <v>0.678690946294213</v>
      </c>
      <c r="L69" s="39" t="n">
        <f aca="false">IF(G69="","",MIN(1,G69+J69/100))</f>
        <v>0.740663892415465</v>
      </c>
      <c r="M69" s="21" t="n">
        <f aca="false">ROUND(Q69*S69,0)</f>
        <v>25</v>
      </c>
      <c r="N69" s="21" t="n">
        <f aca="false">ROUND(SQRT((F69*J69/100)^2+(G69*M69)^2),0)</f>
        <v>21</v>
      </c>
      <c r="P69" s="41" t="n">
        <v>17.3065878074033</v>
      </c>
      <c r="Q69" s="42" t="n">
        <v>341.074127525669</v>
      </c>
      <c r="R69" s="43" t="n">
        <f aca="false">MAX(0,MIN(1,P69/100+$D$5))</f>
        <v>0.710891572737793</v>
      </c>
      <c r="S69" s="43" t="n">
        <v>0.0731122618343653</v>
      </c>
      <c r="T69" s="44" t="s">
        <v>90</v>
      </c>
    </row>
    <row r="70" customFormat="false" ht="15" hidden="false" customHeight="false" outlineLevel="0" collapsed="false">
      <c r="A70" s="38" t="s">
        <v>157</v>
      </c>
      <c r="B70" s="38" t="s">
        <v>159</v>
      </c>
      <c r="C70" s="38" t="s">
        <v>166</v>
      </c>
      <c r="D70" s="21" t="n">
        <f aca="false">ROUND(Q70*R70,0)</f>
        <v>588</v>
      </c>
      <c r="E70" s="21" t="n">
        <f aca="false">ROUND(Q70,0)-D70</f>
        <v>151</v>
      </c>
      <c r="F70" s="21" t="n">
        <f aca="false">IF(COUNTA(D70:E70)=0,"",SUM(D70:E70))</f>
        <v>739</v>
      </c>
      <c r="G70" s="39" t="n">
        <f aca="false">IF(OR(F70="",F70=0),"",D70/F70)</f>
        <v>0.795669824086604</v>
      </c>
      <c r="H70" s="39" t="n">
        <f aca="false">IF(OR(F70="",F70=0),"",E70/F70)</f>
        <v>0.204330175913396</v>
      </c>
      <c r="I70" s="38" t="s">
        <v>89</v>
      </c>
      <c r="J70" s="40" t="n">
        <v>3.09864730606258</v>
      </c>
      <c r="K70" s="39" t="n">
        <f aca="false">IF(G70="","",MAX(0,G70-J70/100))</f>
        <v>0.764683351025978</v>
      </c>
      <c r="L70" s="39" t="n">
        <f aca="false">IF(G70="","",MIN(1,G70+J70/100))</f>
        <v>0.826656297147229</v>
      </c>
      <c r="M70" s="21" t="n">
        <f aca="false">ROUND(Q70*S70,0)</f>
        <v>54</v>
      </c>
      <c r="N70" s="21" t="n">
        <f aca="false">ROUND(SQRT((F70*J70/100)^2+(G70*M70)^2),0)</f>
        <v>49</v>
      </c>
      <c r="P70" s="41" t="n">
        <v>25.8158914311552</v>
      </c>
      <c r="Q70" s="42" t="n">
        <v>739.085156193073</v>
      </c>
      <c r="R70" s="43" t="n">
        <f aca="false">MAX(0,MIN(1,P70/100+$D$5))</f>
        <v>0.795984608975312</v>
      </c>
      <c r="S70" s="43" t="n">
        <v>0.0731122618343653</v>
      </c>
      <c r="T70" s="44" t="s">
        <v>90</v>
      </c>
    </row>
    <row r="71" customFormat="false" ht="15" hidden="false" customHeight="false" outlineLevel="0" collapsed="false">
      <c r="A71" s="38" t="s">
        <v>157</v>
      </c>
      <c r="B71" s="38" t="s">
        <v>159</v>
      </c>
      <c r="C71" s="38" t="s">
        <v>167</v>
      </c>
      <c r="D71" s="21" t="n">
        <f aca="false">ROUND(Q71*R71,0)</f>
        <v>297</v>
      </c>
      <c r="E71" s="21" t="n">
        <f aca="false">ROUND(Q71,0)-D71</f>
        <v>133</v>
      </c>
      <c r="F71" s="21" t="n">
        <f aca="false">IF(COUNTA(D71:E71)=0,"",SUM(D71:E71))</f>
        <v>430</v>
      </c>
      <c r="G71" s="39" t="n">
        <f aca="false">IF(OR(F71="",F71=0),"",D71/F71)</f>
        <v>0.690697674418605</v>
      </c>
      <c r="H71" s="39" t="n">
        <f aca="false">IF(OR(F71="",F71=0),"",E71/F71)</f>
        <v>0.309302325581395</v>
      </c>
      <c r="I71" s="38" t="s">
        <v>89</v>
      </c>
      <c r="J71" s="40" t="n">
        <v>3.09864730606258</v>
      </c>
      <c r="K71" s="39" t="n">
        <f aca="false">IF(G71="","",MAX(0,G71-J71/100))</f>
        <v>0.659711201357979</v>
      </c>
      <c r="L71" s="39" t="n">
        <f aca="false">IF(G71="","",MIN(1,G71+J71/100))</f>
        <v>0.72168414747923</v>
      </c>
      <c r="M71" s="21" t="n">
        <f aca="false">ROUND(Q71*S71,0)</f>
        <v>31</v>
      </c>
      <c r="N71" s="21" t="n">
        <f aca="false">ROUND(SQRT((F71*J71/100)^2+(G71*M71)^2),0)</f>
        <v>25</v>
      </c>
      <c r="P71" s="41" t="n">
        <v>15.3983404143376</v>
      </c>
      <c r="Q71" s="42" t="n">
        <v>429.623656553852</v>
      </c>
      <c r="R71" s="43" t="n">
        <f aca="false">MAX(0,MIN(1,P71/100+$D$5))</f>
        <v>0.691809098807136</v>
      </c>
      <c r="S71" s="43" t="n">
        <v>0.0731122618343653</v>
      </c>
      <c r="T71" s="44" t="s">
        <v>90</v>
      </c>
    </row>
    <row r="72" customFormat="false" ht="15" hidden="false" customHeight="false" outlineLevel="0" collapsed="false">
      <c r="A72" s="38" t="s">
        <v>157</v>
      </c>
      <c r="B72" s="38" t="s">
        <v>159</v>
      </c>
      <c r="C72" s="38" t="s">
        <v>168</v>
      </c>
      <c r="D72" s="21" t="n">
        <f aca="false">ROUND(Q72*R72,0)</f>
        <v>496</v>
      </c>
      <c r="E72" s="21" t="n">
        <f aca="false">ROUND(Q72,0)-D72</f>
        <v>265</v>
      </c>
      <c r="F72" s="21" t="n">
        <f aca="false">IF(COUNTA(D72:E72)=0,"",SUM(D72:E72))</f>
        <v>761</v>
      </c>
      <c r="G72" s="39" t="n">
        <f aca="false">IF(OR(F72="",F72=0),"",D72/F72)</f>
        <v>0.651773981603154</v>
      </c>
      <c r="H72" s="39" t="n">
        <f aca="false">IF(OR(F72="",F72=0),"",E72/F72)</f>
        <v>0.348226018396846</v>
      </c>
      <c r="I72" s="38" t="s">
        <v>89</v>
      </c>
      <c r="J72" s="40" t="n">
        <v>3.09864730606258</v>
      </c>
      <c r="K72" s="39" t="n">
        <f aca="false">IF(G72="","",MAX(0,G72-J72/100))</f>
        <v>0.620787508542528</v>
      </c>
      <c r="L72" s="39" t="n">
        <f aca="false">IF(G72="","",MIN(1,G72+J72/100))</f>
        <v>0.682760454663779</v>
      </c>
      <c r="M72" s="21" t="n">
        <f aca="false">ROUND(Q72*S72,0)</f>
        <v>56</v>
      </c>
      <c r="N72" s="21" t="n">
        <f aca="false">ROUND(SQRT((F72*J72/100)^2+(G72*M72)^2),0)</f>
        <v>43</v>
      </c>
      <c r="P72" s="41" t="n">
        <v>11.4061229444114</v>
      </c>
      <c r="Q72" s="42" t="n">
        <v>761.012348191579</v>
      </c>
      <c r="R72" s="43" t="n">
        <f aca="false">MAX(0,MIN(1,P72/100+$D$5))</f>
        <v>0.651886924107874</v>
      </c>
      <c r="S72" s="43" t="n">
        <v>0.0731122618343653</v>
      </c>
      <c r="T72" s="44" t="s">
        <v>90</v>
      </c>
    </row>
    <row r="73" customFormat="false" ht="15" hidden="false" customHeight="false" outlineLevel="0" collapsed="false">
      <c r="A73" s="38" t="s">
        <v>157</v>
      </c>
      <c r="B73" s="38" t="s">
        <v>159</v>
      </c>
      <c r="C73" s="38" t="s">
        <v>169</v>
      </c>
      <c r="D73" s="21" t="n">
        <f aca="false">ROUND(Q73*R73,0)</f>
        <v>380</v>
      </c>
      <c r="E73" s="21" t="n">
        <f aca="false">ROUND(Q73,0)-D73</f>
        <v>193</v>
      </c>
      <c r="F73" s="21" t="n">
        <f aca="false">IF(COUNTA(D73:E73)=0,"",SUM(D73:E73))</f>
        <v>573</v>
      </c>
      <c r="G73" s="39" t="n">
        <f aca="false">IF(OR(F73="",F73=0),"",D73/F73)</f>
        <v>0.663176265270506</v>
      </c>
      <c r="H73" s="39" t="n">
        <f aca="false">IF(OR(F73="",F73=0),"",E73/F73)</f>
        <v>0.336823734729494</v>
      </c>
      <c r="I73" s="38" t="s">
        <v>89</v>
      </c>
      <c r="J73" s="40" t="n">
        <v>3.09864730606258</v>
      </c>
      <c r="K73" s="39" t="n">
        <f aca="false">IF(G73="","",MAX(0,G73-J73/100))</f>
        <v>0.63218979220988</v>
      </c>
      <c r="L73" s="39" t="n">
        <f aca="false">IF(G73="","",MIN(1,G73+J73/100))</f>
        <v>0.694162738331132</v>
      </c>
      <c r="M73" s="21" t="n">
        <f aca="false">ROUND(Q73*S73,0)</f>
        <v>42</v>
      </c>
      <c r="N73" s="21" t="n">
        <f aca="false">ROUND(SQRT((F73*J73/100)^2+(G73*M73)^2),0)</f>
        <v>33</v>
      </c>
      <c r="P73" s="41" t="n">
        <v>12.426742088123</v>
      </c>
      <c r="Q73" s="42" t="n">
        <v>573.381293776184</v>
      </c>
      <c r="R73" s="43" t="n">
        <f aca="false">MAX(0,MIN(1,P73/100+$D$5))</f>
        <v>0.66209311554499</v>
      </c>
      <c r="S73" s="43" t="n">
        <v>0.0731122618343653</v>
      </c>
      <c r="T73" s="44" t="s">
        <v>90</v>
      </c>
    </row>
    <row r="74" customFormat="false" ht="15" hidden="false" customHeight="false" outlineLevel="0" collapsed="false">
      <c r="A74" s="38" t="s">
        <v>157</v>
      </c>
      <c r="B74" s="38" t="s">
        <v>159</v>
      </c>
      <c r="C74" s="38" t="s">
        <v>170</v>
      </c>
      <c r="D74" s="21" t="n">
        <f aca="false">ROUND(Q74*R74,0)</f>
        <v>252</v>
      </c>
      <c r="E74" s="21" t="n">
        <f aca="false">ROUND(Q74,0)-D74</f>
        <v>104</v>
      </c>
      <c r="F74" s="21" t="n">
        <f aca="false">IF(COUNTA(D74:E74)=0,"",SUM(D74:E74))</f>
        <v>356</v>
      </c>
      <c r="G74" s="39" t="n">
        <f aca="false">IF(OR(F74="",F74=0),"",D74/F74)</f>
        <v>0.707865168539326</v>
      </c>
      <c r="H74" s="39" t="n">
        <f aca="false">IF(OR(F74="",F74=0),"",E74/F74)</f>
        <v>0.292134831460674</v>
      </c>
      <c r="I74" s="38" t="s">
        <v>89</v>
      </c>
      <c r="J74" s="40" t="n">
        <v>3.09864730606258</v>
      </c>
      <c r="K74" s="39" t="n">
        <f aca="false">IF(G74="","",MAX(0,G74-J74/100))</f>
        <v>0.6768786954787</v>
      </c>
      <c r="L74" s="39" t="n">
        <f aca="false">IF(G74="","",MIN(1,G74+J74/100))</f>
        <v>0.738851641599952</v>
      </c>
      <c r="M74" s="21" t="n">
        <f aca="false">ROUND(Q74*S74,0)</f>
        <v>26</v>
      </c>
      <c r="N74" s="21" t="n">
        <f aca="false">ROUND(SQRT((F74*J74/100)^2+(G74*M74)^2),0)</f>
        <v>21</v>
      </c>
      <c r="P74" s="41" t="n">
        <v>16.8233618437105</v>
      </c>
      <c r="Q74" s="42" t="n">
        <v>356.293977582482</v>
      </c>
      <c r="R74" s="43" t="n">
        <f aca="false">MAX(0,MIN(1,P74/100+$D$5))</f>
        <v>0.706059313100865</v>
      </c>
      <c r="S74" s="43" t="n">
        <v>0.0731122618343653</v>
      </c>
      <c r="T74" s="44" t="s">
        <v>90</v>
      </c>
    </row>
    <row r="75" customFormat="false" ht="15" hidden="false" customHeight="false" outlineLevel="0" collapsed="false">
      <c r="A75" s="38" t="s">
        <v>157</v>
      </c>
      <c r="B75" s="38" t="s">
        <v>159</v>
      </c>
      <c r="C75" s="38" t="s">
        <v>171</v>
      </c>
      <c r="D75" s="21" t="n">
        <f aca="false">ROUND(Q75*R75,0)</f>
        <v>325</v>
      </c>
      <c r="E75" s="21" t="n">
        <f aca="false">ROUND(Q75,0)-D75</f>
        <v>154</v>
      </c>
      <c r="F75" s="21" t="n">
        <f aca="false">IF(COUNTA(D75:E75)=0,"",SUM(D75:E75))</f>
        <v>479</v>
      </c>
      <c r="G75" s="39" t="n">
        <f aca="false">IF(OR(F75="",F75=0),"",D75/F75)</f>
        <v>0.678496868475992</v>
      </c>
      <c r="H75" s="39" t="n">
        <f aca="false">IF(OR(F75="",F75=0),"",E75/F75)</f>
        <v>0.321503131524008</v>
      </c>
      <c r="I75" s="38" t="s">
        <v>89</v>
      </c>
      <c r="J75" s="40" t="n">
        <v>3.09864730606258</v>
      </c>
      <c r="K75" s="39" t="n">
        <f aca="false">IF(G75="","",MAX(0,G75-J75/100))</f>
        <v>0.647510395415366</v>
      </c>
      <c r="L75" s="39" t="n">
        <f aca="false">IF(G75="","",MIN(1,G75+J75/100))</f>
        <v>0.709483341536617</v>
      </c>
      <c r="M75" s="21" t="n">
        <f aca="false">ROUND(Q75*S75,0)</f>
        <v>35</v>
      </c>
      <c r="N75" s="21" t="n">
        <f aca="false">ROUND(SQRT((F75*J75/100)^2+(G75*M75)^2),0)</f>
        <v>28</v>
      </c>
      <c r="P75" s="41" t="n">
        <v>14.024984993593</v>
      </c>
      <c r="Q75" s="42" t="n">
        <v>479.361616202821</v>
      </c>
      <c r="R75" s="43" t="n">
        <f aca="false">MAX(0,MIN(1,P75/100+$D$5))</f>
        <v>0.67807554459969</v>
      </c>
      <c r="S75" s="43" t="n">
        <v>0.0731122618343653</v>
      </c>
      <c r="T75" s="44" t="s">
        <v>90</v>
      </c>
    </row>
    <row r="76" customFormat="false" ht="15" hidden="false" customHeight="false" outlineLevel="0" collapsed="false">
      <c r="A76" s="38" t="s">
        <v>157</v>
      </c>
      <c r="B76" s="38" t="s">
        <v>159</v>
      </c>
      <c r="C76" s="38" t="s">
        <v>172</v>
      </c>
      <c r="D76" s="21" t="n">
        <f aca="false">ROUND(Q76*R76,0)</f>
        <v>390</v>
      </c>
      <c r="E76" s="21" t="n">
        <f aca="false">ROUND(Q76,0)-D76</f>
        <v>199</v>
      </c>
      <c r="F76" s="21" t="n">
        <f aca="false">IF(COUNTA(D76:E76)=0,"",SUM(D76:E76))</f>
        <v>589</v>
      </c>
      <c r="G76" s="39" t="n">
        <f aca="false">IF(OR(F76="",F76=0),"",D76/F76)</f>
        <v>0.66213921901528</v>
      </c>
      <c r="H76" s="39" t="n">
        <f aca="false">IF(OR(F76="",F76=0),"",E76/F76)</f>
        <v>0.33786078098472</v>
      </c>
      <c r="I76" s="38" t="s">
        <v>89</v>
      </c>
      <c r="J76" s="40" t="n">
        <v>3.09864730606258</v>
      </c>
      <c r="K76" s="39" t="n">
        <f aca="false">IF(G76="","",MAX(0,G76-J76/100))</f>
        <v>0.631152745954654</v>
      </c>
      <c r="L76" s="39" t="n">
        <f aca="false">IF(G76="","",MIN(1,G76+J76/100))</f>
        <v>0.693125692075906</v>
      </c>
      <c r="M76" s="21" t="n">
        <f aca="false">ROUND(Q76*S76,0)</f>
        <v>43</v>
      </c>
      <c r="N76" s="21" t="n">
        <f aca="false">ROUND(SQRT((F76*J76/100)^2+(G76*M76)^2),0)</f>
        <v>34</v>
      </c>
      <c r="P76" s="41" t="n">
        <v>12.3264389257547</v>
      </c>
      <c r="Q76" s="42" t="n">
        <v>589.255678280266</v>
      </c>
      <c r="R76" s="43" t="n">
        <f aca="false">MAX(0,MIN(1,P76/100+$D$5))</f>
        <v>0.661090083921307</v>
      </c>
      <c r="S76" s="43" t="n">
        <v>0.0731122618343653</v>
      </c>
      <c r="T76" s="44" t="s">
        <v>90</v>
      </c>
    </row>
    <row r="77" customFormat="false" ht="15" hidden="false" customHeight="false" outlineLevel="0" collapsed="false">
      <c r="A77" s="38" t="s">
        <v>157</v>
      </c>
      <c r="B77" s="38" t="s">
        <v>159</v>
      </c>
      <c r="C77" s="38" t="s">
        <v>173</v>
      </c>
      <c r="D77" s="21" t="n">
        <f aca="false">ROUND(Q77*R77,0)</f>
        <v>378</v>
      </c>
      <c r="E77" s="21" t="n">
        <f aca="false">ROUND(Q77,0)-D77</f>
        <v>234</v>
      </c>
      <c r="F77" s="21" t="n">
        <f aca="false">IF(COUNTA(D77:E77)=0,"",SUM(D77:E77))</f>
        <v>612</v>
      </c>
      <c r="G77" s="39" t="n">
        <f aca="false">IF(OR(F77="",F77=0),"",D77/F77)</f>
        <v>0.617647058823529</v>
      </c>
      <c r="H77" s="39" t="n">
        <f aca="false">IF(OR(F77="",F77=0),"",E77/F77)</f>
        <v>0.382352941176471</v>
      </c>
      <c r="I77" s="38" t="s">
        <v>89</v>
      </c>
      <c r="J77" s="40" t="n">
        <v>3.09864730606258</v>
      </c>
      <c r="K77" s="39" t="n">
        <f aca="false">IF(G77="","",MAX(0,G77-J77/100))</f>
        <v>0.586660585762904</v>
      </c>
      <c r="L77" s="39" t="n">
        <f aca="false">IF(G77="","",MIN(1,G77+J77/100))</f>
        <v>0.648633531884155</v>
      </c>
      <c r="M77" s="21" t="n">
        <f aca="false">ROUND(Q77*S77,0)</f>
        <v>45</v>
      </c>
      <c r="N77" s="21" t="n">
        <f aca="false">ROUND(SQRT((F77*J77/100)^2+(G77*M77)^2),0)</f>
        <v>34</v>
      </c>
      <c r="P77" s="41" t="n">
        <v>7.97645104562663</v>
      </c>
      <c r="Q77" s="42" t="n">
        <v>612.417293841471</v>
      </c>
      <c r="R77" s="43" t="n">
        <f aca="false">MAX(0,MIN(1,P77/100+$D$5))</f>
        <v>0.617590205120026</v>
      </c>
      <c r="S77" s="43" t="n">
        <v>0.0731122618343653</v>
      </c>
      <c r="T77" s="44" t="s">
        <v>90</v>
      </c>
    </row>
    <row r="78" customFormat="false" ht="15" hidden="false" customHeight="false" outlineLevel="0" collapsed="false">
      <c r="A78" s="38" t="s">
        <v>157</v>
      </c>
      <c r="B78" s="38" t="s">
        <v>159</v>
      </c>
      <c r="C78" s="38" t="s">
        <v>174</v>
      </c>
      <c r="D78" s="21" t="n">
        <f aca="false">ROUND(Q78*R78,0)</f>
        <v>289</v>
      </c>
      <c r="E78" s="21" t="n">
        <f aca="false">ROUND(Q78,0)-D78</f>
        <v>154</v>
      </c>
      <c r="F78" s="21" t="n">
        <f aca="false">IF(COUNTA(D78:E78)=0,"",SUM(D78:E78))</f>
        <v>443</v>
      </c>
      <c r="G78" s="39" t="n">
        <f aca="false">IF(OR(F78="",F78=0),"",D78/F78)</f>
        <v>0.652370203160271</v>
      </c>
      <c r="H78" s="39" t="n">
        <f aca="false">IF(OR(F78="",F78=0),"",E78/F78)</f>
        <v>0.347629796839729</v>
      </c>
      <c r="I78" s="38" t="s">
        <v>89</v>
      </c>
      <c r="J78" s="40" t="n">
        <v>3.09864730606258</v>
      </c>
      <c r="K78" s="39" t="n">
        <f aca="false">IF(G78="","",MAX(0,G78-J78/100))</f>
        <v>0.621383730099645</v>
      </c>
      <c r="L78" s="39" t="n">
        <f aca="false">IF(G78="","",MIN(1,G78+J78/100))</f>
        <v>0.683356676220897</v>
      </c>
      <c r="M78" s="21" t="n">
        <f aca="false">ROUND(Q78*S78,0)</f>
        <v>32</v>
      </c>
      <c r="N78" s="21" t="n">
        <f aca="false">ROUND(SQRT((F78*J78/100)^2+(G78*M78)^2),0)</f>
        <v>25</v>
      </c>
      <c r="P78" s="41" t="n">
        <v>11.3223837278267</v>
      </c>
      <c r="Q78" s="42" t="n">
        <v>443.249189573951</v>
      </c>
      <c r="R78" s="43" t="n">
        <f aca="false">MAX(0,MIN(1,P78/100+$D$5))</f>
        <v>0.651049531942027</v>
      </c>
      <c r="S78" s="43" t="n">
        <v>0.0731122618343653</v>
      </c>
      <c r="T78" s="44" t="s">
        <v>90</v>
      </c>
    </row>
    <row r="79" customFormat="false" ht="15" hidden="false" customHeight="false" outlineLevel="0" collapsed="false">
      <c r="A79" s="38" t="s">
        <v>157</v>
      </c>
      <c r="B79" s="38" t="s">
        <v>159</v>
      </c>
      <c r="C79" s="38" t="s">
        <v>175</v>
      </c>
      <c r="D79" s="21" t="n">
        <f aca="false">ROUND(Q79*R79,0)</f>
        <v>257</v>
      </c>
      <c r="E79" s="21" t="n">
        <f aca="false">ROUND(Q79,0)-D79</f>
        <v>89</v>
      </c>
      <c r="F79" s="21" t="n">
        <f aca="false">IF(COUNTA(D79:E79)=0,"",SUM(D79:E79))</f>
        <v>346</v>
      </c>
      <c r="G79" s="39" t="n">
        <f aca="false">IF(OR(F79="",F79=0),"",D79/F79)</f>
        <v>0.742774566473988</v>
      </c>
      <c r="H79" s="39" t="n">
        <f aca="false">IF(OR(F79="",F79=0),"",E79/F79)</f>
        <v>0.257225433526012</v>
      </c>
      <c r="I79" s="38" t="s">
        <v>89</v>
      </c>
      <c r="J79" s="40" t="n">
        <v>3.09864730606258</v>
      </c>
      <c r="K79" s="39" t="n">
        <f aca="false">IF(G79="","",MAX(0,G79-J79/100))</f>
        <v>0.711788093413363</v>
      </c>
      <c r="L79" s="39" t="n">
        <f aca="false">IF(G79="","",MIN(1,G79+J79/100))</f>
        <v>0.773761039534614</v>
      </c>
      <c r="M79" s="21" t="n">
        <f aca="false">ROUND(Q79*S79,0)</f>
        <v>25</v>
      </c>
      <c r="N79" s="21" t="n">
        <f aca="false">ROUND(SQRT((F79*J79/100)^2+(G79*M79)^2),0)</f>
        <v>21</v>
      </c>
      <c r="P79" s="41" t="n">
        <v>20.3740335650762</v>
      </c>
      <c r="Q79" s="42" t="n">
        <v>345.907555534039</v>
      </c>
      <c r="R79" s="43" t="n">
        <f aca="false">MAX(0,MIN(1,P79/100+$D$5))</f>
        <v>0.741566030314522</v>
      </c>
      <c r="S79" s="43" t="n">
        <v>0.0731122618343653</v>
      </c>
      <c r="T79" s="44" t="s">
        <v>90</v>
      </c>
    </row>
    <row r="80" customFormat="false" ht="15" hidden="false" customHeight="false" outlineLevel="0" collapsed="false">
      <c r="A80" s="38" t="s">
        <v>157</v>
      </c>
      <c r="B80" s="38" t="s">
        <v>159</v>
      </c>
      <c r="C80" s="38" t="s">
        <v>176</v>
      </c>
      <c r="D80" s="21" t="n">
        <f aca="false">ROUND(Q80*R80,0)</f>
        <v>200</v>
      </c>
      <c r="E80" s="21" t="n">
        <f aca="false">ROUND(Q80,0)-D80</f>
        <v>88</v>
      </c>
      <c r="F80" s="21" t="n">
        <f aca="false">IF(COUNTA(D80:E80)=0,"",SUM(D80:E80))</f>
        <v>288</v>
      </c>
      <c r="G80" s="39" t="n">
        <f aca="false">IF(OR(F80="",F80=0),"",D80/F80)</f>
        <v>0.694444444444444</v>
      </c>
      <c r="H80" s="39" t="n">
        <f aca="false">IF(OR(F80="",F80=0),"",E80/F80)</f>
        <v>0.305555555555556</v>
      </c>
      <c r="I80" s="38" t="s">
        <v>89</v>
      </c>
      <c r="J80" s="40" t="n">
        <v>3.09864730606258</v>
      </c>
      <c r="K80" s="39" t="n">
        <f aca="false">IF(G80="","",MAX(0,G80-J80/100))</f>
        <v>0.663457971383819</v>
      </c>
      <c r="L80" s="39" t="n">
        <f aca="false">IF(G80="","",MIN(1,G80+J80/100))</f>
        <v>0.72543091750507</v>
      </c>
      <c r="M80" s="21" t="n">
        <f aca="false">ROUND(Q80*S80,0)</f>
        <v>21</v>
      </c>
      <c r="N80" s="21" t="n">
        <f aca="false">ROUND(SQRT((F80*J80/100)^2+(G80*M80)^2),0)</f>
        <v>17</v>
      </c>
      <c r="P80" s="41" t="n">
        <v>15.679178755327</v>
      </c>
      <c r="Q80" s="42" t="n">
        <v>288.488839123898</v>
      </c>
      <c r="R80" s="43" t="n">
        <f aca="false">MAX(0,MIN(1,P80/100+$D$5))</f>
        <v>0.69461748221703</v>
      </c>
      <c r="S80" s="43" t="n">
        <v>0.0731122618343653</v>
      </c>
      <c r="T80" s="44" t="s">
        <v>90</v>
      </c>
    </row>
    <row r="81" customFormat="false" ht="15" hidden="false" customHeight="false" outlineLevel="0" collapsed="false">
      <c r="A81" s="38" t="s">
        <v>157</v>
      </c>
      <c r="B81" s="38" t="s">
        <v>159</v>
      </c>
      <c r="C81" s="38" t="s">
        <v>177</v>
      </c>
      <c r="D81" s="21" t="n">
        <f aca="false">ROUND(Q81*R81,0)</f>
        <v>278</v>
      </c>
      <c r="E81" s="21" t="n">
        <f aca="false">ROUND(Q81,0)-D81</f>
        <v>129</v>
      </c>
      <c r="F81" s="21" t="n">
        <f aca="false">IF(COUNTA(D81:E81)=0,"",SUM(D81:E81))</f>
        <v>407</v>
      </c>
      <c r="G81" s="39" t="n">
        <f aca="false">IF(OR(F81="",F81=0),"",D81/F81)</f>
        <v>0.683046683046683</v>
      </c>
      <c r="H81" s="39" t="n">
        <f aca="false">IF(OR(F81="",F81=0),"",E81/F81)</f>
        <v>0.316953316953317</v>
      </c>
      <c r="I81" s="38" t="s">
        <v>89</v>
      </c>
      <c r="J81" s="40" t="n">
        <v>3.09864730606258</v>
      </c>
      <c r="K81" s="39" t="n">
        <f aca="false">IF(G81="","",MAX(0,G81-J81/100))</f>
        <v>0.652060209986057</v>
      </c>
      <c r="L81" s="39" t="n">
        <f aca="false">IF(G81="","",MIN(1,G81+J81/100))</f>
        <v>0.714033156107309</v>
      </c>
      <c r="M81" s="21" t="n">
        <f aca="false">ROUND(Q81*S81,0)</f>
        <v>30</v>
      </c>
      <c r="N81" s="21" t="n">
        <f aca="false">ROUND(SQRT((F81*J81/100)^2+(G81*M81)^2),0)</f>
        <v>24</v>
      </c>
      <c r="P81" s="41" t="n">
        <v>14.6651865927515</v>
      </c>
      <c r="Q81" s="42" t="n">
        <v>406.533507773823</v>
      </c>
      <c r="R81" s="43" t="n">
        <f aca="false">MAX(0,MIN(1,P81/100+$D$5))</f>
        <v>0.684477560591275</v>
      </c>
      <c r="S81" s="43" t="n">
        <v>0.0731122618343653</v>
      </c>
      <c r="T81" s="44" t="s">
        <v>90</v>
      </c>
    </row>
    <row r="82" customFormat="false" ht="15" hidden="false" customHeight="false" outlineLevel="0" collapsed="false">
      <c r="A82" s="38" t="s">
        <v>157</v>
      </c>
      <c r="B82" s="38" t="s">
        <v>159</v>
      </c>
      <c r="C82" s="38" t="s">
        <v>178</v>
      </c>
      <c r="D82" s="21" t="n">
        <f aca="false">ROUND(Q82*R82,0)</f>
        <v>218</v>
      </c>
      <c r="E82" s="21" t="n">
        <f aca="false">ROUND(Q82,0)-D82</f>
        <v>84</v>
      </c>
      <c r="F82" s="21" t="n">
        <f aca="false">IF(COUNTA(D82:E82)=0,"",SUM(D82:E82))</f>
        <v>302</v>
      </c>
      <c r="G82" s="39" t="n">
        <f aca="false">IF(OR(F82="",F82=0),"",D82/F82)</f>
        <v>0.721854304635762</v>
      </c>
      <c r="H82" s="39" t="n">
        <f aca="false">IF(OR(F82="",F82=0),"",E82/F82)</f>
        <v>0.278145695364238</v>
      </c>
      <c r="I82" s="38" t="s">
        <v>89</v>
      </c>
      <c r="J82" s="40" t="n">
        <v>3.09864730606258</v>
      </c>
      <c r="K82" s="39" t="n">
        <f aca="false">IF(G82="","",MAX(0,G82-J82/100))</f>
        <v>0.690867831575136</v>
      </c>
      <c r="L82" s="39" t="n">
        <f aca="false">IF(G82="","",MIN(1,G82+J82/100))</f>
        <v>0.752840777696387</v>
      </c>
      <c r="M82" s="21" t="n">
        <f aca="false">ROUND(Q82*S82,0)</f>
        <v>22</v>
      </c>
      <c r="N82" s="21" t="n">
        <f aca="false">ROUND(SQRT((F82*J82/100)^2+(G82*M82)^2),0)</f>
        <v>18</v>
      </c>
      <c r="P82" s="41" t="n">
        <v>18.1418693117322</v>
      </c>
      <c r="Q82" s="42" t="n">
        <v>302.413646201471</v>
      </c>
      <c r="R82" s="43" t="n">
        <f aca="false">MAX(0,MIN(1,P82/100+$D$5))</f>
        <v>0.719244387781082</v>
      </c>
      <c r="S82" s="43" t="n">
        <v>0.0731122618343653</v>
      </c>
      <c r="T82" s="44" t="s">
        <v>90</v>
      </c>
    </row>
    <row r="83" customFormat="false" ht="15" hidden="false" customHeight="false" outlineLevel="0" collapsed="false">
      <c r="A83" s="38" t="s">
        <v>157</v>
      </c>
      <c r="B83" s="38" t="s">
        <v>159</v>
      </c>
      <c r="C83" s="38" t="s">
        <v>179</v>
      </c>
      <c r="D83" s="21" t="n">
        <f aca="false">ROUND(Q83*R83,0)</f>
        <v>378</v>
      </c>
      <c r="E83" s="21" t="n">
        <f aca="false">ROUND(Q83,0)-D83</f>
        <v>182</v>
      </c>
      <c r="F83" s="21" t="n">
        <f aca="false">IF(COUNTA(D83:E83)=0,"",SUM(D83:E83))</f>
        <v>560</v>
      </c>
      <c r="G83" s="39" t="n">
        <f aca="false">IF(OR(F83="",F83=0),"",D83/F83)</f>
        <v>0.675</v>
      </c>
      <c r="H83" s="39" t="n">
        <f aca="false">IF(OR(F83="",F83=0),"",E83/F83)</f>
        <v>0.325</v>
      </c>
      <c r="I83" s="38" t="s">
        <v>89</v>
      </c>
      <c r="J83" s="40" t="n">
        <v>3.09864730606258</v>
      </c>
      <c r="K83" s="39" t="n">
        <f aca="false">IF(G83="","",MAX(0,G83-J83/100))</f>
        <v>0.644013526939374</v>
      </c>
      <c r="L83" s="39" t="n">
        <f aca="false">IF(G83="","",MIN(1,G83+J83/100))</f>
        <v>0.705986473060626</v>
      </c>
      <c r="M83" s="21" t="n">
        <f aca="false">ROUND(Q83*S83,0)</f>
        <v>41</v>
      </c>
      <c r="N83" s="21" t="n">
        <f aca="false">ROUND(SQRT((F83*J83/100)^2+(G83*M83)^2),0)</f>
        <v>33</v>
      </c>
      <c r="P83" s="41" t="n">
        <v>13.677970244015</v>
      </c>
      <c r="Q83" s="42" t="n">
        <v>559.611203129556</v>
      </c>
      <c r="R83" s="43" t="n">
        <f aca="false">MAX(0,MIN(1,P83/100+$D$5))</f>
        <v>0.67460539710391</v>
      </c>
      <c r="S83" s="43" t="n">
        <v>0.0731122618343653</v>
      </c>
      <c r="T83" s="44" t="s">
        <v>90</v>
      </c>
    </row>
    <row r="84" customFormat="false" ht="15" hidden="false" customHeight="false" outlineLevel="0" collapsed="false">
      <c r="A84" s="38" t="s">
        <v>157</v>
      </c>
      <c r="B84" s="38" t="s">
        <v>159</v>
      </c>
      <c r="C84" s="38" t="s">
        <v>180</v>
      </c>
      <c r="D84" s="21" t="n">
        <f aca="false">ROUND(Q84*R84,0)</f>
        <v>372</v>
      </c>
      <c r="E84" s="21" t="n">
        <f aca="false">ROUND(Q84,0)-D84</f>
        <v>171</v>
      </c>
      <c r="F84" s="21" t="n">
        <f aca="false">IF(COUNTA(D84:E84)=0,"",SUM(D84:E84))</f>
        <v>543</v>
      </c>
      <c r="G84" s="39" t="n">
        <f aca="false">IF(OR(F84="",F84=0),"",D84/F84)</f>
        <v>0.685082872928177</v>
      </c>
      <c r="H84" s="39" t="n">
        <f aca="false">IF(OR(F84="",F84=0),"",E84/F84)</f>
        <v>0.314917127071823</v>
      </c>
      <c r="I84" s="38" t="s">
        <v>89</v>
      </c>
      <c r="J84" s="40" t="n">
        <v>3.09864730606258</v>
      </c>
      <c r="K84" s="39" t="n">
        <f aca="false">IF(G84="","",MAX(0,G84-J84/100))</f>
        <v>0.654096399867551</v>
      </c>
      <c r="L84" s="39" t="n">
        <f aca="false">IF(G84="","",MIN(1,G84+J84/100))</f>
        <v>0.716069345988803</v>
      </c>
      <c r="M84" s="21" t="n">
        <f aca="false">ROUND(Q84*S84,0)</f>
        <v>40</v>
      </c>
      <c r="N84" s="21" t="n">
        <f aca="false">ROUND(SQRT((F84*J84/100)^2+(G84*M84)^2),0)</f>
        <v>32</v>
      </c>
      <c r="P84" s="41" t="n">
        <v>14.7394445958549</v>
      </c>
      <c r="Q84" s="42" t="n">
        <v>543.357509203416</v>
      </c>
      <c r="R84" s="43" t="n">
        <f aca="false">MAX(0,MIN(1,P84/100+$D$5))</f>
        <v>0.685220140622309</v>
      </c>
      <c r="S84" s="43" t="n">
        <v>0.0731122618343653</v>
      </c>
      <c r="T84" s="44" t="s">
        <v>90</v>
      </c>
    </row>
    <row r="85" customFormat="false" ht="15" hidden="false" customHeight="false" outlineLevel="0" collapsed="false">
      <c r="A85" s="38" t="s">
        <v>157</v>
      </c>
      <c r="B85" s="38" t="s">
        <v>159</v>
      </c>
      <c r="C85" s="38" t="s">
        <v>181</v>
      </c>
      <c r="D85" s="21" t="n">
        <f aca="false">ROUND(Q85*R85,0)</f>
        <v>360</v>
      </c>
      <c r="E85" s="21" t="n">
        <f aca="false">ROUND(Q85,0)-D85</f>
        <v>217</v>
      </c>
      <c r="F85" s="21" t="n">
        <f aca="false">IF(COUNTA(D85:E85)=0,"",SUM(D85:E85))</f>
        <v>577</v>
      </c>
      <c r="G85" s="39" t="n">
        <f aca="false">IF(OR(F85="",F85=0),"",D85/F85)</f>
        <v>0.623916811091854</v>
      </c>
      <c r="H85" s="39" t="n">
        <f aca="false">IF(OR(F85="",F85=0),"",E85/F85)</f>
        <v>0.376083188908146</v>
      </c>
      <c r="I85" s="38" t="s">
        <v>89</v>
      </c>
      <c r="J85" s="40" t="n">
        <v>3.09864730606258</v>
      </c>
      <c r="K85" s="39" t="n">
        <f aca="false">IF(G85="","",MAX(0,G85-J85/100))</f>
        <v>0.592930338031229</v>
      </c>
      <c r="L85" s="39" t="n">
        <f aca="false">IF(G85="","",MIN(1,G85+J85/100))</f>
        <v>0.65490328415248</v>
      </c>
      <c r="M85" s="21" t="n">
        <f aca="false">ROUND(Q85*S85,0)</f>
        <v>42</v>
      </c>
      <c r="N85" s="21" t="n">
        <f aca="false">ROUND(SQRT((F85*J85/100)^2+(G85*M85)^2),0)</f>
        <v>32</v>
      </c>
      <c r="P85" s="41" t="n">
        <v>8.55831659520326</v>
      </c>
      <c r="Q85" s="42" t="n">
        <v>577.480509459713</v>
      </c>
      <c r="R85" s="43" t="n">
        <f aca="false">MAX(0,MIN(1,P85/100+$D$5))</f>
        <v>0.623408860615792</v>
      </c>
      <c r="S85" s="43" t="n">
        <v>0.0731122618343653</v>
      </c>
      <c r="T85" s="44" t="s">
        <v>90</v>
      </c>
    </row>
    <row r="86" customFormat="false" ht="15" hidden="false" customHeight="false" outlineLevel="0" collapsed="false">
      <c r="A86" s="38" t="s">
        <v>157</v>
      </c>
      <c r="B86" s="38" t="s">
        <v>159</v>
      </c>
      <c r="C86" s="38" t="s">
        <v>182</v>
      </c>
      <c r="D86" s="21" t="n">
        <f aca="false">ROUND(Q86*R86,0)</f>
        <v>392</v>
      </c>
      <c r="E86" s="21" t="n">
        <f aca="false">ROUND(Q86,0)-D86</f>
        <v>200</v>
      </c>
      <c r="F86" s="21" t="n">
        <f aca="false">IF(COUNTA(D86:E86)=0,"",SUM(D86:E86))</f>
        <v>592</v>
      </c>
      <c r="G86" s="39" t="n">
        <f aca="false">IF(OR(F86="",F86=0),"",D86/F86)</f>
        <v>0.662162162162162</v>
      </c>
      <c r="H86" s="39" t="n">
        <f aca="false">IF(OR(F86="",F86=0),"",E86/F86)</f>
        <v>0.337837837837838</v>
      </c>
      <c r="I86" s="38" t="s">
        <v>89</v>
      </c>
      <c r="J86" s="40" t="n">
        <v>3.09864730606258</v>
      </c>
      <c r="K86" s="39" t="n">
        <f aca="false">IF(G86="","",MAX(0,G86-J86/100))</f>
        <v>0.631175689101536</v>
      </c>
      <c r="L86" s="39" t="n">
        <f aca="false">IF(G86="","",MIN(1,G86+J86/100))</f>
        <v>0.693148635222788</v>
      </c>
      <c r="M86" s="21" t="n">
        <f aca="false">ROUND(Q86*S86,0)</f>
        <v>43</v>
      </c>
      <c r="N86" s="21" t="n">
        <f aca="false">ROUND(SQRT((F86*J86/100)^2+(G86*M86)^2),0)</f>
        <v>34</v>
      </c>
      <c r="P86" s="41" t="n">
        <v>12.5309896075713</v>
      </c>
      <c r="Q86" s="42" t="n">
        <v>591.836731206843</v>
      </c>
      <c r="R86" s="43" t="n">
        <f aca="false">MAX(0,MIN(1,P86/100+$D$5))</f>
        <v>0.663135590739472</v>
      </c>
      <c r="S86" s="43" t="n">
        <v>0.0731122618343653</v>
      </c>
      <c r="T86" s="44" t="s">
        <v>90</v>
      </c>
    </row>
    <row r="87" customFormat="false" ht="15" hidden="false" customHeight="false" outlineLevel="0" collapsed="false">
      <c r="A87" s="38" t="s">
        <v>157</v>
      </c>
      <c r="B87" s="38" t="s">
        <v>159</v>
      </c>
      <c r="C87" s="38" t="s">
        <v>183</v>
      </c>
      <c r="D87" s="21" t="n">
        <f aca="false">ROUND(Q87*R87,0)</f>
        <v>499</v>
      </c>
      <c r="E87" s="21" t="n">
        <f aca="false">ROUND(Q87,0)-D87</f>
        <v>259</v>
      </c>
      <c r="F87" s="21" t="n">
        <f aca="false">IF(COUNTA(D87:E87)=0,"",SUM(D87:E87))</f>
        <v>758</v>
      </c>
      <c r="G87" s="39" t="n">
        <f aca="false">IF(OR(F87="",F87=0),"",D87/F87)</f>
        <v>0.658311345646438</v>
      </c>
      <c r="H87" s="39" t="n">
        <f aca="false">IF(OR(F87="",F87=0),"",E87/F87)</f>
        <v>0.341688654353562</v>
      </c>
      <c r="I87" s="38" t="s">
        <v>89</v>
      </c>
      <c r="J87" s="40" t="n">
        <v>3.09864730606258</v>
      </c>
      <c r="K87" s="39" t="n">
        <f aca="false">IF(G87="","",MAX(0,G87-J87/100))</f>
        <v>0.627324872585812</v>
      </c>
      <c r="L87" s="39" t="n">
        <f aca="false">IF(G87="","",MIN(1,G87+J87/100))</f>
        <v>0.689297818707064</v>
      </c>
      <c r="M87" s="21" t="n">
        <f aca="false">ROUND(Q87*S87,0)</f>
        <v>55</v>
      </c>
      <c r="N87" s="21" t="n">
        <f aca="false">ROUND(SQRT((F87*J87/100)^2+(G87*M87)^2),0)</f>
        <v>43</v>
      </c>
      <c r="P87" s="41" t="n">
        <v>12.0285279357438</v>
      </c>
      <c r="Q87" s="42" t="n">
        <v>758.382668364308</v>
      </c>
      <c r="R87" s="43" t="n">
        <f aca="false">MAX(0,MIN(1,P87/100+$D$5))</f>
        <v>0.658110974021198</v>
      </c>
      <c r="S87" s="43" t="n">
        <v>0.0731122618343653</v>
      </c>
      <c r="T87" s="44" t="s">
        <v>90</v>
      </c>
    </row>
    <row r="88" customFormat="false" ht="15" hidden="false" customHeight="false" outlineLevel="0" collapsed="false">
      <c r="A88" s="38" t="s">
        <v>157</v>
      </c>
      <c r="B88" s="38" t="s">
        <v>159</v>
      </c>
      <c r="C88" s="38" t="s">
        <v>184</v>
      </c>
      <c r="D88" s="21" t="n">
        <f aca="false">ROUND(Q88*R88,0)</f>
        <v>306</v>
      </c>
      <c r="E88" s="21" t="n">
        <f aca="false">ROUND(Q88,0)-D88</f>
        <v>180</v>
      </c>
      <c r="F88" s="21" t="n">
        <f aca="false">IF(COUNTA(D88:E88)=0,"",SUM(D88:E88))</f>
        <v>486</v>
      </c>
      <c r="G88" s="39" t="n">
        <f aca="false">IF(OR(F88="",F88=0),"",D88/F88)</f>
        <v>0.62962962962963</v>
      </c>
      <c r="H88" s="39" t="n">
        <f aca="false">IF(OR(F88="",F88=0),"",E88/F88)</f>
        <v>0.37037037037037</v>
      </c>
      <c r="I88" s="38" t="s">
        <v>89</v>
      </c>
      <c r="J88" s="40" t="n">
        <v>3.09864730606258</v>
      </c>
      <c r="K88" s="39" t="n">
        <f aca="false">IF(G88="","",MAX(0,G88-J88/100))</f>
        <v>0.598643156569004</v>
      </c>
      <c r="L88" s="39" t="n">
        <f aca="false">IF(G88="","",MIN(1,G88+J88/100))</f>
        <v>0.660616102690255</v>
      </c>
      <c r="M88" s="21" t="n">
        <f aca="false">ROUND(Q88*S88,0)</f>
        <v>36</v>
      </c>
      <c r="N88" s="21" t="n">
        <f aca="false">ROUND(SQRT((F88*J88/100)^2+(G88*M88)^2),0)</f>
        <v>27</v>
      </c>
      <c r="P88" s="41" t="n">
        <v>9.18772276107635</v>
      </c>
      <c r="Q88" s="42" t="n">
        <v>486.189209040554</v>
      </c>
      <c r="R88" s="43" t="n">
        <f aca="false">MAX(0,MIN(1,P88/100+$D$5))</f>
        <v>0.629702922274523</v>
      </c>
      <c r="S88" s="43" t="n">
        <v>0.0731122618343653</v>
      </c>
      <c r="T88" s="44" t="s">
        <v>90</v>
      </c>
    </row>
    <row r="89" customFormat="false" ht="15" hidden="false" customHeight="false" outlineLevel="0" collapsed="false">
      <c r="A89" s="38" t="s">
        <v>157</v>
      </c>
      <c r="B89" s="38" t="s">
        <v>159</v>
      </c>
      <c r="C89" s="38" t="s">
        <v>185</v>
      </c>
      <c r="D89" s="21" t="n">
        <f aca="false">ROUND(Q89*R89,0)</f>
        <v>302</v>
      </c>
      <c r="E89" s="21" t="n">
        <f aca="false">ROUND(Q89,0)-D89</f>
        <v>152</v>
      </c>
      <c r="F89" s="21" t="n">
        <f aca="false">IF(COUNTA(D89:E89)=0,"",SUM(D89:E89))</f>
        <v>454</v>
      </c>
      <c r="G89" s="39" t="n">
        <f aca="false">IF(OR(F89="",F89=0),"",D89/F89)</f>
        <v>0.665198237885463</v>
      </c>
      <c r="H89" s="39" t="n">
        <f aca="false">IF(OR(F89="",F89=0),"",E89/F89)</f>
        <v>0.334801762114537</v>
      </c>
      <c r="I89" s="38" t="s">
        <v>89</v>
      </c>
      <c r="J89" s="40" t="n">
        <v>3.09864730606258</v>
      </c>
      <c r="K89" s="39" t="n">
        <f aca="false">IF(G89="","",MAX(0,G89-J89/100))</f>
        <v>0.634211764824837</v>
      </c>
      <c r="L89" s="39" t="n">
        <f aca="false">IF(G89="","",MIN(1,G89+J89/100))</f>
        <v>0.696184710946088</v>
      </c>
      <c r="M89" s="21" t="n">
        <f aca="false">ROUND(Q89*S89,0)</f>
        <v>33</v>
      </c>
      <c r="N89" s="21" t="n">
        <f aca="false">ROUND(SQRT((F89*J89/100)^2+(G89*M89)^2),0)</f>
        <v>26</v>
      </c>
      <c r="P89" s="41" t="n">
        <v>12.7462583252552</v>
      </c>
      <c r="Q89" s="42" t="n">
        <v>454.039498226638</v>
      </c>
      <c r="R89" s="43" t="n">
        <f aca="false">MAX(0,MIN(1,P89/100+$D$5))</f>
        <v>0.665288277916312</v>
      </c>
      <c r="S89" s="43" t="n">
        <v>0.0731122618343653</v>
      </c>
      <c r="T89" s="44" t="s">
        <v>90</v>
      </c>
    </row>
    <row r="90" customFormat="false" ht="15" hidden="false" customHeight="false" outlineLevel="0" collapsed="false">
      <c r="A90" s="38" t="s">
        <v>157</v>
      </c>
      <c r="B90" s="38" t="s">
        <v>159</v>
      </c>
      <c r="C90" s="38" t="s">
        <v>186</v>
      </c>
      <c r="D90" s="21" t="n">
        <f aca="false">ROUND(Q90*R90,0)</f>
        <v>551</v>
      </c>
      <c r="E90" s="21" t="n">
        <f aca="false">ROUND(Q90,0)-D90</f>
        <v>313</v>
      </c>
      <c r="F90" s="21" t="n">
        <f aca="false">IF(COUNTA(D90:E90)=0,"",SUM(D90:E90))</f>
        <v>864</v>
      </c>
      <c r="G90" s="39" t="n">
        <f aca="false">IF(OR(F90="",F90=0),"",D90/F90)</f>
        <v>0.637731481481482</v>
      </c>
      <c r="H90" s="39" t="n">
        <f aca="false">IF(OR(F90="",F90=0),"",E90/F90)</f>
        <v>0.362268518518519</v>
      </c>
      <c r="I90" s="38" t="s">
        <v>89</v>
      </c>
      <c r="J90" s="40" t="n">
        <v>2.0110742867014</v>
      </c>
      <c r="K90" s="39" t="n">
        <f aca="false">IF(G90="","",MAX(0,G90-J90/100))</f>
        <v>0.617620738614468</v>
      </c>
      <c r="L90" s="39" t="n">
        <f aca="false">IF(G90="","",MIN(1,G90+J90/100))</f>
        <v>0.657842224348496</v>
      </c>
      <c r="M90" s="21" t="n">
        <f aca="false">ROUND(Q90*S90,0)</f>
        <v>53</v>
      </c>
      <c r="N90" s="21" t="n">
        <f aca="false">ROUND(SQRT((F90*J90/100)^2+(G90*M90)^2),0)</f>
        <v>38</v>
      </c>
      <c r="P90" s="41" t="n">
        <v>9.99815172937556</v>
      </c>
      <c r="Q90" s="42" t="n">
        <v>863.875447068356</v>
      </c>
      <c r="R90" s="43" t="n">
        <f aca="false">MAX(0,MIN(1,P90/100+$D$5))</f>
        <v>0.637807211957515</v>
      </c>
      <c r="S90" s="43" t="n">
        <v>0.0608302283160348</v>
      </c>
      <c r="T90" s="44" t="s">
        <v>99</v>
      </c>
    </row>
    <row r="91" customFormat="false" ht="15" hidden="false" customHeight="false" outlineLevel="0" collapsed="false">
      <c r="A91" s="38" t="s">
        <v>157</v>
      </c>
      <c r="B91" s="38" t="s">
        <v>159</v>
      </c>
      <c r="C91" s="38" t="s">
        <v>187</v>
      </c>
      <c r="D91" s="21" t="n">
        <f aca="false">ROUND(Q91*R91,0)</f>
        <v>380</v>
      </c>
      <c r="E91" s="21" t="n">
        <f aca="false">ROUND(Q91,0)-D91</f>
        <v>155</v>
      </c>
      <c r="F91" s="21" t="n">
        <f aca="false">IF(COUNTA(D91:E91)=0,"",SUM(D91:E91))</f>
        <v>535</v>
      </c>
      <c r="G91" s="39" t="n">
        <f aca="false">IF(OR(F91="",F91=0),"",D91/F91)</f>
        <v>0.710280373831776</v>
      </c>
      <c r="H91" s="39" t="n">
        <f aca="false">IF(OR(F91="",F91=0),"",E91/F91)</f>
        <v>0.289719626168224</v>
      </c>
      <c r="I91" s="38" t="s">
        <v>89</v>
      </c>
      <c r="J91" s="40" t="n">
        <v>3.09864730606258</v>
      </c>
      <c r="K91" s="39" t="n">
        <f aca="false">IF(G91="","",MAX(0,G91-J91/100))</f>
        <v>0.67929390077115</v>
      </c>
      <c r="L91" s="39" t="n">
        <f aca="false">IF(G91="","",MIN(1,G91+J91/100))</f>
        <v>0.741266846892401</v>
      </c>
      <c r="M91" s="21" t="n">
        <f aca="false">ROUND(Q91*S91,0)</f>
        <v>39</v>
      </c>
      <c r="N91" s="21" t="n">
        <f aca="false">ROUND(SQRT((F91*J91/100)^2+(G91*M91)^2),0)</f>
        <v>32</v>
      </c>
      <c r="P91" s="41" t="n">
        <v>17.156812681147</v>
      </c>
      <c r="Q91" s="42" t="n">
        <v>535.314018770072</v>
      </c>
      <c r="R91" s="43" t="n">
        <f aca="false">MAX(0,MIN(1,P91/100+$D$5))</f>
        <v>0.70939382147523</v>
      </c>
      <c r="S91" s="43" t="n">
        <v>0.0731122618343653</v>
      </c>
      <c r="T91" s="44" t="s">
        <v>90</v>
      </c>
    </row>
    <row r="92" customFormat="false" ht="15" hidden="false" customHeight="false" outlineLevel="0" collapsed="false">
      <c r="A92" s="38" t="s">
        <v>157</v>
      </c>
      <c r="B92" s="38" t="s">
        <v>159</v>
      </c>
      <c r="C92" s="38" t="s">
        <v>188</v>
      </c>
      <c r="D92" s="21" t="n">
        <f aca="false">ROUND(Q92*R92,0)</f>
        <v>445</v>
      </c>
      <c r="E92" s="21" t="n">
        <f aca="false">ROUND(Q92,0)-D92</f>
        <v>223</v>
      </c>
      <c r="F92" s="21" t="n">
        <f aca="false">IF(COUNTA(D92:E92)=0,"",SUM(D92:E92))</f>
        <v>668</v>
      </c>
      <c r="G92" s="39" t="n">
        <f aca="false">IF(OR(F92="",F92=0),"",D92/F92)</f>
        <v>0.666167664670659</v>
      </c>
      <c r="H92" s="39" t="n">
        <f aca="false">IF(OR(F92="",F92=0),"",E92/F92)</f>
        <v>0.333832335329341</v>
      </c>
      <c r="I92" s="38" t="s">
        <v>89</v>
      </c>
      <c r="J92" s="40" t="n">
        <v>3.09864730606258</v>
      </c>
      <c r="K92" s="39" t="n">
        <f aca="false">IF(G92="","",MAX(0,G92-J92/100))</f>
        <v>0.635181191610033</v>
      </c>
      <c r="L92" s="39" t="n">
        <f aca="false">IF(G92="","",MIN(1,G92+J92/100))</f>
        <v>0.697154137731284</v>
      </c>
      <c r="M92" s="21" t="n">
        <f aca="false">ROUND(Q92*S92,0)</f>
        <v>49</v>
      </c>
      <c r="N92" s="21" t="n">
        <f aca="false">ROUND(SQRT((F92*J92/100)^2+(G92*M92)^2),0)</f>
        <v>39</v>
      </c>
      <c r="P92" s="41" t="n">
        <v>12.8138562267569</v>
      </c>
      <c r="Q92" s="42" t="n">
        <v>667.961589848978</v>
      </c>
      <c r="R92" s="43" t="n">
        <f aca="false">MAX(0,MIN(1,P92/100+$D$5))</f>
        <v>0.665964256931329</v>
      </c>
      <c r="S92" s="43" t="n">
        <v>0.0731122618343653</v>
      </c>
      <c r="T92" s="44" t="s">
        <v>90</v>
      </c>
    </row>
    <row r="93" customFormat="false" ht="15" hidden="false" customHeight="false" outlineLevel="0" collapsed="false">
      <c r="A93" s="38" t="s">
        <v>157</v>
      </c>
      <c r="B93" s="38" t="s">
        <v>159</v>
      </c>
      <c r="C93" s="38" t="s">
        <v>189</v>
      </c>
      <c r="D93" s="21" t="n">
        <f aca="false">ROUND(Q93*R93,0)</f>
        <v>482</v>
      </c>
      <c r="E93" s="21" t="n">
        <f aca="false">ROUND(Q93,0)-D93</f>
        <v>259</v>
      </c>
      <c r="F93" s="21" t="n">
        <f aca="false">IF(COUNTA(D93:E93)=0,"",SUM(D93:E93))</f>
        <v>741</v>
      </c>
      <c r="G93" s="39" t="n">
        <f aca="false">IF(OR(F93="",F93=0),"",D93/F93)</f>
        <v>0.650472334682861</v>
      </c>
      <c r="H93" s="39" t="n">
        <f aca="false">IF(OR(F93="",F93=0),"",E93/F93)</f>
        <v>0.349527665317139</v>
      </c>
      <c r="I93" s="38" t="s">
        <v>89</v>
      </c>
      <c r="J93" s="40" t="n">
        <v>3.09864730606258</v>
      </c>
      <c r="K93" s="39" t="n">
        <f aca="false">IF(G93="","",MAX(0,G93-J93/100))</f>
        <v>0.619485861622235</v>
      </c>
      <c r="L93" s="39" t="n">
        <f aca="false">IF(G93="","",MIN(1,G93+J93/100))</f>
        <v>0.681458807743487</v>
      </c>
      <c r="M93" s="21" t="n">
        <f aca="false">ROUND(Q93*S93,0)</f>
        <v>54</v>
      </c>
      <c r="N93" s="21" t="n">
        <f aca="false">ROUND(SQRT((F93*J93/100)^2+(G93*M93)^2),0)</f>
        <v>42</v>
      </c>
      <c r="P93" s="41" t="n">
        <v>11.275652453748</v>
      </c>
      <c r="Q93" s="42" t="n">
        <v>741.052776635586</v>
      </c>
      <c r="R93" s="43" t="n">
        <f aca="false">MAX(0,MIN(1,P93/100+$D$5))</f>
        <v>0.650582219201239</v>
      </c>
      <c r="S93" s="43" t="n">
        <v>0.0731122618343653</v>
      </c>
      <c r="T93" s="44" t="s">
        <v>90</v>
      </c>
    </row>
    <row r="94" customFormat="false" ht="15" hidden="false" customHeight="false" outlineLevel="0" collapsed="false">
      <c r="A94" s="38" t="s">
        <v>157</v>
      </c>
      <c r="B94" s="38" t="s">
        <v>159</v>
      </c>
      <c r="C94" s="38" t="s">
        <v>190</v>
      </c>
      <c r="D94" s="21" t="n">
        <f aca="false">ROUND(Q94*R94,0)</f>
        <v>344</v>
      </c>
      <c r="E94" s="21" t="n">
        <f aca="false">ROUND(Q94,0)-D94</f>
        <v>238</v>
      </c>
      <c r="F94" s="21" t="n">
        <f aca="false">IF(COUNTA(D94:E94)=0,"",SUM(D94:E94))</f>
        <v>582</v>
      </c>
      <c r="G94" s="39" t="n">
        <f aca="false">IF(OR(F94="",F94=0),"",D94/F94)</f>
        <v>0.59106529209622</v>
      </c>
      <c r="H94" s="39" t="n">
        <f aca="false">IF(OR(F94="",F94=0),"",E94/F94)</f>
        <v>0.40893470790378</v>
      </c>
      <c r="I94" s="38" t="s">
        <v>191</v>
      </c>
      <c r="J94" s="40" t="n">
        <v>3.09864730606258</v>
      </c>
      <c r="K94" s="39" t="n">
        <f aca="false">IF(G94="","",MAX(0,G94-J94/100))</f>
        <v>0.560078819035594</v>
      </c>
      <c r="L94" s="39" t="n">
        <f aca="false">IF(G94="","",MIN(1,G94+J94/100))</f>
        <v>0.622051765156846</v>
      </c>
      <c r="M94" s="21" t="n">
        <f aca="false">ROUND(Q94*S94,0)</f>
        <v>43</v>
      </c>
      <c r="N94" s="21" t="n">
        <f aca="false">ROUND(SQRT((F94*J94/100)^2+(G94*M94)^2),0)</f>
        <v>31</v>
      </c>
      <c r="P94" s="41" t="n">
        <v>5.42479063883041</v>
      </c>
      <c r="Q94" s="42" t="n">
        <v>581.55767780582</v>
      </c>
      <c r="R94" s="43" t="n">
        <f aca="false">MAX(0,MIN(1,P94/100+$D$5))</f>
        <v>0.592073601052064</v>
      </c>
      <c r="S94" s="43" t="n">
        <v>0.0731122618343653</v>
      </c>
      <c r="T94" s="44" t="s">
        <v>90</v>
      </c>
    </row>
    <row r="95" customFormat="false" ht="15" hidden="false" customHeight="false" outlineLevel="0" collapsed="false">
      <c r="A95" s="38" t="s">
        <v>157</v>
      </c>
      <c r="B95" s="38" t="s">
        <v>159</v>
      </c>
      <c r="C95" s="38" t="s">
        <v>192</v>
      </c>
      <c r="D95" s="21" t="n">
        <f aca="false">ROUND(Q95*R95,0)</f>
        <v>783</v>
      </c>
      <c r="E95" s="21" t="n">
        <f aca="false">ROUND(Q95,0)-D95</f>
        <v>524</v>
      </c>
      <c r="F95" s="21" t="n">
        <f aca="false">IF(COUNTA(D95:E95)=0,"",SUM(D95:E95))</f>
        <v>1307</v>
      </c>
      <c r="G95" s="39" t="n">
        <f aca="false">IF(OR(F95="",F95=0),"",D95/F95)</f>
        <v>0.599081866870696</v>
      </c>
      <c r="H95" s="39" t="n">
        <f aca="false">IF(OR(F95="",F95=0),"",E95/F95)</f>
        <v>0.400918133129304</v>
      </c>
      <c r="I95" s="38" t="s">
        <v>191</v>
      </c>
      <c r="J95" s="40" t="n">
        <v>1.87006919874525</v>
      </c>
      <c r="K95" s="39" t="n">
        <f aca="false">IF(G95="","",MAX(0,G95-J95/100))</f>
        <v>0.580381174883244</v>
      </c>
      <c r="L95" s="39" t="n">
        <f aca="false">IF(G95="","",MIN(1,G95+J95/100))</f>
        <v>0.617782558858149</v>
      </c>
      <c r="M95" s="21" t="n">
        <f aca="false">ROUND(Q95*S95,0)</f>
        <v>181</v>
      </c>
      <c r="N95" s="21" t="n">
        <f aca="false">ROUND(SQRT((F95*J95/100)^2+(G95*M95)^2),0)</f>
        <v>111</v>
      </c>
      <c r="P95" s="41" t="n">
        <v>6.09125695740781</v>
      </c>
      <c r="Q95" s="42" t="n">
        <v>1307.43335347596</v>
      </c>
      <c r="R95" s="43" t="n">
        <f aca="false">MAX(0,MIN(1,P95/100+$D$5))</f>
        <v>0.598738264237838</v>
      </c>
      <c r="S95" s="43" t="n">
        <v>0.138178110610255</v>
      </c>
      <c r="T95" s="44" t="s">
        <v>128</v>
      </c>
    </row>
    <row r="96" customFormat="false" ht="15" hidden="false" customHeight="false" outlineLevel="0" collapsed="false">
      <c r="A96" s="38" t="s">
        <v>157</v>
      </c>
      <c r="B96" s="38" t="s">
        <v>159</v>
      </c>
      <c r="C96" s="38" t="s">
        <v>193</v>
      </c>
      <c r="D96" s="21" t="n">
        <f aca="false">ROUND(Q96*R96,0)</f>
        <v>432</v>
      </c>
      <c r="E96" s="21" t="n">
        <f aca="false">ROUND(Q96,0)-D96</f>
        <v>180</v>
      </c>
      <c r="F96" s="21" t="n">
        <f aca="false">IF(COUNTA(D96:E96)=0,"",SUM(D96:E96))</f>
        <v>612</v>
      </c>
      <c r="G96" s="39" t="n">
        <f aca="false">IF(OR(F96="",F96=0),"",D96/F96)</f>
        <v>0.705882352941177</v>
      </c>
      <c r="H96" s="39" t="n">
        <f aca="false">IF(OR(F96="",F96=0),"",E96/F96)</f>
        <v>0.294117647058824</v>
      </c>
      <c r="I96" s="38" t="s">
        <v>89</v>
      </c>
      <c r="J96" s="40" t="n">
        <v>3.09864730606258</v>
      </c>
      <c r="K96" s="39" t="n">
        <f aca="false">IF(G96="","",MAX(0,G96-J96/100))</f>
        <v>0.674895879880551</v>
      </c>
      <c r="L96" s="39" t="n">
        <f aca="false">IF(G96="","",MIN(1,G96+J96/100))</f>
        <v>0.736868826001802</v>
      </c>
      <c r="M96" s="21" t="n">
        <f aca="false">ROUND(Q96*S96,0)</f>
        <v>45</v>
      </c>
      <c r="N96" s="21" t="n">
        <f aca="false">ROUND(SQRT((F96*J96/100)^2+(G96*M96)^2),0)</f>
        <v>37</v>
      </c>
      <c r="P96" s="41" t="n">
        <v>16.7376933787333</v>
      </c>
      <c r="Q96" s="42" t="n">
        <v>611.995326070002</v>
      </c>
      <c r="R96" s="43" t="n">
        <f aca="false">MAX(0,MIN(1,P96/100+$D$5))</f>
        <v>0.705202628451093</v>
      </c>
      <c r="S96" s="43" t="n">
        <v>0.0731122618343653</v>
      </c>
      <c r="T96" s="44" t="s">
        <v>90</v>
      </c>
    </row>
    <row r="97" customFormat="false" ht="15" hidden="false" customHeight="false" outlineLevel="0" collapsed="false">
      <c r="A97" s="38" t="s">
        <v>157</v>
      </c>
      <c r="B97" s="38" t="s">
        <v>159</v>
      </c>
      <c r="C97" s="38" t="s">
        <v>194</v>
      </c>
      <c r="D97" s="21" t="n">
        <f aca="false">ROUND(Q97*R97,0)</f>
        <v>535</v>
      </c>
      <c r="E97" s="21" t="n">
        <f aca="false">ROUND(Q97,0)-D97</f>
        <v>285</v>
      </c>
      <c r="F97" s="21" t="n">
        <f aca="false">IF(COUNTA(D97:E97)=0,"",SUM(D97:E97))</f>
        <v>820</v>
      </c>
      <c r="G97" s="39" t="n">
        <f aca="false">IF(OR(F97="",F97=0),"",D97/F97)</f>
        <v>0.652439024390244</v>
      </c>
      <c r="H97" s="39" t="n">
        <f aca="false">IF(OR(F97="",F97=0),"",E97/F97)</f>
        <v>0.347560975609756</v>
      </c>
      <c r="I97" s="38" t="s">
        <v>89</v>
      </c>
      <c r="J97" s="40" t="n">
        <v>2.0110742867014</v>
      </c>
      <c r="K97" s="39" t="n">
        <f aca="false">IF(G97="","",MAX(0,G97-J97/100))</f>
        <v>0.63232828152323</v>
      </c>
      <c r="L97" s="39" t="n">
        <f aca="false">IF(G97="","",MIN(1,G97+J97/100))</f>
        <v>0.672549767257258</v>
      </c>
      <c r="M97" s="21" t="n">
        <f aca="false">ROUND(Q97*S97,0)</f>
        <v>50</v>
      </c>
      <c r="N97" s="21" t="n">
        <f aca="false">ROUND(SQRT((F97*J97/100)^2+(G97*M97)^2),0)</f>
        <v>37</v>
      </c>
      <c r="P97" s="41" t="n">
        <v>11.5023451609738</v>
      </c>
      <c r="Q97" s="42" t="n">
        <v>820.153793875947</v>
      </c>
      <c r="R97" s="43" t="n">
        <f aca="false">MAX(0,MIN(1,P97/100+$D$5))</f>
        <v>0.652849146273498</v>
      </c>
      <c r="S97" s="43" t="n">
        <v>0.0608302283160348</v>
      </c>
      <c r="T97" s="44" t="s">
        <v>99</v>
      </c>
    </row>
    <row r="98" customFormat="false" ht="15" hidden="false" customHeight="false" outlineLevel="0" collapsed="false">
      <c r="A98" s="38" t="s">
        <v>157</v>
      </c>
      <c r="B98" s="38" t="s">
        <v>159</v>
      </c>
      <c r="C98" s="38" t="s">
        <v>195</v>
      </c>
      <c r="D98" s="21" t="n">
        <f aca="false">ROUND(Q98*R98,0)</f>
        <v>13</v>
      </c>
      <c r="E98" s="21" t="n">
        <f aca="false">ROUND(Q98,0)-D98</f>
        <v>10</v>
      </c>
      <c r="F98" s="21" t="n">
        <f aca="false">IF(COUNTA(D98:E98)=0,"",SUM(D98:E98))</f>
        <v>23</v>
      </c>
      <c r="G98" s="39" t="n">
        <f aca="false">IF(OR(F98="",F98=0),"",D98/F98)</f>
        <v>0.565217391304348</v>
      </c>
      <c r="H98" s="39" t="n">
        <f aca="false">IF(OR(F98="",F98=0),"",E98/F98)</f>
        <v>0.434782608695652</v>
      </c>
      <c r="I98" s="38" t="s">
        <v>191</v>
      </c>
      <c r="J98" s="40" t="n">
        <v>3.09864730606258</v>
      </c>
      <c r="K98" s="39" t="n">
        <f aca="false">IF(G98="","",MAX(0,G98-J98/100))</f>
        <v>0.534230918243722</v>
      </c>
      <c r="L98" s="39" t="n">
        <f aca="false">IF(G98="","",MIN(1,G98+J98/100))</f>
        <v>0.596203864364974</v>
      </c>
      <c r="M98" s="21" t="n">
        <f aca="false">ROUND(Q98*S98,0)</f>
        <v>2</v>
      </c>
      <c r="N98" s="21" t="n">
        <f aca="false">ROUND(SQRT((F98*J98/100)^2+(G98*M98)^2),0)</f>
        <v>1</v>
      </c>
      <c r="P98" s="41" t="n">
        <v>3.65495628982457</v>
      </c>
      <c r="Q98" s="42" t="n">
        <v>23.1873554058632</v>
      </c>
      <c r="R98" s="43" t="n">
        <f aca="false">MAX(0,MIN(1,P98/100+$D$5))</f>
        <v>0.574375257562006</v>
      </c>
      <c r="S98" s="43" t="n">
        <v>0.0731122618343653</v>
      </c>
      <c r="T98" s="44" t="s">
        <v>90</v>
      </c>
    </row>
    <row r="99" customFormat="false" ht="15" hidden="false" customHeight="false" outlineLevel="0" collapsed="false">
      <c r="A99" s="38" t="s">
        <v>157</v>
      </c>
      <c r="B99" s="38" t="s">
        <v>159</v>
      </c>
      <c r="C99" s="38" t="s">
        <v>196</v>
      </c>
      <c r="D99" s="21" t="n">
        <f aca="false">ROUND(Q99*R99,0)</f>
        <v>255</v>
      </c>
      <c r="E99" s="21" t="n">
        <f aca="false">ROUND(Q99,0)-D99</f>
        <v>157</v>
      </c>
      <c r="F99" s="21" t="n">
        <f aca="false">IF(COUNTA(D99:E99)=0,"",SUM(D99:E99))</f>
        <v>412</v>
      </c>
      <c r="G99" s="39" t="n">
        <f aca="false">IF(OR(F99="",F99=0),"",D99/F99)</f>
        <v>0.618932038834951</v>
      </c>
      <c r="H99" s="39" t="n">
        <f aca="false">IF(OR(F99="",F99=0),"",E99/F99)</f>
        <v>0.381067961165049</v>
      </c>
      <c r="I99" s="38" t="s">
        <v>89</v>
      </c>
      <c r="J99" s="40" t="n">
        <v>3.09864730606258</v>
      </c>
      <c r="K99" s="39" t="n">
        <f aca="false">IF(G99="","",MAX(0,G99-J99/100))</f>
        <v>0.587945565774326</v>
      </c>
      <c r="L99" s="39" t="n">
        <f aca="false">IF(G99="","",MIN(1,G99+J99/100))</f>
        <v>0.649918511895577</v>
      </c>
      <c r="M99" s="21" t="n">
        <f aca="false">ROUND(Q99*S99,0)</f>
        <v>30</v>
      </c>
      <c r="N99" s="21" t="n">
        <f aca="false">ROUND(SQRT((F99*J99/100)^2+(G99*M99)^2),0)</f>
        <v>23</v>
      </c>
      <c r="P99" s="41" t="n">
        <v>8.12679371471484</v>
      </c>
      <c r="Q99" s="42" t="n">
        <v>412.045548346896</v>
      </c>
      <c r="R99" s="43" t="n">
        <f aca="false">MAX(0,MIN(1,P99/100+$D$5))</f>
        <v>0.619093631810908</v>
      </c>
      <c r="S99" s="43" t="n">
        <v>0.0731122618343653</v>
      </c>
      <c r="T99" s="44" t="s">
        <v>90</v>
      </c>
    </row>
    <row r="100" customFormat="false" ht="15" hidden="false" customHeight="false" outlineLevel="0" collapsed="false">
      <c r="A100" s="38" t="s">
        <v>157</v>
      </c>
      <c r="B100" s="38" t="s">
        <v>159</v>
      </c>
      <c r="C100" s="38" t="s">
        <v>197</v>
      </c>
      <c r="D100" s="21" t="n">
        <f aca="false">ROUND(Q100*R100,0)</f>
        <v>370</v>
      </c>
      <c r="E100" s="21" t="n">
        <f aca="false">ROUND(Q100,0)-D100</f>
        <v>166</v>
      </c>
      <c r="F100" s="21" t="n">
        <f aca="false">IF(COUNTA(D100:E100)=0,"",SUM(D100:E100))</f>
        <v>536</v>
      </c>
      <c r="G100" s="39" t="n">
        <f aca="false">IF(OR(F100="",F100=0),"",D100/F100)</f>
        <v>0.690298507462687</v>
      </c>
      <c r="H100" s="39" t="n">
        <f aca="false">IF(OR(F100="",F100=0),"",E100/F100)</f>
        <v>0.309701492537313</v>
      </c>
      <c r="I100" s="38" t="s">
        <v>89</v>
      </c>
      <c r="J100" s="40" t="n">
        <v>3.09864730606258</v>
      </c>
      <c r="K100" s="39" t="n">
        <f aca="false">IF(G100="","",MAX(0,G100-J100/100))</f>
        <v>0.659312034402061</v>
      </c>
      <c r="L100" s="39" t="n">
        <f aca="false">IF(G100="","",MIN(1,G100+J100/100))</f>
        <v>0.721284980523312</v>
      </c>
      <c r="M100" s="21" t="n">
        <f aca="false">ROUND(Q100*S100,0)</f>
        <v>39</v>
      </c>
      <c r="N100" s="21" t="n">
        <f aca="false">ROUND(SQRT((F100*J100/100)^2+(G100*M100)^2),0)</f>
        <v>32</v>
      </c>
      <c r="P100" s="41" t="n">
        <v>15.2761084566532</v>
      </c>
      <c r="Q100" s="42" t="n">
        <v>536.374415184846</v>
      </c>
      <c r="R100" s="43" t="n">
        <f aca="false">MAX(0,MIN(1,P100/100+$D$5))</f>
        <v>0.690586779230292</v>
      </c>
      <c r="S100" s="43" t="n">
        <v>0.0731122618343653</v>
      </c>
      <c r="T100" s="44" t="s">
        <v>90</v>
      </c>
    </row>
    <row r="101" customFormat="false" ht="15" hidden="false" customHeight="false" outlineLevel="0" collapsed="false">
      <c r="A101" s="38" t="s">
        <v>157</v>
      </c>
      <c r="B101" s="38" t="s">
        <v>159</v>
      </c>
      <c r="C101" s="38" t="s">
        <v>198</v>
      </c>
      <c r="D101" s="21" t="n">
        <f aca="false">ROUND(Q101*R101,0)</f>
        <v>294</v>
      </c>
      <c r="E101" s="21" t="n">
        <f aca="false">ROUND(Q101,0)-D101</f>
        <v>168</v>
      </c>
      <c r="F101" s="21" t="n">
        <f aca="false">IF(COUNTA(D101:E101)=0,"",SUM(D101:E101))</f>
        <v>462</v>
      </c>
      <c r="G101" s="39" t="n">
        <f aca="false">IF(OR(F101="",F101=0),"",D101/F101)</f>
        <v>0.636363636363636</v>
      </c>
      <c r="H101" s="39" t="n">
        <f aca="false">IF(OR(F101="",F101=0),"",E101/F101)</f>
        <v>0.363636363636364</v>
      </c>
      <c r="I101" s="38" t="s">
        <v>89</v>
      </c>
      <c r="J101" s="40" t="n">
        <v>3.09864730606258</v>
      </c>
      <c r="K101" s="39" t="n">
        <f aca="false">IF(G101="","",MAX(0,G101-J101/100))</f>
        <v>0.605377163303011</v>
      </c>
      <c r="L101" s="39" t="n">
        <f aca="false">IF(G101="","",MIN(1,G101+J101/100))</f>
        <v>0.667350109424262</v>
      </c>
      <c r="M101" s="21" t="n">
        <f aca="false">ROUND(Q101*S101,0)</f>
        <v>34</v>
      </c>
      <c r="N101" s="21" t="n">
        <f aca="false">ROUND(SQRT((F101*J101/100)^2+(G101*M101)^2),0)</f>
        <v>26</v>
      </c>
      <c r="P101" s="41" t="n">
        <v>9.89088756670457</v>
      </c>
      <c r="Q101" s="42" t="n">
        <v>461.540564220992</v>
      </c>
      <c r="R101" s="43" t="n">
        <f aca="false">MAX(0,MIN(1,P101/100+$D$5))</f>
        <v>0.636734570330805</v>
      </c>
      <c r="S101" s="43" t="n">
        <v>0.0731122618343653</v>
      </c>
      <c r="T101" s="44" t="s">
        <v>90</v>
      </c>
    </row>
    <row r="102" customFormat="false" ht="15" hidden="false" customHeight="false" outlineLevel="0" collapsed="false">
      <c r="A102" s="38" t="s">
        <v>157</v>
      </c>
      <c r="B102" s="38" t="s">
        <v>159</v>
      </c>
      <c r="C102" s="38" t="s">
        <v>199</v>
      </c>
      <c r="D102" s="21" t="n">
        <f aca="false">ROUND(Q102*R102,0)</f>
        <v>244</v>
      </c>
      <c r="E102" s="21" t="n">
        <f aca="false">ROUND(Q102,0)-D102</f>
        <v>114</v>
      </c>
      <c r="F102" s="21" t="n">
        <f aca="false">IF(COUNTA(D102:E102)=0,"",SUM(D102:E102))</f>
        <v>358</v>
      </c>
      <c r="G102" s="39" t="n">
        <f aca="false">IF(OR(F102="",F102=0),"",D102/F102)</f>
        <v>0.681564245810056</v>
      </c>
      <c r="H102" s="39" t="n">
        <f aca="false">IF(OR(F102="",F102=0),"",E102/F102)</f>
        <v>0.318435754189944</v>
      </c>
      <c r="I102" s="38" t="s">
        <v>89</v>
      </c>
      <c r="J102" s="40" t="n">
        <v>3.09864730606258</v>
      </c>
      <c r="K102" s="39" t="n">
        <f aca="false">IF(G102="","",MAX(0,G102-J102/100))</f>
        <v>0.65057777274943</v>
      </c>
      <c r="L102" s="39" t="n">
        <f aca="false">IF(G102="","",MIN(1,G102+J102/100))</f>
        <v>0.712550718870682</v>
      </c>
      <c r="M102" s="21" t="n">
        <f aca="false">ROUND(Q102*S102,0)</f>
        <v>26</v>
      </c>
      <c r="N102" s="21" t="n">
        <f aca="false">ROUND(SQRT((F102*J102/100)^2+(G102*M102)^2),0)</f>
        <v>21</v>
      </c>
      <c r="P102" s="41" t="n">
        <v>14.2816674951924</v>
      </c>
      <c r="Q102" s="42" t="n">
        <v>357.820976183651</v>
      </c>
      <c r="R102" s="43" t="n">
        <f aca="false">MAX(0,MIN(1,P102/100+$D$5))</f>
        <v>0.680642369615684</v>
      </c>
      <c r="S102" s="43" t="n">
        <v>0.0731122618343653</v>
      </c>
      <c r="T102" s="44" t="s">
        <v>90</v>
      </c>
    </row>
    <row r="103" customFormat="false" ht="15" hidden="false" customHeight="false" outlineLevel="0" collapsed="false">
      <c r="A103" s="38" t="s">
        <v>157</v>
      </c>
      <c r="B103" s="38" t="s">
        <v>159</v>
      </c>
      <c r="C103" s="38" t="s">
        <v>200</v>
      </c>
      <c r="D103" s="21" t="n">
        <f aca="false">ROUND(Q103*R103,0)</f>
        <v>426</v>
      </c>
      <c r="E103" s="21" t="n">
        <f aca="false">ROUND(Q103,0)-D103</f>
        <v>236</v>
      </c>
      <c r="F103" s="21" t="n">
        <f aca="false">IF(COUNTA(D103:E103)=0,"",SUM(D103:E103))</f>
        <v>662</v>
      </c>
      <c r="G103" s="39" t="n">
        <f aca="false">IF(OR(F103="",F103=0),"",D103/F103)</f>
        <v>0.643504531722054</v>
      </c>
      <c r="H103" s="39" t="n">
        <f aca="false">IF(OR(F103="",F103=0),"",E103/F103)</f>
        <v>0.356495468277946</v>
      </c>
      <c r="I103" s="38" t="s">
        <v>89</v>
      </c>
      <c r="J103" s="40" t="n">
        <v>3.09864730606258</v>
      </c>
      <c r="K103" s="39" t="n">
        <f aca="false">IF(G103="","",MAX(0,G103-J103/100))</f>
        <v>0.612518058661429</v>
      </c>
      <c r="L103" s="39" t="n">
        <f aca="false">IF(G103="","",MIN(1,G103+J103/100))</f>
        <v>0.67449100478268</v>
      </c>
      <c r="M103" s="21" t="n">
        <f aca="false">ROUND(Q103*S103,0)</f>
        <v>48</v>
      </c>
      <c r="N103" s="21" t="n">
        <f aca="false">ROUND(SQRT((F103*J103/100)^2+(G103*M103)^2),0)</f>
        <v>37</v>
      </c>
      <c r="P103" s="41" t="n">
        <v>10.5734880326748</v>
      </c>
      <c r="Q103" s="42" t="n">
        <v>662.045769048746</v>
      </c>
      <c r="R103" s="43" t="n">
        <f aca="false">MAX(0,MIN(1,P103/100+$D$5))</f>
        <v>0.643560574990508</v>
      </c>
      <c r="S103" s="43" t="n">
        <v>0.0731122618343653</v>
      </c>
      <c r="T103" s="44" t="s">
        <v>90</v>
      </c>
    </row>
    <row r="104" customFormat="false" ht="15" hidden="false" customHeight="false" outlineLevel="0" collapsed="false">
      <c r="A104" s="38" t="s">
        <v>157</v>
      </c>
      <c r="B104" s="38" t="s">
        <v>159</v>
      </c>
      <c r="C104" s="38" t="s">
        <v>201</v>
      </c>
      <c r="D104" s="21" t="n">
        <f aca="false">ROUND(Q104*R104,0)</f>
        <v>1</v>
      </c>
      <c r="E104" s="21" t="n">
        <f aca="false">ROUND(Q104,0)-D104</f>
        <v>1</v>
      </c>
      <c r="F104" s="21" t="n">
        <f aca="false">IF(COUNTA(D104:E104)=0,"",SUM(D104:E104))</f>
        <v>2</v>
      </c>
      <c r="G104" s="39" t="n">
        <f aca="false">IF(OR(F104="",F104=0),"",D104/F104)</f>
        <v>0.5</v>
      </c>
      <c r="H104" s="39" t="n">
        <f aca="false">IF(OR(F104="",F104=0),"",E104/F104)</f>
        <v>0.5</v>
      </c>
      <c r="I104" s="38" t="s">
        <v>191</v>
      </c>
      <c r="J104" s="40" t="n">
        <v>3.09864730606258</v>
      </c>
      <c r="K104" s="39" t="n">
        <f aca="false">IF(G104="","",MAX(0,G104-J104/100))</f>
        <v>0.469013526939374</v>
      </c>
      <c r="L104" s="39" t="n">
        <f aca="false">IF(G104="","",MIN(1,G104+J104/100))</f>
        <v>0.530986473060626</v>
      </c>
      <c r="M104" s="21" t="n">
        <f aca="false">ROUND(Q104*S104,0)</f>
        <v>0</v>
      </c>
      <c r="N104" s="21" t="n">
        <f aca="false">ROUND(SQRT((F104*J104/100)^2+(G104*M104)^2),0)</f>
        <v>0</v>
      </c>
      <c r="P104" s="41" t="n">
        <v>1.45058785709342</v>
      </c>
      <c r="Q104" s="42" t="n">
        <v>2.32554411135647</v>
      </c>
      <c r="R104" s="43" t="n">
        <f aca="false">MAX(0,MIN(1,P104/100+$D$5))</f>
        <v>0.552331573234694</v>
      </c>
      <c r="S104" s="43" t="n">
        <v>0.0731122618343653</v>
      </c>
      <c r="T104" s="44" t="s">
        <v>90</v>
      </c>
    </row>
    <row r="105" customFormat="false" ht="15" hidden="false" customHeight="false" outlineLevel="0" collapsed="false">
      <c r="A105" s="38" t="s">
        <v>157</v>
      </c>
      <c r="B105" s="38" t="s">
        <v>159</v>
      </c>
      <c r="C105" s="38" t="s">
        <v>202</v>
      </c>
      <c r="D105" s="21" t="n">
        <f aca="false">ROUND(Q105*R105,0)</f>
        <v>501</v>
      </c>
      <c r="E105" s="21" t="n">
        <f aca="false">ROUND(Q105,0)-D105</f>
        <v>253</v>
      </c>
      <c r="F105" s="21" t="n">
        <f aca="false">IF(COUNTA(D105:E105)=0,"",SUM(D105:E105))</f>
        <v>754</v>
      </c>
      <c r="G105" s="39" t="n">
        <f aca="false">IF(OR(F105="",F105=0),"",D105/F105)</f>
        <v>0.664456233421751</v>
      </c>
      <c r="H105" s="39" t="n">
        <f aca="false">IF(OR(F105="",F105=0),"",E105/F105)</f>
        <v>0.335543766578249</v>
      </c>
      <c r="I105" s="38" t="s">
        <v>89</v>
      </c>
      <c r="J105" s="40" t="n">
        <v>3.09864730606258</v>
      </c>
      <c r="K105" s="39" t="n">
        <f aca="false">IF(G105="","",MAX(0,G105-J105/100))</f>
        <v>0.633469760361125</v>
      </c>
      <c r="L105" s="39" t="n">
        <f aca="false">IF(G105="","",MIN(1,G105+J105/100))</f>
        <v>0.695442706482376</v>
      </c>
      <c r="M105" s="21" t="n">
        <f aca="false">ROUND(Q105*S105,0)</f>
        <v>55</v>
      </c>
      <c r="N105" s="21" t="n">
        <f aca="false">ROUND(SQRT((F105*J105/100)^2+(G105*M105)^2),0)</f>
        <v>43</v>
      </c>
      <c r="P105" s="41" t="n">
        <v>12.6184651248215</v>
      </c>
      <c r="Q105" s="42" t="n">
        <v>754.169288193383</v>
      </c>
      <c r="R105" s="43" t="n">
        <f aca="false">MAX(0,MIN(1,P105/100+$D$5))</f>
        <v>0.664010345911975</v>
      </c>
      <c r="S105" s="43" t="n">
        <v>0.0731122618343653</v>
      </c>
      <c r="T105" s="44" t="s">
        <v>90</v>
      </c>
    </row>
    <row r="106" customFormat="false" ht="15" hidden="false" customHeight="false" outlineLevel="0" collapsed="false">
      <c r="A106" s="38" t="s">
        <v>157</v>
      </c>
      <c r="B106" s="38" t="s">
        <v>159</v>
      </c>
      <c r="C106" s="38" t="s">
        <v>203</v>
      </c>
      <c r="D106" s="21" t="n">
        <f aca="false">ROUND(Q106*R106,0)</f>
        <v>217</v>
      </c>
      <c r="E106" s="21" t="n">
        <f aca="false">ROUND(Q106,0)-D106</f>
        <v>62</v>
      </c>
      <c r="F106" s="21" t="n">
        <f aca="false">IF(COUNTA(D106:E106)=0,"",SUM(D106:E106))</f>
        <v>279</v>
      </c>
      <c r="G106" s="39" t="n">
        <f aca="false">IF(OR(F106="",F106=0),"",D106/F106)</f>
        <v>0.777777777777778</v>
      </c>
      <c r="H106" s="39" t="n">
        <f aca="false">IF(OR(F106="",F106=0),"",E106/F106)</f>
        <v>0.222222222222222</v>
      </c>
      <c r="I106" s="38" t="s">
        <v>89</v>
      </c>
      <c r="J106" s="40" t="n">
        <v>3.09864730606258</v>
      </c>
      <c r="K106" s="39" t="n">
        <f aca="false">IF(G106="","",MAX(0,G106-J106/100))</f>
        <v>0.746791304717152</v>
      </c>
      <c r="L106" s="39" t="n">
        <f aca="false">IF(G106="","",MIN(1,G106+J106/100))</f>
        <v>0.808764250838404</v>
      </c>
      <c r="M106" s="21" t="n">
        <f aca="false">ROUND(Q106*S106,0)</f>
        <v>20</v>
      </c>
      <c r="N106" s="21" t="n">
        <f aca="false">ROUND(SQRT((F106*J106/100)^2+(G106*M106)^2),0)</f>
        <v>18</v>
      </c>
      <c r="P106" s="41" t="n">
        <v>24.1538794896928</v>
      </c>
      <c r="Q106" s="42" t="n">
        <v>278.621519820267</v>
      </c>
      <c r="R106" s="43" t="n">
        <f aca="false">MAX(0,MIN(1,P106/100+$D$5))</f>
        <v>0.779364489560688</v>
      </c>
      <c r="S106" s="43" t="n">
        <v>0.0731122618343653</v>
      </c>
      <c r="T106" s="44" t="s">
        <v>90</v>
      </c>
    </row>
    <row r="107" customFormat="false" ht="15" hidden="false" customHeight="false" outlineLevel="0" collapsed="false">
      <c r="A107" s="38" t="s">
        <v>157</v>
      </c>
      <c r="B107" s="38" t="s">
        <v>159</v>
      </c>
      <c r="C107" s="38" t="s">
        <v>204</v>
      </c>
      <c r="D107" s="21" t="n">
        <f aca="false">ROUND(Q107*R107,0)</f>
        <v>198</v>
      </c>
      <c r="E107" s="21" t="n">
        <f aca="false">ROUND(Q107,0)-D107</f>
        <v>75</v>
      </c>
      <c r="F107" s="21" t="n">
        <f aca="false">IF(COUNTA(D107:E107)=0,"",SUM(D107:E107))</f>
        <v>273</v>
      </c>
      <c r="G107" s="39" t="n">
        <f aca="false">IF(OR(F107="",F107=0),"",D107/F107)</f>
        <v>0.725274725274725</v>
      </c>
      <c r="H107" s="39" t="n">
        <f aca="false">IF(OR(F107="",F107=0),"",E107/F107)</f>
        <v>0.274725274725275</v>
      </c>
      <c r="I107" s="38" t="s">
        <v>89</v>
      </c>
      <c r="J107" s="40" t="n">
        <v>3.09864730606258</v>
      </c>
      <c r="K107" s="39" t="n">
        <f aca="false">IF(G107="","",MAX(0,G107-J107/100))</f>
        <v>0.6942882522141</v>
      </c>
      <c r="L107" s="39" t="n">
        <f aca="false">IF(G107="","",MIN(1,G107+J107/100))</f>
        <v>0.756261198335351</v>
      </c>
      <c r="M107" s="21" t="n">
        <f aca="false">ROUND(Q107*S107,0)</f>
        <v>20</v>
      </c>
      <c r="N107" s="21" t="n">
        <f aca="false">ROUND(SQRT((F107*J107/100)^2+(G107*M107)^2),0)</f>
        <v>17</v>
      </c>
      <c r="P107" s="41" t="n">
        <v>18.7547921552682</v>
      </c>
      <c r="Q107" s="42" t="n">
        <v>273.180472345891</v>
      </c>
      <c r="R107" s="43" t="n">
        <f aca="false">MAX(0,MIN(1,P107/100+$D$5))</f>
        <v>0.725373616216442</v>
      </c>
      <c r="S107" s="43" t="n">
        <v>0.0731122618343653</v>
      </c>
      <c r="T107" s="44" t="s">
        <v>90</v>
      </c>
    </row>
    <row r="108" customFormat="false" ht="15" hidden="false" customHeight="false" outlineLevel="0" collapsed="false">
      <c r="A108" s="38" t="s">
        <v>157</v>
      </c>
      <c r="B108" s="38" t="s">
        <v>159</v>
      </c>
      <c r="C108" s="38" t="s">
        <v>205</v>
      </c>
      <c r="D108" s="21" t="n">
        <f aca="false">ROUND(Q108*R108,0)</f>
        <v>423</v>
      </c>
      <c r="E108" s="21" t="n">
        <f aca="false">ROUND(Q108,0)-D108</f>
        <v>143</v>
      </c>
      <c r="F108" s="21" t="n">
        <f aca="false">IF(COUNTA(D108:E108)=0,"",SUM(D108:E108))</f>
        <v>566</v>
      </c>
      <c r="G108" s="39" t="n">
        <f aca="false">IF(OR(F108="",F108=0),"",D108/F108)</f>
        <v>0.747349823321555</v>
      </c>
      <c r="H108" s="39" t="n">
        <f aca="false">IF(OR(F108="",F108=0),"",E108/F108)</f>
        <v>0.252650176678445</v>
      </c>
      <c r="I108" s="38" t="s">
        <v>89</v>
      </c>
      <c r="J108" s="40" t="n">
        <v>3.09864730606258</v>
      </c>
      <c r="K108" s="39" t="n">
        <f aca="false">IF(G108="","",MAX(0,G108-J108/100))</f>
        <v>0.716363350260929</v>
      </c>
      <c r="L108" s="39" t="n">
        <f aca="false">IF(G108="","",MIN(1,G108+J108/100))</f>
        <v>0.778336296382181</v>
      </c>
      <c r="M108" s="21" t="n">
        <f aca="false">ROUND(Q108*S108,0)</f>
        <v>41</v>
      </c>
      <c r="N108" s="21" t="n">
        <f aca="false">ROUND(SQRT((F108*J108/100)^2+(G108*M108)^2),0)</f>
        <v>35</v>
      </c>
      <c r="P108" s="41" t="n">
        <v>21.0130625009803</v>
      </c>
      <c r="Q108" s="42" t="n">
        <v>565.683286998883</v>
      </c>
      <c r="R108" s="43" t="n">
        <f aca="false">MAX(0,MIN(1,P108/100+$D$5))</f>
        <v>0.747956319673562</v>
      </c>
      <c r="S108" s="43" t="n">
        <v>0.0731122618343653</v>
      </c>
      <c r="T108" s="44" t="s">
        <v>90</v>
      </c>
    </row>
    <row r="109" customFormat="false" ht="15" hidden="false" customHeight="false" outlineLevel="0" collapsed="false">
      <c r="A109" s="38" t="s">
        <v>157</v>
      </c>
      <c r="B109" s="38" t="s">
        <v>159</v>
      </c>
      <c r="C109" s="38" t="s">
        <v>206</v>
      </c>
      <c r="D109" s="21" t="n">
        <f aca="false">ROUND(Q109*R109,0)</f>
        <v>157</v>
      </c>
      <c r="E109" s="21" t="n">
        <f aca="false">ROUND(Q109,0)-D109</f>
        <v>62</v>
      </c>
      <c r="F109" s="21" t="n">
        <f aca="false">IF(COUNTA(D109:E109)=0,"",SUM(D109:E109))</f>
        <v>219</v>
      </c>
      <c r="G109" s="39" t="n">
        <f aca="false">IF(OR(F109="",F109=0),"",D109/F109)</f>
        <v>0.71689497716895</v>
      </c>
      <c r="H109" s="39" t="n">
        <f aca="false">IF(OR(F109="",F109=0),"",E109/F109)</f>
        <v>0.28310502283105</v>
      </c>
      <c r="I109" s="38" t="s">
        <v>89</v>
      </c>
      <c r="J109" s="40" t="n">
        <v>3.09864730606258</v>
      </c>
      <c r="K109" s="39" t="n">
        <f aca="false">IF(G109="","",MAX(0,G109-J109/100))</f>
        <v>0.685908504108324</v>
      </c>
      <c r="L109" s="39" t="n">
        <f aca="false">IF(G109="","",MIN(1,G109+J109/100))</f>
        <v>0.747881450229576</v>
      </c>
      <c r="M109" s="21" t="n">
        <f aca="false">ROUND(Q109*S109,0)</f>
        <v>16</v>
      </c>
      <c r="N109" s="21" t="n">
        <f aca="false">ROUND(SQRT((F109*J109/100)^2+(G109*M109)^2),0)</f>
        <v>13</v>
      </c>
      <c r="P109" s="41" t="n">
        <v>18.1446518330974</v>
      </c>
      <c r="Q109" s="42" t="n">
        <v>218.650476300358</v>
      </c>
      <c r="R109" s="43" t="n">
        <f aca="false">MAX(0,MIN(1,P109/100+$D$5))</f>
        <v>0.719272212994734</v>
      </c>
      <c r="S109" s="43" t="n">
        <v>0.0731122618343653</v>
      </c>
      <c r="T109" s="44" t="s">
        <v>90</v>
      </c>
    </row>
    <row r="110" customFormat="false" ht="15" hidden="false" customHeight="false" outlineLevel="0" collapsed="false">
      <c r="A110" s="38" t="s">
        <v>157</v>
      </c>
      <c r="B110" s="38" t="s">
        <v>159</v>
      </c>
      <c r="C110" s="38" t="s">
        <v>207</v>
      </c>
      <c r="D110" s="21" t="n">
        <f aca="false">ROUND(Q110*R110,0)</f>
        <v>241</v>
      </c>
      <c r="E110" s="21" t="n">
        <f aca="false">ROUND(Q110,0)-D110</f>
        <v>63</v>
      </c>
      <c r="F110" s="21" t="n">
        <f aca="false">IF(COUNTA(D110:E110)=0,"",SUM(D110:E110))</f>
        <v>304</v>
      </c>
      <c r="G110" s="39" t="n">
        <f aca="false">IF(OR(F110="",F110=0),"",D110/F110)</f>
        <v>0.792763157894737</v>
      </c>
      <c r="H110" s="39" t="n">
        <f aca="false">IF(OR(F110="",F110=0),"",E110/F110)</f>
        <v>0.207236842105263</v>
      </c>
      <c r="I110" s="38" t="s">
        <v>89</v>
      </c>
      <c r="J110" s="40" t="n">
        <v>3.09864730606258</v>
      </c>
      <c r="K110" s="39" t="n">
        <f aca="false">IF(G110="","",MAX(0,G110-J110/100))</f>
        <v>0.761776684834111</v>
      </c>
      <c r="L110" s="39" t="n">
        <f aca="false">IF(G110="","",MIN(1,G110+J110/100))</f>
        <v>0.823749630955363</v>
      </c>
      <c r="M110" s="21" t="n">
        <f aca="false">ROUND(Q110*S110,0)</f>
        <v>22</v>
      </c>
      <c r="N110" s="21" t="n">
        <f aca="false">ROUND(SQRT((F110*J110/100)^2+(G110*M110)^2),0)</f>
        <v>20</v>
      </c>
      <c r="P110" s="41" t="n">
        <v>25.5723537217342</v>
      </c>
      <c r="Q110" s="42" t="n">
        <v>303.9657618812</v>
      </c>
      <c r="R110" s="43" t="n">
        <f aca="false">MAX(0,MIN(1,P110/100+$D$5))</f>
        <v>0.793549231881102</v>
      </c>
      <c r="S110" s="43" t="n">
        <v>0.0731122618343653</v>
      </c>
      <c r="T110" s="44" t="s">
        <v>90</v>
      </c>
    </row>
    <row r="111" customFormat="false" ht="15" hidden="false" customHeight="false" outlineLevel="0" collapsed="false">
      <c r="A111" s="38" t="s">
        <v>157</v>
      </c>
      <c r="B111" s="38" t="s">
        <v>159</v>
      </c>
      <c r="C111" s="38" t="s">
        <v>208</v>
      </c>
      <c r="D111" s="21" t="n">
        <f aca="false">ROUND(Q111*R111,0)</f>
        <v>76</v>
      </c>
      <c r="E111" s="21" t="n">
        <f aca="false">ROUND(Q111,0)-D111</f>
        <v>34</v>
      </c>
      <c r="F111" s="21" t="n">
        <f aca="false">IF(COUNTA(D111:E111)=0,"",SUM(D111:E111))</f>
        <v>110</v>
      </c>
      <c r="G111" s="39" t="n">
        <f aca="false">IF(OR(F111="",F111=0),"",D111/F111)</f>
        <v>0.690909090909091</v>
      </c>
      <c r="H111" s="39" t="n">
        <f aca="false">IF(OR(F111="",F111=0),"",E111/F111)</f>
        <v>0.309090909090909</v>
      </c>
      <c r="I111" s="38" t="s">
        <v>89</v>
      </c>
      <c r="J111" s="40" t="n">
        <v>3.09864730606258</v>
      </c>
      <c r="K111" s="39" t="n">
        <f aca="false">IF(G111="","",MAX(0,G111-J111/100))</f>
        <v>0.659922617848465</v>
      </c>
      <c r="L111" s="39" t="n">
        <f aca="false">IF(G111="","",MIN(1,G111+J111/100))</f>
        <v>0.721895563969717</v>
      </c>
      <c r="M111" s="21" t="n">
        <f aca="false">ROUND(Q111*S111,0)</f>
        <v>8</v>
      </c>
      <c r="N111" s="21" t="n">
        <f aca="false">ROUND(SQRT((F111*J111/100)^2+(G111*M111)^2),0)</f>
        <v>6</v>
      </c>
      <c r="P111" s="41" t="n">
        <v>15.4187122389246</v>
      </c>
      <c r="Q111" s="42" t="n">
        <v>109.61646187184</v>
      </c>
      <c r="R111" s="43" t="n">
        <f aca="false">MAX(0,MIN(1,P111/100+$D$5))</f>
        <v>0.692012817053005</v>
      </c>
      <c r="S111" s="43" t="n">
        <v>0.0731122618343653</v>
      </c>
      <c r="T111" s="44" t="s">
        <v>90</v>
      </c>
    </row>
    <row r="112" customFormat="false" ht="15" hidden="false" customHeight="false" outlineLevel="0" collapsed="false">
      <c r="A112" s="38" t="s">
        <v>157</v>
      </c>
      <c r="B112" s="38" t="s">
        <v>159</v>
      </c>
      <c r="C112" s="38" t="s">
        <v>209</v>
      </c>
      <c r="D112" s="21" t="n">
        <f aca="false">ROUND(Q112*R112,0)</f>
        <v>180</v>
      </c>
      <c r="E112" s="21" t="n">
        <f aca="false">ROUND(Q112,0)-D112</f>
        <v>83</v>
      </c>
      <c r="F112" s="21" t="n">
        <f aca="false">IF(COUNTA(D112:E112)=0,"",SUM(D112:E112))</f>
        <v>263</v>
      </c>
      <c r="G112" s="39" t="n">
        <f aca="false">IF(OR(F112="",F112=0),"",D112/F112)</f>
        <v>0.684410646387833</v>
      </c>
      <c r="H112" s="39" t="n">
        <f aca="false">IF(OR(F112="",F112=0),"",E112/F112)</f>
        <v>0.315589353612167</v>
      </c>
      <c r="I112" s="38" t="s">
        <v>89</v>
      </c>
      <c r="J112" s="40" t="n">
        <v>3.09864730606258</v>
      </c>
      <c r="K112" s="39" t="n">
        <f aca="false">IF(G112="","",MAX(0,G112-J112/100))</f>
        <v>0.653424173327207</v>
      </c>
      <c r="L112" s="39" t="n">
        <f aca="false">IF(G112="","",MIN(1,G112+J112/100))</f>
        <v>0.715397119448458</v>
      </c>
      <c r="M112" s="21" t="n">
        <f aca="false">ROUND(Q112*S112,0)</f>
        <v>19</v>
      </c>
      <c r="N112" s="21" t="n">
        <f aca="false">ROUND(SQRT((F112*J112/100)^2+(G112*M112)^2),0)</f>
        <v>15</v>
      </c>
      <c r="P112" s="41" t="n">
        <v>14.4618842186973</v>
      </c>
      <c r="Q112" s="42" t="n">
        <v>263.348250033439</v>
      </c>
      <c r="R112" s="43" t="n">
        <f aca="false">MAX(0,MIN(1,P112/100+$D$5))</f>
        <v>0.682444536850733</v>
      </c>
      <c r="S112" s="43" t="n">
        <v>0.0731122618343653</v>
      </c>
      <c r="T112" s="44" t="s">
        <v>90</v>
      </c>
    </row>
    <row r="113" customFormat="false" ht="15" hidden="false" customHeight="false" outlineLevel="0" collapsed="false">
      <c r="A113" s="38" t="s">
        <v>157</v>
      </c>
      <c r="B113" s="38" t="s">
        <v>159</v>
      </c>
      <c r="C113" s="38" t="s">
        <v>210</v>
      </c>
      <c r="D113" s="21" t="n">
        <f aca="false">ROUND(Q113*R113,0)</f>
        <v>267</v>
      </c>
      <c r="E113" s="21" t="n">
        <f aca="false">ROUND(Q113,0)-D113</f>
        <v>85</v>
      </c>
      <c r="F113" s="21" t="n">
        <f aca="false">IF(COUNTA(D113:E113)=0,"",SUM(D113:E113))</f>
        <v>352</v>
      </c>
      <c r="G113" s="39" t="n">
        <f aca="false">IF(OR(F113="",F113=0),"",D113/F113)</f>
        <v>0.758522727272727</v>
      </c>
      <c r="H113" s="39" t="n">
        <f aca="false">IF(OR(F113="",F113=0),"",E113/F113)</f>
        <v>0.241477272727273</v>
      </c>
      <c r="I113" s="38" t="s">
        <v>89</v>
      </c>
      <c r="J113" s="40" t="n">
        <v>3.09864730606258</v>
      </c>
      <c r="K113" s="39" t="n">
        <f aca="false">IF(G113="","",MAX(0,G113-J113/100))</f>
        <v>0.727536254212102</v>
      </c>
      <c r="L113" s="39" t="n">
        <f aca="false">IF(G113="","",MIN(1,G113+J113/100))</f>
        <v>0.789509200333353</v>
      </c>
      <c r="M113" s="21" t="n">
        <f aca="false">ROUND(Q113*S113,0)</f>
        <v>26</v>
      </c>
      <c r="N113" s="21" t="n">
        <f aca="false">ROUND(SQRT((F113*J113/100)^2+(G113*M113)^2),0)</f>
        <v>23</v>
      </c>
      <c r="P113" s="41" t="n">
        <v>22.086075089571</v>
      </c>
      <c r="Q113" s="42" t="n">
        <v>352.431799232892</v>
      </c>
      <c r="R113" s="43" t="n">
        <f aca="false">MAX(0,MIN(1,P113/100+$D$5))</f>
        <v>0.75868644555947</v>
      </c>
      <c r="S113" s="43" t="n">
        <v>0.0731122618343653</v>
      </c>
      <c r="T113" s="44" t="s">
        <v>90</v>
      </c>
    </row>
    <row r="114" customFormat="false" ht="15" hidden="false" customHeight="false" outlineLevel="0" collapsed="false">
      <c r="A114" s="38" t="s">
        <v>157</v>
      </c>
      <c r="B114" s="38" t="s">
        <v>159</v>
      </c>
      <c r="C114" s="38" t="s">
        <v>211</v>
      </c>
      <c r="D114" s="21" t="n">
        <f aca="false">ROUND(Q114*R114,0)</f>
        <v>100</v>
      </c>
      <c r="E114" s="21" t="n">
        <f aca="false">ROUND(Q114,0)-D114</f>
        <v>30</v>
      </c>
      <c r="F114" s="21" t="n">
        <f aca="false">IF(COUNTA(D114:E114)=0,"",SUM(D114:E114))</f>
        <v>130</v>
      </c>
      <c r="G114" s="39" t="n">
        <f aca="false">IF(OR(F114="",F114=0),"",D114/F114)</f>
        <v>0.769230769230769</v>
      </c>
      <c r="H114" s="39" t="n">
        <f aca="false">IF(OR(F114="",F114=0),"",E114/F114)</f>
        <v>0.230769230769231</v>
      </c>
      <c r="I114" s="38" t="s">
        <v>89</v>
      </c>
      <c r="J114" s="40" t="n">
        <v>3.09864730606258</v>
      </c>
      <c r="K114" s="39" t="n">
        <f aca="false">IF(G114="","",MAX(0,G114-J114/100))</f>
        <v>0.738244296170144</v>
      </c>
      <c r="L114" s="39" t="n">
        <f aca="false">IF(G114="","",MIN(1,G114+J114/100))</f>
        <v>0.800217242291395</v>
      </c>
      <c r="M114" s="21" t="n">
        <f aca="false">ROUND(Q114*S114,0)</f>
        <v>10</v>
      </c>
      <c r="N114" s="21" t="n">
        <f aca="false">ROUND(SQRT((F114*J114/100)^2+(G114*M114)^2),0)</f>
        <v>9</v>
      </c>
      <c r="P114" s="41" t="n">
        <v>23.0137473751257</v>
      </c>
      <c r="Q114" s="42" t="n">
        <v>129.938143004116</v>
      </c>
      <c r="R114" s="43" t="n">
        <f aca="false">MAX(0,MIN(1,P114/100+$D$5))</f>
        <v>0.767963168415017</v>
      </c>
      <c r="S114" s="43" t="n">
        <v>0.0731122618343653</v>
      </c>
      <c r="T114" s="44" t="s">
        <v>90</v>
      </c>
    </row>
    <row r="115" customFormat="false" ht="15" hidden="false" customHeight="false" outlineLevel="0" collapsed="false">
      <c r="A115" s="38" t="s">
        <v>157</v>
      </c>
      <c r="B115" s="38" t="s">
        <v>159</v>
      </c>
      <c r="C115" s="38" t="s">
        <v>212</v>
      </c>
      <c r="D115" s="21" t="n">
        <f aca="false">ROUND(Q115*R115,0)</f>
        <v>123</v>
      </c>
      <c r="E115" s="21" t="n">
        <f aca="false">ROUND(Q115,0)-D115</f>
        <v>33</v>
      </c>
      <c r="F115" s="21" t="n">
        <f aca="false">IF(COUNTA(D115:E115)=0,"",SUM(D115:E115))</f>
        <v>156</v>
      </c>
      <c r="G115" s="39" t="n">
        <f aca="false">IF(OR(F115="",F115=0),"",D115/F115)</f>
        <v>0.788461538461538</v>
      </c>
      <c r="H115" s="39" t="n">
        <f aca="false">IF(OR(F115="",F115=0),"",E115/F115)</f>
        <v>0.211538461538462</v>
      </c>
      <c r="I115" s="38" t="s">
        <v>89</v>
      </c>
      <c r="J115" s="40" t="n">
        <v>3.09864730606258</v>
      </c>
      <c r="K115" s="39" t="n">
        <f aca="false">IF(G115="","",MAX(0,G115-J115/100))</f>
        <v>0.757475065400913</v>
      </c>
      <c r="L115" s="39" t="n">
        <f aca="false">IF(G115="","",MIN(1,G115+J115/100))</f>
        <v>0.819448011522164</v>
      </c>
      <c r="M115" s="21" t="n">
        <f aca="false">ROUND(Q115*S115,0)</f>
        <v>11</v>
      </c>
      <c r="N115" s="21" t="n">
        <f aca="false">ROUND(SQRT((F115*J115/100)^2+(G115*M115)^2),0)</f>
        <v>10</v>
      </c>
      <c r="P115" s="41" t="n">
        <v>24.7318728380214</v>
      </c>
      <c r="Q115" s="42" t="n">
        <v>156.450044329153</v>
      </c>
      <c r="R115" s="43" t="n">
        <f aca="false">MAX(0,MIN(1,P115/100+$D$5))</f>
        <v>0.785144423043973</v>
      </c>
      <c r="S115" s="43" t="n">
        <v>0.0731122618343653</v>
      </c>
      <c r="T115" s="44" t="s">
        <v>90</v>
      </c>
    </row>
    <row r="116" customFormat="false" ht="15" hidden="false" customHeight="false" outlineLevel="0" collapsed="false">
      <c r="A116" s="38" t="s">
        <v>157</v>
      </c>
      <c r="B116" s="38" t="s">
        <v>159</v>
      </c>
      <c r="C116" s="38" t="s">
        <v>213</v>
      </c>
      <c r="D116" s="21" t="n">
        <f aca="false">ROUND(Q116*R116,0)</f>
        <v>188</v>
      </c>
      <c r="E116" s="21" t="n">
        <f aca="false">ROUND(Q116,0)-D116</f>
        <v>52</v>
      </c>
      <c r="F116" s="21" t="n">
        <f aca="false">IF(COUNTA(D116:E116)=0,"",SUM(D116:E116))</f>
        <v>240</v>
      </c>
      <c r="G116" s="39" t="n">
        <f aca="false">IF(OR(F116="",F116=0),"",D116/F116)</f>
        <v>0.783333333333333</v>
      </c>
      <c r="H116" s="39" t="n">
        <f aca="false">IF(OR(F116="",F116=0),"",E116/F116)</f>
        <v>0.216666666666667</v>
      </c>
      <c r="I116" s="38" t="s">
        <v>89</v>
      </c>
      <c r="J116" s="40" t="n">
        <v>3.09864730606258</v>
      </c>
      <c r="K116" s="39" t="n">
        <f aca="false">IF(G116="","",MAX(0,G116-J116/100))</f>
        <v>0.752346860272708</v>
      </c>
      <c r="L116" s="39" t="n">
        <f aca="false">IF(G116="","",MIN(1,G116+J116/100))</f>
        <v>0.814319806393959</v>
      </c>
      <c r="M116" s="21" t="n">
        <f aca="false">ROUND(Q116*S116,0)</f>
        <v>18</v>
      </c>
      <c r="N116" s="21" t="n">
        <f aca="false">ROUND(SQRT((F116*J116/100)^2+(G116*M116)^2),0)</f>
        <v>16</v>
      </c>
      <c r="P116" s="41" t="n">
        <v>24.5741183626873</v>
      </c>
      <c r="Q116" s="42" t="n">
        <v>239.577707567678</v>
      </c>
      <c r="R116" s="43" t="n">
        <f aca="false">MAX(0,MIN(1,P116/100+$D$5))</f>
        <v>0.783566878290632</v>
      </c>
      <c r="S116" s="43" t="n">
        <v>0.0731122618343653</v>
      </c>
      <c r="T116" s="44" t="s">
        <v>90</v>
      </c>
    </row>
    <row r="117" customFormat="false" ht="15" hidden="false" customHeight="false" outlineLevel="0" collapsed="false">
      <c r="A117" s="38" t="s">
        <v>157</v>
      </c>
      <c r="B117" s="38" t="s">
        <v>159</v>
      </c>
      <c r="C117" s="38" t="s">
        <v>214</v>
      </c>
      <c r="D117" s="21" t="n">
        <f aca="false">ROUND(Q117*R117,0)</f>
        <v>324</v>
      </c>
      <c r="E117" s="21" t="n">
        <f aca="false">ROUND(Q117,0)-D117</f>
        <v>141</v>
      </c>
      <c r="F117" s="21" t="n">
        <f aca="false">IF(COUNTA(D117:E117)=0,"",SUM(D117:E117))</f>
        <v>465</v>
      </c>
      <c r="G117" s="39" t="n">
        <f aca="false">IF(OR(F117="",F117=0),"",D117/F117)</f>
        <v>0.696774193548387</v>
      </c>
      <c r="H117" s="39" t="n">
        <f aca="false">IF(OR(F117="",F117=0),"",E117/F117)</f>
        <v>0.303225806451613</v>
      </c>
      <c r="I117" s="38" t="s">
        <v>89</v>
      </c>
      <c r="J117" s="40" t="n">
        <v>3.09864730606258</v>
      </c>
      <c r="K117" s="39" t="n">
        <f aca="false">IF(G117="","",MAX(0,G117-J117/100))</f>
        <v>0.665787720487761</v>
      </c>
      <c r="L117" s="39" t="n">
        <f aca="false">IF(G117="","",MIN(1,G117+J117/100))</f>
        <v>0.727760666609013</v>
      </c>
      <c r="M117" s="21" t="n">
        <f aca="false">ROUND(Q117*S117,0)</f>
        <v>34</v>
      </c>
      <c r="N117" s="21" t="n">
        <f aca="false">ROUND(SQRT((F117*J117/100)^2+(G117*M117)^2),0)</f>
        <v>28</v>
      </c>
      <c r="P117" s="41" t="n">
        <v>16.0187945946752</v>
      </c>
      <c r="Q117" s="42" t="n">
        <v>464.710119974403</v>
      </c>
      <c r="R117" s="43" t="n">
        <f aca="false">MAX(0,MIN(1,P117/100+$D$5))</f>
        <v>0.698013640610511</v>
      </c>
      <c r="S117" s="43" t="n">
        <v>0.0731122618343653</v>
      </c>
      <c r="T117" s="44" t="s">
        <v>90</v>
      </c>
    </row>
    <row r="118" customFormat="false" ht="15" hidden="false" customHeight="false" outlineLevel="0" collapsed="false">
      <c r="A118" s="38" t="s">
        <v>157</v>
      </c>
      <c r="B118" s="38" t="s">
        <v>159</v>
      </c>
      <c r="C118" s="38" t="s">
        <v>215</v>
      </c>
      <c r="D118" s="21" t="n">
        <f aca="false">ROUND(Q118*R118,0)</f>
        <v>151</v>
      </c>
      <c r="E118" s="21" t="n">
        <f aca="false">ROUND(Q118,0)-D118</f>
        <v>62</v>
      </c>
      <c r="F118" s="21" t="n">
        <f aca="false">IF(COUNTA(D118:E118)=0,"",SUM(D118:E118))</f>
        <v>213</v>
      </c>
      <c r="G118" s="39" t="n">
        <f aca="false">IF(OR(F118="",F118=0),"",D118/F118)</f>
        <v>0.708920187793427</v>
      </c>
      <c r="H118" s="39" t="n">
        <f aca="false">IF(OR(F118="",F118=0),"",E118/F118)</f>
        <v>0.291079812206573</v>
      </c>
      <c r="I118" s="38" t="s">
        <v>89</v>
      </c>
      <c r="J118" s="40" t="n">
        <v>3.09864730606258</v>
      </c>
      <c r="K118" s="39" t="n">
        <f aca="false">IF(G118="","",MAX(0,G118-J118/100))</f>
        <v>0.677933714732802</v>
      </c>
      <c r="L118" s="39" t="n">
        <f aca="false">IF(G118="","",MIN(1,G118+J118/100))</f>
        <v>0.739906660854053</v>
      </c>
      <c r="M118" s="21" t="n">
        <f aca="false">ROUND(Q118*S118,0)</f>
        <v>16</v>
      </c>
      <c r="N118" s="21" t="n">
        <f aca="false">ROUND(SQRT((F118*J118/100)^2+(G118*M118)^2),0)</f>
        <v>13</v>
      </c>
      <c r="P118" s="41" t="n">
        <v>17.0610990072908</v>
      </c>
      <c r="Q118" s="42" t="n">
        <v>213.314852583789</v>
      </c>
      <c r="R118" s="43" t="n">
        <f aca="false">MAX(0,MIN(1,P118/100+$D$5))</f>
        <v>0.708436684736667</v>
      </c>
      <c r="S118" s="43" t="n">
        <v>0.0731122618343653</v>
      </c>
      <c r="T118" s="44" t="s">
        <v>90</v>
      </c>
    </row>
    <row r="119" customFormat="false" ht="15" hidden="false" customHeight="false" outlineLevel="0" collapsed="false">
      <c r="A119" s="38" t="s">
        <v>157</v>
      </c>
      <c r="B119" s="38" t="s">
        <v>159</v>
      </c>
      <c r="C119" s="38" t="s">
        <v>216</v>
      </c>
      <c r="D119" s="21" t="n">
        <f aca="false">ROUND(Q119*R119,0)</f>
        <v>160</v>
      </c>
      <c r="E119" s="21" t="n">
        <f aca="false">ROUND(Q119,0)-D119</f>
        <v>59</v>
      </c>
      <c r="F119" s="21" t="n">
        <f aca="false">IF(COUNTA(D119:E119)=0,"",SUM(D119:E119))</f>
        <v>219</v>
      </c>
      <c r="G119" s="39" t="n">
        <f aca="false">IF(OR(F119="",F119=0),"",D119/F119)</f>
        <v>0.730593607305936</v>
      </c>
      <c r="H119" s="39" t="n">
        <f aca="false">IF(OR(F119="",F119=0),"",E119/F119)</f>
        <v>0.269406392694064</v>
      </c>
      <c r="I119" s="38" t="s">
        <v>89</v>
      </c>
      <c r="J119" s="40" t="n">
        <v>3.09864730606258</v>
      </c>
      <c r="K119" s="39" t="n">
        <f aca="false">IF(G119="","",MAX(0,G119-J119/100))</f>
        <v>0.69960713424531</v>
      </c>
      <c r="L119" s="39" t="n">
        <f aca="false">IF(G119="","",MIN(1,G119+J119/100))</f>
        <v>0.761580080366562</v>
      </c>
      <c r="M119" s="21" t="n">
        <f aca="false">ROUND(Q119*S119,0)</f>
        <v>16</v>
      </c>
      <c r="N119" s="21" t="n">
        <f aca="false">ROUND(SQRT((F119*J119/100)^2+(G119*M119)^2),0)</f>
        <v>14</v>
      </c>
      <c r="P119" s="41" t="n">
        <v>19.2182213434407</v>
      </c>
      <c r="Q119" s="42" t="n">
        <v>218.997577766909</v>
      </c>
      <c r="R119" s="43" t="n">
        <f aca="false">MAX(0,MIN(1,P119/100+$D$5))</f>
        <v>0.730007908098167</v>
      </c>
      <c r="S119" s="43" t="n">
        <v>0.0731122618343653</v>
      </c>
      <c r="T119" s="44" t="s">
        <v>90</v>
      </c>
    </row>
    <row r="120" customFormat="false" ht="15" hidden="false" customHeight="false" outlineLevel="0" collapsed="false">
      <c r="A120" s="38" t="s">
        <v>157</v>
      </c>
      <c r="B120" s="38" t="s">
        <v>159</v>
      </c>
      <c r="C120" s="38" t="s">
        <v>217</v>
      </c>
      <c r="D120" s="21" t="n">
        <f aca="false">ROUND(Q120*R120,0)</f>
        <v>312</v>
      </c>
      <c r="E120" s="21" t="n">
        <f aca="false">ROUND(Q120,0)-D120</f>
        <v>157</v>
      </c>
      <c r="F120" s="21" t="n">
        <f aca="false">IF(COUNTA(D120:E120)=0,"",SUM(D120:E120))</f>
        <v>469</v>
      </c>
      <c r="G120" s="39" t="n">
        <f aca="false">IF(OR(F120="",F120=0),"",D120/F120)</f>
        <v>0.665245202558635</v>
      </c>
      <c r="H120" s="39" t="n">
        <f aca="false">IF(OR(F120="",F120=0),"",E120/F120)</f>
        <v>0.334754797441365</v>
      </c>
      <c r="I120" s="38" t="s">
        <v>89</v>
      </c>
      <c r="J120" s="40" t="n">
        <v>3.09864730606258</v>
      </c>
      <c r="K120" s="39" t="n">
        <f aca="false">IF(G120="","",MAX(0,G120-J120/100))</f>
        <v>0.63425872949801</v>
      </c>
      <c r="L120" s="39" t="n">
        <f aca="false">IF(G120="","",MIN(1,G120+J120/100))</f>
        <v>0.696231675619261</v>
      </c>
      <c r="M120" s="21" t="n">
        <f aca="false">ROUND(Q120*S120,0)</f>
        <v>34</v>
      </c>
      <c r="N120" s="21" t="n">
        <f aca="false">ROUND(SQRT((F120*J120/100)^2+(G120*M120)^2),0)</f>
        <v>27</v>
      </c>
      <c r="P120" s="41" t="n">
        <v>12.7740544218078</v>
      </c>
      <c r="Q120" s="42" t="n">
        <v>469.019519741882</v>
      </c>
      <c r="R120" s="43" t="n">
        <f aca="false">MAX(0,MIN(1,P120/100+$D$5))</f>
        <v>0.665566238881838</v>
      </c>
      <c r="S120" s="43" t="n">
        <v>0.0731122618343653</v>
      </c>
      <c r="T120" s="44" t="s">
        <v>90</v>
      </c>
    </row>
    <row r="121" customFormat="false" ht="15" hidden="false" customHeight="false" outlineLevel="0" collapsed="false">
      <c r="A121" s="38" t="s">
        <v>157</v>
      </c>
      <c r="B121" s="38" t="s">
        <v>159</v>
      </c>
      <c r="C121" s="38" t="s">
        <v>218</v>
      </c>
      <c r="D121" s="21" t="n">
        <f aca="false">ROUND(Q121*R121,0)</f>
        <v>210</v>
      </c>
      <c r="E121" s="21" t="n">
        <f aca="false">ROUND(Q121,0)-D121</f>
        <v>72</v>
      </c>
      <c r="F121" s="21" t="n">
        <f aca="false">IF(COUNTA(D121:E121)=0,"",SUM(D121:E121))</f>
        <v>282</v>
      </c>
      <c r="G121" s="39" t="n">
        <f aca="false">IF(OR(F121="",F121=0),"",D121/F121)</f>
        <v>0.74468085106383</v>
      </c>
      <c r="H121" s="39" t="n">
        <f aca="false">IF(OR(F121="",F121=0),"",E121/F121)</f>
        <v>0.25531914893617</v>
      </c>
      <c r="I121" s="38" t="s">
        <v>89</v>
      </c>
      <c r="J121" s="40" t="n">
        <v>3.09864730606258</v>
      </c>
      <c r="K121" s="39" t="n">
        <f aca="false">IF(G121="","",MAX(0,G121-J121/100))</f>
        <v>0.713694378003204</v>
      </c>
      <c r="L121" s="39" t="n">
        <f aca="false">IF(G121="","",MIN(1,G121+J121/100))</f>
        <v>0.775667324124456</v>
      </c>
      <c r="M121" s="21" t="n">
        <f aca="false">ROUND(Q121*S121,0)</f>
        <v>21</v>
      </c>
      <c r="N121" s="21" t="n">
        <f aca="false">ROUND(SQRT((F121*J121/100)^2+(G121*M121)^2),0)</f>
        <v>18</v>
      </c>
      <c r="P121" s="41" t="n">
        <v>20.7075598025404</v>
      </c>
      <c r="Q121" s="42" t="n">
        <v>282.177341136924</v>
      </c>
      <c r="R121" s="43" t="n">
        <f aca="false">MAX(0,MIN(1,P121/100+$D$5))</f>
        <v>0.744901292689164</v>
      </c>
      <c r="S121" s="43" t="n">
        <v>0.0731122618343653</v>
      </c>
      <c r="T121" s="44" t="s">
        <v>90</v>
      </c>
    </row>
    <row r="122" customFormat="false" ht="15" hidden="false" customHeight="false" outlineLevel="0" collapsed="false">
      <c r="A122" s="38" t="s">
        <v>157</v>
      </c>
      <c r="B122" s="38" t="s">
        <v>219</v>
      </c>
      <c r="C122" s="38" t="s">
        <v>220</v>
      </c>
      <c r="D122" s="21" t="n">
        <f aca="false">ROUND(Q122*R122,0)</f>
        <v>480</v>
      </c>
      <c r="E122" s="21" t="n">
        <f aca="false">ROUND(Q122,0)-D122</f>
        <v>172</v>
      </c>
      <c r="F122" s="21" t="n">
        <f aca="false">IF(COUNTA(D122:E122)=0,"",SUM(D122:E122))</f>
        <v>652</v>
      </c>
      <c r="G122" s="39" t="n">
        <f aca="false">IF(OR(F122="",F122=0),"",D122/F122)</f>
        <v>0.736196319018405</v>
      </c>
      <c r="H122" s="39" t="n">
        <f aca="false">IF(OR(F122="",F122=0),"",E122/F122)</f>
        <v>0.263803680981595</v>
      </c>
      <c r="I122" s="38" t="s">
        <v>89</v>
      </c>
      <c r="J122" s="40" t="n">
        <v>3.09864730606258</v>
      </c>
      <c r="K122" s="39" t="n">
        <f aca="false">IF(G122="","",MAX(0,G122-J122/100))</f>
        <v>0.705209845957779</v>
      </c>
      <c r="L122" s="39" t="n">
        <f aca="false">IF(G122="","",MIN(1,G122+J122/100))</f>
        <v>0.767182792079031</v>
      </c>
      <c r="M122" s="21" t="n">
        <f aca="false">ROUND(Q122*S122,0)</f>
        <v>48</v>
      </c>
      <c r="N122" s="21" t="n">
        <f aca="false">ROUND(SQRT((F122*J122/100)^2+(G122*M122)^2),0)</f>
        <v>41</v>
      </c>
      <c r="P122" s="41" t="n">
        <v>19.8523512597163</v>
      </c>
      <c r="Q122" s="42" t="n">
        <v>651.991445724634</v>
      </c>
      <c r="R122" s="43" t="n">
        <f aca="false">MAX(0,MIN(1,P122/100+$D$5))</f>
        <v>0.736349207260923</v>
      </c>
      <c r="S122" s="43" t="n">
        <v>0.0731122618343653</v>
      </c>
      <c r="T122" s="44" t="s">
        <v>90</v>
      </c>
    </row>
    <row r="123" customFormat="false" ht="15" hidden="false" customHeight="false" outlineLevel="0" collapsed="false">
      <c r="A123" s="38" t="s">
        <v>157</v>
      </c>
      <c r="B123" s="38" t="s">
        <v>219</v>
      </c>
      <c r="C123" s="38" t="s">
        <v>221</v>
      </c>
      <c r="D123" s="21" t="n">
        <f aca="false">ROUND(Q123*R123,0)</f>
        <v>330</v>
      </c>
      <c r="E123" s="21" t="n">
        <f aca="false">ROUND(Q123,0)-D123</f>
        <v>136</v>
      </c>
      <c r="F123" s="21" t="n">
        <f aca="false">IF(COUNTA(D123:E123)=0,"",SUM(D123:E123))</f>
        <v>466</v>
      </c>
      <c r="G123" s="39" t="n">
        <f aca="false">IF(OR(F123="",F123=0),"",D123/F123)</f>
        <v>0.708154506437768</v>
      </c>
      <c r="H123" s="39" t="n">
        <f aca="false">IF(OR(F123="",F123=0),"",E123/F123)</f>
        <v>0.291845493562232</v>
      </c>
      <c r="I123" s="38" t="s">
        <v>89</v>
      </c>
      <c r="J123" s="40" t="n">
        <v>3.09864730606258</v>
      </c>
      <c r="K123" s="39" t="n">
        <f aca="false">IF(G123="","",MAX(0,G123-J123/100))</f>
        <v>0.677168033377143</v>
      </c>
      <c r="L123" s="39" t="n">
        <f aca="false">IF(G123="","",MIN(1,G123+J123/100))</f>
        <v>0.739140979498394</v>
      </c>
      <c r="M123" s="21" t="n">
        <f aca="false">ROUND(Q123*S123,0)</f>
        <v>34</v>
      </c>
      <c r="N123" s="21" t="n">
        <f aca="false">ROUND(SQRT((F123*J123/100)^2+(G123*M123)^2),0)</f>
        <v>28</v>
      </c>
      <c r="P123" s="41" t="n">
        <v>16.8826920932292</v>
      </c>
      <c r="Q123" s="42" t="n">
        <v>466.426807706261</v>
      </c>
      <c r="R123" s="43" t="n">
        <f aca="false">MAX(0,MIN(1,P123/100+$D$5))</f>
        <v>0.706652615596052</v>
      </c>
      <c r="S123" s="43" t="n">
        <v>0.0731122618343653</v>
      </c>
      <c r="T123" s="44" t="s">
        <v>90</v>
      </c>
    </row>
    <row r="124" customFormat="false" ht="15" hidden="false" customHeight="false" outlineLevel="0" collapsed="false">
      <c r="A124" s="38" t="s">
        <v>157</v>
      </c>
      <c r="B124" s="38" t="s">
        <v>219</v>
      </c>
      <c r="C124" s="38" t="s">
        <v>222</v>
      </c>
      <c r="D124" s="21" t="n">
        <f aca="false">ROUND(Q124*R124,0)</f>
        <v>356</v>
      </c>
      <c r="E124" s="21" t="n">
        <f aca="false">ROUND(Q124,0)-D124</f>
        <v>126</v>
      </c>
      <c r="F124" s="21" t="n">
        <f aca="false">IF(COUNTA(D124:E124)=0,"",SUM(D124:E124))</f>
        <v>482</v>
      </c>
      <c r="G124" s="39" t="n">
        <f aca="false">IF(OR(F124="",F124=0),"",D124/F124)</f>
        <v>0.738589211618257</v>
      </c>
      <c r="H124" s="39" t="n">
        <f aca="false">IF(OR(F124="",F124=0),"",E124/F124)</f>
        <v>0.261410788381743</v>
      </c>
      <c r="I124" s="38" t="s">
        <v>89</v>
      </c>
      <c r="J124" s="40" t="n">
        <v>3.09864730606258</v>
      </c>
      <c r="K124" s="39" t="n">
        <f aca="false">IF(G124="","",MAX(0,G124-J124/100))</f>
        <v>0.707602738557632</v>
      </c>
      <c r="L124" s="39" t="n">
        <f aca="false">IF(G124="","",MIN(1,G124+J124/100))</f>
        <v>0.769575684678883</v>
      </c>
      <c r="M124" s="21" t="n">
        <f aca="false">ROUND(Q124*S124,0)</f>
        <v>35</v>
      </c>
      <c r="N124" s="21" t="n">
        <f aca="false">ROUND(SQRT((F124*J124/100)^2+(G124*M124)^2),0)</f>
        <v>30</v>
      </c>
      <c r="P124" s="41" t="n">
        <v>20.1754829012301</v>
      </c>
      <c r="Q124" s="42" t="n">
        <v>481.524104300047</v>
      </c>
      <c r="R124" s="43" t="n">
        <f aca="false">MAX(0,MIN(1,P124/100+$D$5))</f>
        <v>0.739580523676061</v>
      </c>
      <c r="S124" s="43" t="n">
        <v>0.0731122618343653</v>
      </c>
      <c r="T124" s="44" t="s">
        <v>90</v>
      </c>
    </row>
    <row r="125" customFormat="false" ht="15" hidden="false" customHeight="false" outlineLevel="0" collapsed="false">
      <c r="A125" s="38" t="s">
        <v>157</v>
      </c>
      <c r="B125" s="38" t="s">
        <v>219</v>
      </c>
      <c r="C125" s="38" t="s">
        <v>223</v>
      </c>
      <c r="D125" s="21" t="n">
        <f aca="false">ROUND(Q125*R125,0)</f>
        <v>441</v>
      </c>
      <c r="E125" s="21" t="n">
        <f aca="false">ROUND(Q125,0)-D125</f>
        <v>169</v>
      </c>
      <c r="F125" s="21" t="n">
        <f aca="false">IF(COUNTA(D125:E125)=0,"",SUM(D125:E125))</f>
        <v>610</v>
      </c>
      <c r="G125" s="39" t="n">
        <f aca="false">IF(OR(F125="",F125=0),"",D125/F125)</f>
        <v>0.722950819672131</v>
      </c>
      <c r="H125" s="39" t="n">
        <f aca="false">IF(OR(F125="",F125=0),"",E125/F125)</f>
        <v>0.277049180327869</v>
      </c>
      <c r="I125" s="38" t="s">
        <v>89</v>
      </c>
      <c r="J125" s="40" t="n">
        <v>3.09864730606258</v>
      </c>
      <c r="K125" s="39" t="n">
        <f aca="false">IF(G125="","",MAX(0,G125-J125/100))</f>
        <v>0.691964346611505</v>
      </c>
      <c r="L125" s="39" t="n">
        <f aca="false">IF(G125="","",MIN(1,G125+J125/100))</f>
        <v>0.753937292732757</v>
      </c>
      <c r="M125" s="21" t="n">
        <f aca="false">ROUND(Q125*S125,0)</f>
        <v>45</v>
      </c>
      <c r="N125" s="21" t="n">
        <f aca="false">ROUND(SQRT((F125*J125/100)^2+(G125*M125)^2),0)</f>
        <v>38</v>
      </c>
      <c r="P125" s="41" t="n">
        <v>18.4178238176042</v>
      </c>
      <c r="Q125" s="42" t="n">
        <v>610.378040056811</v>
      </c>
      <c r="R125" s="43" t="n">
        <f aca="false">MAX(0,MIN(1,P125/100+$D$5))</f>
        <v>0.722003932839802</v>
      </c>
      <c r="S125" s="43" t="n">
        <v>0.0731122618343653</v>
      </c>
      <c r="T125" s="44" t="s">
        <v>90</v>
      </c>
    </row>
    <row r="126" customFormat="false" ht="15" hidden="false" customHeight="false" outlineLevel="0" collapsed="false">
      <c r="A126" s="38" t="s">
        <v>157</v>
      </c>
      <c r="B126" s="38" t="s">
        <v>219</v>
      </c>
      <c r="C126" s="38" t="s">
        <v>224</v>
      </c>
      <c r="D126" s="21" t="n">
        <f aca="false">ROUND(Q126*R126,0)</f>
        <v>620</v>
      </c>
      <c r="E126" s="21" t="n">
        <f aca="false">ROUND(Q126,0)-D126</f>
        <v>296</v>
      </c>
      <c r="F126" s="21" t="n">
        <f aca="false">IF(COUNTA(D126:E126)=0,"",SUM(D126:E126))</f>
        <v>916</v>
      </c>
      <c r="G126" s="39" t="n">
        <f aca="false">IF(OR(F126="",F126=0),"",D126/F126)</f>
        <v>0.676855895196507</v>
      </c>
      <c r="H126" s="39" t="n">
        <f aca="false">IF(OR(F126="",F126=0),"",E126/F126)</f>
        <v>0.323144104803493</v>
      </c>
      <c r="I126" s="38" t="s">
        <v>89</v>
      </c>
      <c r="J126" s="40" t="n">
        <v>2.0110742867014</v>
      </c>
      <c r="K126" s="39" t="n">
        <f aca="false">IF(G126="","",MAX(0,G126-J126/100))</f>
        <v>0.656745152329493</v>
      </c>
      <c r="L126" s="39" t="n">
        <f aca="false">IF(G126="","",MIN(1,G126+J126/100))</f>
        <v>0.696966638063521</v>
      </c>
      <c r="M126" s="21" t="n">
        <f aca="false">ROUND(Q126*S126,0)</f>
        <v>56</v>
      </c>
      <c r="N126" s="21" t="n">
        <f aca="false">ROUND(SQRT((F126*J126/100)^2+(G126*M126)^2),0)</f>
        <v>42</v>
      </c>
      <c r="P126" s="41" t="n">
        <v>13.8580969566076</v>
      </c>
      <c r="Q126" s="42" t="n">
        <v>916.245747532335</v>
      </c>
      <c r="R126" s="43" t="n">
        <f aca="false">MAX(0,MIN(1,P126/100+$D$5))</f>
        <v>0.676406664229836</v>
      </c>
      <c r="S126" s="43" t="n">
        <v>0.0608302283160348</v>
      </c>
      <c r="T126" s="44" t="s">
        <v>99</v>
      </c>
    </row>
    <row r="127" customFormat="false" ht="15" hidden="false" customHeight="false" outlineLevel="0" collapsed="false">
      <c r="A127" s="38" t="s">
        <v>157</v>
      </c>
      <c r="B127" s="38" t="s">
        <v>219</v>
      </c>
      <c r="C127" s="38" t="s">
        <v>225</v>
      </c>
      <c r="D127" s="21" t="n">
        <f aca="false">ROUND(Q127*R127,0)</f>
        <v>426</v>
      </c>
      <c r="E127" s="21" t="n">
        <f aca="false">ROUND(Q127,0)-D127</f>
        <v>222</v>
      </c>
      <c r="F127" s="21" t="n">
        <f aca="false">IF(COUNTA(D127:E127)=0,"",SUM(D127:E127))</f>
        <v>648</v>
      </c>
      <c r="G127" s="39" t="n">
        <f aca="false">IF(OR(F127="",F127=0),"",D127/F127)</f>
        <v>0.657407407407407</v>
      </c>
      <c r="H127" s="39" t="n">
        <f aca="false">IF(OR(F127="",F127=0),"",E127/F127)</f>
        <v>0.342592592592593</v>
      </c>
      <c r="I127" s="38" t="s">
        <v>89</v>
      </c>
      <c r="J127" s="40" t="n">
        <v>3.09864730606258</v>
      </c>
      <c r="K127" s="39" t="n">
        <f aca="false">IF(G127="","",MAX(0,G127-J127/100))</f>
        <v>0.626420934346782</v>
      </c>
      <c r="L127" s="39" t="n">
        <f aca="false">IF(G127="","",MIN(1,G127+J127/100))</f>
        <v>0.688393880468033</v>
      </c>
      <c r="M127" s="21" t="n">
        <f aca="false">ROUND(Q127*S127,0)</f>
        <v>47</v>
      </c>
      <c r="N127" s="21" t="n">
        <f aca="false">ROUND(SQRT((F127*J127/100)^2+(G127*M127)^2),0)</f>
        <v>37</v>
      </c>
      <c r="P127" s="41" t="n">
        <v>11.9987560081219</v>
      </c>
      <c r="Q127" s="42" t="n">
        <v>647.703465437733</v>
      </c>
      <c r="R127" s="43" t="n">
        <f aca="false">MAX(0,MIN(1,P127/100+$D$5))</f>
        <v>0.657813254744979</v>
      </c>
      <c r="S127" s="43" t="n">
        <v>0.0731122618343653</v>
      </c>
      <c r="T127" s="44" t="s">
        <v>90</v>
      </c>
    </row>
    <row r="128" customFormat="false" ht="15" hidden="false" customHeight="false" outlineLevel="0" collapsed="false">
      <c r="A128" s="38" t="s">
        <v>157</v>
      </c>
      <c r="B128" s="38" t="s">
        <v>219</v>
      </c>
      <c r="C128" s="38" t="s">
        <v>226</v>
      </c>
      <c r="D128" s="21" t="n">
        <f aca="false">ROUND(Q128*R128,0)</f>
        <v>491</v>
      </c>
      <c r="E128" s="21" t="n">
        <f aca="false">ROUND(Q128,0)-D128</f>
        <v>281</v>
      </c>
      <c r="F128" s="21" t="n">
        <f aca="false">IF(COUNTA(D128:E128)=0,"",SUM(D128:E128))</f>
        <v>772</v>
      </c>
      <c r="G128" s="39" t="n">
        <f aca="false">IF(OR(F128="",F128=0),"",D128/F128)</f>
        <v>0.636010362694301</v>
      </c>
      <c r="H128" s="39" t="n">
        <f aca="false">IF(OR(F128="",F128=0),"",E128/F128)</f>
        <v>0.3639896373057</v>
      </c>
      <c r="I128" s="38" t="s">
        <v>89</v>
      </c>
      <c r="J128" s="40" t="n">
        <v>3.09864730606258</v>
      </c>
      <c r="K128" s="39" t="n">
        <f aca="false">IF(G128="","",MAX(0,G128-J128/100))</f>
        <v>0.605023889633675</v>
      </c>
      <c r="L128" s="39" t="n">
        <f aca="false">IF(G128="","",MIN(1,G128+J128/100))</f>
        <v>0.666996835754926</v>
      </c>
      <c r="M128" s="21" t="n">
        <f aca="false">ROUND(Q128*S128,0)</f>
        <v>56</v>
      </c>
      <c r="N128" s="21" t="n">
        <f aca="false">ROUND(SQRT((F128*J128/100)^2+(G128*M128)^2),0)</f>
        <v>43</v>
      </c>
      <c r="P128" s="41" t="n">
        <v>9.78943192839399</v>
      </c>
      <c r="Q128" s="42" t="n">
        <v>771.823554156696</v>
      </c>
      <c r="R128" s="43" t="n">
        <f aca="false">MAX(0,MIN(1,P128/100+$D$5))</f>
        <v>0.6357200139477</v>
      </c>
      <c r="S128" s="43" t="n">
        <v>0.0731122618343653</v>
      </c>
      <c r="T128" s="44" t="s">
        <v>90</v>
      </c>
    </row>
    <row r="129" customFormat="false" ht="15" hidden="false" customHeight="false" outlineLevel="0" collapsed="false">
      <c r="A129" s="38" t="s">
        <v>157</v>
      </c>
      <c r="B129" s="38" t="s">
        <v>219</v>
      </c>
      <c r="C129" s="38" t="s">
        <v>227</v>
      </c>
      <c r="D129" s="21" t="n">
        <f aca="false">ROUND(Q129*R129,0)</f>
        <v>623</v>
      </c>
      <c r="E129" s="21" t="n">
        <f aca="false">ROUND(Q129,0)-D129</f>
        <v>352</v>
      </c>
      <c r="F129" s="21" t="n">
        <f aca="false">IF(COUNTA(D129:E129)=0,"",SUM(D129:E129))</f>
        <v>975</v>
      </c>
      <c r="G129" s="39" t="n">
        <f aca="false">IF(OR(F129="",F129=0),"",D129/F129)</f>
        <v>0.638974358974359</v>
      </c>
      <c r="H129" s="39" t="n">
        <f aca="false">IF(OR(F129="",F129=0),"",E129/F129)</f>
        <v>0.361025641025641</v>
      </c>
      <c r="I129" s="38" t="s">
        <v>89</v>
      </c>
      <c r="J129" s="40" t="n">
        <v>2.0110742867014</v>
      </c>
      <c r="K129" s="39" t="n">
        <f aca="false">IF(G129="","",MAX(0,G129-J129/100))</f>
        <v>0.618863616107345</v>
      </c>
      <c r="L129" s="39" t="n">
        <f aca="false">IF(G129="","",MIN(1,G129+J129/100))</f>
        <v>0.659085101841373</v>
      </c>
      <c r="M129" s="21" t="n">
        <f aca="false">ROUND(Q129*S129,0)</f>
        <v>59</v>
      </c>
      <c r="N129" s="21" t="n">
        <f aca="false">ROUND(SQRT((F129*J129/100)^2+(G129*M129)^2),0)</f>
        <v>42</v>
      </c>
      <c r="P129" s="41" t="n">
        <v>10.1303734960433</v>
      </c>
      <c r="Q129" s="42" t="n">
        <v>974.741458776275</v>
      </c>
      <c r="R129" s="43" t="n">
        <f aca="false">MAX(0,MIN(1,P129/100+$D$5))</f>
        <v>0.639129429624192</v>
      </c>
      <c r="S129" s="43" t="n">
        <v>0.0608302283160348</v>
      </c>
      <c r="T129" s="44" t="s">
        <v>99</v>
      </c>
    </row>
    <row r="130" customFormat="false" ht="15" hidden="false" customHeight="false" outlineLevel="0" collapsed="false">
      <c r="A130" s="38" t="s">
        <v>157</v>
      </c>
      <c r="B130" s="38" t="s">
        <v>219</v>
      </c>
      <c r="C130" s="38" t="s">
        <v>228</v>
      </c>
      <c r="D130" s="21" t="n">
        <f aca="false">ROUND(Q130*R130,0)</f>
        <v>450</v>
      </c>
      <c r="E130" s="21" t="n">
        <f aca="false">ROUND(Q130,0)-D130</f>
        <v>246</v>
      </c>
      <c r="F130" s="21" t="n">
        <f aca="false">IF(COUNTA(D130:E130)=0,"",SUM(D130:E130))</f>
        <v>696</v>
      </c>
      <c r="G130" s="39" t="n">
        <f aca="false">IF(OR(F130="",F130=0),"",D130/F130)</f>
        <v>0.646551724137931</v>
      </c>
      <c r="H130" s="39" t="n">
        <f aca="false">IF(OR(F130="",F130=0),"",E130/F130)</f>
        <v>0.353448275862069</v>
      </c>
      <c r="I130" s="38" t="s">
        <v>89</v>
      </c>
      <c r="J130" s="40" t="n">
        <v>3.09864730606258</v>
      </c>
      <c r="K130" s="39" t="n">
        <f aca="false">IF(G130="","",MAX(0,G130-J130/100))</f>
        <v>0.615565251077305</v>
      </c>
      <c r="L130" s="39" t="n">
        <f aca="false">IF(G130="","",MIN(1,G130+J130/100))</f>
        <v>0.677538197198557</v>
      </c>
      <c r="M130" s="21" t="n">
        <f aca="false">ROUND(Q130*S130,0)</f>
        <v>51</v>
      </c>
      <c r="N130" s="21" t="n">
        <f aca="false">ROUND(SQRT((F130*J130/100)^2+(G130*M130)^2),0)</f>
        <v>39</v>
      </c>
      <c r="P130" s="41" t="n">
        <v>10.9251480154463</v>
      </c>
      <c r="Q130" s="42" t="n">
        <v>695.707596207936</v>
      </c>
      <c r="R130" s="43" t="n">
        <f aca="false">MAX(0,MIN(1,P130/100+$D$5))</f>
        <v>0.647077174818223</v>
      </c>
      <c r="S130" s="43" t="n">
        <v>0.0731122618343653</v>
      </c>
      <c r="T130" s="44" t="s">
        <v>90</v>
      </c>
    </row>
    <row r="131" customFormat="false" ht="15" hidden="false" customHeight="false" outlineLevel="0" collapsed="false">
      <c r="A131" s="38" t="s">
        <v>157</v>
      </c>
      <c r="B131" s="38" t="s">
        <v>219</v>
      </c>
      <c r="C131" s="38" t="s">
        <v>229</v>
      </c>
      <c r="D131" s="21" t="n">
        <f aca="false">ROUND(Q131*R131,0)</f>
        <v>385</v>
      </c>
      <c r="E131" s="21" t="n">
        <f aca="false">ROUND(Q131,0)-D131</f>
        <v>244</v>
      </c>
      <c r="F131" s="21" t="n">
        <f aca="false">IF(COUNTA(D131:E131)=0,"",SUM(D131:E131))</f>
        <v>629</v>
      </c>
      <c r="G131" s="39" t="n">
        <f aca="false">IF(OR(F131="",F131=0),"",D131/F131)</f>
        <v>0.6120826709062</v>
      </c>
      <c r="H131" s="39" t="n">
        <f aca="false">IF(OR(F131="",F131=0),"",E131/F131)</f>
        <v>0.3879173290938</v>
      </c>
      <c r="I131" s="38" t="s">
        <v>89</v>
      </c>
      <c r="J131" s="40" t="n">
        <v>3.09864730606258</v>
      </c>
      <c r="K131" s="39" t="n">
        <f aca="false">IF(G131="","",MAX(0,G131-J131/100))</f>
        <v>0.581096197845575</v>
      </c>
      <c r="L131" s="39" t="n">
        <f aca="false">IF(G131="","",MIN(1,G131+J131/100))</f>
        <v>0.643069143966826</v>
      </c>
      <c r="M131" s="21" t="n">
        <f aca="false">ROUND(Q131*S131,0)</f>
        <v>46</v>
      </c>
      <c r="N131" s="21" t="n">
        <f aca="false">ROUND(SQRT((F131*J131/100)^2+(G131*M131)^2),0)</f>
        <v>34</v>
      </c>
      <c r="P131" s="41" t="n">
        <v>7.41541918580155</v>
      </c>
      <c r="Q131" s="42" t="n">
        <v>629.49363850881</v>
      </c>
      <c r="R131" s="43" t="n">
        <f aca="false">MAX(0,MIN(1,P131/100+$D$5))</f>
        <v>0.611979886521775</v>
      </c>
      <c r="S131" s="43" t="n">
        <v>0.0731122618343653</v>
      </c>
      <c r="T131" s="44" t="s">
        <v>90</v>
      </c>
    </row>
    <row r="132" customFormat="false" ht="15" hidden="false" customHeight="false" outlineLevel="0" collapsed="false">
      <c r="A132" s="38" t="s">
        <v>157</v>
      </c>
      <c r="B132" s="38" t="s">
        <v>219</v>
      </c>
      <c r="C132" s="38" t="s">
        <v>230</v>
      </c>
      <c r="D132" s="21" t="n">
        <f aca="false">ROUND(Q132*R132,0)</f>
        <v>448</v>
      </c>
      <c r="E132" s="21" t="n">
        <f aca="false">ROUND(Q132,0)-D132</f>
        <v>230</v>
      </c>
      <c r="F132" s="21" t="n">
        <f aca="false">IF(COUNTA(D132:E132)=0,"",SUM(D132:E132))</f>
        <v>678</v>
      </c>
      <c r="G132" s="39" t="n">
        <f aca="false">IF(OR(F132="",F132=0),"",D132/F132)</f>
        <v>0.660766961651917</v>
      </c>
      <c r="H132" s="39" t="n">
        <f aca="false">IF(OR(F132="",F132=0),"",E132/F132)</f>
        <v>0.339233038348083</v>
      </c>
      <c r="I132" s="38" t="s">
        <v>89</v>
      </c>
      <c r="J132" s="40" t="n">
        <v>3.09864730606258</v>
      </c>
      <c r="K132" s="39" t="n">
        <f aca="false">IF(G132="","",MAX(0,G132-J132/100))</f>
        <v>0.629780488591292</v>
      </c>
      <c r="L132" s="39" t="n">
        <f aca="false">IF(G132="","",MIN(1,G132+J132/100))</f>
        <v>0.691753434712543</v>
      </c>
      <c r="M132" s="21" t="n">
        <f aca="false">ROUND(Q132*S132,0)</f>
        <v>50</v>
      </c>
      <c r="N132" s="21" t="n">
        <f aca="false">ROUND(SQRT((F132*J132/100)^2+(G132*M132)^2),0)</f>
        <v>39</v>
      </c>
      <c r="P132" s="41" t="n">
        <v>12.2693138702837</v>
      </c>
      <c r="Q132" s="42" t="n">
        <v>678.463957057032</v>
      </c>
      <c r="R132" s="43" t="n">
        <f aca="false">MAX(0,MIN(1,P132/100+$D$5))</f>
        <v>0.660518833366597</v>
      </c>
      <c r="S132" s="43" t="n">
        <v>0.0731122618343653</v>
      </c>
      <c r="T132" s="44" t="s">
        <v>90</v>
      </c>
    </row>
    <row r="133" customFormat="false" ht="15" hidden="false" customHeight="false" outlineLevel="0" collapsed="false">
      <c r="A133" s="38" t="s">
        <v>157</v>
      </c>
      <c r="B133" s="38" t="s">
        <v>219</v>
      </c>
      <c r="C133" s="38" t="s">
        <v>231</v>
      </c>
      <c r="D133" s="21" t="n">
        <f aca="false">ROUND(Q133*R133,0)</f>
        <v>497</v>
      </c>
      <c r="E133" s="21" t="n">
        <f aca="false">ROUND(Q133,0)-D133</f>
        <v>275</v>
      </c>
      <c r="F133" s="21" t="n">
        <f aca="false">IF(COUNTA(D133:E133)=0,"",SUM(D133:E133))</f>
        <v>772</v>
      </c>
      <c r="G133" s="39" t="n">
        <f aca="false">IF(OR(F133="",F133=0),"",D133/F133)</f>
        <v>0.643782383419689</v>
      </c>
      <c r="H133" s="39" t="n">
        <f aca="false">IF(OR(F133="",F133=0),"",E133/F133)</f>
        <v>0.356217616580311</v>
      </c>
      <c r="I133" s="38" t="s">
        <v>89</v>
      </c>
      <c r="J133" s="40" t="n">
        <v>3.09864730606258</v>
      </c>
      <c r="K133" s="39" t="n">
        <f aca="false">IF(G133="","",MAX(0,G133-J133/100))</f>
        <v>0.612795910359063</v>
      </c>
      <c r="L133" s="39" t="n">
        <f aca="false">IF(G133="","",MIN(1,G133+J133/100))</f>
        <v>0.674768856480315</v>
      </c>
      <c r="M133" s="21" t="n">
        <f aca="false">ROUND(Q133*S133,0)</f>
        <v>56</v>
      </c>
      <c r="N133" s="21" t="n">
        <f aca="false">ROUND(SQRT((F133*J133/100)^2+(G133*M133)^2),0)</f>
        <v>43</v>
      </c>
      <c r="P133" s="41" t="n">
        <v>10.6461976121617</v>
      </c>
      <c r="Q133" s="42" t="n">
        <v>771.626043040873</v>
      </c>
      <c r="R133" s="43" t="n">
        <f aca="false">MAX(0,MIN(1,P133/100+$D$5))</f>
        <v>0.644287670785377</v>
      </c>
      <c r="S133" s="43" t="n">
        <v>0.0731122618343653</v>
      </c>
      <c r="T133" s="44" t="s">
        <v>90</v>
      </c>
    </row>
    <row r="134" customFormat="false" ht="15" hidden="false" customHeight="false" outlineLevel="0" collapsed="false">
      <c r="A134" s="38" t="s">
        <v>157</v>
      </c>
      <c r="B134" s="38" t="s">
        <v>232</v>
      </c>
      <c r="C134" s="38" t="s">
        <v>233</v>
      </c>
      <c r="D134" s="21" t="n">
        <f aca="false">ROUND(Q134*R134,0)</f>
        <v>429</v>
      </c>
      <c r="E134" s="21" t="n">
        <f aca="false">ROUND(Q134,0)-D134</f>
        <v>287</v>
      </c>
      <c r="F134" s="21" t="n">
        <f aca="false">IF(COUNTA(D134:E134)=0,"",SUM(D134:E134))</f>
        <v>716</v>
      </c>
      <c r="G134" s="39" t="n">
        <f aca="false">IF(OR(F134="",F134=0),"",D134/F134)</f>
        <v>0.599162011173184</v>
      </c>
      <c r="H134" s="39" t="n">
        <f aca="false">IF(OR(F134="",F134=0),"",E134/F134)</f>
        <v>0.400837988826816</v>
      </c>
      <c r="I134" s="38" t="s">
        <v>89</v>
      </c>
      <c r="J134" s="40" t="n">
        <v>3.09864730606258</v>
      </c>
      <c r="K134" s="39" t="n">
        <f aca="false">IF(G134="","",MAX(0,G134-J134/100))</f>
        <v>0.568175538112559</v>
      </c>
      <c r="L134" s="39" t="n">
        <f aca="false">IF(G134="","",MIN(1,G134+J134/100))</f>
        <v>0.63014848423381</v>
      </c>
      <c r="M134" s="21" t="n">
        <f aca="false">ROUND(Q134*S134,0)</f>
        <v>52</v>
      </c>
      <c r="N134" s="21" t="n">
        <f aca="false">ROUND(SQRT((F134*J134/100)^2+(G134*M134)^2),0)</f>
        <v>38</v>
      </c>
      <c r="P134" s="41" t="n">
        <v>6.17419248273405</v>
      </c>
      <c r="Q134" s="42" t="n">
        <v>715.651280936003</v>
      </c>
      <c r="R134" s="43" t="n">
        <f aca="false">MAX(0,MIN(1,P134/100+$D$5))</f>
        <v>0.5995676194911</v>
      </c>
      <c r="S134" s="43" t="n">
        <v>0.0731122618343653</v>
      </c>
      <c r="T134" s="44" t="s">
        <v>90</v>
      </c>
    </row>
    <row r="135" customFormat="false" ht="15" hidden="false" customHeight="false" outlineLevel="0" collapsed="false">
      <c r="A135" s="38" t="s">
        <v>157</v>
      </c>
      <c r="B135" s="38" t="s">
        <v>232</v>
      </c>
      <c r="C135" s="38" t="s">
        <v>234</v>
      </c>
      <c r="D135" s="21" t="n">
        <f aca="false">ROUND(Q135*R135,0)</f>
        <v>423</v>
      </c>
      <c r="E135" s="21" t="n">
        <f aca="false">ROUND(Q135,0)-D135</f>
        <v>354</v>
      </c>
      <c r="F135" s="21" t="n">
        <f aca="false">IF(COUNTA(D135:E135)=0,"",SUM(D135:E135))</f>
        <v>777</v>
      </c>
      <c r="G135" s="39" t="n">
        <f aca="false">IF(OR(F135="",F135=0),"",D135/F135)</f>
        <v>0.544401544401544</v>
      </c>
      <c r="H135" s="39" t="n">
        <f aca="false">IF(OR(F135="",F135=0),"",E135/F135)</f>
        <v>0.455598455598456</v>
      </c>
      <c r="I135" s="38" t="s">
        <v>89</v>
      </c>
      <c r="J135" s="40" t="n">
        <v>2.0110742867014</v>
      </c>
      <c r="K135" s="39" t="n">
        <f aca="false">IF(G135="","",MAX(0,G135-J135/100))</f>
        <v>0.52429080153453</v>
      </c>
      <c r="L135" s="39" t="n">
        <f aca="false">IF(G135="","",MIN(1,G135+J135/100))</f>
        <v>0.564512287268558</v>
      </c>
      <c r="M135" s="21" t="n">
        <f aca="false">ROUND(Q135*S135,0)</f>
        <v>47</v>
      </c>
      <c r="N135" s="21" t="n">
        <f aca="false">ROUND(SQRT((F135*J135/100)^2+(G135*M135)^2),0)</f>
        <v>30</v>
      </c>
      <c r="P135" s="41" t="n">
        <v>0.63715645309626</v>
      </c>
      <c r="Q135" s="42" t="n">
        <v>776.583785312973</v>
      </c>
      <c r="R135" s="43" t="n">
        <f aca="false">MAX(0,MIN(1,P135/100+$D$5))</f>
        <v>0.544197259194722</v>
      </c>
      <c r="S135" s="43" t="n">
        <v>0.0608302283160348</v>
      </c>
      <c r="T135" s="44" t="s">
        <v>99</v>
      </c>
    </row>
    <row r="136" customFormat="false" ht="15" hidden="false" customHeight="false" outlineLevel="0" collapsed="false">
      <c r="A136" s="38" t="s">
        <v>157</v>
      </c>
      <c r="B136" s="38" t="s">
        <v>232</v>
      </c>
      <c r="C136" s="38" t="s">
        <v>235</v>
      </c>
      <c r="D136" s="21" t="n">
        <f aca="false">ROUND(Q136*R136,0)</f>
        <v>455</v>
      </c>
      <c r="E136" s="21" t="n">
        <f aca="false">ROUND(Q136,0)-D136</f>
        <v>370</v>
      </c>
      <c r="F136" s="21" t="n">
        <f aca="false">IF(COUNTA(D136:E136)=0,"",SUM(D136:E136))</f>
        <v>825</v>
      </c>
      <c r="G136" s="39" t="n">
        <f aca="false">IF(OR(F136="",F136=0),"",D136/F136)</f>
        <v>0.551515151515152</v>
      </c>
      <c r="H136" s="39" t="n">
        <f aca="false">IF(OR(F136="",F136=0),"",E136/F136)</f>
        <v>0.448484848484849</v>
      </c>
      <c r="I136" s="38" t="s">
        <v>89</v>
      </c>
      <c r="J136" s="40" t="n">
        <v>2.0110742867014</v>
      </c>
      <c r="K136" s="39" t="n">
        <f aca="false">IF(G136="","",MAX(0,G136-J136/100))</f>
        <v>0.531404408648138</v>
      </c>
      <c r="L136" s="39" t="n">
        <f aca="false">IF(G136="","",MIN(1,G136+J136/100))</f>
        <v>0.571625894382166</v>
      </c>
      <c r="M136" s="21" t="n">
        <f aca="false">ROUND(Q136*S136,0)</f>
        <v>50</v>
      </c>
      <c r="N136" s="21" t="n">
        <f aca="false">ROUND(SQRT((F136*J136/100)^2+(G136*M136)^2),0)</f>
        <v>32</v>
      </c>
      <c r="P136" s="41" t="n">
        <v>1.4534023906659</v>
      </c>
      <c r="Q136" s="42" t="n">
        <v>824.528273835992</v>
      </c>
      <c r="R136" s="43" t="n">
        <f aca="false">MAX(0,MIN(1,P136/100+$D$5))</f>
        <v>0.552359718570419</v>
      </c>
      <c r="S136" s="43" t="n">
        <v>0.0608302283160348</v>
      </c>
      <c r="T136" s="44" t="s">
        <v>99</v>
      </c>
    </row>
    <row r="137" customFormat="false" ht="15" hidden="false" customHeight="false" outlineLevel="0" collapsed="false">
      <c r="A137" s="38" t="s">
        <v>157</v>
      </c>
      <c r="B137" s="38" t="s">
        <v>236</v>
      </c>
      <c r="C137" s="38" t="s">
        <v>236</v>
      </c>
      <c r="D137" s="21" t="n">
        <f aca="false">ROUND(Q137*R137,0)</f>
        <v>716</v>
      </c>
      <c r="E137" s="21" t="n">
        <f aca="false">ROUND(Q137,0)-D137</f>
        <v>624</v>
      </c>
      <c r="F137" s="21" t="n">
        <f aca="false">IF(COUNTA(D137:E137)=0,"",SUM(D137:E137))</f>
        <v>1340</v>
      </c>
      <c r="G137" s="39" t="n">
        <f aca="false">IF(OR(F137="",F137=0),"",D137/F137)</f>
        <v>0.534328358208955</v>
      </c>
      <c r="H137" s="39" t="n">
        <f aca="false">IF(OR(F137="",F137=0),"",E137/F137)</f>
        <v>0.465671641791045</v>
      </c>
      <c r="I137" s="38" t="s">
        <v>89</v>
      </c>
      <c r="J137" s="40" t="n">
        <v>1.87006919874525</v>
      </c>
      <c r="K137" s="39" t="n">
        <f aca="false">IF(G137="","",MAX(0,G137-J137/100))</f>
        <v>0.515627666221503</v>
      </c>
      <c r="L137" s="39" t="n">
        <f aca="false">IF(G137="","",MIN(1,G137+J137/100))</f>
        <v>0.553029050196408</v>
      </c>
      <c r="M137" s="21" t="n">
        <f aca="false">ROUND(Q137*S137,0)</f>
        <v>185</v>
      </c>
      <c r="N137" s="21" t="n">
        <f aca="false">ROUND(SQRT((F137*J137/100)^2+(G137*M137)^2),0)</f>
        <v>102</v>
      </c>
      <c r="P137" s="41" t="n">
        <v>-0.379691164379235</v>
      </c>
      <c r="Q137" s="42" t="n">
        <v>1340.02825131525</v>
      </c>
      <c r="R137" s="43" t="n">
        <f aca="false">MAX(0,MIN(1,P137/100+$D$5))</f>
        <v>0.534028783019967</v>
      </c>
      <c r="S137" s="43" t="n">
        <v>0.138178110610255</v>
      </c>
      <c r="T137" s="44" t="s">
        <v>128</v>
      </c>
    </row>
    <row r="138" customFormat="false" ht="15" hidden="false" customHeight="false" outlineLevel="0" collapsed="false">
      <c r="A138" s="38" t="s">
        <v>157</v>
      </c>
      <c r="B138" s="38" t="s">
        <v>237</v>
      </c>
      <c r="C138" s="38" t="s">
        <v>238</v>
      </c>
      <c r="D138" s="21" t="n">
        <f aca="false">ROUND(Q138*R138,0)</f>
        <v>337</v>
      </c>
      <c r="E138" s="21" t="n">
        <f aca="false">ROUND(Q138,0)-D138</f>
        <v>267</v>
      </c>
      <c r="F138" s="21" t="n">
        <f aca="false">IF(COUNTA(D138:E138)=0,"",SUM(D138:E138))</f>
        <v>604</v>
      </c>
      <c r="G138" s="39" t="n">
        <f aca="false">IF(OR(F138="",F138=0),"",D138/F138)</f>
        <v>0.55794701986755</v>
      </c>
      <c r="H138" s="39" t="n">
        <f aca="false">IF(OR(F138="",F138=0),"",E138/F138)</f>
        <v>0.44205298013245</v>
      </c>
      <c r="I138" s="38" t="s">
        <v>89</v>
      </c>
      <c r="J138" s="40" t="n">
        <v>3.09864730606258</v>
      </c>
      <c r="K138" s="39" t="n">
        <f aca="false">IF(G138="","",MAX(0,G138-J138/100))</f>
        <v>0.526960546806924</v>
      </c>
      <c r="L138" s="39" t="n">
        <f aca="false">IF(G138="","",MIN(1,G138+J138/100))</f>
        <v>0.588933492928175</v>
      </c>
      <c r="M138" s="21" t="n">
        <f aca="false">ROUND(Q138*S138,0)</f>
        <v>44</v>
      </c>
      <c r="N138" s="21" t="n">
        <f aca="false">ROUND(SQRT((F138*J138/100)^2+(G138*M138)^2),0)</f>
        <v>31</v>
      </c>
      <c r="P138" s="41" t="n">
        <v>2.02707010272516</v>
      </c>
      <c r="Q138" s="42" t="n">
        <v>603.798227824915</v>
      </c>
      <c r="R138" s="43" t="n">
        <f aca="false">MAX(0,MIN(1,P138/100+$D$5))</f>
        <v>0.558096395691011</v>
      </c>
      <c r="S138" s="43" t="n">
        <v>0.0731122618343653</v>
      </c>
      <c r="T138" s="44" t="s">
        <v>90</v>
      </c>
    </row>
    <row r="139" customFormat="false" ht="15" hidden="false" customHeight="false" outlineLevel="0" collapsed="false">
      <c r="A139" s="38" t="s">
        <v>157</v>
      </c>
      <c r="B139" s="38" t="s">
        <v>237</v>
      </c>
      <c r="C139" s="38" t="s">
        <v>239</v>
      </c>
      <c r="D139" s="21" t="n">
        <f aca="false">ROUND(Q139*R139,0)</f>
        <v>468</v>
      </c>
      <c r="E139" s="21" t="n">
        <f aca="false">ROUND(Q139,0)-D139</f>
        <v>360</v>
      </c>
      <c r="F139" s="21" t="n">
        <f aca="false">IF(COUNTA(D139:E139)=0,"",SUM(D139:E139))</f>
        <v>828</v>
      </c>
      <c r="G139" s="39" t="n">
        <f aca="false">IF(OR(F139="",F139=0),"",D139/F139)</f>
        <v>0.565217391304348</v>
      </c>
      <c r="H139" s="39" t="n">
        <f aca="false">IF(OR(F139="",F139=0),"",E139/F139)</f>
        <v>0.434782608695652</v>
      </c>
      <c r="I139" s="38" t="s">
        <v>89</v>
      </c>
      <c r="J139" s="40" t="n">
        <v>2.0110742867014</v>
      </c>
      <c r="K139" s="39" t="n">
        <f aca="false">IF(G139="","",MAX(0,G139-J139/100))</f>
        <v>0.545106648437334</v>
      </c>
      <c r="L139" s="39" t="n">
        <f aca="false">IF(G139="","",MIN(1,G139+J139/100))</f>
        <v>0.585328134171362</v>
      </c>
      <c r="M139" s="21" t="n">
        <f aca="false">ROUND(Q139*S139,0)</f>
        <v>50</v>
      </c>
      <c r="N139" s="21" t="n">
        <f aca="false">ROUND(SQRT((F139*J139/100)^2+(G139*M139)^2),0)</f>
        <v>33</v>
      </c>
      <c r="P139" s="41" t="n">
        <v>2.72290801597577</v>
      </c>
      <c r="Q139" s="42" t="n">
        <v>828.337562761642</v>
      </c>
      <c r="R139" s="43" t="n">
        <f aca="false">MAX(0,MIN(1,P139/100+$D$5))</f>
        <v>0.565054774823517</v>
      </c>
      <c r="S139" s="43" t="n">
        <v>0.0608302283160348</v>
      </c>
      <c r="T139" s="44" t="s">
        <v>99</v>
      </c>
    </row>
    <row r="140" customFormat="false" ht="15" hidden="false" customHeight="false" outlineLevel="0" collapsed="false">
      <c r="A140" s="38" t="s">
        <v>157</v>
      </c>
      <c r="B140" s="38" t="s">
        <v>240</v>
      </c>
      <c r="C140" s="38" t="s">
        <v>241</v>
      </c>
      <c r="D140" s="21" t="n">
        <f aca="false">ROUND(Q140*R140,0)</f>
        <v>505</v>
      </c>
      <c r="E140" s="21" t="n">
        <f aca="false">ROUND(Q140,0)-D140</f>
        <v>365</v>
      </c>
      <c r="F140" s="21" t="n">
        <f aca="false">IF(COUNTA(D140:E140)=0,"",SUM(D140:E140))</f>
        <v>870</v>
      </c>
      <c r="G140" s="39" t="n">
        <f aca="false">IF(OR(F140="",F140=0),"",D140/F140)</f>
        <v>0.580459770114943</v>
      </c>
      <c r="H140" s="39" t="n">
        <f aca="false">IF(OR(F140="",F140=0),"",E140/F140)</f>
        <v>0.419540229885057</v>
      </c>
      <c r="I140" s="38" t="s">
        <v>89</v>
      </c>
      <c r="J140" s="40" t="n">
        <v>2.0110742867014</v>
      </c>
      <c r="K140" s="39" t="n">
        <f aca="false">IF(G140="","",MAX(0,G140-J140/100))</f>
        <v>0.560349027247929</v>
      </c>
      <c r="L140" s="39" t="n">
        <f aca="false">IF(G140="","",MIN(1,G140+J140/100))</f>
        <v>0.600570512981957</v>
      </c>
      <c r="M140" s="21" t="n">
        <f aca="false">ROUND(Q140*S140,0)</f>
        <v>53</v>
      </c>
      <c r="N140" s="21" t="n">
        <f aca="false">ROUND(SQRT((F140*J140/100)^2+(G140*M140)^2),0)</f>
        <v>35</v>
      </c>
      <c r="P140" s="41" t="n">
        <v>4.26816878941961</v>
      </c>
      <c r="Q140" s="42" t="n">
        <v>870.347797691054</v>
      </c>
      <c r="R140" s="43" t="n">
        <f aca="false">MAX(0,MIN(1,P140/100+$D$5))</f>
        <v>0.580507382557956</v>
      </c>
      <c r="S140" s="43" t="n">
        <v>0.0608302283160348</v>
      </c>
      <c r="T140" s="44" t="s">
        <v>99</v>
      </c>
    </row>
    <row r="141" customFormat="false" ht="15" hidden="false" customHeight="false" outlineLevel="0" collapsed="false">
      <c r="A141" s="38" t="s">
        <v>157</v>
      </c>
      <c r="B141" s="38" t="s">
        <v>240</v>
      </c>
      <c r="C141" s="38" t="s">
        <v>242</v>
      </c>
      <c r="D141" s="21" t="n">
        <f aca="false">ROUND(Q141*R141,0)</f>
        <v>494</v>
      </c>
      <c r="E141" s="21" t="n">
        <f aca="false">ROUND(Q141,0)-D141</f>
        <v>374</v>
      </c>
      <c r="F141" s="21" t="n">
        <f aca="false">IF(COUNTA(D141:E141)=0,"",SUM(D141:E141))</f>
        <v>868</v>
      </c>
      <c r="G141" s="39" t="n">
        <f aca="false">IF(OR(F141="",F141=0),"",D141/F141)</f>
        <v>0.569124423963134</v>
      </c>
      <c r="H141" s="39" t="n">
        <f aca="false">IF(OR(F141="",F141=0),"",E141/F141)</f>
        <v>0.430875576036866</v>
      </c>
      <c r="I141" s="38" t="s">
        <v>89</v>
      </c>
      <c r="J141" s="40" t="n">
        <v>2.0110742867014</v>
      </c>
      <c r="K141" s="39" t="n">
        <f aca="false">IF(G141="","",MAX(0,G141-J141/100))</f>
        <v>0.54901368109612</v>
      </c>
      <c r="L141" s="39" t="n">
        <f aca="false">IF(G141="","",MIN(1,G141+J141/100))</f>
        <v>0.589235166830148</v>
      </c>
      <c r="M141" s="21" t="n">
        <f aca="false">ROUND(Q141*S141,0)</f>
        <v>53</v>
      </c>
      <c r="N141" s="21" t="n">
        <f aca="false">ROUND(SQRT((F141*J141/100)^2+(G141*M141)^2),0)</f>
        <v>35</v>
      </c>
      <c r="P141" s="41" t="n">
        <v>3.15714236958959</v>
      </c>
      <c r="Q141" s="42" t="n">
        <v>868.014989499281</v>
      </c>
      <c r="R141" s="43" t="n">
        <f aca="false">MAX(0,MIN(1,P141/100+$D$5))</f>
        <v>0.569397118359656</v>
      </c>
      <c r="S141" s="43" t="n">
        <v>0.0608302283160348</v>
      </c>
      <c r="T141" s="44" t="s">
        <v>99</v>
      </c>
    </row>
    <row r="142" customFormat="false" ht="15" hidden="false" customHeight="false" outlineLevel="0" collapsed="false">
      <c r="A142" s="38" t="s">
        <v>157</v>
      </c>
      <c r="B142" s="38" t="s">
        <v>240</v>
      </c>
      <c r="C142" s="38" t="s">
        <v>243</v>
      </c>
      <c r="D142" s="21" t="n">
        <f aca="false">ROUND(Q142*R142,0)</f>
        <v>727</v>
      </c>
      <c r="E142" s="21" t="n">
        <f aca="false">ROUND(Q142,0)-D142</f>
        <v>584</v>
      </c>
      <c r="F142" s="21" t="n">
        <f aca="false">IF(COUNTA(D142:E142)=0,"",SUM(D142:E142))</f>
        <v>1311</v>
      </c>
      <c r="G142" s="39" t="n">
        <f aca="false">IF(OR(F142="",F142=0),"",D142/F142)</f>
        <v>0.554538520213577</v>
      </c>
      <c r="H142" s="39" t="n">
        <f aca="false">IF(OR(F142="",F142=0),"",E142/F142)</f>
        <v>0.445461479786423</v>
      </c>
      <c r="I142" s="38" t="s">
        <v>89</v>
      </c>
      <c r="J142" s="40" t="n">
        <v>1.87006919874525</v>
      </c>
      <c r="K142" s="39" t="n">
        <f aca="false">IF(G142="","",MAX(0,G142-J142/100))</f>
        <v>0.535837828226125</v>
      </c>
      <c r="L142" s="39" t="n">
        <f aca="false">IF(G142="","",MIN(1,G142+J142/100))</f>
        <v>0.57323921220103</v>
      </c>
      <c r="M142" s="21" t="n">
        <f aca="false">ROUND(Q142*S142,0)</f>
        <v>181</v>
      </c>
      <c r="N142" s="21" t="n">
        <f aca="false">ROUND(SQRT((F142*J142/100)^2+(G142*M142)^2),0)</f>
        <v>103</v>
      </c>
      <c r="P142" s="41" t="n">
        <v>1.64687832698689</v>
      </c>
      <c r="Q142" s="42" t="n">
        <v>1310.95461911706</v>
      </c>
      <c r="R142" s="43" t="n">
        <f aca="false">MAX(0,MIN(1,P142/100+$D$5))</f>
        <v>0.554294477933629</v>
      </c>
      <c r="S142" s="43" t="n">
        <v>0.138178110610255</v>
      </c>
      <c r="T142" s="44" t="s">
        <v>128</v>
      </c>
    </row>
    <row r="143" customFormat="false" ht="15" hidden="false" customHeight="false" outlineLevel="0" collapsed="false">
      <c r="A143" s="38" t="s">
        <v>157</v>
      </c>
      <c r="B143" s="38" t="s">
        <v>240</v>
      </c>
      <c r="C143" s="38" t="s">
        <v>244</v>
      </c>
      <c r="D143" s="21" t="n">
        <f aca="false">ROUND(Q143*R143,0)</f>
        <v>588</v>
      </c>
      <c r="E143" s="21" t="n">
        <f aca="false">ROUND(Q143,0)-D143</f>
        <v>398</v>
      </c>
      <c r="F143" s="21" t="n">
        <f aca="false">IF(COUNTA(D143:E143)=0,"",SUM(D143:E143))</f>
        <v>986</v>
      </c>
      <c r="G143" s="39" t="n">
        <f aca="false">IF(OR(F143="",F143=0),"",D143/F143)</f>
        <v>0.596348884381339</v>
      </c>
      <c r="H143" s="39" t="n">
        <f aca="false">IF(OR(F143="",F143=0),"",E143/F143)</f>
        <v>0.403651115618661</v>
      </c>
      <c r="I143" s="38" t="s">
        <v>89</v>
      </c>
      <c r="J143" s="40" t="n">
        <v>2.0110742867014</v>
      </c>
      <c r="K143" s="39" t="n">
        <f aca="false">IF(G143="","",MAX(0,G143-J143/100))</f>
        <v>0.576238141514325</v>
      </c>
      <c r="L143" s="39" t="n">
        <f aca="false">IF(G143="","",MIN(1,G143+J143/100))</f>
        <v>0.616459627248353</v>
      </c>
      <c r="M143" s="21" t="n">
        <f aca="false">ROUND(Q143*S143,0)</f>
        <v>60</v>
      </c>
      <c r="N143" s="21" t="n">
        <f aca="false">ROUND(SQRT((F143*J143/100)^2+(G143*M143)^2),0)</f>
        <v>41</v>
      </c>
      <c r="P143" s="41" t="n">
        <v>5.85855261957298</v>
      </c>
      <c r="Q143" s="42" t="n">
        <v>985.641812088218</v>
      </c>
      <c r="R143" s="43" t="n">
        <f aca="false">MAX(0,MIN(1,P143/100+$D$5))</f>
        <v>0.59641122085949</v>
      </c>
      <c r="S143" s="43" t="n">
        <v>0.0608302283160348</v>
      </c>
      <c r="T143" s="44" t="s">
        <v>99</v>
      </c>
    </row>
    <row r="144" customFormat="false" ht="15" hidden="false" customHeight="false" outlineLevel="0" collapsed="false">
      <c r="A144" s="38" t="s">
        <v>157</v>
      </c>
      <c r="B144" s="38" t="s">
        <v>240</v>
      </c>
      <c r="C144" s="38" t="s">
        <v>245</v>
      </c>
      <c r="D144" s="21" t="n">
        <f aca="false">ROUND(Q144*R144,0)</f>
        <v>326</v>
      </c>
      <c r="E144" s="21" t="n">
        <f aca="false">ROUND(Q144,0)-D144</f>
        <v>270</v>
      </c>
      <c r="F144" s="21" t="n">
        <f aca="false">IF(COUNTA(D144:E144)=0,"",SUM(D144:E144))</f>
        <v>596</v>
      </c>
      <c r="G144" s="39" t="n">
        <f aca="false">IF(OR(F144="",F144=0),"",D144/F144)</f>
        <v>0.546979865771812</v>
      </c>
      <c r="H144" s="39" t="n">
        <f aca="false">IF(OR(F144="",F144=0),"",E144/F144)</f>
        <v>0.453020134228188</v>
      </c>
      <c r="I144" s="38" t="s">
        <v>89</v>
      </c>
      <c r="J144" s="40" t="n">
        <v>3.09864730606258</v>
      </c>
      <c r="K144" s="39" t="n">
        <f aca="false">IF(G144="","",MAX(0,G144-J144/100))</f>
        <v>0.515993392711186</v>
      </c>
      <c r="L144" s="39" t="n">
        <f aca="false">IF(G144="","",MIN(1,G144+J144/100))</f>
        <v>0.577966338832438</v>
      </c>
      <c r="M144" s="21" t="n">
        <f aca="false">ROUND(Q144*S144,0)</f>
        <v>44</v>
      </c>
      <c r="N144" s="21" t="n">
        <f aca="false">ROUND(SQRT((F144*J144/100)^2+(G144*M144)^2),0)</f>
        <v>30</v>
      </c>
      <c r="P144" s="41" t="n">
        <v>0.898977126484512</v>
      </c>
      <c r="Q144" s="42" t="n">
        <v>596.209053852696</v>
      </c>
      <c r="R144" s="43" t="n">
        <f aca="false">MAX(0,MIN(1,P144/100+$D$5))</f>
        <v>0.546815465928605</v>
      </c>
      <c r="S144" s="43" t="n">
        <v>0.0731122618343653</v>
      </c>
      <c r="T144" s="44" t="s">
        <v>90</v>
      </c>
    </row>
    <row r="145" customFormat="false" ht="15" hidden="false" customHeight="false" outlineLevel="0" collapsed="false">
      <c r="A145" s="38" t="s">
        <v>157</v>
      </c>
      <c r="B145" s="38" t="s">
        <v>240</v>
      </c>
      <c r="C145" s="38" t="s">
        <v>246</v>
      </c>
      <c r="D145" s="21" t="n">
        <f aca="false">ROUND(Q145*R145,0)</f>
        <v>643</v>
      </c>
      <c r="E145" s="21" t="n">
        <f aca="false">ROUND(Q145,0)-D145</f>
        <v>425</v>
      </c>
      <c r="F145" s="21" t="n">
        <f aca="false">IF(COUNTA(D145:E145)=0,"",SUM(D145:E145))</f>
        <v>1068</v>
      </c>
      <c r="G145" s="39" t="n">
        <f aca="false">IF(OR(F145="",F145=0),"",D145/F145)</f>
        <v>0.602059925093633</v>
      </c>
      <c r="H145" s="39" t="n">
        <f aca="false">IF(OR(F145="",F145=0),"",E145/F145)</f>
        <v>0.397940074906367</v>
      </c>
      <c r="I145" s="38" t="s">
        <v>89</v>
      </c>
      <c r="J145" s="40" t="n">
        <v>2.0110742867014</v>
      </c>
      <c r="K145" s="39" t="n">
        <f aca="false">IF(G145="","",MAX(0,G145-J145/100))</f>
        <v>0.581949182226619</v>
      </c>
      <c r="L145" s="39" t="n">
        <f aca="false">IF(G145="","",MIN(1,G145+J145/100))</f>
        <v>0.622170667960647</v>
      </c>
      <c r="M145" s="21" t="n">
        <f aca="false">ROUND(Q145*S145,0)</f>
        <v>65</v>
      </c>
      <c r="N145" s="21" t="n">
        <f aca="false">ROUND(SQRT((F145*J145/100)^2+(G145*M145)^2),0)</f>
        <v>45</v>
      </c>
      <c r="P145" s="41" t="n">
        <v>6.35722229103721</v>
      </c>
      <c r="Q145" s="42" t="n">
        <v>1068.44194578665</v>
      </c>
      <c r="R145" s="43" t="n">
        <f aca="false">MAX(0,MIN(1,P145/100+$D$5))</f>
        <v>0.601397917574132</v>
      </c>
      <c r="S145" s="43" t="n">
        <v>0.0608302283160348</v>
      </c>
      <c r="T145" s="44" t="s">
        <v>99</v>
      </c>
    </row>
    <row r="146" customFormat="false" ht="15" hidden="false" customHeight="false" outlineLevel="0" collapsed="false">
      <c r="A146" s="38" t="s">
        <v>157</v>
      </c>
      <c r="B146" s="38" t="s">
        <v>247</v>
      </c>
      <c r="C146" s="38" t="s">
        <v>248</v>
      </c>
      <c r="D146" s="21" t="n">
        <f aca="false">ROUND(Q146*R146,0)</f>
        <v>435</v>
      </c>
      <c r="E146" s="21" t="n">
        <f aca="false">ROUND(Q146,0)-D146</f>
        <v>171</v>
      </c>
      <c r="F146" s="21" t="n">
        <f aca="false">IF(COUNTA(D146:E146)=0,"",SUM(D146:E146))</f>
        <v>606</v>
      </c>
      <c r="G146" s="39" t="n">
        <f aca="false">IF(OR(F146="",F146=0),"",D146/F146)</f>
        <v>0.717821782178218</v>
      </c>
      <c r="H146" s="39" t="n">
        <f aca="false">IF(OR(F146="",F146=0),"",E146/F146)</f>
        <v>0.282178217821782</v>
      </c>
      <c r="I146" s="38" t="s">
        <v>89</v>
      </c>
      <c r="J146" s="40" t="n">
        <v>3.09864730606258</v>
      </c>
      <c r="K146" s="39" t="n">
        <f aca="false">IF(G146="","",MAX(0,G146-J146/100))</f>
        <v>0.686835309117592</v>
      </c>
      <c r="L146" s="39" t="n">
        <f aca="false">IF(G146="","",MIN(1,G146+J146/100))</f>
        <v>0.748808255238844</v>
      </c>
      <c r="M146" s="21" t="n">
        <f aca="false">ROUND(Q146*S146,0)</f>
        <v>44</v>
      </c>
      <c r="N146" s="21" t="n">
        <f aca="false">ROUND(SQRT((F146*J146/100)^2+(G146*M146)^2),0)</f>
        <v>37</v>
      </c>
      <c r="P146" s="41" t="n">
        <v>18.043824779595</v>
      </c>
      <c r="Q146" s="42" t="n">
        <v>605.598901100534</v>
      </c>
      <c r="R146" s="43" t="n">
        <f aca="false">MAX(0,MIN(1,P146/100+$D$5))</f>
        <v>0.71826394245971</v>
      </c>
      <c r="S146" s="43" t="n">
        <v>0.0731122618343653</v>
      </c>
      <c r="T146" s="44" t="s">
        <v>90</v>
      </c>
    </row>
    <row r="147" customFormat="false" ht="15" hidden="false" customHeight="false" outlineLevel="0" collapsed="false">
      <c r="A147" s="38" t="s">
        <v>157</v>
      </c>
      <c r="B147" s="38" t="s">
        <v>247</v>
      </c>
      <c r="C147" s="38" t="s">
        <v>249</v>
      </c>
      <c r="D147" s="21" t="n">
        <f aca="false">ROUND(Q147*R147,0)</f>
        <v>337</v>
      </c>
      <c r="E147" s="21" t="n">
        <f aca="false">ROUND(Q147,0)-D147</f>
        <v>160</v>
      </c>
      <c r="F147" s="21" t="n">
        <f aca="false">IF(COUNTA(D147:E147)=0,"",SUM(D147:E147))</f>
        <v>497</v>
      </c>
      <c r="G147" s="39" t="n">
        <f aca="false">IF(OR(F147="",F147=0),"",D147/F147)</f>
        <v>0.678068410462777</v>
      </c>
      <c r="H147" s="39" t="n">
        <f aca="false">IF(OR(F147="",F147=0),"",E147/F147)</f>
        <v>0.321931589537223</v>
      </c>
      <c r="I147" s="38" t="s">
        <v>89</v>
      </c>
      <c r="J147" s="40" t="n">
        <v>3.09864730606258</v>
      </c>
      <c r="K147" s="39" t="n">
        <f aca="false">IF(G147="","",MAX(0,G147-J147/100))</f>
        <v>0.647081937402151</v>
      </c>
      <c r="L147" s="39" t="n">
        <f aca="false">IF(G147="","",MIN(1,G147+J147/100))</f>
        <v>0.709054883523402</v>
      </c>
      <c r="M147" s="21" t="n">
        <f aca="false">ROUND(Q147*S147,0)</f>
        <v>36</v>
      </c>
      <c r="N147" s="21" t="n">
        <f aca="false">ROUND(SQRT((F147*J147/100)^2+(G147*M147)^2),0)</f>
        <v>29</v>
      </c>
      <c r="P147" s="41" t="n">
        <v>14.0984113365219</v>
      </c>
      <c r="Q147" s="42" t="n">
        <v>496.955003161098</v>
      </c>
      <c r="R147" s="43" t="n">
        <f aca="false">MAX(0,MIN(1,P147/100+$D$5))</f>
        <v>0.678809808028978</v>
      </c>
      <c r="S147" s="43" t="n">
        <v>0.0731122618343653</v>
      </c>
      <c r="T147" s="44" t="s">
        <v>90</v>
      </c>
    </row>
    <row r="148" customFormat="false" ht="15" hidden="false" customHeight="false" outlineLevel="0" collapsed="false">
      <c r="A148" s="38" t="s">
        <v>157</v>
      </c>
      <c r="B148" s="38" t="s">
        <v>247</v>
      </c>
      <c r="C148" s="38" t="s">
        <v>250</v>
      </c>
      <c r="D148" s="21" t="n">
        <f aca="false">ROUND(Q148*R148,0)</f>
        <v>365</v>
      </c>
      <c r="E148" s="21" t="n">
        <f aca="false">ROUND(Q148,0)-D148</f>
        <v>166</v>
      </c>
      <c r="F148" s="21" t="n">
        <f aca="false">IF(COUNTA(D148:E148)=0,"",SUM(D148:E148))</f>
        <v>531</v>
      </c>
      <c r="G148" s="39" t="n">
        <f aca="false">IF(OR(F148="",F148=0),"",D148/F148)</f>
        <v>0.687382297551789</v>
      </c>
      <c r="H148" s="39" t="n">
        <f aca="false">IF(OR(F148="",F148=0),"",E148/F148)</f>
        <v>0.312617702448211</v>
      </c>
      <c r="I148" s="38" t="s">
        <v>89</v>
      </c>
      <c r="J148" s="40" t="n">
        <v>3.09864730606258</v>
      </c>
      <c r="K148" s="39" t="n">
        <f aca="false">IF(G148="","",MAX(0,G148-J148/100))</f>
        <v>0.656395824491163</v>
      </c>
      <c r="L148" s="39" t="n">
        <f aca="false">IF(G148="","",MIN(1,G148+J148/100))</f>
        <v>0.718368770612415</v>
      </c>
      <c r="M148" s="21" t="n">
        <f aca="false">ROUND(Q148*S148,0)</f>
        <v>39</v>
      </c>
      <c r="N148" s="21" t="n">
        <f aca="false">ROUND(SQRT((F148*J148/100)^2+(G148*M148)^2),0)</f>
        <v>31</v>
      </c>
      <c r="P148" s="41" t="n">
        <v>14.9496502740209</v>
      </c>
      <c r="Q148" s="42" t="n">
        <v>530.937137885289</v>
      </c>
      <c r="R148" s="43" t="n">
        <f aca="false">MAX(0,MIN(1,P148/100+$D$5))</f>
        <v>0.687322197403969</v>
      </c>
      <c r="S148" s="43" t="n">
        <v>0.0731122618343653</v>
      </c>
      <c r="T148" s="44" t="s">
        <v>90</v>
      </c>
    </row>
    <row r="149" customFormat="false" ht="15" hidden="false" customHeight="false" outlineLevel="0" collapsed="false">
      <c r="A149" s="38" t="s">
        <v>157</v>
      </c>
      <c r="B149" s="38" t="s">
        <v>251</v>
      </c>
      <c r="C149" s="38" t="s">
        <v>251</v>
      </c>
      <c r="D149" s="21" t="n">
        <f aca="false">ROUND(Q149*R149,0)</f>
        <v>309</v>
      </c>
      <c r="E149" s="21" t="n">
        <f aca="false">ROUND(Q149,0)-D149</f>
        <v>211</v>
      </c>
      <c r="F149" s="21" t="n">
        <f aca="false">IF(COUNTA(D149:E149)=0,"",SUM(D149:E149))</f>
        <v>520</v>
      </c>
      <c r="G149" s="39" t="n">
        <f aca="false">IF(OR(F149="",F149=0),"",D149/F149)</f>
        <v>0.594230769230769</v>
      </c>
      <c r="H149" s="39" t="n">
        <f aca="false">IF(OR(F149="",F149=0),"",E149/F149)</f>
        <v>0.405769230769231</v>
      </c>
      <c r="I149" s="38" t="s">
        <v>89</v>
      </c>
      <c r="J149" s="40" t="n">
        <v>3.09864730606258</v>
      </c>
      <c r="K149" s="39" t="n">
        <f aca="false">IF(G149="","",MAX(0,G149-J149/100))</f>
        <v>0.563244296170144</v>
      </c>
      <c r="L149" s="39" t="n">
        <f aca="false">IF(G149="","",MIN(1,G149+J149/100))</f>
        <v>0.625217242291395</v>
      </c>
      <c r="M149" s="21" t="n">
        <f aca="false">ROUND(Q149*S149,0)</f>
        <v>38</v>
      </c>
      <c r="N149" s="21" t="n">
        <f aca="false">ROUND(SQRT((F149*J149/100)^2+(G149*M149)^2),0)</f>
        <v>28</v>
      </c>
      <c r="P149" s="41" t="n">
        <v>5.52372187088252</v>
      </c>
      <c r="Q149" s="42" t="n">
        <v>520.291575540038</v>
      </c>
      <c r="R149" s="43" t="n">
        <f aca="false">MAX(0,MIN(1,P149/100+$D$5))</f>
        <v>0.593062913372585</v>
      </c>
      <c r="S149" s="43" t="n">
        <v>0.0731122618343653</v>
      </c>
      <c r="T149" s="44" t="s">
        <v>90</v>
      </c>
    </row>
    <row r="150" customFormat="false" ht="15" hidden="false" customHeight="false" outlineLevel="0" collapsed="false">
      <c r="A150" s="38" t="s">
        <v>157</v>
      </c>
      <c r="B150" s="38" t="s">
        <v>252</v>
      </c>
      <c r="C150" s="38" t="s">
        <v>252</v>
      </c>
      <c r="D150" s="21" t="n">
        <f aca="false">ROUND(Q150*R150,0)</f>
        <v>612</v>
      </c>
      <c r="E150" s="21" t="n">
        <f aca="false">ROUND(Q150,0)-D150</f>
        <v>1154</v>
      </c>
      <c r="F150" s="21" t="n">
        <f aca="false">IF(COUNTA(D150:E150)=0,"",SUM(D150:E150))</f>
        <v>1766</v>
      </c>
      <c r="G150" s="39" t="n">
        <f aca="false">IF(OR(F150="",F150=0),"",D150/F150)</f>
        <v>0.346545866364666</v>
      </c>
      <c r="H150" s="39" t="n">
        <f aca="false">IF(OR(F150="",F150=0),"",E150/F150)</f>
        <v>0.653454133635334</v>
      </c>
      <c r="I150" s="38" t="s">
        <v>89</v>
      </c>
      <c r="J150" s="40" t="n">
        <v>1.87006919874525</v>
      </c>
      <c r="K150" s="39" t="n">
        <f aca="false">IF(G150="","",MAX(0,G150-J150/100))</f>
        <v>0.327845174377213</v>
      </c>
      <c r="L150" s="39" t="n">
        <f aca="false">IF(G150="","",MIN(1,G150+J150/100))</f>
        <v>0.365246558352118</v>
      </c>
      <c r="M150" s="21" t="n">
        <f aca="false">ROUND(Q150*S150,0)</f>
        <v>244</v>
      </c>
      <c r="N150" s="21" t="n">
        <f aca="false">ROUND(SQRT((F150*J150/100)^2+(G150*M150)^2),0)</f>
        <v>91</v>
      </c>
      <c r="P150" s="41" t="n">
        <v>-19.1503480312815</v>
      </c>
      <c r="Q150" s="42" t="n">
        <v>1766.20898443845</v>
      </c>
      <c r="R150" s="43" t="n">
        <f aca="false">MAX(0,MIN(1,P150/100+$D$5))</f>
        <v>0.346322214350944</v>
      </c>
      <c r="S150" s="43" t="n">
        <v>0.138178110610255</v>
      </c>
      <c r="T150" s="44" t="s">
        <v>128</v>
      </c>
    </row>
    <row r="151" customFormat="false" ht="15" hidden="false" customHeight="false" outlineLevel="0" collapsed="false">
      <c r="A151" s="38" t="s">
        <v>157</v>
      </c>
      <c r="B151" s="38" t="s">
        <v>253</v>
      </c>
      <c r="C151" s="38" t="s">
        <v>254</v>
      </c>
      <c r="D151" s="21" t="n">
        <f aca="false">ROUND(Q151*R151,0)</f>
        <v>881</v>
      </c>
      <c r="E151" s="21" t="n">
        <f aca="false">ROUND(Q151,0)-D151</f>
        <v>758</v>
      </c>
      <c r="F151" s="21" t="n">
        <f aca="false">IF(COUNTA(D151:E151)=0,"",SUM(D151:E151))</f>
        <v>1639</v>
      </c>
      <c r="G151" s="39" t="n">
        <f aca="false">IF(OR(F151="",F151=0),"",D151/F151)</f>
        <v>0.537522879804759</v>
      </c>
      <c r="H151" s="39" t="n">
        <f aca="false">IF(OR(F151="",F151=0),"",E151/F151)</f>
        <v>0.462477120195241</v>
      </c>
      <c r="I151" s="38" t="s">
        <v>89</v>
      </c>
      <c r="J151" s="40" t="n">
        <v>1.87006919874525</v>
      </c>
      <c r="K151" s="39" t="n">
        <f aca="false">IF(G151="","",MAX(0,G151-J151/100))</f>
        <v>0.518822187817307</v>
      </c>
      <c r="L151" s="39" t="n">
        <f aca="false">IF(G151="","",MIN(1,G151+J151/100))</f>
        <v>0.556223571792212</v>
      </c>
      <c r="M151" s="21" t="n">
        <f aca="false">ROUND(Q151*S151,0)</f>
        <v>227</v>
      </c>
      <c r="N151" s="21" t="n">
        <f aca="false">ROUND(SQRT((F151*J151/100)^2+(G151*M151)^2),0)</f>
        <v>126</v>
      </c>
      <c r="P151" s="41" t="n">
        <v>-0.0527283564444731</v>
      </c>
      <c r="Q151" s="42" t="n">
        <v>1639.36623446737</v>
      </c>
      <c r="R151" s="43" t="n">
        <f aca="false">MAX(0,MIN(1,P151/100+$D$5))</f>
        <v>0.537298411099315</v>
      </c>
      <c r="S151" s="43" t="n">
        <v>0.138178110610255</v>
      </c>
      <c r="T151" s="44" t="s">
        <v>128</v>
      </c>
    </row>
    <row r="152" customFormat="false" ht="15" hidden="false" customHeight="false" outlineLevel="0" collapsed="false">
      <c r="A152" s="38" t="s">
        <v>157</v>
      </c>
      <c r="B152" s="38" t="s">
        <v>253</v>
      </c>
      <c r="C152" s="38" t="s">
        <v>255</v>
      </c>
      <c r="D152" s="21" t="n">
        <f aca="false">ROUND(Q152*R152,0)</f>
        <v>981</v>
      </c>
      <c r="E152" s="21" t="n">
        <f aca="false">ROUND(Q152,0)-D152</f>
        <v>826</v>
      </c>
      <c r="F152" s="21" t="n">
        <f aca="false">IF(COUNTA(D152:E152)=0,"",SUM(D152:E152))</f>
        <v>1807</v>
      </c>
      <c r="G152" s="39" t="n">
        <f aca="false">IF(OR(F152="",F152=0),"",D152/F152)</f>
        <v>0.542888765910349</v>
      </c>
      <c r="H152" s="39" t="n">
        <f aca="false">IF(OR(F152="",F152=0),"",E152/F152)</f>
        <v>0.457111234089651</v>
      </c>
      <c r="I152" s="38" t="s">
        <v>89</v>
      </c>
      <c r="J152" s="40" t="n">
        <v>1.87006919874525</v>
      </c>
      <c r="K152" s="39" t="n">
        <f aca="false">IF(G152="","",MAX(0,G152-J152/100))</f>
        <v>0.524188073922896</v>
      </c>
      <c r="L152" s="39" t="n">
        <f aca="false">IF(G152="","",MIN(1,G152+J152/100))</f>
        <v>0.561589457897801</v>
      </c>
      <c r="M152" s="21" t="n">
        <f aca="false">ROUND(Q152*S152,0)</f>
        <v>250</v>
      </c>
      <c r="N152" s="21" t="n">
        <f aca="false">ROUND(SQRT((F152*J152/100)^2+(G152*M152)^2),0)</f>
        <v>140</v>
      </c>
      <c r="P152" s="41" t="n">
        <v>0.505242949534133</v>
      </c>
      <c r="Q152" s="42" t="n">
        <v>1806.53096834105</v>
      </c>
      <c r="R152" s="43" t="n">
        <f aca="false">MAX(0,MIN(1,P152/100+$D$5))</f>
        <v>0.542878124159101</v>
      </c>
      <c r="S152" s="43" t="n">
        <v>0.138178110610255</v>
      </c>
      <c r="T152" s="44" t="s">
        <v>128</v>
      </c>
    </row>
    <row r="153" customFormat="false" ht="15" hidden="false" customHeight="false" outlineLevel="0" collapsed="false">
      <c r="A153" s="38" t="s">
        <v>157</v>
      </c>
      <c r="B153" s="38" t="s">
        <v>253</v>
      </c>
      <c r="C153" s="38" t="s">
        <v>256</v>
      </c>
      <c r="D153" s="21" t="n">
        <f aca="false">ROUND(Q153*R153,0)</f>
        <v>1702</v>
      </c>
      <c r="E153" s="21" t="n">
        <f aca="false">ROUND(Q153,0)-D153</f>
        <v>1448</v>
      </c>
      <c r="F153" s="21" t="n">
        <f aca="false">IF(COUNTA(D153:E153)=0,"",SUM(D153:E153))</f>
        <v>3150</v>
      </c>
      <c r="G153" s="39" t="n">
        <f aca="false">IF(OR(F153="",F153=0),"",D153/F153)</f>
        <v>0.54031746031746</v>
      </c>
      <c r="H153" s="39" t="n">
        <f aca="false">IF(OR(F153="",F153=0),"",E153/F153)</f>
        <v>0.45968253968254</v>
      </c>
      <c r="I153" s="38" t="s">
        <v>89</v>
      </c>
      <c r="J153" s="40" t="n">
        <v>1.87006919874525</v>
      </c>
      <c r="K153" s="39" t="n">
        <f aca="false">IF(G153="","",MAX(0,G153-J153/100))</f>
        <v>0.521616768330008</v>
      </c>
      <c r="L153" s="39" t="n">
        <f aca="false">IF(G153="","",MIN(1,G153+J153/100))</f>
        <v>0.559018152304913</v>
      </c>
      <c r="M153" s="21" t="n">
        <f aca="false">ROUND(Q153*S153,0)</f>
        <v>435</v>
      </c>
      <c r="N153" s="21" t="n">
        <f aca="false">ROUND(SQRT((F153*J153/100)^2+(G153*M153)^2),0)</f>
        <v>242</v>
      </c>
      <c r="P153" s="41" t="n">
        <v>0.252196569925126</v>
      </c>
      <c r="Q153" s="42" t="n">
        <v>3149.84370715254</v>
      </c>
      <c r="R153" s="43" t="n">
        <f aca="false">MAX(0,MIN(1,P153/100+$D$5))</f>
        <v>0.540347660363011</v>
      </c>
      <c r="S153" s="43" t="n">
        <v>0.138178110610255</v>
      </c>
      <c r="T153" s="44" t="s">
        <v>128</v>
      </c>
    </row>
    <row r="154" customFormat="false" ht="15" hidden="false" customHeight="false" outlineLevel="0" collapsed="false">
      <c r="A154" s="38" t="s">
        <v>157</v>
      </c>
      <c r="B154" s="38" t="s">
        <v>253</v>
      </c>
      <c r="C154" s="38" t="s">
        <v>257</v>
      </c>
      <c r="D154" s="21" t="n">
        <f aca="false">ROUND(Q154*R154,0)</f>
        <v>861</v>
      </c>
      <c r="E154" s="21" t="n">
        <f aca="false">ROUND(Q154,0)-D154</f>
        <v>744</v>
      </c>
      <c r="F154" s="21" t="n">
        <f aca="false">IF(COUNTA(D154:E154)=0,"",SUM(D154:E154))</f>
        <v>1605</v>
      </c>
      <c r="G154" s="39" t="n">
        <f aca="false">IF(OR(F154="",F154=0),"",D154/F154)</f>
        <v>0.536448598130841</v>
      </c>
      <c r="H154" s="39" t="n">
        <f aca="false">IF(OR(F154="",F154=0),"",E154/F154)</f>
        <v>0.463551401869159</v>
      </c>
      <c r="I154" s="38" t="s">
        <v>89</v>
      </c>
      <c r="J154" s="40" t="n">
        <v>1.87006919874525</v>
      </c>
      <c r="K154" s="39" t="n">
        <f aca="false">IF(G154="","",MAX(0,G154-J154/100))</f>
        <v>0.517747906143389</v>
      </c>
      <c r="L154" s="39" t="n">
        <f aca="false">IF(G154="","",MIN(1,G154+J154/100))</f>
        <v>0.555149290118294</v>
      </c>
      <c r="M154" s="21" t="n">
        <f aca="false">ROUND(Q154*S154,0)</f>
        <v>222</v>
      </c>
      <c r="N154" s="21" t="n">
        <f aca="false">ROUND(SQRT((F154*J154/100)^2+(G154*M154)^2),0)</f>
        <v>123</v>
      </c>
      <c r="P154" s="41" t="n">
        <v>-0.155043132648568</v>
      </c>
      <c r="Q154" s="42" t="n">
        <v>1604.60233280651</v>
      </c>
      <c r="R154" s="43" t="n">
        <f aca="false">MAX(0,MIN(1,P154/100+$D$5))</f>
        <v>0.536275263337274</v>
      </c>
      <c r="S154" s="43" t="n">
        <v>0.138178110610255</v>
      </c>
      <c r="T154" s="44" t="s">
        <v>128</v>
      </c>
    </row>
    <row r="155" customFormat="false" ht="15" hidden="false" customHeight="false" outlineLevel="0" collapsed="false">
      <c r="A155" s="38" t="s">
        <v>157</v>
      </c>
      <c r="B155" s="38" t="s">
        <v>253</v>
      </c>
      <c r="C155" s="38" t="s">
        <v>258</v>
      </c>
      <c r="D155" s="21" t="n">
        <f aca="false">ROUND(Q155*R155,0)</f>
        <v>786</v>
      </c>
      <c r="E155" s="21" t="n">
        <f aca="false">ROUND(Q155,0)-D155</f>
        <v>669</v>
      </c>
      <c r="F155" s="21" t="n">
        <f aca="false">IF(COUNTA(D155:E155)=0,"",SUM(D155:E155))</f>
        <v>1455</v>
      </c>
      <c r="G155" s="39" t="n">
        <f aca="false">IF(OR(F155="",F155=0),"",D155/F155)</f>
        <v>0.54020618556701</v>
      </c>
      <c r="H155" s="39" t="n">
        <f aca="false">IF(OR(F155="",F155=0),"",E155/F155)</f>
        <v>0.45979381443299</v>
      </c>
      <c r="I155" s="38" t="s">
        <v>89</v>
      </c>
      <c r="J155" s="40" t="n">
        <v>1.87006919874525</v>
      </c>
      <c r="K155" s="39" t="n">
        <f aca="false">IF(G155="","",MAX(0,G155-J155/100))</f>
        <v>0.521505493579558</v>
      </c>
      <c r="L155" s="39" t="n">
        <f aca="false">IF(G155="","",MIN(1,G155+J155/100))</f>
        <v>0.558906877554463</v>
      </c>
      <c r="M155" s="21" t="n">
        <f aca="false">ROUND(Q155*S155,0)</f>
        <v>201</v>
      </c>
      <c r="N155" s="21" t="n">
        <f aca="false">ROUND(SQRT((F155*J155/100)^2+(G155*M155)^2),0)</f>
        <v>112</v>
      </c>
      <c r="P155" s="41" t="n">
        <v>0.284811922920648</v>
      </c>
      <c r="Q155" s="42" t="n">
        <v>1454.58703848926</v>
      </c>
      <c r="R155" s="43" t="n">
        <f aca="false">MAX(0,MIN(1,P155/100+$D$5))</f>
        <v>0.540673813892966</v>
      </c>
      <c r="S155" s="43" t="n">
        <v>0.138178110610255</v>
      </c>
      <c r="T155" s="44" t="s">
        <v>128</v>
      </c>
    </row>
    <row r="156" customFormat="false" ht="15" hidden="false" customHeight="false" outlineLevel="0" collapsed="false">
      <c r="A156" s="38" t="s">
        <v>157</v>
      </c>
      <c r="B156" s="38" t="s">
        <v>253</v>
      </c>
      <c r="C156" s="38" t="s">
        <v>259</v>
      </c>
      <c r="D156" s="21" t="n">
        <f aca="false">ROUND(Q156*R156,0)</f>
        <v>700</v>
      </c>
      <c r="E156" s="21" t="n">
        <f aca="false">ROUND(Q156,0)-D156</f>
        <v>596</v>
      </c>
      <c r="F156" s="21" t="n">
        <f aca="false">IF(COUNTA(D156:E156)=0,"",SUM(D156:E156))</f>
        <v>1296</v>
      </c>
      <c r="G156" s="39" t="n">
        <f aca="false">IF(OR(F156="",F156=0),"",D156/F156)</f>
        <v>0.540123456790123</v>
      </c>
      <c r="H156" s="39" t="n">
        <f aca="false">IF(OR(F156="",F156=0),"",E156/F156)</f>
        <v>0.459876543209877</v>
      </c>
      <c r="I156" s="38" t="s">
        <v>89</v>
      </c>
      <c r="J156" s="40" t="n">
        <v>1.87006919874525</v>
      </c>
      <c r="K156" s="39" t="n">
        <f aca="false">IF(G156="","",MAX(0,G156-J156/100))</f>
        <v>0.521422764802671</v>
      </c>
      <c r="L156" s="39" t="n">
        <f aca="false">IF(G156="","",MIN(1,G156+J156/100))</f>
        <v>0.558824148777576</v>
      </c>
      <c r="M156" s="21" t="n">
        <f aca="false">ROUND(Q156*S156,0)</f>
        <v>179</v>
      </c>
      <c r="N156" s="21" t="n">
        <f aca="false">ROUND(SQRT((F156*J156/100)^2+(G156*M156)^2),0)</f>
        <v>100</v>
      </c>
      <c r="P156" s="41" t="n">
        <v>0.24427932739826</v>
      </c>
      <c r="Q156" s="42" t="n">
        <v>1295.62177038766</v>
      </c>
      <c r="R156" s="43" t="n">
        <f aca="false">MAX(0,MIN(1,P156/100+$D$5))</f>
        <v>0.540268487937742</v>
      </c>
      <c r="S156" s="43" t="n">
        <v>0.138178110610255</v>
      </c>
      <c r="T156" s="44" t="s">
        <v>128</v>
      </c>
    </row>
    <row r="157" customFormat="false" ht="15" hidden="false" customHeight="false" outlineLevel="0" collapsed="false">
      <c r="A157" s="38" t="s">
        <v>157</v>
      </c>
      <c r="B157" s="38" t="s">
        <v>253</v>
      </c>
      <c r="C157" s="38" t="s">
        <v>260</v>
      </c>
      <c r="D157" s="21" t="n">
        <f aca="false">ROUND(Q157*R157,0)</f>
        <v>1434</v>
      </c>
      <c r="E157" s="21" t="n">
        <f aca="false">ROUND(Q157,0)-D157</f>
        <v>1186</v>
      </c>
      <c r="F157" s="21" t="n">
        <f aca="false">IF(COUNTA(D157:E157)=0,"",SUM(D157:E157))</f>
        <v>2620</v>
      </c>
      <c r="G157" s="39" t="n">
        <f aca="false">IF(OR(F157="",F157=0),"",D157/F157)</f>
        <v>0.547328244274809</v>
      </c>
      <c r="H157" s="39" t="n">
        <f aca="false">IF(OR(F157="",F157=0),"",E157/F157)</f>
        <v>0.452671755725191</v>
      </c>
      <c r="I157" s="38" t="s">
        <v>89</v>
      </c>
      <c r="J157" s="40" t="n">
        <v>1.87006919874525</v>
      </c>
      <c r="K157" s="39" t="n">
        <f aca="false">IF(G157="","",MAX(0,G157-J157/100))</f>
        <v>0.528627552287357</v>
      </c>
      <c r="L157" s="39" t="n">
        <f aca="false">IF(G157="","",MIN(1,G157+J157/100))</f>
        <v>0.566028936262262</v>
      </c>
      <c r="M157" s="21" t="n">
        <f aca="false">ROUND(Q157*S157,0)</f>
        <v>362</v>
      </c>
      <c r="N157" s="21" t="n">
        <f aca="false">ROUND(SQRT((F157*J157/100)^2+(G157*M157)^2),0)</f>
        <v>204</v>
      </c>
      <c r="P157" s="41" t="n">
        <v>0.923877604954239</v>
      </c>
      <c r="Q157" s="42" t="n">
        <v>2620.45717089725</v>
      </c>
      <c r="R157" s="43" t="n">
        <f aca="false">MAX(0,MIN(1,P157/100+$D$5))</f>
        <v>0.547064470713302</v>
      </c>
      <c r="S157" s="43" t="n">
        <v>0.138178110610255</v>
      </c>
      <c r="T157" s="44" t="s">
        <v>128</v>
      </c>
    </row>
    <row r="158" customFormat="false" ht="15" hidden="false" customHeight="false" outlineLevel="0" collapsed="false">
      <c r="A158" s="38" t="s">
        <v>157</v>
      </c>
      <c r="B158" s="38" t="s">
        <v>253</v>
      </c>
      <c r="C158" s="38" t="s">
        <v>261</v>
      </c>
      <c r="D158" s="21" t="n">
        <f aca="false">ROUND(Q158*R158,0)</f>
        <v>787</v>
      </c>
      <c r="E158" s="21" t="n">
        <f aca="false">ROUND(Q158,0)-D158</f>
        <v>621</v>
      </c>
      <c r="F158" s="21" t="n">
        <f aca="false">IF(COUNTA(D158:E158)=0,"",SUM(D158:E158))</f>
        <v>1408</v>
      </c>
      <c r="G158" s="39" t="n">
        <f aca="false">IF(OR(F158="",F158=0),"",D158/F158)</f>
        <v>0.558948863636364</v>
      </c>
      <c r="H158" s="39" t="n">
        <f aca="false">IF(OR(F158="",F158=0),"",E158/F158)</f>
        <v>0.441051136363636</v>
      </c>
      <c r="I158" s="38" t="s">
        <v>89</v>
      </c>
      <c r="J158" s="40" t="n">
        <v>1.87006919874525</v>
      </c>
      <c r="K158" s="39" t="n">
        <f aca="false">IF(G158="","",MAX(0,G158-J158/100))</f>
        <v>0.540248171648911</v>
      </c>
      <c r="L158" s="39" t="n">
        <f aca="false">IF(G158="","",MIN(1,G158+J158/100))</f>
        <v>0.577649555623816</v>
      </c>
      <c r="M158" s="21" t="n">
        <f aca="false">ROUND(Q158*S158,0)</f>
        <v>195</v>
      </c>
      <c r="N158" s="21" t="n">
        <f aca="false">ROUND(SQRT((F158*J158/100)^2+(G158*M158)^2),0)</f>
        <v>112</v>
      </c>
      <c r="P158" s="41" t="n">
        <v>2.09388445578583</v>
      </c>
      <c r="Q158" s="42" t="n">
        <v>1408.29314490947</v>
      </c>
      <c r="R158" s="43" t="n">
        <f aca="false">MAX(0,MIN(1,P158/100+$D$5))</f>
        <v>0.558764539221618</v>
      </c>
      <c r="S158" s="43" t="n">
        <v>0.138178110610255</v>
      </c>
      <c r="T158" s="44" t="s">
        <v>128</v>
      </c>
    </row>
    <row r="159" customFormat="false" ht="15" hidden="false" customHeight="false" outlineLevel="0" collapsed="false">
      <c r="A159" s="38" t="s">
        <v>157</v>
      </c>
      <c r="B159" s="38" t="s">
        <v>253</v>
      </c>
      <c r="C159" s="38" t="s">
        <v>262</v>
      </c>
      <c r="D159" s="21" t="n">
        <f aca="false">ROUND(Q159*R159,0)</f>
        <v>767</v>
      </c>
      <c r="E159" s="21" t="n">
        <f aca="false">ROUND(Q159,0)-D159</f>
        <v>652</v>
      </c>
      <c r="F159" s="21" t="n">
        <f aca="false">IF(COUNTA(D159:E159)=0,"",SUM(D159:E159))</f>
        <v>1419</v>
      </c>
      <c r="G159" s="39" t="n">
        <f aca="false">IF(OR(F159="",F159=0),"",D159/F159)</f>
        <v>0.540521494009866</v>
      </c>
      <c r="H159" s="39" t="n">
        <f aca="false">IF(OR(F159="",F159=0),"",E159/F159)</f>
        <v>0.459478505990134</v>
      </c>
      <c r="I159" s="38" t="s">
        <v>89</v>
      </c>
      <c r="J159" s="40" t="n">
        <v>1.87006919874525</v>
      </c>
      <c r="K159" s="39" t="n">
        <f aca="false">IF(G159="","",MAX(0,G159-J159/100))</f>
        <v>0.521820802022414</v>
      </c>
      <c r="L159" s="39" t="n">
        <f aca="false">IF(G159="","",MIN(1,G159+J159/100))</f>
        <v>0.559222185997319</v>
      </c>
      <c r="M159" s="21" t="n">
        <f aca="false">ROUND(Q159*S159,0)</f>
        <v>196</v>
      </c>
      <c r="N159" s="21" t="n">
        <f aca="false">ROUND(SQRT((F159*J159/100)^2+(G159*M159)^2),0)</f>
        <v>109</v>
      </c>
      <c r="P159" s="41" t="n">
        <v>0.265511683142216</v>
      </c>
      <c r="Q159" s="42" t="n">
        <v>1419.46385493292</v>
      </c>
      <c r="R159" s="43" t="n">
        <f aca="false">MAX(0,MIN(1,P159/100+$D$5))</f>
        <v>0.540480811495182</v>
      </c>
      <c r="S159" s="43" t="n">
        <v>0.138178110610255</v>
      </c>
      <c r="T159" s="44" t="s">
        <v>128</v>
      </c>
    </row>
    <row r="160" customFormat="false" ht="15" hidden="false" customHeight="false" outlineLevel="0" collapsed="false">
      <c r="A160" s="38" t="s">
        <v>157</v>
      </c>
      <c r="B160" s="38" t="s">
        <v>253</v>
      </c>
      <c r="C160" s="38" t="s">
        <v>263</v>
      </c>
      <c r="D160" s="21" t="n">
        <f aca="false">ROUND(Q160*R160,0)</f>
        <v>523</v>
      </c>
      <c r="E160" s="21" t="n">
        <f aca="false">ROUND(Q160,0)-D160</f>
        <v>433</v>
      </c>
      <c r="F160" s="21" t="n">
        <f aca="false">IF(COUNTA(D160:E160)=0,"",SUM(D160:E160))</f>
        <v>956</v>
      </c>
      <c r="G160" s="39" t="n">
        <f aca="false">IF(OR(F160="",F160=0),"",D160/F160)</f>
        <v>0.547071129707113</v>
      </c>
      <c r="H160" s="39" t="n">
        <f aca="false">IF(OR(F160="",F160=0),"",E160/F160)</f>
        <v>0.452928870292887</v>
      </c>
      <c r="I160" s="38" t="s">
        <v>89</v>
      </c>
      <c r="J160" s="40" t="n">
        <v>2.0110742867014</v>
      </c>
      <c r="K160" s="39" t="n">
        <f aca="false">IF(G160="","",MAX(0,G160-J160/100))</f>
        <v>0.526960386840099</v>
      </c>
      <c r="L160" s="39" t="n">
        <f aca="false">IF(G160="","",MIN(1,G160+J160/100))</f>
        <v>0.567181872574127</v>
      </c>
      <c r="M160" s="21" t="n">
        <f aca="false">ROUND(Q160*S160,0)</f>
        <v>58</v>
      </c>
      <c r="N160" s="21" t="n">
        <f aca="false">ROUND(SQRT((F160*J160/100)^2+(G160*M160)^2),0)</f>
        <v>37</v>
      </c>
      <c r="P160" s="41" t="n">
        <v>0.915598877273925</v>
      </c>
      <c r="Q160" s="42" t="n">
        <v>956.02570438031</v>
      </c>
      <c r="R160" s="43" t="n">
        <f aca="false">MAX(0,MIN(1,P160/100+$D$5))</f>
        <v>0.546981683436499</v>
      </c>
      <c r="S160" s="43" t="n">
        <v>0.0608302283160348</v>
      </c>
      <c r="T160" s="44" t="s">
        <v>99</v>
      </c>
    </row>
    <row r="161" customFormat="false" ht="15" hidden="false" customHeight="false" outlineLevel="0" collapsed="false">
      <c r="A161" s="38" t="s">
        <v>157</v>
      </c>
      <c r="B161" s="38" t="s">
        <v>264</v>
      </c>
      <c r="C161" s="38" t="s">
        <v>264</v>
      </c>
      <c r="D161" s="21" t="n">
        <f aca="false">ROUND(Q161*R161,0)</f>
        <v>949</v>
      </c>
      <c r="E161" s="21" t="n">
        <f aca="false">ROUND(Q161,0)-D161</f>
        <v>1371</v>
      </c>
      <c r="F161" s="21" t="n">
        <f aca="false">IF(COUNTA(D161:E161)=0,"",SUM(D161:E161))</f>
        <v>2320</v>
      </c>
      <c r="G161" s="39" t="n">
        <f aca="false">IF(OR(F161="",F161=0),"",D161/F161)</f>
        <v>0.409051724137931</v>
      </c>
      <c r="H161" s="39" t="n">
        <f aca="false">IF(OR(F161="",F161=0),"",E161/F161)</f>
        <v>0.590948275862069</v>
      </c>
      <c r="I161" s="38" t="s">
        <v>89</v>
      </c>
      <c r="J161" s="40" t="n">
        <v>1.87006919874525</v>
      </c>
      <c r="K161" s="39" t="n">
        <f aca="false">IF(G161="","",MAX(0,G161-J161/100))</f>
        <v>0.390351032150479</v>
      </c>
      <c r="L161" s="39" t="n">
        <f aca="false">IF(G161="","",MIN(1,G161+J161/100))</f>
        <v>0.427752416125384</v>
      </c>
      <c r="M161" s="21" t="n">
        <f aca="false">ROUND(Q161*S161,0)</f>
        <v>321</v>
      </c>
      <c r="N161" s="21" t="n">
        <f aca="false">ROUND(SQRT((F161*J161/100)^2+(G161*M161)^2),0)</f>
        <v>138</v>
      </c>
      <c r="P161" s="41" t="n">
        <v>-12.8685428787234</v>
      </c>
      <c r="Q161" s="42" t="n">
        <v>2320.16989044873</v>
      </c>
      <c r="R161" s="43" t="n">
        <f aca="false">MAX(0,MIN(1,P161/100+$D$5))</f>
        <v>0.409140265876526</v>
      </c>
      <c r="S161" s="43" t="n">
        <v>0.138178110610255</v>
      </c>
      <c r="T161" s="44" t="s">
        <v>128</v>
      </c>
    </row>
    <row r="162" customFormat="false" ht="15" hidden="false" customHeight="false" outlineLevel="0" collapsed="false">
      <c r="A162" s="38" t="s">
        <v>157</v>
      </c>
      <c r="B162" s="38" t="s">
        <v>265</v>
      </c>
      <c r="C162" s="38" t="s">
        <v>265</v>
      </c>
      <c r="D162" s="21" t="n">
        <f aca="false">ROUND(Q162*R162,0)</f>
        <v>519</v>
      </c>
      <c r="E162" s="21" t="n">
        <f aca="false">ROUND(Q162,0)-D162</f>
        <v>800</v>
      </c>
      <c r="F162" s="21" t="n">
        <f aca="false">IF(COUNTA(D162:E162)=0,"",SUM(D162:E162))</f>
        <v>1319</v>
      </c>
      <c r="G162" s="39" t="n">
        <f aca="false">IF(OR(F162="",F162=0),"",D162/F162)</f>
        <v>0.393479909021986</v>
      </c>
      <c r="H162" s="39" t="n">
        <f aca="false">IF(OR(F162="",F162=0),"",E162/F162)</f>
        <v>0.606520090978014</v>
      </c>
      <c r="I162" s="38" t="s">
        <v>89</v>
      </c>
      <c r="J162" s="40" t="n">
        <v>1.87006919874525</v>
      </c>
      <c r="K162" s="39" t="n">
        <f aca="false">IF(G162="","",MAX(0,G162-J162/100))</f>
        <v>0.374779217034534</v>
      </c>
      <c r="L162" s="39" t="n">
        <f aca="false">IF(G162="","",MIN(1,G162+J162/100))</f>
        <v>0.412180601009439</v>
      </c>
      <c r="M162" s="21" t="n">
        <f aca="false">ROUND(Q162*S162,0)</f>
        <v>182</v>
      </c>
      <c r="N162" s="21" t="n">
        <f aca="false">ROUND(SQRT((F162*J162/100)^2+(G162*M162)^2),0)</f>
        <v>76</v>
      </c>
      <c r="P162" s="41" t="n">
        <v>-14.437328333545</v>
      </c>
      <c r="Q162" s="42" t="n">
        <v>1319.3353891849</v>
      </c>
      <c r="R162" s="43" t="n">
        <f aca="false">MAX(0,MIN(1,P162/100+$D$5))</f>
        <v>0.39345241132831</v>
      </c>
      <c r="S162" s="43" t="n">
        <v>0.138178110610255</v>
      </c>
      <c r="T162" s="44" t="s">
        <v>128</v>
      </c>
    </row>
    <row r="163" customFormat="false" ht="15" hidden="false" customHeight="false" outlineLevel="0" collapsed="false">
      <c r="A163" s="38" t="s">
        <v>157</v>
      </c>
      <c r="B163" s="38" t="s">
        <v>266</v>
      </c>
      <c r="C163" s="38" t="s">
        <v>267</v>
      </c>
      <c r="D163" s="21" t="n">
        <f aca="false">ROUND(Q163*R163,0)</f>
        <v>185</v>
      </c>
      <c r="E163" s="21" t="n">
        <f aca="false">ROUND(Q163,0)-D163</f>
        <v>408</v>
      </c>
      <c r="F163" s="21" t="n">
        <f aca="false">IF(COUNTA(D163:E163)=0,"",SUM(D163:E163))</f>
        <v>593</v>
      </c>
      <c r="G163" s="39" t="n">
        <f aca="false">IF(OR(F163="",F163=0),"",D163/F163)</f>
        <v>0.311973018549747</v>
      </c>
      <c r="H163" s="39" t="n">
        <f aca="false">IF(OR(F163="",F163=0),"",E163/F163)</f>
        <v>0.688026981450253</v>
      </c>
      <c r="I163" s="38" t="s">
        <v>89</v>
      </c>
      <c r="J163" s="40" t="n">
        <v>3.09864730606258</v>
      </c>
      <c r="K163" s="39" t="n">
        <f aca="false">IF(G163="","",MAX(0,G163-J163/100))</f>
        <v>0.280986545489121</v>
      </c>
      <c r="L163" s="39" t="n">
        <f aca="false">IF(G163="","",MIN(1,G163+J163/100))</f>
        <v>0.342959491610373</v>
      </c>
      <c r="M163" s="21" t="n">
        <f aca="false">ROUND(Q163*S163,0)</f>
        <v>43</v>
      </c>
      <c r="N163" s="21" t="n">
        <f aca="false">ROUND(SQRT((F163*J163/100)^2+(G163*M163)^2),0)</f>
        <v>23</v>
      </c>
      <c r="P163" s="41" t="n">
        <v>-22.5423849881552</v>
      </c>
      <c r="Q163" s="42" t="n">
        <v>593.045607941435</v>
      </c>
      <c r="R163" s="43" t="n">
        <f aca="false">MAX(0,MIN(1,P163/100+$D$5))</f>
        <v>0.312401844782208</v>
      </c>
      <c r="S163" s="43" t="n">
        <v>0.0731122618343653</v>
      </c>
      <c r="T163" s="44" t="s">
        <v>90</v>
      </c>
    </row>
    <row r="164" customFormat="false" ht="15" hidden="false" customHeight="false" outlineLevel="0" collapsed="false">
      <c r="A164" s="38" t="s">
        <v>157</v>
      </c>
      <c r="B164" s="38" t="s">
        <v>266</v>
      </c>
      <c r="C164" s="38" t="s">
        <v>268</v>
      </c>
      <c r="D164" s="21" t="n">
        <f aca="false">ROUND(Q164*R164,0)</f>
        <v>142</v>
      </c>
      <c r="E164" s="21" t="n">
        <f aca="false">ROUND(Q164,0)-D164</f>
        <v>260</v>
      </c>
      <c r="F164" s="21" t="n">
        <f aca="false">IF(COUNTA(D164:E164)=0,"",SUM(D164:E164))</f>
        <v>402</v>
      </c>
      <c r="G164" s="39" t="n">
        <f aca="false">IF(OR(F164="",F164=0),"",D164/F164)</f>
        <v>0.353233830845771</v>
      </c>
      <c r="H164" s="39" t="n">
        <f aca="false">IF(OR(F164="",F164=0),"",E164/F164)</f>
        <v>0.646766169154229</v>
      </c>
      <c r="I164" s="38" t="s">
        <v>89</v>
      </c>
      <c r="J164" s="40" t="n">
        <v>3.09864730606258</v>
      </c>
      <c r="K164" s="39" t="n">
        <f aca="false">IF(G164="","",MAX(0,G164-J164/100))</f>
        <v>0.322247357785145</v>
      </c>
      <c r="L164" s="39" t="n">
        <f aca="false">IF(G164="","",MIN(1,G164+J164/100))</f>
        <v>0.384220303906397</v>
      </c>
      <c r="M164" s="21" t="n">
        <f aca="false">ROUND(Q164*S164,0)</f>
        <v>29</v>
      </c>
      <c r="N164" s="21" t="n">
        <f aca="false">ROUND(SQRT((F164*J164/100)^2+(G164*M164)^2),0)</f>
        <v>16</v>
      </c>
      <c r="P164" s="41" t="n">
        <v>-18.4814073287014</v>
      </c>
      <c r="Q164" s="42" t="n">
        <v>402.469259110366</v>
      </c>
      <c r="R164" s="43" t="n">
        <f aca="false">MAX(0,MIN(1,P164/100+$D$5))</f>
        <v>0.353011621376746</v>
      </c>
      <c r="S164" s="43" t="n">
        <v>0.0731122618343653</v>
      </c>
      <c r="T164" s="44" t="s">
        <v>90</v>
      </c>
    </row>
    <row r="165" customFormat="false" ht="15" hidden="false" customHeight="false" outlineLevel="0" collapsed="false">
      <c r="A165" s="38" t="s">
        <v>157</v>
      </c>
      <c r="B165" s="38" t="s">
        <v>266</v>
      </c>
      <c r="C165" s="38" t="s">
        <v>269</v>
      </c>
      <c r="D165" s="21" t="n">
        <f aca="false">ROUND(Q165*R165,0)</f>
        <v>497</v>
      </c>
      <c r="E165" s="21" t="n">
        <f aca="false">ROUND(Q165,0)-D165</f>
        <v>856</v>
      </c>
      <c r="F165" s="21" t="n">
        <f aca="false">IF(COUNTA(D165:E165)=0,"",SUM(D165:E165))</f>
        <v>1353</v>
      </c>
      <c r="G165" s="39" t="n">
        <f aca="false">IF(OR(F165="",F165=0),"",D165/F165)</f>
        <v>0.367331855136733</v>
      </c>
      <c r="H165" s="39" t="n">
        <f aca="false">IF(OR(F165="",F165=0),"",E165/F165)</f>
        <v>0.632668144863267</v>
      </c>
      <c r="I165" s="38" t="s">
        <v>89</v>
      </c>
      <c r="J165" s="40" t="n">
        <v>1.87006919874525</v>
      </c>
      <c r="K165" s="39" t="n">
        <f aca="false">IF(G165="","",MAX(0,G165-J165/100))</f>
        <v>0.348631163149281</v>
      </c>
      <c r="L165" s="39" t="n">
        <f aca="false">IF(G165="","",MIN(1,G165+J165/100))</f>
        <v>0.386032547124186</v>
      </c>
      <c r="M165" s="21" t="n">
        <f aca="false">ROUND(Q165*S165,0)</f>
        <v>187</v>
      </c>
      <c r="N165" s="21" t="n">
        <f aca="false">ROUND(SQRT((F165*J165/100)^2+(G165*M165)^2),0)</f>
        <v>73</v>
      </c>
      <c r="P165" s="41" t="n">
        <v>-17.0504826947927</v>
      </c>
      <c r="Q165" s="42" t="n">
        <v>1352.92360210583</v>
      </c>
      <c r="R165" s="43" t="n">
        <f aca="false">MAX(0,MIN(1,P165/100+$D$5))</f>
        <v>0.367320867715833</v>
      </c>
      <c r="S165" s="43" t="n">
        <v>0.138178110610255</v>
      </c>
      <c r="T165" s="44" t="s">
        <v>128</v>
      </c>
    </row>
    <row r="166" customFormat="false" ht="15" hidden="false" customHeight="false" outlineLevel="0" collapsed="false">
      <c r="A166" s="38" t="s">
        <v>157</v>
      </c>
      <c r="B166" s="38" t="s">
        <v>270</v>
      </c>
      <c r="C166" s="38" t="s">
        <v>270</v>
      </c>
      <c r="D166" s="21" t="n">
        <f aca="false">ROUND(Q166*R166,0)</f>
        <v>895</v>
      </c>
      <c r="E166" s="21" t="n">
        <f aca="false">ROUND(Q166,0)-D166</f>
        <v>687</v>
      </c>
      <c r="F166" s="21" t="n">
        <f aca="false">IF(COUNTA(D166:E166)=0,"",SUM(D166:E166))</f>
        <v>1582</v>
      </c>
      <c r="G166" s="39" t="n">
        <f aca="false">IF(OR(F166="",F166=0),"",D166/F166)</f>
        <v>0.565739570164349</v>
      </c>
      <c r="H166" s="39" t="n">
        <f aca="false">IF(OR(F166="",F166=0),"",E166/F166)</f>
        <v>0.434260429835651</v>
      </c>
      <c r="I166" s="38" t="s">
        <v>89</v>
      </c>
      <c r="J166" s="40" t="n">
        <v>1.87006919874525</v>
      </c>
      <c r="K166" s="39" t="n">
        <f aca="false">IF(G166="","",MAX(0,G166-J166/100))</f>
        <v>0.547038878176896</v>
      </c>
      <c r="L166" s="39" t="n">
        <f aca="false">IF(G166="","",MIN(1,G166+J166/100))</f>
        <v>0.584440262151801</v>
      </c>
      <c r="M166" s="21" t="n">
        <f aca="false">ROUND(Q166*S166,0)</f>
        <v>219</v>
      </c>
      <c r="N166" s="21" t="n">
        <f aca="false">ROUND(SQRT((F166*J166/100)^2+(G166*M166)^2),0)</f>
        <v>127</v>
      </c>
      <c r="P166" s="41" t="n">
        <v>2.78151893908942</v>
      </c>
      <c r="Q166" s="42" t="n">
        <v>1582.36314674277</v>
      </c>
      <c r="R166" s="43" t="n">
        <f aca="false">MAX(0,MIN(1,P166/100+$D$5))</f>
        <v>0.565640884054654</v>
      </c>
      <c r="S166" s="43" t="n">
        <v>0.138178110610255</v>
      </c>
      <c r="T166" s="44" t="s">
        <v>128</v>
      </c>
    </row>
    <row r="167" customFormat="false" ht="15" hidden="false" customHeight="false" outlineLevel="0" collapsed="false">
      <c r="A167" s="38" t="s">
        <v>157</v>
      </c>
      <c r="B167" s="38" t="s">
        <v>271</v>
      </c>
      <c r="C167" s="38" t="s">
        <v>272</v>
      </c>
      <c r="D167" s="21" t="n">
        <f aca="false">ROUND(Q167*R167,0)</f>
        <v>921</v>
      </c>
      <c r="E167" s="21" t="n">
        <f aca="false">ROUND(Q167,0)-D167</f>
        <v>1102</v>
      </c>
      <c r="F167" s="21" t="n">
        <f aca="false">IF(COUNTA(D167:E167)=0,"",SUM(D167:E167))</f>
        <v>2023</v>
      </c>
      <c r="G167" s="39" t="n">
        <f aca="false">IF(OR(F167="",F167=0),"",D167/F167)</f>
        <v>0.455264458724666</v>
      </c>
      <c r="H167" s="39" t="n">
        <f aca="false">IF(OR(F167="",F167=0),"",E167/F167)</f>
        <v>0.544735541275334</v>
      </c>
      <c r="I167" s="38" t="s">
        <v>89</v>
      </c>
      <c r="J167" s="40" t="n">
        <v>1.87006919874525</v>
      </c>
      <c r="K167" s="39" t="n">
        <f aca="false">IF(G167="","",MAX(0,G167-J167/100))</f>
        <v>0.436563766737214</v>
      </c>
      <c r="L167" s="39" t="n">
        <f aca="false">IF(G167="","",MIN(1,G167+J167/100))</f>
        <v>0.473965150712119</v>
      </c>
      <c r="M167" s="21" t="n">
        <f aca="false">ROUND(Q167*S167,0)</f>
        <v>280</v>
      </c>
      <c r="N167" s="21" t="n">
        <f aca="false">ROUND(SQRT((F167*J167/100)^2+(G167*M167)^2),0)</f>
        <v>133</v>
      </c>
      <c r="P167" s="41" t="n">
        <v>-8.27868446705922</v>
      </c>
      <c r="Q167" s="42" t="n">
        <v>2023.12576365875</v>
      </c>
      <c r="R167" s="43" t="n">
        <f aca="false">MAX(0,MIN(1,P167/100+$D$5))</f>
        <v>0.455038849993168</v>
      </c>
      <c r="S167" s="43" t="n">
        <v>0.138178110610255</v>
      </c>
      <c r="T167" s="44" t="s">
        <v>128</v>
      </c>
    </row>
    <row r="168" customFormat="false" ht="15" hidden="false" customHeight="false" outlineLevel="0" collapsed="false">
      <c r="A168" s="38" t="s">
        <v>157</v>
      </c>
      <c r="B168" s="38" t="s">
        <v>271</v>
      </c>
      <c r="C168" s="38" t="s">
        <v>273</v>
      </c>
      <c r="D168" s="21" t="n">
        <f aca="false">ROUND(Q168*R168,0)</f>
        <v>788</v>
      </c>
      <c r="E168" s="21" t="n">
        <f aca="false">ROUND(Q168,0)-D168</f>
        <v>1017</v>
      </c>
      <c r="F168" s="21" t="n">
        <f aca="false">IF(COUNTA(D168:E168)=0,"",SUM(D168:E168))</f>
        <v>1805</v>
      </c>
      <c r="G168" s="39" t="n">
        <f aca="false">IF(OR(F168="",F168=0),"",D168/F168)</f>
        <v>0.436565096952909</v>
      </c>
      <c r="H168" s="39" t="n">
        <f aca="false">IF(OR(F168="",F168=0),"",E168/F168)</f>
        <v>0.563434903047091</v>
      </c>
      <c r="I168" s="38" t="s">
        <v>89</v>
      </c>
      <c r="J168" s="40" t="n">
        <v>1.87006919874525</v>
      </c>
      <c r="K168" s="39" t="n">
        <f aca="false">IF(G168="","",MAX(0,G168-J168/100))</f>
        <v>0.417864404965456</v>
      </c>
      <c r="L168" s="39" t="n">
        <f aca="false">IF(G168="","",MIN(1,G168+J168/100))</f>
        <v>0.455265788940361</v>
      </c>
      <c r="M168" s="21" t="n">
        <f aca="false">ROUND(Q168*S168,0)</f>
        <v>249</v>
      </c>
      <c r="N168" s="21" t="n">
        <f aca="false">ROUND(SQRT((F168*J168/100)^2+(G168*M168)^2),0)</f>
        <v>114</v>
      </c>
      <c r="P168" s="41" t="n">
        <v>-10.1115848985822</v>
      </c>
      <c r="Q168" s="42" t="n">
        <v>1804.5745600778</v>
      </c>
      <c r="R168" s="43" t="n">
        <f aca="false">MAX(0,MIN(1,P168/100+$D$5))</f>
        <v>0.436709845677938</v>
      </c>
      <c r="S168" s="43" t="n">
        <v>0.138178110610255</v>
      </c>
      <c r="T168" s="44" t="s">
        <v>128</v>
      </c>
    </row>
    <row r="169" customFormat="false" ht="15" hidden="false" customHeight="false" outlineLevel="0" collapsed="false">
      <c r="A169" s="38" t="s">
        <v>157</v>
      </c>
      <c r="B169" s="38" t="s">
        <v>271</v>
      </c>
      <c r="C169" s="38" t="s">
        <v>274</v>
      </c>
      <c r="D169" s="21" t="n">
        <f aca="false">ROUND(Q169*R169,0)</f>
        <v>420</v>
      </c>
      <c r="E169" s="21" t="n">
        <f aca="false">ROUND(Q169,0)-D169</f>
        <v>550</v>
      </c>
      <c r="F169" s="21" t="n">
        <f aca="false">IF(COUNTA(D169:E169)=0,"",SUM(D169:E169))</f>
        <v>970</v>
      </c>
      <c r="G169" s="39" t="n">
        <f aca="false">IF(OR(F169="",F169=0),"",D169/F169)</f>
        <v>0.43298969072165</v>
      </c>
      <c r="H169" s="39" t="n">
        <f aca="false">IF(OR(F169="",F169=0),"",E169/F169)</f>
        <v>0.567010309278351</v>
      </c>
      <c r="I169" s="38" t="s">
        <v>89</v>
      </c>
      <c r="J169" s="40" t="n">
        <v>2.0110742867014</v>
      </c>
      <c r="K169" s="39" t="n">
        <f aca="false">IF(G169="","",MAX(0,G169-J169/100))</f>
        <v>0.412878947854636</v>
      </c>
      <c r="L169" s="39" t="n">
        <f aca="false">IF(G169="","",MIN(1,G169+J169/100))</f>
        <v>0.453100433588664</v>
      </c>
      <c r="M169" s="21" t="n">
        <f aca="false">ROUND(Q169*S169,0)</f>
        <v>59</v>
      </c>
      <c r="N169" s="21" t="n">
        <f aca="false">ROUND(SQRT((F169*J169/100)^2+(G169*M169)^2),0)</f>
        <v>32</v>
      </c>
      <c r="P169" s="41" t="n">
        <v>-10.460568330204</v>
      </c>
      <c r="Q169" s="42" t="n">
        <v>970.163420170016</v>
      </c>
      <c r="R169" s="43" t="n">
        <f aca="false">MAX(0,MIN(1,P169/100+$D$5))</f>
        <v>0.433220011361719</v>
      </c>
      <c r="S169" s="43" t="n">
        <v>0.0608302283160348</v>
      </c>
      <c r="T169" s="44" t="s">
        <v>99</v>
      </c>
    </row>
    <row r="170" customFormat="false" ht="15" hidden="false" customHeight="false" outlineLevel="0" collapsed="false">
      <c r="A170" s="38" t="s">
        <v>157</v>
      </c>
      <c r="B170" s="38" t="s">
        <v>271</v>
      </c>
      <c r="C170" s="38" t="s">
        <v>275</v>
      </c>
      <c r="D170" s="21" t="n">
        <f aca="false">ROUND(Q170*R170,0)</f>
        <v>621</v>
      </c>
      <c r="E170" s="21" t="n">
        <f aca="false">ROUND(Q170,0)-D170</f>
        <v>788</v>
      </c>
      <c r="F170" s="21" t="n">
        <f aca="false">IF(COUNTA(D170:E170)=0,"",SUM(D170:E170))</f>
        <v>1409</v>
      </c>
      <c r="G170" s="39" t="n">
        <f aca="false">IF(OR(F170="",F170=0),"",D170/F170)</f>
        <v>0.440738112136267</v>
      </c>
      <c r="H170" s="39" t="n">
        <f aca="false">IF(OR(F170="",F170=0),"",E170/F170)</f>
        <v>0.559261887863733</v>
      </c>
      <c r="I170" s="38" t="s">
        <v>89</v>
      </c>
      <c r="J170" s="40" t="n">
        <v>1.87006919874525</v>
      </c>
      <c r="K170" s="39" t="n">
        <f aca="false">IF(G170="","",MAX(0,G170-J170/100))</f>
        <v>0.422037420148814</v>
      </c>
      <c r="L170" s="39" t="n">
        <f aca="false">IF(G170="","",MIN(1,G170+J170/100))</f>
        <v>0.459438804123719</v>
      </c>
      <c r="M170" s="21" t="n">
        <f aca="false">ROUND(Q170*S170,0)</f>
        <v>195</v>
      </c>
      <c r="N170" s="21" t="n">
        <f aca="false">ROUND(SQRT((F170*J170/100)^2+(G170*M170)^2),0)</f>
        <v>90</v>
      </c>
      <c r="P170" s="41" t="n">
        <v>-9.73574834401345</v>
      </c>
      <c r="Q170" s="42" t="n">
        <v>1409.38138449217</v>
      </c>
      <c r="R170" s="43" t="n">
        <f aca="false">MAX(0,MIN(1,P170/100+$D$5))</f>
        <v>0.440468211223625</v>
      </c>
      <c r="S170" s="43" t="n">
        <v>0.138178110610255</v>
      </c>
      <c r="T170" s="44" t="s">
        <v>128</v>
      </c>
    </row>
    <row r="171" customFormat="false" ht="15" hidden="false" customHeight="false" outlineLevel="0" collapsed="false">
      <c r="A171" s="38" t="s">
        <v>157</v>
      </c>
      <c r="B171" s="38" t="s">
        <v>271</v>
      </c>
      <c r="C171" s="38" t="s">
        <v>276</v>
      </c>
      <c r="D171" s="21" t="n">
        <f aca="false">ROUND(Q171*R171,0)</f>
        <v>532</v>
      </c>
      <c r="E171" s="21" t="n">
        <f aca="false">ROUND(Q171,0)-D171</f>
        <v>736</v>
      </c>
      <c r="F171" s="21" t="n">
        <f aca="false">IF(COUNTA(D171:E171)=0,"",SUM(D171:E171))</f>
        <v>1268</v>
      </c>
      <c r="G171" s="39" t="n">
        <f aca="false">IF(OR(F171="",F171=0),"",D171/F171)</f>
        <v>0.419558359621451</v>
      </c>
      <c r="H171" s="39" t="n">
        <f aca="false">IF(OR(F171="",F171=0),"",E171/F171)</f>
        <v>0.580441640378549</v>
      </c>
      <c r="I171" s="38" t="s">
        <v>89</v>
      </c>
      <c r="J171" s="40" t="n">
        <v>1.87006919874525</v>
      </c>
      <c r="K171" s="39" t="n">
        <f aca="false">IF(G171="","",MAX(0,G171-J171/100))</f>
        <v>0.400857667633999</v>
      </c>
      <c r="L171" s="39" t="n">
        <f aca="false">IF(G171="","",MIN(1,G171+J171/100))</f>
        <v>0.438259051608904</v>
      </c>
      <c r="M171" s="21" t="n">
        <f aca="false">ROUND(Q171*S171,0)</f>
        <v>175</v>
      </c>
      <c r="N171" s="21" t="n">
        <f aca="false">ROUND(SQRT((F171*J171/100)^2+(G171*M171)^2),0)</f>
        <v>77</v>
      </c>
      <c r="P171" s="41" t="n">
        <v>-11.8343235373659</v>
      </c>
      <c r="Q171" s="42" t="n">
        <v>1267.73595027977</v>
      </c>
      <c r="R171" s="43" t="n">
        <f aca="false">MAX(0,MIN(1,P171/100+$D$5))</f>
        <v>0.419482459290101</v>
      </c>
      <c r="S171" s="43" t="n">
        <v>0.138178110610255</v>
      </c>
      <c r="T171" s="44" t="s">
        <v>128</v>
      </c>
    </row>
    <row r="172" customFormat="false" ht="15" hidden="false" customHeight="false" outlineLevel="0" collapsed="false">
      <c r="A172" s="38" t="s">
        <v>157</v>
      </c>
      <c r="B172" s="38" t="s">
        <v>271</v>
      </c>
      <c r="C172" s="38" t="s">
        <v>277</v>
      </c>
      <c r="D172" s="21" t="n">
        <f aca="false">ROUND(Q172*R172,0)</f>
        <v>460</v>
      </c>
      <c r="E172" s="21" t="n">
        <f aca="false">ROUND(Q172,0)-D172</f>
        <v>519</v>
      </c>
      <c r="F172" s="21" t="n">
        <f aca="false">IF(COUNTA(D172:E172)=0,"",SUM(D172:E172))</f>
        <v>979</v>
      </c>
      <c r="G172" s="39" t="n">
        <f aca="false">IF(OR(F172="",F172=0),"",D172/F172)</f>
        <v>0.469867211440245</v>
      </c>
      <c r="H172" s="39" t="n">
        <f aca="false">IF(OR(F172="",F172=0),"",E172/F172)</f>
        <v>0.530132788559755</v>
      </c>
      <c r="I172" s="38" t="s">
        <v>89</v>
      </c>
      <c r="J172" s="40" t="n">
        <v>2.0110742867014</v>
      </c>
      <c r="K172" s="39" t="n">
        <f aca="false">IF(G172="","",MAX(0,G172-J172/100))</f>
        <v>0.449756468573231</v>
      </c>
      <c r="L172" s="39" t="n">
        <f aca="false">IF(G172="","",MIN(1,G172+J172/100))</f>
        <v>0.489977954307259</v>
      </c>
      <c r="M172" s="21" t="n">
        <f aca="false">ROUND(Q172*S172,0)</f>
        <v>60</v>
      </c>
      <c r="N172" s="21" t="n">
        <f aca="false">ROUND(SQRT((F172*J172/100)^2+(G172*M172)^2),0)</f>
        <v>34</v>
      </c>
      <c r="P172" s="41" t="n">
        <v>-6.76800793814165</v>
      </c>
      <c r="Q172" s="42" t="n">
        <v>978.622353053851</v>
      </c>
      <c r="R172" s="43" t="n">
        <f aca="false">MAX(0,MIN(1,P172/100+$D$5))</f>
        <v>0.470145615282343</v>
      </c>
      <c r="S172" s="43" t="n">
        <v>0.0608302283160348</v>
      </c>
      <c r="T172" s="44" t="s">
        <v>99</v>
      </c>
    </row>
    <row r="173" customFormat="false" ht="15" hidden="false" customHeight="false" outlineLevel="0" collapsed="false">
      <c r="A173" s="38" t="s">
        <v>157</v>
      </c>
      <c r="B173" s="38" t="s">
        <v>278</v>
      </c>
      <c r="C173" s="38" t="s">
        <v>279</v>
      </c>
      <c r="D173" s="21" t="n">
        <f aca="false">ROUND(Q173*R173,0)</f>
        <v>595</v>
      </c>
      <c r="E173" s="21" t="n">
        <f aca="false">ROUND(Q173,0)-D173</f>
        <v>482</v>
      </c>
      <c r="F173" s="21" t="n">
        <f aca="false">IF(COUNTA(D173:E173)=0,"",SUM(D173:E173))</f>
        <v>1077</v>
      </c>
      <c r="G173" s="39" t="n">
        <f aca="false">IF(OR(F173="",F173=0),"",D173/F173)</f>
        <v>0.552460538532962</v>
      </c>
      <c r="H173" s="39" t="n">
        <f aca="false">IF(OR(F173="",F173=0),"",E173/F173)</f>
        <v>0.447539461467038</v>
      </c>
      <c r="I173" s="38" t="s">
        <v>89</v>
      </c>
      <c r="J173" s="40" t="n">
        <v>2.0110742867014</v>
      </c>
      <c r="K173" s="39" t="n">
        <f aca="false">IF(G173="","",MAX(0,G173-J173/100))</f>
        <v>0.532349795665948</v>
      </c>
      <c r="L173" s="39" t="n">
        <f aca="false">IF(G173="","",MIN(1,G173+J173/100))</f>
        <v>0.572571281399976</v>
      </c>
      <c r="M173" s="21" t="n">
        <f aca="false">ROUND(Q173*S173,0)</f>
        <v>66</v>
      </c>
      <c r="N173" s="21" t="n">
        <f aca="false">ROUND(SQRT((F173*J173/100)^2+(G173*M173)^2),0)</f>
        <v>42</v>
      </c>
      <c r="P173" s="41" t="n">
        <v>1.48397725060321</v>
      </c>
      <c r="Q173" s="42" t="n">
        <v>1077.13805320387</v>
      </c>
      <c r="R173" s="43" t="n">
        <f aca="false">MAX(0,MIN(1,P173/100+$D$5))</f>
        <v>0.552665467169792</v>
      </c>
      <c r="S173" s="43" t="n">
        <v>0.0608302283160348</v>
      </c>
      <c r="T173" s="44" t="s">
        <v>99</v>
      </c>
    </row>
    <row r="174" customFormat="false" ht="15" hidden="false" customHeight="false" outlineLevel="0" collapsed="false">
      <c r="A174" s="38" t="s">
        <v>157</v>
      </c>
      <c r="B174" s="38" t="s">
        <v>278</v>
      </c>
      <c r="C174" s="38" t="s">
        <v>280</v>
      </c>
      <c r="D174" s="21" t="n">
        <f aca="false">ROUND(Q174*R174,0)</f>
        <v>727</v>
      </c>
      <c r="E174" s="21" t="n">
        <f aca="false">ROUND(Q174,0)-D174</f>
        <v>573</v>
      </c>
      <c r="F174" s="21" t="n">
        <f aca="false">IF(COUNTA(D174:E174)=0,"",SUM(D174:E174))</f>
        <v>1300</v>
      </c>
      <c r="G174" s="39" t="n">
        <f aca="false">IF(OR(F174="",F174=0),"",D174/F174)</f>
        <v>0.559230769230769</v>
      </c>
      <c r="H174" s="39" t="n">
        <f aca="false">IF(OR(F174="",F174=0),"",E174/F174)</f>
        <v>0.440769230769231</v>
      </c>
      <c r="I174" s="38" t="s">
        <v>89</v>
      </c>
      <c r="J174" s="40" t="n">
        <v>1.87006919874525</v>
      </c>
      <c r="K174" s="39" t="n">
        <f aca="false">IF(G174="","",MAX(0,G174-J174/100))</f>
        <v>0.540530077243317</v>
      </c>
      <c r="L174" s="39" t="n">
        <f aca="false">IF(G174="","",MIN(1,G174+J174/100))</f>
        <v>0.577931461218222</v>
      </c>
      <c r="M174" s="21" t="n">
        <f aca="false">ROUND(Q174*S174,0)</f>
        <v>180</v>
      </c>
      <c r="N174" s="21" t="n">
        <f aca="false">ROUND(SQRT((F174*J174/100)^2+(G174*M174)^2),0)</f>
        <v>104</v>
      </c>
      <c r="P174" s="41" t="n">
        <v>2.1626963568083</v>
      </c>
      <c r="Q174" s="42" t="n">
        <v>1299.76761038668</v>
      </c>
      <c r="R174" s="43" t="n">
        <f aca="false">MAX(0,MIN(1,P174/100+$D$5))</f>
        <v>0.559452658231843</v>
      </c>
      <c r="S174" s="43" t="n">
        <v>0.138178110610255</v>
      </c>
      <c r="T174" s="44" t="s">
        <v>128</v>
      </c>
    </row>
    <row r="175" customFormat="false" ht="15" hidden="false" customHeight="false" outlineLevel="0" collapsed="false">
      <c r="A175" s="38" t="s">
        <v>157</v>
      </c>
      <c r="B175" s="38" t="s">
        <v>278</v>
      </c>
      <c r="C175" s="38" t="s">
        <v>281</v>
      </c>
      <c r="D175" s="21" t="n">
        <f aca="false">ROUND(Q175*R175,0)</f>
        <v>325</v>
      </c>
      <c r="E175" s="21" t="n">
        <f aca="false">ROUND(Q175,0)-D175</f>
        <v>277</v>
      </c>
      <c r="F175" s="21" t="n">
        <f aca="false">IF(COUNTA(D175:E175)=0,"",SUM(D175:E175))</f>
        <v>602</v>
      </c>
      <c r="G175" s="39" t="n">
        <f aca="false">IF(OR(F175="",F175=0),"",D175/F175)</f>
        <v>0.539867109634552</v>
      </c>
      <c r="H175" s="39" t="n">
        <f aca="false">IF(OR(F175="",F175=0),"",E175/F175)</f>
        <v>0.460132890365449</v>
      </c>
      <c r="I175" s="38" t="s">
        <v>89</v>
      </c>
      <c r="J175" s="40" t="n">
        <v>3.09864730606258</v>
      </c>
      <c r="K175" s="39" t="n">
        <f aca="false">IF(G175="","",MAX(0,G175-J175/100))</f>
        <v>0.508880636573926</v>
      </c>
      <c r="L175" s="39" t="n">
        <f aca="false">IF(G175="","",MIN(1,G175+J175/100))</f>
        <v>0.570853582695177</v>
      </c>
      <c r="M175" s="21" t="n">
        <f aca="false">ROUND(Q175*S175,0)</f>
        <v>44</v>
      </c>
      <c r="N175" s="21" t="n">
        <f aca="false">ROUND(SQRT((F175*J175/100)^2+(G175*M175)^2),0)</f>
        <v>30</v>
      </c>
      <c r="P175" s="41" t="n">
        <v>0.263196969882502</v>
      </c>
      <c r="Q175" s="42" t="n">
        <v>601.769716835273</v>
      </c>
      <c r="R175" s="43" t="n">
        <f aca="false">MAX(0,MIN(1,P175/100+$D$5))</f>
        <v>0.540457664362585</v>
      </c>
      <c r="S175" s="43" t="n">
        <v>0.0731122618343653</v>
      </c>
      <c r="T175" s="44" t="s">
        <v>90</v>
      </c>
    </row>
    <row r="176" customFormat="false" ht="15" hidden="false" customHeight="false" outlineLevel="0" collapsed="false">
      <c r="A176" s="38" t="s">
        <v>157</v>
      </c>
      <c r="B176" s="38" t="s">
        <v>278</v>
      </c>
      <c r="C176" s="38" t="s">
        <v>282</v>
      </c>
      <c r="D176" s="21" t="n">
        <f aca="false">ROUND(Q176*R176,0)</f>
        <v>375</v>
      </c>
      <c r="E176" s="21" t="n">
        <f aca="false">ROUND(Q176,0)-D176</f>
        <v>305</v>
      </c>
      <c r="F176" s="21" t="n">
        <f aca="false">IF(COUNTA(D176:E176)=0,"",SUM(D176:E176))</f>
        <v>680</v>
      </c>
      <c r="G176" s="39" t="n">
        <f aca="false">IF(OR(F176="",F176=0),"",D176/F176)</f>
        <v>0.551470588235294</v>
      </c>
      <c r="H176" s="39" t="n">
        <f aca="false">IF(OR(F176="",F176=0),"",E176/F176)</f>
        <v>0.448529411764706</v>
      </c>
      <c r="I176" s="38" t="s">
        <v>89</v>
      </c>
      <c r="J176" s="40" t="n">
        <v>3.09864730606258</v>
      </c>
      <c r="K176" s="39" t="n">
        <f aca="false">IF(G176="","",MAX(0,G176-J176/100))</f>
        <v>0.520484115174668</v>
      </c>
      <c r="L176" s="39" t="n">
        <f aca="false">IF(G176="","",MIN(1,G176+J176/100))</f>
        <v>0.58245706129592</v>
      </c>
      <c r="M176" s="21" t="n">
        <f aca="false">ROUND(Q176*S176,0)</f>
        <v>50</v>
      </c>
      <c r="N176" s="21" t="n">
        <f aca="false">ROUND(SQRT((F176*J176/100)^2+(G176*M176)^2),0)</f>
        <v>35</v>
      </c>
      <c r="P176" s="41" t="n">
        <v>1.33843877936571</v>
      </c>
      <c r="Q176" s="42" t="n">
        <v>679.80681235447</v>
      </c>
      <c r="R176" s="43" t="n">
        <f aca="false">MAX(0,MIN(1,P176/100+$D$5))</f>
        <v>0.551210082457417</v>
      </c>
      <c r="S176" s="43" t="n">
        <v>0.0731122618343653</v>
      </c>
      <c r="T176" s="44" t="s">
        <v>90</v>
      </c>
    </row>
    <row r="177" customFormat="false" ht="15" hidden="false" customHeight="false" outlineLevel="0" collapsed="false">
      <c r="A177" s="38" t="s">
        <v>157</v>
      </c>
      <c r="B177" s="38" t="s">
        <v>278</v>
      </c>
      <c r="C177" s="38" t="s">
        <v>283</v>
      </c>
      <c r="D177" s="21" t="n">
        <f aca="false">ROUND(Q177*R177,0)</f>
        <v>493</v>
      </c>
      <c r="E177" s="21" t="n">
        <f aca="false">ROUND(Q177,0)-D177</f>
        <v>435</v>
      </c>
      <c r="F177" s="21" t="n">
        <f aca="false">IF(COUNTA(D177:E177)=0,"",SUM(D177:E177))</f>
        <v>928</v>
      </c>
      <c r="G177" s="39" t="n">
        <f aca="false">IF(OR(F177="",F177=0),"",D177/F177)</f>
        <v>0.53125</v>
      </c>
      <c r="H177" s="39" t="n">
        <f aca="false">IF(OR(F177="",F177=0),"",E177/F177)</f>
        <v>0.46875</v>
      </c>
      <c r="I177" s="38" t="s">
        <v>89</v>
      </c>
      <c r="J177" s="40" t="n">
        <v>2.0110742867014</v>
      </c>
      <c r="K177" s="39" t="n">
        <f aca="false">IF(G177="","",MAX(0,G177-J177/100))</f>
        <v>0.511139257132986</v>
      </c>
      <c r="L177" s="39" t="n">
        <f aca="false">IF(G177="","",MIN(1,G177+J177/100))</f>
        <v>0.551360742867014</v>
      </c>
      <c r="M177" s="21" t="n">
        <f aca="false">ROUND(Q177*S177,0)</f>
        <v>56</v>
      </c>
      <c r="N177" s="21" t="n">
        <f aca="false">ROUND(SQRT((F177*J177/100)^2+(G177*M177)^2),0)</f>
        <v>35</v>
      </c>
      <c r="P177" s="41" t="n">
        <v>-0.588488677301169</v>
      </c>
      <c r="Q177" s="42" t="n">
        <v>927.635804492635</v>
      </c>
      <c r="R177" s="43" t="n">
        <f aca="false">MAX(0,MIN(1,P177/100+$D$5))</f>
        <v>0.531940807890748</v>
      </c>
      <c r="S177" s="43" t="n">
        <v>0.0608302283160348</v>
      </c>
      <c r="T177" s="44" t="s">
        <v>99</v>
      </c>
    </row>
    <row r="178" customFormat="false" ht="15" hidden="false" customHeight="false" outlineLevel="0" collapsed="false">
      <c r="A178" s="38" t="s">
        <v>157</v>
      </c>
      <c r="B178" s="38" t="s">
        <v>278</v>
      </c>
      <c r="C178" s="38" t="s">
        <v>284</v>
      </c>
      <c r="D178" s="21" t="n">
        <f aca="false">ROUND(Q178*R178,0)</f>
        <v>315</v>
      </c>
      <c r="E178" s="21" t="n">
        <f aca="false">ROUND(Q178,0)-D178</f>
        <v>283</v>
      </c>
      <c r="F178" s="21" t="n">
        <f aca="false">IF(COUNTA(D178:E178)=0,"",SUM(D178:E178))</f>
        <v>598</v>
      </c>
      <c r="G178" s="39" t="n">
        <f aca="false">IF(OR(F178="",F178=0),"",D178/F178)</f>
        <v>0.526755852842809</v>
      </c>
      <c r="H178" s="39" t="n">
        <f aca="false">IF(OR(F178="",F178=0),"",E178/F178)</f>
        <v>0.473244147157191</v>
      </c>
      <c r="I178" s="38" t="s">
        <v>89</v>
      </c>
      <c r="J178" s="40" t="n">
        <v>3.09864730606258</v>
      </c>
      <c r="K178" s="39" t="n">
        <f aca="false">IF(G178="","",MAX(0,G178-J178/100))</f>
        <v>0.495769379782184</v>
      </c>
      <c r="L178" s="39" t="n">
        <f aca="false">IF(G178="","",MIN(1,G178+J178/100))</f>
        <v>0.557742325903435</v>
      </c>
      <c r="M178" s="21" t="n">
        <f aca="false">ROUND(Q178*S178,0)</f>
        <v>44</v>
      </c>
      <c r="N178" s="21" t="n">
        <f aca="false">ROUND(SQRT((F178*J178/100)^2+(G178*M178)^2),0)</f>
        <v>30</v>
      </c>
      <c r="P178" s="41" t="n">
        <v>-1.10715086159525</v>
      </c>
      <c r="Q178" s="42" t="n">
        <v>598.194137473688</v>
      </c>
      <c r="R178" s="43" t="n">
        <f aca="false">MAX(0,MIN(1,P178/100+$D$5))</f>
        <v>0.526754186047807</v>
      </c>
      <c r="S178" s="43" t="n">
        <v>0.0731122618343653</v>
      </c>
      <c r="T178" s="44" t="s">
        <v>90</v>
      </c>
    </row>
    <row r="179" customFormat="false" ht="15" hidden="false" customHeight="false" outlineLevel="0" collapsed="false">
      <c r="A179" s="38" t="s">
        <v>157</v>
      </c>
      <c r="B179" s="38" t="s">
        <v>278</v>
      </c>
      <c r="C179" s="38" t="s">
        <v>285</v>
      </c>
      <c r="D179" s="21" t="n">
        <f aca="false">ROUND(Q179*R179,0)</f>
        <v>381</v>
      </c>
      <c r="E179" s="21" t="n">
        <f aca="false">ROUND(Q179,0)-D179</f>
        <v>309</v>
      </c>
      <c r="F179" s="21" t="n">
        <f aca="false">IF(COUNTA(D179:E179)=0,"",SUM(D179:E179))</f>
        <v>690</v>
      </c>
      <c r="G179" s="39" t="n">
        <f aca="false">IF(OR(F179="",F179=0),"",D179/F179)</f>
        <v>0.552173913043478</v>
      </c>
      <c r="H179" s="39" t="n">
        <f aca="false">IF(OR(F179="",F179=0),"",E179/F179)</f>
        <v>0.447826086956522</v>
      </c>
      <c r="I179" s="38" t="s">
        <v>89</v>
      </c>
      <c r="J179" s="40" t="n">
        <v>3.09864730606258</v>
      </c>
      <c r="K179" s="39" t="n">
        <f aca="false">IF(G179="","",MAX(0,G179-J179/100))</f>
        <v>0.521187439982853</v>
      </c>
      <c r="L179" s="39" t="n">
        <f aca="false">IF(G179="","",MIN(1,G179+J179/100))</f>
        <v>0.583160386104104</v>
      </c>
      <c r="M179" s="21" t="n">
        <f aca="false">ROUND(Q179*S179,0)</f>
        <v>50</v>
      </c>
      <c r="N179" s="21" t="n">
        <f aca="false">ROUND(SQRT((F179*J179/100)^2+(G179*M179)^2),0)</f>
        <v>35</v>
      </c>
      <c r="P179" s="41" t="n">
        <v>1.45975961582344</v>
      </c>
      <c r="Q179" s="42" t="n">
        <v>689.573543875188</v>
      </c>
      <c r="R179" s="43" t="n">
        <f aca="false">MAX(0,MIN(1,P179/100+$D$5))</f>
        <v>0.552423290821994</v>
      </c>
      <c r="S179" s="43" t="n">
        <v>0.0731122618343653</v>
      </c>
      <c r="T179" s="44" t="s">
        <v>90</v>
      </c>
    </row>
    <row r="180" customFormat="false" ht="15" hidden="false" customHeight="false" outlineLevel="0" collapsed="false">
      <c r="A180" s="38" t="s">
        <v>157</v>
      </c>
      <c r="B180" s="38" t="s">
        <v>278</v>
      </c>
      <c r="C180" s="38" t="s">
        <v>286</v>
      </c>
      <c r="D180" s="21" t="n">
        <f aca="false">ROUND(Q180*R180,0)</f>
        <v>537</v>
      </c>
      <c r="E180" s="21" t="n">
        <f aca="false">ROUND(Q180,0)-D180</f>
        <v>454</v>
      </c>
      <c r="F180" s="21" t="n">
        <f aca="false">IF(COUNTA(D180:E180)=0,"",SUM(D180:E180))</f>
        <v>991</v>
      </c>
      <c r="G180" s="39" t="n">
        <f aca="false">IF(OR(F180="",F180=0),"",D180/F180)</f>
        <v>0.541876892028254</v>
      </c>
      <c r="H180" s="39" t="n">
        <f aca="false">IF(OR(F180="",F180=0),"",E180/F180)</f>
        <v>0.458123107971746</v>
      </c>
      <c r="I180" s="38" t="s">
        <v>89</v>
      </c>
      <c r="J180" s="40" t="n">
        <v>2.0110742867014</v>
      </c>
      <c r="K180" s="39" t="n">
        <f aca="false">IF(G180="","",MAX(0,G180-J180/100))</f>
        <v>0.52176614916124</v>
      </c>
      <c r="L180" s="39" t="n">
        <f aca="false">IF(G180="","",MIN(1,G180+J180/100))</f>
        <v>0.561987634895268</v>
      </c>
      <c r="M180" s="21" t="n">
        <f aca="false">ROUND(Q180*S180,0)</f>
        <v>60</v>
      </c>
      <c r="N180" s="21" t="n">
        <f aca="false">ROUND(SQRT((F180*J180/100)^2+(G180*M180)^2),0)</f>
        <v>38</v>
      </c>
      <c r="P180" s="41" t="n">
        <v>0.430230780644834</v>
      </c>
      <c r="Q180" s="42" t="n">
        <v>990.53363215727</v>
      </c>
      <c r="R180" s="43" t="n">
        <f aca="false">MAX(0,MIN(1,P180/100+$D$5))</f>
        <v>0.542128002470208</v>
      </c>
      <c r="S180" s="43" t="n">
        <v>0.0608302283160348</v>
      </c>
      <c r="T180" s="44" t="s">
        <v>99</v>
      </c>
    </row>
    <row r="181" customFormat="false" ht="15" hidden="false" customHeight="false" outlineLevel="0" collapsed="false">
      <c r="A181" s="38" t="s">
        <v>157</v>
      </c>
      <c r="B181" s="38" t="s">
        <v>287</v>
      </c>
      <c r="C181" s="38" t="s">
        <v>288</v>
      </c>
      <c r="D181" s="21" t="n">
        <f aca="false">ROUND(Q181*R181,0)</f>
        <v>205</v>
      </c>
      <c r="E181" s="21" t="n">
        <f aca="false">ROUND(Q181,0)-D181</f>
        <v>207</v>
      </c>
      <c r="F181" s="21" t="n">
        <f aca="false">IF(COUNTA(D181:E181)=0,"",SUM(D181:E181))</f>
        <v>412</v>
      </c>
      <c r="G181" s="39" t="n">
        <f aca="false">IF(OR(F181="",F181=0),"",D181/F181)</f>
        <v>0.497572815533981</v>
      </c>
      <c r="H181" s="39" t="n">
        <f aca="false">IF(OR(F181="",F181=0),"",E181/F181)</f>
        <v>0.502427184466019</v>
      </c>
      <c r="I181" s="38" t="s">
        <v>89</v>
      </c>
      <c r="J181" s="40" t="n">
        <v>3.09864730606258</v>
      </c>
      <c r="K181" s="39" t="n">
        <f aca="false">IF(G181="","",MAX(0,G181-J181/100))</f>
        <v>0.466586342473355</v>
      </c>
      <c r="L181" s="39" t="n">
        <f aca="false">IF(G181="","",MIN(1,G181+J181/100))</f>
        <v>0.528559288594606</v>
      </c>
      <c r="M181" s="21" t="n">
        <f aca="false">ROUND(Q181*S181,0)</f>
        <v>30</v>
      </c>
      <c r="N181" s="21" t="n">
        <f aca="false">ROUND(SQRT((F181*J181/100)^2+(G181*M181)^2),0)</f>
        <v>20</v>
      </c>
      <c r="P181" s="41" t="n">
        <v>-3.98974420861123</v>
      </c>
      <c r="Q181" s="42" t="n">
        <v>411.599350913742</v>
      </c>
      <c r="R181" s="43" t="n">
        <f aca="false">MAX(0,MIN(1,P181/100+$D$5))</f>
        <v>0.497928252577647</v>
      </c>
      <c r="S181" s="43" t="n">
        <v>0.0731122618343653</v>
      </c>
      <c r="T181" s="44" t="s">
        <v>90</v>
      </c>
    </row>
    <row r="182" customFormat="false" ht="15" hidden="false" customHeight="false" outlineLevel="0" collapsed="false">
      <c r="A182" s="38" t="s">
        <v>157</v>
      </c>
      <c r="B182" s="38" t="s">
        <v>287</v>
      </c>
      <c r="C182" s="38" t="s">
        <v>289</v>
      </c>
      <c r="D182" s="21" t="n">
        <f aca="false">ROUND(Q182*R182,0)</f>
        <v>164</v>
      </c>
      <c r="E182" s="21" t="n">
        <f aca="false">ROUND(Q182,0)-D182</f>
        <v>193</v>
      </c>
      <c r="F182" s="21" t="n">
        <f aca="false">IF(COUNTA(D182:E182)=0,"",SUM(D182:E182))</f>
        <v>357</v>
      </c>
      <c r="G182" s="39" t="n">
        <f aca="false">IF(OR(F182="",F182=0),"",D182/F182)</f>
        <v>0.459383753501401</v>
      </c>
      <c r="H182" s="39" t="n">
        <f aca="false">IF(OR(F182="",F182=0),"",E182/F182)</f>
        <v>0.540616246498599</v>
      </c>
      <c r="I182" s="38" t="s">
        <v>89</v>
      </c>
      <c r="J182" s="40" t="n">
        <v>3.09864730606258</v>
      </c>
      <c r="K182" s="39" t="n">
        <f aca="false">IF(G182="","",MAX(0,G182-J182/100))</f>
        <v>0.428397280440775</v>
      </c>
      <c r="L182" s="39" t="n">
        <f aca="false">IF(G182="","",MIN(1,G182+J182/100))</f>
        <v>0.490370226562026</v>
      </c>
      <c r="M182" s="21" t="n">
        <f aca="false">ROUND(Q182*S182,0)</f>
        <v>26</v>
      </c>
      <c r="N182" s="21" t="n">
        <f aca="false">ROUND(SQRT((F182*J182/100)^2+(G182*M182)^2),0)</f>
        <v>16</v>
      </c>
      <c r="P182" s="41" t="n">
        <v>-8.01158807559123</v>
      </c>
      <c r="Q182" s="42" t="n">
        <v>357.255226105987</v>
      </c>
      <c r="R182" s="43" t="n">
        <f aca="false">MAX(0,MIN(1,P182/100+$D$5))</f>
        <v>0.457709813907848</v>
      </c>
      <c r="S182" s="43" t="n">
        <v>0.0731122618343653</v>
      </c>
      <c r="T182" s="44" t="s">
        <v>90</v>
      </c>
    </row>
    <row r="183" customFormat="false" ht="15" hidden="false" customHeight="false" outlineLevel="0" collapsed="false">
      <c r="A183" s="38" t="s">
        <v>157</v>
      </c>
      <c r="B183" s="38" t="s">
        <v>287</v>
      </c>
      <c r="C183" s="38" t="s">
        <v>290</v>
      </c>
      <c r="D183" s="21" t="n">
        <f aca="false">ROUND(Q183*R183,0)</f>
        <v>339</v>
      </c>
      <c r="E183" s="21" t="n">
        <f aca="false">ROUND(Q183,0)-D183</f>
        <v>387</v>
      </c>
      <c r="F183" s="21" t="n">
        <f aca="false">IF(COUNTA(D183:E183)=0,"",SUM(D183:E183))</f>
        <v>726</v>
      </c>
      <c r="G183" s="39" t="n">
        <f aca="false">IF(OR(F183="",F183=0),"",D183/F183)</f>
        <v>0.466942148760331</v>
      </c>
      <c r="H183" s="39" t="n">
        <f aca="false">IF(OR(F183="",F183=0),"",E183/F183)</f>
        <v>0.533057851239669</v>
      </c>
      <c r="I183" s="38" t="s">
        <v>89</v>
      </c>
      <c r="J183" s="40" t="n">
        <v>3.09864730606258</v>
      </c>
      <c r="K183" s="39" t="n">
        <f aca="false">IF(G183="","",MAX(0,G183-J183/100))</f>
        <v>0.435955675699705</v>
      </c>
      <c r="L183" s="39" t="n">
        <f aca="false">IF(G183="","",MIN(1,G183+J183/100))</f>
        <v>0.497928621820956</v>
      </c>
      <c r="M183" s="21" t="n">
        <f aca="false">ROUND(Q183*S183,0)</f>
        <v>53</v>
      </c>
      <c r="N183" s="21" t="n">
        <f aca="false">ROUND(SQRT((F183*J183/100)^2+(G183*M183)^2),0)</f>
        <v>33</v>
      </c>
      <c r="P183" s="41" t="n">
        <v>-7.0799223408286</v>
      </c>
      <c r="Q183" s="42" t="n">
        <v>726.450760382868</v>
      </c>
      <c r="R183" s="43" t="n">
        <f aca="false">MAX(0,MIN(1,P183/100+$D$5))</f>
        <v>0.467026471255474</v>
      </c>
      <c r="S183" s="43" t="n">
        <v>0.0731122618343653</v>
      </c>
      <c r="T183" s="44" t="s">
        <v>90</v>
      </c>
    </row>
    <row r="184" customFormat="false" ht="15" hidden="false" customHeight="false" outlineLevel="0" collapsed="false">
      <c r="A184" s="38" t="s">
        <v>157</v>
      </c>
      <c r="B184" s="38" t="s">
        <v>291</v>
      </c>
      <c r="C184" s="38" t="s">
        <v>292</v>
      </c>
      <c r="D184" s="21" t="n">
        <f aca="false">ROUND(Q184*R184,0)</f>
        <v>837</v>
      </c>
      <c r="E184" s="21" t="n">
        <f aca="false">ROUND(Q184,0)-D184</f>
        <v>686</v>
      </c>
      <c r="F184" s="21" t="n">
        <f aca="false">IF(COUNTA(D184:E184)=0,"",SUM(D184:E184))</f>
        <v>1523</v>
      </c>
      <c r="G184" s="39" t="n">
        <f aca="false">IF(OR(F184="",F184=0),"",D184/F184)</f>
        <v>0.549573210768221</v>
      </c>
      <c r="H184" s="39" t="n">
        <f aca="false">IF(OR(F184="",F184=0),"",E184/F184)</f>
        <v>0.450426789231779</v>
      </c>
      <c r="I184" s="38" t="s">
        <v>89</v>
      </c>
      <c r="J184" s="40" t="n">
        <v>1.87006919874525</v>
      </c>
      <c r="K184" s="39" t="n">
        <f aca="false">IF(G184="","",MAX(0,G184-J184/100))</f>
        <v>0.530872518780768</v>
      </c>
      <c r="L184" s="39" t="n">
        <f aca="false">IF(G184="","",MIN(1,G184+J184/100))</f>
        <v>0.568273902755673</v>
      </c>
      <c r="M184" s="21" t="n">
        <f aca="false">ROUND(Q184*S184,0)</f>
        <v>210</v>
      </c>
      <c r="N184" s="21" t="n">
        <f aca="false">ROUND(SQRT((F184*J184/100)^2+(G184*M184)^2),0)</f>
        <v>119</v>
      </c>
      <c r="P184" s="41" t="n">
        <v>1.18931116816569</v>
      </c>
      <c r="Q184" s="42" t="n">
        <v>1523.2250108065</v>
      </c>
      <c r="R184" s="43" t="n">
        <f aca="false">MAX(0,MIN(1,P184/100+$D$5))</f>
        <v>0.549718806345417</v>
      </c>
      <c r="S184" s="43" t="n">
        <v>0.138178110610255</v>
      </c>
      <c r="T184" s="44" t="s">
        <v>128</v>
      </c>
    </row>
    <row r="185" customFormat="false" ht="15" hidden="false" customHeight="false" outlineLevel="0" collapsed="false">
      <c r="A185" s="38" t="s">
        <v>157</v>
      </c>
      <c r="B185" s="38" t="s">
        <v>291</v>
      </c>
      <c r="C185" s="38" t="s">
        <v>293</v>
      </c>
      <c r="D185" s="21" t="n">
        <f aca="false">ROUND(Q185*R185,0)</f>
        <v>382</v>
      </c>
      <c r="E185" s="21" t="n">
        <f aca="false">ROUND(Q185,0)-D185</f>
        <v>310</v>
      </c>
      <c r="F185" s="21" t="n">
        <f aca="false">IF(COUNTA(D185:E185)=0,"",SUM(D185:E185))</f>
        <v>692</v>
      </c>
      <c r="G185" s="39" t="n">
        <f aca="false">IF(OR(F185="",F185=0),"",D185/F185)</f>
        <v>0.552023121387283</v>
      </c>
      <c r="H185" s="39" t="n">
        <f aca="false">IF(OR(F185="",F185=0),"",E185/F185)</f>
        <v>0.447976878612717</v>
      </c>
      <c r="I185" s="38" t="s">
        <v>89</v>
      </c>
      <c r="J185" s="40" t="n">
        <v>3.09864730606258</v>
      </c>
      <c r="K185" s="39" t="n">
        <f aca="false">IF(G185="","",MAX(0,G185-J185/100))</f>
        <v>0.521036648326658</v>
      </c>
      <c r="L185" s="39" t="n">
        <f aca="false">IF(G185="","",MIN(1,G185+J185/100))</f>
        <v>0.583009594447909</v>
      </c>
      <c r="M185" s="21" t="n">
        <f aca="false">ROUND(Q185*S185,0)</f>
        <v>51</v>
      </c>
      <c r="N185" s="21" t="n">
        <f aca="false">ROUND(SQRT((F185*J185/100)^2+(G185*M185)^2),0)</f>
        <v>35</v>
      </c>
      <c r="P185" s="41" t="n">
        <v>1.37192445354278</v>
      </c>
      <c r="Q185" s="42" t="n">
        <v>692.134374877849</v>
      </c>
      <c r="R185" s="43" t="n">
        <f aca="false">MAX(0,MIN(1,P185/100+$D$5))</f>
        <v>0.551544939199188</v>
      </c>
      <c r="S185" s="43" t="n">
        <v>0.0731122618343653</v>
      </c>
      <c r="T185" s="44" t="s">
        <v>90</v>
      </c>
    </row>
    <row r="186" customFormat="false" ht="15" hidden="false" customHeight="false" outlineLevel="0" collapsed="false">
      <c r="A186" s="38" t="s">
        <v>157</v>
      </c>
      <c r="B186" s="38" t="s">
        <v>291</v>
      </c>
      <c r="C186" s="38" t="s">
        <v>294</v>
      </c>
      <c r="D186" s="21" t="n">
        <f aca="false">ROUND(Q186*R186,0)</f>
        <v>1049</v>
      </c>
      <c r="E186" s="21" t="n">
        <f aca="false">ROUND(Q186,0)-D186</f>
        <v>713</v>
      </c>
      <c r="F186" s="21" t="n">
        <f aca="false">IF(COUNTA(D186:E186)=0,"",SUM(D186:E186))</f>
        <v>1762</v>
      </c>
      <c r="G186" s="39" t="n">
        <f aca="false">IF(OR(F186="",F186=0),"",D186/F186)</f>
        <v>0.595346197502838</v>
      </c>
      <c r="H186" s="39" t="n">
        <f aca="false">IF(OR(F186="",F186=0),"",E186/F186)</f>
        <v>0.404653802497162</v>
      </c>
      <c r="I186" s="38" t="s">
        <v>89</v>
      </c>
      <c r="J186" s="40" t="n">
        <v>1.87006919874525</v>
      </c>
      <c r="K186" s="39" t="n">
        <f aca="false">IF(G186="","",MAX(0,G186-J186/100))</f>
        <v>0.576645505515385</v>
      </c>
      <c r="L186" s="39" t="n">
        <f aca="false">IF(G186="","",MIN(1,G186+J186/100))</f>
        <v>0.61404688949029</v>
      </c>
      <c r="M186" s="21" t="n">
        <f aca="false">ROUND(Q186*S186,0)</f>
        <v>243</v>
      </c>
      <c r="N186" s="21" t="n">
        <f aca="false">ROUND(SQRT((F186*J186/100)^2+(G186*M186)^2),0)</f>
        <v>148</v>
      </c>
      <c r="P186" s="41" t="n">
        <v>5.73633531808873</v>
      </c>
      <c r="Q186" s="42" t="n">
        <v>1762.16824144449</v>
      </c>
      <c r="R186" s="43" t="n">
        <f aca="false">MAX(0,MIN(1,P186/100+$D$5))</f>
        <v>0.595189047844647</v>
      </c>
      <c r="S186" s="43" t="n">
        <v>0.138178110610255</v>
      </c>
      <c r="T186" s="44" t="s">
        <v>128</v>
      </c>
    </row>
    <row r="187" customFormat="false" ht="15" hidden="false" customHeight="false" outlineLevel="0" collapsed="false">
      <c r="A187" s="38" t="s">
        <v>157</v>
      </c>
      <c r="B187" s="38" t="s">
        <v>291</v>
      </c>
      <c r="C187" s="38" t="s">
        <v>295</v>
      </c>
      <c r="D187" s="21" t="n">
        <f aca="false">ROUND(Q187*R187,0)</f>
        <v>500</v>
      </c>
      <c r="E187" s="21" t="n">
        <f aca="false">ROUND(Q187,0)-D187</f>
        <v>423</v>
      </c>
      <c r="F187" s="21" t="n">
        <f aca="false">IF(COUNTA(D187:E187)=0,"",SUM(D187:E187))</f>
        <v>923</v>
      </c>
      <c r="G187" s="39" t="n">
        <f aca="false">IF(OR(F187="",F187=0),"",D187/F187)</f>
        <v>0.541711809317443</v>
      </c>
      <c r="H187" s="39" t="n">
        <f aca="false">IF(OR(F187="",F187=0),"",E187/F187)</f>
        <v>0.458288190682557</v>
      </c>
      <c r="I187" s="38" t="s">
        <v>89</v>
      </c>
      <c r="J187" s="40" t="n">
        <v>2.0110742867014</v>
      </c>
      <c r="K187" s="39" t="n">
        <f aca="false">IF(G187="","",MAX(0,G187-J187/100))</f>
        <v>0.521601066450429</v>
      </c>
      <c r="L187" s="39" t="n">
        <f aca="false">IF(G187="","",MIN(1,G187+J187/100))</f>
        <v>0.561822552184457</v>
      </c>
      <c r="M187" s="21" t="n">
        <f aca="false">ROUND(Q187*S187,0)</f>
        <v>56</v>
      </c>
      <c r="N187" s="21" t="n">
        <f aca="false">ROUND(SQRT((F187*J187/100)^2+(G187*M187)^2),0)</f>
        <v>36</v>
      </c>
      <c r="P187" s="41" t="n">
        <v>0.335470292836341</v>
      </c>
      <c r="Q187" s="42" t="n">
        <v>923.333661938758</v>
      </c>
      <c r="R187" s="43" t="n">
        <f aca="false">MAX(0,MIN(1,P187/100+$D$5))</f>
        <v>0.541180397592123</v>
      </c>
      <c r="S187" s="43" t="n">
        <v>0.0608302283160348</v>
      </c>
      <c r="T187" s="44" t="s">
        <v>99</v>
      </c>
    </row>
    <row r="188" customFormat="false" ht="15" hidden="false" customHeight="false" outlineLevel="0" collapsed="false">
      <c r="A188" s="38" t="s">
        <v>157</v>
      </c>
      <c r="B188" s="38" t="s">
        <v>291</v>
      </c>
      <c r="C188" s="38" t="s">
        <v>296</v>
      </c>
      <c r="D188" s="21" t="n">
        <f aca="false">ROUND(Q188*R188,0)</f>
        <v>972</v>
      </c>
      <c r="E188" s="21" t="n">
        <f aca="false">ROUND(Q188,0)-D188</f>
        <v>602</v>
      </c>
      <c r="F188" s="21" t="n">
        <f aca="false">IF(COUNTA(D188:E188)=0,"",SUM(D188:E188))</f>
        <v>1574</v>
      </c>
      <c r="G188" s="39" t="n">
        <f aca="false">IF(OR(F188="",F188=0),"",D188/F188)</f>
        <v>0.617534942820839</v>
      </c>
      <c r="H188" s="39" t="n">
        <f aca="false">IF(OR(F188="",F188=0),"",E188/F188)</f>
        <v>0.382465057179161</v>
      </c>
      <c r="I188" s="38" t="s">
        <v>89</v>
      </c>
      <c r="J188" s="40" t="n">
        <v>1.87006919874525</v>
      </c>
      <c r="K188" s="39" t="n">
        <f aca="false">IF(G188="","",MAX(0,G188-J188/100))</f>
        <v>0.598834250833386</v>
      </c>
      <c r="L188" s="39" t="n">
        <f aca="false">IF(G188="","",MIN(1,G188+J188/100))</f>
        <v>0.636235634808291</v>
      </c>
      <c r="M188" s="21" t="n">
        <f aca="false">ROUND(Q188*S188,0)</f>
        <v>218</v>
      </c>
      <c r="N188" s="21" t="n">
        <f aca="false">ROUND(SQRT((F188*J188/100)^2+(G188*M188)^2),0)</f>
        <v>138</v>
      </c>
      <c r="P188" s="41" t="n">
        <v>7.96079379732987</v>
      </c>
      <c r="Q188" s="42" t="n">
        <v>1574.27060731328</v>
      </c>
      <c r="R188" s="43" t="n">
        <f aca="false">MAX(0,MIN(1,P188/100+$D$5))</f>
        <v>0.617433632637058</v>
      </c>
      <c r="S188" s="43" t="n">
        <v>0.138178110610255</v>
      </c>
      <c r="T188" s="44" t="s">
        <v>128</v>
      </c>
    </row>
    <row r="189" customFormat="false" ht="15" hidden="false" customHeight="false" outlineLevel="0" collapsed="false">
      <c r="A189" s="38" t="s">
        <v>157</v>
      </c>
      <c r="B189" s="38" t="s">
        <v>291</v>
      </c>
      <c r="C189" s="38" t="s">
        <v>297</v>
      </c>
      <c r="D189" s="21" t="n">
        <f aca="false">ROUND(Q189*R189,0)</f>
        <v>964</v>
      </c>
      <c r="E189" s="21" t="n">
        <f aca="false">ROUND(Q189,0)-D189</f>
        <v>590</v>
      </c>
      <c r="F189" s="21" t="n">
        <f aca="false">IF(COUNTA(D189:E189)=0,"",SUM(D189:E189))</f>
        <v>1554</v>
      </c>
      <c r="G189" s="39" t="n">
        <f aca="false">IF(OR(F189="",F189=0),"",D189/F189)</f>
        <v>0.62033462033462</v>
      </c>
      <c r="H189" s="39" t="n">
        <f aca="false">IF(OR(F189="",F189=0),"",E189/F189)</f>
        <v>0.37966537966538</v>
      </c>
      <c r="I189" s="38" t="s">
        <v>89</v>
      </c>
      <c r="J189" s="40" t="n">
        <v>1.87006919874525</v>
      </c>
      <c r="K189" s="39" t="n">
        <f aca="false">IF(G189="","",MAX(0,G189-J189/100))</f>
        <v>0.601633928347168</v>
      </c>
      <c r="L189" s="39" t="n">
        <f aca="false">IF(G189="","",MIN(1,G189+J189/100))</f>
        <v>0.639035312322073</v>
      </c>
      <c r="M189" s="21" t="n">
        <f aca="false">ROUND(Q189*S189,0)</f>
        <v>215</v>
      </c>
      <c r="N189" s="21" t="n">
        <f aca="false">ROUND(SQRT((F189*J189/100)^2+(G189*M189)^2),0)</f>
        <v>137</v>
      </c>
      <c r="P189" s="41" t="n">
        <v>8.26877906322597</v>
      </c>
      <c r="Q189" s="42" t="n">
        <v>1553.88934731659</v>
      </c>
      <c r="R189" s="43" t="n">
        <f aca="false">MAX(0,MIN(1,P189/100+$D$5))</f>
        <v>0.620513485296019</v>
      </c>
      <c r="S189" s="43" t="n">
        <v>0.138178110610255</v>
      </c>
      <c r="T189" s="44" t="s">
        <v>128</v>
      </c>
    </row>
    <row r="190" customFormat="false" ht="15" hidden="false" customHeight="false" outlineLevel="0" collapsed="false">
      <c r="A190" s="38" t="s">
        <v>157</v>
      </c>
      <c r="B190" s="38" t="s">
        <v>291</v>
      </c>
      <c r="C190" s="38" t="s">
        <v>298</v>
      </c>
      <c r="D190" s="21" t="n">
        <f aca="false">ROUND(Q190*R190,0)</f>
        <v>457</v>
      </c>
      <c r="E190" s="21" t="n">
        <f aca="false">ROUND(Q190,0)-D190</f>
        <v>356</v>
      </c>
      <c r="F190" s="21" t="n">
        <f aca="false">IF(COUNTA(D190:E190)=0,"",SUM(D190:E190))</f>
        <v>813</v>
      </c>
      <c r="G190" s="39" t="n">
        <f aca="false">IF(OR(F190="",F190=0),"",D190/F190)</f>
        <v>0.562115621156212</v>
      </c>
      <c r="H190" s="39" t="n">
        <f aca="false">IF(OR(F190="",F190=0),"",E190/F190)</f>
        <v>0.437884378843788</v>
      </c>
      <c r="I190" s="38" t="s">
        <v>89</v>
      </c>
      <c r="J190" s="40" t="n">
        <v>2.0110742867014</v>
      </c>
      <c r="K190" s="39" t="n">
        <f aca="false">IF(G190="","",MAX(0,G190-J190/100))</f>
        <v>0.542004878289198</v>
      </c>
      <c r="L190" s="39" t="n">
        <f aca="false">IF(G190="","",MIN(1,G190+J190/100))</f>
        <v>0.582226364023226</v>
      </c>
      <c r="M190" s="21" t="n">
        <f aca="false">ROUND(Q190*S190,0)</f>
        <v>49</v>
      </c>
      <c r="N190" s="21" t="n">
        <f aca="false">ROUND(SQRT((F190*J190/100)^2+(G190*M190)^2),0)</f>
        <v>32</v>
      </c>
      <c r="P190" s="41" t="n">
        <v>2.44456659333394</v>
      </c>
      <c r="Q190" s="42" t="n">
        <v>812.937227922175</v>
      </c>
      <c r="R190" s="43" t="n">
        <f aca="false">MAX(0,MIN(1,P190/100+$D$5))</f>
        <v>0.562271360597099</v>
      </c>
      <c r="S190" s="43" t="n">
        <v>0.0608302283160348</v>
      </c>
      <c r="T190" s="44" t="s">
        <v>99</v>
      </c>
    </row>
    <row r="191" customFormat="false" ht="15" hidden="false" customHeight="false" outlineLevel="0" collapsed="false">
      <c r="A191" s="38" t="s">
        <v>157</v>
      </c>
      <c r="B191" s="38" t="s">
        <v>291</v>
      </c>
      <c r="C191" s="38" t="s">
        <v>299</v>
      </c>
      <c r="D191" s="21" t="n">
        <f aca="false">ROUND(Q191*R191,0)</f>
        <v>1208</v>
      </c>
      <c r="E191" s="21" t="n">
        <f aca="false">ROUND(Q191,0)-D191</f>
        <v>1004</v>
      </c>
      <c r="F191" s="21" t="n">
        <f aca="false">IF(COUNTA(D191:E191)=0,"",SUM(D191:E191))</f>
        <v>2212</v>
      </c>
      <c r="G191" s="39" t="n">
        <f aca="false">IF(OR(F191="",F191=0),"",D191/F191)</f>
        <v>0.546112115732369</v>
      </c>
      <c r="H191" s="39" t="n">
        <f aca="false">IF(OR(F191="",F191=0),"",E191/F191)</f>
        <v>0.453887884267631</v>
      </c>
      <c r="I191" s="38" t="s">
        <v>89</v>
      </c>
      <c r="J191" s="40" t="n">
        <v>1.87006919874525</v>
      </c>
      <c r="K191" s="39" t="n">
        <f aca="false">IF(G191="","",MAX(0,G191-J191/100))</f>
        <v>0.527411423744917</v>
      </c>
      <c r="L191" s="39" t="n">
        <f aca="false">IF(G191="","",MIN(1,G191+J191/100))</f>
        <v>0.564812807719822</v>
      </c>
      <c r="M191" s="21" t="n">
        <f aca="false">ROUND(Q191*S191,0)</f>
        <v>306</v>
      </c>
      <c r="N191" s="21" t="n">
        <f aca="false">ROUND(SQRT((F191*J191/100)^2+(G191*M191)^2),0)</f>
        <v>172</v>
      </c>
      <c r="P191" s="41" t="n">
        <v>0.827439348574708</v>
      </c>
      <c r="Q191" s="42" t="n">
        <v>2212.42643266569</v>
      </c>
      <c r="R191" s="43" t="n">
        <f aca="false">MAX(0,MIN(1,P191/100+$D$5))</f>
        <v>0.546100088149507</v>
      </c>
      <c r="S191" s="43" t="n">
        <v>0.138178110610255</v>
      </c>
      <c r="T191" s="44" t="s">
        <v>128</v>
      </c>
    </row>
    <row r="192" customFormat="false" ht="15" hidden="false" customHeight="false" outlineLevel="0" collapsed="false">
      <c r="A192" s="38" t="s">
        <v>157</v>
      </c>
      <c r="B192" s="38" t="s">
        <v>300</v>
      </c>
      <c r="C192" s="38" t="s">
        <v>301</v>
      </c>
      <c r="D192" s="21" t="n">
        <f aca="false">ROUND(Q192*R192,0)</f>
        <v>886</v>
      </c>
      <c r="E192" s="21" t="n">
        <f aca="false">ROUND(Q192,0)-D192</f>
        <v>744</v>
      </c>
      <c r="F192" s="21" t="n">
        <f aca="false">IF(COUNTA(D192:E192)=0,"",SUM(D192:E192))</f>
        <v>1630</v>
      </c>
      <c r="G192" s="39" t="n">
        <f aca="false">IF(OR(F192="",F192=0),"",D192/F192)</f>
        <v>0.543558282208589</v>
      </c>
      <c r="H192" s="39" t="n">
        <f aca="false">IF(OR(F192="",F192=0),"",E192/F192)</f>
        <v>0.456441717791411</v>
      </c>
      <c r="I192" s="38" t="s">
        <v>89</v>
      </c>
      <c r="J192" s="40" t="n">
        <v>1.87006919874525</v>
      </c>
      <c r="K192" s="39" t="n">
        <f aca="false">IF(G192="","",MAX(0,G192-J192/100))</f>
        <v>0.524857590221136</v>
      </c>
      <c r="L192" s="39" t="n">
        <f aca="false">IF(G192="","",MIN(1,G192+J192/100))</f>
        <v>0.562258974196041</v>
      </c>
      <c r="M192" s="21" t="n">
        <f aca="false">ROUND(Q192*S192,0)</f>
        <v>225</v>
      </c>
      <c r="N192" s="21" t="n">
        <f aca="false">ROUND(SQRT((F192*J192/100)^2+(G192*M192)^2),0)</f>
        <v>126</v>
      </c>
      <c r="P192" s="41" t="n">
        <v>0.599661345397501</v>
      </c>
      <c r="Q192" s="42" t="n">
        <v>1629.72375042601</v>
      </c>
      <c r="R192" s="43" t="n">
        <f aca="false">MAX(0,MIN(1,P192/100+$D$5))</f>
        <v>0.543822308117735</v>
      </c>
      <c r="S192" s="43" t="n">
        <v>0.138178110610255</v>
      </c>
      <c r="T192" s="44" t="s">
        <v>128</v>
      </c>
    </row>
    <row r="193" customFormat="false" ht="15" hidden="false" customHeight="false" outlineLevel="0" collapsed="false">
      <c r="A193" s="38" t="s">
        <v>157</v>
      </c>
      <c r="B193" s="38" t="s">
        <v>300</v>
      </c>
      <c r="C193" s="38" t="s">
        <v>302</v>
      </c>
      <c r="D193" s="21" t="n">
        <f aca="false">ROUND(Q193*R193,0)</f>
        <v>1214</v>
      </c>
      <c r="E193" s="21" t="n">
        <f aca="false">ROUND(Q193,0)-D193</f>
        <v>1031</v>
      </c>
      <c r="F193" s="21" t="n">
        <f aca="false">IF(COUNTA(D193:E193)=0,"",SUM(D193:E193))</f>
        <v>2245</v>
      </c>
      <c r="G193" s="39" t="n">
        <f aca="false">IF(OR(F193="",F193=0),"",D193/F193)</f>
        <v>0.54075723830735</v>
      </c>
      <c r="H193" s="39" t="n">
        <f aca="false">IF(OR(F193="",F193=0),"",E193/F193)</f>
        <v>0.45924276169265</v>
      </c>
      <c r="I193" s="38" t="s">
        <v>89</v>
      </c>
      <c r="J193" s="40" t="n">
        <v>1.87006919874525</v>
      </c>
      <c r="K193" s="39" t="n">
        <f aca="false">IF(G193="","",MAX(0,G193-J193/100))</f>
        <v>0.522056546319897</v>
      </c>
      <c r="L193" s="39" t="n">
        <f aca="false">IF(G193="","",MIN(1,G193+J193/100))</f>
        <v>0.559457930294802</v>
      </c>
      <c r="M193" s="21" t="n">
        <f aca="false">ROUND(Q193*S193,0)</f>
        <v>310</v>
      </c>
      <c r="N193" s="21" t="n">
        <f aca="false">ROUND(SQRT((F193*J193/100)^2+(G193*M193)^2),0)</f>
        <v>173</v>
      </c>
      <c r="P193" s="41" t="n">
        <v>0.296199841798343</v>
      </c>
      <c r="Q193" s="42" t="n">
        <v>2245.29377571621</v>
      </c>
      <c r="R193" s="43" t="n">
        <f aca="false">MAX(0,MIN(1,P193/100+$D$5))</f>
        <v>0.540787693081743</v>
      </c>
      <c r="S193" s="43" t="n">
        <v>0.138178110610255</v>
      </c>
      <c r="T193" s="44" t="s">
        <v>128</v>
      </c>
    </row>
    <row r="194" customFormat="false" ht="15" hidden="false" customHeight="false" outlineLevel="0" collapsed="false">
      <c r="A194" s="38" t="s">
        <v>157</v>
      </c>
      <c r="B194" s="38" t="s">
        <v>300</v>
      </c>
      <c r="C194" s="38" t="s">
        <v>303</v>
      </c>
      <c r="D194" s="21" t="n">
        <f aca="false">ROUND(Q194*R194,0)</f>
        <v>914</v>
      </c>
      <c r="E194" s="21" t="n">
        <f aca="false">ROUND(Q194,0)-D194</f>
        <v>851</v>
      </c>
      <c r="F194" s="21" t="n">
        <f aca="false">IF(COUNTA(D194:E194)=0,"",SUM(D194:E194))</f>
        <v>1765</v>
      </c>
      <c r="G194" s="39" t="n">
        <f aca="false">IF(OR(F194="",F194=0),"",D194/F194)</f>
        <v>0.517847025495751</v>
      </c>
      <c r="H194" s="39" t="n">
        <f aca="false">IF(OR(F194="",F194=0),"",E194/F194)</f>
        <v>0.482152974504249</v>
      </c>
      <c r="I194" s="38" t="s">
        <v>89</v>
      </c>
      <c r="J194" s="40" t="n">
        <v>1.87006919874525</v>
      </c>
      <c r="K194" s="39" t="n">
        <f aca="false">IF(G194="","",MAX(0,G194-J194/100))</f>
        <v>0.499146333508298</v>
      </c>
      <c r="L194" s="39" t="n">
        <f aca="false">IF(G194="","",MIN(1,G194+J194/100))</f>
        <v>0.536547717483203</v>
      </c>
      <c r="M194" s="21" t="n">
        <f aca="false">ROUND(Q194*S194,0)</f>
        <v>244</v>
      </c>
      <c r="N194" s="21" t="n">
        <f aca="false">ROUND(SQRT((F194*J194/100)^2+(G194*M194)^2),0)</f>
        <v>131</v>
      </c>
      <c r="P194" s="41" t="n">
        <v>-2.00118497054399</v>
      </c>
      <c r="Q194" s="42" t="n">
        <v>1765.21361070681</v>
      </c>
      <c r="R194" s="43" t="n">
        <f aca="false">MAX(0,MIN(1,P194/100+$D$5))</f>
        <v>0.51781384495832</v>
      </c>
      <c r="S194" s="43" t="n">
        <v>0.138178110610255</v>
      </c>
      <c r="T194" s="44" t="s">
        <v>128</v>
      </c>
    </row>
    <row r="195" customFormat="false" ht="15" hidden="false" customHeight="false" outlineLevel="0" collapsed="false">
      <c r="A195" s="38" t="s">
        <v>157</v>
      </c>
      <c r="B195" s="38" t="s">
        <v>300</v>
      </c>
      <c r="C195" s="38" t="s">
        <v>304</v>
      </c>
      <c r="D195" s="21" t="n">
        <f aca="false">ROUND(Q195*R195,0)</f>
        <v>698</v>
      </c>
      <c r="E195" s="21" t="n">
        <f aca="false">ROUND(Q195,0)-D195</f>
        <v>519</v>
      </c>
      <c r="F195" s="21" t="n">
        <f aca="false">IF(COUNTA(D195:E195)=0,"",SUM(D195:E195))</f>
        <v>1217</v>
      </c>
      <c r="G195" s="39" t="n">
        <f aca="false">IF(OR(F195="",F195=0),"",D195/F195)</f>
        <v>0.57354149548069</v>
      </c>
      <c r="H195" s="39" t="n">
        <f aca="false">IF(OR(F195="",F195=0),"",E195/F195)</f>
        <v>0.42645850451931</v>
      </c>
      <c r="I195" s="38" t="s">
        <v>89</v>
      </c>
      <c r="J195" s="40" t="n">
        <v>1.87006919874525</v>
      </c>
      <c r="K195" s="39" t="n">
        <f aca="false">IF(G195="","",MAX(0,G195-J195/100))</f>
        <v>0.554840803493238</v>
      </c>
      <c r="L195" s="39" t="n">
        <f aca="false">IF(G195="","",MIN(1,G195+J195/100))</f>
        <v>0.592242187468143</v>
      </c>
      <c r="M195" s="21" t="n">
        <f aca="false">ROUND(Q195*S195,0)</f>
        <v>168</v>
      </c>
      <c r="N195" s="21" t="n">
        <f aca="false">ROUND(SQRT((F195*J195/100)^2+(G195*M195)^2),0)</f>
        <v>99</v>
      </c>
      <c r="P195" s="41" t="n">
        <v>3.58371477188208</v>
      </c>
      <c r="Q195" s="42" t="n">
        <v>1217.01387145588</v>
      </c>
      <c r="R195" s="43" t="n">
        <f aca="false">MAX(0,MIN(1,P195/100+$D$5))</f>
        <v>0.573662842382581</v>
      </c>
      <c r="S195" s="43" t="n">
        <v>0.138178110610255</v>
      </c>
      <c r="T195" s="44" t="s">
        <v>128</v>
      </c>
    </row>
    <row r="196" customFormat="false" ht="15" hidden="false" customHeight="false" outlineLevel="0" collapsed="false">
      <c r="A196" s="38" t="s">
        <v>157</v>
      </c>
      <c r="B196" s="38" t="s">
        <v>300</v>
      </c>
      <c r="C196" s="38" t="s">
        <v>305</v>
      </c>
      <c r="D196" s="21" t="n">
        <f aca="false">ROUND(Q196*R196,0)</f>
        <v>1653</v>
      </c>
      <c r="E196" s="21" t="n">
        <f aca="false">ROUND(Q196,0)-D196</f>
        <v>1241</v>
      </c>
      <c r="F196" s="21" t="n">
        <f aca="false">IF(COUNTA(D196:E196)=0,"",SUM(D196:E196))</f>
        <v>2894</v>
      </c>
      <c r="G196" s="39" t="n">
        <f aca="false">IF(OR(F196="",F196=0),"",D196/F196)</f>
        <v>0.571181755355909</v>
      </c>
      <c r="H196" s="39" t="n">
        <f aca="false">IF(OR(F196="",F196=0),"",E196/F196)</f>
        <v>0.428818244644091</v>
      </c>
      <c r="I196" s="38" t="s">
        <v>89</v>
      </c>
      <c r="J196" s="40" t="n">
        <v>1.87006919874525</v>
      </c>
      <c r="K196" s="39" t="n">
        <f aca="false">IF(G196="","",MAX(0,G196-J196/100))</f>
        <v>0.552481063368456</v>
      </c>
      <c r="L196" s="39" t="n">
        <f aca="false">IF(G196="","",MIN(1,G196+J196/100))</f>
        <v>0.589882447343361</v>
      </c>
      <c r="M196" s="21" t="n">
        <f aca="false">ROUND(Q196*S196,0)</f>
        <v>400</v>
      </c>
      <c r="N196" s="21" t="n">
        <f aca="false">ROUND(SQRT((F196*J196/100)^2+(G196*M196)^2),0)</f>
        <v>235</v>
      </c>
      <c r="P196" s="41" t="n">
        <v>3.33496867987051</v>
      </c>
      <c r="Q196" s="42" t="n">
        <v>2894.13061497747</v>
      </c>
      <c r="R196" s="43" t="n">
        <f aca="false">MAX(0,MIN(1,P196/100+$D$5))</f>
        <v>0.571175381462465</v>
      </c>
      <c r="S196" s="43" t="n">
        <v>0.138178110610255</v>
      </c>
      <c r="T196" s="44" t="s">
        <v>128</v>
      </c>
    </row>
    <row r="197" customFormat="false" ht="15" hidden="false" customHeight="false" outlineLevel="0" collapsed="false">
      <c r="A197" s="38" t="s">
        <v>157</v>
      </c>
      <c r="B197" s="38" t="s">
        <v>300</v>
      </c>
      <c r="C197" s="38" t="s">
        <v>306</v>
      </c>
      <c r="D197" s="21" t="n">
        <f aca="false">ROUND(Q197*R197,0)</f>
        <v>575</v>
      </c>
      <c r="E197" s="21" t="n">
        <f aca="false">ROUND(Q197,0)-D197</f>
        <v>463</v>
      </c>
      <c r="F197" s="21" t="n">
        <f aca="false">IF(COUNTA(D197:E197)=0,"",SUM(D197:E197))</f>
        <v>1038</v>
      </c>
      <c r="G197" s="39" t="n">
        <f aca="false">IF(OR(F197="",F197=0),"",D197/F197)</f>
        <v>0.553949903660886</v>
      </c>
      <c r="H197" s="39" t="n">
        <f aca="false">IF(OR(F197="",F197=0),"",E197/F197)</f>
        <v>0.446050096339114</v>
      </c>
      <c r="I197" s="38" t="s">
        <v>89</v>
      </c>
      <c r="J197" s="40" t="n">
        <v>2.0110742867014</v>
      </c>
      <c r="K197" s="39" t="n">
        <f aca="false">IF(G197="","",MAX(0,G197-J197/100))</f>
        <v>0.533839160793872</v>
      </c>
      <c r="L197" s="39" t="n">
        <f aca="false">IF(G197="","",MIN(1,G197+J197/100))</f>
        <v>0.5740606465279</v>
      </c>
      <c r="M197" s="21" t="n">
        <f aca="false">ROUND(Q197*S197,0)</f>
        <v>63</v>
      </c>
      <c r="N197" s="21" t="n">
        <f aca="false">ROUND(SQRT((F197*J197/100)^2+(G197*M197)^2),0)</f>
        <v>41</v>
      </c>
      <c r="P197" s="41" t="n">
        <v>1.58802341166837</v>
      </c>
      <c r="Q197" s="42" t="n">
        <v>1038.22245794569</v>
      </c>
      <c r="R197" s="43" t="n">
        <f aca="false">MAX(0,MIN(1,P197/100+$D$5))</f>
        <v>0.553705928780443</v>
      </c>
      <c r="S197" s="43" t="n">
        <v>0.0608302283160348</v>
      </c>
      <c r="T197" s="44" t="s">
        <v>99</v>
      </c>
    </row>
    <row r="198" customFormat="false" ht="15" hidden="false" customHeight="false" outlineLevel="0" collapsed="false">
      <c r="A198" s="38" t="s">
        <v>157</v>
      </c>
      <c r="B198" s="38" t="s">
        <v>300</v>
      </c>
      <c r="C198" s="38" t="s">
        <v>307</v>
      </c>
      <c r="D198" s="21" t="n">
        <f aca="false">ROUND(Q198*R198,0)</f>
        <v>588</v>
      </c>
      <c r="E198" s="21" t="n">
        <f aca="false">ROUND(Q198,0)-D198</f>
        <v>411</v>
      </c>
      <c r="F198" s="21" t="n">
        <f aca="false">IF(COUNTA(D198:E198)=0,"",SUM(D198:E198))</f>
        <v>999</v>
      </c>
      <c r="G198" s="39" t="n">
        <f aca="false">IF(OR(F198="",F198=0),"",D198/F198)</f>
        <v>0.588588588588589</v>
      </c>
      <c r="H198" s="39" t="n">
        <f aca="false">IF(OR(F198="",F198=0),"",E198/F198)</f>
        <v>0.411411411411411</v>
      </c>
      <c r="I198" s="38" t="s">
        <v>89</v>
      </c>
      <c r="J198" s="40" t="n">
        <v>2.0110742867014</v>
      </c>
      <c r="K198" s="39" t="n">
        <f aca="false">IF(G198="","",MAX(0,G198-J198/100))</f>
        <v>0.568477845721575</v>
      </c>
      <c r="L198" s="39" t="n">
        <f aca="false">IF(G198="","",MIN(1,G198+J198/100))</f>
        <v>0.608699331455603</v>
      </c>
      <c r="M198" s="21" t="n">
        <f aca="false">ROUND(Q198*S198,0)</f>
        <v>61</v>
      </c>
      <c r="N198" s="21" t="n">
        <f aca="false">ROUND(SQRT((F198*J198/100)^2+(G198*M198)^2),0)</f>
        <v>41</v>
      </c>
      <c r="P198" s="41" t="n">
        <v>5.09803387055305</v>
      </c>
      <c r="Q198" s="42" t="n">
        <v>999.385021163543</v>
      </c>
      <c r="R198" s="43" t="n">
        <f aca="false">MAX(0,MIN(1,P198/100+$D$5))</f>
        <v>0.58880603336929</v>
      </c>
      <c r="S198" s="43" t="n">
        <v>0.0608302283160348</v>
      </c>
      <c r="T198" s="44" t="s">
        <v>99</v>
      </c>
    </row>
    <row r="199" customFormat="false" ht="15" hidden="false" customHeight="false" outlineLevel="0" collapsed="false">
      <c r="A199" s="38" t="s">
        <v>157</v>
      </c>
      <c r="B199" s="38" t="s">
        <v>300</v>
      </c>
      <c r="C199" s="38" t="s">
        <v>308</v>
      </c>
      <c r="D199" s="21" t="n">
        <f aca="false">ROUND(Q199*R199,0)</f>
        <v>618</v>
      </c>
      <c r="E199" s="21" t="n">
        <f aca="false">ROUND(Q199,0)-D199</f>
        <v>488</v>
      </c>
      <c r="F199" s="21" t="n">
        <f aca="false">IF(COUNTA(D199:E199)=0,"",SUM(D199:E199))</f>
        <v>1106</v>
      </c>
      <c r="G199" s="39" t="n">
        <f aca="false">IF(OR(F199="",F199=0),"",D199/F199)</f>
        <v>0.55877034358047</v>
      </c>
      <c r="H199" s="39" t="n">
        <f aca="false">IF(OR(F199="",F199=0),"",E199/F199)</f>
        <v>0.44122965641953</v>
      </c>
      <c r="I199" s="38" t="s">
        <v>89</v>
      </c>
      <c r="J199" s="40" t="n">
        <v>2.0110742867014</v>
      </c>
      <c r="K199" s="39" t="n">
        <f aca="false">IF(G199="","",MAX(0,G199-J199/100))</f>
        <v>0.538659600713456</v>
      </c>
      <c r="L199" s="39" t="n">
        <f aca="false">IF(G199="","",MIN(1,G199+J199/100))</f>
        <v>0.578881086447484</v>
      </c>
      <c r="M199" s="21" t="n">
        <f aca="false">ROUND(Q199*S199,0)</f>
        <v>67</v>
      </c>
      <c r="N199" s="21" t="n">
        <f aca="false">ROUND(SQRT((F199*J199/100)^2+(G199*M199)^2),0)</f>
        <v>44</v>
      </c>
      <c r="P199" s="41" t="n">
        <v>2.09828414744937</v>
      </c>
      <c r="Q199" s="42" t="n">
        <v>1106.03554286134</v>
      </c>
      <c r="R199" s="43" t="n">
        <f aca="false">MAX(0,MIN(1,P199/100+$D$5))</f>
        <v>0.558808536138253</v>
      </c>
      <c r="S199" s="43" t="n">
        <v>0.0608302283160348</v>
      </c>
      <c r="T199" s="44" t="s">
        <v>99</v>
      </c>
    </row>
    <row r="200" customFormat="false" ht="15" hidden="false" customHeight="false" outlineLevel="0" collapsed="false">
      <c r="A200" s="38" t="s">
        <v>157</v>
      </c>
      <c r="B200" s="38" t="s">
        <v>309</v>
      </c>
      <c r="C200" s="38" t="s">
        <v>310</v>
      </c>
      <c r="D200" s="21" t="n">
        <f aca="false">ROUND(Q200*R200,0)</f>
        <v>1393</v>
      </c>
      <c r="E200" s="21" t="n">
        <f aca="false">ROUND(Q200,0)-D200</f>
        <v>1384</v>
      </c>
      <c r="F200" s="21" t="n">
        <f aca="false">IF(COUNTA(D200:E200)=0,"",SUM(D200:E200))</f>
        <v>2777</v>
      </c>
      <c r="G200" s="39" t="n">
        <f aca="false">IF(OR(F200="",F200=0),"",D200/F200)</f>
        <v>0.501620453727044</v>
      </c>
      <c r="H200" s="39" t="n">
        <f aca="false">IF(OR(F200="",F200=0),"",E200/F200)</f>
        <v>0.498379546272956</v>
      </c>
      <c r="I200" s="38" t="s">
        <v>89</v>
      </c>
      <c r="J200" s="40" t="n">
        <v>1.87006919874525</v>
      </c>
      <c r="K200" s="39" t="n">
        <f aca="false">IF(G200="","",MAX(0,G200-J200/100))</f>
        <v>0.482919761739591</v>
      </c>
      <c r="L200" s="39" t="n">
        <f aca="false">IF(G200="","",MIN(1,G200+J200/100))</f>
        <v>0.520321145714496</v>
      </c>
      <c r="M200" s="21" t="n">
        <f aca="false">ROUND(Q200*S200,0)</f>
        <v>384</v>
      </c>
      <c r="N200" s="21" t="n">
        <f aca="false">ROUND(SQRT((F200*J200/100)^2+(G200*M200)^2),0)</f>
        <v>199</v>
      </c>
      <c r="P200" s="41" t="n">
        <v>-3.6107163390758</v>
      </c>
      <c r="Q200" s="42" t="n">
        <v>2776.95254047834</v>
      </c>
      <c r="R200" s="43" t="n">
        <f aca="false">MAX(0,MIN(1,P200/100+$D$5))</f>
        <v>0.501718531273002</v>
      </c>
      <c r="S200" s="43" t="n">
        <v>0.138178110610255</v>
      </c>
      <c r="T200" s="44" t="s">
        <v>128</v>
      </c>
    </row>
    <row r="201" customFormat="false" ht="15" hidden="false" customHeight="false" outlineLevel="0" collapsed="false">
      <c r="A201" s="38" t="s">
        <v>157</v>
      </c>
      <c r="B201" s="38" t="s">
        <v>309</v>
      </c>
      <c r="C201" s="38" t="s">
        <v>311</v>
      </c>
      <c r="D201" s="21" t="n">
        <f aca="false">ROUND(Q201*R201,0)</f>
        <v>893</v>
      </c>
      <c r="E201" s="21" t="n">
        <f aca="false">ROUND(Q201,0)-D201</f>
        <v>1234</v>
      </c>
      <c r="F201" s="21" t="n">
        <f aca="false">IF(COUNTA(D201:E201)=0,"",SUM(D201:E201))</f>
        <v>2127</v>
      </c>
      <c r="G201" s="39" t="n">
        <f aca="false">IF(OR(F201="",F201=0),"",D201/F201)</f>
        <v>0.419840150446638</v>
      </c>
      <c r="H201" s="39" t="n">
        <f aca="false">IF(OR(F201="",F201=0),"",E201/F201)</f>
        <v>0.580159849553362</v>
      </c>
      <c r="I201" s="38" t="s">
        <v>89</v>
      </c>
      <c r="J201" s="40" t="n">
        <v>1.87006919874525</v>
      </c>
      <c r="K201" s="39" t="n">
        <f aca="false">IF(G201="","",MAX(0,G201-J201/100))</f>
        <v>0.401139458459186</v>
      </c>
      <c r="L201" s="39" t="n">
        <f aca="false">IF(G201="","",MIN(1,G201+J201/100))</f>
        <v>0.438540842434091</v>
      </c>
      <c r="M201" s="21" t="n">
        <f aca="false">ROUND(Q201*S201,0)</f>
        <v>294</v>
      </c>
      <c r="N201" s="21" t="n">
        <f aca="false">ROUND(SQRT((F201*J201/100)^2+(G201*M201)^2),0)</f>
        <v>130</v>
      </c>
      <c r="P201" s="41" t="n">
        <v>-11.7980416267237</v>
      </c>
      <c r="Q201" s="42" t="n">
        <v>2127.18922644793</v>
      </c>
      <c r="R201" s="43" t="n">
        <f aca="false">MAX(0,MIN(1,P201/100+$D$5))</f>
        <v>0.419845278396523</v>
      </c>
      <c r="S201" s="43" t="n">
        <v>0.138178110610255</v>
      </c>
      <c r="T201" s="44" t="s">
        <v>128</v>
      </c>
    </row>
    <row r="202" customFormat="false" ht="15" hidden="false" customHeight="false" outlineLevel="0" collapsed="false">
      <c r="A202" s="38" t="s">
        <v>157</v>
      </c>
      <c r="B202" s="38" t="s">
        <v>312</v>
      </c>
      <c r="C202" s="38" t="s">
        <v>313</v>
      </c>
      <c r="D202" s="21" t="n">
        <f aca="false">ROUND(Q202*R202,0)</f>
        <v>1010</v>
      </c>
      <c r="E202" s="21" t="n">
        <f aca="false">ROUND(Q202,0)-D202</f>
        <v>870</v>
      </c>
      <c r="F202" s="21" t="n">
        <f aca="false">IF(COUNTA(D202:E202)=0,"",SUM(D202:E202))</f>
        <v>1880</v>
      </c>
      <c r="G202" s="39" t="n">
        <f aca="false">IF(OR(F202="",F202=0),"",D202/F202)</f>
        <v>0.537234042553192</v>
      </c>
      <c r="H202" s="39" t="n">
        <f aca="false">IF(OR(F202="",F202=0),"",E202/F202)</f>
        <v>0.462765957446809</v>
      </c>
      <c r="I202" s="38" t="s">
        <v>89</v>
      </c>
      <c r="J202" s="40" t="n">
        <v>1.87006919874525</v>
      </c>
      <c r="K202" s="39" t="n">
        <f aca="false">IF(G202="","",MAX(0,G202-J202/100))</f>
        <v>0.518533350565739</v>
      </c>
      <c r="L202" s="39" t="n">
        <f aca="false">IF(G202="","",MIN(1,G202+J202/100))</f>
        <v>0.555934734540644</v>
      </c>
      <c r="M202" s="21" t="n">
        <f aca="false">ROUND(Q202*S202,0)</f>
        <v>260</v>
      </c>
      <c r="N202" s="21" t="n">
        <f aca="false">ROUND(SQRT((F202*J202/100)^2+(G202*M202)^2),0)</f>
        <v>144</v>
      </c>
      <c r="P202" s="41" t="n">
        <v>-0.0480327332676841</v>
      </c>
      <c r="Q202" s="42" t="n">
        <v>1880.47137687198</v>
      </c>
      <c r="R202" s="43" t="n">
        <f aca="false">MAX(0,MIN(1,P202/100+$D$5))</f>
        <v>0.537345367331083</v>
      </c>
      <c r="S202" s="43" t="n">
        <v>0.138178110610255</v>
      </c>
      <c r="T202" s="44" t="s">
        <v>128</v>
      </c>
    </row>
    <row r="203" customFormat="false" ht="15" hidden="false" customHeight="false" outlineLevel="0" collapsed="false">
      <c r="A203" s="38" t="s">
        <v>157</v>
      </c>
      <c r="B203" s="38" t="s">
        <v>312</v>
      </c>
      <c r="C203" s="38" t="s">
        <v>314</v>
      </c>
      <c r="D203" s="21" t="n">
        <f aca="false">ROUND(Q203*R203,0)</f>
        <v>712</v>
      </c>
      <c r="E203" s="21" t="n">
        <f aca="false">ROUND(Q203,0)-D203</f>
        <v>651</v>
      </c>
      <c r="F203" s="21" t="n">
        <f aca="false">IF(COUNTA(D203:E203)=0,"",SUM(D203:E203))</f>
        <v>1363</v>
      </c>
      <c r="G203" s="39" t="n">
        <f aca="false">IF(OR(F203="",F203=0),"",D203/F203)</f>
        <v>0.522377109317682</v>
      </c>
      <c r="H203" s="39" t="n">
        <f aca="false">IF(OR(F203="",F203=0),"",E203/F203)</f>
        <v>0.477622890682318</v>
      </c>
      <c r="I203" s="38" t="s">
        <v>89</v>
      </c>
      <c r="J203" s="40" t="n">
        <v>1.87006919874525</v>
      </c>
      <c r="K203" s="39" t="n">
        <f aca="false">IF(G203="","",MAX(0,G203-J203/100))</f>
        <v>0.503676417330229</v>
      </c>
      <c r="L203" s="39" t="n">
        <f aca="false">IF(G203="","",MIN(1,G203+J203/100))</f>
        <v>0.541077801305134</v>
      </c>
      <c r="M203" s="21" t="n">
        <f aca="false">ROUND(Q203*S203,0)</f>
        <v>188</v>
      </c>
      <c r="N203" s="21" t="n">
        <f aca="false">ROUND(SQRT((F203*J203/100)^2+(G203*M203)^2),0)</f>
        <v>101</v>
      </c>
      <c r="P203" s="41" t="n">
        <v>-1.50673730236966</v>
      </c>
      <c r="Q203" s="42" t="n">
        <v>1362.51242539954</v>
      </c>
      <c r="R203" s="43" t="n">
        <f aca="false">MAX(0,MIN(1,P203/100+$D$5))</f>
        <v>0.522758321640063</v>
      </c>
      <c r="S203" s="43" t="n">
        <v>0.138178110610255</v>
      </c>
      <c r="T203" s="44" t="s">
        <v>128</v>
      </c>
    </row>
    <row r="204" customFormat="false" ht="15" hidden="false" customHeight="false" outlineLevel="0" collapsed="false">
      <c r="A204" s="38" t="s">
        <v>157</v>
      </c>
      <c r="B204" s="38" t="s">
        <v>312</v>
      </c>
      <c r="C204" s="38" t="s">
        <v>315</v>
      </c>
      <c r="D204" s="21" t="n">
        <f aca="false">ROUND(Q204*R204,0)</f>
        <v>680</v>
      </c>
      <c r="E204" s="21" t="n">
        <f aca="false">ROUND(Q204,0)-D204</f>
        <v>630</v>
      </c>
      <c r="F204" s="21" t="n">
        <f aca="false">IF(COUNTA(D204:E204)=0,"",SUM(D204:E204))</f>
        <v>1310</v>
      </c>
      <c r="G204" s="39" t="n">
        <f aca="false">IF(OR(F204="",F204=0),"",D204/F204)</f>
        <v>0.519083969465649</v>
      </c>
      <c r="H204" s="39" t="n">
        <f aca="false">IF(OR(F204="",F204=0),"",E204/F204)</f>
        <v>0.480916030534351</v>
      </c>
      <c r="I204" s="38" t="s">
        <v>89</v>
      </c>
      <c r="J204" s="40" t="n">
        <v>1.87006919874525</v>
      </c>
      <c r="K204" s="39" t="n">
        <f aca="false">IF(G204="","",MAX(0,G204-J204/100))</f>
        <v>0.500383277478196</v>
      </c>
      <c r="L204" s="39" t="n">
        <f aca="false">IF(G204="","",MIN(1,G204+J204/100))</f>
        <v>0.537784661453101</v>
      </c>
      <c r="M204" s="21" t="n">
        <f aca="false">ROUND(Q204*S204,0)</f>
        <v>181</v>
      </c>
      <c r="N204" s="21" t="n">
        <f aca="false">ROUND(SQRT((F204*J204/100)^2+(G204*M204)^2),0)</f>
        <v>97</v>
      </c>
      <c r="P204" s="41" t="n">
        <v>-1.86712559730272</v>
      </c>
      <c r="Q204" s="42" t="n">
        <v>1310.21582613164</v>
      </c>
      <c r="R204" s="43" t="n">
        <f aca="false">MAX(0,MIN(1,P204/100+$D$5))</f>
        <v>0.519154438690733</v>
      </c>
      <c r="S204" s="43" t="n">
        <v>0.138178110610255</v>
      </c>
      <c r="T204" s="44" t="s">
        <v>128</v>
      </c>
    </row>
    <row r="205" customFormat="false" ht="15" hidden="false" customHeight="false" outlineLevel="0" collapsed="false">
      <c r="A205" s="38" t="s">
        <v>157</v>
      </c>
      <c r="B205" s="38" t="s">
        <v>312</v>
      </c>
      <c r="C205" s="38" t="s">
        <v>316</v>
      </c>
      <c r="D205" s="21" t="n">
        <f aca="false">ROUND(Q205*R205,0)</f>
        <v>1575</v>
      </c>
      <c r="E205" s="21" t="n">
        <f aca="false">ROUND(Q205,0)-D205</f>
        <v>1415</v>
      </c>
      <c r="F205" s="21" t="n">
        <f aca="false">IF(COUNTA(D205:E205)=0,"",SUM(D205:E205))</f>
        <v>2990</v>
      </c>
      <c r="G205" s="39" t="n">
        <f aca="false">IF(OR(F205="",F205=0),"",D205/F205)</f>
        <v>0.526755852842809</v>
      </c>
      <c r="H205" s="39" t="n">
        <f aca="false">IF(OR(F205="",F205=0),"",E205/F205)</f>
        <v>0.473244147157191</v>
      </c>
      <c r="I205" s="38" t="s">
        <v>89</v>
      </c>
      <c r="J205" s="40" t="n">
        <v>1.87006919874525</v>
      </c>
      <c r="K205" s="39" t="n">
        <f aca="false">IF(G205="","",MAX(0,G205-J205/100))</f>
        <v>0.508055160855357</v>
      </c>
      <c r="L205" s="39" t="n">
        <f aca="false">IF(G205="","",MIN(1,G205+J205/100))</f>
        <v>0.545456544830262</v>
      </c>
      <c r="M205" s="21" t="n">
        <f aca="false">ROUND(Q205*S205,0)</f>
        <v>413</v>
      </c>
      <c r="N205" s="21" t="n">
        <f aca="false">ROUND(SQRT((F205*J205/100)^2+(G205*M205)^2),0)</f>
        <v>225</v>
      </c>
      <c r="P205" s="41" t="n">
        <v>-1.11559893382862</v>
      </c>
      <c r="Q205" s="42" t="n">
        <v>2990.19420171156</v>
      </c>
      <c r="R205" s="43" t="n">
        <f aca="false">MAX(0,MIN(1,P205/100+$D$5))</f>
        <v>0.526669705325474</v>
      </c>
      <c r="S205" s="43" t="n">
        <v>0.138178110610255</v>
      </c>
      <c r="T205" s="44" t="s">
        <v>128</v>
      </c>
    </row>
    <row r="206" customFormat="false" ht="15" hidden="false" customHeight="false" outlineLevel="0" collapsed="false">
      <c r="A206" s="38" t="s">
        <v>157</v>
      </c>
      <c r="B206" s="38" t="s">
        <v>312</v>
      </c>
      <c r="C206" s="38" t="s">
        <v>317</v>
      </c>
      <c r="D206" s="21" t="n">
        <f aca="false">ROUND(Q206*R206,0)</f>
        <v>624</v>
      </c>
      <c r="E206" s="21" t="n">
        <f aca="false">ROUND(Q206,0)-D206</f>
        <v>533</v>
      </c>
      <c r="F206" s="21" t="n">
        <f aca="false">IF(COUNTA(D206:E206)=0,"",SUM(D206:E206))</f>
        <v>1157</v>
      </c>
      <c r="G206" s="39" t="n">
        <f aca="false">IF(OR(F206="",F206=0),"",D206/F206)</f>
        <v>0.539325842696629</v>
      </c>
      <c r="H206" s="39" t="n">
        <f aca="false">IF(OR(F206="",F206=0),"",E206/F206)</f>
        <v>0.460674157303371</v>
      </c>
      <c r="I206" s="38" t="s">
        <v>89</v>
      </c>
      <c r="J206" s="40" t="n">
        <v>2.0110742867014</v>
      </c>
      <c r="K206" s="39" t="n">
        <f aca="false">IF(G206="","",MAX(0,G206-J206/100))</f>
        <v>0.519215099829615</v>
      </c>
      <c r="L206" s="39" t="n">
        <f aca="false">IF(G206="","",MIN(1,G206+J206/100))</f>
        <v>0.559436585563643</v>
      </c>
      <c r="M206" s="21" t="n">
        <f aca="false">ROUND(Q206*S206,0)</f>
        <v>70</v>
      </c>
      <c r="N206" s="21" t="n">
        <f aca="false">ROUND(SQRT((F206*J206/100)^2+(G206*M206)^2),0)</f>
        <v>44</v>
      </c>
      <c r="P206" s="41" t="n">
        <v>0.172059780334575</v>
      </c>
      <c r="Q206" s="42" t="n">
        <v>1156.71533591652</v>
      </c>
      <c r="R206" s="43" t="n">
        <f aca="false">MAX(0,MIN(1,P206/100+$D$5))</f>
        <v>0.539546292467106</v>
      </c>
      <c r="S206" s="43" t="n">
        <v>0.0608302283160348</v>
      </c>
      <c r="T206" s="44" t="s">
        <v>99</v>
      </c>
    </row>
    <row r="207" customFormat="false" ht="15" hidden="false" customHeight="false" outlineLevel="0" collapsed="false">
      <c r="A207" s="38" t="s">
        <v>157</v>
      </c>
      <c r="B207" s="38" t="s">
        <v>312</v>
      </c>
      <c r="C207" s="38" t="s">
        <v>318</v>
      </c>
      <c r="D207" s="21" t="n">
        <f aca="false">ROUND(Q207*R207,0)</f>
        <v>621</v>
      </c>
      <c r="E207" s="21" t="n">
        <f aca="false">ROUND(Q207,0)-D207</f>
        <v>511</v>
      </c>
      <c r="F207" s="21" t="n">
        <f aca="false">IF(COUNTA(D207:E207)=0,"",SUM(D207:E207))</f>
        <v>1132</v>
      </c>
      <c r="G207" s="39" t="n">
        <f aca="false">IF(OR(F207="",F207=0),"",D207/F207)</f>
        <v>0.548586572438163</v>
      </c>
      <c r="H207" s="39" t="n">
        <f aca="false">IF(OR(F207="",F207=0),"",E207/F207)</f>
        <v>0.451413427561837</v>
      </c>
      <c r="I207" s="38" t="s">
        <v>89</v>
      </c>
      <c r="J207" s="40" t="n">
        <v>2.0110742867014</v>
      </c>
      <c r="K207" s="39" t="n">
        <f aca="false">IF(G207="","",MAX(0,G207-J207/100))</f>
        <v>0.528475829571149</v>
      </c>
      <c r="L207" s="39" t="n">
        <f aca="false">IF(G207="","",MIN(1,G207+J207/100))</f>
        <v>0.568697315305177</v>
      </c>
      <c r="M207" s="21" t="n">
        <f aca="false">ROUND(Q207*S207,0)</f>
        <v>69</v>
      </c>
      <c r="N207" s="21" t="n">
        <f aca="false">ROUND(SQRT((F207*J207/100)^2+(G207*M207)^2),0)</f>
        <v>44</v>
      </c>
      <c r="P207" s="41" t="n">
        <v>1.01504156462233</v>
      </c>
      <c r="Q207" s="42" t="n">
        <v>1132.47597140103</v>
      </c>
      <c r="R207" s="43" t="n">
        <f aca="false">MAX(0,MIN(1,P207/100+$D$5))</f>
        <v>0.547976110309983</v>
      </c>
      <c r="S207" s="43" t="n">
        <v>0.0608302283160348</v>
      </c>
      <c r="T207" s="44" t="s">
        <v>99</v>
      </c>
    </row>
    <row r="208" customFormat="false" ht="15" hidden="false" customHeight="false" outlineLevel="0" collapsed="false">
      <c r="A208" s="38" t="s">
        <v>157</v>
      </c>
      <c r="B208" s="38" t="s">
        <v>319</v>
      </c>
      <c r="C208" s="38" t="s">
        <v>320</v>
      </c>
      <c r="D208" s="21" t="n">
        <f aca="false">ROUND(Q208*R208,0)</f>
        <v>236</v>
      </c>
      <c r="E208" s="21" t="n">
        <f aca="false">ROUND(Q208,0)-D208</f>
        <v>410</v>
      </c>
      <c r="F208" s="21" t="n">
        <f aca="false">IF(COUNTA(D208:E208)=0,"",SUM(D208:E208))</f>
        <v>646</v>
      </c>
      <c r="G208" s="39" t="n">
        <f aca="false">IF(OR(F208="",F208=0),"",D208/F208)</f>
        <v>0.365325077399381</v>
      </c>
      <c r="H208" s="39" t="n">
        <f aca="false">IF(OR(F208="",F208=0),"",E208/F208)</f>
        <v>0.634674922600619</v>
      </c>
      <c r="I208" s="38" t="s">
        <v>89</v>
      </c>
      <c r="J208" s="40" t="n">
        <v>3.09864730606258</v>
      </c>
      <c r="K208" s="39" t="n">
        <f aca="false">IF(G208="","",MAX(0,G208-J208/100))</f>
        <v>0.334338604338755</v>
      </c>
      <c r="L208" s="39" t="n">
        <f aca="false">IF(G208="","",MIN(1,G208+J208/100))</f>
        <v>0.396311550460007</v>
      </c>
      <c r="M208" s="21" t="n">
        <f aca="false">ROUND(Q208*S208,0)</f>
        <v>47</v>
      </c>
      <c r="N208" s="21" t="n">
        <f aca="false">ROUND(SQRT((F208*J208/100)^2+(G208*M208)^2),0)</f>
        <v>26</v>
      </c>
      <c r="P208" s="41" t="n">
        <v>-17.2627971980748</v>
      </c>
      <c r="Q208" s="42" t="n">
        <v>646.251167761761</v>
      </c>
      <c r="R208" s="43" t="n">
        <f aca="false">MAX(0,MIN(1,P208/100+$D$5))</f>
        <v>0.365197722683011</v>
      </c>
      <c r="S208" s="43" t="n">
        <v>0.0731122618343653</v>
      </c>
      <c r="T208" s="44" t="s">
        <v>90</v>
      </c>
    </row>
    <row r="209" customFormat="false" ht="15" hidden="false" customHeight="false" outlineLevel="0" collapsed="false">
      <c r="A209" s="38" t="s">
        <v>157</v>
      </c>
      <c r="B209" s="38" t="s">
        <v>319</v>
      </c>
      <c r="C209" s="38" t="s">
        <v>321</v>
      </c>
      <c r="D209" s="21" t="n">
        <f aca="false">ROUND(Q209*R209,0)</f>
        <v>800</v>
      </c>
      <c r="E209" s="21" t="n">
        <f aca="false">ROUND(Q209,0)-D209</f>
        <v>1293</v>
      </c>
      <c r="F209" s="21" t="n">
        <f aca="false">IF(COUNTA(D209:E209)=0,"",SUM(D209:E209))</f>
        <v>2093</v>
      </c>
      <c r="G209" s="39" t="n">
        <f aca="false">IF(OR(F209="",F209=0),"",D209/F209)</f>
        <v>0.382226469182991</v>
      </c>
      <c r="H209" s="39" t="n">
        <f aca="false">IF(OR(F209="",F209=0),"",E209/F209)</f>
        <v>0.617773530817009</v>
      </c>
      <c r="I209" s="38" t="s">
        <v>89</v>
      </c>
      <c r="J209" s="40" t="n">
        <v>1.87006919874525</v>
      </c>
      <c r="K209" s="39" t="n">
        <f aca="false">IF(G209="","",MAX(0,G209-J209/100))</f>
        <v>0.363525777195538</v>
      </c>
      <c r="L209" s="39" t="n">
        <f aca="false">IF(G209="","",MIN(1,G209+J209/100))</f>
        <v>0.400927161170443</v>
      </c>
      <c r="M209" s="21" t="n">
        <f aca="false">ROUND(Q209*S209,0)</f>
        <v>289</v>
      </c>
      <c r="N209" s="21" t="n">
        <f aca="false">ROUND(SQRT((F209*J209/100)^2+(G209*M209)^2),0)</f>
        <v>117</v>
      </c>
      <c r="P209" s="41" t="n">
        <v>-15.5491353701103</v>
      </c>
      <c r="Q209" s="42" t="n">
        <v>2093.36234026385</v>
      </c>
      <c r="R209" s="43" t="n">
        <f aca="false">MAX(0,MIN(1,P209/100+$D$5))</f>
        <v>0.382334340962657</v>
      </c>
      <c r="S209" s="43" t="n">
        <v>0.138178110610255</v>
      </c>
      <c r="T209" s="44" t="s">
        <v>128</v>
      </c>
    </row>
    <row r="210" customFormat="false" ht="15" hidden="false" customHeight="false" outlineLevel="0" collapsed="false">
      <c r="A210" s="38" t="s">
        <v>157</v>
      </c>
      <c r="B210" s="38" t="s">
        <v>319</v>
      </c>
      <c r="C210" s="38" t="s">
        <v>322</v>
      </c>
      <c r="D210" s="21" t="n">
        <f aca="false">ROUND(Q210*R210,0)</f>
        <v>187</v>
      </c>
      <c r="E210" s="21" t="n">
        <f aca="false">ROUND(Q210,0)-D210</f>
        <v>383</v>
      </c>
      <c r="F210" s="21" t="n">
        <f aca="false">IF(COUNTA(D210:E210)=0,"",SUM(D210:E210))</f>
        <v>570</v>
      </c>
      <c r="G210" s="39" t="n">
        <f aca="false">IF(OR(F210="",F210=0),"",D210/F210)</f>
        <v>0.328070175438597</v>
      </c>
      <c r="H210" s="39" t="n">
        <f aca="false">IF(OR(F210="",F210=0),"",E210/F210)</f>
        <v>0.671929824561404</v>
      </c>
      <c r="I210" s="38" t="s">
        <v>89</v>
      </c>
      <c r="J210" s="40" t="n">
        <v>3.09864730606258</v>
      </c>
      <c r="K210" s="39" t="n">
        <f aca="false">IF(G210="","",MAX(0,G210-J210/100))</f>
        <v>0.297083702377971</v>
      </c>
      <c r="L210" s="39" t="n">
        <f aca="false">IF(G210="","",MIN(1,G210+J210/100))</f>
        <v>0.359056648499222</v>
      </c>
      <c r="M210" s="21" t="n">
        <f aca="false">ROUND(Q210*S210,0)</f>
        <v>42</v>
      </c>
      <c r="N210" s="21" t="n">
        <f aca="false">ROUND(SQRT((F210*J210/100)^2+(G210*M210)^2),0)</f>
        <v>22</v>
      </c>
      <c r="P210" s="41" t="n">
        <v>-20.904705422011</v>
      </c>
      <c r="Q210" s="42" t="n">
        <v>569.694663832411</v>
      </c>
      <c r="R210" s="43" t="n">
        <f aca="false">MAX(0,MIN(1,P210/100+$D$5))</f>
        <v>0.32877864044365</v>
      </c>
      <c r="S210" s="43" t="n">
        <v>0.0731122618343653</v>
      </c>
      <c r="T210" s="44" t="s">
        <v>90</v>
      </c>
    </row>
    <row r="211" customFormat="false" ht="15" hidden="false" customHeight="false" outlineLevel="0" collapsed="false">
      <c r="A211" s="38" t="s">
        <v>157</v>
      </c>
      <c r="B211" s="38" t="s">
        <v>323</v>
      </c>
      <c r="C211" s="38" t="s">
        <v>323</v>
      </c>
      <c r="D211" s="21" t="n">
        <f aca="false">ROUND(Q211*R211,0)</f>
        <v>1125</v>
      </c>
      <c r="E211" s="21" t="n">
        <f aca="false">ROUND(Q211,0)-D211</f>
        <v>1800</v>
      </c>
      <c r="F211" s="21" t="n">
        <f aca="false">IF(COUNTA(D211:E211)=0,"",SUM(D211:E211))</f>
        <v>2925</v>
      </c>
      <c r="G211" s="39" t="n">
        <f aca="false">IF(OR(F211="",F211=0),"",D211/F211)</f>
        <v>0.384615384615385</v>
      </c>
      <c r="H211" s="39" t="n">
        <f aca="false">IF(OR(F211="",F211=0),"",E211/F211)</f>
        <v>0.615384615384615</v>
      </c>
      <c r="I211" s="38" t="s">
        <v>89</v>
      </c>
      <c r="J211" s="40" t="n">
        <v>1.87006919874525</v>
      </c>
      <c r="K211" s="39" t="n">
        <f aca="false">IF(G211="","",MAX(0,G211-J211/100))</f>
        <v>0.365914692627932</v>
      </c>
      <c r="L211" s="39" t="n">
        <f aca="false">IF(G211="","",MIN(1,G211+J211/100))</f>
        <v>0.403316076602837</v>
      </c>
      <c r="M211" s="21" t="n">
        <f aca="false">ROUND(Q211*S211,0)</f>
        <v>404</v>
      </c>
      <c r="N211" s="21" t="n">
        <f aca="false">ROUND(SQRT((F211*J211/100)^2+(G211*M211)^2),0)</f>
        <v>165</v>
      </c>
      <c r="P211" s="41" t="n">
        <v>-15.3160203349108</v>
      </c>
      <c r="Q211" s="42" t="n">
        <v>2925.43620836608</v>
      </c>
      <c r="R211" s="43" t="n">
        <f aca="false">MAX(0,MIN(1,P211/100+$D$5))</f>
        <v>0.384665491314652</v>
      </c>
      <c r="S211" s="43" t="n">
        <v>0.138178110610255</v>
      </c>
      <c r="T211" s="44" t="s">
        <v>128</v>
      </c>
    </row>
    <row r="212" customFormat="false" ht="15" hidden="false" customHeight="false" outlineLevel="0" collapsed="false">
      <c r="A212" s="38" t="s">
        <v>157</v>
      </c>
      <c r="B212" s="38" t="s">
        <v>324</v>
      </c>
      <c r="C212" s="38" t="s">
        <v>325</v>
      </c>
      <c r="D212" s="21" t="n">
        <f aca="false">ROUND(Q212*R212,0)</f>
        <v>766</v>
      </c>
      <c r="E212" s="21" t="n">
        <f aca="false">ROUND(Q212,0)-D212</f>
        <v>684</v>
      </c>
      <c r="F212" s="21" t="n">
        <f aca="false">IF(COUNTA(D212:E212)=0,"",SUM(D212:E212))</f>
        <v>1450</v>
      </c>
      <c r="G212" s="39" t="n">
        <f aca="false">IF(OR(F212="",F212=0),"",D212/F212)</f>
        <v>0.528275862068966</v>
      </c>
      <c r="H212" s="39" t="n">
        <f aca="false">IF(OR(F212="",F212=0),"",E212/F212)</f>
        <v>0.471724137931034</v>
      </c>
      <c r="I212" s="38" t="s">
        <v>89</v>
      </c>
      <c r="J212" s="40" t="n">
        <v>1.87006919874525</v>
      </c>
      <c r="K212" s="39" t="n">
        <f aca="false">IF(G212="","",MAX(0,G212-J212/100))</f>
        <v>0.509575170081513</v>
      </c>
      <c r="L212" s="39" t="n">
        <f aca="false">IF(G212="","",MIN(1,G212+J212/100))</f>
        <v>0.546976554056418</v>
      </c>
      <c r="M212" s="21" t="n">
        <f aca="false">ROUND(Q212*S212,0)</f>
        <v>200</v>
      </c>
      <c r="N212" s="21" t="n">
        <f aca="false">ROUND(SQRT((F212*J212/100)^2+(G212*M212)^2),0)</f>
        <v>109</v>
      </c>
      <c r="P212" s="41" t="n">
        <v>-0.954041233711859</v>
      </c>
      <c r="Q212" s="42" t="n">
        <v>1450.18271411448</v>
      </c>
      <c r="R212" s="43" t="n">
        <f aca="false">MAX(0,MIN(1,P212/100+$D$5))</f>
        <v>0.528285282326641</v>
      </c>
      <c r="S212" s="43" t="n">
        <v>0.138178110610255</v>
      </c>
      <c r="T212" s="44" t="s">
        <v>128</v>
      </c>
    </row>
    <row r="213" customFormat="false" ht="15" hidden="false" customHeight="false" outlineLevel="0" collapsed="false">
      <c r="A213" s="38" t="s">
        <v>157</v>
      </c>
      <c r="B213" s="38" t="s">
        <v>324</v>
      </c>
      <c r="C213" s="38" t="s">
        <v>326</v>
      </c>
      <c r="D213" s="21" t="n">
        <f aca="false">ROUND(Q213*R213,0)</f>
        <v>548</v>
      </c>
      <c r="E213" s="21" t="n">
        <f aca="false">ROUND(Q213,0)-D213</f>
        <v>484</v>
      </c>
      <c r="F213" s="21" t="n">
        <f aca="false">IF(COUNTA(D213:E213)=0,"",SUM(D213:E213))</f>
        <v>1032</v>
      </c>
      <c r="G213" s="39" t="n">
        <f aca="false">IF(OR(F213="",F213=0),"",D213/F213)</f>
        <v>0.531007751937985</v>
      </c>
      <c r="H213" s="39" t="n">
        <f aca="false">IF(OR(F213="",F213=0),"",E213/F213)</f>
        <v>0.468992248062016</v>
      </c>
      <c r="I213" s="38" t="s">
        <v>89</v>
      </c>
      <c r="J213" s="40" t="n">
        <v>2.0110742867014</v>
      </c>
      <c r="K213" s="39" t="n">
        <f aca="false">IF(G213="","",MAX(0,G213-J213/100))</f>
        <v>0.510897009070971</v>
      </c>
      <c r="L213" s="39" t="n">
        <f aca="false">IF(G213="","",MIN(1,G213+J213/100))</f>
        <v>0.551118494804999</v>
      </c>
      <c r="M213" s="21" t="n">
        <f aca="false">ROUND(Q213*S213,0)</f>
        <v>63</v>
      </c>
      <c r="N213" s="21" t="n">
        <f aca="false">ROUND(SQRT((F213*J213/100)^2+(G213*M213)^2),0)</f>
        <v>39</v>
      </c>
      <c r="P213" s="41" t="n">
        <v>-0.681939396407586</v>
      </c>
      <c r="Q213" s="42" t="n">
        <v>1031.87135142825</v>
      </c>
      <c r="R213" s="43" t="n">
        <f aca="false">MAX(0,MIN(1,P213/100+$D$5))</f>
        <v>0.531006300699684</v>
      </c>
      <c r="S213" s="43" t="n">
        <v>0.0608302283160348</v>
      </c>
      <c r="T213" s="44" t="s">
        <v>99</v>
      </c>
    </row>
    <row r="214" customFormat="false" ht="15" hidden="false" customHeight="false" outlineLevel="0" collapsed="false">
      <c r="A214" s="38" t="s">
        <v>157</v>
      </c>
      <c r="B214" s="38" t="s">
        <v>324</v>
      </c>
      <c r="C214" s="38" t="s">
        <v>327</v>
      </c>
      <c r="D214" s="21" t="n">
        <f aca="false">ROUND(Q214*R214,0)</f>
        <v>601</v>
      </c>
      <c r="E214" s="21" t="n">
        <f aca="false">ROUND(Q214,0)-D214</f>
        <v>401</v>
      </c>
      <c r="F214" s="21" t="n">
        <f aca="false">IF(COUNTA(D214:E214)=0,"",SUM(D214:E214))</f>
        <v>1002</v>
      </c>
      <c r="G214" s="39" t="n">
        <f aca="false">IF(OR(F214="",F214=0),"",D214/F214)</f>
        <v>0.599800399201597</v>
      </c>
      <c r="H214" s="39" t="n">
        <f aca="false">IF(OR(F214="",F214=0),"",E214/F214)</f>
        <v>0.400199600798403</v>
      </c>
      <c r="I214" s="38" t="s">
        <v>89</v>
      </c>
      <c r="J214" s="40" t="n">
        <v>2.0110742867014</v>
      </c>
      <c r="K214" s="39" t="n">
        <f aca="false">IF(G214="","",MAX(0,G214-J214/100))</f>
        <v>0.579689656334583</v>
      </c>
      <c r="L214" s="39" t="n">
        <f aca="false">IF(G214="","",MIN(1,G214+J214/100))</f>
        <v>0.619911142068611</v>
      </c>
      <c r="M214" s="21" t="n">
        <f aca="false">ROUND(Q214*S214,0)</f>
        <v>61</v>
      </c>
      <c r="N214" s="21" t="n">
        <f aca="false">ROUND(SQRT((F214*J214/100)^2+(G214*M214)^2),0)</f>
        <v>42</v>
      </c>
      <c r="P214" s="41" t="n">
        <v>6.200244519712</v>
      </c>
      <c r="Q214" s="42" t="n">
        <v>1002.11147105126</v>
      </c>
      <c r="R214" s="43" t="n">
        <f aca="false">MAX(0,MIN(1,P214/100+$D$5))</f>
        <v>0.59982813986088</v>
      </c>
      <c r="S214" s="43" t="n">
        <v>0.0608302283160348</v>
      </c>
      <c r="T214" s="44" t="s">
        <v>99</v>
      </c>
    </row>
    <row r="215" customFormat="false" ht="15" hidden="false" customHeight="false" outlineLevel="0" collapsed="false">
      <c r="A215" s="38" t="s">
        <v>157</v>
      </c>
      <c r="B215" s="38" t="s">
        <v>324</v>
      </c>
      <c r="C215" s="38" t="s">
        <v>328</v>
      </c>
      <c r="D215" s="21" t="n">
        <f aca="false">ROUND(Q215*R215,0)</f>
        <v>663</v>
      </c>
      <c r="E215" s="21" t="n">
        <f aca="false">ROUND(Q215,0)-D215</f>
        <v>394</v>
      </c>
      <c r="F215" s="21" t="n">
        <f aca="false">IF(COUNTA(D215:E215)=0,"",SUM(D215:E215))</f>
        <v>1057</v>
      </c>
      <c r="G215" s="39" t="n">
        <f aca="false">IF(OR(F215="",F215=0),"",D215/F215)</f>
        <v>0.62724692526017</v>
      </c>
      <c r="H215" s="39" t="n">
        <f aca="false">IF(OR(F215="",F215=0),"",E215/F215)</f>
        <v>0.37275307473983</v>
      </c>
      <c r="I215" s="38" t="s">
        <v>89</v>
      </c>
      <c r="J215" s="40" t="n">
        <v>2.0110742867014</v>
      </c>
      <c r="K215" s="39" t="n">
        <f aca="false">IF(G215="","",MAX(0,G215-J215/100))</f>
        <v>0.607136182393156</v>
      </c>
      <c r="L215" s="39" t="n">
        <f aca="false">IF(G215="","",MIN(1,G215+J215/100))</f>
        <v>0.647357668127184</v>
      </c>
      <c r="M215" s="21" t="n">
        <f aca="false">ROUND(Q215*S215,0)</f>
        <v>64</v>
      </c>
      <c r="N215" s="21" t="n">
        <f aca="false">ROUND(SQRT((F215*J215/100)^2+(G215*M215)^2),0)</f>
        <v>45</v>
      </c>
      <c r="P215" s="41" t="n">
        <v>8.88876839113647</v>
      </c>
      <c r="Q215" s="42" t="n">
        <v>1057.45263767861</v>
      </c>
      <c r="R215" s="43" t="n">
        <f aca="false">MAX(0,MIN(1,P215/100+$D$5))</f>
        <v>0.626713378575124</v>
      </c>
      <c r="S215" s="43" t="n">
        <v>0.0608302283160348</v>
      </c>
      <c r="T215" s="44" t="s">
        <v>99</v>
      </c>
    </row>
    <row r="216" customFormat="false" ht="15" hidden="false" customHeight="false" outlineLevel="0" collapsed="false">
      <c r="A216" s="38" t="s">
        <v>157</v>
      </c>
      <c r="B216" s="38" t="s">
        <v>324</v>
      </c>
      <c r="C216" s="38" t="s">
        <v>329</v>
      </c>
      <c r="D216" s="21" t="n">
        <f aca="false">ROUND(Q216*R216,0)</f>
        <v>254</v>
      </c>
      <c r="E216" s="21" t="n">
        <f aca="false">ROUND(Q216,0)-D216</f>
        <v>172</v>
      </c>
      <c r="F216" s="21" t="n">
        <f aca="false">IF(COUNTA(D216:E216)=0,"",SUM(D216:E216))</f>
        <v>426</v>
      </c>
      <c r="G216" s="39" t="n">
        <f aca="false">IF(OR(F216="",F216=0),"",D216/F216)</f>
        <v>0.596244131455399</v>
      </c>
      <c r="H216" s="39" t="n">
        <f aca="false">IF(OR(F216="",F216=0),"",E216/F216)</f>
        <v>0.403755868544601</v>
      </c>
      <c r="I216" s="38" t="s">
        <v>89</v>
      </c>
      <c r="J216" s="40" t="n">
        <v>3.09864730606258</v>
      </c>
      <c r="K216" s="39" t="n">
        <f aca="false">IF(G216="","",MAX(0,G216-J216/100))</f>
        <v>0.565257658394773</v>
      </c>
      <c r="L216" s="39" t="n">
        <f aca="false">IF(G216="","",MIN(1,G216+J216/100))</f>
        <v>0.627230604516025</v>
      </c>
      <c r="M216" s="21" t="n">
        <f aca="false">ROUND(Q216*S216,0)</f>
        <v>31</v>
      </c>
      <c r="N216" s="21" t="n">
        <f aca="false">ROUND(SQRT((F216*J216/100)^2+(G216*M216)^2),0)</f>
        <v>23</v>
      </c>
      <c r="P216" s="41" t="n">
        <v>5.9346512051273</v>
      </c>
      <c r="Q216" s="42" t="n">
        <v>426.154789695414</v>
      </c>
      <c r="R216" s="43" t="n">
        <f aca="false">MAX(0,MIN(1,P216/100+$D$5))</f>
        <v>0.597172206715033</v>
      </c>
      <c r="S216" s="43" t="n">
        <v>0.0731122618343653</v>
      </c>
      <c r="T216" s="44" t="s">
        <v>90</v>
      </c>
    </row>
    <row r="217" customFormat="false" ht="15" hidden="false" customHeight="false" outlineLevel="0" collapsed="false">
      <c r="A217" s="38" t="s">
        <v>157</v>
      </c>
      <c r="B217" s="38" t="s">
        <v>324</v>
      </c>
      <c r="C217" s="38" t="s">
        <v>330</v>
      </c>
      <c r="D217" s="21" t="n">
        <f aca="false">ROUND(Q217*R217,0)</f>
        <v>341</v>
      </c>
      <c r="E217" s="21" t="n">
        <f aca="false">ROUND(Q217,0)-D217</f>
        <v>194</v>
      </c>
      <c r="F217" s="21" t="n">
        <f aca="false">IF(COUNTA(D217:E217)=0,"",SUM(D217:E217))</f>
        <v>535</v>
      </c>
      <c r="G217" s="39" t="n">
        <f aca="false">IF(OR(F217="",F217=0),"",D217/F217)</f>
        <v>0.637383177570093</v>
      </c>
      <c r="H217" s="39" t="n">
        <f aca="false">IF(OR(F217="",F217=0),"",E217/F217)</f>
        <v>0.362616822429907</v>
      </c>
      <c r="I217" s="38" t="s">
        <v>89</v>
      </c>
      <c r="J217" s="40" t="n">
        <v>3.09864730606258</v>
      </c>
      <c r="K217" s="39" t="n">
        <f aca="false">IF(G217="","",MAX(0,G217-J217/100))</f>
        <v>0.606396704509468</v>
      </c>
      <c r="L217" s="39" t="n">
        <f aca="false">IF(G217="","",MIN(1,G217+J217/100))</f>
        <v>0.668369650630719</v>
      </c>
      <c r="M217" s="21" t="n">
        <f aca="false">ROUND(Q217*S217,0)</f>
        <v>39</v>
      </c>
      <c r="N217" s="21" t="n">
        <f aca="false">ROUND(SQRT((F217*J217/100)^2+(G217*M217)^2),0)</f>
        <v>30</v>
      </c>
      <c r="P217" s="41" t="n">
        <v>9.88315290862875</v>
      </c>
      <c r="Q217" s="42" t="n">
        <v>534.99874445287</v>
      </c>
      <c r="R217" s="43" t="n">
        <f aca="false">MAX(0,MIN(1,P217/100+$D$5))</f>
        <v>0.636657223750047</v>
      </c>
      <c r="S217" s="43" t="n">
        <v>0.0731122618343653</v>
      </c>
      <c r="T217" s="44" t="s">
        <v>90</v>
      </c>
    </row>
    <row r="218" customFormat="false" ht="15" hidden="false" customHeight="false" outlineLevel="0" collapsed="false">
      <c r="A218" s="38" t="s">
        <v>157</v>
      </c>
      <c r="B218" s="38" t="s">
        <v>324</v>
      </c>
      <c r="C218" s="38" t="s">
        <v>331</v>
      </c>
      <c r="D218" s="21" t="n">
        <f aca="false">ROUND(Q218*R218,0)</f>
        <v>456</v>
      </c>
      <c r="E218" s="21" t="n">
        <f aca="false">ROUND(Q218,0)-D218</f>
        <v>301</v>
      </c>
      <c r="F218" s="21" t="n">
        <f aca="false">IF(COUNTA(D218:E218)=0,"",SUM(D218:E218))</f>
        <v>757</v>
      </c>
      <c r="G218" s="39" t="n">
        <f aca="false">IF(OR(F218="",F218=0),"",D218/F218)</f>
        <v>0.602377807133421</v>
      </c>
      <c r="H218" s="39" t="n">
        <f aca="false">IF(OR(F218="",F218=0),"",E218/F218)</f>
        <v>0.397622192866579</v>
      </c>
      <c r="I218" s="38" t="s">
        <v>89</v>
      </c>
      <c r="J218" s="40" t="n">
        <v>3.09864730606258</v>
      </c>
      <c r="K218" s="39" t="n">
        <f aca="false">IF(G218="","",MAX(0,G218-J218/100))</f>
        <v>0.571391334072796</v>
      </c>
      <c r="L218" s="39" t="n">
        <f aca="false">IF(G218="","",MIN(1,G218+J218/100))</f>
        <v>0.633364280194047</v>
      </c>
      <c r="M218" s="21" t="n">
        <f aca="false">ROUND(Q218*S218,0)</f>
        <v>55</v>
      </c>
      <c r="N218" s="21" t="n">
        <f aca="false">ROUND(SQRT((F218*J218/100)^2+(G218*M218)^2),0)</f>
        <v>41</v>
      </c>
      <c r="P218" s="41" t="n">
        <v>6.45131565212966</v>
      </c>
      <c r="Q218" s="42" t="n">
        <v>756.610033436631</v>
      </c>
      <c r="R218" s="43" t="n">
        <f aca="false">MAX(0,MIN(1,P218/100+$D$5))</f>
        <v>0.602338851185056</v>
      </c>
      <c r="S218" s="43" t="n">
        <v>0.0731122618343653</v>
      </c>
      <c r="T218" s="44" t="s">
        <v>90</v>
      </c>
    </row>
    <row r="219" customFormat="false" ht="15" hidden="false" customHeight="false" outlineLevel="0" collapsed="false">
      <c r="A219" s="38" t="s">
        <v>157</v>
      </c>
      <c r="B219" s="38" t="s">
        <v>324</v>
      </c>
      <c r="C219" s="38" t="s">
        <v>332</v>
      </c>
      <c r="D219" s="21" t="n">
        <f aca="false">ROUND(Q219*R219,0)</f>
        <v>253</v>
      </c>
      <c r="E219" s="21" t="n">
        <f aca="false">ROUND(Q219,0)-D219</f>
        <v>222</v>
      </c>
      <c r="F219" s="21" t="n">
        <f aca="false">IF(COUNTA(D219:E219)=0,"",SUM(D219:E219))</f>
        <v>475</v>
      </c>
      <c r="G219" s="39" t="n">
        <f aca="false">IF(OR(F219="",F219=0),"",D219/F219)</f>
        <v>0.532631578947369</v>
      </c>
      <c r="H219" s="39" t="n">
        <f aca="false">IF(OR(F219="",F219=0),"",E219/F219)</f>
        <v>0.467368421052632</v>
      </c>
      <c r="I219" s="38" t="s">
        <v>89</v>
      </c>
      <c r="J219" s="40" t="n">
        <v>3.09864730606258</v>
      </c>
      <c r="K219" s="39" t="n">
        <f aca="false">IF(G219="","",MAX(0,G219-J219/100))</f>
        <v>0.501645105886743</v>
      </c>
      <c r="L219" s="39" t="n">
        <f aca="false">IF(G219="","",MIN(1,G219+J219/100))</f>
        <v>0.563618052007994</v>
      </c>
      <c r="M219" s="21" t="n">
        <f aca="false">ROUND(Q219*S219,0)</f>
        <v>35</v>
      </c>
      <c r="N219" s="21" t="n">
        <f aca="false">ROUND(SQRT((F219*J219/100)^2+(G219*M219)^2),0)</f>
        <v>24</v>
      </c>
      <c r="P219" s="41" t="n">
        <v>-0.604641325535684</v>
      </c>
      <c r="Q219" s="42" t="n">
        <v>475.091604180269</v>
      </c>
      <c r="R219" s="43" t="n">
        <f aca="false">MAX(0,MIN(1,P219/100+$D$5))</f>
        <v>0.531779281408403</v>
      </c>
      <c r="S219" s="43" t="n">
        <v>0.0731122618343653</v>
      </c>
      <c r="T219" s="44" t="s">
        <v>90</v>
      </c>
    </row>
    <row r="220" customFormat="false" ht="15" hidden="false" customHeight="false" outlineLevel="0" collapsed="false">
      <c r="A220" s="38" t="s">
        <v>157</v>
      </c>
      <c r="B220" s="38" t="s">
        <v>324</v>
      </c>
      <c r="C220" s="38" t="s">
        <v>333</v>
      </c>
      <c r="D220" s="21" t="n">
        <f aca="false">ROUND(Q220*R220,0)</f>
        <v>479</v>
      </c>
      <c r="E220" s="21" t="n">
        <f aca="false">ROUND(Q220,0)-D220</f>
        <v>361</v>
      </c>
      <c r="F220" s="21" t="n">
        <f aca="false">IF(COUNTA(D220:E220)=0,"",SUM(D220:E220))</f>
        <v>840</v>
      </c>
      <c r="G220" s="39" t="n">
        <f aca="false">IF(OR(F220="",F220=0),"",D220/F220)</f>
        <v>0.570238095238095</v>
      </c>
      <c r="H220" s="39" t="n">
        <f aca="false">IF(OR(F220="",F220=0),"",E220/F220)</f>
        <v>0.429761904761905</v>
      </c>
      <c r="I220" s="38" t="s">
        <v>89</v>
      </c>
      <c r="J220" s="40" t="n">
        <v>2.0110742867014</v>
      </c>
      <c r="K220" s="39" t="n">
        <f aca="false">IF(G220="","",MAX(0,G220-J220/100))</f>
        <v>0.550127352371081</v>
      </c>
      <c r="L220" s="39" t="n">
        <f aca="false">IF(G220="","",MIN(1,G220+J220/100))</f>
        <v>0.590348838105109</v>
      </c>
      <c r="M220" s="21" t="n">
        <f aca="false">ROUND(Q220*S220,0)</f>
        <v>51</v>
      </c>
      <c r="N220" s="21" t="n">
        <f aca="false">ROUND(SQRT((F220*J220/100)^2+(G220*M220)^2),0)</f>
        <v>34</v>
      </c>
      <c r="P220" s="41" t="n">
        <v>3.26469009492534</v>
      </c>
      <c r="Q220" s="42" t="n">
        <v>839.882868223877</v>
      </c>
      <c r="R220" s="43" t="n">
        <f aca="false">MAX(0,MIN(1,P220/100+$D$5))</f>
        <v>0.570472595613013</v>
      </c>
      <c r="S220" s="43" t="n">
        <v>0.0608302283160348</v>
      </c>
      <c r="T220" s="44" t="s">
        <v>99</v>
      </c>
    </row>
    <row r="221" customFormat="false" ht="15" hidden="false" customHeight="false" outlineLevel="0" collapsed="false">
      <c r="A221" s="38" t="s">
        <v>157</v>
      </c>
      <c r="B221" s="38" t="s">
        <v>324</v>
      </c>
      <c r="C221" s="38" t="s">
        <v>334</v>
      </c>
      <c r="D221" s="21" t="n">
        <f aca="false">ROUND(Q221*R221,0)</f>
        <v>792</v>
      </c>
      <c r="E221" s="21" t="n">
        <f aca="false">ROUND(Q221,0)-D221</f>
        <v>712</v>
      </c>
      <c r="F221" s="21" t="n">
        <f aca="false">IF(COUNTA(D221:E221)=0,"",SUM(D221:E221))</f>
        <v>1504</v>
      </c>
      <c r="G221" s="39" t="n">
        <f aca="false">IF(OR(F221="",F221=0),"",D221/F221)</f>
        <v>0.526595744680851</v>
      </c>
      <c r="H221" s="39" t="n">
        <f aca="false">IF(OR(F221="",F221=0),"",E221/F221)</f>
        <v>0.473404255319149</v>
      </c>
      <c r="I221" s="38" t="s">
        <v>89</v>
      </c>
      <c r="J221" s="40" t="n">
        <v>1.87006919874525</v>
      </c>
      <c r="K221" s="39" t="n">
        <f aca="false">IF(G221="","",MAX(0,G221-J221/100))</f>
        <v>0.507895052693399</v>
      </c>
      <c r="L221" s="39" t="n">
        <f aca="false">IF(G221="","",MIN(1,G221+J221/100))</f>
        <v>0.545296436668304</v>
      </c>
      <c r="M221" s="21" t="n">
        <f aca="false">ROUND(Q221*S221,0)</f>
        <v>208</v>
      </c>
      <c r="N221" s="21" t="n">
        <f aca="false">ROUND(SQRT((F221*J221/100)^2+(G221*M221)^2),0)</f>
        <v>113</v>
      </c>
      <c r="P221" s="41" t="n">
        <v>-1.1296040473985</v>
      </c>
      <c r="Q221" s="42" t="n">
        <v>1504.45577450503</v>
      </c>
      <c r="R221" s="43" t="n">
        <f aca="false">MAX(0,MIN(1,P221/100+$D$5))</f>
        <v>0.526529654189775</v>
      </c>
      <c r="S221" s="43" t="n">
        <v>0.138178110610255</v>
      </c>
      <c r="T221" s="44" t="s">
        <v>128</v>
      </c>
    </row>
    <row r="222" customFormat="false" ht="15" hidden="false" customHeight="false" outlineLevel="0" collapsed="false">
      <c r="A222" s="38" t="s">
        <v>157</v>
      </c>
      <c r="B222" s="38" t="s">
        <v>324</v>
      </c>
      <c r="C222" s="38" t="s">
        <v>335</v>
      </c>
      <c r="D222" s="21" t="n">
        <f aca="false">ROUND(Q222*R222,0)</f>
        <v>674</v>
      </c>
      <c r="E222" s="21" t="n">
        <f aca="false">ROUND(Q222,0)-D222</f>
        <v>553</v>
      </c>
      <c r="F222" s="21" t="n">
        <f aca="false">IF(COUNTA(D222:E222)=0,"",SUM(D222:E222))</f>
        <v>1227</v>
      </c>
      <c r="G222" s="39" t="n">
        <f aca="false">IF(OR(F222="",F222=0),"",D222/F222)</f>
        <v>0.549307253463733</v>
      </c>
      <c r="H222" s="39" t="n">
        <f aca="false">IF(OR(F222="",F222=0),"",E222/F222)</f>
        <v>0.450692746536267</v>
      </c>
      <c r="I222" s="38" t="s">
        <v>89</v>
      </c>
      <c r="J222" s="40" t="n">
        <v>1.87006919874525</v>
      </c>
      <c r="K222" s="39" t="n">
        <f aca="false">IF(G222="","",MAX(0,G222-J222/100))</f>
        <v>0.53060656147628</v>
      </c>
      <c r="L222" s="39" t="n">
        <f aca="false">IF(G222="","",MIN(1,G222+J222/100))</f>
        <v>0.568007945451185</v>
      </c>
      <c r="M222" s="21" t="n">
        <f aca="false">ROUND(Q222*S222,0)</f>
        <v>170</v>
      </c>
      <c r="N222" s="21" t="n">
        <f aca="false">ROUND(SQRT((F222*J222/100)^2+(G222*M222)^2),0)</f>
        <v>96</v>
      </c>
      <c r="P222" s="41" t="n">
        <v>1.15548500867341</v>
      </c>
      <c r="Q222" s="42" t="n">
        <v>1226.71588079021</v>
      </c>
      <c r="R222" s="43" t="n">
        <f aca="false">MAX(0,MIN(1,P222/100+$D$5))</f>
        <v>0.549380544750494</v>
      </c>
      <c r="S222" s="43" t="n">
        <v>0.138178110610255</v>
      </c>
      <c r="T222" s="44" t="s">
        <v>128</v>
      </c>
    </row>
    <row r="223" customFormat="false" ht="15" hidden="false" customHeight="false" outlineLevel="0" collapsed="false">
      <c r="A223" s="38" t="s">
        <v>157</v>
      </c>
      <c r="B223" s="38" t="s">
        <v>324</v>
      </c>
      <c r="C223" s="38" t="s">
        <v>336</v>
      </c>
      <c r="D223" s="21" t="n">
        <f aca="false">ROUND(Q223*R223,0)</f>
        <v>524</v>
      </c>
      <c r="E223" s="21" t="n">
        <f aca="false">ROUND(Q223,0)-D223</f>
        <v>405</v>
      </c>
      <c r="F223" s="21" t="n">
        <f aca="false">IF(COUNTA(D223:E223)=0,"",SUM(D223:E223))</f>
        <v>929</v>
      </c>
      <c r="G223" s="39" t="n">
        <f aca="false">IF(OR(F223="",F223=0),"",D223/F223)</f>
        <v>0.564047362755651</v>
      </c>
      <c r="H223" s="39" t="n">
        <f aca="false">IF(OR(F223="",F223=0),"",E223/F223)</f>
        <v>0.435952637244349</v>
      </c>
      <c r="I223" s="38" t="s">
        <v>89</v>
      </c>
      <c r="J223" s="40" t="n">
        <v>2.0110742867014</v>
      </c>
      <c r="K223" s="39" t="n">
        <f aca="false">IF(G223="","",MAX(0,G223-J223/100))</f>
        <v>0.543936619888637</v>
      </c>
      <c r="L223" s="39" t="n">
        <f aca="false">IF(G223="","",MIN(1,G223+J223/100))</f>
        <v>0.584158105622665</v>
      </c>
      <c r="M223" s="21" t="n">
        <f aca="false">ROUND(Q223*S223,0)</f>
        <v>57</v>
      </c>
      <c r="N223" s="21" t="n">
        <f aca="false">ROUND(SQRT((F223*J223/100)^2+(G223*M223)^2),0)</f>
        <v>37</v>
      </c>
      <c r="P223" s="41" t="n">
        <v>2.61656231111878</v>
      </c>
      <c r="Q223" s="42" t="n">
        <v>929.497828160536</v>
      </c>
      <c r="R223" s="43" t="n">
        <f aca="false">MAX(0,MIN(1,P223/100+$D$5))</f>
        <v>0.563991317774948</v>
      </c>
      <c r="S223" s="43" t="n">
        <v>0.0608302283160348</v>
      </c>
      <c r="T223" s="44" t="s">
        <v>99</v>
      </c>
    </row>
    <row r="224" customFormat="false" ht="15" hidden="false" customHeight="false" outlineLevel="0" collapsed="false">
      <c r="A224" s="38" t="s">
        <v>337</v>
      </c>
      <c r="B224" s="38" t="s">
        <v>338</v>
      </c>
      <c r="C224" s="38" t="s">
        <v>339</v>
      </c>
      <c r="D224" s="21" t="n">
        <f aca="false">ROUND(Q224*R224,0)</f>
        <v>465</v>
      </c>
      <c r="E224" s="21" t="n">
        <f aca="false">ROUND(Q224,0)-D224</f>
        <v>864</v>
      </c>
      <c r="F224" s="21" t="n">
        <f aca="false">IF(COUNTA(D224:E224)=0,"",SUM(D224:E224))</f>
        <v>1329</v>
      </c>
      <c r="G224" s="39" t="n">
        <f aca="false">IF(OR(F224="",F224=0),"",D224/F224)</f>
        <v>0.349887133182844</v>
      </c>
      <c r="H224" s="39" t="n">
        <f aca="false">IF(OR(F224="",F224=0),"",E224/F224)</f>
        <v>0.650112866817156</v>
      </c>
      <c r="I224" s="38" t="s">
        <v>89</v>
      </c>
      <c r="J224" s="40" t="n">
        <v>1.87006919874525</v>
      </c>
      <c r="K224" s="39" t="n">
        <f aca="false">IF(G224="","",MAX(0,G224-J224/100))</f>
        <v>0.331186441195392</v>
      </c>
      <c r="L224" s="39" t="n">
        <f aca="false">IF(G224="","",MIN(1,G224+J224/100))</f>
        <v>0.368587825170297</v>
      </c>
      <c r="M224" s="21" t="n">
        <f aca="false">ROUND(Q224*S224,0)</f>
        <v>184</v>
      </c>
      <c r="N224" s="21" t="n">
        <f aca="false">ROUND(SQRT((F224*J224/100)^2+(G224*M224)^2),0)</f>
        <v>69</v>
      </c>
      <c r="P224" s="41" t="n">
        <v>-18.8178660360381</v>
      </c>
      <c r="Q224" s="42" t="n">
        <v>1329.25316025177</v>
      </c>
      <c r="R224" s="43" t="n">
        <f aca="false">MAX(0,MIN(1,P224/100+$D$5))</f>
        <v>0.349647034303379</v>
      </c>
      <c r="S224" s="43" t="n">
        <v>0.138178110610255</v>
      </c>
      <c r="T224" s="44" t="s">
        <v>128</v>
      </c>
    </row>
    <row r="225" customFormat="false" ht="15" hidden="false" customHeight="false" outlineLevel="0" collapsed="false">
      <c r="A225" s="38" t="s">
        <v>337</v>
      </c>
      <c r="B225" s="38" t="s">
        <v>340</v>
      </c>
      <c r="C225" s="38" t="s">
        <v>341</v>
      </c>
      <c r="D225" s="21" t="n">
        <f aca="false">ROUND(Q225*R225,0)</f>
        <v>1286</v>
      </c>
      <c r="E225" s="21" t="n">
        <f aca="false">ROUND(Q225,0)-D225</f>
        <v>2138</v>
      </c>
      <c r="F225" s="21" t="n">
        <f aca="false">IF(COUNTA(D225:E225)=0,"",SUM(D225:E225))</f>
        <v>3424</v>
      </c>
      <c r="G225" s="39" t="n">
        <f aca="false">IF(OR(F225="",F225=0),"",D225/F225)</f>
        <v>0.375584112149533</v>
      </c>
      <c r="H225" s="39" t="n">
        <f aca="false">IF(OR(F225="",F225=0),"",E225/F225)</f>
        <v>0.624415887850467</v>
      </c>
      <c r="I225" s="38" t="s">
        <v>89</v>
      </c>
      <c r="J225" s="40" t="n">
        <v>1.87006919874525</v>
      </c>
      <c r="K225" s="39" t="n">
        <f aca="false">IF(G225="","",MAX(0,G225-J225/100))</f>
        <v>0.35688342016208</v>
      </c>
      <c r="L225" s="39" t="n">
        <f aca="false">IF(G225="","",MIN(1,G225+J225/100))</f>
        <v>0.394284804136985</v>
      </c>
      <c r="M225" s="21" t="n">
        <f aca="false">ROUND(Q225*S225,0)</f>
        <v>473</v>
      </c>
      <c r="N225" s="21" t="n">
        <f aca="false">ROUND(SQRT((F225*J225/100)^2+(G225*M225)^2),0)</f>
        <v>189</v>
      </c>
      <c r="P225" s="41" t="n">
        <v>-16.2286153300672</v>
      </c>
      <c r="Q225" s="42" t="n">
        <v>3424.45696135906</v>
      </c>
      <c r="R225" s="43" t="n">
        <f aca="false">MAX(0,MIN(1,P225/100+$D$5))</f>
        <v>0.375539541363088</v>
      </c>
      <c r="S225" s="43" t="n">
        <v>0.138178110610255</v>
      </c>
      <c r="T225" s="44" t="s">
        <v>128</v>
      </c>
    </row>
    <row r="226" customFormat="false" ht="15" hidden="false" customHeight="false" outlineLevel="0" collapsed="false">
      <c r="A226" s="38" t="s">
        <v>337</v>
      </c>
      <c r="B226" s="38" t="s">
        <v>342</v>
      </c>
      <c r="C226" s="38" t="s">
        <v>343</v>
      </c>
      <c r="D226" s="21" t="n">
        <f aca="false">ROUND(Q226*R226,0)</f>
        <v>486</v>
      </c>
      <c r="E226" s="21" t="n">
        <f aca="false">ROUND(Q226,0)-D226</f>
        <v>767</v>
      </c>
      <c r="F226" s="21" t="n">
        <f aca="false">IF(COUNTA(D226:E226)=0,"",SUM(D226:E226))</f>
        <v>1253</v>
      </c>
      <c r="G226" s="39" t="n">
        <f aca="false">IF(OR(F226="",F226=0),"",D226/F226)</f>
        <v>0.387869114126097</v>
      </c>
      <c r="H226" s="39" t="n">
        <f aca="false">IF(OR(F226="",F226=0),"",E226/F226)</f>
        <v>0.612130885873903</v>
      </c>
      <c r="I226" s="38" t="s">
        <v>89</v>
      </c>
      <c r="J226" s="40" t="n">
        <v>1.87006919874525</v>
      </c>
      <c r="K226" s="39" t="n">
        <f aca="false">IF(G226="","",MAX(0,G226-J226/100))</f>
        <v>0.369168422138645</v>
      </c>
      <c r="L226" s="39" t="n">
        <f aca="false">IF(G226="","",MIN(1,G226+J226/100))</f>
        <v>0.40656980611355</v>
      </c>
      <c r="M226" s="21" t="n">
        <f aca="false">ROUND(Q226*S226,0)</f>
        <v>173</v>
      </c>
      <c r="N226" s="21" t="n">
        <f aca="false">ROUND(SQRT((F226*J226/100)^2+(G226*M226)^2),0)</f>
        <v>71</v>
      </c>
      <c r="P226" s="41" t="n">
        <v>-15.0105144634359</v>
      </c>
      <c r="Q226" s="42" t="n">
        <v>1252.80729673255</v>
      </c>
      <c r="R226" s="43" t="n">
        <f aca="false">MAX(0,MIN(1,P226/100+$D$5))</f>
        <v>0.387720550029401</v>
      </c>
      <c r="S226" s="43" t="n">
        <v>0.138178110610255</v>
      </c>
      <c r="T226" s="44" t="s">
        <v>128</v>
      </c>
    </row>
    <row r="227" customFormat="false" ht="15" hidden="false" customHeight="false" outlineLevel="0" collapsed="false">
      <c r="A227" s="38" t="s">
        <v>344</v>
      </c>
      <c r="B227" s="38" t="s">
        <v>345</v>
      </c>
      <c r="C227" s="38" t="s">
        <v>346</v>
      </c>
      <c r="D227" s="21" t="n">
        <f aca="false">ROUND(Q227*R227,0)</f>
        <v>674</v>
      </c>
      <c r="E227" s="21" t="n">
        <f aca="false">ROUND(Q227,0)-D227</f>
        <v>808</v>
      </c>
      <c r="F227" s="21" t="n">
        <f aca="false">IF(COUNTA(D227:E227)=0,"",SUM(D227:E227))</f>
        <v>1482</v>
      </c>
      <c r="G227" s="39" t="n">
        <f aca="false">IF(OR(F227="",F227=0),"",D227/F227)</f>
        <v>0.454790823211876</v>
      </c>
      <c r="H227" s="39" t="n">
        <f aca="false">IF(OR(F227="",F227=0),"",E227/F227)</f>
        <v>0.545209176788124</v>
      </c>
      <c r="I227" s="38" t="s">
        <v>89</v>
      </c>
      <c r="J227" s="40" t="n">
        <v>1.87006919874525</v>
      </c>
      <c r="K227" s="39" t="n">
        <f aca="false">IF(G227="","",MAX(0,G227-J227/100))</f>
        <v>0.436090131224423</v>
      </c>
      <c r="L227" s="39" t="n">
        <f aca="false">IF(G227="","",MIN(1,G227+J227/100))</f>
        <v>0.473491515199328</v>
      </c>
      <c r="M227" s="21" t="n">
        <f aca="false">ROUND(Q227*S227,0)</f>
        <v>205</v>
      </c>
      <c r="N227" s="21" t="n">
        <f aca="false">ROUND(SQRT((F227*J227/100)^2+(G227*M227)^2),0)</f>
        <v>97</v>
      </c>
      <c r="P227" s="41" t="n">
        <v>-8.3077535843263</v>
      </c>
      <c r="Q227" s="42" t="n">
        <v>1481.66953186474</v>
      </c>
      <c r="R227" s="43" t="n">
        <f aca="false">MAX(0,MIN(1,P227/100+$D$5))</f>
        <v>0.454748158820497</v>
      </c>
      <c r="S227" s="43" t="n">
        <v>0.138178110610255</v>
      </c>
      <c r="T227" s="44" t="s">
        <v>128</v>
      </c>
    </row>
    <row r="228" customFormat="false" ht="15" hidden="false" customHeight="false" outlineLevel="0" collapsed="false">
      <c r="A228" s="38" t="s">
        <v>344</v>
      </c>
      <c r="B228" s="38" t="s">
        <v>345</v>
      </c>
      <c r="C228" s="38" t="s">
        <v>347</v>
      </c>
      <c r="D228" s="21" t="n">
        <f aca="false">ROUND(Q228*R228,0)</f>
        <v>733</v>
      </c>
      <c r="E228" s="21" t="n">
        <f aca="false">ROUND(Q228,0)-D228</f>
        <v>706</v>
      </c>
      <c r="F228" s="21" t="n">
        <f aca="false">IF(COUNTA(D228:E228)=0,"",SUM(D228:E228))</f>
        <v>1439</v>
      </c>
      <c r="G228" s="39" t="n">
        <f aca="false">IF(OR(F228="",F228=0),"",D228/F228)</f>
        <v>0.509381514940931</v>
      </c>
      <c r="H228" s="39" t="n">
        <f aca="false">IF(OR(F228="",F228=0),"",E228/F228)</f>
        <v>0.490618485059069</v>
      </c>
      <c r="I228" s="38" t="s">
        <v>89</v>
      </c>
      <c r="J228" s="40" t="n">
        <v>1.87006919874525</v>
      </c>
      <c r="K228" s="39" t="n">
        <f aca="false">IF(G228="","",MAX(0,G228-J228/100))</f>
        <v>0.490680822953479</v>
      </c>
      <c r="L228" s="39" t="n">
        <f aca="false">IF(G228="","",MIN(1,G228+J228/100))</f>
        <v>0.528082206928384</v>
      </c>
      <c r="M228" s="21" t="n">
        <f aca="false">ROUND(Q228*S228,0)</f>
        <v>199</v>
      </c>
      <c r="N228" s="21" t="n">
        <f aca="false">ROUND(SQRT((F228*J228/100)^2+(G228*M228)^2),0)</f>
        <v>105</v>
      </c>
      <c r="P228" s="41" t="n">
        <v>-2.87955778195586</v>
      </c>
      <c r="Q228" s="42" t="n">
        <v>1439.34495448505</v>
      </c>
      <c r="R228" s="43" t="n">
        <f aca="false">MAX(0,MIN(1,P228/100+$D$5))</f>
        <v>0.509030116844201</v>
      </c>
      <c r="S228" s="43" t="n">
        <v>0.138178110610255</v>
      </c>
      <c r="T228" s="44" t="s">
        <v>128</v>
      </c>
    </row>
    <row r="229" customFormat="false" ht="15" hidden="false" customHeight="false" outlineLevel="0" collapsed="false">
      <c r="A229" s="38" t="s">
        <v>344</v>
      </c>
      <c r="B229" s="38" t="s">
        <v>348</v>
      </c>
      <c r="C229" s="38" t="s">
        <v>349</v>
      </c>
      <c r="D229" s="21" t="n">
        <f aca="false">ROUND(Q229*R229,0)</f>
        <v>457</v>
      </c>
      <c r="E229" s="21" t="n">
        <f aca="false">ROUND(Q229,0)-D229</f>
        <v>593</v>
      </c>
      <c r="F229" s="21" t="n">
        <f aca="false">IF(COUNTA(D229:E229)=0,"",SUM(D229:E229))</f>
        <v>1050</v>
      </c>
      <c r="G229" s="39" t="n">
        <f aca="false">IF(OR(F229="",F229=0),"",D229/F229)</f>
        <v>0.435238095238095</v>
      </c>
      <c r="H229" s="39" t="n">
        <f aca="false">IF(OR(F229="",F229=0),"",E229/F229)</f>
        <v>0.564761904761905</v>
      </c>
      <c r="I229" s="38" t="s">
        <v>191</v>
      </c>
      <c r="J229" s="40" t="n">
        <v>2.0110742867014</v>
      </c>
      <c r="K229" s="39" t="n">
        <f aca="false">IF(G229="","",MAX(0,G229-J229/100))</f>
        <v>0.415127352371081</v>
      </c>
      <c r="L229" s="39" t="n">
        <f aca="false">IF(G229="","",MIN(1,G229+J229/100))</f>
        <v>0.455348838105109</v>
      </c>
      <c r="M229" s="21" t="n">
        <f aca="false">ROUND(Q229*S229,0)</f>
        <v>64</v>
      </c>
      <c r="N229" s="21" t="n">
        <f aca="false">ROUND(SQRT((F229*J229/100)^2+(G229*M229)^2),0)</f>
        <v>35</v>
      </c>
      <c r="P229" s="41" t="n">
        <v>-10.2432832870826</v>
      </c>
      <c r="Q229" s="42" t="n">
        <v>1050.18584358787</v>
      </c>
      <c r="R229" s="43" t="n">
        <f aca="false">MAX(0,MIN(1,P229/100+$D$5))</f>
        <v>0.435392861792933</v>
      </c>
      <c r="S229" s="43" t="n">
        <v>0.0608302283160348</v>
      </c>
      <c r="T229" s="44" t="s">
        <v>99</v>
      </c>
    </row>
    <row r="230" customFormat="false" ht="15" hidden="false" customHeight="false" outlineLevel="0" collapsed="false">
      <c r="A230" s="38" t="s">
        <v>344</v>
      </c>
      <c r="B230" s="38" t="s">
        <v>348</v>
      </c>
      <c r="C230" s="38" t="s">
        <v>350</v>
      </c>
      <c r="D230" s="21" t="n">
        <f aca="false">ROUND(Q230*R230,0)</f>
        <v>501</v>
      </c>
      <c r="E230" s="21" t="n">
        <f aca="false">ROUND(Q230,0)-D230</f>
        <v>619</v>
      </c>
      <c r="F230" s="21" t="n">
        <f aca="false">IF(COUNTA(D230:E230)=0,"",SUM(D230:E230))</f>
        <v>1120</v>
      </c>
      <c r="G230" s="39" t="n">
        <f aca="false">IF(OR(F230="",F230=0),"",D230/F230)</f>
        <v>0.447321428571429</v>
      </c>
      <c r="H230" s="39" t="n">
        <f aca="false">IF(OR(F230="",F230=0),"",E230/F230)</f>
        <v>0.552678571428572</v>
      </c>
      <c r="I230" s="38" t="s">
        <v>191</v>
      </c>
      <c r="J230" s="40" t="n">
        <v>2.0110742867014</v>
      </c>
      <c r="K230" s="39" t="n">
        <f aca="false">IF(G230="","",MAX(0,G230-J230/100))</f>
        <v>0.427210685704415</v>
      </c>
      <c r="L230" s="39" t="n">
        <f aca="false">IF(G230="","",MIN(1,G230+J230/100))</f>
        <v>0.467432171438443</v>
      </c>
      <c r="M230" s="21" t="n">
        <f aca="false">ROUND(Q230*S230,0)</f>
        <v>68</v>
      </c>
      <c r="N230" s="21" t="n">
        <f aca="false">ROUND(SQRT((F230*J230/100)^2+(G230*M230)^2),0)</f>
        <v>38</v>
      </c>
      <c r="P230" s="41" t="n">
        <v>-9.09422173006184</v>
      </c>
      <c r="Q230" s="42" t="n">
        <v>1120.45305492788</v>
      </c>
      <c r="R230" s="43" t="n">
        <f aca="false">MAX(0,MIN(1,P230/100+$D$5))</f>
        <v>0.446883477363141</v>
      </c>
      <c r="S230" s="43" t="n">
        <v>0.0608302283160348</v>
      </c>
      <c r="T230" s="44" t="s">
        <v>99</v>
      </c>
    </row>
    <row r="231" customFormat="false" ht="15" hidden="false" customHeight="false" outlineLevel="0" collapsed="false">
      <c r="A231" s="38" t="s">
        <v>344</v>
      </c>
      <c r="B231" s="38" t="s">
        <v>351</v>
      </c>
      <c r="C231" s="38" t="s">
        <v>352</v>
      </c>
      <c r="D231" s="21" t="n">
        <f aca="false">ROUND(Q231*R231,0)</f>
        <v>555</v>
      </c>
      <c r="E231" s="21" t="n">
        <f aca="false">ROUND(Q231,0)-D231</f>
        <v>522</v>
      </c>
      <c r="F231" s="21" t="n">
        <f aca="false">IF(COUNTA(D231:E231)=0,"",SUM(D231:E231))</f>
        <v>1077</v>
      </c>
      <c r="G231" s="39" t="n">
        <f aca="false">IF(OR(F231="",F231=0),"",D231/F231)</f>
        <v>0.515320334261838</v>
      </c>
      <c r="H231" s="39" t="n">
        <f aca="false">IF(OR(F231="",F231=0),"",E231/F231)</f>
        <v>0.484679665738162</v>
      </c>
      <c r="I231" s="38" t="s">
        <v>89</v>
      </c>
      <c r="J231" s="40" t="n">
        <v>2.0110742867014</v>
      </c>
      <c r="K231" s="39" t="n">
        <f aca="false">IF(G231="","",MAX(0,G231-J231/100))</f>
        <v>0.495209591394824</v>
      </c>
      <c r="L231" s="39" t="n">
        <f aca="false">IF(G231="","",MIN(1,G231+J231/100))</f>
        <v>0.535431077128852</v>
      </c>
      <c r="M231" s="21" t="n">
        <f aca="false">ROUND(Q231*S231,0)</f>
        <v>66</v>
      </c>
      <c r="N231" s="21" t="n">
        <f aca="false">ROUND(SQRT((F231*J231/100)^2+(G231*M231)^2),0)</f>
        <v>40</v>
      </c>
      <c r="P231" s="41" t="n">
        <v>-2.24156309299124</v>
      </c>
      <c r="Q231" s="42" t="n">
        <v>1077.11313500222</v>
      </c>
      <c r="R231" s="43" t="n">
        <f aca="false">MAX(0,MIN(1,P231/100+$D$5))</f>
        <v>0.515410063733847</v>
      </c>
      <c r="S231" s="43" t="n">
        <v>0.0608302283160348</v>
      </c>
      <c r="T231" s="44" t="s">
        <v>99</v>
      </c>
    </row>
    <row r="232" customFormat="false" ht="15" hidden="false" customHeight="false" outlineLevel="0" collapsed="false">
      <c r="A232" s="38" t="s">
        <v>344</v>
      </c>
      <c r="B232" s="38" t="s">
        <v>219</v>
      </c>
      <c r="C232" s="38" t="s">
        <v>353</v>
      </c>
      <c r="D232" s="21" t="n">
        <f aca="false">ROUND(Q232*R232,0)</f>
        <v>677</v>
      </c>
      <c r="E232" s="21" t="n">
        <f aca="false">ROUND(Q232,0)-D232</f>
        <v>348</v>
      </c>
      <c r="F232" s="21" t="n">
        <f aca="false">IF(COUNTA(D232:E232)=0,"",SUM(D232:E232))</f>
        <v>1025</v>
      </c>
      <c r="G232" s="39" t="n">
        <f aca="false">IF(OR(F232="",F232=0),"",D232/F232)</f>
        <v>0.660487804878049</v>
      </c>
      <c r="H232" s="39" t="n">
        <f aca="false">IF(OR(F232="",F232=0),"",E232/F232)</f>
        <v>0.339512195121951</v>
      </c>
      <c r="I232" s="38" t="s">
        <v>89</v>
      </c>
      <c r="J232" s="40" t="n">
        <v>2.0110742867014</v>
      </c>
      <c r="K232" s="39" t="n">
        <f aca="false">IF(G232="","",MAX(0,G232-J232/100))</f>
        <v>0.640377062011035</v>
      </c>
      <c r="L232" s="39" t="n">
        <f aca="false">IF(G232="","",MIN(1,G232+J232/100))</f>
        <v>0.680598547745063</v>
      </c>
      <c r="M232" s="21" t="n">
        <f aca="false">ROUND(Q232*S232,0)</f>
        <v>62</v>
      </c>
      <c r="N232" s="21" t="n">
        <f aca="false">ROUND(SQRT((F232*J232/100)^2+(G232*M232)^2),0)</f>
        <v>46</v>
      </c>
      <c r="P232" s="41" t="n">
        <v>12.2741981960474</v>
      </c>
      <c r="Q232" s="42" t="n">
        <v>1025.47250029329</v>
      </c>
      <c r="R232" s="43" t="n">
        <f aca="false">MAX(0,MIN(1,P232/100+$D$5))</f>
        <v>0.660567676624234</v>
      </c>
      <c r="S232" s="43" t="n">
        <v>0.0608302283160348</v>
      </c>
      <c r="T232" s="44" t="s">
        <v>99</v>
      </c>
    </row>
    <row r="233" customFormat="false" ht="15" hidden="false" customHeight="false" outlineLevel="0" collapsed="false">
      <c r="A233" s="38" t="s">
        <v>344</v>
      </c>
      <c r="B233" s="38" t="s">
        <v>219</v>
      </c>
      <c r="C233" s="38" t="s">
        <v>354</v>
      </c>
      <c r="D233" s="21" t="n">
        <f aca="false">ROUND(Q233*R233,0)</f>
        <v>952</v>
      </c>
      <c r="E233" s="21" t="n">
        <f aca="false">ROUND(Q233,0)-D233</f>
        <v>557</v>
      </c>
      <c r="F233" s="21" t="n">
        <f aca="false">IF(COUNTA(D233:E233)=0,"",SUM(D233:E233))</f>
        <v>1509</v>
      </c>
      <c r="G233" s="39" t="n">
        <f aca="false">IF(OR(F233="",F233=0),"",D233/F233)</f>
        <v>0.630881378396289</v>
      </c>
      <c r="H233" s="39" t="n">
        <f aca="false">IF(OR(F233="",F233=0),"",E233/F233)</f>
        <v>0.369118621603711</v>
      </c>
      <c r="I233" s="38" t="s">
        <v>89</v>
      </c>
      <c r="J233" s="40" t="n">
        <v>1.87006919874525</v>
      </c>
      <c r="K233" s="39" t="n">
        <f aca="false">IF(G233="","",MAX(0,G233-J233/100))</f>
        <v>0.612180686408836</v>
      </c>
      <c r="L233" s="39" t="n">
        <f aca="false">IF(G233="","",MIN(1,G233+J233/100))</f>
        <v>0.649582070383741</v>
      </c>
      <c r="M233" s="21" t="n">
        <f aca="false">ROUND(Q233*S233,0)</f>
        <v>209</v>
      </c>
      <c r="N233" s="21" t="n">
        <f aca="false">ROUND(SQRT((F233*J233/100)^2+(G233*M233)^2),0)</f>
        <v>135</v>
      </c>
      <c r="P233" s="41" t="n">
        <v>9.26517043810956</v>
      </c>
      <c r="Q233" s="42" t="n">
        <v>1509.29361550407</v>
      </c>
      <c r="R233" s="43" t="n">
        <f aca="false">MAX(0,MIN(1,P233/100+$D$5))</f>
        <v>0.630477399044855</v>
      </c>
      <c r="S233" s="43" t="n">
        <v>0.138178110610255</v>
      </c>
      <c r="T233" s="44" t="s">
        <v>128</v>
      </c>
    </row>
    <row r="234" customFormat="false" ht="15" hidden="false" customHeight="false" outlineLevel="0" collapsed="false">
      <c r="A234" s="38" t="s">
        <v>344</v>
      </c>
      <c r="B234" s="38" t="s">
        <v>219</v>
      </c>
      <c r="C234" s="38" t="s">
        <v>355</v>
      </c>
      <c r="D234" s="21" t="n">
        <f aca="false">ROUND(Q234*R234,0)</f>
        <v>663</v>
      </c>
      <c r="E234" s="21" t="n">
        <f aca="false">ROUND(Q234,0)-D234</f>
        <v>324</v>
      </c>
      <c r="F234" s="21" t="n">
        <f aca="false">IF(COUNTA(D234:E234)=0,"",SUM(D234:E234))</f>
        <v>987</v>
      </c>
      <c r="G234" s="39" t="n">
        <f aca="false">IF(OR(F234="",F234=0),"",D234/F234)</f>
        <v>0.671732522796353</v>
      </c>
      <c r="H234" s="39" t="n">
        <f aca="false">IF(OR(F234="",F234=0),"",E234/F234)</f>
        <v>0.328267477203647</v>
      </c>
      <c r="I234" s="38" t="s">
        <v>89</v>
      </c>
      <c r="J234" s="40" t="n">
        <v>2.0110742867014</v>
      </c>
      <c r="K234" s="39" t="n">
        <f aca="false">IF(G234="","",MAX(0,G234-J234/100))</f>
        <v>0.651621779929339</v>
      </c>
      <c r="L234" s="39" t="n">
        <f aca="false">IF(G234="","",MIN(1,G234+J234/100))</f>
        <v>0.691843265663367</v>
      </c>
      <c r="M234" s="21" t="n">
        <f aca="false">ROUND(Q234*S234,0)</f>
        <v>60</v>
      </c>
      <c r="N234" s="21" t="n">
        <f aca="false">ROUND(SQRT((F234*J234/100)^2+(G234*M234)^2),0)</f>
        <v>45</v>
      </c>
      <c r="P234" s="41" t="n">
        <v>13.4191352557575</v>
      </c>
      <c r="Q234" s="42" t="n">
        <v>987.024919063176</v>
      </c>
      <c r="R234" s="43" t="n">
        <f aca="false">MAX(0,MIN(1,P234/100+$D$5))</f>
        <v>0.672017047221335</v>
      </c>
      <c r="S234" s="43" t="n">
        <v>0.0608302283160348</v>
      </c>
      <c r="T234" s="44" t="s">
        <v>99</v>
      </c>
    </row>
    <row r="235" customFormat="false" ht="15" hidden="false" customHeight="false" outlineLevel="0" collapsed="false">
      <c r="A235" s="38" t="s">
        <v>344</v>
      </c>
      <c r="B235" s="38" t="s">
        <v>219</v>
      </c>
      <c r="C235" s="38" t="s">
        <v>356</v>
      </c>
      <c r="D235" s="21" t="n">
        <f aca="false">ROUND(Q235*R235,0)</f>
        <v>504</v>
      </c>
      <c r="E235" s="21" t="n">
        <f aca="false">ROUND(Q235,0)-D235</f>
        <v>250</v>
      </c>
      <c r="F235" s="21" t="n">
        <f aca="false">IF(COUNTA(D235:E235)=0,"",SUM(D235:E235))</f>
        <v>754</v>
      </c>
      <c r="G235" s="39" t="n">
        <f aca="false">IF(OR(F235="",F235=0),"",D235/F235)</f>
        <v>0.6684350132626</v>
      </c>
      <c r="H235" s="39" t="n">
        <f aca="false">IF(OR(F235="",F235=0),"",E235/F235)</f>
        <v>0.331564986737401</v>
      </c>
      <c r="I235" s="38" t="s">
        <v>89</v>
      </c>
      <c r="J235" s="40" t="n">
        <v>3.09864730606258</v>
      </c>
      <c r="K235" s="39" t="n">
        <f aca="false">IF(G235="","",MAX(0,G235-J235/100))</f>
        <v>0.637448540201974</v>
      </c>
      <c r="L235" s="39" t="n">
        <f aca="false">IF(G235="","",MIN(1,G235+J235/100))</f>
        <v>0.699421486323225</v>
      </c>
      <c r="M235" s="21" t="n">
        <f aca="false">ROUND(Q235*S235,0)</f>
        <v>55</v>
      </c>
      <c r="N235" s="21" t="n">
        <f aca="false">ROUND(SQRT((F235*J235/100)^2+(G235*M235)^2),0)</f>
        <v>44</v>
      </c>
      <c r="P235" s="41" t="n">
        <v>13.0023051079376</v>
      </c>
      <c r="Q235" s="42" t="n">
        <v>754.372208147369</v>
      </c>
      <c r="R235" s="43" t="n">
        <f aca="false">MAX(0,MIN(1,P235/100+$D$5))</f>
        <v>0.667848745743136</v>
      </c>
      <c r="S235" s="43" t="n">
        <v>0.0731122618343653</v>
      </c>
      <c r="T235" s="44" t="s">
        <v>90</v>
      </c>
    </row>
    <row r="236" customFormat="false" ht="15" hidden="false" customHeight="false" outlineLevel="0" collapsed="false">
      <c r="A236" s="38" t="s">
        <v>344</v>
      </c>
      <c r="B236" s="38" t="s">
        <v>219</v>
      </c>
      <c r="C236" s="38" t="s">
        <v>357</v>
      </c>
      <c r="D236" s="21" t="n">
        <f aca="false">ROUND(Q236*R236,0)</f>
        <v>667</v>
      </c>
      <c r="E236" s="21" t="n">
        <f aca="false">ROUND(Q236,0)-D236</f>
        <v>359</v>
      </c>
      <c r="F236" s="21" t="n">
        <f aca="false">IF(COUNTA(D236:E236)=0,"",SUM(D236:E236))</f>
        <v>1026</v>
      </c>
      <c r="G236" s="39" t="n">
        <f aca="false">IF(OR(F236="",F236=0),"",D236/F236)</f>
        <v>0.65009746588694</v>
      </c>
      <c r="H236" s="39" t="n">
        <f aca="false">IF(OR(F236="",F236=0),"",E236/F236)</f>
        <v>0.34990253411306</v>
      </c>
      <c r="I236" s="38" t="s">
        <v>89</v>
      </c>
      <c r="J236" s="40" t="n">
        <v>2.0110742867014</v>
      </c>
      <c r="K236" s="39" t="n">
        <f aca="false">IF(G236="","",MAX(0,G236-J236/100))</f>
        <v>0.629986723019926</v>
      </c>
      <c r="L236" s="39" t="n">
        <f aca="false">IF(G236="","",MIN(1,G236+J236/100))</f>
        <v>0.670208208753954</v>
      </c>
      <c r="M236" s="21" t="n">
        <f aca="false">ROUND(Q236*S236,0)</f>
        <v>62</v>
      </c>
      <c r="N236" s="21" t="n">
        <f aca="false">ROUND(SQRT((F236*J236/100)^2+(G236*M236)^2),0)</f>
        <v>45</v>
      </c>
      <c r="P236" s="41" t="n">
        <v>11.1933330680371</v>
      </c>
      <c r="Q236" s="42" t="n">
        <v>1025.80230962709</v>
      </c>
      <c r="R236" s="43" t="n">
        <f aca="false">MAX(0,MIN(1,P236/100+$D$5))</f>
        <v>0.64975902534413</v>
      </c>
      <c r="S236" s="43" t="n">
        <v>0.0608302283160348</v>
      </c>
      <c r="T236" s="44" t="s">
        <v>99</v>
      </c>
    </row>
    <row r="237" customFormat="false" ht="15" hidden="false" customHeight="false" outlineLevel="0" collapsed="false">
      <c r="A237" s="38" t="s">
        <v>344</v>
      </c>
      <c r="B237" s="38" t="s">
        <v>219</v>
      </c>
      <c r="C237" s="38" t="s">
        <v>358</v>
      </c>
      <c r="D237" s="21" t="n">
        <f aca="false">ROUND(Q237*R237,0)</f>
        <v>824</v>
      </c>
      <c r="E237" s="21" t="n">
        <f aca="false">ROUND(Q237,0)-D237</f>
        <v>422</v>
      </c>
      <c r="F237" s="21" t="n">
        <f aca="false">IF(COUNTA(D237:E237)=0,"",SUM(D237:E237))</f>
        <v>1246</v>
      </c>
      <c r="G237" s="39" t="n">
        <f aca="false">IF(OR(F237="",F237=0),"",D237/F237)</f>
        <v>0.66131621187801</v>
      </c>
      <c r="H237" s="39" t="n">
        <f aca="false">IF(OR(F237="",F237=0),"",E237/F237)</f>
        <v>0.33868378812199</v>
      </c>
      <c r="I237" s="38" t="s">
        <v>89</v>
      </c>
      <c r="J237" s="40" t="n">
        <v>1.87006919874525</v>
      </c>
      <c r="K237" s="39" t="n">
        <f aca="false">IF(G237="","",MAX(0,G237-J237/100))</f>
        <v>0.642615519890557</v>
      </c>
      <c r="L237" s="39" t="n">
        <f aca="false">IF(G237="","",MIN(1,G237+J237/100))</f>
        <v>0.680016903865462</v>
      </c>
      <c r="M237" s="21" t="n">
        <f aca="false">ROUND(Q237*S237,0)</f>
        <v>172</v>
      </c>
      <c r="N237" s="21" t="n">
        <f aca="false">ROUND(SQRT((F237*J237/100)^2+(G237*M237)^2),0)</f>
        <v>116</v>
      </c>
      <c r="P237" s="41" t="n">
        <v>12.3558915678222</v>
      </c>
      <c r="Q237" s="42" t="n">
        <v>1245.58966671972</v>
      </c>
      <c r="R237" s="43" t="n">
        <f aca="false">MAX(0,MIN(1,P237/100+$D$5))</f>
        <v>0.661384610341982</v>
      </c>
      <c r="S237" s="43" t="n">
        <v>0.138178110610255</v>
      </c>
      <c r="T237" s="44" t="s">
        <v>128</v>
      </c>
    </row>
    <row r="238" customFormat="false" ht="15" hidden="false" customHeight="false" outlineLevel="0" collapsed="false">
      <c r="A238" s="38" t="s">
        <v>344</v>
      </c>
      <c r="B238" s="38" t="s">
        <v>219</v>
      </c>
      <c r="C238" s="38" t="s">
        <v>359</v>
      </c>
      <c r="D238" s="21" t="n">
        <f aca="false">ROUND(Q238*R238,0)</f>
        <v>680</v>
      </c>
      <c r="E238" s="21" t="n">
        <f aca="false">ROUND(Q238,0)-D238</f>
        <v>408</v>
      </c>
      <c r="F238" s="21" t="n">
        <f aca="false">IF(COUNTA(D238:E238)=0,"",SUM(D238:E238))</f>
        <v>1088</v>
      </c>
      <c r="G238" s="39" t="n">
        <f aca="false">IF(OR(F238="",F238=0),"",D238/F238)</f>
        <v>0.625</v>
      </c>
      <c r="H238" s="39" t="n">
        <f aca="false">IF(OR(F238="",F238=0),"",E238/F238)</f>
        <v>0.375</v>
      </c>
      <c r="I238" s="38" t="s">
        <v>89</v>
      </c>
      <c r="J238" s="40" t="n">
        <v>2.0110742867014</v>
      </c>
      <c r="K238" s="39" t="n">
        <f aca="false">IF(G238="","",MAX(0,G238-J238/100))</f>
        <v>0.604889257132986</v>
      </c>
      <c r="L238" s="39" t="n">
        <f aca="false">IF(G238="","",MIN(1,G238+J238/100))</f>
        <v>0.645110742867014</v>
      </c>
      <c r="M238" s="21" t="n">
        <f aca="false">ROUND(Q238*S238,0)</f>
        <v>66</v>
      </c>
      <c r="N238" s="21" t="n">
        <f aca="false">ROUND(SQRT((F238*J238/100)^2+(G238*M238)^2),0)</f>
        <v>47</v>
      </c>
      <c r="P238" s="41" t="n">
        <v>8.70751272967181</v>
      </c>
      <c r="Q238" s="42" t="n">
        <v>1088.05393529864</v>
      </c>
      <c r="R238" s="43" t="n">
        <f aca="false">MAX(0,MIN(1,P238/100+$D$5))</f>
        <v>0.624900821960478</v>
      </c>
      <c r="S238" s="43" t="n">
        <v>0.0608302283160348</v>
      </c>
      <c r="T238" s="44" t="s">
        <v>99</v>
      </c>
    </row>
    <row r="239" customFormat="false" ht="15" hidden="false" customHeight="false" outlineLevel="0" collapsed="false">
      <c r="A239" s="38" t="s">
        <v>344</v>
      </c>
      <c r="B239" s="38" t="s">
        <v>219</v>
      </c>
      <c r="C239" s="38" t="s">
        <v>360</v>
      </c>
      <c r="D239" s="21" t="n">
        <f aca="false">ROUND(Q239*R239,0)</f>
        <v>491</v>
      </c>
      <c r="E239" s="21" t="n">
        <f aca="false">ROUND(Q239,0)-D239</f>
        <v>245</v>
      </c>
      <c r="F239" s="21" t="n">
        <f aca="false">IF(COUNTA(D239:E239)=0,"",SUM(D239:E239))</f>
        <v>736</v>
      </c>
      <c r="G239" s="39" t="n">
        <f aca="false">IF(OR(F239="",F239=0),"",D239/F239)</f>
        <v>0.667119565217391</v>
      </c>
      <c r="H239" s="39" t="n">
        <f aca="false">IF(OR(F239="",F239=0),"",E239/F239)</f>
        <v>0.332880434782609</v>
      </c>
      <c r="I239" s="38" t="s">
        <v>89</v>
      </c>
      <c r="J239" s="40" t="n">
        <v>3.09864730606258</v>
      </c>
      <c r="K239" s="39" t="n">
        <f aca="false">IF(G239="","",MAX(0,G239-J239/100))</f>
        <v>0.636133092156766</v>
      </c>
      <c r="L239" s="39" t="n">
        <f aca="false">IF(G239="","",MIN(1,G239+J239/100))</f>
        <v>0.698106038278017</v>
      </c>
      <c r="M239" s="21" t="n">
        <f aca="false">ROUND(Q239*S239,0)</f>
        <v>54</v>
      </c>
      <c r="N239" s="21" t="n">
        <f aca="false">ROUND(SQRT((F239*J239/100)^2+(G239*M239)^2),0)</f>
        <v>43</v>
      </c>
      <c r="P239" s="41" t="n">
        <v>12.8982850681882</v>
      </c>
      <c r="Q239" s="42" t="n">
        <v>736.398092227773</v>
      </c>
      <c r="R239" s="43" t="n">
        <f aca="false">MAX(0,MIN(1,P239/100+$D$5))</f>
        <v>0.666808545345642</v>
      </c>
      <c r="S239" s="43" t="n">
        <v>0.0731122618343653</v>
      </c>
      <c r="T239" s="44" t="s">
        <v>90</v>
      </c>
    </row>
    <row r="240" customFormat="false" ht="15" hidden="false" customHeight="false" outlineLevel="0" collapsed="false">
      <c r="A240" s="38" t="s">
        <v>344</v>
      </c>
      <c r="B240" s="38" t="s">
        <v>219</v>
      </c>
      <c r="C240" s="38" t="s">
        <v>361</v>
      </c>
      <c r="D240" s="21" t="n">
        <f aca="false">ROUND(Q240*R240,0)</f>
        <v>622</v>
      </c>
      <c r="E240" s="21" t="n">
        <f aca="false">ROUND(Q240,0)-D240</f>
        <v>270</v>
      </c>
      <c r="F240" s="21" t="n">
        <f aca="false">IF(COUNTA(D240:E240)=0,"",SUM(D240:E240))</f>
        <v>892</v>
      </c>
      <c r="G240" s="39" t="n">
        <f aca="false">IF(OR(F240="",F240=0),"",D240/F240)</f>
        <v>0.697309417040359</v>
      </c>
      <c r="H240" s="39" t="n">
        <f aca="false">IF(OR(F240="",F240=0),"",E240/F240)</f>
        <v>0.302690582959641</v>
      </c>
      <c r="I240" s="38" t="s">
        <v>89</v>
      </c>
      <c r="J240" s="40" t="n">
        <v>2.0110742867014</v>
      </c>
      <c r="K240" s="39" t="n">
        <f aca="false">IF(G240="","",MAX(0,G240-J240/100))</f>
        <v>0.677198674173345</v>
      </c>
      <c r="L240" s="39" t="n">
        <f aca="false">IF(G240="","",MIN(1,G240+J240/100))</f>
        <v>0.717420159907373</v>
      </c>
      <c r="M240" s="21" t="n">
        <f aca="false">ROUND(Q240*S240,0)</f>
        <v>54</v>
      </c>
      <c r="N240" s="21" t="n">
        <f aca="false">ROUND(SQRT((F240*J240/100)^2+(G240*M240)^2),0)</f>
        <v>42</v>
      </c>
      <c r="P240" s="41" t="n">
        <v>16.0090335468481</v>
      </c>
      <c r="Q240" s="42" t="n">
        <v>891.658833880292</v>
      </c>
      <c r="R240" s="43" t="n">
        <f aca="false">MAX(0,MIN(1,P240/100+$D$5))</f>
        <v>0.697916030132241</v>
      </c>
      <c r="S240" s="43" t="n">
        <v>0.0608302283160348</v>
      </c>
      <c r="T240" s="44" t="s">
        <v>99</v>
      </c>
    </row>
    <row r="241" customFormat="false" ht="15" hidden="false" customHeight="false" outlineLevel="0" collapsed="false">
      <c r="A241" s="38" t="s">
        <v>344</v>
      </c>
      <c r="B241" s="38" t="s">
        <v>219</v>
      </c>
      <c r="C241" s="38" t="s">
        <v>362</v>
      </c>
      <c r="D241" s="21" t="n">
        <f aca="false">ROUND(Q241*R241,0)</f>
        <v>771</v>
      </c>
      <c r="E241" s="21" t="n">
        <f aca="false">ROUND(Q241,0)-D241</f>
        <v>407</v>
      </c>
      <c r="F241" s="21" t="n">
        <f aca="false">IF(COUNTA(D241:E241)=0,"",SUM(D241:E241))</f>
        <v>1178</v>
      </c>
      <c r="G241" s="39" t="n">
        <f aca="false">IF(OR(F241="",F241=0),"",D241/F241)</f>
        <v>0.654499151103565</v>
      </c>
      <c r="H241" s="39" t="n">
        <f aca="false">IF(OR(F241="",F241=0),"",E241/F241)</f>
        <v>0.345500848896435</v>
      </c>
      <c r="I241" s="38" t="s">
        <v>89</v>
      </c>
      <c r="J241" s="40" t="n">
        <v>2.0110742867014</v>
      </c>
      <c r="K241" s="39" t="n">
        <f aca="false">IF(G241="","",MAX(0,G241-J241/100))</f>
        <v>0.634388408236551</v>
      </c>
      <c r="L241" s="39" t="n">
        <f aca="false">IF(G241="","",MIN(1,G241+J241/100))</f>
        <v>0.674609893970579</v>
      </c>
      <c r="M241" s="21" t="n">
        <f aca="false">ROUND(Q241*S241,0)</f>
        <v>72</v>
      </c>
      <c r="N241" s="21" t="n">
        <f aca="false">ROUND(SQRT((F241*J241/100)^2+(G241*M241)^2),0)</f>
        <v>53</v>
      </c>
      <c r="P241" s="41" t="n">
        <v>11.6859294038891</v>
      </c>
      <c r="Q241" s="42" t="n">
        <v>1178.3971868136</v>
      </c>
      <c r="R241" s="43" t="n">
        <f aca="false">MAX(0,MIN(1,P241/100+$D$5))</f>
        <v>0.654684988702651</v>
      </c>
      <c r="S241" s="43" t="n">
        <v>0.0608302283160348</v>
      </c>
      <c r="T241" s="44" t="s">
        <v>99</v>
      </c>
    </row>
    <row r="242" customFormat="false" ht="15" hidden="false" customHeight="false" outlineLevel="0" collapsed="false">
      <c r="A242" s="38" t="s">
        <v>344</v>
      </c>
      <c r="B242" s="38" t="s">
        <v>219</v>
      </c>
      <c r="C242" s="38" t="s">
        <v>363</v>
      </c>
      <c r="D242" s="21" t="n">
        <f aca="false">ROUND(Q242*R242,0)</f>
        <v>473</v>
      </c>
      <c r="E242" s="21" t="n">
        <f aca="false">ROUND(Q242,0)-D242</f>
        <v>178</v>
      </c>
      <c r="F242" s="21" t="n">
        <f aca="false">IF(COUNTA(D242:E242)=0,"",SUM(D242:E242))</f>
        <v>651</v>
      </c>
      <c r="G242" s="39" t="n">
        <f aca="false">IF(OR(F242="",F242=0),"",D242/F242)</f>
        <v>0.726574500768049</v>
      </c>
      <c r="H242" s="39" t="n">
        <f aca="false">IF(OR(F242="",F242=0),"",E242/F242)</f>
        <v>0.273425499231951</v>
      </c>
      <c r="I242" s="38" t="s">
        <v>89</v>
      </c>
      <c r="J242" s="40" t="n">
        <v>3.09864730606258</v>
      </c>
      <c r="K242" s="39" t="n">
        <f aca="false">IF(G242="","",MAX(0,G242-J242/100))</f>
        <v>0.695588027707424</v>
      </c>
      <c r="L242" s="39" t="n">
        <f aca="false">IF(G242="","",MIN(1,G242+J242/100))</f>
        <v>0.757560973828675</v>
      </c>
      <c r="M242" s="21" t="n">
        <f aca="false">ROUND(Q242*S242,0)</f>
        <v>48</v>
      </c>
      <c r="N242" s="21" t="n">
        <f aca="false">ROUND(SQRT((F242*J242/100)^2+(G242*M242)^2),0)</f>
        <v>40</v>
      </c>
      <c r="P242" s="41" t="n">
        <v>18.9135862281778</v>
      </c>
      <c r="Q242" s="42" t="n">
        <v>650.602182815542</v>
      </c>
      <c r="R242" s="43" t="n">
        <f aca="false">MAX(0,MIN(1,P242/100+$D$5))</f>
        <v>0.726961556945538</v>
      </c>
      <c r="S242" s="43" t="n">
        <v>0.0731122618343653</v>
      </c>
      <c r="T242" s="44" t="s">
        <v>90</v>
      </c>
    </row>
    <row r="243" customFormat="false" ht="15" hidden="false" customHeight="false" outlineLevel="0" collapsed="false">
      <c r="A243" s="38" t="s">
        <v>344</v>
      </c>
      <c r="B243" s="38" t="s">
        <v>219</v>
      </c>
      <c r="C243" s="38" t="s">
        <v>364</v>
      </c>
      <c r="D243" s="21" t="n">
        <f aca="false">ROUND(Q243*R243,0)</f>
        <v>588</v>
      </c>
      <c r="E243" s="21" t="n">
        <f aca="false">ROUND(Q243,0)-D243</f>
        <v>305</v>
      </c>
      <c r="F243" s="21" t="n">
        <f aca="false">IF(COUNTA(D243:E243)=0,"",SUM(D243:E243))</f>
        <v>893</v>
      </c>
      <c r="G243" s="39" t="n">
        <f aca="false">IF(OR(F243="",F243=0),"",D243/F243)</f>
        <v>0.658454647256439</v>
      </c>
      <c r="H243" s="39" t="n">
        <f aca="false">IF(OR(F243="",F243=0),"",E243/F243)</f>
        <v>0.341545352743561</v>
      </c>
      <c r="I243" s="38" t="s">
        <v>89</v>
      </c>
      <c r="J243" s="40" t="n">
        <v>2.0110742867014</v>
      </c>
      <c r="K243" s="39" t="n">
        <f aca="false">IF(G243="","",MAX(0,G243-J243/100))</f>
        <v>0.638343904389425</v>
      </c>
      <c r="L243" s="39" t="n">
        <f aca="false">IF(G243="","",MIN(1,G243+J243/100))</f>
        <v>0.678565390123453</v>
      </c>
      <c r="M243" s="21" t="n">
        <f aca="false">ROUND(Q243*S243,0)</f>
        <v>54</v>
      </c>
      <c r="N243" s="21" t="n">
        <f aca="false">ROUND(SQRT((F243*J243/100)^2+(G243*M243)^2),0)</f>
        <v>40</v>
      </c>
      <c r="P243" s="41" t="n">
        <v>12.0211193695615</v>
      </c>
      <c r="Q243" s="42" t="n">
        <v>893.004652960399</v>
      </c>
      <c r="R243" s="43" t="n">
        <f aca="false">MAX(0,MIN(1,P243/100+$D$5))</f>
        <v>0.658036888359375</v>
      </c>
      <c r="S243" s="43" t="n">
        <v>0.0608302283160348</v>
      </c>
      <c r="T243" s="44" t="s">
        <v>99</v>
      </c>
    </row>
    <row r="244" customFormat="false" ht="15" hidden="false" customHeight="false" outlineLevel="0" collapsed="false">
      <c r="A244" s="38" t="s">
        <v>344</v>
      </c>
      <c r="B244" s="38" t="s">
        <v>219</v>
      </c>
      <c r="C244" s="38" t="s">
        <v>365</v>
      </c>
      <c r="D244" s="21" t="n">
        <f aca="false">ROUND(Q244*R244,0)</f>
        <v>138</v>
      </c>
      <c r="E244" s="21" t="n">
        <f aca="false">ROUND(Q244,0)-D244</f>
        <v>49</v>
      </c>
      <c r="F244" s="21" t="n">
        <f aca="false">IF(COUNTA(D244:E244)=0,"",SUM(D244:E244))</f>
        <v>187</v>
      </c>
      <c r="G244" s="39" t="n">
        <f aca="false">IF(OR(F244="",F244=0),"",D244/F244)</f>
        <v>0.737967914438503</v>
      </c>
      <c r="H244" s="39" t="n">
        <f aca="false">IF(OR(F244="",F244=0),"",E244/F244)</f>
        <v>0.262032085561497</v>
      </c>
      <c r="I244" s="38" t="s">
        <v>89</v>
      </c>
      <c r="J244" s="40" t="n">
        <v>3.09864730606258</v>
      </c>
      <c r="K244" s="39" t="n">
        <f aca="false">IF(G244="","",MAX(0,G244-J244/100))</f>
        <v>0.706981441377877</v>
      </c>
      <c r="L244" s="39" t="n">
        <f aca="false">IF(G244="","",MIN(1,G244+J244/100))</f>
        <v>0.768954387499128</v>
      </c>
      <c r="M244" s="21" t="n">
        <f aca="false">ROUND(Q244*S244,0)</f>
        <v>14</v>
      </c>
      <c r="N244" s="21" t="n">
        <f aca="false">ROUND(SQRT((F244*J244/100)^2+(G244*M244)^2),0)</f>
        <v>12</v>
      </c>
      <c r="P244" s="41" t="n">
        <v>19.9194875513715</v>
      </c>
      <c r="Q244" s="42" t="n">
        <v>187.140601239765</v>
      </c>
      <c r="R244" s="43" t="n">
        <f aca="false">MAX(0,MIN(1,P244/100+$D$5))</f>
        <v>0.737020570177475</v>
      </c>
      <c r="S244" s="43" t="n">
        <v>0.0731122618343653</v>
      </c>
      <c r="T244" s="44" t="s">
        <v>90</v>
      </c>
    </row>
    <row r="245" customFormat="false" ht="15" hidden="false" customHeight="false" outlineLevel="0" collapsed="false">
      <c r="A245" s="38" t="s">
        <v>344</v>
      </c>
      <c r="B245" s="38" t="s">
        <v>219</v>
      </c>
      <c r="C245" s="38" t="s">
        <v>366</v>
      </c>
      <c r="D245" s="21" t="n">
        <f aca="false">ROUND(Q245*R245,0)</f>
        <v>302</v>
      </c>
      <c r="E245" s="21" t="n">
        <f aca="false">ROUND(Q245,0)-D245</f>
        <v>95</v>
      </c>
      <c r="F245" s="21" t="n">
        <f aca="false">IF(COUNTA(D245:E245)=0,"",SUM(D245:E245))</f>
        <v>397</v>
      </c>
      <c r="G245" s="39" t="n">
        <f aca="false">IF(OR(F245="",F245=0),"",D245/F245)</f>
        <v>0.760705289672544</v>
      </c>
      <c r="H245" s="39" t="n">
        <f aca="false">IF(OR(F245="",F245=0),"",E245/F245)</f>
        <v>0.239294710327456</v>
      </c>
      <c r="I245" s="38" t="s">
        <v>89</v>
      </c>
      <c r="J245" s="40" t="n">
        <v>3.09864730606258</v>
      </c>
      <c r="K245" s="39" t="n">
        <f aca="false">IF(G245="","",MAX(0,G245-J245/100))</f>
        <v>0.729718816611918</v>
      </c>
      <c r="L245" s="39" t="n">
        <f aca="false">IF(G245="","",MIN(1,G245+J245/100))</f>
        <v>0.79169176273317</v>
      </c>
      <c r="M245" s="21" t="n">
        <f aca="false">ROUND(Q245*S245,0)</f>
        <v>29</v>
      </c>
      <c r="N245" s="21" t="n">
        <f aca="false">ROUND(SQRT((F245*J245/100)^2+(G245*M245)^2),0)</f>
        <v>25</v>
      </c>
      <c r="P245" s="41" t="n">
        <v>22.3030334587725</v>
      </c>
      <c r="Q245" s="42" t="n">
        <v>396.560045906187</v>
      </c>
      <c r="R245" s="43" t="n">
        <f aca="false">MAX(0,MIN(1,P245/100+$D$5))</f>
        <v>0.760856029251485</v>
      </c>
      <c r="S245" s="43" t="n">
        <v>0.0731122618343653</v>
      </c>
      <c r="T245" s="44" t="s">
        <v>90</v>
      </c>
    </row>
    <row r="246" customFormat="false" ht="15" hidden="false" customHeight="false" outlineLevel="0" collapsed="false">
      <c r="A246" s="38" t="s">
        <v>344</v>
      </c>
      <c r="B246" s="38" t="s">
        <v>219</v>
      </c>
      <c r="C246" s="38" t="s">
        <v>367</v>
      </c>
      <c r="D246" s="21" t="n">
        <f aca="false">ROUND(Q246*R246,0)</f>
        <v>254</v>
      </c>
      <c r="E246" s="21" t="n">
        <f aca="false">ROUND(Q246,0)-D246</f>
        <v>88</v>
      </c>
      <c r="F246" s="21" t="n">
        <f aca="false">IF(COUNTA(D246:E246)=0,"",SUM(D246:E246))</f>
        <v>342</v>
      </c>
      <c r="G246" s="39" t="n">
        <f aca="false">IF(OR(F246="",F246=0),"",D246/F246)</f>
        <v>0.742690058479532</v>
      </c>
      <c r="H246" s="39" t="n">
        <f aca="false">IF(OR(F246="",F246=0),"",E246/F246)</f>
        <v>0.257309941520468</v>
      </c>
      <c r="I246" s="38" t="s">
        <v>89</v>
      </c>
      <c r="J246" s="40" t="n">
        <v>3.09864730606258</v>
      </c>
      <c r="K246" s="39" t="n">
        <f aca="false">IF(G246="","",MAX(0,G246-J246/100))</f>
        <v>0.711703585418906</v>
      </c>
      <c r="L246" s="39" t="n">
        <f aca="false">IF(G246="","",MIN(1,G246+J246/100))</f>
        <v>0.773676531540158</v>
      </c>
      <c r="M246" s="21" t="n">
        <f aca="false">ROUND(Q246*S246,0)</f>
        <v>25</v>
      </c>
      <c r="N246" s="21" t="n">
        <f aca="false">ROUND(SQRT((F246*J246/100)^2+(G246*M246)^2),0)</f>
        <v>21</v>
      </c>
      <c r="P246" s="41" t="n">
        <v>20.6759436877495</v>
      </c>
      <c r="Q246" s="42" t="n">
        <v>341.640111648807</v>
      </c>
      <c r="R246" s="43" t="n">
        <f aca="false">MAX(0,MIN(1,P246/100+$D$5))</f>
        <v>0.744585131541254</v>
      </c>
      <c r="S246" s="43" t="n">
        <v>0.0731122618343653</v>
      </c>
      <c r="T246" s="44" t="s">
        <v>90</v>
      </c>
    </row>
    <row r="247" customFormat="false" ht="15" hidden="false" customHeight="false" outlineLevel="0" collapsed="false">
      <c r="A247" s="38" t="s">
        <v>344</v>
      </c>
      <c r="B247" s="38" t="s">
        <v>219</v>
      </c>
      <c r="C247" s="38" t="s">
        <v>368</v>
      </c>
      <c r="D247" s="21" t="n">
        <f aca="false">ROUND(Q247*R247,0)</f>
        <v>372</v>
      </c>
      <c r="E247" s="21" t="n">
        <f aca="false">ROUND(Q247,0)-D247</f>
        <v>106</v>
      </c>
      <c r="F247" s="21" t="n">
        <f aca="false">IF(COUNTA(D247:E247)=0,"",SUM(D247:E247))</f>
        <v>478</v>
      </c>
      <c r="G247" s="39" t="n">
        <f aca="false">IF(OR(F247="",F247=0),"",D247/F247)</f>
        <v>0.778242677824268</v>
      </c>
      <c r="H247" s="39" t="n">
        <f aca="false">IF(OR(F247="",F247=0),"",E247/F247)</f>
        <v>0.221757322175732</v>
      </c>
      <c r="I247" s="38" t="s">
        <v>89</v>
      </c>
      <c r="J247" s="40" t="n">
        <v>3.09864730606258</v>
      </c>
      <c r="K247" s="39" t="n">
        <f aca="false">IF(G247="","",MAX(0,G247-J247/100))</f>
        <v>0.747256204763642</v>
      </c>
      <c r="L247" s="39" t="n">
        <f aca="false">IF(G247="","",MIN(1,G247+J247/100))</f>
        <v>0.809229150884894</v>
      </c>
      <c r="M247" s="21" t="n">
        <f aca="false">ROUND(Q247*S247,0)</f>
        <v>35</v>
      </c>
      <c r="N247" s="21" t="n">
        <f aca="false">ROUND(SQRT((F247*J247/100)^2+(G247*M247)^2),0)</f>
        <v>31</v>
      </c>
      <c r="P247" s="41" t="n">
        <v>24.074044717328</v>
      </c>
      <c r="Q247" s="42" t="n">
        <v>477.983769579378</v>
      </c>
      <c r="R247" s="43" t="n">
        <f aca="false">MAX(0,MIN(1,P247/100+$D$5))</f>
        <v>0.77856614183704</v>
      </c>
      <c r="S247" s="43" t="n">
        <v>0.0731122618343653</v>
      </c>
      <c r="T247" s="44" t="s">
        <v>90</v>
      </c>
    </row>
    <row r="248" customFormat="false" ht="15" hidden="false" customHeight="false" outlineLevel="0" collapsed="false">
      <c r="A248" s="38" t="s">
        <v>344</v>
      </c>
      <c r="B248" s="38" t="s">
        <v>219</v>
      </c>
      <c r="C248" s="38" t="s">
        <v>369</v>
      </c>
      <c r="D248" s="21" t="n">
        <f aca="false">ROUND(Q248*R248,0)</f>
        <v>642</v>
      </c>
      <c r="E248" s="21" t="n">
        <f aca="false">ROUND(Q248,0)-D248</f>
        <v>163</v>
      </c>
      <c r="F248" s="21" t="n">
        <f aca="false">IF(COUNTA(D248:E248)=0,"",SUM(D248:E248))</f>
        <v>805</v>
      </c>
      <c r="G248" s="39" t="n">
        <f aca="false">IF(OR(F248="",F248=0),"",D248/F248)</f>
        <v>0.797515527950311</v>
      </c>
      <c r="H248" s="39" t="n">
        <f aca="false">IF(OR(F248="",F248=0),"",E248/F248)</f>
        <v>0.202484472049689</v>
      </c>
      <c r="I248" s="38" t="s">
        <v>89</v>
      </c>
      <c r="J248" s="40" t="n">
        <v>2.0110742867014</v>
      </c>
      <c r="K248" s="39" t="n">
        <f aca="false">IF(G248="","",MAX(0,G248-J248/100))</f>
        <v>0.777404785083297</v>
      </c>
      <c r="L248" s="39" t="n">
        <f aca="false">IF(G248="","",MIN(1,G248+J248/100))</f>
        <v>0.817626270817325</v>
      </c>
      <c r="M248" s="21" t="n">
        <f aca="false">ROUND(Q248*S248,0)</f>
        <v>49</v>
      </c>
      <c r="N248" s="21" t="n">
        <f aca="false">ROUND(SQRT((F248*J248/100)^2+(G248*M248)^2),0)</f>
        <v>42</v>
      </c>
      <c r="P248" s="41" t="n">
        <v>25.9537151206736</v>
      </c>
      <c r="Q248" s="42" t="n">
        <v>804.79248726686</v>
      </c>
      <c r="R248" s="43" t="n">
        <f aca="false">MAX(0,MIN(1,P248/100+$D$5))</f>
        <v>0.797362845870496</v>
      </c>
      <c r="S248" s="43" t="n">
        <v>0.0608302283160348</v>
      </c>
      <c r="T248" s="44" t="s">
        <v>99</v>
      </c>
    </row>
    <row r="249" customFormat="false" ht="15" hidden="false" customHeight="false" outlineLevel="0" collapsed="false">
      <c r="A249" s="38" t="s">
        <v>344</v>
      </c>
      <c r="B249" s="38" t="s">
        <v>219</v>
      </c>
      <c r="C249" s="38" t="s">
        <v>370</v>
      </c>
      <c r="D249" s="21" t="n">
        <f aca="false">ROUND(Q249*R249,0)</f>
        <v>392</v>
      </c>
      <c r="E249" s="21" t="n">
        <f aca="false">ROUND(Q249,0)-D249</f>
        <v>121</v>
      </c>
      <c r="F249" s="21" t="n">
        <f aca="false">IF(COUNTA(D249:E249)=0,"",SUM(D249:E249))</f>
        <v>513</v>
      </c>
      <c r="G249" s="39" t="n">
        <f aca="false">IF(OR(F249="",F249=0),"",D249/F249)</f>
        <v>0.764132553606238</v>
      </c>
      <c r="H249" s="39" t="n">
        <f aca="false">IF(OR(F249="",F249=0),"",E249/F249)</f>
        <v>0.235867446393762</v>
      </c>
      <c r="I249" s="38" t="s">
        <v>89</v>
      </c>
      <c r="J249" s="40" t="n">
        <v>3.09864730606258</v>
      </c>
      <c r="K249" s="39" t="n">
        <f aca="false">IF(G249="","",MAX(0,G249-J249/100))</f>
        <v>0.733146080545612</v>
      </c>
      <c r="L249" s="39" t="n">
        <f aca="false">IF(G249="","",MIN(1,G249+J249/100))</f>
        <v>0.795119026666864</v>
      </c>
      <c r="M249" s="21" t="n">
        <f aca="false">ROUND(Q249*S249,0)</f>
        <v>37</v>
      </c>
      <c r="N249" s="21" t="n">
        <f aca="false">ROUND(SQRT((F249*J249/100)^2+(G249*M249)^2),0)</f>
        <v>32</v>
      </c>
      <c r="P249" s="41" t="n">
        <v>22.7577246639381</v>
      </c>
      <c r="Q249" s="42" t="n">
        <v>512.737708335314</v>
      </c>
      <c r="R249" s="43" t="n">
        <f aca="false">MAX(0,MIN(1,P249/100+$D$5))</f>
        <v>0.765402941303141</v>
      </c>
      <c r="S249" s="43" t="n">
        <v>0.0731122618343653</v>
      </c>
      <c r="T249" s="44" t="s">
        <v>90</v>
      </c>
    </row>
    <row r="250" customFormat="false" ht="15" hidden="false" customHeight="false" outlineLevel="0" collapsed="false">
      <c r="A250" s="38" t="s">
        <v>344</v>
      </c>
      <c r="B250" s="38" t="s">
        <v>219</v>
      </c>
      <c r="C250" s="38" t="s">
        <v>371</v>
      </c>
      <c r="D250" s="21" t="n">
        <f aca="false">ROUND(Q250*R250,0)</f>
        <v>325</v>
      </c>
      <c r="E250" s="21" t="n">
        <f aca="false">ROUND(Q250,0)-D250</f>
        <v>108</v>
      </c>
      <c r="F250" s="21" t="n">
        <f aca="false">IF(COUNTA(D250:E250)=0,"",SUM(D250:E250))</f>
        <v>433</v>
      </c>
      <c r="G250" s="39" t="n">
        <f aca="false">IF(OR(F250="",F250=0),"",D250/F250)</f>
        <v>0.750577367205543</v>
      </c>
      <c r="H250" s="39" t="n">
        <f aca="false">IF(OR(F250="",F250=0),"",E250/F250)</f>
        <v>0.249422632794457</v>
      </c>
      <c r="I250" s="38" t="s">
        <v>89</v>
      </c>
      <c r="J250" s="40" t="n">
        <v>3.09864730606258</v>
      </c>
      <c r="K250" s="39" t="n">
        <f aca="false">IF(G250="","",MAX(0,G250-J250/100))</f>
        <v>0.719590894144917</v>
      </c>
      <c r="L250" s="39" t="n">
        <f aca="false">IF(G250="","",MIN(1,G250+J250/100))</f>
        <v>0.781563840266168</v>
      </c>
      <c r="M250" s="21" t="n">
        <f aca="false">ROUND(Q250*S250,0)</f>
        <v>32</v>
      </c>
      <c r="N250" s="21" t="n">
        <f aca="false">ROUND(SQRT((F250*J250/100)^2+(G250*M250)^2),0)</f>
        <v>28</v>
      </c>
      <c r="P250" s="41" t="n">
        <v>21.1538525198</v>
      </c>
      <c r="Q250" s="42" t="n">
        <v>433.190814732432</v>
      </c>
      <c r="R250" s="43" t="n">
        <f aca="false">MAX(0,MIN(1,P250/100+$D$5))</f>
        <v>0.74936421986176</v>
      </c>
      <c r="S250" s="43" t="n">
        <v>0.0731122618343653</v>
      </c>
      <c r="T250" s="44" t="s">
        <v>90</v>
      </c>
    </row>
    <row r="251" customFormat="false" ht="15" hidden="false" customHeight="false" outlineLevel="0" collapsed="false">
      <c r="A251" s="38" t="s">
        <v>344</v>
      </c>
      <c r="B251" s="38" t="s">
        <v>219</v>
      </c>
      <c r="C251" s="38" t="s">
        <v>372</v>
      </c>
      <c r="D251" s="21" t="n">
        <f aca="false">ROUND(Q251*R251,0)</f>
        <v>438</v>
      </c>
      <c r="E251" s="21" t="n">
        <f aca="false">ROUND(Q251,0)-D251</f>
        <v>150</v>
      </c>
      <c r="F251" s="21" t="n">
        <f aca="false">IF(COUNTA(D251:E251)=0,"",SUM(D251:E251))</f>
        <v>588</v>
      </c>
      <c r="G251" s="39" t="n">
        <f aca="false">IF(OR(F251="",F251=0),"",D251/F251)</f>
        <v>0.744897959183674</v>
      </c>
      <c r="H251" s="39" t="n">
        <f aca="false">IF(OR(F251="",F251=0),"",E251/F251)</f>
        <v>0.255102040816327</v>
      </c>
      <c r="I251" s="38" t="s">
        <v>89</v>
      </c>
      <c r="J251" s="40" t="n">
        <v>3.09864730606258</v>
      </c>
      <c r="K251" s="39" t="n">
        <f aca="false">IF(G251="","",MAX(0,G251-J251/100))</f>
        <v>0.713911486123048</v>
      </c>
      <c r="L251" s="39" t="n">
        <f aca="false">IF(G251="","",MIN(1,G251+J251/100))</f>
        <v>0.775884432244299</v>
      </c>
      <c r="M251" s="21" t="n">
        <f aca="false">ROUND(Q251*S251,0)</f>
        <v>43</v>
      </c>
      <c r="N251" s="21" t="n">
        <f aca="false">ROUND(SQRT((F251*J251/100)^2+(G251*M251)^2),0)</f>
        <v>37</v>
      </c>
      <c r="P251" s="41" t="n">
        <v>20.6627703590139</v>
      </c>
      <c r="Q251" s="42" t="n">
        <v>588.234805111961</v>
      </c>
      <c r="R251" s="43" t="n">
        <f aca="false">MAX(0,MIN(1,P251/100+$D$5))</f>
        <v>0.744453398253899</v>
      </c>
      <c r="S251" s="43" t="n">
        <v>0.0731122618343653</v>
      </c>
      <c r="T251" s="44" t="s">
        <v>90</v>
      </c>
    </row>
    <row r="252" customFormat="false" ht="15" hidden="false" customHeight="false" outlineLevel="0" collapsed="false">
      <c r="A252" s="38" t="s">
        <v>344</v>
      </c>
      <c r="B252" s="38" t="s">
        <v>219</v>
      </c>
      <c r="C252" s="38" t="s">
        <v>373</v>
      </c>
      <c r="D252" s="21" t="n">
        <f aca="false">ROUND(Q252*R252,0)</f>
        <v>587</v>
      </c>
      <c r="E252" s="21" t="n">
        <f aca="false">ROUND(Q252,0)-D252</f>
        <v>207</v>
      </c>
      <c r="F252" s="21" t="n">
        <f aca="false">IF(COUNTA(D252:E252)=0,"",SUM(D252:E252))</f>
        <v>794</v>
      </c>
      <c r="G252" s="39" t="n">
        <f aca="false">IF(OR(F252="",F252=0),"",D252/F252)</f>
        <v>0.739294710327456</v>
      </c>
      <c r="H252" s="39" t="n">
        <f aca="false">IF(OR(F252="",F252=0),"",E252/F252)</f>
        <v>0.260705289672544</v>
      </c>
      <c r="I252" s="38" t="s">
        <v>89</v>
      </c>
      <c r="J252" s="40" t="n">
        <v>2.0110742867014</v>
      </c>
      <c r="K252" s="39" t="n">
        <f aca="false">IF(G252="","",MAX(0,G252-J252/100))</f>
        <v>0.719183967460442</v>
      </c>
      <c r="L252" s="39" t="n">
        <f aca="false">IF(G252="","",MIN(1,G252+J252/100))</f>
        <v>0.75940545319447</v>
      </c>
      <c r="M252" s="21" t="n">
        <f aca="false">ROUND(Q252*S252,0)</f>
        <v>48</v>
      </c>
      <c r="N252" s="21" t="n">
        <f aca="false">ROUND(SQRT((F252*J252/100)^2+(G252*M252)^2),0)</f>
        <v>39</v>
      </c>
      <c r="P252" s="41" t="n">
        <v>20.1939790035273</v>
      </c>
      <c r="Q252" s="42" t="n">
        <v>794.098286420259</v>
      </c>
      <c r="R252" s="43" t="n">
        <f aca="false">MAX(0,MIN(1,P252/100+$D$5))</f>
        <v>0.739765484699033</v>
      </c>
      <c r="S252" s="43" t="n">
        <v>0.0608302283160348</v>
      </c>
      <c r="T252" s="44" t="s">
        <v>99</v>
      </c>
    </row>
    <row r="253" customFormat="false" ht="15" hidden="false" customHeight="false" outlineLevel="0" collapsed="false">
      <c r="A253" s="38" t="s">
        <v>344</v>
      </c>
      <c r="B253" s="38" t="s">
        <v>219</v>
      </c>
      <c r="C253" s="38" t="s">
        <v>374</v>
      </c>
      <c r="D253" s="21" t="n">
        <f aca="false">ROUND(Q253*R253,0)</f>
        <v>487</v>
      </c>
      <c r="E253" s="21" t="n">
        <f aca="false">ROUND(Q253,0)-D253</f>
        <v>185</v>
      </c>
      <c r="F253" s="21" t="n">
        <f aca="false">IF(COUNTA(D253:E253)=0,"",SUM(D253:E253))</f>
        <v>672</v>
      </c>
      <c r="G253" s="39" t="n">
        <f aca="false">IF(OR(F253="",F253=0),"",D253/F253)</f>
        <v>0.724702380952381</v>
      </c>
      <c r="H253" s="39" t="n">
        <f aca="false">IF(OR(F253="",F253=0),"",E253/F253)</f>
        <v>0.275297619047619</v>
      </c>
      <c r="I253" s="38" t="s">
        <v>89</v>
      </c>
      <c r="J253" s="40" t="n">
        <v>3.09864730606258</v>
      </c>
      <c r="K253" s="39" t="n">
        <f aca="false">IF(G253="","",MAX(0,G253-J253/100))</f>
        <v>0.693715907891755</v>
      </c>
      <c r="L253" s="39" t="n">
        <f aca="false">IF(G253="","",MIN(1,G253+J253/100))</f>
        <v>0.755688854013007</v>
      </c>
      <c r="M253" s="21" t="n">
        <f aca="false">ROUND(Q253*S253,0)</f>
        <v>49</v>
      </c>
      <c r="N253" s="21" t="n">
        <f aca="false">ROUND(SQRT((F253*J253/100)^2+(G253*M253)^2),0)</f>
        <v>41</v>
      </c>
      <c r="P253" s="41" t="n">
        <v>18.7627595641538</v>
      </c>
      <c r="Q253" s="42" t="n">
        <v>671.772819244073</v>
      </c>
      <c r="R253" s="43" t="n">
        <f aca="false">MAX(0,MIN(1,P253/100+$D$5))</f>
        <v>0.725453290305298</v>
      </c>
      <c r="S253" s="43" t="n">
        <v>0.0731122618343653</v>
      </c>
      <c r="T253" s="44" t="s">
        <v>90</v>
      </c>
    </row>
    <row r="254" customFormat="false" ht="15" hidden="false" customHeight="false" outlineLevel="0" collapsed="false">
      <c r="A254" s="38" t="s">
        <v>344</v>
      </c>
      <c r="B254" s="38" t="s">
        <v>219</v>
      </c>
      <c r="C254" s="38" t="s">
        <v>375</v>
      </c>
      <c r="D254" s="21" t="n">
        <f aca="false">ROUND(Q254*R254,0)</f>
        <v>580</v>
      </c>
      <c r="E254" s="21" t="n">
        <f aca="false">ROUND(Q254,0)-D254</f>
        <v>221</v>
      </c>
      <c r="F254" s="21" t="n">
        <f aca="false">IF(COUNTA(D254:E254)=0,"",SUM(D254:E254))</f>
        <v>801</v>
      </c>
      <c r="G254" s="39" t="n">
        <f aca="false">IF(OR(F254="",F254=0),"",D254/F254)</f>
        <v>0.724094881398252</v>
      </c>
      <c r="H254" s="39" t="n">
        <f aca="false">IF(OR(F254="",F254=0),"",E254/F254)</f>
        <v>0.275905118601748</v>
      </c>
      <c r="I254" s="38" t="s">
        <v>89</v>
      </c>
      <c r="J254" s="40" t="n">
        <v>2.0110742867014</v>
      </c>
      <c r="K254" s="39" t="n">
        <f aca="false">IF(G254="","",MAX(0,G254-J254/100))</f>
        <v>0.703984138531238</v>
      </c>
      <c r="L254" s="39" t="n">
        <f aca="false">IF(G254="","",MIN(1,G254+J254/100))</f>
        <v>0.744205624265266</v>
      </c>
      <c r="M254" s="21" t="n">
        <f aca="false">ROUND(Q254*S254,0)</f>
        <v>49</v>
      </c>
      <c r="N254" s="21" t="n">
        <f aca="false">ROUND(SQRT((F254*J254/100)^2+(G254*M254)^2),0)</f>
        <v>39</v>
      </c>
      <c r="P254" s="41" t="n">
        <v>18.6317088448435</v>
      </c>
      <c r="Q254" s="42" t="n">
        <v>800.5345052901</v>
      </c>
      <c r="R254" s="43" t="n">
        <f aca="false">MAX(0,MIN(1,P254/100+$D$5))</f>
        <v>0.724142783112195</v>
      </c>
      <c r="S254" s="43" t="n">
        <v>0.0608302283160348</v>
      </c>
      <c r="T254" s="44" t="s">
        <v>99</v>
      </c>
    </row>
    <row r="255" customFormat="false" ht="15" hidden="false" customHeight="false" outlineLevel="0" collapsed="false">
      <c r="A255" s="38" t="s">
        <v>344</v>
      </c>
      <c r="B255" s="38" t="s">
        <v>219</v>
      </c>
      <c r="C255" s="38" t="s">
        <v>376</v>
      </c>
      <c r="D255" s="21" t="n">
        <f aca="false">ROUND(Q255*R255,0)</f>
        <v>598</v>
      </c>
      <c r="E255" s="21" t="n">
        <f aca="false">ROUND(Q255,0)-D255</f>
        <v>291</v>
      </c>
      <c r="F255" s="21" t="n">
        <f aca="false">IF(COUNTA(D255:E255)=0,"",SUM(D255:E255))</f>
        <v>889</v>
      </c>
      <c r="G255" s="39" t="n">
        <f aca="false">IF(OR(F255="",F255=0),"",D255/F255)</f>
        <v>0.672665916760405</v>
      </c>
      <c r="H255" s="39" t="n">
        <f aca="false">IF(OR(F255="",F255=0),"",E255/F255)</f>
        <v>0.327334083239595</v>
      </c>
      <c r="I255" s="38" t="s">
        <v>191</v>
      </c>
      <c r="J255" s="40" t="n">
        <v>2.0110742867014</v>
      </c>
      <c r="K255" s="39" t="n">
        <f aca="false">IF(G255="","",MAX(0,G255-J255/100))</f>
        <v>0.652555173893391</v>
      </c>
      <c r="L255" s="39" t="n">
        <f aca="false">IF(G255="","",MIN(1,G255+J255/100))</f>
        <v>0.692776659627419</v>
      </c>
      <c r="M255" s="21" t="n">
        <f aca="false">ROUND(Q255*S255,0)</f>
        <v>54</v>
      </c>
      <c r="N255" s="21" t="n">
        <f aca="false">ROUND(SQRT((F255*J255/100)^2+(G255*M255)^2),0)</f>
        <v>40</v>
      </c>
      <c r="P255" s="41" t="n">
        <v>13.5122843505963</v>
      </c>
      <c r="Q255" s="42" t="n">
        <v>888.805487458066</v>
      </c>
      <c r="R255" s="43" t="n">
        <f aca="false">MAX(0,MIN(1,P255/100+$D$5))</f>
        <v>0.672948538169723</v>
      </c>
      <c r="S255" s="43" t="n">
        <v>0.0608302283160348</v>
      </c>
      <c r="T255" s="44" t="s">
        <v>99</v>
      </c>
    </row>
    <row r="256" customFormat="false" ht="15" hidden="false" customHeight="false" outlineLevel="0" collapsed="false">
      <c r="A256" s="38" t="s">
        <v>344</v>
      </c>
      <c r="B256" s="38" t="s">
        <v>377</v>
      </c>
      <c r="C256" s="38" t="s">
        <v>378</v>
      </c>
      <c r="D256" s="21" t="n">
        <f aca="false">ROUND(Q256*R256,0)</f>
        <v>439</v>
      </c>
      <c r="E256" s="21" t="n">
        <f aca="false">ROUND(Q256,0)-D256</f>
        <v>324</v>
      </c>
      <c r="F256" s="21" t="n">
        <f aca="false">IF(COUNTA(D256:E256)=0,"",SUM(D256:E256))</f>
        <v>763</v>
      </c>
      <c r="G256" s="39" t="n">
        <f aca="false">IF(OR(F256="",F256=0),"",D256/F256)</f>
        <v>0.575360419397117</v>
      </c>
      <c r="H256" s="39" t="n">
        <f aca="false">IF(OR(F256="",F256=0),"",E256/F256)</f>
        <v>0.424639580602883</v>
      </c>
      <c r="I256" s="38" t="s">
        <v>89</v>
      </c>
      <c r="J256" s="40" t="n">
        <v>3.09864730606258</v>
      </c>
      <c r="K256" s="39" t="n">
        <f aca="false">IF(G256="","",MAX(0,G256-J256/100))</f>
        <v>0.544373946336491</v>
      </c>
      <c r="L256" s="39" t="n">
        <f aca="false">IF(G256="","",MIN(1,G256+J256/100))</f>
        <v>0.606346892457742</v>
      </c>
      <c r="M256" s="21" t="n">
        <f aca="false">ROUND(Q256*S256,0)</f>
        <v>56</v>
      </c>
      <c r="N256" s="21" t="n">
        <f aca="false">ROUND(SQRT((F256*J256/100)^2+(G256*M256)^2),0)</f>
        <v>40</v>
      </c>
      <c r="P256" s="41" t="n">
        <v>3.70800027680817</v>
      </c>
      <c r="Q256" s="42" t="n">
        <v>762.911411114163</v>
      </c>
      <c r="R256" s="43" t="n">
        <f aca="false">MAX(0,MIN(1,P256/100+$D$5))</f>
        <v>0.574905697431841</v>
      </c>
      <c r="S256" s="43" t="n">
        <v>0.0731122618343653</v>
      </c>
      <c r="T256" s="44" t="s">
        <v>90</v>
      </c>
    </row>
    <row r="257" customFormat="false" ht="15" hidden="false" customHeight="false" outlineLevel="0" collapsed="false">
      <c r="A257" s="38" t="s">
        <v>344</v>
      </c>
      <c r="B257" s="38" t="s">
        <v>377</v>
      </c>
      <c r="C257" s="38" t="s">
        <v>379</v>
      </c>
      <c r="D257" s="21" t="n">
        <f aca="false">ROUND(Q257*R257,0)</f>
        <v>546</v>
      </c>
      <c r="E257" s="21" t="n">
        <f aca="false">ROUND(Q257,0)-D257</f>
        <v>419</v>
      </c>
      <c r="F257" s="21" t="n">
        <f aca="false">IF(COUNTA(D257:E257)=0,"",SUM(D257:E257))</f>
        <v>965</v>
      </c>
      <c r="G257" s="39" t="n">
        <f aca="false">IF(OR(F257="",F257=0),"",D257/F257)</f>
        <v>0.56580310880829</v>
      </c>
      <c r="H257" s="39" t="n">
        <f aca="false">IF(OR(F257="",F257=0),"",E257/F257)</f>
        <v>0.43419689119171</v>
      </c>
      <c r="I257" s="38" t="s">
        <v>89</v>
      </c>
      <c r="J257" s="40" t="n">
        <v>2.0110742867014</v>
      </c>
      <c r="K257" s="39" t="n">
        <f aca="false">IF(G257="","",MAX(0,G257-J257/100))</f>
        <v>0.545692365941276</v>
      </c>
      <c r="L257" s="39" t="n">
        <f aca="false">IF(G257="","",MIN(1,G257+J257/100))</f>
        <v>0.585913851675304</v>
      </c>
      <c r="M257" s="21" t="n">
        <f aca="false">ROUND(Q257*S257,0)</f>
        <v>59</v>
      </c>
      <c r="N257" s="21" t="n">
        <f aca="false">ROUND(SQRT((F257*J257/100)^2+(G257*M257)^2),0)</f>
        <v>39</v>
      </c>
      <c r="P257" s="41" t="n">
        <v>2.77919169968921</v>
      </c>
      <c r="Q257" s="42" t="n">
        <v>965.279291434274</v>
      </c>
      <c r="R257" s="43" t="n">
        <f aca="false">MAX(0,MIN(1,P257/100+$D$5))</f>
        <v>0.565617611660652</v>
      </c>
      <c r="S257" s="43" t="n">
        <v>0.0608302283160348</v>
      </c>
      <c r="T257" s="44" t="s">
        <v>99</v>
      </c>
    </row>
    <row r="258" customFormat="false" ht="15" hidden="false" customHeight="false" outlineLevel="0" collapsed="false">
      <c r="A258" s="38" t="s">
        <v>344</v>
      </c>
      <c r="B258" s="38" t="s">
        <v>377</v>
      </c>
      <c r="C258" s="38" t="s">
        <v>380</v>
      </c>
      <c r="D258" s="21" t="n">
        <f aca="false">ROUND(Q258*R258,0)</f>
        <v>622</v>
      </c>
      <c r="E258" s="21" t="n">
        <f aca="false">ROUND(Q258,0)-D258</f>
        <v>436</v>
      </c>
      <c r="F258" s="21" t="n">
        <f aca="false">IF(COUNTA(D258:E258)=0,"",SUM(D258:E258))</f>
        <v>1058</v>
      </c>
      <c r="G258" s="39" t="n">
        <f aca="false">IF(OR(F258="",F258=0),"",D258/F258)</f>
        <v>0.587901701323251</v>
      </c>
      <c r="H258" s="39" t="n">
        <f aca="false">IF(OR(F258="",F258=0),"",E258/F258)</f>
        <v>0.412098298676749</v>
      </c>
      <c r="I258" s="38" t="s">
        <v>89</v>
      </c>
      <c r="J258" s="40" t="n">
        <v>2.0110742867014</v>
      </c>
      <c r="K258" s="39" t="n">
        <f aca="false">IF(G258="","",MAX(0,G258-J258/100))</f>
        <v>0.567790958456237</v>
      </c>
      <c r="L258" s="39" t="n">
        <f aca="false">IF(G258="","",MIN(1,G258+J258/100))</f>
        <v>0.608012444190265</v>
      </c>
      <c r="M258" s="21" t="n">
        <f aca="false">ROUND(Q258*S258,0)</f>
        <v>64</v>
      </c>
      <c r="N258" s="21" t="n">
        <f aca="false">ROUND(SQRT((F258*J258/100)^2+(G258*M258)^2),0)</f>
        <v>43</v>
      </c>
      <c r="P258" s="41" t="n">
        <v>5.07458150268719</v>
      </c>
      <c r="Q258" s="42" t="n">
        <v>1057.52798870004</v>
      </c>
      <c r="R258" s="43" t="n">
        <f aca="false">MAX(0,MIN(1,P258/100+$D$5))</f>
        <v>0.588571509690632</v>
      </c>
      <c r="S258" s="43" t="n">
        <v>0.0608302283160348</v>
      </c>
      <c r="T258" s="44" t="s">
        <v>99</v>
      </c>
    </row>
    <row r="259" customFormat="false" ht="15" hidden="false" customHeight="false" outlineLevel="0" collapsed="false">
      <c r="A259" s="38" t="s">
        <v>344</v>
      </c>
      <c r="B259" s="38" t="s">
        <v>377</v>
      </c>
      <c r="C259" s="38" t="s">
        <v>381</v>
      </c>
      <c r="D259" s="21" t="n">
        <f aca="false">ROUND(Q259*R259,0)</f>
        <v>296</v>
      </c>
      <c r="E259" s="21" t="n">
        <f aca="false">ROUND(Q259,0)-D259</f>
        <v>247</v>
      </c>
      <c r="F259" s="21" t="n">
        <f aca="false">IF(COUNTA(D259:E259)=0,"",SUM(D259:E259))</f>
        <v>543</v>
      </c>
      <c r="G259" s="39" t="n">
        <f aca="false">IF(OR(F259="",F259=0),"",D259/F259)</f>
        <v>0.5451197053407</v>
      </c>
      <c r="H259" s="39" t="n">
        <f aca="false">IF(OR(F259="",F259=0),"",E259/F259)</f>
        <v>0.4548802946593</v>
      </c>
      <c r="I259" s="38" t="s">
        <v>89</v>
      </c>
      <c r="J259" s="40" t="n">
        <v>3.09864730606258</v>
      </c>
      <c r="K259" s="39" t="n">
        <f aca="false">IF(G259="","",MAX(0,G259-J259/100))</f>
        <v>0.514133232280074</v>
      </c>
      <c r="L259" s="39" t="n">
        <f aca="false">IF(G259="","",MIN(1,G259+J259/100))</f>
        <v>0.576106178401326</v>
      </c>
      <c r="M259" s="21" t="n">
        <f aca="false">ROUND(Q259*S259,0)</f>
        <v>40</v>
      </c>
      <c r="N259" s="21" t="n">
        <f aca="false">ROUND(SQRT((F259*J259/100)^2+(G259*M259)^2),0)</f>
        <v>28</v>
      </c>
      <c r="P259" s="41" t="n">
        <v>0.653132667958542</v>
      </c>
      <c r="Q259" s="42" t="n">
        <v>543.145666115186</v>
      </c>
      <c r="R259" s="43" t="n">
        <f aca="false">MAX(0,MIN(1,P259/100+$D$5))</f>
        <v>0.544357021343345</v>
      </c>
      <c r="S259" s="43" t="n">
        <v>0.0731122618343653</v>
      </c>
      <c r="T259" s="44" t="s">
        <v>90</v>
      </c>
    </row>
    <row r="260" customFormat="false" ht="15" hidden="false" customHeight="false" outlineLevel="0" collapsed="false">
      <c r="A260" s="38" t="s">
        <v>344</v>
      </c>
      <c r="B260" s="38" t="s">
        <v>377</v>
      </c>
      <c r="C260" s="38" t="s">
        <v>382</v>
      </c>
      <c r="D260" s="21" t="n">
        <f aca="false">ROUND(Q260*R260,0)</f>
        <v>502</v>
      </c>
      <c r="E260" s="21" t="n">
        <f aca="false">ROUND(Q260,0)-D260</f>
        <v>331</v>
      </c>
      <c r="F260" s="21" t="n">
        <f aca="false">IF(COUNTA(D260:E260)=0,"",SUM(D260:E260))</f>
        <v>833</v>
      </c>
      <c r="G260" s="39" t="n">
        <f aca="false">IF(OR(F260="",F260=0),"",D260/F260)</f>
        <v>0.602641056422569</v>
      </c>
      <c r="H260" s="39" t="n">
        <f aca="false">IF(OR(F260="",F260=0),"",E260/F260)</f>
        <v>0.397358943577431</v>
      </c>
      <c r="I260" s="38" t="s">
        <v>89</v>
      </c>
      <c r="J260" s="40" t="n">
        <v>2.0110742867014</v>
      </c>
      <c r="K260" s="39" t="n">
        <f aca="false">IF(G260="","",MAX(0,G260-J260/100))</f>
        <v>0.582530313555555</v>
      </c>
      <c r="L260" s="39" t="n">
        <f aca="false">IF(G260="","",MIN(1,G260+J260/100))</f>
        <v>0.622751799289583</v>
      </c>
      <c r="M260" s="21" t="n">
        <f aca="false">ROUND(Q260*S260,0)</f>
        <v>51</v>
      </c>
      <c r="N260" s="21" t="n">
        <f aca="false">ROUND(SQRT((F260*J260/100)^2+(G260*M260)^2),0)</f>
        <v>35</v>
      </c>
      <c r="P260" s="41" t="n">
        <v>6.47838022914352</v>
      </c>
      <c r="Q260" s="42" t="n">
        <v>832.646522280953</v>
      </c>
      <c r="R260" s="43" t="n">
        <f aca="false">MAX(0,MIN(1,P260/100+$D$5))</f>
        <v>0.602609496955195</v>
      </c>
      <c r="S260" s="43" t="n">
        <v>0.0608302283160348</v>
      </c>
      <c r="T260" s="44" t="s">
        <v>99</v>
      </c>
    </row>
    <row r="261" customFormat="false" ht="15" hidden="false" customHeight="false" outlineLevel="0" collapsed="false">
      <c r="A261" s="38" t="s">
        <v>344</v>
      </c>
      <c r="B261" s="38" t="s">
        <v>377</v>
      </c>
      <c r="C261" s="38" t="s">
        <v>383</v>
      </c>
      <c r="D261" s="21" t="n">
        <f aca="false">ROUND(Q261*R261,0)</f>
        <v>500</v>
      </c>
      <c r="E261" s="21" t="n">
        <f aca="false">ROUND(Q261,0)-D261</f>
        <v>384</v>
      </c>
      <c r="F261" s="21" t="n">
        <f aca="false">IF(COUNTA(D261:E261)=0,"",SUM(D261:E261))</f>
        <v>884</v>
      </c>
      <c r="G261" s="39" t="n">
        <f aca="false">IF(OR(F261="",F261=0),"",D261/F261)</f>
        <v>0.565610859728507</v>
      </c>
      <c r="H261" s="39" t="n">
        <f aca="false">IF(OR(F261="",F261=0),"",E261/F261)</f>
        <v>0.434389140271493</v>
      </c>
      <c r="I261" s="38" t="s">
        <v>89</v>
      </c>
      <c r="J261" s="40" t="n">
        <v>2.0110742867014</v>
      </c>
      <c r="K261" s="39" t="n">
        <f aca="false">IF(G261="","",MAX(0,G261-J261/100))</f>
        <v>0.545500116861493</v>
      </c>
      <c r="L261" s="39" t="n">
        <f aca="false">IF(G261="","",MIN(1,G261+J261/100))</f>
        <v>0.585721602595521</v>
      </c>
      <c r="M261" s="21" t="n">
        <f aca="false">ROUND(Q261*S261,0)</f>
        <v>54</v>
      </c>
      <c r="N261" s="21" t="n">
        <f aca="false">ROUND(SQRT((F261*J261/100)^2+(G261*M261)^2),0)</f>
        <v>35</v>
      </c>
      <c r="P261" s="41" t="n">
        <v>2.83496941034044</v>
      </c>
      <c r="Q261" s="42" t="n">
        <v>883.760984440687</v>
      </c>
      <c r="R261" s="43" t="n">
        <f aca="false">MAX(0,MIN(1,P261/100+$D$5))</f>
        <v>0.566175388767164</v>
      </c>
      <c r="S261" s="43" t="n">
        <v>0.0608302283160348</v>
      </c>
      <c r="T261" s="44" t="s">
        <v>99</v>
      </c>
    </row>
    <row r="262" customFormat="false" ht="15" hidden="false" customHeight="false" outlineLevel="0" collapsed="false">
      <c r="A262" s="38" t="s">
        <v>344</v>
      </c>
      <c r="B262" s="38" t="s">
        <v>377</v>
      </c>
      <c r="C262" s="38" t="s">
        <v>384</v>
      </c>
      <c r="D262" s="21" t="n">
        <f aca="false">ROUND(Q262*R262,0)</f>
        <v>321</v>
      </c>
      <c r="E262" s="21" t="n">
        <f aca="false">ROUND(Q262,0)-D262</f>
        <v>217</v>
      </c>
      <c r="F262" s="21" t="n">
        <f aca="false">IF(COUNTA(D262:E262)=0,"",SUM(D262:E262))</f>
        <v>538</v>
      </c>
      <c r="G262" s="39" t="n">
        <f aca="false">IF(OR(F262="",F262=0),"",D262/F262)</f>
        <v>0.596654275092937</v>
      </c>
      <c r="H262" s="39" t="n">
        <f aca="false">IF(OR(F262="",F262=0),"",E262/F262)</f>
        <v>0.403345724907063</v>
      </c>
      <c r="I262" s="38" t="s">
        <v>89</v>
      </c>
      <c r="J262" s="40" t="n">
        <v>3.09864730606258</v>
      </c>
      <c r="K262" s="39" t="n">
        <f aca="false">IF(G262="","",MAX(0,G262-J262/100))</f>
        <v>0.565667802032311</v>
      </c>
      <c r="L262" s="39" t="n">
        <f aca="false">IF(G262="","",MIN(1,G262+J262/100))</f>
        <v>0.627640748153563</v>
      </c>
      <c r="M262" s="21" t="n">
        <f aca="false">ROUND(Q262*S262,0)</f>
        <v>39</v>
      </c>
      <c r="N262" s="21" t="n">
        <f aca="false">ROUND(SQRT((F262*J262/100)^2+(G262*M262)^2),0)</f>
        <v>29</v>
      </c>
      <c r="P262" s="41" t="n">
        <v>5.86239677198517</v>
      </c>
      <c r="Q262" s="42" t="n">
        <v>537.774629333248</v>
      </c>
      <c r="R262" s="43" t="n">
        <f aca="false">MAX(0,MIN(1,P262/100+$D$5))</f>
        <v>0.596449662383611</v>
      </c>
      <c r="S262" s="43" t="n">
        <v>0.0731122618343653</v>
      </c>
      <c r="T262" s="44" t="s">
        <v>90</v>
      </c>
    </row>
    <row r="263" customFormat="false" ht="15" hidden="false" customHeight="false" outlineLevel="0" collapsed="false">
      <c r="A263" s="38" t="s">
        <v>344</v>
      </c>
      <c r="B263" s="38" t="s">
        <v>377</v>
      </c>
      <c r="C263" s="38" t="s">
        <v>385</v>
      </c>
      <c r="D263" s="21" t="n">
        <f aca="false">ROUND(Q263*R263,0)</f>
        <v>450</v>
      </c>
      <c r="E263" s="21" t="n">
        <f aca="false">ROUND(Q263,0)-D263</f>
        <v>289</v>
      </c>
      <c r="F263" s="21" t="n">
        <f aca="false">IF(COUNTA(D263:E263)=0,"",SUM(D263:E263))</f>
        <v>739</v>
      </c>
      <c r="G263" s="39" t="n">
        <f aca="false">IF(OR(F263="",F263=0),"",D263/F263)</f>
        <v>0.60893098782138</v>
      </c>
      <c r="H263" s="39" t="n">
        <f aca="false">IF(OR(F263="",F263=0),"",E263/F263)</f>
        <v>0.39106901217862</v>
      </c>
      <c r="I263" s="38" t="s">
        <v>89</v>
      </c>
      <c r="J263" s="40" t="n">
        <v>3.09864730606258</v>
      </c>
      <c r="K263" s="39" t="n">
        <f aca="false">IF(G263="","",MAX(0,G263-J263/100))</f>
        <v>0.577944514760755</v>
      </c>
      <c r="L263" s="39" t="n">
        <f aca="false">IF(G263="","",MIN(1,G263+J263/100))</f>
        <v>0.639917460882006</v>
      </c>
      <c r="M263" s="21" t="n">
        <f aca="false">ROUND(Q263*S263,0)</f>
        <v>54</v>
      </c>
      <c r="N263" s="21" t="n">
        <f aca="false">ROUND(SQRT((F263*J263/100)^2+(G263*M263)^2),0)</f>
        <v>40</v>
      </c>
      <c r="P263" s="41" t="n">
        <v>7.12331543386832</v>
      </c>
      <c r="Q263" s="42" t="n">
        <v>738.659787000004</v>
      </c>
      <c r="R263" s="43" t="n">
        <f aca="false">MAX(0,MIN(1,P263/100+$D$5))</f>
        <v>0.609058849002443</v>
      </c>
      <c r="S263" s="43" t="n">
        <v>0.0731122618343653</v>
      </c>
      <c r="T263" s="44" t="s">
        <v>90</v>
      </c>
    </row>
    <row r="264" customFormat="false" ht="15" hidden="false" customHeight="false" outlineLevel="0" collapsed="false">
      <c r="A264" s="38" t="s">
        <v>344</v>
      </c>
      <c r="B264" s="38" t="s">
        <v>377</v>
      </c>
      <c r="C264" s="38" t="s">
        <v>386</v>
      </c>
      <c r="D264" s="21" t="n">
        <f aca="false">ROUND(Q264*R264,0)</f>
        <v>274</v>
      </c>
      <c r="E264" s="21" t="n">
        <f aca="false">ROUND(Q264,0)-D264</f>
        <v>167</v>
      </c>
      <c r="F264" s="21" t="n">
        <f aca="false">IF(COUNTA(D264:E264)=0,"",SUM(D264:E264))</f>
        <v>441</v>
      </c>
      <c r="G264" s="39" t="n">
        <f aca="false">IF(OR(F264="",F264=0),"",D264/F264)</f>
        <v>0.621315192743764</v>
      </c>
      <c r="H264" s="39" t="n">
        <f aca="false">IF(OR(F264="",F264=0),"",E264/F264)</f>
        <v>0.378684807256236</v>
      </c>
      <c r="I264" s="38" t="s">
        <v>89</v>
      </c>
      <c r="J264" s="40" t="n">
        <v>3.09864730606258</v>
      </c>
      <c r="K264" s="39" t="n">
        <f aca="false">IF(G264="","",MAX(0,G264-J264/100))</f>
        <v>0.590328719683138</v>
      </c>
      <c r="L264" s="39" t="n">
        <f aca="false">IF(G264="","",MIN(1,G264+J264/100))</f>
        <v>0.65230166580439</v>
      </c>
      <c r="M264" s="21" t="n">
        <f aca="false">ROUND(Q264*S264,0)</f>
        <v>32</v>
      </c>
      <c r="N264" s="21" t="n">
        <f aca="false">ROUND(SQRT((F264*J264/100)^2+(G264*M264)^2),0)</f>
        <v>24</v>
      </c>
      <c r="P264" s="41" t="n">
        <v>8.39759133736655</v>
      </c>
      <c r="Q264" s="42" t="n">
        <v>441.347009511915</v>
      </c>
      <c r="R264" s="43" t="n">
        <f aca="false">MAX(0,MIN(1,P264/100+$D$5))</f>
        <v>0.621801608037425</v>
      </c>
      <c r="S264" s="43" t="n">
        <v>0.0731122618343653</v>
      </c>
      <c r="T264" s="44" t="s">
        <v>90</v>
      </c>
    </row>
    <row r="265" customFormat="false" ht="15" hidden="false" customHeight="false" outlineLevel="0" collapsed="false">
      <c r="A265" s="38" t="s">
        <v>344</v>
      </c>
      <c r="B265" s="38" t="s">
        <v>377</v>
      </c>
      <c r="C265" s="38" t="s">
        <v>387</v>
      </c>
      <c r="D265" s="21" t="n">
        <f aca="false">ROUND(Q265*R265,0)</f>
        <v>323</v>
      </c>
      <c r="E265" s="21" t="n">
        <f aca="false">ROUND(Q265,0)-D265</f>
        <v>268</v>
      </c>
      <c r="F265" s="21" t="n">
        <f aca="false">IF(COUNTA(D265:E265)=0,"",SUM(D265:E265))</f>
        <v>591</v>
      </c>
      <c r="G265" s="39" t="n">
        <f aca="false">IF(OR(F265="",F265=0),"",D265/F265)</f>
        <v>0.546531302876481</v>
      </c>
      <c r="H265" s="39" t="n">
        <f aca="false">IF(OR(F265="",F265=0),"",E265/F265)</f>
        <v>0.453468697123519</v>
      </c>
      <c r="I265" s="38" t="s">
        <v>89</v>
      </c>
      <c r="J265" s="40" t="n">
        <v>3.09864730606258</v>
      </c>
      <c r="K265" s="39" t="n">
        <f aca="false">IF(G265="","",MAX(0,G265-J265/100))</f>
        <v>0.515544829815855</v>
      </c>
      <c r="L265" s="39" t="n">
        <f aca="false">IF(G265="","",MIN(1,G265+J265/100))</f>
        <v>0.577517775937106</v>
      </c>
      <c r="M265" s="21" t="n">
        <f aca="false">ROUND(Q265*S265,0)</f>
        <v>43</v>
      </c>
      <c r="N265" s="21" t="n">
        <f aca="false">ROUND(SQRT((F265*J265/100)^2+(G265*M265)^2),0)</f>
        <v>30</v>
      </c>
      <c r="P265" s="41" t="n">
        <v>0.970699873781199</v>
      </c>
      <c r="Q265" s="42" t="n">
        <v>590.687950929983</v>
      </c>
      <c r="R265" s="43" t="n">
        <f aca="false">MAX(0,MIN(1,P265/100+$D$5))</f>
        <v>0.547532693401572</v>
      </c>
      <c r="S265" s="43" t="n">
        <v>0.0731122618343653</v>
      </c>
      <c r="T265" s="44" t="s">
        <v>90</v>
      </c>
    </row>
    <row r="266" customFormat="false" ht="15" hidden="false" customHeight="false" outlineLevel="0" collapsed="false">
      <c r="A266" s="38" t="s">
        <v>344</v>
      </c>
      <c r="B266" s="38" t="s">
        <v>377</v>
      </c>
      <c r="C266" s="38" t="s">
        <v>388</v>
      </c>
      <c r="D266" s="21" t="n">
        <f aca="false">ROUND(Q266*R266,0)</f>
        <v>395</v>
      </c>
      <c r="E266" s="21" t="n">
        <f aca="false">ROUND(Q266,0)-D266</f>
        <v>295</v>
      </c>
      <c r="F266" s="21" t="n">
        <f aca="false">IF(COUNTA(D266:E266)=0,"",SUM(D266:E266))</f>
        <v>690</v>
      </c>
      <c r="G266" s="39" t="n">
        <f aca="false">IF(OR(F266="",F266=0),"",D266/F266)</f>
        <v>0.572463768115942</v>
      </c>
      <c r="H266" s="39" t="n">
        <f aca="false">IF(OR(F266="",F266=0),"",E266/F266)</f>
        <v>0.427536231884058</v>
      </c>
      <c r="I266" s="38" t="s">
        <v>89</v>
      </c>
      <c r="J266" s="40" t="n">
        <v>3.09864730606258</v>
      </c>
      <c r="K266" s="39" t="n">
        <f aca="false">IF(G266="","",MAX(0,G266-J266/100))</f>
        <v>0.541477295055316</v>
      </c>
      <c r="L266" s="39" t="n">
        <f aca="false">IF(G266="","",MIN(1,G266+J266/100))</f>
        <v>0.603450241176568</v>
      </c>
      <c r="M266" s="21" t="n">
        <f aca="false">ROUND(Q266*S266,0)</f>
        <v>50</v>
      </c>
      <c r="N266" s="21" t="n">
        <f aca="false">ROUND(SQRT((F266*J266/100)^2+(G266*M266)^2),0)</f>
        <v>36</v>
      </c>
      <c r="P266" s="41" t="n">
        <v>3.43634108837958</v>
      </c>
      <c r="Q266" s="42" t="n">
        <v>689.792067700772</v>
      </c>
      <c r="R266" s="43" t="n">
        <f aca="false">MAX(0,MIN(1,P266/100+$D$5))</f>
        <v>0.572189105547556</v>
      </c>
      <c r="S266" s="43" t="n">
        <v>0.0731122618343653</v>
      </c>
      <c r="T266" s="44" t="s">
        <v>90</v>
      </c>
    </row>
    <row r="267" customFormat="false" ht="15" hidden="false" customHeight="false" outlineLevel="0" collapsed="false">
      <c r="A267" s="38" t="s">
        <v>344</v>
      </c>
      <c r="B267" s="38" t="s">
        <v>377</v>
      </c>
      <c r="C267" s="38" t="s">
        <v>389</v>
      </c>
      <c r="D267" s="21" t="n">
        <f aca="false">ROUND(Q267*R267,0)</f>
        <v>490</v>
      </c>
      <c r="E267" s="21" t="n">
        <f aca="false">ROUND(Q267,0)-D267</f>
        <v>318</v>
      </c>
      <c r="F267" s="21" t="n">
        <f aca="false">IF(COUNTA(D267:E267)=0,"",SUM(D267:E267))</f>
        <v>808</v>
      </c>
      <c r="G267" s="39" t="n">
        <f aca="false">IF(OR(F267="",F267=0),"",D267/F267)</f>
        <v>0.606435643564356</v>
      </c>
      <c r="H267" s="39" t="n">
        <f aca="false">IF(OR(F267="",F267=0),"",E267/F267)</f>
        <v>0.393564356435644</v>
      </c>
      <c r="I267" s="38" t="s">
        <v>89</v>
      </c>
      <c r="J267" s="40" t="n">
        <v>2.0110742867014</v>
      </c>
      <c r="K267" s="39" t="n">
        <f aca="false">IF(G267="","",MAX(0,G267-J267/100))</f>
        <v>0.586324900697342</v>
      </c>
      <c r="L267" s="39" t="n">
        <f aca="false">IF(G267="","",MIN(1,G267+J267/100))</f>
        <v>0.62654638643137</v>
      </c>
      <c r="M267" s="21" t="n">
        <f aca="false">ROUND(Q267*S267,0)</f>
        <v>49</v>
      </c>
      <c r="N267" s="21" t="n">
        <f aca="false">ROUND(SQRT((F267*J267/100)^2+(G267*M267)^2),0)</f>
        <v>34</v>
      </c>
      <c r="P267" s="41" t="n">
        <v>6.92021477402215</v>
      </c>
      <c r="Q267" s="42" t="n">
        <v>807.638023097327</v>
      </c>
      <c r="R267" s="43" t="n">
        <f aca="false">MAX(0,MIN(1,P267/100+$D$5))</f>
        <v>0.607027842403981</v>
      </c>
      <c r="S267" s="43" t="n">
        <v>0.0608302283160348</v>
      </c>
      <c r="T267" s="44" t="s">
        <v>99</v>
      </c>
    </row>
    <row r="268" customFormat="false" ht="15" hidden="false" customHeight="false" outlineLevel="0" collapsed="false">
      <c r="A268" s="38" t="s">
        <v>344</v>
      </c>
      <c r="B268" s="38" t="s">
        <v>377</v>
      </c>
      <c r="C268" s="38" t="s">
        <v>390</v>
      </c>
      <c r="D268" s="21" t="n">
        <f aca="false">ROUND(Q268*R268,0)</f>
        <v>402</v>
      </c>
      <c r="E268" s="21" t="n">
        <f aca="false">ROUND(Q268,0)-D268</f>
        <v>334</v>
      </c>
      <c r="F268" s="21" t="n">
        <f aca="false">IF(COUNTA(D268:E268)=0,"",SUM(D268:E268))</f>
        <v>736</v>
      </c>
      <c r="G268" s="39" t="n">
        <f aca="false">IF(OR(F268="",F268=0),"",D268/F268)</f>
        <v>0.546195652173913</v>
      </c>
      <c r="H268" s="39" t="n">
        <f aca="false">IF(OR(F268="",F268=0),"",E268/F268)</f>
        <v>0.453804347826087</v>
      </c>
      <c r="I268" s="38" t="s">
        <v>89</v>
      </c>
      <c r="J268" s="40" t="n">
        <v>3.09864730606258</v>
      </c>
      <c r="K268" s="39" t="n">
        <f aca="false">IF(G268="","",MAX(0,G268-J268/100))</f>
        <v>0.515209179113287</v>
      </c>
      <c r="L268" s="39" t="n">
        <f aca="false">IF(G268="","",MIN(1,G268+J268/100))</f>
        <v>0.577182125234539</v>
      </c>
      <c r="M268" s="21" t="n">
        <f aca="false">ROUND(Q268*S268,0)</f>
        <v>54</v>
      </c>
      <c r="N268" s="21" t="n">
        <f aca="false">ROUND(SQRT((F268*J268/100)^2+(G268*M268)^2),0)</f>
        <v>37</v>
      </c>
      <c r="P268" s="41" t="n">
        <v>0.803191515357434</v>
      </c>
      <c r="Q268" s="42" t="n">
        <v>736.253052159792</v>
      </c>
      <c r="R268" s="43" t="n">
        <f aca="false">MAX(0,MIN(1,P268/100+$D$5))</f>
        <v>0.545857609817334</v>
      </c>
      <c r="S268" s="43" t="n">
        <v>0.0731122618343653</v>
      </c>
      <c r="T268" s="44" t="s">
        <v>90</v>
      </c>
    </row>
    <row r="269" customFormat="false" ht="15" hidden="false" customHeight="false" outlineLevel="0" collapsed="false">
      <c r="A269" s="38" t="s">
        <v>344</v>
      </c>
      <c r="B269" s="38" t="s">
        <v>377</v>
      </c>
      <c r="C269" s="38" t="s">
        <v>391</v>
      </c>
      <c r="D269" s="21" t="n">
        <f aca="false">ROUND(Q269*R269,0)</f>
        <v>825</v>
      </c>
      <c r="E269" s="21" t="n">
        <f aca="false">ROUND(Q269,0)-D269</f>
        <v>548</v>
      </c>
      <c r="F269" s="21" t="n">
        <f aca="false">IF(COUNTA(D269:E269)=0,"",SUM(D269:E269))</f>
        <v>1373</v>
      </c>
      <c r="G269" s="39" t="n">
        <f aca="false">IF(OR(F269="",F269=0),"",D269/F269)</f>
        <v>0.600873998543336</v>
      </c>
      <c r="H269" s="39" t="n">
        <f aca="false">IF(OR(F269="",F269=0),"",E269/F269)</f>
        <v>0.399126001456664</v>
      </c>
      <c r="I269" s="38" t="s">
        <v>89</v>
      </c>
      <c r="J269" s="40" t="n">
        <v>1.87006919874525</v>
      </c>
      <c r="K269" s="39" t="n">
        <f aca="false">IF(G269="","",MAX(0,G269-J269/100))</f>
        <v>0.582173306555883</v>
      </c>
      <c r="L269" s="39" t="n">
        <f aca="false">IF(G269="","",MIN(1,G269+J269/100))</f>
        <v>0.619574690530788</v>
      </c>
      <c r="M269" s="21" t="n">
        <f aca="false">ROUND(Q269*S269,0)</f>
        <v>190</v>
      </c>
      <c r="N269" s="21" t="n">
        <f aca="false">ROUND(SQRT((F269*J269/100)^2+(G269*M269)^2),0)</f>
        <v>117</v>
      </c>
      <c r="P269" s="41" t="n">
        <v>6.32031612747521</v>
      </c>
      <c r="Q269" s="42" t="n">
        <v>1373.13658512273</v>
      </c>
      <c r="R269" s="43" t="n">
        <f aca="false">MAX(0,MIN(1,P269/100+$D$5))</f>
        <v>0.601028855938512</v>
      </c>
      <c r="S269" s="43" t="n">
        <v>0.138178110610255</v>
      </c>
      <c r="T269" s="44" t="s">
        <v>128</v>
      </c>
    </row>
    <row r="270" customFormat="false" ht="15" hidden="false" customHeight="false" outlineLevel="0" collapsed="false">
      <c r="A270" s="38" t="s">
        <v>344</v>
      </c>
      <c r="B270" s="38" t="s">
        <v>377</v>
      </c>
      <c r="C270" s="38" t="s">
        <v>392</v>
      </c>
      <c r="D270" s="21" t="n">
        <f aca="false">ROUND(Q270*R270,0)</f>
        <v>465</v>
      </c>
      <c r="E270" s="21" t="n">
        <f aca="false">ROUND(Q270,0)-D270</f>
        <v>389</v>
      </c>
      <c r="F270" s="21" t="n">
        <f aca="false">IF(COUNTA(D270:E270)=0,"",SUM(D270:E270))</f>
        <v>854</v>
      </c>
      <c r="G270" s="39" t="n">
        <f aca="false">IF(OR(F270="",F270=0),"",D270/F270)</f>
        <v>0.544496487119438</v>
      </c>
      <c r="H270" s="39" t="n">
        <f aca="false">IF(OR(F270="",F270=0),"",E270/F270)</f>
        <v>0.455503512880562</v>
      </c>
      <c r="I270" s="38" t="s">
        <v>89</v>
      </c>
      <c r="J270" s="40" t="n">
        <v>2.0110742867014</v>
      </c>
      <c r="K270" s="39" t="n">
        <f aca="false">IF(G270="","",MAX(0,G270-J270/100))</f>
        <v>0.524385744252424</v>
      </c>
      <c r="L270" s="39" t="n">
        <f aca="false">IF(G270="","",MIN(1,G270+J270/100))</f>
        <v>0.564607229986452</v>
      </c>
      <c r="M270" s="21" t="n">
        <f aca="false">ROUND(Q270*S270,0)</f>
        <v>52</v>
      </c>
      <c r="N270" s="21" t="n">
        <f aca="false">ROUND(SQRT((F270*J270/100)^2+(G270*M270)^2),0)</f>
        <v>33</v>
      </c>
      <c r="P270" s="41" t="n">
        <v>0.604028938648866</v>
      </c>
      <c r="Q270" s="42" t="n">
        <v>854.402660303435</v>
      </c>
      <c r="R270" s="43" t="n">
        <f aca="false">MAX(0,MIN(1,P270/100+$D$5))</f>
        <v>0.543865984050248</v>
      </c>
      <c r="S270" s="43" t="n">
        <v>0.0608302283160348</v>
      </c>
      <c r="T270" s="44" t="s">
        <v>99</v>
      </c>
    </row>
    <row r="271" customFormat="false" ht="15" hidden="false" customHeight="false" outlineLevel="0" collapsed="false">
      <c r="A271" s="38" t="s">
        <v>344</v>
      </c>
      <c r="B271" s="38" t="s">
        <v>377</v>
      </c>
      <c r="C271" s="38" t="s">
        <v>393</v>
      </c>
      <c r="D271" s="21" t="n">
        <f aca="false">ROUND(Q271*R271,0)</f>
        <v>468</v>
      </c>
      <c r="E271" s="21" t="n">
        <f aca="false">ROUND(Q271,0)-D271</f>
        <v>368</v>
      </c>
      <c r="F271" s="21" t="n">
        <f aca="false">IF(COUNTA(D271:E271)=0,"",SUM(D271:E271))</f>
        <v>836</v>
      </c>
      <c r="G271" s="39" t="n">
        <f aca="false">IF(OR(F271="",F271=0),"",D271/F271)</f>
        <v>0.559808612440191</v>
      </c>
      <c r="H271" s="39" t="n">
        <f aca="false">IF(OR(F271="",F271=0),"",E271/F271)</f>
        <v>0.440191387559809</v>
      </c>
      <c r="I271" s="38" t="s">
        <v>89</v>
      </c>
      <c r="J271" s="40" t="n">
        <v>2.0110742867014</v>
      </c>
      <c r="K271" s="39" t="n">
        <f aca="false">IF(G271="","",MAX(0,G271-J271/100))</f>
        <v>0.539697869573177</v>
      </c>
      <c r="L271" s="39" t="n">
        <f aca="false">IF(G271="","",MIN(1,G271+J271/100))</f>
        <v>0.579919355307205</v>
      </c>
      <c r="M271" s="21" t="n">
        <f aca="false">ROUND(Q271*S271,0)</f>
        <v>51</v>
      </c>
      <c r="N271" s="21" t="n">
        <f aca="false">ROUND(SQRT((F271*J271/100)^2+(G271*M271)^2),0)</f>
        <v>33</v>
      </c>
      <c r="P271" s="41" t="n">
        <v>2.22967998173834</v>
      </c>
      <c r="Q271" s="42" t="n">
        <v>836.067996828189</v>
      </c>
      <c r="R271" s="43" t="n">
        <f aca="false">MAX(0,MIN(1,P271/100+$D$5))</f>
        <v>0.560122494481143</v>
      </c>
      <c r="S271" s="43" t="n">
        <v>0.0608302283160348</v>
      </c>
      <c r="T271" s="44" t="s">
        <v>99</v>
      </c>
    </row>
    <row r="272" customFormat="false" ht="15" hidden="false" customHeight="false" outlineLevel="0" collapsed="false">
      <c r="A272" s="38" t="s">
        <v>344</v>
      </c>
      <c r="B272" s="38" t="s">
        <v>377</v>
      </c>
      <c r="C272" s="38" t="s">
        <v>394</v>
      </c>
      <c r="D272" s="21" t="n">
        <f aca="false">ROUND(Q272*R272,0)</f>
        <v>456</v>
      </c>
      <c r="E272" s="21" t="n">
        <f aca="false">ROUND(Q272,0)-D272</f>
        <v>357</v>
      </c>
      <c r="F272" s="21" t="n">
        <f aca="false">IF(COUNTA(D272:E272)=0,"",SUM(D272:E272))</f>
        <v>813</v>
      </c>
      <c r="G272" s="39" t="n">
        <f aca="false">IF(OR(F272="",F272=0),"",D272/F272)</f>
        <v>0.560885608856089</v>
      </c>
      <c r="H272" s="39" t="n">
        <f aca="false">IF(OR(F272="",F272=0),"",E272/F272)</f>
        <v>0.439114391143911</v>
      </c>
      <c r="I272" s="38" t="s">
        <v>89</v>
      </c>
      <c r="J272" s="40" t="n">
        <v>2.0110742867014</v>
      </c>
      <c r="K272" s="39" t="n">
        <f aca="false">IF(G272="","",MAX(0,G272-J272/100))</f>
        <v>0.540774865989075</v>
      </c>
      <c r="L272" s="39" t="n">
        <f aca="false">IF(G272="","",MIN(1,G272+J272/100))</f>
        <v>0.580996351723103</v>
      </c>
      <c r="M272" s="21" t="n">
        <f aca="false">ROUND(Q272*S272,0)</f>
        <v>49</v>
      </c>
      <c r="N272" s="21" t="n">
        <f aca="false">ROUND(SQRT((F272*J272/100)^2+(G272*M272)^2),0)</f>
        <v>32</v>
      </c>
      <c r="P272" s="41" t="n">
        <v>2.31443886660664</v>
      </c>
      <c r="Q272" s="42" t="n">
        <v>812.718128149103</v>
      </c>
      <c r="R272" s="43" t="n">
        <f aca="false">MAX(0,MIN(1,P272/100+$D$5))</f>
        <v>0.560970083329826</v>
      </c>
      <c r="S272" s="43" t="n">
        <v>0.0608302283160348</v>
      </c>
      <c r="T272" s="44" t="s">
        <v>99</v>
      </c>
    </row>
    <row r="273" customFormat="false" ht="15" hidden="false" customHeight="false" outlineLevel="0" collapsed="false">
      <c r="A273" s="38" t="s">
        <v>344</v>
      </c>
      <c r="B273" s="38" t="s">
        <v>395</v>
      </c>
      <c r="C273" s="38" t="s">
        <v>396</v>
      </c>
      <c r="D273" s="21" t="n">
        <f aca="false">ROUND(Q273*R273,0)</f>
        <v>844</v>
      </c>
      <c r="E273" s="21" t="n">
        <f aca="false">ROUND(Q273,0)-D273</f>
        <v>1179</v>
      </c>
      <c r="F273" s="21" t="n">
        <f aca="false">IF(COUNTA(D273:E273)=0,"",SUM(D273:E273))</f>
        <v>2023</v>
      </c>
      <c r="G273" s="39" t="n">
        <f aca="false">IF(OR(F273="",F273=0),"",D273/F273)</f>
        <v>0.417202174987642</v>
      </c>
      <c r="H273" s="39" t="n">
        <f aca="false">IF(OR(F273="",F273=0),"",E273/F273)</f>
        <v>0.582797825012358</v>
      </c>
      <c r="I273" s="38" t="s">
        <v>89</v>
      </c>
      <c r="J273" s="40" t="n">
        <v>1.87006919874525</v>
      </c>
      <c r="K273" s="39" t="n">
        <f aca="false">IF(G273="","",MAX(0,G273-J273/100))</f>
        <v>0.39850148300019</v>
      </c>
      <c r="L273" s="39" t="n">
        <f aca="false">IF(G273="","",MIN(1,G273+J273/100))</f>
        <v>0.435902866975095</v>
      </c>
      <c r="M273" s="21" t="n">
        <f aca="false">ROUND(Q273*S273,0)</f>
        <v>280</v>
      </c>
      <c r="N273" s="21" t="n">
        <f aca="false">ROUND(SQRT((F273*J273/100)^2+(G273*M273)^2),0)</f>
        <v>123</v>
      </c>
      <c r="P273" s="41" t="n">
        <v>-12.0819760913821</v>
      </c>
      <c r="Q273" s="42" t="n">
        <v>2023.34966420579</v>
      </c>
      <c r="R273" s="43" t="n">
        <f aca="false">MAX(0,MIN(1,P273/100+$D$5))</f>
        <v>0.417005933749939</v>
      </c>
      <c r="S273" s="43" t="n">
        <v>0.138178110610255</v>
      </c>
      <c r="T273" s="44" t="s">
        <v>128</v>
      </c>
    </row>
    <row r="274" customFormat="false" ht="15" hidden="false" customHeight="false" outlineLevel="0" collapsed="false">
      <c r="A274" s="38" t="s">
        <v>344</v>
      </c>
      <c r="B274" s="38" t="s">
        <v>395</v>
      </c>
      <c r="C274" s="38" t="s">
        <v>397</v>
      </c>
      <c r="D274" s="21" t="n">
        <f aca="false">ROUND(Q274*R274,0)</f>
        <v>757</v>
      </c>
      <c r="E274" s="21" t="n">
        <f aca="false">ROUND(Q274,0)-D274</f>
        <v>972</v>
      </c>
      <c r="F274" s="21" t="n">
        <f aca="false">IF(COUNTA(D274:E274)=0,"",SUM(D274:E274))</f>
        <v>1729</v>
      </c>
      <c r="G274" s="39" t="n">
        <f aca="false">IF(OR(F274="",F274=0),"",D274/F274)</f>
        <v>0.437825332562175</v>
      </c>
      <c r="H274" s="39" t="n">
        <f aca="false">IF(OR(F274="",F274=0),"",E274/F274)</f>
        <v>0.562174667437825</v>
      </c>
      <c r="I274" s="38" t="s">
        <v>89</v>
      </c>
      <c r="J274" s="40" t="n">
        <v>1.87006919874525</v>
      </c>
      <c r="K274" s="39" t="n">
        <f aca="false">IF(G274="","",MAX(0,G274-J274/100))</f>
        <v>0.419124640574722</v>
      </c>
      <c r="L274" s="39" t="n">
        <f aca="false">IF(G274="","",MIN(1,G274+J274/100))</f>
        <v>0.456526024549627</v>
      </c>
      <c r="M274" s="21" t="n">
        <f aca="false">ROUND(Q274*S274,0)</f>
        <v>239</v>
      </c>
      <c r="N274" s="21" t="n">
        <f aca="false">ROUND(SQRT((F274*J274/100)^2+(G274*M274)^2),0)</f>
        <v>110</v>
      </c>
      <c r="P274" s="41" t="n">
        <v>-10.0264198942896</v>
      </c>
      <c r="Q274" s="42" t="n">
        <v>1729.04714406557</v>
      </c>
      <c r="R274" s="43" t="n">
        <f aca="false">MAX(0,MIN(1,P274/100+$D$5))</f>
        <v>0.437561495720864</v>
      </c>
      <c r="S274" s="43" t="n">
        <v>0.138178110610255</v>
      </c>
      <c r="T274" s="44" t="s">
        <v>128</v>
      </c>
    </row>
    <row r="275" customFormat="false" ht="15" hidden="false" customHeight="false" outlineLevel="0" collapsed="false">
      <c r="A275" s="38" t="s">
        <v>344</v>
      </c>
      <c r="B275" s="38" t="s">
        <v>395</v>
      </c>
      <c r="C275" s="38" t="s">
        <v>398</v>
      </c>
      <c r="D275" s="21" t="n">
        <f aca="false">ROUND(Q275*R275,0)</f>
        <v>401</v>
      </c>
      <c r="E275" s="21" t="n">
        <f aca="false">ROUND(Q275,0)-D275</f>
        <v>630</v>
      </c>
      <c r="F275" s="21" t="n">
        <f aca="false">IF(COUNTA(D275:E275)=0,"",SUM(D275:E275))</f>
        <v>1031</v>
      </c>
      <c r="G275" s="39" t="n">
        <f aca="false">IF(OR(F275="",F275=0),"",D275/F275)</f>
        <v>0.38894277400582</v>
      </c>
      <c r="H275" s="39" t="n">
        <f aca="false">IF(OR(F275="",F275=0),"",E275/F275)</f>
        <v>0.61105722599418</v>
      </c>
      <c r="I275" s="38" t="s">
        <v>89</v>
      </c>
      <c r="J275" s="40" t="n">
        <v>2.0110742867014</v>
      </c>
      <c r="K275" s="39" t="n">
        <f aca="false">IF(G275="","",MAX(0,G275-J275/100))</f>
        <v>0.368832031138806</v>
      </c>
      <c r="L275" s="39" t="n">
        <f aca="false">IF(G275="","",MIN(1,G275+J275/100))</f>
        <v>0.409053516872834</v>
      </c>
      <c r="M275" s="21" t="n">
        <f aca="false">ROUND(Q275*S275,0)</f>
        <v>63</v>
      </c>
      <c r="N275" s="21" t="n">
        <f aca="false">ROUND(SQRT((F275*J275/100)^2+(G275*M275)^2),0)</f>
        <v>32</v>
      </c>
      <c r="P275" s="41" t="n">
        <v>-14.8524116713209</v>
      </c>
      <c r="Q275" s="42" t="n">
        <v>1030.80604526818</v>
      </c>
      <c r="R275" s="43" t="n">
        <f aca="false">MAX(0,MIN(1,P275/100+$D$5))</f>
        <v>0.389301577950551</v>
      </c>
      <c r="S275" s="43" t="n">
        <v>0.0608302283160348</v>
      </c>
      <c r="T275" s="44" t="s">
        <v>99</v>
      </c>
    </row>
    <row r="276" customFormat="false" ht="15" hidden="false" customHeight="false" outlineLevel="0" collapsed="false">
      <c r="A276" s="38" t="s">
        <v>344</v>
      </c>
      <c r="B276" s="38" t="s">
        <v>399</v>
      </c>
      <c r="C276" s="38" t="s">
        <v>399</v>
      </c>
      <c r="D276" s="21" t="n">
        <f aca="false">ROUND(Q276*R276,0)</f>
        <v>41</v>
      </c>
      <c r="E276" s="21" t="n">
        <f aca="false">ROUND(Q276,0)-D276</f>
        <v>63</v>
      </c>
      <c r="F276" s="21" t="n">
        <f aca="false">IF(COUNTA(D276:E276)=0,"",SUM(D276:E276))</f>
        <v>104</v>
      </c>
      <c r="G276" s="39" t="n">
        <f aca="false">IF(OR(F276="",F276=0),"",D276/F276)</f>
        <v>0.394230769230769</v>
      </c>
      <c r="H276" s="39" t="n">
        <f aca="false">IF(OR(F276="",F276=0),"",E276/F276)</f>
        <v>0.605769230769231</v>
      </c>
      <c r="I276" s="38" t="s">
        <v>89</v>
      </c>
      <c r="J276" s="40" t="n">
        <v>3.09864730606258</v>
      </c>
      <c r="K276" s="39" t="n">
        <f aca="false">IF(G276="","",MAX(0,G276-J276/100))</f>
        <v>0.363244296170143</v>
      </c>
      <c r="L276" s="39" t="n">
        <f aca="false">IF(G276="","",MIN(1,G276+J276/100))</f>
        <v>0.425217242291395</v>
      </c>
      <c r="M276" s="21" t="n">
        <f aca="false">ROUND(Q276*S276,0)</f>
        <v>8</v>
      </c>
      <c r="N276" s="21" t="n">
        <f aca="false">ROUND(SQRT((F276*J276/100)^2+(G276*M276)^2),0)</f>
        <v>5</v>
      </c>
      <c r="P276" s="41" t="n">
        <v>-14.4569686399679</v>
      </c>
      <c r="Q276" s="42" t="n">
        <v>103.696060989272</v>
      </c>
      <c r="R276" s="43" t="n">
        <f aca="false">MAX(0,MIN(1,P276/100+$D$5))</f>
        <v>0.393256008264081</v>
      </c>
      <c r="S276" s="43" t="n">
        <v>0.0731122618343653</v>
      </c>
      <c r="T276" s="44" t="s">
        <v>90</v>
      </c>
    </row>
    <row r="277" customFormat="false" ht="15" hidden="false" customHeight="false" outlineLevel="0" collapsed="false">
      <c r="A277" s="38" t="s">
        <v>344</v>
      </c>
      <c r="B277" s="38" t="s">
        <v>400</v>
      </c>
      <c r="C277" s="38" t="s">
        <v>401</v>
      </c>
      <c r="D277" s="21" t="n">
        <f aca="false">ROUND(Q277*R277,0)</f>
        <v>692</v>
      </c>
      <c r="E277" s="21" t="n">
        <f aca="false">ROUND(Q277,0)-D277</f>
        <v>829</v>
      </c>
      <c r="F277" s="21" t="n">
        <f aca="false">IF(COUNTA(D277:E277)=0,"",SUM(D277:E277))</f>
        <v>1521</v>
      </c>
      <c r="G277" s="39" t="n">
        <f aca="false">IF(OR(F277="",F277=0),"",D277/F277)</f>
        <v>0.454963839579224</v>
      </c>
      <c r="H277" s="39" t="n">
        <f aca="false">IF(OR(F277="",F277=0),"",E277/F277)</f>
        <v>0.545036160420776</v>
      </c>
      <c r="I277" s="38" t="s">
        <v>89</v>
      </c>
      <c r="J277" s="40" t="n">
        <v>1.87006919874525</v>
      </c>
      <c r="K277" s="39" t="n">
        <f aca="false">IF(G277="","",MAX(0,G277-J277/100))</f>
        <v>0.436263147591772</v>
      </c>
      <c r="L277" s="39" t="n">
        <f aca="false">IF(G277="","",MIN(1,G277+J277/100))</f>
        <v>0.473664531566677</v>
      </c>
      <c r="M277" s="21" t="n">
        <f aca="false">ROUND(Q277*S277,0)</f>
        <v>210</v>
      </c>
      <c r="N277" s="21" t="n">
        <f aca="false">ROUND(SQRT((F277*J277/100)^2+(G277*M277)^2),0)</f>
        <v>100</v>
      </c>
      <c r="P277" s="41" t="n">
        <v>-8.32256449489621</v>
      </c>
      <c r="Q277" s="42" t="n">
        <v>1521.33961520387</v>
      </c>
      <c r="R277" s="43" t="n">
        <f aca="false">MAX(0,MIN(1,P277/100+$D$5))</f>
        <v>0.454600049714798</v>
      </c>
      <c r="S277" s="43" t="n">
        <v>0.138178110610255</v>
      </c>
      <c r="T277" s="44" t="s">
        <v>128</v>
      </c>
    </row>
    <row r="278" customFormat="false" ht="15" hidden="false" customHeight="false" outlineLevel="0" collapsed="false">
      <c r="A278" s="38" t="s">
        <v>344</v>
      </c>
      <c r="B278" s="38" t="s">
        <v>400</v>
      </c>
      <c r="C278" s="38" t="s">
        <v>402</v>
      </c>
      <c r="D278" s="21" t="n">
        <f aca="false">ROUND(Q278*R278,0)</f>
        <v>660</v>
      </c>
      <c r="E278" s="21" t="n">
        <f aca="false">ROUND(Q278,0)-D278</f>
        <v>684</v>
      </c>
      <c r="F278" s="21" t="n">
        <f aca="false">IF(COUNTA(D278:E278)=0,"",SUM(D278:E278))</f>
        <v>1344</v>
      </c>
      <c r="G278" s="39" t="n">
        <f aca="false">IF(OR(F278="",F278=0),"",D278/F278)</f>
        <v>0.491071428571429</v>
      </c>
      <c r="H278" s="39" t="n">
        <f aca="false">IF(OR(F278="",F278=0),"",E278/F278)</f>
        <v>0.508928571428571</v>
      </c>
      <c r="I278" s="38" t="s">
        <v>89</v>
      </c>
      <c r="J278" s="40" t="n">
        <v>1.87006919874525</v>
      </c>
      <c r="K278" s="39" t="n">
        <f aca="false">IF(G278="","",MAX(0,G278-J278/100))</f>
        <v>0.472370736583976</v>
      </c>
      <c r="L278" s="39" t="n">
        <f aca="false">IF(G278="","",MIN(1,G278+J278/100))</f>
        <v>0.509772120558881</v>
      </c>
      <c r="M278" s="21" t="n">
        <f aca="false">ROUND(Q278*S278,0)</f>
        <v>186</v>
      </c>
      <c r="N278" s="21" t="n">
        <f aca="false">ROUND(SQRT((F278*J278/100)^2+(G278*M278)^2),0)</f>
        <v>95</v>
      </c>
      <c r="P278" s="41" t="n">
        <v>-4.66424061718463</v>
      </c>
      <c r="Q278" s="42" t="n">
        <v>1343.87463266032</v>
      </c>
      <c r="R278" s="43" t="n">
        <f aca="false">MAX(0,MIN(1,P278/100+$D$5))</f>
        <v>0.491183288491913</v>
      </c>
      <c r="S278" s="43" t="n">
        <v>0.138178110610255</v>
      </c>
      <c r="T278" s="44" t="s">
        <v>128</v>
      </c>
    </row>
    <row r="279" customFormat="false" ht="15" hidden="false" customHeight="false" outlineLevel="0" collapsed="false">
      <c r="A279" s="38" t="s">
        <v>344</v>
      </c>
      <c r="B279" s="38" t="s">
        <v>403</v>
      </c>
      <c r="C279" s="38" t="s">
        <v>403</v>
      </c>
      <c r="D279" s="21" t="n">
        <f aca="false">ROUND(Q279*R279,0)</f>
        <v>178</v>
      </c>
      <c r="E279" s="21" t="n">
        <f aca="false">ROUND(Q279,0)-D279</f>
        <v>223</v>
      </c>
      <c r="F279" s="21" t="n">
        <f aca="false">IF(COUNTA(D279:E279)=0,"",SUM(D279:E279))</f>
        <v>401</v>
      </c>
      <c r="G279" s="39" t="n">
        <f aca="false">IF(OR(F279="",F279=0),"",D279/F279)</f>
        <v>0.443890274314214</v>
      </c>
      <c r="H279" s="39" t="n">
        <f aca="false">IF(OR(F279="",F279=0),"",E279/F279)</f>
        <v>0.556109725685786</v>
      </c>
      <c r="I279" s="38" t="s">
        <v>89</v>
      </c>
      <c r="J279" s="40" t="n">
        <v>3.09864730606258</v>
      </c>
      <c r="K279" s="39" t="n">
        <f aca="false">IF(G279="","",MAX(0,G279-J279/100))</f>
        <v>0.412903801253589</v>
      </c>
      <c r="L279" s="39" t="n">
        <f aca="false">IF(G279="","",MIN(1,G279+J279/100))</f>
        <v>0.47487674737484</v>
      </c>
      <c r="M279" s="21" t="n">
        <f aca="false">ROUND(Q279*S279,0)</f>
        <v>29</v>
      </c>
      <c r="N279" s="21" t="n">
        <f aca="false">ROUND(SQRT((F279*J279/100)^2+(G279*M279)^2),0)</f>
        <v>18</v>
      </c>
      <c r="P279" s="41" t="n">
        <v>-9.4365500736625</v>
      </c>
      <c r="Q279" s="42" t="n">
        <v>401.095894451562</v>
      </c>
      <c r="R279" s="43" t="n">
        <f aca="false">MAX(0,MIN(1,P279/100+$D$5))</f>
        <v>0.443460193927135</v>
      </c>
      <c r="S279" s="43" t="n">
        <v>0.0731122618343653</v>
      </c>
      <c r="T279" s="44" t="s">
        <v>90</v>
      </c>
    </row>
    <row r="280" customFormat="false" ht="15" hidden="false" customHeight="false" outlineLevel="0" collapsed="false">
      <c r="A280" s="38" t="s">
        <v>344</v>
      </c>
      <c r="B280" s="38" t="s">
        <v>404</v>
      </c>
      <c r="C280" s="38" t="s">
        <v>405</v>
      </c>
      <c r="D280" s="21" t="n">
        <f aca="false">ROUND(Q280*R280,0)</f>
        <v>641</v>
      </c>
      <c r="E280" s="21" t="n">
        <f aca="false">ROUND(Q280,0)-D280</f>
        <v>316</v>
      </c>
      <c r="F280" s="21" t="n">
        <f aca="false">IF(COUNTA(D280:E280)=0,"",SUM(D280:E280))</f>
        <v>957</v>
      </c>
      <c r="G280" s="39" t="n">
        <f aca="false">IF(OR(F280="",F280=0),"",D280/F280)</f>
        <v>0.669801462904911</v>
      </c>
      <c r="H280" s="39" t="n">
        <f aca="false">IF(OR(F280="",F280=0),"",E280/F280)</f>
        <v>0.330198537095089</v>
      </c>
      <c r="I280" s="38" t="s">
        <v>191</v>
      </c>
      <c r="J280" s="40" t="n">
        <v>2.0110742867014</v>
      </c>
      <c r="K280" s="39" t="n">
        <f aca="false">IF(G280="","",MAX(0,G280-J280/100))</f>
        <v>0.649690720037897</v>
      </c>
      <c r="L280" s="39" t="n">
        <f aca="false">IF(G280="","",MIN(1,G280+J280/100))</f>
        <v>0.689912205771925</v>
      </c>
      <c r="M280" s="21" t="n">
        <f aca="false">ROUND(Q280*S280,0)</f>
        <v>58</v>
      </c>
      <c r="N280" s="21" t="n">
        <f aca="false">ROUND(SQRT((F280*J280/100)^2+(G280*M280)^2),0)</f>
        <v>43</v>
      </c>
      <c r="P280" s="41" t="n">
        <v>13.1649628234547</v>
      </c>
      <c r="Q280" s="42" t="n">
        <v>957.191318338666</v>
      </c>
      <c r="R280" s="43" t="n">
        <f aca="false">MAX(0,MIN(1,P280/100+$D$5))</f>
        <v>0.669475322898307</v>
      </c>
      <c r="S280" s="43" t="n">
        <v>0.0608302283160348</v>
      </c>
      <c r="T280" s="44" t="s">
        <v>99</v>
      </c>
    </row>
    <row r="281" customFormat="false" ht="15" hidden="false" customHeight="false" outlineLevel="0" collapsed="false">
      <c r="A281" s="38" t="s">
        <v>344</v>
      </c>
      <c r="B281" s="38" t="s">
        <v>404</v>
      </c>
      <c r="C281" s="38" t="s">
        <v>406</v>
      </c>
      <c r="D281" s="21" t="n">
        <f aca="false">ROUND(Q281*R281,0)</f>
        <v>417</v>
      </c>
      <c r="E281" s="21" t="n">
        <f aca="false">ROUND(Q281,0)-D281</f>
        <v>182</v>
      </c>
      <c r="F281" s="21" t="n">
        <f aca="false">IF(COUNTA(D281:E281)=0,"",SUM(D281:E281))</f>
        <v>599</v>
      </c>
      <c r="G281" s="39" t="n">
        <f aca="false">IF(OR(F281="",F281=0),"",D281/F281)</f>
        <v>0.696160267111853</v>
      </c>
      <c r="H281" s="39" t="n">
        <f aca="false">IF(OR(F281="",F281=0),"",E281/F281)</f>
        <v>0.303839732888147</v>
      </c>
      <c r="I281" s="38" t="s">
        <v>89</v>
      </c>
      <c r="J281" s="40" t="n">
        <v>3.09864730606258</v>
      </c>
      <c r="K281" s="39" t="n">
        <f aca="false">IF(G281="","",MAX(0,G281-J281/100))</f>
        <v>0.665173794051227</v>
      </c>
      <c r="L281" s="39" t="n">
        <f aca="false">IF(G281="","",MIN(1,G281+J281/100))</f>
        <v>0.727146740172479</v>
      </c>
      <c r="M281" s="21" t="n">
        <f aca="false">ROUND(Q281*S281,0)</f>
        <v>44</v>
      </c>
      <c r="N281" s="21" t="n">
        <f aca="false">ROUND(SQRT((F281*J281/100)^2+(G281*M281)^2),0)</f>
        <v>36</v>
      </c>
      <c r="P281" s="41" t="n">
        <v>15.830555658681</v>
      </c>
      <c r="Q281" s="42" t="n">
        <v>598.609927621169</v>
      </c>
      <c r="R281" s="43" t="n">
        <f aca="false">MAX(0,MIN(1,P281/100+$D$5))</f>
        <v>0.69613125125057</v>
      </c>
      <c r="S281" s="43" t="n">
        <v>0.0731122618343653</v>
      </c>
      <c r="T281" s="44" t="s">
        <v>90</v>
      </c>
    </row>
    <row r="282" customFormat="false" ht="15" hidden="false" customHeight="false" outlineLevel="0" collapsed="false">
      <c r="A282" s="38" t="s">
        <v>344</v>
      </c>
      <c r="B282" s="38" t="s">
        <v>404</v>
      </c>
      <c r="C282" s="38" t="s">
        <v>407</v>
      </c>
      <c r="D282" s="21" t="n">
        <f aca="false">ROUND(Q282*R282,0)</f>
        <v>470</v>
      </c>
      <c r="E282" s="21" t="n">
        <f aca="false">ROUND(Q282,0)-D282</f>
        <v>173</v>
      </c>
      <c r="F282" s="21" t="n">
        <f aca="false">IF(COUNTA(D282:E282)=0,"",SUM(D282:E282))</f>
        <v>643</v>
      </c>
      <c r="G282" s="39" t="n">
        <f aca="false">IF(OR(F282="",F282=0),"",D282/F282)</f>
        <v>0.73094867807154</v>
      </c>
      <c r="H282" s="39" t="n">
        <f aca="false">IF(OR(F282="",F282=0),"",E282/F282)</f>
        <v>0.26905132192846</v>
      </c>
      <c r="I282" s="38" t="s">
        <v>89</v>
      </c>
      <c r="J282" s="40" t="n">
        <v>3.09864730606258</v>
      </c>
      <c r="K282" s="39" t="n">
        <f aca="false">IF(G282="","",MAX(0,G282-J282/100))</f>
        <v>0.699962205010914</v>
      </c>
      <c r="L282" s="39" t="n">
        <f aca="false">IF(G282="","",MIN(1,G282+J282/100))</f>
        <v>0.761935151132165</v>
      </c>
      <c r="M282" s="21" t="n">
        <f aca="false">ROUND(Q282*S282,0)</f>
        <v>47</v>
      </c>
      <c r="N282" s="21" t="n">
        <f aca="false">ROUND(SQRT((F282*J282/100)^2+(G282*M282)^2),0)</f>
        <v>40</v>
      </c>
      <c r="P282" s="41" t="n">
        <v>19.2344967561707</v>
      </c>
      <c r="Q282" s="42" t="n">
        <v>643.352603910071</v>
      </c>
      <c r="R282" s="43" t="n">
        <f aca="false">MAX(0,MIN(1,P282/100+$D$5))</f>
        <v>0.730170662225466</v>
      </c>
      <c r="S282" s="43" t="n">
        <v>0.0731122618343653</v>
      </c>
      <c r="T282" s="44" t="s">
        <v>90</v>
      </c>
    </row>
    <row r="283" customFormat="false" ht="15" hidden="false" customHeight="false" outlineLevel="0" collapsed="false">
      <c r="A283" s="38" t="s">
        <v>344</v>
      </c>
      <c r="B283" s="38" t="s">
        <v>404</v>
      </c>
      <c r="C283" s="38" t="s">
        <v>408</v>
      </c>
      <c r="D283" s="21" t="n">
        <f aca="false">ROUND(Q283*R283,0)</f>
        <v>697</v>
      </c>
      <c r="E283" s="21" t="n">
        <f aca="false">ROUND(Q283,0)-D283</f>
        <v>225</v>
      </c>
      <c r="F283" s="21" t="n">
        <f aca="false">IF(COUNTA(D283:E283)=0,"",SUM(D283:E283))</f>
        <v>922</v>
      </c>
      <c r="G283" s="39" t="n">
        <f aca="false">IF(OR(F283="",F283=0),"",D283/F283)</f>
        <v>0.755965292841649</v>
      </c>
      <c r="H283" s="39" t="n">
        <f aca="false">IF(OR(F283="",F283=0),"",E283/F283)</f>
        <v>0.244034707158351</v>
      </c>
      <c r="I283" s="38" t="s">
        <v>89</v>
      </c>
      <c r="J283" s="40" t="n">
        <v>2.0110742867014</v>
      </c>
      <c r="K283" s="39" t="n">
        <f aca="false">IF(G283="","",MAX(0,G283-J283/100))</f>
        <v>0.735854549974635</v>
      </c>
      <c r="L283" s="39" t="n">
        <f aca="false">IF(G283="","",MIN(1,G283+J283/100))</f>
        <v>0.776076035708663</v>
      </c>
      <c r="M283" s="21" t="n">
        <f aca="false">ROUND(Q283*S283,0)</f>
        <v>56</v>
      </c>
      <c r="N283" s="21" t="n">
        <f aca="false">ROUND(SQRT((F283*J283/100)^2+(G283*M283)^2),0)</f>
        <v>46</v>
      </c>
      <c r="P283" s="41" t="n">
        <v>21.757708067566</v>
      </c>
      <c r="Q283" s="42" t="n">
        <v>922.077222962534</v>
      </c>
      <c r="R283" s="43" t="n">
        <f aca="false">MAX(0,MIN(1,P283/100+$D$5))</f>
        <v>0.75540277533942</v>
      </c>
      <c r="S283" s="43" t="n">
        <v>0.0608302283160348</v>
      </c>
      <c r="T283" s="44" t="s">
        <v>99</v>
      </c>
    </row>
    <row r="284" customFormat="false" ht="15" hidden="false" customHeight="false" outlineLevel="0" collapsed="false">
      <c r="A284" s="38" t="s">
        <v>344</v>
      </c>
      <c r="B284" s="38" t="s">
        <v>404</v>
      </c>
      <c r="C284" s="38" t="s">
        <v>409</v>
      </c>
      <c r="D284" s="21" t="n">
        <f aca="false">ROUND(Q284*R284,0)</f>
        <v>508</v>
      </c>
      <c r="E284" s="21" t="n">
        <f aca="false">ROUND(Q284,0)-D284</f>
        <v>132</v>
      </c>
      <c r="F284" s="21" t="n">
        <f aca="false">IF(COUNTA(D284:E284)=0,"",SUM(D284:E284))</f>
        <v>640</v>
      </c>
      <c r="G284" s="39" t="n">
        <f aca="false">IF(OR(F284="",F284=0),"",D284/F284)</f>
        <v>0.79375</v>
      </c>
      <c r="H284" s="39" t="n">
        <f aca="false">IF(OR(F284="",F284=0),"",E284/F284)</f>
        <v>0.20625</v>
      </c>
      <c r="I284" s="38" t="s">
        <v>89</v>
      </c>
      <c r="J284" s="40" t="n">
        <v>3.09864730606258</v>
      </c>
      <c r="K284" s="39" t="n">
        <f aca="false">IF(G284="","",MAX(0,G284-J284/100))</f>
        <v>0.762763526939374</v>
      </c>
      <c r="L284" s="39" t="n">
        <f aca="false">IF(G284="","",MIN(1,G284+J284/100))</f>
        <v>0.824736473060626</v>
      </c>
      <c r="M284" s="21" t="n">
        <f aca="false">ROUND(Q284*S284,0)</f>
        <v>47</v>
      </c>
      <c r="N284" s="21" t="n">
        <f aca="false">ROUND(SQRT((F284*J284/100)^2+(G284*M284)^2),0)</f>
        <v>42</v>
      </c>
      <c r="P284" s="41" t="n">
        <v>25.5519221015498</v>
      </c>
      <c r="Q284" s="42" t="n">
        <v>639.797198257591</v>
      </c>
      <c r="R284" s="43" t="n">
        <f aca="false">MAX(0,MIN(1,P284/100+$D$5))</f>
        <v>0.793344915679258</v>
      </c>
      <c r="S284" s="43" t="n">
        <v>0.0731122618343653</v>
      </c>
      <c r="T284" s="44" t="s">
        <v>90</v>
      </c>
    </row>
    <row r="285" customFormat="false" ht="15" hidden="false" customHeight="false" outlineLevel="0" collapsed="false">
      <c r="A285" s="38" t="s">
        <v>344</v>
      </c>
      <c r="B285" s="38" t="s">
        <v>404</v>
      </c>
      <c r="C285" s="38" t="s">
        <v>410</v>
      </c>
      <c r="D285" s="21" t="n">
        <f aca="false">ROUND(Q285*R285,0)</f>
        <v>513</v>
      </c>
      <c r="E285" s="21" t="n">
        <f aca="false">ROUND(Q285,0)-D285</f>
        <v>208</v>
      </c>
      <c r="F285" s="21" t="n">
        <f aca="false">IF(COUNTA(D285:E285)=0,"",SUM(D285:E285))</f>
        <v>721</v>
      </c>
      <c r="G285" s="39" t="n">
        <f aca="false">IF(OR(F285="",F285=0),"",D285/F285)</f>
        <v>0.711511789181692</v>
      </c>
      <c r="H285" s="39" t="n">
        <f aca="false">IF(OR(F285="",F285=0),"",E285/F285)</f>
        <v>0.288488210818308</v>
      </c>
      <c r="I285" s="38" t="s">
        <v>89</v>
      </c>
      <c r="J285" s="40" t="n">
        <v>3.09864730606258</v>
      </c>
      <c r="K285" s="39" t="n">
        <f aca="false">IF(G285="","",MAX(0,G285-J285/100))</f>
        <v>0.680525316121066</v>
      </c>
      <c r="L285" s="39" t="n">
        <f aca="false">IF(G285="","",MIN(1,G285+J285/100))</f>
        <v>0.742498262242318</v>
      </c>
      <c r="M285" s="21" t="n">
        <f aca="false">ROUND(Q285*S285,0)</f>
        <v>53</v>
      </c>
      <c r="N285" s="21" t="n">
        <f aca="false">ROUND(SQRT((F285*J285/100)^2+(G285*M285)^2),0)</f>
        <v>44</v>
      </c>
      <c r="P285" s="41" t="n">
        <v>17.387166102868</v>
      </c>
      <c r="Q285" s="42" t="n">
        <v>720.573268560744</v>
      </c>
      <c r="R285" s="43" t="n">
        <f aca="false">MAX(0,MIN(1,P285/100+$D$5))</f>
        <v>0.71169735569244</v>
      </c>
      <c r="S285" s="43" t="n">
        <v>0.0731122618343653</v>
      </c>
      <c r="T285" s="44" t="s">
        <v>90</v>
      </c>
    </row>
    <row r="286" customFormat="false" ht="15" hidden="false" customHeight="false" outlineLevel="0" collapsed="false">
      <c r="A286" s="38" t="s">
        <v>344</v>
      </c>
      <c r="B286" s="38" t="s">
        <v>404</v>
      </c>
      <c r="C286" s="38" t="s">
        <v>411</v>
      </c>
      <c r="D286" s="21" t="n">
        <f aca="false">ROUND(Q286*R286,0)</f>
        <v>371</v>
      </c>
      <c r="E286" s="21" t="n">
        <f aca="false">ROUND(Q286,0)-D286</f>
        <v>157</v>
      </c>
      <c r="F286" s="21" t="n">
        <f aca="false">IF(COUNTA(D286:E286)=0,"",SUM(D286:E286))</f>
        <v>528</v>
      </c>
      <c r="G286" s="39" t="n">
        <f aca="false">IF(OR(F286="",F286=0),"",D286/F286)</f>
        <v>0.702651515151515</v>
      </c>
      <c r="H286" s="39" t="n">
        <f aca="false">IF(OR(F286="",F286=0),"",E286/F286)</f>
        <v>0.297348484848485</v>
      </c>
      <c r="I286" s="38" t="s">
        <v>89</v>
      </c>
      <c r="J286" s="40" t="n">
        <v>3.09864730606258</v>
      </c>
      <c r="K286" s="39" t="n">
        <f aca="false">IF(G286="","",MAX(0,G286-J286/100))</f>
        <v>0.671665042090889</v>
      </c>
      <c r="L286" s="39" t="n">
        <f aca="false">IF(G286="","",MIN(1,G286+J286/100))</f>
        <v>0.733637988212141</v>
      </c>
      <c r="M286" s="21" t="n">
        <f aca="false">ROUND(Q286*S286,0)</f>
        <v>39</v>
      </c>
      <c r="N286" s="21" t="n">
        <f aca="false">ROUND(SQRT((F286*J286/100)^2+(G286*M286)^2),0)</f>
        <v>32</v>
      </c>
      <c r="P286" s="41" t="n">
        <v>16.5585769458355</v>
      </c>
      <c r="Q286" s="42" t="n">
        <v>527.896021510289</v>
      </c>
      <c r="R286" s="43" t="n">
        <f aca="false">MAX(0,MIN(1,P286/100+$D$5))</f>
        <v>0.703411464122114</v>
      </c>
      <c r="S286" s="43" t="n">
        <v>0.0731122618343653</v>
      </c>
      <c r="T286" s="44" t="s">
        <v>90</v>
      </c>
    </row>
    <row r="287" customFormat="false" ht="15" hidden="false" customHeight="false" outlineLevel="0" collapsed="false">
      <c r="A287" s="38" t="s">
        <v>344</v>
      </c>
      <c r="B287" s="38" t="s">
        <v>404</v>
      </c>
      <c r="C287" s="38" t="s">
        <v>412</v>
      </c>
      <c r="D287" s="21" t="n">
        <f aca="false">ROUND(Q287*R287,0)</f>
        <v>155</v>
      </c>
      <c r="E287" s="21" t="n">
        <f aca="false">ROUND(Q287,0)-D287</f>
        <v>51</v>
      </c>
      <c r="F287" s="21" t="n">
        <f aca="false">IF(COUNTA(D287:E287)=0,"",SUM(D287:E287))</f>
        <v>206</v>
      </c>
      <c r="G287" s="39" t="n">
        <f aca="false">IF(OR(F287="",F287=0),"",D287/F287)</f>
        <v>0.752427184466019</v>
      </c>
      <c r="H287" s="39" t="n">
        <f aca="false">IF(OR(F287="",F287=0),"",E287/F287)</f>
        <v>0.247572815533981</v>
      </c>
      <c r="I287" s="38" t="s">
        <v>89</v>
      </c>
      <c r="J287" s="40" t="n">
        <v>3.09864730606258</v>
      </c>
      <c r="K287" s="39" t="n">
        <f aca="false">IF(G287="","",MAX(0,G287-J287/100))</f>
        <v>0.721440711405394</v>
      </c>
      <c r="L287" s="39" t="n">
        <f aca="false">IF(G287="","",MIN(1,G287+J287/100))</f>
        <v>0.783413657526645</v>
      </c>
      <c r="M287" s="21" t="n">
        <f aca="false">ROUND(Q287*S287,0)</f>
        <v>15</v>
      </c>
      <c r="N287" s="21" t="n">
        <f aca="false">ROUND(SQRT((F287*J287/100)^2+(G287*M287)^2),0)</f>
        <v>13</v>
      </c>
      <c r="P287" s="41" t="n">
        <v>21.2286726176066</v>
      </c>
      <c r="Q287" s="42" t="n">
        <v>206.191459798713</v>
      </c>
      <c r="R287" s="43" t="n">
        <f aca="false">MAX(0,MIN(1,P287/100+$D$5))</f>
        <v>0.750112420839826</v>
      </c>
      <c r="S287" s="43" t="n">
        <v>0.0731122618343653</v>
      </c>
      <c r="T287" s="44" t="s">
        <v>90</v>
      </c>
    </row>
    <row r="288" customFormat="false" ht="15" hidden="false" customHeight="false" outlineLevel="0" collapsed="false">
      <c r="A288" s="38" t="s">
        <v>344</v>
      </c>
      <c r="B288" s="38" t="s">
        <v>404</v>
      </c>
      <c r="C288" s="38" t="s">
        <v>413</v>
      </c>
      <c r="D288" s="21" t="n">
        <f aca="false">ROUND(Q288*R288,0)</f>
        <v>219</v>
      </c>
      <c r="E288" s="21" t="n">
        <f aca="false">ROUND(Q288,0)-D288</f>
        <v>78</v>
      </c>
      <c r="F288" s="21" t="n">
        <f aca="false">IF(COUNTA(D288:E288)=0,"",SUM(D288:E288))</f>
        <v>297</v>
      </c>
      <c r="G288" s="39" t="n">
        <f aca="false">IF(OR(F288="",F288=0),"",D288/F288)</f>
        <v>0.737373737373737</v>
      </c>
      <c r="H288" s="39" t="n">
        <f aca="false">IF(OR(F288="",F288=0),"",E288/F288)</f>
        <v>0.262626262626263</v>
      </c>
      <c r="I288" s="38" t="s">
        <v>89</v>
      </c>
      <c r="J288" s="40" t="n">
        <v>3.09864730606258</v>
      </c>
      <c r="K288" s="39" t="n">
        <f aca="false">IF(G288="","",MAX(0,G288-J288/100))</f>
        <v>0.706387264313112</v>
      </c>
      <c r="L288" s="39" t="n">
        <f aca="false">IF(G288="","",MIN(1,G288+J288/100))</f>
        <v>0.768360210434363</v>
      </c>
      <c r="M288" s="21" t="n">
        <f aca="false">ROUND(Q288*S288,0)</f>
        <v>22</v>
      </c>
      <c r="N288" s="21" t="n">
        <f aca="false">ROUND(SQRT((F288*J288/100)^2+(G288*M288)^2),0)</f>
        <v>19</v>
      </c>
      <c r="P288" s="41" t="n">
        <v>20.0628975131357</v>
      </c>
      <c r="Q288" s="42" t="n">
        <v>297.003033542322</v>
      </c>
      <c r="R288" s="43" t="n">
        <f aca="false">MAX(0,MIN(1,P288/100+$D$5))</f>
        <v>0.738454669795116</v>
      </c>
      <c r="S288" s="43" t="n">
        <v>0.0731122618343653</v>
      </c>
      <c r="T288" s="44" t="s">
        <v>90</v>
      </c>
    </row>
    <row r="289" customFormat="false" ht="15" hidden="false" customHeight="false" outlineLevel="0" collapsed="false">
      <c r="A289" s="38" t="s">
        <v>344</v>
      </c>
      <c r="B289" s="38" t="s">
        <v>404</v>
      </c>
      <c r="C289" s="38" t="s">
        <v>414</v>
      </c>
      <c r="D289" s="21" t="n">
        <f aca="false">ROUND(Q289*R289,0)</f>
        <v>231</v>
      </c>
      <c r="E289" s="21" t="n">
        <f aca="false">ROUND(Q289,0)-D289</f>
        <v>94</v>
      </c>
      <c r="F289" s="21" t="n">
        <f aca="false">IF(COUNTA(D289:E289)=0,"",SUM(D289:E289))</f>
        <v>325</v>
      </c>
      <c r="G289" s="39" t="n">
        <f aca="false">IF(OR(F289="",F289=0),"",D289/F289)</f>
        <v>0.710769230769231</v>
      </c>
      <c r="H289" s="39" t="n">
        <f aca="false">IF(OR(F289="",F289=0),"",E289/F289)</f>
        <v>0.289230769230769</v>
      </c>
      <c r="I289" s="38" t="s">
        <v>89</v>
      </c>
      <c r="J289" s="40" t="n">
        <v>3.09864730606258</v>
      </c>
      <c r="K289" s="39" t="n">
        <f aca="false">IF(G289="","",MAX(0,G289-J289/100))</f>
        <v>0.679782757708605</v>
      </c>
      <c r="L289" s="39" t="n">
        <f aca="false">IF(G289="","",MIN(1,G289+J289/100))</f>
        <v>0.741755703829857</v>
      </c>
      <c r="M289" s="21" t="n">
        <f aca="false">ROUND(Q289*S289,0)</f>
        <v>24</v>
      </c>
      <c r="N289" s="21" t="n">
        <f aca="false">ROUND(SQRT((F289*J289/100)^2+(G289*M289)^2),0)</f>
        <v>20</v>
      </c>
      <c r="P289" s="41" t="n">
        <v>17.2160333623652</v>
      </c>
      <c r="Q289" s="42" t="n">
        <v>325.232809149506</v>
      </c>
      <c r="R289" s="43" t="n">
        <f aca="false">MAX(0,MIN(1,P289/100+$D$5))</f>
        <v>0.709986028287412</v>
      </c>
      <c r="S289" s="43" t="n">
        <v>0.0731122618343653</v>
      </c>
      <c r="T289" s="44" t="s">
        <v>90</v>
      </c>
    </row>
    <row r="290" customFormat="false" ht="15" hidden="false" customHeight="false" outlineLevel="0" collapsed="false">
      <c r="A290" s="38" t="s">
        <v>344</v>
      </c>
      <c r="B290" s="38" t="s">
        <v>404</v>
      </c>
      <c r="C290" s="38" t="s">
        <v>415</v>
      </c>
      <c r="D290" s="21" t="n">
        <f aca="false">ROUND(Q290*R290,0)</f>
        <v>635</v>
      </c>
      <c r="E290" s="21" t="n">
        <f aca="false">ROUND(Q290,0)-D290</f>
        <v>323</v>
      </c>
      <c r="F290" s="21" t="n">
        <f aca="false">IF(COUNTA(D290:E290)=0,"",SUM(D290:E290))</f>
        <v>958</v>
      </c>
      <c r="G290" s="39" t="n">
        <f aca="false">IF(OR(F290="",F290=0),"",D290/F290)</f>
        <v>0.662839248434238</v>
      </c>
      <c r="H290" s="39" t="n">
        <f aca="false">IF(OR(F290="",F290=0),"",E290/F290)</f>
        <v>0.337160751565762</v>
      </c>
      <c r="I290" s="38" t="s">
        <v>191</v>
      </c>
      <c r="J290" s="40" t="n">
        <v>2.0110742867014</v>
      </c>
      <c r="K290" s="39" t="n">
        <f aca="false">IF(G290="","",MAX(0,G290-J290/100))</f>
        <v>0.642728505567224</v>
      </c>
      <c r="L290" s="39" t="n">
        <f aca="false">IF(G290="","",MIN(1,G290+J290/100))</f>
        <v>0.682949991301252</v>
      </c>
      <c r="M290" s="21" t="n">
        <f aca="false">ROUND(Q290*S290,0)</f>
        <v>58</v>
      </c>
      <c r="N290" s="21" t="n">
        <f aca="false">ROUND(SQRT((F290*J290/100)^2+(G290*M290)^2),0)</f>
        <v>43</v>
      </c>
      <c r="P290" s="41" t="n">
        <v>12.5573946171588</v>
      </c>
      <c r="Q290" s="42" t="n">
        <v>957.644638220773</v>
      </c>
      <c r="R290" s="43" t="n">
        <f aca="false">MAX(0,MIN(1,P290/100+$D$5))</f>
        <v>0.663399640835348</v>
      </c>
      <c r="S290" s="43" t="n">
        <v>0.0608302283160348</v>
      </c>
      <c r="T290" s="44" t="s">
        <v>99</v>
      </c>
    </row>
    <row r="291" customFormat="false" ht="15" hidden="false" customHeight="false" outlineLevel="0" collapsed="false">
      <c r="A291" s="38" t="s">
        <v>344</v>
      </c>
      <c r="B291" s="38" t="s">
        <v>404</v>
      </c>
      <c r="C291" s="38" t="s">
        <v>416</v>
      </c>
      <c r="D291" s="21" t="n">
        <f aca="false">ROUND(Q291*R291,0)</f>
        <v>689</v>
      </c>
      <c r="E291" s="21" t="n">
        <f aca="false">ROUND(Q291,0)-D291</f>
        <v>254</v>
      </c>
      <c r="F291" s="21" t="n">
        <f aca="false">IF(COUNTA(D291:E291)=0,"",SUM(D291:E291))</f>
        <v>943</v>
      </c>
      <c r="G291" s="39" t="n">
        <f aca="false">IF(OR(F291="",F291=0),"",D291/F291)</f>
        <v>0.730646871686108</v>
      </c>
      <c r="H291" s="39" t="n">
        <f aca="false">IF(OR(F291="",F291=0),"",E291/F291)</f>
        <v>0.269353128313892</v>
      </c>
      <c r="I291" s="38" t="s">
        <v>89</v>
      </c>
      <c r="J291" s="40" t="n">
        <v>2.0110742867014</v>
      </c>
      <c r="K291" s="39" t="n">
        <f aca="false">IF(G291="","",MAX(0,G291-J291/100))</f>
        <v>0.710536128819094</v>
      </c>
      <c r="L291" s="39" t="n">
        <f aca="false">IF(G291="","",MIN(1,G291+J291/100))</f>
        <v>0.750757614553122</v>
      </c>
      <c r="M291" s="21" t="n">
        <f aca="false">ROUND(Q291*S291,0)</f>
        <v>57</v>
      </c>
      <c r="N291" s="21" t="n">
        <f aca="false">ROUND(SQRT((F291*J291/100)^2+(G291*M291)^2),0)</f>
        <v>46</v>
      </c>
      <c r="P291" s="41" t="n">
        <v>19.3196660165835</v>
      </c>
      <c r="Q291" s="42" t="n">
        <v>942.967615836867</v>
      </c>
      <c r="R291" s="43" t="n">
        <f aca="false">MAX(0,MIN(1,P291/100+$D$5))</f>
        <v>0.731022354829595</v>
      </c>
      <c r="S291" s="43" t="n">
        <v>0.0608302283160348</v>
      </c>
      <c r="T291" s="44" t="s">
        <v>99</v>
      </c>
    </row>
    <row r="292" customFormat="false" ht="15" hidden="false" customHeight="false" outlineLevel="0" collapsed="false">
      <c r="A292" s="38" t="s">
        <v>344</v>
      </c>
      <c r="B292" s="38" t="s">
        <v>417</v>
      </c>
      <c r="C292" s="38" t="s">
        <v>418</v>
      </c>
      <c r="D292" s="21" t="n">
        <f aca="false">ROUND(Q292*R292,0)</f>
        <v>1231</v>
      </c>
      <c r="E292" s="21" t="n">
        <f aca="false">ROUND(Q292,0)-D292</f>
        <v>1032</v>
      </c>
      <c r="F292" s="21" t="n">
        <f aca="false">IF(COUNTA(D292:E292)=0,"",SUM(D292:E292))</f>
        <v>2263</v>
      </c>
      <c r="G292" s="39" t="n">
        <f aca="false">IF(OR(F292="",F292=0),"",D292/F292)</f>
        <v>0.543968183826779</v>
      </c>
      <c r="H292" s="39" t="n">
        <f aca="false">IF(OR(F292="",F292=0),"",E292/F292)</f>
        <v>0.456031816173221</v>
      </c>
      <c r="I292" s="38" t="s">
        <v>89</v>
      </c>
      <c r="J292" s="40" t="n">
        <v>1.87006919874525</v>
      </c>
      <c r="K292" s="39" t="n">
        <f aca="false">IF(G292="","",MAX(0,G292-J292/100))</f>
        <v>0.525267491839326</v>
      </c>
      <c r="L292" s="39" t="n">
        <f aca="false">IF(G292="","",MIN(1,G292+J292/100))</f>
        <v>0.562668875814231</v>
      </c>
      <c r="M292" s="21" t="n">
        <f aca="false">ROUND(Q292*S292,0)</f>
        <v>313</v>
      </c>
      <c r="N292" s="21" t="n">
        <f aca="false">ROUND(SQRT((F292*J292/100)^2+(G292*M292)^2),0)</f>
        <v>175</v>
      </c>
      <c r="P292" s="41" t="n">
        <v>0.622907682764887</v>
      </c>
      <c r="Q292" s="42" t="n">
        <v>2263.06282926271</v>
      </c>
      <c r="R292" s="43" t="n">
        <f aca="false">MAX(0,MIN(1,P292/100+$D$5))</f>
        <v>0.544054771491409</v>
      </c>
      <c r="S292" s="43" t="n">
        <v>0.138178110610255</v>
      </c>
      <c r="T292" s="44" t="s">
        <v>128</v>
      </c>
    </row>
    <row r="293" customFormat="false" ht="15" hidden="false" customHeight="false" outlineLevel="0" collapsed="false">
      <c r="A293" s="38" t="s">
        <v>344</v>
      </c>
      <c r="B293" s="38" t="s">
        <v>417</v>
      </c>
      <c r="C293" s="38" t="s">
        <v>419</v>
      </c>
      <c r="D293" s="21" t="n">
        <f aca="false">ROUND(Q293*R293,0)</f>
        <v>570</v>
      </c>
      <c r="E293" s="21" t="n">
        <f aca="false">ROUND(Q293,0)-D293</f>
        <v>501</v>
      </c>
      <c r="F293" s="21" t="n">
        <f aca="false">IF(COUNTA(D293:E293)=0,"",SUM(D293:E293))</f>
        <v>1071</v>
      </c>
      <c r="G293" s="39" t="n">
        <f aca="false">IF(OR(F293="",F293=0),"",D293/F293)</f>
        <v>0.532212885154062</v>
      </c>
      <c r="H293" s="39" t="n">
        <f aca="false">IF(OR(F293="",F293=0),"",E293/F293)</f>
        <v>0.467787114845938</v>
      </c>
      <c r="I293" s="38" t="s">
        <v>191</v>
      </c>
      <c r="J293" s="40" t="n">
        <v>2.0110742867014</v>
      </c>
      <c r="K293" s="39" t="n">
        <f aca="false">IF(G293="","",MAX(0,G293-J293/100))</f>
        <v>0.512102142287048</v>
      </c>
      <c r="L293" s="39" t="n">
        <f aca="false">IF(G293="","",MIN(1,G293+J293/100))</f>
        <v>0.552323628021076</v>
      </c>
      <c r="M293" s="21" t="n">
        <f aca="false">ROUND(Q293*S293,0)</f>
        <v>65</v>
      </c>
      <c r="N293" s="21" t="n">
        <f aca="false">ROUND(SQRT((F293*J293/100)^2+(G293*M293)^2),0)</f>
        <v>41</v>
      </c>
      <c r="P293" s="41" t="n">
        <v>-0.61584048006452</v>
      </c>
      <c r="Q293" s="42" t="n">
        <v>1071.4123959884</v>
      </c>
      <c r="R293" s="43" t="n">
        <f aca="false">MAX(0,MIN(1,P293/100+$D$5))</f>
        <v>0.531667289863115</v>
      </c>
      <c r="S293" s="43" t="n">
        <v>0.0608302283160348</v>
      </c>
      <c r="T293" s="44" t="s">
        <v>99</v>
      </c>
    </row>
    <row r="294" customFormat="false" ht="15" hidden="false" customHeight="false" outlineLevel="0" collapsed="false">
      <c r="A294" s="38" t="s">
        <v>344</v>
      </c>
      <c r="B294" s="38" t="s">
        <v>417</v>
      </c>
      <c r="C294" s="38" t="s">
        <v>420</v>
      </c>
      <c r="D294" s="21" t="n">
        <f aca="false">ROUND(Q294*R294,0)</f>
        <v>644</v>
      </c>
      <c r="E294" s="21" t="n">
        <f aca="false">ROUND(Q294,0)-D294</f>
        <v>495</v>
      </c>
      <c r="F294" s="21" t="n">
        <f aca="false">IF(COUNTA(D294:E294)=0,"",SUM(D294:E294))</f>
        <v>1139</v>
      </c>
      <c r="G294" s="39" t="n">
        <f aca="false">IF(OR(F294="",F294=0),"",D294/F294)</f>
        <v>0.56540825285338</v>
      </c>
      <c r="H294" s="39" t="n">
        <f aca="false">IF(OR(F294="",F294=0),"",E294/F294)</f>
        <v>0.43459174714662</v>
      </c>
      <c r="I294" s="38" t="s">
        <v>191</v>
      </c>
      <c r="J294" s="40" t="n">
        <v>2.0110742867014</v>
      </c>
      <c r="K294" s="39" t="n">
        <f aca="false">IF(G294="","",MAX(0,G294-J294/100))</f>
        <v>0.545297509986366</v>
      </c>
      <c r="L294" s="39" t="n">
        <f aca="false">IF(G294="","",MIN(1,G294+J294/100))</f>
        <v>0.585518995720394</v>
      </c>
      <c r="M294" s="21" t="n">
        <f aca="false">ROUND(Q294*S294,0)</f>
        <v>69</v>
      </c>
      <c r="N294" s="21" t="n">
        <f aca="false">ROUND(SQRT((F294*J294/100)^2+(G294*M294)^2),0)</f>
        <v>45</v>
      </c>
      <c r="P294" s="41" t="n">
        <v>2.78261911651287</v>
      </c>
      <c r="Q294" s="42" t="n">
        <v>1139.37581899871</v>
      </c>
      <c r="R294" s="43" t="n">
        <f aca="false">MAX(0,MIN(1,P294/100+$D$5))</f>
        <v>0.565651885828888</v>
      </c>
      <c r="S294" s="43" t="n">
        <v>0.0608302283160348</v>
      </c>
      <c r="T294" s="44" t="s">
        <v>99</v>
      </c>
    </row>
    <row r="295" customFormat="false" ht="15" hidden="false" customHeight="false" outlineLevel="0" collapsed="false">
      <c r="A295" s="38" t="s">
        <v>344</v>
      </c>
      <c r="B295" s="38" t="s">
        <v>417</v>
      </c>
      <c r="C295" s="38" t="s">
        <v>421</v>
      </c>
      <c r="D295" s="21" t="n">
        <f aca="false">ROUND(Q295*R295,0)</f>
        <v>601</v>
      </c>
      <c r="E295" s="21" t="n">
        <f aca="false">ROUND(Q295,0)-D295</f>
        <v>500</v>
      </c>
      <c r="F295" s="21" t="n">
        <f aca="false">IF(COUNTA(D295:E295)=0,"",SUM(D295:E295))</f>
        <v>1101</v>
      </c>
      <c r="G295" s="39" t="n">
        <f aca="false">IF(OR(F295="",F295=0),"",D295/F295)</f>
        <v>0.545867393278837</v>
      </c>
      <c r="H295" s="39" t="n">
        <f aca="false">IF(OR(F295="",F295=0),"",E295/F295)</f>
        <v>0.454132606721163</v>
      </c>
      <c r="I295" s="38" t="s">
        <v>191</v>
      </c>
      <c r="J295" s="40" t="n">
        <v>2.0110742867014</v>
      </c>
      <c r="K295" s="39" t="n">
        <f aca="false">IF(G295="","",MAX(0,G295-J295/100))</f>
        <v>0.525756650411823</v>
      </c>
      <c r="L295" s="39" t="n">
        <f aca="false">IF(G295="","",MIN(1,G295+J295/100))</f>
        <v>0.565978136145851</v>
      </c>
      <c r="M295" s="21" t="n">
        <f aca="false">ROUND(Q295*S295,0)</f>
        <v>67</v>
      </c>
      <c r="N295" s="21" t="n">
        <f aca="false">ROUND(SQRT((F295*J295/100)^2+(G295*M295)^2),0)</f>
        <v>43</v>
      </c>
      <c r="P295" s="41" t="n">
        <v>0.787878898574458</v>
      </c>
      <c r="Q295" s="42" t="n">
        <v>1100.7598372742</v>
      </c>
      <c r="R295" s="43" t="n">
        <f aca="false">MAX(0,MIN(1,P295/100+$D$5))</f>
        <v>0.545704483649504</v>
      </c>
      <c r="S295" s="43" t="n">
        <v>0.0608302283160348</v>
      </c>
      <c r="T295" s="44" t="s">
        <v>99</v>
      </c>
    </row>
    <row r="296" customFormat="false" ht="15" hidden="false" customHeight="false" outlineLevel="0" collapsed="false">
      <c r="A296" s="38" t="s">
        <v>344</v>
      </c>
      <c r="B296" s="38" t="s">
        <v>417</v>
      </c>
      <c r="C296" s="38" t="s">
        <v>422</v>
      </c>
      <c r="D296" s="21" t="n">
        <f aca="false">ROUND(Q296*R296,0)</f>
        <v>884</v>
      </c>
      <c r="E296" s="21" t="n">
        <f aca="false">ROUND(Q296,0)-D296</f>
        <v>696</v>
      </c>
      <c r="F296" s="21" t="n">
        <f aca="false">IF(COUNTA(D296:E296)=0,"",SUM(D296:E296))</f>
        <v>1580</v>
      </c>
      <c r="G296" s="39" t="n">
        <f aca="false">IF(OR(F296="",F296=0),"",D296/F296)</f>
        <v>0.559493670886076</v>
      </c>
      <c r="H296" s="39" t="n">
        <f aca="false">IF(OR(F296="",F296=0),"",E296/F296)</f>
        <v>0.440506329113924</v>
      </c>
      <c r="I296" s="38" t="s">
        <v>89</v>
      </c>
      <c r="J296" s="40" t="n">
        <v>1.87006919874525</v>
      </c>
      <c r="K296" s="39" t="n">
        <f aca="false">IF(G296="","",MAX(0,G296-J296/100))</f>
        <v>0.540792978898623</v>
      </c>
      <c r="L296" s="39" t="n">
        <f aca="false">IF(G296="","",MIN(1,G296+J296/100))</f>
        <v>0.578194362873528</v>
      </c>
      <c r="M296" s="21" t="n">
        <f aca="false">ROUND(Q296*S296,0)</f>
        <v>218</v>
      </c>
      <c r="N296" s="21" t="n">
        <f aca="false">ROUND(SQRT((F296*J296/100)^2+(G296*M296)^2),0)</f>
        <v>125</v>
      </c>
      <c r="P296" s="41" t="n">
        <v>2.18141896435066</v>
      </c>
      <c r="Q296" s="42" t="n">
        <v>1579.81363777663</v>
      </c>
      <c r="R296" s="43" t="n">
        <f aca="false">MAX(0,MIN(1,P296/100+$D$5))</f>
        <v>0.559639884307266</v>
      </c>
      <c r="S296" s="43" t="n">
        <v>0.138178110610255</v>
      </c>
      <c r="T296" s="44" t="s">
        <v>128</v>
      </c>
    </row>
    <row r="297" customFormat="false" ht="15" hidden="false" customHeight="false" outlineLevel="0" collapsed="false">
      <c r="A297" s="38" t="s">
        <v>344</v>
      </c>
      <c r="B297" s="38" t="s">
        <v>417</v>
      </c>
      <c r="C297" s="38" t="s">
        <v>423</v>
      </c>
      <c r="D297" s="21" t="n">
        <f aca="false">ROUND(Q297*R297,0)</f>
        <v>643</v>
      </c>
      <c r="E297" s="21" t="n">
        <f aca="false">ROUND(Q297,0)-D297</f>
        <v>557</v>
      </c>
      <c r="F297" s="21" t="n">
        <f aca="false">IF(COUNTA(D297:E297)=0,"",SUM(D297:E297))</f>
        <v>1200</v>
      </c>
      <c r="G297" s="39" t="n">
        <f aca="false">IF(OR(F297="",F297=0),"",D297/F297)</f>
        <v>0.535833333333333</v>
      </c>
      <c r="H297" s="39" t="n">
        <f aca="false">IF(OR(F297="",F297=0),"",E297/F297)</f>
        <v>0.464166666666667</v>
      </c>
      <c r="I297" s="38" t="s">
        <v>191</v>
      </c>
      <c r="J297" s="40" t="n">
        <v>1.87006919874525</v>
      </c>
      <c r="K297" s="39" t="n">
        <f aca="false">IF(G297="","",MAX(0,G297-J297/100))</f>
        <v>0.517132641345881</v>
      </c>
      <c r="L297" s="39" t="n">
        <f aca="false">IF(G297="","",MIN(1,G297+J297/100))</f>
        <v>0.554534025320786</v>
      </c>
      <c r="M297" s="21" t="n">
        <f aca="false">ROUND(Q297*S297,0)</f>
        <v>166</v>
      </c>
      <c r="N297" s="21" t="n">
        <f aca="false">ROUND(SQRT((F297*J297/100)^2+(G297*M297)^2),0)</f>
        <v>92</v>
      </c>
      <c r="P297" s="41" t="n">
        <v>-0.240715347458413</v>
      </c>
      <c r="Q297" s="42" t="n">
        <v>1200.41184758946</v>
      </c>
      <c r="R297" s="43" t="n">
        <f aca="false">MAX(0,MIN(1,P297/100+$D$5))</f>
        <v>0.535418541189176</v>
      </c>
      <c r="S297" s="43" t="n">
        <v>0.138178110610255</v>
      </c>
      <c r="T297" s="44" t="s">
        <v>128</v>
      </c>
    </row>
    <row r="298" customFormat="false" ht="15" hidden="false" customHeight="false" outlineLevel="0" collapsed="false">
      <c r="A298" s="38" t="s">
        <v>344</v>
      </c>
      <c r="B298" s="38" t="s">
        <v>417</v>
      </c>
      <c r="C298" s="38" t="s">
        <v>424</v>
      </c>
      <c r="D298" s="21" t="n">
        <f aca="false">ROUND(Q298*R298,0)</f>
        <v>596</v>
      </c>
      <c r="E298" s="21" t="n">
        <f aca="false">ROUND(Q298,0)-D298</f>
        <v>605</v>
      </c>
      <c r="F298" s="21" t="n">
        <f aca="false">IF(COUNTA(D298:E298)=0,"",SUM(D298:E298))</f>
        <v>1201</v>
      </c>
      <c r="G298" s="39" t="n">
        <f aca="false">IF(OR(F298="",F298=0),"",D298/F298)</f>
        <v>0.496253122398002</v>
      </c>
      <c r="H298" s="39" t="n">
        <f aca="false">IF(OR(F298="",F298=0),"",E298/F298)</f>
        <v>0.503746877601998</v>
      </c>
      <c r="I298" s="38" t="s">
        <v>191</v>
      </c>
      <c r="J298" s="40" t="n">
        <v>1.87006919874525</v>
      </c>
      <c r="K298" s="39" t="n">
        <f aca="false">IF(G298="","",MAX(0,G298-J298/100))</f>
        <v>0.477552430410549</v>
      </c>
      <c r="L298" s="39" t="n">
        <f aca="false">IF(G298="","",MIN(1,G298+J298/100))</f>
        <v>0.514953814385454</v>
      </c>
      <c r="M298" s="21" t="n">
        <f aca="false">ROUND(Q298*S298,0)</f>
        <v>166</v>
      </c>
      <c r="N298" s="21" t="n">
        <f aca="false">ROUND(SQRT((F298*J298/100)^2+(G298*M298)^2),0)</f>
        <v>85</v>
      </c>
      <c r="P298" s="41" t="n">
        <v>-4.13680692545878</v>
      </c>
      <c r="Q298" s="42" t="n">
        <v>1201.0411190378</v>
      </c>
      <c r="R298" s="43" t="n">
        <f aca="false">MAX(0,MIN(1,P298/100+$D$5))</f>
        <v>0.496457625409172</v>
      </c>
      <c r="S298" s="43" t="n">
        <v>0.138178110610255</v>
      </c>
      <c r="T298" s="44" t="s">
        <v>128</v>
      </c>
    </row>
    <row r="299" customFormat="false" ht="15" hidden="false" customHeight="false" outlineLevel="0" collapsed="false">
      <c r="A299" s="38" t="s">
        <v>344</v>
      </c>
      <c r="B299" s="38" t="s">
        <v>425</v>
      </c>
      <c r="C299" s="38" t="s">
        <v>425</v>
      </c>
      <c r="D299" s="21" t="n">
        <f aca="false">ROUND(Q299*R299,0)</f>
        <v>518</v>
      </c>
      <c r="E299" s="21" t="n">
        <f aca="false">ROUND(Q299,0)-D299</f>
        <v>293</v>
      </c>
      <c r="F299" s="21" t="n">
        <f aca="false">IF(COUNTA(D299:E299)=0,"",SUM(D299:E299))</f>
        <v>811</v>
      </c>
      <c r="G299" s="39" t="n">
        <f aca="false">IF(OR(F299="",F299=0),"",D299/F299)</f>
        <v>0.638717632552404</v>
      </c>
      <c r="H299" s="39" t="n">
        <f aca="false">IF(OR(F299="",F299=0),"",E299/F299)</f>
        <v>0.361282367447596</v>
      </c>
      <c r="I299" s="38" t="s">
        <v>89</v>
      </c>
      <c r="J299" s="40" t="n">
        <v>2.0110742867014</v>
      </c>
      <c r="K299" s="39" t="n">
        <f aca="false">IF(G299="","",MAX(0,G299-J299/100))</f>
        <v>0.618606889685391</v>
      </c>
      <c r="L299" s="39" t="n">
        <f aca="false">IF(G299="","",MIN(1,G299+J299/100))</f>
        <v>0.658828375419418</v>
      </c>
      <c r="M299" s="21" t="n">
        <f aca="false">ROUND(Q299*S299,0)</f>
        <v>49</v>
      </c>
      <c r="N299" s="21" t="n">
        <f aca="false">ROUND(SQRT((F299*J299/100)^2+(G299*M299)^2),0)</f>
        <v>35</v>
      </c>
      <c r="P299" s="41" t="n">
        <v>10.1731118459281</v>
      </c>
      <c r="Q299" s="42" t="n">
        <v>810.638265325404</v>
      </c>
      <c r="R299" s="43" t="n">
        <f aca="false">MAX(0,MIN(1,P299/100+$D$5))</f>
        <v>0.639556813123041</v>
      </c>
      <c r="S299" s="43" t="n">
        <v>0.0608302283160348</v>
      </c>
      <c r="T299" s="44" t="s">
        <v>99</v>
      </c>
    </row>
    <row r="300" customFormat="false" ht="15" hidden="false" customHeight="false" outlineLevel="0" collapsed="false">
      <c r="A300" s="38" t="s">
        <v>344</v>
      </c>
      <c r="B300" s="38" t="s">
        <v>426</v>
      </c>
      <c r="C300" s="38" t="s">
        <v>426</v>
      </c>
      <c r="D300" s="21" t="n">
        <f aca="false">ROUND(Q300*R300,0)</f>
        <v>86</v>
      </c>
      <c r="E300" s="21" t="n">
        <f aca="false">ROUND(Q300,0)-D300</f>
        <v>69</v>
      </c>
      <c r="F300" s="21" t="n">
        <f aca="false">IF(COUNTA(D300:E300)=0,"",SUM(D300:E300))</f>
        <v>155</v>
      </c>
      <c r="G300" s="39" t="n">
        <f aca="false">IF(OR(F300="",F300=0),"",D300/F300)</f>
        <v>0.554838709677419</v>
      </c>
      <c r="H300" s="39" t="n">
        <f aca="false">IF(OR(F300="",F300=0),"",E300/F300)</f>
        <v>0.445161290322581</v>
      </c>
      <c r="I300" s="38" t="s">
        <v>89</v>
      </c>
      <c r="J300" s="40" t="n">
        <v>3.09864730606258</v>
      </c>
      <c r="K300" s="39" t="n">
        <f aca="false">IF(G300="","",MAX(0,G300-J300/100))</f>
        <v>0.523852236616794</v>
      </c>
      <c r="L300" s="39" t="n">
        <f aca="false">IF(G300="","",MIN(1,G300+J300/100))</f>
        <v>0.585825182738045</v>
      </c>
      <c r="M300" s="21" t="n">
        <f aca="false">ROUND(Q300*S300,0)</f>
        <v>11</v>
      </c>
      <c r="N300" s="21" t="n">
        <f aca="false">ROUND(SQRT((F300*J300/100)^2+(G300*M300)^2),0)</f>
        <v>8</v>
      </c>
      <c r="P300" s="41" t="n">
        <v>1.87958098194543</v>
      </c>
      <c r="Q300" s="42" t="n">
        <v>155.338398477181</v>
      </c>
      <c r="R300" s="43" t="n">
        <f aca="false">MAX(0,MIN(1,P300/100+$D$5))</f>
        <v>0.556621504483214</v>
      </c>
      <c r="S300" s="43" t="n">
        <v>0.0731122618343653</v>
      </c>
      <c r="T300" s="44" t="s">
        <v>90</v>
      </c>
    </row>
    <row r="301" customFormat="false" ht="15" hidden="false" customHeight="false" outlineLevel="0" collapsed="false">
      <c r="A301" s="38" t="s">
        <v>344</v>
      </c>
      <c r="B301" s="38" t="s">
        <v>251</v>
      </c>
      <c r="C301" s="38" t="s">
        <v>427</v>
      </c>
      <c r="D301" s="21" t="n">
        <f aca="false">ROUND(Q301*R301,0)</f>
        <v>875</v>
      </c>
      <c r="E301" s="21" t="n">
        <f aca="false">ROUND(Q301,0)-D301</f>
        <v>547</v>
      </c>
      <c r="F301" s="21" t="n">
        <f aca="false">IF(COUNTA(D301:E301)=0,"",SUM(D301:E301))</f>
        <v>1422</v>
      </c>
      <c r="G301" s="39" t="n">
        <f aca="false">IF(OR(F301="",F301=0),"",D301/F301)</f>
        <v>0.615330520393812</v>
      </c>
      <c r="H301" s="39" t="n">
        <f aca="false">IF(OR(F301="",F301=0),"",E301/F301)</f>
        <v>0.384669479606188</v>
      </c>
      <c r="I301" s="38" t="s">
        <v>89</v>
      </c>
      <c r="J301" s="40" t="n">
        <v>1.87006919874525</v>
      </c>
      <c r="K301" s="39" t="n">
        <f aca="false">IF(G301="","",MAX(0,G301-J301/100))</f>
        <v>0.596629828406359</v>
      </c>
      <c r="L301" s="39" t="n">
        <f aca="false">IF(G301="","",MIN(1,G301+J301/100))</f>
        <v>0.634031212381264</v>
      </c>
      <c r="M301" s="21" t="n">
        <f aca="false">ROUND(Q301*S301,0)</f>
        <v>196</v>
      </c>
      <c r="N301" s="21" t="n">
        <f aca="false">ROUND(SQRT((F301*J301/100)^2+(G301*M301)^2),0)</f>
        <v>124</v>
      </c>
      <c r="P301" s="41" t="n">
        <v>7.74627773818336</v>
      </c>
      <c r="Q301" s="42" t="n">
        <v>1421.57333719733</v>
      </c>
      <c r="R301" s="43" t="n">
        <f aca="false">MAX(0,MIN(1,P301/100+$D$5))</f>
        <v>0.615288472045593</v>
      </c>
      <c r="S301" s="43" t="n">
        <v>0.138178110610255</v>
      </c>
      <c r="T301" s="44" t="s">
        <v>128</v>
      </c>
    </row>
    <row r="302" customFormat="false" ht="15" hidden="false" customHeight="false" outlineLevel="0" collapsed="false">
      <c r="A302" s="38" t="s">
        <v>344</v>
      </c>
      <c r="B302" s="38" t="s">
        <v>251</v>
      </c>
      <c r="C302" s="38" t="s">
        <v>428</v>
      </c>
      <c r="D302" s="21" t="n">
        <f aca="false">ROUND(Q302*R302,0)</f>
        <v>848</v>
      </c>
      <c r="E302" s="21" t="n">
        <f aca="false">ROUND(Q302,0)-D302</f>
        <v>582</v>
      </c>
      <c r="F302" s="21" t="n">
        <f aca="false">IF(COUNTA(D302:E302)=0,"",SUM(D302:E302))</f>
        <v>1430</v>
      </c>
      <c r="G302" s="39" t="n">
        <f aca="false">IF(OR(F302="",F302=0),"",D302/F302)</f>
        <v>0.593006993006993</v>
      </c>
      <c r="H302" s="39" t="n">
        <f aca="false">IF(OR(F302="",F302=0),"",E302/F302)</f>
        <v>0.406993006993007</v>
      </c>
      <c r="I302" s="38" t="s">
        <v>89</v>
      </c>
      <c r="J302" s="40" t="n">
        <v>1.87006919874525</v>
      </c>
      <c r="K302" s="39" t="n">
        <f aca="false">IF(G302="","",MAX(0,G302-J302/100))</f>
        <v>0.574306301019541</v>
      </c>
      <c r="L302" s="39" t="n">
        <f aca="false">IF(G302="","",MIN(1,G302+J302/100))</f>
        <v>0.611707684994446</v>
      </c>
      <c r="M302" s="21" t="n">
        <f aca="false">ROUND(Q302*S302,0)</f>
        <v>198</v>
      </c>
      <c r="N302" s="21" t="n">
        <f aca="false">ROUND(SQRT((F302*J302/100)^2+(G302*M302)^2),0)</f>
        <v>120</v>
      </c>
      <c r="P302" s="41" t="n">
        <v>5.54364634218321</v>
      </c>
      <c r="Q302" s="42" t="n">
        <v>1429.54471760239</v>
      </c>
      <c r="R302" s="43" t="n">
        <f aca="false">MAX(0,MIN(1,P302/100+$D$5))</f>
        <v>0.593262158085592</v>
      </c>
      <c r="S302" s="43" t="n">
        <v>0.138178110610255</v>
      </c>
      <c r="T302" s="44" t="s">
        <v>128</v>
      </c>
    </row>
    <row r="303" customFormat="false" ht="15" hidden="false" customHeight="false" outlineLevel="0" collapsed="false">
      <c r="A303" s="38" t="s">
        <v>344</v>
      </c>
      <c r="B303" s="38" t="s">
        <v>251</v>
      </c>
      <c r="C303" s="38" t="s">
        <v>429</v>
      </c>
      <c r="D303" s="21" t="n">
        <f aca="false">ROUND(Q303*R303,0)</f>
        <v>428</v>
      </c>
      <c r="E303" s="21" t="n">
        <f aca="false">ROUND(Q303,0)-D303</f>
        <v>342</v>
      </c>
      <c r="F303" s="21" t="n">
        <f aca="false">IF(COUNTA(D303:E303)=0,"",SUM(D303:E303))</f>
        <v>770</v>
      </c>
      <c r="G303" s="39" t="n">
        <f aca="false">IF(OR(F303="",F303=0),"",D303/F303)</f>
        <v>0.555844155844156</v>
      </c>
      <c r="H303" s="39" t="n">
        <f aca="false">IF(OR(F303="",F303=0),"",E303/F303)</f>
        <v>0.444155844155844</v>
      </c>
      <c r="I303" s="38" t="s">
        <v>89</v>
      </c>
      <c r="J303" s="40" t="n">
        <v>3.09864730606258</v>
      </c>
      <c r="K303" s="39" t="n">
        <f aca="false">IF(G303="","",MAX(0,G303-J303/100))</f>
        <v>0.52485768278353</v>
      </c>
      <c r="L303" s="39" t="n">
        <f aca="false">IF(G303="","",MIN(1,G303+J303/100))</f>
        <v>0.586830628904782</v>
      </c>
      <c r="M303" s="21" t="n">
        <f aca="false">ROUND(Q303*S303,0)</f>
        <v>56</v>
      </c>
      <c r="N303" s="21" t="n">
        <f aca="false">ROUND(SQRT((F303*J303/100)^2+(G303*M303)^2),0)</f>
        <v>39</v>
      </c>
      <c r="P303" s="41" t="n">
        <v>1.79923479844101</v>
      </c>
      <c r="Q303" s="42" t="n">
        <v>769.924234803729</v>
      </c>
      <c r="R303" s="43" t="n">
        <f aca="false">MAX(0,MIN(1,P303/100+$D$5))</f>
        <v>0.55581804264817</v>
      </c>
      <c r="S303" s="43" t="n">
        <v>0.0731122618343653</v>
      </c>
      <c r="T303" s="44" t="s">
        <v>90</v>
      </c>
    </row>
    <row r="304" customFormat="false" ht="15" hidden="false" customHeight="false" outlineLevel="0" collapsed="false">
      <c r="A304" s="38" t="s">
        <v>344</v>
      </c>
      <c r="B304" s="38" t="s">
        <v>251</v>
      </c>
      <c r="C304" s="38" t="s">
        <v>430</v>
      </c>
      <c r="D304" s="21" t="n">
        <f aca="false">ROUND(Q304*R304,0)</f>
        <v>688</v>
      </c>
      <c r="E304" s="21" t="n">
        <f aca="false">ROUND(Q304,0)-D304</f>
        <v>547</v>
      </c>
      <c r="F304" s="21" t="n">
        <f aca="false">IF(COUNTA(D304:E304)=0,"",SUM(D304:E304))</f>
        <v>1235</v>
      </c>
      <c r="G304" s="39" t="n">
        <f aca="false">IF(OR(F304="",F304=0),"",D304/F304)</f>
        <v>0.557085020242915</v>
      </c>
      <c r="H304" s="39" t="n">
        <f aca="false">IF(OR(F304="",F304=0),"",E304/F304)</f>
        <v>0.442914979757085</v>
      </c>
      <c r="I304" s="38" t="s">
        <v>89</v>
      </c>
      <c r="J304" s="40" t="n">
        <v>1.87006919874525</v>
      </c>
      <c r="K304" s="39" t="n">
        <f aca="false">IF(G304="","",MAX(0,G304-J304/100))</f>
        <v>0.538384328255463</v>
      </c>
      <c r="L304" s="39" t="n">
        <f aca="false">IF(G304="","",MIN(1,G304+J304/100))</f>
        <v>0.575785712230368</v>
      </c>
      <c r="M304" s="21" t="n">
        <f aca="false">ROUND(Q304*S304,0)</f>
        <v>171</v>
      </c>
      <c r="N304" s="21" t="n">
        <f aca="false">ROUND(SQRT((F304*J304/100)^2+(G304*M304)^2),0)</f>
        <v>98</v>
      </c>
      <c r="P304" s="41" t="n">
        <v>1.9088528081274</v>
      </c>
      <c r="Q304" s="42" t="n">
        <v>1234.93814635657</v>
      </c>
      <c r="R304" s="43" t="n">
        <f aca="false">MAX(0,MIN(1,P304/100+$D$5))</f>
        <v>0.556914222745034</v>
      </c>
      <c r="S304" s="43" t="n">
        <v>0.138178110610255</v>
      </c>
      <c r="T304" s="44" t="s">
        <v>128</v>
      </c>
    </row>
    <row r="305" customFormat="false" ht="15" hidden="false" customHeight="false" outlineLevel="0" collapsed="false">
      <c r="A305" s="38" t="s">
        <v>344</v>
      </c>
      <c r="B305" s="38" t="s">
        <v>251</v>
      </c>
      <c r="C305" s="38" t="s">
        <v>431</v>
      </c>
      <c r="D305" s="21" t="n">
        <f aca="false">ROUND(Q305*R305,0)</f>
        <v>750</v>
      </c>
      <c r="E305" s="21" t="n">
        <f aca="false">ROUND(Q305,0)-D305</f>
        <v>521</v>
      </c>
      <c r="F305" s="21" t="n">
        <f aca="false">IF(COUNTA(D305:E305)=0,"",SUM(D305:E305))</f>
        <v>1271</v>
      </c>
      <c r="G305" s="39" t="n">
        <f aca="false">IF(OR(F305="",F305=0),"",D305/F305)</f>
        <v>0.590086546026751</v>
      </c>
      <c r="H305" s="39" t="n">
        <f aca="false">IF(OR(F305="",F305=0),"",E305/F305)</f>
        <v>0.409913453973249</v>
      </c>
      <c r="I305" s="38" t="s">
        <v>89</v>
      </c>
      <c r="J305" s="40" t="n">
        <v>1.87006919874525</v>
      </c>
      <c r="K305" s="39" t="n">
        <f aca="false">IF(G305="","",MAX(0,G305-J305/100))</f>
        <v>0.571385854039298</v>
      </c>
      <c r="L305" s="39" t="n">
        <f aca="false">IF(G305="","",MIN(1,G305+J305/100))</f>
        <v>0.608787238014203</v>
      </c>
      <c r="M305" s="21" t="n">
        <f aca="false">ROUND(Q305*S305,0)</f>
        <v>176</v>
      </c>
      <c r="N305" s="21" t="n">
        <f aca="false">ROUND(SQRT((F305*J305/100)^2+(G305*M305)^2),0)</f>
        <v>107</v>
      </c>
      <c r="P305" s="41" t="n">
        <v>5.21846781191142</v>
      </c>
      <c r="Q305" s="42" t="n">
        <v>1271.11990952219</v>
      </c>
      <c r="R305" s="43" t="n">
        <f aca="false">MAX(0,MIN(1,P305/100+$D$5))</f>
        <v>0.590010372782874</v>
      </c>
      <c r="S305" s="43" t="n">
        <v>0.138178110610255</v>
      </c>
      <c r="T305" s="44" t="s">
        <v>128</v>
      </c>
    </row>
    <row r="306" customFormat="false" ht="15" hidden="false" customHeight="false" outlineLevel="0" collapsed="false">
      <c r="A306" s="38" t="s">
        <v>344</v>
      </c>
      <c r="B306" s="38" t="s">
        <v>251</v>
      </c>
      <c r="C306" s="38" t="s">
        <v>432</v>
      </c>
      <c r="D306" s="21" t="n">
        <f aca="false">ROUND(Q306*R306,0)</f>
        <v>463</v>
      </c>
      <c r="E306" s="21" t="n">
        <f aca="false">ROUND(Q306,0)-D306</f>
        <v>356</v>
      </c>
      <c r="F306" s="21" t="n">
        <f aca="false">IF(COUNTA(D306:E306)=0,"",SUM(D306:E306))</f>
        <v>819</v>
      </c>
      <c r="G306" s="39" t="n">
        <f aca="false">IF(OR(F306="",F306=0),"",D306/F306)</f>
        <v>0.565323565323565</v>
      </c>
      <c r="H306" s="39" t="n">
        <f aca="false">IF(OR(F306="",F306=0),"",E306/F306)</f>
        <v>0.434676434676435</v>
      </c>
      <c r="I306" s="38" t="s">
        <v>89</v>
      </c>
      <c r="J306" s="40" t="n">
        <v>2.0110742867014</v>
      </c>
      <c r="K306" s="39" t="n">
        <f aca="false">IF(G306="","",MAX(0,G306-J306/100))</f>
        <v>0.545212822456551</v>
      </c>
      <c r="L306" s="39" t="n">
        <f aca="false">IF(G306="","",MIN(1,G306+J306/100))</f>
        <v>0.585434308190579</v>
      </c>
      <c r="M306" s="21" t="n">
        <f aca="false">ROUND(Q306*S306,0)</f>
        <v>50</v>
      </c>
      <c r="N306" s="21" t="n">
        <f aca="false">ROUND(SQRT((F306*J306/100)^2+(G306*M306)^2),0)</f>
        <v>33</v>
      </c>
      <c r="P306" s="41" t="n">
        <v>2.79147596056002</v>
      </c>
      <c r="Q306" s="42" t="n">
        <v>818.565298428221</v>
      </c>
      <c r="R306" s="43" t="n">
        <f aca="false">MAX(0,MIN(1,P306/100+$D$5))</f>
        <v>0.56574045426936</v>
      </c>
      <c r="S306" s="43" t="n">
        <v>0.0608302283160348</v>
      </c>
      <c r="T306" s="44" t="s">
        <v>99</v>
      </c>
    </row>
    <row r="307" customFormat="false" ht="15" hidden="false" customHeight="false" outlineLevel="0" collapsed="false">
      <c r="A307" s="38" t="s">
        <v>344</v>
      </c>
      <c r="B307" s="38" t="s">
        <v>433</v>
      </c>
      <c r="C307" s="38" t="s">
        <v>434</v>
      </c>
      <c r="D307" s="21" t="n">
        <f aca="false">ROUND(Q307*R307,0)</f>
        <v>519</v>
      </c>
      <c r="E307" s="21" t="n">
        <f aca="false">ROUND(Q307,0)-D307</f>
        <v>432</v>
      </c>
      <c r="F307" s="21" t="n">
        <f aca="false">IF(COUNTA(D307:E307)=0,"",SUM(D307:E307))</f>
        <v>951</v>
      </c>
      <c r="G307" s="39" t="n">
        <f aca="false">IF(OR(F307="",F307=0),"",D307/F307)</f>
        <v>0.545741324921136</v>
      </c>
      <c r="H307" s="39" t="n">
        <f aca="false">IF(OR(F307="",F307=0),"",E307/F307)</f>
        <v>0.454258675078864</v>
      </c>
      <c r="I307" s="38" t="s">
        <v>89</v>
      </c>
      <c r="J307" s="40" t="n">
        <v>2.0110742867014</v>
      </c>
      <c r="K307" s="39" t="n">
        <f aca="false">IF(G307="","",MAX(0,G307-J307/100))</f>
        <v>0.525630582054122</v>
      </c>
      <c r="L307" s="39" t="n">
        <f aca="false">IF(G307="","",MIN(1,G307+J307/100))</f>
        <v>0.56585206778815</v>
      </c>
      <c r="M307" s="21" t="n">
        <f aca="false">ROUND(Q307*S307,0)</f>
        <v>58</v>
      </c>
      <c r="N307" s="21" t="n">
        <f aca="false">ROUND(SQRT((F307*J307/100)^2+(G307*M307)^2),0)</f>
        <v>37</v>
      </c>
      <c r="P307" s="41" t="n">
        <v>0.836817655205815</v>
      </c>
      <c r="Q307" s="42" t="n">
        <v>950.817358587291</v>
      </c>
      <c r="R307" s="43" t="n">
        <f aca="false">MAX(0,MIN(1,P307/100+$D$5))</f>
        <v>0.546193871215818</v>
      </c>
      <c r="S307" s="43" t="n">
        <v>0.0608302283160348</v>
      </c>
      <c r="T307" s="44" t="s">
        <v>99</v>
      </c>
    </row>
    <row r="308" customFormat="false" ht="15" hidden="false" customHeight="false" outlineLevel="0" collapsed="false">
      <c r="A308" s="38" t="s">
        <v>344</v>
      </c>
      <c r="B308" s="38" t="s">
        <v>433</v>
      </c>
      <c r="C308" s="38" t="s">
        <v>435</v>
      </c>
      <c r="D308" s="21" t="n">
        <f aca="false">ROUND(Q308*R308,0)</f>
        <v>411</v>
      </c>
      <c r="E308" s="21" t="n">
        <f aca="false">ROUND(Q308,0)-D308</f>
        <v>324</v>
      </c>
      <c r="F308" s="21" t="n">
        <f aca="false">IF(COUNTA(D308:E308)=0,"",SUM(D308:E308))</f>
        <v>735</v>
      </c>
      <c r="G308" s="39" t="n">
        <f aca="false">IF(OR(F308="",F308=0),"",D308/F308)</f>
        <v>0.559183673469388</v>
      </c>
      <c r="H308" s="39" t="n">
        <f aca="false">IF(OR(F308="",F308=0),"",E308/F308)</f>
        <v>0.440816326530612</v>
      </c>
      <c r="I308" s="38" t="s">
        <v>89</v>
      </c>
      <c r="J308" s="40" t="n">
        <v>3.09864730606258</v>
      </c>
      <c r="K308" s="39" t="n">
        <f aca="false">IF(G308="","",MAX(0,G308-J308/100))</f>
        <v>0.528197200408762</v>
      </c>
      <c r="L308" s="39" t="n">
        <f aca="false">IF(G308="","",MIN(1,G308+J308/100))</f>
        <v>0.590170146530014</v>
      </c>
      <c r="M308" s="21" t="n">
        <f aca="false">ROUND(Q308*S308,0)</f>
        <v>54</v>
      </c>
      <c r="N308" s="21" t="n">
        <f aca="false">ROUND(SQRT((F308*J308/100)^2+(G308*M308)^2),0)</f>
        <v>38</v>
      </c>
      <c r="P308" s="41" t="n">
        <v>2.08407361870348</v>
      </c>
      <c r="Q308" s="42" t="n">
        <v>734.902011022747</v>
      </c>
      <c r="R308" s="43" t="n">
        <f aca="false">MAX(0,MIN(1,P308/100+$D$5))</f>
        <v>0.558666430850795</v>
      </c>
      <c r="S308" s="43" t="n">
        <v>0.0731122618343653</v>
      </c>
      <c r="T308" s="44" t="s">
        <v>90</v>
      </c>
    </row>
    <row r="309" customFormat="false" ht="15" hidden="false" customHeight="false" outlineLevel="0" collapsed="false">
      <c r="A309" s="38" t="s">
        <v>344</v>
      </c>
      <c r="B309" s="38" t="s">
        <v>433</v>
      </c>
      <c r="C309" s="38" t="s">
        <v>436</v>
      </c>
      <c r="D309" s="21" t="n">
        <f aca="false">ROUND(Q309*R309,0)</f>
        <v>621</v>
      </c>
      <c r="E309" s="21" t="n">
        <f aca="false">ROUND(Q309,0)-D309</f>
        <v>470</v>
      </c>
      <c r="F309" s="21" t="n">
        <f aca="false">IF(COUNTA(D309:E309)=0,"",SUM(D309:E309))</f>
        <v>1091</v>
      </c>
      <c r="G309" s="39" t="n">
        <f aca="false">IF(OR(F309="",F309=0),"",D309/F309)</f>
        <v>0.569202566452796</v>
      </c>
      <c r="H309" s="39" t="n">
        <f aca="false">IF(OR(F309="",F309=0),"",E309/F309)</f>
        <v>0.430797433547204</v>
      </c>
      <c r="I309" s="38" t="s">
        <v>89</v>
      </c>
      <c r="J309" s="40" t="n">
        <v>2.0110742867014</v>
      </c>
      <c r="K309" s="39" t="n">
        <f aca="false">IF(G309="","",MAX(0,G309-J309/100))</f>
        <v>0.549091823585782</v>
      </c>
      <c r="L309" s="39" t="n">
        <f aca="false">IF(G309="","",MIN(1,G309+J309/100))</f>
        <v>0.58931330931981</v>
      </c>
      <c r="M309" s="21" t="n">
        <f aca="false">ROUND(Q309*S309,0)</f>
        <v>66</v>
      </c>
      <c r="N309" s="21" t="n">
        <f aca="false">ROUND(SQRT((F309*J309/100)^2+(G309*M309)^2),0)</f>
        <v>44</v>
      </c>
      <c r="P309" s="41" t="n">
        <v>3.09693968604205</v>
      </c>
      <c r="Q309" s="42" t="n">
        <v>1091.33726969311</v>
      </c>
      <c r="R309" s="43" t="n">
        <f aca="false">MAX(0,MIN(1,P309/100+$D$5))</f>
        <v>0.56879509152418</v>
      </c>
      <c r="S309" s="43" t="n">
        <v>0.0608302283160348</v>
      </c>
      <c r="T309" s="44" t="s">
        <v>99</v>
      </c>
    </row>
    <row r="310" customFormat="false" ht="15" hidden="false" customHeight="false" outlineLevel="0" collapsed="false">
      <c r="A310" s="38" t="s">
        <v>344</v>
      </c>
      <c r="B310" s="38" t="s">
        <v>437</v>
      </c>
      <c r="C310" s="38" t="s">
        <v>438</v>
      </c>
      <c r="D310" s="21" t="n">
        <f aca="false">ROUND(Q310*R310,0)</f>
        <v>553</v>
      </c>
      <c r="E310" s="21" t="n">
        <f aca="false">ROUND(Q310,0)-D310</f>
        <v>870</v>
      </c>
      <c r="F310" s="21" t="n">
        <f aca="false">IF(COUNTA(D310:E310)=0,"",SUM(D310:E310))</f>
        <v>1423</v>
      </c>
      <c r="G310" s="39" t="n">
        <f aca="false">IF(OR(F310="",F310=0),"",D310/F310)</f>
        <v>0.388615600843289</v>
      </c>
      <c r="H310" s="39" t="n">
        <f aca="false">IF(OR(F310="",F310=0),"",E310/F310)</f>
        <v>0.611384399156711</v>
      </c>
      <c r="I310" s="38" t="s">
        <v>89</v>
      </c>
      <c r="J310" s="40" t="n">
        <v>1.87006919874525</v>
      </c>
      <c r="K310" s="39" t="n">
        <f aca="false">IF(G310="","",MAX(0,G310-J310/100))</f>
        <v>0.369914908855836</v>
      </c>
      <c r="L310" s="39" t="n">
        <f aca="false">IF(G310="","",MIN(1,G310+J310/100))</f>
        <v>0.407316292830741</v>
      </c>
      <c r="M310" s="21" t="n">
        <f aca="false">ROUND(Q310*S310,0)</f>
        <v>197</v>
      </c>
      <c r="N310" s="21" t="n">
        <f aca="false">ROUND(SQRT((F310*J310/100)^2+(G310*M310)^2),0)</f>
        <v>81</v>
      </c>
      <c r="P310" s="41" t="n">
        <v>-14.9159782117664</v>
      </c>
      <c r="Q310" s="42" t="n">
        <v>1423.21916503162</v>
      </c>
      <c r="R310" s="43" t="n">
        <f aca="false">MAX(0,MIN(1,P310/100+$D$5))</f>
        <v>0.388665912546096</v>
      </c>
      <c r="S310" s="43" t="n">
        <v>0.138178110610255</v>
      </c>
      <c r="T310" s="44" t="s">
        <v>128</v>
      </c>
    </row>
    <row r="311" customFormat="false" ht="15" hidden="false" customHeight="false" outlineLevel="0" collapsed="false">
      <c r="A311" s="38" t="s">
        <v>344</v>
      </c>
      <c r="B311" s="38" t="s">
        <v>437</v>
      </c>
      <c r="C311" s="38" t="s">
        <v>439</v>
      </c>
      <c r="D311" s="21" t="n">
        <f aca="false">ROUND(Q311*R311,0)</f>
        <v>626</v>
      </c>
      <c r="E311" s="21" t="n">
        <f aca="false">ROUND(Q311,0)-D311</f>
        <v>980</v>
      </c>
      <c r="F311" s="21" t="n">
        <f aca="false">IF(COUNTA(D311:E311)=0,"",SUM(D311:E311))</f>
        <v>1606</v>
      </c>
      <c r="G311" s="39" t="n">
        <f aca="false">IF(OR(F311="",F311=0),"",D311/F311)</f>
        <v>0.389788293897883</v>
      </c>
      <c r="H311" s="39" t="n">
        <f aca="false">IF(OR(F311="",F311=0),"",E311/F311)</f>
        <v>0.610211706102117</v>
      </c>
      <c r="I311" s="38" t="s">
        <v>89</v>
      </c>
      <c r="J311" s="40" t="n">
        <v>1.87006919874525</v>
      </c>
      <c r="K311" s="39" t="n">
        <f aca="false">IF(G311="","",MAX(0,G311-J311/100))</f>
        <v>0.371087601910431</v>
      </c>
      <c r="L311" s="39" t="n">
        <f aca="false">IF(G311="","",MIN(1,G311+J311/100))</f>
        <v>0.408488985885335</v>
      </c>
      <c r="M311" s="21" t="n">
        <f aca="false">ROUND(Q311*S311,0)</f>
        <v>222</v>
      </c>
      <c r="N311" s="21" t="n">
        <f aca="false">ROUND(SQRT((F311*J311/100)^2+(G311*M311)^2),0)</f>
        <v>92</v>
      </c>
      <c r="P311" s="41" t="n">
        <v>-14.8100522721084</v>
      </c>
      <c r="Q311" s="42" t="n">
        <v>1605.50221581181</v>
      </c>
      <c r="R311" s="43" t="n">
        <f aca="false">MAX(0,MIN(1,P311/100+$D$5))</f>
        <v>0.389725171942676</v>
      </c>
      <c r="S311" s="43" t="n">
        <v>0.138178110610255</v>
      </c>
      <c r="T311" s="44" t="s">
        <v>128</v>
      </c>
    </row>
    <row r="312" customFormat="false" ht="15" hidden="false" customHeight="false" outlineLevel="0" collapsed="false">
      <c r="A312" s="38" t="s">
        <v>344</v>
      </c>
      <c r="B312" s="38" t="s">
        <v>437</v>
      </c>
      <c r="C312" s="38" t="s">
        <v>440</v>
      </c>
      <c r="D312" s="21" t="n">
        <f aca="false">ROUND(Q312*R312,0)</f>
        <v>204</v>
      </c>
      <c r="E312" s="21" t="n">
        <f aca="false">ROUND(Q312,0)-D312</f>
        <v>363</v>
      </c>
      <c r="F312" s="21" t="n">
        <f aca="false">IF(COUNTA(D312:E312)=0,"",SUM(D312:E312))</f>
        <v>567</v>
      </c>
      <c r="G312" s="39" t="n">
        <f aca="false">IF(OR(F312="",F312=0),"",D312/F312)</f>
        <v>0.35978835978836</v>
      </c>
      <c r="H312" s="39" t="n">
        <f aca="false">IF(OR(F312="",F312=0),"",E312/F312)</f>
        <v>0.64021164021164</v>
      </c>
      <c r="I312" s="38" t="s">
        <v>89</v>
      </c>
      <c r="J312" s="40" t="n">
        <v>3.09864730606258</v>
      </c>
      <c r="K312" s="39" t="n">
        <f aca="false">IF(G312="","",MAX(0,G312-J312/100))</f>
        <v>0.328801886727734</v>
      </c>
      <c r="L312" s="39" t="n">
        <f aca="false">IF(G312="","",MIN(1,G312+J312/100))</f>
        <v>0.390774832848986</v>
      </c>
      <c r="M312" s="21" t="n">
        <f aca="false">ROUND(Q312*S312,0)</f>
        <v>41</v>
      </c>
      <c r="N312" s="21" t="n">
        <f aca="false">ROUND(SQRT((F312*J312/100)^2+(G312*M312)^2),0)</f>
        <v>23</v>
      </c>
      <c r="P312" s="41" t="n">
        <v>-17.7750231840138</v>
      </c>
      <c r="Q312" s="42" t="n">
        <v>566.662711906484</v>
      </c>
      <c r="R312" s="43" t="n">
        <f aca="false">MAX(0,MIN(1,P312/100+$D$5))</f>
        <v>0.360075462823622</v>
      </c>
      <c r="S312" s="43" t="n">
        <v>0.0731122618343653</v>
      </c>
      <c r="T312" s="44" t="s">
        <v>90</v>
      </c>
    </row>
    <row r="313" customFormat="false" ht="15" hidden="false" customHeight="false" outlineLevel="0" collapsed="false">
      <c r="A313" s="38" t="s">
        <v>344</v>
      </c>
      <c r="B313" s="38" t="s">
        <v>437</v>
      </c>
      <c r="C313" s="38" t="s">
        <v>441</v>
      </c>
      <c r="D313" s="21" t="n">
        <f aca="false">ROUND(Q313*R313,0)</f>
        <v>488</v>
      </c>
      <c r="E313" s="21" t="n">
        <f aca="false">ROUND(Q313,0)-D313</f>
        <v>748</v>
      </c>
      <c r="F313" s="21" t="n">
        <f aca="false">IF(COUNTA(D313:E313)=0,"",SUM(D313:E313))</f>
        <v>1236</v>
      </c>
      <c r="G313" s="39" t="n">
        <f aca="false">IF(OR(F313="",F313=0),"",D313/F313)</f>
        <v>0.394822006472492</v>
      </c>
      <c r="H313" s="39" t="n">
        <f aca="false">IF(OR(F313="",F313=0),"",E313/F313)</f>
        <v>0.605177993527508</v>
      </c>
      <c r="I313" s="38" t="s">
        <v>89</v>
      </c>
      <c r="J313" s="40" t="n">
        <v>1.87006919874525</v>
      </c>
      <c r="K313" s="39" t="n">
        <f aca="false">IF(G313="","",MAX(0,G313-J313/100))</f>
        <v>0.376121314485039</v>
      </c>
      <c r="L313" s="39" t="n">
        <f aca="false">IF(G313="","",MIN(1,G313+J313/100))</f>
        <v>0.413522698459944</v>
      </c>
      <c r="M313" s="21" t="n">
        <f aca="false">ROUND(Q313*S313,0)</f>
        <v>171</v>
      </c>
      <c r="N313" s="21" t="n">
        <f aca="false">ROUND(SQRT((F313*J313/100)^2+(G313*M313)^2),0)</f>
        <v>71</v>
      </c>
      <c r="P313" s="41" t="n">
        <v>-14.2862712542595</v>
      </c>
      <c r="Q313" s="42" t="n">
        <v>1235.58992282038</v>
      </c>
      <c r="R313" s="43" t="n">
        <f aca="false">MAX(0,MIN(1,P313/100+$D$5))</f>
        <v>0.394962982121164</v>
      </c>
      <c r="S313" s="43" t="n">
        <v>0.138178110610255</v>
      </c>
      <c r="T313" s="44" t="s">
        <v>128</v>
      </c>
    </row>
    <row r="314" customFormat="false" ht="15" hidden="false" customHeight="false" outlineLevel="0" collapsed="false">
      <c r="A314" s="38" t="s">
        <v>344</v>
      </c>
      <c r="B314" s="38" t="s">
        <v>437</v>
      </c>
      <c r="C314" s="38" t="s">
        <v>442</v>
      </c>
      <c r="D314" s="21" t="n">
        <f aca="false">ROUND(Q314*R314,0)</f>
        <v>352</v>
      </c>
      <c r="E314" s="21" t="n">
        <f aca="false">ROUND(Q314,0)-D314</f>
        <v>534</v>
      </c>
      <c r="F314" s="21" t="n">
        <f aca="false">IF(COUNTA(D314:E314)=0,"",SUM(D314:E314))</f>
        <v>886</v>
      </c>
      <c r="G314" s="39" t="n">
        <f aca="false">IF(OR(F314="",F314=0),"",D314/F314)</f>
        <v>0.397291196388262</v>
      </c>
      <c r="H314" s="39" t="n">
        <f aca="false">IF(OR(F314="",F314=0),"",E314/F314)</f>
        <v>0.602708803611738</v>
      </c>
      <c r="I314" s="38" t="s">
        <v>89</v>
      </c>
      <c r="J314" s="40" t="n">
        <v>2.0110742867014</v>
      </c>
      <c r="K314" s="39" t="n">
        <f aca="false">IF(G314="","",MAX(0,G314-J314/100))</f>
        <v>0.377180453521248</v>
      </c>
      <c r="L314" s="39" t="n">
        <f aca="false">IF(G314="","",MIN(1,G314+J314/100))</f>
        <v>0.417401939255276</v>
      </c>
      <c r="M314" s="21" t="n">
        <f aca="false">ROUND(Q314*S314,0)</f>
        <v>54</v>
      </c>
      <c r="N314" s="21" t="n">
        <f aca="false">ROUND(SQRT((F314*J314/100)^2+(G314*M314)^2),0)</f>
        <v>28</v>
      </c>
      <c r="P314" s="41" t="n">
        <v>-14.0171563808503</v>
      </c>
      <c r="Q314" s="42" t="n">
        <v>885.952236257061</v>
      </c>
      <c r="R314" s="43" t="n">
        <f aca="false">MAX(0,MIN(1,P314/100+$D$5))</f>
        <v>0.397654130855257</v>
      </c>
      <c r="S314" s="43" t="n">
        <v>0.0608302283160348</v>
      </c>
      <c r="T314" s="44" t="s">
        <v>99</v>
      </c>
    </row>
    <row r="315" customFormat="false" ht="15" hidden="false" customHeight="false" outlineLevel="0" collapsed="false">
      <c r="A315" s="38" t="s">
        <v>344</v>
      </c>
      <c r="B315" s="38" t="s">
        <v>443</v>
      </c>
      <c r="C315" s="38" t="s">
        <v>444</v>
      </c>
      <c r="D315" s="21" t="n">
        <f aca="false">ROUND(Q315*R315,0)</f>
        <v>224</v>
      </c>
      <c r="E315" s="21" t="n">
        <f aca="false">ROUND(Q315,0)-D315</f>
        <v>341</v>
      </c>
      <c r="F315" s="21" t="n">
        <f aca="false">IF(COUNTA(D315:E315)=0,"",SUM(D315:E315))</f>
        <v>565</v>
      </c>
      <c r="G315" s="39" t="n">
        <f aca="false">IF(OR(F315="",F315=0),"",D315/F315)</f>
        <v>0.39646017699115</v>
      </c>
      <c r="H315" s="39" t="n">
        <f aca="false">IF(OR(F315="",F315=0),"",E315/F315)</f>
        <v>0.60353982300885</v>
      </c>
      <c r="I315" s="38" t="s">
        <v>89</v>
      </c>
      <c r="J315" s="40" t="n">
        <v>3.09864730606258</v>
      </c>
      <c r="K315" s="39" t="n">
        <f aca="false">IF(G315="","",MAX(0,G315-J315/100))</f>
        <v>0.365473703930525</v>
      </c>
      <c r="L315" s="39" t="n">
        <f aca="false">IF(G315="","",MIN(1,G315+J315/100))</f>
        <v>0.427446650051776</v>
      </c>
      <c r="M315" s="21" t="n">
        <f aca="false">ROUND(Q315*S315,0)</f>
        <v>41</v>
      </c>
      <c r="N315" s="21" t="n">
        <f aca="false">ROUND(SQRT((F315*J315/100)^2+(G315*M315)^2),0)</f>
        <v>24</v>
      </c>
      <c r="P315" s="41" t="n">
        <v>-14.1663345008177</v>
      </c>
      <c r="Q315" s="42" t="n">
        <v>565.370750829302</v>
      </c>
      <c r="R315" s="43" t="n">
        <f aca="false">MAX(0,MIN(1,P315/100+$D$5))</f>
        <v>0.396162349655583</v>
      </c>
      <c r="S315" s="43" t="n">
        <v>0.0731122618343653</v>
      </c>
      <c r="T315" s="44" t="s">
        <v>90</v>
      </c>
    </row>
    <row r="316" customFormat="false" ht="15" hidden="false" customHeight="false" outlineLevel="0" collapsed="false">
      <c r="A316" s="38" t="s">
        <v>344</v>
      </c>
      <c r="B316" s="38" t="s">
        <v>443</v>
      </c>
      <c r="C316" s="38" t="s">
        <v>445</v>
      </c>
      <c r="D316" s="21" t="n">
        <f aca="false">ROUND(Q316*R316,0)</f>
        <v>355</v>
      </c>
      <c r="E316" s="21" t="n">
        <f aca="false">ROUND(Q316,0)-D316</f>
        <v>595</v>
      </c>
      <c r="F316" s="21" t="n">
        <f aca="false">IF(COUNTA(D316:E316)=0,"",SUM(D316:E316))</f>
        <v>950</v>
      </c>
      <c r="G316" s="39" t="n">
        <f aca="false">IF(OR(F316="",F316=0),"",D316/F316)</f>
        <v>0.373684210526316</v>
      </c>
      <c r="H316" s="39" t="n">
        <f aca="false">IF(OR(F316="",F316=0),"",E316/F316)</f>
        <v>0.626315789473684</v>
      </c>
      <c r="I316" s="38" t="s">
        <v>89</v>
      </c>
      <c r="J316" s="40" t="n">
        <v>2.0110742867014</v>
      </c>
      <c r="K316" s="39" t="n">
        <f aca="false">IF(G316="","",MAX(0,G316-J316/100))</f>
        <v>0.353573467659302</v>
      </c>
      <c r="L316" s="39" t="n">
        <f aca="false">IF(G316="","",MIN(1,G316+J316/100))</f>
        <v>0.39379495339333</v>
      </c>
      <c r="M316" s="21" t="n">
        <f aca="false">ROUND(Q316*S316,0)</f>
        <v>58</v>
      </c>
      <c r="N316" s="21" t="n">
        <f aca="false">ROUND(SQRT((F316*J316/100)^2+(G316*M316)^2),0)</f>
        <v>29</v>
      </c>
      <c r="P316" s="41" t="n">
        <v>-16.4122395400296</v>
      </c>
      <c r="Q316" s="42" t="n">
        <v>949.740021801647</v>
      </c>
      <c r="R316" s="43" t="n">
        <f aca="false">MAX(0,MIN(1,P316/100+$D$5))</f>
        <v>0.373703299263464</v>
      </c>
      <c r="S316" s="43" t="n">
        <v>0.0608302283160348</v>
      </c>
      <c r="T316" s="44" t="s">
        <v>99</v>
      </c>
    </row>
    <row r="317" customFormat="false" ht="15" hidden="false" customHeight="false" outlineLevel="0" collapsed="false">
      <c r="A317" s="38" t="s">
        <v>344</v>
      </c>
      <c r="B317" s="38" t="s">
        <v>446</v>
      </c>
      <c r="C317" s="38" t="s">
        <v>447</v>
      </c>
      <c r="D317" s="21" t="n">
        <f aca="false">ROUND(Q317*R317,0)</f>
        <v>216</v>
      </c>
      <c r="E317" s="21" t="n">
        <f aca="false">ROUND(Q317,0)-D317</f>
        <v>261</v>
      </c>
      <c r="F317" s="21" t="n">
        <f aca="false">IF(COUNTA(D317:E317)=0,"",SUM(D317:E317))</f>
        <v>477</v>
      </c>
      <c r="G317" s="39" t="n">
        <f aca="false">IF(OR(F317="",F317=0),"",D317/F317)</f>
        <v>0.452830188679245</v>
      </c>
      <c r="H317" s="39" t="n">
        <f aca="false">IF(OR(F317="",F317=0),"",E317/F317)</f>
        <v>0.547169811320755</v>
      </c>
      <c r="I317" s="38" t="s">
        <v>191</v>
      </c>
      <c r="J317" s="40" t="n">
        <v>3.09864730606258</v>
      </c>
      <c r="K317" s="39" t="n">
        <f aca="false">IF(G317="","",MAX(0,G317-J317/100))</f>
        <v>0.42184371561862</v>
      </c>
      <c r="L317" s="39" t="n">
        <f aca="false">IF(G317="","",MIN(1,G317+J317/100))</f>
        <v>0.483816661739871</v>
      </c>
      <c r="M317" s="21" t="n">
        <f aca="false">ROUND(Q317*S317,0)</f>
        <v>35</v>
      </c>
      <c r="N317" s="21" t="n">
        <f aca="false">ROUND(SQRT((F317*J317/100)^2+(G317*M317)^2),0)</f>
        <v>22</v>
      </c>
      <c r="P317" s="41" t="n">
        <v>-8.43053322570035</v>
      </c>
      <c r="Q317" s="42" t="n">
        <v>477.241857152161</v>
      </c>
      <c r="R317" s="43" t="n">
        <f aca="false">MAX(0,MIN(1,P317/100+$D$5))</f>
        <v>0.453520362406756</v>
      </c>
      <c r="S317" s="43" t="n">
        <v>0.0731122618343653</v>
      </c>
      <c r="T317" s="44" t="s">
        <v>90</v>
      </c>
    </row>
    <row r="318" customFormat="false" ht="15" hidden="false" customHeight="false" outlineLevel="0" collapsed="false">
      <c r="A318" s="38" t="s">
        <v>344</v>
      </c>
      <c r="B318" s="38" t="s">
        <v>446</v>
      </c>
      <c r="C318" s="38" t="s">
        <v>448</v>
      </c>
      <c r="D318" s="21" t="n">
        <f aca="false">ROUND(Q318*R318,0)</f>
        <v>586</v>
      </c>
      <c r="E318" s="21" t="n">
        <f aca="false">ROUND(Q318,0)-D318</f>
        <v>541</v>
      </c>
      <c r="F318" s="21" t="n">
        <f aca="false">IF(COUNTA(D318:E318)=0,"",SUM(D318:E318))</f>
        <v>1127</v>
      </c>
      <c r="G318" s="39" t="n">
        <f aca="false">IF(OR(F318="",F318=0),"",D318/F318)</f>
        <v>0.519964507542147</v>
      </c>
      <c r="H318" s="39" t="n">
        <f aca="false">IF(OR(F318="",F318=0),"",E318/F318)</f>
        <v>0.480035492457853</v>
      </c>
      <c r="I318" s="38" t="s">
        <v>191</v>
      </c>
      <c r="J318" s="40" t="n">
        <v>2.0110742867014</v>
      </c>
      <c r="K318" s="39" t="n">
        <f aca="false">IF(G318="","",MAX(0,G318-J318/100))</f>
        <v>0.499853764675133</v>
      </c>
      <c r="L318" s="39" t="n">
        <f aca="false">IF(G318="","",MIN(1,G318+J318/100))</f>
        <v>0.540075250409161</v>
      </c>
      <c r="M318" s="21" t="n">
        <f aca="false">ROUND(Q318*S318,0)</f>
        <v>69</v>
      </c>
      <c r="N318" s="21" t="n">
        <f aca="false">ROUND(SQRT((F318*J318/100)^2+(G318*M318)^2),0)</f>
        <v>42</v>
      </c>
      <c r="P318" s="41" t="n">
        <v>-1.82836100051709</v>
      </c>
      <c r="Q318" s="42" t="n">
        <v>1127.46679168497</v>
      </c>
      <c r="R318" s="43" t="n">
        <f aca="false">MAX(0,MIN(1,P318/100+$D$5))</f>
        <v>0.519542084658589</v>
      </c>
      <c r="S318" s="43" t="n">
        <v>0.0608302283160348</v>
      </c>
      <c r="T318" s="44" t="s">
        <v>99</v>
      </c>
    </row>
    <row r="319" customFormat="false" ht="15" hidden="false" customHeight="false" outlineLevel="0" collapsed="false">
      <c r="A319" s="38" t="s">
        <v>344</v>
      </c>
      <c r="B319" s="38" t="s">
        <v>446</v>
      </c>
      <c r="C319" s="38" t="s">
        <v>449</v>
      </c>
      <c r="D319" s="21" t="n">
        <f aca="false">ROUND(Q319*R319,0)</f>
        <v>588</v>
      </c>
      <c r="E319" s="21" t="n">
        <f aca="false">ROUND(Q319,0)-D319</f>
        <v>639</v>
      </c>
      <c r="F319" s="21" t="n">
        <f aca="false">IF(COUNTA(D319:E319)=0,"",SUM(D319:E319))</f>
        <v>1227</v>
      </c>
      <c r="G319" s="39" t="n">
        <f aca="false">IF(OR(F319="",F319=0),"",D319/F319)</f>
        <v>0.47921760391198</v>
      </c>
      <c r="H319" s="39" t="n">
        <f aca="false">IF(OR(F319="",F319=0),"",E319/F319)</f>
        <v>0.52078239608802</v>
      </c>
      <c r="I319" s="38" t="s">
        <v>89</v>
      </c>
      <c r="J319" s="40" t="n">
        <v>1.87006919874525</v>
      </c>
      <c r="K319" s="39" t="n">
        <f aca="false">IF(G319="","",MAX(0,G319-J319/100))</f>
        <v>0.460516911924528</v>
      </c>
      <c r="L319" s="39" t="n">
        <f aca="false">IF(G319="","",MIN(1,G319+J319/100))</f>
        <v>0.497918295899433</v>
      </c>
      <c r="M319" s="21" t="n">
        <f aca="false">ROUND(Q319*S319,0)</f>
        <v>170</v>
      </c>
      <c r="N319" s="21" t="n">
        <f aca="false">ROUND(SQRT((F319*J319/100)^2+(G319*M319)^2),0)</f>
        <v>85</v>
      </c>
      <c r="P319" s="41" t="n">
        <v>-5.88972575149868</v>
      </c>
      <c r="Q319" s="42" t="n">
        <v>1226.78879223422</v>
      </c>
      <c r="R319" s="43" t="n">
        <f aca="false">MAX(0,MIN(1,P319/100+$D$5))</f>
        <v>0.478928437148773</v>
      </c>
      <c r="S319" s="43" t="n">
        <v>0.138178110610255</v>
      </c>
      <c r="T319" s="44" t="s">
        <v>128</v>
      </c>
    </row>
    <row r="320" customFormat="false" ht="15" hidden="false" customHeight="false" outlineLevel="0" collapsed="false">
      <c r="A320" s="38" t="s">
        <v>344</v>
      </c>
      <c r="B320" s="38" t="s">
        <v>446</v>
      </c>
      <c r="C320" s="38" t="s">
        <v>450</v>
      </c>
      <c r="D320" s="21" t="n">
        <f aca="false">ROUND(Q320*R320,0)</f>
        <v>550</v>
      </c>
      <c r="E320" s="21" t="n">
        <f aca="false">ROUND(Q320,0)-D320</f>
        <v>564</v>
      </c>
      <c r="F320" s="21" t="n">
        <f aca="false">IF(COUNTA(D320:E320)=0,"",SUM(D320:E320))</f>
        <v>1114</v>
      </c>
      <c r="G320" s="39" t="n">
        <f aca="false">IF(OR(F320="",F320=0),"",D320/F320)</f>
        <v>0.493716337522442</v>
      </c>
      <c r="H320" s="39" t="n">
        <f aca="false">IF(OR(F320="",F320=0),"",E320/F320)</f>
        <v>0.506283662477558</v>
      </c>
      <c r="I320" s="38" t="s">
        <v>191</v>
      </c>
      <c r="J320" s="40" t="n">
        <v>2.0110742867014</v>
      </c>
      <c r="K320" s="39" t="n">
        <f aca="false">IF(G320="","",MAX(0,G320-J320/100))</f>
        <v>0.473605594655428</v>
      </c>
      <c r="L320" s="39" t="n">
        <f aca="false">IF(G320="","",MIN(1,G320+J320/100))</f>
        <v>0.513827080389456</v>
      </c>
      <c r="M320" s="21" t="n">
        <f aca="false">ROUND(Q320*S320,0)</f>
        <v>68</v>
      </c>
      <c r="N320" s="21" t="n">
        <f aca="false">ROUND(SQRT((F320*J320/100)^2+(G320*M320)^2),0)</f>
        <v>40</v>
      </c>
      <c r="P320" s="41" t="n">
        <v>-4.3864733854449</v>
      </c>
      <c r="Q320" s="42" t="n">
        <v>1114.30576570619</v>
      </c>
      <c r="R320" s="43" t="n">
        <f aca="false">MAX(0,MIN(1,P320/100+$D$5))</f>
        <v>0.493960960809311</v>
      </c>
      <c r="S320" s="43" t="n">
        <v>0.0608302283160348</v>
      </c>
      <c r="T320" s="44" t="s">
        <v>99</v>
      </c>
    </row>
    <row r="321" customFormat="false" ht="15" hidden="false" customHeight="false" outlineLevel="0" collapsed="false">
      <c r="A321" s="38" t="s">
        <v>344</v>
      </c>
      <c r="B321" s="38" t="s">
        <v>451</v>
      </c>
      <c r="C321" s="38" t="s">
        <v>452</v>
      </c>
      <c r="D321" s="21" t="n">
        <f aca="false">ROUND(Q321*R321,0)</f>
        <v>559</v>
      </c>
      <c r="E321" s="21" t="n">
        <f aca="false">ROUND(Q321,0)-D321</f>
        <v>462</v>
      </c>
      <c r="F321" s="21" t="n">
        <f aca="false">IF(COUNTA(D321:E321)=0,"",SUM(D321:E321))</f>
        <v>1021</v>
      </c>
      <c r="G321" s="39" t="n">
        <f aca="false">IF(OR(F321="",F321=0),"",D321/F321)</f>
        <v>0.547502448579824</v>
      </c>
      <c r="H321" s="39" t="n">
        <f aca="false">IF(OR(F321="",F321=0),"",E321/F321)</f>
        <v>0.452497551420176</v>
      </c>
      <c r="I321" s="38" t="s">
        <v>89</v>
      </c>
      <c r="J321" s="40" t="n">
        <v>2.0110742867014</v>
      </c>
      <c r="K321" s="39" t="n">
        <f aca="false">IF(G321="","",MAX(0,G321-J321/100))</f>
        <v>0.52739170571281</v>
      </c>
      <c r="L321" s="39" t="n">
        <f aca="false">IF(G321="","",MIN(1,G321+J321/100))</f>
        <v>0.567613191446838</v>
      </c>
      <c r="M321" s="21" t="n">
        <f aca="false">ROUND(Q321*S321,0)</f>
        <v>62</v>
      </c>
      <c r="N321" s="21" t="n">
        <f aca="false">ROUND(SQRT((F321*J321/100)^2+(G321*M321)^2),0)</f>
        <v>40</v>
      </c>
      <c r="P321" s="41" t="n">
        <v>0.973902100855307</v>
      </c>
      <c r="Q321" s="42" t="n">
        <v>1020.72823445459</v>
      </c>
      <c r="R321" s="43" t="n">
        <f aca="false">MAX(0,MIN(1,P321/100+$D$5))</f>
        <v>0.547564715672313</v>
      </c>
      <c r="S321" s="43" t="n">
        <v>0.0608302283160348</v>
      </c>
      <c r="T321" s="44" t="s">
        <v>99</v>
      </c>
    </row>
    <row r="322" customFormat="false" ht="15" hidden="false" customHeight="false" outlineLevel="0" collapsed="false">
      <c r="A322" s="38" t="s">
        <v>344</v>
      </c>
      <c r="B322" s="38" t="s">
        <v>451</v>
      </c>
      <c r="C322" s="38" t="s">
        <v>453</v>
      </c>
      <c r="D322" s="21" t="n">
        <f aca="false">ROUND(Q322*R322,0)</f>
        <v>612</v>
      </c>
      <c r="E322" s="21" t="n">
        <f aca="false">ROUND(Q322,0)-D322</f>
        <v>666</v>
      </c>
      <c r="F322" s="21" t="n">
        <f aca="false">IF(COUNTA(D322:E322)=0,"",SUM(D322:E322))</f>
        <v>1278</v>
      </c>
      <c r="G322" s="39" t="n">
        <f aca="false">IF(OR(F322="",F322=0),"",D322/F322)</f>
        <v>0.47887323943662</v>
      </c>
      <c r="H322" s="39" t="n">
        <f aca="false">IF(OR(F322="",F322=0),"",E322/F322)</f>
        <v>0.52112676056338</v>
      </c>
      <c r="I322" s="38" t="s">
        <v>89</v>
      </c>
      <c r="J322" s="40" t="n">
        <v>1.87006919874525</v>
      </c>
      <c r="K322" s="39" t="n">
        <f aca="false">IF(G322="","",MAX(0,G322-J322/100))</f>
        <v>0.460172547449167</v>
      </c>
      <c r="L322" s="39" t="n">
        <f aca="false">IF(G322="","",MIN(1,G322+J322/100))</f>
        <v>0.497573931424072</v>
      </c>
      <c r="M322" s="21" t="n">
        <f aca="false">ROUND(Q322*S322,0)</f>
        <v>177</v>
      </c>
      <c r="N322" s="21" t="n">
        <f aca="false">ROUND(SQRT((F322*J322/100)^2+(G322*M322)^2),0)</f>
        <v>88</v>
      </c>
      <c r="P322" s="41" t="n">
        <v>-5.92649742006227</v>
      </c>
      <c r="Q322" s="42" t="n">
        <v>1278.32105956825</v>
      </c>
      <c r="R322" s="43" t="n">
        <f aca="false">MAX(0,MIN(1,P322/100+$D$5))</f>
        <v>0.478560720463137</v>
      </c>
      <c r="S322" s="43" t="n">
        <v>0.138178110610255</v>
      </c>
      <c r="T322" s="44" t="s">
        <v>128</v>
      </c>
    </row>
    <row r="323" customFormat="false" ht="15" hidden="false" customHeight="false" outlineLevel="0" collapsed="false">
      <c r="A323" s="38" t="s">
        <v>344</v>
      </c>
      <c r="B323" s="38" t="s">
        <v>451</v>
      </c>
      <c r="C323" s="38" t="s">
        <v>454</v>
      </c>
      <c r="D323" s="21" t="n">
        <f aca="false">ROUND(Q323*R323,0)</f>
        <v>428</v>
      </c>
      <c r="E323" s="21" t="n">
        <f aca="false">ROUND(Q323,0)-D323</f>
        <v>540</v>
      </c>
      <c r="F323" s="21" t="n">
        <f aca="false">IF(COUNTA(D323:E323)=0,"",SUM(D323:E323))</f>
        <v>968</v>
      </c>
      <c r="G323" s="39" t="n">
        <f aca="false">IF(OR(F323="",F323=0),"",D323/F323)</f>
        <v>0.442148760330579</v>
      </c>
      <c r="H323" s="39" t="n">
        <f aca="false">IF(OR(F323="",F323=0),"",E323/F323)</f>
        <v>0.557851239669422</v>
      </c>
      <c r="I323" s="38" t="s">
        <v>191</v>
      </c>
      <c r="J323" s="40" t="n">
        <v>2.0110742867014</v>
      </c>
      <c r="K323" s="39" t="n">
        <f aca="false">IF(G323="","",MAX(0,G323-J323/100))</f>
        <v>0.422038017463565</v>
      </c>
      <c r="L323" s="39" t="n">
        <f aca="false">IF(G323="","",MIN(1,G323+J323/100))</f>
        <v>0.462259503197593</v>
      </c>
      <c r="M323" s="21" t="n">
        <f aca="false">ROUND(Q323*S323,0)</f>
        <v>59</v>
      </c>
      <c r="N323" s="21" t="n">
        <f aca="false">ROUND(SQRT((F323*J323/100)^2+(G323*M323)^2),0)</f>
        <v>33</v>
      </c>
      <c r="P323" s="41" t="n">
        <v>-9.61144468014463</v>
      </c>
      <c r="Q323" s="42" t="n">
        <v>968.285235245516</v>
      </c>
      <c r="R323" s="43" t="n">
        <f aca="false">MAX(0,MIN(1,P323/100+$D$5))</f>
        <v>0.441711247862313</v>
      </c>
      <c r="S323" s="43" t="n">
        <v>0.0608302283160348</v>
      </c>
      <c r="T323" s="44" t="s">
        <v>99</v>
      </c>
    </row>
    <row r="324" customFormat="false" ht="15" hidden="false" customHeight="false" outlineLevel="0" collapsed="false">
      <c r="A324" s="38" t="s">
        <v>344</v>
      </c>
      <c r="B324" s="38" t="s">
        <v>451</v>
      </c>
      <c r="C324" s="38" t="s">
        <v>455</v>
      </c>
      <c r="D324" s="21" t="n">
        <f aca="false">ROUND(Q324*R324,0)</f>
        <v>446</v>
      </c>
      <c r="E324" s="21" t="n">
        <f aca="false">ROUND(Q324,0)-D324</f>
        <v>358</v>
      </c>
      <c r="F324" s="21" t="n">
        <f aca="false">IF(COUNTA(D324:E324)=0,"",SUM(D324:E324))</f>
        <v>804</v>
      </c>
      <c r="G324" s="39" t="n">
        <f aca="false">IF(OR(F324="",F324=0),"",D324/F324)</f>
        <v>0.554726368159204</v>
      </c>
      <c r="H324" s="39" t="n">
        <f aca="false">IF(OR(F324="",F324=0),"",E324/F324)</f>
        <v>0.445273631840796</v>
      </c>
      <c r="I324" s="38" t="s">
        <v>89</v>
      </c>
      <c r="J324" s="40" t="n">
        <v>2.0110742867014</v>
      </c>
      <c r="K324" s="39" t="n">
        <f aca="false">IF(G324="","",MAX(0,G324-J324/100))</f>
        <v>0.53461562529219</v>
      </c>
      <c r="L324" s="39" t="n">
        <f aca="false">IF(G324="","",MIN(1,G324+J324/100))</f>
        <v>0.574837111026218</v>
      </c>
      <c r="M324" s="21" t="n">
        <f aca="false">ROUND(Q324*S324,0)</f>
        <v>49</v>
      </c>
      <c r="N324" s="21" t="n">
        <f aca="false">ROUND(SQRT((F324*J324/100)^2+(G324*M324)^2),0)</f>
        <v>32</v>
      </c>
      <c r="P324" s="41" t="n">
        <v>1.68301183758935</v>
      </c>
      <c r="Q324" s="42" t="n">
        <v>804.023246033754</v>
      </c>
      <c r="R324" s="43" t="n">
        <f aca="false">MAX(0,MIN(1,P324/100+$D$5))</f>
        <v>0.554655813039653</v>
      </c>
      <c r="S324" s="43" t="n">
        <v>0.0608302283160348</v>
      </c>
      <c r="T324" s="44" t="s">
        <v>99</v>
      </c>
    </row>
    <row r="325" customFormat="false" ht="15" hidden="false" customHeight="false" outlineLevel="0" collapsed="false">
      <c r="A325" s="38" t="s">
        <v>344</v>
      </c>
      <c r="B325" s="38" t="s">
        <v>451</v>
      </c>
      <c r="C325" s="38" t="s">
        <v>456</v>
      </c>
      <c r="D325" s="21" t="n">
        <f aca="false">ROUND(Q325*R325,0)</f>
        <v>408</v>
      </c>
      <c r="E325" s="21" t="n">
        <f aca="false">ROUND(Q325,0)-D325</f>
        <v>485</v>
      </c>
      <c r="F325" s="21" t="n">
        <f aca="false">IF(COUNTA(D325:E325)=0,"",SUM(D325:E325))</f>
        <v>893</v>
      </c>
      <c r="G325" s="39" t="n">
        <f aca="false">IF(OR(F325="",F325=0),"",D325/F325)</f>
        <v>0.456886898096305</v>
      </c>
      <c r="H325" s="39" t="n">
        <f aca="false">IF(OR(F325="",F325=0),"",E325/F325)</f>
        <v>0.543113101903695</v>
      </c>
      <c r="I325" s="38" t="s">
        <v>89</v>
      </c>
      <c r="J325" s="40" t="n">
        <v>2.0110742867014</v>
      </c>
      <c r="K325" s="39" t="n">
        <f aca="false">IF(G325="","",MAX(0,G325-J325/100))</f>
        <v>0.436776155229291</v>
      </c>
      <c r="L325" s="39" t="n">
        <f aca="false">IF(G325="","",MIN(1,G325+J325/100))</f>
        <v>0.476997640963319</v>
      </c>
      <c r="M325" s="21" t="n">
        <f aca="false">ROUND(Q325*S325,0)</f>
        <v>54</v>
      </c>
      <c r="N325" s="21" t="n">
        <f aca="false">ROUND(SQRT((F325*J325/100)^2+(G325*M325)^2),0)</f>
        <v>31</v>
      </c>
      <c r="P325" s="41" t="n">
        <v>-8.13444482759967</v>
      </c>
      <c r="Q325" s="42" t="n">
        <v>893.305982653705</v>
      </c>
      <c r="R325" s="43" t="n">
        <f aca="false">MAX(0,MIN(1,P325/100+$D$5))</f>
        <v>0.456481246387763</v>
      </c>
      <c r="S325" s="43" t="n">
        <v>0.0608302283160348</v>
      </c>
      <c r="T325" s="44" t="s">
        <v>99</v>
      </c>
    </row>
    <row r="326" customFormat="false" ht="15" hidden="false" customHeight="false" outlineLevel="0" collapsed="false">
      <c r="A326" s="38" t="s">
        <v>344</v>
      </c>
      <c r="B326" s="38" t="s">
        <v>451</v>
      </c>
      <c r="C326" s="38" t="s">
        <v>457</v>
      </c>
      <c r="D326" s="21" t="n">
        <f aca="false">ROUND(Q326*R326,0)</f>
        <v>903</v>
      </c>
      <c r="E326" s="21" t="n">
        <f aca="false">ROUND(Q326,0)-D326</f>
        <v>917</v>
      </c>
      <c r="F326" s="21" t="n">
        <f aca="false">IF(COUNTA(D326:E326)=0,"",SUM(D326:E326))</f>
        <v>1820</v>
      </c>
      <c r="G326" s="39" t="n">
        <f aca="false">IF(OR(F326="",F326=0),"",D326/F326)</f>
        <v>0.496153846153846</v>
      </c>
      <c r="H326" s="39" t="n">
        <f aca="false">IF(OR(F326="",F326=0),"",E326/F326)</f>
        <v>0.503846153846154</v>
      </c>
      <c r="I326" s="38" t="s">
        <v>191</v>
      </c>
      <c r="J326" s="40" t="n">
        <v>1.87006919874525</v>
      </c>
      <c r="K326" s="39" t="n">
        <f aca="false">IF(G326="","",MAX(0,G326-J326/100))</f>
        <v>0.477453154166394</v>
      </c>
      <c r="L326" s="39" t="n">
        <f aca="false">IF(G326="","",MIN(1,G326+J326/100))</f>
        <v>0.514854538141299</v>
      </c>
      <c r="M326" s="21" t="n">
        <f aca="false">ROUND(Q326*S326,0)</f>
        <v>252</v>
      </c>
      <c r="N326" s="21" t="n">
        <f aca="false">ROUND(SQRT((F326*J326/100)^2+(G326*M326)^2),0)</f>
        <v>130</v>
      </c>
      <c r="P326" s="41" t="n">
        <v>-4.15703503935749</v>
      </c>
      <c r="Q326" s="42" t="n">
        <v>1820.27850698881</v>
      </c>
      <c r="R326" s="43" t="n">
        <f aca="false">MAX(0,MIN(1,P326/100+$D$5))</f>
        <v>0.496255344270185</v>
      </c>
      <c r="S326" s="43" t="n">
        <v>0.138178110610255</v>
      </c>
      <c r="T326" s="44" t="s">
        <v>128</v>
      </c>
    </row>
    <row r="327" customFormat="false" ht="15" hidden="false" customHeight="false" outlineLevel="0" collapsed="false">
      <c r="A327" s="38" t="s">
        <v>344</v>
      </c>
      <c r="B327" s="38" t="s">
        <v>458</v>
      </c>
      <c r="C327" s="38" t="s">
        <v>459</v>
      </c>
      <c r="D327" s="21" t="n">
        <f aca="false">ROUND(Q327*R327,0)</f>
        <v>393</v>
      </c>
      <c r="E327" s="21" t="n">
        <f aca="false">ROUND(Q327,0)-D327</f>
        <v>628</v>
      </c>
      <c r="F327" s="21" t="n">
        <f aca="false">IF(COUNTA(D327:E327)=0,"",SUM(D327:E327))</f>
        <v>1021</v>
      </c>
      <c r="G327" s="39" t="n">
        <f aca="false">IF(OR(F327="",F327=0),"",D327/F327)</f>
        <v>0.384916748285994</v>
      </c>
      <c r="H327" s="39" t="n">
        <f aca="false">IF(OR(F327="",F327=0),"",E327/F327)</f>
        <v>0.615083251714006</v>
      </c>
      <c r="I327" s="38" t="s">
        <v>89</v>
      </c>
      <c r="J327" s="40" t="n">
        <v>2.0110742867014</v>
      </c>
      <c r="K327" s="39" t="n">
        <f aca="false">IF(G327="","",MAX(0,G327-J327/100))</f>
        <v>0.36480600541898</v>
      </c>
      <c r="L327" s="39" t="n">
        <f aca="false">IF(G327="","",MIN(1,G327+J327/100))</f>
        <v>0.405027491153008</v>
      </c>
      <c r="M327" s="21" t="n">
        <f aca="false">ROUND(Q327*S327,0)</f>
        <v>62</v>
      </c>
      <c r="N327" s="21" t="n">
        <f aca="false">ROUND(SQRT((F327*J327/100)^2+(G327*M327)^2),0)</f>
        <v>31</v>
      </c>
      <c r="P327" s="41" t="n">
        <v>-15.2980786255072</v>
      </c>
      <c r="Q327" s="42" t="n">
        <v>1021.41091323925</v>
      </c>
      <c r="R327" s="43" t="n">
        <f aca="false">MAX(0,MIN(1,P327/100+$D$5))</f>
        <v>0.384844908408688</v>
      </c>
      <c r="S327" s="43" t="n">
        <v>0.0608302283160348</v>
      </c>
      <c r="T327" s="44" t="s">
        <v>99</v>
      </c>
    </row>
    <row r="328" customFormat="false" ht="15" hidden="false" customHeight="false" outlineLevel="0" collapsed="false">
      <c r="A328" s="38" t="s">
        <v>344</v>
      </c>
      <c r="B328" s="38" t="s">
        <v>458</v>
      </c>
      <c r="C328" s="38" t="s">
        <v>460</v>
      </c>
      <c r="D328" s="21" t="n">
        <f aca="false">ROUND(Q328*R328,0)</f>
        <v>792</v>
      </c>
      <c r="E328" s="21" t="n">
        <f aca="false">ROUND(Q328,0)-D328</f>
        <v>1252</v>
      </c>
      <c r="F328" s="21" t="n">
        <f aca="false">IF(COUNTA(D328:E328)=0,"",SUM(D328:E328))</f>
        <v>2044</v>
      </c>
      <c r="G328" s="39" t="n">
        <f aca="false">IF(OR(F328="",F328=0),"",D328/F328)</f>
        <v>0.38747553816047</v>
      </c>
      <c r="H328" s="39" t="n">
        <f aca="false">IF(OR(F328="",F328=0),"",E328/F328)</f>
        <v>0.61252446183953</v>
      </c>
      <c r="I328" s="38" t="s">
        <v>89</v>
      </c>
      <c r="J328" s="40" t="n">
        <v>1.87006919874525</v>
      </c>
      <c r="K328" s="39" t="n">
        <f aca="false">IF(G328="","",MAX(0,G328-J328/100))</f>
        <v>0.368774846173017</v>
      </c>
      <c r="L328" s="39" t="n">
        <f aca="false">IF(G328="","",MIN(1,G328+J328/100))</f>
        <v>0.406176230147922</v>
      </c>
      <c r="M328" s="21" t="n">
        <f aca="false">ROUND(Q328*S328,0)</f>
        <v>282</v>
      </c>
      <c r="N328" s="21" t="n">
        <f aca="false">ROUND(SQRT((F328*J328/100)^2+(G328*M328)^2),0)</f>
        <v>116</v>
      </c>
      <c r="P328" s="41" t="n">
        <v>-15.0432515425175</v>
      </c>
      <c r="Q328" s="42" t="n">
        <v>2044.31421257679</v>
      </c>
      <c r="R328" s="43" t="n">
        <f aca="false">MAX(0,MIN(1,P328/100+$D$5))</f>
        <v>0.387393179238584</v>
      </c>
      <c r="S328" s="43" t="n">
        <v>0.138178110610255</v>
      </c>
      <c r="T328" s="44" t="s">
        <v>128</v>
      </c>
    </row>
    <row r="329" customFormat="false" ht="15" hidden="false" customHeight="false" outlineLevel="0" collapsed="false">
      <c r="A329" s="38" t="s">
        <v>344</v>
      </c>
      <c r="B329" s="38" t="s">
        <v>458</v>
      </c>
      <c r="C329" s="38" t="s">
        <v>461</v>
      </c>
      <c r="D329" s="21" t="n">
        <f aca="false">ROUND(Q329*R329,0)</f>
        <v>532</v>
      </c>
      <c r="E329" s="21" t="n">
        <f aca="false">ROUND(Q329,0)-D329</f>
        <v>932</v>
      </c>
      <c r="F329" s="21" t="n">
        <f aca="false">IF(COUNTA(D329:E329)=0,"",SUM(D329:E329))</f>
        <v>1464</v>
      </c>
      <c r="G329" s="39" t="n">
        <f aca="false">IF(OR(F329="",F329=0),"",D329/F329)</f>
        <v>0.363387978142077</v>
      </c>
      <c r="H329" s="39" t="n">
        <f aca="false">IF(OR(F329="",F329=0),"",E329/F329)</f>
        <v>0.636612021857924</v>
      </c>
      <c r="I329" s="38" t="s">
        <v>89</v>
      </c>
      <c r="J329" s="40" t="n">
        <v>1.87006919874525</v>
      </c>
      <c r="K329" s="39" t="n">
        <f aca="false">IF(G329="","",MAX(0,G329-J329/100))</f>
        <v>0.344687286154624</v>
      </c>
      <c r="L329" s="39" t="n">
        <f aca="false">IF(G329="","",MIN(1,G329+J329/100))</f>
        <v>0.382088670129529</v>
      </c>
      <c r="M329" s="21" t="n">
        <f aca="false">ROUND(Q329*S329,0)</f>
        <v>202</v>
      </c>
      <c r="N329" s="21" t="n">
        <f aca="false">ROUND(SQRT((F329*J329/100)^2+(G329*M329)^2),0)</f>
        <v>78</v>
      </c>
      <c r="P329" s="41" t="n">
        <v>-17.4674515409862</v>
      </c>
      <c r="Q329" s="42" t="n">
        <v>1463.94162527223</v>
      </c>
      <c r="R329" s="43" t="n">
        <f aca="false">MAX(0,MIN(1,P329/100+$D$5))</f>
        <v>0.363151179253897</v>
      </c>
      <c r="S329" s="43" t="n">
        <v>0.138178110610255</v>
      </c>
      <c r="T329" s="44" t="s">
        <v>128</v>
      </c>
    </row>
    <row r="330" customFormat="false" ht="15" hidden="false" customHeight="false" outlineLevel="0" collapsed="false">
      <c r="A330" s="38" t="s">
        <v>344</v>
      </c>
      <c r="B330" s="38" t="s">
        <v>458</v>
      </c>
      <c r="C330" s="38" t="s">
        <v>462</v>
      </c>
      <c r="D330" s="21" t="n">
        <f aca="false">ROUND(Q330*R330,0)</f>
        <v>256</v>
      </c>
      <c r="E330" s="21" t="n">
        <f aca="false">ROUND(Q330,0)-D330</f>
        <v>430</v>
      </c>
      <c r="F330" s="21" t="n">
        <f aca="false">IF(COUNTA(D330:E330)=0,"",SUM(D330:E330))</f>
        <v>686</v>
      </c>
      <c r="G330" s="39" t="n">
        <f aca="false">IF(OR(F330="",F330=0),"",D330/F330)</f>
        <v>0.373177842565598</v>
      </c>
      <c r="H330" s="39" t="n">
        <f aca="false">IF(OR(F330="",F330=0),"",E330/F330)</f>
        <v>0.626822157434402</v>
      </c>
      <c r="I330" s="38" t="s">
        <v>89</v>
      </c>
      <c r="J330" s="40" t="n">
        <v>3.09864730606258</v>
      </c>
      <c r="K330" s="39" t="n">
        <f aca="false">IF(G330="","",MAX(0,G330-J330/100))</f>
        <v>0.342191369504972</v>
      </c>
      <c r="L330" s="39" t="n">
        <f aca="false">IF(G330="","",MIN(1,G330+J330/100))</f>
        <v>0.404164315626223</v>
      </c>
      <c r="M330" s="21" t="n">
        <f aca="false">ROUND(Q330*S330,0)</f>
        <v>50</v>
      </c>
      <c r="N330" s="21" t="n">
        <f aca="false">ROUND(SQRT((F330*J330/100)^2+(G330*M330)^2),0)</f>
        <v>28</v>
      </c>
      <c r="P330" s="41" t="n">
        <v>-16.5155245706091</v>
      </c>
      <c r="Q330" s="42" t="n">
        <v>686.295797716776</v>
      </c>
      <c r="R330" s="43" t="n">
        <f aca="false">MAX(0,MIN(1,P330/100+$D$5))</f>
        <v>0.372670448957668</v>
      </c>
      <c r="S330" s="43" t="n">
        <v>0.0731122618343653</v>
      </c>
      <c r="T330" s="44" t="s">
        <v>90</v>
      </c>
    </row>
    <row r="331" customFormat="false" ht="15" hidden="false" customHeight="false" outlineLevel="0" collapsed="false">
      <c r="A331" s="38" t="s">
        <v>344</v>
      </c>
      <c r="B331" s="38" t="s">
        <v>463</v>
      </c>
      <c r="C331" s="38" t="s">
        <v>464</v>
      </c>
      <c r="D331" s="21" t="n">
        <f aca="false">ROUND(Q331*R331,0)</f>
        <v>557</v>
      </c>
      <c r="E331" s="21" t="n">
        <f aca="false">ROUND(Q331,0)-D331</f>
        <v>475</v>
      </c>
      <c r="F331" s="21" t="n">
        <f aca="false">IF(COUNTA(D331:E331)=0,"",SUM(D331:E331))</f>
        <v>1032</v>
      </c>
      <c r="G331" s="39" t="n">
        <f aca="false">IF(OR(F331="",F331=0),"",D331/F331)</f>
        <v>0.539728682170543</v>
      </c>
      <c r="H331" s="39" t="n">
        <f aca="false">IF(OR(F331="",F331=0),"",E331/F331)</f>
        <v>0.460271317829457</v>
      </c>
      <c r="I331" s="38" t="s">
        <v>89</v>
      </c>
      <c r="J331" s="40" t="n">
        <v>2.0110742867014</v>
      </c>
      <c r="K331" s="39" t="n">
        <f aca="false">IF(G331="","",MAX(0,G331-J331/100))</f>
        <v>0.519617939303529</v>
      </c>
      <c r="L331" s="39" t="n">
        <f aca="false">IF(G331="","",MIN(1,G331+J331/100))</f>
        <v>0.559839425037557</v>
      </c>
      <c r="M331" s="21" t="n">
        <f aca="false">ROUND(Q331*S331,0)</f>
        <v>63</v>
      </c>
      <c r="N331" s="21" t="n">
        <f aca="false">ROUND(SQRT((F331*J331/100)^2+(G331*M331)^2),0)</f>
        <v>40</v>
      </c>
      <c r="P331" s="41" t="n">
        <v>0.219139232979906</v>
      </c>
      <c r="Q331" s="42" t="n">
        <v>1031.83431019488</v>
      </c>
      <c r="R331" s="43" t="n">
        <f aca="false">MAX(0,MIN(1,P331/100+$D$5))</f>
        <v>0.540017086993559</v>
      </c>
      <c r="S331" s="43" t="n">
        <v>0.0608302283160348</v>
      </c>
      <c r="T331" s="44" t="s">
        <v>99</v>
      </c>
    </row>
    <row r="332" customFormat="false" ht="15" hidden="false" customHeight="false" outlineLevel="0" collapsed="false">
      <c r="A332" s="38" t="s">
        <v>344</v>
      </c>
      <c r="B332" s="38" t="s">
        <v>463</v>
      </c>
      <c r="C332" s="38" t="s">
        <v>465</v>
      </c>
      <c r="D332" s="21" t="n">
        <f aca="false">ROUND(Q332*R332,0)</f>
        <v>461</v>
      </c>
      <c r="E332" s="21" t="n">
        <f aca="false">ROUND(Q332,0)-D332</f>
        <v>368</v>
      </c>
      <c r="F332" s="21" t="n">
        <f aca="false">IF(COUNTA(D332:E332)=0,"",SUM(D332:E332))</f>
        <v>829</v>
      </c>
      <c r="G332" s="39" t="n">
        <f aca="false">IF(OR(F332="",F332=0),"",D332/F332)</f>
        <v>0.556091676718938</v>
      </c>
      <c r="H332" s="39" t="n">
        <f aca="false">IF(OR(F332="",F332=0),"",E332/F332)</f>
        <v>0.443908323281062</v>
      </c>
      <c r="I332" s="38" t="s">
        <v>89</v>
      </c>
      <c r="J332" s="40" t="n">
        <v>2.0110742867014</v>
      </c>
      <c r="K332" s="39" t="n">
        <f aca="false">IF(G332="","",MAX(0,G332-J332/100))</f>
        <v>0.535980933851925</v>
      </c>
      <c r="L332" s="39" t="n">
        <f aca="false">IF(G332="","",MIN(1,G332+J332/100))</f>
        <v>0.576202419585952</v>
      </c>
      <c r="M332" s="21" t="n">
        <f aca="false">ROUND(Q332*S332,0)</f>
        <v>50</v>
      </c>
      <c r="N332" s="21" t="n">
        <f aca="false">ROUND(SQRT((F332*J332/100)^2+(G332*M332)^2),0)</f>
        <v>32</v>
      </c>
      <c r="P332" s="41" t="n">
        <v>1.77775752624774</v>
      </c>
      <c r="Q332" s="42" t="n">
        <v>829.214479222687</v>
      </c>
      <c r="R332" s="43" t="n">
        <f aca="false">MAX(0,MIN(1,P332/100+$D$5))</f>
        <v>0.555603269926237</v>
      </c>
      <c r="S332" s="43" t="n">
        <v>0.0608302283160348</v>
      </c>
      <c r="T332" s="44" t="s">
        <v>99</v>
      </c>
    </row>
    <row r="333" customFormat="false" ht="15" hidden="false" customHeight="false" outlineLevel="0" collapsed="false">
      <c r="A333" s="38" t="s">
        <v>344</v>
      </c>
      <c r="B333" s="38" t="s">
        <v>463</v>
      </c>
      <c r="C333" s="38" t="s">
        <v>466</v>
      </c>
      <c r="D333" s="21" t="n">
        <f aca="false">ROUND(Q333*R333,0)</f>
        <v>427</v>
      </c>
      <c r="E333" s="21" t="n">
        <f aca="false">ROUND(Q333,0)-D333</f>
        <v>368</v>
      </c>
      <c r="F333" s="21" t="n">
        <f aca="false">IF(COUNTA(D333:E333)=0,"",SUM(D333:E333))</f>
        <v>795</v>
      </c>
      <c r="G333" s="39" t="n">
        <f aca="false">IF(OR(F333="",F333=0),"",D333/F333)</f>
        <v>0.537106918238994</v>
      </c>
      <c r="H333" s="39" t="n">
        <f aca="false">IF(OR(F333="",F333=0),"",E333/F333)</f>
        <v>0.462893081761006</v>
      </c>
      <c r="I333" s="38" t="s">
        <v>89</v>
      </c>
      <c r="J333" s="40" t="n">
        <v>2.0110742867014</v>
      </c>
      <c r="K333" s="39" t="n">
        <f aca="false">IF(G333="","",MAX(0,G333-J333/100))</f>
        <v>0.51699617537198</v>
      </c>
      <c r="L333" s="39" t="n">
        <f aca="false">IF(G333="","",MIN(1,G333+J333/100))</f>
        <v>0.557217661106008</v>
      </c>
      <c r="M333" s="21" t="n">
        <f aca="false">ROUND(Q333*S333,0)</f>
        <v>48</v>
      </c>
      <c r="N333" s="21" t="n">
        <f aca="false">ROUND(SQRT((F333*J333/100)^2+(G333*M333)^2),0)</f>
        <v>30</v>
      </c>
      <c r="P333" s="41" t="n">
        <v>-0.0421399081857693</v>
      </c>
      <c r="Q333" s="42" t="n">
        <v>795.230248835552</v>
      </c>
      <c r="R333" s="43" t="n">
        <f aca="false">MAX(0,MIN(1,P333/100+$D$5))</f>
        <v>0.537404295581902</v>
      </c>
      <c r="S333" s="43" t="n">
        <v>0.0608302283160348</v>
      </c>
      <c r="T333" s="44" t="s">
        <v>99</v>
      </c>
    </row>
    <row r="334" customFormat="false" ht="15" hidden="false" customHeight="false" outlineLevel="0" collapsed="false">
      <c r="A334" s="38" t="s">
        <v>344</v>
      </c>
      <c r="B334" s="38" t="s">
        <v>467</v>
      </c>
      <c r="C334" s="38" t="s">
        <v>468</v>
      </c>
      <c r="D334" s="21" t="n">
        <f aca="false">ROUND(Q334*R334,0)</f>
        <v>206</v>
      </c>
      <c r="E334" s="21" t="n">
        <f aca="false">ROUND(Q334,0)-D334</f>
        <v>190</v>
      </c>
      <c r="F334" s="21" t="n">
        <f aca="false">IF(COUNTA(D334:E334)=0,"",SUM(D334:E334))</f>
        <v>396</v>
      </c>
      <c r="G334" s="39" t="n">
        <f aca="false">IF(OR(F334="",F334=0),"",D334/F334)</f>
        <v>0.52020202020202</v>
      </c>
      <c r="H334" s="39" t="n">
        <f aca="false">IF(OR(F334="",F334=0),"",E334/F334)</f>
        <v>0.47979797979798</v>
      </c>
      <c r="I334" s="38" t="s">
        <v>89</v>
      </c>
      <c r="J334" s="40" t="n">
        <v>3.09864730606258</v>
      </c>
      <c r="K334" s="39" t="n">
        <f aca="false">IF(G334="","",MAX(0,G334-J334/100))</f>
        <v>0.489215547141394</v>
      </c>
      <c r="L334" s="39" t="n">
        <f aca="false">IF(G334="","",MIN(1,G334+J334/100))</f>
        <v>0.551188493262646</v>
      </c>
      <c r="M334" s="21" t="n">
        <f aca="false">ROUND(Q334*S334,0)</f>
        <v>29</v>
      </c>
      <c r="N334" s="21" t="n">
        <f aca="false">ROUND(SQRT((F334*J334/100)^2+(G334*M334)^2),0)</f>
        <v>19</v>
      </c>
      <c r="P334" s="41" t="n">
        <v>-1.83324494916978</v>
      </c>
      <c r="Q334" s="42" t="n">
        <v>396.049165405872</v>
      </c>
      <c r="R334" s="43" t="n">
        <f aca="false">MAX(0,MIN(1,P334/100+$D$5))</f>
        <v>0.519493245172062</v>
      </c>
      <c r="S334" s="43" t="n">
        <v>0.0731122618343653</v>
      </c>
      <c r="T334" s="44" t="s">
        <v>90</v>
      </c>
    </row>
    <row r="335" customFormat="false" ht="15" hidden="false" customHeight="false" outlineLevel="0" collapsed="false">
      <c r="A335" s="38" t="s">
        <v>344</v>
      </c>
      <c r="B335" s="38" t="s">
        <v>467</v>
      </c>
      <c r="C335" s="38" t="s">
        <v>469</v>
      </c>
      <c r="D335" s="21" t="n">
        <f aca="false">ROUND(Q335*R335,0)</f>
        <v>595</v>
      </c>
      <c r="E335" s="21" t="n">
        <f aca="false">ROUND(Q335,0)-D335</f>
        <v>484</v>
      </c>
      <c r="F335" s="21" t="n">
        <f aca="false">IF(COUNTA(D335:E335)=0,"",SUM(D335:E335))</f>
        <v>1079</v>
      </c>
      <c r="G335" s="39" t="n">
        <f aca="false">IF(OR(F335="",F335=0),"",D335/F335)</f>
        <v>0.551436515291937</v>
      </c>
      <c r="H335" s="39" t="n">
        <f aca="false">IF(OR(F335="",F335=0),"",E335/F335)</f>
        <v>0.448563484708063</v>
      </c>
      <c r="I335" s="38" t="s">
        <v>89</v>
      </c>
      <c r="J335" s="40" t="n">
        <v>2.0110742867014</v>
      </c>
      <c r="K335" s="39" t="n">
        <f aca="false">IF(G335="","",MAX(0,G335-J335/100))</f>
        <v>0.531325772424923</v>
      </c>
      <c r="L335" s="39" t="n">
        <f aca="false">IF(G335="","",MIN(1,G335+J335/100))</f>
        <v>0.571547258158951</v>
      </c>
      <c r="M335" s="21" t="n">
        <f aca="false">ROUND(Q335*S335,0)</f>
        <v>66</v>
      </c>
      <c r="N335" s="21" t="n">
        <f aca="false">ROUND(SQRT((F335*J335/100)^2+(G335*M335)^2),0)</f>
        <v>42</v>
      </c>
      <c r="P335" s="41" t="n">
        <v>1.34935456291215</v>
      </c>
      <c r="Q335" s="42" t="n">
        <v>1078.65328607041</v>
      </c>
      <c r="R335" s="43" t="n">
        <f aca="false">MAX(0,MIN(1,P335/100+$D$5))</f>
        <v>0.551319240292881</v>
      </c>
      <c r="S335" s="43" t="n">
        <v>0.0608302283160348</v>
      </c>
      <c r="T335" s="44" t="s">
        <v>99</v>
      </c>
    </row>
    <row r="336" customFormat="false" ht="15" hidden="false" customHeight="false" outlineLevel="0" collapsed="false">
      <c r="A336" s="38" t="s">
        <v>344</v>
      </c>
      <c r="B336" s="38" t="s">
        <v>470</v>
      </c>
      <c r="C336" s="38" t="s">
        <v>471</v>
      </c>
      <c r="D336" s="21" t="n">
        <f aca="false">ROUND(Q336*R336,0)</f>
        <v>583</v>
      </c>
      <c r="E336" s="21" t="n">
        <f aca="false">ROUND(Q336,0)-D336</f>
        <v>516</v>
      </c>
      <c r="F336" s="21" t="n">
        <f aca="false">IF(COUNTA(D336:E336)=0,"",SUM(D336:E336))</f>
        <v>1099</v>
      </c>
      <c r="G336" s="39" t="n">
        <f aca="false">IF(OR(F336="",F336=0),"",D336/F336)</f>
        <v>0.530482256596906</v>
      </c>
      <c r="H336" s="39" t="n">
        <f aca="false">IF(OR(F336="",F336=0),"",E336/F336)</f>
        <v>0.469517743403094</v>
      </c>
      <c r="I336" s="38" t="s">
        <v>89</v>
      </c>
      <c r="J336" s="40" t="n">
        <v>2.0110742867014</v>
      </c>
      <c r="K336" s="39" t="n">
        <f aca="false">IF(G336="","",MAX(0,G336-J336/100))</f>
        <v>0.510371513729892</v>
      </c>
      <c r="L336" s="39" t="n">
        <f aca="false">IF(G336="","",MIN(1,G336+J336/100))</f>
        <v>0.55059299946392</v>
      </c>
      <c r="M336" s="21" t="n">
        <f aca="false">ROUND(Q336*S336,0)</f>
        <v>67</v>
      </c>
      <c r="N336" s="21" t="n">
        <f aca="false">ROUND(SQRT((F336*J336/100)^2+(G336*M336)^2),0)</f>
        <v>42</v>
      </c>
      <c r="P336" s="41" t="n">
        <v>-0.782548953112303</v>
      </c>
      <c r="Q336" s="42" t="n">
        <v>1099.34157006852</v>
      </c>
      <c r="R336" s="43" t="n">
        <f aca="false">MAX(0,MIN(1,P336/100+$D$5))</f>
        <v>0.530000205132637</v>
      </c>
      <c r="S336" s="43" t="n">
        <v>0.0608302283160348</v>
      </c>
      <c r="T336" s="44" t="s">
        <v>99</v>
      </c>
    </row>
    <row r="337" customFormat="false" ht="15" hidden="false" customHeight="false" outlineLevel="0" collapsed="false">
      <c r="A337" s="38" t="s">
        <v>344</v>
      </c>
      <c r="B337" s="38" t="s">
        <v>470</v>
      </c>
      <c r="C337" s="38" t="s">
        <v>472</v>
      </c>
      <c r="D337" s="21" t="n">
        <f aca="false">ROUND(Q337*R337,0)</f>
        <v>508</v>
      </c>
      <c r="E337" s="21" t="n">
        <f aca="false">ROUND(Q337,0)-D337</f>
        <v>422</v>
      </c>
      <c r="F337" s="21" t="n">
        <f aca="false">IF(COUNTA(D337:E337)=0,"",SUM(D337:E337))</f>
        <v>930</v>
      </c>
      <c r="G337" s="39" t="n">
        <f aca="false">IF(OR(F337="",F337=0),"",D337/F337)</f>
        <v>0.546236559139785</v>
      </c>
      <c r="H337" s="39" t="n">
        <f aca="false">IF(OR(F337="",F337=0),"",E337/F337)</f>
        <v>0.453763440860215</v>
      </c>
      <c r="I337" s="38" t="s">
        <v>89</v>
      </c>
      <c r="J337" s="40" t="n">
        <v>2.0110742867014</v>
      </c>
      <c r="K337" s="39" t="n">
        <f aca="false">IF(G337="","",MAX(0,G337-J337/100))</f>
        <v>0.526125816272771</v>
      </c>
      <c r="L337" s="39" t="n">
        <f aca="false">IF(G337="","",MIN(1,G337+J337/100))</f>
        <v>0.566347302006799</v>
      </c>
      <c r="M337" s="21" t="n">
        <f aca="false">ROUND(Q337*S337,0)</f>
        <v>57</v>
      </c>
      <c r="N337" s="21" t="n">
        <f aca="false">ROUND(SQRT((F337*J337/100)^2+(G337*M337)^2),0)</f>
        <v>36</v>
      </c>
      <c r="P337" s="41" t="n">
        <v>0.797808438259507</v>
      </c>
      <c r="Q337" s="42" t="n">
        <v>930.408486999699</v>
      </c>
      <c r="R337" s="43" t="n">
        <f aca="false">MAX(0,MIN(1,P337/100+$D$5))</f>
        <v>0.545803779046355</v>
      </c>
      <c r="S337" s="43" t="n">
        <v>0.0608302283160348</v>
      </c>
      <c r="T337" s="44" t="s">
        <v>99</v>
      </c>
    </row>
    <row r="338" customFormat="false" ht="15" hidden="false" customHeight="false" outlineLevel="0" collapsed="false">
      <c r="A338" s="38" t="s">
        <v>344</v>
      </c>
      <c r="B338" s="38" t="s">
        <v>470</v>
      </c>
      <c r="C338" s="38" t="s">
        <v>473</v>
      </c>
      <c r="D338" s="21" t="n">
        <f aca="false">ROUND(Q338*R338,0)</f>
        <v>1040</v>
      </c>
      <c r="E338" s="21" t="n">
        <f aca="false">ROUND(Q338,0)-D338</f>
        <v>927</v>
      </c>
      <c r="F338" s="21" t="n">
        <f aca="false">IF(COUNTA(D338:E338)=0,"",SUM(D338:E338))</f>
        <v>1967</v>
      </c>
      <c r="G338" s="39" t="n">
        <f aca="false">IF(OR(F338="",F338=0),"",D338/F338)</f>
        <v>0.528723945094052</v>
      </c>
      <c r="H338" s="39" t="n">
        <f aca="false">IF(OR(F338="",F338=0),"",E338/F338)</f>
        <v>0.471276054905948</v>
      </c>
      <c r="I338" s="38" t="s">
        <v>89</v>
      </c>
      <c r="J338" s="40" t="n">
        <v>1.87006919874525</v>
      </c>
      <c r="K338" s="39" t="n">
        <f aca="false">IF(G338="","",MAX(0,G338-J338/100))</f>
        <v>0.510023253106599</v>
      </c>
      <c r="L338" s="39" t="n">
        <f aca="false">IF(G338="","",MIN(1,G338+J338/100))</f>
        <v>0.547424637081504</v>
      </c>
      <c r="M338" s="21" t="n">
        <f aca="false">ROUND(Q338*S338,0)</f>
        <v>272</v>
      </c>
      <c r="N338" s="21" t="n">
        <f aca="false">ROUND(SQRT((F338*J338/100)^2+(G338*M338)^2),0)</f>
        <v>148</v>
      </c>
      <c r="P338" s="41" t="n">
        <v>-0.89702732460598</v>
      </c>
      <c r="Q338" s="42" t="n">
        <v>1967.12930183005</v>
      </c>
      <c r="R338" s="43" t="n">
        <f aca="false">MAX(0,MIN(1,P338/100+$D$5))</f>
        <v>0.5288554214177</v>
      </c>
      <c r="S338" s="43" t="n">
        <v>0.138178110610255</v>
      </c>
      <c r="T338" s="44" t="s">
        <v>128</v>
      </c>
    </row>
    <row r="339" customFormat="false" ht="15" hidden="false" customHeight="false" outlineLevel="0" collapsed="false">
      <c r="A339" s="38" t="s">
        <v>344</v>
      </c>
      <c r="B339" s="38" t="s">
        <v>470</v>
      </c>
      <c r="C339" s="38" t="s">
        <v>474</v>
      </c>
      <c r="D339" s="21" t="n">
        <f aca="false">ROUND(Q339*R339,0)</f>
        <v>220</v>
      </c>
      <c r="E339" s="21" t="n">
        <f aca="false">ROUND(Q339,0)-D339</f>
        <v>210</v>
      </c>
      <c r="F339" s="21" t="n">
        <f aca="false">IF(COUNTA(D339:E339)=0,"",SUM(D339:E339))</f>
        <v>430</v>
      </c>
      <c r="G339" s="39" t="n">
        <f aca="false">IF(OR(F339="",F339=0),"",D339/F339)</f>
        <v>0.511627906976744</v>
      </c>
      <c r="H339" s="39" t="n">
        <f aca="false">IF(OR(F339="",F339=0),"",E339/F339)</f>
        <v>0.488372093023256</v>
      </c>
      <c r="I339" s="38" t="s">
        <v>89</v>
      </c>
      <c r="J339" s="40" t="n">
        <v>3.09864730606258</v>
      </c>
      <c r="K339" s="39" t="n">
        <f aca="false">IF(G339="","",MAX(0,G339-J339/100))</f>
        <v>0.480641433916118</v>
      </c>
      <c r="L339" s="39" t="n">
        <f aca="false">IF(G339="","",MIN(1,G339+J339/100))</f>
        <v>0.54261438003737</v>
      </c>
      <c r="M339" s="21" t="n">
        <f aca="false">ROUND(Q339*S339,0)</f>
        <v>31</v>
      </c>
      <c r="N339" s="21" t="n">
        <f aca="false">ROUND(SQRT((F339*J339/100)^2+(G339*M339)^2),0)</f>
        <v>21</v>
      </c>
      <c r="P339" s="41" t="n">
        <v>-2.64396904650007</v>
      </c>
      <c r="Q339" s="42" t="n">
        <v>430.055096923294</v>
      </c>
      <c r="R339" s="43" t="n">
        <f aca="false">MAX(0,MIN(1,P339/100+$D$5))</f>
        <v>0.511386004198759</v>
      </c>
      <c r="S339" s="43" t="n">
        <v>0.0731122618343653</v>
      </c>
      <c r="T339" s="44" t="s">
        <v>90</v>
      </c>
    </row>
    <row r="340" customFormat="false" ht="15" hidden="false" customHeight="false" outlineLevel="0" collapsed="false">
      <c r="A340" s="38" t="s">
        <v>344</v>
      </c>
      <c r="B340" s="38" t="s">
        <v>475</v>
      </c>
      <c r="C340" s="38" t="s">
        <v>476</v>
      </c>
      <c r="D340" s="21" t="n">
        <f aca="false">ROUND(Q340*R340,0)</f>
        <v>688</v>
      </c>
      <c r="E340" s="21" t="n">
        <f aca="false">ROUND(Q340,0)-D340</f>
        <v>595</v>
      </c>
      <c r="F340" s="21" t="n">
        <f aca="false">IF(COUNTA(D340:E340)=0,"",SUM(D340:E340))</f>
        <v>1283</v>
      </c>
      <c r="G340" s="39" t="n">
        <f aca="false">IF(OR(F340="",F340=0),"",D340/F340)</f>
        <v>0.536243180046765</v>
      </c>
      <c r="H340" s="39" t="n">
        <f aca="false">IF(OR(F340="",F340=0),"",E340/F340)</f>
        <v>0.463756819953235</v>
      </c>
      <c r="I340" s="38" t="s">
        <v>89</v>
      </c>
      <c r="J340" s="40" t="n">
        <v>1.87006919874525</v>
      </c>
      <c r="K340" s="39" t="n">
        <f aca="false">IF(G340="","",MAX(0,G340-J340/100))</f>
        <v>0.517542488059313</v>
      </c>
      <c r="L340" s="39" t="n">
        <f aca="false">IF(G340="","",MIN(1,G340+J340/100))</f>
        <v>0.554943872034218</v>
      </c>
      <c r="M340" s="21" t="n">
        <f aca="false">ROUND(Q340*S340,0)</f>
        <v>177</v>
      </c>
      <c r="N340" s="21" t="n">
        <f aca="false">ROUND(SQRT((F340*J340/100)^2+(G340*M340)^2),0)</f>
        <v>98</v>
      </c>
      <c r="P340" s="41" t="n">
        <v>-0.147442249065581</v>
      </c>
      <c r="Q340" s="42" t="n">
        <v>1282.93098262573</v>
      </c>
      <c r="R340" s="43" t="n">
        <f aca="false">MAX(0,MIN(1,P340/100+$D$5))</f>
        <v>0.536351272173104</v>
      </c>
      <c r="S340" s="43" t="n">
        <v>0.138178110610255</v>
      </c>
      <c r="T340" s="44" t="s">
        <v>128</v>
      </c>
    </row>
    <row r="341" customFormat="false" ht="15" hidden="false" customHeight="false" outlineLevel="0" collapsed="false">
      <c r="A341" s="38" t="s">
        <v>344</v>
      </c>
      <c r="B341" s="38" t="s">
        <v>475</v>
      </c>
      <c r="C341" s="38" t="s">
        <v>477</v>
      </c>
      <c r="D341" s="21" t="n">
        <f aca="false">ROUND(Q341*R341,0)</f>
        <v>405</v>
      </c>
      <c r="E341" s="21" t="n">
        <f aca="false">ROUND(Q341,0)-D341</f>
        <v>334</v>
      </c>
      <c r="F341" s="21" t="n">
        <f aca="false">IF(COUNTA(D341:E341)=0,"",SUM(D341:E341))</f>
        <v>739</v>
      </c>
      <c r="G341" s="39" t="n">
        <f aca="false">IF(OR(F341="",F341=0),"",D341/F341)</f>
        <v>0.548037889039242</v>
      </c>
      <c r="H341" s="39" t="n">
        <f aca="false">IF(OR(F341="",F341=0),"",E341/F341)</f>
        <v>0.451962110960758</v>
      </c>
      <c r="I341" s="38" t="s">
        <v>191</v>
      </c>
      <c r="J341" s="40" t="n">
        <v>3.09864730606258</v>
      </c>
      <c r="K341" s="39" t="n">
        <f aca="false">IF(G341="","",MAX(0,G341-J341/100))</f>
        <v>0.517051415978617</v>
      </c>
      <c r="L341" s="39" t="n">
        <f aca="false">IF(G341="","",MIN(1,G341+J341/100))</f>
        <v>0.579024362099868</v>
      </c>
      <c r="M341" s="21" t="n">
        <f aca="false">ROUND(Q341*S341,0)</f>
        <v>54</v>
      </c>
      <c r="N341" s="21" t="n">
        <f aca="false">ROUND(SQRT((F341*J341/100)^2+(G341*M341)^2),0)</f>
        <v>37</v>
      </c>
      <c r="P341" s="41" t="n">
        <v>0.969113847234698</v>
      </c>
      <c r="Q341" s="42" t="n">
        <v>739.32260910559</v>
      </c>
      <c r="R341" s="43" t="n">
        <f aca="false">MAX(0,MIN(1,P341/100+$D$5))</f>
        <v>0.547516833136107</v>
      </c>
      <c r="S341" s="43" t="n">
        <v>0.0731122618343653</v>
      </c>
      <c r="T341" s="44" t="s">
        <v>90</v>
      </c>
    </row>
    <row r="342" customFormat="false" ht="15" hidden="false" customHeight="false" outlineLevel="0" collapsed="false">
      <c r="A342" s="38" t="s">
        <v>344</v>
      </c>
      <c r="B342" s="38" t="s">
        <v>475</v>
      </c>
      <c r="C342" s="38" t="s">
        <v>478</v>
      </c>
      <c r="D342" s="21" t="n">
        <f aca="false">ROUND(Q342*R342,0)</f>
        <v>613</v>
      </c>
      <c r="E342" s="21" t="n">
        <f aca="false">ROUND(Q342,0)-D342</f>
        <v>537</v>
      </c>
      <c r="F342" s="21" t="n">
        <f aca="false">IF(COUNTA(D342:E342)=0,"",SUM(D342:E342))</f>
        <v>1150</v>
      </c>
      <c r="G342" s="39" t="n">
        <f aca="false">IF(OR(F342="",F342=0),"",D342/F342)</f>
        <v>0.53304347826087</v>
      </c>
      <c r="H342" s="39" t="n">
        <f aca="false">IF(OR(F342="",F342=0),"",E342/F342)</f>
        <v>0.46695652173913</v>
      </c>
      <c r="I342" s="38" t="s">
        <v>191</v>
      </c>
      <c r="J342" s="40" t="n">
        <v>2.0110742867014</v>
      </c>
      <c r="K342" s="39" t="n">
        <f aca="false">IF(G342="","",MAX(0,G342-J342/100))</f>
        <v>0.512932735393856</v>
      </c>
      <c r="L342" s="39" t="n">
        <f aca="false">IF(G342="","",MIN(1,G342+J342/100))</f>
        <v>0.553154221127884</v>
      </c>
      <c r="M342" s="21" t="n">
        <f aca="false">ROUND(Q342*S342,0)</f>
        <v>70</v>
      </c>
      <c r="N342" s="21" t="n">
        <f aca="false">ROUND(SQRT((F342*J342/100)^2+(G342*M342)^2),0)</f>
        <v>44</v>
      </c>
      <c r="P342" s="41" t="n">
        <v>-0.467164662562038</v>
      </c>
      <c r="Q342" s="42" t="n">
        <v>1150.03253551328</v>
      </c>
      <c r="R342" s="43" t="n">
        <f aca="false">MAX(0,MIN(1,P342/100+$D$5))</f>
        <v>0.533154048038139</v>
      </c>
      <c r="S342" s="43" t="n">
        <v>0.0608302283160348</v>
      </c>
      <c r="T342" s="44" t="s">
        <v>99</v>
      </c>
    </row>
    <row r="343" customFormat="false" ht="15" hidden="false" customHeight="false" outlineLevel="0" collapsed="false">
      <c r="A343" s="38" t="s">
        <v>344</v>
      </c>
      <c r="B343" s="38" t="s">
        <v>475</v>
      </c>
      <c r="C343" s="38" t="s">
        <v>479</v>
      </c>
      <c r="D343" s="21" t="n">
        <f aca="false">ROUND(Q343*R343,0)</f>
        <v>826</v>
      </c>
      <c r="E343" s="21" t="n">
        <f aca="false">ROUND(Q343,0)-D343</f>
        <v>625</v>
      </c>
      <c r="F343" s="21" t="n">
        <f aca="false">IF(COUNTA(D343:E343)=0,"",SUM(D343:E343))</f>
        <v>1451</v>
      </c>
      <c r="G343" s="39" t="n">
        <f aca="false">IF(OR(F343="",F343=0),"",D343/F343)</f>
        <v>0.569262577532736</v>
      </c>
      <c r="H343" s="39" t="n">
        <f aca="false">IF(OR(F343="",F343=0),"",E343/F343)</f>
        <v>0.430737422467264</v>
      </c>
      <c r="I343" s="38" t="s">
        <v>89</v>
      </c>
      <c r="J343" s="40" t="n">
        <v>1.87006919874525</v>
      </c>
      <c r="K343" s="39" t="n">
        <f aca="false">IF(G343="","",MAX(0,G343-J343/100))</f>
        <v>0.550561885545284</v>
      </c>
      <c r="L343" s="39" t="n">
        <f aca="false">IF(G343="","",MIN(1,G343+J343/100))</f>
        <v>0.587963269520189</v>
      </c>
      <c r="M343" s="21" t="n">
        <f aca="false">ROUND(Q343*S343,0)</f>
        <v>200</v>
      </c>
      <c r="N343" s="21" t="n">
        <f aca="false">ROUND(SQRT((F343*J343/100)^2+(G343*M343)^2),0)</f>
        <v>117</v>
      </c>
      <c r="P343" s="41" t="n">
        <v>3.13558692280916</v>
      </c>
      <c r="Q343" s="42" t="n">
        <v>1450.91841338656</v>
      </c>
      <c r="R343" s="43" t="n">
        <f aca="false">MAX(0,MIN(1,P343/100+$D$5))</f>
        <v>0.569181563891851</v>
      </c>
      <c r="S343" s="43" t="n">
        <v>0.138178110610255</v>
      </c>
      <c r="T343" s="44" t="s">
        <v>128</v>
      </c>
    </row>
    <row r="344" customFormat="false" ht="15" hidden="false" customHeight="false" outlineLevel="0" collapsed="false">
      <c r="A344" s="38" t="s">
        <v>344</v>
      </c>
      <c r="B344" s="38" t="s">
        <v>475</v>
      </c>
      <c r="C344" s="38" t="s">
        <v>480</v>
      </c>
      <c r="D344" s="21" t="n">
        <f aca="false">ROUND(Q344*R344,0)</f>
        <v>1077</v>
      </c>
      <c r="E344" s="21" t="n">
        <f aca="false">ROUND(Q344,0)-D344</f>
        <v>920</v>
      </c>
      <c r="F344" s="21" t="n">
        <f aca="false">IF(COUNTA(D344:E344)=0,"",SUM(D344:E344))</f>
        <v>1997</v>
      </c>
      <c r="G344" s="39" t="n">
        <f aca="false">IF(OR(F344="",F344=0),"",D344/F344)</f>
        <v>0.539308963445168</v>
      </c>
      <c r="H344" s="39" t="n">
        <f aca="false">IF(OR(F344="",F344=0),"",E344/F344)</f>
        <v>0.460691036554832</v>
      </c>
      <c r="I344" s="38" t="s">
        <v>89</v>
      </c>
      <c r="J344" s="40" t="n">
        <v>1.87006919874525</v>
      </c>
      <c r="K344" s="39" t="n">
        <f aca="false">IF(G344="","",MAX(0,G344-J344/100))</f>
        <v>0.520608271457715</v>
      </c>
      <c r="L344" s="39" t="n">
        <f aca="false">IF(G344="","",MIN(1,G344+J344/100))</f>
        <v>0.55800965543262</v>
      </c>
      <c r="M344" s="21" t="n">
        <f aca="false">ROUND(Q344*S344,0)</f>
        <v>276</v>
      </c>
      <c r="N344" s="21" t="n">
        <f aca="false">ROUND(SQRT((F344*J344/100)^2+(G344*M344)^2),0)</f>
        <v>153</v>
      </c>
      <c r="P344" s="41" t="n">
        <v>0.181947926551772</v>
      </c>
      <c r="Q344" s="42" t="n">
        <v>1996.67176925051</v>
      </c>
      <c r="R344" s="43" t="n">
        <f aca="false">MAX(0,MIN(1,P344/100+$D$5))</f>
        <v>0.539645173929278</v>
      </c>
      <c r="S344" s="43" t="n">
        <v>0.138178110610255</v>
      </c>
      <c r="T344" s="44" t="s">
        <v>128</v>
      </c>
    </row>
    <row r="345" customFormat="false" ht="15" hidden="false" customHeight="false" outlineLevel="0" collapsed="false">
      <c r="A345" s="38" t="s">
        <v>344</v>
      </c>
      <c r="B345" s="38" t="s">
        <v>475</v>
      </c>
      <c r="C345" s="38" t="s">
        <v>481</v>
      </c>
      <c r="D345" s="21" t="n">
        <f aca="false">ROUND(Q345*R345,0)</f>
        <v>748</v>
      </c>
      <c r="E345" s="21" t="n">
        <f aca="false">ROUND(Q345,0)-D345</f>
        <v>643</v>
      </c>
      <c r="F345" s="21" t="n">
        <f aca="false">IF(COUNTA(D345:E345)=0,"",SUM(D345:E345))</f>
        <v>1391</v>
      </c>
      <c r="G345" s="39" t="n">
        <f aca="false">IF(OR(F345="",F345=0),"",D345/F345)</f>
        <v>0.537742631200575</v>
      </c>
      <c r="H345" s="39" t="n">
        <f aca="false">IF(OR(F345="",F345=0),"",E345/F345)</f>
        <v>0.462257368799425</v>
      </c>
      <c r="I345" s="38" t="s">
        <v>89</v>
      </c>
      <c r="J345" s="40" t="n">
        <v>1.87006919874525</v>
      </c>
      <c r="K345" s="39" t="n">
        <f aca="false">IF(G345="","",MAX(0,G345-J345/100))</f>
        <v>0.519041939213123</v>
      </c>
      <c r="L345" s="39" t="n">
        <f aca="false">IF(G345="","",MIN(1,G345+J345/100))</f>
        <v>0.556443323188028</v>
      </c>
      <c r="M345" s="21" t="n">
        <f aca="false">ROUND(Q345*S345,0)</f>
        <v>192</v>
      </c>
      <c r="N345" s="21" t="n">
        <f aca="false">ROUND(SQRT((F345*J345/100)^2+(G345*M345)^2),0)</f>
        <v>106</v>
      </c>
      <c r="P345" s="41" t="n">
        <v>-0.0311193084846799</v>
      </c>
      <c r="Q345" s="42" t="n">
        <v>1391.45531103885</v>
      </c>
      <c r="R345" s="43" t="n">
        <f aca="false">MAX(0,MIN(1,P345/100+$D$5))</f>
        <v>0.537514501578913</v>
      </c>
      <c r="S345" s="43" t="n">
        <v>0.138178110610255</v>
      </c>
      <c r="T345" s="44" t="s">
        <v>128</v>
      </c>
    </row>
    <row r="346" customFormat="false" ht="15" hidden="false" customHeight="false" outlineLevel="0" collapsed="false">
      <c r="A346" s="38" t="s">
        <v>344</v>
      </c>
      <c r="B346" s="38" t="s">
        <v>475</v>
      </c>
      <c r="C346" s="38" t="s">
        <v>482</v>
      </c>
      <c r="D346" s="21" t="n">
        <f aca="false">ROUND(Q346*R346,0)</f>
        <v>565</v>
      </c>
      <c r="E346" s="21" t="n">
        <f aca="false">ROUND(Q346,0)-D346</f>
        <v>443</v>
      </c>
      <c r="F346" s="21" t="n">
        <f aca="false">IF(COUNTA(D346:E346)=0,"",SUM(D346:E346))</f>
        <v>1008</v>
      </c>
      <c r="G346" s="39" t="n">
        <f aca="false">IF(OR(F346="",F346=0),"",D346/F346)</f>
        <v>0.560515873015873</v>
      </c>
      <c r="H346" s="39" t="n">
        <f aca="false">IF(OR(F346="",F346=0),"",E346/F346)</f>
        <v>0.439484126984127</v>
      </c>
      <c r="I346" s="38" t="s">
        <v>191</v>
      </c>
      <c r="J346" s="40" t="n">
        <v>2.0110742867014</v>
      </c>
      <c r="K346" s="39" t="n">
        <f aca="false">IF(G346="","",MAX(0,G346-J346/100))</f>
        <v>0.540405130148859</v>
      </c>
      <c r="L346" s="39" t="n">
        <f aca="false">IF(G346="","",MIN(1,G346+J346/100))</f>
        <v>0.580626615882887</v>
      </c>
      <c r="M346" s="21" t="n">
        <f aca="false">ROUND(Q346*S346,0)</f>
        <v>61</v>
      </c>
      <c r="N346" s="21" t="n">
        <f aca="false">ROUND(SQRT((F346*J346/100)^2+(G346*M346)^2),0)</f>
        <v>40</v>
      </c>
      <c r="P346" s="41" t="n">
        <v>2.30013133897737</v>
      </c>
      <c r="Q346" s="42" t="n">
        <v>1007.73567397887</v>
      </c>
      <c r="R346" s="43" t="n">
        <f aca="false">MAX(0,MIN(1,P346/100+$D$5))</f>
        <v>0.560827008053534</v>
      </c>
      <c r="S346" s="43" t="n">
        <v>0.0608302283160348</v>
      </c>
      <c r="T346" s="44" t="s">
        <v>99</v>
      </c>
    </row>
    <row r="347" customFormat="false" ht="15" hidden="false" customHeight="false" outlineLevel="0" collapsed="false">
      <c r="A347" s="38" t="s">
        <v>344</v>
      </c>
      <c r="B347" s="38" t="s">
        <v>475</v>
      </c>
      <c r="C347" s="38" t="s">
        <v>483</v>
      </c>
      <c r="D347" s="21" t="n">
        <f aca="false">ROUND(Q347*R347,0)</f>
        <v>583</v>
      </c>
      <c r="E347" s="21" t="n">
        <f aca="false">ROUND(Q347,0)-D347</f>
        <v>567</v>
      </c>
      <c r="F347" s="21" t="n">
        <f aca="false">IF(COUNTA(D347:E347)=0,"",SUM(D347:E347))</f>
        <v>1150</v>
      </c>
      <c r="G347" s="39" t="n">
        <f aca="false">IF(OR(F347="",F347=0),"",D347/F347)</f>
        <v>0.50695652173913</v>
      </c>
      <c r="H347" s="39" t="n">
        <f aca="false">IF(OR(F347="",F347=0),"",E347/F347)</f>
        <v>0.49304347826087</v>
      </c>
      <c r="I347" s="38" t="s">
        <v>191</v>
      </c>
      <c r="J347" s="40" t="n">
        <v>2.0110742867014</v>
      </c>
      <c r="K347" s="39" t="n">
        <f aca="false">IF(G347="","",MAX(0,G347-J347/100))</f>
        <v>0.486845778872116</v>
      </c>
      <c r="L347" s="39" t="n">
        <f aca="false">IF(G347="","",MIN(1,G347+J347/100))</f>
        <v>0.527067264606144</v>
      </c>
      <c r="M347" s="21" t="n">
        <f aca="false">ROUND(Q347*S347,0)</f>
        <v>70</v>
      </c>
      <c r="N347" s="21" t="n">
        <f aca="false">ROUND(SQRT((F347*J347/100)^2+(G347*M347)^2),0)</f>
        <v>42</v>
      </c>
      <c r="P347" s="41" t="n">
        <v>-3.07879049051747</v>
      </c>
      <c r="Q347" s="42" t="n">
        <v>1150.16715623523</v>
      </c>
      <c r="R347" s="43" t="n">
        <f aca="false">MAX(0,MIN(1,P347/100+$D$5))</f>
        <v>0.507037789758585</v>
      </c>
      <c r="S347" s="43" t="n">
        <v>0.0608302283160348</v>
      </c>
      <c r="T347" s="44" t="s">
        <v>99</v>
      </c>
    </row>
    <row r="348" customFormat="false" ht="15" hidden="false" customHeight="false" outlineLevel="0" collapsed="false">
      <c r="A348" s="38" t="s">
        <v>344</v>
      </c>
      <c r="B348" s="38" t="s">
        <v>475</v>
      </c>
      <c r="C348" s="38" t="s">
        <v>484</v>
      </c>
      <c r="D348" s="21" t="n">
        <f aca="false">ROUND(Q348*R348,0)</f>
        <v>804</v>
      </c>
      <c r="E348" s="21" t="n">
        <f aca="false">ROUND(Q348,0)-D348</f>
        <v>805</v>
      </c>
      <c r="F348" s="21" t="n">
        <f aca="false">IF(COUNTA(D348:E348)=0,"",SUM(D348:E348))</f>
        <v>1609</v>
      </c>
      <c r="G348" s="39" t="n">
        <f aca="false">IF(OR(F348="",F348=0),"",D348/F348)</f>
        <v>0.499689247980112</v>
      </c>
      <c r="H348" s="39" t="n">
        <f aca="false">IF(OR(F348="",F348=0),"",E348/F348)</f>
        <v>0.500310752019888</v>
      </c>
      <c r="I348" s="38" t="s">
        <v>191</v>
      </c>
      <c r="J348" s="40" t="n">
        <v>1.87006919874525</v>
      </c>
      <c r="K348" s="39" t="n">
        <f aca="false">IF(G348="","",MAX(0,G348-J348/100))</f>
        <v>0.480988555992659</v>
      </c>
      <c r="L348" s="39" t="n">
        <f aca="false">IF(G348="","",MIN(1,G348+J348/100))</f>
        <v>0.518389939967564</v>
      </c>
      <c r="M348" s="21" t="n">
        <f aca="false">ROUND(Q348*S348,0)</f>
        <v>222</v>
      </c>
      <c r="N348" s="21" t="n">
        <f aca="false">ROUND(SQRT((F348*J348/100)^2+(G348*M348)^2),0)</f>
        <v>115</v>
      </c>
      <c r="P348" s="41" t="n">
        <v>-3.78197488795173</v>
      </c>
      <c r="Q348" s="42" t="n">
        <v>1608.61169544578</v>
      </c>
      <c r="R348" s="43" t="n">
        <f aca="false">MAX(0,MIN(1,P348/100+$D$5))</f>
        <v>0.500005945784243</v>
      </c>
      <c r="S348" s="43" t="n">
        <v>0.138178110610255</v>
      </c>
      <c r="T348" s="44" t="s">
        <v>128</v>
      </c>
    </row>
    <row r="349" customFormat="false" ht="15" hidden="false" customHeight="false" outlineLevel="0" collapsed="false">
      <c r="A349" s="38" t="s">
        <v>344</v>
      </c>
      <c r="B349" s="38" t="s">
        <v>485</v>
      </c>
      <c r="C349" s="38" t="s">
        <v>486</v>
      </c>
      <c r="D349" s="21" t="n">
        <f aca="false">ROUND(Q349*R349,0)</f>
        <v>99</v>
      </c>
      <c r="E349" s="21" t="n">
        <f aca="false">ROUND(Q349,0)-D349</f>
        <v>135</v>
      </c>
      <c r="F349" s="21" t="n">
        <f aca="false">IF(COUNTA(D349:E349)=0,"",SUM(D349:E349))</f>
        <v>234</v>
      </c>
      <c r="G349" s="39" t="n">
        <f aca="false">IF(OR(F349="",F349=0),"",D349/F349)</f>
        <v>0.423076923076923</v>
      </c>
      <c r="H349" s="39" t="n">
        <f aca="false">IF(OR(F349="",F349=0),"",E349/F349)</f>
        <v>0.576923076923077</v>
      </c>
      <c r="I349" s="38" t="s">
        <v>89</v>
      </c>
      <c r="J349" s="40" t="n">
        <v>3.09864730606258</v>
      </c>
      <c r="K349" s="39" t="n">
        <f aca="false">IF(G349="","",MAX(0,G349-J349/100))</f>
        <v>0.392090450016297</v>
      </c>
      <c r="L349" s="39" t="n">
        <f aca="false">IF(G349="","",MIN(1,G349+J349/100))</f>
        <v>0.454063396137549</v>
      </c>
      <c r="M349" s="21" t="n">
        <f aca="false">ROUND(Q349*S349,0)</f>
        <v>17</v>
      </c>
      <c r="N349" s="21" t="n">
        <f aca="false">ROUND(SQRT((F349*J349/100)^2+(G349*M349)^2),0)</f>
        <v>10</v>
      </c>
      <c r="P349" s="41" t="n">
        <v>-11.3889386863541</v>
      </c>
      <c r="Q349" s="42" t="n">
        <v>233.83551893032</v>
      </c>
      <c r="R349" s="43" t="n">
        <f aca="false">MAX(0,MIN(1,P349/100+$D$5))</f>
        <v>0.423936307800219</v>
      </c>
      <c r="S349" s="43" t="n">
        <v>0.0731122618343653</v>
      </c>
      <c r="T349" s="44" t="s">
        <v>90</v>
      </c>
    </row>
    <row r="350" customFormat="false" ht="15" hidden="false" customHeight="false" outlineLevel="0" collapsed="false">
      <c r="A350" s="38" t="s">
        <v>344</v>
      </c>
      <c r="B350" s="38" t="s">
        <v>485</v>
      </c>
      <c r="C350" s="38" t="s">
        <v>487</v>
      </c>
      <c r="D350" s="21" t="n">
        <f aca="false">ROUND(Q350*R350,0)</f>
        <v>249</v>
      </c>
      <c r="E350" s="21" t="n">
        <f aca="false">ROUND(Q350,0)-D350</f>
        <v>363</v>
      </c>
      <c r="F350" s="21" t="n">
        <f aca="false">IF(COUNTA(D350:E350)=0,"",SUM(D350:E350))</f>
        <v>612</v>
      </c>
      <c r="G350" s="39" t="n">
        <f aca="false">IF(OR(F350="",F350=0),"",D350/F350)</f>
        <v>0.406862745098039</v>
      </c>
      <c r="H350" s="39" t="n">
        <f aca="false">IF(OR(F350="",F350=0),"",E350/F350)</f>
        <v>0.593137254901961</v>
      </c>
      <c r="I350" s="38" t="s">
        <v>89</v>
      </c>
      <c r="J350" s="40" t="n">
        <v>3.09864730606258</v>
      </c>
      <c r="K350" s="39" t="n">
        <f aca="false">IF(G350="","",MAX(0,G350-J350/100))</f>
        <v>0.375876272037413</v>
      </c>
      <c r="L350" s="39" t="n">
        <f aca="false">IF(G350="","",MIN(1,G350+J350/100))</f>
        <v>0.437849218158665</v>
      </c>
      <c r="M350" s="21" t="n">
        <f aca="false">ROUND(Q350*S350,0)</f>
        <v>45</v>
      </c>
      <c r="N350" s="21" t="n">
        <f aca="false">ROUND(SQRT((F350*J350/100)^2+(G350*M350)^2),0)</f>
        <v>26</v>
      </c>
      <c r="P350" s="41" t="n">
        <v>-13.2061633748861</v>
      </c>
      <c r="Q350" s="42" t="n">
        <v>612.440353735806</v>
      </c>
      <c r="R350" s="43" t="n">
        <f aca="false">MAX(0,MIN(1,P350/100+$D$5))</f>
        <v>0.405764060914898</v>
      </c>
      <c r="S350" s="43" t="n">
        <v>0.0731122618343653</v>
      </c>
      <c r="T350" s="44" t="s">
        <v>90</v>
      </c>
    </row>
    <row r="351" customFormat="false" ht="15" hidden="false" customHeight="false" outlineLevel="0" collapsed="false">
      <c r="A351" s="38" t="s">
        <v>344</v>
      </c>
      <c r="B351" s="38" t="s">
        <v>485</v>
      </c>
      <c r="C351" s="38" t="s">
        <v>488</v>
      </c>
      <c r="D351" s="21" t="n">
        <f aca="false">ROUND(Q351*R351,0)</f>
        <v>178</v>
      </c>
      <c r="E351" s="21" t="n">
        <f aca="false">ROUND(Q351,0)-D351</f>
        <v>223</v>
      </c>
      <c r="F351" s="21" t="n">
        <f aca="false">IF(COUNTA(D351:E351)=0,"",SUM(D351:E351))</f>
        <v>401</v>
      </c>
      <c r="G351" s="39" t="n">
        <f aca="false">IF(OR(F351="",F351=0),"",D351/F351)</f>
        <v>0.443890274314214</v>
      </c>
      <c r="H351" s="39" t="n">
        <f aca="false">IF(OR(F351="",F351=0),"",E351/F351)</f>
        <v>0.556109725685786</v>
      </c>
      <c r="I351" s="38" t="s">
        <v>89</v>
      </c>
      <c r="J351" s="40" t="n">
        <v>3.09864730606258</v>
      </c>
      <c r="K351" s="39" t="n">
        <f aca="false">IF(G351="","",MAX(0,G351-J351/100))</f>
        <v>0.412903801253589</v>
      </c>
      <c r="L351" s="39" t="n">
        <f aca="false">IF(G351="","",MIN(1,G351+J351/100))</f>
        <v>0.47487674737484</v>
      </c>
      <c r="M351" s="21" t="n">
        <f aca="false">ROUND(Q351*S351,0)</f>
        <v>29</v>
      </c>
      <c r="N351" s="21" t="n">
        <f aca="false">ROUND(SQRT((F351*J351/100)^2+(G351*M351)^2),0)</f>
        <v>18</v>
      </c>
      <c r="P351" s="41" t="n">
        <v>-9.29780905978275</v>
      </c>
      <c r="Q351" s="42" t="n">
        <v>401.015724763787</v>
      </c>
      <c r="R351" s="43" t="n">
        <f aca="false">MAX(0,MIN(1,P351/100+$D$5))</f>
        <v>0.444847604065932</v>
      </c>
      <c r="S351" s="43" t="n">
        <v>0.0731122618343653</v>
      </c>
      <c r="T351" s="44" t="s">
        <v>90</v>
      </c>
    </row>
    <row r="352" customFormat="false" ht="15" hidden="false" customHeight="false" outlineLevel="0" collapsed="false">
      <c r="A352" s="38" t="s">
        <v>344</v>
      </c>
      <c r="B352" s="38" t="s">
        <v>485</v>
      </c>
      <c r="C352" s="38" t="s">
        <v>489</v>
      </c>
      <c r="D352" s="21" t="n">
        <f aca="false">ROUND(Q352*R352,0)</f>
        <v>103</v>
      </c>
      <c r="E352" s="21" t="n">
        <f aca="false">ROUND(Q352,0)-D352</f>
        <v>127</v>
      </c>
      <c r="F352" s="21" t="n">
        <f aca="false">IF(COUNTA(D352:E352)=0,"",SUM(D352:E352))</f>
        <v>230</v>
      </c>
      <c r="G352" s="39" t="n">
        <f aca="false">IF(OR(F352="",F352=0),"",D352/F352)</f>
        <v>0.447826086956522</v>
      </c>
      <c r="H352" s="39" t="n">
        <f aca="false">IF(OR(F352="",F352=0),"",E352/F352)</f>
        <v>0.552173913043478</v>
      </c>
      <c r="I352" s="38" t="s">
        <v>89</v>
      </c>
      <c r="J352" s="40" t="n">
        <v>3.09864730606258</v>
      </c>
      <c r="K352" s="39" t="n">
        <f aca="false">IF(G352="","",MAX(0,G352-J352/100))</f>
        <v>0.416839613895896</v>
      </c>
      <c r="L352" s="39" t="n">
        <f aca="false">IF(G352="","",MIN(1,G352+J352/100))</f>
        <v>0.478812560017148</v>
      </c>
      <c r="M352" s="21" t="n">
        <f aca="false">ROUND(Q352*S352,0)</f>
        <v>17</v>
      </c>
      <c r="N352" s="21" t="n">
        <f aca="false">ROUND(SQRT((F352*J352/100)^2+(G352*M352)^2),0)</f>
        <v>10</v>
      </c>
      <c r="P352" s="41" t="n">
        <v>-8.94785534954753</v>
      </c>
      <c r="Q352" s="42" t="n">
        <v>229.823442385234</v>
      </c>
      <c r="R352" s="43" t="n">
        <f aca="false">MAX(0,MIN(1,P352/100+$D$5))</f>
        <v>0.448347141168284</v>
      </c>
      <c r="S352" s="43" t="n">
        <v>0.0731122618343653</v>
      </c>
      <c r="T352" s="44" t="s">
        <v>90</v>
      </c>
    </row>
    <row r="353" customFormat="false" ht="15" hidden="false" customHeight="false" outlineLevel="0" collapsed="false">
      <c r="A353" s="38" t="s">
        <v>344</v>
      </c>
      <c r="B353" s="38" t="s">
        <v>490</v>
      </c>
      <c r="C353" s="38" t="s">
        <v>491</v>
      </c>
      <c r="D353" s="21" t="n">
        <f aca="false">ROUND(Q353*R353,0)</f>
        <v>398</v>
      </c>
      <c r="E353" s="21" t="n">
        <f aca="false">ROUND(Q353,0)-D353</f>
        <v>609</v>
      </c>
      <c r="F353" s="21" t="n">
        <f aca="false">IF(COUNTA(D353:E353)=0,"",SUM(D353:E353))</f>
        <v>1007</v>
      </c>
      <c r="G353" s="39" t="n">
        <f aca="false">IF(OR(F353="",F353=0),"",D353/F353)</f>
        <v>0.395233366434955</v>
      </c>
      <c r="H353" s="39" t="n">
        <f aca="false">IF(OR(F353="",F353=0),"",E353/F353)</f>
        <v>0.604766633565045</v>
      </c>
      <c r="I353" s="38" t="s">
        <v>89</v>
      </c>
      <c r="J353" s="40" t="n">
        <v>2.0110742867014</v>
      </c>
      <c r="K353" s="39" t="n">
        <f aca="false">IF(G353="","",MAX(0,G353-J353/100))</f>
        <v>0.375122623567941</v>
      </c>
      <c r="L353" s="39" t="n">
        <f aca="false">IF(G353="","",MIN(1,G353+J353/100))</f>
        <v>0.415344109301969</v>
      </c>
      <c r="M353" s="21" t="n">
        <f aca="false">ROUND(Q353*S353,0)</f>
        <v>61</v>
      </c>
      <c r="N353" s="21" t="n">
        <f aca="false">ROUND(SQRT((F353*J353/100)^2+(G353*M353)^2),0)</f>
        <v>31</v>
      </c>
      <c r="P353" s="41" t="n">
        <v>-14.2695548694548</v>
      </c>
      <c r="Q353" s="42" t="n">
        <v>1007.15368793583</v>
      </c>
      <c r="R353" s="43" t="n">
        <f aca="false">MAX(0,MIN(1,P353/100+$D$5))</f>
        <v>0.395130145969212</v>
      </c>
      <c r="S353" s="43" t="n">
        <v>0.0608302283160348</v>
      </c>
      <c r="T353" s="44" t="s">
        <v>99</v>
      </c>
    </row>
    <row r="354" customFormat="false" ht="15" hidden="false" customHeight="false" outlineLevel="0" collapsed="false">
      <c r="A354" s="38" t="s">
        <v>344</v>
      </c>
      <c r="B354" s="38" t="s">
        <v>490</v>
      </c>
      <c r="C354" s="38" t="s">
        <v>492</v>
      </c>
      <c r="D354" s="21" t="n">
        <f aca="false">ROUND(Q354*R354,0)</f>
        <v>325</v>
      </c>
      <c r="E354" s="21" t="n">
        <f aca="false">ROUND(Q354,0)-D354</f>
        <v>484</v>
      </c>
      <c r="F354" s="21" t="n">
        <f aca="false">IF(COUNTA(D354:E354)=0,"",SUM(D354:E354))</f>
        <v>809</v>
      </c>
      <c r="G354" s="39" t="n">
        <f aca="false">IF(OR(F354="",F354=0),"",D354/F354)</f>
        <v>0.401730531520396</v>
      </c>
      <c r="H354" s="39" t="n">
        <f aca="false">IF(OR(F354="",F354=0),"",E354/F354)</f>
        <v>0.598269468479605</v>
      </c>
      <c r="I354" s="38" t="s">
        <v>89</v>
      </c>
      <c r="J354" s="40" t="n">
        <v>2.0110742867014</v>
      </c>
      <c r="K354" s="39" t="n">
        <f aca="false">IF(G354="","",MAX(0,G354-J354/100))</f>
        <v>0.381619788653382</v>
      </c>
      <c r="L354" s="39" t="n">
        <f aca="false">IF(G354="","",MIN(1,G354+J354/100))</f>
        <v>0.42184127438741</v>
      </c>
      <c r="M354" s="21" t="n">
        <f aca="false">ROUND(Q354*S354,0)</f>
        <v>49</v>
      </c>
      <c r="N354" s="21" t="n">
        <f aca="false">ROUND(SQRT((F354*J354/100)^2+(G354*M354)^2),0)</f>
        <v>26</v>
      </c>
      <c r="P354" s="41" t="n">
        <v>-13.66784812387</v>
      </c>
      <c r="Q354" s="42" t="n">
        <v>809.377639129342</v>
      </c>
      <c r="R354" s="43" t="n">
        <f aca="false">MAX(0,MIN(1,P354/100+$D$5))</f>
        <v>0.40114721342506</v>
      </c>
      <c r="S354" s="43" t="n">
        <v>0.0608302283160348</v>
      </c>
      <c r="T354" s="44" t="s">
        <v>99</v>
      </c>
    </row>
    <row r="355" customFormat="false" ht="15" hidden="false" customHeight="false" outlineLevel="0" collapsed="false">
      <c r="A355" s="38" t="s">
        <v>344</v>
      </c>
      <c r="B355" s="38" t="s">
        <v>490</v>
      </c>
      <c r="C355" s="38" t="s">
        <v>493</v>
      </c>
      <c r="D355" s="21" t="n">
        <f aca="false">ROUND(Q355*R355,0)</f>
        <v>292</v>
      </c>
      <c r="E355" s="21" t="n">
        <f aca="false">ROUND(Q355,0)-D355</f>
        <v>471</v>
      </c>
      <c r="F355" s="21" t="n">
        <f aca="false">IF(COUNTA(D355:E355)=0,"",SUM(D355:E355))</f>
        <v>763</v>
      </c>
      <c r="G355" s="39" t="n">
        <f aca="false">IF(OR(F355="",F355=0),"",D355/F355)</f>
        <v>0.382699868938401</v>
      </c>
      <c r="H355" s="39" t="n">
        <f aca="false">IF(OR(F355="",F355=0),"",E355/F355)</f>
        <v>0.617300131061599</v>
      </c>
      <c r="I355" s="38" t="s">
        <v>89</v>
      </c>
      <c r="J355" s="40" t="n">
        <v>3.09864730606258</v>
      </c>
      <c r="K355" s="39" t="n">
        <f aca="false">IF(G355="","",MAX(0,G355-J355/100))</f>
        <v>0.351713395877775</v>
      </c>
      <c r="L355" s="39" t="n">
        <f aca="false">IF(G355="","",MIN(1,G355+J355/100))</f>
        <v>0.413686341999027</v>
      </c>
      <c r="M355" s="21" t="n">
        <f aca="false">ROUND(Q355*S355,0)</f>
        <v>56</v>
      </c>
      <c r="N355" s="21" t="n">
        <f aca="false">ROUND(SQRT((F355*J355/100)^2+(G355*M355)^2),0)</f>
        <v>32</v>
      </c>
      <c r="P355" s="41" t="n">
        <v>-15.5037128140293</v>
      </c>
      <c r="Q355" s="42" t="n">
        <v>762.622430103295</v>
      </c>
      <c r="R355" s="43" t="n">
        <f aca="false">MAX(0,MIN(1,P355/100+$D$5))</f>
        <v>0.382788566523467</v>
      </c>
      <c r="S355" s="43" t="n">
        <v>0.0731122618343653</v>
      </c>
      <c r="T355" s="44" t="s">
        <v>90</v>
      </c>
    </row>
    <row r="356" customFormat="false" ht="15" hidden="false" customHeight="false" outlineLevel="0" collapsed="false">
      <c r="A356" s="38" t="s">
        <v>344</v>
      </c>
      <c r="B356" s="38" t="s">
        <v>490</v>
      </c>
      <c r="C356" s="38" t="s">
        <v>494</v>
      </c>
      <c r="D356" s="21" t="n">
        <f aca="false">ROUND(Q356*R356,0)</f>
        <v>298</v>
      </c>
      <c r="E356" s="21" t="n">
        <f aca="false">ROUND(Q356,0)-D356</f>
        <v>478</v>
      </c>
      <c r="F356" s="21" t="n">
        <f aca="false">IF(COUNTA(D356:E356)=0,"",SUM(D356:E356))</f>
        <v>776</v>
      </c>
      <c r="G356" s="39" t="n">
        <f aca="false">IF(OR(F356="",F356=0),"",D356/F356)</f>
        <v>0.384020618556701</v>
      </c>
      <c r="H356" s="39" t="n">
        <f aca="false">IF(OR(F356="",F356=0),"",E356/F356)</f>
        <v>0.615979381443299</v>
      </c>
      <c r="I356" s="38" t="s">
        <v>89</v>
      </c>
      <c r="J356" s="40" t="n">
        <v>2.0110742867014</v>
      </c>
      <c r="K356" s="39" t="n">
        <f aca="false">IF(G356="","",MAX(0,G356-J356/100))</f>
        <v>0.363909875689687</v>
      </c>
      <c r="L356" s="39" t="n">
        <f aca="false">IF(G356="","",MIN(1,G356+J356/100))</f>
        <v>0.404131361423715</v>
      </c>
      <c r="M356" s="21" t="n">
        <f aca="false">ROUND(Q356*S356,0)</f>
        <v>47</v>
      </c>
      <c r="N356" s="21" t="n">
        <f aca="false">ROUND(SQRT((F356*J356/100)^2+(G356*M356)^2),0)</f>
        <v>24</v>
      </c>
      <c r="P356" s="41" t="n">
        <v>-15.3307297860698</v>
      </c>
      <c r="Q356" s="42" t="n">
        <v>775.870698239378</v>
      </c>
      <c r="R356" s="43" t="n">
        <f aca="false">MAX(0,MIN(1,P356/100+$D$5))</f>
        <v>0.384518396803061</v>
      </c>
      <c r="S356" s="43" t="n">
        <v>0.0608302283160348</v>
      </c>
      <c r="T356" s="44" t="s">
        <v>99</v>
      </c>
    </row>
    <row r="357" customFormat="false" ht="15" hidden="false" customHeight="false" outlineLevel="0" collapsed="false">
      <c r="A357" s="38" t="s">
        <v>344</v>
      </c>
      <c r="B357" s="38" t="s">
        <v>495</v>
      </c>
      <c r="C357" s="38" t="s">
        <v>496</v>
      </c>
      <c r="D357" s="21" t="n">
        <f aca="false">ROUND(Q357*R357,0)</f>
        <v>80</v>
      </c>
      <c r="E357" s="21" t="n">
        <f aca="false">ROUND(Q357,0)-D357</f>
        <v>128</v>
      </c>
      <c r="F357" s="21" t="n">
        <f aca="false">IF(COUNTA(D357:E357)=0,"",SUM(D357:E357))</f>
        <v>208</v>
      </c>
      <c r="G357" s="39" t="n">
        <f aca="false">IF(OR(F357="",F357=0),"",D357/F357)</f>
        <v>0.384615384615385</v>
      </c>
      <c r="H357" s="39" t="n">
        <f aca="false">IF(OR(F357="",F357=0),"",E357/F357)</f>
        <v>0.615384615384615</v>
      </c>
      <c r="I357" s="38" t="s">
        <v>89</v>
      </c>
      <c r="J357" s="40" t="n">
        <v>3.09864730606258</v>
      </c>
      <c r="K357" s="39" t="n">
        <f aca="false">IF(G357="","",MAX(0,G357-J357/100))</f>
        <v>0.353628911554759</v>
      </c>
      <c r="L357" s="39" t="n">
        <f aca="false">IF(G357="","",MIN(1,G357+J357/100))</f>
        <v>0.41560185767601</v>
      </c>
      <c r="M357" s="21" t="n">
        <f aca="false">ROUND(Q357*S357,0)</f>
        <v>15</v>
      </c>
      <c r="N357" s="21" t="n">
        <f aca="false">ROUND(SQRT((F357*J357/100)^2+(G357*M357)^2),0)</f>
        <v>9</v>
      </c>
      <c r="P357" s="41" t="n">
        <v>-15.3844733295649</v>
      </c>
      <c r="Q357" s="42" t="n">
        <v>207.932599528472</v>
      </c>
      <c r="R357" s="43" t="n">
        <f aca="false">MAX(0,MIN(1,P357/100+$D$5))</f>
        <v>0.383980961368111</v>
      </c>
      <c r="S357" s="43" t="n">
        <v>0.0731122618343653</v>
      </c>
      <c r="T357" s="44" t="s">
        <v>90</v>
      </c>
    </row>
    <row r="358" customFormat="false" ht="15" hidden="false" customHeight="false" outlineLevel="0" collapsed="false">
      <c r="A358" s="38" t="s">
        <v>344</v>
      </c>
      <c r="B358" s="38" t="s">
        <v>497</v>
      </c>
      <c r="C358" s="38" t="s">
        <v>498</v>
      </c>
      <c r="D358" s="21" t="n">
        <f aca="false">ROUND(Q358*R358,0)</f>
        <v>315</v>
      </c>
      <c r="E358" s="21" t="n">
        <f aca="false">ROUND(Q358,0)-D358</f>
        <v>422</v>
      </c>
      <c r="F358" s="21" t="n">
        <f aca="false">IF(COUNTA(D358:E358)=0,"",SUM(D358:E358))</f>
        <v>737</v>
      </c>
      <c r="G358" s="39" t="n">
        <f aca="false">IF(OR(F358="",F358=0),"",D358/F358)</f>
        <v>0.427408412483039</v>
      </c>
      <c r="H358" s="39" t="n">
        <f aca="false">IF(OR(F358="",F358=0),"",E358/F358)</f>
        <v>0.572591587516961</v>
      </c>
      <c r="I358" s="38" t="s">
        <v>89</v>
      </c>
      <c r="J358" s="40" t="n">
        <v>3.09864730606258</v>
      </c>
      <c r="K358" s="39" t="n">
        <f aca="false">IF(G358="","",MAX(0,G358-J358/100))</f>
        <v>0.396421939422414</v>
      </c>
      <c r="L358" s="39" t="n">
        <f aca="false">IF(G358="","",MIN(1,G358+J358/100))</f>
        <v>0.458394885543665</v>
      </c>
      <c r="M358" s="21" t="n">
        <f aca="false">ROUND(Q358*S358,0)</f>
        <v>54</v>
      </c>
      <c r="N358" s="21" t="n">
        <f aca="false">ROUND(SQRT((F358*J358/100)^2+(G358*M358)^2),0)</f>
        <v>32</v>
      </c>
      <c r="P358" s="41" t="n">
        <v>-11.1005324634087</v>
      </c>
      <c r="Q358" s="42" t="n">
        <v>737.080269649073</v>
      </c>
      <c r="R358" s="43" t="n">
        <f aca="false">MAX(0,MIN(1,P358/100+$D$5))</f>
        <v>0.426820370029673</v>
      </c>
      <c r="S358" s="43" t="n">
        <v>0.0731122618343653</v>
      </c>
      <c r="T358" s="44" t="s">
        <v>90</v>
      </c>
    </row>
    <row r="359" customFormat="false" ht="15" hidden="false" customHeight="false" outlineLevel="0" collapsed="false">
      <c r="A359" s="38" t="s">
        <v>344</v>
      </c>
      <c r="B359" s="38" t="s">
        <v>499</v>
      </c>
      <c r="C359" s="38" t="s">
        <v>500</v>
      </c>
      <c r="D359" s="21" t="n">
        <f aca="false">ROUND(Q359*R359,0)</f>
        <v>190</v>
      </c>
      <c r="E359" s="21" t="n">
        <f aca="false">ROUND(Q359,0)-D359</f>
        <v>232</v>
      </c>
      <c r="F359" s="21" t="n">
        <f aca="false">IF(COUNTA(D359:E359)=0,"",SUM(D359:E359))</f>
        <v>422</v>
      </c>
      <c r="G359" s="39" t="n">
        <f aca="false">IF(OR(F359="",F359=0),"",D359/F359)</f>
        <v>0.450236966824645</v>
      </c>
      <c r="H359" s="39" t="n">
        <f aca="false">IF(OR(F359="",F359=0),"",E359/F359)</f>
        <v>0.549763033175356</v>
      </c>
      <c r="I359" s="38" t="s">
        <v>89</v>
      </c>
      <c r="J359" s="40" t="n">
        <v>3.09864730606258</v>
      </c>
      <c r="K359" s="39" t="n">
        <f aca="false">IF(G359="","",MAX(0,G359-J359/100))</f>
        <v>0.419250493764019</v>
      </c>
      <c r="L359" s="39" t="n">
        <f aca="false">IF(G359="","",MIN(1,G359+J359/100))</f>
        <v>0.48122343988527</v>
      </c>
      <c r="M359" s="21" t="n">
        <f aca="false">ROUND(Q359*S359,0)</f>
        <v>31</v>
      </c>
      <c r="N359" s="21" t="n">
        <f aca="false">ROUND(SQRT((F359*J359/100)^2+(G359*M359)^2),0)</f>
        <v>19</v>
      </c>
      <c r="P359" s="41" t="n">
        <v>-8.85414102488992</v>
      </c>
      <c r="Q359" s="42" t="n">
        <v>422.265945704587</v>
      </c>
      <c r="R359" s="43" t="n">
        <f aca="false">MAX(0,MIN(1,P359/100+$D$5))</f>
        <v>0.449284284414861</v>
      </c>
      <c r="S359" s="43" t="n">
        <v>0.0731122618343653</v>
      </c>
      <c r="T359" s="44" t="s">
        <v>90</v>
      </c>
    </row>
    <row r="360" customFormat="false" ht="15" hidden="false" customHeight="false" outlineLevel="0" collapsed="false">
      <c r="A360" s="38" t="s">
        <v>344</v>
      </c>
      <c r="B360" s="38" t="s">
        <v>501</v>
      </c>
      <c r="C360" s="38" t="s">
        <v>502</v>
      </c>
      <c r="D360" s="21" t="n">
        <f aca="false">ROUND(Q360*R360,0)</f>
        <v>306</v>
      </c>
      <c r="E360" s="21" t="n">
        <f aca="false">ROUND(Q360,0)-D360</f>
        <v>341</v>
      </c>
      <c r="F360" s="21" t="n">
        <f aca="false">IF(COUNTA(D360:E360)=0,"",SUM(D360:E360))</f>
        <v>647</v>
      </c>
      <c r="G360" s="39" t="n">
        <f aca="false">IF(OR(F360="",F360=0),"",D360/F360)</f>
        <v>0.472952086553323</v>
      </c>
      <c r="H360" s="39" t="n">
        <f aca="false">IF(OR(F360="",F360=0),"",E360/F360)</f>
        <v>0.527047913446677</v>
      </c>
      <c r="I360" s="38" t="s">
        <v>89</v>
      </c>
      <c r="J360" s="40" t="n">
        <v>3.09864730606258</v>
      </c>
      <c r="K360" s="39" t="n">
        <f aca="false">IF(G360="","",MAX(0,G360-J360/100))</f>
        <v>0.441965613492697</v>
      </c>
      <c r="L360" s="39" t="n">
        <f aca="false">IF(G360="","",MIN(1,G360+J360/100))</f>
        <v>0.503938559613949</v>
      </c>
      <c r="M360" s="21" t="n">
        <f aca="false">ROUND(Q360*S360,0)</f>
        <v>47</v>
      </c>
      <c r="N360" s="21" t="n">
        <f aca="false">ROUND(SQRT((F360*J360/100)^2+(G360*M360)^2),0)</f>
        <v>30</v>
      </c>
      <c r="P360" s="41" t="n">
        <v>-6.53770367273076</v>
      </c>
      <c r="Q360" s="42" t="n">
        <v>647.455800980477</v>
      </c>
      <c r="R360" s="43" t="n">
        <f aca="false">MAX(0,MIN(1,P360/100+$D$5))</f>
        <v>0.472448657936452</v>
      </c>
      <c r="S360" s="43" t="n">
        <v>0.0731122618343653</v>
      </c>
      <c r="T360" s="44" t="s">
        <v>90</v>
      </c>
    </row>
    <row r="361" customFormat="false" ht="15" hidden="false" customHeight="false" outlineLevel="0" collapsed="false">
      <c r="A361" s="38" t="s">
        <v>344</v>
      </c>
      <c r="B361" s="38" t="s">
        <v>503</v>
      </c>
      <c r="C361" s="38" t="s">
        <v>504</v>
      </c>
      <c r="D361" s="21" t="n">
        <f aca="false">ROUND(Q361*R361,0)</f>
        <v>297</v>
      </c>
      <c r="E361" s="21" t="n">
        <f aca="false">ROUND(Q361,0)-D361</f>
        <v>607</v>
      </c>
      <c r="F361" s="21" t="n">
        <f aca="false">IF(COUNTA(D361:E361)=0,"",SUM(D361:E361))</f>
        <v>904</v>
      </c>
      <c r="G361" s="39" t="n">
        <f aca="false">IF(OR(F361="",F361=0),"",D361/F361)</f>
        <v>0.32853982300885</v>
      </c>
      <c r="H361" s="39" t="n">
        <f aca="false">IF(OR(F361="",F361=0),"",E361/F361)</f>
        <v>0.671460176991151</v>
      </c>
      <c r="I361" s="38" t="s">
        <v>89</v>
      </c>
      <c r="J361" s="40" t="n">
        <v>2.0110742867014</v>
      </c>
      <c r="K361" s="39" t="n">
        <f aca="false">IF(G361="","",MAX(0,G361-J361/100))</f>
        <v>0.308429080141836</v>
      </c>
      <c r="L361" s="39" t="n">
        <f aca="false">IF(G361="","",MIN(1,G361+J361/100))</f>
        <v>0.348650565875864</v>
      </c>
      <c r="M361" s="21" t="n">
        <f aca="false">ROUND(Q361*S361,0)</f>
        <v>55</v>
      </c>
      <c r="N361" s="21" t="n">
        <f aca="false">ROUND(SQRT((F361*J361/100)^2+(G361*M361)^2),0)</f>
        <v>26</v>
      </c>
      <c r="P361" s="41" t="n">
        <v>-20.9576894017461</v>
      </c>
      <c r="Q361" s="42" t="n">
        <v>903.793628565284</v>
      </c>
      <c r="R361" s="43" t="n">
        <f aca="false">MAX(0,MIN(1,P361/100+$D$5))</f>
        <v>0.328248800646299</v>
      </c>
      <c r="S361" s="43" t="n">
        <v>0.0608302283160348</v>
      </c>
      <c r="T361" s="44" t="s">
        <v>99</v>
      </c>
    </row>
    <row r="362" customFormat="false" ht="15" hidden="false" customHeight="false" outlineLevel="0" collapsed="false">
      <c r="A362" s="38" t="s">
        <v>344</v>
      </c>
      <c r="B362" s="38" t="s">
        <v>503</v>
      </c>
      <c r="C362" s="38" t="s">
        <v>505</v>
      </c>
      <c r="D362" s="21" t="n">
        <f aca="false">ROUND(Q362*R362,0)</f>
        <v>243</v>
      </c>
      <c r="E362" s="21" t="n">
        <f aca="false">ROUND(Q362,0)-D362</f>
        <v>411</v>
      </c>
      <c r="F362" s="21" t="n">
        <f aca="false">IF(COUNTA(D362:E362)=0,"",SUM(D362:E362))</f>
        <v>654</v>
      </c>
      <c r="G362" s="39" t="n">
        <f aca="false">IF(OR(F362="",F362=0),"",D362/F362)</f>
        <v>0.371559633027523</v>
      </c>
      <c r="H362" s="39" t="n">
        <f aca="false">IF(OR(F362="",F362=0),"",E362/F362)</f>
        <v>0.628440366972477</v>
      </c>
      <c r="I362" s="38" t="s">
        <v>89</v>
      </c>
      <c r="J362" s="40" t="n">
        <v>3.09864730606258</v>
      </c>
      <c r="K362" s="39" t="n">
        <f aca="false">IF(G362="","",MAX(0,G362-J362/100))</f>
        <v>0.340573159966897</v>
      </c>
      <c r="L362" s="39" t="n">
        <f aca="false">IF(G362="","",MIN(1,G362+J362/100))</f>
        <v>0.402546106088149</v>
      </c>
      <c r="M362" s="21" t="n">
        <f aca="false">ROUND(Q362*S362,0)</f>
        <v>48</v>
      </c>
      <c r="N362" s="21" t="n">
        <f aca="false">ROUND(SQRT((F362*J362/100)^2+(G362*M362)^2),0)</f>
        <v>27</v>
      </c>
      <c r="P362" s="41" t="n">
        <v>-16.6116533576665</v>
      </c>
      <c r="Q362" s="42" t="n">
        <v>654.338311979515</v>
      </c>
      <c r="R362" s="43" t="n">
        <f aca="false">MAX(0,MIN(1,P362/100+$D$5))</f>
        <v>0.371709161087094</v>
      </c>
      <c r="S362" s="43" t="n">
        <v>0.0731122618343653</v>
      </c>
      <c r="T362" s="44" t="s">
        <v>90</v>
      </c>
    </row>
    <row r="363" customFormat="false" ht="15" hidden="false" customHeight="false" outlineLevel="0" collapsed="false">
      <c r="A363" s="38" t="s">
        <v>344</v>
      </c>
      <c r="B363" s="38" t="s">
        <v>503</v>
      </c>
      <c r="C363" s="38" t="s">
        <v>506</v>
      </c>
      <c r="D363" s="21" t="n">
        <f aca="false">ROUND(Q363*R363,0)</f>
        <v>190</v>
      </c>
      <c r="E363" s="21" t="n">
        <f aca="false">ROUND(Q363,0)-D363</f>
        <v>373</v>
      </c>
      <c r="F363" s="21" t="n">
        <f aca="false">IF(COUNTA(D363:E363)=0,"",SUM(D363:E363))</f>
        <v>563</v>
      </c>
      <c r="G363" s="39" t="n">
        <f aca="false">IF(OR(F363="",F363=0),"",D363/F363)</f>
        <v>0.337477797513321</v>
      </c>
      <c r="H363" s="39" t="n">
        <f aca="false">IF(OR(F363="",F363=0),"",E363/F363)</f>
        <v>0.662522202486679</v>
      </c>
      <c r="I363" s="38" t="s">
        <v>89</v>
      </c>
      <c r="J363" s="40" t="n">
        <v>3.09864730606258</v>
      </c>
      <c r="K363" s="39" t="n">
        <f aca="false">IF(G363="","",MAX(0,G363-J363/100))</f>
        <v>0.306491324452696</v>
      </c>
      <c r="L363" s="39" t="n">
        <f aca="false">IF(G363="","",MIN(1,G363+J363/100))</f>
        <v>0.368464270573947</v>
      </c>
      <c r="M363" s="21" t="n">
        <f aca="false">ROUND(Q363*S363,0)</f>
        <v>41</v>
      </c>
      <c r="N363" s="21" t="n">
        <f aca="false">ROUND(SQRT((F363*J363/100)^2+(G363*M363)^2),0)</f>
        <v>22</v>
      </c>
      <c r="P363" s="41" t="n">
        <v>-20.094114468637</v>
      </c>
      <c r="Q363" s="42" t="n">
        <v>563.230855800484</v>
      </c>
      <c r="R363" s="43" t="n">
        <f aca="false">MAX(0,MIN(1,P363/100+$D$5))</f>
        <v>0.336884549977389</v>
      </c>
      <c r="S363" s="43" t="n">
        <v>0.0731122618343653</v>
      </c>
      <c r="T363" s="44" t="s">
        <v>90</v>
      </c>
    </row>
    <row r="364" customFormat="false" ht="15" hidden="false" customHeight="false" outlineLevel="0" collapsed="false">
      <c r="A364" s="38" t="s">
        <v>344</v>
      </c>
      <c r="B364" s="38" t="s">
        <v>503</v>
      </c>
      <c r="C364" s="38" t="s">
        <v>507</v>
      </c>
      <c r="D364" s="21" t="n">
        <f aca="false">ROUND(Q364*R364,0)</f>
        <v>173</v>
      </c>
      <c r="E364" s="21" t="n">
        <f aca="false">ROUND(Q364,0)-D364</f>
        <v>343</v>
      </c>
      <c r="F364" s="21" t="n">
        <f aca="false">IF(COUNTA(D364:E364)=0,"",SUM(D364:E364))</f>
        <v>516</v>
      </c>
      <c r="G364" s="39" t="n">
        <f aca="false">IF(OR(F364="",F364=0),"",D364/F364)</f>
        <v>0.335271317829457</v>
      </c>
      <c r="H364" s="39" t="n">
        <f aca="false">IF(OR(F364="",F364=0),"",E364/F364)</f>
        <v>0.664728682170543</v>
      </c>
      <c r="I364" s="38" t="s">
        <v>89</v>
      </c>
      <c r="J364" s="40" t="n">
        <v>3.09864730606258</v>
      </c>
      <c r="K364" s="39" t="n">
        <f aca="false">IF(G364="","",MAX(0,G364-J364/100))</f>
        <v>0.304284844768832</v>
      </c>
      <c r="L364" s="39" t="n">
        <f aca="false">IF(G364="","",MIN(1,G364+J364/100))</f>
        <v>0.366257790890083</v>
      </c>
      <c r="M364" s="21" t="n">
        <f aca="false">ROUND(Q364*S364,0)</f>
        <v>38</v>
      </c>
      <c r="N364" s="21" t="n">
        <f aca="false">ROUND(SQRT((F364*J364/100)^2+(G364*M364)^2),0)</f>
        <v>20</v>
      </c>
      <c r="P364" s="41" t="n">
        <v>-20.2830726077331</v>
      </c>
      <c r="Q364" s="42" t="n">
        <v>516.374173084921</v>
      </c>
      <c r="R364" s="43" t="n">
        <f aca="false">MAX(0,MIN(1,P364/100+$D$5))</f>
        <v>0.334994968586429</v>
      </c>
      <c r="S364" s="43" t="n">
        <v>0.0731122618343653</v>
      </c>
      <c r="T364" s="44" t="s">
        <v>90</v>
      </c>
    </row>
    <row r="365" customFormat="false" ht="15" hidden="false" customHeight="false" outlineLevel="0" collapsed="false">
      <c r="A365" s="38" t="s">
        <v>344</v>
      </c>
      <c r="B365" s="38" t="s">
        <v>503</v>
      </c>
      <c r="C365" s="38" t="s">
        <v>508</v>
      </c>
      <c r="D365" s="21" t="n">
        <f aca="false">ROUND(Q365*R365,0)</f>
        <v>311</v>
      </c>
      <c r="E365" s="21" t="n">
        <f aca="false">ROUND(Q365,0)-D365</f>
        <v>467</v>
      </c>
      <c r="F365" s="21" t="n">
        <f aca="false">IF(COUNTA(D365:E365)=0,"",SUM(D365:E365))</f>
        <v>778</v>
      </c>
      <c r="G365" s="39" t="n">
        <f aca="false">IF(OR(F365="",F365=0),"",D365/F365)</f>
        <v>0.39974293059126</v>
      </c>
      <c r="H365" s="39" t="n">
        <f aca="false">IF(OR(F365="",F365=0),"",E365/F365)</f>
        <v>0.60025706940874</v>
      </c>
      <c r="I365" s="38" t="s">
        <v>89</v>
      </c>
      <c r="J365" s="40" t="n">
        <v>2.0110742867014</v>
      </c>
      <c r="K365" s="39" t="n">
        <f aca="false">IF(G365="","",MAX(0,G365-J365/100))</f>
        <v>0.379632187724246</v>
      </c>
      <c r="L365" s="39" t="n">
        <f aca="false">IF(G365="","",MIN(1,G365+J365/100))</f>
        <v>0.419853673458274</v>
      </c>
      <c r="M365" s="21" t="n">
        <f aca="false">ROUND(Q365*S365,0)</f>
        <v>47</v>
      </c>
      <c r="N365" s="21" t="n">
        <f aca="false">ROUND(SQRT((F365*J365/100)^2+(G365*M365)^2),0)</f>
        <v>24</v>
      </c>
      <c r="P365" s="41" t="n">
        <v>-13.8251374919099</v>
      </c>
      <c r="Q365" s="42" t="n">
        <v>778.311778845953</v>
      </c>
      <c r="R365" s="43" t="n">
        <f aca="false">MAX(0,MIN(1,P365/100+$D$5))</f>
        <v>0.39957431974466</v>
      </c>
      <c r="S365" s="43" t="n">
        <v>0.0608302283160348</v>
      </c>
      <c r="T365" s="44" t="s">
        <v>99</v>
      </c>
    </row>
    <row r="366" customFormat="false" ht="15" hidden="false" customHeight="false" outlineLevel="0" collapsed="false">
      <c r="A366" s="38" t="s">
        <v>344</v>
      </c>
      <c r="B366" s="38" t="s">
        <v>509</v>
      </c>
      <c r="C366" s="38" t="s">
        <v>510</v>
      </c>
      <c r="D366" s="21" t="n">
        <f aca="false">ROUND(Q366*R366,0)</f>
        <v>1027</v>
      </c>
      <c r="E366" s="21" t="n">
        <f aca="false">ROUND(Q366,0)-D366</f>
        <v>914</v>
      </c>
      <c r="F366" s="21" t="n">
        <f aca="false">IF(COUNTA(D366:E366)=0,"",SUM(D366:E366))</f>
        <v>1941</v>
      </c>
      <c r="G366" s="39" t="n">
        <f aca="false">IF(OR(F366="",F366=0),"",D366/F366)</f>
        <v>0.529108706852138</v>
      </c>
      <c r="H366" s="39" t="n">
        <f aca="false">IF(OR(F366="",F366=0),"",E366/F366)</f>
        <v>0.470891293147862</v>
      </c>
      <c r="I366" s="38" t="s">
        <v>89</v>
      </c>
      <c r="J366" s="40" t="n">
        <v>1.87006919874525</v>
      </c>
      <c r="K366" s="39" t="n">
        <f aca="false">IF(G366="","",MAX(0,G366-J366/100))</f>
        <v>0.510408014864686</v>
      </c>
      <c r="L366" s="39" t="n">
        <f aca="false">IF(G366="","",MIN(1,G366+J366/100))</f>
        <v>0.547809398839591</v>
      </c>
      <c r="M366" s="21" t="n">
        <f aca="false">ROUND(Q366*S366,0)</f>
        <v>268</v>
      </c>
      <c r="N366" s="21" t="n">
        <f aca="false">ROUND(SQRT((F366*J366/100)^2+(G366*M366)^2),0)</f>
        <v>146</v>
      </c>
      <c r="P366" s="41" t="n">
        <v>-0.886901636755961</v>
      </c>
      <c r="Q366" s="42" t="n">
        <v>1940.93046539155</v>
      </c>
      <c r="R366" s="43" t="n">
        <f aca="false">MAX(0,MIN(1,P366/100+$D$5))</f>
        <v>0.5289566782962</v>
      </c>
      <c r="S366" s="43" t="n">
        <v>0.138178110610255</v>
      </c>
      <c r="T366" s="44" t="s">
        <v>128</v>
      </c>
    </row>
    <row r="367" customFormat="false" ht="15" hidden="false" customHeight="false" outlineLevel="0" collapsed="false">
      <c r="A367" s="38" t="s">
        <v>344</v>
      </c>
      <c r="B367" s="38" t="s">
        <v>509</v>
      </c>
      <c r="C367" s="38" t="s">
        <v>511</v>
      </c>
      <c r="D367" s="21" t="n">
        <f aca="false">ROUND(Q367*R367,0)</f>
        <v>300</v>
      </c>
      <c r="E367" s="21" t="n">
        <f aca="false">ROUND(Q367,0)-D367</f>
        <v>271</v>
      </c>
      <c r="F367" s="21" t="n">
        <f aca="false">IF(COUNTA(D367:E367)=0,"",SUM(D367:E367))</f>
        <v>571</v>
      </c>
      <c r="G367" s="39" t="n">
        <f aca="false">IF(OR(F367="",F367=0),"",D367/F367)</f>
        <v>0.525394045534151</v>
      </c>
      <c r="H367" s="39" t="n">
        <f aca="false">IF(OR(F367="",F367=0),"",E367/F367)</f>
        <v>0.474605954465849</v>
      </c>
      <c r="I367" s="38" t="s">
        <v>191</v>
      </c>
      <c r="J367" s="40" t="n">
        <v>3.09864730606258</v>
      </c>
      <c r="K367" s="39" t="n">
        <f aca="false">IF(G367="","",MAX(0,G367-J367/100))</f>
        <v>0.494407572473525</v>
      </c>
      <c r="L367" s="39" t="n">
        <f aca="false">IF(G367="","",MIN(1,G367+J367/100))</f>
        <v>0.556380518594776</v>
      </c>
      <c r="M367" s="21" t="n">
        <f aca="false">ROUND(Q367*S367,0)</f>
        <v>42</v>
      </c>
      <c r="N367" s="21" t="n">
        <f aca="false">ROUND(SQRT((F367*J367/100)^2+(G367*M367)^2),0)</f>
        <v>28</v>
      </c>
      <c r="P367" s="41" t="n">
        <v>-1.28066371911557</v>
      </c>
      <c r="Q367" s="42" t="n">
        <v>571.399290289148</v>
      </c>
      <c r="R367" s="43" t="n">
        <f aca="false">MAX(0,MIN(1,P367/100+$D$5))</f>
        <v>0.525019057472604</v>
      </c>
      <c r="S367" s="43" t="n">
        <v>0.0731122618343653</v>
      </c>
      <c r="T367" s="44" t="s">
        <v>90</v>
      </c>
    </row>
    <row r="368" customFormat="false" ht="15" hidden="false" customHeight="false" outlineLevel="0" collapsed="false">
      <c r="A368" s="38" t="s">
        <v>344</v>
      </c>
      <c r="B368" s="38" t="s">
        <v>509</v>
      </c>
      <c r="C368" s="38" t="s">
        <v>512</v>
      </c>
      <c r="D368" s="21" t="n">
        <f aca="false">ROUND(Q368*R368,0)</f>
        <v>763</v>
      </c>
      <c r="E368" s="21" t="n">
        <f aca="false">ROUND(Q368,0)-D368</f>
        <v>677</v>
      </c>
      <c r="F368" s="21" t="n">
        <f aca="false">IF(COUNTA(D368:E368)=0,"",SUM(D368:E368))</f>
        <v>1440</v>
      </c>
      <c r="G368" s="39" t="n">
        <f aca="false">IF(OR(F368="",F368=0),"",D368/F368)</f>
        <v>0.529861111111111</v>
      </c>
      <c r="H368" s="39" t="n">
        <f aca="false">IF(OR(F368="",F368=0),"",E368/F368)</f>
        <v>0.470138888888889</v>
      </c>
      <c r="I368" s="38" t="s">
        <v>89</v>
      </c>
      <c r="J368" s="40" t="n">
        <v>1.87006919874525</v>
      </c>
      <c r="K368" s="39" t="n">
        <f aca="false">IF(G368="","",MAX(0,G368-J368/100))</f>
        <v>0.511160419123659</v>
      </c>
      <c r="L368" s="39" t="n">
        <f aca="false">IF(G368="","",MIN(1,G368+J368/100))</f>
        <v>0.548561803098564</v>
      </c>
      <c r="M368" s="21" t="n">
        <f aca="false">ROUND(Q368*S368,0)</f>
        <v>199</v>
      </c>
      <c r="N368" s="21" t="n">
        <f aca="false">ROUND(SQRT((F368*J368/100)^2+(G368*M368)^2),0)</f>
        <v>109</v>
      </c>
      <c r="P368" s="41" t="n">
        <v>-0.794345698942394</v>
      </c>
      <c r="Q368" s="42" t="n">
        <v>1439.5174075221</v>
      </c>
      <c r="R368" s="43" t="n">
        <f aca="false">MAX(0,MIN(1,P368/100+$D$5))</f>
        <v>0.529882237674336</v>
      </c>
      <c r="S368" s="43" t="n">
        <v>0.138178110610255</v>
      </c>
      <c r="T368" s="44" t="s">
        <v>128</v>
      </c>
    </row>
    <row r="369" customFormat="false" ht="15" hidden="false" customHeight="false" outlineLevel="0" collapsed="false">
      <c r="A369" s="38" t="s">
        <v>344</v>
      </c>
      <c r="B369" s="38" t="s">
        <v>509</v>
      </c>
      <c r="C369" s="38" t="s">
        <v>513</v>
      </c>
      <c r="D369" s="21" t="n">
        <f aca="false">ROUND(Q369*R369,0)</f>
        <v>225</v>
      </c>
      <c r="E369" s="21" t="n">
        <f aca="false">ROUND(Q369,0)-D369</f>
        <v>205</v>
      </c>
      <c r="F369" s="21" t="n">
        <f aca="false">IF(COUNTA(D369:E369)=0,"",SUM(D369:E369))</f>
        <v>430</v>
      </c>
      <c r="G369" s="39" t="n">
        <f aca="false">IF(OR(F369="",F369=0),"",D369/F369)</f>
        <v>0.523255813953488</v>
      </c>
      <c r="H369" s="39" t="n">
        <f aca="false">IF(OR(F369="",F369=0),"",E369/F369)</f>
        <v>0.476744186046512</v>
      </c>
      <c r="I369" s="38" t="s">
        <v>191</v>
      </c>
      <c r="J369" s="40" t="n">
        <v>3.09864730606258</v>
      </c>
      <c r="K369" s="39" t="n">
        <f aca="false">IF(G369="","",MAX(0,G369-J369/100))</f>
        <v>0.492269340892863</v>
      </c>
      <c r="L369" s="39" t="n">
        <f aca="false">IF(G369="","",MIN(1,G369+J369/100))</f>
        <v>0.554242287014114</v>
      </c>
      <c r="M369" s="21" t="n">
        <f aca="false">ROUND(Q369*S369,0)</f>
        <v>31</v>
      </c>
      <c r="N369" s="21" t="n">
        <f aca="false">ROUND(SQRT((F369*J369/100)^2+(G369*M369)^2),0)</f>
        <v>21</v>
      </c>
      <c r="P369" s="41" t="n">
        <v>-1.40859008274281</v>
      </c>
      <c r="Q369" s="42" t="n">
        <v>430.449924354023</v>
      </c>
      <c r="R369" s="43" t="n">
        <f aca="false">MAX(0,MIN(1,P369/100+$D$5))</f>
        <v>0.523739793836332</v>
      </c>
      <c r="S369" s="43" t="n">
        <v>0.0731122618343653</v>
      </c>
      <c r="T369" s="44" t="s">
        <v>90</v>
      </c>
    </row>
    <row r="370" customFormat="false" ht="15" hidden="false" customHeight="false" outlineLevel="0" collapsed="false">
      <c r="A370" s="38" t="s">
        <v>344</v>
      </c>
      <c r="B370" s="38" t="s">
        <v>514</v>
      </c>
      <c r="C370" s="38" t="s">
        <v>515</v>
      </c>
      <c r="D370" s="21" t="n">
        <f aca="false">ROUND(Q370*R370,0)</f>
        <v>370</v>
      </c>
      <c r="E370" s="21" t="n">
        <f aca="false">ROUND(Q370,0)-D370</f>
        <v>473</v>
      </c>
      <c r="F370" s="21" t="n">
        <f aca="false">IF(COUNTA(D370:E370)=0,"",SUM(D370:E370))</f>
        <v>843</v>
      </c>
      <c r="G370" s="39" t="n">
        <f aca="false">IF(OR(F370="",F370=0),"",D370/F370)</f>
        <v>0.438908659549229</v>
      </c>
      <c r="H370" s="39" t="n">
        <f aca="false">IF(OR(F370="",F370=0),"",E370/F370)</f>
        <v>0.561091340450771</v>
      </c>
      <c r="I370" s="38" t="s">
        <v>89</v>
      </c>
      <c r="J370" s="40" t="n">
        <v>2.0110742867014</v>
      </c>
      <c r="K370" s="39" t="n">
        <f aca="false">IF(G370="","",MAX(0,G370-J370/100))</f>
        <v>0.418797916682215</v>
      </c>
      <c r="L370" s="39" t="n">
        <f aca="false">IF(G370="","",MIN(1,G370+J370/100))</f>
        <v>0.459019402416243</v>
      </c>
      <c r="M370" s="21" t="n">
        <f aca="false">ROUND(Q370*S370,0)</f>
        <v>51</v>
      </c>
      <c r="N370" s="21" t="n">
        <f aca="false">ROUND(SQRT((F370*J370/100)^2+(G370*M370)^2),0)</f>
        <v>28</v>
      </c>
      <c r="P370" s="41" t="n">
        <v>-9.88611226872865</v>
      </c>
      <c r="Q370" s="42" t="n">
        <v>842.911927541423</v>
      </c>
      <c r="R370" s="43" t="n">
        <f aca="false">MAX(0,MIN(1,P370/100+$D$5))</f>
        <v>0.438964571976473</v>
      </c>
      <c r="S370" s="43" t="n">
        <v>0.0608302283160348</v>
      </c>
      <c r="T370" s="44" t="s">
        <v>99</v>
      </c>
    </row>
    <row r="371" customFormat="false" ht="15" hidden="false" customHeight="false" outlineLevel="0" collapsed="false">
      <c r="A371" s="38" t="s">
        <v>344</v>
      </c>
      <c r="B371" s="38" t="s">
        <v>319</v>
      </c>
      <c r="C371" s="38" t="s">
        <v>516</v>
      </c>
      <c r="D371" s="21" t="n">
        <f aca="false">ROUND(Q371*R371,0)</f>
        <v>738</v>
      </c>
      <c r="E371" s="21" t="n">
        <f aca="false">ROUND(Q371,0)-D371</f>
        <v>1191</v>
      </c>
      <c r="F371" s="21" t="n">
        <f aca="false">IF(COUNTA(D371:E371)=0,"",SUM(D371:E371))</f>
        <v>1929</v>
      </c>
      <c r="G371" s="39" t="n">
        <f aca="false">IF(OR(F371="",F371=0),"",D371/F371)</f>
        <v>0.382581648522551</v>
      </c>
      <c r="H371" s="39" t="n">
        <f aca="false">IF(OR(F371="",F371=0),"",E371/F371)</f>
        <v>0.61741835147745</v>
      </c>
      <c r="I371" s="38" t="s">
        <v>89</v>
      </c>
      <c r="J371" s="40" t="n">
        <v>1.87006919874525</v>
      </c>
      <c r="K371" s="39" t="n">
        <f aca="false">IF(G371="","",MAX(0,G371-J371/100))</f>
        <v>0.363880956535098</v>
      </c>
      <c r="L371" s="39" t="n">
        <f aca="false">IF(G371="","",MIN(1,G371+J371/100))</f>
        <v>0.401282340510003</v>
      </c>
      <c r="M371" s="21" t="n">
        <f aca="false">ROUND(Q371*S371,0)</f>
        <v>267</v>
      </c>
      <c r="N371" s="21" t="n">
        <f aca="false">ROUND(SQRT((F371*J371/100)^2+(G371*M371)^2),0)</f>
        <v>108</v>
      </c>
      <c r="P371" s="41" t="n">
        <v>-15.5218481466311</v>
      </c>
      <c r="Q371" s="42" t="n">
        <v>1928.77234014961</v>
      </c>
      <c r="R371" s="43" t="n">
        <f aca="false">MAX(0,MIN(1,P371/100+$D$5))</f>
        <v>0.382607213197449</v>
      </c>
      <c r="S371" s="43" t="n">
        <v>0.138178110610255</v>
      </c>
      <c r="T371" s="44" t="s">
        <v>128</v>
      </c>
    </row>
    <row r="372" customFormat="false" ht="15" hidden="false" customHeight="false" outlineLevel="0" collapsed="false">
      <c r="A372" s="38" t="s">
        <v>344</v>
      </c>
      <c r="B372" s="38" t="s">
        <v>319</v>
      </c>
      <c r="C372" s="38" t="s">
        <v>517</v>
      </c>
      <c r="D372" s="21" t="n">
        <f aca="false">ROUND(Q372*R372,0)</f>
        <v>537</v>
      </c>
      <c r="E372" s="21" t="n">
        <f aca="false">ROUND(Q372,0)-D372</f>
        <v>900</v>
      </c>
      <c r="F372" s="21" t="n">
        <f aca="false">IF(COUNTA(D372:E372)=0,"",SUM(D372:E372))</f>
        <v>1437</v>
      </c>
      <c r="G372" s="39" t="n">
        <f aca="false">IF(OR(F372="",F372=0),"",D372/F372)</f>
        <v>0.373695198329854</v>
      </c>
      <c r="H372" s="39" t="n">
        <f aca="false">IF(OR(F372="",F372=0),"",E372/F372)</f>
        <v>0.626304801670146</v>
      </c>
      <c r="I372" s="38" t="s">
        <v>518</v>
      </c>
      <c r="J372" s="40" t="n">
        <v>1.87006919874525</v>
      </c>
      <c r="K372" s="39" t="n">
        <f aca="false">IF(G372="","",MAX(0,G372-J372/100))</f>
        <v>0.354994506342401</v>
      </c>
      <c r="L372" s="39" t="n">
        <f aca="false">IF(G372="","",MIN(1,G372+J372/100))</f>
        <v>0.392395890317306</v>
      </c>
      <c r="M372" s="21" t="n">
        <f aca="false">ROUND(Q372*S372,0)</f>
        <v>199</v>
      </c>
      <c r="N372" s="21" t="n">
        <f aca="false">ROUND(SQRT((F372*J372/100)^2+(G372*M372)^2),0)</f>
        <v>79</v>
      </c>
      <c r="P372" s="41" t="n">
        <v>-16.4453235597454</v>
      </c>
      <c r="Q372" s="42" t="n">
        <v>1437.21911523705</v>
      </c>
      <c r="R372" s="43" t="n">
        <f aca="false">MAX(0,MIN(1,P372/100+$D$5))</f>
        <v>0.373372459066306</v>
      </c>
      <c r="S372" s="43" t="n">
        <v>0.138178110610255</v>
      </c>
      <c r="T372" s="44" t="s">
        <v>128</v>
      </c>
    </row>
    <row r="373" customFormat="false" ht="15" hidden="false" customHeight="false" outlineLevel="0" collapsed="false">
      <c r="A373" s="38" t="s">
        <v>344</v>
      </c>
      <c r="B373" s="38" t="s">
        <v>519</v>
      </c>
      <c r="C373" s="38" t="s">
        <v>519</v>
      </c>
      <c r="D373" s="21" t="n">
        <f aca="false">ROUND(Q373*R373,0)</f>
        <v>247</v>
      </c>
      <c r="E373" s="21" t="n">
        <f aca="false">ROUND(Q373,0)-D373</f>
        <v>217</v>
      </c>
      <c r="F373" s="21" t="n">
        <f aca="false">IF(COUNTA(D373:E373)=0,"",SUM(D373:E373))</f>
        <v>464</v>
      </c>
      <c r="G373" s="39" t="n">
        <f aca="false">IF(OR(F373="",F373=0),"",D373/F373)</f>
        <v>0.532327586206897</v>
      </c>
      <c r="H373" s="39" t="n">
        <f aca="false">IF(OR(F373="",F373=0),"",E373/F373)</f>
        <v>0.467672413793103</v>
      </c>
      <c r="I373" s="38" t="s">
        <v>89</v>
      </c>
      <c r="J373" s="40" t="n">
        <v>3.09864730606258</v>
      </c>
      <c r="K373" s="39" t="n">
        <f aca="false">IF(G373="","",MAX(0,G373-J373/100))</f>
        <v>0.501341113146271</v>
      </c>
      <c r="L373" s="39" t="n">
        <f aca="false">IF(G373="","",MIN(1,G373+J373/100))</f>
        <v>0.563314059267522</v>
      </c>
      <c r="M373" s="21" t="n">
        <f aca="false">ROUND(Q373*S373,0)</f>
        <v>34</v>
      </c>
      <c r="N373" s="21" t="n">
        <f aca="false">ROUND(SQRT((F373*J373/100)^2+(G373*M373)^2),0)</f>
        <v>23</v>
      </c>
      <c r="P373" s="41" t="n">
        <v>-0.460659372603536</v>
      </c>
      <c r="Q373" s="42" t="n">
        <v>463.690354219812</v>
      </c>
      <c r="R373" s="43" t="n">
        <f aca="false">MAX(0,MIN(1,P373/100+$D$5))</f>
        <v>0.533219100937724</v>
      </c>
      <c r="S373" s="43" t="n">
        <v>0.0731122618343653</v>
      </c>
      <c r="T373" s="44" t="s">
        <v>90</v>
      </c>
    </row>
    <row r="374" customFormat="false" ht="15" hidden="false" customHeight="false" outlineLevel="0" collapsed="false">
      <c r="A374" s="38" t="s">
        <v>344</v>
      </c>
      <c r="B374" s="38" t="s">
        <v>520</v>
      </c>
      <c r="C374" s="38" t="s">
        <v>521</v>
      </c>
      <c r="D374" s="21" t="n">
        <f aca="false">ROUND(Q374*R374,0)</f>
        <v>500</v>
      </c>
      <c r="E374" s="21" t="n">
        <f aca="false">ROUND(Q374,0)-D374</f>
        <v>557</v>
      </c>
      <c r="F374" s="21" t="n">
        <f aca="false">IF(COUNTA(D374:E374)=0,"",SUM(D374:E374))</f>
        <v>1057</v>
      </c>
      <c r="G374" s="39" t="n">
        <f aca="false">IF(OR(F374="",F374=0),"",D374/F374)</f>
        <v>0.473036896877956</v>
      </c>
      <c r="H374" s="39" t="n">
        <f aca="false">IF(OR(F374="",F374=0),"",E374/F374)</f>
        <v>0.526963103122044</v>
      </c>
      <c r="I374" s="38" t="s">
        <v>89</v>
      </c>
      <c r="J374" s="40" t="n">
        <v>2.0110742867014</v>
      </c>
      <c r="K374" s="39" t="n">
        <f aca="false">IF(G374="","",MAX(0,G374-J374/100))</f>
        <v>0.452926154010943</v>
      </c>
      <c r="L374" s="39" t="n">
        <f aca="false">IF(G374="","",MIN(1,G374+J374/100))</f>
        <v>0.49314763974497</v>
      </c>
      <c r="M374" s="21" t="n">
        <f aca="false">ROUND(Q374*S374,0)</f>
        <v>64</v>
      </c>
      <c r="N374" s="21" t="n">
        <f aca="false">ROUND(SQRT((F374*J374/100)^2+(G374*M374)^2),0)</f>
        <v>37</v>
      </c>
      <c r="P374" s="41" t="n">
        <v>-6.51884967158295</v>
      </c>
      <c r="Q374" s="42" t="n">
        <v>1056.9329604644</v>
      </c>
      <c r="R374" s="43" t="n">
        <f aca="false">MAX(0,MIN(1,P374/100+$D$5))</f>
        <v>0.47263719794793</v>
      </c>
      <c r="S374" s="43" t="n">
        <v>0.0608302283160348</v>
      </c>
      <c r="T374" s="44" t="s">
        <v>99</v>
      </c>
    </row>
    <row r="375" customFormat="false" ht="15" hidden="false" customHeight="false" outlineLevel="0" collapsed="false">
      <c r="A375" s="38" t="s">
        <v>344</v>
      </c>
      <c r="B375" s="38" t="s">
        <v>520</v>
      </c>
      <c r="C375" s="38" t="s">
        <v>522</v>
      </c>
      <c r="D375" s="21" t="n">
        <f aca="false">ROUND(Q375*R375,0)</f>
        <v>422</v>
      </c>
      <c r="E375" s="21" t="n">
        <f aca="false">ROUND(Q375,0)-D375</f>
        <v>557</v>
      </c>
      <c r="F375" s="21" t="n">
        <f aca="false">IF(COUNTA(D375:E375)=0,"",SUM(D375:E375))</f>
        <v>979</v>
      </c>
      <c r="G375" s="39" t="n">
        <f aca="false">IF(OR(F375="",F375=0),"",D375/F375)</f>
        <v>0.431052093973442</v>
      </c>
      <c r="H375" s="39" t="n">
        <f aca="false">IF(OR(F375="",F375=0),"",E375/F375)</f>
        <v>0.568947906026558</v>
      </c>
      <c r="I375" s="38" t="s">
        <v>89</v>
      </c>
      <c r="J375" s="40" t="n">
        <v>2.0110742867014</v>
      </c>
      <c r="K375" s="39" t="n">
        <f aca="false">IF(G375="","",MAX(0,G375-J375/100))</f>
        <v>0.410941351106428</v>
      </c>
      <c r="L375" s="39" t="n">
        <f aca="false">IF(G375="","",MIN(1,G375+J375/100))</f>
        <v>0.451162836840456</v>
      </c>
      <c r="M375" s="21" t="n">
        <f aca="false">ROUND(Q375*S375,0)</f>
        <v>60</v>
      </c>
      <c r="N375" s="21" t="n">
        <f aca="false">ROUND(SQRT((F375*J375/100)^2+(G375*M375)^2),0)</f>
        <v>33</v>
      </c>
      <c r="P375" s="41" t="n">
        <v>-10.6599163540443</v>
      </c>
      <c r="Q375" s="42" t="n">
        <v>978.667755575821</v>
      </c>
      <c r="R375" s="43" t="n">
        <f aca="false">MAX(0,MIN(1,P375/100+$D$5))</f>
        <v>0.431226531123317</v>
      </c>
      <c r="S375" s="43" t="n">
        <v>0.0608302283160348</v>
      </c>
      <c r="T375" s="44" t="s">
        <v>99</v>
      </c>
    </row>
    <row r="376" customFormat="false" ht="15" hidden="false" customHeight="false" outlineLevel="0" collapsed="false">
      <c r="A376" s="38" t="s">
        <v>344</v>
      </c>
      <c r="B376" s="38" t="s">
        <v>520</v>
      </c>
      <c r="C376" s="38" t="s">
        <v>523</v>
      </c>
      <c r="D376" s="21" t="n">
        <f aca="false">ROUND(Q376*R376,0)</f>
        <v>508</v>
      </c>
      <c r="E376" s="21" t="n">
        <f aca="false">ROUND(Q376,0)-D376</f>
        <v>458</v>
      </c>
      <c r="F376" s="21" t="n">
        <f aca="false">IF(COUNTA(D376:E376)=0,"",SUM(D376:E376))</f>
        <v>966</v>
      </c>
      <c r="G376" s="39" t="n">
        <f aca="false">IF(OR(F376="",F376=0),"",D376/F376)</f>
        <v>0.525879917184265</v>
      </c>
      <c r="H376" s="39" t="n">
        <f aca="false">IF(OR(F376="",F376=0),"",E376/F376)</f>
        <v>0.474120082815735</v>
      </c>
      <c r="I376" s="38" t="s">
        <v>89</v>
      </c>
      <c r="J376" s="40" t="n">
        <v>2.0110742867014</v>
      </c>
      <c r="K376" s="39" t="n">
        <f aca="false">IF(G376="","",MAX(0,G376-J376/100))</f>
        <v>0.505769174317251</v>
      </c>
      <c r="L376" s="39" t="n">
        <f aca="false">IF(G376="","",MIN(1,G376+J376/100))</f>
        <v>0.545990660051279</v>
      </c>
      <c r="M376" s="21" t="n">
        <f aca="false">ROUND(Q376*S376,0)</f>
        <v>59</v>
      </c>
      <c r="N376" s="21" t="n">
        <f aca="false">ROUND(SQRT((F376*J376/100)^2+(G376*M376)^2),0)</f>
        <v>37</v>
      </c>
      <c r="P376" s="41" t="n">
        <v>-1.16722069556522</v>
      </c>
      <c r="Q376" s="42" t="n">
        <v>966.083403653641</v>
      </c>
      <c r="R376" s="43" t="n">
        <f aca="false">MAX(0,MIN(1,P376/100+$D$5))</f>
        <v>0.526153487708108</v>
      </c>
      <c r="S376" s="43" t="n">
        <v>0.0608302283160348</v>
      </c>
      <c r="T376" s="44" t="s">
        <v>99</v>
      </c>
    </row>
    <row r="377" customFormat="false" ht="15" hidden="false" customHeight="false" outlineLevel="0" collapsed="false">
      <c r="A377" s="38" t="s">
        <v>344</v>
      </c>
      <c r="B377" s="38" t="s">
        <v>520</v>
      </c>
      <c r="C377" s="38" t="s">
        <v>524</v>
      </c>
      <c r="D377" s="21" t="n">
        <f aca="false">ROUND(Q377*R377,0)</f>
        <v>293</v>
      </c>
      <c r="E377" s="21" t="n">
        <f aca="false">ROUND(Q377,0)-D377</f>
        <v>336</v>
      </c>
      <c r="F377" s="21" t="n">
        <f aca="false">IF(COUNTA(D377:E377)=0,"",SUM(D377:E377))</f>
        <v>629</v>
      </c>
      <c r="G377" s="39" t="n">
        <f aca="false">IF(OR(F377="",F377=0),"",D377/F377)</f>
        <v>0.465818759936407</v>
      </c>
      <c r="H377" s="39" t="n">
        <f aca="false">IF(OR(F377="",F377=0),"",E377/F377)</f>
        <v>0.534181240063593</v>
      </c>
      <c r="I377" s="38" t="s">
        <v>89</v>
      </c>
      <c r="J377" s="40" t="n">
        <v>3.09864730606258</v>
      </c>
      <c r="K377" s="39" t="n">
        <f aca="false">IF(G377="","",MAX(0,G377-J377/100))</f>
        <v>0.434832286875781</v>
      </c>
      <c r="L377" s="39" t="n">
        <f aca="false">IF(G377="","",MIN(1,G377+J377/100))</f>
        <v>0.496805232997033</v>
      </c>
      <c r="M377" s="21" t="n">
        <f aca="false">ROUND(Q377*S377,0)</f>
        <v>46</v>
      </c>
      <c r="N377" s="21" t="n">
        <f aca="false">ROUND(SQRT((F377*J377/100)^2+(G377*M377)^2),0)</f>
        <v>29</v>
      </c>
      <c r="P377" s="41" t="n">
        <v>-7.20899073149821</v>
      </c>
      <c r="Q377" s="42" t="n">
        <v>628.852830901013</v>
      </c>
      <c r="R377" s="43" t="n">
        <f aca="false">MAX(0,MIN(1,P377/100+$D$5))</f>
        <v>0.465735787348778</v>
      </c>
      <c r="S377" s="43" t="n">
        <v>0.0731122618343653</v>
      </c>
      <c r="T377" s="44" t="s">
        <v>90</v>
      </c>
    </row>
    <row r="378" customFormat="false" ht="15" hidden="false" customHeight="false" outlineLevel="0" collapsed="false">
      <c r="A378" s="38" t="s">
        <v>344</v>
      </c>
      <c r="B378" s="38" t="s">
        <v>525</v>
      </c>
      <c r="C378" s="38" t="s">
        <v>526</v>
      </c>
      <c r="D378" s="21" t="n">
        <f aca="false">ROUND(Q378*R378,0)</f>
        <v>490</v>
      </c>
      <c r="E378" s="21" t="n">
        <f aca="false">ROUND(Q378,0)-D378</f>
        <v>293</v>
      </c>
      <c r="F378" s="21" t="n">
        <f aca="false">IF(COUNTA(D378:E378)=0,"",SUM(D378:E378))</f>
        <v>783</v>
      </c>
      <c r="G378" s="39" t="n">
        <f aca="false">IF(OR(F378="",F378=0),"",D378/F378)</f>
        <v>0.625798212005109</v>
      </c>
      <c r="H378" s="39" t="n">
        <f aca="false">IF(OR(F378="",F378=0),"",E378/F378)</f>
        <v>0.374201787994891</v>
      </c>
      <c r="I378" s="38" t="s">
        <v>89</v>
      </c>
      <c r="J378" s="40" t="n">
        <v>2.0110742867014</v>
      </c>
      <c r="K378" s="39" t="n">
        <f aca="false">IF(G378="","",MAX(0,G378-J378/100))</f>
        <v>0.605687469138095</v>
      </c>
      <c r="L378" s="39" t="n">
        <f aca="false">IF(G378="","",MIN(1,G378+J378/100))</f>
        <v>0.645908954872123</v>
      </c>
      <c r="M378" s="21" t="n">
        <f aca="false">ROUND(Q378*S378,0)</f>
        <v>48</v>
      </c>
      <c r="N378" s="21" t="n">
        <f aca="false">ROUND(SQRT((F378*J378/100)^2+(G378*M378)^2),0)</f>
        <v>34</v>
      </c>
      <c r="P378" s="41" t="n">
        <v>8.77368716869717</v>
      </c>
      <c r="Q378" s="42" t="n">
        <v>783.265931682659</v>
      </c>
      <c r="R378" s="43" t="n">
        <f aca="false">MAX(0,MIN(1,P378/100+$D$5))</f>
        <v>0.625562566350732</v>
      </c>
      <c r="S378" s="43" t="n">
        <v>0.0608302283160348</v>
      </c>
      <c r="T378" s="44" t="s">
        <v>99</v>
      </c>
    </row>
    <row r="379" customFormat="false" ht="15" hidden="false" customHeight="false" outlineLevel="0" collapsed="false">
      <c r="A379" s="38" t="s">
        <v>344</v>
      </c>
      <c r="B379" s="38" t="s">
        <v>525</v>
      </c>
      <c r="C379" s="38" t="s">
        <v>527</v>
      </c>
      <c r="D379" s="21" t="n">
        <f aca="false">ROUND(Q379*R379,0)</f>
        <v>393</v>
      </c>
      <c r="E379" s="21" t="n">
        <f aca="false">ROUND(Q379,0)-D379</f>
        <v>257</v>
      </c>
      <c r="F379" s="21" t="n">
        <f aca="false">IF(COUNTA(D379:E379)=0,"",SUM(D379:E379))</f>
        <v>650</v>
      </c>
      <c r="G379" s="39" t="n">
        <f aca="false">IF(OR(F379="",F379=0),"",D379/F379)</f>
        <v>0.604615384615385</v>
      </c>
      <c r="H379" s="39" t="n">
        <f aca="false">IF(OR(F379="",F379=0),"",E379/F379)</f>
        <v>0.395384615384615</v>
      </c>
      <c r="I379" s="38" t="s">
        <v>89</v>
      </c>
      <c r="J379" s="40" t="n">
        <v>3.09864730606258</v>
      </c>
      <c r="K379" s="39" t="n">
        <f aca="false">IF(G379="","",MAX(0,G379-J379/100))</f>
        <v>0.573628911554759</v>
      </c>
      <c r="L379" s="39" t="n">
        <f aca="false">IF(G379="","",MIN(1,G379+J379/100))</f>
        <v>0.63560185767601</v>
      </c>
      <c r="M379" s="21" t="n">
        <f aca="false">ROUND(Q379*S379,0)</f>
        <v>48</v>
      </c>
      <c r="N379" s="21" t="n">
        <f aca="false">ROUND(SQRT((F379*J379/100)^2+(G379*M379)^2),0)</f>
        <v>35</v>
      </c>
      <c r="P379" s="41" t="n">
        <v>6.67146965831986</v>
      </c>
      <c r="Q379" s="42" t="n">
        <v>650.48677848067</v>
      </c>
      <c r="R379" s="43" t="n">
        <f aca="false">MAX(0,MIN(1,P379/100+$D$5))</f>
        <v>0.604540391246958</v>
      </c>
      <c r="S379" s="43" t="n">
        <v>0.0731122618343653</v>
      </c>
      <c r="T379" s="44" t="s">
        <v>90</v>
      </c>
    </row>
    <row r="380" customFormat="false" ht="15" hidden="false" customHeight="false" outlineLevel="0" collapsed="false">
      <c r="A380" s="38" t="s">
        <v>344</v>
      </c>
      <c r="B380" s="38" t="s">
        <v>525</v>
      </c>
      <c r="C380" s="38" t="s">
        <v>528</v>
      </c>
      <c r="D380" s="21" t="n">
        <f aca="false">ROUND(Q380*R380,0)</f>
        <v>603</v>
      </c>
      <c r="E380" s="21" t="n">
        <f aca="false">ROUND(Q380,0)-D380</f>
        <v>422</v>
      </c>
      <c r="F380" s="21" t="n">
        <f aca="false">IF(COUNTA(D380:E380)=0,"",SUM(D380:E380))</f>
        <v>1025</v>
      </c>
      <c r="G380" s="39" t="n">
        <f aca="false">IF(OR(F380="",F380=0),"",D380/F380)</f>
        <v>0.588292682926829</v>
      </c>
      <c r="H380" s="39" t="n">
        <f aca="false">IF(OR(F380="",F380=0),"",E380/F380)</f>
        <v>0.411707317073171</v>
      </c>
      <c r="I380" s="38" t="s">
        <v>89</v>
      </c>
      <c r="J380" s="40" t="n">
        <v>2.0110742867014</v>
      </c>
      <c r="K380" s="39" t="n">
        <f aca="false">IF(G380="","",MAX(0,G380-J380/100))</f>
        <v>0.568181940059815</v>
      </c>
      <c r="L380" s="39" t="n">
        <f aca="false">IF(G380="","",MIN(1,G380+J380/100))</f>
        <v>0.608403425793843</v>
      </c>
      <c r="M380" s="21" t="n">
        <f aca="false">ROUND(Q380*S380,0)</f>
        <v>62</v>
      </c>
      <c r="N380" s="21" t="n">
        <f aca="false">ROUND(SQRT((F380*J380/100)^2+(G380*M380)^2),0)</f>
        <v>42</v>
      </c>
      <c r="P380" s="41" t="n">
        <v>5.07940893753921</v>
      </c>
      <c r="Q380" s="42" t="n">
        <v>1024.77289022179</v>
      </c>
      <c r="R380" s="43" t="n">
        <f aca="false">MAX(0,MIN(1,P380/100+$D$5))</f>
        <v>0.588619784039152</v>
      </c>
      <c r="S380" s="43" t="n">
        <v>0.0608302283160348</v>
      </c>
      <c r="T380" s="44" t="s">
        <v>99</v>
      </c>
    </row>
    <row r="381" customFormat="false" ht="15" hidden="false" customHeight="false" outlineLevel="0" collapsed="false">
      <c r="A381" s="38" t="s">
        <v>344</v>
      </c>
      <c r="B381" s="38" t="s">
        <v>529</v>
      </c>
      <c r="C381" s="38" t="s">
        <v>529</v>
      </c>
      <c r="D381" s="21" t="n">
        <f aca="false">ROUND(Q381*R381,0)</f>
        <v>572</v>
      </c>
      <c r="E381" s="21" t="n">
        <f aca="false">ROUND(Q381,0)-D381</f>
        <v>629</v>
      </c>
      <c r="F381" s="21" t="n">
        <f aca="false">IF(COUNTA(D381:E381)=0,"",SUM(D381:E381))</f>
        <v>1201</v>
      </c>
      <c r="G381" s="39" t="n">
        <f aca="false">IF(OR(F381="",F381=0),"",D381/F381)</f>
        <v>0.476269775187344</v>
      </c>
      <c r="H381" s="39" t="n">
        <f aca="false">IF(OR(F381="",F381=0),"",E381/F381)</f>
        <v>0.523730224812656</v>
      </c>
      <c r="I381" s="38" t="s">
        <v>89</v>
      </c>
      <c r="J381" s="40" t="n">
        <v>1.87006919874525</v>
      </c>
      <c r="K381" s="39" t="n">
        <f aca="false">IF(G381="","",MAX(0,G381-J381/100))</f>
        <v>0.457569083199891</v>
      </c>
      <c r="L381" s="39" t="n">
        <f aca="false">IF(G381="","",MIN(1,G381+J381/100))</f>
        <v>0.494970467174796</v>
      </c>
      <c r="M381" s="21" t="n">
        <f aca="false">ROUND(Q381*S381,0)</f>
        <v>166</v>
      </c>
      <c r="N381" s="21" t="n">
        <f aca="false">ROUND(SQRT((F381*J381/100)^2+(G381*M381)^2),0)</f>
        <v>82</v>
      </c>
      <c r="P381" s="41" t="n">
        <v>-6.12396844014468</v>
      </c>
      <c r="Q381" s="42" t="n">
        <v>1201.03170546872</v>
      </c>
      <c r="R381" s="43" t="n">
        <f aca="false">MAX(0,MIN(1,P381/100+$D$5))</f>
        <v>0.476586010262313</v>
      </c>
      <c r="S381" s="43" t="n">
        <v>0.138178110610255</v>
      </c>
      <c r="T381" s="44" t="s">
        <v>128</v>
      </c>
    </row>
  </sheetData>
  <mergeCells count="4">
    <mergeCell ref="A3:I3"/>
    <mergeCell ref="A6:N6"/>
    <mergeCell ref="A9:N9"/>
    <mergeCell ref="A10:N10"/>
  </mergeCells>
  <conditionalFormatting sqref="G12:G381">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7" min="7" style="0" width="13"/>
    <col collapsed="false" customWidth="true" hidden="false" outlineLevel="0" max="8" min="8" style="0" width="15"/>
    <col collapsed="false" customWidth="true" hidden="false" outlineLevel="0" max="9" min="9" style="0" width="52"/>
    <col collapsed="false" customWidth="true" hidden="false" outlineLevel="0" max="10" min="10" style="0" width="14"/>
    <col collapsed="false" customWidth="true" hidden="false" outlineLevel="0" max="12" min="11" style="0" width="12"/>
    <col collapsed="false" customWidth="true" hidden="false" outlineLevel="0" max="14" min="13" style="0" width="14"/>
    <col collapsed="false" customWidth="true" hidden="false" outlineLevel="0" max="15" min="15" style="0" width="3"/>
    <col collapsed="false" customWidth="true" hidden="false" outlineLevel="0" max="17" min="16" style="0" width="13"/>
    <col collapsed="false" customWidth="true" hidden="false" outlineLevel="0" max="18" min="18" style="0" width="14"/>
    <col collapsed="false" customWidth="true" hidden="false" outlineLevel="0" max="20" min="19" style="0" width="13"/>
  </cols>
  <sheetData>
    <row r="1" customFormat="false" ht="17.35" hidden="false" customHeight="false" outlineLevel="0" collapsed="false">
      <c r="A1" s="1" t="s">
        <v>532</v>
      </c>
    </row>
    <row r="2" customFormat="false" ht="15" hidden="false" customHeight="false" outlineLevel="0" collapsed="false">
      <c r="A2" s="2" t="s">
        <v>52</v>
      </c>
    </row>
    <row r="3" customFormat="false" ht="15" hidden="false" customHeight="false" outlineLevel="0" collapsed="false">
      <c r="A3" s="23" t="s">
        <v>53</v>
      </c>
      <c r="B3" s="23"/>
      <c r="C3" s="23"/>
      <c r="D3" s="23"/>
      <c r="E3" s="23"/>
      <c r="F3" s="23"/>
      <c r="G3" s="23"/>
      <c r="H3" s="23"/>
      <c r="I3" s="23"/>
    </row>
    <row r="4" customFormat="false" ht="15" hidden="false" customHeight="false" outlineLevel="0" collapsed="false">
      <c r="A4" s="2" t="s">
        <v>54</v>
      </c>
      <c r="B4" s="27" t="s">
        <v>533</v>
      </c>
      <c r="C4" s="2" t="s">
        <v>56</v>
      </c>
      <c r="D4" s="28" t="n">
        <v>46300</v>
      </c>
      <c r="E4" s="2" t="s">
        <v>57</v>
      </c>
      <c r="F4" s="27" t="s">
        <v>58</v>
      </c>
      <c r="G4" s="2" t="s">
        <v>59</v>
      </c>
      <c r="H4" s="27" t="s">
        <v>60</v>
      </c>
    </row>
    <row r="5" customFormat="false" ht="15" hidden="false" customHeight="false" outlineLevel="0" collapsed="false">
      <c r="A5" s="2" t="s">
        <v>61</v>
      </c>
      <c r="B5" s="29" t="n">
        <f aca="false">'Scenario &amp; Comparison'!$C$6</f>
        <v>0.528169484134382</v>
      </c>
      <c r="C5" s="2" t="s">
        <v>62</v>
      </c>
      <c r="D5" s="30" t="n">
        <f aca="false">B5-SUMPRODUCT(P12:P381,Q12:Q381)/SUM(Q12:Q381)/100</f>
        <v>0.526984698576622</v>
      </c>
      <c r="E5" s="2" t="s">
        <v>63</v>
      </c>
      <c r="F5" s="31" t="n">
        <v>2.2317002524889</v>
      </c>
    </row>
    <row r="6" customFormat="false" ht="15" hidden="false" customHeight="false" outlineLevel="0" collapsed="false">
      <c r="A6" s="4" t="s">
        <v>64</v>
      </c>
      <c r="B6" s="4"/>
      <c r="C6" s="4"/>
      <c r="D6" s="4"/>
      <c r="E6" s="4"/>
      <c r="F6" s="4"/>
      <c r="G6" s="4"/>
      <c r="H6" s="4"/>
      <c r="I6" s="4"/>
      <c r="J6" s="4"/>
      <c r="K6" s="4"/>
      <c r="L6" s="4"/>
      <c r="M6" s="4"/>
      <c r="N6" s="4"/>
    </row>
    <row r="7" customFormat="false" ht="31.5" hidden="false" customHeight="true" outlineLevel="0" collapsed="false">
      <c r="A7" s="7" t="s">
        <v>65</v>
      </c>
      <c r="B7" s="7" t="s">
        <v>66</v>
      </c>
      <c r="C7" s="7" t="s">
        <v>67</v>
      </c>
      <c r="D7" s="7" t="s">
        <v>18</v>
      </c>
      <c r="E7" s="7" t="s">
        <v>19</v>
      </c>
      <c r="F7" s="7" t="s">
        <v>20</v>
      </c>
      <c r="G7" s="7" t="s">
        <v>21</v>
      </c>
      <c r="H7" s="7" t="s">
        <v>68</v>
      </c>
      <c r="I7" s="7" t="s">
        <v>69</v>
      </c>
      <c r="J7" s="7" t="s">
        <v>70</v>
      </c>
      <c r="K7" s="7" t="s">
        <v>71</v>
      </c>
      <c r="L7" s="7" t="s">
        <v>72</v>
      </c>
      <c r="M7" s="7" t="s">
        <v>73</v>
      </c>
      <c r="N7" s="7" t="s">
        <v>74</v>
      </c>
    </row>
    <row r="8" customFormat="false" ht="15" hidden="false" customHeight="false" outlineLevel="0" collapsed="false">
      <c r="A8" s="11" t="s">
        <v>75</v>
      </c>
      <c r="B8" s="11" t="s">
        <v>76</v>
      </c>
      <c r="C8" s="11"/>
      <c r="D8" s="32" t="n">
        <f aca="false">SUM(D12:D381)</f>
        <v>170381</v>
      </c>
      <c r="E8" s="32" t="n">
        <f aca="false">SUM(E12:E381)</f>
        <v>152213</v>
      </c>
      <c r="F8" s="32" t="n">
        <f aca="false">D8+E8</f>
        <v>322594</v>
      </c>
      <c r="G8" s="33" t="n">
        <f aca="false">IF(F8=0,"",D8/F8)</f>
        <v>0.528159234207704</v>
      </c>
      <c r="H8" s="33" t="n">
        <f aca="false">IF(F8=0,"",E8/F8)</f>
        <v>0.471840765792296</v>
      </c>
      <c r="I8" s="11" t="s">
        <v>77</v>
      </c>
      <c r="J8" s="34" t="n">
        <v>2.2317002524889</v>
      </c>
      <c r="K8" s="33" t="n">
        <f aca="false">G8-J8/100</f>
        <v>0.505842231682815</v>
      </c>
      <c r="L8" s="33" t="n">
        <f aca="false">G8+J8/100</f>
        <v>0.550476236732593</v>
      </c>
      <c r="M8" s="32" t="n">
        <f aca="false">ROUND(F8*0.0238,0)</f>
        <v>7678</v>
      </c>
      <c r="N8" s="32" t="n">
        <f aca="false">ROUND(SQRT((F8*J8/100)^2+(G8*M8)^2),0)</f>
        <v>8263</v>
      </c>
    </row>
    <row r="9" customFormat="false" ht="15" hidden="false" customHeight="false" outlineLevel="0" collapsed="false">
      <c r="A9" s="23" t="s">
        <v>78</v>
      </c>
      <c r="B9" s="23"/>
      <c r="C9" s="23"/>
      <c r="D9" s="23"/>
      <c r="E9" s="23"/>
      <c r="F9" s="23"/>
      <c r="G9" s="23"/>
      <c r="H9" s="23"/>
      <c r="I9" s="23"/>
      <c r="J9" s="23"/>
      <c r="K9" s="23"/>
      <c r="L9" s="23"/>
      <c r="M9" s="23"/>
      <c r="N9" s="23"/>
    </row>
    <row r="10" customFormat="false" ht="15" hidden="false" customHeight="false" outlineLevel="0" collapsed="false">
      <c r="A10" s="4" t="s">
        <v>79</v>
      </c>
      <c r="B10" s="4"/>
      <c r="C10" s="4"/>
      <c r="D10" s="4"/>
      <c r="E10" s="4"/>
      <c r="F10" s="4"/>
      <c r="G10" s="4"/>
      <c r="H10" s="4"/>
      <c r="I10" s="4"/>
      <c r="J10" s="4"/>
      <c r="K10" s="4"/>
      <c r="L10" s="4"/>
      <c r="M10" s="4"/>
      <c r="N10" s="4"/>
      <c r="P10" s="35" t="s">
        <v>80</v>
      </c>
      <c r="Q10" s="36"/>
      <c r="R10" s="36"/>
      <c r="S10" s="36"/>
      <c r="T10" s="36"/>
    </row>
    <row r="11" customFormat="false" ht="31.5" hidden="false" customHeight="true" outlineLevel="0" collapsed="false">
      <c r="A11" s="7" t="s">
        <v>42</v>
      </c>
      <c r="B11" s="7" t="s">
        <v>43</v>
      </c>
      <c r="C11" s="7" t="s">
        <v>44</v>
      </c>
      <c r="D11" s="7" t="s">
        <v>18</v>
      </c>
      <c r="E11" s="7" t="s">
        <v>19</v>
      </c>
      <c r="F11" s="7" t="s">
        <v>20</v>
      </c>
      <c r="G11" s="7" t="s">
        <v>21</v>
      </c>
      <c r="H11" s="7" t="s">
        <v>68</v>
      </c>
      <c r="I11" s="7" t="s">
        <v>81</v>
      </c>
      <c r="J11" s="7" t="s">
        <v>70</v>
      </c>
      <c r="K11" s="7" t="s">
        <v>71</v>
      </c>
      <c r="L11" s="7" t="s">
        <v>72</v>
      </c>
      <c r="M11" s="7" t="s">
        <v>73</v>
      </c>
      <c r="N11" s="7" t="s">
        <v>74</v>
      </c>
      <c r="P11" s="37" t="s">
        <v>82</v>
      </c>
      <c r="Q11" s="37" t="s">
        <v>83</v>
      </c>
      <c r="R11" s="37" t="s">
        <v>84</v>
      </c>
      <c r="S11" s="37" t="s">
        <v>85</v>
      </c>
      <c r="T11" s="37" t="s">
        <v>86</v>
      </c>
    </row>
    <row r="12" customFormat="false" ht="15" hidden="false" customHeight="false" outlineLevel="0" collapsed="false">
      <c r="A12" s="38" t="s">
        <v>87</v>
      </c>
      <c r="B12" s="38" t="s">
        <v>88</v>
      </c>
      <c r="C12" s="38" t="s">
        <v>88</v>
      </c>
      <c r="D12" s="21" t="n">
        <f aca="false">ROUND(Q12*R12,0)</f>
        <v>177</v>
      </c>
      <c r="E12" s="21" t="n">
        <f aca="false">ROUND(Q12,0)-D12</f>
        <v>227</v>
      </c>
      <c r="F12" s="21" t="n">
        <f aca="false">IF(COUNTA(D12:E12)=0,"",SUM(D12:E12))</f>
        <v>404</v>
      </c>
      <c r="G12" s="39" t="n">
        <f aca="false">IF(OR(F12="",F12=0),"",D12/F12)</f>
        <v>0.438118811881188</v>
      </c>
      <c r="H12" s="39" t="n">
        <f aca="false">IF(OR(F12="",F12=0),"",E12/F12)</f>
        <v>0.561881188118812</v>
      </c>
      <c r="I12" s="38" t="s">
        <v>89</v>
      </c>
      <c r="J12" s="40" t="n">
        <v>3.7041269898902</v>
      </c>
      <c r="K12" s="39" t="n">
        <f aca="false">IF(G12="","",MAX(0,G12-J12/100))</f>
        <v>0.401077541982286</v>
      </c>
      <c r="L12" s="39" t="n">
        <f aca="false">IF(G12="","",MIN(1,G12+J12/100))</f>
        <v>0.47516008178009</v>
      </c>
      <c r="M12" s="21" t="n">
        <f aca="false">ROUND(Q12*S12,0)</f>
        <v>31</v>
      </c>
      <c r="N12" s="21" t="n">
        <f aca="false">ROUND(SQRT((F12*J12/100)^2+(G12*M12)^2),0)</f>
        <v>20</v>
      </c>
      <c r="P12" s="41" t="n">
        <v>-8.80152705169945</v>
      </c>
      <c r="Q12" s="42" t="n">
        <v>404.073406742864</v>
      </c>
      <c r="R12" s="43" t="n">
        <f aca="false">MAX(0,MIN(1,P12/100+$D$5))</f>
        <v>0.438969428059627</v>
      </c>
      <c r="S12" s="43" t="n">
        <v>0.0779420971553049</v>
      </c>
      <c r="T12" s="44" t="s">
        <v>90</v>
      </c>
    </row>
    <row r="13" customFormat="false" ht="15" hidden="false" customHeight="false" outlineLevel="0" collapsed="false">
      <c r="A13" s="38" t="s">
        <v>87</v>
      </c>
      <c r="B13" s="38" t="s">
        <v>91</v>
      </c>
      <c r="C13" s="38" t="s">
        <v>91</v>
      </c>
      <c r="D13" s="21" t="n">
        <f aca="false">ROUND(Q13*R13,0)</f>
        <v>110</v>
      </c>
      <c r="E13" s="21" t="n">
        <f aca="false">ROUND(Q13,0)-D13</f>
        <v>239</v>
      </c>
      <c r="F13" s="21" t="n">
        <f aca="false">IF(COUNTA(D13:E13)=0,"",SUM(D13:E13))</f>
        <v>349</v>
      </c>
      <c r="G13" s="39" t="n">
        <f aca="false">IF(OR(F13="",F13=0),"",D13/F13)</f>
        <v>0.315186246418338</v>
      </c>
      <c r="H13" s="39" t="n">
        <f aca="false">IF(OR(F13="",F13=0),"",E13/F13)</f>
        <v>0.684813753581662</v>
      </c>
      <c r="I13" s="38" t="s">
        <v>89</v>
      </c>
      <c r="J13" s="40" t="n">
        <v>3.7041269898902</v>
      </c>
      <c r="K13" s="39" t="n">
        <f aca="false">IF(G13="","",MAX(0,G13-J13/100))</f>
        <v>0.278144976519436</v>
      </c>
      <c r="L13" s="39" t="n">
        <f aca="false">IF(G13="","",MIN(1,G13+J13/100))</f>
        <v>0.35222751631724</v>
      </c>
      <c r="M13" s="21" t="n">
        <f aca="false">ROUND(Q13*S13,0)</f>
        <v>27</v>
      </c>
      <c r="N13" s="21" t="n">
        <f aca="false">ROUND(SQRT((F13*J13/100)^2+(G13*M13)^2),0)</f>
        <v>15</v>
      </c>
      <c r="P13" s="41" t="n">
        <v>-21.0599191008202</v>
      </c>
      <c r="Q13" s="42" t="n">
        <v>349.023874957629</v>
      </c>
      <c r="R13" s="43" t="n">
        <f aca="false">MAX(0,MIN(1,P13/100+$D$5))</f>
        <v>0.31638550756842</v>
      </c>
      <c r="S13" s="43" t="n">
        <v>0.0779420971553049</v>
      </c>
      <c r="T13" s="44" t="s">
        <v>90</v>
      </c>
    </row>
    <row r="14" customFormat="false" ht="15" hidden="false" customHeight="false" outlineLevel="0" collapsed="false">
      <c r="A14" s="38" t="s">
        <v>87</v>
      </c>
      <c r="B14" s="38" t="s">
        <v>92</v>
      </c>
      <c r="C14" s="38" t="s">
        <v>92</v>
      </c>
      <c r="D14" s="21" t="n">
        <f aca="false">ROUND(Q14*R14,0)</f>
        <v>133</v>
      </c>
      <c r="E14" s="21" t="n">
        <f aca="false">ROUND(Q14,0)-D14</f>
        <v>242</v>
      </c>
      <c r="F14" s="21" t="n">
        <f aca="false">IF(COUNTA(D14:E14)=0,"",SUM(D14:E14))</f>
        <v>375</v>
      </c>
      <c r="G14" s="39" t="n">
        <f aca="false">IF(OR(F14="",F14=0),"",D14/F14)</f>
        <v>0.354666666666667</v>
      </c>
      <c r="H14" s="39" t="n">
        <f aca="false">IF(OR(F14="",F14=0),"",E14/F14)</f>
        <v>0.645333333333333</v>
      </c>
      <c r="I14" s="38" t="s">
        <v>89</v>
      </c>
      <c r="J14" s="40" t="n">
        <v>3.7041269898902</v>
      </c>
      <c r="K14" s="39" t="n">
        <f aca="false">IF(G14="","",MAX(0,G14-J14/100))</f>
        <v>0.317625396767765</v>
      </c>
      <c r="L14" s="39" t="n">
        <f aca="false">IF(G14="","",MIN(1,G14+J14/100))</f>
        <v>0.391707936565569</v>
      </c>
      <c r="M14" s="21" t="n">
        <f aca="false">ROUND(Q14*S14,0)</f>
        <v>29</v>
      </c>
      <c r="N14" s="21" t="n">
        <f aca="false">ROUND(SQRT((F14*J14/100)^2+(G14*M14)^2),0)</f>
        <v>17</v>
      </c>
      <c r="P14" s="41" t="n">
        <v>-17.2165092559815</v>
      </c>
      <c r="Q14" s="42" t="n">
        <v>374.600784435127</v>
      </c>
      <c r="R14" s="43" t="n">
        <f aca="false">MAX(0,MIN(1,P14/100+$D$5))</f>
        <v>0.354819606016806</v>
      </c>
      <c r="S14" s="43" t="n">
        <v>0.0779420971553049</v>
      </c>
      <c r="T14" s="44" t="s">
        <v>90</v>
      </c>
    </row>
    <row r="15" customFormat="false" ht="15" hidden="false" customHeight="false" outlineLevel="0" collapsed="false">
      <c r="A15" s="38" t="s">
        <v>87</v>
      </c>
      <c r="B15" s="38" t="s">
        <v>93</v>
      </c>
      <c r="C15" s="38" t="s">
        <v>94</v>
      </c>
      <c r="D15" s="21" t="n">
        <f aca="false">ROUND(Q15*R15,0)</f>
        <v>218</v>
      </c>
      <c r="E15" s="21" t="n">
        <f aca="false">ROUND(Q15,0)-D15</f>
        <v>552</v>
      </c>
      <c r="F15" s="21" t="n">
        <f aca="false">IF(COUNTA(D15:E15)=0,"",SUM(D15:E15))</f>
        <v>770</v>
      </c>
      <c r="G15" s="39" t="n">
        <f aca="false">IF(OR(F15="",F15=0),"",D15/F15)</f>
        <v>0.283116883116883</v>
      </c>
      <c r="H15" s="39" t="n">
        <f aca="false">IF(OR(F15="",F15=0),"",E15/F15)</f>
        <v>0.716883116883117</v>
      </c>
      <c r="I15" s="38" t="s">
        <v>89</v>
      </c>
      <c r="J15" s="40" t="n">
        <v>3.7041269898902</v>
      </c>
      <c r="K15" s="39" t="n">
        <f aca="false">IF(G15="","",MAX(0,G15-J15/100))</f>
        <v>0.246075613217981</v>
      </c>
      <c r="L15" s="39" t="n">
        <f aca="false">IF(G15="","",MIN(1,G15+J15/100))</f>
        <v>0.320158153015785</v>
      </c>
      <c r="M15" s="21" t="n">
        <f aca="false">ROUND(Q15*S15,0)</f>
        <v>60</v>
      </c>
      <c r="N15" s="21" t="n">
        <f aca="false">ROUND(SQRT((F15*J15/100)^2+(G15*M15)^2),0)</f>
        <v>33</v>
      </c>
      <c r="P15" s="41" t="n">
        <v>-24.3697989929166</v>
      </c>
      <c r="Q15" s="42" t="n">
        <v>770.449422924631</v>
      </c>
      <c r="R15" s="43" t="n">
        <f aca="false">MAX(0,MIN(1,P15/100+$D$5))</f>
        <v>0.283286708647455</v>
      </c>
      <c r="S15" s="43" t="n">
        <v>0.0779420971553049</v>
      </c>
      <c r="T15" s="44" t="s">
        <v>90</v>
      </c>
    </row>
    <row r="16" customFormat="false" ht="15" hidden="false" customHeight="false" outlineLevel="0" collapsed="false">
      <c r="A16" s="38" t="s">
        <v>87</v>
      </c>
      <c r="B16" s="38" t="s">
        <v>93</v>
      </c>
      <c r="C16" s="38" t="s">
        <v>95</v>
      </c>
      <c r="D16" s="21" t="n">
        <f aca="false">ROUND(Q16*R16,0)</f>
        <v>207</v>
      </c>
      <c r="E16" s="21" t="n">
        <f aca="false">ROUND(Q16,0)-D16</f>
        <v>453</v>
      </c>
      <c r="F16" s="21" t="n">
        <f aca="false">IF(COUNTA(D16:E16)=0,"",SUM(D16:E16))</f>
        <v>660</v>
      </c>
      <c r="G16" s="39" t="n">
        <f aca="false">IF(OR(F16="",F16=0),"",D16/F16)</f>
        <v>0.313636363636364</v>
      </c>
      <c r="H16" s="39" t="n">
        <f aca="false">IF(OR(F16="",F16=0),"",E16/F16)</f>
        <v>0.686363636363636</v>
      </c>
      <c r="I16" s="38" t="s">
        <v>89</v>
      </c>
      <c r="J16" s="40" t="n">
        <v>3.7041269898902</v>
      </c>
      <c r="K16" s="39" t="n">
        <f aca="false">IF(G16="","",MAX(0,G16-J16/100))</f>
        <v>0.276595093737462</v>
      </c>
      <c r="L16" s="39" t="n">
        <f aca="false">IF(G16="","",MIN(1,G16+J16/100))</f>
        <v>0.350677633535266</v>
      </c>
      <c r="M16" s="21" t="n">
        <f aca="false">ROUND(Q16*S16,0)</f>
        <v>51</v>
      </c>
      <c r="N16" s="21" t="n">
        <f aca="false">ROUND(SQRT((F16*J16/100)^2+(G16*M16)^2),0)</f>
        <v>29</v>
      </c>
      <c r="P16" s="41" t="n">
        <v>-21.3611169820684</v>
      </c>
      <c r="Q16" s="42" t="n">
        <v>659.978020276096</v>
      </c>
      <c r="R16" s="43" t="n">
        <f aca="false">MAX(0,MIN(1,P16/100+$D$5))</f>
        <v>0.313373528755938</v>
      </c>
      <c r="S16" s="43" t="n">
        <v>0.0779420971553049</v>
      </c>
      <c r="T16" s="44" t="s">
        <v>90</v>
      </c>
    </row>
    <row r="17" customFormat="false" ht="15" hidden="false" customHeight="false" outlineLevel="0" collapsed="false">
      <c r="A17" s="38" t="s">
        <v>87</v>
      </c>
      <c r="B17" s="38" t="s">
        <v>96</v>
      </c>
      <c r="C17" s="38" t="s">
        <v>96</v>
      </c>
      <c r="D17" s="21" t="n">
        <f aca="false">ROUND(Q17*R17,0)</f>
        <v>38</v>
      </c>
      <c r="E17" s="21" t="n">
        <f aca="false">ROUND(Q17,0)-D17</f>
        <v>62</v>
      </c>
      <c r="F17" s="21" t="n">
        <f aca="false">IF(COUNTA(D17:E17)=0,"",SUM(D17:E17))</f>
        <v>100</v>
      </c>
      <c r="G17" s="39" t="n">
        <f aca="false">IF(OR(F17="",F17=0),"",D17/F17)</f>
        <v>0.38</v>
      </c>
      <c r="H17" s="39" t="n">
        <f aca="false">IF(OR(F17="",F17=0),"",E17/F17)</f>
        <v>0.62</v>
      </c>
      <c r="I17" s="38" t="s">
        <v>89</v>
      </c>
      <c r="J17" s="40" t="n">
        <v>3.7041269898902</v>
      </c>
      <c r="K17" s="39" t="n">
        <f aca="false">IF(G17="","",MAX(0,G17-J17/100))</f>
        <v>0.342958730101098</v>
      </c>
      <c r="L17" s="39" t="n">
        <f aca="false">IF(G17="","",MIN(1,G17+J17/100))</f>
        <v>0.417041269898902</v>
      </c>
      <c r="M17" s="21" t="n">
        <f aca="false">ROUND(Q17*S17,0)</f>
        <v>8</v>
      </c>
      <c r="N17" s="21" t="n">
        <f aca="false">ROUND(SQRT((F17*J17/100)^2+(G17*M17)^2),0)</f>
        <v>5</v>
      </c>
      <c r="P17" s="41" t="n">
        <v>-15.0197640998559</v>
      </c>
      <c r="Q17" s="42" t="n">
        <v>99.5789155745772</v>
      </c>
      <c r="R17" s="43" t="n">
        <f aca="false">MAX(0,MIN(1,P17/100+$D$5))</f>
        <v>0.376787057578063</v>
      </c>
      <c r="S17" s="43" t="n">
        <v>0.0779420971553049</v>
      </c>
      <c r="T17" s="44" t="s">
        <v>90</v>
      </c>
    </row>
    <row r="18" customFormat="false" ht="15" hidden="false" customHeight="false" outlineLevel="0" collapsed="false">
      <c r="A18" s="38" t="s">
        <v>87</v>
      </c>
      <c r="B18" s="38" t="s">
        <v>97</v>
      </c>
      <c r="C18" s="38" t="s">
        <v>98</v>
      </c>
      <c r="D18" s="21" t="n">
        <f aca="false">ROUND(Q18*R18,0)</f>
        <v>286</v>
      </c>
      <c r="E18" s="21" t="n">
        <f aca="false">ROUND(Q18,0)-D18</f>
        <v>619</v>
      </c>
      <c r="F18" s="21" t="n">
        <f aca="false">IF(COUNTA(D18:E18)=0,"",SUM(D18:E18))</f>
        <v>905</v>
      </c>
      <c r="G18" s="39" t="n">
        <f aca="false">IF(OR(F18="",F18=0),"",D18/F18)</f>
        <v>0.316022099447514</v>
      </c>
      <c r="H18" s="39" t="n">
        <f aca="false">IF(OR(F18="",F18=0),"",E18/F18)</f>
        <v>0.683977900552486</v>
      </c>
      <c r="I18" s="38" t="s">
        <v>89</v>
      </c>
      <c r="J18" s="40" t="n">
        <v>2.12060277043418</v>
      </c>
      <c r="K18" s="39" t="n">
        <f aca="false">IF(G18="","",MAX(0,G18-J18/100))</f>
        <v>0.294816071743172</v>
      </c>
      <c r="L18" s="39" t="n">
        <f aca="false">IF(G18="","",MIN(1,G18+J18/100))</f>
        <v>0.337228127151856</v>
      </c>
      <c r="M18" s="21" t="n">
        <f aca="false">ROUND(Q18*S18,0)</f>
        <v>57</v>
      </c>
      <c r="N18" s="21" t="n">
        <f aca="false">ROUND(SQRT((F18*J18/100)^2+(G18*M18)^2),0)</f>
        <v>26</v>
      </c>
      <c r="P18" s="41" t="n">
        <v>-21.1434102692817</v>
      </c>
      <c r="Q18" s="42" t="n">
        <v>904.986204528281</v>
      </c>
      <c r="R18" s="43" t="n">
        <f aca="false">MAX(0,MIN(1,P18/100+$D$5))</f>
        <v>0.315550595883805</v>
      </c>
      <c r="S18" s="43" t="n">
        <v>0.0633793435818552</v>
      </c>
      <c r="T18" s="44" t="s">
        <v>99</v>
      </c>
    </row>
    <row r="19" customFormat="false" ht="15" hidden="false" customHeight="false" outlineLevel="0" collapsed="false">
      <c r="A19" s="38" t="s">
        <v>87</v>
      </c>
      <c r="B19" s="38" t="s">
        <v>97</v>
      </c>
      <c r="C19" s="38" t="s">
        <v>100</v>
      </c>
      <c r="D19" s="21" t="n">
        <f aca="false">ROUND(Q19*R19,0)</f>
        <v>148</v>
      </c>
      <c r="E19" s="21" t="n">
        <f aca="false">ROUND(Q19,0)-D19</f>
        <v>336</v>
      </c>
      <c r="F19" s="21" t="n">
        <f aca="false">IF(COUNTA(D19:E19)=0,"",SUM(D19:E19))</f>
        <v>484</v>
      </c>
      <c r="G19" s="39" t="n">
        <f aca="false">IF(OR(F19="",F19=0),"",D19/F19)</f>
        <v>0.305785123966942</v>
      </c>
      <c r="H19" s="39" t="n">
        <f aca="false">IF(OR(F19="",F19=0),"",E19/F19)</f>
        <v>0.694214876033058</v>
      </c>
      <c r="I19" s="38" t="s">
        <v>89</v>
      </c>
      <c r="J19" s="40" t="n">
        <v>3.7041269898902</v>
      </c>
      <c r="K19" s="39" t="n">
        <f aca="false">IF(G19="","",MAX(0,G19-J19/100))</f>
        <v>0.26874385406804</v>
      </c>
      <c r="L19" s="39" t="n">
        <f aca="false">IF(G19="","",MIN(1,G19+J19/100))</f>
        <v>0.342826393865844</v>
      </c>
      <c r="M19" s="21" t="n">
        <f aca="false">ROUND(Q19*S19,0)</f>
        <v>38</v>
      </c>
      <c r="N19" s="21" t="n">
        <f aca="false">ROUND(SQRT((F19*J19/100)^2+(G19*M19)^2),0)</f>
        <v>21</v>
      </c>
      <c r="P19" s="41" t="n">
        <v>-22.222719656151</v>
      </c>
      <c r="Q19" s="42" t="n">
        <v>484.035202128411</v>
      </c>
      <c r="R19" s="43" t="n">
        <f aca="false">MAX(0,MIN(1,P19/100+$D$5))</f>
        <v>0.304757502015112</v>
      </c>
      <c r="S19" s="43" t="n">
        <v>0.0779420971553049</v>
      </c>
      <c r="T19" s="44" t="s">
        <v>90</v>
      </c>
    </row>
    <row r="20" customFormat="false" ht="15" hidden="false" customHeight="false" outlineLevel="0" collapsed="false">
      <c r="A20" s="38" t="s">
        <v>87</v>
      </c>
      <c r="B20" s="38" t="s">
        <v>97</v>
      </c>
      <c r="C20" s="38" t="s">
        <v>101</v>
      </c>
      <c r="D20" s="21" t="n">
        <f aca="false">ROUND(Q20*R20,0)</f>
        <v>219</v>
      </c>
      <c r="E20" s="21" t="n">
        <f aca="false">ROUND(Q20,0)-D20</f>
        <v>502</v>
      </c>
      <c r="F20" s="21" t="n">
        <f aca="false">IF(COUNTA(D20:E20)=0,"",SUM(D20:E20))</f>
        <v>721</v>
      </c>
      <c r="G20" s="39" t="n">
        <f aca="false">IF(OR(F20="",F20=0),"",D20/F20)</f>
        <v>0.30374479889043</v>
      </c>
      <c r="H20" s="39" t="n">
        <f aca="false">IF(OR(F20="",F20=0),"",E20/F20)</f>
        <v>0.69625520110957</v>
      </c>
      <c r="I20" s="38" t="s">
        <v>89</v>
      </c>
      <c r="J20" s="40" t="n">
        <v>3.7041269898902</v>
      </c>
      <c r="K20" s="39" t="n">
        <f aca="false">IF(G20="","",MAX(0,G20-J20/100))</f>
        <v>0.266703528991528</v>
      </c>
      <c r="L20" s="39" t="n">
        <f aca="false">IF(G20="","",MIN(1,G20+J20/100))</f>
        <v>0.340786068789332</v>
      </c>
      <c r="M20" s="21" t="n">
        <f aca="false">ROUND(Q20*S20,0)</f>
        <v>56</v>
      </c>
      <c r="N20" s="21" t="n">
        <f aca="false">ROUND(SQRT((F20*J20/100)^2+(G20*M20)^2),0)</f>
        <v>32</v>
      </c>
      <c r="P20" s="41" t="n">
        <v>-22.3505795963494</v>
      </c>
      <c r="Q20" s="42" t="n">
        <v>720.829971062165</v>
      </c>
      <c r="R20" s="43" t="n">
        <f aca="false">MAX(0,MIN(1,P20/100+$D$5))</f>
        <v>0.303478902613128</v>
      </c>
      <c r="S20" s="43" t="n">
        <v>0.0779420971553049</v>
      </c>
      <c r="T20" s="44" t="s">
        <v>90</v>
      </c>
    </row>
    <row r="21" customFormat="false" ht="15" hidden="false" customHeight="false" outlineLevel="0" collapsed="false">
      <c r="A21" s="38" t="s">
        <v>87</v>
      </c>
      <c r="B21" s="38" t="s">
        <v>102</v>
      </c>
      <c r="C21" s="38" t="s">
        <v>103</v>
      </c>
      <c r="D21" s="21" t="n">
        <f aca="false">ROUND(Q21*R21,0)</f>
        <v>227</v>
      </c>
      <c r="E21" s="21" t="n">
        <f aca="false">ROUND(Q21,0)-D21</f>
        <v>237</v>
      </c>
      <c r="F21" s="21" t="n">
        <f aca="false">IF(COUNTA(D21:E21)=0,"",SUM(D21:E21))</f>
        <v>464</v>
      </c>
      <c r="G21" s="39" t="n">
        <f aca="false">IF(OR(F21="",F21=0),"",D21/F21)</f>
        <v>0.489224137931035</v>
      </c>
      <c r="H21" s="39" t="n">
        <f aca="false">IF(OR(F21="",F21=0),"",E21/F21)</f>
        <v>0.510775862068966</v>
      </c>
      <c r="I21" s="38" t="s">
        <v>89</v>
      </c>
      <c r="J21" s="40" t="n">
        <v>3.7041269898902</v>
      </c>
      <c r="K21" s="39" t="n">
        <f aca="false">IF(G21="","",MAX(0,G21-J21/100))</f>
        <v>0.452182868032133</v>
      </c>
      <c r="L21" s="39" t="n">
        <f aca="false">IF(G21="","",MIN(1,G21+J21/100))</f>
        <v>0.526265407829937</v>
      </c>
      <c r="M21" s="21" t="n">
        <f aca="false">ROUND(Q21*S21,0)</f>
        <v>36</v>
      </c>
      <c r="N21" s="21" t="n">
        <f aca="false">ROUND(SQRT((F21*J21/100)^2+(G21*M21)^2),0)</f>
        <v>25</v>
      </c>
      <c r="P21" s="41" t="n">
        <v>-3.64131479846973</v>
      </c>
      <c r="Q21" s="42" t="n">
        <v>463.563777492819</v>
      </c>
      <c r="R21" s="43" t="n">
        <f aca="false">MAX(0,MIN(1,P21/100+$D$5))</f>
        <v>0.490571550591924</v>
      </c>
      <c r="S21" s="43" t="n">
        <v>0.0779420971553049</v>
      </c>
      <c r="T21" s="44" t="s">
        <v>90</v>
      </c>
    </row>
    <row r="22" customFormat="false" ht="15" hidden="false" customHeight="false" outlineLevel="0" collapsed="false">
      <c r="A22" s="38" t="s">
        <v>87</v>
      </c>
      <c r="B22" s="38" t="s">
        <v>102</v>
      </c>
      <c r="C22" s="38" t="s">
        <v>104</v>
      </c>
      <c r="D22" s="21" t="n">
        <f aca="false">ROUND(Q22*R22,0)</f>
        <v>148</v>
      </c>
      <c r="E22" s="21" t="n">
        <f aca="false">ROUND(Q22,0)-D22</f>
        <v>165</v>
      </c>
      <c r="F22" s="21" t="n">
        <f aca="false">IF(COUNTA(D22:E22)=0,"",SUM(D22:E22))</f>
        <v>313</v>
      </c>
      <c r="G22" s="39" t="n">
        <f aca="false">IF(OR(F22="",F22=0),"",D22/F22)</f>
        <v>0.472843450479233</v>
      </c>
      <c r="H22" s="39" t="n">
        <f aca="false">IF(OR(F22="",F22=0),"",E22/F22)</f>
        <v>0.527156549520767</v>
      </c>
      <c r="I22" s="38" t="s">
        <v>89</v>
      </c>
      <c r="J22" s="40" t="n">
        <v>3.7041269898902</v>
      </c>
      <c r="K22" s="39" t="n">
        <f aca="false">IF(G22="","",MAX(0,G22-J22/100))</f>
        <v>0.435802180580331</v>
      </c>
      <c r="L22" s="39" t="n">
        <f aca="false">IF(G22="","",MIN(1,G22+J22/100))</f>
        <v>0.509884720378135</v>
      </c>
      <c r="M22" s="21" t="n">
        <f aca="false">ROUND(Q22*S22,0)</f>
        <v>24</v>
      </c>
      <c r="N22" s="21" t="n">
        <f aca="false">ROUND(SQRT((F22*J22/100)^2+(G22*M22)^2),0)</f>
        <v>16</v>
      </c>
      <c r="P22" s="41" t="n">
        <v>-5.44574670166437</v>
      </c>
      <c r="Q22" s="42" t="n">
        <v>312.944621959699</v>
      </c>
      <c r="R22" s="43" t="n">
        <f aca="false">MAX(0,MIN(1,P22/100+$D$5))</f>
        <v>0.472527231559978</v>
      </c>
      <c r="S22" s="43" t="n">
        <v>0.0779420971553049</v>
      </c>
      <c r="T22" s="44" t="s">
        <v>90</v>
      </c>
    </row>
    <row r="23" customFormat="false" ht="15" hidden="false" customHeight="false" outlineLevel="0" collapsed="false">
      <c r="A23" s="38" t="s">
        <v>87</v>
      </c>
      <c r="B23" s="38" t="s">
        <v>102</v>
      </c>
      <c r="C23" s="38" t="s">
        <v>105</v>
      </c>
      <c r="D23" s="21" t="n">
        <f aca="false">ROUND(Q23*R23,0)</f>
        <v>290</v>
      </c>
      <c r="E23" s="21" t="n">
        <f aca="false">ROUND(Q23,0)-D23</f>
        <v>393</v>
      </c>
      <c r="F23" s="21" t="n">
        <f aca="false">IF(COUNTA(D23:E23)=0,"",SUM(D23:E23))</f>
        <v>683</v>
      </c>
      <c r="G23" s="39" t="n">
        <f aca="false">IF(OR(F23="",F23=0),"",D23/F23)</f>
        <v>0.424597364568082</v>
      </c>
      <c r="H23" s="39" t="n">
        <f aca="false">IF(OR(F23="",F23=0),"",E23/F23)</f>
        <v>0.575402635431918</v>
      </c>
      <c r="I23" s="38" t="s">
        <v>89</v>
      </c>
      <c r="J23" s="40" t="n">
        <v>3.7041269898902</v>
      </c>
      <c r="K23" s="39" t="n">
        <f aca="false">IF(G23="","",MAX(0,G23-J23/100))</f>
        <v>0.38755609466918</v>
      </c>
      <c r="L23" s="39" t="n">
        <f aca="false">IF(G23="","",MIN(1,G23+J23/100))</f>
        <v>0.461638634466984</v>
      </c>
      <c r="M23" s="21" t="n">
        <f aca="false">ROUND(Q23*S23,0)</f>
        <v>53</v>
      </c>
      <c r="N23" s="21" t="n">
        <f aca="false">ROUND(SQRT((F23*J23/100)^2+(G23*M23)^2),0)</f>
        <v>34</v>
      </c>
      <c r="P23" s="41" t="n">
        <v>-10.2385457897066</v>
      </c>
      <c r="Q23" s="42" t="n">
        <v>683.438087386615</v>
      </c>
      <c r="R23" s="43" t="n">
        <f aca="false">MAX(0,MIN(1,P23/100+$D$5))</f>
        <v>0.424599240679555</v>
      </c>
      <c r="S23" s="43" t="n">
        <v>0.0779420971553049</v>
      </c>
      <c r="T23" s="44" t="s">
        <v>90</v>
      </c>
    </row>
    <row r="24" customFormat="false" ht="15" hidden="false" customHeight="false" outlineLevel="0" collapsed="false">
      <c r="A24" s="38" t="s">
        <v>87</v>
      </c>
      <c r="B24" s="38" t="s">
        <v>102</v>
      </c>
      <c r="C24" s="38" t="s">
        <v>106</v>
      </c>
      <c r="D24" s="21" t="n">
        <f aca="false">ROUND(Q24*R24,0)</f>
        <v>143</v>
      </c>
      <c r="E24" s="21" t="n">
        <f aca="false">ROUND(Q24,0)-D24</f>
        <v>115</v>
      </c>
      <c r="F24" s="21" t="n">
        <f aca="false">IF(COUNTA(D24:E24)=0,"",SUM(D24:E24))</f>
        <v>258</v>
      </c>
      <c r="G24" s="39" t="n">
        <f aca="false">IF(OR(F24="",F24=0),"",D24/F24)</f>
        <v>0.554263565891473</v>
      </c>
      <c r="H24" s="39" t="n">
        <f aca="false">IF(OR(F24="",F24=0),"",E24/F24)</f>
        <v>0.445736434108527</v>
      </c>
      <c r="I24" s="38" t="s">
        <v>89</v>
      </c>
      <c r="J24" s="40" t="n">
        <v>3.7041269898902</v>
      </c>
      <c r="K24" s="39" t="n">
        <f aca="false">IF(G24="","",MAX(0,G24-J24/100))</f>
        <v>0.517222295992571</v>
      </c>
      <c r="L24" s="39" t="n">
        <f aca="false">IF(G24="","",MIN(1,G24+J24/100))</f>
        <v>0.591304835790375</v>
      </c>
      <c r="M24" s="21" t="n">
        <f aca="false">ROUND(Q24*S24,0)</f>
        <v>20</v>
      </c>
      <c r="N24" s="21" t="n">
        <f aca="false">ROUND(SQRT((F24*J24/100)^2+(G24*M24)^2),0)</f>
        <v>15</v>
      </c>
      <c r="P24" s="41" t="n">
        <v>2.87998205265929</v>
      </c>
      <c r="Q24" s="42" t="n">
        <v>258.160076153812</v>
      </c>
      <c r="R24" s="43" t="n">
        <f aca="false">MAX(0,MIN(1,P24/100+$D$5))</f>
        <v>0.555784519103215</v>
      </c>
      <c r="S24" s="43" t="n">
        <v>0.0779420971553049</v>
      </c>
      <c r="T24" s="44" t="s">
        <v>90</v>
      </c>
    </row>
    <row r="25" customFormat="false" ht="15" hidden="false" customHeight="false" outlineLevel="0" collapsed="false">
      <c r="A25" s="38" t="s">
        <v>87</v>
      </c>
      <c r="B25" s="38" t="s">
        <v>102</v>
      </c>
      <c r="C25" s="38" t="s">
        <v>107</v>
      </c>
      <c r="D25" s="21" t="n">
        <f aca="false">ROUND(Q25*R25,0)</f>
        <v>275</v>
      </c>
      <c r="E25" s="21" t="n">
        <f aca="false">ROUND(Q25,0)-D25</f>
        <v>279</v>
      </c>
      <c r="F25" s="21" t="n">
        <f aca="false">IF(COUNTA(D25:E25)=0,"",SUM(D25:E25))</f>
        <v>554</v>
      </c>
      <c r="G25" s="39" t="n">
        <f aca="false">IF(OR(F25="",F25=0),"",D25/F25)</f>
        <v>0.496389891696751</v>
      </c>
      <c r="H25" s="39" t="n">
        <f aca="false">IF(OR(F25="",F25=0),"",E25/F25)</f>
        <v>0.503610108303249</v>
      </c>
      <c r="I25" s="38" t="s">
        <v>89</v>
      </c>
      <c r="J25" s="40" t="n">
        <v>3.7041269898902</v>
      </c>
      <c r="K25" s="39" t="n">
        <f aca="false">IF(G25="","",MAX(0,G25-J25/100))</f>
        <v>0.459348621797849</v>
      </c>
      <c r="L25" s="39" t="n">
        <f aca="false">IF(G25="","",MIN(1,G25+J25/100))</f>
        <v>0.533431161595653</v>
      </c>
      <c r="M25" s="21" t="n">
        <f aca="false">ROUND(Q25*S25,0)</f>
        <v>43</v>
      </c>
      <c r="N25" s="21" t="n">
        <f aca="false">ROUND(SQRT((F25*J25/100)^2+(G25*M25)^2),0)</f>
        <v>30</v>
      </c>
      <c r="P25" s="41" t="n">
        <v>-3.13599003558893</v>
      </c>
      <c r="Q25" s="42" t="n">
        <v>553.9733223354</v>
      </c>
      <c r="R25" s="43" t="n">
        <f aca="false">MAX(0,MIN(1,P25/100+$D$5))</f>
        <v>0.495624798220732</v>
      </c>
      <c r="S25" s="43" t="n">
        <v>0.0779420971553049</v>
      </c>
      <c r="T25" s="44" t="s">
        <v>90</v>
      </c>
    </row>
    <row r="26" customFormat="false" ht="15" hidden="false" customHeight="false" outlineLevel="0" collapsed="false">
      <c r="A26" s="38" t="s">
        <v>87</v>
      </c>
      <c r="B26" s="38" t="s">
        <v>108</v>
      </c>
      <c r="C26" s="38" t="s">
        <v>109</v>
      </c>
      <c r="D26" s="21" t="n">
        <f aca="false">ROUND(Q26*R26,0)</f>
        <v>111</v>
      </c>
      <c r="E26" s="21" t="n">
        <f aca="false">ROUND(Q26,0)-D26</f>
        <v>172</v>
      </c>
      <c r="F26" s="21" t="n">
        <f aca="false">IF(COUNTA(D26:E26)=0,"",SUM(D26:E26))</f>
        <v>283</v>
      </c>
      <c r="G26" s="39" t="n">
        <f aca="false">IF(OR(F26="",F26=0),"",D26/F26)</f>
        <v>0.392226148409894</v>
      </c>
      <c r="H26" s="39" t="n">
        <f aca="false">IF(OR(F26="",F26=0),"",E26/F26)</f>
        <v>0.607773851590106</v>
      </c>
      <c r="I26" s="38" t="s">
        <v>89</v>
      </c>
      <c r="J26" s="40" t="n">
        <v>3.7041269898902</v>
      </c>
      <c r="K26" s="39" t="n">
        <f aca="false">IF(G26="","",MAX(0,G26-J26/100))</f>
        <v>0.355184878510992</v>
      </c>
      <c r="L26" s="39" t="n">
        <f aca="false">IF(G26="","",MIN(1,G26+J26/100))</f>
        <v>0.429267418308796</v>
      </c>
      <c r="M26" s="21" t="n">
        <f aca="false">ROUND(Q26*S26,0)</f>
        <v>22</v>
      </c>
      <c r="N26" s="21" t="n">
        <f aca="false">ROUND(SQRT((F26*J26/100)^2+(G26*M26)^2),0)</f>
        <v>14</v>
      </c>
      <c r="P26" s="41" t="n">
        <v>-13.4535926449599</v>
      </c>
      <c r="Q26" s="42" t="n">
        <v>282.698653122674</v>
      </c>
      <c r="R26" s="43" t="n">
        <f aca="false">MAX(0,MIN(1,P26/100+$D$5))</f>
        <v>0.392448772127023</v>
      </c>
      <c r="S26" s="43" t="n">
        <v>0.0779420971553049</v>
      </c>
      <c r="T26" s="44" t="s">
        <v>90</v>
      </c>
    </row>
    <row r="27" customFormat="false" ht="15" hidden="false" customHeight="false" outlineLevel="0" collapsed="false">
      <c r="A27" s="38" t="s">
        <v>87</v>
      </c>
      <c r="B27" s="38" t="s">
        <v>108</v>
      </c>
      <c r="C27" s="38" t="s">
        <v>110</v>
      </c>
      <c r="D27" s="21" t="n">
        <f aca="false">ROUND(Q27*R27,0)</f>
        <v>217</v>
      </c>
      <c r="E27" s="21" t="n">
        <f aca="false">ROUND(Q27,0)-D27</f>
        <v>389</v>
      </c>
      <c r="F27" s="21" t="n">
        <f aca="false">IF(COUNTA(D27:E27)=0,"",SUM(D27:E27))</f>
        <v>606</v>
      </c>
      <c r="G27" s="39" t="n">
        <f aca="false">IF(OR(F27="",F27=0),"",D27/F27)</f>
        <v>0.358085808580858</v>
      </c>
      <c r="H27" s="39" t="n">
        <f aca="false">IF(OR(F27="",F27=0),"",E27/F27)</f>
        <v>0.641914191419142</v>
      </c>
      <c r="I27" s="38" t="s">
        <v>89</v>
      </c>
      <c r="J27" s="40" t="n">
        <v>3.7041269898902</v>
      </c>
      <c r="K27" s="39" t="n">
        <f aca="false">IF(G27="","",MAX(0,G27-J27/100))</f>
        <v>0.321044538681956</v>
      </c>
      <c r="L27" s="39" t="n">
        <f aca="false">IF(G27="","",MIN(1,G27+J27/100))</f>
        <v>0.39512707847976</v>
      </c>
      <c r="M27" s="21" t="n">
        <f aca="false">ROUND(Q27*S27,0)</f>
        <v>47</v>
      </c>
      <c r="N27" s="21" t="n">
        <f aca="false">ROUND(SQRT((F27*J27/100)^2+(G27*M27)^2),0)</f>
        <v>28</v>
      </c>
      <c r="P27" s="41" t="n">
        <v>-16.9266816925478</v>
      </c>
      <c r="Q27" s="42" t="n">
        <v>606.452955331458</v>
      </c>
      <c r="R27" s="43" t="n">
        <f aca="false">MAX(0,MIN(1,P27/100+$D$5))</f>
        <v>0.357717881651144</v>
      </c>
      <c r="S27" s="43" t="n">
        <v>0.0779420971553049</v>
      </c>
      <c r="T27" s="44" t="s">
        <v>90</v>
      </c>
    </row>
    <row r="28" customFormat="false" ht="15" hidden="false" customHeight="false" outlineLevel="0" collapsed="false">
      <c r="A28" s="38" t="s">
        <v>87</v>
      </c>
      <c r="B28" s="38" t="s">
        <v>111</v>
      </c>
      <c r="C28" s="38" t="s">
        <v>112</v>
      </c>
      <c r="D28" s="21" t="n">
        <f aca="false">ROUND(Q28*R28,0)</f>
        <v>239</v>
      </c>
      <c r="E28" s="21" t="n">
        <f aca="false">ROUND(Q28,0)-D28</f>
        <v>305</v>
      </c>
      <c r="F28" s="21" t="n">
        <f aca="false">IF(COUNTA(D28:E28)=0,"",SUM(D28:E28))</f>
        <v>544</v>
      </c>
      <c r="G28" s="39" t="n">
        <f aca="false">IF(OR(F28="",F28=0),"",D28/F28)</f>
        <v>0.439338235294118</v>
      </c>
      <c r="H28" s="39" t="n">
        <f aca="false">IF(OR(F28="",F28=0),"",E28/F28)</f>
        <v>0.560661764705882</v>
      </c>
      <c r="I28" s="38" t="s">
        <v>89</v>
      </c>
      <c r="J28" s="40" t="n">
        <v>3.7041269898902</v>
      </c>
      <c r="K28" s="39" t="n">
        <f aca="false">IF(G28="","",MAX(0,G28-J28/100))</f>
        <v>0.402296965395216</v>
      </c>
      <c r="L28" s="39" t="n">
        <f aca="false">IF(G28="","",MIN(1,G28+J28/100))</f>
        <v>0.47637950519302</v>
      </c>
      <c r="M28" s="21" t="n">
        <f aca="false">ROUND(Q28*S28,0)</f>
        <v>42</v>
      </c>
      <c r="N28" s="21" t="n">
        <f aca="false">ROUND(SQRT((F28*J28/100)^2+(G28*M28)^2),0)</f>
        <v>27</v>
      </c>
      <c r="P28" s="41" t="n">
        <v>-8.80720258617316</v>
      </c>
      <c r="Q28" s="42" t="n">
        <v>543.961890571532</v>
      </c>
      <c r="R28" s="43" t="n">
        <f aca="false">MAX(0,MIN(1,P28/100+$D$5))</f>
        <v>0.43891267271489</v>
      </c>
      <c r="S28" s="43" t="n">
        <v>0.0779420971553049</v>
      </c>
      <c r="T28" s="44" t="s">
        <v>90</v>
      </c>
    </row>
    <row r="29" customFormat="false" ht="15" hidden="false" customHeight="false" outlineLevel="0" collapsed="false">
      <c r="A29" s="38" t="s">
        <v>87</v>
      </c>
      <c r="B29" s="38" t="s">
        <v>111</v>
      </c>
      <c r="C29" s="38" t="s">
        <v>113</v>
      </c>
      <c r="D29" s="21" t="n">
        <f aca="false">ROUND(Q29*R29,0)</f>
        <v>137</v>
      </c>
      <c r="E29" s="21" t="n">
        <f aca="false">ROUND(Q29,0)-D29</f>
        <v>179</v>
      </c>
      <c r="F29" s="21" t="n">
        <f aca="false">IF(COUNTA(D29:E29)=0,"",SUM(D29:E29))</f>
        <v>316</v>
      </c>
      <c r="G29" s="39" t="n">
        <f aca="false">IF(OR(F29="",F29=0),"",D29/F29)</f>
        <v>0.433544303797468</v>
      </c>
      <c r="H29" s="39" t="n">
        <f aca="false">IF(OR(F29="",F29=0),"",E29/F29)</f>
        <v>0.566455696202532</v>
      </c>
      <c r="I29" s="38" t="s">
        <v>89</v>
      </c>
      <c r="J29" s="40" t="n">
        <v>3.7041269898902</v>
      </c>
      <c r="K29" s="39" t="n">
        <f aca="false">IF(G29="","",MAX(0,G29-J29/100))</f>
        <v>0.396503033898566</v>
      </c>
      <c r="L29" s="39" t="n">
        <f aca="false">IF(G29="","",MIN(1,G29+J29/100))</f>
        <v>0.47058557369637</v>
      </c>
      <c r="M29" s="21" t="n">
        <f aca="false">ROUND(Q29*S29,0)</f>
        <v>25</v>
      </c>
      <c r="N29" s="21" t="n">
        <f aca="false">ROUND(SQRT((F29*J29/100)^2+(G29*M29)^2),0)</f>
        <v>16</v>
      </c>
      <c r="P29" s="41" t="n">
        <v>-9.23885696531137</v>
      </c>
      <c r="Q29" s="42" t="n">
        <v>315.690316381476</v>
      </c>
      <c r="R29" s="43" t="n">
        <f aca="false">MAX(0,MIN(1,P29/100+$D$5))</f>
        <v>0.434596128923508</v>
      </c>
      <c r="S29" s="43" t="n">
        <v>0.0779420971553049</v>
      </c>
      <c r="T29" s="44" t="s">
        <v>90</v>
      </c>
    </row>
    <row r="30" customFormat="false" ht="15" hidden="false" customHeight="false" outlineLevel="0" collapsed="false">
      <c r="A30" s="38" t="s">
        <v>87</v>
      </c>
      <c r="B30" s="38" t="s">
        <v>111</v>
      </c>
      <c r="C30" s="38" t="s">
        <v>114</v>
      </c>
      <c r="D30" s="21" t="n">
        <f aca="false">ROUND(Q30*R30,0)</f>
        <v>124</v>
      </c>
      <c r="E30" s="21" t="n">
        <f aca="false">ROUND(Q30,0)-D30</f>
        <v>148</v>
      </c>
      <c r="F30" s="21" t="n">
        <f aca="false">IF(COUNTA(D30:E30)=0,"",SUM(D30:E30))</f>
        <v>272</v>
      </c>
      <c r="G30" s="39" t="n">
        <f aca="false">IF(OR(F30="",F30=0),"",D30/F30)</f>
        <v>0.455882352941176</v>
      </c>
      <c r="H30" s="39" t="n">
        <f aca="false">IF(OR(F30="",F30=0),"",E30/F30)</f>
        <v>0.544117647058824</v>
      </c>
      <c r="I30" s="38" t="s">
        <v>89</v>
      </c>
      <c r="J30" s="40" t="n">
        <v>3.7041269898902</v>
      </c>
      <c r="K30" s="39" t="n">
        <f aca="false">IF(G30="","",MAX(0,G30-J30/100))</f>
        <v>0.418841083042274</v>
      </c>
      <c r="L30" s="39" t="n">
        <f aca="false">IF(G30="","",MIN(1,G30+J30/100))</f>
        <v>0.492923622840078</v>
      </c>
      <c r="M30" s="21" t="n">
        <f aca="false">ROUND(Q30*S30,0)</f>
        <v>21</v>
      </c>
      <c r="N30" s="21" t="n">
        <f aca="false">ROUND(SQRT((F30*J30/100)^2+(G30*M30)^2),0)</f>
        <v>14</v>
      </c>
      <c r="P30" s="41" t="n">
        <v>-6.95011448391853</v>
      </c>
      <c r="Q30" s="42" t="n">
        <v>271.560278604141</v>
      </c>
      <c r="R30" s="43" t="n">
        <f aca="false">MAX(0,MIN(1,P30/100+$D$5))</f>
        <v>0.457483553737436</v>
      </c>
      <c r="S30" s="43" t="n">
        <v>0.0779420971553049</v>
      </c>
      <c r="T30" s="44" t="s">
        <v>90</v>
      </c>
    </row>
    <row r="31" customFormat="false" ht="15" hidden="false" customHeight="false" outlineLevel="0" collapsed="false">
      <c r="A31" s="38" t="s">
        <v>87</v>
      </c>
      <c r="B31" s="38" t="s">
        <v>115</v>
      </c>
      <c r="C31" s="38" t="s">
        <v>115</v>
      </c>
      <c r="D31" s="21" t="n">
        <f aca="false">ROUND(Q31*R31,0)</f>
        <v>38</v>
      </c>
      <c r="E31" s="21" t="n">
        <f aca="false">ROUND(Q31,0)-D31</f>
        <v>87</v>
      </c>
      <c r="F31" s="21" t="n">
        <f aca="false">IF(COUNTA(D31:E31)=0,"",SUM(D31:E31))</f>
        <v>125</v>
      </c>
      <c r="G31" s="39" t="n">
        <f aca="false">IF(OR(F31="",F31=0),"",D31/F31)</f>
        <v>0.304</v>
      </c>
      <c r="H31" s="39" t="n">
        <f aca="false">IF(OR(F31="",F31=0),"",E31/F31)</f>
        <v>0.696</v>
      </c>
      <c r="I31" s="38" t="s">
        <v>89</v>
      </c>
      <c r="J31" s="40" t="n">
        <v>3.7041269898902</v>
      </c>
      <c r="K31" s="39" t="n">
        <f aca="false">IF(G31="","",MAX(0,G31-J31/100))</f>
        <v>0.266958730101098</v>
      </c>
      <c r="L31" s="39" t="n">
        <f aca="false">IF(G31="","",MIN(1,G31+J31/100))</f>
        <v>0.341041269898902</v>
      </c>
      <c r="M31" s="21" t="n">
        <f aca="false">ROUND(Q31*S31,0)</f>
        <v>10</v>
      </c>
      <c r="N31" s="21" t="n">
        <f aca="false">ROUND(SQRT((F31*J31/100)^2+(G31*M31)^2),0)</f>
        <v>6</v>
      </c>
      <c r="P31" s="41" t="n">
        <v>-22.7934093157282</v>
      </c>
      <c r="Q31" s="42" t="n">
        <v>125.468753921133</v>
      </c>
      <c r="R31" s="43" t="n">
        <f aca="false">MAX(0,MIN(1,P31/100+$D$5))</f>
        <v>0.299050605419339</v>
      </c>
      <c r="S31" s="43" t="n">
        <v>0.0779420971553049</v>
      </c>
      <c r="T31" s="44" t="s">
        <v>90</v>
      </c>
    </row>
    <row r="32" customFormat="false" ht="15" hidden="false" customHeight="false" outlineLevel="0" collapsed="false">
      <c r="A32" s="38" t="s">
        <v>87</v>
      </c>
      <c r="B32" s="38" t="s">
        <v>116</v>
      </c>
      <c r="C32" s="38" t="s">
        <v>116</v>
      </c>
      <c r="D32" s="21" t="n">
        <f aca="false">ROUND(Q32*R32,0)</f>
        <v>62</v>
      </c>
      <c r="E32" s="21" t="n">
        <f aca="false">ROUND(Q32,0)-D32</f>
        <v>197</v>
      </c>
      <c r="F32" s="21" t="n">
        <f aca="false">IF(COUNTA(D32:E32)=0,"",SUM(D32:E32))</f>
        <v>259</v>
      </c>
      <c r="G32" s="39" t="n">
        <f aca="false">IF(OR(F32="",F32=0),"",D32/F32)</f>
        <v>0.239382239382239</v>
      </c>
      <c r="H32" s="39" t="n">
        <f aca="false">IF(OR(F32="",F32=0),"",E32/F32)</f>
        <v>0.760617760617761</v>
      </c>
      <c r="I32" s="38" t="s">
        <v>89</v>
      </c>
      <c r="J32" s="40" t="n">
        <v>3.7041269898902</v>
      </c>
      <c r="K32" s="39" t="n">
        <f aca="false">IF(G32="","",MAX(0,G32-J32/100))</f>
        <v>0.202340969483337</v>
      </c>
      <c r="L32" s="39" t="n">
        <f aca="false">IF(G32="","",MIN(1,G32+J32/100))</f>
        <v>0.276423509281141</v>
      </c>
      <c r="M32" s="21" t="n">
        <f aca="false">ROUND(Q32*S32,0)</f>
        <v>20</v>
      </c>
      <c r="N32" s="21" t="n">
        <f aca="false">ROUND(SQRT((F32*J32/100)^2+(G32*M32)^2),0)</f>
        <v>11</v>
      </c>
      <c r="P32" s="41" t="n">
        <v>-28.6548804615942</v>
      </c>
      <c r="Q32" s="42" t="n">
        <v>259.117441277324</v>
      </c>
      <c r="R32" s="43" t="n">
        <f aca="false">MAX(0,MIN(1,P32/100+$D$5))</f>
        <v>0.24043589396068</v>
      </c>
      <c r="S32" s="43" t="n">
        <v>0.0779420971553049</v>
      </c>
      <c r="T32" s="44" t="s">
        <v>90</v>
      </c>
    </row>
    <row r="33" customFormat="false" ht="15" hidden="false" customHeight="false" outlineLevel="0" collapsed="false">
      <c r="A33" s="38" t="s">
        <v>87</v>
      </c>
      <c r="B33" s="38" t="s">
        <v>117</v>
      </c>
      <c r="C33" s="38" t="s">
        <v>118</v>
      </c>
      <c r="D33" s="21" t="n">
        <f aca="false">ROUND(Q33*R33,0)</f>
        <v>272</v>
      </c>
      <c r="E33" s="21" t="n">
        <f aca="false">ROUND(Q33,0)-D33</f>
        <v>360</v>
      </c>
      <c r="F33" s="21" t="n">
        <f aca="false">IF(COUNTA(D33:E33)=0,"",SUM(D33:E33))</f>
        <v>632</v>
      </c>
      <c r="G33" s="39" t="n">
        <f aca="false">IF(OR(F33="",F33=0),"",D33/F33)</f>
        <v>0.430379746835443</v>
      </c>
      <c r="H33" s="39" t="n">
        <f aca="false">IF(OR(F33="",F33=0),"",E33/F33)</f>
        <v>0.569620253164557</v>
      </c>
      <c r="I33" s="38" t="s">
        <v>89</v>
      </c>
      <c r="J33" s="40" t="n">
        <v>3.7041269898902</v>
      </c>
      <c r="K33" s="39" t="n">
        <f aca="false">IF(G33="","",MAX(0,G33-J33/100))</f>
        <v>0.393338476936541</v>
      </c>
      <c r="L33" s="39" t="n">
        <f aca="false">IF(G33="","",MIN(1,G33+J33/100))</f>
        <v>0.467421016734345</v>
      </c>
      <c r="M33" s="21" t="n">
        <f aca="false">ROUND(Q33*S33,0)</f>
        <v>49</v>
      </c>
      <c r="N33" s="21" t="n">
        <f aca="false">ROUND(SQRT((F33*J33/100)^2+(G33*M33)^2),0)</f>
        <v>32</v>
      </c>
      <c r="P33" s="41" t="n">
        <v>-9.63232224460964</v>
      </c>
      <c r="Q33" s="42" t="n">
        <v>632.021681696428</v>
      </c>
      <c r="R33" s="43" t="n">
        <f aca="false">MAX(0,MIN(1,P33/100+$D$5))</f>
        <v>0.430661476130525</v>
      </c>
      <c r="S33" s="43" t="n">
        <v>0.0779420971553049</v>
      </c>
      <c r="T33" s="44" t="s">
        <v>90</v>
      </c>
    </row>
    <row r="34" customFormat="false" ht="15" hidden="false" customHeight="false" outlineLevel="0" collapsed="false">
      <c r="A34" s="38" t="s">
        <v>87</v>
      </c>
      <c r="B34" s="38" t="s">
        <v>117</v>
      </c>
      <c r="C34" s="38" t="s">
        <v>119</v>
      </c>
      <c r="D34" s="21" t="n">
        <f aca="false">ROUND(Q34*R34,0)</f>
        <v>252</v>
      </c>
      <c r="E34" s="21" t="n">
        <f aca="false">ROUND(Q34,0)-D34</f>
        <v>344</v>
      </c>
      <c r="F34" s="21" t="n">
        <f aca="false">IF(COUNTA(D34:E34)=0,"",SUM(D34:E34))</f>
        <v>596</v>
      </c>
      <c r="G34" s="39" t="n">
        <f aca="false">IF(OR(F34="",F34=0),"",D34/F34)</f>
        <v>0.422818791946309</v>
      </c>
      <c r="H34" s="39" t="n">
        <f aca="false">IF(OR(F34="",F34=0),"",E34/F34)</f>
        <v>0.577181208053691</v>
      </c>
      <c r="I34" s="38" t="s">
        <v>89</v>
      </c>
      <c r="J34" s="40" t="n">
        <v>3.7041269898902</v>
      </c>
      <c r="K34" s="39" t="n">
        <f aca="false">IF(G34="","",MAX(0,G34-J34/100))</f>
        <v>0.385777522047407</v>
      </c>
      <c r="L34" s="39" t="n">
        <f aca="false">IF(G34="","",MIN(1,G34+J34/100))</f>
        <v>0.459860061845211</v>
      </c>
      <c r="M34" s="21" t="n">
        <f aca="false">ROUND(Q34*S34,0)</f>
        <v>46</v>
      </c>
      <c r="N34" s="21" t="n">
        <f aca="false">ROUND(SQRT((F34*J34/100)^2+(G34*M34)^2),0)</f>
        <v>29</v>
      </c>
      <c r="P34" s="41" t="n">
        <v>-10.3998286228793</v>
      </c>
      <c r="Q34" s="42" t="n">
        <v>596.237921371033</v>
      </c>
      <c r="R34" s="43" t="n">
        <f aca="false">MAX(0,MIN(1,P34/100+$D$5))</f>
        <v>0.422986412347829</v>
      </c>
      <c r="S34" s="43" t="n">
        <v>0.0779420971553049</v>
      </c>
      <c r="T34" s="44" t="s">
        <v>90</v>
      </c>
    </row>
    <row r="35" customFormat="false" ht="15" hidden="false" customHeight="false" outlineLevel="0" collapsed="false">
      <c r="A35" s="38" t="s">
        <v>87</v>
      </c>
      <c r="B35" s="38" t="s">
        <v>117</v>
      </c>
      <c r="C35" s="38" t="s">
        <v>120</v>
      </c>
      <c r="D35" s="21" t="n">
        <f aca="false">ROUND(Q35*R35,0)</f>
        <v>272</v>
      </c>
      <c r="E35" s="21" t="n">
        <f aca="false">ROUND(Q35,0)-D35</f>
        <v>371</v>
      </c>
      <c r="F35" s="21" t="n">
        <f aca="false">IF(COUNTA(D35:E35)=0,"",SUM(D35:E35))</f>
        <v>643</v>
      </c>
      <c r="G35" s="39" t="n">
        <f aca="false">IF(OR(F35="",F35=0),"",D35/F35)</f>
        <v>0.423017107309487</v>
      </c>
      <c r="H35" s="39" t="n">
        <f aca="false">IF(OR(F35="",F35=0),"",E35/F35)</f>
        <v>0.576982892690513</v>
      </c>
      <c r="I35" s="38" t="s">
        <v>89</v>
      </c>
      <c r="J35" s="40" t="n">
        <v>3.7041269898902</v>
      </c>
      <c r="K35" s="39" t="n">
        <f aca="false">IF(G35="","",MAX(0,G35-J35/100))</f>
        <v>0.385975837410585</v>
      </c>
      <c r="L35" s="39" t="n">
        <f aca="false">IF(G35="","",MIN(1,G35+J35/100))</f>
        <v>0.460058377208389</v>
      </c>
      <c r="M35" s="21" t="n">
        <f aca="false">ROUND(Q35*S35,0)</f>
        <v>50</v>
      </c>
      <c r="N35" s="21" t="n">
        <f aca="false">ROUND(SQRT((F35*J35/100)^2+(G35*M35)^2),0)</f>
        <v>32</v>
      </c>
      <c r="P35" s="41" t="n">
        <v>-10.4704556903662</v>
      </c>
      <c r="Q35" s="42" t="n">
        <v>643.428508022795</v>
      </c>
      <c r="R35" s="43" t="n">
        <f aca="false">MAX(0,MIN(1,P35/100+$D$5))</f>
        <v>0.422280141672959</v>
      </c>
      <c r="S35" s="43" t="n">
        <v>0.0779420971553049</v>
      </c>
      <c r="T35" s="44" t="s">
        <v>90</v>
      </c>
    </row>
    <row r="36" customFormat="false" ht="15" hidden="false" customHeight="false" outlineLevel="0" collapsed="false">
      <c r="A36" s="38" t="s">
        <v>87</v>
      </c>
      <c r="B36" s="38" t="s">
        <v>121</v>
      </c>
      <c r="C36" s="38" t="s">
        <v>122</v>
      </c>
      <c r="D36" s="21" t="n">
        <f aca="false">ROUND(Q36*R36,0)</f>
        <v>282</v>
      </c>
      <c r="E36" s="21" t="n">
        <f aca="false">ROUND(Q36,0)-D36</f>
        <v>598</v>
      </c>
      <c r="F36" s="21" t="n">
        <f aca="false">IF(COUNTA(D36:E36)=0,"",SUM(D36:E36))</f>
        <v>880</v>
      </c>
      <c r="G36" s="39" t="n">
        <f aca="false">IF(OR(F36="",F36=0),"",D36/F36)</f>
        <v>0.320454545454545</v>
      </c>
      <c r="H36" s="39" t="n">
        <f aca="false">IF(OR(F36="",F36=0),"",E36/F36)</f>
        <v>0.679545454545455</v>
      </c>
      <c r="I36" s="38" t="s">
        <v>89</v>
      </c>
      <c r="J36" s="40" t="n">
        <v>2.12060277043418</v>
      </c>
      <c r="K36" s="39" t="n">
        <f aca="false">IF(G36="","",MAX(0,G36-J36/100))</f>
        <v>0.299248517750204</v>
      </c>
      <c r="L36" s="39" t="n">
        <f aca="false">IF(G36="","",MIN(1,G36+J36/100))</f>
        <v>0.341660573158887</v>
      </c>
      <c r="M36" s="21" t="n">
        <f aca="false">ROUND(Q36*S36,0)</f>
        <v>56</v>
      </c>
      <c r="N36" s="21" t="n">
        <f aca="false">ROUND(SQRT((F36*J36/100)^2+(G36*M36)^2),0)</f>
        <v>26</v>
      </c>
      <c r="P36" s="41" t="n">
        <v>-20.6524338847204</v>
      </c>
      <c r="Q36" s="42" t="n">
        <v>880.486790831505</v>
      </c>
      <c r="R36" s="43" t="n">
        <f aca="false">MAX(0,MIN(1,P36/100+$D$5))</f>
        <v>0.320460359729418</v>
      </c>
      <c r="S36" s="43" t="n">
        <v>0.0633793435818552</v>
      </c>
      <c r="T36" s="44" t="s">
        <v>99</v>
      </c>
    </row>
    <row r="37" customFormat="false" ht="15" hidden="false" customHeight="false" outlineLevel="0" collapsed="false">
      <c r="A37" s="38" t="s">
        <v>87</v>
      </c>
      <c r="B37" s="38" t="s">
        <v>121</v>
      </c>
      <c r="C37" s="38" t="s">
        <v>123</v>
      </c>
      <c r="D37" s="21" t="n">
        <f aca="false">ROUND(Q37*R37,0)</f>
        <v>205</v>
      </c>
      <c r="E37" s="21" t="n">
        <f aca="false">ROUND(Q37,0)-D37</f>
        <v>406</v>
      </c>
      <c r="F37" s="21" t="n">
        <f aca="false">IF(COUNTA(D37:E37)=0,"",SUM(D37:E37))</f>
        <v>611</v>
      </c>
      <c r="G37" s="39" t="n">
        <f aca="false">IF(OR(F37="",F37=0),"",D37/F37)</f>
        <v>0.335515548281506</v>
      </c>
      <c r="H37" s="39" t="n">
        <f aca="false">IF(OR(F37="",F37=0),"",E37/F37)</f>
        <v>0.664484451718494</v>
      </c>
      <c r="I37" s="38" t="s">
        <v>89</v>
      </c>
      <c r="J37" s="40" t="n">
        <v>3.7041269898902</v>
      </c>
      <c r="K37" s="39" t="n">
        <f aca="false">IF(G37="","",MAX(0,G37-J37/100))</f>
        <v>0.298474278382604</v>
      </c>
      <c r="L37" s="39" t="n">
        <f aca="false">IF(G37="","",MIN(1,G37+J37/100))</f>
        <v>0.372556818180408</v>
      </c>
      <c r="M37" s="21" t="n">
        <f aca="false">ROUND(Q37*S37,0)</f>
        <v>48</v>
      </c>
      <c r="N37" s="21" t="n">
        <f aca="false">ROUND(SQRT((F37*J37/100)^2+(G37*M37)^2),0)</f>
        <v>28</v>
      </c>
      <c r="P37" s="41" t="n">
        <v>-19.1946953029867</v>
      </c>
      <c r="Q37" s="42" t="n">
        <v>611.460350209281</v>
      </c>
      <c r="R37" s="43" t="n">
        <f aca="false">MAX(0,MIN(1,P37/100+$D$5))</f>
        <v>0.335037745546754</v>
      </c>
      <c r="S37" s="43" t="n">
        <v>0.0779420971553049</v>
      </c>
      <c r="T37" s="44" t="s">
        <v>90</v>
      </c>
    </row>
    <row r="38" customFormat="false" ht="15" hidden="false" customHeight="false" outlineLevel="0" collapsed="false">
      <c r="A38" s="38" t="s">
        <v>87</v>
      </c>
      <c r="B38" s="38" t="s">
        <v>124</v>
      </c>
      <c r="C38" s="38" t="s">
        <v>125</v>
      </c>
      <c r="D38" s="21" t="n">
        <f aca="false">ROUND(Q38*R38,0)</f>
        <v>130</v>
      </c>
      <c r="E38" s="21" t="n">
        <f aca="false">ROUND(Q38,0)-D38</f>
        <v>332</v>
      </c>
      <c r="F38" s="21" t="n">
        <f aca="false">IF(COUNTA(D38:E38)=0,"",SUM(D38:E38))</f>
        <v>462</v>
      </c>
      <c r="G38" s="39" t="n">
        <f aca="false">IF(OR(F38="",F38=0),"",D38/F38)</f>
        <v>0.281385281385281</v>
      </c>
      <c r="H38" s="39" t="n">
        <f aca="false">IF(OR(F38="",F38=0),"",E38/F38)</f>
        <v>0.718614718614719</v>
      </c>
      <c r="I38" s="38" t="s">
        <v>89</v>
      </c>
      <c r="J38" s="40" t="n">
        <v>3.7041269898902</v>
      </c>
      <c r="K38" s="39" t="n">
        <f aca="false">IF(G38="","",MAX(0,G38-J38/100))</f>
        <v>0.244344011486379</v>
      </c>
      <c r="L38" s="39" t="n">
        <f aca="false">IF(G38="","",MIN(1,G38+J38/100))</f>
        <v>0.318426551284183</v>
      </c>
      <c r="M38" s="21" t="n">
        <f aca="false">ROUND(Q38*S38,0)</f>
        <v>36</v>
      </c>
      <c r="N38" s="21" t="n">
        <f aca="false">ROUND(SQRT((F38*J38/100)^2+(G38*M38)^2),0)</f>
        <v>20</v>
      </c>
      <c r="P38" s="41" t="n">
        <v>-24.5279965646288</v>
      </c>
      <c r="Q38" s="42" t="n">
        <v>461.898090334424</v>
      </c>
      <c r="R38" s="43" t="n">
        <f aca="false">MAX(0,MIN(1,P38/100+$D$5))</f>
        <v>0.281704732930334</v>
      </c>
      <c r="S38" s="43" t="n">
        <v>0.0779420971553049</v>
      </c>
      <c r="T38" s="44" t="s">
        <v>90</v>
      </c>
    </row>
    <row r="39" customFormat="false" ht="15" hidden="false" customHeight="false" outlineLevel="0" collapsed="false">
      <c r="A39" s="38" t="s">
        <v>87</v>
      </c>
      <c r="B39" s="38" t="s">
        <v>124</v>
      </c>
      <c r="C39" s="38" t="s">
        <v>126</v>
      </c>
      <c r="D39" s="21" t="n">
        <f aca="false">ROUND(Q39*R39,0)</f>
        <v>108</v>
      </c>
      <c r="E39" s="21" t="n">
        <f aca="false">ROUND(Q39,0)-D39</f>
        <v>218</v>
      </c>
      <c r="F39" s="21" t="n">
        <f aca="false">IF(COUNTA(D39:E39)=0,"",SUM(D39:E39))</f>
        <v>326</v>
      </c>
      <c r="G39" s="39" t="n">
        <f aca="false">IF(OR(F39="",F39=0),"",D39/F39)</f>
        <v>0.331288343558282</v>
      </c>
      <c r="H39" s="39" t="n">
        <f aca="false">IF(OR(F39="",F39=0),"",E39/F39)</f>
        <v>0.668711656441718</v>
      </c>
      <c r="I39" s="38" t="s">
        <v>89</v>
      </c>
      <c r="J39" s="40" t="n">
        <v>3.7041269898902</v>
      </c>
      <c r="K39" s="39" t="n">
        <f aca="false">IF(G39="","",MAX(0,G39-J39/100))</f>
        <v>0.29424707365938</v>
      </c>
      <c r="L39" s="39" t="n">
        <f aca="false">IF(G39="","",MIN(1,G39+J39/100))</f>
        <v>0.368329613457184</v>
      </c>
      <c r="M39" s="21" t="n">
        <f aca="false">ROUND(Q39*S39,0)</f>
        <v>25</v>
      </c>
      <c r="N39" s="21" t="n">
        <f aca="false">ROUND(SQRT((F39*J39/100)^2+(G39*M39)^2),0)</f>
        <v>15</v>
      </c>
      <c r="P39" s="41" t="n">
        <v>-19.4129103009536</v>
      </c>
      <c r="Q39" s="42" t="n">
        <v>325.753155321963</v>
      </c>
      <c r="R39" s="43" t="n">
        <f aca="false">MAX(0,MIN(1,P39/100+$D$5))</f>
        <v>0.332855595567086</v>
      </c>
      <c r="S39" s="43" t="n">
        <v>0.0779420971553049</v>
      </c>
      <c r="T39" s="44" t="s">
        <v>90</v>
      </c>
    </row>
    <row r="40" customFormat="false" ht="15" hidden="false" customHeight="false" outlineLevel="0" collapsed="false">
      <c r="A40" s="38" t="s">
        <v>87</v>
      </c>
      <c r="B40" s="38" t="s">
        <v>124</v>
      </c>
      <c r="C40" s="38" t="s">
        <v>127</v>
      </c>
      <c r="D40" s="21" t="n">
        <f aca="false">ROUND(Q40*R40,0)</f>
        <v>395</v>
      </c>
      <c r="E40" s="21" t="n">
        <f aca="false">ROUND(Q40,0)-D40</f>
        <v>802</v>
      </c>
      <c r="F40" s="21" t="n">
        <f aca="false">IF(COUNTA(D40:E40)=0,"",SUM(D40:E40))</f>
        <v>1197</v>
      </c>
      <c r="G40" s="39" t="n">
        <f aca="false">IF(OR(F40="",F40=0),"",D40/F40)</f>
        <v>0.329991645781119</v>
      </c>
      <c r="H40" s="39" t="n">
        <f aca="false">IF(OR(F40="",F40=0),"",E40/F40)</f>
        <v>0.670008354218881</v>
      </c>
      <c r="I40" s="38" t="s">
        <v>89</v>
      </c>
      <c r="J40" s="40" t="n">
        <v>2.12060277043418</v>
      </c>
      <c r="K40" s="39" t="n">
        <f aca="false">IF(G40="","",MAX(0,G40-J40/100))</f>
        <v>0.308785618076778</v>
      </c>
      <c r="L40" s="39" t="n">
        <f aca="false">IF(G40="","",MIN(1,G40+J40/100))</f>
        <v>0.351197673485461</v>
      </c>
      <c r="M40" s="21" t="n">
        <f aca="false">ROUND(Q40*S40,0)</f>
        <v>76</v>
      </c>
      <c r="N40" s="21" t="n">
        <f aca="false">ROUND(SQRT((F40*J40/100)^2+(G40*M40)^2),0)</f>
        <v>36</v>
      </c>
      <c r="P40" s="41" t="n">
        <v>-19.6622312254062</v>
      </c>
      <c r="Q40" s="42" t="n">
        <v>1196.71851255564</v>
      </c>
      <c r="R40" s="43" t="n">
        <f aca="false">MAX(0,MIN(1,P40/100+$D$5))</f>
        <v>0.33036238632256</v>
      </c>
      <c r="S40" s="43" t="n">
        <v>0.0633793435818552</v>
      </c>
      <c r="T40" s="44" t="s">
        <v>99</v>
      </c>
    </row>
    <row r="41" customFormat="false" ht="15" hidden="false" customHeight="false" outlineLevel="0" collapsed="false">
      <c r="A41" s="38" t="s">
        <v>87</v>
      </c>
      <c r="B41" s="38" t="s">
        <v>129</v>
      </c>
      <c r="C41" s="38" t="s">
        <v>130</v>
      </c>
      <c r="D41" s="21" t="n">
        <f aca="false">ROUND(Q41*R41,0)</f>
        <v>268</v>
      </c>
      <c r="E41" s="21" t="n">
        <f aca="false">ROUND(Q41,0)-D41</f>
        <v>343</v>
      </c>
      <c r="F41" s="21" t="n">
        <f aca="false">IF(COUNTA(D41:E41)=0,"",SUM(D41:E41))</f>
        <v>611</v>
      </c>
      <c r="G41" s="39" t="n">
        <f aca="false">IF(OR(F41="",F41=0),"",D41/F41)</f>
        <v>0.438625204582651</v>
      </c>
      <c r="H41" s="39" t="n">
        <f aca="false">IF(OR(F41="",F41=0),"",E41/F41)</f>
        <v>0.561374795417349</v>
      </c>
      <c r="I41" s="38" t="s">
        <v>89</v>
      </c>
      <c r="J41" s="40" t="n">
        <v>3.7041269898902</v>
      </c>
      <c r="K41" s="39" t="n">
        <f aca="false">IF(G41="","",MAX(0,G41-J41/100))</f>
        <v>0.401583934683749</v>
      </c>
      <c r="L41" s="39" t="n">
        <f aca="false">IF(G41="","",MIN(1,G41+J41/100))</f>
        <v>0.475666474481553</v>
      </c>
      <c r="M41" s="21" t="n">
        <f aca="false">ROUND(Q41*S41,0)</f>
        <v>48</v>
      </c>
      <c r="N41" s="21" t="n">
        <f aca="false">ROUND(SQRT((F41*J41/100)^2+(G41*M41)^2),0)</f>
        <v>31</v>
      </c>
      <c r="P41" s="41" t="n">
        <v>-8.79919231884331</v>
      </c>
      <c r="Q41" s="42" t="n">
        <v>610.863251459044</v>
      </c>
      <c r="R41" s="43" t="n">
        <f aca="false">MAX(0,MIN(1,P41/100+$D$5))</f>
        <v>0.438992775388189</v>
      </c>
      <c r="S41" s="43" t="n">
        <v>0.0779420971553049</v>
      </c>
      <c r="T41" s="44" t="s">
        <v>90</v>
      </c>
    </row>
    <row r="42" customFormat="false" ht="15" hidden="false" customHeight="false" outlineLevel="0" collapsed="false">
      <c r="A42" s="38" t="s">
        <v>87</v>
      </c>
      <c r="B42" s="38" t="s">
        <v>129</v>
      </c>
      <c r="C42" s="38" t="s">
        <v>131</v>
      </c>
      <c r="D42" s="21" t="n">
        <f aca="false">ROUND(Q42*R42,0)</f>
        <v>285</v>
      </c>
      <c r="E42" s="21" t="n">
        <f aca="false">ROUND(Q42,0)-D42</f>
        <v>382</v>
      </c>
      <c r="F42" s="21" t="n">
        <f aca="false">IF(COUNTA(D42:E42)=0,"",SUM(D42:E42))</f>
        <v>667</v>
      </c>
      <c r="G42" s="39" t="n">
        <f aca="false">IF(OR(F42="",F42=0),"",D42/F42)</f>
        <v>0.427286356821589</v>
      </c>
      <c r="H42" s="39" t="n">
        <f aca="false">IF(OR(F42="",F42=0),"",E42/F42)</f>
        <v>0.572713643178411</v>
      </c>
      <c r="I42" s="38" t="s">
        <v>89</v>
      </c>
      <c r="J42" s="40" t="n">
        <v>3.7041269898902</v>
      </c>
      <c r="K42" s="39" t="n">
        <f aca="false">IF(G42="","",MAX(0,G42-J42/100))</f>
        <v>0.390245086922687</v>
      </c>
      <c r="L42" s="39" t="n">
        <f aca="false">IF(G42="","",MIN(1,G42+J42/100))</f>
        <v>0.464327626720491</v>
      </c>
      <c r="M42" s="21" t="n">
        <f aca="false">ROUND(Q42*S42,0)</f>
        <v>52</v>
      </c>
      <c r="N42" s="21" t="n">
        <f aca="false">ROUND(SQRT((F42*J42/100)^2+(G42*M42)^2),0)</f>
        <v>33</v>
      </c>
      <c r="P42" s="41" t="n">
        <v>-9.92815086097814</v>
      </c>
      <c r="Q42" s="42" t="n">
        <v>666.515173812992</v>
      </c>
      <c r="R42" s="43" t="n">
        <f aca="false">MAX(0,MIN(1,P42/100+$D$5))</f>
        <v>0.42770318996684</v>
      </c>
      <c r="S42" s="43" t="n">
        <v>0.0779420971553049</v>
      </c>
      <c r="T42" s="44" t="s">
        <v>90</v>
      </c>
    </row>
    <row r="43" customFormat="false" ht="15" hidden="false" customHeight="false" outlineLevel="0" collapsed="false">
      <c r="A43" s="38" t="s">
        <v>87</v>
      </c>
      <c r="B43" s="38" t="s">
        <v>132</v>
      </c>
      <c r="C43" s="38" t="s">
        <v>132</v>
      </c>
      <c r="D43" s="21" t="n">
        <f aca="false">ROUND(Q43*R43,0)</f>
        <v>132</v>
      </c>
      <c r="E43" s="21" t="n">
        <f aca="false">ROUND(Q43,0)-D43</f>
        <v>445</v>
      </c>
      <c r="F43" s="21" t="n">
        <f aca="false">IF(COUNTA(D43:E43)=0,"",SUM(D43:E43))</f>
        <v>577</v>
      </c>
      <c r="G43" s="39" t="n">
        <f aca="false">IF(OR(F43="",F43=0),"",D43/F43)</f>
        <v>0.228769497400347</v>
      </c>
      <c r="H43" s="39" t="n">
        <f aca="false">IF(OR(F43="",F43=0),"",E43/F43)</f>
        <v>0.771230502599653</v>
      </c>
      <c r="I43" s="38" t="s">
        <v>89</v>
      </c>
      <c r="J43" s="40" t="n">
        <v>3.7041269898902</v>
      </c>
      <c r="K43" s="39" t="n">
        <f aca="false">IF(G43="","",MAX(0,G43-J43/100))</f>
        <v>0.191728227501445</v>
      </c>
      <c r="L43" s="39" t="n">
        <f aca="false">IF(G43="","",MIN(1,G43+J43/100))</f>
        <v>0.265810767299249</v>
      </c>
      <c r="M43" s="21" t="n">
        <f aca="false">ROUND(Q43*S43,0)</f>
        <v>45</v>
      </c>
      <c r="N43" s="21" t="n">
        <f aca="false">ROUND(SQRT((F43*J43/100)^2+(G43*M43)^2),0)</f>
        <v>24</v>
      </c>
      <c r="P43" s="41" t="n">
        <v>-29.7584837291525</v>
      </c>
      <c r="Q43" s="42" t="n">
        <v>577.072293097796</v>
      </c>
      <c r="R43" s="43" t="n">
        <f aca="false">MAX(0,MIN(1,P43/100+$D$5))</f>
        <v>0.229399861285097</v>
      </c>
      <c r="S43" s="43" t="n">
        <v>0.0779420971553049</v>
      </c>
      <c r="T43" s="44" t="s">
        <v>90</v>
      </c>
    </row>
    <row r="44" customFormat="false" ht="15" hidden="false" customHeight="false" outlineLevel="0" collapsed="false">
      <c r="A44" s="38" t="s">
        <v>87</v>
      </c>
      <c r="B44" s="38" t="s">
        <v>133</v>
      </c>
      <c r="C44" s="38" t="s">
        <v>134</v>
      </c>
      <c r="D44" s="21" t="n">
        <f aca="false">ROUND(Q44*R44,0)</f>
        <v>278</v>
      </c>
      <c r="E44" s="21" t="n">
        <f aca="false">ROUND(Q44,0)-D44</f>
        <v>454</v>
      </c>
      <c r="F44" s="21" t="n">
        <f aca="false">IF(COUNTA(D44:E44)=0,"",SUM(D44:E44))</f>
        <v>732</v>
      </c>
      <c r="G44" s="39" t="n">
        <f aca="false">IF(OR(F44="",F44=0),"",D44/F44)</f>
        <v>0.379781420765027</v>
      </c>
      <c r="H44" s="39" t="n">
        <f aca="false">IF(OR(F44="",F44=0),"",E44/F44)</f>
        <v>0.620218579234973</v>
      </c>
      <c r="I44" s="38" t="s">
        <v>89</v>
      </c>
      <c r="J44" s="40" t="n">
        <v>3.7041269898902</v>
      </c>
      <c r="K44" s="39" t="n">
        <f aca="false">IF(G44="","",MAX(0,G44-J44/100))</f>
        <v>0.342740150866125</v>
      </c>
      <c r="L44" s="39" t="n">
        <f aca="false">IF(G44="","",MIN(1,G44+J44/100))</f>
        <v>0.416822690663929</v>
      </c>
      <c r="M44" s="21" t="n">
        <f aca="false">ROUND(Q44*S44,0)</f>
        <v>57</v>
      </c>
      <c r="N44" s="21" t="n">
        <f aca="false">ROUND(SQRT((F44*J44/100)^2+(G44*M44)^2),0)</f>
        <v>35</v>
      </c>
      <c r="P44" s="41" t="n">
        <v>-14.719075895271</v>
      </c>
      <c r="Q44" s="42" t="n">
        <v>732.090145447096</v>
      </c>
      <c r="R44" s="43" t="n">
        <f aca="false">MAX(0,MIN(1,P44/100+$D$5))</f>
        <v>0.379793939623912</v>
      </c>
      <c r="S44" s="43" t="n">
        <v>0.0779420971553049</v>
      </c>
      <c r="T44" s="44" t="s">
        <v>90</v>
      </c>
    </row>
    <row r="45" customFormat="false" ht="15" hidden="false" customHeight="false" outlineLevel="0" collapsed="false">
      <c r="A45" s="38" t="s">
        <v>87</v>
      </c>
      <c r="B45" s="38" t="s">
        <v>133</v>
      </c>
      <c r="C45" s="38" t="s">
        <v>135</v>
      </c>
      <c r="D45" s="21" t="n">
        <f aca="false">ROUND(Q45*R45,0)</f>
        <v>442</v>
      </c>
      <c r="E45" s="21" t="n">
        <f aca="false">ROUND(Q45,0)-D45</f>
        <v>589</v>
      </c>
      <c r="F45" s="21" t="n">
        <f aca="false">IF(COUNTA(D45:E45)=0,"",SUM(D45:E45))</f>
        <v>1031</v>
      </c>
      <c r="G45" s="39" t="n">
        <f aca="false">IF(OR(F45="",F45=0),"",D45/F45)</f>
        <v>0.428709990300679</v>
      </c>
      <c r="H45" s="39" t="n">
        <f aca="false">IF(OR(F45="",F45=0),"",E45/F45)</f>
        <v>0.571290009699321</v>
      </c>
      <c r="I45" s="38" t="s">
        <v>89</v>
      </c>
      <c r="J45" s="40" t="n">
        <v>2.12060277043418</v>
      </c>
      <c r="K45" s="39" t="n">
        <f aca="false">IF(G45="","",MAX(0,G45-J45/100))</f>
        <v>0.407503962596337</v>
      </c>
      <c r="L45" s="39" t="n">
        <f aca="false">IF(G45="","",MIN(1,G45+J45/100))</f>
        <v>0.449916018005021</v>
      </c>
      <c r="M45" s="21" t="n">
        <f aca="false">ROUND(Q45*S45,0)</f>
        <v>65</v>
      </c>
      <c r="N45" s="21" t="n">
        <f aca="false">ROUND(SQRT((F45*J45/100)^2+(G45*M45)^2),0)</f>
        <v>35</v>
      </c>
      <c r="P45" s="41" t="n">
        <v>-9.82273329870011</v>
      </c>
      <c r="Q45" s="42" t="n">
        <v>1030.65729335913</v>
      </c>
      <c r="R45" s="43" t="n">
        <f aca="false">MAX(0,MIN(1,P45/100+$D$5))</f>
        <v>0.428757365589621</v>
      </c>
      <c r="S45" s="43" t="n">
        <v>0.0633793435818552</v>
      </c>
      <c r="T45" s="44" t="s">
        <v>99</v>
      </c>
    </row>
    <row r="46" customFormat="false" ht="15" hidden="false" customHeight="false" outlineLevel="0" collapsed="false">
      <c r="A46" s="38" t="s">
        <v>87</v>
      </c>
      <c r="B46" s="38" t="s">
        <v>133</v>
      </c>
      <c r="C46" s="38" t="s">
        <v>136</v>
      </c>
      <c r="D46" s="21" t="n">
        <f aca="false">ROUND(Q46*R46,0)</f>
        <v>129</v>
      </c>
      <c r="E46" s="21" t="n">
        <f aca="false">ROUND(Q46,0)-D46</f>
        <v>198</v>
      </c>
      <c r="F46" s="21" t="n">
        <f aca="false">IF(COUNTA(D46:E46)=0,"",SUM(D46:E46))</f>
        <v>327</v>
      </c>
      <c r="G46" s="39" t="n">
        <f aca="false">IF(OR(F46="",F46=0),"",D46/F46)</f>
        <v>0.394495412844037</v>
      </c>
      <c r="H46" s="39" t="n">
        <f aca="false">IF(OR(F46="",F46=0),"",E46/F46)</f>
        <v>0.605504587155963</v>
      </c>
      <c r="I46" s="38" t="s">
        <v>89</v>
      </c>
      <c r="J46" s="40" t="n">
        <v>3.7041269898902</v>
      </c>
      <c r="K46" s="39" t="n">
        <f aca="false">IF(G46="","",MAX(0,G46-J46/100))</f>
        <v>0.357454142945135</v>
      </c>
      <c r="L46" s="39" t="n">
        <f aca="false">IF(G46="","",MIN(1,G46+J46/100))</f>
        <v>0.431536682742939</v>
      </c>
      <c r="M46" s="21" t="n">
        <f aca="false">ROUND(Q46*S46,0)</f>
        <v>26</v>
      </c>
      <c r="N46" s="21" t="n">
        <f aca="false">ROUND(SQRT((F46*J46/100)^2+(G46*M46)^2),0)</f>
        <v>16</v>
      </c>
      <c r="P46" s="41" t="n">
        <v>-13.3488267023351</v>
      </c>
      <c r="Q46" s="42" t="n">
        <v>327.46373472156</v>
      </c>
      <c r="R46" s="43" t="n">
        <f aca="false">MAX(0,MIN(1,P46/100+$D$5))</f>
        <v>0.393496431553271</v>
      </c>
      <c r="S46" s="43" t="n">
        <v>0.0779420971553049</v>
      </c>
      <c r="T46" s="44" t="s">
        <v>90</v>
      </c>
    </row>
    <row r="47" customFormat="false" ht="15" hidden="false" customHeight="false" outlineLevel="0" collapsed="false">
      <c r="A47" s="38" t="s">
        <v>87</v>
      </c>
      <c r="B47" s="38" t="s">
        <v>137</v>
      </c>
      <c r="C47" s="38" t="s">
        <v>137</v>
      </c>
      <c r="D47" s="21" t="n">
        <f aca="false">ROUND(Q47*R47,0)</f>
        <v>69</v>
      </c>
      <c r="E47" s="21" t="n">
        <f aca="false">ROUND(Q47,0)-D47</f>
        <v>129</v>
      </c>
      <c r="F47" s="21" t="n">
        <f aca="false">IF(COUNTA(D47:E47)=0,"",SUM(D47:E47))</f>
        <v>198</v>
      </c>
      <c r="G47" s="39" t="n">
        <f aca="false">IF(OR(F47="",F47=0),"",D47/F47)</f>
        <v>0.348484848484849</v>
      </c>
      <c r="H47" s="39" t="n">
        <f aca="false">IF(OR(F47="",F47=0),"",E47/F47)</f>
        <v>0.651515151515152</v>
      </c>
      <c r="I47" s="38" t="s">
        <v>89</v>
      </c>
      <c r="J47" s="40" t="n">
        <v>3.7041269898902</v>
      </c>
      <c r="K47" s="39" t="n">
        <f aca="false">IF(G47="","",MAX(0,G47-J47/100))</f>
        <v>0.311443578585947</v>
      </c>
      <c r="L47" s="39" t="n">
        <f aca="false">IF(G47="","",MIN(1,G47+J47/100))</f>
        <v>0.385526118383751</v>
      </c>
      <c r="M47" s="21" t="n">
        <f aca="false">ROUND(Q47*S47,0)</f>
        <v>15</v>
      </c>
      <c r="N47" s="21" t="n">
        <f aca="false">ROUND(SQRT((F47*J47/100)^2+(G47*M47)^2),0)</f>
        <v>9</v>
      </c>
      <c r="P47" s="41" t="n">
        <v>-17.977887701335</v>
      </c>
      <c r="Q47" s="42" t="n">
        <v>197.868336966</v>
      </c>
      <c r="R47" s="43" t="n">
        <f aca="false">MAX(0,MIN(1,P47/100+$D$5))</f>
        <v>0.347205821563272</v>
      </c>
      <c r="S47" s="43" t="n">
        <v>0.0779420971553049</v>
      </c>
      <c r="T47" s="44" t="s">
        <v>90</v>
      </c>
    </row>
    <row r="48" customFormat="false" ht="15" hidden="false" customHeight="false" outlineLevel="0" collapsed="false">
      <c r="A48" s="38" t="s">
        <v>87</v>
      </c>
      <c r="B48" s="38" t="s">
        <v>138</v>
      </c>
      <c r="C48" s="38" t="s">
        <v>139</v>
      </c>
      <c r="D48" s="21" t="n">
        <f aca="false">ROUND(Q48*R48,0)</f>
        <v>367</v>
      </c>
      <c r="E48" s="21" t="n">
        <f aca="false">ROUND(Q48,0)-D48</f>
        <v>522</v>
      </c>
      <c r="F48" s="21" t="n">
        <f aca="false">IF(COUNTA(D48:E48)=0,"",SUM(D48:E48))</f>
        <v>889</v>
      </c>
      <c r="G48" s="39" t="n">
        <f aca="false">IF(OR(F48="",F48=0),"",D48/F48)</f>
        <v>0.412823397075366</v>
      </c>
      <c r="H48" s="39" t="n">
        <f aca="false">IF(OR(F48="",F48=0),"",E48/F48)</f>
        <v>0.587176602924635</v>
      </c>
      <c r="I48" s="38" t="s">
        <v>89</v>
      </c>
      <c r="J48" s="40" t="n">
        <v>2.12060277043418</v>
      </c>
      <c r="K48" s="39" t="n">
        <f aca="false">IF(G48="","",MAX(0,G48-J48/100))</f>
        <v>0.391617369371024</v>
      </c>
      <c r="L48" s="39" t="n">
        <f aca="false">IF(G48="","",MIN(1,G48+J48/100))</f>
        <v>0.434029424779707</v>
      </c>
      <c r="M48" s="21" t="n">
        <f aca="false">ROUND(Q48*S48,0)</f>
        <v>56</v>
      </c>
      <c r="N48" s="21" t="n">
        <f aca="false">ROUND(SQRT((F48*J48/100)^2+(G48*M48)^2),0)</f>
        <v>30</v>
      </c>
      <c r="P48" s="41" t="n">
        <v>-11.44617177274</v>
      </c>
      <c r="Q48" s="42" t="n">
        <v>888.857408438022</v>
      </c>
      <c r="R48" s="43" t="n">
        <f aca="false">MAX(0,MIN(1,P48/100+$D$5))</f>
        <v>0.412522980849222</v>
      </c>
      <c r="S48" s="43" t="n">
        <v>0.0633793435818552</v>
      </c>
      <c r="T48" s="44" t="s">
        <v>99</v>
      </c>
    </row>
    <row r="49" customFormat="false" ht="15" hidden="false" customHeight="false" outlineLevel="0" collapsed="false">
      <c r="A49" s="38" t="s">
        <v>87</v>
      </c>
      <c r="B49" s="38" t="s">
        <v>138</v>
      </c>
      <c r="C49" s="38" t="s">
        <v>140</v>
      </c>
      <c r="D49" s="21" t="n">
        <f aca="false">ROUND(Q49*R49,0)</f>
        <v>279</v>
      </c>
      <c r="E49" s="21" t="n">
        <f aca="false">ROUND(Q49,0)-D49</f>
        <v>409</v>
      </c>
      <c r="F49" s="21" t="n">
        <f aca="false">IF(COUNTA(D49:E49)=0,"",SUM(D49:E49))</f>
        <v>688</v>
      </c>
      <c r="G49" s="39" t="n">
        <f aca="false">IF(OR(F49="",F49=0),"",D49/F49)</f>
        <v>0.405523255813954</v>
      </c>
      <c r="H49" s="39" t="n">
        <f aca="false">IF(OR(F49="",F49=0),"",E49/F49)</f>
        <v>0.594476744186047</v>
      </c>
      <c r="I49" s="38" t="s">
        <v>89</v>
      </c>
      <c r="J49" s="40" t="n">
        <v>3.7041269898902</v>
      </c>
      <c r="K49" s="39" t="n">
        <f aca="false">IF(G49="","",MAX(0,G49-J49/100))</f>
        <v>0.368481985915052</v>
      </c>
      <c r="L49" s="39" t="n">
        <f aca="false">IF(G49="","",MIN(1,G49+J49/100))</f>
        <v>0.442564525712856</v>
      </c>
      <c r="M49" s="21" t="n">
        <f aca="false">ROUND(Q49*S49,0)</f>
        <v>54</v>
      </c>
      <c r="N49" s="21" t="n">
        <f aca="false">ROUND(SQRT((F49*J49/100)^2+(G49*M49)^2),0)</f>
        <v>34</v>
      </c>
      <c r="P49" s="41" t="n">
        <v>-12.1185892051384</v>
      </c>
      <c r="Q49" s="42" t="n">
        <v>687.960177832113</v>
      </c>
      <c r="R49" s="43" t="n">
        <f aca="false">MAX(0,MIN(1,P49/100+$D$5))</f>
        <v>0.405798806525238</v>
      </c>
      <c r="S49" s="43" t="n">
        <v>0.0779420971553049</v>
      </c>
      <c r="T49" s="44" t="s">
        <v>90</v>
      </c>
    </row>
    <row r="50" customFormat="false" ht="15" hidden="false" customHeight="false" outlineLevel="0" collapsed="false">
      <c r="A50" s="38" t="s">
        <v>87</v>
      </c>
      <c r="B50" s="38" t="s">
        <v>138</v>
      </c>
      <c r="C50" s="38" t="s">
        <v>141</v>
      </c>
      <c r="D50" s="21" t="n">
        <f aca="false">ROUND(Q50*R50,0)</f>
        <v>424</v>
      </c>
      <c r="E50" s="21" t="n">
        <f aca="false">ROUND(Q50,0)-D50</f>
        <v>594</v>
      </c>
      <c r="F50" s="21" t="n">
        <f aca="false">IF(COUNTA(D50:E50)=0,"",SUM(D50:E50))</f>
        <v>1018</v>
      </c>
      <c r="G50" s="39" t="n">
        <f aca="false">IF(OR(F50="",F50=0),"",D50/F50)</f>
        <v>0.416502946954813</v>
      </c>
      <c r="H50" s="39" t="n">
        <f aca="false">IF(OR(F50="",F50=0),"",E50/F50)</f>
        <v>0.583497053045187</v>
      </c>
      <c r="I50" s="38" t="s">
        <v>89</v>
      </c>
      <c r="J50" s="40" t="n">
        <v>2.12060277043418</v>
      </c>
      <c r="K50" s="39" t="n">
        <f aca="false">IF(G50="","",MAX(0,G50-J50/100))</f>
        <v>0.395296919250472</v>
      </c>
      <c r="L50" s="39" t="n">
        <f aca="false">IF(G50="","",MIN(1,G50+J50/100))</f>
        <v>0.437708974659155</v>
      </c>
      <c r="M50" s="21" t="n">
        <f aca="false">ROUND(Q50*S50,0)</f>
        <v>64</v>
      </c>
      <c r="N50" s="21" t="n">
        <f aca="false">ROUND(SQRT((F50*J50/100)^2+(G50*M50)^2),0)</f>
        <v>34</v>
      </c>
      <c r="P50" s="41" t="n">
        <v>-11.0281811031191</v>
      </c>
      <c r="Q50" s="42" t="n">
        <v>1017.57175442821</v>
      </c>
      <c r="R50" s="43" t="n">
        <f aca="false">MAX(0,MIN(1,P50/100+$D$5))</f>
        <v>0.41670288754543</v>
      </c>
      <c r="S50" s="43" t="n">
        <v>0.0633793435818552</v>
      </c>
      <c r="T50" s="44" t="s">
        <v>99</v>
      </c>
    </row>
    <row r="51" customFormat="false" ht="15" hidden="false" customHeight="false" outlineLevel="0" collapsed="false">
      <c r="A51" s="38" t="s">
        <v>87</v>
      </c>
      <c r="B51" s="38" t="s">
        <v>138</v>
      </c>
      <c r="C51" s="38" t="s">
        <v>142</v>
      </c>
      <c r="D51" s="21" t="n">
        <f aca="false">ROUND(Q51*R51,0)</f>
        <v>414</v>
      </c>
      <c r="E51" s="21" t="n">
        <f aca="false">ROUND(Q51,0)-D51</f>
        <v>761</v>
      </c>
      <c r="F51" s="21" t="n">
        <f aca="false">IF(COUNTA(D51:E51)=0,"",SUM(D51:E51))</f>
        <v>1175</v>
      </c>
      <c r="G51" s="39" t="n">
        <f aca="false">IF(OR(F51="",F51=0),"",D51/F51)</f>
        <v>0.352340425531915</v>
      </c>
      <c r="H51" s="39" t="n">
        <f aca="false">IF(OR(F51="",F51=0),"",E51/F51)</f>
        <v>0.647659574468085</v>
      </c>
      <c r="I51" s="38" t="s">
        <v>89</v>
      </c>
      <c r="J51" s="40" t="n">
        <v>2.12060277043418</v>
      </c>
      <c r="K51" s="39" t="n">
        <f aca="false">IF(G51="","",MAX(0,G51-J51/100))</f>
        <v>0.331134397827573</v>
      </c>
      <c r="L51" s="39" t="n">
        <f aca="false">IF(G51="","",MIN(1,G51+J51/100))</f>
        <v>0.373546453236257</v>
      </c>
      <c r="M51" s="21" t="n">
        <f aca="false">ROUND(Q51*S51,0)</f>
        <v>74</v>
      </c>
      <c r="N51" s="21" t="n">
        <f aca="false">ROUND(SQRT((F51*J51/100)^2+(G51*M51)^2),0)</f>
        <v>36</v>
      </c>
      <c r="P51" s="41" t="n">
        <v>-17.4872005313822</v>
      </c>
      <c r="Q51" s="42" t="n">
        <v>1175.15047194456</v>
      </c>
      <c r="R51" s="43" t="n">
        <f aca="false">MAX(0,MIN(1,P51/100+$D$5))</f>
        <v>0.3521126932628</v>
      </c>
      <c r="S51" s="43" t="n">
        <v>0.0633793435818552</v>
      </c>
      <c r="T51" s="44" t="s">
        <v>99</v>
      </c>
    </row>
    <row r="52" customFormat="false" ht="15" hidden="false" customHeight="false" outlineLevel="0" collapsed="false">
      <c r="A52" s="38" t="s">
        <v>87</v>
      </c>
      <c r="B52" s="38" t="s">
        <v>138</v>
      </c>
      <c r="C52" s="38" t="s">
        <v>143</v>
      </c>
      <c r="D52" s="21" t="n">
        <f aca="false">ROUND(Q52*R52,0)</f>
        <v>393</v>
      </c>
      <c r="E52" s="21" t="n">
        <f aca="false">ROUND(Q52,0)-D52</f>
        <v>598</v>
      </c>
      <c r="F52" s="21" t="n">
        <f aca="false">IF(COUNTA(D52:E52)=0,"",SUM(D52:E52))</f>
        <v>991</v>
      </c>
      <c r="G52" s="39" t="n">
        <f aca="false">IF(OR(F52="",F52=0),"",D52/F52)</f>
        <v>0.39656912209889</v>
      </c>
      <c r="H52" s="39" t="n">
        <f aca="false">IF(OR(F52="",F52=0),"",E52/F52)</f>
        <v>0.60343087790111</v>
      </c>
      <c r="I52" s="38" t="s">
        <v>89</v>
      </c>
      <c r="J52" s="40" t="n">
        <v>2.12060277043418</v>
      </c>
      <c r="K52" s="39" t="n">
        <f aca="false">IF(G52="","",MAX(0,G52-J52/100))</f>
        <v>0.375363094394548</v>
      </c>
      <c r="L52" s="39" t="n">
        <f aca="false">IF(G52="","",MIN(1,G52+J52/100))</f>
        <v>0.417775149803232</v>
      </c>
      <c r="M52" s="21" t="n">
        <f aca="false">ROUND(Q52*S52,0)</f>
        <v>63</v>
      </c>
      <c r="N52" s="21" t="n">
        <f aca="false">ROUND(SQRT((F52*J52/100)^2+(G52*M52)^2),0)</f>
        <v>33</v>
      </c>
      <c r="P52" s="41" t="n">
        <v>-13.0510152079667</v>
      </c>
      <c r="Q52" s="42" t="n">
        <v>991.076535275553</v>
      </c>
      <c r="R52" s="43" t="n">
        <f aca="false">MAX(0,MIN(1,P52/100+$D$5))</f>
        <v>0.396474546496955</v>
      </c>
      <c r="S52" s="43" t="n">
        <v>0.0633793435818552</v>
      </c>
      <c r="T52" s="44" t="s">
        <v>99</v>
      </c>
    </row>
    <row r="53" customFormat="false" ht="15" hidden="false" customHeight="false" outlineLevel="0" collapsed="false">
      <c r="A53" s="38" t="s">
        <v>87</v>
      </c>
      <c r="B53" s="38" t="s">
        <v>144</v>
      </c>
      <c r="C53" s="38" t="s">
        <v>145</v>
      </c>
      <c r="D53" s="21" t="n">
        <f aca="false">ROUND(Q53*R53,0)</f>
        <v>160</v>
      </c>
      <c r="E53" s="21" t="n">
        <f aca="false">ROUND(Q53,0)-D53</f>
        <v>156</v>
      </c>
      <c r="F53" s="21" t="n">
        <f aca="false">IF(COUNTA(D53:E53)=0,"",SUM(D53:E53))</f>
        <v>316</v>
      </c>
      <c r="G53" s="39" t="n">
        <f aca="false">IF(OR(F53="",F53=0),"",D53/F53)</f>
        <v>0.506329113924051</v>
      </c>
      <c r="H53" s="39" t="n">
        <f aca="false">IF(OR(F53="",F53=0),"",E53/F53)</f>
        <v>0.493670886075949</v>
      </c>
      <c r="I53" s="38" t="s">
        <v>89</v>
      </c>
      <c r="J53" s="40" t="n">
        <v>3.7041269898902</v>
      </c>
      <c r="K53" s="39" t="n">
        <f aca="false">IF(G53="","",MAX(0,G53-J53/100))</f>
        <v>0.469287844025149</v>
      </c>
      <c r="L53" s="39" t="n">
        <f aca="false">IF(G53="","",MIN(1,G53+J53/100))</f>
        <v>0.543370383822953</v>
      </c>
      <c r="M53" s="21" t="n">
        <f aca="false">ROUND(Q53*S53,0)</f>
        <v>25</v>
      </c>
      <c r="N53" s="21" t="n">
        <f aca="false">ROUND(SQRT((F53*J53/100)^2+(G53*M53)^2),0)</f>
        <v>17</v>
      </c>
      <c r="P53" s="41" t="n">
        <v>-2.00782084734919</v>
      </c>
      <c r="Q53" s="42" t="n">
        <v>316.189643009187</v>
      </c>
      <c r="R53" s="43" t="n">
        <f aca="false">MAX(0,MIN(1,P53/100+$D$5))</f>
        <v>0.50690649010313</v>
      </c>
      <c r="S53" s="43" t="n">
        <v>0.0779420971553049</v>
      </c>
      <c r="T53" s="44" t="s">
        <v>90</v>
      </c>
    </row>
    <row r="54" customFormat="false" ht="15" hidden="false" customHeight="false" outlineLevel="0" collapsed="false">
      <c r="A54" s="38" t="s">
        <v>87</v>
      </c>
      <c r="B54" s="38" t="s">
        <v>144</v>
      </c>
      <c r="C54" s="38" t="s">
        <v>146</v>
      </c>
      <c r="D54" s="21" t="n">
        <f aca="false">ROUND(Q54*R54,0)</f>
        <v>181</v>
      </c>
      <c r="E54" s="21" t="n">
        <f aca="false">ROUND(Q54,0)-D54</f>
        <v>169</v>
      </c>
      <c r="F54" s="21" t="n">
        <f aca="false">IF(COUNTA(D54:E54)=0,"",SUM(D54:E54))</f>
        <v>350</v>
      </c>
      <c r="G54" s="39" t="n">
        <f aca="false">IF(OR(F54="",F54=0),"",D54/F54)</f>
        <v>0.517142857142857</v>
      </c>
      <c r="H54" s="39" t="n">
        <f aca="false">IF(OR(F54="",F54=0),"",E54/F54)</f>
        <v>0.482857142857143</v>
      </c>
      <c r="I54" s="38" t="s">
        <v>89</v>
      </c>
      <c r="J54" s="40" t="n">
        <v>3.7041269898902</v>
      </c>
      <c r="K54" s="39" t="n">
        <f aca="false">IF(G54="","",MAX(0,G54-J54/100))</f>
        <v>0.480101587243955</v>
      </c>
      <c r="L54" s="39" t="n">
        <f aca="false">IF(G54="","",MIN(1,G54+J54/100))</f>
        <v>0.554184127041759</v>
      </c>
      <c r="M54" s="21" t="n">
        <f aca="false">ROUND(Q54*S54,0)</f>
        <v>27</v>
      </c>
      <c r="N54" s="21" t="n">
        <f aca="false">ROUND(SQRT((F54*J54/100)^2+(G54*M54)^2),0)</f>
        <v>19</v>
      </c>
      <c r="P54" s="41" t="n">
        <v>-1.06502023508276</v>
      </c>
      <c r="Q54" s="42" t="n">
        <v>350.415373728785</v>
      </c>
      <c r="R54" s="43" t="n">
        <f aca="false">MAX(0,MIN(1,P54/100+$D$5))</f>
        <v>0.516334496225794</v>
      </c>
      <c r="S54" s="43" t="n">
        <v>0.0779420971553049</v>
      </c>
      <c r="T54" s="44" t="s">
        <v>90</v>
      </c>
    </row>
    <row r="55" customFormat="false" ht="15" hidden="false" customHeight="false" outlineLevel="0" collapsed="false">
      <c r="A55" s="38" t="s">
        <v>87</v>
      </c>
      <c r="B55" s="38" t="s">
        <v>144</v>
      </c>
      <c r="C55" s="38" t="s">
        <v>147</v>
      </c>
      <c r="D55" s="21" t="n">
        <f aca="false">ROUND(Q55*R55,0)</f>
        <v>110</v>
      </c>
      <c r="E55" s="21" t="n">
        <f aca="false">ROUND(Q55,0)-D55</f>
        <v>158</v>
      </c>
      <c r="F55" s="21" t="n">
        <f aca="false">IF(COUNTA(D55:E55)=0,"",SUM(D55:E55))</f>
        <v>268</v>
      </c>
      <c r="G55" s="39" t="n">
        <f aca="false">IF(OR(F55="",F55=0),"",D55/F55)</f>
        <v>0.41044776119403</v>
      </c>
      <c r="H55" s="39" t="n">
        <f aca="false">IF(OR(F55="",F55=0),"",E55/F55)</f>
        <v>0.58955223880597</v>
      </c>
      <c r="I55" s="38" t="s">
        <v>89</v>
      </c>
      <c r="J55" s="40" t="n">
        <v>3.7041269898902</v>
      </c>
      <c r="K55" s="39" t="n">
        <f aca="false">IF(G55="","",MAX(0,G55-J55/100))</f>
        <v>0.373406491295128</v>
      </c>
      <c r="L55" s="39" t="n">
        <f aca="false">IF(G55="","",MIN(1,G55+J55/100))</f>
        <v>0.447489031092932</v>
      </c>
      <c r="M55" s="21" t="n">
        <f aca="false">ROUND(Q55*S55,0)</f>
        <v>21</v>
      </c>
      <c r="N55" s="21" t="n">
        <f aca="false">ROUND(SQRT((F55*J55/100)^2+(G55*M55)^2),0)</f>
        <v>13</v>
      </c>
      <c r="P55" s="41" t="n">
        <v>-11.5436596663541</v>
      </c>
      <c r="Q55" s="42" t="n">
        <v>268.119021604396</v>
      </c>
      <c r="R55" s="43" t="n">
        <f aca="false">MAX(0,MIN(1,P55/100+$D$5))</f>
        <v>0.411548101913081</v>
      </c>
      <c r="S55" s="43" t="n">
        <v>0.0779420971553049</v>
      </c>
      <c r="T55" s="44" t="s">
        <v>90</v>
      </c>
    </row>
    <row r="56" customFormat="false" ht="15" hidden="false" customHeight="false" outlineLevel="0" collapsed="false">
      <c r="A56" s="38" t="s">
        <v>87</v>
      </c>
      <c r="B56" s="38" t="s">
        <v>144</v>
      </c>
      <c r="C56" s="38" t="s">
        <v>148</v>
      </c>
      <c r="D56" s="21" t="n">
        <f aca="false">ROUND(Q56*R56,0)</f>
        <v>188</v>
      </c>
      <c r="E56" s="21" t="n">
        <f aca="false">ROUND(Q56,0)-D56</f>
        <v>232</v>
      </c>
      <c r="F56" s="21" t="n">
        <f aca="false">IF(COUNTA(D56:E56)=0,"",SUM(D56:E56))</f>
        <v>420</v>
      </c>
      <c r="G56" s="39" t="n">
        <f aca="false">IF(OR(F56="",F56=0),"",D56/F56)</f>
        <v>0.447619047619048</v>
      </c>
      <c r="H56" s="39" t="n">
        <f aca="false">IF(OR(F56="",F56=0),"",E56/F56)</f>
        <v>0.552380952380952</v>
      </c>
      <c r="I56" s="38" t="s">
        <v>89</v>
      </c>
      <c r="J56" s="40" t="n">
        <v>3.7041269898902</v>
      </c>
      <c r="K56" s="39" t="n">
        <f aca="false">IF(G56="","",MAX(0,G56-J56/100))</f>
        <v>0.410577777720146</v>
      </c>
      <c r="L56" s="39" t="n">
        <f aca="false">IF(G56="","",MIN(1,G56+J56/100))</f>
        <v>0.48466031751795</v>
      </c>
      <c r="M56" s="21" t="n">
        <f aca="false">ROUND(Q56*S56,0)</f>
        <v>33</v>
      </c>
      <c r="N56" s="21" t="n">
        <f aca="false">ROUND(SQRT((F56*J56/100)^2+(G56*M56)^2),0)</f>
        <v>21</v>
      </c>
      <c r="P56" s="41" t="n">
        <v>-8.05624701221457</v>
      </c>
      <c r="Q56" s="42" t="n">
        <v>420.40625722795</v>
      </c>
      <c r="R56" s="43" t="n">
        <f aca="false">MAX(0,MIN(1,P56/100+$D$5))</f>
        <v>0.446422228454476</v>
      </c>
      <c r="S56" s="43" t="n">
        <v>0.0779420971553049</v>
      </c>
      <c r="T56" s="44" t="s">
        <v>90</v>
      </c>
    </row>
    <row r="57" customFormat="false" ht="15" hidden="false" customHeight="false" outlineLevel="0" collapsed="false">
      <c r="A57" s="38" t="s">
        <v>87</v>
      </c>
      <c r="B57" s="38" t="s">
        <v>149</v>
      </c>
      <c r="C57" s="38" t="s">
        <v>150</v>
      </c>
      <c r="D57" s="21" t="n">
        <f aca="false">ROUND(Q57*R57,0)</f>
        <v>274</v>
      </c>
      <c r="E57" s="21" t="n">
        <f aca="false">ROUND(Q57,0)-D57</f>
        <v>537</v>
      </c>
      <c r="F57" s="21" t="n">
        <f aca="false">IF(COUNTA(D57:E57)=0,"",SUM(D57:E57))</f>
        <v>811</v>
      </c>
      <c r="G57" s="39" t="n">
        <f aca="false">IF(OR(F57="",F57=0),"",D57/F57)</f>
        <v>0.337854500616523</v>
      </c>
      <c r="H57" s="39" t="n">
        <f aca="false">IF(OR(F57="",F57=0),"",E57/F57)</f>
        <v>0.662145499383477</v>
      </c>
      <c r="I57" s="38" t="s">
        <v>89</v>
      </c>
      <c r="J57" s="40" t="n">
        <v>2.12060277043418</v>
      </c>
      <c r="K57" s="39" t="n">
        <f aca="false">IF(G57="","",MAX(0,G57-J57/100))</f>
        <v>0.316648472912181</v>
      </c>
      <c r="L57" s="39" t="n">
        <f aca="false">IF(G57="","",MIN(1,G57+J57/100))</f>
        <v>0.359060528320865</v>
      </c>
      <c r="M57" s="21" t="n">
        <f aca="false">ROUND(Q57*S57,0)</f>
        <v>51</v>
      </c>
      <c r="N57" s="21" t="n">
        <f aca="false">ROUND(SQRT((F57*J57/100)^2+(G57*M57)^2),0)</f>
        <v>24</v>
      </c>
      <c r="P57" s="41" t="n">
        <v>-18.9016457143896</v>
      </c>
      <c r="Q57" s="42" t="n">
        <v>810.959079438055</v>
      </c>
      <c r="R57" s="43" t="n">
        <f aca="false">MAX(0,MIN(1,P57/100+$D$5))</f>
        <v>0.337968241432725</v>
      </c>
      <c r="S57" s="43" t="n">
        <v>0.0633793435818552</v>
      </c>
      <c r="T57" s="44" t="s">
        <v>99</v>
      </c>
    </row>
    <row r="58" customFormat="false" ht="15" hidden="false" customHeight="false" outlineLevel="0" collapsed="false">
      <c r="A58" s="38" t="s">
        <v>87</v>
      </c>
      <c r="B58" s="38" t="s">
        <v>149</v>
      </c>
      <c r="C58" s="38" t="s">
        <v>151</v>
      </c>
      <c r="D58" s="21" t="n">
        <f aca="false">ROUND(Q58*R58,0)</f>
        <v>252</v>
      </c>
      <c r="E58" s="21" t="n">
        <f aca="false">ROUND(Q58,0)-D58</f>
        <v>575</v>
      </c>
      <c r="F58" s="21" t="n">
        <f aca="false">IF(COUNTA(D58:E58)=0,"",SUM(D58:E58))</f>
        <v>827</v>
      </c>
      <c r="G58" s="39" t="n">
        <f aca="false">IF(OR(F58="",F58=0),"",D58/F58)</f>
        <v>0.304715840386941</v>
      </c>
      <c r="H58" s="39" t="n">
        <f aca="false">IF(OR(F58="",F58=0),"",E58/F58)</f>
        <v>0.695284159613059</v>
      </c>
      <c r="I58" s="38" t="s">
        <v>89</v>
      </c>
      <c r="J58" s="40" t="n">
        <v>2.12060277043418</v>
      </c>
      <c r="K58" s="39" t="n">
        <f aca="false">IF(G58="","",MAX(0,G58-J58/100))</f>
        <v>0.283509812682599</v>
      </c>
      <c r="L58" s="39" t="n">
        <f aca="false">IF(G58="","",MIN(1,G58+J58/100))</f>
        <v>0.325921868091283</v>
      </c>
      <c r="M58" s="21" t="n">
        <f aca="false">ROUND(Q58*S58,0)</f>
        <v>52</v>
      </c>
      <c r="N58" s="21" t="n">
        <f aca="false">ROUND(SQRT((F58*J58/100)^2+(G58*M58)^2),0)</f>
        <v>24</v>
      </c>
      <c r="P58" s="41" t="n">
        <v>-22.2226322140185</v>
      </c>
      <c r="Q58" s="42" t="n">
        <v>826.699002007307</v>
      </c>
      <c r="R58" s="43" t="n">
        <f aca="false">MAX(0,MIN(1,P58/100+$D$5))</f>
        <v>0.304758376436437</v>
      </c>
      <c r="S58" s="43" t="n">
        <v>0.0633793435818552</v>
      </c>
      <c r="T58" s="44" t="s">
        <v>99</v>
      </c>
    </row>
    <row r="59" customFormat="false" ht="15" hidden="false" customHeight="false" outlineLevel="0" collapsed="false">
      <c r="A59" s="38" t="s">
        <v>87</v>
      </c>
      <c r="B59" s="38" t="s">
        <v>149</v>
      </c>
      <c r="C59" s="38" t="s">
        <v>152</v>
      </c>
      <c r="D59" s="21" t="n">
        <f aca="false">ROUND(Q59*R59,0)</f>
        <v>235</v>
      </c>
      <c r="E59" s="21" t="n">
        <f aca="false">ROUND(Q59,0)-D59</f>
        <v>505</v>
      </c>
      <c r="F59" s="21" t="n">
        <f aca="false">IF(COUNTA(D59:E59)=0,"",SUM(D59:E59))</f>
        <v>740</v>
      </c>
      <c r="G59" s="39" t="n">
        <f aca="false">IF(OR(F59="",F59=0),"",D59/F59)</f>
        <v>0.317567567567568</v>
      </c>
      <c r="H59" s="39" t="n">
        <f aca="false">IF(OR(F59="",F59=0),"",E59/F59)</f>
        <v>0.682432432432433</v>
      </c>
      <c r="I59" s="38" t="s">
        <v>89</v>
      </c>
      <c r="J59" s="40" t="n">
        <v>3.7041269898902</v>
      </c>
      <c r="K59" s="39" t="n">
        <f aca="false">IF(G59="","",MAX(0,G59-J59/100))</f>
        <v>0.280526297668666</v>
      </c>
      <c r="L59" s="39" t="n">
        <f aca="false">IF(G59="","",MIN(1,G59+J59/100))</f>
        <v>0.35460883746647</v>
      </c>
      <c r="M59" s="21" t="n">
        <f aca="false">ROUND(Q59*S59,0)</f>
        <v>58</v>
      </c>
      <c r="N59" s="21" t="n">
        <f aca="false">ROUND(SQRT((F59*J59/100)^2+(G59*M59)^2),0)</f>
        <v>33</v>
      </c>
      <c r="P59" s="41" t="n">
        <v>-20.8837805570201</v>
      </c>
      <c r="Q59" s="42" t="n">
        <v>739.539302270582</v>
      </c>
      <c r="R59" s="43" t="n">
        <f aca="false">MAX(0,MIN(1,P59/100+$D$5))</f>
        <v>0.318146893006421</v>
      </c>
      <c r="S59" s="43" t="n">
        <v>0.0779420971553049</v>
      </c>
      <c r="T59" s="44" t="s">
        <v>90</v>
      </c>
    </row>
    <row r="60" customFormat="false" ht="15" hidden="false" customHeight="false" outlineLevel="0" collapsed="false">
      <c r="A60" s="38" t="s">
        <v>87</v>
      </c>
      <c r="B60" s="38" t="s">
        <v>153</v>
      </c>
      <c r="C60" s="38" t="s">
        <v>154</v>
      </c>
      <c r="D60" s="21" t="n">
        <f aca="false">ROUND(Q60*R60,0)</f>
        <v>209</v>
      </c>
      <c r="E60" s="21" t="n">
        <f aca="false">ROUND(Q60,0)-D60</f>
        <v>433</v>
      </c>
      <c r="F60" s="21" t="n">
        <f aca="false">IF(COUNTA(D60:E60)=0,"",SUM(D60:E60))</f>
        <v>642</v>
      </c>
      <c r="G60" s="39" t="n">
        <f aca="false">IF(OR(F60="",F60=0),"",D60/F60)</f>
        <v>0.325545171339564</v>
      </c>
      <c r="H60" s="39" t="n">
        <f aca="false">IF(OR(F60="",F60=0),"",E60/F60)</f>
        <v>0.674454828660436</v>
      </c>
      <c r="I60" s="38" t="s">
        <v>89</v>
      </c>
      <c r="J60" s="40" t="n">
        <v>3.7041269898902</v>
      </c>
      <c r="K60" s="39" t="n">
        <f aca="false">IF(G60="","",MAX(0,G60-J60/100))</f>
        <v>0.288503901440662</v>
      </c>
      <c r="L60" s="39" t="n">
        <f aca="false">IF(G60="","",MIN(1,G60+J60/100))</f>
        <v>0.362586441238466</v>
      </c>
      <c r="M60" s="21" t="n">
        <f aca="false">ROUND(Q60*S60,0)</f>
        <v>50</v>
      </c>
      <c r="N60" s="21" t="n">
        <f aca="false">ROUND(SQRT((F60*J60/100)^2+(G60*M60)^2),0)</f>
        <v>29</v>
      </c>
      <c r="P60" s="41" t="n">
        <v>-20.0603622542214</v>
      </c>
      <c r="Q60" s="42" t="n">
        <v>641.860968956032</v>
      </c>
      <c r="R60" s="43" t="n">
        <f aca="false">MAX(0,MIN(1,P60/100+$D$5))</f>
        <v>0.326381076034407</v>
      </c>
      <c r="S60" s="43" t="n">
        <v>0.0779420971553049</v>
      </c>
      <c r="T60" s="44" t="s">
        <v>90</v>
      </c>
    </row>
    <row r="61" customFormat="false" ht="15" hidden="false" customHeight="false" outlineLevel="0" collapsed="false">
      <c r="A61" s="38" t="s">
        <v>87</v>
      </c>
      <c r="B61" s="38" t="s">
        <v>153</v>
      </c>
      <c r="C61" s="38" t="s">
        <v>155</v>
      </c>
      <c r="D61" s="21" t="n">
        <f aca="false">ROUND(Q61*R61,0)</f>
        <v>100</v>
      </c>
      <c r="E61" s="21" t="n">
        <f aca="false">ROUND(Q61,0)-D61</f>
        <v>232</v>
      </c>
      <c r="F61" s="21" t="n">
        <f aca="false">IF(COUNTA(D61:E61)=0,"",SUM(D61:E61))</f>
        <v>332</v>
      </c>
      <c r="G61" s="39" t="n">
        <f aca="false">IF(OR(F61="",F61=0),"",D61/F61)</f>
        <v>0.301204819277108</v>
      </c>
      <c r="H61" s="39" t="n">
        <f aca="false">IF(OR(F61="",F61=0),"",E61/F61)</f>
        <v>0.698795180722892</v>
      </c>
      <c r="I61" s="38" t="s">
        <v>89</v>
      </c>
      <c r="J61" s="40" t="n">
        <v>3.7041269898902</v>
      </c>
      <c r="K61" s="39" t="n">
        <f aca="false">IF(G61="","",MAX(0,G61-J61/100))</f>
        <v>0.264163549378206</v>
      </c>
      <c r="L61" s="39" t="n">
        <f aca="false">IF(G61="","",MIN(1,G61+J61/100))</f>
        <v>0.33824608917601</v>
      </c>
      <c r="M61" s="21" t="n">
        <f aca="false">ROUND(Q61*S61,0)</f>
        <v>26</v>
      </c>
      <c r="N61" s="21" t="n">
        <f aca="false">ROUND(SQRT((F61*J61/100)^2+(G61*M61)^2),0)</f>
        <v>15</v>
      </c>
      <c r="P61" s="41" t="n">
        <v>-22.4029114618055</v>
      </c>
      <c r="Q61" s="42" t="n">
        <v>331.61612344391</v>
      </c>
      <c r="R61" s="43" t="n">
        <f aca="false">MAX(0,MIN(1,P61/100+$D$5))</f>
        <v>0.302955583958567</v>
      </c>
      <c r="S61" s="43" t="n">
        <v>0.0779420971553049</v>
      </c>
      <c r="T61" s="44" t="s">
        <v>90</v>
      </c>
    </row>
    <row r="62" customFormat="false" ht="15" hidden="false" customHeight="false" outlineLevel="0" collapsed="false">
      <c r="A62" s="38" t="s">
        <v>87</v>
      </c>
      <c r="B62" s="38" t="s">
        <v>156</v>
      </c>
      <c r="C62" s="38" t="s">
        <v>156</v>
      </c>
      <c r="D62" s="21" t="n">
        <f aca="false">ROUND(Q62*R62,0)</f>
        <v>47</v>
      </c>
      <c r="E62" s="21" t="n">
        <f aca="false">ROUND(Q62,0)-D62</f>
        <v>69</v>
      </c>
      <c r="F62" s="21" t="n">
        <f aca="false">IF(COUNTA(D62:E62)=0,"",SUM(D62:E62))</f>
        <v>116</v>
      </c>
      <c r="G62" s="39" t="n">
        <f aca="false">IF(OR(F62="",F62=0),"",D62/F62)</f>
        <v>0.405172413793103</v>
      </c>
      <c r="H62" s="39" t="n">
        <f aca="false">IF(OR(F62="",F62=0),"",E62/F62)</f>
        <v>0.594827586206897</v>
      </c>
      <c r="I62" s="38" t="s">
        <v>89</v>
      </c>
      <c r="J62" s="40" t="n">
        <v>3.7041269898902</v>
      </c>
      <c r="K62" s="39" t="n">
        <f aca="false">IF(G62="","",MAX(0,G62-J62/100))</f>
        <v>0.368131143894201</v>
      </c>
      <c r="L62" s="39" t="n">
        <f aca="false">IF(G62="","",MIN(1,G62+J62/100))</f>
        <v>0.442213683692005</v>
      </c>
      <c r="M62" s="21" t="n">
        <f aca="false">ROUND(Q62*S62,0)</f>
        <v>9</v>
      </c>
      <c r="N62" s="21" t="n">
        <f aca="false">ROUND(SQRT((F62*J62/100)^2+(G62*M62)^2),0)</f>
        <v>6</v>
      </c>
      <c r="P62" s="41" t="n">
        <v>-12.2797404696779</v>
      </c>
      <c r="Q62" s="42" t="n">
        <v>115.708938207502</v>
      </c>
      <c r="R62" s="43" t="n">
        <f aca="false">MAX(0,MIN(1,P62/100+$D$5))</f>
        <v>0.404187293879843</v>
      </c>
      <c r="S62" s="43" t="n">
        <v>0.0779420971553049</v>
      </c>
      <c r="T62" s="44" t="s">
        <v>90</v>
      </c>
    </row>
    <row r="63" customFormat="false" ht="15" hidden="false" customHeight="false" outlineLevel="0" collapsed="false">
      <c r="A63" s="38" t="s">
        <v>157</v>
      </c>
      <c r="B63" s="38" t="s">
        <v>158</v>
      </c>
      <c r="C63" s="38" t="s">
        <v>158</v>
      </c>
      <c r="D63" s="21" t="n">
        <f aca="false">ROUND(Q63*R63,0)</f>
        <v>549</v>
      </c>
      <c r="E63" s="21" t="n">
        <f aca="false">ROUND(Q63,0)-D63</f>
        <v>551</v>
      </c>
      <c r="F63" s="21" t="n">
        <f aca="false">IF(COUNTA(D63:E63)=0,"",SUM(D63:E63))</f>
        <v>1100</v>
      </c>
      <c r="G63" s="39" t="n">
        <f aca="false">IF(OR(F63="",F63=0),"",D63/F63)</f>
        <v>0.499090909090909</v>
      </c>
      <c r="H63" s="39" t="n">
        <f aca="false">IF(OR(F63="",F63=0),"",E63/F63)</f>
        <v>0.500909090909091</v>
      </c>
      <c r="I63" s="38" t="s">
        <v>89</v>
      </c>
      <c r="J63" s="40" t="n">
        <v>2.12060277043418</v>
      </c>
      <c r="K63" s="39" t="n">
        <f aca="false">IF(G63="","",MAX(0,G63-J63/100))</f>
        <v>0.477884881386567</v>
      </c>
      <c r="L63" s="39" t="n">
        <f aca="false">IF(G63="","",MIN(1,G63+J63/100))</f>
        <v>0.520296936795251</v>
      </c>
      <c r="M63" s="21" t="n">
        <f aca="false">ROUND(Q63*S63,0)</f>
        <v>70</v>
      </c>
      <c r="N63" s="21" t="n">
        <f aca="false">ROUND(SQRT((F63*J63/100)^2+(G63*M63)^2),0)</f>
        <v>42</v>
      </c>
      <c r="P63" s="41" t="n">
        <v>-2.78139044078126</v>
      </c>
      <c r="Q63" s="42" t="n">
        <v>1100.3526626325</v>
      </c>
      <c r="R63" s="43" t="n">
        <f aca="false">MAX(0,MIN(1,P63/100+$D$5))</f>
        <v>0.499170794168809</v>
      </c>
      <c r="S63" s="43" t="n">
        <v>0.0633793435818552</v>
      </c>
      <c r="T63" s="44" t="s">
        <v>99</v>
      </c>
    </row>
    <row r="64" customFormat="false" ht="15" hidden="false" customHeight="false" outlineLevel="0" collapsed="false">
      <c r="A64" s="38" t="s">
        <v>157</v>
      </c>
      <c r="B64" s="38" t="s">
        <v>159</v>
      </c>
      <c r="C64" s="38" t="s">
        <v>160</v>
      </c>
      <c r="D64" s="21" t="n">
        <f aca="false">ROUND(Q64*R64,0)</f>
        <v>245</v>
      </c>
      <c r="E64" s="21" t="n">
        <f aca="false">ROUND(Q64,0)-D64</f>
        <v>75</v>
      </c>
      <c r="F64" s="21" t="n">
        <f aca="false">IF(COUNTA(D64:E64)=0,"",SUM(D64:E64))</f>
        <v>320</v>
      </c>
      <c r="G64" s="39" t="n">
        <f aca="false">IF(OR(F64="",F64=0),"",D64/F64)</f>
        <v>0.765625</v>
      </c>
      <c r="H64" s="39" t="n">
        <f aca="false">IF(OR(F64="",F64=0),"",E64/F64)</f>
        <v>0.234375</v>
      </c>
      <c r="I64" s="38" t="s">
        <v>89</v>
      </c>
      <c r="J64" s="40" t="n">
        <v>3.7041269898902</v>
      </c>
      <c r="K64" s="39" t="n">
        <f aca="false">IF(G64="","",MAX(0,G64-J64/100))</f>
        <v>0.728583730101098</v>
      </c>
      <c r="L64" s="39" t="n">
        <f aca="false">IF(G64="","",MIN(1,G64+J64/100))</f>
        <v>0.802666269898902</v>
      </c>
      <c r="M64" s="21" t="n">
        <f aca="false">ROUND(Q64*S64,0)</f>
        <v>25</v>
      </c>
      <c r="N64" s="21" t="n">
        <f aca="false">ROUND(SQRT((F64*J64/100)^2+(G64*M64)^2),0)</f>
        <v>23</v>
      </c>
      <c r="P64" s="41" t="n">
        <v>23.9464702664406</v>
      </c>
      <c r="Q64" s="42" t="n">
        <v>320.292515396677</v>
      </c>
      <c r="R64" s="43" t="n">
        <f aca="false">MAX(0,MIN(1,P64/100+$D$5))</f>
        <v>0.766449401241028</v>
      </c>
      <c r="S64" s="43" t="n">
        <v>0.0779420971553049</v>
      </c>
      <c r="T64" s="44" t="s">
        <v>90</v>
      </c>
    </row>
    <row r="65" customFormat="false" ht="15" hidden="false" customHeight="false" outlineLevel="0" collapsed="false">
      <c r="A65" s="38" t="s">
        <v>157</v>
      </c>
      <c r="B65" s="38" t="s">
        <v>159</v>
      </c>
      <c r="C65" s="38" t="s">
        <v>161</v>
      </c>
      <c r="D65" s="21" t="n">
        <f aca="false">ROUND(Q65*R65,0)</f>
        <v>135</v>
      </c>
      <c r="E65" s="21" t="n">
        <f aca="false">ROUND(Q65,0)-D65</f>
        <v>56</v>
      </c>
      <c r="F65" s="21" t="n">
        <f aca="false">IF(COUNTA(D65:E65)=0,"",SUM(D65:E65))</f>
        <v>191</v>
      </c>
      <c r="G65" s="39" t="n">
        <f aca="false">IF(OR(F65="",F65=0),"",D65/F65)</f>
        <v>0.706806282722513</v>
      </c>
      <c r="H65" s="39" t="n">
        <f aca="false">IF(OR(F65="",F65=0),"",E65/F65)</f>
        <v>0.293193717277487</v>
      </c>
      <c r="I65" s="38" t="s">
        <v>89</v>
      </c>
      <c r="J65" s="40" t="n">
        <v>3.7041269898902</v>
      </c>
      <c r="K65" s="39" t="n">
        <f aca="false">IF(G65="","",MAX(0,G65-J65/100))</f>
        <v>0.669765012823611</v>
      </c>
      <c r="L65" s="39" t="n">
        <f aca="false">IF(G65="","",MIN(1,G65+J65/100))</f>
        <v>0.743847552621415</v>
      </c>
      <c r="M65" s="21" t="n">
        <f aca="false">ROUND(Q65*S65,0)</f>
        <v>15</v>
      </c>
      <c r="N65" s="21" t="n">
        <f aca="false">ROUND(SQRT((F65*J65/100)^2+(G65*M65)^2),0)</f>
        <v>13</v>
      </c>
      <c r="P65" s="41" t="n">
        <v>18.2800072361935</v>
      </c>
      <c r="Q65" s="42" t="n">
        <v>190.729657723673</v>
      </c>
      <c r="R65" s="43" t="n">
        <f aca="false">MAX(0,MIN(1,P65/100+$D$5))</f>
        <v>0.709784770938557</v>
      </c>
      <c r="S65" s="43" t="n">
        <v>0.0779420971553049</v>
      </c>
      <c r="T65" s="44" t="s">
        <v>90</v>
      </c>
    </row>
    <row r="66" customFormat="false" ht="15" hidden="false" customHeight="false" outlineLevel="0" collapsed="false">
      <c r="A66" s="38" t="s">
        <v>157</v>
      </c>
      <c r="B66" s="38" t="s">
        <v>159</v>
      </c>
      <c r="C66" s="38" t="s">
        <v>162</v>
      </c>
      <c r="D66" s="21" t="n">
        <f aca="false">ROUND(Q66*R66,0)</f>
        <v>163</v>
      </c>
      <c r="E66" s="21" t="n">
        <f aca="false">ROUND(Q66,0)-D66</f>
        <v>56</v>
      </c>
      <c r="F66" s="21" t="n">
        <f aca="false">IF(COUNTA(D66:E66)=0,"",SUM(D66:E66))</f>
        <v>219</v>
      </c>
      <c r="G66" s="39" t="n">
        <f aca="false">IF(OR(F66="",F66=0),"",D66/F66)</f>
        <v>0.744292237442922</v>
      </c>
      <c r="H66" s="39" t="n">
        <f aca="false">IF(OR(F66="",F66=0),"",E66/F66)</f>
        <v>0.255707762557078</v>
      </c>
      <c r="I66" s="38" t="s">
        <v>89</v>
      </c>
      <c r="J66" s="40" t="n">
        <v>3.7041269898902</v>
      </c>
      <c r="K66" s="39" t="n">
        <f aca="false">IF(G66="","",MAX(0,G66-J66/100))</f>
        <v>0.70725096754402</v>
      </c>
      <c r="L66" s="39" t="n">
        <f aca="false">IF(G66="","",MIN(1,G66+J66/100))</f>
        <v>0.781333507341824</v>
      </c>
      <c r="M66" s="21" t="n">
        <f aca="false">ROUND(Q66*S66,0)</f>
        <v>17</v>
      </c>
      <c r="N66" s="21" t="n">
        <f aca="false">ROUND(SQRT((F66*J66/100)^2+(G66*M66)^2),0)</f>
        <v>15</v>
      </c>
      <c r="P66" s="41" t="n">
        <v>21.7479551520497</v>
      </c>
      <c r="Q66" s="42" t="n">
        <v>219.444107030573</v>
      </c>
      <c r="R66" s="43" t="n">
        <f aca="false">MAX(0,MIN(1,P66/100+$D$5))</f>
        <v>0.744464250097119</v>
      </c>
      <c r="S66" s="43" t="n">
        <v>0.0779420971553049</v>
      </c>
      <c r="T66" s="44" t="s">
        <v>90</v>
      </c>
    </row>
    <row r="67" customFormat="false" ht="15" hidden="false" customHeight="false" outlineLevel="0" collapsed="false">
      <c r="A67" s="38" t="s">
        <v>157</v>
      </c>
      <c r="B67" s="38" t="s">
        <v>159</v>
      </c>
      <c r="C67" s="38" t="s">
        <v>163</v>
      </c>
      <c r="D67" s="21" t="n">
        <f aca="false">ROUND(Q67*R67,0)</f>
        <v>162</v>
      </c>
      <c r="E67" s="21" t="n">
        <f aca="false">ROUND(Q67,0)-D67</f>
        <v>62</v>
      </c>
      <c r="F67" s="21" t="n">
        <f aca="false">IF(COUNTA(D67:E67)=0,"",SUM(D67:E67))</f>
        <v>224</v>
      </c>
      <c r="G67" s="39" t="n">
        <f aca="false">IF(OR(F67="",F67=0),"",D67/F67)</f>
        <v>0.723214285714286</v>
      </c>
      <c r="H67" s="39" t="n">
        <f aca="false">IF(OR(F67="",F67=0),"",E67/F67)</f>
        <v>0.276785714285714</v>
      </c>
      <c r="I67" s="38" t="s">
        <v>89</v>
      </c>
      <c r="J67" s="40" t="n">
        <v>3.7041269898902</v>
      </c>
      <c r="K67" s="39" t="n">
        <f aca="false">IF(G67="","",MAX(0,G67-J67/100))</f>
        <v>0.686173015815384</v>
      </c>
      <c r="L67" s="39" t="n">
        <f aca="false">IF(G67="","",MIN(1,G67+J67/100))</f>
        <v>0.760255555613188</v>
      </c>
      <c r="M67" s="21" t="n">
        <f aca="false">ROUND(Q67*S67,0)</f>
        <v>17</v>
      </c>
      <c r="N67" s="21" t="n">
        <f aca="false">ROUND(SQRT((F67*J67/100)^2+(G67*M67)^2),0)</f>
        <v>15</v>
      </c>
      <c r="P67" s="41" t="n">
        <v>19.6038972266823</v>
      </c>
      <c r="Q67" s="42" t="n">
        <v>224.077914166046</v>
      </c>
      <c r="R67" s="43" t="n">
        <f aca="false">MAX(0,MIN(1,P67/100+$D$5))</f>
        <v>0.723023670843445</v>
      </c>
      <c r="S67" s="43" t="n">
        <v>0.0779420971553049</v>
      </c>
      <c r="T67" s="44" t="s">
        <v>90</v>
      </c>
    </row>
    <row r="68" customFormat="false" ht="15" hidden="false" customHeight="false" outlineLevel="0" collapsed="false">
      <c r="A68" s="38" t="s">
        <v>157</v>
      </c>
      <c r="B68" s="38" t="s">
        <v>159</v>
      </c>
      <c r="C68" s="38" t="s">
        <v>164</v>
      </c>
      <c r="D68" s="21" t="n">
        <f aca="false">ROUND(Q68*R68,0)</f>
        <v>163</v>
      </c>
      <c r="E68" s="21" t="n">
        <f aca="false">ROUND(Q68,0)-D68</f>
        <v>45</v>
      </c>
      <c r="F68" s="21" t="n">
        <f aca="false">IF(COUNTA(D68:E68)=0,"",SUM(D68:E68))</f>
        <v>208</v>
      </c>
      <c r="G68" s="39" t="n">
        <f aca="false">IF(OR(F68="",F68=0),"",D68/F68)</f>
        <v>0.783653846153846</v>
      </c>
      <c r="H68" s="39" t="n">
        <f aca="false">IF(OR(F68="",F68=0),"",E68/F68)</f>
        <v>0.216346153846154</v>
      </c>
      <c r="I68" s="38" t="s">
        <v>89</v>
      </c>
      <c r="J68" s="40" t="n">
        <v>3.7041269898902</v>
      </c>
      <c r="K68" s="39" t="n">
        <f aca="false">IF(G68="","",MAX(0,G68-J68/100))</f>
        <v>0.746612576254944</v>
      </c>
      <c r="L68" s="39" t="n">
        <f aca="false">IF(G68="","",MIN(1,G68+J68/100))</f>
        <v>0.820695116052748</v>
      </c>
      <c r="M68" s="21" t="n">
        <f aca="false">ROUND(Q68*S68,0)</f>
        <v>16</v>
      </c>
      <c r="N68" s="21" t="n">
        <f aca="false">ROUND(SQRT((F68*J68/100)^2+(G68*M68)^2),0)</f>
        <v>15</v>
      </c>
      <c r="P68" s="41" t="n">
        <v>25.7250687520981</v>
      </c>
      <c r="Q68" s="42" t="n">
        <v>208.202849167439</v>
      </c>
      <c r="R68" s="43" t="n">
        <f aca="false">MAX(0,MIN(1,P68/100+$D$5))</f>
        <v>0.784235386097603</v>
      </c>
      <c r="S68" s="43" t="n">
        <v>0.0779420971553049</v>
      </c>
      <c r="T68" s="44" t="s">
        <v>90</v>
      </c>
    </row>
    <row r="69" customFormat="false" ht="15" hidden="false" customHeight="false" outlineLevel="0" collapsed="false">
      <c r="A69" s="38" t="s">
        <v>157</v>
      </c>
      <c r="B69" s="38" t="s">
        <v>159</v>
      </c>
      <c r="C69" s="38" t="s">
        <v>165</v>
      </c>
      <c r="D69" s="21" t="n">
        <f aca="false">ROUND(Q69*R69,0)</f>
        <v>253</v>
      </c>
      <c r="E69" s="21" t="n">
        <f aca="false">ROUND(Q69,0)-D69</f>
        <v>94</v>
      </c>
      <c r="F69" s="21" t="n">
        <f aca="false">IF(COUNTA(D69:E69)=0,"",SUM(D69:E69))</f>
        <v>347</v>
      </c>
      <c r="G69" s="39" t="n">
        <f aca="false">IF(OR(F69="",F69=0),"",D69/F69)</f>
        <v>0.729106628242075</v>
      </c>
      <c r="H69" s="39" t="n">
        <f aca="false">IF(OR(F69="",F69=0),"",E69/F69)</f>
        <v>0.270893371757925</v>
      </c>
      <c r="I69" s="38" t="s">
        <v>89</v>
      </c>
      <c r="J69" s="40" t="n">
        <v>3.7041269898902</v>
      </c>
      <c r="K69" s="39" t="n">
        <f aca="false">IF(G69="","",MAX(0,G69-J69/100))</f>
        <v>0.692065358343173</v>
      </c>
      <c r="L69" s="39" t="n">
        <f aca="false">IF(G69="","",MIN(1,G69+J69/100))</f>
        <v>0.766147898140977</v>
      </c>
      <c r="M69" s="21" t="n">
        <f aca="false">ROUND(Q69*S69,0)</f>
        <v>27</v>
      </c>
      <c r="N69" s="21" t="n">
        <f aca="false">ROUND(SQRT((F69*J69/100)^2+(G69*M69)^2),0)</f>
        <v>24</v>
      </c>
      <c r="P69" s="41" t="n">
        <v>20.3459593580035</v>
      </c>
      <c r="Q69" s="42" t="n">
        <v>346.843801658023</v>
      </c>
      <c r="R69" s="43" t="n">
        <f aca="false">MAX(0,MIN(1,P69/100+$D$5))</f>
        <v>0.730444292156657</v>
      </c>
      <c r="S69" s="43" t="n">
        <v>0.0779420971553049</v>
      </c>
      <c r="T69" s="44" t="s">
        <v>90</v>
      </c>
    </row>
    <row r="70" customFormat="false" ht="15" hidden="false" customHeight="false" outlineLevel="0" collapsed="false">
      <c r="A70" s="38" t="s">
        <v>157</v>
      </c>
      <c r="B70" s="38" t="s">
        <v>159</v>
      </c>
      <c r="C70" s="38" t="s">
        <v>166</v>
      </c>
      <c r="D70" s="21" t="n">
        <f aca="false">ROUND(Q70*R70,0)</f>
        <v>612</v>
      </c>
      <c r="E70" s="21" t="n">
        <f aca="false">ROUND(Q70,0)-D70</f>
        <v>145</v>
      </c>
      <c r="F70" s="21" t="n">
        <f aca="false">IF(COUNTA(D70:E70)=0,"",SUM(D70:E70))</f>
        <v>757</v>
      </c>
      <c r="G70" s="39" t="n">
        <f aca="false">IF(OR(F70="",F70=0),"",D70/F70)</f>
        <v>0.808454425363276</v>
      </c>
      <c r="H70" s="39" t="n">
        <f aca="false">IF(OR(F70="",F70=0),"",E70/F70)</f>
        <v>0.191545574636724</v>
      </c>
      <c r="I70" s="38" t="s">
        <v>89</v>
      </c>
      <c r="J70" s="40" t="n">
        <v>3.7041269898902</v>
      </c>
      <c r="K70" s="39" t="n">
        <f aca="false">IF(G70="","",MAX(0,G70-J70/100))</f>
        <v>0.771413155464374</v>
      </c>
      <c r="L70" s="39" t="n">
        <f aca="false">IF(G70="","",MIN(1,G70+J70/100))</f>
        <v>0.845495695262178</v>
      </c>
      <c r="M70" s="21" t="n">
        <f aca="false">ROUND(Q70*S70,0)</f>
        <v>59</v>
      </c>
      <c r="N70" s="21" t="n">
        <f aca="false">ROUND(SQRT((F70*J70/100)^2+(G70*M70)^2),0)</f>
        <v>55</v>
      </c>
      <c r="P70" s="41" t="n">
        <v>28.121289847475</v>
      </c>
      <c r="Q70" s="42" t="n">
        <v>756.700735725414</v>
      </c>
      <c r="R70" s="43" t="n">
        <f aca="false">MAX(0,MIN(1,P70/100+$D$5))</f>
        <v>0.808197597051372</v>
      </c>
      <c r="S70" s="43" t="n">
        <v>0.0779420971553049</v>
      </c>
      <c r="T70" s="44" t="s">
        <v>90</v>
      </c>
    </row>
    <row r="71" customFormat="false" ht="15" hidden="false" customHeight="false" outlineLevel="0" collapsed="false">
      <c r="A71" s="38" t="s">
        <v>157</v>
      </c>
      <c r="B71" s="38" t="s">
        <v>159</v>
      </c>
      <c r="C71" s="38" t="s">
        <v>167</v>
      </c>
      <c r="D71" s="21" t="n">
        <f aca="false">ROUND(Q71*R71,0)</f>
        <v>291</v>
      </c>
      <c r="E71" s="21" t="n">
        <f aca="false">ROUND(Q71,0)-D71</f>
        <v>125</v>
      </c>
      <c r="F71" s="21" t="n">
        <f aca="false">IF(COUNTA(D71:E71)=0,"",SUM(D71:E71))</f>
        <v>416</v>
      </c>
      <c r="G71" s="39" t="n">
        <f aca="false">IF(OR(F71="",F71=0),"",D71/F71)</f>
        <v>0.699519230769231</v>
      </c>
      <c r="H71" s="39" t="n">
        <f aca="false">IF(OR(F71="",F71=0),"",E71/F71)</f>
        <v>0.300480769230769</v>
      </c>
      <c r="I71" s="38" t="s">
        <v>89</v>
      </c>
      <c r="J71" s="40" t="n">
        <v>3.7041269898902</v>
      </c>
      <c r="K71" s="39" t="n">
        <f aca="false">IF(G71="","",MAX(0,G71-J71/100))</f>
        <v>0.662477960870329</v>
      </c>
      <c r="L71" s="39" t="n">
        <f aca="false">IF(G71="","",MIN(1,G71+J71/100))</f>
        <v>0.736560500668133</v>
      </c>
      <c r="M71" s="21" t="n">
        <f aca="false">ROUND(Q71*S71,0)</f>
        <v>32</v>
      </c>
      <c r="N71" s="21" t="n">
        <f aca="false">ROUND(SQRT((F71*J71/100)^2+(G71*M71)^2),0)</f>
        <v>27</v>
      </c>
      <c r="P71" s="41" t="n">
        <v>17.2579849013797</v>
      </c>
      <c r="Q71" s="42" t="n">
        <v>415.992288794</v>
      </c>
      <c r="R71" s="43" t="n">
        <f aca="false">MAX(0,MIN(1,P71/100+$D$5))</f>
        <v>0.699564547590419</v>
      </c>
      <c r="S71" s="43" t="n">
        <v>0.0779420971553049</v>
      </c>
      <c r="T71" s="44" t="s">
        <v>90</v>
      </c>
    </row>
    <row r="72" customFormat="false" ht="15" hidden="false" customHeight="false" outlineLevel="0" collapsed="false">
      <c r="A72" s="38" t="s">
        <v>157</v>
      </c>
      <c r="B72" s="38" t="s">
        <v>159</v>
      </c>
      <c r="C72" s="38" t="s">
        <v>168</v>
      </c>
      <c r="D72" s="21" t="n">
        <f aca="false">ROUND(Q72*R72,0)</f>
        <v>468</v>
      </c>
      <c r="E72" s="21" t="n">
        <f aca="false">ROUND(Q72,0)-D72</f>
        <v>250</v>
      </c>
      <c r="F72" s="21" t="n">
        <f aca="false">IF(COUNTA(D72:E72)=0,"",SUM(D72:E72))</f>
        <v>718</v>
      </c>
      <c r="G72" s="39" t="n">
        <f aca="false">IF(OR(F72="",F72=0),"",D72/F72)</f>
        <v>0.651810584958217</v>
      </c>
      <c r="H72" s="39" t="n">
        <f aca="false">IF(OR(F72="",F72=0),"",E72/F72)</f>
        <v>0.348189415041783</v>
      </c>
      <c r="I72" s="38" t="s">
        <v>89</v>
      </c>
      <c r="J72" s="40" t="n">
        <v>3.7041269898902</v>
      </c>
      <c r="K72" s="39" t="n">
        <f aca="false">IF(G72="","",MAX(0,G72-J72/100))</f>
        <v>0.614769315059315</v>
      </c>
      <c r="L72" s="39" t="n">
        <f aca="false">IF(G72="","",MIN(1,G72+J72/100))</f>
        <v>0.688851854857119</v>
      </c>
      <c r="M72" s="21" t="n">
        <f aca="false">ROUND(Q72*S72,0)</f>
        <v>56</v>
      </c>
      <c r="N72" s="21" t="n">
        <f aca="false">ROUND(SQRT((F72*J72/100)^2+(G72*M72)^2),0)</f>
        <v>45</v>
      </c>
      <c r="P72" s="41" t="n">
        <v>12.4859637363369</v>
      </c>
      <c r="Q72" s="42" t="n">
        <v>718.059884807399</v>
      </c>
      <c r="R72" s="43" t="n">
        <f aca="false">MAX(0,MIN(1,P72/100+$D$5))</f>
        <v>0.651844335939991</v>
      </c>
      <c r="S72" s="43" t="n">
        <v>0.0779420971553049</v>
      </c>
      <c r="T72" s="44" t="s">
        <v>90</v>
      </c>
    </row>
    <row r="73" customFormat="false" ht="15" hidden="false" customHeight="false" outlineLevel="0" collapsed="false">
      <c r="A73" s="38" t="s">
        <v>157</v>
      </c>
      <c r="B73" s="38" t="s">
        <v>159</v>
      </c>
      <c r="C73" s="38" t="s">
        <v>169</v>
      </c>
      <c r="D73" s="21" t="n">
        <f aca="false">ROUND(Q73*R73,0)</f>
        <v>376</v>
      </c>
      <c r="E73" s="21" t="n">
        <f aca="false">ROUND(Q73,0)-D73</f>
        <v>183</v>
      </c>
      <c r="F73" s="21" t="n">
        <f aca="false">IF(COUNTA(D73:E73)=0,"",SUM(D73:E73))</f>
        <v>559</v>
      </c>
      <c r="G73" s="39" t="n">
        <f aca="false">IF(OR(F73="",F73=0),"",D73/F73)</f>
        <v>0.67262969588551</v>
      </c>
      <c r="H73" s="39" t="n">
        <f aca="false">IF(OR(F73="",F73=0),"",E73/F73)</f>
        <v>0.32737030411449</v>
      </c>
      <c r="I73" s="38" t="s">
        <v>89</v>
      </c>
      <c r="J73" s="40" t="n">
        <v>3.7041269898902</v>
      </c>
      <c r="K73" s="39" t="n">
        <f aca="false">IF(G73="","",MAX(0,G73-J73/100))</f>
        <v>0.635588425986608</v>
      </c>
      <c r="L73" s="39" t="n">
        <f aca="false">IF(G73="","",MIN(1,G73+J73/100))</f>
        <v>0.709670965784412</v>
      </c>
      <c r="M73" s="21" t="n">
        <f aca="false">ROUND(Q73*S73,0)</f>
        <v>44</v>
      </c>
      <c r="N73" s="21" t="n">
        <f aca="false">ROUND(SQRT((F73*J73/100)^2+(G73*M73)^2),0)</f>
        <v>36</v>
      </c>
      <c r="P73" s="41" t="n">
        <v>14.615764586672</v>
      </c>
      <c r="Q73" s="42" t="n">
        <v>558.998915387303</v>
      </c>
      <c r="R73" s="43" t="n">
        <f aca="false">MAX(0,MIN(1,P73/100+$D$5))</f>
        <v>0.673142344443341</v>
      </c>
      <c r="S73" s="43" t="n">
        <v>0.0779420971553049</v>
      </c>
      <c r="T73" s="44" t="s">
        <v>90</v>
      </c>
    </row>
    <row r="74" customFormat="false" ht="15" hidden="false" customHeight="false" outlineLevel="0" collapsed="false">
      <c r="A74" s="38" t="s">
        <v>157</v>
      </c>
      <c r="B74" s="38" t="s">
        <v>159</v>
      </c>
      <c r="C74" s="38" t="s">
        <v>170</v>
      </c>
      <c r="D74" s="21" t="n">
        <f aca="false">ROUND(Q74*R74,0)</f>
        <v>263</v>
      </c>
      <c r="E74" s="21" t="n">
        <f aca="false">ROUND(Q74,0)-D74</f>
        <v>99</v>
      </c>
      <c r="F74" s="21" t="n">
        <f aca="false">IF(COUNTA(D74:E74)=0,"",SUM(D74:E74))</f>
        <v>362</v>
      </c>
      <c r="G74" s="39" t="n">
        <f aca="false">IF(OR(F74="",F74=0),"",D74/F74)</f>
        <v>0.726519337016575</v>
      </c>
      <c r="H74" s="39" t="n">
        <f aca="false">IF(OR(F74="",F74=0),"",E74/F74)</f>
        <v>0.273480662983425</v>
      </c>
      <c r="I74" s="38" t="s">
        <v>89</v>
      </c>
      <c r="J74" s="40" t="n">
        <v>3.7041269898902</v>
      </c>
      <c r="K74" s="39" t="n">
        <f aca="false">IF(G74="","",MAX(0,G74-J74/100))</f>
        <v>0.689478067117673</v>
      </c>
      <c r="L74" s="39" t="n">
        <f aca="false">IF(G74="","",MIN(1,G74+J74/100))</f>
        <v>0.763560606915477</v>
      </c>
      <c r="M74" s="21" t="n">
        <f aca="false">ROUND(Q74*S74,0)</f>
        <v>28</v>
      </c>
      <c r="N74" s="21" t="n">
        <f aca="false">ROUND(SQRT((F74*J74/100)^2+(G74*M74)^2),0)</f>
        <v>24</v>
      </c>
      <c r="P74" s="41" t="n">
        <v>19.8179660595523</v>
      </c>
      <c r="Q74" s="42" t="n">
        <v>362.466703176173</v>
      </c>
      <c r="R74" s="43" t="n">
        <f aca="false">MAX(0,MIN(1,P74/100+$D$5))</f>
        <v>0.725164359172145</v>
      </c>
      <c r="S74" s="43" t="n">
        <v>0.0779420971553049</v>
      </c>
      <c r="T74" s="44" t="s">
        <v>90</v>
      </c>
    </row>
    <row r="75" customFormat="false" ht="15" hidden="false" customHeight="false" outlineLevel="0" collapsed="false">
      <c r="A75" s="38" t="s">
        <v>157</v>
      </c>
      <c r="B75" s="38" t="s">
        <v>159</v>
      </c>
      <c r="C75" s="38" t="s">
        <v>171</v>
      </c>
      <c r="D75" s="21" t="n">
        <f aca="false">ROUND(Q75*R75,0)</f>
        <v>323</v>
      </c>
      <c r="E75" s="21" t="n">
        <f aca="false">ROUND(Q75,0)-D75</f>
        <v>155</v>
      </c>
      <c r="F75" s="21" t="n">
        <f aca="false">IF(COUNTA(D75:E75)=0,"",SUM(D75:E75))</f>
        <v>478</v>
      </c>
      <c r="G75" s="39" t="n">
        <f aca="false">IF(OR(F75="",F75=0),"",D75/F75)</f>
        <v>0.675732217573222</v>
      </c>
      <c r="H75" s="39" t="n">
        <f aca="false">IF(OR(F75="",F75=0),"",E75/F75)</f>
        <v>0.324267782426778</v>
      </c>
      <c r="I75" s="38" t="s">
        <v>89</v>
      </c>
      <c r="J75" s="40" t="n">
        <v>3.7041269898902</v>
      </c>
      <c r="K75" s="39" t="n">
        <f aca="false">IF(G75="","",MAX(0,G75-J75/100))</f>
        <v>0.63869094767432</v>
      </c>
      <c r="L75" s="39" t="n">
        <f aca="false">IF(G75="","",MIN(1,G75+J75/100))</f>
        <v>0.712773487472124</v>
      </c>
      <c r="M75" s="21" t="n">
        <f aca="false">ROUND(Q75*S75,0)</f>
        <v>37</v>
      </c>
      <c r="N75" s="21" t="n">
        <f aca="false">ROUND(SQRT((F75*J75/100)^2+(G75*M75)^2),0)</f>
        <v>31</v>
      </c>
      <c r="P75" s="41" t="n">
        <v>14.743398633349</v>
      </c>
      <c r="Q75" s="42" t="n">
        <v>478.446685151095</v>
      </c>
      <c r="R75" s="43" t="n">
        <f aca="false">MAX(0,MIN(1,P75/100+$D$5))</f>
        <v>0.674418684910112</v>
      </c>
      <c r="S75" s="43" t="n">
        <v>0.0779420971553049</v>
      </c>
      <c r="T75" s="44" t="s">
        <v>90</v>
      </c>
    </row>
    <row r="76" customFormat="false" ht="15" hidden="false" customHeight="false" outlineLevel="0" collapsed="false">
      <c r="A76" s="38" t="s">
        <v>157</v>
      </c>
      <c r="B76" s="38" t="s">
        <v>159</v>
      </c>
      <c r="C76" s="38" t="s">
        <v>172</v>
      </c>
      <c r="D76" s="21" t="n">
        <f aca="false">ROUND(Q76*R76,0)</f>
        <v>385</v>
      </c>
      <c r="E76" s="21" t="n">
        <f aca="false">ROUND(Q76,0)-D76</f>
        <v>191</v>
      </c>
      <c r="F76" s="21" t="n">
        <f aca="false">IF(COUNTA(D76:E76)=0,"",SUM(D76:E76))</f>
        <v>576</v>
      </c>
      <c r="G76" s="39" t="n">
        <f aca="false">IF(OR(F76="",F76=0),"",D76/F76)</f>
        <v>0.668402777777778</v>
      </c>
      <c r="H76" s="39" t="n">
        <f aca="false">IF(OR(F76="",F76=0),"",E76/F76)</f>
        <v>0.331597222222222</v>
      </c>
      <c r="I76" s="38" t="s">
        <v>89</v>
      </c>
      <c r="J76" s="40" t="n">
        <v>3.7041269898902</v>
      </c>
      <c r="K76" s="39" t="n">
        <f aca="false">IF(G76="","",MAX(0,G76-J76/100))</f>
        <v>0.631361507878876</v>
      </c>
      <c r="L76" s="39" t="n">
        <f aca="false">IF(G76="","",MIN(1,G76+J76/100))</f>
        <v>0.70544404767668</v>
      </c>
      <c r="M76" s="21" t="n">
        <f aca="false">ROUND(Q76*S76,0)</f>
        <v>45</v>
      </c>
      <c r="N76" s="21" t="n">
        <f aca="false">ROUND(SQRT((F76*J76/100)^2+(G76*M76)^2),0)</f>
        <v>37</v>
      </c>
      <c r="P76" s="41" t="n">
        <v>14.1169551914376</v>
      </c>
      <c r="Q76" s="42" t="n">
        <v>575.50799664838</v>
      </c>
      <c r="R76" s="43" t="n">
        <f aca="false">MAX(0,MIN(1,P76/100+$D$5))</f>
        <v>0.668154250490998</v>
      </c>
      <c r="S76" s="43" t="n">
        <v>0.0779420971553049</v>
      </c>
      <c r="T76" s="44" t="s">
        <v>90</v>
      </c>
    </row>
    <row r="77" customFormat="false" ht="15" hidden="false" customHeight="false" outlineLevel="0" collapsed="false">
      <c r="A77" s="38" t="s">
        <v>157</v>
      </c>
      <c r="B77" s="38" t="s">
        <v>159</v>
      </c>
      <c r="C77" s="38" t="s">
        <v>173</v>
      </c>
      <c r="D77" s="21" t="n">
        <f aca="false">ROUND(Q77*R77,0)</f>
        <v>368</v>
      </c>
      <c r="E77" s="21" t="n">
        <f aca="false">ROUND(Q77,0)-D77</f>
        <v>228</v>
      </c>
      <c r="F77" s="21" t="n">
        <f aca="false">IF(COUNTA(D77:E77)=0,"",SUM(D77:E77))</f>
        <v>596</v>
      </c>
      <c r="G77" s="39" t="n">
        <f aca="false">IF(OR(F77="",F77=0),"",D77/F77)</f>
        <v>0.61744966442953</v>
      </c>
      <c r="H77" s="39" t="n">
        <f aca="false">IF(OR(F77="",F77=0),"",E77/F77)</f>
        <v>0.38255033557047</v>
      </c>
      <c r="I77" s="38" t="s">
        <v>89</v>
      </c>
      <c r="J77" s="40" t="n">
        <v>3.7041269898902</v>
      </c>
      <c r="K77" s="39" t="n">
        <f aca="false">IF(G77="","",MAX(0,G77-J77/100))</f>
        <v>0.580408394530628</v>
      </c>
      <c r="L77" s="39" t="n">
        <f aca="false">IF(G77="","",MIN(1,G77+J77/100))</f>
        <v>0.654490934328432</v>
      </c>
      <c r="M77" s="21" t="n">
        <f aca="false">ROUND(Q77*S77,0)</f>
        <v>46</v>
      </c>
      <c r="N77" s="21" t="n">
        <f aca="false">ROUND(SQRT((F77*J77/100)^2+(G77*M77)^2),0)</f>
        <v>36</v>
      </c>
      <c r="P77" s="41" t="n">
        <v>9.01978384810723</v>
      </c>
      <c r="Q77" s="42" t="n">
        <v>595.815124355619</v>
      </c>
      <c r="R77" s="43" t="n">
        <f aca="false">MAX(0,MIN(1,P77/100+$D$5))</f>
        <v>0.617182537057694</v>
      </c>
      <c r="S77" s="43" t="n">
        <v>0.0779420971553049</v>
      </c>
      <c r="T77" s="44" t="s">
        <v>90</v>
      </c>
    </row>
    <row r="78" customFormat="false" ht="15" hidden="false" customHeight="false" outlineLevel="0" collapsed="false">
      <c r="A78" s="38" t="s">
        <v>157</v>
      </c>
      <c r="B78" s="38" t="s">
        <v>159</v>
      </c>
      <c r="C78" s="38" t="s">
        <v>174</v>
      </c>
      <c r="D78" s="21" t="n">
        <f aca="false">ROUND(Q78*R78,0)</f>
        <v>284</v>
      </c>
      <c r="E78" s="21" t="n">
        <f aca="false">ROUND(Q78,0)-D78</f>
        <v>155</v>
      </c>
      <c r="F78" s="21" t="n">
        <f aca="false">IF(COUNTA(D78:E78)=0,"",SUM(D78:E78))</f>
        <v>439</v>
      </c>
      <c r="G78" s="39" t="n">
        <f aca="false">IF(OR(F78="",F78=0),"",D78/F78)</f>
        <v>0.646924829157175</v>
      </c>
      <c r="H78" s="39" t="n">
        <f aca="false">IF(OR(F78="",F78=0),"",E78/F78)</f>
        <v>0.353075170842825</v>
      </c>
      <c r="I78" s="38" t="s">
        <v>89</v>
      </c>
      <c r="J78" s="40" t="n">
        <v>3.7041269898902</v>
      </c>
      <c r="K78" s="39" t="n">
        <f aca="false">IF(G78="","",MAX(0,G78-J78/100))</f>
        <v>0.609883559258273</v>
      </c>
      <c r="L78" s="39" t="n">
        <f aca="false">IF(G78="","",MIN(1,G78+J78/100))</f>
        <v>0.683966099056077</v>
      </c>
      <c r="M78" s="21" t="n">
        <f aca="false">ROUND(Q78*S78,0)</f>
        <v>34</v>
      </c>
      <c r="N78" s="21" t="n">
        <f aca="false">ROUND(SQRT((F78*J78/100)^2+(G78*M78)^2),0)</f>
        <v>27</v>
      </c>
      <c r="P78" s="41" t="n">
        <v>12.0379988707004</v>
      </c>
      <c r="Q78" s="42" t="n">
        <v>438.913834057696</v>
      </c>
      <c r="R78" s="43" t="n">
        <f aca="false">MAX(0,MIN(1,P78/100+$D$5))</f>
        <v>0.647364687283626</v>
      </c>
      <c r="S78" s="43" t="n">
        <v>0.0779420971553049</v>
      </c>
      <c r="T78" s="44" t="s">
        <v>90</v>
      </c>
    </row>
    <row r="79" customFormat="false" ht="15" hidden="false" customHeight="false" outlineLevel="0" collapsed="false">
      <c r="A79" s="38" t="s">
        <v>157</v>
      </c>
      <c r="B79" s="38" t="s">
        <v>159</v>
      </c>
      <c r="C79" s="38" t="s">
        <v>175</v>
      </c>
      <c r="D79" s="21" t="n">
        <f aca="false">ROUND(Q79*R79,0)</f>
        <v>261</v>
      </c>
      <c r="E79" s="21" t="n">
        <f aca="false">ROUND(Q79,0)-D79</f>
        <v>94</v>
      </c>
      <c r="F79" s="21" t="n">
        <f aca="false">IF(COUNTA(D79:E79)=0,"",SUM(D79:E79))</f>
        <v>355</v>
      </c>
      <c r="G79" s="39" t="n">
        <f aca="false">IF(OR(F79="",F79=0),"",D79/F79)</f>
        <v>0.735211267605634</v>
      </c>
      <c r="H79" s="39" t="n">
        <f aca="false">IF(OR(F79="",F79=0),"",E79/F79)</f>
        <v>0.264788732394366</v>
      </c>
      <c r="I79" s="38" t="s">
        <v>89</v>
      </c>
      <c r="J79" s="40" t="n">
        <v>3.7041269898902</v>
      </c>
      <c r="K79" s="39" t="n">
        <f aca="false">IF(G79="","",MAX(0,G79-J79/100))</f>
        <v>0.698169997706732</v>
      </c>
      <c r="L79" s="39" t="n">
        <f aca="false">IF(G79="","",MIN(1,G79+J79/100))</f>
        <v>0.772252537504536</v>
      </c>
      <c r="M79" s="21" t="n">
        <f aca="false">ROUND(Q79*S79,0)</f>
        <v>28</v>
      </c>
      <c r="N79" s="21" t="n">
        <f aca="false">ROUND(SQRT((F79*J79/100)^2+(G79*M79)^2),0)</f>
        <v>24</v>
      </c>
      <c r="P79" s="41" t="n">
        <v>20.7850028533835</v>
      </c>
      <c r="Q79" s="42" t="n">
        <v>354.621182614237</v>
      </c>
      <c r="R79" s="43" t="n">
        <f aca="false">MAX(0,MIN(1,P79/100+$D$5))</f>
        <v>0.734834727110456</v>
      </c>
      <c r="S79" s="43" t="n">
        <v>0.0779420971553049</v>
      </c>
      <c r="T79" s="44" t="s">
        <v>90</v>
      </c>
    </row>
    <row r="80" customFormat="false" ht="15" hidden="false" customHeight="false" outlineLevel="0" collapsed="false">
      <c r="A80" s="38" t="s">
        <v>157</v>
      </c>
      <c r="B80" s="38" t="s">
        <v>159</v>
      </c>
      <c r="C80" s="38" t="s">
        <v>176</v>
      </c>
      <c r="D80" s="21" t="n">
        <f aca="false">ROUND(Q80*R80,0)</f>
        <v>201</v>
      </c>
      <c r="E80" s="21" t="n">
        <f aca="false">ROUND(Q80,0)-D80</f>
        <v>92</v>
      </c>
      <c r="F80" s="21" t="n">
        <f aca="false">IF(COUNTA(D80:E80)=0,"",SUM(D80:E80))</f>
        <v>293</v>
      </c>
      <c r="G80" s="39" t="n">
        <f aca="false">IF(OR(F80="",F80=0),"",D80/F80)</f>
        <v>0.686006825938567</v>
      </c>
      <c r="H80" s="39" t="n">
        <f aca="false">IF(OR(F80="",F80=0),"",E80/F80)</f>
        <v>0.313993174061433</v>
      </c>
      <c r="I80" s="38" t="s">
        <v>89</v>
      </c>
      <c r="J80" s="40" t="n">
        <v>3.7041269898902</v>
      </c>
      <c r="K80" s="39" t="n">
        <f aca="false">IF(G80="","",MAX(0,G80-J80/100))</f>
        <v>0.648965556039665</v>
      </c>
      <c r="L80" s="39" t="n">
        <f aca="false">IF(G80="","",MIN(1,G80+J80/100))</f>
        <v>0.723048095837469</v>
      </c>
      <c r="M80" s="21" t="n">
        <f aca="false">ROUND(Q80*S80,0)</f>
        <v>23</v>
      </c>
      <c r="N80" s="21" t="n">
        <f aca="false">ROUND(SQRT((F80*J80/100)^2+(G80*M80)^2),0)</f>
        <v>19</v>
      </c>
      <c r="P80" s="41" t="n">
        <v>15.9386169241842</v>
      </c>
      <c r="Q80" s="42" t="n">
        <v>292.99179407886</v>
      </c>
      <c r="R80" s="43" t="n">
        <f aca="false">MAX(0,MIN(1,P80/100+$D$5))</f>
        <v>0.686370867818464</v>
      </c>
      <c r="S80" s="43" t="n">
        <v>0.0779420971553049</v>
      </c>
      <c r="T80" s="44" t="s">
        <v>90</v>
      </c>
    </row>
    <row r="81" customFormat="false" ht="15" hidden="false" customHeight="false" outlineLevel="0" collapsed="false">
      <c r="A81" s="38" t="s">
        <v>157</v>
      </c>
      <c r="B81" s="38" t="s">
        <v>159</v>
      </c>
      <c r="C81" s="38" t="s">
        <v>177</v>
      </c>
      <c r="D81" s="21" t="n">
        <f aca="false">ROUND(Q81*R81,0)</f>
        <v>277</v>
      </c>
      <c r="E81" s="21" t="n">
        <f aca="false">ROUND(Q81,0)-D81</f>
        <v>125</v>
      </c>
      <c r="F81" s="21" t="n">
        <f aca="false">IF(COUNTA(D81:E81)=0,"",SUM(D81:E81))</f>
        <v>402</v>
      </c>
      <c r="G81" s="39" t="n">
        <f aca="false">IF(OR(F81="",F81=0),"",D81/F81)</f>
        <v>0.689054726368159</v>
      </c>
      <c r="H81" s="39" t="n">
        <f aca="false">IF(OR(F81="",F81=0),"",E81/F81)</f>
        <v>0.310945273631841</v>
      </c>
      <c r="I81" s="38" t="s">
        <v>89</v>
      </c>
      <c r="J81" s="40" t="n">
        <v>3.7041269898902</v>
      </c>
      <c r="K81" s="39" t="n">
        <f aca="false">IF(G81="","",MAX(0,G81-J81/100))</f>
        <v>0.652013456469257</v>
      </c>
      <c r="L81" s="39" t="n">
        <f aca="false">IF(G81="","",MIN(1,G81+J81/100))</f>
        <v>0.726095996267061</v>
      </c>
      <c r="M81" s="21" t="n">
        <f aca="false">ROUND(Q81*S81,0)</f>
        <v>31</v>
      </c>
      <c r="N81" s="21" t="n">
        <f aca="false">ROUND(SQRT((F81*J81/100)^2+(G81*M81)^2),0)</f>
        <v>26</v>
      </c>
      <c r="P81" s="41" t="n">
        <v>16.199468584242</v>
      </c>
      <c r="Q81" s="42" t="n">
        <v>402.13867647552</v>
      </c>
      <c r="R81" s="43" t="n">
        <f aca="false">MAX(0,MIN(1,P81/100+$D$5))</f>
        <v>0.688979384419042</v>
      </c>
      <c r="S81" s="43" t="n">
        <v>0.0779420971553049</v>
      </c>
      <c r="T81" s="44" t="s">
        <v>90</v>
      </c>
    </row>
    <row r="82" customFormat="false" ht="15" hidden="false" customHeight="false" outlineLevel="0" collapsed="false">
      <c r="A82" s="38" t="s">
        <v>157</v>
      </c>
      <c r="B82" s="38" t="s">
        <v>159</v>
      </c>
      <c r="C82" s="38" t="s">
        <v>178</v>
      </c>
      <c r="D82" s="21" t="n">
        <f aca="false">ROUND(Q82*R82,0)</f>
        <v>211</v>
      </c>
      <c r="E82" s="21" t="n">
        <f aca="false">ROUND(Q82,0)-D82</f>
        <v>83</v>
      </c>
      <c r="F82" s="21" t="n">
        <f aca="false">IF(COUNTA(D82:E82)=0,"",SUM(D82:E82))</f>
        <v>294</v>
      </c>
      <c r="G82" s="39" t="n">
        <f aca="false">IF(OR(F82="",F82=0),"",D82/F82)</f>
        <v>0.717687074829932</v>
      </c>
      <c r="H82" s="39" t="n">
        <f aca="false">IF(OR(F82="",F82=0),"",E82/F82)</f>
        <v>0.282312925170068</v>
      </c>
      <c r="I82" s="38" t="s">
        <v>89</v>
      </c>
      <c r="J82" s="40" t="n">
        <v>3.7041269898902</v>
      </c>
      <c r="K82" s="39" t="n">
        <f aca="false">IF(G82="","",MAX(0,G82-J82/100))</f>
        <v>0.68064580493103</v>
      </c>
      <c r="L82" s="39" t="n">
        <f aca="false">IF(G82="","",MIN(1,G82+J82/100))</f>
        <v>0.754728344728834</v>
      </c>
      <c r="M82" s="21" t="n">
        <f aca="false">ROUND(Q82*S82,0)</f>
        <v>23</v>
      </c>
      <c r="N82" s="21" t="n">
        <f aca="false">ROUND(SQRT((F82*J82/100)^2+(G82*M82)^2),0)</f>
        <v>20</v>
      </c>
      <c r="P82" s="41" t="n">
        <v>19.1113691523396</v>
      </c>
      <c r="Q82" s="42" t="n">
        <v>294.021242090134</v>
      </c>
      <c r="R82" s="43" t="n">
        <f aca="false">MAX(0,MIN(1,P82/100+$D$5))</f>
        <v>0.718098390100018</v>
      </c>
      <c r="S82" s="43" t="n">
        <v>0.0779420971553049</v>
      </c>
      <c r="T82" s="44" t="s">
        <v>90</v>
      </c>
    </row>
    <row r="83" customFormat="false" ht="15" hidden="false" customHeight="false" outlineLevel="0" collapsed="false">
      <c r="A83" s="38" t="s">
        <v>157</v>
      </c>
      <c r="B83" s="38" t="s">
        <v>159</v>
      </c>
      <c r="C83" s="38" t="s">
        <v>179</v>
      </c>
      <c r="D83" s="21" t="n">
        <f aca="false">ROUND(Q83*R83,0)</f>
        <v>380</v>
      </c>
      <c r="E83" s="21" t="n">
        <f aca="false">ROUND(Q83,0)-D83</f>
        <v>181</v>
      </c>
      <c r="F83" s="21" t="n">
        <f aca="false">IF(COUNTA(D83:E83)=0,"",SUM(D83:E83))</f>
        <v>561</v>
      </c>
      <c r="G83" s="39" t="n">
        <f aca="false">IF(OR(F83="",F83=0),"",D83/F83)</f>
        <v>0.677361853832442</v>
      </c>
      <c r="H83" s="39" t="n">
        <f aca="false">IF(OR(F83="",F83=0),"",E83/F83)</f>
        <v>0.322638146167558</v>
      </c>
      <c r="I83" s="38" t="s">
        <v>89</v>
      </c>
      <c r="J83" s="40" t="n">
        <v>3.7041269898902</v>
      </c>
      <c r="K83" s="39" t="n">
        <f aca="false">IF(G83="","",MAX(0,G83-J83/100))</f>
        <v>0.64032058393354</v>
      </c>
      <c r="L83" s="39" t="n">
        <f aca="false">IF(G83="","",MIN(1,G83+J83/100))</f>
        <v>0.714403123731344</v>
      </c>
      <c r="M83" s="21" t="n">
        <f aca="false">ROUND(Q83*S83,0)</f>
        <v>44</v>
      </c>
      <c r="N83" s="21" t="n">
        <f aca="false">ROUND(SQRT((F83*J83/100)^2+(G83*M83)^2),0)</f>
        <v>36</v>
      </c>
      <c r="P83" s="41" t="n">
        <v>14.9396142824646</v>
      </c>
      <c r="Q83" s="42" t="n">
        <v>561.495080563829</v>
      </c>
      <c r="R83" s="43" t="n">
        <f aca="false">MAX(0,MIN(1,P83/100+$D$5))</f>
        <v>0.676380841401268</v>
      </c>
      <c r="S83" s="43" t="n">
        <v>0.0779420971553049</v>
      </c>
      <c r="T83" s="44" t="s">
        <v>90</v>
      </c>
    </row>
    <row r="84" customFormat="false" ht="15" hidden="false" customHeight="false" outlineLevel="0" collapsed="false">
      <c r="A84" s="38" t="s">
        <v>157</v>
      </c>
      <c r="B84" s="38" t="s">
        <v>159</v>
      </c>
      <c r="C84" s="38" t="s">
        <v>180</v>
      </c>
      <c r="D84" s="21" t="n">
        <f aca="false">ROUND(Q84*R84,0)</f>
        <v>375</v>
      </c>
      <c r="E84" s="21" t="n">
        <f aca="false">ROUND(Q84,0)-D84</f>
        <v>177</v>
      </c>
      <c r="F84" s="21" t="n">
        <f aca="false">IF(COUNTA(D84:E84)=0,"",SUM(D84:E84))</f>
        <v>552</v>
      </c>
      <c r="G84" s="39" t="n">
        <f aca="false">IF(OR(F84="",F84=0),"",D84/F84)</f>
        <v>0.679347826086957</v>
      </c>
      <c r="H84" s="39" t="n">
        <f aca="false">IF(OR(F84="",F84=0),"",E84/F84)</f>
        <v>0.320652173913043</v>
      </c>
      <c r="I84" s="38" t="s">
        <v>89</v>
      </c>
      <c r="J84" s="40" t="n">
        <v>3.7041269898902</v>
      </c>
      <c r="K84" s="39" t="n">
        <f aca="false">IF(G84="","",MAX(0,G84-J84/100))</f>
        <v>0.642306556188055</v>
      </c>
      <c r="L84" s="39" t="n">
        <f aca="false">IF(G84="","",MIN(1,G84+J84/100))</f>
        <v>0.716389095985859</v>
      </c>
      <c r="M84" s="21" t="n">
        <f aca="false">ROUND(Q84*S84,0)</f>
        <v>43</v>
      </c>
      <c r="N84" s="21" t="n">
        <f aca="false">ROUND(SQRT((F84*J84/100)^2+(G84*M84)^2),0)</f>
        <v>36</v>
      </c>
      <c r="P84" s="41" t="n">
        <v>15.2995556265129</v>
      </c>
      <c r="Q84" s="42" t="n">
        <v>551.841332085053</v>
      </c>
      <c r="R84" s="43" t="n">
        <f aca="false">MAX(0,MIN(1,P84/100+$D$5))</f>
        <v>0.679980254841751</v>
      </c>
      <c r="S84" s="43" t="n">
        <v>0.0779420971553049</v>
      </c>
      <c r="T84" s="44" t="s">
        <v>90</v>
      </c>
    </row>
    <row r="85" customFormat="false" ht="15" hidden="false" customHeight="false" outlineLevel="0" collapsed="false">
      <c r="A85" s="38" t="s">
        <v>157</v>
      </c>
      <c r="B85" s="38" t="s">
        <v>159</v>
      </c>
      <c r="C85" s="38" t="s">
        <v>181</v>
      </c>
      <c r="D85" s="21" t="n">
        <f aca="false">ROUND(Q85*R85,0)</f>
        <v>330</v>
      </c>
      <c r="E85" s="21" t="n">
        <f aca="false">ROUND(Q85,0)-D85</f>
        <v>215</v>
      </c>
      <c r="F85" s="21" t="n">
        <f aca="false">IF(COUNTA(D85:E85)=0,"",SUM(D85:E85))</f>
        <v>545</v>
      </c>
      <c r="G85" s="39" t="n">
        <f aca="false">IF(OR(F85="",F85=0),"",D85/F85)</f>
        <v>0.605504587155963</v>
      </c>
      <c r="H85" s="39" t="n">
        <f aca="false">IF(OR(F85="",F85=0),"",E85/F85)</f>
        <v>0.394495412844037</v>
      </c>
      <c r="I85" s="38" t="s">
        <v>89</v>
      </c>
      <c r="J85" s="40" t="n">
        <v>3.7041269898902</v>
      </c>
      <c r="K85" s="39" t="n">
        <f aca="false">IF(G85="","",MAX(0,G85-J85/100))</f>
        <v>0.568463317257061</v>
      </c>
      <c r="L85" s="39" t="n">
        <f aca="false">IF(G85="","",MIN(1,G85+J85/100))</f>
        <v>0.642545857054865</v>
      </c>
      <c r="M85" s="21" t="n">
        <f aca="false">ROUND(Q85*S85,0)</f>
        <v>42</v>
      </c>
      <c r="N85" s="21" t="n">
        <f aca="false">ROUND(SQRT((F85*J85/100)^2+(G85*M85)^2),0)</f>
        <v>32</v>
      </c>
      <c r="P85" s="41" t="n">
        <v>7.91902328457001</v>
      </c>
      <c r="Q85" s="42" t="n">
        <v>544.571357153261</v>
      </c>
      <c r="R85" s="43" t="n">
        <f aca="false">MAX(0,MIN(1,P85/100+$D$5))</f>
        <v>0.606174931422322</v>
      </c>
      <c r="S85" s="43" t="n">
        <v>0.0779420971553049</v>
      </c>
      <c r="T85" s="44" t="s">
        <v>90</v>
      </c>
    </row>
    <row r="86" customFormat="false" ht="15" hidden="false" customHeight="false" outlineLevel="0" collapsed="false">
      <c r="A86" s="38" t="s">
        <v>157</v>
      </c>
      <c r="B86" s="38" t="s">
        <v>159</v>
      </c>
      <c r="C86" s="38" t="s">
        <v>182</v>
      </c>
      <c r="D86" s="21" t="n">
        <f aca="false">ROUND(Q86*R86,0)</f>
        <v>391</v>
      </c>
      <c r="E86" s="21" t="n">
        <f aca="false">ROUND(Q86,0)-D86</f>
        <v>205</v>
      </c>
      <c r="F86" s="21" t="n">
        <f aca="false">IF(COUNTA(D86:E86)=0,"",SUM(D86:E86))</f>
        <v>596</v>
      </c>
      <c r="G86" s="39" t="n">
        <f aca="false">IF(OR(F86="",F86=0),"",D86/F86)</f>
        <v>0.656040268456376</v>
      </c>
      <c r="H86" s="39" t="n">
        <f aca="false">IF(OR(F86="",F86=0),"",E86/F86)</f>
        <v>0.343959731543624</v>
      </c>
      <c r="I86" s="38" t="s">
        <v>89</v>
      </c>
      <c r="J86" s="40" t="n">
        <v>3.7041269898902</v>
      </c>
      <c r="K86" s="39" t="n">
        <f aca="false">IF(G86="","",MAX(0,G86-J86/100))</f>
        <v>0.618998998557474</v>
      </c>
      <c r="L86" s="39" t="n">
        <f aca="false">IF(G86="","",MIN(1,G86+J86/100))</f>
        <v>0.693081538355278</v>
      </c>
      <c r="M86" s="21" t="n">
        <f aca="false">ROUND(Q86*S86,0)</f>
        <v>46</v>
      </c>
      <c r="N86" s="21" t="n">
        <f aca="false">ROUND(SQRT((F86*J86/100)^2+(G86*M86)^2),0)</f>
        <v>37</v>
      </c>
      <c r="P86" s="41" t="n">
        <v>12.907906482835</v>
      </c>
      <c r="Q86" s="42" t="n">
        <v>596.10068815606</v>
      </c>
      <c r="R86" s="43" t="n">
        <f aca="false">MAX(0,MIN(1,P86/100+$D$5))</f>
        <v>0.656063763404972</v>
      </c>
      <c r="S86" s="43" t="n">
        <v>0.0779420971553049</v>
      </c>
      <c r="T86" s="44" t="s">
        <v>90</v>
      </c>
    </row>
    <row r="87" customFormat="false" ht="15" hidden="false" customHeight="false" outlineLevel="0" collapsed="false">
      <c r="A87" s="38" t="s">
        <v>157</v>
      </c>
      <c r="B87" s="38" t="s">
        <v>159</v>
      </c>
      <c r="C87" s="38" t="s">
        <v>183</v>
      </c>
      <c r="D87" s="21" t="n">
        <f aca="false">ROUND(Q87*R87,0)</f>
        <v>464</v>
      </c>
      <c r="E87" s="21" t="n">
        <f aca="false">ROUND(Q87,0)-D87</f>
        <v>240</v>
      </c>
      <c r="F87" s="21" t="n">
        <f aca="false">IF(COUNTA(D87:E87)=0,"",SUM(D87:E87))</f>
        <v>704</v>
      </c>
      <c r="G87" s="39" t="n">
        <f aca="false">IF(OR(F87="",F87=0),"",D87/F87)</f>
        <v>0.659090909090909</v>
      </c>
      <c r="H87" s="39" t="n">
        <f aca="false">IF(OR(F87="",F87=0),"",E87/F87)</f>
        <v>0.340909090909091</v>
      </c>
      <c r="I87" s="38" t="s">
        <v>89</v>
      </c>
      <c r="J87" s="40" t="n">
        <v>3.7041269898902</v>
      </c>
      <c r="K87" s="39" t="n">
        <f aca="false">IF(G87="","",MAX(0,G87-J87/100))</f>
        <v>0.622049639192007</v>
      </c>
      <c r="L87" s="39" t="n">
        <f aca="false">IF(G87="","",MIN(1,G87+J87/100))</f>
        <v>0.696132178989811</v>
      </c>
      <c r="M87" s="21" t="n">
        <f aca="false">ROUND(Q87*S87,0)</f>
        <v>55</v>
      </c>
      <c r="N87" s="21" t="n">
        <f aca="false">ROUND(SQRT((F87*J87/100)^2+(G87*M87)^2),0)</f>
        <v>45</v>
      </c>
      <c r="P87" s="41" t="n">
        <v>13.1502854630597</v>
      </c>
      <c r="Q87" s="42" t="n">
        <v>704.327873267503</v>
      </c>
      <c r="R87" s="43" t="n">
        <f aca="false">MAX(0,MIN(1,P87/100+$D$5))</f>
        <v>0.658487553207219</v>
      </c>
      <c r="S87" s="43" t="n">
        <v>0.0779420971553049</v>
      </c>
      <c r="T87" s="44" t="s">
        <v>90</v>
      </c>
    </row>
    <row r="88" customFormat="false" ht="15" hidden="false" customHeight="false" outlineLevel="0" collapsed="false">
      <c r="A88" s="38" t="s">
        <v>157</v>
      </c>
      <c r="B88" s="38" t="s">
        <v>159</v>
      </c>
      <c r="C88" s="38" t="s">
        <v>184</v>
      </c>
      <c r="D88" s="21" t="n">
        <f aca="false">ROUND(Q88*R88,0)</f>
        <v>306</v>
      </c>
      <c r="E88" s="21" t="n">
        <f aca="false">ROUND(Q88,0)-D88</f>
        <v>189</v>
      </c>
      <c r="F88" s="21" t="n">
        <f aca="false">IF(COUNTA(D88:E88)=0,"",SUM(D88:E88))</f>
        <v>495</v>
      </c>
      <c r="G88" s="39" t="n">
        <f aca="false">IF(OR(F88="",F88=0),"",D88/F88)</f>
        <v>0.618181818181818</v>
      </c>
      <c r="H88" s="39" t="n">
        <f aca="false">IF(OR(F88="",F88=0),"",E88/F88)</f>
        <v>0.381818181818182</v>
      </c>
      <c r="I88" s="38" t="s">
        <v>89</v>
      </c>
      <c r="J88" s="40" t="n">
        <v>3.7041269898902</v>
      </c>
      <c r="K88" s="39" t="n">
        <f aca="false">IF(G88="","",MAX(0,G88-J88/100))</f>
        <v>0.581140548282916</v>
      </c>
      <c r="L88" s="39" t="n">
        <f aca="false">IF(G88="","",MIN(1,G88+J88/100))</f>
        <v>0.65522308808072</v>
      </c>
      <c r="M88" s="21" t="n">
        <f aca="false">ROUND(Q88*S88,0)</f>
        <v>39</v>
      </c>
      <c r="N88" s="21" t="n">
        <f aca="false">ROUND(SQRT((F88*J88/100)^2+(G88*M88)^2),0)</f>
        <v>30</v>
      </c>
      <c r="P88" s="41" t="n">
        <v>9.12339366190288</v>
      </c>
      <c r="Q88" s="42" t="n">
        <v>494.864763372791</v>
      </c>
      <c r="R88" s="43" t="n">
        <f aca="false">MAX(0,MIN(1,P88/100+$D$5))</f>
        <v>0.618218635195651</v>
      </c>
      <c r="S88" s="43" t="n">
        <v>0.0779420971553049</v>
      </c>
      <c r="T88" s="44" t="s">
        <v>90</v>
      </c>
    </row>
    <row r="89" customFormat="false" ht="15" hidden="false" customHeight="false" outlineLevel="0" collapsed="false">
      <c r="A89" s="38" t="s">
        <v>157</v>
      </c>
      <c r="B89" s="38" t="s">
        <v>159</v>
      </c>
      <c r="C89" s="38" t="s">
        <v>185</v>
      </c>
      <c r="D89" s="21" t="n">
        <f aca="false">ROUND(Q89*R89,0)</f>
        <v>304</v>
      </c>
      <c r="E89" s="21" t="n">
        <f aca="false">ROUND(Q89,0)-D89</f>
        <v>157</v>
      </c>
      <c r="F89" s="21" t="n">
        <f aca="false">IF(COUNTA(D89:E89)=0,"",SUM(D89:E89))</f>
        <v>461</v>
      </c>
      <c r="G89" s="39" t="n">
        <f aca="false">IF(OR(F89="",F89=0),"",D89/F89)</f>
        <v>0.65943600867679</v>
      </c>
      <c r="H89" s="39" t="n">
        <f aca="false">IF(OR(F89="",F89=0),"",E89/F89)</f>
        <v>0.34056399132321</v>
      </c>
      <c r="I89" s="38" t="s">
        <v>89</v>
      </c>
      <c r="J89" s="40" t="n">
        <v>3.7041269898902</v>
      </c>
      <c r="K89" s="39" t="n">
        <f aca="false">IF(G89="","",MAX(0,G89-J89/100))</f>
        <v>0.622394738777888</v>
      </c>
      <c r="L89" s="39" t="n">
        <f aca="false">IF(G89="","",MIN(1,G89+J89/100))</f>
        <v>0.696477278575692</v>
      </c>
      <c r="M89" s="21" t="n">
        <f aca="false">ROUND(Q89*S89,0)</f>
        <v>36</v>
      </c>
      <c r="N89" s="21" t="n">
        <f aca="false">ROUND(SQRT((F89*J89/100)^2+(G89*M89)^2),0)</f>
        <v>29</v>
      </c>
      <c r="P89" s="41" t="n">
        <v>13.1234880109319</v>
      </c>
      <c r="Q89" s="42" t="n">
        <v>461.404845860023</v>
      </c>
      <c r="R89" s="43" t="n">
        <f aca="false">MAX(0,MIN(1,P89/100+$D$5))</f>
        <v>0.658219578685941</v>
      </c>
      <c r="S89" s="43" t="n">
        <v>0.0779420971553049</v>
      </c>
      <c r="T89" s="44" t="s">
        <v>90</v>
      </c>
    </row>
    <row r="90" customFormat="false" ht="15" hidden="false" customHeight="false" outlineLevel="0" collapsed="false">
      <c r="A90" s="38" t="s">
        <v>157</v>
      </c>
      <c r="B90" s="38" t="s">
        <v>159</v>
      </c>
      <c r="C90" s="38" t="s">
        <v>186</v>
      </c>
      <c r="D90" s="21" t="n">
        <f aca="false">ROUND(Q90*R90,0)</f>
        <v>529</v>
      </c>
      <c r="E90" s="21" t="n">
        <f aca="false">ROUND(Q90,0)-D90</f>
        <v>312</v>
      </c>
      <c r="F90" s="21" t="n">
        <f aca="false">IF(COUNTA(D90:E90)=0,"",SUM(D90:E90))</f>
        <v>841</v>
      </c>
      <c r="G90" s="39" t="n">
        <f aca="false">IF(OR(F90="",F90=0),"",D90/F90)</f>
        <v>0.629013079667063</v>
      </c>
      <c r="H90" s="39" t="n">
        <f aca="false">IF(OR(F90="",F90=0),"",E90/F90)</f>
        <v>0.370986920332937</v>
      </c>
      <c r="I90" s="38" t="s">
        <v>89</v>
      </c>
      <c r="J90" s="40" t="n">
        <v>2.12060277043418</v>
      </c>
      <c r="K90" s="39" t="n">
        <f aca="false">IF(G90="","",MAX(0,G90-J90/100))</f>
        <v>0.607807051962721</v>
      </c>
      <c r="L90" s="39" t="n">
        <f aca="false">IF(G90="","",MIN(1,G90+J90/100))</f>
        <v>0.650219107371405</v>
      </c>
      <c r="M90" s="21" t="n">
        <f aca="false">ROUND(Q90*S90,0)</f>
        <v>53</v>
      </c>
      <c r="N90" s="21" t="n">
        <f aca="false">ROUND(SQRT((F90*J90/100)^2+(G90*M90)^2),0)</f>
        <v>38</v>
      </c>
      <c r="P90" s="41" t="n">
        <v>10.1750284050613</v>
      </c>
      <c r="Q90" s="42" t="n">
        <v>840.813476051396</v>
      </c>
      <c r="R90" s="43" t="n">
        <f aca="false">MAX(0,MIN(1,P90/100+$D$5))</f>
        <v>0.628734982627234</v>
      </c>
      <c r="S90" s="43" t="n">
        <v>0.0633793435818552</v>
      </c>
      <c r="T90" s="44" t="s">
        <v>99</v>
      </c>
    </row>
    <row r="91" customFormat="false" ht="15" hidden="false" customHeight="false" outlineLevel="0" collapsed="false">
      <c r="A91" s="38" t="s">
        <v>157</v>
      </c>
      <c r="B91" s="38" t="s">
        <v>159</v>
      </c>
      <c r="C91" s="38" t="s">
        <v>187</v>
      </c>
      <c r="D91" s="21" t="n">
        <f aca="false">ROUND(Q91*R91,0)</f>
        <v>374</v>
      </c>
      <c r="E91" s="21" t="n">
        <f aca="false">ROUND(Q91,0)-D91</f>
        <v>147</v>
      </c>
      <c r="F91" s="21" t="n">
        <f aca="false">IF(COUNTA(D91:E91)=0,"",SUM(D91:E91))</f>
        <v>521</v>
      </c>
      <c r="G91" s="39" t="n">
        <f aca="false">IF(OR(F91="",F91=0),"",D91/F91)</f>
        <v>0.71785028790787</v>
      </c>
      <c r="H91" s="39" t="n">
        <f aca="false">IF(OR(F91="",F91=0),"",E91/F91)</f>
        <v>0.282149712092131</v>
      </c>
      <c r="I91" s="38" t="s">
        <v>89</v>
      </c>
      <c r="J91" s="40" t="n">
        <v>3.7041269898902</v>
      </c>
      <c r="K91" s="39" t="n">
        <f aca="false">IF(G91="","",MAX(0,G91-J91/100))</f>
        <v>0.680809018008968</v>
      </c>
      <c r="L91" s="39" t="n">
        <f aca="false">IF(G91="","",MIN(1,G91+J91/100))</f>
        <v>0.754891557806772</v>
      </c>
      <c r="M91" s="21" t="n">
        <f aca="false">ROUND(Q91*S91,0)</f>
        <v>41</v>
      </c>
      <c r="N91" s="21" t="n">
        <f aca="false">ROUND(SQRT((F91*J91/100)^2+(G91*M91)^2),0)</f>
        <v>35</v>
      </c>
      <c r="P91" s="41" t="n">
        <v>19.1046608028304</v>
      </c>
      <c r="Q91" s="42" t="n">
        <v>520.936212135521</v>
      </c>
      <c r="R91" s="43" t="n">
        <f aca="false">MAX(0,MIN(1,P91/100+$D$5))</f>
        <v>0.718031306604926</v>
      </c>
      <c r="S91" s="43" t="n">
        <v>0.0779420971553049</v>
      </c>
      <c r="T91" s="44" t="s">
        <v>90</v>
      </c>
    </row>
    <row r="92" customFormat="false" ht="15" hidden="false" customHeight="false" outlineLevel="0" collapsed="false">
      <c r="A92" s="38" t="s">
        <v>157</v>
      </c>
      <c r="B92" s="38" t="s">
        <v>159</v>
      </c>
      <c r="C92" s="38" t="s">
        <v>188</v>
      </c>
      <c r="D92" s="21" t="n">
        <f aca="false">ROUND(Q92*R92,0)</f>
        <v>442</v>
      </c>
      <c r="E92" s="21" t="n">
        <f aca="false">ROUND(Q92,0)-D92</f>
        <v>203</v>
      </c>
      <c r="F92" s="21" t="n">
        <f aca="false">IF(COUNTA(D92:E92)=0,"",SUM(D92:E92))</f>
        <v>645</v>
      </c>
      <c r="G92" s="39" t="n">
        <f aca="false">IF(OR(F92="",F92=0),"",D92/F92)</f>
        <v>0.685271317829457</v>
      </c>
      <c r="H92" s="39" t="n">
        <f aca="false">IF(OR(F92="",F92=0),"",E92/F92)</f>
        <v>0.314728682170543</v>
      </c>
      <c r="I92" s="38" t="s">
        <v>89</v>
      </c>
      <c r="J92" s="40" t="n">
        <v>3.7041269898902</v>
      </c>
      <c r="K92" s="39" t="n">
        <f aca="false">IF(G92="","",MAX(0,G92-J92/100))</f>
        <v>0.648230047930555</v>
      </c>
      <c r="L92" s="39" t="n">
        <f aca="false">IF(G92="","",MIN(1,G92+J92/100))</f>
        <v>0.722312587728359</v>
      </c>
      <c r="M92" s="21" t="n">
        <f aca="false">ROUND(Q92*S92,0)</f>
        <v>50</v>
      </c>
      <c r="N92" s="21" t="n">
        <f aca="false">ROUND(SQRT((F92*J92/100)^2+(G92*M92)^2),0)</f>
        <v>42</v>
      </c>
      <c r="P92" s="41" t="n">
        <v>15.8959610751525</v>
      </c>
      <c r="Q92" s="42" t="n">
        <v>644.972943494342</v>
      </c>
      <c r="R92" s="43" t="n">
        <f aca="false">MAX(0,MIN(1,P92/100+$D$5))</f>
        <v>0.685944309328146</v>
      </c>
      <c r="S92" s="43" t="n">
        <v>0.0779420971553049</v>
      </c>
      <c r="T92" s="44" t="s">
        <v>90</v>
      </c>
    </row>
    <row r="93" customFormat="false" ht="15" hidden="false" customHeight="false" outlineLevel="0" collapsed="false">
      <c r="A93" s="38" t="s">
        <v>157</v>
      </c>
      <c r="B93" s="38" t="s">
        <v>159</v>
      </c>
      <c r="C93" s="38" t="s">
        <v>189</v>
      </c>
      <c r="D93" s="21" t="n">
        <f aca="false">ROUND(Q93*R93,0)</f>
        <v>487</v>
      </c>
      <c r="E93" s="21" t="n">
        <f aca="false">ROUND(Q93,0)-D93</f>
        <v>230</v>
      </c>
      <c r="F93" s="21" t="n">
        <f aca="false">IF(COUNTA(D93:E93)=0,"",SUM(D93:E93))</f>
        <v>717</v>
      </c>
      <c r="G93" s="39" t="n">
        <f aca="false">IF(OR(F93="",F93=0),"",D93/F93)</f>
        <v>0.679218967921897</v>
      </c>
      <c r="H93" s="39" t="n">
        <f aca="false">IF(OR(F93="",F93=0),"",E93/F93)</f>
        <v>0.320781032078103</v>
      </c>
      <c r="I93" s="38" t="s">
        <v>89</v>
      </c>
      <c r="J93" s="40" t="n">
        <v>3.7041269898902</v>
      </c>
      <c r="K93" s="39" t="n">
        <f aca="false">IF(G93="","",MAX(0,G93-J93/100))</f>
        <v>0.642177698022995</v>
      </c>
      <c r="L93" s="39" t="n">
        <f aca="false">IF(G93="","",MIN(1,G93+J93/100))</f>
        <v>0.716260237820799</v>
      </c>
      <c r="M93" s="21" t="n">
        <f aca="false">ROUND(Q93*S93,0)</f>
        <v>56</v>
      </c>
      <c r="N93" s="21" t="n">
        <f aca="false">ROUND(SQRT((F93*J93/100)^2+(G93*M93)^2),0)</f>
        <v>46</v>
      </c>
      <c r="P93" s="41" t="n">
        <v>15.1905593894141</v>
      </c>
      <c r="Q93" s="42" t="n">
        <v>717.462963082828</v>
      </c>
      <c r="R93" s="43" t="n">
        <f aca="false">MAX(0,MIN(1,P93/100+$D$5))</f>
        <v>0.678890292470763</v>
      </c>
      <c r="S93" s="43" t="n">
        <v>0.0779420971553049</v>
      </c>
      <c r="T93" s="44" t="s">
        <v>90</v>
      </c>
    </row>
    <row r="94" customFormat="false" ht="15" hidden="false" customHeight="false" outlineLevel="0" collapsed="false">
      <c r="A94" s="38" t="s">
        <v>157</v>
      </c>
      <c r="B94" s="38" t="s">
        <v>159</v>
      </c>
      <c r="C94" s="38" t="s">
        <v>190</v>
      </c>
      <c r="D94" s="21" t="n">
        <f aca="false">ROUND(Q94*R94,0)</f>
        <v>339</v>
      </c>
      <c r="E94" s="21" t="n">
        <f aca="false">ROUND(Q94,0)-D94</f>
        <v>231</v>
      </c>
      <c r="F94" s="21" t="n">
        <f aca="false">IF(COUNTA(D94:E94)=0,"",SUM(D94:E94))</f>
        <v>570</v>
      </c>
      <c r="G94" s="39" t="n">
        <f aca="false">IF(OR(F94="",F94=0),"",D94/F94)</f>
        <v>0.594736842105263</v>
      </c>
      <c r="H94" s="39" t="n">
        <f aca="false">IF(OR(F94="",F94=0),"",E94/F94)</f>
        <v>0.405263157894737</v>
      </c>
      <c r="I94" s="38" t="s">
        <v>191</v>
      </c>
      <c r="J94" s="40" t="n">
        <v>3.7041269898902</v>
      </c>
      <c r="K94" s="39" t="n">
        <f aca="false">IF(G94="","",MAX(0,G94-J94/100))</f>
        <v>0.557695572206361</v>
      </c>
      <c r="L94" s="39" t="n">
        <f aca="false">IF(G94="","",MIN(1,G94+J94/100))</f>
        <v>0.631778112004165</v>
      </c>
      <c r="M94" s="21" t="n">
        <f aca="false">ROUND(Q94*S94,0)</f>
        <v>44</v>
      </c>
      <c r="N94" s="21" t="n">
        <f aca="false">ROUND(SQRT((F94*J94/100)^2+(G94*M94)^2),0)</f>
        <v>34</v>
      </c>
      <c r="P94" s="41" t="n">
        <v>6.7859322712348</v>
      </c>
      <c r="Q94" s="42" t="n">
        <v>570.450335137511</v>
      </c>
      <c r="R94" s="43" t="n">
        <f aca="false">MAX(0,MIN(1,P94/100+$D$5))</f>
        <v>0.59484402128897</v>
      </c>
      <c r="S94" s="43" t="n">
        <v>0.0779420971553049</v>
      </c>
      <c r="T94" s="44" t="s">
        <v>90</v>
      </c>
    </row>
    <row r="95" customFormat="false" ht="15" hidden="false" customHeight="false" outlineLevel="0" collapsed="false">
      <c r="A95" s="38" t="s">
        <v>157</v>
      </c>
      <c r="B95" s="38" t="s">
        <v>159</v>
      </c>
      <c r="C95" s="38" t="s">
        <v>192</v>
      </c>
      <c r="D95" s="21" t="n">
        <f aca="false">ROUND(Q95*R95,0)</f>
        <v>765</v>
      </c>
      <c r="E95" s="21" t="n">
        <f aca="false">ROUND(Q95,0)-D95</f>
        <v>524</v>
      </c>
      <c r="F95" s="21" t="n">
        <f aca="false">IF(COUNTA(D95:E95)=0,"",SUM(D95:E95))</f>
        <v>1289</v>
      </c>
      <c r="G95" s="39" t="n">
        <f aca="false">IF(OR(F95="",F95=0),"",D95/F95)</f>
        <v>0.593483320403414</v>
      </c>
      <c r="H95" s="39" t="n">
        <f aca="false">IF(OR(F95="",F95=0),"",E95/F95)</f>
        <v>0.406516679596587</v>
      </c>
      <c r="I95" s="38" t="s">
        <v>191</v>
      </c>
      <c r="J95" s="40" t="n">
        <v>1.26135644325249</v>
      </c>
      <c r="K95" s="39" t="n">
        <f aca="false">IF(G95="","",MAX(0,G95-J95/100))</f>
        <v>0.580869755970889</v>
      </c>
      <c r="L95" s="39" t="n">
        <f aca="false">IF(G95="","",MIN(1,G95+J95/100))</f>
        <v>0.606096884835938</v>
      </c>
      <c r="M95" s="21" t="n">
        <f aca="false">ROUND(Q95*S95,0)</f>
        <v>180</v>
      </c>
      <c r="N95" s="21" t="n">
        <f aca="false">ROUND(SQRT((F95*J95/100)^2+(G95*M95)^2),0)</f>
        <v>108</v>
      </c>
      <c r="P95" s="41" t="n">
        <v>6.69187640588338</v>
      </c>
      <c r="Q95" s="42" t="n">
        <v>1288.77710540644</v>
      </c>
      <c r="R95" s="43" t="n">
        <f aca="false">MAX(0,MIN(1,P95/100+$D$5))</f>
        <v>0.593903462635456</v>
      </c>
      <c r="S95" s="43" t="n">
        <v>0.139463116518417</v>
      </c>
      <c r="T95" s="44" t="s">
        <v>128</v>
      </c>
    </row>
    <row r="96" customFormat="false" ht="15" hidden="false" customHeight="false" outlineLevel="0" collapsed="false">
      <c r="A96" s="38" t="s">
        <v>157</v>
      </c>
      <c r="B96" s="38" t="s">
        <v>159</v>
      </c>
      <c r="C96" s="38" t="s">
        <v>193</v>
      </c>
      <c r="D96" s="21" t="n">
        <f aca="false">ROUND(Q96*R96,0)</f>
        <v>427</v>
      </c>
      <c r="E96" s="21" t="n">
        <f aca="false">ROUND(Q96,0)-D96</f>
        <v>167</v>
      </c>
      <c r="F96" s="21" t="n">
        <f aca="false">IF(COUNTA(D96:E96)=0,"",SUM(D96:E96))</f>
        <v>594</v>
      </c>
      <c r="G96" s="39" t="n">
        <f aca="false">IF(OR(F96="",F96=0),"",D96/F96)</f>
        <v>0.718855218855219</v>
      </c>
      <c r="H96" s="39" t="n">
        <f aca="false">IF(OR(F96="",F96=0),"",E96/F96)</f>
        <v>0.281144781144781</v>
      </c>
      <c r="I96" s="38" t="s">
        <v>89</v>
      </c>
      <c r="J96" s="40" t="n">
        <v>3.7041269898902</v>
      </c>
      <c r="K96" s="39" t="n">
        <f aca="false">IF(G96="","",MAX(0,G96-J96/100))</f>
        <v>0.681813948956317</v>
      </c>
      <c r="L96" s="39" t="n">
        <f aca="false">IF(G96="","",MIN(1,G96+J96/100))</f>
        <v>0.755896488754121</v>
      </c>
      <c r="M96" s="21" t="n">
        <f aca="false">ROUND(Q96*S96,0)</f>
        <v>46</v>
      </c>
      <c r="N96" s="21" t="n">
        <f aca="false">ROUND(SQRT((F96*J96/100)^2+(G96*M96)^2),0)</f>
        <v>40</v>
      </c>
      <c r="P96" s="41" t="n">
        <v>19.1258681974886</v>
      </c>
      <c r="Q96" s="42" t="n">
        <v>593.84687958777</v>
      </c>
      <c r="R96" s="43" t="n">
        <f aca="false">MAX(0,MIN(1,P96/100+$D$5))</f>
        <v>0.718243380551508</v>
      </c>
      <c r="S96" s="43" t="n">
        <v>0.0779420971553049</v>
      </c>
      <c r="T96" s="44" t="s">
        <v>90</v>
      </c>
    </row>
    <row r="97" customFormat="false" ht="15" hidden="false" customHeight="false" outlineLevel="0" collapsed="false">
      <c r="A97" s="38" t="s">
        <v>157</v>
      </c>
      <c r="B97" s="38" t="s">
        <v>159</v>
      </c>
      <c r="C97" s="38" t="s">
        <v>194</v>
      </c>
      <c r="D97" s="21" t="n">
        <f aca="false">ROUND(Q97*R97,0)</f>
        <v>525</v>
      </c>
      <c r="E97" s="21" t="n">
        <f aca="false">ROUND(Q97,0)-D97</f>
        <v>270</v>
      </c>
      <c r="F97" s="21" t="n">
        <f aca="false">IF(COUNTA(D97:E97)=0,"",SUM(D97:E97))</f>
        <v>795</v>
      </c>
      <c r="G97" s="39" t="n">
        <f aca="false">IF(OR(F97="",F97=0),"",D97/F97)</f>
        <v>0.660377358490566</v>
      </c>
      <c r="H97" s="39" t="n">
        <f aca="false">IF(OR(F97="",F97=0),"",E97/F97)</f>
        <v>0.339622641509434</v>
      </c>
      <c r="I97" s="38" t="s">
        <v>89</v>
      </c>
      <c r="J97" s="40" t="n">
        <v>2.12060277043418</v>
      </c>
      <c r="K97" s="39" t="n">
        <f aca="false">IF(G97="","",MAX(0,G97-J97/100))</f>
        <v>0.639171330786224</v>
      </c>
      <c r="L97" s="39" t="n">
        <f aca="false">IF(G97="","",MIN(1,G97+J97/100))</f>
        <v>0.681583386194908</v>
      </c>
      <c r="M97" s="21" t="n">
        <f aca="false">ROUND(Q97*S97,0)</f>
        <v>50</v>
      </c>
      <c r="N97" s="21" t="n">
        <f aca="false">ROUND(SQRT((F97*J97/100)^2+(G97*M97)^2),0)</f>
        <v>37</v>
      </c>
      <c r="P97" s="41" t="n">
        <v>13.3444506603929</v>
      </c>
      <c r="Q97" s="42" t="n">
        <v>794.76781279259</v>
      </c>
      <c r="R97" s="43" t="n">
        <f aca="false">MAX(0,MIN(1,P97/100+$D$5))</f>
        <v>0.660429205180551</v>
      </c>
      <c r="S97" s="43" t="n">
        <v>0.0633793435818552</v>
      </c>
      <c r="T97" s="44" t="s">
        <v>99</v>
      </c>
    </row>
    <row r="98" customFormat="false" ht="15" hidden="false" customHeight="false" outlineLevel="0" collapsed="false">
      <c r="A98" s="38" t="s">
        <v>157</v>
      </c>
      <c r="B98" s="38" t="s">
        <v>159</v>
      </c>
      <c r="C98" s="38" t="s">
        <v>195</v>
      </c>
      <c r="D98" s="21" t="n">
        <f aca="false">ROUND(Q98*R98,0)</f>
        <v>13</v>
      </c>
      <c r="E98" s="21" t="n">
        <f aca="false">ROUND(Q98,0)-D98</f>
        <v>10</v>
      </c>
      <c r="F98" s="21" t="n">
        <f aca="false">IF(COUNTA(D98:E98)=0,"",SUM(D98:E98))</f>
        <v>23</v>
      </c>
      <c r="G98" s="39" t="n">
        <f aca="false">IF(OR(F98="",F98=0),"",D98/F98)</f>
        <v>0.565217391304348</v>
      </c>
      <c r="H98" s="39" t="n">
        <f aca="false">IF(OR(F98="",F98=0),"",E98/F98)</f>
        <v>0.434782608695652</v>
      </c>
      <c r="I98" s="38" t="s">
        <v>191</v>
      </c>
      <c r="J98" s="40" t="n">
        <v>3.7041269898902</v>
      </c>
      <c r="K98" s="39" t="n">
        <f aca="false">IF(G98="","",MAX(0,G98-J98/100))</f>
        <v>0.528176121405446</v>
      </c>
      <c r="L98" s="39" t="n">
        <f aca="false">IF(G98="","",MIN(1,G98+J98/100))</f>
        <v>0.60225866120325</v>
      </c>
      <c r="M98" s="21" t="n">
        <f aca="false">ROUND(Q98*S98,0)</f>
        <v>2</v>
      </c>
      <c r="N98" s="21" t="n">
        <f aca="false">ROUND(SQRT((F98*J98/100)^2+(G98*M98)^2),0)</f>
        <v>1</v>
      </c>
      <c r="P98" s="41" t="n">
        <v>3.05988332381404</v>
      </c>
      <c r="Q98" s="42" t="n">
        <v>22.5927739453993</v>
      </c>
      <c r="R98" s="43" t="n">
        <f aca="false">MAX(0,MIN(1,P98/100+$D$5))</f>
        <v>0.557583531814762</v>
      </c>
      <c r="S98" s="43" t="n">
        <v>0.0779420971553049</v>
      </c>
      <c r="T98" s="44" t="s">
        <v>90</v>
      </c>
    </row>
    <row r="99" customFormat="false" ht="15" hidden="false" customHeight="false" outlineLevel="0" collapsed="false">
      <c r="A99" s="38" t="s">
        <v>157</v>
      </c>
      <c r="B99" s="38" t="s">
        <v>159</v>
      </c>
      <c r="C99" s="38" t="s">
        <v>196</v>
      </c>
      <c r="D99" s="21" t="n">
        <f aca="false">ROUND(Q99*R99,0)</f>
        <v>239</v>
      </c>
      <c r="E99" s="21" t="n">
        <f aca="false">ROUND(Q99,0)-D99</f>
        <v>153</v>
      </c>
      <c r="F99" s="21" t="n">
        <f aca="false">IF(COUNTA(D99:E99)=0,"",SUM(D99:E99))</f>
        <v>392</v>
      </c>
      <c r="G99" s="39" t="n">
        <f aca="false">IF(OR(F99="",F99=0),"",D99/F99)</f>
        <v>0.60969387755102</v>
      </c>
      <c r="H99" s="39" t="n">
        <f aca="false">IF(OR(F99="",F99=0),"",E99/F99)</f>
        <v>0.39030612244898</v>
      </c>
      <c r="I99" s="38" t="s">
        <v>89</v>
      </c>
      <c r="J99" s="40" t="n">
        <v>3.7041269898902</v>
      </c>
      <c r="K99" s="39" t="n">
        <f aca="false">IF(G99="","",MAX(0,G99-J99/100))</f>
        <v>0.572652607652119</v>
      </c>
      <c r="L99" s="39" t="n">
        <f aca="false">IF(G99="","",MIN(1,G99+J99/100))</f>
        <v>0.646735147449922</v>
      </c>
      <c r="M99" s="21" t="n">
        <f aca="false">ROUND(Q99*S99,0)</f>
        <v>31</v>
      </c>
      <c r="N99" s="21" t="n">
        <f aca="false">ROUND(SQRT((F99*J99/100)^2+(G99*M99)^2),0)</f>
        <v>24</v>
      </c>
      <c r="P99" s="41" t="n">
        <v>8.20985086040081</v>
      </c>
      <c r="Q99" s="42" t="n">
        <v>392.340364357855</v>
      </c>
      <c r="R99" s="43" t="n">
        <f aca="false">MAX(0,MIN(1,P99/100+$D$5))</f>
        <v>0.60908320718063</v>
      </c>
      <c r="S99" s="43" t="n">
        <v>0.0779420971553049</v>
      </c>
      <c r="T99" s="44" t="s">
        <v>90</v>
      </c>
    </row>
    <row r="100" customFormat="false" ht="15" hidden="false" customHeight="false" outlineLevel="0" collapsed="false">
      <c r="A100" s="38" t="s">
        <v>157</v>
      </c>
      <c r="B100" s="38" t="s">
        <v>159</v>
      </c>
      <c r="C100" s="38" t="s">
        <v>197</v>
      </c>
      <c r="D100" s="21" t="n">
        <f aca="false">ROUND(Q100*R100,0)</f>
        <v>366</v>
      </c>
      <c r="E100" s="21" t="n">
        <f aca="false">ROUND(Q100,0)-D100</f>
        <v>171</v>
      </c>
      <c r="F100" s="21" t="n">
        <f aca="false">IF(COUNTA(D100:E100)=0,"",SUM(D100:E100))</f>
        <v>537</v>
      </c>
      <c r="G100" s="39" t="n">
        <f aca="false">IF(OR(F100="",F100=0),"",D100/F100)</f>
        <v>0.681564245810056</v>
      </c>
      <c r="H100" s="39" t="n">
        <f aca="false">IF(OR(F100="",F100=0),"",E100/F100)</f>
        <v>0.318435754189944</v>
      </c>
      <c r="I100" s="38" t="s">
        <v>89</v>
      </c>
      <c r="J100" s="40" t="n">
        <v>3.7041269898902</v>
      </c>
      <c r="K100" s="39" t="n">
        <f aca="false">IF(G100="","",MAX(0,G100-J100/100))</f>
        <v>0.644522975911154</v>
      </c>
      <c r="L100" s="39" t="n">
        <f aca="false">IF(G100="","",MIN(1,G100+J100/100))</f>
        <v>0.718605515708958</v>
      </c>
      <c r="M100" s="21" t="n">
        <f aca="false">ROUND(Q100*S100,0)</f>
        <v>42</v>
      </c>
      <c r="N100" s="21" t="n">
        <f aca="false">ROUND(SQRT((F100*J100/100)^2+(G100*M100)^2),0)</f>
        <v>35</v>
      </c>
      <c r="P100" s="41" t="n">
        <v>15.400255902232</v>
      </c>
      <c r="Q100" s="42" t="n">
        <v>537.278014073646</v>
      </c>
      <c r="R100" s="43" t="n">
        <f aca="false">MAX(0,MIN(1,P100/100+$D$5))</f>
        <v>0.680987257598942</v>
      </c>
      <c r="S100" s="43" t="n">
        <v>0.0779420971553049</v>
      </c>
      <c r="T100" s="44" t="s">
        <v>90</v>
      </c>
    </row>
    <row r="101" customFormat="false" ht="15" hidden="false" customHeight="false" outlineLevel="0" collapsed="false">
      <c r="A101" s="38" t="s">
        <v>157</v>
      </c>
      <c r="B101" s="38" t="s">
        <v>159</v>
      </c>
      <c r="C101" s="38" t="s">
        <v>198</v>
      </c>
      <c r="D101" s="21" t="n">
        <f aca="false">ROUND(Q101*R101,0)</f>
        <v>286</v>
      </c>
      <c r="E101" s="21" t="n">
        <f aca="false">ROUND(Q101,0)-D101</f>
        <v>161</v>
      </c>
      <c r="F101" s="21" t="n">
        <f aca="false">IF(COUNTA(D101:E101)=0,"",SUM(D101:E101))</f>
        <v>447</v>
      </c>
      <c r="G101" s="39" t="n">
        <f aca="false">IF(OR(F101="",F101=0),"",D101/F101)</f>
        <v>0.639821029082774</v>
      </c>
      <c r="H101" s="39" t="n">
        <f aca="false">IF(OR(F101="",F101=0),"",E101/F101)</f>
        <v>0.360178970917226</v>
      </c>
      <c r="I101" s="38" t="s">
        <v>89</v>
      </c>
      <c r="J101" s="40" t="n">
        <v>3.7041269898902</v>
      </c>
      <c r="K101" s="39" t="n">
        <f aca="false">IF(G101="","",MAX(0,G101-J101/100))</f>
        <v>0.602779759183872</v>
      </c>
      <c r="L101" s="39" t="n">
        <f aca="false">IF(G101="","",MIN(1,G101+J101/100))</f>
        <v>0.676862298981676</v>
      </c>
      <c r="M101" s="21" t="n">
        <f aca="false">ROUND(Q101*S101,0)</f>
        <v>35</v>
      </c>
      <c r="N101" s="21" t="n">
        <f aca="false">ROUND(SQRT((F101*J101/100)^2+(G101*M101)^2),0)</f>
        <v>28</v>
      </c>
      <c r="P101" s="41" t="n">
        <v>11.2165320601191</v>
      </c>
      <c r="Q101" s="42" t="n">
        <v>447.298300593916</v>
      </c>
      <c r="R101" s="43" t="n">
        <f aca="false">MAX(0,MIN(1,P101/100+$D$5))</f>
        <v>0.639150019177812</v>
      </c>
      <c r="S101" s="43" t="n">
        <v>0.0779420971553049</v>
      </c>
      <c r="T101" s="44" t="s">
        <v>90</v>
      </c>
    </row>
    <row r="102" customFormat="false" ht="15" hidden="false" customHeight="false" outlineLevel="0" collapsed="false">
      <c r="A102" s="38" t="s">
        <v>157</v>
      </c>
      <c r="B102" s="38" t="s">
        <v>159</v>
      </c>
      <c r="C102" s="38" t="s">
        <v>199</v>
      </c>
      <c r="D102" s="21" t="n">
        <f aca="false">ROUND(Q102*R102,0)</f>
        <v>245</v>
      </c>
      <c r="E102" s="21" t="n">
        <f aca="false">ROUND(Q102,0)-D102</f>
        <v>120</v>
      </c>
      <c r="F102" s="21" t="n">
        <f aca="false">IF(COUNTA(D102:E102)=0,"",SUM(D102:E102))</f>
        <v>365</v>
      </c>
      <c r="G102" s="39" t="n">
        <f aca="false">IF(OR(F102="",F102=0),"",D102/F102)</f>
        <v>0.671232876712329</v>
      </c>
      <c r="H102" s="39" t="n">
        <f aca="false">IF(OR(F102="",F102=0),"",E102/F102)</f>
        <v>0.328767123287671</v>
      </c>
      <c r="I102" s="38" t="s">
        <v>89</v>
      </c>
      <c r="J102" s="40" t="n">
        <v>3.7041269898902</v>
      </c>
      <c r="K102" s="39" t="n">
        <f aca="false">IF(G102="","",MAX(0,G102-J102/100))</f>
        <v>0.634191606813427</v>
      </c>
      <c r="L102" s="39" t="n">
        <f aca="false">IF(G102="","",MIN(1,G102+J102/100))</f>
        <v>0.708274146611231</v>
      </c>
      <c r="M102" s="21" t="n">
        <f aca="false">ROUND(Q102*S102,0)</f>
        <v>28</v>
      </c>
      <c r="N102" s="21" t="n">
        <f aca="false">ROUND(SQRT((F102*J102/100)^2+(G102*M102)^2),0)</f>
        <v>23</v>
      </c>
      <c r="P102" s="41" t="n">
        <v>14.6089767129724</v>
      </c>
      <c r="Q102" s="42" t="n">
        <v>364.673231596411</v>
      </c>
      <c r="R102" s="43" t="n">
        <f aca="false">MAX(0,MIN(1,P102/100+$D$5))</f>
        <v>0.673074465706346</v>
      </c>
      <c r="S102" s="43" t="n">
        <v>0.0779420971553049</v>
      </c>
      <c r="T102" s="44" t="s">
        <v>90</v>
      </c>
    </row>
    <row r="103" customFormat="false" ht="15" hidden="false" customHeight="false" outlineLevel="0" collapsed="false">
      <c r="A103" s="38" t="s">
        <v>157</v>
      </c>
      <c r="B103" s="38" t="s">
        <v>159</v>
      </c>
      <c r="C103" s="38" t="s">
        <v>200</v>
      </c>
      <c r="D103" s="21" t="n">
        <f aca="false">ROUND(Q103*R103,0)</f>
        <v>405</v>
      </c>
      <c r="E103" s="21" t="n">
        <f aca="false">ROUND(Q103,0)-D103</f>
        <v>224</v>
      </c>
      <c r="F103" s="21" t="n">
        <f aca="false">IF(COUNTA(D103:E103)=0,"",SUM(D103:E103))</f>
        <v>629</v>
      </c>
      <c r="G103" s="39" t="n">
        <f aca="false">IF(OR(F103="",F103=0),"",D103/F103)</f>
        <v>0.643879173290938</v>
      </c>
      <c r="H103" s="39" t="n">
        <f aca="false">IF(OR(F103="",F103=0),"",E103/F103)</f>
        <v>0.356120826709062</v>
      </c>
      <c r="I103" s="38" t="s">
        <v>89</v>
      </c>
      <c r="J103" s="40" t="n">
        <v>3.7041269898902</v>
      </c>
      <c r="K103" s="39" t="n">
        <f aca="false">IF(G103="","",MAX(0,G103-J103/100))</f>
        <v>0.606837903392036</v>
      </c>
      <c r="L103" s="39" t="n">
        <f aca="false">IF(G103="","",MIN(1,G103+J103/100))</f>
        <v>0.68092044318984</v>
      </c>
      <c r="M103" s="21" t="n">
        <f aca="false">ROUND(Q103*S103,0)</f>
        <v>49</v>
      </c>
      <c r="N103" s="21" t="n">
        <f aca="false">ROUND(SQRT((F103*J103/100)^2+(G103*M103)^2),0)</f>
        <v>39</v>
      </c>
      <c r="P103" s="41" t="n">
        <v>11.6746358519603</v>
      </c>
      <c r="Q103" s="42" t="n">
        <v>628.820705535691</v>
      </c>
      <c r="R103" s="43" t="n">
        <f aca="false">MAX(0,MIN(1,P103/100+$D$5))</f>
        <v>0.643731057096225</v>
      </c>
      <c r="S103" s="43" t="n">
        <v>0.0779420971553049</v>
      </c>
      <c r="T103" s="44" t="s">
        <v>90</v>
      </c>
    </row>
    <row r="104" customFormat="false" ht="15" hidden="false" customHeight="false" outlineLevel="0" collapsed="false">
      <c r="A104" s="38" t="s">
        <v>157</v>
      </c>
      <c r="B104" s="38" t="s">
        <v>159</v>
      </c>
      <c r="C104" s="38" t="s">
        <v>201</v>
      </c>
      <c r="D104" s="21" t="n">
        <f aca="false">ROUND(Q104*R104,0)</f>
        <v>1</v>
      </c>
      <c r="E104" s="21" t="n">
        <f aca="false">ROUND(Q104,0)-D104</f>
        <v>1</v>
      </c>
      <c r="F104" s="21" t="n">
        <f aca="false">IF(COUNTA(D104:E104)=0,"",SUM(D104:E104))</f>
        <v>2</v>
      </c>
      <c r="G104" s="39" t="n">
        <f aca="false">IF(OR(F104="",F104=0),"",D104/F104)</f>
        <v>0.5</v>
      </c>
      <c r="H104" s="39" t="n">
        <f aca="false">IF(OR(F104="",F104=0),"",E104/F104)</f>
        <v>0.5</v>
      </c>
      <c r="I104" s="38" t="s">
        <v>191</v>
      </c>
      <c r="J104" s="40" t="n">
        <v>3.7041269898902</v>
      </c>
      <c r="K104" s="39" t="n">
        <f aca="false">IF(G104="","",MAX(0,G104-J104/100))</f>
        <v>0.462958730101098</v>
      </c>
      <c r="L104" s="39" t="n">
        <f aca="false">IF(G104="","",MIN(1,G104+J104/100))</f>
        <v>0.537041269898902</v>
      </c>
      <c r="M104" s="21" t="n">
        <f aca="false">ROUND(Q104*S104,0)</f>
        <v>0</v>
      </c>
      <c r="N104" s="21" t="n">
        <f aca="false">ROUND(SQRT((F104*J104/100)^2+(G104*M104)^2),0)</f>
        <v>0</v>
      </c>
      <c r="P104" s="41" t="n">
        <v>-1.04527361498052</v>
      </c>
      <c r="Q104" s="42" t="n">
        <v>2.33592011422323</v>
      </c>
      <c r="R104" s="43" t="n">
        <f aca="false">MAX(0,MIN(1,P104/100+$D$5))</f>
        <v>0.516531962426817</v>
      </c>
      <c r="S104" s="43" t="n">
        <v>0.0779420971553049</v>
      </c>
      <c r="T104" s="44" t="s">
        <v>90</v>
      </c>
    </row>
    <row r="105" customFormat="false" ht="15" hidden="false" customHeight="false" outlineLevel="0" collapsed="false">
      <c r="A105" s="38" t="s">
        <v>157</v>
      </c>
      <c r="B105" s="38" t="s">
        <v>159</v>
      </c>
      <c r="C105" s="38" t="s">
        <v>202</v>
      </c>
      <c r="D105" s="21" t="n">
        <f aca="false">ROUND(Q105*R105,0)</f>
        <v>501</v>
      </c>
      <c r="E105" s="21" t="n">
        <f aca="false">ROUND(Q105,0)-D105</f>
        <v>258</v>
      </c>
      <c r="F105" s="21" t="n">
        <f aca="false">IF(COUNTA(D105:E105)=0,"",SUM(D105:E105))</f>
        <v>759</v>
      </c>
      <c r="G105" s="39" t="n">
        <f aca="false">IF(OR(F105="",F105=0),"",D105/F105)</f>
        <v>0.660079051383399</v>
      </c>
      <c r="H105" s="39" t="n">
        <f aca="false">IF(OR(F105="",F105=0),"",E105/F105)</f>
        <v>0.339920948616601</v>
      </c>
      <c r="I105" s="38" t="s">
        <v>89</v>
      </c>
      <c r="J105" s="40" t="n">
        <v>3.7041269898902</v>
      </c>
      <c r="K105" s="39" t="n">
        <f aca="false">IF(G105="","",MAX(0,G105-J105/100))</f>
        <v>0.623037781484497</v>
      </c>
      <c r="L105" s="39" t="n">
        <f aca="false">IF(G105="","",MIN(1,G105+J105/100))</f>
        <v>0.697120321282301</v>
      </c>
      <c r="M105" s="21" t="n">
        <f aca="false">ROUND(Q105*S105,0)</f>
        <v>59</v>
      </c>
      <c r="N105" s="21" t="n">
        <f aca="false">ROUND(SQRT((F105*J105/100)^2+(G105*M105)^2),0)</f>
        <v>48</v>
      </c>
      <c r="P105" s="41" t="n">
        <v>13.258617863872</v>
      </c>
      <c r="Q105" s="42" t="n">
        <v>759.141613139445</v>
      </c>
      <c r="R105" s="43" t="n">
        <f aca="false">MAX(0,MIN(1,P105/100+$D$5))</f>
        <v>0.659570877215342</v>
      </c>
      <c r="S105" s="43" t="n">
        <v>0.0779420971553049</v>
      </c>
      <c r="T105" s="44" t="s">
        <v>90</v>
      </c>
    </row>
    <row r="106" customFormat="false" ht="15" hidden="false" customHeight="false" outlineLevel="0" collapsed="false">
      <c r="A106" s="38" t="s">
        <v>157</v>
      </c>
      <c r="B106" s="38" t="s">
        <v>159</v>
      </c>
      <c r="C106" s="38" t="s">
        <v>203</v>
      </c>
      <c r="D106" s="21" t="n">
        <f aca="false">ROUND(Q106*R106,0)</f>
        <v>228</v>
      </c>
      <c r="E106" s="21" t="n">
        <f aca="false">ROUND(Q106,0)-D106</f>
        <v>67</v>
      </c>
      <c r="F106" s="21" t="n">
        <f aca="false">IF(COUNTA(D106:E106)=0,"",SUM(D106:E106))</f>
        <v>295</v>
      </c>
      <c r="G106" s="39" t="n">
        <f aca="false">IF(OR(F106="",F106=0),"",D106/F106)</f>
        <v>0.772881355932203</v>
      </c>
      <c r="H106" s="39" t="n">
        <f aca="false">IF(OR(F106="",F106=0),"",E106/F106)</f>
        <v>0.227118644067797</v>
      </c>
      <c r="I106" s="38" t="s">
        <v>89</v>
      </c>
      <c r="J106" s="40" t="n">
        <v>3.7041269898902</v>
      </c>
      <c r="K106" s="39" t="n">
        <f aca="false">IF(G106="","",MAX(0,G106-J106/100))</f>
        <v>0.735840086033301</v>
      </c>
      <c r="L106" s="39" t="n">
        <f aca="false">IF(G106="","",MIN(1,G106+J106/100))</f>
        <v>0.809922625831105</v>
      </c>
      <c r="M106" s="21" t="n">
        <f aca="false">ROUND(Q106*S106,0)</f>
        <v>23</v>
      </c>
      <c r="N106" s="21" t="n">
        <f aca="false">ROUND(SQRT((F106*J106/100)^2+(G106*M106)^2),0)</f>
        <v>21</v>
      </c>
      <c r="P106" s="41" t="n">
        <v>24.4678545000732</v>
      </c>
      <c r="Q106" s="42" t="n">
        <v>294.930462795556</v>
      </c>
      <c r="R106" s="43" t="n">
        <f aca="false">MAX(0,MIN(1,P106/100+$D$5))</f>
        <v>0.771663243577354</v>
      </c>
      <c r="S106" s="43" t="n">
        <v>0.0779420971553049</v>
      </c>
      <c r="T106" s="44" t="s">
        <v>90</v>
      </c>
    </row>
    <row r="107" customFormat="false" ht="15" hidden="false" customHeight="false" outlineLevel="0" collapsed="false">
      <c r="A107" s="38" t="s">
        <v>157</v>
      </c>
      <c r="B107" s="38" t="s">
        <v>159</v>
      </c>
      <c r="C107" s="38" t="s">
        <v>204</v>
      </c>
      <c r="D107" s="21" t="n">
        <f aca="false">ROUND(Q107*R107,0)</f>
        <v>215</v>
      </c>
      <c r="E107" s="21" t="n">
        <f aca="false">ROUND(Q107,0)-D107</f>
        <v>75</v>
      </c>
      <c r="F107" s="21" t="n">
        <f aca="false">IF(COUNTA(D107:E107)=0,"",SUM(D107:E107))</f>
        <v>290</v>
      </c>
      <c r="G107" s="39" t="n">
        <f aca="false">IF(OR(F107="",F107=0),"",D107/F107)</f>
        <v>0.741379310344828</v>
      </c>
      <c r="H107" s="39" t="n">
        <f aca="false">IF(OR(F107="",F107=0),"",E107/F107)</f>
        <v>0.258620689655172</v>
      </c>
      <c r="I107" s="38" t="s">
        <v>89</v>
      </c>
      <c r="J107" s="40" t="n">
        <v>3.7041269898902</v>
      </c>
      <c r="K107" s="39" t="n">
        <f aca="false">IF(G107="","",MAX(0,G107-J107/100))</f>
        <v>0.704338040445926</v>
      </c>
      <c r="L107" s="39" t="n">
        <f aca="false">IF(G107="","",MIN(1,G107+J107/100))</f>
        <v>0.77842058024373</v>
      </c>
      <c r="M107" s="21" t="n">
        <f aca="false">ROUND(Q107*S107,0)</f>
        <v>23</v>
      </c>
      <c r="N107" s="21" t="n">
        <f aca="false">ROUND(SQRT((F107*J107/100)^2+(G107*M107)^2),0)</f>
        <v>20</v>
      </c>
      <c r="P107" s="41" t="n">
        <v>21.3829328997003</v>
      </c>
      <c r="Q107" s="42" t="n">
        <v>290.183422254433</v>
      </c>
      <c r="R107" s="43" t="n">
        <f aca="false">MAX(0,MIN(1,P107/100+$D$5))</f>
        <v>0.740814027573624</v>
      </c>
      <c r="S107" s="43" t="n">
        <v>0.0779420971553049</v>
      </c>
      <c r="T107" s="44" t="s">
        <v>90</v>
      </c>
    </row>
    <row r="108" customFormat="false" ht="15" hidden="false" customHeight="false" outlineLevel="0" collapsed="false">
      <c r="A108" s="38" t="s">
        <v>157</v>
      </c>
      <c r="B108" s="38" t="s">
        <v>159</v>
      </c>
      <c r="C108" s="38" t="s">
        <v>205</v>
      </c>
      <c r="D108" s="21" t="n">
        <f aca="false">ROUND(Q108*R108,0)</f>
        <v>437</v>
      </c>
      <c r="E108" s="21" t="n">
        <f aca="false">ROUND(Q108,0)-D108</f>
        <v>134</v>
      </c>
      <c r="F108" s="21" t="n">
        <f aca="false">IF(COUNTA(D108:E108)=0,"",SUM(D108:E108))</f>
        <v>571</v>
      </c>
      <c r="G108" s="39" t="n">
        <f aca="false">IF(OR(F108="",F108=0),"",D108/F108)</f>
        <v>0.765323992994746</v>
      </c>
      <c r="H108" s="39" t="n">
        <f aca="false">IF(OR(F108="",F108=0),"",E108/F108)</f>
        <v>0.234676007005254</v>
      </c>
      <c r="I108" s="38" t="s">
        <v>89</v>
      </c>
      <c r="J108" s="40" t="n">
        <v>3.7041269898902</v>
      </c>
      <c r="K108" s="39" t="n">
        <f aca="false">IF(G108="","",MAX(0,G108-J108/100))</f>
        <v>0.728282723095844</v>
      </c>
      <c r="L108" s="39" t="n">
        <f aca="false">IF(G108="","",MIN(1,G108+J108/100))</f>
        <v>0.802365262893648</v>
      </c>
      <c r="M108" s="21" t="n">
        <f aca="false">ROUND(Q108*S108,0)</f>
        <v>45</v>
      </c>
      <c r="N108" s="21" t="n">
        <f aca="false">ROUND(SQRT((F108*J108/100)^2+(G108*M108)^2),0)</f>
        <v>40</v>
      </c>
      <c r="P108" s="41" t="n">
        <v>23.8437511660081</v>
      </c>
      <c r="Q108" s="42" t="n">
        <v>570.979351365618</v>
      </c>
      <c r="R108" s="43" t="n">
        <f aca="false">MAX(0,MIN(1,P108/100+$D$5))</f>
        <v>0.765422210236702</v>
      </c>
      <c r="S108" s="43" t="n">
        <v>0.0779420971553049</v>
      </c>
      <c r="T108" s="44" t="s">
        <v>90</v>
      </c>
    </row>
    <row r="109" customFormat="false" ht="15" hidden="false" customHeight="false" outlineLevel="0" collapsed="false">
      <c r="A109" s="38" t="s">
        <v>157</v>
      </c>
      <c r="B109" s="38" t="s">
        <v>159</v>
      </c>
      <c r="C109" s="38" t="s">
        <v>206</v>
      </c>
      <c r="D109" s="21" t="n">
        <f aca="false">ROUND(Q109*R109,0)</f>
        <v>165</v>
      </c>
      <c r="E109" s="21" t="n">
        <f aca="false">ROUND(Q109,0)-D109</f>
        <v>61</v>
      </c>
      <c r="F109" s="21" t="n">
        <f aca="false">IF(COUNTA(D109:E109)=0,"",SUM(D109:E109))</f>
        <v>226</v>
      </c>
      <c r="G109" s="39" t="n">
        <f aca="false">IF(OR(F109="",F109=0),"",D109/F109)</f>
        <v>0.730088495575221</v>
      </c>
      <c r="H109" s="39" t="n">
        <f aca="false">IF(OR(F109="",F109=0),"",E109/F109)</f>
        <v>0.269911504424779</v>
      </c>
      <c r="I109" s="38" t="s">
        <v>89</v>
      </c>
      <c r="J109" s="40" t="n">
        <v>3.7041269898902</v>
      </c>
      <c r="K109" s="39" t="n">
        <f aca="false">IF(G109="","",MAX(0,G109-J109/100))</f>
        <v>0.693047225676319</v>
      </c>
      <c r="L109" s="39" t="n">
        <f aca="false">IF(G109="","",MIN(1,G109+J109/100))</f>
        <v>0.767129765474123</v>
      </c>
      <c r="M109" s="21" t="n">
        <f aca="false">ROUND(Q109*S109,0)</f>
        <v>18</v>
      </c>
      <c r="N109" s="21" t="n">
        <f aca="false">ROUND(SQRT((F109*J109/100)^2+(G109*M109)^2),0)</f>
        <v>16</v>
      </c>
      <c r="P109" s="41" t="n">
        <v>20.2487450225779</v>
      </c>
      <c r="Q109" s="42" t="n">
        <v>226.297613688953</v>
      </c>
      <c r="R109" s="43" t="n">
        <f aca="false">MAX(0,MIN(1,P109/100+$D$5))</f>
        <v>0.729472148802401</v>
      </c>
      <c r="S109" s="43" t="n">
        <v>0.0779420971553049</v>
      </c>
      <c r="T109" s="44" t="s">
        <v>90</v>
      </c>
    </row>
    <row r="110" customFormat="false" ht="15" hidden="false" customHeight="false" outlineLevel="0" collapsed="false">
      <c r="A110" s="38" t="s">
        <v>157</v>
      </c>
      <c r="B110" s="38" t="s">
        <v>159</v>
      </c>
      <c r="C110" s="38" t="s">
        <v>207</v>
      </c>
      <c r="D110" s="21" t="n">
        <f aca="false">ROUND(Q110*R110,0)</f>
        <v>246</v>
      </c>
      <c r="E110" s="21" t="n">
        <f aca="false">ROUND(Q110,0)-D110</f>
        <v>65</v>
      </c>
      <c r="F110" s="21" t="n">
        <f aca="false">IF(COUNTA(D110:E110)=0,"",SUM(D110:E110))</f>
        <v>311</v>
      </c>
      <c r="G110" s="39" t="n">
        <f aca="false">IF(OR(F110="",F110=0),"",D110/F110)</f>
        <v>0.790996784565916</v>
      </c>
      <c r="H110" s="39" t="n">
        <f aca="false">IF(OR(F110="",F110=0),"",E110/F110)</f>
        <v>0.209003215434084</v>
      </c>
      <c r="I110" s="38" t="s">
        <v>89</v>
      </c>
      <c r="J110" s="40" t="n">
        <v>3.7041269898902</v>
      </c>
      <c r="K110" s="39" t="n">
        <f aca="false">IF(G110="","",MAX(0,G110-J110/100))</f>
        <v>0.753955514667014</v>
      </c>
      <c r="L110" s="39" t="n">
        <f aca="false">IF(G110="","",MIN(1,G110+J110/100))</f>
        <v>0.828038054464818</v>
      </c>
      <c r="M110" s="21" t="n">
        <f aca="false">ROUND(Q110*S110,0)</f>
        <v>24</v>
      </c>
      <c r="N110" s="21" t="n">
        <f aca="false">ROUND(SQRT((F110*J110/100)^2+(G110*M110)^2),0)</f>
        <v>22</v>
      </c>
      <c r="P110" s="41" t="n">
        <v>26.3447691504978</v>
      </c>
      <c r="Q110" s="42" t="n">
        <v>311.340292278717</v>
      </c>
      <c r="R110" s="43" t="n">
        <f aca="false">MAX(0,MIN(1,P110/100+$D$5))</f>
        <v>0.7904323900816</v>
      </c>
      <c r="S110" s="43" t="n">
        <v>0.0779420971553049</v>
      </c>
      <c r="T110" s="44" t="s">
        <v>90</v>
      </c>
    </row>
    <row r="111" customFormat="false" ht="15" hidden="false" customHeight="false" outlineLevel="0" collapsed="false">
      <c r="A111" s="38" t="s">
        <v>157</v>
      </c>
      <c r="B111" s="38" t="s">
        <v>159</v>
      </c>
      <c r="C111" s="38" t="s">
        <v>208</v>
      </c>
      <c r="D111" s="21" t="n">
        <f aca="false">ROUND(Q111*R111,0)</f>
        <v>77</v>
      </c>
      <c r="E111" s="21" t="n">
        <f aca="false">ROUND(Q111,0)-D111</f>
        <v>35</v>
      </c>
      <c r="F111" s="21" t="n">
        <f aca="false">IF(COUNTA(D111:E111)=0,"",SUM(D111:E111))</f>
        <v>112</v>
      </c>
      <c r="G111" s="39" t="n">
        <f aca="false">IF(OR(F111="",F111=0),"",D111/F111)</f>
        <v>0.6875</v>
      </c>
      <c r="H111" s="39" t="n">
        <f aca="false">IF(OR(F111="",F111=0),"",E111/F111)</f>
        <v>0.3125</v>
      </c>
      <c r="I111" s="38" t="s">
        <v>89</v>
      </c>
      <c r="J111" s="40" t="n">
        <v>3.7041269898902</v>
      </c>
      <c r="K111" s="39" t="n">
        <f aca="false">IF(G111="","",MAX(0,G111-J111/100))</f>
        <v>0.650458730101098</v>
      </c>
      <c r="L111" s="39" t="n">
        <f aca="false">IF(G111="","",MIN(1,G111+J111/100))</f>
        <v>0.724541269898902</v>
      </c>
      <c r="M111" s="21" t="n">
        <f aca="false">ROUND(Q111*S111,0)</f>
        <v>9</v>
      </c>
      <c r="N111" s="21" t="n">
        <f aca="false">ROUND(SQRT((F111*J111/100)^2+(G111*M111)^2),0)</f>
        <v>7</v>
      </c>
      <c r="P111" s="41" t="n">
        <v>15.8343808035611</v>
      </c>
      <c r="Q111" s="42" t="n">
        <v>112.462032019354</v>
      </c>
      <c r="R111" s="43" t="n">
        <f aca="false">MAX(0,MIN(1,P111/100+$D$5))</f>
        <v>0.685328506612232</v>
      </c>
      <c r="S111" s="43" t="n">
        <v>0.0779420971553049</v>
      </c>
      <c r="T111" s="44" t="s">
        <v>90</v>
      </c>
    </row>
    <row r="112" customFormat="false" ht="15" hidden="false" customHeight="false" outlineLevel="0" collapsed="false">
      <c r="A112" s="38" t="s">
        <v>157</v>
      </c>
      <c r="B112" s="38" t="s">
        <v>159</v>
      </c>
      <c r="C112" s="38" t="s">
        <v>209</v>
      </c>
      <c r="D112" s="21" t="n">
        <f aca="false">ROUND(Q112*R112,0)</f>
        <v>182</v>
      </c>
      <c r="E112" s="21" t="n">
        <f aca="false">ROUND(Q112,0)-D112</f>
        <v>90</v>
      </c>
      <c r="F112" s="21" t="n">
        <f aca="false">IF(COUNTA(D112:E112)=0,"",SUM(D112:E112))</f>
        <v>272</v>
      </c>
      <c r="G112" s="39" t="n">
        <f aca="false">IF(OR(F112="",F112=0),"",D112/F112)</f>
        <v>0.669117647058824</v>
      </c>
      <c r="H112" s="39" t="n">
        <f aca="false">IF(OR(F112="",F112=0),"",E112/F112)</f>
        <v>0.330882352941176</v>
      </c>
      <c r="I112" s="38" t="s">
        <v>89</v>
      </c>
      <c r="J112" s="40" t="n">
        <v>3.7041269898902</v>
      </c>
      <c r="K112" s="39" t="n">
        <f aca="false">IF(G112="","",MAX(0,G112-J112/100))</f>
        <v>0.632076377159922</v>
      </c>
      <c r="L112" s="39" t="n">
        <f aca="false">IF(G112="","",MIN(1,G112+J112/100))</f>
        <v>0.706158916957726</v>
      </c>
      <c r="M112" s="21" t="n">
        <f aca="false">ROUND(Q112*S112,0)</f>
        <v>21</v>
      </c>
      <c r="N112" s="21" t="n">
        <f aca="false">ROUND(SQRT((F112*J112/100)^2+(G112*M112)^2),0)</f>
        <v>17</v>
      </c>
      <c r="P112" s="41" t="n">
        <v>14.3443032070178</v>
      </c>
      <c r="Q112" s="42" t="n">
        <v>271.680608411898</v>
      </c>
      <c r="R112" s="43" t="n">
        <f aca="false">MAX(0,MIN(1,P112/100+$D$5))</f>
        <v>0.6704277306468</v>
      </c>
      <c r="S112" s="43" t="n">
        <v>0.0779420971553049</v>
      </c>
      <c r="T112" s="44" t="s">
        <v>90</v>
      </c>
    </row>
    <row r="113" customFormat="false" ht="15" hidden="false" customHeight="false" outlineLevel="0" collapsed="false">
      <c r="A113" s="38" t="s">
        <v>157</v>
      </c>
      <c r="B113" s="38" t="s">
        <v>159</v>
      </c>
      <c r="C113" s="38" t="s">
        <v>210</v>
      </c>
      <c r="D113" s="21" t="n">
        <f aca="false">ROUND(Q113*R113,0)</f>
        <v>284</v>
      </c>
      <c r="E113" s="21" t="n">
        <f aca="false">ROUND(Q113,0)-D113</f>
        <v>85</v>
      </c>
      <c r="F113" s="21" t="n">
        <f aca="false">IF(COUNTA(D113:E113)=0,"",SUM(D113:E113))</f>
        <v>369</v>
      </c>
      <c r="G113" s="39" t="n">
        <f aca="false">IF(OR(F113="",F113=0),"",D113/F113)</f>
        <v>0.769647696476965</v>
      </c>
      <c r="H113" s="39" t="n">
        <f aca="false">IF(OR(F113="",F113=0),"",E113/F113)</f>
        <v>0.230352303523035</v>
      </c>
      <c r="I113" s="38" t="s">
        <v>89</v>
      </c>
      <c r="J113" s="40" t="n">
        <v>3.7041269898902</v>
      </c>
      <c r="K113" s="39" t="n">
        <f aca="false">IF(G113="","",MAX(0,G113-J113/100))</f>
        <v>0.732606426578063</v>
      </c>
      <c r="L113" s="39" t="n">
        <f aca="false">IF(G113="","",MIN(1,G113+J113/100))</f>
        <v>0.806688966375867</v>
      </c>
      <c r="M113" s="21" t="n">
        <f aca="false">ROUND(Q113*S113,0)</f>
        <v>29</v>
      </c>
      <c r="N113" s="21" t="n">
        <f aca="false">ROUND(SQRT((F113*J113/100)^2+(G113*M113)^2),0)</f>
        <v>26</v>
      </c>
      <c r="P113" s="41" t="n">
        <v>24.4216777188219</v>
      </c>
      <c r="Q113" s="42" t="n">
        <v>368.557881893534</v>
      </c>
      <c r="R113" s="43" t="n">
        <f aca="false">MAX(0,MIN(1,P113/100+$D$5))</f>
        <v>0.771201475764841</v>
      </c>
      <c r="S113" s="43" t="n">
        <v>0.0779420971553049</v>
      </c>
      <c r="T113" s="44" t="s">
        <v>90</v>
      </c>
    </row>
    <row r="114" customFormat="false" ht="15" hidden="false" customHeight="false" outlineLevel="0" collapsed="false">
      <c r="A114" s="38" t="s">
        <v>157</v>
      </c>
      <c r="B114" s="38" t="s">
        <v>159</v>
      </c>
      <c r="C114" s="38" t="s">
        <v>211</v>
      </c>
      <c r="D114" s="21" t="n">
        <f aca="false">ROUND(Q114*R114,0)</f>
        <v>102</v>
      </c>
      <c r="E114" s="21" t="n">
        <f aca="false">ROUND(Q114,0)-D114</f>
        <v>29</v>
      </c>
      <c r="F114" s="21" t="n">
        <f aca="false">IF(COUNTA(D114:E114)=0,"",SUM(D114:E114))</f>
        <v>131</v>
      </c>
      <c r="G114" s="39" t="n">
        <f aca="false">IF(OR(F114="",F114=0),"",D114/F114)</f>
        <v>0.778625954198473</v>
      </c>
      <c r="H114" s="39" t="n">
        <f aca="false">IF(OR(F114="",F114=0),"",E114/F114)</f>
        <v>0.221374045801527</v>
      </c>
      <c r="I114" s="38" t="s">
        <v>89</v>
      </c>
      <c r="J114" s="40" t="n">
        <v>3.7041269898902</v>
      </c>
      <c r="K114" s="39" t="n">
        <f aca="false">IF(G114="","",MAX(0,G114-J114/100))</f>
        <v>0.741584684299571</v>
      </c>
      <c r="L114" s="39" t="n">
        <f aca="false">IF(G114="","",MIN(1,G114+J114/100))</f>
        <v>0.815667224097375</v>
      </c>
      <c r="M114" s="21" t="n">
        <f aca="false">ROUND(Q114*S114,0)</f>
        <v>10</v>
      </c>
      <c r="N114" s="21" t="n">
        <f aca="false">ROUND(SQRT((F114*J114/100)^2+(G114*M114)^2),0)</f>
        <v>9</v>
      </c>
      <c r="P114" s="41" t="n">
        <v>24.8866468669666</v>
      </c>
      <c r="Q114" s="42" t="n">
        <v>131.491951496697</v>
      </c>
      <c r="R114" s="43" t="n">
        <f aca="false">MAX(0,MIN(1,P114/100+$D$5))</f>
        <v>0.775851167246288</v>
      </c>
      <c r="S114" s="43" t="n">
        <v>0.0779420971553049</v>
      </c>
      <c r="T114" s="44" t="s">
        <v>90</v>
      </c>
    </row>
    <row r="115" customFormat="false" ht="15" hidden="false" customHeight="false" outlineLevel="0" collapsed="false">
      <c r="A115" s="38" t="s">
        <v>157</v>
      </c>
      <c r="B115" s="38" t="s">
        <v>159</v>
      </c>
      <c r="C115" s="38" t="s">
        <v>212</v>
      </c>
      <c r="D115" s="21" t="n">
        <f aca="false">ROUND(Q115*R115,0)</f>
        <v>122</v>
      </c>
      <c r="E115" s="21" t="n">
        <f aca="false">ROUND(Q115,0)-D115</f>
        <v>37</v>
      </c>
      <c r="F115" s="21" t="n">
        <f aca="false">IF(COUNTA(D115:E115)=0,"",SUM(D115:E115))</f>
        <v>159</v>
      </c>
      <c r="G115" s="39" t="n">
        <f aca="false">IF(OR(F115="",F115=0),"",D115/F115)</f>
        <v>0.767295597484277</v>
      </c>
      <c r="H115" s="39" t="n">
        <f aca="false">IF(OR(F115="",F115=0),"",E115/F115)</f>
        <v>0.232704402515723</v>
      </c>
      <c r="I115" s="38" t="s">
        <v>89</v>
      </c>
      <c r="J115" s="40" t="n">
        <v>3.7041269898902</v>
      </c>
      <c r="K115" s="39" t="n">
        <f aca="false">IF(G115="","",MAX(0,G115-J115/100))</f>
        <v>0.730254327585375</v>
      </c>
      <c r="L115" s="39" t="n">
        <f aca="false">IF(G115="","",MIN(1,G115+J115/100))</f>
        <v>0.804336867383179</v>
      </c>
      <c r="M115" s="21" t="n">
        <f aca="false">ROUND(Q115*S115,0)</f>
        <v>12</v>
      </c>
      <c r="N115" s="21" t="n">
        <f aca="false">ROUND(SQRT((F115*J115/100)^2+(G115*M115)^2),0)</f>
        <v>11</v>
      </c>
      <c r="P115" s="41" t="n">
        <v>24.0095125775776</v>
      </c>
      <c r="Q115" s="42" t="n">
        <v>159.002114657473</v>
      </c>
      <c r="R115" s="43" t="n">
        <f aca="false">MAX(0,MIN(1,P115/100+$D$5))</f>
        <v>0.767079824352398</v>
      </c>
      <c r="S115" s="43" t="n">
        <v>0.0779420971553049</v>
      </c>
      <c r="T115" s="44" t="s">
        <v>90</v>
      </c>
    </row>
    <row r="116" customFormat="false" ht="15" hidden="false" customHeight="false" outlineLevel="0" collapsed="false">
      <c r="A116" s="38" t="s">
        <v>157</v>
      </c>
      <c r="B116" s="38" t="s">
        <v>159</v>
      </c>
      <c r="C116" s="38" t="s">
        <v>213</v>
      </c>
      <c r="D116" s="21" t="n">
        <f aca="false">ROUND(Q116*R116,0)</f>
        <v>191</v>
      </c>
      <c r="E116" s="21" t="n">
        <f aca="false">ROUND(Q116,0)-D116</f>
        <v>57</v>
      </c>
      <c r="F116" s="21" t="n">
        <f aca="false">IF(COUNTA(D116:E116)=0,"",SUM(D116:E116))</f>
        <v>248</v>
      </c>
      <c r="G116" s="39" t="n">
        <f aca="false">IF(OR(F116="",F116=0),"",D116/F116)</f>
        <v>0.770161290322581</v>
      </c>
      <c r="H116" s="39" t="n">
        <f aca="false">IF(OR(F116="",F116=0),"",E116/F116)</f>
        <v>0.229838709677419</v>
      </c>
      <c r="I116" s="38" t="s">
        <v>89</v>
      </c>
      <c r="J116" s="40" t="n">
        <v>3.7041269898902</v>
      </c>
      <c r="K116" s="39" t="n">
        <f aca="false">IF(G116="","",MAX(0,G116-J116/100))</f>
        <v>0.733120020423679</v>
      </c>
      <c r="L116" s="39" t="n">
        <f aca="false">IF(G116="","",MIN(1,G116+J116/100))</f>
        <v>0.807202560221483</v>
      </c>
      <c r="M116" s="21" t="n">
        <f aca="false">ROUND(Q116*S116,0)</f>
        <v>19</v>
      </c>
      <c r="N116" s="21" t="n">
        <f aca="false">ROUND(SQRT((F116*J116/100)^2+(G116*M116)^2),0)</f>
        <v>17</v>
      </c>
      <c r="P116" s="41" t="n">
        <v>24.3349870917683</v>
      </c>
      <c r="Q116" s="42" t="n">
        <v>247.573205138222</v>
      </c>
      <c r="R116" s="43" t="n">
        <f aca="false">MAX(0,MIN(1,P116/100+$D$5))</f>
        <v>0.770334569494305</v>
      </c>
      <c r="S116" s="43" t="n">
        <v>0.0779420971553049</v>
      </c>
      <c r="T116" s="44" t="s">
        <v>90</v>
      </c>
    </row>
    <row r="117" customFormat="false" ht="15" hidden="false" customHeight="false" outlineLevel="0" collapsed="false">
      <c r="A117" s="38" t="s">
        <v>157</v>
      </c>
      <c r="B117" s="38" t="s">
        <v>159</v>
      </c>
      <c r="C117" s="38" t="s">
        <v>214</v>
      </c>
      <c r="D117" s="21" t="n">
        <f aca="false">ROUND(Q117*R117,0)</f>
        <v>334</v>
      </c>
      <c r="E117" s="21" t="n">
        <f aca="false">ROUND(Q117,0)-D117</f>
        <v>141</v>
      </c>
      <c r="F117" s="21" t="n">
        <f aca="false">IF(COUNTA(D117:E117)=0,"",SUM(D117:E117))</f>
        <v>475</v>
      </c>
      <c r="G117" s="39" t="n">
        <f aca="false">IF(OR(F117="",F117=0),"",D117/F117)</f>
        <v>0.703157894736842</v>
      </c>
      <c r="H117" s="39" t="n">
        <f aca="false">IF(OR(F117="",F117=0),"",E117/F117)</f>
        <v>0.296842105263158</v>
      </c>
      <c r="I117" s="38" t="s">
        <v>89</v>
      </c>
      <c r="J117" s="40" t="n">
        <v>3.7041269898902</v>
      </c>
      <c r="K117" s="39" t="n">
        <f aca="false">IF(G117="","",MAX(0,G117-J117/100))</f>
        <v>0.66611662483794</v>
      </c>
      <c r="L117" s="39" t="n">
        <f aca="false">IF(G117="","",MIN(1,G117+J117/100))</f>
        <v>0.740199164635744</v>
      </c>
      <c r="M117" s="21" t="n">
        <f aca="false">ROUND(Q117*S117,0)</f>
        <v>37</v>
      </c>
      <c r="N117" s="21" t="n">
        <f aca="false">ROUND(SQRT((F117*J117/100)^2+(G117*M117)^2),0)</f>
        <v>31</v>
      </c>
      <c r="P117" s="41" t="n">
        <v>17.6609937809614</v>
      </c>
      <c r="Q117" s="42" t="n">
        <v>474.808494243318</v>
      </c>
      <c r="R117" s="43" t="n">
        <f aca="false">MAX(0,MIN(1,P117/100+$D$5))</f>
        <v>0.703594636386235</v>
      </c>
      <c r="S117" s="43" t="n">
        <v>0.0779420971553049</v>
      </c>
      <c r="T117" s="44" t="s">
        <v>90</v>
      </c>
    </row>
    <row r="118" customFormat="false" ht="15" hidden="false" customHeight="false" outlineLevel="0" collapsed="false">
      <c r="A118" s="38" t="s">
        <v>157</v>
      </c>
      <c r="B118" s="38" t="s">
        <v>159</v>
      </c>
      <c r="C118" s="38" t="s">
        <v>215</v>
      </c>
      <c r="D118" s="21" t="n">
        <f aca="false">ROUND(Q118*R118,0)</f>
        <v>154</v>
      </c>
      <c r="E118" s="21" t="n">
        <f aca="false">ROUND(Q118,0)-D118</f>
        <v>60</v>
      </c>
      <c r="F118" s="21" t="n">
        <f aca="false">IF(COUNTA(D118:E118)=0,"",SUM(D118:E118))</f>
        <v>214</v>
      </c>
      <c r="G118" s="39" t="n">
        <f aca="false">IF(OR(F118="",F118=0),"",D118/F118)</f>
        <v>0.719626168224299</v>
      </c>
      <c r="H118" s="39" t="n">
        <f aca="false">IF(OR(F118="",F118=0),"",E118/F118)</f>
        <v>0.280373831775701</v>
      </c>
      <c r="I118" s="38" t="s">
        <v>89</v>
      </c>
      <c r="J118" s="40" t="n">
        <v>3.7041269898902</v>
      </c>
      <c r="K118" s="39" t="n">
        <f aca="false">IF(G118="","",MAX(0,G118-J118/100))</f>
        <v>0.682584898325397</v>
      </c>
      <c r="L118" s="39" t="n">
        <f aca="false">IF(G118="","",MIN(1,G118+J118/100))</f>
        <v>0.756667438123201</v>
      </c>
      <c r="M118" s="21" t="n">
        <f aca="false">ROUND(Q118*S118,0)</f>
        <v>17</v>
      </c>
      <c r="N118" s="21" t="n">
        <f aca="false">ROUND(SQRT((F118*J118/100)^2+(G118*M118)^2),0)</f>
        <v>15</v>
      </c>
      <c r="P118" s="41" t="n">
        <v>19.3028751773343</v>
      </c>
      <c r="Q118" s="42" t="n">
        <v>214.482646667271</v>
      </c>
      <c r="R118" s="43" t="n">
        <f aca="false">MAX(0,MIN(1,P118/100+$D$5))</f>
        <v>0.720013450349964</v>
      </c>
      <c r="S118" s="43" t="n">
        <v>0.0779420971553049</v>
      </c>
      <c r="T118" s="44" t="s">
        <v>90</v>
      </c>
    </row>
    <row r="119" customFormat="false" ht="15" hidden="false" customHeight="false" outlineLevel="0" collapsed="false">
      <c r="A119" s="38" t="s">
        <v>157</v>
      </c>
      <c r="B119" s="38" t="s">
        <v>159</v>
      </c>
      <c r="C119" s="38" t="s">
        <v>216</v>
      </c>
      <c r="D119" s="21" t="n">
        <f aca="false">ROUND(Q119*R119,0)</f>
        <v>163</v>
      </c>
      <c r="E119" s="21" t="n">
        <f aca="false">ROUND(Q119,0)-D119</f>
        <v>61</v>
      </c>
      <c r="F119" s="21" t="n">
        <f aca="false">IF(COUNTA(D119:E119)=0,"",SUM(D119:E119))</f>
        <v>224</v>
      </c>
      <c r="G119" s="39" t="n">
        <f aca="false">IF(OR(F119="",F119=0),"",D119/F119)</f>
        <v>0.727678571428571</v>
      </c>
      <c r="H119" s="39" t="n">
        <f aca="false">IF(OR(F119="",F119=0),"",E119/F119)</f>
        <v>0.272321428571429</v>
      </c>
      <c r="I119" s="38" t="s">
        <v>89</v>
      </c>
      <c r="J119" s="40" t="n">
        <v>3.7041269898902</v>
      </c>
      <c r="K119" s="39" t="n">
        <f aca="false">IF(G119="","",MAX(0,G119-J119/100))</f>
        <v>0.690637301529669</v>
      </c>
      <c r="L119" s="39" t="n">
        <f aca="false">IF(G119="","",MIN(1,G119+J119/100))</f>
        <v>0.764719841327473</v>
      </c>
      <c r="M119" s="21" t="n">
        <f aca="false">ROUND(Q119*S119,0)</f>
        <v>17</v>
      </c>
      <c r="N119" s="21" t="n">
        <f aca="false">ROUND(SQRT((F119*J119/100)^2+(G119*M119)^2),0)</f>
        <v>15</v>
      </c>
      <c r="P119" s="41" t="n">
        <v>20.0174187657089</v>
      </c>
      <c r="Q119" s="42" t="n">
        <v>224.281388762011</v>
      </c>
      <c r="R119" s="43" t="n">
        <f aca="false">MAX(0,MIN(1,P119/100+$D$5))</f>
        <v>0.72715888623371</v>
      </c>
      <c r="S119" s="43" t="n">
        <v>0.0779420971553049</v>
      </c>
      <c r="T119" s="44" t="s">
        <v>90</v>
      </c>
    </row>
    <row r="120" customFormat="false" ht="15" hidden="false" customHeight="false" outlineLevel="0" collapsed="false">
      <c r="A120" s="38" t="s">
        <v>157</v>
      </c>
      <c r="B120" s="38" t="s">
        <v>159</v>
      </c>
      <c r="C120" s="38" t="s">
        <v>217</v>
      </c>
      <c r="D120" s="21" t="n">
        <f aca="false">ROUND(Q120*R120,0)</f>
        <v>303</v>
      </c>
      <c r="E120" s="21" t="n">
        <f aca="false">ROUND(Q120,0)-D120</f>
        <v>153</v>
      </c>
      <c r="F120" s="21" t="n">
        <f aca="false">IF(COUNTA(D120:E120)=0,"",SUM(D120:E120))</f>
        <v>456</v>
      </c>
      <c r="G120" s="39" t="n">
        <f aca="false">IF(OR(F120="",F120=0),"",D120/F120)</f>
        <v>0.664473684210526</v>
      </c>
      <c r="H120" s="39" t="n">
        <f aca="false">IF(OR(F120="",F120=0),"",E120/F120)</f>
        <v>0.335526315789474</v>
      </c>
      <c r="I120" s="38" t="s">
        <v>89</v>
      </c>
      <c r="J120" s="40" t="n">
        <v>3.7041269898902</v>
      </c>
      <c r="K120" s="39" t="n">
        <f aca="false">IF(G120="","",MAX(0,G120-J120/100))</f>
        <v>0.627432414311624</v>
      </c>
      <c r="L120" s="39" t="n">
        <f aca="false">IF(G120="","",MIN(1,G120+J120/100))</f>
        <v>0.701514954109428</v>
      </c>
      <c r="M120" s="21" t="n">
        <f aca="false">ROUND(Q120*S120,0)</f>
        <v>36</v>
      </c>
      <c r="N120" s="21" t="n">
        <f aca="false">ROUND(SQRT((F120*J120/100)^2+(G120*M120)^2),0)</f>
        <v>29</v>
      </c>
      <c r="P120" s="41" t="n">
        <v>13.6810631974728</v>
      </c>
      <c r="Q120" s="42" t="n">
        <v>456.366360206448</v>
      </c>
      <c r="R120" s="43" t="n">
        <f aca="false">MAX(0,MIN(1,P120/100+$D$5))</f>
        <v>0.663795330551349</v>
      </c>
      <c r="S120" s="43" t="n">
        <v>0.0779420971553049</v>
      </c>
      <c r="T120" s="44" t="s">
        <v>90</v>
      </c>
    </row>
    <row r="121" customFormat="false" ht="15" hidden="false" customHeight="false" outlineLevel="0" collapsed="false">
      <c r="A121" s="38" t="s">
        <v>157</v>
      </c>
      <c r="B121" s="38" t="s">
        <v>159</v>
      </c>
      <c r="C121" s="38" t="s">
        <v>218</v>
      </c>
      <c r="D121" s="21" t="n">
        <f aca="false">ROUND(Q121*R121,0)</f>
        <v>217</v>
      </c>
      <c r="E121" s="21" t="n">
        <f aca="false">ROUND(Q121,0)-D121</f>
        <v>73</v>
      </c>
      <c r="F121" s="21" t="n">
        <f aca="false">IF(COUNTA(D121:E121)=0,"",SUM(D121:E121))</f>
        <v>290</v>
      </c>
      <c r="G121" s="39" t="n">
        <f aca="false">IF(OR(F121="",F121=0),"",D121/F121)</f>
        <v>0.748275862068966</v>
      </c>
      <c r="H121" s="39" t="n">
        <f aca="false">IF(OR(F121="",F121=0),"",E121/F121)</f>
        <v>0.251724137931035</v>
      </c>
      <c r="I121" s="38" t="s">
        <v>89</v>
      </c>
      <c r="J121" s="40" t="n">
        <v>3.7041269898902</v>
      </c>
      <c r="K121" s="39" t="n">
        <f aca="false">IF(G121="","",MAX(0,G121-J121/100))</f>
        <v>0.711234592170064</v>
      </c>
      <c r="L121" s="39" t="n">
        <f aca="false">IF(G121="","",MIN(1,G121+J121/100))</f>
        <v>0.785317131967868</v>
      </c>
      <c r="M121" s="21" t="n">
        <f aca="false">ROUND(Q121*S121,0)</f>
        <v>23</v>
      </c>
      <c r="N121" s="21" t="n">
        <f aca="false">ROUND(SQRT((F121*J121/100)^2+(G121*M121)^2),0)</f>
        <v>20</v>
      </c>
      <c r="P121" s="41" t="n">
        <v>21.9337778325665</v>
      </c>
      <c r="Q121" s="42" t="n">
        <v>290.337387848101</v>
      </c>
      <c r="R121" s="43" t="n">
        <f aca="false">MAX(0,MIN(1,P121/100+$D$5))</f>
        <v>0.746322476902287</v>
      </c>
      <c r="S121" s="43" t="n">
        <v>0.0779420971553049</v>
      </c>
      <c r="T121" s="44" t="s">
        <v>90</v>
      </c>
    </row>
    <row r="122" customFormat="false" ht="15" hidden="false" customHeight="false" outlineLevel="0" collapsed="false">
      <c r="A122" s="38" t="s">
        <v>157</v>
      </c>
      <c r="B122" s="38" t="s">
        <v>219</v>
      </c>
      <c r="C122" s="38" t="s">
        <v>220</v>
      </c>
      <c r="D122" s="21" t="n">
        <f aca="false">ROUND(Q122*R122,0)</f>
        <v>485</v>
      </c>
      <c r="E122" s="21" t="n">
        <f aca="false">ROUND(Q122,0)-D122</f>
        <v>165</v>
      </c>
      <c r="F122" s="21" t="n">
        <f aca="false">IF(COUNTA(D122:E122)=0,"",SUM(D122:E122))</f>
        <v>650</v>
      </c>
      <c r="G122" s="39" t="n">
        <f aca="false">IF(OR(F122="",F122=0),"",D122/F122)</f>
        <v>0.746153846153846</v>
      </c>
      <c r="H122" s="39" t="n">
        <f aca="false">IF(OR(F122="",F122=0),"",E122/F122)</f>
        <v>0.253846153846154</v>
      </c>
      <c r="I122" s="38" t="s">
        <v>89</v>
      </c>
      <c r="J122" s="40" t="n">
        <v>3.7041269898902</v>
      </c>
      <c r="K122" s="39" t="n">
        <f aca="false">IF(G122="","",MAX(0,G122-J122/100))</f>
        <v>0.709112576254944</v>
      </c>
      <c r="L122" s="39" t="n">
        <f aca="false">IF(G122="","",MIN(1,G122+J122/100))</f>
        <v>0.783195116052748</v>
      </c>
      <c r="M122" s="21" t="n">
        <f aca="false">ROUND(Q122*S122,0)</f>
        <v>51</v>
      </c>
      <c r="N122" s="21" t="n">
        <f aca="false">ROUND(SQRT((F122*J122/100)^2+(G122*M122)^2),0)</f>
        <v>45</v>
      </c>
      <c r="P122" s="41" t="n">
        <v>21.8083860416209</v>
      </c>
      <c r="Q122" s="42" t="n">
        <v>650.429783795771</v>
      </c>
      <c r="R122" s="43" t="n">
        <f aca="false">MAX(0,MIN(1,P122/100+$D$5))</f>
        <v>0.745068558992831</v>
      </c>
      <c r="S122" s="43" t="n">
        <v>0.0779420971553049</v>
      </c>
      <c r="T122" s="44" t="s">
        <v>90</v>
      </c>
    </row>
    <row r="123" customFormat="false" ht="15" hidden="false" customHeight="false" outlineLevel="0" collapsed="false">
      <c r="A123" s="38" t="s">
        <v>157</v>
      </c>
      <c r="B123" s="38" t="s">
        <v>219</v>
      </c>
      <c r="C123" s="38" t="s">
        <v>221</v>
      </c>
      <c r="D123" s="21" t="n">
        <f aca="false">ROUND(Q123*R123,0)</f>
        <v>328</v>
      </c>
      <c r="E123" s="21" t="n">
        <f aca="false">ROUND(Q123,0)-D123</f>
        <v>131</v>
      </c>
      <c r="F123" s="21" t="n">
        <f aca="false">IF(COUNTA(D123:E123)=0,"",SUM(D123:E123))</f>
        <v>459</v>
      </c>
      <c r="G123" s="39" t="n">
        <f aca="false">IF(OR(F123="",F123=0),"",D123/F123)</f>
        <v>0.714596949891068</v>
      </c>
      <c r="H123" s="39" t="n">
        <f aca="false">IF(OR(F123="",F123=0),"",E123/F123)</f>
        <v>0.285403050108932</v>
      </c>
      <c r="I123" s="38" t="s">
        <v>89</v>
      </c>
      <c r="J123" s="40" t="n">
        <v>3.7041269898902</v>
      </c>
      <c r="K123" s="39" t="n">
        <f aca="false">IF(G123="","",MAX(0,G123-J123/100))</f>
        <v>0.677555679992166</v>
      </c>
      <c r="L123" s="39" t="n">
        <f aca="false">IF(G123="","",MIN(1,G123+J123/100))</f>
        <v>0.75163821978997</v>
      </c>
      <c r="M123" s="21" t="n">
        <f aca="false">ROUND(Q123*S123,0)</f>
        <v>36</v>
      </c>
      <c r="N123" s="21" t="n">
        <f aca="false">ROUND(SQRT((F123*J123/100)^2+(G123*M123)^2),0)</f>
        <v>31</v>
      </c>
      <c r="P123" s="41" t="n">
        <v>18.7885818562367</v>
      </c>
      <c r="Q123" s="42" t="n">
        <v>459.212560405276</v>
      </c>
      <c r="R123" s="43" t="n">
        <f aca="false">MAX(0,MIN(1,P123/100+$D$5))</f>
        <v>0.714870517138989</v>
      </c>
      <c r="S123" s="43" t="n">
        <v>0.0779420971553049</v>
      </c>
      <c r="T123" s="44" t="s">
        <v>90</v>
      </c>
    </row>
    <row r="124" customFormat="false" ht="15" hidden="false" customHeight="false" outlineLevel="0" collapsed="false">
      <c r="A124" s="38" t="s">
        <v>157</v>
      </c>
      <c r="B124" s="38" t="s">
        <v>219</v>
      </c>
      <c r="C124" s="38" t="s">
        <v>222</v>
      </c>
      <c r="D124" s="21" t="n">
        <f aca="false">ROUND(Q124*R124,0)</f>
        <v>360</v>
      </c>
      <c r="E124" s="21" t="n">
        <f aca="false">ROUND(Q124,0)-D124</f>
        <v>119</v>
      </c>
      <c r="F124" s="21" t="n">
        <f aca="false">IF(COUNTA(D124:E124)=0,"",SUM(D124:E124))</f>
        <v>479</v>
      </c>
      <c r="G124" s="39" t="n">
        <f aca="false">IF(OR(F124="",F124=0),"",D124/F124)</f>
        <v>0.751565762004175</v>
      </c>
      <c r="H124" s="39" t="n">
        <f aca="false">IF(OR(F124="",F124=0),"",E124/F124)</f>
        <v>0.248434237995825</v>
      </c>
      <c r="I124" s="38" t="s">
        <v>89</v>
      </c>
      <c r="J124" s="40" t="n">
        <v>3.7041269898902</v>
      </c>
      <c r="K124" s="39" t="n">
        <f aca="false">IF(G124="","",MAX(0,G124-J124/100))</f>
        <v>0.714524492105273</v>
      </c>
      <c r="L124" s="39" t="n">
        <f aca="false">IF(G124="","",MIN(1,G124+J124/100))</f>
        <v>0.788607031903077</v>
      </c>
      <c r="M124" s="21" t="n">
        <f aca="false">ROUND(Q124*S124,0)</f>
        <v>37</v>
      </c>
      <c r="N124" s="21" t="n">
        <f aca="false">ROUND(SQRT((F124*J124/100)^2+(G124*M124)^2),0)</f>
        <v>33</v>
      </c>
      <c r="P124" s="41" t="n">
        <v>22.3875895027015</v>
      </c>
      <c r="Q124" s="42" t="n">
        <v>478.847833972307</v>
      </c>
      <c r="R124" s="43" t="n">
        <f aca="false">MAX(0,MIN(1,P124/100+$D$5))</f>
        <v>0.750860593603637</v>
      </c>
      <c r="S124" s="43" t="n">
        <v>0.0779420971553049</v>
      </c>
      <c r="T124" s="44" t="s">
        <v>90</v>
      </c>
    </row>
    <row r="125" customFormat="false" ht="15" hidden="false" customHeight="false" outlineLevel="0" collapsed="false">
      <c r="A125" s="38" t="s">
        <v>157</v>
      </c>
      <c r="B125" s="38" t="s">
        <v>219</v>
      </c>
      <c r="C125" s="38" t="s">
        <v>223</v>
      </c>
      <c r="D125" s="21" t="n">
        <f aca="false">ROUND(Q125*R125,0)</f>
        <v>430</v>
      </c>
      <c r="E125" s="21" t="n">
        <f aca="false">ROUND(Q125,0)-D125</f>
        <v>159</v>
      </c>
      <c r="F125" s="21" t="n">
        <f aca="false">IF(COUNTA(D125:E125)=0,"",SUM(D125:E125))</f>
        <v>589</v>
      </c>
      <c r="G125" s="39" t="n">
        <f aca="false">IF(OR(F125="",F125=0),"",D125/F125)</f>
        <v>0.730050933786078</v>
      </c>
      <c r="H125" s="39" t="n">
        <f aca="false">IF(OR(F125="",F125=0),"",E125/F125)</f>
        <v>0.269949066213922</v>
      </c>
      <c r="I125" s="38" t="s">
        <v>89</v>
      </c>
      <c r="J125" s="40" t="n">
        <v>3.7041269898902</v>
      </c>
      <c r="K125" s="39" t="n">
        <f aca="false">IF(G125="","",MAX(0,G125-J125/100))</f>
        <v>0.693009663887176</v>
      </c>
      <c r="L125" s="39" t="n">
        <f aca="false">IF(G125="","",MIN(1,G125+J125/100))</f>
        <v>0.76709220368498</v>
      </c>
      <c r="M125" s="21" t="n">
        <f aca="false">ROUND(Q125*S125,0)</f>
        <v>46</v>
      </c>
      <c r="N125" s="21" t="n">
        <f aca="false">ROUND(SQRT((F125*J125/100)^2+(G125*M125)^2),0)</f>
        <v>40</v>
      </c>
      <c r="P125" s="41" t="n">
        <v>20.2250879898058</v>
      </c>
      <c r="Q125" s="42" t="n">
        <v>589.252920502883</v>
      </c>
      <c r="R125" s="43" t="n">
        <f aca="false">MAX(0,MIN(1,P125/100+$D$5))</f>
        <v>0.72923557847468</v>
      </c>
      <c r="S125" s="43" t="n">
        <v>0.0779420971553049</v>
      </c>
      <c r="T125" s="44" t="s">
        <v>90</v>
      </c>
    </row>
    <row r="126" customFormat="false" ht="15" hidden="false" customHeight="false" outlineLevel="0" collapsed="false">
      <c r="A126" s="38" t="s">
        <v>157</v>
      </c>
      <c r="B126" s="38" t="s">
        <v>219</v>
      </c>
      <c r="C126" s="38" t="s">
        <v>224</v>
      </c>
      <c r="D126" s="21" t="n">
        <f aca="false">ROUND(Q126*R126,0)</f>
        <v>625</v>
      </c>
      <c r="E126" s="21" t="n">
        <f aca="false">ROUND(Q126,0)-D126</f>
        <v>278</v>
      </c>
      <c r="F126" s="21" t="n">
        <f aca="false">IF(COUNTA(D126:E126)=0,"",SUM(D126:E126))</f>
        <v>903</v>
      </c>
      <c r="G126" s="39" t="n">
        <f aca="false">IF(OR(F126="",F126=0),"",D126/F126)</f>
        <v>0.692137320044297</v>
      </c>
      <c r="H126" s="39" t="n">
        <f aca="false">IF(OR(F126="",F126=0),"",E126/F126)</f>
        <v>0.307862679955703</v>
      </c>
      <c r="I126" s="38" t="s">
        <v>89</v>
      </c>
      <c r="J126" s="40" t="n">
        <v>2.12060277043418</v>
      </c>
      <c r="K126" s="39" t="n">
        <f aca="false">IF(G126="","",MAX(0,G126-J126/100))</f>
        <v>0.670931292339955</v>
      </c>
      <c r="L126" s="39" t="n">
        <f aca="false">IF(G126="","",MIN(1,G126+J126/100))</f>
        <v>0.713343347748639</v>
      </c>
      <c r="M126" s="21" t="n">
        <f aca="false">ROUND(Q126*S126,0)</f>
        <v>57</v>
      </c>
      <c r="N126" s="21" t="n">
        <f aca="false">ROUND(SQRT((F126*J126/100)^2+(G126*M126)^2),0)</f>
        <v>44</v>
      </c>
      <c r="P126" s="41" t="n">
        <v>16.4599244503731</v>
      </c>
      <c r="Q126" s="42" t="n">
        <v>903.009757465769</v>
      </c>
      <c r="R126" s="43" t="n">
        <f aca="false">MAX(0,MIN(1,P126/100+$D$5))</f>
        <v>0.691583943080352</v>
      </c>
      <c r="S126" s="43" t="n">
        <v>0.0633793435818552</v>
      </c>
      <c r="T126" s="44" t="s">
        <v>99</v>
      </c>
    </row>
    <row r="127" customFormat="false" ht="15" hidden="false" customHeight="false" outlineLevel="0" collapsed="false">
      <c r="A127" s="38" t="s">
        <v>157</v>
      </c>
      <c r="B127" s="38" t="s">
        <v>219</v>
      </c>
      <c r="C127" s="38" t="s">
        <v>225</v>
      </c>
      <c r="D127" s="21" t="n">
        <f aca="false">ROUND(Q127*R127,0)</f>
        <v>419</v>
      </c>
      <c r="E127" s="21" t="n">
        <f aca="false">ROUND(Q127,0)-D127</f>
        <v>214</v>
      </c>
      <c r="F127" s="21" t="n">
        <f aca="false">IF(COUNTA(D127:E127)=0,"",SUM(D127:E127))</f>
        <v>633</v>
      </c>
      <c r="G127" s="39" t="n">
        <f aca="false">IF(OR(F127="",F127=0),"",D127/F127)</f>
        <v>0.661927330173776</v>
      </c>
      <c r="H127" s="39" t="n">
        <f aca="false">IF(OR(F127="",F127=0),"",E127/F127)</f>
        <v>0.338072669826224</v>
      </c>
      <c r="I127" s="38" t="s">
        <v>89</v>
      </c>
      <c r="J127" s="40" t="n">
        <v>3.7041269898902</v>
      </c>
      <c r="K127" s="39" t="n">
        <f aca="false">IF(G127="","",MAX(0,G127-J127/100))</f>
        <v>0.624886060274874</v>
      </c>
      <c r="L127" s="39" t="n">
        <f aca="false">IF(G127="","",MIN(1,G127+J127/100))</f>
        <v>0.698968600072678</v>
      </c>
      <c r="M127" s="21" t="n">
        <f aca="false">ROUND(Q127*S127,0)</f>
        <v>49</v>
      </c>
      <c r="N127" s="21" t="n">
        <f aca="false">ROUND(SQRT((F127*J127/100)^2+(G127*M127)^2),0)</f>
        <v>40</v>
      </c>
      <c r="P127" s="41" t="n">
        <v>13.5705240496529</v>
      </c>
      <c r="Q127" s="42" t="n">
        <v>632.740180946698</v>
      </c>
      <c r="R127" s="43" t="n">
        <f aca="false">MAX(0,MIN(1,P127/100+$D$5))</f>
        <v>0.662689939073151</v>
      </c>
      <c r="S127" s="43" t="n">
        <v>0.0779420971553049</v>
      </c>
      <c r="T127" s="44" t="s">
        <v>90</v>
      </c>
    </row>
    <row r="128" customFormat="false" ht="15" hidden="false" customHeight="false" outlineLevel="0" collapsed="false">
      <c r="A128" s="38" t="s">
        <v>157</v>
      </c>
      <c r="B128" s="38" t="s">
        <v>219</v>
      </c>
      <c r="C128" s="38" t="s">
        <v>226</v>
      </c>
      <c r="D128" s="21" t="n">
        <f aca="false">ROUND(Q128*R128,0)</f>
        <v>487</v>
      </c>
      <c r="E128" s="21" t="n">
        <f aca="false">ROUND(Q128,0)-D128</f>
        <v>269</v>
      </c>
      <c r="F128" s="21" t="n">
        <f aca="false">IF(COUNTA(D128:E128)=0,"",SUM(D128:E128))</f>
        <v>756</v>
      </c>
      <c r="G128" s="39" t="n">
        <f aca="false">IF(OR(F128="",F128=0),"",D128/F128)</f>
        <v>0.644179894179894</v>
      </c>
      <c r="H128" s="39" t="n">
        <f aca="false">IF(OR(F128="",F128=0),"",E128/F128)</f>
        <v>0.355820105820106</v>
      </c>
      <c r="I128" s="38" t="s">
        <v>89</v>
      </c>
      <c r="J128" s="40" t="n">
        <v>3.7041269898902</v>
      </c>
      <c r="K128" s="39" t="n">
        <f aca="false">IF(G128="","",MAX(0,G128-J128/100))</f>
        <v>0.607138624280992</v>
      </c>
      <c r="L128" s="39" t="n">
        <f aca="false">IF(G128="","",MIN(1,G128+J128/100))</f>
        <v>0.681221164078796</v>
      </c>
      <c r="M128" s="21" t="n">
        <f aca="false">ROUND(Q128*S128,0)</f>
        <v>59</v>
      </c>
      <c r="N128" s="21" t="n">
        <f aca="false">ROUND(SQRT((F128*J128/100)^2+(G128*M128)^2),0)</f>
        <v>47</v>
      </c>
      <c r="P128" s="41" t="n">
        <v>11.780828330569</v>
      </c>
      <c r="Q128" s="42" t="n">
        <v>755.788655294054</v>
      </c>
      <c r="R128" s="43" t="n">
        <f aca="false">MAX(0,MIN(1,P128/100+$D$5))</f>
        <v>0.644792981882311</v>
      </c>
      <c r="S128" s="43" t="n">
        <v>0.0779420971553049</v>
      </c>
      <c r="T128" s="44" t="s">
        <v>90</v>
      </c>
    </row>
    <row r="129" customFormat="false" ht="15" hidden="false" customHeight="false" outlineLevel="0" collapsed="false">
      <c r="A129" s="38" t="s">
        <v>157</v>
      </c>
      <c r="B129" s="38" t="s">
        <v>219</v>
      </c>
      <c r="C129" s="38" t="s">
        <v>227</v>
      </c>
      <c r="D129" s="21" t="n">
        <f aca="false">ROUND(Q129*R129,0)</f>
        <v>620</v>
      </c>
      <c r="E129" s="21" t="n">
        <f aca="false">ROUND(Q129,0)-D129</f>
        <v>328</v>
      </c>
      <c r="F129" s="21" t="n">
        <f aca="false">IF(COUNTA(D129:E129)=0,"",SUM(D129:E129))</f>
        <v>948</v>
      </c>
      <c r="G129" s="39" t="n">
        <f aca="false">IF(OR(F129="",F129=0),"",D129/F129)</f>
        <v>0.654008438818565</v>
      </c>
      <c r="H129" s="39" t="n">
        <f aca="false">IF(OR(F129="",F129=0),"",E129/F129)</f>
        <v>0.345991561181435</v>
      </c>
      <c r="I129" s="38" t="s">
        <v>89</v>
      </c>
      <c r="J129" s="40" t="n">
        <v>2.12060277043418</v>
      </c>
      <c r="K129" s="39" t="n">
        <f aca="false">IF(G129="","",MAX(0,G129-J129/100))</f>
        <v>0.632802411114224</v>
      </c>
      <c r="L129" s="39" t="n">
        <f aca="false">IF(G129="","",MIN(1,G129+J129/100))</f>
        <v>0.675214466522907</v>
      </c>
      <c r="M129" s="21" t="n">
        <f aca="false">ROUND(Q129*S129,0)</f>
        <v>60</v>
      </c>
      <c r="N129" s="21" t="n">
        <f aca="false">ROUND(SQRT((F129*J129/100)^2+(G129*M129)^2),0)</f>
        <v>44</v>
      </c>
      <c r="P129" s="41" t="n">
        <v>12.6867085305306</v>
      </c>
      <c r="Q129" s="42" t="n">
        <v>947.887976077068</v>
      </c>
      <c r="R129" s="43" t="n">
        <f aca="false">MAX(0,MIN(1,P129/100+$D$5))</f>
        <v>0.653851783881928</v>
      </c>
      <c r="S129" s="43" t="n">
        <v>0.0633793435818552</v>
      </c>
      <c r="T129" s="44" t="s">
        <v>99</v>
      </c>
    </row>
    <row r="130" customFormat="false" ht="15" hidden="false" customHeight="false" outlineLevel="0" collapsed="false">
      <c r="A130" s="38" t="s">
        <v>157</v>
      </c>
      <c r="B130" s="38" t="s">
        <v>219</v>
      </c>
      <c r="C130" s="38" t="s">
        <v>228</v>
      </c>
      <c r="D130" s="21" t="n">
        <f aca="false">ROUND(Q130*R130,0)</f>
        <v>447</v>
      </c>
      <c r="E130" s="21" t="n">
        <f aca="false">ROUND(Q130,0)-D130</f>
        <v>232</v>
      </c>
      <c r="F130" s="21" t="n">
        <f aca="false">IF(COUNTA(D130:E130)=0,"",SUM(D130:E130))</f>
        <v>679</v>
      </c>
      <c r="G130" s="39" t="n">
        <f aca="false">IF(OR(F130="",F130=0),"",D130/F130)</f>
        <v>0.658321060382916</v>
      </c>
      <c r="H130" s="39" t="n">
        <f aca="false">IF(OR(F130="",F130=0),"",E130/F130)</f>
        <v>0.341678939617084</v>
      </c>
      <c r="I130" s="38" t="s">
        <v>89</v>
      </c>
      <c r="J130" s="40" t="n">
        <v>3.7041269898902</v>
      </c>
      <c r="K130" s="39" t="n">
        <f aca="false">IF(G130="","",MAX(0,G130-J130/100))</f>
        <v>0.621279790484014</v>
      </c>
      <c r="L130" s="39" t="n">
        <f aca="false">IF(G130="","",MIN(1,G130+J130/100))</f>
        <v>0.695362330281818</v>
      </c>
      <c r="M130" s="21" t="n">
        <f aca="false">ROUND(Q130*S130,0)</f>
        <v>53</v>
      </c>
      <c r="N130" s="21" t="n">
        <f aca="false">ROUND(SQRT((F130*J130/100)^2+(G130*M130)^2),0)</f>
        <v>43</v>
      </c>
      <c r="P130" s="41" t="n">
        <v>13.0712049596765</v>
      </c>
      <c r="Q130" s="42" t="n">
        <v>679.313647553215</v>
      </c>
      <c r="R130" s="43" t="n">
        <f aca="false">MAX(0,MIN(1,P130/100+$D$5))</f>
        <v>0.657696748173386</v>
      </c>
      <c r="S130" s="43" t="n">
        <v>0.0779420971553049</v>
      </c>
      <c r="T130" s="44" t="s">
        <v>90</v>
      </c>
    </row>
    <row r="131" customFormat="false" ht="15" hidden="false" customHeight="false" outlineLevel="0" collapsed="false">
      <c r="A131" s="38" t="s">
        <v>157</v>
      </c>
      <c r="B131" s="38" t="s">
        <v>219</v>
      </c>
      <c r="C131" s="38" t="s">
        <v>229</v>
      </c>
      <c r="D131" s="21" t="n">
        <f aca="false">ROUND(Q131*R131,0)</f>
        <v>375</v>
      </c>
      <c r="E131" s="21" t="n">
        <f aca="false">ROUND(Q131,0)-D131</f>
        <v>234</v>
      </c>
      <c r="F131" s="21" t="n">
        <f aca="false">IF(COUNTA(D131:E131)=0,"",SUM(D131:E131))</f>
        <v>609</v>
      </c>
      <c r="G131" s="39" t="n">
        <f aca="false">IF(OR(F131="",F131=0),"",D131/F131)</f>
        <v>0.61576354679803</v>
      </c>
      <c r="H131" s="39" t="n">
        <f aca="false">IF(OR(F131="",F131=0),"",E131/F131)</f>
        <v>0.38423645320197</v>
      </c>
      <c r="I131" s="38" t="s">
        <v>89</v>
      </c>
      <c r="J131" s="40" t="n">
        <v>3.7041269898902</v>
      </c>
      <c r="K131" s="39" t="n">
        <f aca="false">IF(G131="","",MAX(0,G131-J131/100))</f>
        <v>0.578722276899128</v>
      </c>
      <c r="L131" s="39" t="n">
        <f aca="false">IF(G131="","",MIN(1,G131+J131/100))</f>
        <v>0.652804816696932</v>
      </c>
      <c r="M131" s="21" t="n">
        <f aca="false">ROUND(Q131*S131,0)</f>
        <v>47</v>
      </c>
      <c r="N131" s="21" t="n">
        <f aca="false">ROUND(SQRT((F131*J131/100)^2+(G131*M131)^2),0)</f>
        <v>37</v>
      </c>
      <c r="P131" s="41" t="n">
        <v>8.90555605235505</v>
      </c>
      <c r="Q131" s="42" t="n">
        <v>609.331393161731</v>
      </c>
      <c r="R131" s="43" t="n">
        <f aca="false">MAX(0,MIN(1,P131/100+$D$5))</f>
        <v>0.616040259100172</v>
      </c>
      <c r="S131" s="43" t="n">
        <v>0.0779420971553049</v>
      </c>
      <c r="T131" s="44" t="s">
        <v>90</v>
      </c>
    </row>
    <row r="132" customFormat="false" ht="15" hidden="false" customHeight="false" outlineLevel="0" collapsed="false">
      <c r="A132" s="38" t="s">
        <v>157</v>
      </c>
      <c r="B132" s="38" t="s">
        <v>219</v>
      </c>
      <c r="C132" s="38" t="s">
        <v>230</v>
      </c>
      <c r="D132" s="21" t="n">
        <f aca="false">ROUND(Q132*R132,0)</f>
        <v>442</v>
      </c>
      <c r="E132" s="21" t="n">
        <f aca="false">ROUND(Q132,0)-D132</f>
        <v>217</v>
      </c>
      <c r="F132" s="21" t="n">
        <f aca="false">IF(COUNTA(D132:E132)=0,"",SUM(D132:E132))</f>
        <v>659</v>
      </c>
      <c r="G132" s="39" t="n">
        <f aca="false">IF(OR(F132="",F132=0),"",D132/F132)</f>
        <v>0.670713201820941</v>
      </c>
      <c r="H132" s="39" t="n">
        <f aca="false">IF(OR(F132="",F132=0),"",E132/F132)</f>
        <v>0.329286798179059</v>
      </c>
      <c r="I132" s="38" t="s">
        <v>89</v>
      </c>
      <c r="J132" s="40" t="n">
        <v>3.7041269898902</v>
      </c>
      <c r="K132" s="39" t="n">
        <f aca="false">IF(G132="","",MAX(0,G132-J132/100))</f>
        <v>0.633671931922039</v>
      </c>
      <c r="L132" s="39" t="n">
        <f aca="false">IF(G132="","",MIN(1,G132+J132/100))</f>
        <v>0.707754471719843</v>
      </c>
      <c r="M132" s="21" t="n">
        <f aca="false">ROUND(Q132*S132,0)</f>
        <v>51</v>
      </c>
      <c r="N132" s="21" t="n">
        <f aca="false">ROUND(SQRT((F132*J132/100)^2+(G132*M132)^2),0)</f>
        <v>42</v>
      </c>
      <c r="P132" s="41" t="n">
        <v>14.4123846690741</v>
      </c>
      <c r="Q132" s="42" t="n">
        <v>659.280642446275</v>
      </c>
      <c r="R132" s="43" t="n">
        <f aca="false">MAX(0,MIN(1,P132/100+$D$5))</f>
        <v>0.671108545267362</v>
      </c>
      <c r="S132" s="43" t="n">
        <v>0.0779420971553049</v>
      </c>
      <c r="T132" s="44" t="s">
        <v>90</v>
      </c>
    </row>
    <row r="133" customFormat="false" ht="15" hidden="false" customHeight="false" outlineLevel="0" collapsed="false">
      <c r="A133" s="38" t="s">
        <v>157</v>
      </c>
      <c r="B133" s="38" t="s">
        <v>219</v>
      </c>
      <c r="C133" s="38" t="s">
        <v>231</v>
      </c>
      <c r="D133" s="21" t="n">
        <f aca="false">ROUND(Q133*R133,0)</f>
        <v>490</v>
      </c>
      <c r="E133" s="21" t="n">
        <f aca="false">ROUND(Q133,0)-D133</f>
        <v>265</v>
      </c>
      <c r="F133" s="21" t="n">
        <f aca="false">IF(COUNTA(D133:E133)=0,"",SUM(D133:E133))</f>
        <v>755</v>
      </c>
      <c r="G133" s="39" t="n">
        <f aca="false">IF(OR(F133="",F133=0),"",D133/F133)</f>
        <v>0.649006622516556</v>
      </c>
      <c r="H133" s="39" t="n">
        <f aca="false">IF(OR(F133="",F133=0),"",E133/F133)</f>
        <v>0.350993377483444</v>
      </c>
      <c r="I133" s="38" t="s">
        <v>89</v>
      </c>
      <c r="J133" s="40" t="n">
        <v>3.7041269898902</v>
      </c>
      <c r="K133" s="39" t="n">
        <f aca="false">IF(G133="","",MAX(0,G133-J133/100))</f>
        <v>0.611965352617654</v>
      </c>
      <c r="L133" s="39" t="n">
        <f aca="false">IF(G133="","",MIN(1,G133+J133/100))</f>
        <v>0.686047892415458</v>
      </c>
      <c r="M133" s="21" t="n">
        <f aca="false">ROUND(Q133*S133,0)</f>
        <v>59</v>
      </c>
      <c r="N133" s="21" t="n">
        <f aca="false">ROUND(SQRT((F133*J133/100)^2+(G133*M133)^2),0)</f>
        <v>47</v>
      </c>
      <c r="P133" s="41" t="n">
        <v>12.2266970343131</v>
      </c>
      <c r="Q133" s="42" t="n">
        <v>755.181969229108</v>
      </c>
      <c r="R133" s="43" t="n">
        <f aca="false">MAX(0,MIN(1,P133/100+$D$5))</f>
        <v>0.649251668919753</v>
      </c>
      <c r="S133" s="43" t="n">
        <v>0.0779420971553049</v>
      </c>
      <c r="T133" s="44" t="s">
        <v>90</v>
      </c>
    </row>
    <row r="134" customFormat="false" ht="15" hidden="false" customHeight="false" outlineLevel="0" collapsed="false">
      <c r="A134" s="38" t="s">
        <v>157</v>
      </c>
      <c r="B134" s="38" t="s">
        <v>232</v>
      </c>
      <c r="C134" s="38" t="s">
        <v>233</v>
      </c>
      <c r="D134" s="21" t="n">
        <f aca="false">ROUND(Q134*R134,0)</f>
        <v>416</v>
      </c>
      <c r="E134" s="21" t="n">
        <f aca="false">ROUND(Q134,0)-D134</f>
        <v>278</v>
      </c>
      <c r="F134" s="21" t="n">
        <f aca="false">IF(COUNTA(D134:E134)=0,"",SUM(D134:E134))</f>
        <v>694</v>
      </c>
      <c r="G134" s="39" t="n">
        <f aca="false">IF(OR(F134="",F134=0),"",D134/F134)</f>
        <v>0.599423631123919</v>
      </c>
      <c r="H134" s="39" t="n">
        <f aca="false">IF(OR(F134="",F134=0),"",E134/F134)</f>
        <v>0.400576368876081</v>
      </c>
      <c r="I134" s="38" t="s">
        <v>89</v>
      </c>
      <c r="J134" s="40" t="n">
        <v>3.7041269898902</v>
      </c>
      <c r="K134" s="39" t="n">
        <f aca="false">IF(G134="","",MAX(0,G134-J134/100))</f>
        <v>0.562382361225017</v>
      </c>
      <c r="L134" s="39" t="n">
        <f aca="false">IF(G134="","",MIN(1,G134+J134/100))</f>
        <v>0.636464901022821</v>
      </c>
      <c r="M134" s="21" t="n">
        <f aca="false">ROUND(Q134*S134,0)</f>
        <v>54</v>
      </c>
      <c r="N134" s="21" t="n">
        <f aca="false">ROUND(SQRT((F134*J134/100)^2+(G134*M134)^2),0)</f>
        <v>41</v>
      </c>
      <c r="P134" s="41" t="n">
        <v>7.20267883113274</v>
      </c>
      <c r="Q134" s="42" t="n">
        <v>693.830736381503</v>
      </c>
      <c r="R134" s="43" t="n">
        <f aca="false">MAX(0,MIN(1,P134/100+$D$5))</f>
        <v>0.599011486887949</v>
      </c>
      <c r="S134" s="43" t="n">
        <v>0.0779420971553049</v>
      </c>
      <c r="T134" s="44" t="s">
        <v>90</v>
      </c>
    </row>
    <row r="135" customFormat="false" ht="15" hidden="false" customHeight="false" outlineLevel="0" collapsed="false">
      <c r="A135" s="38" t="s">
        <v>157</v>
      </c>
      <c r="B135" s="38" t="s">
        <v>232</v>
      </c>
      <c r="C135" s="38" t="s">
        <v>234</v>
      </c>
      <c r="D135" s="21" t="n">
        <f aca="false">ROUND(Q135*R135,0)</f>
        <v>403</v>
      </c>
      <c r="E135" s="21" t="n">
        <f aca="false">ROUND(Q135,0)-D135</f>
        <v>348</v>
      </c>
      <c r="F135" s="21" t="n">
        <f aca="false">IF(COUNTA(D135:E135)=0,"",SUM(D135:E135))</f>
        <v>751</v>
      </c>
      <c r="G135" s="39" t="n">
        <f aca="false">IF(OR(F135="",F135=0),"",D135/F135)</f>
        <v>0.536617842876165</v>
      </c>
      <c r="H135" s="39" t="n">
        <f aca="false">IF(OR(F135="",F135=0),"",E135/F135)</f>
        <v>0.463382157123835</v>
      </c>
      <c r="I135" s="38" t="s">
        <v>89</v>
      </c>
      <c r="J135" s="40" t="n">
        <v>3.7041269898902</v>
      </c>
      <c r="K135" s="39" t="n">
        <f aca="false">IF(G135="","",MAX(0,G135-J135/100))</f>
        <v>0.499576572977263</v>
      </c>
      <c r="L135" s="39" t="n">
        <f aca="false">IF(G135="","",MIN(1,G135+J135/100))</f>
        <v>0.573659112775067</v>
      </c>
      <c r="M135" s="21" t="n">
        <f aca="false">ROUND(Q135*S135,0)</f>
        <v>59</v>
      </c>
      <c r="N135" s="21" t="n">
        <f aca="false">ROUND(SQRT((F135*J135/100)^2+(G135*M135)^2),0)</f>
        <v>42</v>
      </c>
      <c r="P135" s="41" t="n">
        <v>0.896313669580405</v>
      </c>
      <c r="Q135" s="42" t="n">
        <v>751.145401243802</v>
      </c>
      <c r="R135" s="43" t="n">
        <f aca="false">MAX(0,MIN(1,P135/100+$D$5))</f>
        <v>0.535947835272426</v>
      </c>
      <c r="S135" s="43" t="n">
        <v>0.0779420971553049</v>
      </c>
      <c r="T135" s="44" t="s">
        <v>90</v>
      </c>
    </row>
    <row r="136" customFormat="false" ht="15" hidden="false" customHeight="false" outlineLevel="0" collapsed="false">
      <c r="A136" s="38" t="s">
        <v>157</v>
      </c>
      <c r="B136" s="38" t="s">
        <v>232</v>
      </c>
      <c r="C136" s="38" t="s">
        <v>235</v>
      </c>
      <c r="D136" s="21" t="n">
        <f aca="false">ROUND(Q136*R136,0)</f>
        <v>440</v>
      </c>
      <c r="E136" s="21" t="n">
        <f aca="false">ROUND(Q136,0)-D136</f>
        <v>363</v>
      </c>
      <c r="F136" s="21" t="n">
        <f aca="false">IF(COUNTA(D136:E136)=0,"",SUM(D136:E136))</f>
        <v>803</v>
      </c>
      <c r="G136" s="39" t="n">
        <f aca="false">IF(OR(F136="",F136=0),"",D136/F136)</f>
        <v>0.547945205479452</v>
      </c>
      <c r="H136" s="39" t="n">
        <f aca="false">IF(OR(F136="",F136=0),"",E136/F136)</f>
        <v>0.452054794520548</v>
      </c>
      <c r="I136" s="38" t="s">
        <v>89</v>
      </c>
      <c r="J136" s="40" t="n">
        <v>2.12060277043418</v>
      </c>
      <c r="K136" s="39" t="n">
        <f aca="false">IF(G136="","",MAX(0,G136-J136/100))</f>
        <v>0.52673917777511</v>
      </c>
      <c r="L136" s="39" t="n">
        <f aca="false">IF(G136="","",MIN(1,G136+J136/100))</f>
        <v>0.569151233183794</v>
      </c>
      <c r="M136" s="21" t="n">
        <f aca="false">ROUND(Q136*S136,0)</f>
        <v>51</v>
      </c>
      <c r="N136" s="21" t="n">
        <f aca="false">ROUND(SQRT((F136*J136/100)^2+(G136*M136)^2),0)</f>
        <v>33</v>
      </c>
      <c r="P136" s="41" t="n">
        <v>2.16086285668416</v>
      </c>
      <c r="Q136" s="42" t="n">
        <v>802.653592639466</v>
      </c>
      <c r="R136" s="43" t="n">
        <f aca="false">MAX(0,MIN(1,P136/100+$D$5))</f>
        <v>0.548593327143463</v>
      </c>
      <c r="S136" s="43" t="n">
        <v>0.0633793435818552</v>
      </c>
      <c r="T136" s="44" t="s">
        <v>99</v>
      </c>
    </row>
    <row r="137" customFormat="false" ht="15" hidden="false" customHeight="false" outlineLevel="0" collapsed="false">
      <c r="A137" s="38" t="s">
        <v>157</v>
      </c>
      <c r="B137" s="38" t="s">
        <v>236</v>
      </c>
      <c r="C137" s="38" t="s">
        <v>236</v>
      </c>
      <c r="D137" s="21" t="n">
        <f aca="false">ROUND(Q137*R137,0)</f>
        <v>705</v>
      </c>
      <c r="E137" s="21" t="n">
        <f aca="false">ROUND(Q137,0)-D137</f>
        <v>609</v>
      </c>
      <c r="F137" s="21" t="n">
        <f aca="false">IF(COUNTA(D137:E137)=0,"",SUM(D137:E137))</f>
        <v>1314</v>
      </c>
      <c r="G137" s="39" t="n">
        <f aca="false">IF(OR(F137="",F137=0),"",D137/F137)</f>
        <v>0.536529680365297</v>
      </c>
      <c r="H137" s="39" t="n">
        <f aca="false">IF(OR(F137="",F137=0),"",E137/F137)</f>
        <v>0.463470319634703</v>
      </c>
      <c r="I137" s="38" t="s">
        <v>89</v>
      </c>
      <c r="J137" s="40" t="n">
        <v>1.26135644325249</v>
      </c>
      <c r="K137" s="39" t="n">
        <f aca="false">IF(G137="","",MAX(0,G137-J137/100))</f>
        <v>0.523916115932772</v>
      </c>
      <c r="L137" s="39" t="n">
        <f aca="false">IF(G137="","",MIN(1,G137+J137/100))</f>
        <v>0.549143244797822</v>
      </c>
      <c r="M137" s="21" t="n">
        <f aca="false">ROUND(Q137*S137,0)</f>
        <v>183</v>
      </c>
      <c r="N137" s="21" t="n">
        <f aca="false">ROUND(SQRT((F137*J137/100)^2+(G137*M137)^2),0)</f>
        <v>100</v>
      </c>
      <c r="P137" s="41" t="n">
        <v>0.924542943131998</v>
      </c>
      <c r="Q137" s="42" t="n">
        <v>1313.86344448131</v>
      </c>
      <c r="R137" s="43" t="n">
        <f aca="false">MAX(0,MIN(1,P137/100+$D$5))</f>
        <v>0.536230128007942</v>
      </c>
      <c r="S137" s="43" t="n">
        <v>0.139463116518417</v>
      </c>
      <c r="T137" s="44" t="s">
        <v>128</v>
      </c>
    </row>
    <row r="138" customFormat="false" ht="15" hidden="false" customHeight="false" outlineLevel="0" collapsed="false">
      <c r="A138" s="38" t="s">
        <v>157</v>
      </c>
      <c r="B138" s="38" t="s">
        <v>237</v>
      </c>
      <c r="C138" s="38" t="s">
        <v>238</v>
      </c>
      <c r="D138" s="21" t="n">
        <f aca="false">ROUND(Q138*R138,0)</f>
        <v>325</v>
      </c>
      <c r="E138" s="21" t="n">
        <f aca="false">ROUND(Q138,0)-D138</f>
        <v>267</v>
      </c>
      <c r="F138" s="21" t="n">
        <f aca="false">IF(COUNTA(D138:E138)=0,"",SUM(D138:E138))</f>
        <v>592</v>
      </c>
      <c r="G138" s="39" t="n">
        <f aca="false">IF(OR(F138="",F138=0),"",D138/F138)</f>
        <v>0.548986486486487</v>
      </c>
      <c r="H138" s="39" t="n">
        <f aca="false">IF(OR(F138="",F138=0),"",E138/F138)</f>
        <v>0.451013513513514</v>
      </c>
      <c r="I138" s="38" t="s">
        <v>89</v>
      </c>
      <c r="J138" s="40" t="n">
        <v>3.7041269898902</v>
      </c>
      <c r="K138" s="39" t="n">
        <f aca="false">IF(G138="","",MAX(0,G138-J138/100))</f>
        <v>0.511945216587585</v>
      </c>
      <c r="L138" s="39" t="n">
        <f aca="false">IF(G138="","",MIN(1,G138+J138/100))</f>
        <v>0.586027756385389</v>
      </c>
      <c r="M138" s="21" t="n">
        <f aca="false">ROUND(Q138*S138,0)</f>
        <v>46</v>
      </c>
      <c r="N138" s="21" t="n">
        <f aca="false">ROUND(SQRT((F138*J138/100)^2+(G138*M138)^2),0)</f>
        <v>33</v>
      </c>
      <c r="P138" s="41" t="n">
        <v>2.19322402559025</v>
      </c>
      <c r="Q138" s="42" t="n">
        <v>591.558848262447</v>
      </c>
      <c r="R138" s="43" t="n">
        <f aca="false">MAX(0,MIN(1,P138/100+$D$5))</f>
        <v>0.548916938832524</v>
      </c>
      <c r="S138" s="43" t="n">
        <v>0.0779420971553049</v>
      </c>
      <c r="T138" s="44" t="s">
        <v>90</v>
      </c>
    </row>
    <row r="139" customFormat="false" ht="15" hidden="false" customHeight="false" outlineLevel="0" collapsed="false">
      <c r="A139" s="38" t="s">
        <v>157</v>
      </c>
      <c r="B139" s="38" t="s">
        <v>237</v>
      </c>
      <c r="C139" s="38" t="s">
        <v>239</v>
      </c>
      <c r="D139" s="21" t="n">
        <f aca="false">ROUND(Q139*R139,0)</f>
        <v>451</v>
      </c>
      <c r="E139" s="21" t="n">
        <f aca="false">ROUND(Q139,0)-D139</f>
        <v>358</v>
      </c>
      <c r="F139" s="21" t="n">
        <f aca="false">IF(COUNTA(D139:E139)=0,"",SUM(D139:E139))</f>
        <v>809</v>
      </c>
      <c r="G139" s="39" t="n">
        <f aca="false">IF(OR(F139="",F139=0),"",D139/F139)</f>
        <v>0.557478368355995</v>
      </c>
      <c r="H139" s="39" t="n">
        <f aca="false">IF(OR(F139="",F139=0),"",E139/F139)</f>
        <v>0.442521631644005</v>
      </c>
      <c r="I139" s="38" t="s">
        <v>89</v>
      </c>
      <c r="J139" s="40" t="n">
        <v>2.12060277043418</v>
      </c>
      <c r="K139" s="39" t="n">
        <f aca="false">IF(G139="","",MAX(0,G139-J139/100))</f>
        <v>0.536272340651653</v>
      </c>
      <c r="L139" s="39" t="n">
        <f aca="false">IF(G139="","",MIN(1,G139+J139/100))</f>
        <v>0.578684396060337</v>
      </c>
      <c r="M139" s="21" t="n">
        <f aca="false">ROUND(Q139*S139,0)</f>
        <v>51</v>
      </c>
      <c r="N139" s="21" t="n">
        <f aca="false">ROUND(SQRT((F139*J139/100)^2+(G139*M139)^2),0)</f>
        <v>33</v>
      </c>
      <c r="P139" s="41" t="n">
        <v>3.06170790666262</v>
      </c>
      <c r="Q139" s="42" t="n">
        <v>808.73314249989</v>
      </c>
      <c r="R139" s="43" t="n">
        <f aca="false">MAX(0,MIN(1,P139/100+$D$5))</f>
        <v>0.557601777643248</v>
      </c>
      <c r="S139" s="43" t="n">
        <v>0.0633793435818552</v>
      </c>
      <c r="T139" s="44" t="s">
        <v>99</v>
      </c>
    </row>
    <row r="140" customFormat="false" ht="15" hidden="false" customHeight="false" outlineLevel="0" collapsed="false">
      <c r="A140" s="38" t="s">
        <v>157</v>
      </c>
      <c r="B140" s="38" t="s">
        <v>240</v>
      </c>
      <c r="C140" s="38" t="s">
        <v>241</v>
      </c>
      <c r="D140" s="21" t="n">
        <f aca="false">ROUND(Q140*R140,0)</f>
        <v>488</v>
      </c>
      <c r="E140" s="21" t="n">
        <f aca="false">ROUND(Q140,0)-D140</f>
        <v>359</v>
      </c>
      <c r="F140" s="21" t="n">
        <f aca="false">IF(COUNTA(D140:E140)=0,"",SUM(D140:E140))</f>
        <v>847</v>
      </c>
      <c r="G140" s="39" t="n">
        <f aca="false">IF(OR(F140="",F140=0),"",D140/F140)</f>
        <v>0.576151121605667</v>
      </c>
      <c r="H140" s="39" t="n">
        <f aca="false">IF(OR(F140="",F140=0),"",E140/F140)</f>
        <v>0.423848878394333</v>
      </c>
      <c r="I140" s="38" t="s">
        <v>89</v>
      </c>
      <c r="J140" s="40" t="n">
        <v>2.12060277043418</v>
      </c>
      <c r="K140" s="39" t="n">
        <f aca="false">IF(G140="","",MAX(0,G140-J140/100))</f>
        <v>0.554945093901325</v>
      </c>
      <c r="L140" s="39" t="n">
        <f aca="false">IF(G140="","",MIN(1,G140+J140/100))</f>
        <v>0.597357149310009</v>
      </c>
      <c r="M140" s="21" t="n">
        <f aca="false">ROUND(Q140*S140,0)</f>
        <v>54</v>
      </c>
      <c r="N140" s="21" t="n">
        <f aca="false">ROUND(SQRT((F140*J140/100)^2+(G140*M140)^2),0)</f>
        <v>36</v>
      </c>
      <c r="P140" s="41" t="n">
        <v>4.90293042313221</v>
      </c>
      <c r="Q140" s="42" t="n">
        <v>847.209597750614</v>
      </c>
      <c r="R140" s="43" t="n">
        <f aca="false">MAX(0,MIN(1,P140/100+$D$5))</f>
        <v>0.576014002807944</v>
      </c>
      <c r="S140" s="43" t="n">
        <v>0.0633793435818552</v>
      </c>
      <c r="T140" s="44" t="s">
        <v>99</v>
      </c>
    </row>
    <row r="141" customFormat="false" ht="15" hidden="false" customHeight="false" outlineLevel="0" collapsed="false">
      <c r="A141" s="38" t="s">
        <v>157</v>
      </c>
      <c r="B141" s="38" t="s">
        <v>240</v>
      </c>
      <c r="C141" s="38" t="s">
        <v>242</v>
      </c>
      <c r="D141" s="21" t="n">
        <f aca="false">ROUND(Q141*R141,0)</f>
        <v>480</v>
      </c>
      <c r="E141" s="21" t="n">
        <f aca="false">ROUND(Q141,0)-D141</f>
        <v>364</v>
      </c>
      <c r="F141" s="21" t="n">
        <f aca="false">IF(COUNTA(D141:E141)=0,"",SUM(D141:E141))</f>
        <v>844</v>
      </c>
      <c r="G141" s="39" t="n">
        <f aca="false">IF(OR(F141="",F141=0),"",D141/F141)</f>
        <v>0.568720379146919</v>
      </c>
      <c r="H141" s="39" t="n">
        <f aca="false">IF(OR(F141="",F141=0),"",E141/F141)</f>
        <v>0.431279620853081</v>
      </c>
      <c r="I141" s="38" t="s">
        <v>89</v>
      </c>
      <c r="J141" s="40" t="n">
        <v>2.12060277043418</v>
      </c>
      <c r="K141" s="39" t="n">
        <f aca="false">IF(G141="","",MAX(0,G141-J141/100))</f>
        <v>0.547514351442578</v>
      </c>
      <c r="L141" s="39" t="n">
        <f aca="false">IF(G141="","",MIN(1,G141+J141/100))</f>
        <v>0.589926406851261</v>
      </c>
      <c r="M141" s="21" t="n">
        <f aca="false">ROUND(Q141*S141,0)</f>
        <v>54</v>
      </c>
      <c r="N141" s="21" t="n">
        <f aca="false">ROUND(SQRT((F141*J141/100)^2+(G141*M141)^2),0)</f>
        <v>36</v>
      </c>
      <c r="P141" s="41" t="n">
        <v>4.16634940733963</v>
      </c>
      <c r="Q141" s="42" t="n">
        <v>844.127411074932</v>
      </c>
      <c r="R141" s="43" t="n">
        <f aca="false">MAX(0,MIN(1,P141/100+$D$5))</f>
        <v>0.568648192650018</v>
      </c>
      <c r="S141" s="43" t="n">
        <v>0.0633793435818552</v>
      </c>
      <c r="T141" s="44" t="s">
        <v>99</v>
      </c>
    </row>
    <row r="142" customFormat="false" ht="15" hidden="false" customHeight="false" outlineLevel="0" collapsed="false">
      <c r="A142" s="38" t="s">
        <v>157</v>
      </c>
      <c r="B142" s="38" t="s">
        <v>240</v>
      </c>
      <c r="C142" s="38" t="s">
        <v>243</v>
      </c>
      <c r="D142" s="21" t="n">
        <f aca="false">ROUND(Q142*R142,0)</f>
        <v>698</v>
      </c>
      <c r="E142" s="21" t="n">
        <f aca="false">ROUND(Q142,0)-D142</f>
        <v>569</v>
      </c>
      <c r="F142" s="21" t="n">
        <f aca="false">IF(COUNTA(D142:E142)=0,"",SUM(D142:E142))</f>
        <v>1267</v>
      </c>
      <c r="G142" s="39" t="n">
        <f aca="false">IF(OR(F142="",F142=0),"",D142/F142)</f>
        <v>0.550907655880032</v>
      </c>
      <c r="H142" s="39" t="n">
        <f aca="false">IF(OR(F142="",F142=0),"",E142/F142)</f>
        <v>0.449092344119968</v>
      </c>
      <c r="I142" s="38" t="s">
        <v>89</v>
      </c>
      <c r="J142" s="40" t="n">
        <v>1.26135644325249</v>
      </c>
      <c r="K142" s="39" t="n">
        <f aca="false">IF(G142="","",MAX(0,G142-J142/100))</f>
        <v>0.538294091447507</v>
      </c>
      <c r="L142" s="39" t="n">
        <f aca="false">IF(G142="","",MIN(1,G142+J142/100))</f>
        <v>0.563521220312556</v>
      </c>
      <c r="M142" s="21" t="n">
        <f aca="false">ROUND(Q142*S142,0)</f>
        <v>177</v>
      </c>
      <c r="N142" s="21" t="n">
        <f aca="false">ROUND(SQRT((F142*J142/100)^2+(G142*M142)^2),0)</f>
        <v>99</v>
      </c>
      <c r="P142" s="41" t="n">
        <v>2.40595439481611</v>
      </c>
      <c r="Q142" s="42" t="n">
        <v>1267.44771265766</v>
      </c>
      <c r="R142" s="43" t="n">
        <f aca="false">MAX(0,MIN(1,P142/100+$D$5))</f>
        <v>0.551044242524783</v>
      </c>
      <c r="S142" s="43" t="n">
        <v>0.139463116518417</v>
      </c>
      <c r="T142" s="44" t="s">
        <v>128</v>
      </c>
    </row>
    <row r="143" customFormat="false" ht="15" hidden="false" customHeight="false" outlineLevel="0" collapsed="false">
      <c r="A143" s="38" t="s">
        <v>157</v>
      </c>
      <c r="B143" s="38" t="s">
        <v>240</v>
      </c>
      <c r="C143" s="38" t="s">
        <v>244</v>
      </c>
      <c r="D143" s="21" t="n">
        <f aca="false">ROUND(Q143*R143,0)</f>
        <v>567</v>
      </c>
      <c r="E143" s="21" t="n">
        <f aca="false">ROUND(Q143,0)-D143</f>
        <v>390</v>
      </c>
      <c r="F143" s="21" t="n">
        <f aca="false">IF(COUNTA(D143:E143)=0,"",SUM(D143:E143))</f>
        <v>957</v>
      </c>
      <c r="G143" s="39" t="n">
        <f aca="false">IF(OR(F143="",F143=0),"",D143/F143)</f>
        <v>0.592476489028213</v>
      </c>
      <c r="H143" s="39" t="n">
        <f aca="false">IF(OR(F143="",F143=0),"",E143/F143)</f>
        <v>0.407523510971787</v>
      </c>
      <c r="I143" s="38" t="s">
        <v>89</v>
      </c>
      <c r="J143" s="40" t="n">
        <v>2.12060277043418</v>
      </c>
      <c r="K143" s="39" t="n">
        <f aca="false">IF(G143="","",MAX(0,G143-J143/100))</f>
        <v>0.571270461323871</v>
      </c>
      <c r="L143" s="39" t="n">
        <f aca="false">IF(G143="","",MIN(1,G143+J143/100))</f>
        <v>0.613682516732555</v>
      </c>
      <c r="M143" s="21" t="n">
        <f aca="false">ROUND(Q143*S143,0)</f>
        <v>61</v>
      </c>
      <c r="N143" s="21" t="n">
        <f aca="false">ROUND(SQRT((F143*J143/100)^2+(G143*M143)^2),0)</f>
        <v>41</v>
      </c>
      <c r="P143" s="41" t="n">
        <v>6.52466376024714</v>
      </c>
      <c r="Q143" s="42" t="n">
        <v>957.160815132694</v>
      </c>
      <c r="R143" s="43" t="n">
        <f aca="false">MAX(0,MIN(1,P143/100+$D$5))</f>
        <v>0.592231336179093</v>
      </c>
      <c r="S143" s="43" t="n">
        <v>0.0633793435818552</v>
      </c>
      <c r="T143" s="44" t="s">
        <v>99</v>
      </c>
    </row>
    <row r="144" customFormat="false" ht="15" hidden="false" customHeight="false" outlineLevel="0" collapsed="false">
      <c r="A144" s="38" t="s">
        <v>157</v>
      </c>
      <c r="B144" s="38" t="s">
        <v>240</v>
      </c>
      <c r="C144" s="38" t="s">
        <v>245</v>
      </c>
      <c r="D144" s="21" t="n">
        <f aca="false">ROUND(Q144*R144,0)</f>
        <v>319</v>
      </c>
      <c r="E144" s="21" t="n">
        <f aca="false">ROUND(Q144,0)-D144</f>
        <v>266</v>
      </c>
      <c r="F144" s="21" t="n">
        <f aca="false">IF(COUNTA(D144:E144)=0,"",SUM(D144:E144))</f>
        <v>585</v>
      </c>
      <c r="G144" s="39" t="n">
        <f aca="false">IF(OR(F144="",F144=0),"",D144/F144)</f>
        <v>0.545299145299145</v>
      </c>
      <c r="H144" s="39" t="n">
        <f aca="false">IF(OR(F144="",F144=0),"",E144/F144)</f>
        <v>0.454700854700855</v>
      </c>
      <c r="I144" s="38" t="s">
        <v>89</v>
      </c>
      <c r="J144" s="40" t="n">
        <v>3.7041269898902</v>
      </c>
      <c r="K144" s="39" t="n">
        <f aca="false">IF(G144="","",MAX(0,G144-J144/100))</f>
        <v>0.508257875400243</v>
      </c>
      <c r="L144" s="39" t="n">
        <f aca="false">IF(G144="","",MIN(1,G144+J144/100))</f>
        <v>0.582340415198047</v>
      </c>
      <c r="M144" s="21" t="n">
        <f aca="false">ROUND(Q144*S144,0)</f>
        <v>46</v>
      </c>
      <c r="N144" s="21" t="n">
        <f aca="false">ROUND(SQRT((F144*J144/100)^2+(G144*M144)^2),0)</f>
        <v>33</v>
      </c>
      <c r="P144" s="41" t="n">
        <v>1.91405184833395</v>
      </c>
      <c r="Q144" s="42" t="n">
        <v>584.946085864067</v>
      </c>
      <c r="R144" s="43" t="n">
        <f aca="false">MAX(0,MIN(1,P144/100+$D$5))</f>
        <v>0.546125217059961</v>
      </c>
      <c r="S144" s="43" t="n">
        <v>0.0779420971553049</v>
      </c>
      <c r="T144" s="44" t="s">
        <v>90</v>
      </c>
    </row>
    <row r="145" customFormat="false" ht="15" hidden="false" customHeight="false" outlineLevel="0" collapsed="false">
      <c r="A145" s="38" t="s">
        <v>157</v>
      </c>
      <c r="B145" s="38" t="s">
        <v>240</v>
      </c>
      <c r="C145" s="38" t="s">
        <v>246</v>
      </c>
      <c r="D145" s="21" t="n">
        <f aca="false">ROUND(Q145*R145,0)</f>
        <v>641</v>
      </c>
      <c r="E145" s="21" t="n">
        <f aca="false">ROUND(Q145,0)-D145</f>
        <v>403</v>
      </c>
      <c r="F145" s="21" t="n">
        <f aca="false">IF(COUNTA(D145:E145)=0,"",SUM(D145:E145))</f>
        <v>1044</v>
      </c>
      <c r="G145" s="39" t="n">
        <f aca="false">IF(OR(F145="",F145=0),"",D145/F145)</f>
        <v>0.613984674329502</v>
      </c>
      <c r="H145" s="39" t="n">
        <f aca="false">IF(OR(F145="",F145=0),"",E145/F145)</f>
        <v>0.386015325670498</v>
      </c>
      <c r="I145" s="38" t="s">
        <v>89</v>
      </c>
      <c r="J145" s="40" t="n">
        <v>2.12060277043418</v>
      </c>
      <c r="K145" s="39" t="n">
        <f aca="false">IF(G145="","",MAX(0,G145-J145/100))</f>
        <v>0.59277864662516</v>
      </c>
      <c r="L145" s="39" t="n">
        <f aca="false">IF(G145="","",MIN(1,G145+J145/100))</f>
        <v>0.635190702033844</v>
      </c>
      <c r="M145" s="21" t="n">
        <f aca="false">ROUND(Q145*S145,0)</f>
        <v>66</v>
      </c>
      <c r="N145" s="21" t="n">
        <f aca="false">ROUND(SQRT((F145*J145/100)^2+(G145*M145)^2),0)</f>
        <v>46</v>
      </c>
      <c r="P145" s="41" t="n">
        <v>8.74985234544396</v>
      </c>
      <c r="Q145" s="42" t="n">
        <v>1043.58901391546</v>
      </c>
      <c r="R145" s="43" t="n">
        <f aca="false">MAX(0,MIN(1,P145/100+$D$5))</f>
        <v>0.614483222031061</v>
      </c>
      <c r="S145" s="43" t="n">
        <v>0.0633793435818552</v>
      </c>
      <c r="T145" s="44" t="s">
        <v>99</v>
      </c>
    </row>
    <row r="146" customFormat="false" ht="15" hidden="false" customHeight="false" outlineLevel="0" collapsed="false">
      <c r="A146" s="38" t="s">
        <v>157</v>
      </c>
      <c r="B146" s="38" t="s">
        <v>247</v>
      </c>
      <c r="C146" s="38" t="s">
        <v>248</v>
      </c>
      <c r="D146" s="21" t="n">
        <f aca="false">ROUND(Q146*R146,0)</f>
        <v>430</v>
      </c>
      <c r="E146" s="21" t="n">
        <f aca="false">ROUND(Q146,0)-D146</f>
        <v>173</v>
      </c>
      <c r="F146" s="21" t="n">
        <f aca="false">IF(COUNTA(D146:E146)=0,"",SUM(D146:E146))</f>
        <v>603</v>
      </c>
      <c r="G146" s="39" t="n">
        <f aca="false">IF(OR(F146="",F146=0),"",D146/F146)</f>
        <v>0.713101160862355</v>
      </c>
      <c r="H146" s="39" t="n">
        <f aca="false">IF(OR(F146="",F146=0),"",E146/F146)</f>
        <v>0.286898839137645</v>
      </c>
      <c r="I146" s="38" t="s">
        <v>89</v>
      </c>
      <c r="J146" s="40" t="n">
        <v>3.7041269898902</v>
      </c>
      <c r="K146" s="39" t="n">
        <f aca="false">IF(G146="","",MAX(0,G146-J146/100))</f>
        <v>0.676059890963453</v>
      </c>
      <c r="L146" s="39" t="n">
        <f aca="false">IF(G146="","",MIN(1,G146+J146/100))</f>
        <v>0.750142430761257</v>
      </c>
      <c r="M146" s="21" t="n">
        <f aca="false">ROUND(Q146*S146,0)</f>
        <v>47</v>
      </c>
      <c r="N146" s="21" t="n">
        <f aca="false">ROUND(SQRT((F146*J146/100)^2+(G146*M146)^2),0)</f>
        <v>40</v>
      </c>
      <c r="P146" s="41" t="n">
        <v>18.5016144800161</v>
      </c>
      <c r="Q146" s="42" t="n">
        <v>603.364785248651</v>
      </c>
      <c r="R146" s="43" t="n">
        <f aca="false">MAX(0,MIN(1,P146/100+$D$5))</f>
        <v>0.712000843376782</v>
      </c>
      <c r="S146" s="43" t="n">
        <v>0.0779420971553049</v>
      </c>
      <c r="T146" s="44" t="s">
        <v>90</v>
      </c>
    </row>
    <row r="147" customFormat="false" ht="15" hidden="false" customHeight="false" outlineLevel="0" collapsed="false">
      <c r="A147" s="38" t="s">
        <v>157</v>
      </c>
      <c r="B147" s="38" t="s">
        <v>247</v>
      </c>
      <c r="C147" s="38" t="s">
        <v>249</v>
      </c>
      <c r="D147" s="21" t="n">
        <f aca="false">ROUND(Q147*R147,0)</f>
        <v>327</v>
      </c>
      <c r="E147" s="21" t="n">
        <f aca="false">ROUND(Q147,0)-D147</f>
        <v>153</v>
      </c>
      <c r="F147" s="21" t="n">
        <f aca="false">IF(COUNTA(D147:E147)=0,"",SUM(D147:E147))</f>
        <v>480</v>
      </c>
      <c r="G147" s="39" t="n">
        <f aca="false">IF(OR(F147="",F147=0),"",D147/F147)</f>
        <v>0.68125</v>
      </c>
      <c r="H147" s="39" t="n">
        <f aca="false">IF(OR(F147="",F147=0),"",E147/F147)</f>
        <v>0.31875</v>
      </c>
      <c r="I147" s="38" t="s">
        <v>89</v>
      </c>
      <c r="J147" s="40" t="n">
        <v>3.7041269898902</v>
      </c>
      <c r="K147" s="39" t="n">
        <f aca="false">IF(G147="","",MAX(0,G147-J147/100))</f>
        <v>0.644208730101098</v>
      </c>
      <c r="L147" s="39" t="n">
        <f aca="false">IF(G147="","",MIN(1,G147+J147/100))</f>
        <v>0.718291269898902</v>
      </c>
      <c r="M147" s="21" t="n">
        <f aca="false">ROUND(Q147*S147,0)</f>
        <v>37</v>
      </c>
      <c r="N147" s="21" t="n">
        <f aca="false">ROUND(SQRT((F147*J147/100)^2+(G147*M147)^2),0)</f>
        <v>31</v>
      </c>
      <c r="P147" s="41" t="n">
        <v>15.3537681385685</v>
      </c>
      <c r="Q147" s="42" t="n">
        <v>480.4169147488</v>
      </c>
      <c r="R147" s="43" t="n">
        <f aca="false">MAX(0,MIN(1,P147/100+$D$5))</f>
        <v>0.680522379962307</v>
      </c>
      <c r="S147" s="43" t="n">
        <v>0.0779420971553049</v>
      </c>
      <c r="T147" s="44" t="s">
        <v>90</v>
      </c>
    </row>
    <row r="148" customFormat="false" ht="15" hidden="false" customHeight="false" outlineLevel="0" collapsed="false">
      <c r="A148" s="38" t="s">
        <v>157</v>
      </c>
      <c r="B148" s="38" t="s">
        <v>247</v>
      </c>
      <c r="C148" s="38" t="s">
        <v>250</v>
      </c>
      <c r="D148" s="21" t="n">
        <f aca="false">ROUND(Q148*R148,0)</f>
        <v>363</v>
      </c>
      <c r="E148" s="21" t="n">
        <f aca="false">ROUND(Q148,0)-D148</f>
        <v>156</v>
      </c>
      <c r="F148" s="21" t="n">
        <f aca="false">IF(COUNTA(D148:E148)=0,"",SUM(D148:E148))</f>
        <v>519</v>
      </c>
      <c r="G148" s="39" t="n">
        <f aca="false">IF(OR(F148="",F148=0),"",D148/F148)</f>
        <v>0.699421965317919</v>
      </c>
      <c r="H148" s="39" t="n">
        <f aca="false">IF(OR(F148="",F148=0),"",E148/F148)</f>
        <v>0.300578034682081</v>
      </c>
      <c r="I148" s="38" t="s">
        <v>89</v>
      </c>
      <c r="J148" s="40" t="n">
        <v>3.7041269898902</v>
      </c>
      <c r="K148" s="39" t="n">
        <f aca="false">IF(G148="","",MAX(0,G148-J148/100))</f>
        <v>0.662380695419017</v>
      </c>
      <c r="L148" s="39" t="n">
        <f aca="false">IF(G148="","",MIN(1,G148+J148/100))</f>
        <v>0.736463235216821</v>
      </c>
      <c r="M148" s="21" t="n">
        <f aca="false">ROUND(Q148*S148,0)</f>
        <v>40</v>
      </c>
      <c r="N148" s="21" t="n">
        <f aca="false">ROUND(SQRT((F148*J148/100)^2+(G148*M148)^2),0)</f>
        <v>34</v>
      </c>
      <c r="P148" s="41" t="n">
        <v>17.2000307321371</v>
      </c>
      <c r="Q148" s="42" t="n">
        <v>518.91284513596</v>
      </c>
      <c r="R148" s="43" t="n">
        <f aca="false">MAX(0,MIN(1,P148/100+$D$5))</f>
        <v>0.698985005897993</v>
      </c>
      <c r="S148" s="43" t="n">
        <v>0.0779420971553049</v>
      </c>
      <c r="T148" s="44" t="s">
        <v>90</v>
      </c>
    </row>
    <row r="149" customFormat="false" ht="15" hidden="false" customHeight="false" outlineLevel="0" collapsed="false">
      <c r="A149" s="38" t="s">
        <v>157</v>
      </c>
      <c r="B149" s="38" t="s">
        <v>251</v>
      </c>
      <c r="C149" s="38" t="s">
        <v>251</v>
      </c>
      <c r="D149" s="21" t="n">
        <f aca="false">ROUND(Q149*R149,0)</f>
        <v>293</v>
      </c>
      <c r="E149" s="21" t="n">
        <f aca="false">ROUND(Q149,0)-D149</f>
        <v>207</v>
      </c>
      <c r="F149" s="21" t="n">
        <f aca="false">IF(COUNTA(D149:E149)=0,"",SUM(D149:E149))</f>
        <v>500</v>
      </c>
      <c r="G149" s="39" t="n">
        <f aca="false">IF(OR(F149="",F149=0),"",D149/F149)</f>
        <v>0.586</v>
      </c>
      <c r="H149" s="39" t="n">
        <f aca="false">IF(OR(F149="",F149=0),"",E149/F149)</f>
        <v>0.414</v>
      </c>
      <c r="I149" s="38" t="s">
        <v>89</v>
      </c>
      <c r="J149" s="40" t="n">
        <v>3.7041269898902</v>
      </c>
      <c r="K149" s="39" t="n">
        <f aca="false">IF(G149="","",MAX(0,G149-J149/100))</f>
        <v>0.548958730101098</v>
      </c>
      <c r="L149" s="39" t="n">
        <f aca="false">IF(G149="","",MIN(1,G149+J149/100))</f>
        <v>0.623041269898902</v>
      </c>
      <c r="M149" s="21" t="n">
        <f aca="false">ROUND(Q149*S149,0)</f>
        <v>39</v>
      </c>
      <c r="N149" s="21" t="n">
        <f aca="false">ROUND(SQRT((F149*J149/100)^2+(G149*M149)^2),0)</f>
        <v>29</v>
      </c>
      <c r="P149" s="41" t="n">
        <v>5.86023339287647</v>
      </c>
      <c r="Q149" s="42" t="n">
        <v>499.565846173097</v>
      </c>
      <c r="R149" s="43" t="n">
        <f aca="false">MAX(0,MIN(1,P149/100+$D$5))</f>
        <v>0.585587032505386</v>
      </c>
      <c r="S149" s="43" t="n">
        <v>0.0779420971553049</v>
      </c>
      <c r="T149" s="44" t="s">
        <v>90</v>
      </c>
    </row>
    <row r="150" customFormat="false" ht="15" hidden="false" customHeight="false" outlineLevel="0" collapsed="false">
      <c r="A150" s="38" t="s">
        <v>157</v>
      </c>
      <c r="B150" s="38" t="s">
        <v>252</v>
      </c>
      <c r="C150" s="38" t="s">
        <v>252</v>
      </c>
      <c r="D150" s="21" t="n">
        <f aca="false">ROUND(Q150*R150,0)</f>
        <v>595</v>
      </c>
      <c r="E150" s="21" t="n">
        <f aca="false">ROUND(Q150,0)-D150</f>
        <v>1136</v>
      </c>
      <c r="F150" s="21" t="n">
        <f aca="false">IF(COUNTA(D150:E150)=0,"",SUM(D150:E150))</f>
        <v>1731</v>
      </c>
      <c r="G150" s="39" t="n">
        <f aca="false">IF(OR(F150="",F150=0),"",D150/F150)</f>
        <v>0.343731946851531</v>
      </c>
      <c r="H150" s="39" t="n">
        <f aca="false">IF(OR(F150="",F150=0),"",E150/F150)</f>
        <v>0.656268053148469</v>
      </c>
      <c r="I150" s="38" t="s">
        <v>89</v>
      </c>
      <c r="J150" s="40" t="n">
        <v>1.26135644325249</v>
      </c>
      <c r="K150" s="39" t="n">
        <f aca="false">IF(G150="","",MAX(0,G150-J150/100))</f>
        <v>0.331118382419006</v>
      </c>
      <c r="L150" s="39" t="n">
        <f aca="false">IF(G150="","",MIN(1,G150+J150/100))</f>
        <v>0.356345511284056</v>
      </c>
      <c r="M150" s="21" t="n">
        <f aca="false">ROUND(Q150*S150,0)</f>
        <v>241</v>
      </c>
      <c r="N150" s="21" t="n">
        <f aca="false">ROUND(SQRT((F150*J150/100)^2+(G150*M150)^2),0)</f>
        <v>86</v>
      </c>
      <c r="P150" s="41" t="n">
        <v>-18.2896370318561</v>
      </c>
      <c r="Q150" s="42" t="n">
        <v>1730.64255317752</v>
      </c>
      <c r="R150" s="43" t="n">
        <f aca="false">MAX(0,MIN(1,P150/100+$D$5))</f>
        <v>0.344088328258061</v>
      </c>
      <c r="S150" s="43" t="n">
        <v>0.139463116518417</v>
      </c>
      <c r="T150" s="44" t="s">
        <v>128</v>
      </c>
    </row>
    <row r="151" customFormat="false" ht="15" hidden="false" customHeight="false" outlineLevel="0" collapsed="false">
      <c r="A151" s="38" t="s">
        <v>157</v>
      </c>
      <c r="B151" s="38" t="s">
        <v>253</v>
      </c>
      <c r="C151" s="38" t="s">
        <v>254</v>
      </c>
      <c r="D151" s="21" t="n">
        <f aca="false">ROUND(Q151*R151,0)</f>
        <v>865</v>
      </c>
      <c r="E151" s="21" t="n">
        <f aca="false">ROUND(Q151,0)-D151</f>
        <v>733</v>
      </c>
      <c r="F151" s="21" t="n">
        <f aca="false">IF(COUNTA(D151:E151)=0,"",SUM(D151:E151))</f>
        <v>1598</v>
      </c>
      <c r="G151" s="39" t="n">
        <f aca="false">IF(OR(F151="",F151=0),"",D151/F151)</f>
        <v>0.541301627033792</v>
      </c>
      <c r="H151" s="39" t="n">
        <f aca="false">IF(OR(F151="",F151=0),"",E151/F151)</f>
        <v>0.458698372966208</v>
      </c>
      <c r="I151" s="38" t="s">
        <v>89</v>
      </c>
      <c r="J151" s="40" t="n">
        <v>1.26135644325249</v>
      </c>
      <c r="K151" s="39" t="n">
        <f aca="false">IF(G151="","",MAX(0,G151-J151/100))</f>
        <v>0.528688062601267</v>
      </c>
      <c r="L151" s="39" t="n">
        <f aca="false">IF(G151="","",MIN(1,G151+J151/100))</f>
        <v>0.553915191466317</v>
      </c>
      <c r="M151" s="21" t="n">
        <f aca="false">ROUND(Q151*S151,0)</f>
        <v>223</v>
      </c>
      <c r="N151" s="21" t="n">
        <f aca="false">ROUND(SQRT((F151*J151/100)^2+(G151*M151)^2),0)</f>
        <v>122</v>
      </c>
      <c r="P151" s="41" t="n">
        <v>1.44520202344739</v>
      </c>
      <c r="Q151" s="42" t="n">
        <v>1597.81746238625</v>
      </c>
      <c r="R151" s="43" t="n">
        <f aca="false">MAX(0,MIN(1,P151/100+$D$5))</f>
        <v>0.541436718811096</v>
      </c>
      <c r="S151" s="43" t="n">
        <v>0.139463116518417</v>
      </c>
      <c r="T151" s="44" t="s">
        <v>128</v>
      </c>
    </row>
    <row r="152" customFormat="false" ht="15" hidden="false" customHeight="false" outlineLevel="0" collapsed="false">
      <c r="A152" s="38" t="s">
        <v>157</v>
      </c>
      <c r="B152" s="38" t="s">
        <v>253</v>
      </c>
      <c r="C152" s="38" t="s">
        <v>255</v>
      </c>
      <c r="D152" s="21" t="n">
        <f aca="false">ROUND(Q152*R152,0)</f>
        <v>964</v>
      </c>
      <c r="E152" s="21" t="n">
        <f aca="false">ROUND(Q152,0)-D152</f>
        <v>798</v>
      </c>
      <c r="F152" s="21" t="n">
        <f aca="false">IF(COUNTA(D152:E152)=0,"",SUM(D152:E152))</f>
        <v>1762</v>
      </c>
      <c r="G152" s="39" t="n">
        <f aca="false">IF(OR(F152="",F152=0),"",D152/F152)</f>
        <v>0.547105561861521</v>
      </c>
      <c r="H152" s="39" t="n">
        <f aca="false">IF(OR(F152="",F152=0),"",E152/F152)</f>
        <v>0.452894438138479</v>
      </c>
      <c r="I152" s="38" t="s">
        <v>89</v>
      </c>
      <c r="J152" s="40" t="n">
        <v>1.26135644325249</v>
      </c>
      <c r="K152" s="39" t="n">
        <f aca="false">IF(G152="","",MAX(0,G152-J152/100))</f>
        <v>0.534491997428996</v>
      </c>
      <c r="L152" s="39" t="n">
        <f aca="false">IF(G152="","",MIN(1,G152+J152/100))</f>
        <v>0.559719126294046</v>
      </c>
      <c r="M152" s="21" t="n">
        <f aca="false">ROUND(Q152*S152,0)</f>
        <v>246</v>
      </c>
      <c r="N152" s="21" t="n">
        <f aca="false">ROUND(SQRT((F152*J152/100)^2+(G152*M152)^2),0)</f>
        <v>136</v>
      </c>
      <c r="P152" s="41" t="n">
        <v>1.99864825297063</v>
      </c>
      <c r="Q152" s="42" t="n">
        <v>1761.52482288714</v>
      </c>
      <c r="R152" s="43" t="n">
        <f aca="false">MAX(0,MIN(1,P152/100+$D$5))</f>
        <v>0.546971181106328</v>
      </c>
      <c r="S152" s="43" t="n">
        <v>0.139463116518417</v>
      </c>
      <c r="T152" s="44" t="s">
        <v>128</v>
      </c>
    </row>
    <row r="153" customFormat="false" ht="15" hidden="false" customHeight="false" outlineLevel="0" collapsed="false">
      <c r="A153" s="38" t="s">
        <v>157</v>
      </c>
      <c r="B153" s="38" t="s">
        <v>253</v>
      </c>
      <c r="C153" s="38" t="s">
        <v>256</v>
      </c>
      <c r="D153" s="21" t="n">
        <f aca="false">ROUND(Q153*R153,0)</f>
        <v>1678</v>
      </c>
      <c r="E153" s="21" t="n">
        <f aca="false">ROUND(Q153,0)-D153</f>
        <v>1398</v>
      </c>
      <c r="F153" s="21" t="n">
        <f aca="false">IF(COUNTA(D153:E153)=0,"",SUM(D153:E153))</f>
        <v>3076</v>
      </c>
      <c r="G153" s="39" t="n">
        <f aca="false">IF(OR(F153="",F153=0),"",D153/F153)</f>
        <v>0.545513654096229</v>
      </c>
      <c r="H153" s="39" t="n">
        <f aca="false">IF(OR(F153="",F153=0),"",E153/F153)</f>
        <v>0.454486345903771</v>
      </c>
      <c r="I153" s="38" t="s">
        <v>89</v>
      </c>
      <c r="J153" s="40" t="n">
        <v>1.26135644325249</v>
      </c>
      <c r="K153" s="39" t="n">
        <f aca="false">IF(G153="","",MAX(0,G153-J153/100))</f>
        <v>0.532900089663704</v>
      </c>
      <c r="L153" s="39" t="n">
        <f aca="false">IF(G153="","",MIN(1,G153+J153/100))</f>
        <v>0.558127218528754</v>
      </c>
      <c r="M153" s="21" t="n">
        <f aca="false">ROUND(Q153*S153,0)</f>
        <v>429</v>
      </c>
      <c r="N153" s="21" t="n">
        <f aca="false">ROUND(SQRT((F153*J153/100)^2+(G153*M153)^2),0)</f>
        <v>237</v>
      </c>
      <c r="P153" s="41" t="n">
        <v>1.84696730731116</v>
      </c>
      <c r="Q153" s="42" t="n">
        <v>3076.36181525568</v>
      </c>
      <c r="R153" s="43" t="n">
        <f aca="false">MAX(0,MIN(1,P153/100+$D$5))</f>
        <v>0.545454371649733</v>
      </c>
      <c r="S153" s="43" t="n">
        <v>0.139463116518417</v>
      </c>
      <c r="T153" s="44" t="s">
        <v>128</v>
      </c>
    </row>
    <row r="154" customFormat="false" ht="15" hidden="false" customHeight="false" outlineLevel="0" collapsed="false">
      <c r="A154" s="38" t="s">
        <v>157</v>
      </c>
      <c r="B154" s="38" t="s">
        <v>253</v>
      </c>
      <c r="C154" s="38" t="s">
        <v>257</v>
      </c>
      <c r="D154" s="21" t="n">
        <f aca="false">ROUND(Q154*R154,0)</f>
        <v>845</v>
      </c>
      <c r="E154" s="21" t="n">
        <f aca="false">ROUND(Q154,0)-D154</f>
        <v>720</v>
      </c>
      <c r="F154" s="21" t="n">
        <f aca="false">IF(COUNTA(D154:E154)=0,"",SUM(D154:E154))</f>
        <v>1565</v>
      </c>
      <c r="G154" s="39" t="n">
        <f aca="false">IF(OR(F154="",F154=0),"",D154/F154)</f>
        <v>0.539936102236422</v>
      </c>
      <c r="H154" s="39" t="n">
        <f aca="false">IF(OR(F154="",F154=0),"",E154/F154)</f>
        <v>0.460063897763578</v>
      </c>
      <c r="I154" s="38" t="s">
        <v>89</v>
      </c>
      <c r="J154" s="40" t="n">
        <v>1.26135644325249</v>
      </c>
      <c r="K154" s="39" t="n">
        <f aca="false">IF(G154="","",MAX(0,G154-J154/100))</f>
        <v>0.527322537803897</v>
      </c>
      <c r="L154" s="39" t="n">
        <f aca="false">IF(G154="","",MIN(1,G154+J154/100))</f>
        <v>0.552549666668947</v>
      </c>
      <c r="M154" s="21" t="n">
        <f aca="false">ROUND(Q154*S154,0)</f>
        <v>218</v>
      </c>
      <c r="N154" s="21" t="n">
        <f aca="false">ROUND(SQRT((F154*J154/100)^2+(G154*M154)^2),0)</f>
        <v>119</v>
      </c>
      <c r="P154" s="41" t="n">
        <v>1.26876498870643</v>
      </c>
      <c r="Q154" s="42" t="n">
        <v>1564.84749001567</v>
      </c>
      <c r="R154" s="43" t="n">
        <f aca="false">MAX(0,MIN(1,P154/100+$D$5))</f>
        <v>0.539672348463686</v>
      </c>
      <c r="S154" s="43" t="n">
        <v>0.139463116518417</v>
      </c>
      <c r="T154" s="44" t="s">
        <v>128</v>
      </c>
    </row>
    <row r="155" customFormat="false" ht="15" hidden="false" customHeight="false" outlineLevel="0" collapsed="false">
      <c r="A155" s="38" t="s">
        <v>157</v>
      </c>
      <c r="B155" s="38" t="s">
        <v>253</v>
      </c>
      <c r="C155" s="38" t="s">
        <v>258</v>
      </c>
      <c r="D155" s="21" t="n">
        <f aca="false">ROUND(Q155*R155,0)</f>
        <v>767</v>
      </c>
      <c r="E155" s="21" t="n">
        <f aca="false">ROUND(Q155,0)-D155</f>
        <v>654</v>
      </c>
      <c r="F155" s="21" t="n">
        <f aca="false">IF(COUNTA(D155:E155)=0,"",SUM(D155:E155))</f>
        <v>1421</v>
      </c>
      <c r="G155" s="39" t="n">
        <f aca="false">IF(OR(F155="",F155=0),"",D155/F155)</f>
        <v>0.539760731878959</v>
      </c>
      <c r="H155" s="39" t="n">
        <f aca="false">IF(OR(F155="",F155=0),"",E155/F155)</f>
        <v>0.460239268121042</v>
      </c>
      <c r="I155" s="38" t="s">
        <v>89</v>
      </c>
      <c r="J155" s="40" t="n">
        <v>1.26135644325249</v>
      </c>
      <c r="K155" s="39" t="n">
        <f aca="false">IF(G155="","",MAX(0,G155-J155/100))</f>
        <v>0.527147167446434</v>
      </c>
      <c r="L155" s="39" t="n">
        <f aca="false">IF(G155="","",MIN(1,G155+J155/100))</f>
        <v>0.552374296311483</v>
      </c>
      <c r="M155" s="21" t="n">
        <f aca="false">ROUND(Q155*S155,0)</f>
        <v>198</v>
      </c>
      <c r="N155" s="21" t="n">
        <f aca="false">ROUND(SQRT((F155*J155/100)^2+(G155*M155)^2),0)</f>
        <v>108</v>
      </c>
      <c r="P155" s="41" t="n">
        <v>1.25058721451009</v>
      </c>
      <c r="Q155" s="42" t="n">
        <v>1421.36413217832</v>
      </c>
      <c r="R155" s="43" t="n">
        <f aca="false">MAX(0,MIN(1,P155/100+$D$5))</f>
        <v>0.539490570721723</v>
      </c>
      <c r="S155" s="43" t="n">
        <v>0.139463116518417</v>
      </c>
      <c r="T155" s="44" t="s">
        <v>128</v>
      </c>
    </row>
    <row r="156" customFormat="false" ht="15" hidden="false" customHeight="false" outlineLevel="0" collapsed="false">
      <c r="A156" s="38" t="s">
        <v>157</v>
      </c>
      <c r="B156" s="38" t="s">
        <v>253</v>
      </c>
      <c r="C156" s="38" t="s">
        <v>259</v>
      </c>
      <c r="D156" s="21" t="n">
        <f aca="false">ROUND(Q156*R156,0)</f>
        <v>704</v>
      </c>
      <c r="E156" s="21" t="n">
        <f aca="false">ROUND(Q156,0)-D156</f>
        <v>561</v>
      </c>
      <c r="F156" s="21" t="n">
        <f aca="false">IF(COUNTA(D156:E156)=0,"",SUM(D156:E156))</f>
        <v>1265</v>
      </c>
      <c r="G156" s="39" t="n">
        <f aca="false">IF(OR(F156="",F156=0),"",D156/F156)</f>
        <v>0.556521739130435</v>
      </c>
      <c r="H156" s="39" t="n">
        <f aca="false">IF(OR(F156="",F156=0),"",E156/F156)</f>
        <v>0.443478260869565</v>
      </c>
      <c r="I156" s="38" t="s">
        <v>89</v>
      </c>
      <c r="J156" s="40" t="n">
        <v>1.26135644325249</v>
      </c>
      <c r="K156" s="39" t="n">
        <f aca="false">IF(G156="","",MAX(0,G156-J156/100))</f>
        <v>0.54390817469791</v>
      </c>
      <c r="L156" s="39" t="n">
        <f aca="false">IF(G156="","",MIN(1,G156+J156/100))</f>
        <v>0.56913530356296</v>
      </c>
      <c r="M156" s="21" t="n">
        <f aca="false">ROUND(Q156*S156,0)</f>
        <v>176</v>
      </c>
      <c r="N156" s="21" t="n">
        <f aca="false">ROUND(SQRT((F156*J156/100)^2+(G156*M156)^2),0)</f>
        <v>99</v>
      </c>
      <c r="P156" s="41" t="n">
        <v>2.97022940081512</v>
      </c>
      <c r="Q156" s="42" t="n">
        <v>1264.94417419321</v>
      </c>
      <c r="R156" s="43" t="n">
        <f aca="false">MAX(0,MIN(1,P156/100+$D$5))</f>
        <v>0.556686992584773</v>
      </c>
      <c r="S156" s="43" t="n">
        <v>0.139463116518417</v>
      </c>
      <c r="T156" s="44" t="s">
        <v>128</v>
      </c>
    </row>
    <row r="157" customFormat="false" ht="15" hidden="false" customHeight="false" outlineLevel="0" collapsed="false">
      <c r="A157" s="38" t="s">
        <v>157</v>
      </c>
      <c r="B157" s="38" t="s">
        <v>253</v>
      </c>
      <c r="C157" s="38" t="s">
        <v>260</v>
      </c>
      <c r="D157" s="21" t="n">
        <f aca="false">ROUND(Q157*R157,0)</f>
        <v>1397</v>
      </c>
      <c r="E157" s="21" t="n">
        <f aca="false">ROUND(Q157,0)-D157</f>
        <v>1192</v>
      </c>
      <c r="F157" s="21" t="n">
        <f aca="false">IF(COUNTA(D157:E157)=0,"",SUM(D157:E157))</f>
        <v>2589</v>
      </c>
      <c r="G157" s="39" t="n">
        <f aca="false">IF(OR(F157="",F157=0),"",D157/F157)</f>
        <v>0.539590575511781</v>
      </c>
      <c r="H157" s="39" t="n">
        <f aca="false">IF(OR(F157="",F157=0),"",E157/F157)</f>
        <v>0.460409424488219</v>
      </c>
      <c r="I157" s="38" t="s">
        <v>89</v>
      </c>
      <c r="J157" s="40" t="n">
        <v>1.26135644325249</v>
      </c>
      <c r="K157" s="39" t="n">
        <f aca="false">IF(G157="","",MAX(0,G157-J157/100))</f>
        <v>0.526977011079256</v>
      </c>
      <c r="L157" s="39" t="n">
        <f aca="false">IF(G157="","",MIN(1,G157+J157/100))</f>
        <v>0.552204139944305</v>
      </c>
      <c r="M157" s="21" t="n">
        <f aca="false">ROUND(Q157*S157,0)</f>
        <v>361</v>
      </c>
      <c r="N157" s="21" t="n">
        <f aca="false">ROUND(SQRT((F157*J157/100)^2+(G157*M157)^2),0)</f>
        <v>198</v>
      </c>
      <c r="P157" s="41" t="n">
        <v>1.24116553255729</v>
      </c>
      <c r="Q157" s="42" t="n">
        <v>2589.33500907299</v>
      </c>
      <c r="R157" s="43" t="n">
        <f aca="false">MAX(0,MIN(1,P157/100+$D$5))</f>
        <v>0.539396353902195</v>
      </c>
      <c r="S157" s="43" t="n">
        <v>0.139463116518417</v>
      </c>
      <c r="T157" s="44" t="s">
        <v>128</v>
      </c>
    </row>
    <row r="158" customFormat="false" ht="15" hidden="false" customHeight="false" outlineLevel="0" collapsed="false">
      <c r="A158" s="38" t="s">
        <v>157</v>
      </c>
      <c r="B158" s="38" t="s">
        <v>253</v>
      </c>
      <c r="C158" s="38" t="s">
        <v>261</v>
      </c>
      <c r="D158" s="21" t="n">
        <f aca="false">ROUND(Q158*R158,0)</f>
        <v>784</v>
      </c>
      <c r="E158" s="21" t="n">
        <f aca="false">ROUND(Q158,0)-D158</f>
        <v>587</v>
      </c>
      <c r="F158" s="21" t="n">
        <f aca="false">IF(COUNTA(D158:E158)=0,"",SUM(D158:E158))</f>
        <v>1371</v>
      </c>
      <c r="G158" s="39" t="n">
        <f aca="false">IF(OR(F158="",F158=0),"",D158/F158)</f>
        <v>0.571845368344274</v>
      </c>
      <c r="H158" s="39" t="n">
        <f aca="false">IF(OR(F158="",F158=0),"",E158/F158)</f>
        <v>0.428154631655726</v>
      </c>
      <c r="I158" s="38" t="s">
        <v>89</v>
      </c>
      <c r="J158" s="40" t="n">
        <v>1.26135644325249</v>
      </c>
      <c r="K158" s="39" t="n">
        <f aca="false">IF(G158="","",MAX(0,G158-J158/100))</f>
        <v>0.559231803911749</v>
      </c>
      <c r="L158" s="39" t="n">
        <f aca="false">IF(G158="","",MIN(1,G158+J158/100))</f>
        <v>0.584458932776799</v>
      </c>
      <c r="M158" s="21" t="n">
        <f aca="false">ROUND(Q158*S158,0)</f>
        <v>191</v>
      </c>
      <c r="N158" s="21" t="n">
        <f aca="false">ROUND(SQRT((F158*J158/100)^2+(G158*M158)^2),0)</f>
        <v>111</v>
      </c>
      <c r="P158" s="41" t="n">
        <v>4.51647187307979</v>
      </c>
      <c r="Q158" s="42" t="n">
        <v>1370.8738560604</v>
      </c>
      <c r="R158" s="43" t="n">
        <f aca="false">MAX(0,MIN(1,P158/100+$D$5))</f>
        <v>0.57214941730742</v>
      </c>
      <c r="S158" s="43" t="n">
        <v>0.139463116518417</v>
      </c>
      <c r="T158" s="44" t="s">
        <v>128</v>
      </c>
    </row>
    <row r="159" customFormat="false" ht="15" hidden="false" customHeight="false" outlineLevel="0" collapsed="false">
      <c r="A159" s="38" t="s">
        <v>157</v>
      </c>
      <c r="B159" s="38" t="s">
        <v>253</v>
      </c>
      <c r="C159" s="38" t="s">
        <v>262</v>
      </c>
      <c r="D159" s="21" t="n">
        <f aca="false">ROUND(Q159*R159,0)</f>
        <v>770</v>
      </c>
      <c r="E159" s="21" t="n">
        <f aca="false">ROUND(Q159,0)-D159</f>
        <v>625</v>
      </c>
      <c r="F159" s="21" t="n">
        <f aca="false">IF(COUNTA(D159:E159)=0,"",SUM(D159:E159))</f>
        <v>1395</v>
      </c>
      <c r="G159" s="39" t="n">
        <f aca="false">IF(OR(F159="",F159=0),"",D159/F159)</f>
        <v>0.551971326164875</v>
      </c>
      <c r="H159" s="39" t="n">
        <f aca="false">IF(OR(F159="",F159=0),"",E159/F159)</f>
        <v>0.448028673835125</v>
      </c>
      <c r="I159" s="38" t="s">
        <v>89</v>
      </c>
      <c r="J159" s="40" t="n">
        <v>1.26135644325249</v>
      </c>
      <c r="K159" s="39" t="n">
        <f aca="false">IF(G159="","",MAX(0,G159-J159/100))</f>
        <v>0.53935776173235</v>
      </c>
      <c r="L159" s="39" t="n">
        <f aca="false">IF(G159="","",MIN(1,G159+J159/100))</f>
        <v>0.564584890597399</v>
      </c>
      <c r="M159" s="21" t="n">
        <f aca="false">ROUND(Q159*S159,0)</f>
        <v>195</v>
      </c>
      <c r="N159" s="21" t="n">
        <f aca="false">ROUND(SQRT((F159*J159/100)^2+(G159*M159)^2),0)</f>
        <v>109</v>
      </c>
      <c r="P159" s="41" t="n">
        <v>2.47764878609195</v>
      </c>
      <c r="Q159" s="42" t="n">
        <v>1394.7562507104</v>
      </c>
      <c r="R159" s="43" t="n">
        <f aca="false">MAX(0,MIN(1,P159/100+$D$5))</f>
        <v>0.551761186437541</v>
      </c>
      <c r="S159" s="43" t="n">
        <v>0.139463116518417</v>
      </c>
      <c r="T159" s="44" t="s">
        <v>128</v>
      </c>
    </row>
    <row r="160" customFormat="false" ht="15" hidden="false" customHeight="false" outlineLevel="0" collapsed="false">
      <c r="A160" s="38" t="s">
        <v>157</v>
      </c>
      <c r="B160" s="38" t="s">
        <v>253</v>
      </c>
      <c r="C160" s="38" t="s">
        <v>263</v>
      </c>
      <c r="D160" s="21" t="n">
        <f aca="false">ROUND(Q160*R160,0)</f>
        <v>511</v>
      </c>
      <c r="E160" s="21" t="n">
        <f aca="false">ROUND(Q160,0)-D160</f>
        <v>416</v>
      </c>
      <c r="F160" s="21" t="n">
        <f aca="false">IF(COUNTA(D160:E160)=0,"",SUM(D160:E160))</f>
        <v>927</v>
      </c>
      <c r="G160" s="39" t="n">
        <f aca="false">IF(OR(F160="",F160=0),"",D160/F160)</f>
        <v>0.551240560949299</v>
      </c>
      <c r="H160" s="39" t="n">
        <f aca="false">IF(OR(F160="",F160=0),"",E160/F160)</f>
        <v>0.448759439050701</v>
      </c>
      <c r="I160" s="38" t="s">
        <v>89</v>
      </c>
      <c r="J160" s="40" t="n">
        <v>2.12060277043418</v>
      </c>
      <c r="K160" s="39" t="n">
        <f aca="false">IF(G160="","",MAX(0,G160-J160/100))</f>
        <v>0.530034533244957</v>
      </c>
      <c r="L160" s="39" t="n">
        <f aca="false">IF(G160="","",MIN(1,G160+J160/100))</f>
        <v>0.572446588653641</v>
      </c>
      <c r="M160" s="21" t="n">
        <f aca="false">ROUND(Q160*S160,0)</f>
        <v>59</v>
      </c>
      <c r="N160" s="21" t="n">
        <f aca="false">ROUND(SQRT((F160*J160/100)^2+(G160*M160)^2),0)</f>
        <v>38</v>
      </c>
      <c r="P160" s="41" t="n">
        <v>2.39048407650277</v>
      </c>
      <c r="Q160" s="42" t="n">
        <v>927.320892930801</v>
      </c>
      <c r="R160" s="43" t="n">
        <f aca="false">MAX(0,MIN(1,P160/100+$D$5))</f>
        <v>0.550889539341649</v>
      </c>
      <c r="S160" s="43" t="n">
        <v>0.0633793435818552</v>
      </c>
      <c r="T160" s="44" t="s">
        <v>99</v>
      </c>
    </row>
    <row r="161" customFormat="false" ht="15" hidden="false" customHeight="false" outlineLevel="0" collapsed="false">
      <c r="A161" s="38" t="s">
        <v>157</v>
      </c>
      <c r="B161" s="38" t="s">
        <v>264</v>
      </c>
      <c r="C161" s="38" t="s">
        <v>264</v>
      </c>
      <c r="D161" s="21" t="n">
        <f aca="false">ROUND(Q161*R161,0)</f>
        <v>947</v>
      </c>
      <c r="E161" s="21" t="n">
        <f aca="false">ROUND(Q161,0)-D161</f>
        <v>1333</v>
      </c>
      <c r="F161" s="21" t="n">
        <f aca="false">IF(COUNTA(D161:E161)=0,"",SUM(D161:E161))</f>
        <v>2280</v>
      </c>
      <c r="G161" s="39" t="n">
        <f aca="false">IF(OR(F161="",F161=0),"",D161/F161)</f>
        <v>0.415350877192982</v>
      </c>
      <c r="H161" s="39" t="n">
        <f aca="false">IF(OR(F161="",F161=0),"",E161/F161)</f>
        <v>0.584649122807018</v>
      </c>
      <c r="I161" s="38" t="s">
        <v>89</v>
      </c>
      <c r="J161" s="40" t="n">
        <v>1.26135644325249</v>
      </c>
      <c r="K161" s="39" t="n">
        <f aca="false">IF(G161="","",MAX(0,G161-J161/100))</f>
        <v>0.402737312760458</v>
      </c>
      <c r="L161" s="39" t="n">
        <f aca="false">IF(G161="","",MIN(1,G161+J161/100))</f>
        <v>0.427964441625507</v>
      </c>
      <c r="M161" s="21" t="n">
        <f aca="false">ROUND(Q161*S161,0)</f>
        <v>318</v>
      </c>
      <c r="N161" s="21" t="n">
        <f aca="false">ROUND(SQRT((F161*J161/100)^2+(G161*M161)^2),0)</f>
        <v>135</v>
      </c>
      <c r="P161" s="41" t="n">
        <v>-11.1666492145747</v>
      </c>
      <c r="Q161" s="42" t="n">
        <v>2279.66250001674</v>
      </c>
      <c r="R161" s="43" t="n">
        <f aca="false">MAX(0,MIN(1,P161/100+$D$5))</f>
        <v>0.415318206430875</v>
      </c>
      <c r="S161" s="43" t="n">
        <v>0.139463116518417</v>
      </c>
      <c r="T161" s="44" t="s">
        <v>128</v>
      </c>
    </row>
    <row r="162" customFormat="false" ht="15" hidden="false" customHeight="false" outlineLevel="0" collapsed="false">
      <c r="A162" s="38" t="s">
        <v>157</v>
      </c>
      <c r="B162" s="38" t="s">
        <v>265</v>
      </c>
      <c r="C162" s="38" t="s">
        <v>265</v>
      </c>
      <c r="D162" s="21" t="n">
        <f aca="false">ROUND(Q162*R162,0)</f>
        <v>510</v>
      </c>
      <c r="E162" s="21" t="n">
        <f aca="false">ROUND(Q162,0)-D162</f>
        <v>778</v>
      </c>
      <c r="F162" s="21" t="n">
        <f aca="false">IF(COUNTA(D162:E162)=0,"",SUM(D162:E162))</f>
        <v>1288</v>
      </c>
      <c r="G162" s="39" t="n">
        <f aca="false">IF(OR(F162="",F162=0),"",D162/F162)</f>
        <v>0.395962732919255</v>
      </c>
      <c r="H162" s="39" t="n">
        <f aca="false">IF(OR(F162="",F162=0),"",E162/F162)</f>
        <v>0.604037267080745</v>
      </c>
      <c r="I162" s="38" t="s">
        <v>89</v>
      </c>
      <c r="J162" s="40" t="n">
        <v>1.26135644325249</v>
      </c>
      <c r="K162" s="39" t="n">
        <f aca="false">IF(G162="","",MAX(0,G162-J162/100))</f>
        <v>0.38334916848673</v>
      </c>
      <c r="L162" s="39" t="n">
        <f aca="false">IF(G162="","",MIN(1,G162+J162/100))</f>
        <v>0.40857629735178</v>
      </c>
      <c r="M162" s="21" t="n">
        <f aca="false">ROUND(Q162*S162,0)</f>
        <v>180</v>
      </c>
      <c r="N162" s="21" t="n">
        <f aca="false">ROUND(SQRT((F162*J162/100)^2+(G162*M162)^2),0)</f>
        <v>73</v>
      </c>
      <c r="P162" s="41" t="n">
        <v>-13.0938183309912</v>
      </c>
      <c r="Q162" s="42" t="n">
        <v>1287.75919364219</v>
      </c>
      <c r="R162" s="43" t="n">
        <f aca="false">MAX(0,MIN(1,P162/100+$D$5))</f>
        <v>0.39604651526671</v>
      </c>
      <c r="S162" s="43" t="n">
        <v>0.139463116518417</v>
      </c>
      <c r="T162" s="44" t="s">
        <v>128</v>
      </c>
    </row>
    <row r="163" customFormat="false" ht="15" hidden="false" customHeight="false" outlineLevel="0" collapsed="false">
      <c r="A163" s="38" t="s">
        <v>157</v>
      </c>
      <c r="B163" s="38" t="s">
        <v>266</v>
      </c>
      <c r="C163" s="38" t="s">
        <v>267</v>
      </c>
      <c r="D163" s="21" t="n">
        <f aca="false">ROUND(Q163*R163,0)</f>
        <v>181</v>
      </c>
      <c r="E163" s="21" t="n">
        <f aca="false">ROUND(Q163,0)-D163</f>
        <v>406</v>
      </c>
      <c r="F163" s="21" t="n">
        <f aca="false">IF(COUNTA(D163:E163)=0,"",SUM(D163:E163))</f>
        <v>587</v>
      </c>
      <c r="G163" s="39" t="n">
        <f aca="false">IF(OR(F163="",F163=0),"",D163/F163)</f>
        <v>0.308347529812607</v>
      </c>
      <c r="H163" s="39" t="n">
        <f aca="false">IF(OR(F163="",F163=0),"",E163/F163)</f>
        <v>0.691652470187394</v>
      </c>
      <c r="I163" s="38" t="s">
        <v>89</v>
      </c>
      <c r="J163" s="40" t="n">
        <v>3.7041269898902</v>
      </c>
      <c r="K163" s="39" t="n">
        <f aca="false">IF(G163="","",MAX(0,G163-J163/100))</f>
        <v>0.271306259913705</v>
      </c>
      <c r="L163" s="39" t="n">
        <f aca="false">IF(G163="","",MIN(1,G163+J163/100))</f>
        <v>0.345388799711509</v>
      </c>
      <c r="M163" s="21" t="n">
        <f aca="false">ROUND(Q163*S163,0)</f>
        <v>46</v>
      </c>
      <c r="N163" s="21" t="n">
        <f aca="false">ROUND(SQRT((F163*J163/100)^2+(G163*M163)^2),0)</f>
        <v>26</v>
      </c>
      <c r="P163" s="41" t="n">
        <v>-21.8948250703239</v>
      </c>
      <c r="Q163" s="42" t="n">
        <v>587.37298494803</v>
      </c>
      <c r="R163" s="43" t="n">
        <f aca="false">MAX(0,MIN(1,P163/100+$D$5))</f>
        <v>0.308036447873383</v>
      </c>
      <c r="S163" s="43" t="n">
        <v>0.0779420971553049</v>
      </c>
      <c r="T163" s="44" t="s">
        <v>90</v>
      </c>
    </row>
    <row r="164" customFormat="false" ht="15" hidden="false" customHeight="false" outlineLevel="0" collapsed="false">
      <c r="A164" s="38" t="s">
        <v>157</v>
      </c>
      <c r="B164" s="38" t="s">
        <v>266</v>
      </c>
      <c r="C164" s="38" t="s">
        <v>268</v>
      </c>
      <c r="D164" s="21" t="n">
        <f aca="false">ROUND(Q164*R164,0)</f>
        <v>140</v>
      </c>
      <c r="E164" s="21" t="n">
        <f aca="false">ROUND(Q164,0)-D164</f>
        <v>256</v>
      </c>
      <c r="F164" s="21" t="n">
        <f aca="false">IF(COUNTA(D164:E164)=0,"",SUM(D164:E164))</f>
        <v>396</v>
      </c>
      <c r="G164" s="39" t="n">
        <f aca="false">IF(OR(F164="",F164=0),"",D164/F164)</f>
        <v>0.353535353535354</v>
      </c>
      <c r="H164" s="39" t="n">
        <f aca="false">IF(OR(F164="",F164=0),"",E164/F164)</f>
        <v>0.646464646464647</v>
      </c>
      <c r="I164" s="38" t="s">
        <v>89</v>
      </c>
      <c r="J164" s="40" t="n">
        <v>3.7041269898902</v>
      </c>
      <c r="K164" s="39" t="n">
        <f aca="false">IF(G164="","",MAX(0,G164-J164/100))</f>
        <v>0.316494083636452</v>
      </c>
      <c r="L164" s="39" t="n">
        <f aca="false">IF(G164="","",MIN(1,G164+J164/100))</f>
        <v>0.390576623434256</v>
      </c>
      <c r="M164" s="21" t="n">
        <f aca="false">ROUND(Q164*S164,0)</f>
        <v>31</v>
      </c>
      <c r="N164" s="21" t="n">
        <f aca="false">ROUND(SQRT((F164*J164/100)^2+(G164*M164)^2),0)</f>
        <v>18</v>
      </c>
      <c r="P164" s="41" t="n">
        <v>-17.4707551621774</v>
      </c>
      <c r="Q164" s="42" t="n">
        <v>396.194233979449</v>
      </c>
      <c r="R164" s="43" t="n">
        <f aca="false">MAX(0,MIN(1,P164/100+$D$5))</f>
        <v>0.352277146954847</v>
      </c>
      <c r="S164" s="43" t="n">
        <v>0.0779420971553049</v>
      </c>
      <c r="T164" s="44" t="s">
        <v>90</v>
      </c>
    </row>
    <row r="165" customFormat="false" ht="15" hidden="false" customHeight="false" outlineLevel="0" collapsed="false">
      <c r="A165" s="38" t="s">
        <v>157</v>
      </c>
      <c r="B165" s="38" t="s">
        <v>266</v>
      </c>
      <c r="C165" s="38" t="s">
        <v>269</v>
      </c>
      <c r="D165" s="21" t="n">
        <f aca="false">ROUND(Q165*R165,0)</f>
        <v>484</v>
      </c>
      <c r="E165" s="21" t="n">
        <f aca="false">ROUND(Q165,0)-D165</f>
        <v>834</v>
      </c>
      <c r="F165" s="21" t="n">
        <f aca="false">IF(COUNTA(D165:E165)=0,"",SUM(D165:E165))</f>
        <v>1318</v>
      </c>
      <c r="G165" s="39" t="n">
        <f aca="false">IF(OR(F165="",F165=0),"",D165/F165)</f>
        <v>0.367223065250379</v>
      </c>
      <c r="H165" s="39" t="n">
        <f aca="false">IF(OR(F165="",F165=0),"",E165/F165)</f>
        <v>0.632776934749621</v>
      </c>
      <c r="I165" s="38" t="s">
        <v>89</v>
      </c>
      <c r="J165" s="40" t="n">
        <v>1.26135644325249</v>
      </c>
      <c r="K165" s="39" t="n">
        <f aca="false">IF(G165="","",MAX(0,G165-J165/100))</f>
        <v>0.354609500817855</v>
      </c>
      <c r="L165" s="39" t="n">
        <f aca="false">IF(G165="","",MIN(1,G165+J165/100))</f>
        <v>0.379836629682904</v>
      </c>
      <c r="M165" s="21" t="n">
        <f aca="false">ROUND(Q165*S165,0)</f>
        <v>184</v>
      </c>
      <c r="N165" s="21" t="n">
        <f aca="false">ROUND(SQRT((F165*J165/100)^2+(G165*M165)^2),0)</f>
        <v>70</v>
      </c>
      <c r="P165" s="41" t="n">
        <v>-15.9720705337791</v>
      </c>
      <c r="Q165" s="42" t="n">
        <v>1317.97395060315</v>
      </c>
      <c r="R165" s="43" t="n">
        <f aca="false">MAX(0,MIN(1,P165/100+$D$5))</f>
        <v>0.367263993238831</v>
      </c>
      <c r="S165" s="43" t="n">
        <v>0.139463116518417</v>
      </c>
      <c r="T165" s="44" t="s">
        <v>128</v>
      </c>
    </row>
    <row r="166" customFormat="false" ht="15" hidden="false" customHeight="false" outlineLevel="0" collapsed="false">
      <c r="A166" s="38" t="s">
        <v>157</v>
      </c>
      <c r="B166" s="38" t="s">
        <v>270</v>
      </c>
      <c r="C166" s="38" t="s">
        <v>270</v>
      </c>
      <c r="D166" s="21" t="n">
        <f aca="false">ROUND(Q166*R166,0)</f>
        <v>885</v>
      </c>
      <c r="E166" s="21" t="n">
        <f aca="false">ROUND(Q166,0)-D166</f>
        <v>676</v>
      </c>
      <c r="F166" s="21" t="n">
        <f aca="false">IF(COUNTA(D166:E166)=0,"",SUM(D166:E166))</f>
        <v>1561</v>
      </c>
      <c r="G166" s="39" t="n">
        <f aca="false">IF(OR(F166="",F166=0),"",D166/F166)</f>
        <v>0.566944266495836</v>
      </c>
      <c r="H166" s="39" t="n">
        <f aca="false">IF(OR(F166="",F166=0),"",E166/F166)</f>
        <v>0.433055733504164</v>
      </c>
      <c r="I166" s="38" t="s">
        <v>89</v>
      </c>
      <c r="J166" s="40" t="n">
        <v>1.26135644325249</v>
      </c>
      <c r="K166" s="39" t="n">
        <f aca="false">IF(G166="","",MAX(0,G166-J166/100))</f>
        <v>0.554330702063311</v>
      </c>
      <c r="L166" s="39" t="n">
        <f aca="false">IF(G166="","",MIN(1,G166+J166/100))</f>
        <v>0.579557830928361</v>
      </c>
      <c r="M166" s="21" t="n">
        <f aca="false">ROUND(Q166*S166,0)</f>
        <v>218</v>
      </c>
      <c r="N166" s="21" t="n">
        <f aca="false">ROUND(SQRT((F166*J166/100)^2+(G166*M166)^2),0)</f>
        <v>125</v>
      </c>
      <c r="P166" s="41" t="n">
        <v>3.99033216429141</v>
      </c>
      <c r="Q166" s="42" t="n">
        <v>1561.11658378686</v>
      </c>
      <c r="R166" s="43" t="n">
        <f aca="false">MAX(0,MIN(1,P166/100+$D$5))</f>
        <v>0.566888020219536</v>
      </c>
      <c r="S166" s="43" t="n">
        <v>0.139463116518417</v>
      </c>
      <c r="T166" s="44" t="s">
        <v>128</v>
      </c>
    </row>
    <row r="167" customFormat="false" ht="15" hidden="false" customHeight="false" outlineLevel="0" collapsed="false">
      <c r="A167" s="38" t="s">
        <v>157</v>
      </c>
      <c r="B167" s="38" t="s">
        <v>271</v>
      </c>
      <c r="C167" s="38" t="s">
        <v>272</v>
      </c>
      <c r="D167" s="21" t="n">
        <f aca="false">ROUND(Q167*R167,0)</f>
        <v>935</v>
      </c>
      <c r="E167" s="21" t="n">
        <f aca="false">ROUND(Q167,0)-D167</f>
        <v>1041</v>
      </c>
      <c r="F167" s="21" t="n">
        <f aca="false">IF(COUNTA(D167:E167)=0,"",SUM(D167:E167))</f>
        <v>1976</v>
      </c>
      <c r="G167" s="39" t="n">
        <f aca="false">IF(OR(F167="",F167=0),"",D167/F167)</f>
        <v>0.473178137651822</v>
      </c>
      <c r="H167" s="39" t="n">
        <f aca="false">IF(OR(F167="",F167=0),"",E167/F167)</f>
        <v>0.526821862348178</v>
      </c>
      <c r="I167" s="38" t="s">
        <v>89</v>
      </c>
      <c r="J167" s="40" t="n">
        <v>1.26135644325249</v>
      </c>
      <c r="K167" s="39" t="n">
        <f aca="false">IF(G167="","",MAX(0,G167-J167/100))</f>
        <v>0.460564573219297</v>
      </c>
      <c r="L167" s="39" t="n">
        <f aca="false">IF(G167="","",MIN(1,G167+J167/100))</f>
        <v>0.485791702084347</v>
      </c>
      <c r="M167" s="21" t="n">
        <f aca="false">ROUND(Q167*S167,0)</f>
        <v>276</v>
      </c>
      <c r="N167" s="21" t="n">
        <f aca="false">ROUND(SQRT((F167*J167/100)^2+(G167*M167)^2),0)</f>
        <v>133</v>
      </c>
      <c r="P167" s="41" t="n">
        <v>-5.40496731756267</v>
      </c>
      <c r="Q167" s="42" t="n">
        <v>1976.26254167602</v>
      </c>
      <c r="R167" s="43" t="n">
        <f aca="false">MAX(0,MIN(1,P167/100+$D$5))</f>
        <v>0.472935025400995</v>
      </c>
      <c r="S167" s="43" t="n">
        <v>0.139463116518417</v>
      </c>
      <c r="T167" s="44" t="s">
        <v>128</v>
      </c>
    </row>
    <row r="168" customFormat="false" ht="15" hidden="false" customHeight="false" outlineLevel="0" collapsed="false">
      <c r="A168" s="38" t="s">
        <v>157</v>
      </c>
      <c r="B168" s="38" t="s">
        <v>271</v>
      </c>
      <c r="C168" s="38" t="s">
        <v>273</v>
      </c>
      <c r="D168" s="21" t="n">
        <f aca="false">ROUND(Q168*R168,0)</f>
        <v>763</v>
      </c>
      <c r="E168" s="21" t="n">
        <f aca="false">ROUND(Q168,0)-D168</f>
        <v>995</v>
      </c>
      <c r="F168" s="21" t="n">
        <f aca="false">IF(COUNTA(D168:E168)=0,"",SUM(D168:E168))</f>
        <v>1758</v>
      </c>
      <c r="G168" s="39" t="n">
        <f aca="false">IF(OR(F168="",F168=0),"",D168/F168)</f>
        <v>0.434015927189989</v>
      </c>
      <c r="H168" s="39" t="n">
        <f aca="false">IF(OR(F168="",F168=0),"",E168/F168)</f>
        <v>0.565984072810011</v>
      </c>
      <c r="I168" s="38" t="s">
        <v>89</v>
      </c>
      <c r="J168" s="40" t="n">
        <v>1.26135644325249</v>
      </c>
      <c r="K168" s="39" t="n">
        <f aca="false">IF(G168="","",MAX(0,G168-J168/100))</f>
        <v>0.421402362757464</v>
      </c>
      <c r="L168" s="39" t="n">
        <f aca="false">IF(G168="","",MIN(1,G168+J168/100))</f>
        <v>0.446629491622514</v>
      </c>
      <c r="M168" s="21" t="n">
        <f aca="false">ROUND(Q168*S168,0)</f>
        <v>245</v>
      </c>
      <c r="N168" s="21" t="n">
        <f aca="false">ROUND(SQRT((F168*J168/100)^2+(G168*M168)^2),0)</f>
        <v>109</v>
      </c>
      <c r="P168" s="41" t="n">
        <v>-9.2853380946267</v>
      </c>
      <c r="Q168" s="42" t="n">
        <v>1757.95593865009</v>
      </c>
      <c r="R168" s="43" t="n">
        <f aca="false">MAX(0,MIN(1,P168/100+$D$5))</f>
        <v>0.434131317630355</v>
      </c>
      <c r="S168" s="43" t="n">
        <v>0.139463116518417</v>
      </c>
      <c r="T168" s="44" t="s">
        <v>128</v>
      </c>
    </row>
    <row r="169" customFormat="false" ht="15" hidden="false" customHeight="false" outlineLevel="0" collapsed="false">
      <c r="A169" s="38" t="s">
        <v>157</v>
      </c>
      <c r="B169" s="38" t="s">
        <v>271</v>
      </c>
      <c r="C169" s="38" t="s">
        <v>274</v>
      </c>
      <c r="D169" s="21" t="n">
        <f aca="false">ROUND(Q169*R169,0)</f>
        <v>409</v>
      </c>
      <c r="E169" s="21" t="n">
        <f aca="false">ROUND(Q169,0)-D169</f>
        <v>537</v>
      </c>
      <c r="F169" s="21" t="n">
        <f aca="false">IF(COUNTA(D169:E169)=0,"",SUM(D169:E169))</f>
        <v>946</v>
      </c>
      <c r="G169" s="39" t="n">
        <f aca="false">IF(OR(F169="",F169=0),"",D169/F169)</f>
        <v>0.432346723044398</v>
      </c>
      <c r="H169" s="39" t="n">
        <f aca="false">IF(OR(F169="",F169=0),"",E169/F169)</f>
        <v>0.567653276955603</v>
      </c>
      <c r="I169" s="38" t="s">
        <v>89</v>
      </c>
      <c r="J169" s="40" t="n">
        <v>2.12060277043418</v>
      </c>
      <c r="K169" s="39" t="n">
        <f aca="false">IF(G169="","",MAX(0,G169-J169/100))</f>
        <v>0.411140695340056</v>
      </c>
      <c r="L169" s="39" t="n">
        <f aca="false">IF(G169="","",MIN(1,G169+J169/100))</f>
        <v>0.453552750748739</v>
      </c>
      <c r="M169" s="21" t="n">
        <f aca="false">ROUND(Q169*S169,0)</f>
        <v>60</v>
      </c>
      <c r="N169" s="21" t="n">
        <f aca="false">ROUND(SQRT((F169*J169/100)^2+(G169*M169)^2),0)</f>
        <v>33</v>
      </c>
      <c r="P169" s="41" t="n">
        <v>-9.44481675716803</v>
      </c>
      <c r="Q169" s="42" t="n">
        <v>945.603992930653</v>
      </c>
      <c r="R169" s="43" t="n">
        <f aca="false">MAX(0,MIN(1,P169/100+$D$5))</f>
        <v>0.432536531004941</v>
      </c>
      <c r="S169" s="43" t="n">
        <v>0.0633793435818552</v>
      </c>
      <c r="T169" s="44" t="s">
        <v>99</v>
      </c>
    </row>
    <row r="170" customFormat="false" ht="15" hidden="false" customHeight="false" outlineLevel="0" collapsed="false">
      <c r="A170" s="38" t="s">
        <v>157</v>
      </c>
      <c r="B170" s="38" t="s">
        <v>271</v>
      </c>
      <c r="C170" s="38" t="s">
        <v>275</v>
      </c>
      <c r="D170" s="21" t="n">
        <f aca="false">ROUND(Q170*R170,0)</f>
        <v>614</v>
      </c>
      <c r="E170" s="21" t="n">
        <f aca="false">ROUND(Q170,0)-D170</f>
        <v>770</v>
      </c>
      <c r="F170" s="21" t="n">
        <f aca="false">IF(COUNTA(D170:E170)=0,"",SUM(D170:E170))</f>
        <v>1384</v>
      </c>
      <c r="G170" s="39" t="n">
        <f aca="false">IF(OR(F170="",F170=0),"",D170/F170)</f>
        <v>0.44364161849711</v>
      </c>
      <c r="H170" s="39" t="n">
        <f aca="false">IF(OR(F170="",F170=0),"",E170/F170)</f>
        <v>0.55635838150289</v>
      </c>
      <c r="I170" s="38" t="s">
        <v>89</v>
      </c>
      <c r="J170" s="40" t="n">
        <v>1.26135644325249</v>
      </c>
      <c r="K170" s="39" t="n">
        <f aca="false">IF(G170="","",MAX(0,G170-J170/100))</f>
        <v>0.431028054064585</v>
      </c>
      <c r="L170" s="39" t="n">
        <f aca="false">IF(G170="","",MIN(1,G170+J170/100))</f>
        <v>0.456255182929635</v>
      </c>
      <c r="M170" s="21" t="n">
        <f aca="false">ROUND(Q170*S170,0)</f>
        <v>193</v>
      </c>
      <c r="N170" s="21" t="n">
        <f aca="false">ROUND(SQRT((F170*J170/100)^2+(G170*M170)^2),0)</f>
        <v>87</v>
      </c>
      <c r="P170" s="41" t="n">
        <v>-8.31142085452264</v>
      </c>
      <c r="Q170" s="42" t="n">
        <v>1384.03758381723</v>
      </c>
      <c r="R170" s="43" t="n">
        <f aca="false">MAX(0,MIN(1,P170/100+$D$5))</f>
        <v>0.443870490031395</v>
      </c>
      <c r="S170" s="43" t="n">
        <v>0.139463116518417</v>
      </c>
      <c r="T170" s="44" t="s">
        <v>128</v>
      </c>
    </row>
    <row r="171" customFormat="false" ht="15" hidden="false" customHeight="false" outlineLevel="0" collapsed="false">
      <c r="A171" s="38" t="s">
        <v>157</v>
      </c>
      <c r="B171" s="38" t="s">
        <v>271</v>
      </c>
      <c r="C171" s="38" t="s">
        <v>276</v>
      </c>
      <c r="D171" s="21" t="n">
        <f aca="false">ROUND(Q171*R171,0)</f>
        <v>522</v>
      </c>
      <c r="E171" s="21" t="n">
        <f aca="false">ROUND(Q171,0)-D171</f>
        <v>716</v>
      </c>
      <c r="F171" s="21" t="n">
        <f aca="false">IF(COUNTA(D171:E171)=0,"",SUM(D171:E171))</f>
        <v>1238</v>
      </c>
      <c r="G171" s="39" t="n">
        <f aca="false">IF(OR(F171="",F171=0),"",D171/F171)</f>
        <v>0.421647819063005</v>
      </c>
      <c r="H171" s="39" t="n">
        <f aca="false">IF(OR(F171="",F171=0),"",E171/F171)</f>
        <v>0.578352180936995</v>
      </c>
      <c r="I171" s="38" t="s">
        <v>89</v>
      </c>
      <c r="J171" s="40" t="n">
        <v>1.26135644325249</v>
      </c>
      <c r="K171" s="39" t="n">
        <f aca="false">IF(G171="","",MAX(0,G171-J171/100))</f>
        <v>0.40903425463048</v>
      </c>
      <c r="L171" s="39" t="n">
        <f aca="false">IF(G171="","",MIN(1,G171+J171/100))</f>
        <v>0.43426138349553</v>
      </c>
      <c r="M171" s="21" t="n">
        <f aca="false">ROUND(Q171*S171,0)</f>
        <v>173</v>
      </c>
      <c r="N171" s="21" t="n">
        <f aca="false">ROUND(SQRT((F171*J171/100)^2+(G171*M171)^2),0)</f>
        <v>75</v>
      </c>
      <c r="P171" s="41" t="n">
        <v>-10.5114723323289</v>
      </c>
      <c r="Q171" s="42" t="n">
        <v>1237.56921693002</v>
      </c>
      <c r="R171" s="43" t="n">
        <f aca="false">MAX(0,MIN(1,P171/100+$D$5))</f>
        <v>0.421869975253333</v>
      </c>
      <c r="S171" s="43" t="n">
        <v>0.139463116518417</v>
      </c>
      <c r="T171" s="44" t="s">
        <v>128</v>
      </c>
    </row>
    <row r="172" customFormat="false" ht="15" hidden="false" customHeight="false" outlineLevel="0" collapsed="false">
      <c r="A172" s="38" t="s">
        <v>157</v>
      </c>
      <c r="B172" s="38" t="s">
        <v>271</v>
      </c>
      <c r="C172" s="38" t="s">
        <v>277</v>
      </c>
      <c r="D172" s="21" t="n">
        <f aca="false">ROUND(Q172*R172,0)</f>
        <v>451</v>
      </c>
      <c r="E172" s="21" t="n">
        <f aca="false">ROUND(Q172,0)-D172</f>
        <v>504</v>
      </c>
      <c r="F172" s="21" t="n">
        <f aca="false">IF(COUNTA(D172:E172)=0,"",SUM(D172:E172))</f>
        <v>955</v>
      </c>
      <c r="G172" s="39" t="n">
        <f aca="false">IF(OR(F172="",F172=0),"",D172/F172)</f>
        <v>0.472251308900524</v>
      </c>
      <c r="H172" s="39" t="n">
        <f aca="false">IF(OR(F172="",F172=0),"",E172/F172)</f>
        <v>0.527748691099476</v>
      </c>
      <c r="I172" s="38" t="s">
        <v>89</v>
      </c>
      <c r="J172" s="40" t="n">
        <v>2.12060277043418</v>
      </c>
      <c r="K172" s="39" t="n">
        <f aca="false">IF(G172="","",MAX(0,G172-J172/100))</f>
        <v>0.451045281196182</v>
      </c>
      <c r="L172" s="39" t="n">
        <f aca="false">IF(G172="","",MIN(1,G172+J172/100))</f>
        <v>0.493457336604865</v>
      </c>
      <c r="M172" s="21" t="n">
        <f aca="false">ROUND(Q172*S172,0)</f>
        <v>61</v>
      </c>
      <c r="N172" s="21" t="n">
        <f aca="false">ROUND(SQRT((F172*J172/100)^2+(G172*M172)^2),0)</f>
        <v>35</v>
      </c>
      <c r="P172" s="41" t="n">
        <v>-5.44643244666057</v>
      </c>
      <c r="Q172" s="42" t="n">
        <v>955.252429684764</v>
      </c>
      <c r="R172" s="43" t="n">
        <f aca="false">MAX(0,MIN(1,P172/100+$D$5))</f>
        <v>0.472520374110016</v>
      </c>
      <c r="S172" s="43" t="n">
        <v>0.0633793435818552</v>
      </c>
      <c r="T172" s="44" t="s">
        <v>99</v>
      </c>
    </row>
    <row r="173" customFormat="false" ht="15" hidden="false" customHeight="false" outlineLevel="0" collapsed="false">
      <c r="A173" s="38" t="s">
        <v>157</v>
      </c>
      <c r="B173" s="38" t="s">
        <v>278</v>
      </c>
      <c r="C173" s="38" t="s">
        <v>279</v>
      </c>
      <c r="D173" s="21" t="n">
        <f aca="false">ROUND(Q173*R173,0)</f>
        <v>571</v>
      </c>
      <c r="E173" s="21" t="n">
        <f aca="false">ROUND(Q173,0)-D173</f>
        <v>479</v>
      </c>
      <c r="F173" s="21" t="n">
        <f aca="false">IF(COUNTA(D173:E173)=0,"",SUM(D173:E173))</f>
        <v>1050</v>
      </c>
      <c r="G173" s="39" t="n">
        <f aca="false">IF(OR(F173="",F173=0),"",D173/F173)</f>
        <v>0.543809523809524</v>
      </c>
      <c r="H173" s="39" t="n">
        <f aca="false">IF(OR(F173="",F173=0),"",E173/F173)</f>
        <v>0.456190476190476</v>
      </c>
      <c r="I173" s="38" t="s">
        <v>89</v>
      </c>
      <c r="J173" s="40" t="n">
        <v>2.12060277043418</v>
      </c>
      <c r="K173" s="39" t="n">
        <f aca="false">IF(G173="","",MAX(0,G173-J173/100))</f>
        <v>0.522603496105182</v>
      </c>
      <c r="L173" s="39" t="n">
        <f aca="false">IF(G173="","",MIN(1,G173+J173/100))</f>
        <v>0.565015551513866</v>
      </c>
      <c r="M173" s="21" t="n">
        <f aca="false">ROUND(Q173*S173,0)</f>
        <v>67</v>
      </c>
      <c r="N173" s="21" t="n">
        <f aca="false">ROUND(SQRT((F173*J173/100)^2+(G173*M173)^2),0)</f>
        <v>43</v>
      </c>
      <c r="P173" s="41" t="n">
        <v>1.62814915491768</v>
      </c>
      <c r="Q173" s="42" t="n">
        <v>1050.28036485538</v>
      </c>
      <c r="R173" s="43" t="n">
        <f aca="false">MAX(0,MIN(1,P173/100+$D$5))</f>
        <v>0.543266190125799</v>
      </c>
      <c r="S173" s="43" t="n">
        <v>0.0633793435818552</v>
      </c>
      <c r="T173" s="44" t="s">
        <v>99</v>
      </c>
    </row>
    <row r="174" customFormat="false" ht="15" hidden="false" customHeight="false" outlineLevel="0" collapsed="false">
      <c r="A174" s="38" t="s">
        <v>157</v>
      </c>
      <c r="B174" s="38" t="s">
        <v>278</v>
      </c>
      <c r="C174" s="38" t="s">
        <v>280</v>
      </c>
      <c r="D174" s="21" t="n">
        <f aca="false">ROUND(Q174*R174,0)</f>
        <v>701</v>
      </c>
      <c r="E174" s="21" t="n">
        <f aca="false">ROUND(Q174,0)-D174</f>
        <v>570</v>
      </c>
      <c r="F174" s="21" t="n">
        <f aca="false">IF(COUNTA(D174:E174)=0,"",SUM(D174:E174))</f>
        <v>1271</v>
      </c>
      <c r="G174" s="39" t="n">
        <f aca="false">IF(OR(F174="",F174=0),"",D174/F174)</f>
        <v>0.55153422501967</v>
      </c>
      <c r="H174" s="39" t="n">
        <f aca="false">IF(OR(F174="",F174=0),"",E174/F174)</f>
        <v>0.44846577498033</v>
      </c>
      <c r="I174" s="38" t="s">
        <v>89</v>
      </c>
      <c r="J174" s="40" t="n">
        <v>1.26135644325249</v>
      </c>
      <c r="K174" s="39" t="n">
        <f aca="false">IF(G174="","",MAX(0,G174-J174/100))</f>
        <v>0.538920660587145</v>
      </c>
      <c r="L174" s="39" t="n">
        <f aca="false">IF(G174="","",MIN(1,G174+J174/100))</f>
        <v>0.564147789452194</v>
      </c>
      <c r="M174" s="21" t="n">
        <f aca="false">ROUND(Q174*S174,0)</f>
        <v>177</v>
      </c>
      <c r="N174" s="21" t="n">
        <f aca="false">ROUND(SQRT((F174*J174/100)^2+(G174*M174)^2),0)</f>
        <v>99</v>
      </c>
      <c r="P174" s="41" t="n">
        <v>2.45789956206802</v>
      </c>
      <c r="Q174" s="42" t="n">
        <v>1271.09848685595</v>
      </c>
      <c r="R174" s="43" t="n">
        <f aca="false">MAX(0,MIN(1,P174/100+$D$5))</f>
        <v>0.551563694197302</v>
      </c>
      <c r="S174" s="43" t="n">
        <v>0.139463116518417</v>
      </c>
      <c r="T174" s="44" t="s">
        <v>128</v>
      </c>
    </row>
    <row r="175" customFormat="false" ht="15" hidden="false" customHeight="false" outlineLevel="0" collapsed="false">
      <c r="A175" s="38" t="s">
        <v>157</v>
      </c>
      <c r="B175" s="38" t="s">
        <v>278</v>
      </c>
      <c r="C175" s="38" t="s">
        <v>281</v>
      </c>
      <c r="D175" s="21" t="n">
        <f aca="false">ROUND(Q175*R175,0)</f>
        <v>318</v>
      </c>
      <c r="E175" s="21" t="n">
        <f aca="false">ROUND(Q175,0)-D175</f>
        <v>267</v>
      </c>
      <c r="F175" s="21" t="n">
        <f aca="false">IF(COUNTA(D175:E175)=0,"",SUM(D175:E175))</f>
        <v>585</v>
      </c>
      <c r="G175" s="39" t="n">
        <f aca="false">IF(OR(F175="",F175=0),"",D175/F175)</f>
        <v>0.543589743589744</v>
      </c>
      <c r="H175" s="39" t="n">
        <f aca="false">IF(OR(F175="",F175=0),"",E175/F175)</f>
        <v>0.456410256410256</v>
      </c>
      <c r="I175" s="38" t="s">
        <v>89</v>
      </c>
      <c r="J175" s="40" t="n">
        <v>3.7041269898902</v>
      </c>
      <c r="K175" s="39" t="n">
        <f aca="false">IF(G175="","",MAX(0,G175-J175/100))</f>
        <v>0.506548473690842</v>
      </c>
      <c r="L175" s="39" t="n">
        <f aca="false">IF(G175="","",MIN(1,G175+J175/100))</f>
        <v>0.580631013488646</v>
      </c>
      <c r="M175" s="21" t="n">
        <f aca="false">ROUND(Q175*S175,0)</f>
        <v>46</v>
      </c>
      <c r="N175" s="21" t="n">
        <f aca="false">ROUND(SQRT((F175*J175/100)^2+(G175*M175)^2),0)</f>
        <v>33</v>
      </c>
      <c r="P175" s="41" t="n">
        <v>1.62536100661203</v>
      </c>
      <c r="Q175" s="42" t="n">
        <v>585.191240534949</v>
      </c>
      <c r="R175" s="43" t="n">
        <f aca="false">MAX(0,MIN(1,P175/100+$D$5))</f>
        <v>0.543238308642742</v>
      </c>
      <c r="S175" s="43" t="n">
        <v>0.0779420971553049</v>
      </c>
      <c r="T175" s="44" t="s">
        <v>90</v>
      </c>
    </row>
    <row r="176" customFormat="false" ht="15" hidden="false" customHeight="false" outlineLevel="0" collapsed="false">
      <c r="A176" s="38" t="s">
        <v>157</v>
      </c>
      <c r="B176" s="38" t="s">
        <v>278</v>
      </c>
      <c r="C176" s="38" t="s">
        <v>282</v>
      </c>
      <c r="D176" s="21" t="n">
        <f aca="false">ROUND(Q176*R176,0)</f>
        <v>364</v>
      </c>
      <c r="E176" s="21" t="n">
        <f aca="false">ROUND(Q176,0)-D176</f>
        <v>297</v>
      </c>
      <c r="F176" s="21" t="n">
        <f aca="false">IF(COUNTA(D176:E176)=0,"",SUM(D176:E176))</f>
        <v>661</v>
      </c>
      <c r="G176" s="39" t="n">
        <f aca="false">IF(OR(F176="",F176=0),"",D176/F176)</f>
        <v>0.550680786686838</v>
      </c>
      <c r="H176" s="39" t="n">
        <f aca="false">IF(OR(F176="",F176=0),"",E176/F176)</f>
        <v>0.449319213313162</v>
      </c>
      <c r="I176" s="38" t="s">
        <v>89</v>
      </c>
      <c r="J176" s="40" t="n">
        <v>3.7041269898902</v>
      </c>
      <c r="K176" s="39" t="n">
        <f aca="false">IF(G176="","",MAX(0,G176-J176/100))</f>
        <v>0.513639516787936</v>
      </c>
      <c r="L176" s="39" t="n">
        <f aca="false">IF(G176="","",MIN(1,G176+J176/100))</f>
        <v>0.58772205658574</v>
      </c>
      <c r="M176" s="21" t="n">
        <f aca="false">ROUND(Q176*S176,0)</f>
        <v>52</v>
      </c>
      <c r="N176" s="21" t="n">
        <f aca="false">ROUND(SQRT((F176*J176/100)^2+(G176*M176)^2),0)</f>
        <v>38</v>
      </c>
      <c r="P176" s="41" t="n">
        <v>2.41282210585775</v>
      </c>
      <c r="Q176" s="42" t="n">
        <v>660.876403643645</v>
      </c>
      <c r="R176" s="43" t="n">
        <f aca="false">MAX(0,MIN(1,P176/100+$D$5))</f>
        <v>0.551112919635199</v>
      </c>
      <c r="S176" s="43" t="n">
        <v>0.0779420971553049</v>
      </c>
      <c r="T176" s="44" t="s">
        <v>90</v>
      </c>
    </row>
    <row r="177" customFormat="false" ht="15" hidden="false" customHeight="false" outlineLevel="0" collapsed="false">
      <c r="A177" s="38" t="s">
        <v>157</v>
      </c>
      <c r="B177" s="38" t="s">
        <v>278</v>
      </c>
      <c r="C177" s="38" t="s">
        <v>283</v>
      </c>
      <c r="D177" s="21" t="n">
        <f aca="false">ROUND(Q177*R177,0)</f>
        <v>482</v>
      </c>
      <c r="E177" s="21" t="n">
        <f aca="false">ROUND(Q177,0)-D177</f>
        <v>421</v>
      </c>
      <c r="F177" s="21" t="n">
        <f aca="false">IF(COUNTA(D177:E177)=0,"",SUM(D177:E177))</f>
        <v>903</v>
      </c>
      <c r="G177" s="39" t="n">
        <f aca="false">IF(OR(F177="",F177=0),"",D177/F177)</f>
        <v>0.533776301218162</v>
      </c>
      <c r="H177" s="39" t="n">
        <f aca="false">IF(OR(F177="",F177=0),"",E177/F177)</f>
        <v>0.466223698781838</v>
      </c>
      <c r="I177" s="38" t="s">
        <v>89</v>
      </c>
      <c r="J177" s="40" t="n">
        <v>2.12060277043418</v>
      </c>
      <c r="K177" s="39" t="n">
        <f aca="false">IF(G177="","",MAX(0,G177-J177/100))</f>
        <v>0.51257027351382</v>
      </c>
      <c r="L177" s="39" t="n">
        <f aca="false">IF(G177="","",MIN(1,G177+J177/100))</f>
        <v>0.554982328922503</v>
      </c>
      <c r="M177" s="21" t="n">
        <f aca="false">ROUND(Q177*S177,0)</f>
        <v>57</v>
      </c>
      <c r="N177" s="21" t="n">
        <f aca="false">ROUND(SQRT((F177*J177/100)^2+(G177*M177)^2),0)</f>
        <v>36</v>
      </c>
      <c r="P177" s="41" t="n">
        <v>0.710711163500025</v>
      </c>
      <c r="Q177" s="42" t="n">
        <v>902.936688694811</v>
      </c>
      <c r="R177" s="43" t="n">
        <f aca="false">MAX(0,MIN(1,P177/100+$D$5))</f>
        <v>0.534091810211622</v>
      </c>
      <c r="S177" s="43" t="n">
        <v>0.0633793435818552</v>
      </c>
      <c r="T177" s="44" t="s">
        <v>99</v>
      </c>
    </row>
    <row r="178" customFormat="false" ht="15" hidden="false" customHeight="false" outlineLevel="0" collapsed="false">
      <c r="A178" s="38" t="s">
        <v>157</v>
      </c>
      <c r="B178" s="38" t="s">
        <v>278</v>
      </c>
      <c r="C178" s="38" t="s">
        <v>284</v>
      </c>
      <c r="D178" s="21" t="n">
        <f aca="false">ROUND(Q178*R178,0)</f>
        <v>308</v>
      </c>
      <c r="E178" s="21" t="n">
        <f aca="false">ROUND(Q178,0)-D178</f>
        <v>279</v>
      </c>
      <c r="F178" s="21" t="n">
        <f aca="false">IF(COUNTA(D178:E178)=0,"",SUM(D178:E178))</f>
        <v>587</v>
      </c>
      <c r="G178" s="39" t="n">
        <f aca="false">IF(OR(F178="",F178=0),"",D178/F178)</f>
        <v>0.524701873935264</v>
      </c>
      <c r="H178" s="39" t="n">
        <f aca="false">IF(OR(F178="",F178=0),"",E178/F178)</f>
        <v>0.475298126064736</v>
      </c>
      <c r="I178" s="38" t="s">
        <v>89</v>
      </c>
      <c r="J178" s="40" t="n">
        <v>3.7041269898902</v>
      </c>
      <c r="K178" s="39" t="n">
        <f aca="false">IF(G178="","",MAX(0,G178-J178/100))</f>
        <v>0.487660604036362</v>
      </c>
      <c r="L178" s="39" t="n">
        <f aca="false">IF(G178="","",MIN(1,G178+J178/100))</f>
        <v>0.561743143834166</v>
      </c>
      <c r="M178" s="21" t="n">
        <f aca="false">ROUND(Q178*S178,0)</f>
        <v>46</v>
      </c>
      <c r="N178" s="21" t="n">
        <f aca="false">ROUND(SQRT((F178*J178/100)^2+(G178*M178)^2),0)</f>
        <v>32</v>
      </c>
      <c r="P178" s="41" t="n">
        <v>-0.150491016795949</v>
      </c>
      <c r="Q178" s="42" t="n">
        <v>586.845346538622</v>
      </c>
      <c r="R178" s="43" t="n">
        <f aca="false">MAX(0,MIN(1,P178/100+$D$5))</f>
        <v>0.525479788408662</v>
      </c>
      <c r="S178" s="43" t="n">
        <v>0.0779420971553049</v>
      </c>
      <c r="T178" s="44" t="s">
        <v>90</v>
      </c>
    </row>
    <row r="179" customFormat="false" ht="15" hidden="false" customHeight="false" outlineLevel="0" collapsed="false">
      <c r="A179" s="38" t="s">
        <v>157</v>
      </c>
      <c r="B179" s="38" t="s">
        <v>278</v>
      </c>
      <c r="C179" s="38" t="s">
        <v>285</v>
      </c>
      <c r="D179" s="21" t="n">
        <f aca="false">ROUND(Q179*R179,0)</f>
        <v>384</v>
      </c>
      <c r="E179" s="21" t="n">
        <f aca="false">ROUND(Q179,0)-D179</f>
        <v>292</v>
      </c>
      <c r="F179" s="21" t="n">
        <f aca="false">IF(COUNTA(D179:E179)=0,"",SUM(D179:E179))</f>
        <v>676</v>
      </c>
      <c r="G179" s="39" t="n">
        <f aca="false">IF(OR(F179="",F179=0),"",D179/F179)</f>
        <v>0.568047337278107</v>
      </c>
      <c r="H179" s="39" t="n">
        <f aca="false">IF(OR(F179="",F179=0),"",E179/F179)</f>
        <v>0.431952662721894</v>
      </c>
      <c r="I179" s="38" t="s">
        <v>89</v>
      </c>
      <c r="J179" s="40" t="n">
        <v>3.7041269898902</v>
      </c>
      <c r="K179" s="39" t="n">
        <f aca="false">IF(G179="","",MAX(0,G179-J179/100))</f>
        <v>0.531006067379205</v>
      </c>
      <c r="L179" s="39" t="n">
        <f aca="false">IF(G179="","",MIN(1,G179+J179/100))</f>
        <v>0.605088607177009</v>
      </c>
      <c r="M179" s="21" t="n">
        <f aca="false">ROUND(Q179*S179,0)</f>
        <v>53</v>
      </c>
      <c r="N179" s="21" t="n">
        <f aca="false">ROUND(SQRT((F179*J179/100)^2+(G179*M179)^2),0)</f>
        <v>39</v>
      </c>
      <c r="P179" s="41" t="n">
        <v>4.12146330089955</v>
      </c>
      <c r="Q179" s="42" t="n">
        <v>675.975716130389</v>
      </c>
      <c r="R179" s="43" t="n">
        <f aca="false">MAX(0,MIN(1,P179/100+$D$5))</f>
        <v>0.568199331585617</v>
      </c>
      <c r="S179" s="43" t="n">
        <v>0.0779420971553049</v>
      </c>
      <c r="T179" s="44" t="s">
        <v>90</v>
      </c>
    </row>
    <row r="180" customFormat="false" ht="15" hidden="false" customHeight="false" outlineLevel="0" collapsed="false">
      <c r="A180" s="38" t="s">
        <v>157</v>
      </c>
      <c r="B180" s="38" t="s">
        <v>278</v>
      </c>
      <c r="C180" s="38" t="s">
        <v>286</v>
      </c>
      <c r="D180" s="21" t="n">
        <f aca="false">ROUND(Q180*R180,0)</f>
        <v>523</v>
      </c>
      <c r="E180" s="21" t="n">
        <f aca="false">ROUND(Q180,0)-D180</f>
        <v>438</v>
      </c>
      <c r="F180" s="21" t="n">
        <f aca="false">IF(COUNTA(D180:E180)=0,"",SUM(D180:E180))</f>
        <v>961</v>
      </c>
      <c r="G180" s="39" t="n">
        <f aca="false">IF(OR(F180="",F180=0),"",D180/F180)</f>
        <v>0.544224765868887</v>
      </c>
      <c r="H180" s="39" t="n">
        <f aca="false">IF(OR(F180="",F180=0),"",E180/F180)</f>
        <v>0.455775234131113</v>
      </c>
      <c r="I180" s="38" t="s">
        <v>89</v>
      </c>
      <c r="J180" s="40" t="n">
        <v>2.12060277043418</v>
      </c>
      <c r="K180" s="39" t="n">
        <f aca="false">IF(G180="","",MAX(0,G180-J180/100))</f>
        <v>0.523018738164545</v>
      </c>
      <c r="L180" s="39" t="n">
        <f aca="false">IF(G180="","",MIN(1,G180+J180/100))</f>
        <v>0.565430793573228</v>
      </c>
      <c r="M180" s="21" t="n">
        <f aca="false">ROUND(Q180*S180,0)</f>
        <v>61</v>
      </c>
      <c r="N180" s="21" t="n">
        <f aca="false">ROUND(SQRT((F180*J180/100)^2+(G180*M180)^2),0)</f>
        <v>39</v>
      </c>
      <c r="P180" s="41" t="n">
        <v>1.73428009504041</v>
      </c>
      <c r="Q180" s="42" t="n">
        <v>961.097542893635</v>
      </c>
      <c r="R180" s="43" t="n">
        <f aca="false">MAX(0,MIN(1,P180/100+$D$5))</f>
        <v>0.544327499527026</v>
      </c>
      <c r="S180" s="43" t="n">
        <v>0.0633793435818552</v>
      </c>
      <c r="T180" s="44" t="s">
        <v>99</v>
      </c>
    </row>
    <row r="181" customFormat="false" ht="15" hidden="false" customHeight="false" outlineLevel="0" collapsed="false">
      <c r="A181" s="38" t="s">
        <v>157</v>
      </c>
      <c r="B181" s="38" t="s">
        <v>287</v>
      </c>
      <c r="C181" s="38" t="s">
        <v>288</v>
      </c>
      <c r="D181" s="21" t="n">
        <f aca="false">ROUND(Q181*R181,0)</f>
        <v>194</v>
      </c>
      <c r="E181" s="21" t="n">
        <f aca="false">ROUND(Q181,0)-D181</f>
        <v>208</v>
      </c>
      <c r="F181" s="21" t="n">
        <f aca="false">IF(COUNTA(D181:E181)=0,"",SUM(D181:E181))</f>
        <v>402</v>
      </c>
      <c r="G181" s="39" t="n">
        <f aca="false">IF(OR(F181="",F181=0),"",D181/F181)</f>
        <v>0.482587064676617</v>
      </c>
      <c r="H181" s="39" t="n">
        <f aca="false">IF(OR(F181="",F181=0),"",E181/F181)</f>
        <v>0.517412935323383</v>
      </c>
      <c r="I181" s="38" t="s">
        <v>89</v>
      </c>
      <c r="J181" s="40" t="n">
        <v>3.7041269898902</v>
      </c>
      <c r="K181" s="39" t="n">
        <f aca="false">IF(G181="","",MAX(0,G181-J181/100))</f>
        <v>0.445545794777715</v>
      </c>
      <c r="L181" s="39" t="n">
        <f aca="false">IF(G181="","",MIN(1,G181+J181/100))</f>
        <v>0.519628334575519</v>
      </c>
      <c r="M181" s="21" t="n">
        <f aca="false">ROUND(Q181*S181,0)</f>
        <v>31</v>
      </c>
      <c r="N181" s="21" t="n">
        <f aca="false">ROUND(SQRT((F181*J181/100)^2+(G181*M181)^2),0)</f>
        <v>21</v>
      </c>
      <c r="P181" s="41" t="n">
        <v>-4.46769637360979</v>
      </c>
      <c r="Q181" s="42" t="n">
        <v>402.36569714865</v>
      </c>
      <c r="R181" s="43" t="n">
        <f aca="false">MAX(0,MIN(1,P181/100+$D$5))</f>
        <v>0.482307734840524</v>
      </c>
      <c r="S181" s="43" t="n">
        <v>0.0779420971553049</v>
      </c>
      <c r="T181" s="44" t="s">
        <v>90</v>
      </c>
    </row>
    <row r="182" customFormat="false" ht="15" hidden="false" customHeight="false" outlineLevel="0" collapsed="false">
      <c r="A182" s="38" t="s">
        <v>157</v>
      </c>
      <c r="B182" s="38" t="s">
        <v>287</v>
      </c>
      <c r="C182" s="38" t="s">
        <v>289</v>
      </c>
      <c r="D182" s="21" t="n">
        <f aca="false">ROUND(Q182*R182,0)</f>
        <v>152</v>
      </c>
      <c r="E182" s="21" t="n">
        <f aca="false">ROUND(Q182,0)-D182</f>
        <v>190</v>
      </c>
      <c r="F182" s="21" t="n">
        <f aca="false">IF(COUNTA(D182:E182)=0,"",SUM(D182:E182))</f>
        <v>342</v>
      </c>
      <c r="G182" s="39" t="n">
        <f aca="false">IF(OR(F182="",F182=0),"",D182/F182)</f>
        <v>0.444444444444444</v>
      </c>
      <c r="H182" s="39" t="n">
        <f aca="false">IF(OR(F182="",F182=0),"",E182/F182)</f>
        <v>0.555555555555556</v>
      </c>
      <c r="I182" s="38" t="s">
        <v>89</v>
      </c>
      <c r="J182" s="40" t="n">
        <v>3.7041269898902</v>
      </c>
      <c r="K182" s="39" t="n">
        <f aca="false">IF(G182="","",MAX(0,G182-J182/100))</f>
        <v>0.407403174545542</v>
      </c>
      <c r="L182" s="39" t="n">
        <f aca="false">IF(G182="","",MIN(1,G182+J182/100))</f>
        <v>0.481485714343346</v>
      </c>
      <c r="M182" s="21" t="n">
        <f aca="false">ROUND(Q182*S182,0)</f>
        <v>27</v>
      </c>
      <c r="N182" s="21" t="n">
        <f aca="false">ROUND(SQRT((F182*J182/100)^2+(G182*M182)^2),0)</f>
        <v>17</v>
      </c>
      <c r="P182" s="41" t="n">
        <v>-8.33908316498006</v>
      </c>
      <c r="Q182" s="42" t="n">
        <v>341.850419926816</v>
      </c>
      <c r="R182" s="43" t="n">
        <f aca="false">MAX(0,MIN(1,P182/100+$D$5))</f>
        <v>0.443593866926821</v>
      </c>
      <c r="S182" s="43" t="n">
        <v>0.0779420971553049</v>
      </c>
      <c r="T182" s="44" t="s">
        <v>90</v>
      </c>
    </row>
    <row r="183" customFormat="false" ht="15" hidden="false" customHeight="false" outlineLevel="0" collapsed="false">
      <c r="A183" s="38" t="s">
        <v>157</v>
      </c>
      <c r="B183" s="38" t="s">
        <v>287</v>
      </c>
      <c r="C183" s="38" t="s">
        <v>290</v>
      </c>
      <c r="D183" s="21" t="n">
        <f aca="false">ROUND(Q183*R183,0)</f>
        <v>329</v>
      </c>
      <c r="E183" s="21" t="n">
        <f aca="false">ROUND(Q183,0)-D183</f>
        <v>375</v>
      </c>
      <c r="F183" s="21" t="n">
        <f aca="false">IF(COUNTA(D183:E183)=0,"",SUM(D183:E183))</f>
        <v>704</v>
      </c>
      <c r="G183" s="39" t="n">
        <f aca="false">IF(OR(F183="",F183=0),"",D183/F183)</f>
        <v>0.467329545454545</v>
      </c>
      <c r="H183" s="39" t="n">
        <f aca="false">IF(OR(F183="",F183=0),"",E183/F183)</f>
        <v>0.532670454545455</v>
      </c>
      <c r="I183" s="38" t="s">
        <v>89</v>
      </c>
      <c r="J183" s="40" t="n">
        <v>3.7041269898902</v>
      </c>
      <c r="K183" s="39" t="n">
        <f aca="false">IF(G183="","",MAX(0,G183-J183/100))</f>
        <v>0.430288275555644</v>
      </c>
      <c r="L183" s="39" t="n">
        <f aca="false">IF(G183="","",MIN(1,G183+J183/100))</f>
        <v>0.504370815353448</v>
      </c>
      <c r="M183" s="21" t="n">
        <f aca="false">ROUND(Q183*S183,0)</f>
        <v>55</v>
      </c>
      <c r="N183" s="21" t="n">
        <f aca="false">ROUND(SQRT((F183*J183/100)^2+(G183*M183)^2),0)</f>
        <v>37</v>
      </c>
      <c r="P183" s="41" t="n">
        <v>-6.01620758870377</v>
      </c>
      <c r="Q183" s="42" t="n">
        <v>704.285963927792</v>
      </c>
      <c r="R183" s="43" t="n">
        <f aca="false">MAX(0,MIN(1,P183/100+$D$5))</f>
        <v>0.466822622689584</v>
      </c>
      <c r="S183" s="43" t="n">
        <v>0.0779420971553049</v>
      </c>
      <c r="T183" s="44" t="s">
        <v>90</v>
      </c>
    </row>
    <row r="184" customFormat="false" ht="15" hidden="false" customHeight="false" outlineLevel="0" collapsed="false">
      <c r="A184" s="38" t="s">
        <v>157</v>
      </c>
      <c r="B184" s="38" t="s">
        <v>291</v>
      </c>
      <c r="C184" s="38" t="s">
        <v>292</v>
      </c>
      <c r="D184" s="21" t="n">
        <f aca="false">ROUND(Q184*R184,0)</f>
        <v>808</v>
      </c>
      <c r="E184" s="21" t="n">
        <f aca="false">ROUND(Q184,0)-D184</f>
        <v>675</v>
      </c>
      <c r="F184" s="21" t="n">
        <f aca="false">IF(COUNTA(D184:E184)=0,"",SUM(D184:E184))</f>
        <v>1483</v>
      </c>
      <c r="G184" s="39" t="n">
        <f aca="false">IF(OR(F184="",F184=0),"",D184/F184)</f>
        <v>0.54484153742414</v>
      </c>
      <c r="H184" s="39" t="n">
        <f aca="false">IF(OR(F184="",F184=0),"",E184/F184)</f>
        <v>0.45515846257586</v>
      </c>
      <c r="I184" s="38" t="s">
        <v>89</v>
      </c>
      <c r="J184" s="40" t="n">
        <v>1.26135644325249</v>
      </c>
      <c r="K184" s="39" t="n">
        <f aca="false">IF(G184="","",MAX(0,G184-J184/100))</f>
        <v>0.532227972991615</v>
      </c>
      <c r="L184" s="39" t="n">
        <f aca="false">IF(G184="","",MIN(1,G184+J184/100))</f>
        <v>0.557455101856665</v>
      </c>
      <c r="M184" s="21" t="n">
        <f aca="false">ROUND(Q184*S184,0)</f>
        <v>207</v>
      </c>
      <c r="N184" s="21" t="n">
        <f aca="false">ROUND(SQRT((F184*J184/100)^2+(G184*M184)^2),0)</f>
        <v>114</v>
      </c>
      <c r="P184" s="41" t="n">
        <v>1.80116269264851</v>
      </c>
      <c r="Q184" s="42" t="n">
        <v>1483.10640308024</v>
      </c>
      <c r="R184" s="43" t="n">
        <f aca="false">MAX(0,MIN(1,P184/100+$D$5))</f>
        <v>0.544996325503107</v>
      </c>
      <c r="S184" s="43" t="n">
        <v>0.139463116518417</v>
      </c>
      <c r="T184" s="44" t="s">
        <v>128</v>
      </c>
    </row>
    <row r="185" customFormat="false" ht="15" hidden="false" customHeight="false" outlineLevel="0" collapsed="false">
      <c r="A185" s="38" t="s">
        <v>157</v>
      </c>
      <c r="B185" s="38" t="s">
        <v>291</v>
      </c>
      <c r="C185" s="38" t="s">
        <v>293</v>
      </c>
      <c r="D185" s="21" t="n">
        <f aca="false">ROUND(Q185*R185,0)</f>
        <v>369</v>
      </c>
      <c r="E185" s="21" t="n">
        <f aca="false">ROUND(Q185,0)-D185</f>
        <v>306</v>
      </c>
      <c r="F185" s="21" t="n">
        <f aca="false">IF(COUNTA(D185:E185)=0,"",SUM(D185:E185))</f>
        <v>675</v>
      </c>
      <c r="G185" s="39" t="n">
        <f aca="false">IF(OR(F185="",F185=0),"",D185/F185)</f>
        <v>0.546666666666667</v>
      </c>
      <c r="H185" s="39" t="n">
        <f aca="false">IF(OR(F185="",F185=0),"",E185/F185)</f>
        <v>0.453333333333333</v>
      </c>
      <c r="I185" s="38" t="s">
        <v>89</v>
      </c>
      <c r="J185" s="40" t="n">
        <v>3.7041269898902</v>
      </c>
      <c r="K185" s="39" t="n">
        <f aca="false">IF(G185="","",MAX(0,G185-J185/100))</f>
        <v>0.509625396767765</v>
      </c>
      <c r="L185" s="39" t="n">
        <f aca="false">IF(G185="","",MIN(1,G185+J185/100))</f>
        <v>0.583707936565569</v>
      </c>
      <c r="M185" s="21" t="n">
        <f aca="false">ROUND(Q185*S185,0)</f>
        <v>53</v>
      </c>
      <c r="N185" s="21" t="n">
        <f aca="false">ROUND(SQRT((F185*J185/100)^2+(G185*M185)^2),0)</f>
        <v>38</v>
      </c>
      <c r="P185" s="41" t="n">
        <v>2.01051357041199</v>
      </c>
      <c r="Q185" s="42" t="n">
        <v>674.656261699977</v>
      </c>
      <c r="R185" s="43" t="n">
        <f aca="false">MAX(0,MIN(1,P185/100+$D$5))</f>
        <v>0.547089834280742</v>
      </c>
      <c r="S185" s="43" t="n">
        <v>0.0779420971553049</v>
      </c>
      <c r="T185" s="44" t="s">
        <v>90</v>
      </c>
    </row>
    <row r="186" customFormat="false" ht="15" hidden="false" customHeight="false" outlineLevel="0" collapsed="false">
      <c r="A186" s="38" t="s">
        <v>157</v>
      </c>
      <c r="B186" s="38" t="s">
        <v>291</v>
      </c>
      <c r="C186" s="38" t="s">
        <v>294</v>
      </c>
      <c r="D186" s="21" t="n">
        <f aca="false">ROUND(Q186*R186,0)</f>
        <v>1050</v>
      </c>
      <c r="E186" s="21" t="n">
        <f aca="false">ROUND(Q186,0)-D186</f>
        <v>687</v>
      </c>
      <c r="F186" s="21" t="n">
        <f aca="false">IF(COUNTA(D186:E186)=0,"",SUM(D186:E186))</f>
        <v>1737</v>
      </c>
      <c r="G186" s="39" t="n">
        <f aca="false">IF(OR(F186="",F186=0),"",D186/F186)</f>
        <v>0.604490500863558</v>
      </c>
      <c r="H186" s="39" t="n">
        <f aca="false">IF(OR(F186="",F186=0),"",E186/F186)</f>
        <v>0.395509499136442</v>
      </c>
      <c r="I186" s="38" t="s">
        <v>89</v>
      </c>
      <c r="J186" s="40" t="n">
        <v>1.26135644325249</v>
      </c>
      <c r="K186" s="39" t="n">
        <f aca="false">IF(G186="","",MAX(0,G186-J186/100))</f>
        <v>0.591876936431033</v>
      </c>
      <c r="L186" s="39" t="n">
        <f aca="false">IF(G186="","",MIN(1,G186+J186/100))</f>
        <v>0.617104065296083</v>
      </c>
      <c r="M186" s="21" t="n">
        <f aca="false">ROUND(Q186*S186,0)</f>
        <v>242</v>
      </c>
      <c r="N186" s="21" t="n">
        <f aca="false">ROUND(SQRT((F186*J186/100)^2+(G186*M186)^2),0)</f>
        <v>148</v>
      </c>
      <c r="P186" s="41" t="n">
        <v>7.75146184399456</v>
      </c>
      <c r="Q186" s="42" t="n">
        <v>1736.68242263096</v>
      </c>
      <c r="R186" s="43" t="n">
        <f aca="false">MAX(0,MIN(1,P186/100+$D$5))</f>
        <v>0.604499317016567</v>
      </c>
      <c r="S186" s="43" t="n">
        <v>0.139463116518417</v>
      </c>
      <c r="T186" s="44" t="s">
        <v>128</v>
      </c>
    </row>
    <row r="187" customFormat="false" ht="15" hidden="false" customHeight="false" outlineLevel="0" collapsed="false">
      <c r="A187" s="38" t="s">
        <v>157</v>
      </c>
      <c r="B187" s="38" t="s">
        <v>291</v>
      </c>
      <c r="C187" s="38" t="s">
        <v>295</v>
      </c>
      <c r="D187" s="21" t="n">
        <f aca="false">ROUND(Q187*R187,0)</f>
        <v>486</v>
      </c>
      <c r="E187" s="21" t="n">
        <f aca="false">ROUND(Q187,0)-D187</f>
        <v>414</v>
      </c>
      <c r="F187" s="21" t="n">
        <f aca="false">IF(COUNTA(D187:E187)=0,"",SUM(D187:E187))</f>
        <v>900</v>
      </c>
      <c r="G187" s="39" t="n">
        <f aca="false">IF(OR(F187="",F187=0),"",D187/F187)</f>
        <v>0.54</v>
      </c>
      <c r="H187" s="39" t="n">
        <f aca="false">IF(OR(F187="",F187=0),"",E187/F187)</f>
        <v>0.46</v>
      </c>
      <c r="I187" s="38" t="s">
        <v>89</v>
      </c>
      <c r="J187" s="40" t="n">
        <v>2.12060277043418</v>
      </c>
      <c r="K187" s="39" t="n">
        <f aca="false">IF(G187="","",MAX(0,G187-J187/100))</f>
        <v>0.518793972295658</v>
      </c>
      <c r="L187" s="39" t="n">
        <f aca="false">IF(G187="","",MIN(1,G187+J187/100))</f>
        <v>0.561206027704342</v>
      </c>
      <c r="M187" s="21" t="n">
        <f aca="false">ROUND(Q187*S187,0)</f>
        <v>57</v>
      </c>
      <c r="N187" s="21" t="n">
        <f aca="false">ROUND(SQRT((F187*J187/100)^2+(G187*M187)^2),0)</f>
        <v>36</v>
      </c>
      <c r="P187" s="41" t="n">
        <v>1.24480298372261</v>
      </c>
      <c r="Q187" s="42" t="n">
        <v>900.38462751347</v>
      </c>
      <c r="R187" s="43" t="n">
        <f aca="false">MAX(0,MIN(1,P187/100+$D$5))</f>
        <v>0.539432728413848</v>
      </c>
      <c r="S187" s="43" t="n">
        <v>0.0633793435818552</v>
      </c>
      <c r="T187" s="44" t="s">
        <v>99</v>
      </c>
    </row>
    <row r="188" customFormat="false" ht="15" hidden="false" customHeight="false" outlineLevel="0" collapsed="false">
      <c r="A188" s="38" t="s">
        <v>157</v>
      </c>
      <c r="B188" s="38" t="s">
        <v>291</v>
      </c>
      <c r="C188" s="38" t="s">
        <v>296</v>
      </c>
      <c r="D188" s="21" t="n">
        <f aca="false">ROUND(Q188*R188,0)</f>
        <v>984</v>
      </c>
      <c r="E188" s="21" t="n">
        <f aca="false">ROUND(Q188,0)-D188</f>
        <v>562</v>
      </c>
      <c r="F188" s="21" t="n">
        <f aca="false">IF(COUNTA(D188:E188)=0,"",SUM(D188:E188))</f>
        <v>1546</v>
      </c>
      <c r="G188" s="39" t="n">
        <f aca="false">IF(OR(F188="",F188=0),"",D188/F188)</f>
        <v>0.636481241914618</v>
      </c>
      <c r="H188" s="39" t="n">
        <f aca="false">IF(OR(F188="",F188=0),"",E188/F188)</f>
        <v>0.363518758085382</v>
      </c>
      <c r="I188" s="38" t="s">
        <v>89</v>
      </c>
      <c r="J188" s="40" t="n">
        <v>1.26135644325249</v>
      </c>
      <c r="K188" s="39" t="n">
        <f aca="false">IF(G188="","",MAX(0,G188-J188/100))</f>
        <v>0.623867677482094</v>
      </c>
      <c r="L188" s="39" t="n">
        <f aca="false">IF(G188="","",MIN(1,G188+J188/100))</f>
        <v>0.649094806347143</v>
      </c>
      <c r="M188" s="21" t="n">
        <f aca="false">ROUND(Q188*S188,0)</f>
        <v>216</v>
      </c>
      <c r="N188" s="21" t="n">
        <f aca="false">ROUND(SQRT((F188*J188/100)^2+(G188*M188)^2),0)</f>
        <v>139</v>
      </c>
      <c r="P188" s="41" t="n">
        <v>10.916541715669</v>
      </c>
      <c r="Q188" s="42" t="n">
        <v>1546.49322113223</v>
      </c>
      <c r="R188" s="43" t="n">
        <f aca="false">MAX(0,MIN(1,P188/100+$D$5))</f>
        <v>0.636150115733311</v>
      </c>
      <c r="S188" s="43" t="n">
        <v>0.139463116518417</v>
      </c>
      <c r="T188" s="44" t="s">
        <v>128</v>
      </c>
    </row>
    <row r="189" customFormat="false" ht="15" hidden="false" customHeight="false" outlineLevel="0" collapsed="false">
      <c r="A189" s="38" t="s">
        <v>157</v>
      </c>
      <c r="B189" s="38" t="s">
        <v>291</v>
      </c>
      <c r="C189" s="38" t="s">
        <v>297</v>
      </c>
      <c r="D189" s="21" t="n">
        <f aca="false">ROUND(Q189*R189,0)</f>
        <v>967</v>
      </c>
      <c r="E189" s="21" t="n">
        <f aca="false">ROUND(Q189,0)-D189</f>
        <v>560</v>
      </c>
      <c r="F189" s="21" t="n">
        <f aca="false">IF(COUNTA(D189:E189)=0,"",SUM(D189:E189))</f>
        <v>1527</v>
      </c>
      <c r="G189" s="39" t="n">
        <f aca="false">IF(OR(F189="",F189=0),"",D189/F189)</f>
        <v>0.633267845448592</v>
      </c>
      <c r="H189" s="39" t="n">
        <f aca="false">IF(OR(F189="",F189=0),"",E189/F189)</f>
        <v>0.366732154551408</v>
      </c>
      <c r="I189" s="38" t="s">
        <v>89</v>
      </c>
      <c r="J189" s="40" t="n">
        <v>1.26135644325249</v>
      </c>
      <c r="K189" s="39" t="n">
        <f aca="false">IF(G189="","",MAX(0,G189-J189/100))</f>
        <v>0.620654281016067</v>
      </c>
      <c r="L189" s="39" t="n">
        <f aca="false">IF(G189="","",MIN(1,G189+J189/100))</f>
        <v>0.645881409881117</v>
      </c>
      <c r="M189" s="21" t="n">
        <f aca="false">ROUND(Q189*S189,0)</f>
        <v>213</v>
      </c>
      <c r="N189" s="21" t="n">
        <f aca="false">ROUND(SQRT((F189*J189/100)^2+(G189*M189)^2),0)</f>
        <v>136</v>
      </c>
      <c r="P189" s="41" t="n">
        <v>10.6418312013036</v>
      </c>
      <c r="Q189" s="42" t="n">
        <v>1527.39388220251</v>
      </c>
      <c r="R189" s="43" t="n">
        <f aca="false">MAX(0,MIN(1,P189/100+$D$5))</f>
        <v>0.633403010589657</v>
      </c>
      <c r="S189" s="43" t="n">
        <v>0.139463116518417</v>
      </c>
      <c r="T189" s="44" t="s">
        <v>128</v>
      </c>
    </row>
    <row r="190" customFormat="false" ht="15" hidden="false" customHeight="false" outlineLevel="0" collapsed="false">
      <c r="A190" s="38" t="s">
        <v>157</v>
      </c>
      <c r="B190" s="38" t="s">
        <v>291</v>
      </c>
      <c r="C190" s="38" t="s">
        <v>298</v>
      </c>
      <c r="D190" s="21" t="n">
        <f aca="false">ROUND(Q190*R190,0)</f>
        <v>442</v>
      </c>
      <c r="E190" s="21" t="n">
        <f aca="false">ROUND(Q190,0)-D190</f>
        <v>350</v>
      </c>
      <c r="F190" s="21" t="n">
        <f aca="false">IF(COUNTA(D190:E190)=0,"",SUM(D190:E190))</f>
        <v>792</v>
      </c>
      <c r="G190" s="39" t="n">
        <f aca="false">IF(OR(F190="",F190=0),"",D190/F190)</f>
        <v>0.558080808080808</v>
      </c>
      <c r="H190" s="39" t="n">
        <f aca="false">IF(OR(F190="",F190=0),"",E190/F190)</f>
        <v>0.441919191919192</v>
      </c>
      <c r="I190" s="38" t="s">
        <v>89</v>
      </c>
      <c r="J190" s="40" t="n">
        <v>2.12060277043418</v>
      </c>
      <c r="K190" s="39" t="n">
        <f aca="false">IF(G190="","",MAX(0,G190-J190/100))</f>
        <v>0.536874780376466</v>
      </c>
      <c r="L190" s="39" t="n">
        <f aca="false">IF(G190="","",MIN(1,G190+J190/100))</f>
        <v>0.57928683578515</v>
      </c>
      <c r="M190" s="21" t="n">
        <f aca="false">ROUND(Q190*S190,0)</f>
        <v>50</v>
      </c>
      <c r="N190" s="21" t="n">
        <f aca="false">ROUND(SQRT((F190*J190/100)^2+(G190*M190)^2),0)</f>
        <v>33</v>
      </c>
      <c r="P190" s="41" t="n">
        <v>3.08033698615158</v>
      </c>
      <c r="Q190" s="42" t="n">
        <v>792.303629780844</v>
      </c>
      <c r="R190" s="43" t="n">
        <f aca="false">MAX(0,MIN(1,P190/100+$D$5))</f>
        <v>0.557788068438138</v>
      </c>
      <c r="S190" s="43" t="n">
        <v>0.0633793435818552</v>
      </c>
      <c r="T190" s="44" t="s">
        <v>99</v>
      </c>
    </row>
    <row r="191" customFormat="false" ht="15" hidden="false" customHeight="false" outlineLevel="0" collapsed="false">
      <c r="A191" s="38" t="s">
        <v>157</v>
      </c>
      <c r="B191" s="38" t="s">
        <v>291</v>
      </c>
      <c r="C191" s="38" t="s">
        <v>299</v>
      </c>
      <c r="D191" s="21" t="n">
        <f aca="false">ROUND(Q191*R191,0)</f>
        <v>1192</v>
      </c>
      <c r="E191" s="21" t="n">
        <f aca="false">ROUND(Q191,0)-D191</f>
        <v>993</v>
      </c>
      <c r="F191" s="21" t="n">
        <f aca="false">IF(COUNTA(D191:E191)=0,"",SUM(D191:E191))</f>
        <v>2185</v>
      </c>
      <c r="G191" s="39" t="n">
        <f aca="false">IF(OR(F191="",F191=0),"",D191/F191)</f>
        <v>0.545537757437071</v>
      </c>
      <c r="H191" s="39" t="n">
        <f aca="false">IF(OR(F191="",F191=0),"",E191/F191)</f>
        <v>0.454462242562929</v>
      </c>
      <c r="I191" s="38" t="s">
        <v>89</v>
      </c>
      <c r="J191" s="40" t="n">
        <v>1.26135644325249</v>
      </c>
      <c r="K191" s="39" t="n">
        <f aca="false">IF(G191="","",MAX(0,G191-J191/100))</f>
        <v>0.532924193004546</v>
      </c>
      <c r="L191" s="39" t="n">
        <f aca="false">IF(G191="","",MIN(1,G191+J191/100))</f>
        <v>0.558151321869596</v>
      </c>
      <c r="M191" s="21" t="n">
        <f aca="false">ROUND(Q191*S191,0)</f>
        <v>305</v>
      </c>
      <c r="N191" s="21" t="n">
        <f aca="false">ROUND(SQRT((F191*J191/100)^2+(G191*M191)^2),0)</f>
        <v>169</v>
      </c>
      <c r="P191" s="41" t="n">
        <v>1.87249357413381</v>
      </c>
      <c r="Q191" s="42" t="n">
        <v>2184.57347695728</v>
      </c>
      <c r="R191" s="43" t="n">
        <f aca="false">MAX(0,MIN(1,P191/100+$D$5))</f>
        <v>0.54570963431796</v>
      </c>
      <c r="S191" s="43" t="n">
        <v>0.139463116518417</v>
      </c>
      <c r="T191" s="44" t="s">
        <v>128</v>
      </c>
    </row>
    <row r="192" customFormat="false" ht="15" hidden="false" customHeight="false" outlineLevel="0" collapsed="false">
      <c r="A192" s="38" t="s">
        <v>157</v>
      </c>
      <c r="B192" s="38" t="s">
        <v>300</v>
      </c>
      <c r="C192" s="38" t="s">
        <v>301</v>
      </c>
      <c r="D192" s="21" t="n">
        <f aca="false">ROUND(Q192*R192,0)</f>
        <v>866</v>
      </c>
      <c r="E192" s="21" t="n">
        <f aca="false">ROUND(Q192,0)-D192</f>
        <v>717</v>
      </c>
      <c r="F192" s="21" t="n">
        <f aca="false">IF(COUNTA(D192:E192)=0,"",SUM(D192:E192))</f>
        <v>1583</v>
      </c>
      <c r="G192" s="39" t="n">
        <f aca="false">IF(OR(F192="",F192=0),"",D192/F192)</f>
        <v>0.547062539481996</v>
      </c>
      <c r="H192" s="39" t="n">
        <f aca="false">IF(OR(F192="",F192=0),"",E192/F192)</f>
        <v>0.452937460518004</v>
      </c>
      <c r="I192" s="38" t="s">
        <v>89</v>
      </c>
      <c r="J192" s="40" t="n">
        <v>1.26135644325249</v>
      </c>
      <c r="K192" s="39" t="n">
        <f aca="false">IF(G192="","",MAX(0,G192-J192/100))</f>
        <v>0.534448975049471</v>
      </c>
      <c r="L192" s="39" t="n">
        <f aca="false">IF(G192="","",MIN(1,G192+J192/100))</f>
        <v>0.559676103914521</v>
      </c>
      <c r="M192" s="21" t="n">
        <f aca="false">ROUND(Q192*S192,0)</f>
        <v>221</v>
      </c>
      <c r="N192" s="21" t="n">
        <f aca="false">ROUND(SQRT((F192*J192/100)^2+(G192*M192)^2),0)</f>
        <v>123</v>
      </c>
      <c r="P192" s="41" t="n">
        <v>2.04373559095051</v>
      </c>
      <c r="Q192" s="42" t="n">
        <v>1582.69497226469</v>
      </c>
      <c r="R192" s="43" t="n">
        <f aca="false">MAX(0,MIN(1,P192/100+$D$5))</f>
        <v>0.547422054486127</v>
      </c>
      <c r="S192" s="43" t="n">
        <v>0.139463116518417</v>
      </c>
      <c r="T192" s="44" t="s">
        <v>128</v>
      </c>
    </row>
    <row r="193" customFormat="false" ht="15" hidden="false" customHeight="false" outlineLevel="0" collapsed="false">
      <c r="A193" s="38" t="s">
        <v>157</v>
      </c>
      <c r="B193" s="38" t="s">
        <v>300</v>
      </c>
      <c r="C193" s="38" t="s">
        <v>302</v>
      </c>
      <c r="D193" s="21" t="n">
        <f aca="false">ROUND(Q193*R193,0)</f>
        <v>1195</v>
      </c>
      <c r="E193" s="21" t="n">
        <f aca="false">ROUND(Q193,0)-D193</f>
        <v>982</v>
      </c>
      <c r="F193" s="21" t="n">
        <f aca="false">IF(COUNTA(D193:E193)=0,"",SUM(D193:E193))</f>
        <v>2177</v>
      </c>
      <c r="G193" s="39" t="n">
        <f aca="false">IF(OR(F193="",F193=0),"",D193/F193)</f>
        <v>0.548920532843362</v>
      </c>
      <c r="H193" s="39" t="n">
        <f aca="false">IF(OR(F193="",F193=0),"",E193/F193)</f>
        <v>0.451079467156638</v>
      </c>
      <c r="I193" s="38" t="s">
        <v>89</v>
      </c>
      <c r="J193" s="40" t="n">
        <v>1.26135644325249</v>
      </c>
      <c r="K193" s="39" t="n">
        <f aca="false">IF(G193="","",MAX(0,G193-J193/100))</f>
        <v>0.536306968410838</v>
      </c>
      <c r="L193" s="39" t="n">
        <f aca="false">IF(G193="","",MIN(1,G193+J193/100))</f>
        <v>0.561534097275887</v>
      </c>
      <c r="M193" s="21" t="n">
        <f aca="false">ROUND(Q193*S193,0)</f>
        <v>304</v>
      </c>
      <c r="N193" s="21" t="n">
        <f aca="false">ROUND(SQRT((F193*J193/100)^2+(G193*M193)^2),0)</f>
        <v>169</v>
      </c>
      <c r="P193" s="41" t="n">
        <v>2.21051446676459</v>
      </c>
      <c r="Q193" s="42" t="n">
        <v>2176.96581380939</v>
      </c>
      <c r="R193" s="43" t="n">
        <f aca="false">MAX(0,MIN(1,P193/100+$D$5))</f>
        <v>0.549089843244268</v>
      </c>
      <c r="S193" s="43" t="n">
        <v>0.139463116518417</v>
      </c>
      <c r="T193" s="44" t="s">
        <v>128</v>
      </c>
    </row>
    <row r="194" customFormat="false" ht="15" hidden="false" customHeight="false" outlineLevel="0" collapsed="false">
      <c r="A194" s="38" t="s">
        <v>157</v>
      </c>
      <c r="B194" s="38" t="s">
        <v>300</v>
      </c>
      <c r="C194" s="38" t="s">
        <v>303</v>
      </c>
      <c r="D194" s="21" t="n">
        <f aca="false">ROUND(Q194*R194,0)</f>
        <v>903</v>
      </c>
      <c r="E194" s="21" t="n">
        <f aca="false">ROUND(Q194,0)-D194</f>
        <v>845</v>
      </c>
      <c r="F194" s="21" t="n">
        <f aca="false">IF(COUNTA(D194:E194)=0,"",SUM(D194:E194))</f>
        <v>1748</v>
      </c>
      <c r="G194" s="39" t="n">
        <f aca="false">IF(OR(F194="",F194=0),"",D194/F194)</f>
        <v>0.516590389016018</v>
      </c>
      <c r="H194" s="39" t="n">
        <f aca="false">IF(OR(F194="",F194=0),"",E194/F194)</f>
        <v>0.483409610983982</v>
      </c>
      <c r="I194" s="38" t="s">
        <v>89</v>
      </c>
      <c r="J194" s="40" t="n">
        <v>1.26135644325249</v>
      </c>
      <c r="K194" s="39" t="n">
        <f aca="false">IF(G194="","",MAX(0,G194-J194/100))</f>
        <v>0.503976824583494</v>
      </c>
      <c r="L194" s="39" t="n">
        <f aca="false">IF(G194="","",MIN(1,G194+J194/100))</f>
        <v>0.529203953448543</v>
      </c>
      <c r="M194" s="21" t="n">
        <f aca="false">ROUND(Q194*S194,0)</f>
        <v>244</v>
      </c>
      <c r="N194" s="21" t="n">
        <f aca="false">ROUND(SQRT((F194*J194/100)^2+(G194*M194)^2),0)</f>
        <v>128</v>
      </c>
      <c r="P194" s="41" t="n">
        <v>-1.05462851478262</v>
      </c>
      <c r="Q194" s="42" t="n">
        <v>1747.81856323472</v>
      </c>
      <c r="R194" s="43" t="n">
        <f aca="false">MAX(0,MIN(1,P194/100+$D$5))</f>
        <v>0.516438413428796</v>
      </c>
      <c r="S194" s="43" t="n">
        <v>0.139463116518417</v>
      </c>
      <c r="T194" s="44" t="s">
        <v>128</v>
      </c>
    </row>
    <row r="195" customFormat="false" ht="15" hidden="false" customHeight="false" outlineLevel="0" collapsed="false">
      <c r="A195" s="38" t="s">
        <v>157</v>
      </c>
      <c r="B195" s="38" t="s">
        <v>300</v>
      </c>
      <c r="C195" s="38" t="s">
        <v>304</v>
      </c>
      <c r="D195" s="21" t="n">
        <f aca="false">ROUND(Q195*R195,0)</f>
        <v>687</v>
      </c>
      <c r="E195" s="21" t="n">
        <f aca="false">ROUND(Q195,0)-D195</f>
        <v>505</v>
      </c>
      <c r="F195" s="21" t="n">
        <f aca="false">IF(COUNTA(D195:E195)=0,"",SUM(D195:E195))</f>
        <v>1192</v>
      </c>
      <c r="G195" s="39" t="n">
        <f aca="false">IF(OR(F195="",F195=0),"",D195/F195)</f>
        <v>0.576342281879195</v>
      </c>
      <c r="H195" s="39" t="n">
        <f aca="false">IF(OR(F195="",F195=0),"",E195/F195)</f>
        <v>0.423657718120805</v>
      </c>
      <c r="I195" s="38" t="s">
        <v>89</v>
      </c>
      <c r="J195" s="40" t="n">
        <v>2.12060277043418</v>
      </c>
      <c r="K195" s="39" t="n">
        <f aca="false">IF(G195="","",MAX(0,G195-J195/100))</f>
        <v>0.555136254174853</v>
      </c>
      <c r="L195" s="39" t="n">
        <f aca="false">IF(G195="","",MIN(1,G195+J195/100))</f>
        <v>0.597548309583536</v>
      </c>
      <c r="M195" s="21" t="n">
        <f aca="false">ROUND(Q195*S195,0)</f>
        <v>76</v>
      </c>
      <c r="N195" s="21" t="n">
        <f aca="false">ROUND(SQRT((F195*J195/100)^2+(G195*M195)^2),0)</f>
        <v>51</v>
      </c>
      <c r="P195" s="41" t="n">
        <v>4.93557003554217</v>
      </c>
      <c r="Q195" s="42" t="n">
        <v>1192.10117997987</v>
      </c>
      <c r="R195" s="43" t="n">
        <f aca="false">MAX(0,MIN(1,P195/100+$D$5))</f>
        <v>0.576340398932043</v>
      </c>
      <c r="S195" s="43" t="n">
        <v>0.0633793435818552</v>
      </c>
      <c r="T195" s="44" t="s">
        <v>99</v>
      </c>
    </row>
    <row r="196" customFormat="false" ht="15" hidden="false" customHeight="false" outlineLevel="0" collapsed="false">
      <c r="A196" s="38" t="s">
        <v>157</v>
      </c>
      <c r="B196" s="38" t="s">
        <v>300</v>
      </c>
      <c r="C196" s="38" t="s">
        <v>305</v>
      </c>
      <c r="D196" s="21" t="n">
        <f aca="false">ROUND(Q196*R196,0)</f>
        <v>1635</v>
      </c>
      <c r="E196" s="21" t="n">
        <f aca="false">ROUND(Q196,0)-D196</f>
        <v>1191</v>
      </c>
      <c r="F196" s="21" t="n">
        <f aca="false">IF(COUNTA(D196:E196)=0,"",SUM(D196:E196))</f>
        <v>2826</v>
      </c>
      <c r="G196" s="39" t="n">
        <f aca="false">IF(OR(F196="",F196=0),"",D196/F196)</f>
        <v>0.578556263269639</v>
      </c>
      <c r="H196" s="39" t="n">
        <f aca="false">IF(OR(F196="",F196=0),"",E196/F196)</f>
        <v>0.421443736730361</v>
      </c>
      <c r="I196" s="38" t="s">
        <v>89</v>
      </c>
      <c r="J196" s="40" t="n">
        <v>1.26135644325249</v>
      </c>
      <c r="K196" s="39" t="n">
        <f aca="false">IF(G196="","",MAX(0,G196-J196/100))</f>
        <v>0.565942698837114</v>
      </c>
      <c r="L196" s="39" t="n">
        <f aca="false">IF(G196="","",MIN(1,G196+J196/100))</f>
        <v>0.591169827702164</v>
      </c>
      <c r="M196" s="21" t="n">
        <f aca="false">ROUND(Q196*S196,0)</f>
        <v>394</v>
      </c>
      <c r="N196" s="21" t="n">
        <f aca="false">ROUND(SQRT((F196*J196/100)^2+(G196*M196)^2),0)</f>
        <v>231</v>
      </c>
      <c r="P196" s="41" t="n">
        <v>5.16014643329052</v>
      </c>
      <c r="Q196" s="42" t="n">
        <v>2825.64127916617</v>
      </c>
      <c r="R196" s="43" t="n">
        <f aca="false">MAX(0,MIN(1,P196/100+$D$5))</f>
        <v>0.578586162909527</v>
      </c>
      <c r="S196" s="43" t="n">
        <v>0.139463116518417</v>
      </c>
      <c r="T196" s="44" t="s">
        <v>128</v>
      </c>
    </row>
    <row r="197" customFormat="false" ht="15" hidden="false" customHeight="false" outlineLevel="0" collapsed="false">
      <c r="A197" s="38" t="s">
        <v>157</v>
      </c>
      <c r="B197" s="38" t="s">
        <v>300</v>
      </c>
      <c r="C197" s="38" t="s">
        <v>306</v>
      </c>
      <c r="D197" s="21" t="n">
        <f aca="false">ROUND(Q197*R197,0)</f>
        <v>552</v>
      </c>
      <c r="E197" s="21" t="n">
        <f aca="false">ROUND(Q197,0)-D197</f>
        <v>442</v>
      </c>
      <c r="F197" s="21" t="n">
        <f aca="false">IF(COUNTA(D197:E197)=0,"",SUM(D197:E197))</f>
        <v>994</v>
      </c>
      <c r="G197" s="39" t="n">
        <f aca="false">IF(OR(F197="",F197=0),"",D197/F197)</f>
        <v>0.55533199195171</v>
      </c>
      <c r="H197" s="39" t="n">
        <f aca="false">IF(OR(F197="",F197=0),"",E197/F197)</f>
        <v>0.44466800804829</v>
      </c>
      <c r="I197" s="38" t="s">
        <v>89</v>
      </c>
      <c r="J197" s="40" t="n">
        <v>2.12060277043418</v>
      </c>
      <c r="K197" s="39" t="n">
        <f aca="false">IF(G197="","",MAX(0,G197-J197/100))</f>
        <v>0.534125964247369</v>
      </c>
      <c r="L197" s="39" t="n">
        <f aca="false">IF(G197="","",MIN(1,G197+J197/100))</f>
        <v>0.576538019656052</v>
      </c>
      <c r="M197" s="21" t="n">
        <f aca="false">ROUND(Q197*S197,0)</f>
        <v>63</v>
      </c>
      <c r="N197" s="21" t="n">
        <f aca="false">ROUND(SQRT((F197*J197/100)^2+(G197*M197)^2),0)</f>
        <v>41</v>
      </c>
      <c r="P197" s="41" t="n">
        <v>2.83056658852346</v>
      </c>
      <c r="Q197" s="42" t="n">
        <v>993.740329034207</v>
      </c>
      <c r="R197" s="43" t="n">
        <f aca="false">MAX(0,MIN(1,P197/100+$D$5))</f>
        <v>0.555290364461856</v>
      </c>
      <c r="S197" s="43" t="n">
        <v>0.0633793435818552</v>
      </c>
      <c r="T197" s="44" t="s">
        <v>99</v>
      </c>
    </row>
    <row r="198" customFormat="false" ht="15" hidden="false" customHeight="false" outlineLevel="0" collapsed="false">
      <c r="A198" s="38" t="s">
        <v>157</v>
      </c>
      <c r="B198" s="38" t="s">
        <v>300</v>
      </c>
      <c r="C198" s="38" t="s">
        <v>307</v>
      </c>
      <c r="D198" s="21" t="n">
        <f aca="false">ROUND(Q198*R198,0)</f>
        <v>570</v>
      </c>
      <c r="E198" s="21" t="n">
        <f aca="false">ROUND(Q198,0)-D198</f>
        <v>393</v>
      </c>
      <c r="F198" s="21" t="n">
        <f aca="false">IF(COUNTA(D198:E198)=0,"",SUM(D198:E198))</f>
        <v>963</v>
      </c>
      <c r="G198" s="39" t="n">
        <f aca="false">IF(OR(F198="",F198=0),"",D198/F198)</f>
        <v>0.59190031152648</v>
      </c>
      <c r="H198" s="39" t="n">
        <f aca="false">IF(OR(F198="",F198=0),"",E198/F198)</f>
        <v>0.40809968847352</v>
      </c>
      <c r="I198" s="38" t="s">
        <v>89</v>
      </c>
      <c r="J198" s="40" t="n">
        <v>2.12060277043418</v>
      </c>
      <c r="K198" s="39" t="n">
        <f aca="false">IF(G198="","",MAX(0,G198-J198/100))</f>
        <v>0.570694283822138</v>
      </c>
      <c r="L198" s="39" t="n">
        <f aca="false">IF(G198="","",MIN(1,G198+J198/100))</f>
        <v>0.613106339230822</v>
      </c>
      <c r="M198" s="21" t="n">
        <f aca="false">ROUND(Q198*S198,0)</f>
        <v>61</v>
      </c>
      <c r="N198" s="21" t="n">
        <f aca="false">ROUND(SQRT((F198*J198/100)^2+(G198*M198)^2),0)</f>
        <v>41</v>
      </c>
      <c r="P198" s="41" t="n">
        <v>6.50020900278972</v>
      </c>
      <c r="Q198" s="42" t="n">
        <v>962.627809634307</v>
      </c>
      <c r="R198" s="43" t="n">
        <f aca="false">MAX(0,MIN(1,P198/100+$D$5))</f>
        <v>0.591986788604519</v>
      </c>
      <c r="S198" s="43" t="n">
        <v>0.0633793435818552</v>
      </c>
      <c r="T198" s="44" t="s">
        <v>99</v>
      </c>
    </row>
    <row r="199" customFormat="false" ht="15" hidden="false" customHeight="false" outlineLevel="0" collapsed="false">
      <c r="A199" s="38" t="s">
        <v>157</v>
      </c>
      <c r="B199" s="38" t="s">
        <v>300</v>
      </c>
      <c r="C199" s="38" t="s">
        <v>308</v>
      </c>
      <c r="D199" s="21" t="n">
        <f aca="false">ROUND(Q199*R199,0)</f>
        <v>598</v>
      </c>
      <c r="E199" s="21" t="n">
        <f aca="false">ROUND(Q199,0)-D199</f>
        <v>483</v>
      </c>
      <c r="F199" s="21" t="n">
        <f aca="false">IF(COUNTA(D199:E199)=0,"",SUM(D199:E199))</f>
        <v>1081</v>
      </c>
      <c r="G199" s="39" t="n">
        <f aca="false">IF(OR(F199="",F199=0),"",D199/F199)</f>
        <v>0.553191489361702</v>
      </c>
      <c r="H199" s="39" t="n">
        <f aca="false">IF(OR(F199="",F199=0),"",E199/F199)</f>
        <v>0.446808510638298</v>
      </c>
      <c r="I199" s="38" t="s">
        <v>89</v>
      </c>
      <c r="J199" s="40" t="n">
        <v>2.12060277043418</v>
      </c>
      <c r="K199" s="39" t="n">
        <f aca="false">IF(G199="","",MAX(0,G199-J199/100))</f>
        <v>0.53198546165736</v>
      </c>
      <c r="L199" s="39" t="n">
        <f aca="false">IF(G199="","",MIN(1,G199+J199/100))</f>
        <v>0.574397517066044</v>
      </c>
      <c r="M199" s="21" t="n">
        <f aca="false">ROUND(Q199*S199,0)</f>
        <v>69</v>
      </c>
      <c r="N199" s="21" t="n">
        <f aca="false">ROUND(SQRT((F199*J199/100)^2+(G199*M199)^2),0)</f>
        <v>45</v>
      </c>
      <c r="P199" s="41" t="n">
        <v>2.60687636955945</v>
      </c>
      <c r="Q199" s="42" t="n">
        <v>1081.45829972804</v>
      </c>
      <c r="R199" s="43" t="n">
        <f aca="false">MAX(0,MIN(1,P199/100+$D$5))</f>
        <v>0.553053462272216</v>
      </c>
      <c r="S199" s="43" t="n">
        <v>0.0633793435818552</v>
      </c>
      <c r="T199" s="44" t="s">
        <v>99</v>
      </c>
    </row>
    <row r="200" customFormat="false" ht="15" hidden="false" customHeight="false" outlineLevel="0" collapsed="false">
      <c r="A200" s="38" t="s">
        <v>157</v>
      </c>
      <c r="B200" s="38" t="s">
        <v>309</v>
      </c>
      <c r="C200" s="38" t="s">
        <v>310</v>
      </c>
      <c r="D200" s="21" t="n">
        <f aca="false">ROUND(Q200*R200,0)</f>
        <v>1400</v>
      </c>
      <c r="E200" s="21" t="n">
        <f aca="false">ROUND(Q200,0)-D200</f>
        <v>1337</v>
      </c>
      <c r="F200" s="21" t="n">
        <f aca="false">IF(COUNTA(D200:E200)=0,"",SUM(D200:E200))</f>
        <v>2737</v>
      </c>
      <c r="G200" s="39" t="n">
        <f aca="false">IF(OR(F200="",F200=0),"",D200/F200)</f>
        <v>0.51150895140665</v>
      </c>
      <c r="H200" s="39" t="n">
        <f aca="false">IF(OR(F200="",F200=0),"",E200/F200)</f>
        <v>0.48849104859335</v>
      </c>
      <c r="I200" s="38" t="s">
        <v>89</v>
      </c>
      <c r="J200" s="40" t="n">
        <v>1.26135644325249</v>
      </c>
      <c r="K200" s="39" t="n">
        <f aca="false">IF(G200="","",MAX(0,G200-J200/100))</f>
        <v>0.498895386974125</v>
      </c>
      <c r="L200" s="39" t="n">
        <f aca="false">IF(G200="","",MIN(1,G200+J200/100))</f>
        <v>0.524122515839175</v>
      </c>
      <c r="M200" s="21" t="n">
        <f aca="false">ROUND(Q200*S200,0)</f>
        <v>382</v>
      </c>
      <c r="N200" s="21" t="n">
        <f aca="false">ROUND(SQRT((F200*J200/100)^2+(G200*M200)^2),0)</f>
        <v>198</v>
      </c>
      <c r="P200" s="41" t="n">
        <v>-1.56305425885633</v>
      </c>
      <c r="Q200" s="42" t="n">
        <v>2737.06306388573</v>
      </c>
      <c r="R200" s="43" t="n">
        <f aca="false">MAX(0,MIN(1,P200/100+$D$5))</f>
        <v>0.511354155988058</v>
      </c>
      <c r="S200" s="43" t="n">
        <v>0.139463116518417</v>
      </c>
      <c r="T200" s="44" t="s">
        <v>128</v>
      </c>
    </row>
    <row r="201" customFormat="false" ht="15" hidden="false" customHeight="false" outlineLevel="0" collapsed="false">
      <c r="A201" s="38" t="s">
        <v>157</v>
      </c>
      <c r="B201" s="38" t="s">
        <v>309</v>
      </c>
      <c r="C201" s="38" t="s">
        <v>311</v>
      </c>
      <c r="D201" s="21" t="n">
        <f aca="false">ROUND(Q201*R201,0)</f>
        <v>889</v>
      </c>
      <c r="E201" s="21" t="n">
        <f aca="false">ROUND(Q201,0)-D201</f>
        <v>1195</v>
      </c>
      <c r="F201" s="21" t="n">
        <f aca="false">IF(COUNTA(D201:E201)=0,"",SUM(D201:E201))</f>
        <v>2084</v>
      </c>
      <c r="G201" s="39" t="n">
        <f aca="false">IF(OR(F201="",F201=0),"",D201/F201)</f>
        <v>0.42658349328215</v>
      </c>
      <c r="H201" s="39" t="n">
        <f aca="false">IF(OR(F201="",F201=0),"",E201/F201)</f>
        <v>0.57341650671785</v>
      </c>
      <c r="I201" s="38" t="s">
        <v>89</v>
      </c>
      <c r="J201" s="40" t="n">
        <v>1.26135644325249</v>
      </c>
      <c r="K201" s="39" t="n">
        <f aca="false">IF(G201="","",MAX(0,G201-J201/100))</f>
        <v>0.413969928849625</v>
      </c>
      <c r="L201" s="39" t="n">
        <f aca="false">IF(G201="","",MIN(1,G201+J201/100))</f>
        <v>0.439197057714675</v>
      </c>
      <c r="M201" s="21" t="n">
        <f aca="false">ROUND(Q201*S201,0)</f>
        <v>291</v>
      </c>
      <c r="N201" s="21" t="n">
        <f aca="false">ROUND(SQRT((F201*J201/100)^2+(G201*M201)^2),0)</f>
        <v>127</v>
      </c>
      <c r="P201" s="41" t="n">
        <v>-10.0217272427519</v>
      </c>
      <c r="Q201" s="42" t="n">
        <v>2083.70654450426</v>
      </c>
      <c r="R201" s="43" t="n">
        <f aca="false">MAX(0,MIN(1,P201/100+$D$5))</f>
        <v>0.426767426149103</v>
      </c>
      <c r="S201" s="43" t="n">
        <v>0.139463116518417</v>
      </c>
      <c r="T201" s="44" t="s">
        <v>128</v>
      </c>
    </row>
    <row r="202" customFormat="false" ht="15" hidden="false" customHeight="false" outlineLevel="0" collapsed="false">
      <c r="A202" s="38" t="s">
        <v>157</v>
      </c>
      <c r="B202" s="38" t="s">
        <v>312</v>
      </c>
      <c r="C202" s="38" t="s">
        <v>313</v>
      </c>
      <c r="D202" s="21" t="n">
        <f aca="false">ROUND(Q202*R202,0)</f>
        <v>1004</v>
      </c>
      <c r="E202" s="21" t="n">
        <f aca="false">ROUND(Q202,0)-D202</f>
        <v>846</v>
      </c>
      <c r="F202" s="21" t="n">
        <f aca="false">IF(COUNTA(D202:E202)=0,"",SUM(D202:E202))</f>
        <v>1850</v>
      </c>
      <c r="G202" s="39" t="n">
        <f aca="false">IF(OR(F202="",F202=0),"",D202/F202)</f>
        <v>0.542702702702703</v>
      </c>
      <c r="H202" s="39" t="n">
        <f aca="false">IF(OR(F202="",F202=0),"",E202/F202)</f>
        <v>0.457297297297297</v>
      </c>
      <c r="I202" s="38" t="s">
        <v>89</v>
      </c>
      <c r="J202" s="40" t="n">
        <v>1.26135644325249</v>
      </c>
      <c r="K202" s="39" t="n">
        <f aca="false">IF(G202="","",MAX(0,G202-J202/100))</f>
        <v>0.530089138270178</v>
      </c>
      <c r="L202" s="39" t="n">
        <f aca="false">IF(G202="","",MIN(1,G202+J202/100))</f>
        <v>0.555316267135228</v>
      </c>
      <c r="M202" s="21" t="n">
        <f aca="false">ROUND(Q202*S202,0)</f>
        <v>258</v>
      </c>
      <c r="N202" s="21" t="n">
        <f aca="false">ROUND(SQRT((F202*J202/100)^2+(G202*M202)^2),0)</f>
        <v>142</v>
      </c>
      <c r="P202" s="41" t="n">
        <v>1.57885368845354</v>
      </c>
      <c r="Q202" s="42" t="n">
        <v>1849.71424601101</v>
      </c>
      <c r="R202" s="43" t="n">
        <f aca="false">MAX(0,MIN(1,P202/100+$D$5))</f>
        <v>0.542773235461157</v>
      </c>
      <c r="S202" s="43" t="n">
        <v>0.139463116518417</v>
      </c>
      <c r="T202" s="44" t="s">
        <v>128</v>
      </c>
    </row>
    <row r="203" customFormat="false" ht="15" hidden="false" customHeight="false" outlineLevel="0" collapsed="false">
      <c r="A203" s="38" t="s">
        <v>157</v>
      </c>
      <c r="B203" s="38" t="s">
        <v>312</v>
      </c>
      <c r="C203" s="38" t="s">
        <v>314</v>
      </c>
      <c r="D203" s="21" t="n">
        <f aca="false">ROUND(Q203*R203,0)</f>
        <v>706</v>
      </c>
      <c r="E203" s="21" t="n">
        <f aca="false">ROUND(Q203,0)-D203</f>
        <v>637</v>
      </c>
      <c r="F203" s="21" t="n">
        <f aca="false">IF(COUNTA(D203:E203)=0,"",SUM(D203:E203))</f>
        <v>1343</v>
      </c>
      <c r="G203" s="39" t="n">
        <f aca="false">IF(OR(F203="",F203=0),"",D203/F203)</f>
        <v>0.525688756515264</v>
      </c>
      <c r="H203" s="39" t="n">
        <f aca="false">IF(OR(F203="",F203=0),"",E203/F203)</f>
        <v>0.474311243484736</v>
      </c>
      <c r="I203" s="38" t="s">
        <v>89</v>
      </c>
      <c r="J203" s="40" t="n">
        <v>1.26135644325249</v>
      </c>
      <c r="K203" s="39" t="n">
        <f aca="false">IF(G203="","",MAX(0,G203-J203/100))</f>
        <v>0.51307519208274</v>
      </c>
      <c r="L203" s="39" t="n">
        <f aca="false">IF(G203="","",MIN(1,G203+J203/100))</f>
        <v>0.538302320947789</v>
      </c>
      <c r="M203" s="21" t="n">
        <f aca="false">ROUND(Q203*S203,0)</f>
        <v>187</v>
      </c>
      <c r="N203" s="21" t="n">
        <f aca="false">ROUND(SQRT((F203*J203/100)^2+(G203*M203)^2),0)</f>
        <v>100</v>
      </c>
      <c r="P203" s="41" t="n">
        <v>-0.109726192496918</v>
      </c>
      <c r="Q203" s="42" t="n">
        <v>1342.80580709445</v>
      </c>
      <c r="R203" s="43" t="n">
        <f aca="false">MAX(0,MIN(1,P203/100+$D$5))</f>
        <v>0.525887436651653</v>
      </c>
      <c r="S203" s="43" t="n">
        <v>0.139463116518417</v>
      </c>
      <c r="T203" s="44" t="s">
        <v>128</v>
      </c>
    </row>
    <row r="204" customFormat="false" ht="15" hidden="false" customHeight="false" outlineLevel="0" collapsed="false">
      <c r="A204" s="38" t="s">
        <v>157</v>
      </c>
      <c r="B204" s="38" t="s">
        <v>312</v>
      </c>
      <c r="C204" s="38" t="s">
        <v>315</v>
      </c>
      <c r="D204" s="21" t="n">
        <f aca="false">ROUND(Q204*R204,0)</f>
        <v>692</v>
      </c>
      <c r="E204" s="21" t="n">
        <f aca="false">ROUND(Q204,0)-D204</f>
        <v>607</v>
      </c>
      <c r="F204" s="21" t="n">
        <f aca="false">IF(COUNTA(D204:E204)=0,"",SUM(D204:E204))</f>
        <v>1299</v>
      </c>
      <c r="G204" s="39" t="n">
        <f aca="false">IF(OR(F204="",F204=0),"",D204/F204)</f>
        <v>0.532717474980754</v>
      </c>
      <c r="H204" s="39" t="n">
        <f aca="false">IF(OR(F204="",F204=0),"",E204/F204)</f>
        <v>0.467282525019246</v>
      </c>
      <c r="I204" s="38" t="s">
        <v>89</v>
      </c>
      <c r="J204" s="40" t="n">
        <v>1.26135644325249</v>
      </c>
      <c r="K204" s="39" t="n">
        <f aca="false">IF(G204="","",MAX(0,G204-J204/100))</f>
        <v>0.52010391054823</v>
      </c>
      <c r="L204" s="39" t="n">
        <f aca="false">IF(G204="","",MIN(1,G204+J204/100))</f>
        <v>0.545331039413279</v>
      </c>
      <c r="M204" s="21" t="n">
        <f aca="false">ROUND(Q204*S204,0)</f>
        <v>181</v>
      </c>
      <c r="N204" s="21" t="n">
        <f aca="false">ROUND(SQRT((F204*J204/100)^2+(G204*M204)^2),0)</f>
        <v>98</v>
      </c>
      <c r="P204" s="41" t="n">
        <v>0.552504101826005</v>
      </c>
      <c r="Q204" s="42" t="n">
        <v>1299.10961483991</v>
      </c>
      <c r="R204" s="43" t="n">
        <f aca="false">MAX(0,MIN(1,P204/100+$D$5))</f>
        <v>0.532509739594882</v>
      </c>
      <c r="S204" s="43" t="n">
        <v>0.139463116518417</v>
      </c>
      <c r="T204" s="44" t="s">
        <v>128</v>
      </c>
    </row>
    <row r="205" customFormat="false" ht="15" hidden="false" customHeight="false" outlineLevel="0" collapsed="false">
      <c r="A205" s="38" t="s">
        <v>157</v>
      </c>
      <c r="B205" s="38" t="s">
        <v>312</v>
      </c>
      <c r="C205" s="38" t="s">
        <v>316</v>
      </c>
      <c r="D205" s="21" t="n">
        <f aca="false">ROUND(Q205*R205,0)</f>
        <v>1568</v>
      </c>
      <c r="E205" s="21" t="n">
        <f aca="false">ROUND(Q205,0)-D205</f>
        <v>1388</v>
      </c>
      <c r="F205" s="21" t="n">
        <f aca="false">IF(COUNTA(D205:E205)=0,"",SUM(D205:E205))</f>
        <v>2956</v>
      </c>
      <c r="G205" s="39" t="n">
        <f aca="false">IF(OR(F205="",F205=0),"",D205/F205)</f>
        <v>0.530446549391069</v>
      </c>
      <c r="H205" s="39" t="n">
        <f aca="false">IF(OR(F205="",F205=0),"",E205/F205)</f>
        <v>0.469553450608931</v>
      </c>
      <c r="I205" s="38" t="s">
        <v>89</v>
      </c>
      <c r="J205" s="40" t="n">
        <v>1.26135644325249</v>
      </c>
      <c r="K205" s="39" t="n">
        <f aca="false">IF(G205="","",MAX(0,G205-J205/100))</f>
        <v>0.517832984958544</v>
      </c>
      <c r="L205" s="39" t="n">
        <f aca="false">IF(G205="","",MIN(1,G205+J205/100))</f>
        <v>0.543060113823594</v>
      </c>
      <c r="M205" s="21" t="n">
        <f aca="false">ROUND(Q205*S205,0)</f>
        <v>412</v>
      </c>
      <c r="N205" s="21" t="n">
        <f aca="false">ROUND(SQRT((F205*J205/100)^2+(G205*M205)^2),0)</f>
        <v>222</v>
      </c>
      <c r="P205" s="41" t="n">
        <v>0.324712743725244</v>
      </c>
      <c r="Q205" s="42" t="n">
        <v>2956.46039780832</v>
      </c>
      <c r="R205" s="43" t="n">
        <f aca="false">MAX(0,MIN(1,P205/100+$D$5))</f>
        <v>0.530231826013874</v>
      </c>
      <c r="S205" s="43" t="n">
        <v>0.139463116518417</v>
      </c>
      <c r="T205" s="44" t="s">
        <v>128</v>
      </c>
    </row>
    <row r="206" customFormat="false" ht="15" hidden="false" customHeight="false" outlineLevel="0" collapsed="false">
      <c r="A206" s="38" t="s">
        <v>157</v>
      </c>
      <c r="B206" s="38" t="s">
        <v>312</v>
      </c>
      <c r="C206" s="38" t="s">
        <v>317</v>
      </c>
      <c r="D206" s="21" t="n">
        <f aca="false">ROUND(Q206*R206,0)</f>
        <v>618</v>
      </c>
      <c r="E206" s="21" t="n">
        <f aca="false">ROUND(Q206,0)-D206</f>
        <v>512</v>
      </c>
      <c r="F206" s="21" t="n">
        <f aca="false">IF(COUNTA(D206:E206)=0,"",SUM(D206:E206))</f>
        <v>1130</v>
      </c>
      <c r="G206" s="39" t="n">
        <f aca="false">IF(OR(F206="",F206=0),"",D206/F206)</f>
        <v>0.546902654867257</v>
      </c>
      <c r="H206" s="39" t="n">
        <f aca="false">IF(OR(F206="",F206=0),"",E206/F206)</f>
        <v>0.453097345132743</v>
      </c>
      <c r="I206" s="38" t="s">
        <v>89</v>
      </c>
      <c r="J206" s="40" t="n">
        <v>2.12060277043418</v>
      </c>
      <c r="K206" s="39" t="n">
        <f aca="false">IF(G206="","",MAX(0,G206-J206/100))</f>
        <v>0.525696627162915</v>
      </c>
      <c r="L206" s="39" t="n">
        <f aca="false">IF(G206="","",MIN(1,G206+J206/100))</f>
        <v>0.568108682571598</v>
      </c>
      <c r="M206" s="21" t="n">
        <f aca="false">ROUND(Q206*S206,0)</f>
        <v>72</v>
      </c>
      <c r="N206" s="21" t="n">
        <f aca="false">ROUND(SQRT((F206*J206/100)^2+(G206*M206)^2),0)</f>
        <v>46</v>
      </c>
      <c r="P206" s="41" t="n">
        <v>2.02810309945534</v>
      </c>
      <c r="Q206" s="42" t="n">
        <v>1129.77870338731</v>
      </c>
      <c r="R206" s="43" t="n">
        <f aca="false">MAX(0,MIN(1,P206/100+$D$5))</f>
        <v>0.547265729571175</v>
      </c>
      <c r="S206" s="43" t="n">
        <v>0.0633793435818552</v>
      </c>
      <c r="T206" s="44" t="s">
        <v>99</v>
      </c>
    </row>
    <row r="207" customFormat="false" ht="15" hidden="false" customHeight="false" outlineLevel="0" collapsed="false">
      <c r="A207" s="38" t="s">
        <v>157</v>
      </c>
      <c r="B207" s="38" t="s">
        <v>312</v>
      </c>
      <c r="C207" s="38" t="s">
        <v>318</v>
      </c>
      <c r="D207" s="21" t="n">
        <f aca="false">ROUND(Q207*R207,0)</f>
        <v>624</v>
      </c>
      <c r="E207" s="21" t="n">
        <f aca="false">ROUND(Q207,0)-D207</f>
        <v>481</v>
      </c>
      <c r="F207" s="21" t="n">
        <f aca="false">IF(COUNTA(D207:E207)=0,"",SUM(D207:E207))</f>
        <v>1105</v>
      </c>
      <c r="G207" s="39" t="n">
        <f aca="false">IF(OR(F207="",F207=0),"",D207/F207)</f>
        <v>0.564705882352941</v>
      </c>
      <c r="H207" s="39" t="n">
        <f aca="false">IF(OR(F207="",F207=0),"",E207/F207)</f>
        <v>0.435294117647059</v>
      </c>
      <c r="I207" s="38" t="s">
        <v>89</v>
      </c>
      <c r="J207" s="40" t="n">
        <v>2.12060277043418</v>
      </c>
      <c r="K207" s="39" t="n">
        <f aca="false">IF(G207="","",MAX(0,G207-J207/100))</f>
        <v>0.543499854648599</v>
      </c>
      <c r="L207" s="39" t="n">
        <f aca="false">IF(G207="","",MIN(1,G207+J207/100))</f>
        <v>0.585911910057283</v>
      </c>
      <c r="M207" s="21" t="n">
        <f aca="false">ROUND(Q207*S207,0)</f>
        <v>70</v>
      </c>
      <c r="N207" s="21" t="n">
        <f aca="false">ROUND(SQRT((F207*J207/100)^2+(G207*M207)^2),0)</f>
        <v>46</v>
      </c>
      <c r="P207" s="41" t="n">
        <v>3.78454518042345</v>
      </c>
      <c r="Q207" s="42" t="n">
        <v>1105.37458204687</v>
      </c>
      <c r="R207" s="43" t="n">
        <f aca="false">MAX(0,MIN(1,P207/100+$D$5))</f>
        <v>0.564830150380856</v>
      </c>
      <c r="S207" s="43" t="n">
        <v>0.0633793435818552</v>
      </c>
      <c r="T207" s="44" t="s">
        <v>99</v>
      </c>
    </row>
    <row r="208" customFormat="false" ht="15" hidden="false" customHeight="false" outlineLevel="0" collapsed="false">
      <c r="A208" s="38" t="s">
        <v>157</v>
      </c>
      <c r="B208" s="38" t="s">
        <v>319</v>
      </c>
      <c r="C208" s="38" t="s">
        <v>320</v>
      </c>
      <c r="D208" s="21" t="n">
        <f aca="false">ROUND(Q208*R208,0)</f>
        <v>222</v>
      </c>
      <c r="E208" s="21" t="n">
        <f aca="false">ROUND(Q208,0)-D208</f>
        <v>412</v>
      </c>
      <c r="F208" s="21" t="n">
        <f aca="false">IF(COUNTA(D208:E208)=0,"",SUM(D208:E208))</f>
        <v>634</v>
      </c>
      <c r="G208" s="39" t="n">
        <f aca="false">IF(OR(F208="",F208=0),"",D208/F208)</f>
        <v>0.350157728706625</v>
      </c>
      <c r="H208" s="39" t="n">
        <f aca="false">IF(OR(F208="",F208=0),"",E208/F208)</f>
        <v>0.649842271293375</v>
      </c>
      <c r="I208" s="38" t="s">
        <v>89</v>
      </c>
      <c r="J208" s="40" t="n">
        <v>3.7041269898902</v>
      </c>
      <c r="K208" s="39" t="n">
        <f aca="false">IF(G208="","",MAX(0,G208-J208/100))</f>
        <v>0.313116458807723</v>
      </c>
      <c r="L208" s="39" t="n">
        <f aca="false">IF(G208="","",MIN(1,G208+J208/100))</f>
        <v>0.387198998605527</v>
      </c>
      <c r="M208" s="21" t="n">
        <f aca="false">ROUND(Q208*S208,0)</f>
        <v>49</v>
      </c>
      <c r="N208" s="21" t="n">
        <f aca="false">ROUND(SQRT((F208*J208/100)^2+(G208*M208)^2),0)</f>
        <v>29</v>
      </c>
      <c r="P208" s="41" t="n">
        <v>-17.632921383623</v>
      </c>
      <c r="Q208" s="42" t="n">
        <v>633.699846312276</v>
      </c>
      <c r="R208" s="43" t="n">
        <f aca="false">MAX(0,MIN(1,P208/100+$D$5))</f>
        <v>0.350655484740392</v>
      </c>
      <c r="S208" s="43" t="n">
        <v>0.0779420971553049</v>
      </c>
      <c r="T208" s="44" t="s">
        <v>90</v>
      </c>
    </row>
    <row r="209" customFormat="false" ht="15" hidden="false" customHeight="false" outlineLevel="0" collapsed="false">
      <c r="A209" s="38" t="s">
        <v>157</v>
      </c>
      <c r="B209" s="38" t="s">
        <v>319</v>
      </c>
      <c r="C209" s="38" t="s">
        <v>321</v>
      </c>
      <c r="D209" s="21" t="n">
        <f aca="false">ROUND(Q209*R209,0)</f>
        <v>767</v>
      </c>
      <c r="E209" s="21" t="n">
        <f aca="false">ROUND(Q209,0)-D209</f>
        <v>1275</v>
      </c>
      <c r="F209" s="21" t="n">
        <f aca="false">IF(COUNTA(D209:E209)=0,"",SUM(D209:E209))</f>
        <v>2042</v>
      </c>
      <c r="G209" s="39" t="n">
        <f aca="false">IF(OR(F209="",F209=0),"",D209/F209)</f>
        <v>0.375612144955926</v>
      </c>
      <c r="H209" s="39" t="n">
        <f aca="false">IF(OR(F209="",F209=0),"",E209/F209)</f>
        <v>0.624387855044075</v>
      </c>
      <c r="I209" s="38" t="s">
        <v>89</v>
      </c>
      <c r="J209" s="40" t="n">
        <v>1.26135644325249</v>
      </c>
      <c r="K209" s="39" t="n">
        <f aca="false">IF(G209="","",MAX(0,G209-J209/100))</f>
        <v>0.362998580523401</v>
      </c>
      <c r="L209" s="39" t="n">
        <f aca="false">IF(G209="","",MIN(1,G209+J209/100))</f>
        <v>0.38822570938845</v>
      </c>
      <c r="M209" s="21" t="n">
        <f aca="false">ROUND(Q209*S209,0)</f>
        <v>285</v>
      </c>
      <c r="N209" s="21" t="n">
        <f aca="false">ROUND(SQRT((F209*J209/100)^2+(G209*M209)^2),0)</f>
        <v>110</v>
      </c>
      <c r="P209" s="41" t="n">
        <v>-15.1453446685907</v>
      </c>
      <c r="Q209" s="42" t="n">
        <v>2042.05315340809</v>
      </c>
      <c r="R209" s="43" t="n">
        <f aca="false">MAX(0,MIN(1,P209/100+$D$5))</f>
        <v>0.375531251890714</v>
      </c>
      <c r="S209" s="43" t="n">
        <v>0.139463116518417</v>
      </c>
      <c r="T209" s="44" t="s">
        <v>128</v>
      </c>
    </row>
    <row r="210" customFormat="false" ht="15" hidden="false" customHeight="false" outlineLevel="0" collapsed="false">
      <c r="A210" s="38" t="s">
        <v>157</v>
      </c>
      <c r="B210" s="38" t="s">
        <v>319</v>
      </c>
      <c r="C210" s="38" t="s">
        <v>322</v>
      </c>
      <c r="D210" s="21" t="n">
        <f aca="false">ROUND(Q210*R210,0)</f>
        <v>180</v>
      </c>
      <c r="E210" s="21" t="n">
        <f aca="false">ROUND(Q210,0)-D210</f>
        <v>382</v>
      </c>
      <c r="F210" s="21" t="n">
        <f aca="false">IF(COUNTA(D210:E210)=0,"",SUM(D210:E210))</f>
        <v>562</v>
      </c>
      <c r="G210" s="39" t="n">
        <f aca="false">IF(OR(F210="",F210=0),"",D210/F210)</f>
        <v>0.320284697508897</v>
      </c>
      <c r="H210" s="39" t="n">
        <f aca="false">IF(OR(F210="",F210=0),"",E210/F210)</f>
        <v>0.679715302491103</v>
      </c>
      <c r="I210" s="38" t="s">
        <v>89</v>
      </c>
      <c r="J210" s="40" t="n">
        <v>3.7041269898902</v>
      </c>
      <c r="K210" s="39" t="n">
        <f aca="false">IF(G210="","",MAX(0,G210-J210/100))</f>
        <v>0.283243427609995</v>
      </c>
      <c r="L210" s="39" t="n">
        <f aca="false">IF(G210="","",MIN(1,G210+J210/100))</f>
        <v>0.357325967407799</v>
      </c>
      <c r="M210" s="21" t="n">
        <f aca="false">ROUND(Q210*S210,0)</f>
        <v>44</v>
      </c>
      <c r="N210" s="21" t="n">
        <f aca="false">ROUND(SQRT((F210*J210/100)^2+(G210*M210)^2),0)</f>
        <v>25</v>
      </c>
      <c r="P210" s="41" t="n">
        <v>-20.6341910463658</v>
      </c>
      <c r="Q210" s="42" t="n">
        <v>561.720145461754</v>
      </c>
      <c r="R210" s="43" t="n">
        <f aca="false">MAX(0,MIN(1,P210/100+$D$5))</f>
        <v>0.320642788112964</v>
      </c>
      <c r="S210" s="43" t="n">
        <v>0.0779420971553049</v>
      </c>
      <c r="T210" s="44" t="s">
        <v>90</v>
      </c>
    </row>
    <row r="211" customFormat="false" ht="15" hidden="false" customHeight="false" outlineLevel="0" collapsed="false">
      <c r="A211" s="38" t="s">
        <v>157</v>
      </c>
      <c r="B211" s="38" t="s">
        <v>323</v>
      </c>
      <c r="C211" s="38" t="s">
        <v>323</v>
      </c>
      <c r="D211" s="21" t="n">
        <f aca="false">ROUND(Q211*R211,0)</f>
        <v>1115</v>
      </c>
      <c r="E211" s="21" t="n">
        <f aca="false">ROUND(Q211,0)-D211</f>
        <v>1745</v>
      </c>
      <c r="F211" s="21" t="n">
        <f aca="false">IF(COUNTA(D211:E211)=0,"",SUM(D211:E211))</f>
        <v>2860</v>
      </c>
      <c r="G211" s="39" t="n">
        <f aca="false">IF(OR(F211="",F211=0),"",D211/F211)</f>
        <v>0.38986013986014</v>
      </c>
      <c r="H211" s="39" t="n">
        <f aca="false">IF(OR(F211="",F211=0),"",E211/F211)</f>
        <v>0.61013986013986</v>
      </c>
      <c r="I211" s="38" t="s">
        <v>89</v>
      </c>
      <c r="J211" s="40" t="n">
        <v>1.26135644325249</v>
      </c>
      <c r="K211" s="39" t="n">
        <f aca="false">IF(G211="","",MAX(0,G211-J211/100))</f>
        <v>0.377246575427615</v>
      </c>
      <c r="L211" s="39" t="n">
        <f aca="false">IF(G211="","",MIN(1,G211+J211/100))</f>
        <v>0.402473704292665</v>
      </c>
      <c r="M211" s="21" t="n">
        <f aca="false">ROUND(Q211*S211,0)</f>
        <v>399</v>
      </c>
      <c r="N211" s="21" t="n">
        <f aca="false">ROUND(SQRT((F211*J211/100)^2+(G211*M211)^2),0)</f>
        <v>160</v>
      </c>
      <c r="P211" s="41" t="n">
        <v>-13.7183501687507</v>
      </c>
      <c r="Q211" s="42" t="n">
        <v>2860.45764136364</v>
      </c>
      <c r="R211" s="43" t="n">
        <f aca="false">MAX(0,MIN(1,P211/100+$D$5))</f>
        <v>0.389801196889115</v>
      </c>
      <c r="S211" s="43" t="n">
        <v>0.139463116518417</v>
      </c>
      <c r="T211" s="44" t="s">
        <v>128</v>
      </c>
    </row>
    <row r="212" customFormat="false" ht="15" hidden="false" customHeight="false" outlineLevel="0" collapsed="false">
      <c r="A212" s="38" t="s">
        <v>157</v>
      </c>
      <c r="B212" s="38" t="s">
        <v>324</v>
      </c>
      <c r="C212" s="38" t="s">
        <v>325</v>
      </c>
      <c r="D212" s="21" t="n">
        <f aca="false">ROUND(Q212*R212,0)</f>
        <v>748</v>
      </c>
      <c r="E212" s="21" t="n">
        <f aca="false">ROUND(Q212,0)-D212</f>
        <v>678</v>
      </c>
      <c r="F212" s="21" t="n">
        <f aca="false">IF(COUNTA(D212:E212)=0,"",SUM(D212:E212))</f>
        <v>1426</v>
      </c>
      <c r="G212" s="39" t="n">
        <f aca="false">IF(OR(F212="",F212=0),"",D212/F212)</f>
        <v>0.524544179523142</v>
      </c>
      <c r="H212" s="39" t="n">
        <f aca="false">IF(OR(F212="",F212=0),"",E212/F212)</f>
        <v>0.475455820476858</v>
      </c>
      <c r="I212" s="38" t="s">
        <v>89</v>
      </c>
      <c r="J212" s="40" t="n">
        <v>1.26135644325249</v>
      </c>
      <c r="K212" s="39" t="n">
        <f aca="false">IF(G212="","",MAX(0,G212-J212/100))</f>
        <v>0.511930615090617</v>
      </c>
      <c r="L212" s="39" t="n">
        <f aca="false">IF(G212="","",MIN(1,G212+J212/100))</f>
        <v>0.537157743955667</v>
      </c>
      <c r="M212" s="21" t="n">
        <f aca="false">ROUND(Q212*S212,0)</f>
        <v>199</v>
      </c>
      <c r="N212" s="21" t="n">
        <f aca="false">ROUND(SQRT((F212*J212/100)^2+(G212*M212)^2),0)</f>
        <v>106</v>
      </c>
      <c r="P212" s="41" t="n">
        <v>-0.200509955943677</v>
      </c>
      <c r="Q212" s="42" t="n">
        <v>1425.72478429579</v>
      </c>
      <c r="R212" s="43" t="n">
        <f aca="false">MAX(0,MIN(1,P212/100+$D$5))</f>
        <v>0.524979599017185</v>
      </c>
      <c r="S212" s="43" t="n">
        <v>0.139463116518417</v>
      </c>
      <c r="T212" s="44" t="s">
        <v>128</v>
      </c>
    </row>
    <row r="213" customFormat="false" ht="15" hidden="false" customHeight="false" outlineLevel="0" collapsed="false">
      <c r="A213" s="38" t="s">
        <v>157</v>
      </c>
      <c r="B213" s="38" t="s">
        <v>324</v>
      </c>
      <c r="C213" s="38" t="s">
        <v>326</v>
      </c>
      <c r="D213" s="21" t="n">
        <f aca="false">ROUND(Q213*R213,0)</f>
        <v>529</v>
      </c>
      <c r="E213" s="21" t="n">
        <f aca="false">ROUND(Q213,0)-D213</f>
        <v>479</v>
      </c>
      <c r="F213" s="21" t="n">
        <f aca="false">IF(COUNTA(D213:E213)=0,"",SUM(D213:E213))</f>
        <v>1008</v>
      </c>
      <c r="G213" s="39" t="n">
        <f aca="false">IF(OR(F213="",F213=0),"",D213/F213)</f>
        <v>0.524801587301587</v>
      </c>
      <c r="H213" s="39" t="n">
        <f aca="false">IF(OR(F213="",F213=0),"",E213/F213)</f>
        <v>0.475198412698413</v>
      </c>
      <c r="I213" s="38" t="s">
        <v>89</v>
      </c>
      <c r="J213" s="40" t="n">
        <v>2.12060277043418</v>
      </c>
      <c r="K213" s="39" t="n">
        <f aca="false">IF(G213="","",MAX(0,G213-J213/100))</f>
        <v>0.503595559597246</v>
      </c>
      <c r="L213" s="39" t="n">
        <f aca="false">IF(G213="","",MIN(1,G213+J213/100))</f>
        <v>0.546007615005929</v>
      </c>
      <c r="M213" s="21" t="n">
        <f aca="false">ROUND(Q213*S213,0)</f>
        <v>64</v>
      </c>
      <c r="N213" s="21" t="n">
        <f aca="false">ROUND(SQRT((F213*J213/100)^2+(G213*M213)^2),0)</f>
        <v>40</v>
      </c>
      <c r="P213" s="41" t="n">
        <v>-0.220753062720389</v>
      </c>
      <c r="Q213" s="42" t="n">
        <v>1007.93906140738</v>
      </c>
      <c r="R213" s="43" t="n">
        <f aca="false">MAX(0,MIN(1,P213/100+$D$5))</f>
        <v>0.524777167949418</v>
      </c>
      <c r="S213" s="43" t="n">
        <v>0.0633793435818552</v>
      </c>
      <c r="T213" s="44" t="s">
        <v>99</v>
      </c>
    </row>
    <row r="214" customFormat="false" ht="15" hidden="false" customHeight="false" outlineLevel="0" collapsed="false">
      <c r="A214" s="38" t="s">
        <v>157</v>
      </c>
      <c r="B214" s="38" t="s">
        <v>324</v>
      </c>
      <c r="C214" s="38" t="s">
        <v>327</v>
      </c>
      <c r="D214" s="21" t="n">
        <f aca="false">ROUND(Q214*R214,0)</f>
        <v>578</v>
      </c>
      <c r="E214" s="21" t="n">
        <f aca="false">ROUND(Q214,0)-D214</f>
        <v>388</v>
      </c>
      <c r="F214" s="21" t="n">
        <f aca="false">IF(COUNTA(D214:E214)=0,"",SUM(D214:E214))</f>
        <v>966</v>
      </c>
      <c r="G214" s="39" t="n">
        <f aca="false">IF(OR(F214="",F214=0),"",D214/F214)</f>
        <v>0.598343685300207</v>
      </c>
      <c r="H214" s="39" t="n">
        <f aca="false">IF(OR(F214="",F214=0),"",E214/F214)</f>
        <v>0.401656314699793</v>
      </c>
      <c r="I214" s="38" t="s">
        <v>89</v>
      </c>
      <c r="J214" s="40" t="n">
        <v>2.12060277043418</v>
      </c>
      <c r="K214" s="39" t="n">
        <f aca="false">IF(G214="","",MAX(0,G214-J214/100))</f>
        <v>0.577137657595865</v>
      </c>
      <c r="L214" s="39" t="n">
        <f aca="false">IF(G214="","",MIN(1,G214+J214/100))</f>
        <v>0.619549713004549</v>
      </c>
      <c r="M214" s="21" t="n">
        <f aca="false">ROUND(Q214*S214,0)</f>
        <v>61</v>
      </c>
      <c r="N214" s="21" t="n">
        <f aca="false">ROUND(SQRT((F214*J214/100)^2+(G214*M214)^2),0)</f>
        <v>42</v>
      </c>
      <c r="P214" s="41" t="n">
        <v>7.13945117368898</v>
      </c>
      <c r="Q214" s="42" t="n">
        <v>966.280485297126</v>
      </c>
      <c r="R214" s="43" t="n">
        <f aca="false">MAX(0,MIN(1,P214/100+$D$5))</f>
        <v>0.598379210313512</v>
      </c>
      <c r="S214" s="43" t="n">
        <v>0.0633793435818552</v>
      </c>
      <c r="T214" s="44" t="s">
        <v>99</v>
      </c>
    </row>
    <row r="215" customFormat="false" ht="15" hidden="false" customHeight="false" outlineLevel="0" collapsed="false">
      <c r="A215" s="38" t="s">
        <v>157</v>
      </c>
      <c r="B215" s="38" t="s">
        <v>324</v>
      </c>
      <c r="C215" s="38" t="s">
        <v>328</v>
      </c>
      <c r="D215" s="21" t="n">
        <f aca="false">ROUND(Q215*R215,0)</f>
        <v>633</v>
      </c>
      <c r="E215" s="21" t="n">
        <f aca="false">ROUND(Q215,0)-D215</f>
        <v>385</v>
      </c>
      <c r="F215" s="21" t="n">
        <f aca="false">IF(COUNTA(D215:E215)=0,"",SUM(D215:E215))</f>
        <v>1018</v>
      </c>
      <c r="G215" s="39" t="n">
        <f aca="false">IF(OR(F215="",F215=0),"",D215/F215)</f>
        <v>0.621807465618861</v>
      </c>
      <c r="H215" s="39" t="n">
        <f aca="false">IF(OR(F215="",F215=0),"",E215/F215)</f>
        <v>0.37819253438114</v>
      </c>
      <c r="I215" s="38" t="s">
        <v>89</v>
      </c>
      <c r="J215" s="40" t="n">
        <v>2.12060277043418</v>
      </c>
      <c r="K215" s="39" t="n">
        <f aca="false">IF(G215="","",MAX(0,G215-J215/100))</f>
        <v>0.600601437914519</v>
      </c>
      <c r="L215" s="39" t="n">
        <f aca="false">IF(G215="","",MIN(1,G215+J215/100))</f>
        <v>0.643013493323202</v>
      </c>
      <c r="M215" s="21" t="n">
        <f aca="false">ROUND(Q215*S215,0)</f>
        <v>65</v>
      </c>
      <c r="N215" s="21" t="n">
        <f aca="false">ROUND(SQRT((F215*J215/100)^2+(G215*M215)^2),0)</f>
        <v>46</v>
      </c>
      <c r="P215" s="41" t="n">
        <v>9.4321979037582</v>
      </c>
      <c r="Q215" s="42" t="n">
        <v>1018.19298242251</v>
      </c>
      <c r="R215" s="43" t="n">
        <f aca="false">MAX(0,MIN(1,P215/100+$D$5))</f>
        <v>0.621306677614204</v>
      </c>
      <c r="S215" s="43" t="n">
        <v>0.0633793435818552</v>
      </c>
      <c r="T215" s="44" t="s">
        <v>99</v>
      </c>
    </row>
    <row r="216" customFormat="false" ht="15" hidden="false" customHeight="false" outlineLevel="0" collapsed="false">
      <c r="A216" s="38" t="s">
        <v>157</v>
      </c>
      <c r="B216" s="38" t="s">
        <v>324</v>
      </c>
      <c r="C216" s="38" t="s">
        <v>329</v>
      </c>
      <c r="D216" s="21" t="n">
        <f aca="false">ROUND(Q216*R216,0)</f>
        <v>244</v>
      </c>
      <c r="E216" s="21" t="n">
        <f aca="false">ROUND(Q216,0)-D216</f>
        <v>168</v>
      </c>
      <c r="F216" s="21" t="n">
        <f aca="false">IF(COUNTA(D216:E216)=0,"",SUM(D216:E216))</f>
        <v>412</v>
      </c>
      <c r="G216" s="39" t="n">
        <f aca="false">IF(OR(F216="",F216=0),"",D216/F216)</f>
        <v>0.592233009708738</v>
      </c>
      <c r="H216" s="39" t="n">
        <f aca="false">IF(OR(F216="",F216=0),"",E216/F216)</f>
        <v>0.407766990291262</v>
      </c>
      <c r="I216" s="38" t="s">
        <v>89</v>
      </c>
      <c r="J216" s="40" t="n">
        <v>3.7041269898902</v>
      </c>
      <c r="K216" s="39" t="n">
        <f aca="false">IF(G216="","",MAX(0,G216-J216/100))</f>
        <v>0.555191739809836</v>
      </c>
      <c r="L216" s="39" t="n">
        <f aca="false">IF(G216="","",MIN(1,G216+J216/100))</f>
        <v>0.62927427960764</v>
      </c>
      <c r="M216" s="21" t="n">
        <f aca="false">ROUND(Q216*S216,0)</f>
        <v>32</v>
      </c>
      <c r="N216" s="21" t="n">
        <f aca="false">ROUND(SQRT((F216*J216/100)^2+(G216*M216)^2),0)</f>
        <v>24</v>
      </c>
      <c r="P216" s="41" t="n">
        <v>6.46731565939054</v>
      </c>
      <c r="Q216" s="42" t="n">
        <v>412.011539243718</v>
      </c>
      <c r="R216" s="43" t="n">
        <f aca="false">MAX(0,MIN(1,P216/100+$D$5))</f>
        <v>0.591657855170527</v>
      </c>
      <c r="S216" s="43" t="n">
        <v>0.0779420971553049</v>
      </c>
      <c r="T216" s="44" t="s">
        <v>90</v>
      </c>
    </row>
    <row r="217" customFormat="false" ht="15" hidden="false" customHeight="false" outlineLevel="0" collapsed="false">
      <c r="A217" s="38" t="s">
        <v>157</v>
      </c>
      <c r="B217" s="38" t="s">
        <v>324</v>
      </c>
      <c r="C217" s="38" t="s">
        <v>330</v>
      </c>
      <c r="D217" s="21" t="n">
        <f aca="false">ROUND(Q217*R217,0)</f>
        <v>333</v>
      </c>
      <c r="E217" s="21" t="n">
        <f aca="false">ROUND(Q217,0)-D217</f>
        <v>191</v>
      </c>
      <c r="F217" s="21" t="n">
        <f aca="false">IF(COUNTA(D217:E217)=0,"",SUM(D217:E217))</f>
        <v>524</v>
      </c>
      <c r="G217" s="39" t="n">
        <f aca="false">IF(OR(F217="",F217=0),"",D217/F217)</f>
        <v>0.635496183206107</v>
      </c>
      <c r="H217" s="39" t="n">
        <f aca="false">IF(OR(F217="",F217=0),"",E217/F217)</f>
        <v>0.364503816793893</v>
      </c>
      <c r="I217" s="38" t="s">
        <v>89</v>
      </c>
      <c r="J217" s="40" t="n">
        <v>3.7041269898902</v>
      </c>
      <c r="K217" s="39" t="n">
        <f aca="false">IF(G217="","",MAX(0,G217-J217/100))</f>
        <v>0.598454913307205</v>
      </c>
      <c r="L217" s="39" t="n">
        <f aca="false">IF(G217="","",MIN(1,G217+J217/100))</f>
        <v>0.672537453105009</v>
      </c>
      <c r="M217" s="21" t="n">
        <f aca="false">ROUND(Q217*S217,0)</f>
        <v>41</v>
      </c>
      <c r="N217" s="21" t="n">
        <f aca="false">ROUND(SQRT((F217*J217/100)^2+(G217*M217)^2),0)</f>
        <v>32</v>
      </c>
      <c r="P217" s="41" t="n">
        <v>10.8775220724043</v>
      </c>
      <c r="Q217" s="42" t="n">
        <v>524.418890809018</v>
      </c>
      <c r="R217" s="43" t="n">
        <f aca="false">MAX(0,MIN(1,P217/100+$D$5))</f>
        <v>0.635759919300665</v>
      </c>
      <c r="S217" s="43" t="n">
        <v>0.0779420971553049</v>
      </c>
      <c r="T217" s="44" t="s">
        <v>90</v>
      </c>
    </row>
    <row r="218" customFormat="false" ht="15" hidden="false" customHeight="false" outlineLevel="0" collapsed="false">
      <c r="A218" s="38" t="s">
        <v>157</v>
      </c>
      <c r="B218" s="38" t="s">
        <v>324</v>
      </c>
      <c r="C218" s="38" t="s">
        <v>331</v>
      </c>
      <c r="D218" s="21" t="n">
        <f aca="false">ROUND(Q218*R218,0)</f>
        <v>433</v>
      </c>
      <c r="E218" s="21" t="n">
        <f aca="false">ROUND(Q218,0)-D218</f>
        <v>288</v>
      </c>
      <c r="F218" s="21" t="n">
        <f aca="false">IF(COUNTA(D218:E218)=0,"",SUM(D218:E218))</f>
        <v>721</v>
      </c>
      <c r="G218" s="39" t="n">
        <f aca="false">IF(OR(F218="",F218=0),"",D218/F218)</f>
        <v>0.600554785020804</v>
      </c>
      <c r="H218" s="39" t="n">
        <f aca="false">IF(OR(F218="",F218=0),"",E218/F218)</f>
        <v>0.399445214979196</v>
      </c>
      <c r="I218" s="38" t="s">
        <v>89</v>
      </c>
      <c r="J218" s="40" t="n">
        <v>3.7041269898902</v>
      </c>
      <c r="K218" s="39" t="n">
        <f aca="false">IF(G218="","",MAX(0,G218-J218/100))</f>
        <v>0.563513515121902</v>
      </c>
      <c r="L218" s="39" t="n">
        <f aca="false">IF(G218="","",MIN(1,G218+J218/100))</f>
        <v>0.637596054919706</v>
      </c>
      <c r="M218" s="21" t="n">
        <f aca="false">ROUND(Q218*S218,0)</f>
        <v>56</v>
      </c>
      <c r="N218" s="21" t="n">
        <f aca="false">ROUND(SQRT((F218*J218/100)^2+(G218*M218)^2),0)</f>
        <v>43</v>
      </c>
      <c r="P218" s="41" t="n">
        <v>7.30541589452001</v>
      </c>
      <c r="Q218" s="42" t="n">
        <v>721.186242236488</v>
      </c>
      <c r="R218" s="43" t="n">
        <f aca="false">MAX(0,MIN(1,P218/100+$D$5))</f>
        <v>0.600038857521822</v>
      </c>
      <c r="S218" s="43" t="n">
        <v>0.0779420971553049</v>
      </c>
      <c r="T218" s="44" t="s">
        <v>90</v>
      </c>
    </row>
    <row r="219" customFormat="false" ht="15" hidden="false" customHeight="false" outlineLevel="0" collapsed="false">
      <c r="A219" s="38" t="s">
        <v>157</v>
      </c>
      <c r="B219" s="38" t="s">
        <v>324</v>
      </c>
      <c r="C219" s="38" t="s">
        <v>332</v>
      </c>
      <c r="D219" s="21" t="n">
        <f aca="false">ROUND(Q219*R219,0)</f>
        <v>244</v>
      </c>
      <c r="E219" s="21" t="n">
        <f aca="false">ROUND(Q219,0)-D219</f>
        <v>221</v>
      </c>
      <c r="F219" s="21" t="n">
        <f aca="false">IF(COUNTA(D219:E219)=0,"",SUM(D219:E219))</f>
        <v>465</v>
      </c>
      <c r="G219" s="39" t="n">
        <f aca="false">IF(OR(F219="",F219=0),"",D219/F219)</f>
        <v>0.524731182795699</v>
      </c>
      <c r="H219" s="39" t="n">
        <f aca="false">IF(OR(F219="",F219=0),"",E219/F219)</f>
        <v>0.475268817204301</v>
      </c>
      <c r="I219" s="38" t="s">
        <v>89</v>
      </c>
      <c r="J219" s="40" t="n">
        <v>3.7041269898902</v>
      </c>
      <c r="K219" s="39" t="n">
        <f aca="false">IF(G219="","",MAX(0,G219-J219/100))</f>
        <v>0.487689912896797</v>
      </c>
      <c r="L219" s="39" t="n">
        <f aca="false">IF(G219="","",MIN(1,G219+J219/100))</f>
        <v>0.561772452694601</v>
      </c>
      <c r="M219" s="21" t="n">
        <f aca="false">ROUND(Q219*S219,0)</f>
        <v>36</v>
      </c>
      <c r="N219" s="21" t="n">
        <f aca="false">ROUND(SQRT((F219*J219/100)^2+(G219*M219)^2),0)</f>
        <v>26</v>
      </c>
      <c r="P219" s="41" t="n">
        <v>-0.156708417180799</v>
      </c>
      <c r="Q219" s="42" t="n">
        <v>465.305887385562</v>
      </c>
      <c r="R219" s="43" t="n">
        <f aca="false">MAX(0,MIN(1,P219/100+$D$5))</f>
        <v>0.525417614404814</v>
      </c>
      <c r="S219" s="43" t="n">
        <v>0.0779420971553049</v>
      </c>
      <c r="T219" s="44" t="s">
        <v>90</v>
      </c>
    </row>
    <row r="220" customFormat="false" ht="15" hidden="false" customHeight="false" outlineLevel="0" collapsed="false">
      <c r="A220" s="38" t="s">
        <v>157</v>
      </c>
      <c r="B220" s="38" t="s">
        <v>324</v>
      </c>
      <c r="C220" s="38" t="s">
        <v>333</v>
      </c>
      <c r="D220" s="21" t="n">
        <f aca="false">ROUND(Q220*R220,0)</f>
        <v>460</v>
      </c>
      <c r="E220" s="21" t="n">
        <f aca="false">ROUND(Q220,0)-D220</f>
        <v>359</v>
      </c>
      <c r="F220" s="21" t="n">
        <f aca="false">IF(COUNTA(D220:E220)=0,"",SUM(D220:E220))</f>
        <v>819</v>
      </c>
      <c r="G220" s="39" t="n">
        <f aca="false">IF(OR(F220="",F220=0),"",D220/F220)</f>
        <v>0.561660561660562</v>
      </c>
      <c r="H220" s="39" t="n">
        <f aca="false">IF(OR(F220="",F220=0),"",E220/F220)</f>
        <v>0.438339438339438</v>
      </c>
      <c r="I220" s="38" t="s">
        <v>89</v>
      </c>
      <c r="J220" s="40" t="n">
        <v>2.12060277043418</v>
      </c>
      <c r="K220" s="39" t="n">
        <f aca="false">IF(G220="","",MAX(0,G220-J220/100))</f>
        <v>0.54045453395622</v>
      </c>
      <c r="L220" s="39" t="n">
        <f aca="false">IF(G220="","",MIN(1,G220+J220/100))</f>
        <v>0.582866589364903</v>
      </c>
      <c r="M220" s="21" t="n">
        <f aca="false">ROUND(Q220*S220,0)</f>
        <v>52</v>
      </c>
      <c r="N220" s="21" t="n">
        <f aca="false">ROUND(SQRT((F220*J220/100)^2+(G220*M220)^2),0)</f>
        <v>34</v>
      </c>
      <c r="P220" s="41" t="n">
        <v>3.39276781531447</v>
      </c>
      <c r="Q220" s="42" t="n">
        <v>819.386081708728</v>
      </c>
      <c r="R220" s="43" t="n">
        <f aca="false">MAX(0,MIN(1,P220/100+$D$5))</f>
        <v>0.560912376729766</v>
      </c>
      <c r="S220" s="43" t="n">
        <v>0.0633793435818552</v>
      </c>
      <c r="T220" s="44" t="s">
        <v>99</v>
      </c>
    </row>
    <row r="221" customFormat="false" ht="15" hidden="false" customHeight="false" outlineLevel="0" collapsed="false">
      <c r="A221" s="38" t="s">
        <v>157</v>
      </c>
      <c r="B221" s="38" t="s">
        <v>324</v>
      </c>
      <c r="C221" s="38" t="s">
        <v>334</v>
      </c>
      <c r="D221" s="21" t="n">
        <f aca="false">ROUND(Q221*R221,0)</f>
        <v>760</v>
      </c>
      <c r="E221" s="21" t="n">
        <f aca="false">ROUND(Q221,0)-D221</f>
        <v>701</v>
      </c>
      <c r="F221" s="21" t="n">
        <f aca="false">IF(COUNTA(D221:E221)=0,"",SUM(D221:E221))</f>
        <v>1461</v>
      </c>
      <c r="G221" s="39" t="n">
        <f aca="false">IF(OR(F221="",F221=0),"",D221/F221)</f>
        <v>0.520191649555099</v>
      </c>
      <c r="H221" s="39" t="n">
        <f aca="false">IF(OR(F221="",F221=0),"",E221/F221)</f>
        <v>0.479808350444901</v>
      </c>
      <c r="I221" s="38" t="s">
        <v>89</v>
      </c>
      <c r="J221" s="40" t="n">
        <v>1.26135644325249</v>
      </c>
      <c r="K221" s="39" t="n">
        <f aca="false">IF(G221="","",MAX(0,G221-J221/100))</f>
        <v>0.507578085122574</v>
      </c>
      <c r="L221" s="39" t="n">
        <f aca="false">IF(G221="","",MIN(1,G221+J221/100))</f>
        <v>0.532805213987624</v>
      </c>
      <c r="M221" s="21" t="n">
        <f aca="false">ROUND(Q221*S221,0)</f>
        <v>204</v>
      </c>
      <c r="N221" s="21" t="n">
        <f aca="false">ROUND(SQRT((F221*J221/100)^2+(G221*M221)^2),0)</f>
        <v>108</v>
      </c>
      <c r="P221" s="41" t="n">
        <v>-0.679533285393304</v>
      </c>
      <c r="Q221" s="42" t="n">
        <v>1461.32108666367</v>
      </c>
      <c r="R221" s="43" t="n">
        <f aca="false">MAX(0,MIN(1,P221/100+$D$5))</f>
        <v>0.520189365722689</v>
      </c>
      <c r="S221" s="43" t="n">
        <v>0.139463116518417</v>
      </c>
      <c r="T221" s="44" t="s">
        <v>128</v>
      </c>
    </row>
    <row r="222" customFormat="false" ht="15" hidden="false" customHeight="false" outlineLevel="0" collapsed="false">
      <c r="A222" s="38" t="s">
        <v>157</v>
      </c>
      <c r="B222" s="38" t="s">
        <v>324</v>
      </c>
      <c r="C222" s="38" t="s">
        <v>335</v>
      </c>
      <c r="D222" s="21" t="n">
        <f aca="false">ROUND(Q222*R222,0)</f>
        <v>646</v>
      </c>
      <c r="E222" s="21" t="n">
        <f aca="false">ROUND(Q222,0)-D222</f>
        <v>546</v>
      </c>
      <c r="F222" s="21" t="n">
        <f aca="false">IF(COUNTA(D222:E222)=0,"",SUM(D222:E222))</f>
        <v>1192</v>
      </c>
      <c r="G222" s="39" t="n">
        <f aca="false">IF(OR(F222="",F222=0),"",D222/F222)</f>
        <v>0.541946308724832</v>
      </c>
      <c r="H222" s="39" t="n">
        <f aca="false">IF(OR(F222="",F222=0),"",E222/F222)</f>
        <v>0.458053691275168</v>
      </c>
      <c r="I222" s="38" t="s">
        <v>89</v>
      </c>
      <c r="J222" s="40" t="n">
        <v>2.12060277043418</v>
      </c>
      <c r="K222" s="39" t="n">
        <f aca="false">IF(G222="","",MAX(0,G222-J222/100))</f>
        <v>0.52074028102049</v>
      </c>
      <c r="L222" s="39" t="n">
        <f aca="false">IF(G222="","",MIN(1,G222+J222/100))</f>
        <v>0.563152336429174</v>
      </c>
      <c r="M222" s="21" t="n">
        <f aca="false">ROUND(Q222*S222,0)</f>
        <v>76</v>
      </c>
      <c r="N222" s="21" t="n">
        <f aca="false">ROUND(SQRT((F222*J222/100)^2+(G222*M222)^2),0)</f>
        <v>48</v>
      </c>
      <c r="P222" s="41" t="n">
        <v>1.45604003771212</v>
      </c>
      <c r="Q222" s="42" t="n">
        <v>1192.34821599916</v>
      </c>
      <c r="R222" s="43" t="n">
        <f aca="false">MAX(0,MIN(1,P222/100+$D$5))</f>
        <v>0.541545098953743</v>
      </c>
      <c r="S222" s="43" t="n">
        <v>0.0633793435818552</v>
      </c>
      <c r="T222" s="44" t="s">
        <v>99</v>
      </c>
    </row>
    <row r="223" customFormat="false" ht="15" hidden="false" customHeight="false" outlineLevel="0" collapsed="false">
      <c r="A223" s="38" t="s">
        <v>157</v>
      </c>
      <c r="B223" s="38" t="s">
        <v>324</v>
      </c>
      <c r="C223" s="38" t="s">
        <v>336</v>
      </c>
      <c r="D223" s="21" t="n">
        <f aca="false">ROUND(Q223*R223,0)</f>
        <v>502</v>
      </c>
      <c r="E223" s="21" t="n">
        <f aca="false">ROUND(Q223,0)-D223</f>
        <v>398</v>
      </c>
      <c r="F223" s="21" t="n">
        <f aca="false">IF(COUNTA(D223:E223)=0,"",SUM(D223:E223))</f>
        <v>900</v>
      </c>
      <c r="G223" s="39" t="n">
        <f aca="false">IF(OR(F223="",F223=0),"",D223/F223)</f>
        <v>0.557777777777778</v>
      </c>
      <c r="H223" s="39" t="n">
        <f aca="false">IF(OR(F223="",F223=0),"",E223/F223)</f>
        <v>0.442222222222222</v>
      </c>
      <c r="I223" s="38" t="s">
        <v>89</v>
      </c>
      <c r="J223" s="40" t="n">
        <v>2.12060277043418</v>
      </c>
      <c r="K223" s="39" t="n">
        <f aca="false">IF(G223="","",MAX(0,G223-J223/100))</f>
        <v>0.536571750073436</v>
      </c>
      <c r="L223" s="39" t="n">
        <f aca="false">IF(G223="","",MIN(1,G223+J223/100))</f>
        <v>0.57898380548212</v>
      </c>
      <c r="M223" s="21" t="n">
        <f aca="false">ROUND(Q223*S223,0)</f>
        <v>57</v>
      </c>
      <c r="N223" s="21" t="n">
        <f aca="false">ROUND(SQRT((F223*J223/100)^2+(G223*M223)^2),0)</f>
        <v>37</v>
      </c>
      <c r="P223" s="41" t="n">
        <v>3.08728115881435</v>
      </c>
      <c r="Q223" s="42" t="n">
        <v>900.237551980488</v>
      </c>
      <c r="R223" s="43" t="n">
        <f aca="false">MAX(0,MIN(1,P223/100+$D$5))</f>
        <v>0.557857510164765</v>
      </c>
      <c r="S223" s="43" t="n">
        <v>0.0633793435818552</v>
      </c>
      <c r="T223" s="44" t="s">
        <v>99</v>
      </c>
    </row>
    <row r="224" customFormat="false" ht="15" hidden="false" customHeight="false" outlineLevel="0" collapsed="false">
      <c r="A224" s="38" t="s">
        <v>337</v>
      </c>
      <c r="B224" s="38" t="s">
        <v>338</v>
      </c>
      <c r="C224" s="38" t="s">
        <v>339</v>
      </c>
      <c r="D224" s="21" t="n">
        <f aca="false">ROUND(Q224*R224,0)</f>
        <v>444</v>
      </c>
      <c r="E224" s="21" t="n">
        <f aca="false">ROUND(Q224,0)-D224</f>
        <v>867</v>
      </c>
      <c r="F224" s="21" t="n">
        <f aca="false">IF(COUNTA(D224:E224)=0,"",SUM(D224:E224))</f>
        <v>1311</v>
      </c>
      <c r="G224" s="39" t="n">
        <f aca="false">IF(OR(F224="",F224=0),"",D224/F224)</f>
        <v>0.338672768878719</v>
      </c>
      <c r="H224" s="39" t="n">
        <f aca="false">IF(OR(F224="",F224=0),"",E224/F224)</f>
        <v>0.661327231121281</v>
      </c>
      <c r="I224" s="38" t="s">
        <v>89</v>
      </c>
      <c r="J224" s="40" t="n">
        <v>1.26135644325249</v>
      </c>
      <c r="K224" s="39" t="n">
        <f aca="false">IF(G224="","",MAX(0,G224-J224/100))</f>
        <v>0.326059204446194</v>
      </c>
      <c r="L224" s="39" t="n">
        <f aca="false">IF(G224="","",MIN(1,G224+J224/100))</f>
        <v>0.351286333311243</v>
      </c>
      <c r="M224" s="21" t="n">
        <f aca="false">ROUND(Q224*S224,0)</f>
        <v>183</v>
      </c>
      <c r="N224" s="21" t="n">
        <f aca="false">ROUND(SQRT((F224*J224/100)^2+(G224*M224)^2),0)</f>
        <v>64</v>
      </c>
      <c r="P224" s="41" t="n">
        <v>-18.836415183851</v>
      </c>
      <c r="Q224" s="42" t="n">
        <v>1311.31985231612</v>
      </c>
      <c r="R224" s="43" t="n">
        <f aca="false">MAX(0,MIN(1,P224/100+$D$5))</f>
        <v>0.338620546738112</v>
      </c>
      <c r="S224" s="43" t="n">
        <v>0.139463116518417</v>
      </c>
      <c r="T224" s="44" t="s">
        <v>128</v>
      </c>
    </row>
    <row r="225" customFormat="false" ht="15" hidden="false" customHeight="false" outlineLevel="0" collapsed="false">
      <c r="A225" s="38" t="s">
        <v>337</v>
      </c>
      <c r="B225" s="38" t="s">
        <v>340</v>
      </c>
      <c r="C225" s="38" t="s">
        <v>341</v>
      </c>
      <c r="D225" s="21" t="n">
        <f aca="false">ROUND(Q225*R225,0)</f>
        <v>1228</v>
      </c>
      <c r="E225" s="21" t="n">
        <f aca="false">ROUND(Q225,0)-D225</f>
        <v>2128</v>
      </c>
      <c r="F225" s="21" t="n">
        <f aca="false">IF(COUNTA(D225:E225)=0,"",SUM(D225:E225))</f>
        <v>3356</v>
      </c>
      <c r="G225" s="39" t="n">
        <f aca="false">IF(OR(F225="",F225=0),"",D225/F225)</f>
        <v>0.365911799761621</v>
      </c>
      <c r="H225" s="39" t="n">
        <f aca="false">IF(OR(F225="",F225=0),"",E225/F225)</f>
        <v>0.634088200238379</v>
      </c>
      <c r="I225" s="38" t="s">
        <v>89</v>
      </c>
      <c r="J225" s="40" t="n">
        <v>1.26135644325249</v>
      </c>
      <c r="K225" s="39" t="n">
        <f aca="false">IF(G225="","",MAX(0,G225-J225/100))</f>
        <v>0.353298235329096</v>
      </c>
      <c r="L225" s="39" t="n">
        <f aca="false">IF(G225="","",MIN(1,G225+J225/100))</f>
        <v>0.378525364194146</v>
      </c>
      <c r="M225" s="21" t="n">
        <f aca="false">ROUND(Q225*S225,0)</f>
        <v>468</v>
      </c>
      <c r="N225" s="21" t="n">
        <f aca="false">ROUND(SQRT((F225*J225/100)^2+(G225*M225)^2),0)</f>
        <v>176</v>
      </c>
      <c r="P225" s="41" t="n">
        <v>-16.0972468667947</v>
      </c>
      <c r="Q225" s="42" t="n">
        <v>3356.08439420381</v>
      </c>
      <c r="R225" s="43" t="n">
        <f aca="false">MAX(0,MIN(1,P225/100+$D$5))</f>
        <v>0.366012229908675</v>
      </c>
      <c r="S225" s="43" t="n">
        <v>0.139463116518417</v>
      </c>
      <c r="T225" s="44" t="s">
        <v>128</v>
      </c>
    </row>
    <row r="226" customFormat="false" ht="15" hidden="false" customHeight="false" outlineLevel="0" collapsed="false">
      <c r="A226" s="38" t="s">
        <v>337</v>
      </c>
      <c r="B226" s="38" t="s">
        <v>342</v>
      </c>
      <c r="C226" s="38" t="s">
        <v>343</v>
      </c>
      <c r="D226" s="21" t="n">
        <f aca="false">ROUND(Q226*R226,0)</f>
        <v>473</v>
      </c>
      <c r="E226" s="21" t="n">
        <f aca="false">ROUND(Q226,0)-D226</f>
        <v>763</v>
      </c>
      <c r="F226" s="21" t="n">
        <f aca="false">IF(COUNTA(D226:E226)=0,"",SUM(D226:E226))</f>
        <v>1236</v>
      </c>
      <c r="G226" s="39" t="n">
        <f aca="false">IF(OR(F226="",F226=0),"",D226/F226)</f>
        <v>0.382686084142395</v>
      </c>
      <c r="H226" s="39" t="n">
        <f aca="false">IF(OR(F226="",F226=0),"",E226/F226)</f>
        <v>0.617313915857605</v>
      </c>
      <c r="I226" s="38" t="s">
        <v>89</v>
      </c>
      <c r="J226" s="40" t="n">
        <v>1.26135644325249</v>
      </c>
      <c r="K226" s="39" t="n">
        <f aca="false">IF(G226="","",MAX(0,G226-J226/100))</f>
        <v>0.37007251970987</v>
      </c>
      <c r="L226" s="39" t="n">
        <f aca="false">IF(G226="","",MIN(1,G226+J226/100))</f>
        <v>0.39529964857492</v>
      </c>
      <c r="M226" s="21" t="n">
        <f aca="false">ROUND(Q226*S226,0)</f>
        <v>172</v>
      </c>
      <c r="N226" s="21" t="n">
        <f aca="false">ROUND(SQRT((F226*J226/100)^2+(G226*M226)^2),0)</f>
        <v>68</v>
      </c>
      <c r="P226" s="41" t="n">
        <v>-14.4021887783177</v>
      </c>
      <c r="Q226" s="42" t="n">
        <v>1235.70489857487</v>
      </c>
      <c r="R226" s="43" t="n">
        <f aca="false">MAX(0,MIN(1,P226/100+$D$5))</f>
        <v>0.382962810793444</v>
      </c>
      <c r="S226" s="43" t="n">
        <v>0.139463116518417</v>
      </c>
      <c r="T226" s="44" t="s">
        <v>128</v>
      </c>
    </row>
    <row r="227" customFormat="false" ht="15" hidden="false" customHeight="false" outlineLevel="0" collapsed="false">
      <c r="A227" s="38" t="s">
        <v>344</v>
      </c>
      <c r="B227" s="38" t="s">
        <v>345</v>
      </c>
      <c r="C227" s="38" t="s">
        <v>346</v>
      </c>
      <c r="D227" s="21" t="n">
        <f aca="false">ROUND(Q227*R227,0)</f>
        <v>667</v>
      </c>
      <c r="E227" s="21" t="n">
        <f aca="false">ROUND(Q227,0)-D227</f>
        <v>794</v>
      </c>
      <c r="F227" s="21" t="n">
        <f aca="false">IF(COUNTA(D227:E227)=0,"",SUM(D227:E227))</f>
        <v>1461</v>
      </c>
      <c r="G227" s="39" t="n">
        <f aca="false">IF(OR(F227="",F227=0),"",D227/F227)</f>
        <v>0.456536618754278</v>
      </c>
      <c r="H227" s="39" t="n">
        <f aca="false">IF(OR(F227="",F227=0),"",E227/F227)</f>
        <v>0.543463381245722</v>
      </c>
      <c r="I227" s="38" t="s">
        <v>89</v>
      </c>
      <c r="J227" s="40" t="n">
        <v>1.26135644325249</v>
      </c>
      <c r="K227" s="39" t="n">
        <f aca="false">IF(G227="","",MAX(0,G227-J227/100))</f>
        <v>0.443923054321753</v>
      </c>
      <c r="L227" s="39" t="n">
        <f aca="false">IF(G227="","",MIN(1,G227+J227/100))</f>
        <v>0.469150183186803</v>
      </c>
      <c r="M227" s="21" t="n">
        <f aca="false">ROUND(Q227*S227,0)</f>
        <v>204</v>
      </c>
      <c r="N227" s="21" t="n">
        <f aca="false">ROUND(SQRT((F227*J227/100)^2+(G227*M227)^2),0)</f>
        <v>95</v>
      </c>
      <c r="P227" s="41" t="n">
        <v>-7.07912027210306</v>
      </c>
      <c r="Q227" s="42" t="n">
        <v>1461.07018534423</v>
      </c>
      <c r="R227" s="43" t="n">
        <f aca="false">MAX(0,MIN(1,P227/100+$D$5))</f>
        <v>0.456193495855591</v>
      </c>
      <c r="S227" s="43" t="n">
        <v>0.139463116518417</v>
      </c>
      <c r="T227" s="44" t="s">
        <v>128</v>
      </c>
    </row>
    <row r="228" customFormat="false" ht="15" hidden="false" customHeight="false" outlineLevel="0" collapsed="false">
      <c r="A228" s="38" t="s">
        <v>344</v>
      </c>
      <c r="B228" s="38" t="s">
        <v>345</v>
      </c>
      <c r="C228" s="38" t="s">
        <v>347</v>
      </c>
      <c r="D228" s="21" t="n">
        <f aca="false">ROUND(Q228*R228,0)</f>
        <v>722</v>
      </c>
      <c r="E228" s="21" t="n">
        <f aca="false">ROUND(Q228,0)-D228</f>
        <v>684</v>
      </c>
      <c r="F228" s="21" t="n">
        <f aca="false">IF(COUNTA(D228:E228)=0,"",SUM(D228:E228))</f>
        <v>1406</v>
      </c>
      <c r="G228" s="39" t="n">
        <f aca="false">IF(OR(F228="",F228=0),"",D228/F228)</f>
        <v>0.513513513513514</v>
      </c>
      <c r="H228" s="39" t="n">
        <f aca="false">IF(OR(F228="",F228=0),"",E228/F228)</f>
        <v>0.486486486486487</v>
      </c>
      <c r="I228" s="38" t="s">
        <v>89</v>
      </c>
      <c r="J228" s="40" t="n">
        <v>1.26135644325249</v>
      </c>
      <c r="K228" s="39" t="n">
        <f aca="false">IF(G228="","",MAX(0,G228-J228/100))</f>
        <v>0.500899949080989</v>
      </c>
      <c r="L228" s="39" t="n">
        <f aca="false">IF(G228="","",MIN(1,G228+J228/100))</f>
        <v>0.526127077946038</v>
      </c>
      <c r="M228" s="21" t="n">
        <f aca="false">ROUND(Q228*S228,0)</f>
        <v>196</v>
      </c>
      <c r="N228" s="21" t="n">
        <f aca="false">ROUND(SQRT((F228*J228/100)^2+(G228*M228)^2),0)</f>
        <v>102</v>
      </c>
      <c r="P228" s="41" t="n">
        <v>-1.32415547380883</v>
      </c>
      <c r="Q228" s="42" t="n">
        <v>1406.04603497107</v>
      </c>
      <c r="R228" s="43" t="n">
        <f aca="false">MAX(0,MIN(1,P228/100+$D$5))</f>
        <v>0.513743143838533</v>
      </c>
      <c r="S228" s="43" t="n">
        <v>0.139463116518417</v>
      </c>
      <c r="T228" s="44" t="s">
        <v>128</v>
      </c>
    </row>
    <row r="229" customFormat="false" ht="15" hidden="false" customHeight="false" outlineLevel="0" collapsed="false">
      <c r="A229" s="38" t="s">
        <v>344</v>
      </c>
      <c r="B229" s="38" t="s">
        <v>348</v>
      </c>
      <c r="C229" s="38" t="s">
        <v>349</v>
      </c>
      <c r="D229" s="21" t="n">
        <f aca="false">ROUND(Q229*R229,0)</f>
        <v>456</v>
      </c>
      <c r="E229" s="21" t="n">
        <f aca="false">ROUND(Q229,0)-D229</f>
        <v>591</v>
      </c>
      <c r="F229" s="21" t="n">
        <f aca="false">IF(COUNTA(D229:E229)=0,"",SUM(D229:E229))</f>
        <v>1047</v>
      </c>
      <c r="G229" s="39" t="n">
        <f aca="false">IF(OR(F229="",F229=0),"",D229/F229)</f>
        <v>0.435530085959885</v>
      </c>
      <c r="H229" s="39" t="n">
        <f aca="false">IF(OR(F229="",F229=0),"",E229/F229)</f>
        <v>0.564469914040115</v>
      </c>
      <c r="I229" s="38" t="s">
        <v>191</v>
      </c>
      <c r="J229" s="40" t="n">
        <v>2.12060277043418</v>
      </c>
      <c r="K229" s="39" t="n">
        <f aca="false">IF(G229="","",MAX(0,G229-J229/100))</f>
        <v>0.414324058255544</v>
      </c>
      <c r="L229" s="39" t="n">
        <f aca="false">IF(G229="","",MIN(1,G229+J229/100))</f>
        <v>0.456736113664227</v>
      </c>
      <c r="M229" s="21" t="n">
        <f aca="false">ROUND(Q229*S229,0)</f>
        <v>66</v>
      </c>
      <c r="N229" s="21" t="n">
        <f aca="false">ROUND(SQRT((F229*J229/100)^2+(G229*M229)^2),0)</f>
        <v>36</v>
      </c>
      <c r="P229" s="41" t="n">
        <v>-9.08678118370839</v>
      </c>
      <c r="Q229" s="42" t="n">
        <v>1046.51370939098</v>
      </c>
      <c r="R229" s="43" t="n">
        <f aca="false">MAX(0,MIN(1,P229/100+$D$5))</f>
        <v>0.436116886739538</v>
      </c>
      <c r="S229" s="43" t="n">
        <v>0.0633793435818552</v>
      </c>
      <c r="T229" s="44" t="s">
        <v>99</v>
      </c>
    </row>
    <row r="230" customFormat="false" ht="15" hidden="false" customHeight="false" outlineLevel="0" collapsed="false">
      <c r="A230" s="38" t="s">
        <v>344</v>
      </c>
      <c r="B230" s="38" t="s">
        <v>348</v>
      </c>
      <c r="C230" s="38" t="s">
        <v>350</v>
      </c>
      <c r="D230" s="21" t="n">
        <f aca="false">ROUND(Q230*R230,0)</f>
        <v>507</v>
      </c>
      <c r="E230" s="21" t="n">
        <f aca="false">ROUND(Q230,0)-D230</f>
        <v>615</v>
      </c>
      <c r="F230" s="21" t="n">
        <f aca="false">IF(COUNTA(D230:E230)=0,"",SUM(D230:E230))</f>
        <v>1122</v>
      </c>
      <c r="G230" s="39" t="n">
        <f aca="false">IF(OR(F230="",F230=0),"",D230/F230)</f>
        <v>0.451871657754011</v>
      </c>
      <c r="H230" s="39" t="n">
        <f aca="false">IF(OR(F230="",F230=0),"",E230/F230)</f>
        <v>0.548128342245989</v>
      </c>
      <c r="I230" s="38" t="s">
        <v>191</v>
      </c>
      <c r="J230" s="40" t="n">
        <v>2.12060277043418</v>
      </c>
      <c r="K230" s="39" t="n">
        <f aca="false">IF(G230="","",MAX(0,G230-J230/100))</f>
        <v>0.430665630049669</v>
      </c>
      <c r="L230" s="39" t="n">
        <f aca="false">IF(G230="","",MIN(1,G230+J230/100))</f>
        <v>0.473077685458353</v>
      </c>
      <c r="M230" s="21" t="n">
        <f aca="false">ROUND(Q230*S230,0)</f>
        <v>71</v>
      </c>
      <c r="N230" s="21" t="n">
        <f aca="false">ROUND(SQRT((F230*J230/100)^2+(G230*M230)^2),0)</f>
        <v>40</v>
      </c>
      <c r="P230" s="41" t="n">
        <v>-7.48357330923858</v>
      </c>
      <c r="Q230" s="42" t="n">
        <v>1121.8929676221</v>
      </c>
      <c r="R230" s="43" t="n">
        <f aca="false">MAX(0,MIN(1,P230/100+$D$5))</f>
        <v>0.452148965484236</v>
      </c>
      <c r="S230" s="43" t="n">
        <v>0.0633793435818552</v>
      </c>
      <c r="T230" s="44" t="s">
        <v>99</v>
      </c>
    </row>
    <row r="231" customFormat="false" ht="15" hidden="false" customHeight="false" outlineLevel="0" collapsed="false">
      <c r="A231" s="38" t="s">
        <v>344</v>
      </c>
      <c r="B231" s="38" t="s">
        <v>351</v>
      </c>
      <c r="C231" s="38" t="s">
        <v>352</v>
      </c>
      <c r="D231" s="21" t="n">
        <f aca="false">ROUND(Q231*R231,0)</f>
        <v>546</v>
      </c>
      <c r="E231" s="21" t="n">
        <f aca="false">ROUND(Q231,0)-D231</f>
        <v>516</v>
      </c>
      <c r="F231" s="21" t="n">
        <f aca="false">IF(COUNTA(D231:E231)=0,"",SUM(D231:E231))</f>
        <v>1062</v>
      </c>
      <c r="G231" s="39" t="n">
        <f aca="false">IF(OR(F231="",F231=0),"",D231/F231)</f>
        <v>0.514124293785311</v>
      </c>
      <c r="H231" s="39" t="n">
        <f aca="false">IF(OR(F231="",F231=0),"",E231/F231)</f>
        <v>0.485875706214689</v>
      </c>
      <c r="I231" s="38" t="s">
        <v>89</v>
      </c>
      <c r="J231" s="40" t="n">
        <v>2.12060277043418</v>
      </c>
      <c r="K231" s="39" t="n">
        <f aca="false">IF(G231="","",MAX(0,G231-J231/100))</f>
        <v>0.492918266080969</v>
      </c>
      <c r="L231" s="39" t="n">
        <f aca="false">IF(G231="","",MIN(1,G231+J231/100))</f>
        <v>0.535330321489653</v>
      </c>
      <c r="M231" s="21" t="n">
        <f aca="false">ROUND(Q231*S231,0)</f>
        <v>67</v>
      </c>
      <c r="N231" s="21" t="n">
        <f aca="false">ROUND(SQRT((F231*J231/100)^2+(G231*M231)^2),0)</f>
        <v>41</v>
      </c>
      <c r="P231" s="41" t="n">
        <v>-1.31410004538514</v>
      </c>
      <c r="Q231" s="42" t="n">
        <v>1061.70066404428</v>
      </c>
      <c r="R231" s="43" t="n">
        <f aca="false">MAX(0,MIN(1,P231/100+$D$5))</f>
        <v>0.51384369812277</v>
      </c>
      <c r="S231" s="43" t="n">
        <v>0.0633793435818552</v>
      </c>
      <c r="T231" s="44" t="s">
        <v>99</v>
      </c>
    </row>
    <row r="232" customFormat="false" ht="15" hidden="false" customHeight="false" outlineLevel="0" collapsed="false">
      <c r="A232" s="38" t="s">
        <v>344</v>
      </c>
      <c r="B232" s="38" t="s">
        <v>219</v>
      </c>
      <c r="C232" s="38" t="s">
        <v>353</v>
      </c>
      <c r="D232" s="21" t="n">
        <f aca="false">ROUND(Q232*R232,0)</f>
        <v>686</v>
      </c>
      <c r="E232" s="21" t="n">
        <f aca="false">ROUND(Q232,0)-D232</f>
        <v>330</v>
      </c>
      <c r="F232" s="21" t="n">
        <f aca="false">IF(COUNTA(D232:E232)=0,"",SUM(D232:E232))</f>
        <v>1016</v>
      </c>
      <c r="G232" s="39" t="n">
        <f aca="false">IF(OR(F232="",F232=0),"",D232/F232)</f>
        <v>0.675196850393701</v>
      </c>
      <c r="H232" s="39" t="n">
        <f aca="false">IF(OR(F232="",F232=0),"",E232/F232)</f>
        <v>0.324803149606299</v>
      </c>
      <c r="I232" s="38" t="s">
        <v>89</v>
      </c>
      <c r="J232" s="40" t="n">
        <v>2.12060277043418</v>
      </c>
      <c r="K232" s="39" t="n">
        <f aca="false">IF(G232="","",MAX(0,G232-J232/100))</f>
        <v>0.653990822689359</v>
      </c>
      <c r="L232" s="39" t="n">
        <f aca="false">IF(G232="","",MIN(1,G232+J232/100))</f>
        <v>0.696402878098043</v>
      </c>
      <c r="M232" s="21" t="n">
        <f aca="false">ROUND(Q232*S232,0)</f>
        <v>64</v>
      </c>
      <c r="N232" s="21" t="n">
        <f aca="false">ROUND(SQRT((F232*J232/100)^2+(G232*M232)^2),0)</f>
        <v>48</v>
      </c>
      <c r="P232" s="41" t="n">
        <v>14.8794560260738</v>
      </c>
      <c r="Q232" s="42" t="n">
        <v>1015.55116810582</v>
      </c>
      <c r="R232" s="43" t="n">
        <f aca="false">MAX(0,MIN(1,P232/100+$D$5))</f>
        <v>0.67577925883736</v>
      </c>
      <c r="S232" s="43" t="n">
        <v>0.0633793435818552</v>
      </c>
      <c r="T232" s="44" t="s">
        <v>99</v>
      </c>
    </row>
    <row r="233" customFormat="false" ht="15" hidden="false" customHeight="false" outlineLevel="0" collapsed="false">
      <c r="A233" s="38" t="s">
        <v>344</v>
      </c>
      <c r="B233" s="38" t="s">
        <v>219</v>
      </c>
      <c r="C233" s="38" t="s">
        <v>354</v>
      </c>
      <c r="D233" s="21" t="n">
        <f aca="false">ROUND(Q233*R233,0)</f>
        <v>951</v>
      </c>
      <c r="E233" s="21" t="n">
        <f aca="false">ROUND(Q233,0)-D233</f>
        <v>537</v>
      </c>
      <c r="F233" s="21" t="n">
        <f aca="false">IF(COUNTA(D233:E233)=0,"",SUM(D233:E233))</f>
        <v>1488</v>
      </c>
      <c r="G233" s="39" t="n">
        <f aca="false">IF(OR(F233="",F233=0),"",D233/F233)</f>
        <v>0.639112903225807</v>
      </c>
      <c r="H233" s="39" t="n">
        <f aca="false">IF(OR(F233="",F233=0),"",E233/F233)</f>
        <v>0.360887096774194</v>
      </c>
      <c r="I233" s="38" t="s">
        <v>89</v>
      </c>
      <c r="J233" s="40" t="n">
        <v>1.26135644325249</v>
      </c>
      <c r="K233" s="39" t="n">
        <f aca="false">IF(G233="","",MAX(0,G233-J233/100))</f>
        <v>0.626499338793282</v>
      </c>
      <c r="L233" s="39" t="n">
        <f aca="false">IF(G233="","",MIN(1,G233+J233/100))</f>
        <v>0.651726467658331</v>
      </c>
      <c r="M233" s="21" t="n">
        <f aca="false">ROUND(Q233*S233,0)</f>
        <v>208</v>
      </c>
      <c r="N233" s="21" t="n">
        <f aca="false">ROUND(SQRT((F233*J233/100)^2+(G233*M233)^2),0)</f>
        <v>134</v>
      </c>
      <c r="P233" s="41" t="n">
        <v>11.1975929690605</v>
      </c>
      <c r="Q233" s="42" t="n">
        <v>1488.04123295229</v>
      </c>
      <c r="R233" s="43" t="n">
        <f aca="false">MAX(0,MIN(1,P233/100+$D$5))</f>
        <v>0.638960628267227</v>
      </c>
      <c r="S233" s="43" t="n">
        <v>0.139463116518417</v>
      </c>
      <c r="T233" s="44" t="s">
        <v>128</v>
      </c>
    </row>
    <row r="234" customFormat="false" ht="15" hidden="false" customHeight="false" outlineLevel="0" collapsed="false">
      <c r="A234" s="38" t="s">
        <v>344</v>
      </c>
      <c r="B234" s="38" t="s">
        <v>219</v>
      </c>
      <c r="C234" s="38" t="s">
        <v>355</v>
      </c>
      <c r="D234" s="21" t="n">
        <f aca="false">ROUND(Q234*R234,0)</f>
        <v>676</v>
      </c>
      <c r="E234" s="21" t="n">
        <f aca="false">ROUND(Q234,0)-D234</f>
        <v>302</v>
      </c>
      <c r="F234" s="21" t="n">
        <f aca="false">IF(COUNTA(D234:E234)=0,"",SUM(D234:E234))</f>
        <v>978</v>
      </c>
      <c r="G234" s="39" t="n">
        <f aca="false">IF(OR(F234="",F234=0),"",D234/F234)</f>
        <v>0.69120654396728</v>
      </c>
      <c r="H234" s="39" t="n">
        <f aca="false">IF(OR(F234="",F234=0),"",E234/F234)</f>
        <v>0.30879345603272</v>
      </c>
      <c r="I234" s="38" t="s">
        <v>89</v>
      </c>
      <c r="J234" s="40" t="n">
        <v>2.12060277043418</v>
      </c>
      <c r="K234" s="39" t="n">
        <f aca="false">IF(G234="","",MAX(0,G234-J234/100))</f>
        <v>0.670000516262938</v>
      </c>
      <c r="L234" s="39" t="n">
        <f aca="false">IF(G234="","",MIN(1,G234+J234/100))</f>
        <v>0.712412571671622</v>
      </c>
      <c r="M234" s="21" t="n">
        <f aca="false">ROUND(Q234*S234,0)</f>
        <v>62</v>
      </c>
      <c r="N234" s="21" t="n">
        <f aca="false">ROUND(SQRT((F234*J234/100)^2+(G234*M234)^2),0)</f>
        <v>48</v>
      </c>
      <c r="P234" s="41" t="n">
        <v>16.3739749498049</v>
      </c>
      <c r="Q234" s="42" t="n">
        <v>978.301410647684</v>
      </c>
      <c r="R234" s="43" t="n">
        <f aca="false">MAX(0,MIN(1,P234/100+$D$5))</f>
        <v>0.690724448074671</v>
      </c>
      <c r="S234" s="43" t="n">
        <v>0.0633793435818552</v>
      </c>
      <c r="T234" s="44" t="s">
        <v>99</v>
      </c>
    </row>
    <row r="235" customFormat="false" ht="15" hidden="false" customHeight="false" outlineLevel="0" collapsed="false">
      <c r="A235" s="38" t="s">
        <v>344</v>
      </c>
      <c r="B235" s="38" t="s">
        <v>219</v>
      </c>
      <c r="C235" s="38" t="s">
        <v>356</v>
      </c>
      <c r="D235" s="21" t="n">
        <f aca="false">ROUND(Q235*R235,0)</f>
        <v>512</v>
      </c>
      <c r="E235" s="21" t="n">
        <f aca="false">ROUND(Q235,0)-D235</f>
        <v>240</v>
      </c>
      <c r="F235" s="21" t="n">
        <f aca="false">IF(COUNTA(D235:E235)=0,"",SUM(D235:E235))</f>
        <v>752</v>
      </c>
      <c r="G235" s="39" t="n">
        <f aca="false">IF(OR(F235="",F235=0),"",D235/F235)</f>
        <v>0.680851063829787</v>
      </c>
      <c r="H235" s="39" t="n">
        <f aca="false">IF(OR(F235="",F235=0),"",E235/F235)</f>
        <v>0.319148936170213</v>
      </c>
      <c r="I235" s="38" t="s">
        <v>89</v>
      </c>
      <c r="J235" s="40" t="n">
        <v>3.7041269898902</v>
      </c>
      <c r="K235" s="39" t="n">
        <f aca="false">IF(G235="","",MAX(0,G235-J235/100))</f>
        <v>0.643809793930885</v>
      </c>
      <c r="L235" s="39" t="n">
        <f aca="false">IF(G235="","",MIN(1,G235+J235/100))</f>
        <v>0.717892333728689</v>
      </c>
      <c r="M235" s="21" t="n">
        <f aca="false">ROUND(Q235*S235,0)</f>
        <v>59</v>
      </c>
      <c r="N235" s="21" t="n">
        <f aca="false">ROUND(SQRT((F235*J235/100)^2+(G235*M235)^2),0)</f>
        <v>49</v>
      </c>
      <c r="P235" s="41" t="n">
        <v>15.4182313750407</v>
      </c>
      <c r="Q235" s="42" t="n">
        <v>751.909625166257</v>
      </c>
      <c r="R235" s="43" t="n">
        <f aca="false">MAX(0,MIN(1,P235/100+$D$5))</f>
        <v>0.681167012327029</v>
      </c>
      <c r="S235" s="43" t="n">
        <v>0.0779420971553049</v>
      </c>
      <c r="T235" s="44" t="s">
        <v>90</v>
      </c>
    </row>
    <row r="236" customFormat="false" ht="15" hidden="false" customHeight="false" outlineLevel="0" collapsed="false">
      <c r="A236" s="38" t="s">
        <v>344</v>
      </c>
      <c r="B236" s="38" t="s">
        <v>219</v>
      </c>
      <c r="C236" s="38" t="s">
        <v>357</v>
      </c>
      <c r="D236" s="21" t="n">
        <f aca="false">ROUND(Q236*R236,0)</f>
        <v>658</v>
      </c>
      <c r="E236" s="21" t="n">
        <f aca="false">ROUND(Q236,0)-D236</f>
        <v>360</v>
      </c>
      <c r="F236" s="21" t="n">
        <f aca="false">IF(COUNTA(D236:E236)=0,"",SUM(D236:E236))</f>
        <v>1018</v>
      </c>
      <c r="G236" s="39" t="n">
        <f aca="false">IF(OR(F236="",F236=0),"",D236/F236)</f>
        <v>0.646365422396857</v>
      </c>
      <c r="H236" s="39" t="n">
        <f aca="false">IF(OR(F236="",F236=0),"",E236/F236)</f>
        <v>0.353634577603143</v>
      </c>
      <c r="I236" s="38" t="s">
        <v>89</v>
      </c>
      <c r="J236" s="40" t="n">
        <v>2.12060277043418</v>
      </c>
      <c r="K236" s="39" t="n">
        <f aca="false">IF(G236="","",MAX(0,G236-J236/100))</f>
        <v>0.625159394692515</v>
      </c>
      <c r="L236" s="39" t="n">
        <f aca="false">IF(G236="","",MIN(1,G236+J236/100))</f>
        <v>0.667571450101198</v>
      </c>
      <c r="M236" s="21" t="n">
        <f aca="false">ROUND(Q236*S236,0)</f>
        <v>64</v>
      </c>
      <c r="N236" s="21" t="n">
        <f aca="false">ROUND(SQRT((F236*J236/100)^2+(G236*M236)^2),0)</f>
        <v>47</v>
      </c>
      <c r="P236" s="41" t="n">
        <v>11.9846516218101</v>
      </c>
      <c r="Q236" s="42" t="n">
        <v>1017.65088178608</v>
      </c>
      <c r="R236" s="43" t="n">
        <f aca="false">MAX(0,MIN(1,P236/100+$D$5))</f>
        <v>0.646831214794722</v>
      </c>
      <c r="S236" s="43" t="n">
        <v>0.0633793435818552</v>
      </c>
      <c r="T236" s="44" t="s">
        <v>99</v>
      </c>
    </row>
    <row r="237" customFormat="false" ht="15" hidden="false" customHeight="false" outlineLevel="0" collapsed="false">
      <c r="A237" s="38" t="s">
        <v>344</v>
      </c>
      <c r="B237" s="38" t="s">
        <v>219</v>
      </c>
      <c r="C237" s="38" t="s">
        <v>358</v>
      </c>
      <c r="D237" s="21" t="n">
        <f aca="false">ROUND(Q237*R237,0)</f>
        <v>826</v>
      </c>
      <c r="E237" s="21" t="n">
        <f aca="false">ROUND(Q237,0)-D237</f>
        <v>408</v>
      </c>
      <c r="F237" s="21" t="n">
        <f aca="false">IF(COUNTA(D237:E237)=0,"",SUM(D237:E237))</f>
        <v>1234</v>
      </c>
      <c r="G237" s="39" t="n">
        <f aca="false">IF(OR(F237="",F237=0),"",D237/F237)</f>
        <v>0.66936790923825</v>
      </c>
      <c r="H237" s="39" t="n">
        <f aca="false">IF(OR(F237="",F237=0),"",E237/F237)</f>
        <v>0.33063209076175</v>
      </c>
      <c r="I237" s="38" t="s">
        <v>89</v>
      </c>
      <c r="J237" s="40" t="n">
        <v>1.26135644325249</v>
      </c>
      <c r="K237" s="39" t="n">
        <f aca="false">IF(G237="","",MAX(0,G237-J237/100))</f>
        <v>0.656754344805725</v>
      </c>
      <c r="L237" s="39" t="n">
        <f aca="false">IF(G237="","",MIN(1,G237+J237/100))</f>
        <v>0.681981473670774</v>
      </c>
      <c r="M237" s="21" t="n">
        <f aca="false">ROUND(Q237*S237,0)</f>
        <v>172</v>
      </c>
      <c r="N237" s="21" t="n">
        <f aca="false">ROUND(SQRT((F237*J237/100)^2+(G237*M237)^2),0)</f>
        <v>116</v>
      </c>
      <c r="P237" s="41" t="n">
        <v>14.2813071828014</v>
      </c>
      <c r="Q237" s="42" t="n">
        <v>1233.57185384573</v>
      </c>
      <c r="R237" s="43" t="n">
        <f aca="false">MAX(0,MIN(1,P237/100+$D$5))</f>
        <v>0.669797770404636</v>
      </c>
      <c r="S237" s="43" t="n">
        <v>0.139463116518417</v>
      </c>
      <c r="T237" s="44" t="s">
        <v>128</v>
      </c>
    </row>
    <row r="238" customFormat="false" ht="15" hidden="false" customHeight="false" outlineLevel="0" collapsed="false">
      <c r="A238" s="38" t="s">
        <v>344</v>
      </c>
      <c r="B238" s="38" t="s">
        <v>219</v>
      </c>
      <c r="C238" s="38" t="s">
        <v>359</v>
      </c>
      <c r="D238" s="21" t="n">
        <f aca="false">ROUND(Q238*R238,0)</f>
        <v>670</v>
      </c>
      <c r="E238" s="21" t="n">
        <f aca="false">ROUND(Q238,0)-D238</f>
        <v>402</v>
      </c>
      <c r="F238" s="21" t="n">
        <f aca="false">IF(COUNTA(D238:E238)=0,"",SUM(D238:E238))</f>
        <v>1072</v>
      </c>
      <c r="G238" s="39" t="n">
        <f aca="false">IF(OR(F238="",F238=0),"",D238/F238)</f>
        <v>0.625</v>
      </c>
      <c r="H238" s="39" t="n">
        <f aca="false">IF(OR(F238="",F238=0),"",E238/F238)</f>
        <v>0.375</v>
      </c>
      <c r="I238" s="38" t="s">
        <v>89</v>
      </c>
      <c r="J238" s="40" t="n">
        <v>2.12060277043418</v>
      </c>
      <c r="K238" s="39" t="n">
        <f aca="false">IF(G238="","",MAX(0,G238-J238/100))</f>
        <v>0.603793972295658</v>
      </c>
      <c r="L238" s="39" t="n">
        <f aca="false">IF(G238="","",MIN(1,G238+J238/100))</f>
        <v>0.646206027704342</v>
      </c>
      <c r="M238" s="21" t="n">
        <f aca="false">ROUND(Q238*S238,0)</f>
        <v>68</v>
      </c>
      <c r="N238" s="21" t="n">
        <f aca="false">ROUND(SQRT((F238*J238/100)^2+(G238*M238)^2),0)</f>
        <v>48</v>
      </c>
      <c r="P238" s="41" t="n">
        <v>9.79653050141544</v>
      </c>
      <c r="Q238" s="42" t="n">
        <v>1071.54544727698</v>
      </c>
      <c r="R238" s="43" t="n">
        <f aca="false">MAX(0,MIN(1,P238/100+$D$5))</f>
        <v>0.624950003590776</v>
      </c>
      <c r="S238" s="43" t="n">
        <v>0.0633793435818552</v>
      </c>
      <c r="T238" s="44" t="s">
        <v>99</v>
      </c>
    </row>
    <row r="239" customFormat="false" ht="15" hidden="false" customHeight="false" outlineLevel="0" collapsed="false">
      <c r="A239" s="38" t="s">
        <v>344</v>
      </c>
      <c r="B239" s="38" t="s">
        <v>219</v>
      </c>
      <c r="C239" s="38" t="s">
        <v>360</v>
      </c>
      <c r="D239" s="21" t="n">
        <f aca="false">ROUND(Q239*R239,0)</f>
        <v>498</v>
      </c>
      <c r="E239" s="21" t="n">
        <f aca="false">ROUND(Q239,0)-D239</f>
        <v>230</v>
      </c>
      <c r="F239" s="21" t="n">
        <f aca="false">IF(COUNTA(D239:E239)=0,"",SUM(D239:E239))</f>
        <v>728</v>
      </c>
      <c r="G239" s="39" t="n">
        <f aca="false">IF(OR(F239="",F239=0),"",D239/F239)</f>
        <v>0.684065934065934</v>
      </c>
      <c r="H239" s="39" t="n">
        <f aca="false">IF(OR(F239="",F239=0),"",E239/F239)</f>
        <v>0.315934065934066</v>
      </c>
      <c r="I239" s="38" t="s">
        <v>89</v>
      </c>
      <c r="J239" s="40" t="n">
        <v>3.7041269898902</v>
      </c>
      <c r="K239" s="39" t="n">
        <f aca="false">IF(G239="","",MAX(0,G239-J239/100))</f>
        <v>0.647024664167032</v>
      </c>
      <c r="L239" s="39" t="n">
        <f aca="false">IF(G239="","",MIN(1,G239+J239/100))</f>
        <v>0.721107203964836</v>
      </c>
      <c r="M239" s="21" t="n">
        <f aca="false">ROUND(Q239*S239,0)</f>
        <v>57</v>
      </c>
      <c r="N239" s="21" t="n">
        <f aca="false">ROUND(SQRT((F239*J239/100)^2+(G239*M239)^2),0)</f>
        <v>47</v>
      </c>
      <c r="P239" s="41" t="n">
        <v>15.775368202041</v>
      </c>
      <c r="Q239" s="42" t="n">
        <v>727.898624513066</v>
      </c>
      <c r="R239" s="43" t="n">
        <f aca="false">MAX(0,MIN(1,P239/100+$D$5))</f>
        <v>0.684738380597032</v>
      </c>
      <c r="S239" s="43" t="n">
        <v>0.0779420971553049</v>
      </c>
      <c r="T239" s="44" t="s">
        <v>90</v>
      </c>
    </row>
    <row r="240" customFormat="false" ht="15" hidden="false" customHeight="false" outlineLevel="0" collapsed="false">
      <c r="A240" s="38" t="s">
        <v>344</v>
      </c>
      <c r="B240" s="38" t="s">
        <v>219</v>
      </c>
      <c r="C240" s="38" t="s">
        <v>361</v>
      </c>
      <c r="D240" s="21" t="n">
        <f aca="false">ROUND(Q240*R240,0)</f>
        <v>628</v>
      </c>
      <c r="E240" s="21" t="n">
        <f aca="false">ROUND(Q240,0)-D240</f>
        <v>256</v>
      </c>
      <c r="F240" s="21" t="n">
        <f aca="false">IF(COUNTA(D240:E240)=0,"",SUM(D240:E240))</f>
        <v>884</v>
      </c>
      <c r="G240" s="39" t="n">
        <f aca="false">IF(OR(F240="",F240=0),"",D240/F240)</f>
        <v>0.710407239819005</v>
      </c>
      <c r="H240" s="39" t="n">
        <f aca="false">IF(OR(F240="",F240=0),"",E240/F240)</f>
        <v>0.289592760180996</v>
      </c>
      <c r="I240" s="38" t="s">
        <v>89</v>
      </c>
      <c r="J240" s="40" t="n">
        <v>2.12060277043418</v>
      </c>
      <c r="K240" s="39" t="n">
        <f aca="false">IF(G240="","",MAX(0,G240-J240/100))</f>
        <v>0.689201212114663</v>
      </c>
      <c r="L240" s="39" t="n">
        <f aca="false">IF(G240="","",MIN(1,G240+J240/100))</f>
        <v>0.731613267523346</v>
      </c>
      <c r="M240" s="21" t="n">
        <f aca="false">ROUND(Q240*S240,0)</f>
        <v>56</v>
      </c>
      <c r="N240" s="21" t="n">
        <f aca="false">ROUND(SQRT((F240*J240/100)^2+(G240*M240)^2),0)</f>
        <v>44</v>
      </c>
      <c r="P240" s="41" t="n">
        <v>18.3644844431892</v>
      </c>
      <c r="Q240" s="42" t="n">
        <v>884.422848784767</v>
      </c>
      <c r="R240" s="43" t="n">
        <f aca="false">MAX(0,MIN(1,P240/100+$D$5))</f>
        <v>0.710629543008514</v>
      </c>
      <c r="S240" s="43" t="n">
        <v>0.0633793435818552</v>
      </c>
      <c r="T240" s="44" t="s">
        <v>99</v>
      </c>
    </row>
    <row r="241" customFormat="false" ht="15" hidden="false" customHeight="false" outlineLevel="0" collapsed="false">
      <c r="A241" s="38" t="s">
        <v>344</v>
      </c>
      <c r="B241" s="38" t="s">
        <v>219</v>
      </c>
      <c r="C241" s="38" t="s">
        <v>362</v>
      </c>
      <c r="D241" s="21" t="n">
        <f aca="false">ROUND(Q241*R241,0)</f>
        <v>767</v>
      </c>
      <c r="E241" s="21" t="n">
        <f aca="false">ROUND(Q241,0)-D241</f>
        <v>402</v>
      </c>
      <c r="F241" s="21" t="n">
        <f aca="false">IF(COUNTA(D241:E241)=0,"",SUM(D241:E241))</f>
        <v>1169</v>
      </c>
      <c r="G241" s="39" t="n">
        <f aca="false">IF(OR(F241="",F241=0),"",D241/F241)</f>
        <v>0.656116338751069</v>
      </c>
      <c r="H241" s="39" t="n">
        <f aca="false">IF(OR(F241="",F241=0),"",E241/F241)</f>
        <v>0.343883661248931</v>
      </c>
      <c r="I241" s="38" t="s">
        <v>89</v>
      </c>
      <c r="J241" s="40" t="n">
        <v>2.12060277043418</v>
      </c>
      <c r="K241" s="39" t="n">
        <f aca="false">IF(G241="","",MAX(0,G241-J241/100))</f>
        <v>0.634910311046728</v>
      </c>
      <c r="L241" s="39" t="n">
        <f aca="false">IF(G241="","",MIN(1,G241+J241/100))</f>
        <v>0.677322366455411</v>
      </c>
      <c r="M241" s="21" t="n">
        <f aca="false">ROUND(Q241*S241,0)</f>
        <v>74</v>
      </c>
      <c r="N241" s="21" t="n">
        <f aca="false">ROUND(SQRT((F241*J241/100)^2+(G241*M241)^2),0)</f>
        <v>55</v>
      </c>
      <c r="P241" s="41" t="n">
        <v>12.8622776712923</v>
      </c>
      <c r="Q241" s="42" t="n">
        <v>1169.32550785549</v>
      </c>
      <c r="R241" s="43" t="n">
        <f aca="false">MAX(0,MIN(1,P241/100+$D$5))</f>
        <v>0.655607475289545</v>
      </c>
      <c r="S241" s="43" t="n">
        <v>0.0633793435818552</v>
      </c>
      <c r="T241" s="44" t="s">
        <v>99</v>
      </c>
    </row>
    <row r="242" customFormat="false" ht="15" hidden="false" customHeight="false" outlineLevel="0" collapsed="false">
      <c r="A242" s="38" t="s">
        <v>344</v>
      </c>
      <c r="B242" s="38" t="s">
        <v>219</v>
      </c>
      <c r="C242" s="38" t="s">
        <v>363</v>
      </c>
      <c r="D242" s="21" t="n">
        <f aca="false">ROUND(Q242*R242,0)</f>
        <v>497</v>
      </c>
      <c r="E242" s="21" t="n">
        <f aca="false">ROUND(Q242,0)-D242</f>
        <v>193</v>
      </c>
      <c r="F242" s="21" t="n">
        <f aca="false">IF(COUNTA(D242:E242)=0,"",SUM(D242:E242))</f>
        <v>690</v>
      </c>
      <c r="G242" s="39" t="n">
        <f aca="false">IF(OR(F242="",F242=0),"",D242/F242)</f>
        <v>0.720289855072464</v>
      </c>
      <c r="H242" s="39" t="n">
        <f aca="false">IF(OR(F242="",F242=0),"",E242/F242)</f>
        <v>0.279710144927536</v>
      </c>
      <c r="I242" s="38" t="s">
        <v>89</v>
      </c>
      <c r="J242" s="40" t="n">
        <v>3.7041269898902</v>
      </c>
      <c r="K242" s="39" t="n">
        <f aca="false">IF(G242="","",MAX(0,G242-J242/100))</f>
        <v>0.683248585173562</v>
      </c>
      <c r="L242" s="39" t="n">
        <f aca="false">IF(G242="","",MIN(1,G242+J242/100))</f>
        <v>0.757331124971366</v>
      </c>
      <c r="M242" s="21" t="n">
        <f aca="false">ROUND(Q242*S242,0)</f>
        <v>54</v>
      </c>
      <c r="N242" s="21" t="n">
        <f aca="false">ROUND(SQRT((F242*J242/100)^2+(G242*M242)^2),0)</f>
        <v>47</v>
      </c>
      <c r="P242" s="41" t="n">
        <v>19.3287342770914</v>
      </c>
      <c r="Q242" s="42" t="n">
        <v>689.988158895902</v>
      </c>
      <c r="R242" s="43" t="n">
        <f aca="false">MAX(0,MIN(1,P242/100+$D$5))</f>
        <v>0.720272041347536</v>
      </c>
      <c r="S242" s="43" t="n">
        <v>0.0779420971553049</v>
      </c>
      <c r="T242" s="44" t="s">
        <v>90</v>
      </c>
    </row>
    <row r="243" customFormat="false" ht="15" hidden="false" customHeight="false" outlineLevel="0" collapsed="false">
      <c r="A243" s="38" t="s">
        <v>344</v>
      </c>
      <c r="B243" s="38" t="s">
        <v>219</v>
      </c>
      <c r="C243" s="38" t="s">
        <v>364</v>
      </c>
      <c r="D243" s="21" t="n">
        <f aca="false">ROUND(Q243*R243,0)</f>
        <v>593</v>
      </c>
      <c r="E243" s="21" t="n">
        <f aca="false">ROUND(Q243,0)-D243</f>
        <v>301</v>
      </c>
      <c r="F243" s="21" t="n">
        <f aca="false">IF(COUNTA(D243:E243)=0,"",SUM(D243:E243))</f>
        <v>894</v>
      </c>
      <c r="G243" s="39" t="n">
        <f aca="false">IF(OR(F243="",F243=0),"",D243/F243)</f>
        <v>0.66331096196868</v>
      </c>
      <c r="H243" s="39" t="n">
        <f aca="false">IF(OR(F243="",F243=0),"",E243/F243)</f>
        <v>0.33668903803132</v>
      </c>
      <c r="I243" s="38" t="s">
        <v>89</v>
      </c>
      <c r="J243" s="40" t="n">
        <v>2.12060277043418</v>
      </c>
      <c r="K243" s="39" t="n">
        <f aca="false">IF(G243="","",MAX(0,G243-J243/100))</f>
        <v>0.642104934264338</v>
      </c>
      <c r="L243" s="39" t="n">
        <f aca="false">IF(G243="","",MIN(1,G243+J243/100))</f>
        <v>0.684516989673022</v>
      </c>
      <c r="M243" s="21" t="n">
        <f aca="false">ROUND(Q243*S243,0)</f>
        <v>57</v>
      </c>
      <c r="N243" s="21" t="n">
        <f aca="false">ROUND(SQRT((F243*J243/100)^2+(G243*M243)^2),0)</f>
        <v>42</v>
      </c>
      <c r="P243" s="41" t="n">
        <v>13.5627715579025</v>
      </c>
      <c r="Q243" s="42" t="n">
        <v>894.188075634661</v>
      </c>
      <c r="R243" s="43" t="n">
        <f aca="false">MAX(0,MIN(1,P243/100+$D$5))</f>
        <v>0.662612414155647</v>
      </c>
      <c r="S243" s="43" t="n">
        <v>0.0633793435818552</v>
      </c>
      <c r="T243" s="44" t="s">
        <v>99</v>
      </c>
    </row>
    <row r="244" customFormat="false" ht="15" hidden="false" customHeight="false" outlineLevel="0" collapsed="false">
      <c r="A244" s="38" t="s">
        <v>344</v>
      </c>
      <c r="B244" s="38" t="s">
        <v>219</v>
      </c>
      <c r="C244" s="38" t="s">
        <v>365</v>
      </c>
      <c r="D244" s="21" t="n">
        <f aca="false">ROUND(Q244*R244,0)</f>
        <v>146</v>
      </c>
      <c r="E244" s="21" t="n">
        <f aca="false">ROUND(Q244,0)-D244</f>
        <v>52</v>
      </c>
      <c r="F244" s="21" t="n">
        <f aca="false">IF(COUNTA(D244:E244)=0,"",SUM(D244:E244))</f>
        <v>198</v>
      </c>
      <c r="G244" s="39" t="n">
        <f aca="false">IF(OR(F244="",F244=0),"",D244/F244)</f>
        <v>0.737373737373737</v>
      </c>
      <c r="H244" s="39" t="n">
        <f aca="false">IF(OR(F244="",F244=0),"",E244/F244)</f>
        <v>0.262626262626263</v>
      </c>
      <c r="I244" s="38" t="s">
        <v>89</v>
      </c>
      <c r="J244" s="40" t="n">
        <v>3.7041269898902</v>
      </c>
      <c r="K244" s="39" t="n">
        <f aca="false">IF(G244="","",MAX(0,G244-J244/100))</f>
        <v>0.700332467474835</v>
      </c>
      <c r="L244" s="39" t="n">
        <f aca="false">IF(G244="","",MIN(1,G244+J244/100))</f>
        <v>0.774415007272639</v>
      </c>
      <c r="M244" s="21" t="n">
        <f aca="false">ROUND(Q244*S244,0)</f>
        <v>15</v>
      </c>
      <c r="N244" s="21" t="n">
        <f aca="false">ROUND(SQRT((F244*J244/100)^2+(G244*M244)^2),0)</f>
        <v>13</v>
      </c>
      <c r="P244" s="41" t="n">
        <v>21.2080360808083</v>
      </c>
      <c r="Q244" s="42" t="n">
        <v>198.089451051552</v>
      </c>
      <c r="R244" s="43" t="n">
        <f aca="false">MAX(0,MIN(1,P244/100+$D$5))</f>
        <v>0.739065059384705</v>
      </c>
      <c r="S244" s="43" t="n">
        <v>0.0779420971553049</v>
      </c>
      <c r="T244" s="44" t="s">
        <v>90</v>
      </c>
    </row>
    <row r="245" customFormat="false" ht="15" hidden="false" customHeight="false" outlineLevel="0" collapsed="false">
      <c r="A245" s="38" t="s">
        <v>344</v>
      </c>
      <c r="B245" s="38" t="s">
        <v>219</v>
      </c>
      <c r="C245" s="38" t="s">
        <v>366</v>
      </c>
      <c r="D245" s="21" t="n">
        <f aca="false">ROUND(Q245*R245,0)</f>
        <v>316</v>
      </c>
      <c r="E245" s="21" t="n">
        <f aca="false">ROUND(Q245,0)-D245</f>
        <v>100</v>
      </c>
      <c r="F245" s="21" t="n">
        <f aca="false">IF(COUNTA(D245:E245)=0,"",SUM(D245:E245))</f>
        <v>416</v>
      </c>
      <c r="G245" s="39" t="n">
        <f aca="false">IF(OR(F245="",F245=0),"",D245/F245)</f>
        <v>0.759615384615385</v>
      </c>
      <c r="H245" s="39" t="n">
        <f aca="false">IF(OR(F245="",F245=0),"",E245/F245)</f>
        <v>0.240384615384615</v>
      </c>
      <c r="I245" s="38" t="s">
        <v>89</v>
      </c>
      <c r="J245" s="40" t="n">
        <v>3.7041269898902</v>
      </c>
      <c r="K245" s="39" t="n">
        <f aca="false">IF(G245="","",MAX(0,G245-J245/100))</f>
        <v>0.722574114716483</v>
      </c>
      <c r="L245" s="39" t="n">
        <f aca="false">IF(G245="","",MIN(1,G245+J245/100))</f>
        <v>0.796656654514287</v>
      </c>
      <c r="M245" s="21" t="n">
        <f aca="false">ROUND(Q245*S245,0)</f>
        <v>32</v>
      </c>
      <c r="N245" s="21" t="n">
        <f aca="false">ROUND(SQRT((F245*J245/100)^2+(G245*M245)^2),0)</f>
        <v>29</v>
      </c>
      <c r="P245" s="41" t="n">
        <v>23.2776275370459</v>
      </c>
      <c r="Q245" s="42" t="n">
        <v>415.89542768251</v>
      </c>
      <c r="R245" s="43" t="n">
        <f aca="false">MAX(0,MIN(1,P245/100+$D$5))</f>
        <v>0.759760973947081</v>
      </c>
      <c r="S245" s="43" t="n">
        <v>0.0779420971553049</v>
      </c>
      <c r="T245" s="44" t="s">
        <v>90</v>
      </c>
    </row>
    <row r="246" customFormat="false" ht="15" hidden="false" customHeight="false" outlineLevel="0" collapsed="false">
      <c r="A246" s="38" t="s">
        <v>344</v>
      </c>
      <c r="B246" s="38" t="s">
        <v>219</v>
      </c>
      <c r="C246" s="38" t="s">
        <v>367</v>
      </c>
      <c r="D246" s="21" t="n">
        <f aca="false">ROUND(Q246*R246,0)</f>
        <v>274</v>
      </c>
      <c r="E246" s="21" t="n">
        <f aca="false">ROUND(Q246,0)-D246</f>
        <v>89</v>
      </c>
      <c r="F246" s="21" t="n">
        <f aca="false">IF(COUNTA(D246:E246)=0,"",SUM(D246:E246))</f>
        <v>363</v>
      </c>
      <c r="G246" s="39" t="n">
        <f aca="false">IF(OR(F246="",F246=0),"",D246/F246)</f>
        <v>0.754820936639118</v>
      </c>
      <c r="H246" s="39" t="n">
        <f aca="false">IF(OR(F246="",F246=0),"",E246/F246)</f>
        <v>0.245179063360882</v>
      </c>
      <c r="I246" s="38" t="s">
        <v>89</v>
      </c>
      <c r="J246" s="40" t="n">
        <v>3.7041269898902</v>
      </c>
      <c r="K246" s="39" t="n">
        <f aca="false">IF(G246="","",MAX(0,G246-J246/100))</f>
        <v>0.717779666740216</v>
      </c>
      <c r="L246" s="39" t="n">
        <f aca="false">IF(G246="","",MIN(1,G246+J246/100))</f>
        <v>0.79186220653802</v>
      </c>
      <c r="M246" s="21" t="n">
        <f aca="false">ROUND(Q246*S246,0)</f>
        <v>28</v>
      </c>
      <c r="N246" s="21" t="n">
        <f aca="false">ROUND(SQRT((F246*J246/100)^2+(G246*M246)^2),0)</f>
        <v>25</v>
      </c>
      <c r="P246" s="41" t="n">
        <v>22.6945919348961</v>
      </c>
      <c r="Q246" s="42" t="n">
        <v>362.792366716969</v>
      </c>
      <c r="R246" s="43" t="n">
        <f aca="false">MAX(0,MIN(1,P246/100+$D$5))</f>
        <v>0.753930617925583</v>
      </c>
      <c r="S246" s="43" t="n">
        <v>0.0779420971553049</v>
      </c>
      <c r="T246" s="44" t="s">
        <v>90</v>
      </c>
    </row>
    <row r="247" customFormat="false" ht="15" hidden="false" customHeight="false" outlineLevel="0" collapsed="false">
      <c r="A247" s="38" t="s">
        <v>344</v>
      </c>
      <c r="B247" s="38" t="s">
        <v>219</v>
      </c>
      <c r="C247" s="38" t="s">
        <v>368</v>
      </c>
      <c r="D247" s="21" t="n">
        <f aca="false">ROUND(Q247*R247,0)</f>
        <v>403</v>
      </c>
      <c r="E247" s="21" t="n">
        <f aca="false">ROUND(Q247,0)-D247</f>
        <v>105</v>
      </c>
      <c r="F247" s="21" t="n">
        <f aca="false">IF(COUNTA(D247:E247)=0,"",SUM(D247:E247))</f>
        <v>508</v>
      </c>
      <c r="G247" s="39" t="n">
        <f aca="false">IF(OR(F247="",F247=0),"",D247/F247)</f>
        <v>0.793307086614173</v>
      </c>
      <c r="H247" s="39" t="n">
        <f aca="false">IF(OR(F247="",F247=0),"",E247/F247)</f>
        <v>0.206692913385827</v>
      </c>
      <c r="I247" s="38" t="s">
        <v>89</v>
      </c>
      <c r="J247" s="40" t="n">
        <v>3.7041269898902</v>
      </c>
      <c r="K247" s="39" t="n">
        <f aca="false">IF(G247="","",MAX(0,G247-J247/100))</f>
        <v>0.756265816715271</v>
      </c>
      <c r="L247" s="39" t="n">
        <f aca="false">IF(G247="","",MIN(1,G247+J247/100))</f>
        <v>0.830348356513075</v>
      </c>
      <c r="M247" s="21" t="n">
        <f aca="false">ROUND(Q247*S247,0)</f>
        <v>40</v>
      </c>
      <c r="N247" s="21" t="n">
        <f aca="false">ROUND(SQRT((F247*J247/100)^2+(G247*M247)^2),0)</f>
        <v>37</v>
      </c>
      <c r="P247" s="41" t="n">
        <v>26.6345811428664</v>
      </c>
      <c r="Q247" s="42" t="n">
        <v>507.695658793283</v>
      </c>
      <c r="R247" s="43" t="n">
        <f aca="false">MAX(0,MIN(1,P247/100+$D$5))</f>
        <v>0.793330510005285</v>
      </c>
      <c r="S247" s="43" t="n">
        <v>0.0779420971553049</v>
      </c>
      <c r="T247" s="44" t="s">
        <v>90</v>
      </c>
    </row>
    <row r="248" customFormat="false" ht="15" hidden="false" customHeight="false" outlineLevel="0" collapsed="false">
      <c r="A248" s="38" t="s">
        <v>344</v>
      </c>
      <c r="B248" s="38" t="s">
        <v>219</v>
      </c>
      <c r="C248" s="38" t="s">
        <v>369</v>
      </c>
      <c r="D248" s="21" t="n">
        <f aca="false">ROUND(Q248*R248,0)</f>
        <v>724</v>
      </c>
      <c r="E248" s="21" t="n">
        <f aca="false">ROUND(Q248,0)-D248</f>
        <v>150</v>
      </c>
      <c r="F248" s="21" t="n">
        <f aca="false">IF(COUNTA(D248:E248)=0,"",SUM(D248:E248))</f>
        <v>874</v>
      </c>
      <c r="G248" s="39" t="n">
        <f aca="false">IF(OR(F248="",F248=0),"",D248/F248)</f>
        <v>0.82837528604119</v>
      </c>
      <c r="H248" s="39" t="n">
        <f aca="false">IF(OR(F248="",F248=0),"",E248/F248)</f>
        <v>0.17162471395881</v>
      </c>
      <c r="I248" s="38" t="s">
        <v>89</v>
      </c>
      <c r="J248" s="40" t="n">
        <v>2.12060277043418</v>
      </c>
      <c r="K248" s="39" t="n">
        <f aca="false">IF(G248="","",MAX(0,G248-J248/100))</f>
        <v>0.807169258336848</v>
      </c>
      <c r="L248" s="39" t="n">
        <f aca="false">IF(G248="","",MIN(1,G248+J248/100))</f>
        <v>0.849581313745532</v>
      </c>
      <c r="M248" s="21" t="n">
        <f aca="false">ROUND(Q248*S248,0)</f>
        <v>55</v>
      </c>
      <c r="N248" s="21" t="n">
        <f aca="false">ROUND(SQRT((F248*J248/100)^2+(G248*M248)^2),0)</f>
        <v>49</v>
      </c>
      <c r="P248" s="41" t="n">
        <v>30.1214984635318</v>
      </c>
      <c r="Q248" s="42" t="n">
        <v>874.192821593382</v>
      </c>
      <c r="R248" s="43" t="n">
        <f aca="false">MAX(0,MIN(1,P248/100+$D$5))</f>
        <v>0.828199683211939</v>
      </c>
      <c r="S248" s="43" t="n">
        <v>0.0633793435818552</v>
      </c>
      <c r="T248" s="44" t="s">
        <v>99</v>
      </c>
    </row>
    <row r="249" customFormat="false" ht="15" hidden="false" customHeight="false" outlineLevel="0" collapsed="false">
      <c r="A249" s="38" t="s">
        <v>344</v>
      </c>
      <c r="B249" s="38" t="s">
        <v>219</v>
      </c>
      <c r="C249" s="38" t="s">
        <v>370</v>
      </c>
      <c r="D249" s="21" t="n">
        <f aca="false">ROUND(Q249*R249,0)</f>
        <v>417</v>
      </c>
      <c r="E249" s="21" t="n">
        <f aca="false">ROUND(Q249,0)-D249</f>
        <v>126</v>
      </c>
      <c r="F249" s="21" t="n">
        <f aca="false">IF(COUNTA(D249:E249)=0,"",SUM(D249:E249))</f>
        <v>543</v>
      </c>
      <c r="G249" s="39" t="n">
        <f aca="false">IF(OR(F249="",F249=0),"",D249/F249)</f>
        <v>0.767955801104972</v>
      </c>
      <c r="H249" s="39" t="n">
        <f aca="false">IF(OR(F249="",F249=0),"",E249/F249)</f>
        <v>0.232044198895028</v>
      </c>
      <c r="I249" s="38" t="s">
        <v>89</v>
      </c>
      <c r="J249" s="40" t="n">
        <v>3.7041269898902</v>
      </c>
      <c r="K249" s="39" t="n">
        <f aca="false">IF(G249="","",MAX(0,G249-J249/100))</f>
        <v>0.73091453120607</v>
      </c>
      <c r="L249" s="39" t="n">
        <f aca="false">IF(G249="","",MIN(1,G249+J249/100))</f>
        <v>0.804997071003874</v>
      </c>
      <c r="M249" s="21" t="n">
        <f aca="false">ROUND(Q249*S249,0)</f>
        <v>42</v>
      </c>
      <c r="N249" s="21" t="n">
        <f aca="false">ROUND(SQRT((F249*J249/100)^2+(G249*M249)^2),0)</f>
        <v>38</v>
      </c>
      <c r="P249" s="41" t="n">
        <v>24.044902664767</v>
      </c>
      <c r="Q249" s="42" t="n">
        <v>542.992431785363</v>
      </c>
      <c r="R249" s="43" t="n">
        <f aca="false">MAX(0,MIN(1,P249/100+$D$5))</f>
        <v>0.767433725224292</v>
      </c>
      <c r="S249" s="43" t="n">
        <v>0.0779420971553049</v>
      </c>
      <c r="T249" s="44" t="s">
        <v>90</v>
      </c>
    </row>
    <row r="250" customFormat="false" ht="15" hidden="false" customHeight="false" outlineLevel="0" collapsed="false">
      <c r="A250" s="38" t="s">
        <v>344</v>
      </c>
      <c r="B250" s="38" t="s">
        <v>219</v>
      </c>
      <c r="C250" s="38" t="s">
        <v>371</v>
      </c>
      <c r="D250" s="21" t="n">
        <f aca="false">ROUND(Q250*R250,0)</f>
        <v>345</v>
      </c>
      <c r="E250" s="21" t="n">
        <f aca="false">ROUND(Q250,0)-D250</f>
        <v>116</v>
      </c>
      <c r="F250" s="21" t="n">
        <f aca="false">IF(COUNTA(D250:E250)=0,"",SUM(D250:E250))</f>
        <v>461</v>
      </c>
      <c r="G250" s="39" t="n">
        <f aca="false">IF(OR(F250="",F250=0),"",D250/F250)</f>
        <v>0.748373101952278</v>
      </c>
      <c r="H250" s="39" t="n">
        <f aca="false">IF(OR(F250="",F250=0),"",E250/F250)</f>
        <v>0.251626898047722</v>
      </c>
      <c r="I250" s="38" t="s">
        <v>89</v>
      </c>
      <c r="J250" s="40" t="n">
        <v>3.7041269898902</v>
      </c>
      <c r="K250" s="39" t="n">
        <f aca="false">IF(G250="","",MAX(0,G250-J250/100))</f>
        <v>0.711331832053376</v>
      </c>
      <c r="L250" s="39" t="n">
        <f aca="false">IF(G250="","",MIN(1,G250+J250/100))</f>
        <v>0.78541437185118</v>
      </c>
      <c r="M250" s="21" t="n">
        <f aca="false">ROUND(Q250*S250,0)</f>
        <v>36</v>
      </c>
      <c r="N250" s="21" t="n">
        <f aca="false">ROUND(SQRT((F250*J250/100)^2+(G250*M250)^2),0)</f>
        <v>32</v>
      </c>
      <c r="P250" s="41" t="n">
        <v>22.191352702949</v>
      </c>
      <c r="Q250" s="42" t="n">
        <v>460.692993257365</v>
      </c>
      <c r="R250" s="43" t="n">
        <f aca="false">MAX(0,MIN(1,P250/100+$D$5))</f>
        <v>0.748898225606111</v>
      </c>
      <c r="S250" s="43" t="n">
        <v>0.0779420971553049</v>
      </c>
      <c r="T250" s="44" t="s">
        <v>90</v>
      </c>
    </row>
    <row r="251" customFormat="false" ht="15" hidden="false" customHeight="false" outlineLevel="0" collapsed="false">
      <c r="A251" s="38" t="s">
        <v>344</v>
      </c>
      <c r="B251" s="38" t="s">
        <v>219</v>
      </c>
      <c r="C251" s="38" t="s">
        <v>372</v>
      </c>
      <c r="D251" s="21" t="n">
        <f aca="false">ROUND(Q251*R251,0)</f>
        <v>438</v>
      </c>
      <c r="E251" s="21" t="n">
        <f aca="false">ROUND(Q251,0)-D251</f>
        <v>137</v>
      </c>
      <c r="F251" s="21" t="n">
        <f aca="false">IF(COUNTA(D251:E251)=0,"",SUM(D251:E251))</f>
        <v>575</v>
      </c>
      <c r="G251" s="39" t="n">
        <f aca="false">IF(OR(F251="",F251=0),"",D251/F251)</f>
        <v>0.761739130434783</v>
      </c>
      <c r="H251" s="39" t="n">
        <f aca="false">IF(OR(F251="",F251=0),"",E251/F251)</f>
        <v>0.238260869565217</v>
      </c>
      <c r="I251" s="38" t="s">
        <v>89</v>
      </c>
      <c r="J251" s="40" t="n">
        <v>3.7041269898902</v>
      </c>
      <c r="K251" s="39" t="n">
        <f aca="false">IF(G251="","",MAX(0,G251-J251/100))</f>
        <v>0.724697860535881</v>
      </c>
      <c r="L251" s="39" t="n">
        <f aca="false">IF(G251="","",MIN(1,G251+J251/100))</f>
        <v>0.798780400333685</v>
      </c>
      <c r="M251" s="21" t="n">
        <f aca="false">ROUND(Q251*S251,0)</f>
        <v>45</v>
      </c>
      <c r="N251" s="21" t="n">
        <f aca="false">ROUND(SQRT((F251*J251/100)^2+(G251*M251)^2),0)</f>
        <v>40</v>
      </c>
      <c r="P251" s="41" t="n">
        <v>23.498938367459</v>
      </c>
      <c r="Q251" s="42" t="n">
        <v>575.394587194766</v>
      </c>
      <c r="R251" s="43" t="n">
        <f aca="false">MAX(0,MIN(1,P251/100+$D$5))</f>
        <v>0.761974082251211</v>
      </c>
      <c r="S251" s="43" t="n">
        <v>0.0779420971553049</v>
      </c>
      <c r="T251" s="44" t="s">
        <v>90</v>
      </c>
    </row>
    <row r="252" customFormat="false" ht="15" hidden="false" customHeight="false" outlineLevel="0" collapsed="false">
      <c r="A252" s="38" t="s">
        <v>344</v>
      </c>
      <c r="B252" s="38" t="s">
        <v>219</v>
      </c>
      <c r="C252" s="38" t="s">
        <v>373</v>
      </c>
      <c r="D252" s="21" t="n">
        <f aca="false">ROUND(Q252*R252,0)</f>
        <v>598</v>
      </c>
      <c r="E252" s="21" t="n">
        <f aca="false">ROUND(Q252,0)-D252</f>
        <v>208</v>
      </c>
      <c r="F252" s="21" t="n">
        <f aca="false">IF(COUNTA(D252:E252)=0,"",SUM(D252:E252))</f>
        <v>806</v>
      </c>
      <c r="G252" s="39" t="n">
        <f aca="false">IF(OR(F252="",F252=0),"",D252/F252)</f>
        <v>0.741935483870968</v>
      </c>
      <c r="H252" s="39" t="n">
        <f aca="false">IF(OR(F252="",F252=0),"",E252/F252)</f>
        <v>0.258064516129032</v>
      </c>
      <c r="I252" s="38" t="s">
        <v>89</v>
      </c>
      <c r="J252" s="40" t="n">
        <v>2.12060277043418</v>
      </c>
      <c r="K252" s="39" t="n">
        <f aca="false">IF(G252="","",MAX(0,G252-J252/100))</f>
        <v>0.720729456166626</v>
      </c>
      <c r="L252" s="39" t="n">
        <f aca="false">IF(G252="","",MIN(1,G252+J252/100))</f>
        <v>0.76314151157531</v>
      </c>
      <c r="M252" s="21" t="n">
        <f aca="false">ROUND(Q252*S252,0)</f>
        <v>51</v>
      </c>
      <c r="N252" s="21" t="n">
        <f aca="false">ROUND(SQRT((F252*J252/100)^2+(G252*M252)^2),0)</f>
        <v>42</v>
      </c>
      <c r="P252" s="41" t="n">
        <v>21.5064785053684</v>
      </c>
      <c r="Q252" s="42" t="n">
        <v>806.118494055372</v>
      </c>
      <c r="R252" s="43" t="n">
        <f aca="false">MAX(0,MIN(1,P252/100+$D$5))</f>
        <v>0.742049483630305</v>
      </c>
      <c r="S252" s="43" t="n">
        <v>0.0633793435818552</v>
      </c>
      <c r="T252" s="44" t="s">
        <v>99</v>
      </c>
    </row>
    <row r="253" customFormat="false" ht="15" hidden="false" customHeight="false" outlineLevel="0" collapsed="false">
      <c r="A253" s="38" t="s">
        <v>344</v>
      </c>
      <c r="B253" s="38" t="s">
        <v>219</v>
      </c>
      <c r="C253" s="38" t="s">
        <v>374</v>
      </c>
      <c r="D253" s="21" t="n">
        <f aca="false">ROUND(Q253*R253,0)</f>
        <v>496</v>
      </c>
      <c r="E253" s="21" t="n">
        <f aca="false">ROUND(Q253,0)-D253</f>
        <v>188</v>
      </c>
      <c r="F253" s="21" t="n">
        <f aca="false">IF(COUNTA(D253:E253)=0,"",SUM(D253:E253))</f>
        <v>684</v>
      </c>
      <c r="G253" s="39" t="n">
        <f aca="false">IF(OR(F253="",F253=0),"",D253/F253)</f>
        <v>0.725146198830409</v>
      </c>
      <c r="H253" s="39" t="n">
        <f aca="false">IF(OR(F253="",F253=0),"",E253/F253)</f>
        <v>0.274853801169591</v>
      </c>
      <c r="I253" s="38" t="s">
        <v>89</v>
      </c>
      <c r="J253" s="40" t="n">
        <v>3.7041269898902</v>
      </c>
      <c r="K253" s="39" t="n">
        <f aca="false">IF(G253="","",MAX(0,G253-J253/100))</f>
        <v>0.688104928931507</v>
      </c>
      <c r="L253" s="39" t="n">
        <f aca="false">IF(G253="","",MIN(1,G253+J253/100))</f>
        <v>0.762187468729311</v>
      </c>
      <c r="M253" s="21" t="n">
        <f aca="false">ROUND(Q253*S253,0)</f>
        <v>53</v>
      </c>
      <c r="N253" s="21" t="n">
        <f aca="false">ROUND(SQRT((F253*J253/100)^2+(G253*M253)^2),0)</f>
        <v>46</v>
      </c>
      <c r="P253" s="41" t="n">
        <v>19.7926181900264</v>
      </c>
      <c r="Q253" s="42" t="n">
        <v>684.212342303647</v>
      </c>
      <c r="R253" s="43" t="n">
        <f aca="false">MAX(0,MIN(1,P253/100+$D$5))</f>
        <v>0.724910880476885</v>
      </c>
      <c r="S253" s="43" t="n">
        <v>0.0779420971553049</v>
      </c>
      <c r="T253" s="44" t="s">
        <v>90</v>
      </c>
    </row>
    <row r="254" customFormat="false" ht="15" hidden="false" customHeight="false" outlineLevel="0" collapsed="false">
      <c r="A254" s="38" t="s">
        <v>344</v>
      </c>
      <c r="B254" s="38" t="s">
        <v>219</v>
      </c>
      <c r="C254" s="38" t="s">
        <v>375</v>
      </c>
      <c r="D254" s="21" t="n">
        <f aca="false">ROUND(Q254*R254,0)</f>
        <v>581</v>
      </c>
      <c r="E254" s="21" t="n">
        <f aca="false">ROUND(Q254,0)-D254</f>
        <v>221</v>
      </c>
      <c r="F254" s="21" t="n">
        <f aca="false">IF(COUNTA(D254:E254)=0,"",SUM(D254:E254))</f>
        <v>802</v>
      </c>
      <c r="G254" s="39" t="n">
        <f aca="false">IF(OR(F254="",F254=0),"",D254/F254)</f>
        <v>0.724438902743142</v>
      </c>
      <c r="H254" s="39" t="n">
        <f aca="false">IF(OR(F254="",F254=0),"",E254/F254)</f>
        <v>0.275561097256858</v>
      </c>
      <c r="I254" s="38" t="s">
        <v>89</v>
      </c>
      <c r="J254" s="40" t="n">
        <v>2.12060277043418</v>
      </c>
      <c r="K254" s="39" t="n">
        <f aca="false">IF(G254="","",MAX(0,G254-J254/100))</f>
        <v>0.7032328750388</v>
      </c>
      <c r="L254" s="39" t="n">
        <f aca="false">IF(G254="","",MIN(1,G254+J254/100))</f>
        <v>0.745644930447484</v>
      </c>
      <c r="M254" s="21" t="n">
        <f aca="false">ROUND(Q254*S254,0)</f>
        <v>51</v>
      </c>
      <c r="N254" s="21" t="n">
        <f aca="false">ROUND(SQRT((F254*J254/100)^2+(G254*M254)^2),0)</f>
        <v>41</v>
      </c>
      <c r="P254" s="41" t="n">
        <v>19.8042668652927</v>
      </c>
      <c r="Q254" s="42" t="n">
        <v>801.542982687324</v>
      </c>
      <c r="R254" s="43" t="n">
        <f aca="false">MAX(0,MIN(1,P254/100+$D$5))</f>
        <v>0.725027367229548</v>
      </c>
      <c r="S254" s="43" t="n">
        <v>0.0633793435818552</v>
      </c>
      <c r="T254" s="44" t="s">
        <v>99</v>
      </c>
    </row>
    <row r="255" customFormat="false" ht="15" hidden="false" customHeight="false" outlineLevel="0" collapsed="false">
      <c r="A255" s="38" t="s">
        <v>344</v>
      </c>
      <c r="B255" s="38" t="s">
        <v>219</v>
      </c>
      <c r="C255" s="38" t="s">
        <v>376</v>
      </c>
      <c r="D255" s="21" t="n">
        <f aca="false">ROUND(Q255*R255,0)</f>
        <v>579</v>
      </c>
      <c r="E255" s="21" t="n">
        <f aca="false">ROUND(Q255,0)-D255</f>
        <v>297</v>
      </c>
      <c r="F255" s="21" t="n">
        <f aca="false">IF(COUNTA(D255:E255)=0,"",SUM(D255:E255))</f>
        <v>876</v>
      </c>
      <c r="G255" s="39" t="n">
        <f aca="false">IF(OR(F255="",F255=0),"",D255/F255)</f>
        <v>0.660958904109589</v>
      </c>
      <c r="H255" s="39" t="n">
        <f aca="false">IF(OR(F255="",F255=0),"",E255/F255)</f>
        <v>0.339041095890411</v>
      </c>
      <c r="I255" s="38" t="s">
        <v>191</v>
      </c>
      <c r="J255" s="40" t="n">
        <v>2.12060277043418</v>
      </c>
      <c r="K255" s="39" t="n">
        <f aca="false">IF(G255="","",MAX(0,G255-J255/100))</f>
        <v>0.639752876405247</v>
      </c>
      <c r="L255" s="39" t="n">
        <f aca="false">IF(G255="","",MIN(1,G255+J255/100))</f>
        <v>0.682164931813931</v>
      </c>
      <c r="M255" s="21" t="n">
        <f aca="false">ROUND(Q255*S255,0)</f>
        <v>56</v>
      </c>
      <c r="N255" s="21" t="n">
        <f aca="false">ROUND(SQRT((F255*J255/100)^2+(G255*M255)^2),0)</f>
        <v>41</v>
      </c>
      <c r="P255" s="41" t="n">
        <v>13.4397334036973</v>
      </c>
      <c r="Q255" s="42" t="n">
        <v>875.735655557565</v>
      </c>
      <c r="R255" s="43" t="n">
        <f aca="false">MAX(0,MIN(1,P255/100+$D$5))</f>
        <v>0.661382032613595</v>
      </c>
      <c r="S255" s="43" t="n">
        <v>0.0633793435818552</v>
      </c>
      <c r="T255" s="44" t="s">
        <v>99</v>
      </c>
    </row>
    <row r="256" customFormat="false" ht="15" hidden="false" customHeight="false" outlineLevel="0" collapsed="false">
      <c r="A256" s="38" t="s">
        <v>344</v>
      </c>
      <c r="B256" s="38" t="s">
        <v>377</v>
      </c>
      <c r="C256" s="38" t="s">
        <v>378</v>
      </c>
      <c r="D256" s="21" t="n">
        <f aca="false">ROUND(Q256*R256,0)</f>
        <v>436</v>
      </c>
      <c r="E256" s="21" t="n">
        <f aca="false">ROUND(Q256,0)-D256</f>
        <v>319</v>
      </c>
      <c r="F256" s="21" t="n">
        <f aca="false">IF(COUNTA(D256:E256)=0,"",SUM(D256:E256))</f>
        <v>755</v>
      </c>
      <c r="G256" s="39" t="n">
        <f aca="false">IF(OR(F256="",F256=0),"",D256/F256)</f>
        <v>0.577483443708609</v>
      </c>
      <c r="H256" s="39" t="n">
        <f aca="false">IF(OR(F256="",F256=0),"",E256/F256)</f>
        <v>0.422516556291391</v>
      </c>
      <c r="I256" s="38" t="s">
        <v>89</v>
      </c>
      <c r="J256" s="40" t="n">
        <v>3.7041269898902</v>
      </c>
      <c r="K256" s="39" t="n">
        <f aca="false">IF(G256="","",MAX(0,G256-J256/100))</f>
        <v>0.540442173809707</v>
      </c>
      <c r="L256" s="39" t="n">
        <f aca="false">IF(G256="","",MIN(1,G256+J256/100))</f>
        <v>0.614524713607511</v>
      </c>
      <c r="M256" s="21" t="n">
        <f aca="false">ROUND(Q256*S256,0)</f>
        <v>59</v>
      </c>
      <c r="N256" s="21" t="n">
        <f aca="false">ROUND(SQRT((F256*J256/100)^2+(G256*M256)^2),0)</f>
        <v>44</v>
      </c>
      <c r="P256" s="41" t="n">
        <v>4.97650716202094</v>
      </c>
      <c r="Q256" s="42" t="n">
        <v>755.480254971528</v>
      </c>
      <c r="R256" s="43" t="n">
        <f aca="false">MAX(0,MIN(1,P256/100+$D$5))</f>
        <v>0.576749770196831</v>
      </c>
      <c r="S256" s="43" t="n">
        <v>0.0779420971553049</v>
      </c>
      <c r="T256" s="44" t="s">
        <v>90</v>
      </c>
    </row>
    <row r="257" customFormat="false" ht="15" hidden="false" customHeight="false" outlineLevel="0" collapsed="false">
      <c r="A257" s="38" t="s">
        <v>344</v>
      </c>
      <c r="B257" s="38" t="s">
        <v>377</v>
      </c>
      <c r="C257" s="38" t="s">
        <v>379</v>
      </c>
      <c r="D257" s="21" t="n">
        <f aca="false">ROUND(Q257*R257,0)</f>
        <v>539</v>
      </c>
      <c r="E257" s="21" t="n">
        <f aca="false">ROUND(Q257,0)-D257</f>
        <v>420</v>
      </c>
      <c r="F257" s="21" t="n">
        <f aca="false">IF(COUNTA(D257:E257)=0,"",SUM(D257:E257))</f>
        <v>959</v>
      </c>
      <c r="G257" s="39" t="n">
        <f aca="false">IF(OR(F257="",F257=0),"",D257/F257)</f>
        <v>0.562043795620438</v>
      </c>
      <c r="H257" s="39" t="n">
        <f aca="false">IF(OR(F257="",F257=0),"",E257/F257)</f>
        <v>0.437956204379562</v>
      </c>
      <c r="I257" s="38" t="s">
        <v>89</v>
      </c>
      <c r="J257" s="40" t="n">
        <v>2.12060277043418</v>
      </c>
      <c r="K257" s="39" t="n">
        <f aca="false">IF(G257="","",MAX(0,G257-J257/100))</f>
        <v>0.540837767916096</v>
      </c>
      <c r="L257" s="39" t="n">
        <f aca="false">IF(G257="","",MIN(1,G257+J257/100))</f>
        <v>0.58324982332478</v>
      </c>
      <c r="M257" s="21" t="n">
        <f aca="false">ROUND(Q257*S257,0)</f>
        <v>61</v>
      </c>
      <c r="N257" s="21" t="n">
        <f aca="false">ROUND(SQRT((F257*J257/100)^2+(G257*M257)^2),0)</f>
        <v>40</v>
      </c>
      <c r="P257" s="41" t="n">
        <v>3.53058172912142</v>
      </c>
      <c r="Q257" s="42" t="n">
        <v>959.303921564569</v>
      </c>
      <c r="R257" s="43" t="n">
        <f aca="false">MAX(0,MIN(1,P257/100+$D$5))</f>
        <v>0.562290515867836</v>
      </c>
      <c r="S257" s="43" t="n">
        <v>0.0633793435818552</v>
      </c>
      <c r="T257" s="44" t="s">
        <v>99</v>
      </c>
    </row>
    <row r="258" customFormat="false" ht="15" hidden="false" customHeight="false" outlineLevel="0" collapsed="false">
      <c r="A258" s="38" t="s">
        <v>344</v>
      </c>
      <c r="B258" s="38" t="s">
        <v>377</v>
      </c>
      <c r="C258" s="38" t="s">
        <v>380</v>
      </c>
      <c r="D258" s="21" t="n">
        <f aca="false">ROUND(Q258*R258,0)</f>
        <v>620</v>
      </c>
      <c r="E258" s="21" t="n">
        <f aca="false">ROUND(Q258,0)-D258</f>
        <v>418</v>
      </c>
      <c r="F258" s="21" t="n">
        <f aca="false">IF(COUNTA(D258:E258)=0,"",SUM(D258:E258))</f>
        <v>1038</v>
      </c>
      <c r="G258" s="39" t="n">
        <f aca="false">IF(OR(F258="",F258=0),"",D258/F258)</f>
        <v>0.597302504816956</v>
      </c>
      <c r="H258" s="39" t="n">
        <f aca="false">IF(OR(F258="",F258=0),"",E258/F258)</f>
        <v>0.402697495183044</v>
      </c>
      <c r="I258" s="38" t="s">
        <v>89</v>
      </c>
      <c r="J258" s="40" t="n">
        <v>2.12060277043418</v>
      </c>
      <c r="K258" s="39" t="n">
        <f aca="false">IF(G258="","",MAX(0,G258-J258/100))</f>
        <v>0.576096477112614</v>
      </c>
      <c r="L258" s="39" t="n">
        <f aca="false">IF(G258="","",MIN(1,G258+J258/100))</f>
        <v>0.618508532521297</v>
      </c>
      <c r="M258" s="21" t="n">
        <f aca="false">ROUND(Q258*S258,0)</f>
        <v>66</v>
      </c>
      <c r="N258" s="21" t="n">
        <f aca="false">ROUND(SQRT((F258*J258/100)^2+(G258*M258)^2),0)</f>
        <v>45</v>
      </c>
      <c r="P258" s="41" t="n">
        <v>7.07385595273147</v>
      </c>
      <c r="Q258" s="42" t="n">
        <v>1037.73751278787</v>
      </c>
      <c r="R258" s="43" t="n">
        <f aca="false">MAX(0,MIN(1,P258/100+$D$5))</f>
        <v>0.597723258103936</v>
      </c>
      <c r="S258" s="43" t="n">
        <v>0.0633793435818552</v>
      </c>
      <c r="T258" s="44" t="s">
        <v>99</v>
      </c>
    </row>
    <row r="259" customFormat="false" ht="15" hidden="false" customHeight="false" outlineLevel="0" collapsed="false">
      <c r="A259" s="38" t="s">
        <v>344</v>
      </c>
      <c r="B259" s="38" t="s">
        <v>377</v>
      </c>
      <c r="C259" s="38" t="s">
        <v>381</v>
      </c>
      <c r="D259" s="21" t="n">
        <f aca="false">ROUND(Q259*R259,0)</f>
        <v>293</v>
      </c>
      <c r="E259" s="21" t="n">
        <f aca="false">ROUND(Q259,0)-D259</f>
        <v>245</v>
      </c>
      <c r="F259" s="21" t="n">
        <f aca="false">IF(COUNTA(D259:E259)=0,"",SUM(D259:E259))</f>
        <v>538</v>
      </c>
      <c r="G259" s="39" t="n">
        <f aca="false">IF(OR(F259="",F259=0),"",D259/F259)</f>
        <v>0.544609665427509</v>
      </c>
      <c r="H259" s="39" t="n">
        <f aca="false">IF(OR(F259="",F259=0),"",E259/F259)</f>
        <v>0.455390334572491</v>
      </c>
      <c r="I259" s="38" t="s">
        <v>89</v>
      </c>
      <c r="J259" s="40" t="n">
        <v>3.7041269898902</v>
      </c>
      <c r="K259" s="39" t="n">
        <f aca="false">IF(G259="","",MAX(0,G259-J259/100))</f>
        <v>0.507568395528607</v>
      </c>
      <c r="L259" s="39" t="n">
        <f aca="false">IF(G259="","",MIN(1,G259+J259/100))</f>
        <v>0.581650935326411</v>
      </c>
      <c r="M259" s="21" t="n">
        <f aca="false">ROUND(Q259*S259,0)</f>
        <v>42</v>
      </c>
      <c r="N259" s="21" t="n">
        <f aca="false">ROUND(SQRT((F259*J259/100)^2+(G259*M259)^2),0)</f>
        <v>30</v>
      </c>
      <c r="P259" s="41" t="n">
        <v>1.8098870679096</v>
      </c>
      <c r="Q259" s="42" t="n">
        <v>537.544141841039</v>
      </c>
      <c r="R259" s="43" t="n">
        <f aca="false">MAX(0,MIN(1,P259/100+$D$5))</f>
        <v>0.545083569255718</v>
      </c>
      <c r="S259" s="43" t="n">
        <v>0.0779420971553049</v>
      </c>
      <c r="T259" s="44" t="s">
        <v>90</v>
      </c>
    </row>
    <row r="260" customFormat="false" ht="15" hidden="false" customHeight="false" outlineLevel="0" collapsed="false">
      <c r="A260" s="38" t="s">
        <v>344</v>
      </c>
      <c r="B260" s="38" t="s">
        <v>377</v>
      </c>
      <c r="C260" s="38" t="s">
        <v>382</v>
      </c>
      <c r="D260" s="21" t="n">
        <f aca="false">ROUND(Q260*R260,0)</f>
        <v>495</v>
      </c>
      <c r="E260" s="21" t="n">
        <f aca="false">ROUND(Q260,0)-D260</f>
        <v>327</v>
      </c>
      <c r="F260" s="21" t="n">
        <f aca="false">IF(COUNTA(D260:E260)=0,"",SUM(D260:E260))</f>
        <v>822</v>
      </c>
      <c r="G260" s="39" t="n">
        <f aca="false">IF(OR(F260="",F260=0),"",D260/F260)</f>
        <v>0.602189781021898</v>
      </c>
      <c r="H260" s="39" t="n">
        <f aca="false">IF(OR(F260="",F260=0),"",E260/F260)</f>
        <v>0.397810218978102</v>
      </c>
      <c r="I260" s="38" t="s">
        <v>89</v>
      </c>
      <c r="J260" s="40" t="n">
        <v>2.12060277043418</v>
      </c>
      <c r="K260" s="39" t="n">
        <f aca="false">IF(G260="","",MAX(0,G260-J260/100))</f>
        <v>0.580983753317556</v>
      </c>
      <c r="L260" s="39" t="n">
        <f aca="false">IF(G260="","",MIN(1,G260+J260/100))</f>
        <v>0.62339580872624</v>
      </c>
      <c r="M260" s="21" t="n">
        <f aca="false">ROUND(Q260*S260,0)</f>
        <v>52</v>
      </c>
      <c r="N260" s="21" t="n">
        <f aca="false">ROUND(SQRT((F260*J260/100)^2+(G260*M260)^2),0)</f>
        <v>36</v>
      </c>
      <c r="P260" s="41" t="n">
        <v>7.45148635467744</v>
      </c>
      <c r="Q260" s="42" t="n">
        <v>822.259323249366</v>
      </c>
      <c r="R260" s="43" t="n">
        <f aca="false">MAX(0,MIN(1,P260/100+$D$5))</f>
        <v>0.601499562123396</v>
      </c>
      <c r="S260" s="43" t="n">
        <v>0.0633793435818552</v>
      </c>
      <c r="T260" s="44" t="s">
        <v>99</v>
      </c>
    </row>
    <row r="261" customFormat="false" ht="15" hidden="false" customHeight="false" outlineLevel="0" collapsed="false">
      <c r="A261" s="38" t="s">
        <v>344</v>
      </c>
      <c r="B261" s="38" t="s">
        <v>377</v>
      </c>
      <c r="C261" s="38" t="s">
        <v>383</v>
      </c>
      <c r="D261" s="21" t="n">
        <f aca="false">ROUND(Q261*R261,0)</f>
        <v>493</v>
      </c>
      <c r="E261" s="21" t="n">
        <f aca="false">ROUND(Q261,0)-D261</f>
        <v>383</v>
      </c>
      <c r="F261" s="21" t="n">
        <f aca="false">IF(COUNTA(D261:E261)=0,"",SUM(D261:E261))</f>
        <v>876</v>
      </c>
      <c r="G261" s="39" t="n">
        <f aca="false">IF(OR(F261="",F261=0),"",D261/F261)</f>
        <v>0.562785388127854</v>
      </c>
      <c r="H261" s="39" t="n">
        <f aca="false">IF(OR(F261="",F261=0),"",E261/F261)</f>
        <v>0.437214611872146</v>
      </c>
      <c r="I261" s="38" t="s">
        <v>89</v>
      </c>
      <c r="J261" s="40" t="n">
        <v>2.12060277043418</v>
      </c>
      <c r="K261" s="39" t="n">
        <f aca="false">IF(G261="","",MAX(0,G261-J261/100))</f>
        <v>0.541579360423512</v>
      </c>
      <c r="L261" s="39" t="n">
        <f aca="false">IF(G261="","",MIN(1,G261+J261/100))</f>
        <v>0.583991415832196</v>
      </c>
      <c r="M261" s="21" t="n">
        <f aca="false">ROUND(Q261*S261,0)</f>
        <v>55</v>
      </c>
      <c r="N261" s="21" t="n">
        <f aca="false">ROUND(SQRT((F261*J261/100)^2+(G261*M261)^2),0)</f>
        <v>36</v>
      </c>
      <c r="P261" s="41" t="n">
        <v>3.6275136471335</v>
      </c>
      <c r="Q261" s="42" t="n">
        <v>875.5105793808</v>
      </c>
      <c r="R261" s="43" t="n">
        <f aca="false">MAX(0,MIN(1,P261/100+$D$5))</f>
        <v>0.563259835047957</v>
      </c>
      <c r="S261" s="43" t="n">
        <v>0.0633793435818552</v>
      </c>
      <c r="T261" s="44" t="s">
        <v>99</v>
      </c>
    </row>
    <row r="262" customFormat="false" ht="15" hidden="false" customHeight="false" outlineLevel="0" collapsed="false">
      <c r="A262" s="38" t="s">
        <v>344</v>
      </c>
      <c r="B262" s="38" t="s">
        <v>377</v>
      </c>
      <c r="C262" s="38" t="s">
        <v>384</v>
      </c>
      <c r="D262" s="21" t="n">
        <f aca="false">ROUND(Q262*R262,0)</f>
        <v>316</v>
      </c>
      <c r="E262" s="21" t="n">
        <f aca="false">ROUND(Q262,0)-D262</f>
        <v>218</v>
      </c>
      <c r="F262" s="21" t="n">
        <f aca="false">IF(COUNTA(D262:E262)=0,"",SUM(D262:E262))</f>
        <v>534</v>
      </c>
      <c r="G262" s="39" t="n">
        <f aca="false">IF(OR(F262="",F262=0),"",D262/F262)</f>
        <v>0.591760299625468</v>
      </c>
      <c r="H262" s="39" t="n">
        <f aca="false">IF(OR(F262="",F262=0),"",E262/F262)</f>
        <v>0.408239700374532</v>
      </c>
      <c r="I262" s="38" t="s">
        <v>89</v>
      </c>
      <c r="J262" s="40" t="n">
        <v>3.7041269898902</v>
      </c>
      <c r="K262" s="39" t="n">
        <f aca="false">IF(G262="","",MAX(0,G262-J262/100))</f>
        <v>0.554719029726566</v>
      </c>
      <c r="L262" s="39" t="n">
        <f aca="false">IF(G262="","",MIN(1,G262+J262/100))</f>
        <v>0.62880156952437</v>
      </c>
      <c r="M262" s="21" t="n">
        <f aca="false">ROUND(Q262*S262,0)</f>
        <v>42</v>
      </c>
      <c r="N262" s="21" t="n">
        <f aca="false">ROUND(SQRT((F262*J262/100)^2+(G262*M262)^2),0)</f>
        <v>32</v>
      </c>
      <c r="P262" s="41" t="n">
        <v>6.5257758415193</v>
      </c>
      <c r="Q262" s="42" t="n">
        <v>534.243817688694</v>
      </c>
      <c r="R262" s="43" t="n">
        <f aca="false">MAX(0,MIN(1,P262/100+$D$5))</f>
        <v>0.592242456991815</v>
      </c>
      <c r="S262" s="43" t="n">
        <v>0.0779420971553049</v>
      </c>
      <c r="T262" s="44" t="s">
        <v>90</v>
      </c>
    </row>
    <row r="263" customFormat="false" ht="15" hidden="false" customHeight="false" outlineLevel="0" collapsed="false">
      <c r="A263" s="38" t="s">
        <v>344</v>
      </c>
      <c r="B263" s="38" t="s">
        <v>377</v>
      </c>
      <c r="C263" s="38" t="s">
        <v>385</v>
      </c>
      <c r="D263" s="21" t="n">
        <f aca="false">ROUND(Q263*R263,0)</f>
        <v>451</v>
      </c>
      <c r="E263" s="21" t="n">
        <f aca="false">ROUND(Q263,0)-D263</f>
        <v>280</v>
      </c>
      <c r="F263" s="21" t="n">
        <f aca="false">IF(COUNTA(D263:E263)=0,"",SUM(D263:E263))</f>
        <v>731</v>
      </c>
      <c r="G263" s="39" t="n">
        <f aca="false">IF(OR(F263="",F263=0),"",D263/F263)</f>
        <v>0.616963064295486</v>
      </c>
      <c r="H263" s="39" t="n">
        <f aca="false">IF(OR(F263="",F263=0),"",E263/F263)</f>
        <v>0.383036935704514</v>
      </c>
      <c r="I263" s="38" t="s">
        <v>89</v>
      </c>
      <c r="J263" s="40" t="n">
        <v>3.7041269898902</v>
      </c>
      <c r="K263" s="39" t="n">
        <f aca="false">IF(G263="","",MAX(0,G263-J263/100))</f>
        <v>0.579921794396584</v>
      </c>
      <c r="L263" s="39" t="n">
        <f aca="false">IF(G263="","",MIN(1,G263+J263/100))</f>
        <v>0.654004334194388</v>
      </c>
      <c r="M263" s="21" t="n">
        <f aca="false">ROUND(Q263*S263,0)</f>
        <v>57</v>
      </c>
      <c r="N263" s="21" t="n">
        <f aca="false">ROUND(SQRT((F263*J263/100)^2+(G263*M263)^2),0)</f>
        <v>44</v>
      </c>
      <c r="P263" s="41" t="n">
        <v>8.96943260937215</v>
      </c>
      <c r="Q263" s="42" t="n">
        <v>730.619303252572</v>
      </c>
      <c r="R263" s="43" t="n">
        <f aca="false">MAX(0,MIN(1,P263/100+$D$5))</f>
        <v>0.616679024670343</v>
      </c>
      <c r="S263" s="43" t="n">
        <v>0.0779420971553049</v>
      </c>
      <c r="T263" s="44" t="s">
        <v>90</v>
      </c>
    </row>
    <row r="264" customFormat="false" ht="15" hidden="false" customHeight="false" outlineLevel="0" collapsed="false">
      <c r="A264" s="38" t="s">
        <v>344</v>
      </c>
      <c r="B264" s="38" t="s">
        <v>377</v>
      </c>
      <c r="C264" s="38" t="s">
        <v>386</v>
      </c>
      <c r="D264" s="21" t="n">
        <f aca="false">ROUND(Q264*R264,0)</f>
        <v>279</v>
      </c>
      <c r="E264" s="21" t="n">
        <f aca="false">ROUND(Q264,0)-D264</f>
        <v>161</v>
      </c>
      <c r="F264" s="21" t="n">
        <f aca="false">IF(COUNTA(D264:E264)=0,"",SUM(D264:E264))</f>
        <v>440</v>
      </c>
      <c r="G264" s="39" t="n">
        <f aca="false">IF(OR(F264="",F264=0),"",D264/F264)</f>
        <v>0.634090909090909</v>
      </c>
      <c r="H264" s="39" t="n">
        <f aca="false">IF(OR(F264="",F264=0),"",E264/F264)</f>
        <v>0.365909090909091</v>
      </c>
      <c r="I264" s="38" t="s">
        <v>89</v>
      </c>
      <c r="J264" s="40" t="n">
        <v>3.7041269898902</v>
      </c>
      <c r="K264" s="39" t="n">
        <f aca="false">IF(G264="","",MAX(0,G264-J264/100))</f>
        <v>0.597049639192007</v>
      </c>
      <c r="L264" s="39" t="n">
        <f aca="false">IF(G264="","",MIN(1,G264+J264/100))</f>
        <v>0.671132178989811</v>
      </c>
      <c r="M264" s="21" t="n">
        <f aca="false">ROUND(Q264*S264,0)</f>
        <v>34</v>
      </c>
      <c r="N264" s="21" t="n">
        <f aca="false">ROUND(SQRT((F264*J264/100)^2+(G264*M264)^2),0)</f>
        <v>27</v>
      </c>
      <c r="P264" s="41" t="n">
        <v>10.6729768559479</v>
      </c>
      <c r="Q264" s="42" t="n">
        <v>440.313937682832</v>
      </c>
      <c r="R264" s="43" t="n">
        <f aca="false">MAX(0,MIN(1,P264/100+$D$5))</f>
        <v>0.6337144671361</v>
      </c>
      <c r="S264" s="43" t="n">
        <v>0.0779420971553049</v>
      </c>
      <c r="T264" s="44" t="s">
        <v>90</v>
      </c>
    </row>
    <row r="265" customFormat="false" ht="15" hidden="false" customHeight="false" outlineLevel="0" collapsed="false">
      <c r="A265" s="38" t="s">
        <v>344</v>
      </c>
      <c r="B265" s="38" t="s">
        <v>377</v>
      </c>
      <c r="C265" s="38" t="s">
        <v>387</v>
      </c>
      <c r="D265" s="21" t="n">
        <f aca="false">ROUND(Q265*R265,0)</f>
        <v>319</v>
      </c>
      <c r="E265" s="21" t="n">
        <f aca="false">ROUND(Q265,0)-D265</f>
        <v>260</v>
      </c>
      <c r="F265" s="21" t="n">
        <f aca="false">IF(COUNTA(D265:E265)=0,"",SUM(D265:E265))</f>
        <v>579</v>
      </c>
      <c r="G265" s="39" t="n">
        <f aca="false">IF(OR(F265="",F265=0),"",D265/F265)</f>
        <v>0.550949913644214</v>
      </c>
      <c r="H265" s="39" t="n">
        <f aca="false">IF(OR(F265="",F265=0),"",E265/F265)</f>
        <v>0.449050086355786</v>
      </c>
      <c r="I265" s="38" t="s">
        <v>89</v>
      </c>
      <c r="J265" s="40" t="n">
        <v>3.7041269898902</v>
      </c>
      <c r="K265" s="39" t="n">
        <f aca="false">IF(G265="","",MAX(0,G265-J265/100))</f>
        <v>0.513908643745312</v>
      </c>
      <c r="L265" s="39" t="n">
        <f aca="false">IF(G265="","",MIN(1,G265+J265/100))</f>
        <v>0.587991183543116</v>
      </c>
      <c r="M265" s="21" t="n">
        <f aca="false">ROUND(Q265*S265,0)</f>
        <v>45</v>
      </c>
      <c r="N265" s="21" t="n">
        <f aca="false">ROUND(SQRT((F265*J265/100)^2+(G265*M265)^2),0)</f>
        <v>33</v>
      </c>
      <c r="P265" s="41" t="n">
        <v>2.4442639713844</v>
      </c>
      <c r="Q265" s="42" t="n">
        <v>578.861415373411</v>
      </c>
      <c r="R265" s="43" t="n">
        <f aca="false">MAX(0,MIN(1,P265/100+$D$5))</f>
        <v>0.551427338290466</v>
      </c>
      <c r="S265" s="43" t="n">
        <v>0.0779420971553049</v>
      </c>
      <c r="T265" s="44" t="s">
        <v>90</v>
      </c>
    </row>
    <row r="266" customFormat="false" ht="15" hidden="false" customHeight="false" outlineLevel="0" collapsed="false">
      <c r="A266" s="38" t="s">
        <v>344</v>
      </c>
      <c r="B266" s="38" t="s">
        <v>377</v>
      </c>
      <c r="C266" s="38" t="s">
        <v>388</v>
      </c>
      <c r="D266" s="21" t="n">
        <f aca="false">ROUND(Q266*R266,0)</f>
        <v>391</v>
      </c>
      <c r="E266" s="21" t="n">
        <f aca="false">ROUND(Q266,0)-D266</f>
        <v>291</v>
      </c>
      <c r="F266" s="21" t="n">
        <f aca="false">IF(COUNTA(D266:E266)=0,"",SUM(D266:E266))</f>
        <v>682</v>
      </c>
      <c r="G266" s="39" t="n">
        <f aca="false">IF(OR(F266="",F266=0),"",D266/F266)</f>
        <v>0.573313782991202</v>
      </c>
      <c r="H266" s="39" t="n">
        <f aca="false">IF(OR(F266="",F266=0),"",E266/F266)</f>
        <v>0.426686217008798</v>
      </c>
      <c r="I266" s="38" t="s">
        <v>89</v>
      </c>
      <c r="J266" s="40" t="n">
        <v>3.7041269898902</v>
      </c>
      <c r="K266" s="39" t="n">
        <f aca="false">IF(G266="","",MAX(0,G266-J266/100))</f>
        <v>0.5362725130923</v>
      </c>
      <c r="L266" s="39" t="n">
        <f aca="false">IF(G266="","",MIN(1,G266+J266/100))</f>
        <v>0.610355052890104</v>
      </c>
      <c r="M266" s="21" t="n">
        <f aca="false">ROUND(Q266*S266,0)</f>
        <v>53</v>
      </c>
      <c r="N266" s="21" t="n">
        <f aca="false">ROUND(SQRT((F266*J266/100)^2+(G266*M266)^2),0)</f>
        <v>40</v>
      </c>
      <c r="P266" s="41" t="n">
        <v>4.56703244473311</v>
      </c>
      <c r="Q266" s="42" t="n">
        <v>682.21228242143</v>
      </c>
      <c r="R266" s="43" t="n">
        <f aca="false">MAX(0,MIN(1,P266/100+$D$5))</f>
        <v>0.572655023023953</v>
      </c>
      <c r="S266" s="43" t="n">
        <v>0.0779420971553049</v>
      </c>
      <c r="T266" s="44" t="s">
        <v>90</v>
      </c>
    </row>
    <row r="267" customFormat="false" ht="15" hidden="false" customHeight="false" outlineLevel="0" collapsed="false">
      <c r="A267" s="38" t="s">
        <v>344</v>
      </c>
      <c r="B267" s="38" t="s">
        <v>377</v>
      </c>
      <c r="C267" s="38" t="s">
        <v>389</v>
      </c>
      <c r="D267" s="21" t="n">
        <f aca="false">ROUND(Q267*R267,0)</f>
        <v>486</v>
      </c>
      <c r="E267" s="21" t="n">
        <f aca="false">ROUND(Q267,0)-D267</f>
        <v>313</v>
      </c>
      <c r="F267" s="21" t="n">
        <f aca="false">IF(COUNTA(D267:E267)=0,"",SUM(D267:E267))</f>
        <v>799</v>
      </c>
      <c r="G267" s="39" t="n">
        <f aca="false">IF(OR(F267="",F267=0),"",D267/F267)</f>
        <v>0.608260325406759</v>
      </c>
      <c r="H267" s="39" t="n">
        <f aca="false">IF(OR(F267="",F267=0),"",E267/F267)</f>
        <v>0.391739674593242</v>
      </c>
      <c r="I267" s="38" t="s">
        <v>89</v>
      </c>
      <c r="J267" s="40" t="n">
        <v>2.12060277043418</v>
      </c>
      <c r="K267" s="39" t="n">
        <f aca="false">IF(G267="","",MAX(0,G267-J267/100))</f>
        <v>0.587054297702417</v>
      </c>
      <c r="L267" s="39" t="n">
        <f aca="false">IF(G267="","",MIN(1,G267+J267/100))</f>
        <v>0.6294663531111</v>
      </c>
      <c r="M267" s="21" t="n">
        <f aca="false">ROUND(Q267*S267,0)</f>
        <v>51</v>
      </c>
      <c r="N267" s="21" t="n">
        <f aca="false">ROUND(SQRT((F267*J267/100)^2+(G267*M267)^2),0)</f>
        <v>35</v>
      </c>
      <c r="P267" s="41" t="n">
        <v>8.14732039380386</v>
      </c>
      <c r="Q267" s="42" t="n">
        <v>798.630408414338</v>
      </c>
      <c r="R267" s="43" t="n">
        <f aca="false">MAX(0,MIN(1,P267/100+$D$5))</f>
        <v>0.60845790251466</v>
      </c>
      <c r="S267" s="43" t="n">
        <v>0.0633793435818552</v>
      </c>
      <c r="T267" s="44" t="s">
        <v>99</v>
      </c>
    </row>
    <row r="268" customFormat="false" ht="15" hidden="false" customHeight="false" outlineLevel="0" collapsed="false">
      <c r="A268" s="38" t="s">
        <v>344</v>
      </c>
      <c r="B268" s="38" t="s">
        <v>377</v>
      </c>
      <c r="C268" s="38" t="s">
        <v>390</v>
      </c>
      <c r="D268" s="21" t="n">
        <f aca="false">ROUND(Q268*R268,0)</f>
        <v>395</v>
      </c>
      <c r="E268" s="21" t="n">
        <f aca="false">ROUND(Q268,0)-D268</f>
        <v>326</v>
      </c>
      <c r="F268" s="21" t="n">
        <f aca="false">IF(COUNTA(D268:E268)=0,"",SUM(D268:E268))</f>
        <v>721</v>
      </c>
      <c r="G268" s="39" t="n">
        <f aca="false">IF(OR(F268="",F268=0),"",D268/F268)</f>
        <v>0.547850208044383</v>
      </c>
      <c r="H268" s="39" t="n">
        <f aca="false">IF(OR(F268="",F268=0),"",E268/F268)</f>
        <v>0.452149791955617</v>
      </c>
      <c r="I268" s="38" t="s">
        <v>89</v>
      </c>
      <c r="J268" s="40" t="n">
        <v>3.7041269898902</v>
      </c>
      <c r="K268" s="39" t="n">
        <f aca="false">IF(G268="","",MAX(0,G268-J268/100))</f>
        <v>0.510808938145481</v>
      </c>
      <c r="L268" s="39" t="n">
        <f aca="false">IF(G268="","",MIN(1,G268+J268/100))</f>
        <v>0.584891477943285</v>
      </c>
      <c r="M268" s="21" t="n">
        <f aca="false">ROUND(Q268*S268,0)</f>
        <v>56</v>
      </c>
      <c r="N268" s="21" t="n">
        <f aca="false">ROUND(SQRT((F268*J268/100)^2+(G268*M268)^2),0)</f>
        <v>41</v>
      </c>
      <c r="P268" s="41" t="n">
        <v>2.05581266995057</v>
      </c>
      <c r="Q268" s="42" t="n">
        <v>720.999796910605</v>
      </c>
      <c r="R268" s="43" t="n">
        <f aca="false">MAX(0,MIN(1,P268/100+$D$5))</f>
        <v>0.547542825276127</v>
      </c>
      <c r="S268" s="43" t="n">
        <v>0.0779420971553049</v>
      </c>
      <c r="T268" s="44" t="s">
        <v>90</v>
      </c>
    </row>
    <row r="269" customFormat="false" ht="15" hidden="false" customHeight="false" outlineLevel="0" collapsed="false">
      <c r="A269" s="38" t="s">
        <v>344</v>
      </c>
      <c r="B269" s="38" t="s">
        <v>377</v>
      </c>
      <c r="C269" s="38" t="s">
        <v>391</v>
      </c>
      <c r="D269" s="21" t="n">
        <f aca="false">ROUND(Q269*R269,0)</f>
        <v>828</v>
      </c>
      <c r="E269" s="21" t="n">
        <f aca="false">ROUND(Q269,0)-D269</f>
        <v>537</v>
      </c>
      <c r="F269" s="21" t="n">
        <f aca="false">IF(COUNTA(D269:E269)=0,"",SUM(D269:E269))</f>
        <v>1365</v>
      </c>
      <c r="G269" s="39" t="n">
        <f aca="false">IF(OR(F269="",F269=0),"",D269/F269)</f>
        <v>0.606593406593407</v>
      </c>
      <c r="H269" s="39" t="n">
        <f aca="false">IF(OR(F269="",F269=0),"",E269/F269)</f>
        <v>0.393406593406593</v>
      </c>
      <c r="I269" s="38" t="s">
        <v>89</v>
      </c>
      <c r="J269" s="40" t="n">
        <v>1.26135644325249</v>
      </c>
      <c r="K269" s="39" t="n">
        <f aca="false">IF(G269="","",MAX(0,G269-J269/100))</f>
        <v>0.593979842160882</v>
      </c>
      <c r="L269" s="39" t="n">
        <f aca="false">IF(G269="","",MIN(1,G269+J269/100))</f>
        <v>0.619206971025931</v>
      </c>
      <c r="M269" s="21" t="n">
        <f aca="false">ROUND(Q269*S269,0)</f>
        <v>190</v>
      </c>
      <c r="N269" s="21" t="n">
        <f aca="false">ROUND(SQRT((F269*J269/100)^2+(G269*M269)^2),0)</f>
        <v>117</v>
      </c>
      <c r="P269" s="41" t="n">
        <v>7.98353390005525</v>
      </c>
      <c r="Q269" s="42" t="n">
        <v>1365.05917385249</v>
      </c>
      <c r="R269" s="43" t="n">
        <f aca="false">MAX(0,MIN(1,P269/100+$D$5))</f>
        <v>0.606820037577174</v>
      </c>
      <c r="S269" s="43" t="n">
        <v>0.139463116518417</v>
      </c>
      <c r="T269" s="44" t="s">
        <v>128</v>
      </c>
    </row>
    <row r="270" customFormat="false" ht="15" hidden="false" customHeight="false" outlineLevel="0" collapsed="false">
      <c r="A270" s="38" t="s">
        <v>344</v>
      </c>
      <c r="B270" s="38" t="s">
        <v>377</v>
      </c>
      <c r="C270" s="38" t="s">
        <v>392</v>
      </c>
      <c r="D270" s="21" t="n">
        <f aca="false">ROUND(Q270*R270,0)</f>
        <v>463</v>
      </c>
      <c r="E270" s="21" t="n">
        <f aca="false">ROUND(Q270,0)-D270</f>
        <v>381</v>
      </c>
      <c r="F270" s="21" t="n">
        <f aca="false">IF(COUNTA(D270:E270)=0,"",SUM(D270:E270))</f>
        <v>844</v>
      </c>
      <c r="G270" s="39" t="n">
        <f aca="false">IF(OR(F270="",F270=0),"",D270/F270)</f>
        <v>0.548578199052133</v>
      </c>
      <c r="H270" s="39" t="n">
        <f aca="false">IF(OR(F270="",F270=0),"",E270/F270)</f>
        <v>0.451421800947867</v>
      </c>
      <c r="I270" s="38" t="s">
        <v>89</v>
      </c>
      <c r="J270" s="40" t="n">
        <v>2.12060277043418</v>
      </c>
      <c r="K270" s="39" t="n">
        <f aca="false">IF(G270="","",MAX(0,G270-J270/100))</f>
        <v>0.527372171347791</v>
      </c>
      <c r="L270" s="39" t="n">
        <f aca="false">IF(G270="","",MIN(1,G270+J270/100))</f>
        <v>0.569784226756474</v>
      </c>
      <c r="M270" s="21" t="n">
        <f aca="false">ROUND(Q270*S270,0)</f>
        <v>53</v>
      </c>
      <c r="N270" s="21" t="n">
        <f aca="false">ROUND(SQRT((F270*J270/100)^2+(G270*M270)^2),0)</f>
        <v>34</v>
      </c>
      <c r="P270" s="41" t="n">
        <v>2.14156913558494</v>
      </c>
      <c r="Q270" s="42" t="n">
        <v>843.939224759499</v>
      </c>
      <c r="R270" s="43" t="n">
        <f aca="false">MAX(0,MIN(1,P270/100+$D$5))</f>
        <v>0.548400389932471</v>
      </c>
      <c r="S270" s="43" t="n">
        <v>0.0633793435818552</v>
      </c>
      <c r="T270" s="44" t="s">
        <v>99</v>
      </c>
    </row>
    <row r="271" customFormat="false" ht="15" hidden="false" customHeight="false" outlineLevel="0" collapsed="false">
      <c r="A271" s="38" t="s">
        <v>344</v>
      </c>
      <c r="B271" s="38" t="s">
        <v>377</v>
      </c>
      <c r="C271" s="38" t="s">
        <v>393</v>
      </c>
      <c r="D271" s="21" t="n">
        <f aca="false">ROUND(Q271*R271,0)</f>
        <v>461</v>
      </c>
      <c r="E271" s="21" t="n">
        <f aca="false">ROUND(Q271,0)-D271</f>
        <v>363</v>
      </c>
      <c r="F271" s="21" t="n">
        <f aca="false">IF(COUNTA(D271:E271)=0,"",SUM(D271:E271))</f>
        <v>824</v>
      </c>
      <c r="G271" s="39" t="n">
        <f aca="false">IF(OR(F271="",F271=0),"",D271/F271)</f>
        <v>0.559466019417476</v>
      </c>
      <c r="H271" s="39" t="n">
        <f aca="false">IF(OR(F271="",F271=0),"",E271/F271)</f>
        <v>0.440533980582524</v>
      </c>
      <c r="I271" s="38" t="s">
        <v>89</v>
      </c>
      <c r="J271" s="40" t="n">
        <v>2.12060277043418</v>
      </c>
      <c r="K271" s="39" t="n">
        <f aca="false">IF(G271="","",MAX(0,G271-J271/100))</f>
        <v>0.538259991713134</v>
      </c>
      <c r="L271" s="39" t="n">
        <f aca="false">IF(G271="","",MIN(1,G271+J271/100))</f>
        <v>0.580672047121818</v>
      </c>
      <c r="M271" s="21" t="n">
        <f aca="false">ROUND(Q271*S271,0)</f>
        <v>52</v>
      </c>
      <c r="N271" s="21" t="n">
        <f aca="false">ROUND(SQRT((F271*J271/100)^2+(G271*M271)^2),0)</f>
        <v>34</v>
      </c>
      <c r="P271" s="41" t="n">
        <v>3.3036405664747</v>
      </c>
      <c r="Q271" s="42" t="n">
        <v>823.764754432156</v>
      </c>
      <c r="R271" s="43" t="n">
        <f aca="false">MAX(0,MIN(1,P271/100+$D$5))</f>
        <v>0.560021104241369</v>
      </c>
      <c r="S271" s="43" t="n">
        <v>0.0633793435818552</v>
      </c>
      <c r="T271" s="44" t="s">
        <v>99</v>
      </c>
    </row>
    <row r="272" customFormat="false" ht="15" hidden="false" customHeight="false" outlineLevel="0" collapsed="false">
      <c r="A272" s="38" t="s">
        <v>344</v>
      </c>
      <c r="B272" s="38" t="s">
        <v>377</v>
      </c>
      <c r="C272" s="38" t="s">
        <v>394</v>
      </c>
      <c r="D272" s="21" t="n">
        <f aca="false">ROUND(Q272*R272,0)</f>
        <v>447</v>
      </c>
      <c r="E272" s="21" t="n">
        <f aca="false">ROUND(Q272,0)-D272</f>
        <v>355</v>
      </c>
      <c r="F272" s="21" t="n">
        <f aca="false">IF(COUNTA(D272:E272)=0,"",SUM(D272:E272))</f>
        <v>802</v>
      </c>
      <c r="G272" s="39" t="n">
        <f aca="false">IF(OR(F272="",F272=0),"",D272/F272)</f>
        <v>0.557356608478803</v>
      </c>
      <c r="H272" s="39" t="n">
        <f aca="false">IF(OR(F272="",F272=0),"",E272/F272)</f>
        <v>0.442643391521197</v>
      </c>
      <c r="I272" s="38" t="s">
        <v>89</v>
      </c>
      <c r="J272" s="40" t="n">
        <v>2.12060277043418</v>
      </c>
      <c r="K272" s="39" t="n">
        <f aca="false">IF(G272="","",MAX(0,G272-J272/100))</f>
        <v>0.536150580774461</v>
      </c>
      <c r="L272" s="39" t="n">
        <f aca="false">IF(G272="","",MIN(1,G272+J272/100))</f>
        <v>0.578562636183145</v>
      </c>
      <c r="M272" s="21" t="n">
        <f aca="false">ROUND(Q272*S272,0)</f>
        <v>51</v>
      </c>
      <c r="N272" s="21" t="n">
        <f aca="false">ROUND(SQRT((F272*J272/100)^2+(G272*M272)^2),0)</f>
        <v>33</v>
      </c>
      <c r="P272" s="41" t="n">
        <v>3.07643971726949</v>
      </c>
      <c r="Q272" s="42" t="n">
        <v>802.009963223723</v>
      </c>
      <c r="R272" s="43" t="n">
        <f aca="false">MAX(0,MIN(1,P272/100+$D$5))</f>
        <v>0.557749095749317</v>
      </c>
      <c r="S272" s="43" t="n">
        <v>0.0633793435818552</v>
      </c>
      <c r="T272" s="44" t="s">
        <v>99</v>
      </c>
    </row>
    <row r="273" customFormat="false" ht="15" hidden="false" customHeight="false" outlineLevel="0" collapsed="false">
      <c r="A273" s="38" t="s">
        <v>344</v>
      </c>
      <c r="B273" s="38" t="s">
        <v>395</v>
      </c>
      <c r="C273" s="38" t="s">
        <v>396</v>
      </c>
      <c r="D273" s="21" t="n">
        <f aca="false">ROUND(Q273*R273,0)</f>
        <v>842</v>
      </c>
      <c r="E273" s="21" t="n">
        <f aca="false">ROUND(Q273,0)-D273</f>
        <v>1146</v>
      </c>
      <c r="F273" s="21" t="n">
        <f aca="false">IF(COUNTA(D273:E273)=0,"",SUM(D273:E273))</f>
        <v>1988</v>
      </c>
      <c r="G273" s="39" t="n">
        <f aca="false">IF(OR(F273="",F273=0),"",D273/F273)</f>
        <v>0.423541247484909</v>
      </c>
      <c r="H273" s="39" t="n">
        <f aca="false">IF(OR(F273="",F273=0),"",E273/F273)</f>
        <v>0.576458752515091</v>
      </c>
      <c r="I273" s="38" t="s">
        <v>89</v>
      </c>
      <c r="J273" s="40" t="n">
        <v>1.26135644325249</v>
      </c>
      <c r="K273" s="39" t="n">
        <f aca="false">IF(G273="","",MAX(0,G273-J273/100))</f>
        <v>0.410927683052385</v>
      </c>
      <c r="L273" s="39" t="n">
        <f aca="false">IF(G273="","",MIN(1,G273+J273/100))</f>
        <v>0.436154811917434</v>
      </c>
      <c r="M273" s="21" t="n">
        <f aca="false">ROUND(Q273*S273,0)</f>
        <v>277</v>
      </c>
      <c r="N273" s="21" t="n">
        <f aca="false">ROUND(SQRT((F273*J273/100)^2+(G273*M273)^2),0)</f>
        <v>120</v>
      </c>
      <c r="P273" s="41" t="n">
        <v>-10.3547872212278</v>
      </c>
      <c r="Q273" s="42" t="n">
        <v>1988.23957003011</v>
      </c>
      <c r="R273" s="43" t="n">
        <f aca="false">MAX(0,MIN(1,P273/100+$D$5))</f>
        <v>0.423436826364344</v>
      </c>
      <c r="S273" s="43" t="n">
        <v>0.139463116518417</v>
      </c>
      <c r="T273" s="44" t="s">
        <v>128</v>
      </c>
    </row>
    <row r="274" customFormat="false" ht="15" hidden="false" customHeight="false" outlineLevel="0" collapsed="false">
      <c r="A274" s="38" t="s">
        <v>344</v>
      </c>
      <c r="B274" s="38" t="s">
        <v>395</v>
      </c>
      <c r="C274" s="38" t="s">
        <v>397</v>
      </c>
      <c r="D274" s="21" t="n">
        <f aca="false">ROUND(Q274*R274,0)</f>
        <v>762</v>
      </c>
      <c r="E274" s="21" t="n">
        <f aca="false">ROUND(Q274,0)-D274</f>
        <v>938</v>
      </c>
      <c r="F274" s="21" t="n">
        <f aca="false">IF(COUNTA(D274:E274)=0,"",SUM(D274:E274))</f>
        <v>1700</v>
      </c>
      <c r="G274" s="39" t="n">
        <f aca="false">IF(OR(F274="",F274=0),"",D274/F274)</f>
        <v>0.448235294117647</v>
      </c>
      <c r="H274" s="39" t="n">
        <f aca="false">IF(OR(F274="",F274=0),"",E274/F274)</f>
        <v>0.551764705882353</v>
      </c>
      <c r="I274" s="38" t="s">
        <v>89</v>
      </c>
      <c r="J274" s="40" t="n">
        <v>1.26135644325249</v>
      </c>
      <c r="K274" s="39" t="n">
        <f aca="false">IF(G274="","",MAX(0,G274-J274/100))</f>
        <v>0.435621729685122</v>
      </c>
      <c r="L274" s="39" t="n">
        <f aca="false">IF(G274="","",MIN(1,G274+J274/100))</f>
        <v>0.460848858550172</v>
      </c>
      <c r="M274" s="21" t="n">
        <f aca="false">ROUND(Q274*S274,0)</f>
        <v>237</v>
      </c>
      <c r="N274" s="21" t="n">
        <f aca="false">ROUND(SQRT((F274*J274/100)^2+(G274*M274)^2),0)</f>
        <v>108</v>
      </c>
      <c r="P274" s="41" t="n">
        <v>-7.88772857705511</v>
      </c>
      <c r="Q274" s="42" t="n">
        <v>1700.37134833696</v>
      </c>
      <c r="R274" s="43" t="n">
        <f aca="false">MAX(0,MIN(1,P274/100+$D$5))</f>
        <v>0.448107412806071</v>
      </c>
      <c r="S274" s="43" t="n">
        <v>0.139463116518417</v>
      </c>
      <c r="T274" s="44" t="s">
        <v>128</v>
      </c>
    </row>
    <row r="275" customFormat="false" ht="15" hidden="false" customHeight="false" outlineLevel="0" collapsed="false">
      <c r="A275" s="38" t="s">
        <v>344</v>
      </c>
      <c r="B275" s="38" t="s">
        <v>395</v>
      </c>
      <c r="C275" s="38" t="s">
        <v>398</v>
      </c>
      <c r="D275" s="21" t="n">
        <f aca="false">ROUND(Q275*R275,0)</f>
        <v>393</v>
      </c>
      <c r="E275" s="21" t="n">
        <f aca="false">ROUND(Q275,0)-D275</f>
        <v>627</v>
      </c>
      <c r="F275" s="21" t="n">
        <f aca="false">IF(COUNTA(D275:E275)=0,"",SUM(D275:E275))</f>
        <v>1020</v>
      </c>
      <c r="G275" s="39" t="n">
        <f aca="false">IF(OR(F275="",F275=0),"",D275/F275)</f>
        <v>0.385294117647059</v>
      </c>
      <c r="H275" s="39" t="n">
        <f aca="false">IF(OR(F275="",F275=0),"",E275/F275)</f>
        <v>0.614705882352941</v>
      </c>
      <c r="I275" s="38" t="s">
        <v>89</v>
      </c>
      <c r="J275" s="40" t="n">
        <v>2.12060277043418</v>
      </c>
      <c r="K275" s="39" t="n">
        <f aca="false">IF(G275="","",MAX(0,G275-J275/100))</f>
        <v>0.364088089942717</v>
      </c>
      <c r="L275" s="39" t="n">
        <f aca="false">IF(G275="","",MIN(1,G275+J275/100))</f>
        <v>0.406500145351401</v>
      </c>
      <c r="M275" s="21" t="n">
        <f aca="false">ROUND(Q275*S275,0)</f>
        <v>65</v>
      </c>
      <c r="N275" s="21" t="n">
        <f aca="false">ROUND(SQRT((F275*J275/100)^2+(G275*M275)^2),0)</f>
        <v>33</v>
      </c>
      <c r="P275" s="41" t="n">
        <v>-14.196124784542</v>
      </c>
      <c r="Q275" s="42" t="n">
        <v>1020.04612517099</v>
      </c>
      <c r="R275" s="43" t="n">
        <f aca="false">MAX(0,MIN(1,P275/100+$D$5))</f>
        <v>0.385023450731202</v>
      </c>
      <c r="S275" s="43" t="n">
        <v>0.0633793435818552</v>
      </c>
      <c r="T275" s="44" t="s">
        <v>99</v>
      </c>
    </row>
    <row r="276" customFormat="false" ht="15" hidden="false" customHeight="false" outlineLevel="0" collapsed="false">
      <c r="A276" s="38" t="s">
        <v>344</v>
      </c>
      <c r="B276" s="38" t="s">
        <v>399</v>
      </c>
      <c r="C276" s="38" t="s">
        <v>399</v>
      </c>
      <c r="D276" s="21" t="n">
        <f aca="false">ROUND(Q276*R276,0)</f>
        <v>39</v>
      </c>
      <c r="E276" s="21" t="n">
        <f aca="false">ROUND(Q276,0)-D276</f>
        <v>63</v>
      </c>
      <c r="F276" s="21" t="n">
        <f aca="false">IF(COUNTA(D276:E276)=0,"",SUM(D276:E276))</f>
        <v>102</v>
      </c>
      <c r="G276" s="39" t="n">
        <f aca="false">IF(OR(F276="",F276=0),"",D276/F276)</f>
        <v>0.382352941176471</v>
      </c>
      <c r="H276" s="39" t="n">
        <f aca="false">IF(OR(F276="",F276=0),"",E276/F276)</f>
        <v>0.617647058823529</v>
      </c>
      <c r="I276" s="38" t="s">
        <v>89</v>
      </c>
      <c r="J276" s="40" t="n">
        <v>3.7041269898902</v>
      </c>
      <c r="K276" s="39" t="n">
        <f aca="false">IF(G276="","",MAX(0,G276-J276/100))</f>
        <v>0.345311671277569</v>
      </c>
      <c r="L276" s="39" t="n">
        <f aca="false">IF(G276="","",MIN(1,G276+J276/100))</f>
        <v>0.419394211075373</v>
      </c>
      <c r="M276" s="21" t="n">
        <f aca="false">ROUND(Q276*S276,0)</f>
        <v>8</v>
      </c>
      <c r="N276" s="21" t="n">
        <f aca="false">ROUND(SQRT((F276*J276/100)^2+(G276*M276)^2),0)</f>
        <v>5</v>
      </c>
      <c r="P276" s="41" t="n">
        <v>-14.2836822494906</v>
      </c>
      <c r="Q276" s="42" t="n">
        <v>101.728477991756</v>
      </c>
      <c r="R276" s="43" t="n">
        <f aca="false">MAX(0,MIN(1,P276/100+$D$5))</f>
        <v>0.384147876081716</v>
      </c>
      <c r="S276" s="43" t="n">
        <v>0.0779420971553049</v>
      </c>
      <c r="T276" s="44" t="s">
        <v>90</v>
      </c>
    </row>
    <row r="277" customFormat="false" ht="15" hidden="false" customHeight="false" outlineLevel="0" collapsed="false">
      <c r="A277" s="38" t="s">
        <v>344</v>
      </c>
      <c r="B277" s="38" t="s">
        <v>400</v>
      </c>
      <c r="C277" s="38" t="s">
        <v>401</v>
      </c>
      <c r="D277" s="21" t="n">
        <f aca="false">ROUND(Q277*R277,0)</f>
        <v>697</v>
      </c>
      <c r="E277" s="21" t="n">
        <f aca="false">ROUND(Q277,0)-D277</f>
        <v>794</v>
      </c>
      <c r="F277" s="21" t="n">
        <f aca="false">IF(COUNTA(D277:E277)=0,"",SUM(D277:E277))</f>
        <v>1491</v>
      </c>
      <c r="G277" s="39" t="n">
        <f aca="false">IF(OR(F277="",F277=0),"",D277/F277)</f>
        <v>0.46747149564051</v>
      </c>
      <c r="H277" s="39" t="n">
        <f aca="false">IF(OR(F277="",F277=0),"",E277/F277)</f>
        <v>0.53252850435949</v>
      </c>
      <c r="I277" s="38" t="s">
        <v>89</v>
      </c>
      <c r="J277" s="40" t="n">
        <v>1.26135644325249</v>
      </c>
      <c r="K277" s="39" t="n">
        <f aca="false">IF(G277="","",MAX(0,G277-J277/100))</f>
        <v>0.454857931207985</v>
      </c>
      <c r="L277" s="39" t="n">
        <f aca="false">IF(G277="","",MIN(1,G277+J277/100))</f>
        <v>0.480085060073035</v>
      </c>
      <c r="M277" s="21" t="n">
        <f aca="false">ROUND(Q277*S277,0)</f>
        <v>208</v>
      </c>
      <c r="N277" s="21" t="n">
        <f aca="false">ROUND(SQRT((F277*J277/100)^2+(G277*M277)^2),0)</f>
        <v>99</v>
      </c>
      <c r="P277" s="41" t="n">
        <v>-5.97689989958843</v>
      </c>
      <c r="Q277" s="42" t="n">
        <v>1490.95581092602</v>
      </c>
      <c r="R277" s="43" t="n">
        <f aca="false">MAX(0,MIN(1,P277/100+$D$5))</f>
        <v>0.467215699580737</v>
      </c>
      <c r="S277" s="43" t="n">
        <v>0.139463116518417</v>
      </c>
      <c r="T277" s="44" t="s">
        <v>128</v>
      </c>
    </row>
    <row r="278" customFormat="false" ht="15" hidden="false" customHeight="false" outlineLevel="0" collapsed="false">
      <c r="A278" s="38" t="s">
        <v>344</v>
      </c>
      <c r="B278" s="38" t="s">
        <v>400</v>
      </c>
      <c r="C278" s="38" t="s">
        <v>402</v>
      </c>
      <c r="D278" s="21" t="n">
        <f aca="false">ROUND(Q278*R278,0)</f>
        <v>647</v>
      </c>
      <c r="E278" s="21" t="n">
        <f aca="false">ROUND(Q278,0)-D278</f>
        <v>671</v>
      </c>
      <c r="F278" s="21" t="n">
        <f aca="false">IF(COUNTA(D278:E278)=0,"",SUM(D278:E278))</f>
        <v>1318</v>
      </c>
      <c r="G278" s="39" t="n">
        <f aca="false">IF(OR(F278="",F278=0),"",D278/F278)</f>
        <v>0.490895295902883</v>
      </c>
      <c r="H278" s="39" t="n">
        <f aca="false">IF(OR(F278="",F278=0),"",E278/F278)</f>
        <v>0.509104704097117</v>
      </c>
      <c r="I278" s="38" t="s">
        <v>89</v>
      </c>
      <c r="J278" s="40" t="n">
        <v>1.26135644325249</v>
      </c>
      <c r="K278" s="39" t="n">
        <f aca="false">IF(G278="","",MAX(0,G278-J278/100))</f>
        <v>0.478281731470358</v>
      </c>
      <c r="L278" s="39" t="n">
        <f aca="false">IF(G278="","",MIN(1,G278+J278/100))</f>
        <v>0.503508860335408</v>
      </c>
      <c r="M278" s="21" t="n">
        <f aca="false">ROUND(Q278*S278,0)</f>
        <v>184</v>
      </c>
      <c r="N278" s="21" t="n">
        <f aca="false">ROUND(SQRT((F278*J278/100)^2+(G278*M278)^2),0)</f>
        <v>92</v>
      </c>
      <c r="P278" s="41" t="n">
        <v>-3.57784979656802</v>
      </c>
      <c r="Q278" s="42" t="n">
        <v>1317.86236270608</v>
      </c>
      <c r="R278" s="43" t="n">
        <f aca="false">MAX(0,MIN(1,P278/100+$D$5))</f>
        <v>0.491206200610941</v>
      </c>
      <c r="S278" s="43" t="n">
        <v>0.139463116518417</v>
      </c>
      <c r="T278" s="44" t="s">
        <v>128</v>
      </c>
    </row>
    <row r="279" customFormat="false" ht="15" hidden="false" customHeight="false" outlineLevel="0" collapsed="false">
      <c r="A279" s="38" t="s">
        <v>344</v>
      </c>
      <c r="B279" s="38" t="s">
        <v>403</v>
      </c>
      <c r="C279" s="38" t="s">
        <v>403</v>
      </c>
      <c r="D279" s="21" t="n">
        <f aca="false">ROUND(Q279*R279,0)</f>
        <v>170</v>
      </c>
      <c r="E279" s="21" t="n">
        <f aca="false">ROUND(Q279,0)-D279</f>
        <v>218</v>
      </c>
      <c r="F279" s="21" t="n">
        <f aca="false">IF(COUNTA(D279:E279)=0,"",SUM(D279:E279))</f>
        <v>388</v>
      </c>
      <c r="G279" s="39" t="n">
        <f aca="false">IF(OR(F279="",F279=0),"",D279/F279)</f>
        <v>0.438144329896907</v>
      </c>
      <c r="H279" s="39" t="n">
        <f aca="false">IF(OR(F279="",F279=0),"",E279/F279)</f>
        <v>0.561855670103093</v>
      </c>
      <c r="I279" s="38" t="s">
        <v>89</v>
      </c>
      <c r="J279" s="40" t="n">
        <v>3.7041269898902</v>
      </c>
      <c r="K279" s="39" t="n">
        <f aca="false">IF(G279="","",MAX(0,G279-J279/100))</f>
        <v>0.401103059998005</v>
      </c>
      <c r="L279" s="39" t="n">
        <f aca="false">IF(G279="","",MIN(1,G279+J279/100))</f>
        <v>0.475185599795809</v>
      </c>
      <c r="M279" s="21" t="n">
        <f aca="false">ROUND(Q279*S279,0)</f>
        <v>30</v>
      </c>
      <c r="N279" s="21" t="n">
        <f aca="false">ROUND(SQRT((F279*J279/100)^2+(G279*M279)^2),0)</f>
        <v>19</v>
      </c>
      <c r="P279" s="41" t="n">
        <v>-8.97938404435849</v>
      </c>
      <c r="Q279" s="42" t="n">
        <v>388.368810279164</v>
      </c>
      <c r="R279" s="43" t="n">
        <f aca="false">MAX(0,MIN(1,P279/100+$D$5))</f>
        <v>0.437190858133037</v>
      </c>
      <c r="S279" s="43" t="n">
        <v>0.0779420971553049</v>
      </c>
      <c r="T279" s="44" t="s">
        <v>90</v>
      </c>
    </row>
    <row r="280" customFormat="false" ht="15" hidden="false" customHeight="false" outlineLevel="0" collapsed="false">
      <c r="A280" s="38" t="s">
        <v>344</v>
      </c>
      <c r="B280" s="38" t="s">
        <v>404</v>
      </c>
      <c r="C280" s="38" t="s">
        <v>405</v>
      </c>
      <c r="D280" s="21" t="n">
        <f aca="false">ROUND(Q280*R280,0)</f>
        <v>604</v>
      </c>
      <c r="E280" s="21" t="n">
        <f aca="false">ROUND(Q280,0)-D280</f>
        <v>341</v>
      </c>
      <c r="F280" s="21" t="n">
        <f aca="false">IF(COUNTA(D280:E280)=0,"",SUM(D280:E280))</f>
        <v>945</v>
      </c>
      <c r="G280" s="39" t="n">
        <f aca="false">IF(OR(F280="",F280=0),"",D280/F280)</f>
        <v>0.639153439153439</v>
      </c>
      <c r="H280" s="39" t="n">
        <f aca="false">IF(OR(F280="",F280=0),"",E280/F280)</f>
        <v>0.360846560846561</v>
      </c>
      <c r="I280" s="38" t="s">
        <v>191</v>
      </c>
      <c r="J280" s="40" t="n">
        <v>2.12060277043418</v>
      </c>
      <c r="K280" s="39" t="n">
        <f aca="false">IF(G280="","",MAX(0,G280-J280/100))</f>
        <v>0.617947411449097</v>
      </c>
      <c r="L280" s="39" t="n">
        <f aca="false">IF(G280="","",MIN(1,G280+J280/100))</f>
        <v>0.660359466857781</v>
      </c>
      <c r="M280" s="21" t="n">
        <f aca="false">ROUND(Q280*S280,0)</f>
        <v>60</v>
      </c>
      <c r="N280" s="21" t="n">
        <f aca="false">ROUND(SQRT((F280*J280/100)^2+(G280*M280)^2),0)</f>
        <v>43</v>
      </c>
      <c r="P280" s="41" t="n">
        <v>11.200220435565</v>
      </c>
      <c r="Q280" s="42" t="n">
        <v>945.264090565054</v>
      </c>
      <c r="R280" s="43" t="n">
        <f aca="false">MAX(0,MIN(1,P280/100+$D$5))</f>
        <v>0.638986902932272</v>
      </c>
      <c r="S280" s="43" t="n">
        <v>0.0633793435818552</v>
      </c>
      <c r="T280" s="44" t="s">
        <v>99</v>
      </c>
    </row>
    <row r="281" customFormat="false" ht="15" hidden="false" customHeight="false" outlineLevel="0" collapsed="false">
      <c r="A281" s="38" t="s">
        <v>344</v>
      </c>
      <c r="B281" s="38" t="s">
        <v>404</v>
      </c>
      <c r="C281" s="38" t="s">
        <v>406</v>
      </c>
      <c r="D281" s="21" t="n">
        <f aca="false">ROUND(Q281*R281,0)</f>
        <v>397</v>
      </c>
      <c r="E281" s="21" t="n">
        <f aca="false">ROUND(Q281,0)-D281</f>
        <v>200</v>
      </c>
      <c r="F281" s="21" t="n">
        <f aca="false">IF(COUNTA(D281:E281)=0,"",SUM(D281:E281))</f>
        <v>597</v>
      </c>
      <c r="G281" s="39" t="n">
        <f aca="false">IF(OR(F281="",F281=0),"",D281/F281)</f>
        <v>0.66499162479062</v>
      </c>
      <c r="H281" s="39" t="n">
        <f aca="false">IF(OR(F281="",F281=0),"",E281/F281)</f>
        <v>0.33500837520938</v>
      </c>
      <c r="I281" s="38" t="s">
        <v>89</v>
      </c>
      <c r="J281" s="40" t="n">
        <v>3.7041269898902</v>
      </c>
      <c r="K281" s="39" t="n">
        <f aca="false">IF(G281="","",MAX(0,G281-J281/100))</f>
        <v>0.627950354891718</v>
      </c>
      <c r="L281" s="39" t="n">
        <f aca="false">IF(G281="","",MIN(1,G281+J281/100))</f>
        <v>0.702032894689522</v>
      </c>
      <c r="M281" s="21" t="n">
        <f aca="false">ROUND(Q281*S281,0)</f>
        <v>47</v>
      </c>
      <c r="N281" s="21" t="n">
        <f aca="false">ROUND(SQRT((F281*J281/100)^2+(G281*M281)^2),0)</f>
        <v>38</v>
      </c>
      <c r="P281" s="41" t="n">
        <v>13.8063844372105</v>
      </c>
      <c r="Q281" s="42" t="n">
        <v>596.62591472204</v>
      </c>
      <c r="R281" s="43" t="n">
        <f aca="false">MAX(0,MIN(1,P281/100+$D$5))</f>
        <v>0.665048542948726</v>
      </c>
      <c r="S281" s="43" t="n">
        <v>0.0779420971553049</v>
      </c>
      <c r="T281" s="44" t="s">
        <v>90</v>
      </c>
    </row>
    <row r="282" customFormat="false" ht="15" hidden="false" customHeight="false" outlineLevel="0" collapsed="false">
      <c r="A282" s="38" t="s">
        <v>344</v>
      </c>
      <c r="B282" s="38" t="s">
        <v>404</v>
      </c>
      <c r="C282" s="38" t="s">
        <v>407</v>
      </c>
      <c r="D282" s="21" t="n">
        <f aca="false">ROUND(Q282*R282,0)</f>
        <v>478</v>
      </c>
      <c r="E282" s="21" t="n">
        <f aca="false">ROUND(Q282,0)-D282</f>
        <v>165</v>
      </c>
      <c r="F282" s="21" t="n">
        <f aca="false">IF(COUNTA(D282:E282)=0,"",SUM(D282:E282))</f>
        <v>643</v>
      </c>
      <c r="G282" s="39" t="n">
        <f aca="false">IF(OR(F282="",F282=0),"",D282/F282)</f>
        <v>0.743390357698289</v>
      </c>
      <c r="H282" s="39" t="n">
        <f aca="false">IF(OR(F282="",F282=0),"",E282/F282)</f>
        <v>0.256609642301711</v>
      </c>
      <c r="I282" s="38" t="s">
        <v>89</v>
      </c>
      <c r="J282" s="40" t="n">
        <v>3.7041269898902</v>
      </c>
      <c r="K282" s="39" t="n">
        <f aca="false">IF(G282="","",MAX(0,G282-J282/100))</f>
        <v>0.706349087799387</v>
      </c>
      <c r="L282" s="39" t="n">
        <f aca="false">IF(G282="","",MIN(1,G282+J282/100))</f>
        <v>0.780431627597191</v>
      </c>
      <c r="M282" s="21" t="n">
        <f aca="false">ROUND(Q282*S282,0)</f>
        <v>50</v>
      </c>
      <c r="N282" s="21" t="n">
        <f aca="false">ROUND(SQRT((F282*J282/100)^2+(G282*M282)^2),0)</f>
        <v>44</v>
      </c>
      <c r="P282" s="41" t="n">
        <v>21.6347433925671</v>
      </c>
      <c r="Q282" s="42" t="n">
        <v>642.684216263163</v>
      </c>
      <c r="R282" s="43" t="n">
        <f aca="false">MAX(0,MIN(1,P282/100+$D$5))</f>
        <v>0.743332132502293</v>
      </c>
      <c r="S282" s="43" t="n">
        <v>0.0779420971553049</v>
      </c>
      <c r="T282" s="44" t="s">
        <v>90</v>
      </c>
    </row>
    <row r="283" customFormat="false" ht="15" hidden="false" customHeight="false" outlineLevel="0" collapsed="false">
      <c r="A283" s="38" t="s">
        <v>344</v>
      </c>
      <c r="B283" s="38" t="s">
        <v>404</v>
      </c>
      <c r="C283" s="38" t="s">
        <v>408</v>
      </c>
      <c r="D283" s="21" t="n">
        <f aca="false">ROUND(Q283*R283,0)</f>
        <v>682</v>
      </c>
      <c r="E283" s="21" t="n">
        <f aca="false">ROUND(Q283,0)-D283</f>
        <v>209</v>
      </c>
      <c r="F283" s="21" t="n">
        <f aca="false">IF(COUNTA(D283:E283)=0,"",SUM(D283:E283))</f>
        <v>891</v>
      </c>
      <c r="G283" s="39" t="n">
        <f aca="false">IF(OR(F283="",F283=0),"",D283/F283)</f>
        <v>0.765432098765432</v>
      </c>
      <c r="H283" s="39" t="n">
        <f aca="false">IF(OR(F283="",F283=0),"",E283/F283)</f>
        <v>0.234567901234568</v>
      </c>
      <c r="I283" s="38" t="s">
        <v>89</v>
      </c>
      <c r="J283" s="40" t="n">
        <v>2.12060277043418</v>
      </c>
      <c r="K283" s="39" t="n">
        <f aca="false">IF(G283="","",MAX(0,G283-J283/100))</f>
        <v>0.74422607106109</v>
      </c>
      <c r="L283" s="39" t="n">
        <f aca="false">IF(G283="","",MIN(1,G283+J283/100))</f>
        <v>0.786638126469774</v>
      </c>
      <c r="M283" s="21" t="n">
        <f aca="false">ROUND(Q283*S283,0)</f>
        <v>56</v>
      </c>
      <c r="N283" s="21" t="n">
        <f aca="false">ROUND(SQRT((F283*J283/100)^2+(G283*M283)^2),0)</f>
        <v>47</v>
      </c>
      <c r="P283" s="41" t="n">
        <v>23.8089960544295</v>
      </c>
      <c r="Q283" s="42" t="n">
        <v>891.021986940574</v>
      </c>
      <c r="R283" s="43" t="n">
        <f aca="false">MAX(0,MIN(1,P283/100+$D$5))</f>
        <v>0.765074659120916</v>
      </c>
      <c r="S283" s="43" t="n">
        <v>0.0633793435818552</v>
      </c>
      <c r="T283" s="44" t="s">
        <v>99</v>
      </c>
    </row>
    <row r="284" customFormat="false" ht="15" hidden="false" customHeight="false" outlineLevel="0" collapsed="false">
      <c r="A284" s="38" t="s">
        <v>344</v>
      </c>
      <c r="B284" s="38" t="s">
        <v>404</v>
      </c>
      <c r="C284" s="38" t="s">
        <v>409</v>
      </c>
      <c r="D284" s="21" t="n">
        <f aca="false">ROUND(Q284*R284,0)</f>
        <v>520</v>
      </c>
      <c r="E284" s="21" t="n">
        <f aca="false">ROUND(Q284,0)-D284</f>
        <v>123</v>
      </c>
      <c r="F284" s="21" t="n">
        <f aca="false">IF(COUNTA(D284:E284)=0,"",SUM(D284:E284))</f>
        <v>643</v>
      </c>
      <c r="G284" s="39" t="n">
        <f aca="false">IF(OR(F284="",F284=0),"",D284/F284)</f>
        <v>0.808709175738725</v>
      </c>
      <c r="H284" s="39" t="n">
        <f aca="false">IF(OR(F284="",F284=0),"",E284/F284)</f>
        <v>0.191290824261275</v>
      </c>
      <c r="I284" s="38" t="s">
        <v>89</v>
      </c>
      <c r="J284" s="40" t="n">
        <v>3.7041269898902</v>
      </c>
      <c r="K284" s="39" t="n">
        <f aca="false">IF(G284="","",MAX(0,G284-J284/100))</f>
        <v>0.771667905839823</v>
      </c>
      <c r="L284" s="39" t="n">
        <f aca="false">IF(G284="","",MIN(1,G284+J284/100))</f>
        <v>0.845750445637627</v>
      </c>
      <c r="M284" s="21" t="n">
        <f aca="false">ROUND(Q284*S284,0)</f>
        <v>50</v>
      </c>
      <c r="N284" s="21" t="n">
        <f aca="false">ROUND(SQRT((F284*J284/100)^2+(G284*M284)^2),0)</f>
        <v>47</v>
      </c>
      <c r="P284" s="41" t="n">
        <v>28.1083741038508</v>
      </c>
      <c r="Q284" s="42" t="n">
        <v>642.915974666991</v>
      </c>
      <c r="R284" s="43" t="n">
        <f aca="false">MAX(0,MIN(1,P284/100+$D$5))</f>
        <v>0.80806843961513</v>
      </c>
      <c r="S284" s="43" t="n">
        <v>0.0779420971553049</v>
      </c>
      <c r="T284" s="44" t="s">
        <v>90</v>
      </c>
    </row>
    <row r="285" customFormat="false" ht="15" hidden="false" customHeight="false" outlineLevel="0" collapsed="false">
      <c r="A285" s="38" t="s">
        <v>344</v>
      </c>
      <c r="B285" s="38" t="s">
        <v>404</v>
      </c>
      <c r="C285" s="38" t="s">
        <v>410</v>
      </c>
      <c r="D285" s="21" t="n">
        <f aca="false">ROUND(Q285*R285,0)</f>
        <v>517</v>
      </c>
      <c r="E285" s="21" t="n">
        <f aca="false">ROUND(Q285,0)-D285</f>
        <v>197</v>
      </c>
      <c r="F285" s="21" t="n">
        <f aca="false">IF(COUNTA(D285:E285)=0,"",SUM(D285:E285))</f>
        <v>714</v>
      </c>
      <c r="G285" s="39" t="n">
        <f aca="false">IF(OR(F285="",F285=0),"",D285/F285)</f>
        <v>0.724089635854342</v>
      </c>
      <c r="H285" s="39" t="n">
        <f aca="false">IF(OR(F285="",F285=0),"",E285/F285)</f>
        <v>0.275910364145658</v>
      </c>
      <c r="I285" s="38" t="s">
        <v>89</v>
      </c>
      <c r="J285" s="40" t="n">
        <v>3.7041269898902</v>
      </c>
      <c r="K285" s="39" t="n">
        <f aca="false">IF(G285="","",MAX(0,G285-J285/100))</f>
        <v>0.68704836595544</v>
      </c>
      <c r="L285" s="39" t="n">
        <f aca="false">IF(G285="","",MIN(1,G285+J285/100))</f>
        <v>0.761130905753244</v>
      </c>
      <c r="M285" s="21" t="n">
        <f aca="false">ROUND(Q285*S285,0)</f>
        <v>56</v>
      </c>
      <c r="N285" s="21" t="n">
        <f aca="false">ROUND(SQRT((F285*J285/100)^2+(G285*M285)^2),0)</f>
        <v>48</v>
      </c>
      <c r="P285" s="41" t="n">
        <v>19.7867728849597</v>
      </c>
      <c r="Q285" s="42" t="n">
        <v>713.555952875723</v>
      </c>
      <c r="R285" s="43" t="n">
        <f aca="false">MAX(0,MIN(1,P285/100+$D$5))</f>
        <v>0.724852427426219</v>
      </c>
      <c r="S285" s="43" t="n">
        <v>0.0779420971553049</v>
      </c>
      <c r="T285" s="44" t="s">
        <v>90</v>
      </c>
    </row>
    <row r="286" customFormat="false" ht="15" hidden="false" customHeight="false" outlineLevel="0" collapsed="false">
      <c r="A286" s="38" t="s">
        <v>344</v>
      </c>
      <c r="B286" s="38" t="s">
        <v>404</v>
      </c>
      <c r="C286" s="38" t="s">
        <v>411</v>
      </c>
      <c r="D286" s="21" t="n">
        <f aca="false">ROUND(Q286*R286,0)</f>
        <v>368</v>
      </c>
      <c r="E286" s="21" t="n">
        <f aca="false">ROUND(Q286,0)-D286</f>
        <v>154</v>
      </c>
      <c r="F286" s="21" t="n">
        <f aca="false">IF(COUNTA(D286:E286)=0,"",SUM(D286:E286))</f>
        <v>522</v>
      </c>
      <c r="G286" s="39" t="n">
        <f aca="false">IF(OR(F286="",F286=0),"",D286/F286)</f>
        <v>0.704980842911877</v>
      </c>
      <c r="H286" s="39" t="n">
        <f aca="false">IF(OR(F286="",F286=0),"",E286/F286)</f>
        <v>0.295019157088123</v>
      </c>
      <c r="I286" s="38" t="s">
        <v>89</v>
      </c>
      <c r="J286" s="40" t="n">
        <v>3.7041269898902</v>
      </c>
      <c r="K286" s="39" t="n">
        <f aca="false">IF(G286="","",MAX(0,G286-J286/100))</f>
        <v>0.667939573012975</v>
      </c>
      <c r="L286" s="39" t="n">
        <f aca="false">IF(G286="","",MIN(1,G286+J286/100))</f>
        <v>0.742022112810779</v>
      </c>
      <c r="M286" s="21" t="n">
        <f aca="false">ROUND(Q286*S286,0)</f>
        <v>41</v>
      </c>
      <c r="N286" s="21" t="n">
        <f aca="false">ROUND(SQRT((F286*J286/100)^2+(G286*M286)^2),0)</f>
        <v>35</v>
      </c>
      <c r="P286" s="41" t="n">
        <v>17.7487429497426</v>
      </c>
      <c r="Q286" s="42" t="n">
        <v>521.964247253204</v>
      </c>
      <c r="R286" s="43" t="n">
        <f aca="false">MAX(0,MIN(1,P286/100+$D$5))</f>
        <v>0.704472128074048</v>
      </c>
      <c r="S286" s="43" t="n">
        <v>0.0779420971553049</v>
      </c>
      <c r="T286" s="44" t="s">
        <v>90</v>
      </c>
    </row>
    <row r="287" customFormat="false" ht="15" hidden="false" customHeight="false" outlineLevel="0" collapsed="false">
      <c r="A287" s="38" t="s">
        <v>344</v>
      </c>
      <c r="B287" s="38" t="s">
        <v>404</v>
      </c>
      <c r="C287" s="38" t="s">
        <v>412</v>
      </c>
      <c r="D287" s="21" t="n">
        <f aca="false">ROUND(Q287*R287,0)</f>
        <v>157</v>
      </c>
      <c r="E287" s="21" t="n">
        <f aca="false">ROUND(Q287,0)-D287</f>
        <v>51</v>
      </c>
      <c r="F287" s="21" t="n">
        <f aca="false">IF(COUNTA(D287:E287)=0,"",SUM(D287:E287))</f>
        <v>208</v>
      </c>
      <c r="G287" s="39" t="n">
        <f aca="false">IF(OR(F287="",F287=0),"",D287/F287)</f>
        <v>0.754807692307692</v>
      </c>
      <c r="H287" s="39" t="n">
        <f aca="false">IF(OR(F287="",F287=0),"",E287/F287)</f>
        <v>0.245192307692308</v>
      </c>
      <c r="I287" s="38" t="s">
        <v>89</v>
      </c>
      <c r="J287" s="40" t="n">
        <v>3.7041269898902</v>
      </c>
      <c r="K287" s="39" t="n">
        <f aca="false">IF(G287="","",MAX(0,G287-J287/100))</f>
        <v>0.71776642240879</v>
      </c>
      <c r="L287" s="39" t="n">
        <f aca="false">IF(G287="","",MIN(1,G287+J287/100))</f>
        <v>0.791848962206594</v>
      </c>
      <c r="M287" s="21" t="n">
        <f aca="false">ROUND(Q287*S287,0)</f>
        <v>16</v>
      </c>
      <c r="N287" s="21" t="n">
        <f aca="false">ROUND(SQRT((F287*J287/100)^2+(G287*M287)^2),0)</f>
        <v>14</v>
      </c>
      <c r="P287" s="41" t="n">
        <v>22.5105177760612</v>
      </c>
      <c r="Q287" s="42" t="n">
        <v>208.375208128619</v>
      </c>
      <c r="R287" s="43" t="n">
        <f aca="false">MAX(0,MIN(1,P287/100+$D$5))</f>
        <v>0.752089876337234</v>
      </c>
      <c r="S287" s="43" t="n">
        <v>0.0779420971553049</v>
      </c>
      <c r="T287" s="44" t="s">
        <v>90</v>
      </c>
    </row>
    <row r="288" customFormat="false" ht="15" hidden="false" customHeight="false" outlineLevel="0" collapsed="false">
      <c r="A288" s="38" t="s">
        <v>344</v>
      </c>
      <c r="B288" s="38" t="s">
        <v>404</v>
      </c>
      <c r="C288" s="38" t="s">
        <v>413</v>
      </c>
      <c r="D288" s="21" t="n">
        <f aca="false">ROUND(Q288*R288,0)</f>
        <v>228</v>
      </c>
      <c r="E288" s="21" t="n">
        <f aca="false">ROUND(Q288,0)-D288</f>
        <v>77</v>
      </c>
      <c r="F288" s="21" t="n">
        <f aca="false">IF(COUNTA(D288:E288)=0,"",SUM(D288:E288))</f>
        <v>305</v>
      </c>
      <c r="G288" s="39" t="n">
        <f aca="false">IF(OR(F288="",F288=0),"",D288/F288)</f>
        <v>0.747540983606557</v>
      </c>
      <c r="H288" s="39" t="n">
        <f aca="false">IF(OR(F288="",F288=0),"",E288/F288)</f>
        <v>0.252459016393443</v>
      </c>
      <c r="I288" s="38" t="s">
        <v>89</v>
      </c>
      <c r="J288" s="40" t="n">
        <v>3.7041269898902</v>
      </c>
      <c r="K288" s="39" t="n">
        <f aca="false">IF(G288="","",MAX(0,G288-J288/100))</f>
        <v>0.710499713707655</v>
      </c>
      <c r="L288" s="39" t="n">
        <f aca="false">IF(G288="","",MIN(1,G288+J288/100))</f>
        <v>0.784582253505459</v>
      </c>
      <c r="M288" s="21" t="n">
        <f aca="false">ROUND(Q288*S288,0)</f>
        <v>24</v>
      </c>
      <c r="N288" s="21" t="n">
        <f aca="false">ROUND(SQRT((F288*J288/100)^2+(G288*M288)^2),0)</f>
        <v>21</v>
      </c>
      <c r="P288" s="41" t="n">
        <v>22.1435974614724</v>
      </c>
      <c r="Q288" s="42" t="n">
        <v>304.637704121751</v>
      </c>
      <c r="R288" s="43" t="n">
        <f aca="false">MAX(0,MIN(1,P288/100+$D$5))</f>
        <v>0.748420673191346</v>
      </c>
      <c r="S288" s="43" t="n">
        <v>0.0779420971553049</v>
      </c>
      <c r="T288" s="44" t="s">
        <v>90</v>
      </c>
    </row>
    <row r="289" customFormat="false" ht="15" hidden="false" customHeight="false" outlineLevel="0" collapsed="false">
      <c r="A289" s="38" t="s">
        <v>344</v>
      </c>
      <c r="B289" s="38" t="s">
        <v>404</v>
      </c>
      <c r="C289" s="38" t="s">
        <v>414</v>
      </c>
      <c r="D289" s="21" t="n">
        <f aca="false">ROUND(Q289*R289,0)</f>
        <v>240</v>
      </c>
      <c r="E289" s="21" t="n">
        <f aca="false">ROUND(Q289,0)-D289</f>
        <v>94</v>
      </c>
      <c r="F289" s="21" t="n">
        <f aca="false">IF(COUNTA(D289:E289)=0,"",SUM(D289:E289))</f>
        <v>334</v>
      </c>
      <c r="G289" s="39" t="n">
        <f aca="false">IF(OR(F289="",F289=0),"",D289/F289)</f>
        <v>0.718562874251497</v>
      </c>
      <c r="H289" s="39" t="n">
        <f aca="false">IF(OR(F289="",F289=0),"",E289/F289)</f>
        <v>0.281437125748503</v>
      </c>
      <c r="I289" s="38" t="s">
        <v>89</v>
      </c>
      <c r="J289" s="40" t="n">
        <v>3.7041269898902</v>
      </c>
      <c r="K289" s="39" t="n">
        <f aca="false">IF(G289="","",MAX(0,G289-J289/100))</f>
        <v>0.681521604352595</v>
      </c>
      <c r="L289" s="39" t="n">
        <f aca="false">IF(G289="","",MIN(1,G289+J289/100))</f>
        <v>0.755604144150399</v>
      </c>
      <c r="M289" s="21" t="n">
        <f aca="false">ROUND(Q289*S289,0)</f>
        <v>26</v>
      </c>
      <c r="N289" s="21" t="n">
        <f aca="false">ROUND(SQRT((F289*J289/100)^2+(G289*M289)^2),0)</f>
        <v>22</v>
      </c>
      <c r="P289" s="41" t="n">
        <v>19.0746251412861</v>
      </c>
      <c r="Q289" s="42" t="n">
        <v>334.237950820077</v>
      </c>
      <c r="R289" s="43" t="n">
        <f aca="false">MAX(0,MIN(1,P289/100+$D$5))</f>
        <v>0.717730949989483</v>
      </c>
      <c r="S289" s="43" t="n">
        <v>0.0779420971553049</v>
      </c>
      <c r="T289" s="44" t="s">
        <v>90</v>
      </c>
    </row>
    <row r="290" customFormat="false" ht="15" hidden="false" customHeight="false" outlineLevel="0" collapsed="false">
      <c r="A290" s="38" t="s">
        <v>344</v>
      </c>
      <c r="B290" s="38" t="s">
        <v>404</v>
      </c>
      <c r="C290" s="38" t="s">
        <v>415</v>
      </c>
      <c r="D290" s="21" t="n">
        <f aca="false">ROUND(Q290*R290,0)</f>
        <v>629</v>
      </c>
      <c r="E290" s="21" t="n">
        <f aca="false">ROUND(Q290,0)-D290</f>
        <v>331</v>
      </c>
      <c r="F290" s="21" t="n">
        <f aca="false">IF(COUNTA(D290:E290)=0,"",SUM(D290:E290))</f>
        <v>960</v>
      </c>
      <c r="G290" s="39" t="n">
        <f aca="false">IF(OR(F290="",F290=0),"",D290/F290)</f>
        <v>0.655208333333333</v>
      </c>
      <c r="H290" s="39" t="n">
        <f aca="false">IF(OR(F290="",F290=0),"",E290/F290)</f>
        <v>0.344791666666667</v>
      </c>
      <c r="I290" s="38" t="s">
        <v>191</v>
      </c>
      <c r="J290" s="40" t="n">
        <v>2.12060277043418</v>
      </c>
      <c r="K290" s="39" t="n">
        <f aca="false">IF(G290="","",MAX(0,G290-J290/100))</f>
        <v>0.634002305628992</v>
      </c>
      <c r="L290" s="39" t="n">
        <f aca="false">IF(G290="","",MIN(1,G290+J290/100))</f>
        <v>0.676414361037675</v>
      </c>
      <c r="M290" s="21" t="n">
        <f aca="false">ROUND(Q290*S290,0)</f>
        <v>61</v>
      </c>
      <c r="N290" s="21" t="n">
        <f aca="false">ROUND(SQRT((F290*J290/100)^2+(G290*M290)^2),0)</f>
        <v>45</v>
      </c>
      <c r="P290" s="41" t="n">
        <v>12.8154130222645</v>
      </c>
      <c r="Q290" s="42" t="n">
        <v>960.014662210888</v>
      </c>
      <c r="R290" s="43" t="n">
        <f aca="false">MAX(0,MIN(1,P290/100+$D$5))</f>
        <v>0.655138828799267</v>
      </c>
      <c r="S290" s="43" t="n">
        <v>0.0633793435818552</v>
      </c>
      <c r="T290" s="44" t="s">
        <v>99</v>
      </c>
    </row>
    <row r="291" customFormat="false" ht="15" hidden="false" customHeight="false" outlineLevel="0" collapsed="false">
      <c r="A291" s="38" t="s">
        <v>344</v>
      </c>
      <c r="B291" s="38" t="s">
        <v>404</v>
      </c>
      <c r="C291" s="38" t="s">
        <v>416</v>
      </c>
      <c r="D291" s="21" t="n">
        <f aca="false">ROUND(Q291*R291,0)</f>
        <v>668</v>
      </c>
      <c r="E291" s="21" t="n">
        <f aca="false">ROUND(Q291,0)-D291</f>
        <v>261</v>
      </c>
      <c r="F291" s="21" t="n">
        <f aca="false">IF(COUNTA(D291:E291)=0,"",SUM(D291:E291))</f>
        <v>929</v>
      </c>
      <c r="G291" s="39" t="n">
        <f aca="false">IF(OR(F291="",F291=0),"",D291/F291)</f>
        <v>0.719052744886975</v>
      </c>
      <c r="H291" s="39" t="n">
        <f aca="false">IF(OR(F291="",F291=0),"",E291/F291)</f>
        <v>0.280947255113025</v>
      </c>
      <c r="I291" s="38" t="s">
        <v>89</v>
      </c>
      <c r="J291" s="40" t="n">
        <v>2.12060277043418</v>
      </c>
      <c r="K291" s="39" t="n">
        <f aca="false">IF(G291="","",MAX(0,G291-J291/100))</f>
        <v>0.697846717182634</v>
      </c>
      <c r="L291" s="39" t="n">
        <f aca="false">IF(G291="","",MIN(1,G291+J291/100))</f>
        <v>0.740258772591317</v>
      </c>
      <c r="M291" s="21" t="n">
        <f aca="false">ROUND(Q291*S291,0)</f>
        <v>59</v>
      </c>
      <c r="N291" s="21" t="n">
        <f aca="false">ROUND(SQRT((F291*J291/100)^2+(G291*M291)^2),0)</f>
        <v>47</v>
      </c>
      <c r="P291" s="41" t="n">
        <v>19.2236221911227</v>
      </c>
      <c r="Q291" s="42" t="n">
        <v>929.267066224379</v>
      </c>
      <c r="R291" s="43" t="n">
        <f aca="false">MAX(0,MIN(1,P291/100+$D$5))</f>
        <v>0.719220920487849</v>
      </c>
      <c r="S291" s="43" t="n">
        <v>0.0633793435818552</v>
      </c>
      <c r="T291" s="44" t="s">
        <v>99</v>
      </c>
    </row>
    <row r="292" customFormat="false" ht="15" hidden="false" customHeight="false" outlineLevel="0" collapsed="false">
      <c r="A292" s="38" t="s">
        <v>344</v>
      </c>
      <c r="B292" s="38" t="s">
        <v>417</v>
      </c>
      <c r="C292" s="38" t="s">
        <v>418</v>
      </c>
      <c r="D292" s="21" t="n">
        <f aca="false">ROUND(Q292*R292,0)</f>
        <v>1190</v>
      </c>
      <c r="E292" s="21" t="n">
        <f aca="false">ROUND(Q292,0)-D292</f>
        <v>1032</v>
      </c>
      <c r="F292" s="21" t="n">
        <f aca="false">IF(COUNTA(D292:E292)=0,"",SUM(D292:E292))</f>
        <v>2222</v>
      </c>
      <c r="G292" s="39" t="n">
        <f aca="false">IF(OR(F292="",F292=0),"",D292/F292)</f>
        <v>0.535553555355536</v>
      </c>
      <c r="H292" s="39" t="n">
        <f aca="false">IF(OR(F292="",F292=0),"",E292/F292)</f>
        <v>0.464446444644464</v>
      </c>
      <c r="I292" s="38" t="s">
        <v>89</v>
      </c>
      <c r="J292" s="40" t="n">
        <v>1.26135644325249</v>
      </c>
      <c r="K292" s="39" t="n">
        <f aca="false">IF(G292="","",MAX(0,G292-J292/100))</f>
        <v>0.522939990923011</v>
      </c>
      <c r="L292" s="39" t="n">
        <f aca="false">IF(G292="","",MIN(1,G292+J292/100))</f>
        <v>0.54816711978806</v>
      </c>
      <c r="M292" s="21" t="n">
        <f aca="false">ROUND(Q292*S292,0)</f>
        <v>310</v>
      </c>
      <c r="N292" s="21" t="n">
        <f aca="false">ROUND(SQRT((F292*J292/100)^2+(G292*M292)^2),0)</f>
        <v>168</v>
      </c>
      <c r="P292" s="41" t="n">
        <v>0.88047194375991</v>
      </c>
      <c r="Q292" s="42" t="n">
        <v>2221.56396351149</v>
      </c>
      <c r="R292" s="43" t="n">
        <f aca="false">MAX(0,MIN(1,P292/100+$D$5))</f>
        <v>0.535789418014221</v>
      </c>
      <c r="S292" s="43" t="n">
        <v>0.139463116518417</v>
      </c>
      <c r="T292" s="44" t="s">
        <v>128</v>
      </c>
    </row>
    <row r="293" customFormat="false" ht="15" hidden="false" customHeight="false" outlineLevel="0" collapsed="false">
      <c r="A293" s="38" t="s">
        <v>344</v>
      </c>
      <c r="B293" s="38" t="s">
        <v>417</v>
      </c>
      <c r="C293" s="38" t="s">
        <v>419</v>
      </c>
      <c r="D293" s="21" t="n">
        <f aca="false">ROUND(Q293*R293,0)</f>
        <v>562</v>
      </c>
      <c r="E293" s="21" t="n">
        <f aca="false">ROUND(Q293,0)-D293</f>
        <v>520</v>
      </c>
      <c r="F293" s="21" t="n">
        <f aca="false">IF(COUNTA(D293:E293)=0,"",SUM(D293:E293))</f>
        <v>1082</v>
      </c>
      <c r="G293" s="39" t="n">
        <f aca="false">IF(OR(F293="",F293=0),"",D293/F293)</f>
        <v>0.519408502772643</v>
      </c>
      <c r="H293" s="39" t="n">
        <f aca="false">IF(OR(F293="",F293=0),"",E293/F293)</f>
        <v>0.480591497227357</v>
      </c>
      <c r="I293" s="38" t="s">
        <v>191</v>
      </c>
      <c r="J293" s="40" t="n">
        <v>2.12060277043418</v>
      </c>
      <c r="K293" s="39" t="n">
        <f aca="false">IF(G293="","",MAX(0,G293-J293/100))</f>
        <v>0.498202475068301</v>
      </c>
      <c r="L293" s="39" t="n">
        <f aca="false">IF(G293="","",MIN(1,G293+J293/100))</f>
        <v>0.540614530476985</v>
      </c>
      <c r="M293" s="21" t="n">
        <f aca="false">ROUND(Q293*S293,0)</f>
        <v>69</v>
      </c>
      <c r="N293" s="21" t="n">
        <f aca="false">ROUND(SQRT((F293*J293/100)^2+(G293*M293)^2),0)</f>
        <v>43</v>
      </c>
      <c r="P293" s="41" t="n">
        <v>-0.75533662348907</v>
      </c>
      <c r="Q293" s="42" t="n">
        <v>1082.45371911663</v>
      </c>
      <c r="R293" s="43" t="n">
        <f aca="false">MAX(0,MIN(1,P293/100+$D$5))</f>
        <v>0.519431332341731</v>
      </c>
      <c r="S293" s="43" t="n">
        <v>0.0633793435818552</v>
      </c>
      <c r="T293" s="44" t="s">
        <v>99</v>
      </c>
    </row>
    <row r="294" customFormat="false" ht="15" hidden="false" customHeight="false" outlineLevel="0" collapsed="false">
      <c r="A294" s="38" t="s">
        <v>344</v>
      </c>
      <c r="B294" s="38" t="s">
        <v>417</v>
      </c>
      <c r="C294" s="38" t="s">
        <v>420</v>
      </c>
      <c r="D294" s="21" t="n">
        <f aca="false">ROUND(Q294*R294,0)</f>
        <v>639</v>
      </c>
      <c r="E294" s="21" t="n">
        <f aca="false">ROUND(Q294,0)-D294</f>
        <v>470</v>
      </c>
      <c r="F294" s="21" t="n">
        <f aca="false">IF(COUNTA(D294:E294)=0,"",SUM(D294:E294))</f>
        <v>1109</v>
      </c>
      <c r="G294" s="39" t="n">
        <f aca="false">IF(OR(F294="",F294=0),"",D294/F294)</f>
        <v>0.57619477006312</v>
      </c>
      <c r="H294" s="39" t="n">
        <f aca="false">IF(OR(F294="",F294=0),"",E294/F294)</f>
        <v>0.42380522993688</v>
      </c>
      <c r="I294" s="38" t="s">
        <v>191</v>
      </c>
      <c r="J294" s="40" t="n">
        <v>2.12060277043418</v>
      </c>
      <c r="K294" s="39" t="n">
        <f aca="false">IF(G294="","",MAX(0,G294-J294/100))</f>
        <v>0.554988742358778</v>
      </c>
      <c r="L294" s="39" t="n">
        <f aca="false">IF(G294="","",MIN(1,G294+J294/100))</f>
        <v>0.597400797767462</v>
      </c>
      <c r="M294" s="21" t="n">
        <f aca="false">ROUND(Q294*S294,0)</f>
        <v>70</v>
      </c>
      <c r="N294" s="21" t="n">
        <f aca="false">ROUND(SQRT((F294*J294/100)^2+(G294*M294)^2),0)</f>
        <v>47</v>
      </c>
      <c r="P294" s="41" t="n">
        <v>4.93212985250973</v>
      </c>
      <c r="Q294" s="42" t="n">
        <v>1109.09605217078</v>
      </c>
      <c r="R294" s="43" t="n">
        <f aca="false">MAX(0,MIN(1,P294/100+$D$5))</f>
        <v>0.576305997101719</v>
      </c>
      <c r="S294" s="43" t="n">
        <v>0.0633793435818552</v>
      </c>
      <c r="T294" s="44" t="s">
        <v>99</v>
      </c>
    </row>
    <row r="295" customFormat="false" ht="15" hidden="false" customHeight="false" outlineLevel="0" collapsed="false">
      <c r="A295" s="38" t="s">
        <v>344</v>
      </c>
      <c r="B295" s="38" t="s">
        <v>417</v>
      </c>
      <c r="C295" s="38" t="s">
        <v>421</v>
      </c>
      <c r="D295" s="21" t="n">
        <f aca="false">ROUND(Q295*R295,0)</f>
        <v>592</v>
      </c>
      <c r="E295" s="21" t="n">
        <f aca="false">ROUND(Q295,0)-D295</f>
        <v>521</v>
      </c>
      <c r="F295" s="21" t="n">
        <f aca="false">IF(COUNTA(D295:E295)=0,"",SUM(D295:E295))</f>
        <v>1113</v>
      </c>
      <c r="G295" s="39" t="n">
        <f aca="false">IF(OR(F295="",F295=0),"",D295/F295)</f>
        <v>0.531895777178796</v>
      </c>
      <c r="H295" s="39" t="n">
        <f aca="false">IF(OR(F295="",F295=0),"",E295/F295)</f>
        <v>0.468104222821204</v>
      </c>
      <c r="I295" s="38" t="s">
        <v>191</v>
      </c>
      <c r="J295" s="40" t="n">
        <v>2.12060277043418</v>
      </c>
      <c r="K295" s="39" t="n">
        <f aca="false">IF(G295="","",MAX(0,G295-J295/100))</f>
        <v>0.510689749474454</v>
      </c>
      <c r="L295" s="39" t="n">
        <f aca="false">IF(G295="","",MIN(1,G295+J295/100))</f>
        <v>0.553101804883138</v>
      </c>
      <c r="M295" s="21" t="n">
        <f aca="false">ROUND(Q295*S295,0)</f>
        <v>71</v>
      </c>
      <c r="N295" s="21" t="n">
        <f aca="false">ROUND(SQRT((F295*J295/100)^2+(G295*M295)^2),0)</f>
        <v>45</v>
      </c>
      <c r="P295" s="41" t="n">
        <v>0.4460389275187</v>
      </c>
      <c r="Q295" s="42" t="n">
        <v>1113.27891937967</v>
      </c>
      <c r="R295" s="43" t="n">
        <f aca="false">MAX(0,MIN(1,P295/100+$D$5))</f>
        <v>0.531445087851809</v>
      </c>
      <c r="S295" s="43" t="n">
        <v>0.0633793435818552</v>
      </c>
      <c r="T295" s="44" t="s">
        <v>99</v>
      </c>
    </row>
    <row r="296" customFormat="false" ht="15" hidden="false" customHeight="false" outlineLevel="0" collapsed="false">
      <c r="A296" s="38" t="s">
        <v>344</v>
      </c>
      <c r="B296" s="38" t="s">
        <v>417</v>
      </c>
      <c r="C296" s="38" t="s">
        <v>422</v>
      </c>
      <c r="D296" s="21" t="n">
        <f aca="false">ROUND(Q296*R296,0)</f>
        <v>851</v>
      </c>
      <c r="E296" s="21" t="n">
        <f aca="false">ROUND(Q296,0)-D296</f>
        <v>688</v>
      </c>
      <c r="F296" s="21" t="n">
        <f aca="false">IF(COUNTA(D296:E296)=0,"",SUM(D296:E296))</f>
        <v>1539</v>
      </c>
      <c r="G296" s="39" t="n">
        <f aca="false">IF(OR(F296="",F296=0),"",D296/F296)</f>
        <v>0.552956465237167</v>
      </c>
      <c r="H296" s="39" t="n">
        <f aca="false">IF(OR(F296="",F296=0),"",E296/F296)</f>
        <v>0.447043534762833</v>
      </c>
      <c r="I296" s="38" t="s">
        <v>89</v>
      </c>
      <c r="J296" s="40" t="n">
        <v>1.26135644325249</v>
      </c>
      <c r="K296" s="39" t="n">
        <f aca="false">IF(G296="","",MAX(0,G296-J296/100))</f>
        <v>0.540342900804642</v>
      </c>
      <c r="L296" s="39" t="n">
        <f aca="false">IF(G296="","",MIN(1,G296+J296/100))</f>
        <v>0.565570029669692</v>
      </c>
      <c r="M296" s="21" t="n">
        <f aca="false">ROUND(Q296*S296,0)</f>
        <v>215</v>
      </c>
      <c r="N296" s="21" t="n">
        <f aca="false">ROUND(SQRT((F296*J296/100)^2+(G296*M296)^2),0)</f>
        <v>120</v>
      </c>
      <c r="P296" s="41" t="n">
        <v>2.62829908529767</v>
      </c>
      <c r="Q296" s="42" t="n">
        <v>1538.92332171673</v>
      </c>
      <c r="R296" s="43" t="n">
        <f aca="false">MAX(0,MIN(1,P296/100+$D$5))</f>
        <v>0.553267689429598</v>
      </c>
      <c r="S296" s="43" t="n">
        <v>0.139463116518417</v>
      </c>
      <c r="T296" s="44" t="s">
        <v>128</v>
      </c>
    </row>
    <row r="297" customFormat="false" ht="15" hidden="false" customHeight="false" outlineLevel="0" collapsed="false">
      <c r="A297" s="38" t="s">
        <v>344</v>
      </c>
      <c r="B297" s="38" t="s">
        <v>417</v>
      </c>
      <c r="C297" s="38" t="s">
        <v>423</v>
      </c>
      <c r="D297" s="21" t="n">
        <f aca="false">ROUND(Q297*R297,0)</f>
        <v>631</v>
      </c>
      <c r="E297" s="21" t="n">
        <f aca="false">ROUND(Q297,0)-D297</f>
        <v>581</v>
      </c>
      <c r="F297" s="21" t="n">
        <f aca="false">IF(COUNTA(D297:E297)=0,"",SUM(D297:E297))</f>
        <v>1212</v>
      </c>
      <c r="G297" s="39" t="n">
        <f aca="false">IF(OR(F297="",F297=0),"",D297/F297)</f>
        <v>0.520627062706271</v>
      </c>
      <c r="H297" s="39" t="n">
        <f aca="false">IF(OR(F297="",F297=0),"",E297/F297)</f>
        <v>0.479372937293729</v>
      </c>
      <c r="I297" s="38" t="s">
        <v>191</v>
      </c>
      <c r="J297" s="40" t="n">
        <v>1.26135644325249</v>
      </c>
      <c r="K297" s="39" t="n">
        <f aca="false">IF(G297="","",MAX(0,G297-J297/100))</f>
        <v>0.508013498273746</v>
      </c>
      <c r="L297" s="39" t="n">
        <f aca="false">IF(G297="","",MIN(1,G297+J297/100))</f>
        <v>0.533240627138796</v>
      </c>
      <c r="M297" s="21" t="n">
        <f aca="false">ROUND(Q297*S297,0)</f>
        <v>169</v>
      </c>
      <c r="N297" s="21" t="n">
        <f aca="false">ROUND(SQRT((F297*J297/100)^2+(G297*M297)^2),0)</f>
        <v>89</v>
      </c>
      <c r="P297" s="41" t="n">
        <v>-0.588674485273201</v>
      </c>
      <c r="Q297" s="42" t="n">
        <v>1211.61460742264</v>
      </c>
      <c r="R297" s="43" t="n">
        <f aca="false">MAX(0,MIN(1,P297/100+$D$5))</f>
        <v>0.52109795372389</v>
      </c>
      <c r="S297" s="43" t="n">
        <v>0.139463116518417</v>
      </c>
      <c r="T297" s="44" t="s">
        <v>128</v>
      </c>
    </row>
    <row r="298" customFormat="false" ht="15" hidden="false" customHeight="false" outlineLevel="0" collapsed="false">
      <c r="A298" s="38" t="s">
        <v>344</v>
      </c>
      <c r="B298" s="38" t="s">
        <v>417</v>
      </c>
      <c r="C298" s="38" t="s">
        <v>424</v>
      </c>
      <c r="D298" s="21" t="n">
        <f aca="false">ROUND(Q298*R298,0)</f>
        <v>567</v>
      </c>
      <c r="E298" s="21" t="n">
        <f aca="false">ROUND(Q298,0)-D298</f>
        <v>600</v>
      </c>
      <c r="F298" s="21" t="n">
        <f aca="false">IF(COUNTA(D298:E298)=0,"",SUM(D298:E298))</f>
        <v>1167</v>
      </c>
      <c r="G298" s="39" t="n">
        <f aca="false">IF(OR(F298="",F298=0),"",D298/F298)</f>
        <v>0.48586118251928</v>
      </c>
      <c r="H298" s="39" t="n">
        <f aca="false">IF(OR(F298="",F298=0),"",E298/F298)</f>
        <v>0.51413881748072</v>
      </c>
      <c r="I298" s="38" t="s">
        <v>191</v>
      </c>
      <c r="J298" s="40" t="n">
        <v>2.12060277043418</v>
      </c>
      <c r="K298" s="39" t="n">
        <f aca="false">IF(G298="","",MAX(0,G298-J298/100))</f>
        <v>0.464655154814938</v>
      </c>
      <c r="L298" s="39" t="n">
        <f aca="false">IF(G298="","",MIN(1,G298+J298/100))</f>
        <v>0.507067210223622</v>
      </c>
      <c r="M298" s="21" t="n">
        <f aca="false">ROUND(Q298*S298,0)</f>
        <v>74</v>
      </c>
      <c r="N298" s="21" t="n">
        <f aca="false">ROUND(SQRT((F298*J298/100)^2+(G298*M298)^2),0)</f>
        <v>44</v>
      </c>
      <c r="P298" s="41" t="n">
        <v>-4.11976492859657</v>
      </c>
      <c r="Q298" s="42" t="n">
        <v>1167.23465580653</v>
      </c>
      <c r="R298" s="43" t="n">
        <f aca="false">MAX(0,MIN(1,P298/100+$D$5))</f>
        <v>0.485787049290656</v>
      </c>
      <c r="S298" s="43" t="n">
        <v>0.0633793435818552</v>
      </c>
      <c r="T298" s="44" t="s">
        <v>99</v>
      </c>
    </row>
    <row r="299" customFormat="false" ht="15" hidden="false" customHeight="false" outlineLevel="0" collapsed="false">
      <c r="A299" s="38" t="s">
        <v>344</v>
      </c>
      <c r="B299" s="38" t="s">
        <v>425</v>
      </c>
      <c r="C299" s="38" t="s">
        <v>425</v>
      </c>
      <c r="D299" s="21" t="n">
        <f aca="false">ROUND(Q299*R299,0)</f>
        <v>518</v>
      </c>
      <c r="E299" s="21" t="n">
        <f aca="false">ROUND(Q299,0)-D299</f>
        <v>297</v>
      </c>
      <c r="F299" s="21" t="n">
        <f aca="false">IF(COUNTA(D299:E299)=0,"",SUM(D299:E299))</f>
        <v>815</v>
      </c>
      <c r="G299" s="39" t="n">
        <f aca="false">IF(OR(F299="",F299=0),"",D299/F299)</f>
        <v>0.63558282208589</v>
      </c>
      <c r="H299" s="39" t="n">
        <f aca="false">IF(OR(F299="",F299=0),"",E299/F299)</f>
        <v>0.36441717791411</v>
      </c>
      <c r="I299" s="38" t="s">
        <v>89</v>
      </c>
      <c r="J299" s="40" t="n">
        <v>2.12060277043418</v>
      </c>
      <c r="K299" s="39" t="n">
        <f aca="false">IF(G299="","",MAX(0,G299-J299/100))</f>
        <v>0.614376794381548</v>
      </c>
      <c r="L299" s="39" t="n">
        <f aca="false">IF(G299="","",MIN(1,G299+J299/100))</f>
        <v>0.656788849790231</v>
      </c>
      <c r="M299" s="21" t="n">
        <f aca="false">ROUND(Q299*S299,0)</f>
        <v>52</v>
      </c>
      <c r="N299" s="21" t="n">
        <f aca="false">ROUND(SQRT((F299*J299/100)^2+(G299*M299)^2),0)</f>
        <v>37</v>
      </c>
      <c r="P299" s="41" t="n">
        <v>10.8094734755911</v>
      </c>
      <c r="Q299" s="42" t="n">
        <v>815.364410323938</v>
      </c>
      <c r="R299" s="43" t="n">
        <f aca="false">MAX(0,MIN(1,P299/100+$D$5))</f>
        <v>0.635079433332533</v>
      </c>
      <c r="S299" s="43" t="n">
        <v>0.0633793435818552</v>
      </c>
      <c r="T299" s="44" t="s">
        <v>99</v>
      </c>
    </row>
    <row r="300" customFormat="false" ht="15" hidden="false" customHeight="false" outlineLevel="0" collapsed="false">
      <c r="A300" s="38" t="s">
        <v>344</v>
      </c>
      <c r="B300" s="38" t="s">
        <v>426</v>
      </c>
      <c r="C300" s="38" t="s">
        <v>426</v>
      </c>
      <c r="D300" s="21" t="n">
        <f aca="false">ROUND(Q300*R300,0)</f>
        <v>84</v>
      </c>
      <c r="E300" s="21" t="n">
        <f aca="false">ROUND(Q300,0)-D300</f>
        <v>68</v>
      </c>
      <c r="F300" s="21" t="n">
        <f aca="false">IF(COUNTA(D300:E300)=0,"",SUM(D300:E300))</f>
        <v>152</v>
      </c>
      <c r="G300" s="39" t="n">
        <f aca="false">IF(OR(F300="",F300=0),"",D300/F300)</f>
        <v>0.552631578947369</v>
      </c>
      <c r="H300" s="39" t="n">
        <f aca="false">IF(OR(F300="",F300=0),"",E300/F300)</f>
        <v>0.447368421052632</v>
      </c>
      <c r="I300" s="38" t="s">
        <v>89</v>
      </c>
      <c r="J300" s="40" t="n">
        <v>3.7041269898902</v>
      </c>
      <c r="K300" s="39" t="n">
        <f aca="false">IF(G300="","",MAX(0,G300-J300/100))</f>
        <v>0.515590309048467</v>
      </c>
      <c r="L300" s="39" t="n">
        <f aca="false">IF(G300="","",MIN(1,G300+J300/100))</f>
        <v>0.589672848846271</v>
      </c>
      <c r="M300" s="21" t="n">
        <f aca="false">ROUND(Q300*S300,0)</f>
        <v>12</v>
      </c>
      <c r="N300" s="21" t="n">
        <f aca="false">ROUND(SQRT((F300*J300/100)^2+(G300*M300)^2),0)</f>
        <v>9</v>
      </c>
      <c r="P300" s="41" t="n">
        <v>3.06181640538296</v>
      </c>
      <c r="Q300" s="42" t="n">
        <v>151.534660554544</v>
      </c>
      <c r="R300" s="43" t="n">
        <f aca="false">MAX(0,MIN(1,P300/100+$D$5))</f>
        <v>0.557602862630451</v>
      </c>
      <c r="S300" s="43" t="n">
        <v>0.0779420971553049</v>
      </c>
      <c r="T300" s="44" t="s">
        <v>90</v>
      </c>
    </row>
    <row r="301" customFormat="false" ht="15" hidden="false" customHeight="false" outlineLevel="0" collapsed="false">
      <c r="A301" s="38" t="s">
        <v>344</v>
      </c>
      <c r="B301" s="38" t="s">
        <v>251</v>
      </c>
      <c r="C301" s="38" t="s">
        <v>427</v>
      </c>
      <c r="D301" s="21" t="n">
        <f aca="false">ROUND(Q301*R301,0)</f>
        <v>875</v>
      </c>
      <c r="E301" s="21" t="n">
        <f aca="false">ROUND(Q301,0)-D301</f>
        <v>516</v>
      </c>
      <c r="F301" s="21" t="n">
        <f aca="false">IF(COUNTA(D301:E301)=0,"",SUM(D301:E301))</f>
        <v>1391</v>
      </c>
      <c r="G301" s="39" t="n">
        <f aca="false">IF(OR(F301="",F301=0),"",D301/F301)</f>
        <v>0.629043853342919</v>
      </c>
      <c r="H301" s="39" t="n">
        <f aca="false">IF(OR(F301="",F301=0),"",E301/F301)</f>
        <v>0.370956146657081</v>
      </c>
      <c r="I301" s="38" t="s">
        <v>89</v>
      </c>
      <c r="J301" s="40" t="n">
        <v>1.26135644325249</v>
      </c>
      <c r="K301" s="39" t="n">
        <f aca="false">IF(G301="","",MAX(0,G301-J301/100))</f>
        <v>0.616430288910394</v>
      </c>
      <c r="L301" s="39" t="n">
        <f aca="false">IF(G301="","",MIN(1,G301+J301/100))</f>
        <v>0.641657417775444</v>
      </c>
      <c r="M301" s="21" t="n">
        <f aca="false">ROUND(Q301*S301,0)</f>
        <v>194</v>
      </c>
      <c r="N301" s="21" t="n">
        <f aca="false">ROUND(SQRT((F301*J301/100)^2+(G301*M301)^2),0)</f>
        <v>123</v>
      </c>
      <c r="P301" s="41" t="n">
        <v>10.2312994329639</v>
      </c>
      <c r="Q301" s="42" t="n">
        <v>1391.01426082823</v>
      </c>
      <c r="R301" s="43" t="n">
        <f aca="false">MAX(0,MIN(1,P301/100+$D$5))</f>
        <v>0.629297692906261</v>
      </c>
      <c r="S301" s="43" t="n">
        <v>0.139463116518417</v>
      </c>
      <c r="T301" s="44" t="s">
        <v>128</v>
      </c>
    </row>
    <row r="302" customFormat="false" ht="15" hidden="false" customHeight="false" outlineLevel="0" collapsed="false">
      <c r="A302" s="38" t="s">
        <v>344</v>
      </c>
      <c r="B302" s="38" t="s">
        <v>251</v>
      </c>
      <c r="C302" s="38" t="s">
        <v>428</v>
      </c>
      <c r="D302" s="21" t="n">
        <f aca="false">ROUND(Q302*R302,0)</f>
        <v>837</v>
      </c>
      <c r="E302" s="21" t="n">
        <f aca="false">ROUND(Q302,0)-D302</f>
        <v>563</v>
      </c>
      <c r="F302" s="21" t="n">
        <f aca="false">IF(COUNTA(D302:E302)=0,"",SUM(D302:E302))</f>
        <v>1400</v>
      </c>
      <c r="G302" s="39" t="n">
        <f aca="false">IF(OR(F302="",F302=0),"",D302/F302)</f>
        <v>0.597857142857143</v>
      </c>
      <c r="H302" s="39" t="n">
        <f aca="false">IF(OR(F302="",F302=0),"",E302/F302)</f>
        <v>0.402142857142857</v>
      </c>
      <c r="I302" s="38" t="s">
        <v>89</v>
      </c>
      <c r="J302" s="40" t="n">
        <v>1.26135644325249</v>
      </c>
      <c r="K302" s="39" t="n">
        <f aca="false">IF(G302="","",MAX(0,G302-J302/100))</f>
        <v>0.585243578424618</v>
      </c>
      <c r="L302" s="39" t="n">
        <f aca="false">IF(G302="","",MIN(1,G302+J302/100))</f>
        <v>0.610470707289668</v>
      </c>
      <c r="M302" s="21" t="n">
        <f aca="false">ROUND(Q302*S302,0)</f>
        <v>195</v>
      </c>
      <c r="N302" s="21" t="n">
        <f aca="false">ROUND(SQRT((F302*J302/100)^2+(G302*M302)^2),0)</f>
        <v>118</v>
      </c>
      <c r="P302" s="41" t="n">
        <v>7.12172660862795</v>
      </c>
      <c r="Q302" s="42" t="n">
        <v>1399.60956483736</v>
      </c>
      <c r="R302" s="43" t="n">
        <f aca="false">MAX(0,MIN(1,P302/100+$D$5))</f>
        <v>0.598201964662901</v>
      </c>
      <c r="S302" s="43" t="n">
        <v>0.139463116518417</v>
      </c>
      <c r="T302" s="44" t="s">
        <v>128</v>
      </c>
    </row>
    <row r="303" customFormat="false" ht="15" hidden="false" customHeight="false" outlineLevel="0" collapsed="false">
      <c r="A303" s="38" t="s">
        <v>344</v>
      </c>
      <c r="B303" s="38" t="s">
        <v>251</v>
      </c>
      <c r="C303" s="38" t="s">
        <v>429</v>
      </c>
      <c r="D303" s="21" t="n">
        <f aca="false">ROUND(Q303*R303,0)</f>
        <v>427</v>
      </c>
      <c r="E303" s="21" t="n">
        <f aca="false">ROUND(Q303,0)-D303</f>
        <v>337</v>
      </c>
      <c r="F303" s="21" t="n">
        <f aca="false">IF(COUNTA(D303:E303)=0,"",SUM(D303:E303))</f>
        <v>764</v>
      </c>
      <c r="G303" s="39" t="n">
        <f aca="false">IF(OR(F303="",F303=0),"",D303/F303)</f>
        <v>0.55890052356021</v>
      </c>
      <c r="H303" s="39" t="n">
        <f aca="false">IF(OR(F303="",F303=0),"",E303/F303)</f>
        <v>0.441099476439791</v>
      </c>
      <c r="I303" s="38" t="s">
        <v>89</v>
      </c>
      <c r="J303" s="40" t="n">
        <v>3.7041269898902</v>
      </c>
      <c r="K303" s="39" t="n">
        <f aca="false">IF(G303="","",MAX(0,G303-J303/100))</f>
        <v>0.521859253661308</v>
      </c>
      <c r="L303" s="39" t="n">
        <f aca="false">IF(G303="","",MIN(1,G303+J303/100))</f>
        <v>0.595941793459112</v>
      </c>
      <c r="M303" s="21" t="n">
        <f aca="false">ROUND(Q303*S303,0)</f>
        <v>60</v>
      </c>
      <c r="N303" s="21" t="n">
        <f aca="false">ROUND(SQRT((F303*J303/100)^2+(G303*M303)^2),0)</f>
        <v>44</v>
      </c>
      <c r="P303" s="41" t="n">
        <v>3.20238030850469</v>
      </c>
      <c r="Q303" s="42" t="n">
        <v>763.545532174101</v>
      </c>
      <c r="R303" s="43" t="n">
        <f aca="false">MAX(0,MIN(1,P303/100+$D$5))</f>
        <v>0.559008501661669</v>
      </c>
      <c r="S303" s="43" t="n">
        <v>0.0779420971553049</v>
      </c>
      <c r="T303" s="44" t="s">
        <v>90</v>
      </c>
    </row>
    <row r="304" customFormat="false" ht="15" hidden="false" customHeight="false" outlineLevel="0" collapsed="false">
      <c r="A304" s="38" t="s">
        <v>344</v>
      </c>
      <c r="B304" s="38" t="s">
        <v>251</v>
      </c>
      <c r="C304" s="38" t="s">
        <v>430</v>
      </c>
      <c r="D304" s="21" t="n">
        <f aca="false">ROUND(Q304*R304,0)</f>
        <v>684</v>
      </c>
      <c r="E304" s="21" t="n">
        <f aca="false">ROUND(Q304,0)-D304</f>
        <v>535</v>
      </c>
      <c r="F304" s="21" t="n">
        <f aca="false">IF(COUNTA(D304:E304)=0,"",SUM(D304:E304))</f>
        <v>1219</v>
      </c>
      <c r="G304" s="39" t="n">
        <f aca="false">IF(OR(F304="",F304=0),"",D304/F304)</f>
        <v>0.561115668580804</v>
      </c>
      <c r="H304" s="39" t="n">
        <f aca="false">IF(OR(F304="",F304=0),"",E304/F304)</f>
        <v>0.438884331419196</v>
      </c>
      <c r="I304" s="38" t="s">
        <v>89</v>
      </c>
      <c r="J304" s="40" t="n">
        <v>1.26135644325249</v>
      </c>
      <c r="K304" s="39" t="n">
        <f aca="false">IF(G304="","",MAX(0,G304-J304/100))</f>
        <v>0.548502104148279</v>
      </c>
      <c r="L304" s="39" t="n">
        <f aca="false">IF(G304="","",MIN(1,G304+J304/100))</f>
        <v>0.573729233013329</v>
      </c>
      <c r="M304" s="21" t="n">
        <f aca="false">ROUND(Q304*S304,0)</f>
        <v>170</v>
      </c>
      <c r="N304" s="21" t="n">
        <f aca="false">ROUND(SQRT((F304*J304/100)^2+(G304*M304)^2),0)</f>
        <v>97</v>
      </c>
      <c r="P304" s="41" t="n">
        <v>3.40651405223124</v>
      </c>
      <c r="Q304" s="42" t="n">
        <v>1218.94319732961</v>
      </c>
      <c r="R304" s="43" t="n">
        <f aca="false">MAX(0,MIN(1,P304/100+$D$5))</f>
        <v>0.561049839098934</v>
      </c>
      <c r="S304" s="43" t="n">
        <v>0.139463116518417</v>
      </c>
      <c r="T304" s="44" t="s">
        <v>128</v>
      </c>
    </row>
    <row r="305" customFormat="false" ht="15" hidden="false" customHeight="false" outlineLevel="0" collapsed="false">
      <c r="A305" s="38" t="s">
        <v>344</v>
      </c>
      <c r="B305" s="38" t="s">
        <v>251</v>
      </c>
      <c r="C305" s="38" t="s">
        <v>431</v>
      </c>
      <c r="D305" s="21" t="n">
        <f aca="false">ROUND(Q305*R305,0)</f>
        <v>752</v>
      </c>
      <c r="E305" s="21" t="n">
        <f aca="false">ROUND(Q305,0)-D305</f>
        <v>507</v>
      </c>
      <c r="F305" s="21" t="n">
        <f aca="false">IF(COUNTA(D305:E305)=0,"",SUM(D305:E305))</f>
        <v>1259</v>
      </c>
      <c r="G305" s="39" t="n">
        <f aca="false">IF(OR(F305="",F305=0),"",D305/F305)</f>
        <v>0.597299444003177</v>
      </c>
      <c r="H305" s="39" t="n">
        <f aca="false">IF(OR(F305="",F305=0),"",E305/F305)</f>
        <v>0.402700555996823</v>
      </c>
      <c r="I305" s="38" t="s">
        <v>89</v>
      </c>
      <c r="J305" s="40" t="n">
        <v>1.26135644325249</v>
      </c>
      <c r="K305" s="39" t="n">
        <f aca="false">IF(G305="","",MAX(0,G305-J305/100))</f>
        <v>0.584685879570652</v>
      </c>
      <c r="L305" s="39" t="n">
        <f aca="false">IF(G305="","",MIN(1,G305+J305/100))</f>
        <v>0.609913008435702</v>
      </c>
      <c r="M305" s="21" t="n">
        <f aca="false">ROUND(Q305*S305,0)</f>
        <v>176</v>
      </c>
      <c r="N305" s="21" t="n">
        <f aca="false">ROUND(SQRT((F305*J305/100)^2+(G305*M305)^2),0)</f>
        <v>106</v>
      </c>
      <c r="P305" s="41" t="n">
        <v>6.99804270903963</v>
      </c>
      <c r="Q305" s="42" t="n">
        <v>1259.25341738875</v>
      </c>
      <c r="R305" s="43" t="n">
        <f aca="false">MAX(0,MIN(1,P305/100+$D$5))</f>
        <v>0.596965125667018</v>
      </c>
      <c r="S305" s="43" t="n">
        <v>0.139463116518417</v>
      </c>
      <c r="T305" s="44" t="s">
        <v>128</v>
      </c>
    </row>
    <row r="306" customFormat="false" ht="15" hidden="false" customHeight="false" outlineLevel="0" collapsed="false">
      <c r="A306" s="38" t="s">
        <v>344</v>
      </c>
      <c r="B306" s="38" t="s">
        <v>251</v>
      </c>
      <c r="C306" s="38" t="s">
        <v>432</v>
      </c>
      <c r="D306" s="21" t="n">
        <f aca="false">ROUND(Q306*R306,0)</f>
        <v>456</v>
      </c>
      <c r="E306" s="21" t="n">
        <f aca="false">ROUND(Q306,0)-D306</f>
        <v>348</v>
      </c>
      <c r="F306" s="21" t="n">
        <f aca="false">IF(COUNTA(D306:E306)=0,"",SUM(D306:E306))</f>
        <v>804</v>
      </c>
      <c r="G306" s="39" t="n">
        <f aca="false">IF(OR(F306="",F306=0),"",D306/F306)</f>
        <v>0.567164179104478</v>
      </c>
      <c r="H306" s="39" t="n">
        <f aca="false">IF(OR(F306="",F306=0),"",E306/F306)</f>
        <v>0.432835820895522</v>
      </c>
      <c r="I306" s="38" t="s">
        <v>89</v>
      </c>
      <c r="J306" s="40" t="n">
        <v>2.12060277043418</v>
      </c>
      <c r="K306" s="39" t="n">
        <f aca="false">IF(G306="","",MAX(0,G306-J306/100))</f>
        <v>0.545958151400136</v>
      </c>
      <c r="L306" s="39" t="n">
        <f aca="false">IF(G306="","",MIN(1,G306+J306/100))</f>
        <v>0.588370206808819</v>
      </c>
      <c r="M306" s="21" t="n">
        <f aca="false">ROUND(Q306*S306,0)</f>
        <v>51</v>
      </c>
      <c r="N306" s="21" t="n">
        <f aca="false">ROUND(SQRT((F306*J306/100)^2+(G306*M306)^2),0)</f>
        <v>34</v>
      </c>
      <c r="P306" s="41" t="n">
        <v>4.00584566196362</v>
      </c>
      <c r="Q306" s="42" t="n">
        <v>803.70484713685</v>
      </c>
      <c r="R306" s="43" t="n">
        <f aca="false">MAX(0,MIN(1,P306/100+$D$5))</f>
        <v>0.567043155196258</v>
      </c>
      <c r="S306" s="43" t="n">
        <v>0.0633793435818552</v>
      </c>
      <c r="T306" s="44" t="s">
        <v>99</v>
      </c>
    </row>
    <row r="307" customFormat="false" ht="15" hidden="false" customHeight="false" outlineLevel="0" collapsed="false">
      <c r="A307" s="38" t="s">
        <v>344</v>
      </c>
      <c r="B307" s="38" t="s">
        <v>433</v>
      </c>
      <c r="C307" s="38" t="s">
        <v>434</v>
      </c>
      <c r="D307" s="21" t="n">
        <f aca="false">ROUND(Q307*R307,0)</f>
        <v>512</v>
      </c>
      <c r="E307" s="21" t="n">
        <f aca="false">ROUND(Q307,0)-D307</f>
        <v>436</v>
      </c>
      <c r="F307" s="21" t="n">
        <f aca="false">IF(COUNTA(D307:E307)=0,"",SUM(D307:E307))</f>
        <v>948</v>
      </c>
      <c r="G307" s="39" t="n">
        <f aca="false">IF(OR(F307="",F307=0),"",D307/F307)</f>
        <v>0.540084388185654</v>
      </c>
      <c r="H307" s="39" t="n">
        <f aca="false">IF(OR(F307="",F307=0),"",E307/F307)</f>
        <v>0.459915611814346</v>
      </c>
      <c r="I307" s="38" t="s">
        <v>89</v>
      </c>
      <c r="J307" s="40" t="n">
        <v>2.12060277043418</v>
      </c>
      <c r="K307" s="39" t="n">
        <f aca="false">IF(G307="","",MAX(0,G307-J307/100))</f>
        <v>0.518878360481312</v>
      </c>
      <c r="L307" s="39" t="n">
        <f aca="false">IF(G307="","",MIN(1,G307+J307/100))</f>
        <v>0.561290415889996</v>
      </c>
      <c r="M307" s="21" t="n">
        <f aca="false">ROUND(Q307*S307,0)</f>
        <v>60</v>
      </c>
      <c r="N307" s="21" t="n">
        <f aca="false">ROUND(SQRT((F307*J307/100)^2+(G307*M307)^2),0)</f>
        <v>38</v>
      </c>
      <c r="P307" s="41" t="n">
        <v>1.34978342060691</v>
      </c>
      <c r="Q307" s="42" t="n">
        <v>947.80159728152</v>
      </c>
      <c r="R307" s="43" t="n">
        <f aca="false">MAX(0,MIN(1,P307/100+$D$5))</f>
        <v>0.540482532782691</v>
      </c>
      <c r="S307" s="43" t="n">
        <v>0.0633793435818552</v>
      </c>
      <c r="T307" s="44" t="s">
        <v>99</v>
      </c>
    </row>
    <row r="308" customFormat="false" ht="15" hidden="false" customHeight="false" outlineLevel="0" collapsed="false">
      <c r="A308" s="38" t="s">
        <v>344</v>
      </c>
      <c r="B308" s="38" t="s">
        <v>433</v>
      </c>
      <c r="C308" s="38" t="s">
        <v>435</v>
      </c>
      <c r="D308" s="21" t="n">
        <f aca="false">ROUND(Q308*R308,0)</f>
        <v>403</v>
      </c>
      <c r="E308" s="21" t="n">
        <f aca="false">ROUND(Q308,0)-D308</f>
        <v>325</v>
      </c>
      <c r="F308" s="21" t="n">
        <f aca="false">IF(COUNTA(D308:E308)=0,"",SUM(D308:E308))</f>
        <v>728</v>
      </c>
      <c r="G308" s="39" t="n">
        <f aca="false">IF(OR(F308="",F308=0),"",D308/F308)</f>
        <v>0.553571428571429</v>
      </c>
      <c r="H308" s="39" t="n">
        <f aca="false">IF(OR(F308="",F308=0),"",E308/F308)</f>
        <v>0.446428571428571</v>
      </c>
      <c r="I308" s="38" t="s">
        <v>89</v>
      </c>
      <c r="J308" s="40" t="n">
        <v>3.7041269898902</v>
      </c>
      <c r="K308" s="39" t="n">
        <f aca="false">IF(G308="","",MAX(0,G308-J308/100))</f>
        <v>0.516530158672527</v>
      </c>
      <c r="L308" s="39" t="n">
        <f aca="false">IF(G308="","",MIN(1,G308+J308/100))</f>
        <v>0.590612698470331</v>
      </c>
      <c r="M308" s="21" t="n">
        <f aca="false">ROUND(Q308*S308,0)</f>
        <v>57</v>
      </c>
      <c r="N308" s="21" t="n">
        <f aca="false">ROUND(SQRT((F308*J308/100)^2+(G308*M308)^2),0)</f>
        <v>42</v>
      </c>
      <c r="P308" s="41" t="n">
        <v>2.65482536956958</v>
      </c>
      <c r="Q308" s="42" t="n">
        <v>728.165663356878</v>
      </c>
      <c r="R308" s="43" t="n">
        <f aca="false">MAX(0,MIN(1,P308/100+$D$5))</f>
        <v>0.553532952272318</v>
      </c>
      <c r="S308" s="43" t="n">
        <v>0.0779420971553049</v>
      </c>
      <c r="T308" s="44" t="s">
        <v>90</v>
      </c>
    </row>
    <row r="309" customFormat="false" ht="15" hidden="false" customHeight="false" outlineLevel="0" collapsed="false">
      <c r="A309" s="38" t="s">
        <v>344</v>
      </c>
      <c r="B309" s="38" t="s">
        <v>433</v>
      </c>
      <c r="C309" s="38" t="s">
        <v>436</v>
      </c>
      <c r="D309" s="21" t="n">
        <f aca="false">ROUND(Q309*R309,0)</f>
        <v>612</v>
      </c>
      <c r="E309" s="21" t="n">
        <f aca="false">ROUND(Q309,0)-D309</f>
        <v>463</v>
      </c>
      <c r="F309" s="21" t="n">
        <f aca="false">IF(COUNTA(D309:E309)=0,"",SUM(D309:E309))</f>
        <v>1075</v>
      </c>
      <c r="G309" s="39" t="n">
        <f aca="false">IF(OR(F309="",F309=0),"",D309/F309)</f>
        <v>0.569302325581395</v>
      </c>
      <c r="H309" s="39" t="n">
        <f aca="false">IF(OR(F309="",F309=0),"",E309/F309)</f>
        <v>0.430697674418605</v>
      </c>
      <c r="I309" s="38" t="s">
        <v>89</v>
      </c>
      <c r="J309" s="40" t="n">
        <v>2.12060277043418</v>
      </c>
      <c r="K309" s="39" t="n">
        <f aca="false">IF(G309="","",MAX(0,G309-J309/100))</f>
        <v>0.548096297877054</v>
      </c>
      <c r="L309" s="39" t="n">
        <f aca="false">IF(G309="","",MIN(1,G309+J309/100))</f>
        <v>0.590508353285737</v>
      </c>
      <c r="M309" s="21" t="n">
        <f aca="false">ROUND(Q309*S309,0)</f>
        <v>68</v>
      </c>
      <c r="N309" s="21" t="n">
        <f aca="false">ROUND(SQRT((F309*J309/100)^2+(G309*M309)^2),0)</f>
        <v>45</v>
      </c>
      <c r="P309" s="41" t="n">
        <v>4.21329636112822</v>
      </c>
      <c r="Q309" s="42" t="n">
        <v>1074.66513940226</v>
      </c>
      <c r="R309" s="43" t="n">
        <f aca="false">MAX(0,MIN(1,P309/100+$D$5))</f>
        <v>0.569117662187904</v>
      </c>
      <c r="S309" s="43" t="n">
        <v>0.0633793435818552</v>
      </c>
      <c r="T309" s="44" t="s">
        <v>99</v>
      </c>
    </row>
    <row r="310" customFormat="false" ht="15" hidden="false" customHeight="false" outlineLevel="0" collapsed="false">
      <c r="A310" s="38" t="s">
        <v>344</v>
      </c>
      <c r="B310" s="38" t="s">
        <v>437</v>
      </c>
      <c r="C310" s="38" t="s">
        <v>438</v>
      </c>
      <c r="D310" s="21" t="n">
        <f aca="false">ROUND(Q310*R310,0)</f>
        <v>533</v>
      </c>
      <c r="E310" s="21" t="n">
        <f aca="false">ROUND(Q310,0)-D310</f>
        <v>877</v>
      </c>
      <c r="F310" s="21" t="n">
        <f aca="false">IF(COUNTA(D310:E310)=0,"",SUM(D310:E310))</f>
        <v>1410</v>
      </c>
      <c r="G310" s="39" t="n">
        <f aca="false">IF(OR(F310="",F310=0),"",D310/F310)</f>
        <v>0.378014184397163</v>
      </c>
      <c r="H310" s="39" t="n">
        <f aca="false">IF(OR(F310="",F310=0),"",E310/F310)</f>
        <v>0.621985815602837</v>
      </c>
      <c r="I310" s="38" t="s">
        <v>89</v>
      </c>
      <c r="J310" s="40" t="n">
        <v>1.26135644325249</v>
      </c>
      <c r="K310" s="39" t="n">
        <f aca="false">IF(G310="","",MAX(0,G310-J310/100))</f>
        <v>0.365400619964638</v>
      </c>
      <c r="L310" s="39" t="n">
        <f aca="false">IF(G310="","",MIN(1,G310+J310/100))</f>
        <v>0.390627748829688</v>
      </c>
      <c r="M310" s="21" t="n">
        <f aca="false">ROUND(Q310*S310,0)</f>
        <v>197</v>
      </c>
      <c r="N310" s="21" t="n">
        <f aca="false">ROUND(SQRT((F310*J310/100)^2+(G310*M310)^2),0)</f>
        <v>77</v>
      </c>
      <c r="P310" s="41" t="n">
        <v>-14.8812472166656</v>
      </c>
      <c r="Q310" s="42" t="n">
        <v>1410.39719652598</v>
      </c>
      <c r="R310" s="43" t="n">
        <f aca="false">MAX(0,MIN(1,P310/100+$D$5))</f>
        <v>0.378172226409966</v>
      </c>
      <c r="S310" s="43" t="n">
        <v>0.139463116518417</v>
      </c>
      <c r="T310" s="44" t="s">
        <v>128</v>
      </c>
    </row>
    <row r="311" customFormat="false" ht="15" hidden="false" customHeight="false" outlineLevel="0" collapsed="false">
      <c r="A311" s="38" t="s">
        <v>344</v>
      </c>
      <c r="B311" s="38" t="s">
        <v>437</v>
      </c>
      <c r="C311" s="38" t="s">
        <v>439</v>
      </c>
      <c r="D311" s="21" t="n">
        <f aca="false">ROUND(Q311*R311,0)</f>
        <v>608</v>
      </c>
      <c r="E311" s="21" t="n">
        <f aca="false">ROUND(Q311,0)-D311</f>
        <v>983</v>
      </c>
      <c r="F311" s="21" t="n">
        <f aca="false">IF(COUNTA(D311:E311)=0,"",SUM(D311:E311))</f>
        <v>1591</v>
      </c>
      <c r="G311" s="39" t="n">
        <f aca="false">IF(OR(F311="",F311=0),"",D311/F311)</f>
        <v>0.382149591451917</v>
      </c>
      <c r="H311" s="39" t="n">
        <f aca="false">IF(OR(F311="",F311=0),"",E311/F311)</f>
        <v>0.617850408548083</v>
      </c>
      <c r="I311" s="38" t="s">
        <v>89</v>
      </c>
      <c r="J311" s="40" t="n">
        <v>1.26135644325249</v>
      </c>
      <c r="K311" s="39" t="n">
        <f aca="false">IF(G311="","",MAX(0,G311-J311/100))</f>
        <v>0.369536027019392</v>
      </c>
      <c r="L311" s="39" t="n">
        <f aca="false">IF(G311="","",MIN(1,G311+J311/100))</f>
        <v>0.394763155884442</v>
      </c>
      <c r="M311" s="21" t="n">
        <f aca="false">ROUND(Q311*S311,0)</f>
        <v>222</v>
      </c>
      <c r="N311" s="21" t="n">
        <f aca="false">ROUND(SQRT((F311*J311/100)^2+(G311*M311)^2),0)</f>
        <v>87</v>
      </c>
      <c r="P311" s="41" t="n">
        <v>-14.4528576731112</v>
      </c>
      <c r="Q311" s="42" t="n">
        <v>1590.65262522929</v>
      </c>
      <c r="R311" s="43" t="n">
        <f aca="false">MAX(0,MIN(1,P311/100+$D$5))</f>
        <v>0.38245612184551</v>
      </c>
      <c r="S311" s="43" t="n">
        <v>0.139463116518417</v>
      </c>
      <c r="T311" s="44" t="s">
        <v>128</v>
      </c>
    </row>
    <row r="312" customFormat="false" ht="15" hidden="false" customHeight="false" outlineLevel="0" collapsed="false">
      <c r="A312" s="38" t="s">
        <v>344</v>
      </c>
      <c r="B312" s="38" t="s">
        <v>437</v>
      </c>
      <c r="C312" s="38" t="s">
        <v>440</v>
      </c>
      <c r="D312" s="21" t="n">
        <f aca="false">ROUND(Q312*R312,0)</f>
        <v>191</v>
      </c>
      <c r="E312" s="21" t="n">
        <f aca="false">ROUND(Q312,0)-D312</f>
        <v>363</v>
      </c>
      <c r="F312" s="21" t="n">
        <f aca="false">IF(COUNTA(D312:E312)=0,"",SUM(D312:E312))</f>
        <v>554</v>
      </c>
      <c r="G312" s="39" t="n">
        <f aca="false">IF(OR(F312="",F312=0),"",D312/F312)</f>
        <v>0.344765342960289</v>
      </c>
      <c r="H312" s="39" t="n">
        <f aca="false">IF(OR(F312="",F312=0),"",E312/F312)</f>
        <v>0.655234657039711</v>
      </c>
      <c r="I312" s="38" t="s">
        <v>89</v>
      </c>
      <c r="J312" s="40" t="n">
        <v>3.7041269898902</v>
      </c>
      <c r="K312" s="39" t="n">
        <f aca="false">IF(G312="","",MAX(0,G312-J312/100))</f>
        <v>0.307724073061387</v>
      </c>
      <c r="L312" s="39" t="n">
        <f aca="false">IF(G312="","",MIN(1,G312+J312/100))</f>
        <v>0.381806612859191</v>
      </c>
      <c r="M312" s="21" t="n">
        <f aca="false">ROUND(Q312*S312,0)</f>
        <v>43</v>
      </c>
      <c r="N312" s="21" t="n">
        <f aca="false">ROUND(SQRT((F312*J312/100)^2+(G312*M312)^2),0)</f>
        <v>25</v>
      </c>
      <c r="P312" s="41" t="n">
        <v>-18.2031190798529</v>
      </c>
      <c r="Q312" s="42" t="n">
        <v>554.05888026725</v>
      </c>
      <c r="R312" s="43" t="n">
        <f aca="false">MAX(0,MIN(1,P312/100+$D$5))</f>
        <v>0.344953507778093</v>
      </c>
      <c r="S312" s="43" t="n">
        <v>0.0779420971553049</v>
      </c>
      <c r="T312" s="44" t="s">
        <v>90</v>
      </c>
    </row>
    <row r="313" customFormat="false" ht="15" hidden="false" customHeight="false" outlineLevel="0" collapsed="false">
      <c r="A313" s="38" t="s">
        <v>344</v>
      </c>
      <c r="B313" s="38" t="s">
        <v>437</v>
      </c>
      <c r="C313" s="38" t="s">
        <v>441</v>
      </c>
      <c r="D313" s="21" t="n">
        <f aca="false">ROUND(Q313*R313,0)</f>
        <v>472</v>
      </c>
      <c r="E313" s="21" t="n">
        <f aca="false">ROUND(Q313,0)-D313</f>
        <v>749</v>
      </c>
      <c r="F313" s="21" t="n">
        <f aca="false">IF(COUNTA(D313:E313)=0,"",SUM(D313:E313))</f>
        <v>1221</v>
      </c>
      <c r="G313" s="39" t="n">
        <f aca="false">IF(OR(F313="",F313=0),"",D313/F313)</f>
        <v>0.386568386568387</v>
      </c>
      <c r="H313" s="39" t="n">
        <f aca="false">IF(OR(F313="",F313=0),"",E313/F313)</f>
        <v>0.613431613431614</v>
      </c>
      <c r="I313" s="38" t="s">
        <v>89</v>
      </c>
      <c r="J313" s="40" t="n">
        <v>1.26135644325249</v>
      </c>
      <c r="K313" s="39" t="n">
        <f aca="false">IF(G313="","",MAX(0,G313-J313/100))</f>
        <v>0.373954822135862</v>
      </c>
      <c r="L313" s="39" t="n">
        <f aca="false">IF(G313="","",MIN(1,G313+J313/100))</f>
        <v>0.399181951000911</v>
      </c>
      <c r="M313" s="21" t="n">
        <f aca="false">ROUND(Q313*S313,0)</f>
        <v>170</v>
      </c>
      <c r="N313" s="21" t="n">
        <f aca="false">ROUND(SQRT((F313*J313/100)^2+(G313*M313)^2),0)</f>
        <v>67</v>
      </c>
      <c r="P313" s="41" t="n">
        <v>-14.0460988213408</v>
      </c>
      <c r="Q313" s="42" t="n">
        <v>1221.07762580465</v>
      </c>
      <c r="R313" s="43" t="n">
        <f aca="false">MAX(0,MIN(1,P313/100+$D$5))</f>
        <v>0.386523710363214</v>
      </c>
      <c r="S313" s="43" t="n">
        <v>0.139463116518417</v>
      </c>
      <c r="T313" s="44" t="s">
        <v>128</v>
      </c>
    </row>
    <row r="314" customFormat="false" ht="15" hidden="false" customHeight="false" outlineLevel="0" collapsed="false">
      <c r="A314" s="38" t="s">
        <v>344</v>
      </c>
      <c r="B314" s="38" t="s">
        <v>437</v>
      </c>
      <c r="C314" s="38" t="s">
        <v>442</v>
      </c>
      <c r="D314" s="21" t="n">
        <f aca="false">ROUND(Q314*R314,0)</f>
        <v>343</v>
      </c>
      <c r="E314" s="21" t="n">
        <f aca="false">ROUND(Q314,0)-D314</f>
        <v>530</v>
      </c>
      <c r="F314" s="21" t="n">
        <f aca="false">IF(COUNTA(D314:E314)=0,"",SUM(D314:E314))</f>
        <v>873</v>
      </c>
      <c r="G314" s="39" t="n">
        <f aca="false">IF(OR(F314="",F314=0),"",D314/F314)</f>
        <v>0.392898052691867</v>
      </c>
      <c r="H314" s="39" t="n">
        <f aca="false">IF(OR(F314="",F314=0),"",E314/F314)</f>
        <v>0.607101947308133</v>
      </c>
      <c r="I314" s="38" t="s">
        <v>89</v>
      </c>
      <c r="J314" s="40" t="n">
        <v>2.12060277043418</v>
      </c>
      <c r="K314" s="39" t="n">
        <f aca="false">IF(G314="","",MAX(0,G314-J314/100))</f>
        <v>0.371692024987525</v>
      </c>
      <c r="L314" s="39" t="n">
        <f aca="false">IF(G314="","",MIN(1,G314+J314/100))</f>
        <v>0.414104080396209</v>
      </c>
      <c r="M314" s="21" t="n">
        <f aca="false">ROUND(Q314*S314,0)</f>
        <v>55</v>
      </c>
      <c r="N314" s="21" t="n">
        <f aca="false">ROUND(SQRT((F314*J314/100)^2+(G314*M314)^2),0)</f>
        <v>28</v>
      </c>
      <c r="P314" s="41" t="n">
        <v>-13.3664871831162</v>
      </c>
      <c r="Q314" s="42" t="n">
        <v>873.131517502148</v>
      </c>
      <c r="R314" s="43" t="n">
        <f aca="false">MAX(0,MIN(1,P314/100+$D$5))</f>
        <v>0.393319826745459</v>
      </c>
      <c r="S314" s="43" t="n">
        <v>0.0633793435818552</v>
      </c>
      <c r="T314" s="44" t="s">
        <v>99</v>
      </c>
    </row>
    <row r="315" customFormat="false" ht="15" hidden="false" customHeight="false" outlineLevel="0" collapsed="false">
      <c r="A315" s="38" t="s">
        <v>344</v>
      </c>
      <c r="B315" s="38" t="s">
        <v>443</v>
      </c>
      <c r="C315" s="38" t="s">
        <v>444</v>
      </c>
      <c r="D315" s="21" t="n">
        <f aca="false">ROUND(Q315*R315,0)</f>
        <v>220</v>
      </c>
      <c r="E315" s="21" t="n">
        <f aca="false">ROUND(Q315,0)-D315</f>
        <v>336</v>
      </c>
      <c r="F315" s="21" t="n">
        <f aca="false">IF(COUNTA(D315:E315)=0,"",SUM(D315:E315))</f>
        <v>556</v>
      </c>
      <c r="G315" s="39" t="n">
        <f aca="false">IF(OR(F315="",F315=0),"",D315/F315)</f>
        <v>0.39568345323741</v>
      </c>
      <c r="H315" s="39" t="n">
        <f aca="false">IF(OR(F315="",F315=0),"",E315/F315)</f>
        <v>0.60431654676259</v>
      </c>
      <c r="I315" s="38" t="s">
        <v>89</v>
      </c>
      <c r="J315" s="40" t="n">
        <v>3.7041269898902</v>
      </c>
      <c r="K315" s="39" t="n">
        <f aca="false">IF(G315="","",MAX(0,G315-J315/100))</f>
        <v>0.358642183338508</v>
      </c>
      <c r="L315" s="39" t="n">
        <f aca="false">IF(G315="","",MIN(1,G315+J315/100))</f>
        <v>0.432724723136312</v>
      </c>
      <c r="M315" s="21" t="n">
        <f aca="false">ROUND(Q315*S315,0)</f>
        <v>43</v>
      </c>
      <c r="N315" s="21" t="n">
        <f aca="false">ROUND(SQRT((F315*J315/100)^2+(G315*M315)^2),0)</f>
        <v>27</v>
      </c>
      <c r="P315" s="41" t="n">
        <v>-13.1688261329752</v>
      </c>
      <c r="Q315" s="42" t="n">
        <v>555.971760774391</v>
      </c>
      <c r="R315" s="43" t="n">
        <f aca="false">MAX(0,MIN(1,P315/100+$D$5))</f>
        <v>0.39529643724687</v>
      </c>
      <c r="S315" s="43" t="n">
        <v>0.0779420971553049</v>
      </c>
      <c r="T315" s="44" t="s">
        <v>90</v>
      </c>
    </row>
    <row r="316" customFormat="false" ht="15" hidden="false" customHeight="false" outlineLevel="0" collapsed="false">
      <c r="A316" s="38" t="s">
        <v>344</v>
      </c>
      <c r="B316" s="38" t="s">
        <v>443</v>
      </c>
      <c r="C316" s="38" t="s">
        <v>445</v>
      </c>
      <c r="D316" s="21" t="n">
        <f aca="false">ROUND(Q316*R316,0)</f>
        <v>346</v>
      </c>
      <c r="E316" s="21" t="n">
        <f aca="false">ROUND(Q316,0)-D316</f>
        <v>592</v>
      </c>
      <c r="F316" s="21" t="n">
        <f aca="false">IF(COUNTA(D316:E316)=0,"",SUM(D316:E316))</f>
        <v>938</v>
      </c>
      <c r="G316" s="39" t="n">
        <f aca="false">IF(OR(F316="",F316=0),"",D316/F316)</f>
        <v>0.368869936034115</v>
      </c>
      <c r="H316" s="39" t="n">
        <f aca="false">IF(OR(F316="",F316=0),"",E316/F316)</f>
        <v>0.631130063965885</v>
      </c>
      <c r="I316" s="38" t="s">
        <v>89</v>
      </c>
      <c r="J316" s="40" t="n">
        <v>2.12060277043418</v>
      </c>
      <c r="K316" s="39" t="n">
        <f aca="false">IF(G316="","",MAX(0,G316-J316/100))</f>
        <v>0.347663908329773</v>
      </c>
      <c r="L316" s="39" t="n">
        <f aca="false">IF(G316="","",MIN(1,G316+J316/100))</f>
        <v>0.390075963738457</v>
      </c>
      <c r="M316" s="21" t="n">
        <f aca="false">ROUND(Q316*S316,0)</f>
        <v>59</v>
      </c>
      <c r="N316" s="21" t="n">
        <f aca="false">ROUND(SQRT((F316*J316/100)^2+(G316*M316)^2),0)</f>
        <v>29</v>
      </c>
      <c r="P316" s="41" t="n">
        <v>-15.8691172424179</v>
      </c>
      <c r="Q316" s="42" t="n">
        <v>938.429375241692</v>
      </c>
      <c r="R316" s="43" t="n">
        <f aca="false">MAX(0,MIN(1,P316/100+$D$5))</f>
        <v>0.368293526152443</v>
      </c>
      <c r="S316" s="43" t="n">
        <v>0.0633793435818552</v>
      </c>
      <c r="T316" s="44" t="s">
        <v>99</v>
      </c>
    </row>
    <row r="317" customFormat="false" ht="15" hidden="false" customHeight="false" outlineLevel="0" collapsed="false">
      <c r="A317" s="38" t="s">
        <v>344</v>
      </c>
      <c r="B317" s="38" t="s">
        <v>446</v>
      </c>
      <c r="C317" s="38" t="s">
        <v>447</v>
      </c>
      <c r="D317" s="21" t="n">
        <f aca="false">ROUND(Q317*R317,0)</f>
        <v>213</v>
      </c>
      <c r="E317" s="21" t="n">
        <f aca="false">ROUND(Q317,0)-D317</f>
        <v>251</v>
      </c>
      <c r="F317" s="21" t="n">
        <f aca="false">IF(COUNTA(D317:E317)=0,"",SUM(D317:E317))</f>
        <v>464</v>
      </c>
      <c r="G317" s="39" t="n">
        <f aca="false">IF(OR(F317="",F317=0),"",D317/F317)</f>
        <v>0.459051724137931</v>
      </c>
      <c r="H317" s="39" t="n">
        <f aca="false">IF(OR(F317="",F317=0),"",E317/F317)</f>
        <v>0.540948275862069</v>
      </c>
      <c r="I317" s="38" t="s">
        <v>191</v>
      </c>
      <c r="J317" s="40" t="n">
        <v>3.7041269898902</v>
      </c>
      <c r="K317" s="39" t="n">
        <f aca="false">IF(G317="","",MAX(0,G317-J317/100))</f>
        <v>0.422010454239029</v>
      </c>
      <c r="L317" s="39" t="n">
        <f aca="false">IF(G317="","",MIN(1,G317+J317/100))</f>
        <v>0.496092994036833</v>
      </c>
      <c r="M317" s="21" t="n">
        <f aca="false">ROUND(Q317*S317,0)</f>
        <v>36</v>
      </c>
      <c r="N317" s="21" t="n">
        <f aca="false">ROUND(SQRT((F317*J317/100)^2+(G317*M317)^2),0)</f>
        <v>24</v>
      </c>
      <c r="P317" s="41" t="n">
        <v>-6.68857372402579</v>
      </c>
      <c r="Q317" s="42" t="n">
        <v>463.72122353058</v>
      </c>
      <c r="R317" s="43" t="n">
        <f aca="false">MAX(0,MIN(1,P317/100+$D$5))</f>
        <v>0.460098961336364</v>
      </c>
      <c r="S317" s="43" t="n">
        <v>0.0779420971553049</v>
      </c>
      <c r="T317" s="44" t="s">
        <v>90</v>
      </c>
    </row>
    <row r="318" customFormat="false" ht="15" hidden="false" customHeight="false" outlineLevel="0" collapsed="false">
      <c r="A318" s="38" t="s">
        <v>344</v>
      </c>
      <c r="B318" s="38" t="s">
        <v>446</v>
      </c>
      <c r="C318" s="38" t="s">
        <v>448</v>
      </c>
      <c r="D318" s="21" t="n">
        <f aca="false">ROUND(Q318*R318,0)</f>
        <v>581</v>
      </c>
      <c r="E318" s="21" t="n">
        <f aca="false">ROUND(Q318,0)-D318</f>
        <v>558</v>
      </c>
      <c r="F318" s="21" t="n">
        <f aca="false">IF(COUNTA(D318:E318)=0,"",SUM(D318:E318))</f>
        <v>1139</v>
      </c>
      <c r="G318" s="39" t="n">
        <f aca="false">IF(OR(F318="",F318=0),"",D318/F318)</f>
        <v>0.51009657594381</v>
      </c>
      <c r="H318" s="39" t="n">
        <f aca="false">IF(OR(F318="",F318=0),"",E318/F318)</f>
        <v>0.48990342405619</v>
      </c>
      <c r="I318" s="38" t="s">
        <v>191</v>
      </c>
      <c r="J318" s="40" t="n">
        <v>2.12060277043418</v>
      </c>
      <c r="K318" s="39" t="n">
        <f aca="false">IF(G318="","",MAX(0,G318-J318/100))</f>
        <v>0.488890548239469</v>
      </c>
      <c r="L318" s="39" t="n">
        <f aca="false">IF(G318="","",MIN(1,G318+J318/100))</f>
        <v>0.531302603648152</v>
      </c>
      <c r="M318" s="21" t="n">
        <f aca="false">ROUND(Q318*S318,0)</f>
        <v>72</v>
      </c>
      <c r="N318" s="21" t="n">
        <f aca="false">ROUND(SQRT((F318*J318/100)^2+(G318*M318)^2),0)</f>
        <v>44</v>
      </c>
      <c r="P318" s="41" t="n">
        <v>-1.68669315811653</v>
      </c>
      <c r="Q318" s="42" t="n">
        <v>1138.83420632935</v>
      </c>
      <c r="R318" s="43" t="n">
        <f aca="false">MAX(0,MIN(1,P318/100+$D$5))</f>
        <v>0.510117766995456</v>
      </c>
      <c r="S318" s="43" t="n">
        <v>0.0633793435818552</v>
      </c>
      <c r="T318" s="44" t="s">
        <v>99</v>
      </c>
    </row>
    <row r="319" customFormat="false" ht="15" hidden="false" customHeight="false" outlineLevel="0" collapsed="false">
      <c r="A319" s="38" t="s">
        <v>344</v>
      </c>
      <c r="B319" s="38" t="s">
        <v>446</v>
      </c>
      <c r="C319" s="38" t="s">
        <v>449</v>
      </c>
      <c r="D319" s="21" t="n">
        <f aca="false">ROUND(Q319*R319,0)</f>
        <v>570</v>
      </c>
      <c r="E319" s="21" t="n">
        <f aca="false">ROUND(Q319,0)-D319</f>
        <v>621</v>
      </c>
      <c r="F319" s="21" t="n">
        <f aca="false">IF(COUNTA(D319:E319)=0,"",SUM(D319:E319))</f>
        <v>1191</v>
      </c>
      <c r="G319" s="39" t="n">
        <f aca="false">IF(OR(F319="",F319=0),"",D319/F319)</f>
        <v>0.478589420654912</v>
      </c>
      <c r="H319" s="39" t="n">
        <f aca="false">IF(OR(F319="",F319=0),"",E319/F319)</f>
        <v>0.521410579345088</v>
      </c>
      <c r="I319" s="38" t="s">
        <v>89</v>
      </c>
      <c r="J319" s="40" t="n">
        <v>2.12060277043418</v>
      </c>
      <c r="K319" s="39" t="n">
        <f aca="false">IF(G319="","",MAX(0,G319-J319/100))</f>
        <v>0.45738339295057</v>
      </c>
      <c r="L319" s="39" t="n">
        <f aca="false">IF(G319="","",MIN(1,G319+J319/100))</f>
        <v>0.499795448359254</v>
      </c>
      <c r="M319" s="21" t="n">
        <f aca="false">ROUND(Q319*S319,0)</f>
        <v>75</v>
      </c>
      <c r="N319" s="21" t="n">
        <f aca="false">ROUND(SQRT((F319*J319/100)^2+(G319*M319)^2),0)</f>
        <v>44</v>
      </c>
      <c r="P319" s="41" t="n">
        <v>-4.81785399211061</v>
      </c>
      <c r="Q319" s="42" t="n">
        <v>1190.63572566232</v>
      </c>
      <c r="R319" s="43" t="n">
        <f aca="false">MAX(0,MIN(1,P319/100+$D$5))</f>
        <v>0.478806158655516</v>
      </c>
      <c r="S319" s="43" t="n">
        <v>0.0633793435818552</v>
      </c>
      <c r="T319" s="44" t="s">
        <v>99</v>
      </c>
    </row>
    <row r="320" customFormat="false" ht="15" hidden="false" customHeight="false" outlineLevel="0" collapsed="false">
      <c r="A320" s="38" t="s">
        <v>344</v>
      </c>
      <c r="B320" s="38" t="s">
        <v>446</v>
      </c>
      <c r="C320" s="38" t="s">
        <v>450</v>
      </c>
      <c r="D320" s="21" t="n">
        <f aca="false">ROUND(Q320*R320,0)</f>
        <v>538</v>
      </c>
      <c r="E320" s="21" t="n">
        <f aca="false">ROUND(Q320,0)-D320</f>
        <v>585</v>
      </c>
      <c r="F320" s="21" t="n">
        <f aca="false">IF(COUNTA(D320:E320)=0,"",SUM(D320:E320))</f>
        <v>1123</v>
      </c>
      <c r="G320" s="39" t="n">
        <f aca="false">IF(OR(F320="",F320=0),"",D320/F320)</f>
        <v>0.479073909171861</v>
      </c>
      <c r="H320" s="39" t="n">
        <f aca="false">IF(OR(F320="",F320=0),"",E320/F320)</f>
        <v>0.520926090828139</v>
      </c>
      <c r="I320" s="38" t="s">
        <v>191</v>
      </c>
      <c r="J320" s="40" t="n">
        <v>2.12060277043418</v>
      </c>
      <c r="K320" s="39" t="n">
        <f aca="false">IF(G320="","",MAX(0,G320-J320/100))</f>
        <v>0.457867881467519</v>
      </c>
      <c r="L320" s="39" t="n">
        <f aca="false">IF(G320="","",MIN(1,G320+J320/100))</f>
        <v>0.500279936876203</v>
      </c>
      <c r="M320" s="21" t="n">
        <f aca="false">ROUND(Q320*S320,0)</f>
        <v>71</v>
      </c>
      <c r="N320" s="21" t="n">
        <f aca="false">ROUND(SQRT((F320*J320/100)^2+(G320*M320)^2),0)</f>
        <v>42</v>
      </c>
      <c r="P320" s="41" t="n">
        <v>-4.81696600493923</v>
      </c>
      <c r="Q320" s="42" t="n">
        <v>1123.34250117457</v>
      </c>
      <c r="R320" s="43" t="n">
        <f aca="false">MAX(0,MIN(1,P320/100+$D$5))</f>
        <v>0.478815038527229</v>
      </c>
      <c r="S320" s="43" t="n">
        <v>0.0633793435818552</v>
      </c>
      <c r="T320" s="44" t="s">
        <v>99</v>
      </c>
    </row>
    <row r="321" customFormat="false" ht="15" hidden="false" customHeight="false" outlineLevel="0" collapsed="false">
      <c r="A321" s="38" t="s">
        <v>344</v>
      </c>
      <c r="B321" s="38" t="s">
        <v>451</v>
      </c>
      <c r="C321" s="38" t="s">
        <v>452</v>
      </c>
      <c r="D321" s="21" t="n">
        <f aca="false">ROUND(Q321*R321,0)</f>
        <v>568</v>
      </c>
      <c r="E321" s="21" t="n">
        <f aca="false">ROUND(Q321,0)-D321</f>
        <v>436</v>
      </c>
      <c r="F321" s="21" t="n">
        <f aca="false">IF(COUNTA(D321:E321)=0,"",SUM(D321:E321))</f>
        <v>1004</v>
      </c>
      <c r="G321" s="39" t="n">
        <f aca="false">IF(OR(F321="",F321=0),"",D321/F321)</f>
        <v>0.565737051792829</v>
      </c>
      <c r="H321" s="39" t="n">
        <f aca="false">IF(OR(F321="",F321=0),"",E321/F321)</f>
        <v>0.434262948207171</v>
      </c>
      <c r="I321" s="38" t="s">
        <v>89</v>
      </c>
      <c r="J321" s="40" t="n">
        <v>2.12060277043418</v>
      </c>
      <c r="K321" s="39" t="n">
        <f aca="false">IF(G321="","",MAX(0,G321-J321/100))</f>
        <v>0.544531024088487</v>
      </c>
      <c r="L321" s="39" t="n">
        <f aca="false">IF(G321="","",MIN(1,G321+J321/100))</f>
        <v>0.586943079497171</v>
      </c>
      <c r="M321" s="21" t="n">
        <f aca="false">ROUND(Q321*S321,0)</f>
        <v>64</v>
      </c>
      <c r="N321" s="21" t="n">
        <f aca="false">ROUND(SQRT((F321*J321/100)^2+(G321*M321)^2),0)</f>
        <v>42</v>
      </c>
      <c r="P321" s="41" t="n">
        <v>3.84541499990826</v>
      </c>
      <c r="Q321" s="42" t="n">
        <v>1004.38040343613</v>
      </c>
      <c r="R321" s="43" t="n">
        <f aca="false">MAX(0,MIN(1,P321/100+$D$5))</f>
        <v>0.565438848575704</v>
      </c>
      <c r="S321" s="43" t="n">
        <v>0.0633793435818552</v>
      </c>
      <c r="T321" s="44" t="s">
        <v>99</v>
      </c>
    </row>
    <row r="322" customFormat="false" ht="15" hidden="false" customHeight="false" outlineLevel="0" collapsed="false">
      <c r="A322" s="38" t="s">
        <v>344</v>
      </c>
      <c r="B322" s="38" t="s">
        <v>451</v>
      </c>
      <c r="C322" s="38" t="s">
        <v>453</v>
      </c>
      <c r="D322" s="21" t="n">
        <f aca="false">ROUND(Q322*R322,0)</f>
        <v>601</v>
      </c>
      <c r="E322" s="21" t="n">
        <f aca="false">ROUND(Q322,0)-D322</f>
        <v>662</v>
      </c>
      <c r="F322" s="21" t="n">
        <f aca="false">IF(COUNTA(D322:E322)=0,"",SUM(D322:E322))</f>
        <v>1263</v>
      </c>
      <c r="G322" s="39" t="n">
        <f aca="false">IF(OR(F322="",F322=0),"",D322/F322)</f>
        <v>0.475851148060174</v>
      </c>
      <c r="H322" s="39" t="n">
        <f aca="false">IF(OR(F322="",F322=0),"",E322/F322)</f>
        <v>0.524148851939826</v>
      </c>
      <c r="I322" s="38" t="s">
        <v>89</v>
      </c>
      <c r="J322" s="40" t="n">
        <v>1.26135644325249</v>
      </c>
      <c r="K322" s="39" t="n">
        <f aca="false">IF(G322="","",MAX(0,G322-J322/100))</f>
        <v>0.463237583627649</v>
      </c>
      <c r="L322" s="39" t="n">
        <f aca="false">IF(G322="","",MIN(1,G322+J322/100))</f>
        <v>0.488464712492699</v>
      </c>
      <c r="M322" s="21" t="n">
        <f aca="false">ROUND(Q322*S322,0)</f>
        <v>176</v>
      </c>
      <c r="N322" s="21" t="n">
        <f aca="false">ROUND(SQRT((F322*J322/100)^2+(G322*M322)^2),0)</f>
        <v>85</v>
      </c>
      <c r="P322" s="41" t="n">
        <v>-5.10315980915756</v>
      </c>
      <c r="Q322" s="42" t="n">
        <v>1263.1301866398</v>
      </c>
      <c r="R322" s="43" t="n">
        <f aca="false">MAX(0,MIN(1,P322/100+$D$5))</f>
        <v>0.475953100485046</v>
      </c>
      <c r="S322" s="43" t="n">
        <v>0.139463116518417</v>
      </c>
      <c r="T322" s="44" t="s">
        <v>128</v>
      </c>
    </row>
    <row r="323" customFormat="false" ht="15" hidden="false" customHeight="false" outlineLevel="0" collapsed="false">
      <c r="A323" s="38" t="s">
        <v>344</v>
      </c>
      <c r="B323" s="38" t="s">
        <v>451</v>
      </c>
      <c r="C323" s="38" t="s">
        <v>454</v>
      </c>
      <c r="D323" s="21" t="n">
        <f aca="false">ROUND(Q323*R323,0)</f>
        <v>439</v>
      </c>
      <c r="E323" s="21" t="n">
        <f aca="false">ROUND(Q323,0)-D323</f>
        <v>535</v>
      </c>
      <c r="F323" s="21" t="n">
        <f aca="false">IF(COUNTA(D323:E323)=0,"",SUM(D323:E323))</f>
        <v>974</v>
      </c>
      <c r="G323" s="39" t="n">
        <f aca="false">IF(OR(F323="",F323=0),"",D323/F323)</f>
        <v>0.450718685831622</v>
      </c>
      <c r="H323" s="39" t="n">
        <f aca="false">IF(OR(F323="",F323=0),"",E323/F323)</f>
        <v>0.549281314168378</v>
      </c>
      <c r="I323" s="38" t="s">
        <v>191</v>
      </c>
      <c r="J323" s="40" t="n">
        <v>2.12060277043418</v>
      </c>
      <c r="K323" s="39" t="n">
        <f aca="false">IF(G323="","",MAX(0,G323-J323/100))</f>
        <v>0.42951265812728</v>
      </c>
      <c r="L323" s="39" t="n">
        <f aca="false">IF(G323="","",MIN(1,G323+J323/100))</f>
        <v>0.471924713535964</v>
      </c>
      <c r="M323" s="21" t="n">
        <f aca="false">ROUND(Q323*S323,0)</f>
        <v>62</v>
      </c>
      <c r="N323" s="21" t="n">
        <f aca="false">ROUND(SQRT((F323*J323/100)^2+(G323*M323)^2),0)</f>
        <v>35</v>
      </c>
      <c r="P323" s="41" t="n">
        <v>-7.58779029758022</v>
      </c>
      <c r="Q323" s="42" t="n">
        <v>974.07203296126</v>
      </c>
      <c r="R323" s="43" t="n">
        <f aca="false">MAX(0,MIN(1,P323/100+$D$5))</f>
        <v>0.451106795600819</v>
      </c>
      <c r="S323" s="43" t="n">
        <v>0.0633793435818552</v>
      </c>
      <c r="T323" s="44" t="s">
        <v>99</v>
      </c>
    </row>
    <row r="324" customFormat="false" ht="15" hidden="false" customHeight="false" outlineLevel="0" collapsed="false">
      <c r="A324" s="38" t="s">
        <v>344</v>
      </c>
      <c r="B324" s="38" t="s">
        <v>451</v>
      </c>
      <c r="C324" s="38" t="s">
        <v>455</v>
      </c>
      <c r="D324" s="21" t="n">
        <f aca="false">ROUND(Q324*R324,0)</f>
        <v>439</v>
      </c>
      <c r="E324" s="21" t="n">
        <f aca="false">ROUND(Q324,0)-D324</f>
        <v>349</v>
      </c>
      <c r="F324" s="21" t="n">
        <f aca="false">IF(COUNTA(D324:E324)=0,"",SUM(D324:E324))</f>
        <v>788</v>
      </c>
      <c r="G324" s="39" t="n">
        <f aca="false">IF(OR(F324="",F324=0),"",D324/F324)</f>
        <v>0.557106598984772</v>
      </c>
      <c r="H324" s="39" t="n">
        <f aca="false">IF(OR(F324="",F324=0),"",E324/F324)</f>
        <v>0.442893401015228</v>
      </c>
      <c r="I324" s="38" t="s">
        <v>89</v>
      </c>
      <c r="J324" s="40" t="n">
        <v>2.12060277043418</v>
      </c>
      <c r="K324" s="39" t="n">
        <f aca="false">IF(G324="","",MAX(0,G324-J324/100))</f>
        <v>0.53590057128043</v>
      </c>
      <c r="L324" s="39" t="n">
        <f aca="false">IF(G324="","",MIN(1,G324+J324/100))</f>
        <v>0.578312626689113</v>
      </c>
      <c r="M324" s="21" t="n">
        <f aca="false">ROUND(Q324*S324,0)</f>
        <v>50</v>
      </c>
      <c r="N324" s="21" t="n">
        <f aca="false">ROUND(SQRT((F324*J324/100)^2+(G324*M324)^2),0)</f>
        <v>32</v>
      </c>
      <c r="P324" s="41" t="n">
        <v>3.09233904130885</v>
      </c>
      <c r="Q324" s="42" t="n">
        <v>787.552254848504</v>
      </c>
      <c r="R324" s="43" t="n">
        <f aca="false">MAX(0,MIN(1,P324/100+$D$5))</f>
        <v>0.55790808898971</v>
      </c>
      <c r="S324" s="43" t="n">
        <v>0.0633793435818552</v>
      </c>
      <c r="T324" s="44" t="s">
        <v>99</v>
      </c>
    </row>
    <row r="325" customFormat="false" ht="15" hidden="false" customHeight="false" outlineLevel="0" collapsed="false">
      <c r="A325" s="38" t="s">
        <v>344</v>
      </c>
      <c r="B325" s="38" t="s">
        <v>451</v>
      </c>
      <c r="C325" s="38" t="s">
        <v>456</v>
      </c>
      <c r="D325" s="21" t="n">
        <f aca="false">ROUND(Q325*R325,0)</f>
        <v>407</v>
      </c>
      <c r="E325" s="21" t="n">
        <f aca="false">ROUND(Q325,0)-D325</f>
        <v>477</v>
      </c>
      <c r="F325" s="21" t="n">
        <f aca="false">IF(COUNTA(D325:E325)=0,"",SUM(D325:E325))</f>
        <v>884</v>
      </c>
      <c r="G325" s="39" t="n">
        <f aca="false">IF(OR(F325="",F325=0),"",D325/F325)</f>
        <v>0.460407239819005</v>
      </c>
      <c r="H325" s="39" t="n">
        <f aca="false">IF(OR(F325="",F325=0),"",E325/F325)</f>
        <v>0.539592760180995</v>
      </c>
      <c r="I325" s="38" t="s">
        <v>89</v>
      </c>
      <c r="J325" s="40" t="n">
        <v>2.12060277043418</v>
      </c>
      <c r="K325" s="39" t="n">
        <f aca="false">IF(G325="","",MAX(0,G325-J325/100))</f>
        <v>0.439201212114663</v>
      </c>
      <c r="L325" s="39" t="n">
        <f aca="false">IF(G325="","",MIN(1,G325+J325/100))</f>
        <v>0.481613267523346</v>
      </c>
      <c r="M325" s="21" t="n">
        <f aca="false">ROUND(Q325*S325,0)</f>
        <v>56</v>
      </c>
      <c r="N325" s="21" t="n">
        <f aca="false">ROUND(SQRT((F325*J325/100)^2+(G325*M325)^2),0)</f>
        <v>32</v>
      </c>
      <c r="P325" s="41" t="n">
        <v>-6.59803791460709</v>
      </c>
      <c r="Q325" s="42" t="n">
        <v>883.661512020645</v>
      </c>
      <c r="R325" s="43" t="n">
        <f aca="false">MAX(0,MIN(1,P325/100+$D$5))</f>
        <v>0.461004319430551</v>
      </c>
      <c r="S325" s="43" t="n">
        <v>0.0633793435818552</v>
      </c>
      <c r="T325" s="44" t="s">
        <v>99</v>
      </c>
    </row>
    <row r="326" customFormat="false" ht="15" hidden="false" customHeight="false" outlineLevel="0" collapsed="false">
      <c r="A326" s="38" t="s">
        <v>344</v>
      </c>
      <c r="B326" s="38" t="s">
        <v>451</v>
      </c>
      <c r="C326" s="38" t="s">
        <v>457</v>
      </c>
      <c r="D326" s="21" t="n">
        <f aca="false">ROUND(Q326*R326,0)</f>
        <v>933</v>
      </c>
      <c r="E326" s="21" t="n">
        <f aca="false">ROUND(Q326,0)-D326</f>
        <v>912</v>
      </c>
      <c r="F326" s="21" t="n">
        <f aca="false">IF(COUNTA(D326:E326)=0,"",SUM(D326:E326))</f>
        <v>1845</v>
      </c>
      <c r="G326" s="39" t="n">
        <f aca="false">IF(OR(F326="",F326=0),"",D326/F326)</f>
        <v>0.505691056910569</v>
      </c>
      <c r="H326" s="39" t="n">
        <f aca="false">IF(OR(F326="",F326=0),"",E326/F326)</f>
        <v>0.494308943089431</v>
      </c>
      <c r="I326" s="38" t="s">
        <v>191</v>
      </c>
      <c r="J326" s="40" t="n">
        <v>1.26135644325249</v>
      </c>
      <c r="K326" s="39" t="n">
        <f aca="false">IF(G326="","",MAX(0,G326-J326/100))</f>
        <v>0.493077492478044</v>
      </c>
      <c r="L326" s="39" t="n">
        <f aca="false">IF(G326="","",MIN(1,G326+J326/100))</f>
        <v>0.518304621343094</v>
      </c>
      <c r="M326" s="21" t="n">
        <f aca="false">ROUND(Q326*S326,0)</f>
        <v>257</v>
      </c>
      <c r="N326" s="21" t="n">
        <f aca="false">ROUND(SQRT((F326*J326/100)^2+(G326*M326)^2),0)</f>
        <v>132</v>
      </c>
      <c r="P326" s="41" t="n">
        <v>-2.12366905538319</v>
      </c>
      <c r="Q326" s="42" t="n">
        <v>1844.92196567856</v>
      </c>
      <c r="R326" s="43" t="n">
        <f aca="false">MAX(0,MIN(1,P326/100+$D$5))</f>
        <v>0.50574800802279</v>
      </c>
      <c r="S326" s="43" t="n">
        <v>0.139463116518417</v>
      </c>
      <c r="T326" s="44" t="s">
        <v>128</v>
      </c>
    </row>
    <row r="327" customFormat="false" ht="15" hidden="false" customHeight="false" outlineLevel="0" collapsed="false">
      <c r="A327" s="38" t="s">
        <v>344</v>
      </c>
      <c r="B327" s="38" t="s">
        <v>458</v>
      </c>
      <c r="C327" s="38" t="s">
        <v>459</v>
      </c>
      <c r="D327" s="21" t="n">
        <f aca="false">ROUND(Q327*R327,0)</f>
        <v>384</v>
      </c>
      <c r="E327" s="21" t="n">
        <f aca="false">ROUND(Q327,0)-D327</f>
        <v>625</v>
      </c>
      <c r="F327" s="21" t="n">
        <f aca="false">IF(COUNTA(D327:E327)=0,"",SUM(D327:E327))</f>
        <v>1009</v>
      </c>
      <c r="G327" s="39" t="n">
        <f aca="false">IF(OR(F327="",F327=0),"",D327/F327)</f>
        <v>0.380574826560951</v>
      </c>
      <c r="H327" s="39" t="n">
        <f aca="false">IF(OR(F327="",F327=0),"",E327/F327)</f>
        <v>0.619425173439049</v>
      </c>
      <c r="I327" s="38" t="s">
        <v>89</v>
      </c>
      <c r="J327" s="40" t="n">
        <v>2.12060277043418</v>
      </c>
      <c r="K327" s="39" t="n">
        <f aca="false">IF(G327="","",MAX(0,G327-J327/100))</f>
        <v>0.35936879885661</v>
      </c>
      <c r="L327" s="39" t="n">
        <f aca="false">IF(G327="","",MIN(1,G327+J327/100))</f>
        <v>0.401780854265293</v>
      </c>
      <c r="M327" s="21" t="n">
        <f aca="false">ROUND(Q327*S327,0)</f>
        <v>64</v>
      </c>
      <c r="N327" s="21" t="n">
        <f aca="false">ROUND(SQRT((F327*J327/100)^2+(G327*M327)^2),0)</f>
        <v>32</v>
      </c>
      <c r="P327" s="41" t="n">
        <v>-14.5916276503648</v>
      </c>
      <c r="Q327" s="42" t="n">
        <v>1008.73515487295</v>
      </c>
      <c r="R327" s="43" t="n">
        <f aca="false">MAX(0,MIN(1,P327/100+$D$5))</f>
        <v>0.381068422072974</v>
      </c>
      <c r="S327" s="43" t="n">
        <v>0.0633793435818552</v>
      </c>
      <c r="T327" s="44" t="s">
        <v>99</v>
      </c>
    </row>
    <row r="328" customFormat="false" ht="15" hidden="false" customHeight="false" outlineLevel="0" collapsed="false">
      <c r="A328" s="38" t="s">
        <v>344</v>
      </c>
      <c r="B328" s="38" t="s">
        <v>458</v>
      </c>
      <c r="C328" s="38" t="s">
        <v>460</v>
      </c>
      <c r="D328" s="21" t="n">
        <f aca="false">ROUND(Q328*R328,0)</f>
        <v>764</v>
      </c>
      <c r="E328" s="21" t="n">
        <f aca="false">ROUND(Q328,0)-D328</f>
        <v>1264</v>
      </c>
      <c r="F328" s="21" t="n">
        <f aca="false">IF(COUNTA(D328:E328)=0,"",SUM(D328:E328))</f>
        <v>2028</v>
      </c>
      <c r="G328" s="39" t="n">
        <f aca="false">IF(OR(F328="",F328=0),"",D328/F328)</f>
        <v>0.3767258382643</v>
      </c>
      <c r="H328" s="39" t="n">
        <f aca="false">IF(OR(F328="",F328=0),"",E328/F328)</f>
        <v>0.6232741617357</v>
      </c>
      <c r="I328" s="38" t="s">
        <v>89</v>
      </c>
      <c r="J328" s="40" t="n">
        <v>1.26135644325249</v>
      </c>
      <c r="K328" s="39" t="n">
        <f aca="false">IF(G328="","",MAX(0,G328-J328/100))</f>
        <v>0.364112273831775</v>
      </c>
      <c r="L328" s="39" t="n">
        <f aca="false">IF(G328="","",MIN(1,G328+J328/100))</f>
        <v>0.389339402696825</v>
      </c>
      <c r="M328" s="21" t="n">
        <f aca="false">ROUND(Q328*S328,0)</f>
        <v>283</v>
      </c>
      <c r="N328" s="21" t="n">
        <f aca="false">ROUND(SQRT((F328*J328/100)^2+(G328*M328)^2),0)</f>
        <v>110</v>
      </c>
      <c r="P328" s="41" t="n">
        <v>-15.027413967622</v>
      </c>
      <c r="Q328" s="42" t="n">
        <v>2028.05917916114</v>
      </c>
      <c r="R328" s="43" t="n">
        <f aca="false">MAX(0,MIN(1,P328/100+$D$5))</f>
        <v>0.376710558900401</v>
      </c>
      <c r="S328" s="43" t="n">
        <v>0.139463116518417</v>
      </c>
      <c r="T328" s="44" t="s">
        <v>128</v>
      </c>
    </row>
    <row r="329" customFormat="false" ht="15" hidden="false" customHeight="false" outlineLevel="0" collapsed="false">
      <c r="A329" s="38" t="s">
        <v>344</v>
      </c>
      <c r="B329" s="38" t="s">
        <v>458</v>
      </c>
      <c r="C329" s="38" t="s">
        <v>461</v>
      </c>
      <c r="D329" s="21" t="n">
        <f aca="false">ROUND(Q329*R329,0)</f>
        <v>513</v>
      </c>
      <c r="E329" s="21" t="n">
        <f aca="false">ROUND(Q329,0)-D329</f>
        <v>928</v>
      </c>
      <c r="F329" s="21" t="n">
        <f aca="false">IF(COUNTA(D329:E329)=0,"",SUM(D329:E329))</f>
        <v>1441</v>
      </c>
      <c r="G329" s="39" t="n">
        <f aca="false">IF(OR(F329="",F329=0),"",D329/F329)</f>
        <v>0.356002775850104</v>
      </c>
      <c r="H329" s="39" t="n">
        <f aca="false">IF(OR(F329="",F329=0),"",E329/F329)</f>
        <v>0.643997224149896</v>
      </c>
      <c r="I329" s="38" t="s">
        <v>89</v>
      </c>
      <c r="J329" s="40" t="n">
        <v>1.26135644325249</v>
      </c>
      <c r="K329" s="39" t="n">
        <f aca="false">IF(G329="","",MAX(0,G329-J329/100))</f>
        <v>0.343389211417579</v>
      </c>
      <c r="L329" s="39" t="n">
        <f aca="false">IF(G329="","",MIN(1,G329+J329/100))</f>
        <v>0.368616340282629</v>
      </c>
      <c r="M329" s="21" t="n">
        <f aca="false">ROUND(Q329*S329,0)</f>
        <v>201</v>
      </c>
      <c r="N329" s="21" t="n">
        <f aca="false">ROUND(SQRT((F329*J329/100)^2+(G329*M329)^2),0)</f>
        <v>74</v>
      </c>
      <c r="P329" s="41" t="n">
        <v>-17.1205733878305</v>
      </c>
      <c r="Q329" s="42" t="n">
        <v>1441.32316542595</v>
      </c>
      <c r="R329" s="43" t="n">
        <f aca="false">MAX(0,MIN(1,P329/100+$D$5))</f>
        <v>0.355778964698317</v>
      </c>
      <c r="S329" s="43" t="n">
        <v>0.139463116518417</v>
      </c>
      <c r="T329" s="44" t="s">
        <v>128</v>
      </c>
    </row>
    <row r="330" customFormat="false" ht="15" hidden="false" customHeight="false" outlineLevel="0" collapsed="false">
      <c r="A330" s="38" t="s">
        <v>344</v>
      </c>
      <c r="B330" s="38" t="s">
        <v>458</v>
      </c>
      <c r="C330" s="38" t="s">
        <v>462</v>
      </c>
      <c r="D330" s="21" t="n">
        <f aca="false">ROUND(Q330*R330,0)</f>
        <v>242</v>
      </c>
      <c r="E330" s="21" t="n">
        <f aca="false">ROUND(Q330,0)-D330</f>
        <v>436</v>
      </c>
      <c r="F330" s="21" t="n">
        <f aca="false">IF(COUNTA(D330:E330)=0,"",SUM(D330:E330))</f>
        <v>678</v>
      </c>
      <c r="G330" s="39" t="n">
        <f aca="false">IF(OR(F330="",F330=0),"",D330/F330)</f>
        <v>0.35693215339233</v>
      </c>
      <c r="H330" s="39" t="n">
        <f aca="false">IF(OR(F330="",F330=0),"",E330/F330)</f>
        <v>0.64306784660767</v>
      </c>
      <c r="I330" s="38" t="s">
        <v>89</v>
      </c>
      <c r="J330" s="40" t="n">
        <v>3.7041269898902</v>
      </c>
      <c r="K330" s="39" t="n">
        <f aca="false">IF(G330="","",MAX(0,G330-J330/100))</f>
        <v>0.319890883493428</v>
      </c>
      <c r="L330" s="39" t="n">
        <f aca="false">IF(G330="","",MIN(1,G330+J330/100))</f>
        <v>0.393973423291232</v>
      </c>
      <c r="M330" s="21" t="n">
        <f aca="false">ROUND(Q330*S330,0)</f>
        <v>53</v>
      </c>
      <c r="N330" s="21" t="n">
        <f aca="false">ROUND(SQRT((F330*J330/100)^2+(G330*M330)^2),0)</f>
        <v>31</v>
      </c>
      <c r="P330" s="41" t="n">
        <v>-17.0153010241162</v>
      </c>
      <c r="Q330" s="42" t="n">
        <v>677.784302618058</v>
      </c>
      <c r="R330" s="43" t="n">
        <f aca="false">MAX(0,MIN(1,P330/100+$D$5))</f>
        <v>0.35683168833546</v>
      </c>
      <c r="S330" s="43" t="n">
        <v>0.0779420971553049</v>
      </c>
      <c r="T330" s="44" t="s">
        <v>90</v>
      </c>
    </row>
    <row r="331" customFormat="false" ht="15" hidden="false" customHeight="false" outlineLevel="0" collapsed="false">
      <c r="A331" s="38" t="s">
        <v>344</v>
      </c>
      <c r="B331" s="38" t="s">
        <v>463</v>
      </c>
      <c r="C331" s="38" t="s">
        <v>464</v>
      </c>
      <c r="D331" s="21" t="n">
        <f aca="false">ROUND(Q331*R331,0)</f>
        <v>556</v>
      </c>
      <c r="E331" s="21" t="n">
        <f aca="false">ROUND(Q331,0)-D331</f>
        <v>463</v>
      </c>
      <c r="F331" s="21" t="n">
        <f aca="false">IF(COUNTA(D331:E331)=0,"",SUM(D331:E331))</f>
        <v>1019</v>
      </c>
      <c r="G331" s="39" t="n">
        <f aca="false">IF(OR(F331="",F331=0),"",D331/F331)</f>
        <v>0.545632973503435</v>
      </c>
      <c r="H331" s="39" t="n">
        <f aca="false">IF(OR(F331="",F331=0),"",E331/F331)</f>
        <v>0.454367026496565</v>
      </c>
      <c r="I331" s="38" t="s">
        <v>89</v>
      </c>
      <c r="J331" s="40" t="n">
        <v>2.12060277043418</v>
      </c>
      <c r="K331" s="39" t="n">
        <f aca="false">IF(G331="","",MAX(0,G331-J331/100))</f>
        <v>0.524426945799093</v>
      </c>
      <c r="L331" s="39" t="n">
        <f aca="false">IF(G331="","",MIN(1,G331+J331/100))</f>
        <v>0.566839001207777</v>
      </c>
      <c r="M331" s="21" t="n">
        <f aca="false">ROUND(Q331*S331,0)</f>
        <v>65</v>
      </c>
      <c r="N331" s="21" t="n">
        <f aca="false">ROUND(SQRT((F331*J331/100)^2+(G331*M331)^2),0)</f>
        <v>42</v>
      </c>
      <c r="P331" s="41" t="n">
        <v>1.85017240183529</v>
      </c>
      <c r="Q331" s="42" t="n">
        <v>1018.84544743246</v>
      </c>
      <c r="R331" s="43" t="n">
        <f aca="false">MAX(0,MIN(1,P331/100+$D$5))</f>
        <v>0.545486422594975</v>
      </c>
      <c r="S331" s="43" t="n">
        <v>0.0633793435818552</v>
      </c>
      <c r="T331" s="44" t="s">
        <v>99</v>
      </c>
    </row>
    <row r="332" customFormat="false" ht="15" hidden="false" customHeight="false" outlineLevel="0" collapsed="false">
      <c r="A332" s="38" t="s">
        <v>344</v>
      </c>
      <c r="B332" s="38" t="s">
        <v>463</v>
      </c>
      <c r="C332" s="38" t="s">
        <v>465</v>
      </c>
      <c r="D332" s="21" t="n">
        <f aca="false">ROUND(Q332*R332,0)</f>
        <v>452</v>
      </c>
      <c r="E332" s="21" t="n">
        <f aca="false">ROUND(Q332,0)-D332</f>
        <v>367</v>
      </c>
      <c r="F332" s="21" t="n">
        <f aca="false">IF(COUNTA(D332:E332)=0,"",SUM(D332:E332))</f>
        <v>819</v>
      </c>
      <c r="G332" s="39" t="n">
        <f aca="false">IF(OR(F332="",F332=0),"",D332/F332)</f>
        <v>0.551892551892552</v>
      </c>
      <c r="H332" s="39" t="n">
        <f aca="false">IF(OR(F332="",F332=0),"",E332/F332)</f>
        <v>0.448107448107448</v>
      </c>
      <c r="I332" s="38" t="s">
        <v>89</v>
      </c>
      <c r="J332" s="40" t="n">
        <v>2.12060277043418</v>
      </c>
      <c r="K332" s="39" t="n">
        <f aca="false">IF(G332="","",MAX(0,G332-J332/100))</f>
        <v>0.53068652418821</v>
      </c>
      <c r="L332" s="39" t="n">
        <f aca="false">IF(G332="","",MIN(1,G332+J332/100))</f>
        <v>0.573098579596894</v>
      </c>
      <c r="M332" s="21" t="n">
        <f aca="false">ROUND(Q332*S332,0)</f>
        <v>52</v>
      </c>
      <c r="N332" s="21" t="n">
        <f aca="false">ROUND(SQRT((F332*J332/100)^2+(G332*M332)^2),0)</f>
        <v>34</v>
      </c>
      <c r="P332" s="41" t="n">
        <v>2.49547861598338</v>
      </c>
      <c r="Q332" s="42" t="n">
        <v>819.199399687692</v>
      </c>
      <c r="R332" s="43" t="n">
        <f aca="false">MAX(0,MIN(1,P332/100+$D$5))</f>
        <v>0.551939484736456</v>
      </c>
      <c r="S332" s="43" t="n">
        <v>0.0633793435818552</v>
      </c>
      <c r="T332" s="44" t="s">
        <v>99</v>
      </c>
    </row>
    <row r="333" customFormat="false" ht="15" hidden="false" customHeight="false" outlineLevel="0" collapsed="false">
      <c r="A333" s="38" t="s">
        <v>344</v>
      </c>
      <c r="B333" s="38" t="s">
        <v>463</v>
      </c>
      <c r="C333" s="38" t="s">
        <v>466</v>
      </c>
      <c r="D333" s="21" t="n">
        <f aca="false">ROUND(Q333*R333,0)</f>
        <v>423</v>
      </c>
      <c r="E333" s="21" t="n">
        <f aca="false">ROUND(Q333,0)-D333</f>
        <v>369</v>
      </c>
      <c r="F333" s="21" t="n">
        <f aca="false">IF(COUNTA(D333:E333)=0,"",SUM(D333:E333))</f>
        <v>792</v>
      </c>
      <c r="G333" s="39" t="n">
        <f aca="false">IF(OR(F333="",F333=0),"",D333/F333)</f>
        <v>0.534090909090909</v>
      </c>
      <c r="H333" s="39" t="n">
        <f aca="false">IF(OR(F333="",F333=0),"",E333/F333)</f>
        <v>0.465909090909091</v>
      </c>
      <c r="I333" s="38" t="s">
        <v>89</v>
      </c>
      <c r="J333" s="40" t="n">
        <v>2.12060277043418</v>
      </c>
      <c r="K333" s="39" t="n">
        <f aca="false">IF(G333="","",MAX(0,G333-J333/100))</f>
        <v>0.512884881386567</v>
      </c>
      <c r="L333" s="39" t="n">
        <f aca="false">IF(G333="","",MIN(1,G333+J333/100))</f>
        <v>0.555296936795251</v>
      </c>
      <c r="M333" s="21" t="n">
        <f aca="false">ROUND(Q333*S333,0)</f>
        <v>50</v>
      </c>
      <c r="N333" s="21" t="n">
        <f aca="false">ROUND(SQRT((F333*J333/100)^2+(G333*M333)^2),0)</f>
        <v>32</v>
      </c>
      <c r="P333" s="41" t="n">
        <v>0.680574667475788</v>
      </c>
      <c r="Q333" s="42" t="n">
        <v>792.179192995508</v>
      </c>
      <c r="R333" s="43" t="n">
        <f aca="false">MAX(0,MIN(1,P333/100+$D$5))</f>
        <v>0.53379044525138</v>
      </c>
      <c r="S333" s="43" t="n">
        <v>0.0633793435818552</v>
      </c>
      <c r="T333" s="44" t="s">
        <v>99</v>
      </c>
    </row>
    <row r="334" customFormat="false" ht="15" hidden="false" customHeight="false" outlineLevel="0" collapsed="false">
      <c r="A334" s="38" t="s">
        <v>344</v>
      </c>
      <c r="B334" s="38" t="s">
        <v>467</v>
      </c>
      <c r="C334" s="38" t="s">
        <v>468</v>
      </c>
      <c r="D334" s="21" t="n">
        <f aca="false">ROUND(Q334*R334,0)</f>
        <v>198</v>
      </c>
      <c r="E334" s="21" t="n">
        <f aca="false">ROUND(Q334,0)-D334</f>
        <v>199</v>
      </c>
      <c r="F334" s="21" t="n">
        <f aca="false">IF(COUNTA(D334:E334)=0,"",SUM(D334:E334))</f>
        <v>397</v>
      </c>
      <c r="G334" s="39" t="n">
        <f aca="false">IF(OR(F334="",F334=0),"",D334/F334)</f>
        <v>0.498740554156171</v>
      </c>
      <c r="H334" s="39" t="n">
        <f aca="false">IF(OR(F334="",F334=0),"",E334/F334)</f>
        <v>0.501259445843829</v>
      </c>
      <c r="I334" s="38" t="s">
        <v>89</v>
      </c>
      <c r="J334" s="40" t="n">
        <v>3.7041269898902</v>
      </c>
      <c r="K334" s="39" t="n">
        <f aca="false">IF(G334="","",MAX(0,G334-J334/100))</f>
        <v>0.461699284257269</v>
      </c>
      <c r="L334" s="39" t="n">
        <f aca="false">IF(G334="","",MIN(1,G334+J334/100))</f>
        <v>0.535781824055073</v>
      </c>
      <c r="M334" s="21" t="n">
        <f aca="false">ROUND(Q334*S334,0)</f>
        <v>31</v>
      </c>
      <c r="N334" s="21" t="n">
        <f aca="false">ROUND(SQRT((F334*J334/100)^2+(G334*M334)^2),0)</f>
        <v>21</v>
      </c>
      <c r="P334" s="41" t="n">
        <v>-2.91769775859424</v>
      </c>
      <c r="Q334" s="42" t="n">
        <v>397.289641589887</v>
      </c>
      <c r="R334" s="43" t="n">
        <f aca="false">MAX(0,MIN(1,P334/100+$D$5))</f>
        <v>0.497807720990679</v>
      </c>
      <c r="S334" s="43" t="n">
        <v>0.0779420971553049</v>
      </c>
      <c r="T334" s="44" t="s">
        <v>90</v>
      </c>
    </row>
    <row r="335" customFormat="false" ht="15" hidden="false" customHeight="false" outlineLevel="0" collapsed="false">
      <c r="A335" s="38" t="s">
        <v>344</v>
      </c>
      <c r="B335" s="38" t="s">
        <v>467</v>
      </c>
      <c r="C335" s="38" t="s">
        <v>469</v>
      </c>
      <c r="D335" s="21" t="n">
        <f aca="false">ROUND(Q335*R335,0)</f>
        <v>590</v>
      </c>
      <c r="E335" s="21" t="n">
        <f aca="false">ROUND(Q335,0)-D335</f>
        <v>486</v>
      </c>
      <c r="F335" s="21" t="n">
        <f aca="false">IF(COUNTA(D335:E335)=0,"",SUM(D335:E335))</f>
        <v>1076</v>
      </c>
      <c r="G335" s="39" t="n">
        <f aca="false">IF(OR(F335="",F335=0),"",D335/F335)</f>
        <v>0.548327137546468</v>
      </c>
      <c r="H335" s="39" t="n">
        <f aca="false">IF(OR(F335="",F335=0),"",E335/F335)</f>
        <v>0.451672862453532</v>
      </c>
      <c r="I335" s="38" t="s">
        <v>89</v>
      </c>
      <c r="J335" s="40" t="n">
        <v>2.12060277043418</v>
      </c>
      <c r="K335" s="39" t="n">
        <f aca="false">IF(G335="","",MAX(0,G335-J335/100))</f>
        <v>0.527121109842127</v>
      </c>
      <c r="L335" s="39" t="n">
        <f aca="false">IF(G335="","",MIN(1,G335+J335/100))</f>
        <v>0.56953316525081</v>
      </c>
      <c r="M335" s="21" t="n">
        <f aca="false">ROUND(Q335*S335,0)</f>
        <v>68</v>
      </c>
      <c r="N335" s="21" t="n">
        <f aca="false">ROUND(SQRT((F335*J335/100)^2+(G335*M335)^2),0)</f>
        <v>44</v>
      </c>
      <c r="P335" s="41" t="n">
        <v>2.14529526248558</v>
      </c>
      <c r="Q335" s="42" t="n">
        <v>1076.33660242213</v>
      </c>
      <c r="R335" s="43" t="n">
        <f aca="false">MAX(0,MIN(1,P335/100+$D$5))</f>
        <v>0.548437651201478</v>
      </c>
      <c r="S335" s="43" t="n">
        <v>0.0633793435818552</v>
      </c>
      <c r="T335" s="44" t="s">
        <v>99</v>
      </c>
    </row>
    <row r="336" customFormat="false" ht="15" hidden="false" customHeight="false" outlineLevel="0" collapsed="false">
      <c r="A336" s="38" t="s">
        <v>344</v>
      </c>
      <c r="B336" s="38" t="s">
        <v>470</v>
      </c>
      <c r="C336" s="38" t="s">
        <v>471</v>
      </c>
      <c r="D336" s="21" t="n">
        <f aca="false">ROUND(Q336*R336,0)</f>
        <v>567</v>
      </c>
      <c r="E336" s="21" t="n">
        <f aca="false">ROUND(Q336,0)-D336</f>
        <v>510</v>
      </c>
      <c r="F336" s="21" t="n">
        <f aca="false">IF(COUNTA(D336:E336)=0,"",SUM(D336:E336))</f>
        <v>1077</v>
      </c>
      <c r="G336" s="39" t="n">
        <f aca="false">IF(OR(F336="",F336=0),"",D336/F336)</f>
        <v>0.526462395543176</v>
      </c>
      <c r="H336" s="39" t="n">
        <f aca="false">IF(OR(F336="",F336=0),"",E336/F336)</f>
        <v>0.473537604456825</v>
      </c>
      <c r="I336" s="38" t="s">
        <v>89</v>
      </c>
      <c r="J336" s="40" t="n">
        <v>2.12060277043418</v>
      </c>
      <c r="K336" s="39" t="n">
        <f aca="false">IF(G336="","",MAX(0,G336-J336/100))</f>
        <v>0.505256367838834</v>
      </c>
      <c r="L336" s="39" t="n">
        <f aca="false">IF(G336="","",MIN(1,G336+J336/100))</f>
        <v>0.547668423247517</v>
      </c>
      <c r="M336" s="21" t="n">
        <f aca="false">ROUND(Q336*S336,0)</f>
        <v>68</v>
      </c>
      <c r="N336" s="21" t="n">
        <f aca="false">ROUND(SQRT((F336*J336/100)^2+(G336*M336)^2),0)</f>
        <v>42</v>
      </c>
      <c r="P336" s="41" t="n">
        <v>-0.0314830743548691</v>
      </c>
      <c r="Q336" s="42" t="n">
        <v>1076.83490877404</v>
      </c>
      <c r="R336" s="43" t="n">
        <f aca="false">MAX(0,MIN(1,P336/100+$D$5))</f>
        <v>0.526669867833073</v>
      </c>
      <c r="S336" s="43" t="n">
        <v>0.0633793435818552</v>
      </c>
      <c r="T336" s="44" t="s">
        <v>99</v>
      </c>
    </row>
    <row r="337" customFormat="false" ht="15" hidden="false" customHeight="false" outlineLevel="0" collapsed="false">
      <c r="A337" s="38" t="s">
        <v>344</v>
      </c>
      <c r="B337" s="38" t="s">
        <v>470</v>
      </c>
      <c r="C337" s="38" t="s">
        <v>472</v>
      </c>
      <c r="D337" s="21" t="n">
        <f aca="false">ROUND(Q337*R337,0)</f>
        <v>501</v>
      </c>
      <c r="E337" s="21" t="n">
        <f aca="false">ROUND(Q337,0)-D337</f>
        <v>418</v>
      </c>
      <c r="F337" s="21" t="n">
        <f aca="false">IF(COUNTA(D337:E337)=0,"",SUM(D337:E337))</f>
        <v>919</v>
      </c>
      <c r="G337" s="39" t="n">
        <f aca="false">IF(OR(F337="",F337=0),"",D337/F337)</f>
        <v>0.545157780195865</v>
      </c>
      <c r="H337" s="39" t="n">
        <f aca="false">IF(OR(F337="",F337=0),"",E337/F337)</f>
        <v>0.454842219804135</v>
      </c>
      <c r="I337" s="38" t="s">
        <v>89</v>
      </c>
      <c r="J337" s="40" t="n">
        <v>2.12060277043418</v>
      </c>
      <c r="K337" s="39" t="n">
        <f aca="false">IF(G337="","",MAX(0,G337-J337/100))</f>
        <v>0.523951752491523</v>
      </c>
      <c r="L337" s="39" t="n">
        <f aca="false">IF(G337="","",MIN(1,G337+J337/100))</f>
        <v>0.566363807900207</v>
      </c>
      <c r="M337" s="21" t="n">
        <f aca="false">ROUND(Q337*S337,0)</f>
        <v>58</v>
      </c>
      <c r="N337" s="21" t="n">
        <f aca="false">ROUND(SQRT((F337*J337/100)^2+(G337*M337)^2),0)</f>
        <v>37</v>
      </c>
      <c r="P337" s="41" t="n">
        <v>1.85551527130019</v>
      </c>
      <c r="Q337" s="42" t="n">
        <v>918.566062944929</v>
      </c>
      <c r="R337" s="43" t="n">
        <f aca="false">MAX(0,MIN(1,P337/100+$D$5))</f>
        <v>0.545539851289624</v>
      </c>
      <c r="S337" s="43" t="n">
        <v>0.0633793435818552</v>
      </c>
      <c r="T337" s="44" t="s">
        <v>99</v>
      </c>
    </row>
    <row r="338" customFormat="false" ht="15" hidden="false" customHeight="false" outlineLevel="0" collapsed="false">
      <c r="A338" s="38" t="s">
        <v>344</v>
      </c>
      <c r="B338" s="38" t="s">
        <v>470</v>
      </c>
      <c r="C338" s="38" t="s">
        <v>473</v>
      </c>
      <c r="D338" s="21" t="n">
        <f aca="false">ROUND(Q338*R338,0)</f>
        <v>1012</v>
      </c>
      <c r="E338" s="21" t="n">
        <f aca="false">ROUND(Q338,0)-D338</f>
        <v>931</v>
      </c>
      <c r="F338" s="21" t="n">
        <f aca="false">IF(COUNTA(D338:E338)=0,"",SUM(D338:E338))</f>
        <v>1943</v>
      </c>
      <c r="G338" s="39" t="n">
        <f aca="false">IF(OR(F338="",F338=0),"",D338/F338)</f>
        <v>0.520844055584148</v>
      </c>
      <c r="H338" s="39" t="n">
        <f aca="false">IF(OR(F338="",F338=0),"",E338/F338)</f>
        <v>0.479155944415852</v>
      </c>
      <c r="I338" s="38" t="s">
        <v>89</v>
      </c>
      <c r="J338" s="40" t="n">
        <v>1.26135644325249</v>
      </c>
      <c r="K338" s="39" t="n">
        <f aca="false">IF(G338="","",MAX(0,G338-J338/100))</f>
        <v>0.508230491151623</v>
      </c>
      <c r="L338" s="39" t="n">
        <f aca="false">IF(G338="","",MIN(1,G338+J338/100))</f>
        <v>0.533457620016673</v>
      </c>
      <c r="M338" s="21" t="n">
        <f aca="false">ROUND(Q338*S338,0)</f>
        <v>271</v>
      </c>
      <c r="N338" s="21" t="n">
        <f aca="false">ROUND(SQRT((F338*J338/100)^2+(G338*M338)^2),0)</f>
        <v>143</v>
      </c>
      <c r="P338" s="41" t="n">
        <v>-0.58318236312005</v>
      </c>
      <c r="Q338" s="42" t="n">
        <v>1942.66400396606</v>
      </c>
      <c r="R338" s="43" t="n">
        <f aca="false">MAX(0,MIN(1,P338/100+$D$5))</f>
        <v>0.521152874945421</v>
      </c>
      <c r="S338" s="43" t="n">
        <v>0.139463116518417</v>
      </c>
      <c r="T338" s="44" t="s">
        <v>128</v>
      </c>
    </row>
    <row r="339" customFormat="false" ht="15" hidden="false" customHeight="false" outlineLevel="0" collapsed="false">
      <c r="A339" s="38" t="s">
        <v>344</v>
      </c>
      <c r="B339" s="38" t="s">
        <v>470</v>
      </c>
      <c r="C339" s="38" t="s">
        <v>474</v>
      </c>
      <c r="D339" s="21" t="n">
        <f aca="false">ROUND(Q339*R339,0)</f>
        <v>208</v>
      </c>
      <c r="E339" s="21" t="n">
        <f aca="false">ROUND(Q339,0)-D339</f>
        <v>215</v>
      </c>
      <c r="F339" s="21" t="n">
        <f aca="false">IF(COUNTA(D339:E339)=0,"",SUM(D339:E339))</f>
        <v>423</v>
      </c>
      <c r="G339" s="39" t="n">
        <f aca="false">IF(OR(F339="",F339=0),"",D339/F339)</f>
        <v>0.491725768321513</v>
      </c>
      <c r="H339" s="39" t="n">
        <f aca="false">IF(OR(F339="",F339=0),"",E339/F339)</f>
        <v>0.508274231678487</v>
      </c>
      <c r="I339" s="38" t="s">
        <v>89</v>
      </c>
      <c r="J339" s="40" t="n">
        <v>3.7041269898902</v>
      </c>
      <c r="K339" s="39" t="n">
        <f aca="false">IF(G339="","",MAX(0,G339-J339/100))</f>
        <v>0.454684498422611</v>
      </c>
      <c r="L339" s="39" t="n">
        <f aca="false">IF(G339="","",MIN(1,G339+J339/100))</f>
        <v>0.528767038220415</v>
      </c>
      <c r="M339" s="21" t="n">
        <f aca="false">ROUND(Q339*S339,0)</f>
        <v>33</v>
      </c>
      <c r="N339" s="21" t="n">
        <f aca="false">ROUND(SQRT((F339*J339/100)^2+(G339*M339)^2),0)</f>
        <v>23</v>
      </c>
      <c r="P339" s="41" t="n">
        <v>-3.53913848568917</v>
      </c>
      <c r="Q339" s="42" t="n">
        <v>423.369464010064</v>
      </c>
      <c r="R339" s="43" t="n">
        <f aca="false">MAX(0,MIN(1,P339/100+$D$5))</f>
        <v>0.49159331371973</v>
      </c>
      <c r="S339" s="43" t="n">
        <v>0.0779420971553049</v>
      </c>
      <c r="T339" s="44" t="s">
        <v>90</v>
      </c>
    </row>
    <row r="340" customFormat="false" ht="15" hidden="false" customHeight="false" outlineLevel="0" collapsed="false">
      <c r="A340" s="38" t="s">
        <v>344</v>
      </c>
      <c r="B340" s="38" t="s">
        <v>475</v>
      </c>
      <c r="C340" s="38" t="s">
        <v>476</v>
      </c>
      <c r="D340" s="21" t="n">
        <f aca="false">ROUND(Q340*R340,0)</f>
        <v>691</v>
      </c>
      <c r="E340" s="21" t="n">
        <f aca="false">ROUND(Q340,0)-D340</f>
        <v>605</v>
      </c>
      <c r="F340" s="21" t="n">
        <f aca="false">IF(COUNTA(D340:E340)=0,"",SUM(D340:E340))</f>
        <v>1296</v>
      </c>
      <c r="G340" s="39" t="n">
        <f aca="false">IF(OR(F340="",F340=0),"",D340/F340)</f>
        <v>0.533179012345679</v>
      </c>
      <c r="H340" s="39" t="n">
        <f aca="false">IF(OR(F340="",F340=0),"",E340/F340)</f>
        <v>0.466820987654321</v>
      </c>
      <c r="I340" s="38" t="s">
        <v>89</v>
      </c>
      <c r="J340" s="40" t="n">
        <v>1.26135644325249</v>
      </c>
      <c r="K340" s="39" t="n">
        <f aca="false">IF(G340="","",MAX(0,G340-J340/100))</f>
        <v>0.520565447913154</v>
      </c>
      <c r="L340" s="39" t="n">
        <f aca="false">IF(G340="","",MIN(1,G340+J340/100))</f>
        <v>0.545792576778204</v>
      </c>
      <c r="M340" s="21" t="n">
        <f aca="false">ROUND(Q340*S340,0)</f>
        <v>181</v>
      </c>
      <c r="N340" s="21" t="n">
        <f aca="false">ROUND(SQRT((F340*J340/100)^2+(G340*M340)^2),0)</f>
        <v>98</v>
      </c>
      <c r="P340" s="41" t="n">
        <v>0.589525353967607</v>
      </c>
      <c r="Q340" s="42" t="n">
        <v>1295.98300480591</v>
      </c>
      <c r="R340" s="43" t="n">
        <f aca="false">MAX(0,MIN(1,P340/100+$D$5))</f>
        <v>0.532879952116298</v>
      </c>
      <c r="S340" s="43" t="n">
        <v>0.139463116518417</v>
      </c>
      <c r="T340" s="44" t="s">
        <v>128</v>
      </c>
    </row>
    <row r="341" customFormat="false" ht="15" hidden="false" customHeight="false" outlineLevel="0" collapsed="false">
      <c r="A341" s="38" t="s">
        <v>344</v>
      </c>
      <c r="B341" s="38" t="s">
        <v>475</v>
      </c>
      <c r="C341" s="38" t="s">
        <v>477</v>
      </c>
      <c r="D341" s="21" t="n">
        <f aca="false">ROUND(Q341*R341,0)</f>
        <v>400</v>
      </c>
      <c r="E341" s="21" t="n">
        <f aca="false">ROUND(Q341,0)-D341</f>
        <v>323</v>
      </c>
      <c r="F341" s="21" t="n">
        <f aca="false">IF(COUNTA(D341:E341)=0,"",SUM(D341:E341))</f>
        <v>723</v>
      </c>
      <c r="G341" s="39" t="n">
        <f aca="false">IF(OR(F341="",F341=0),"",D341/F341)</f>
        <v>0.553250345781466</v>
      </c>
      <c r="H341" s="39" t="n">
        <f aca="false">IF(OR(F341="",F341=0),"",E341/F341)</f>
        <v>0.446749654218534</v>
      </c>
      <c r="I341" s="38" t="s">
        <v>191</v>
      </c>
      <c r="J341" s="40" t="n">
        <v>3.7041269898902</v>
      </c>
      <c r="K341" s="39" t="n">
        <f aca="false">IF(G341="","",MAX(0,G341-J341/100))</f>
        <v>0.516209075882564</v>
      </c>
      <c r="L341" s="39" t="n">
        <f aca="false">IF(G341="","",MIN(1,G341+J341/100))</f>
        <v>0.590291615680368</v>
      </c>
      <c r="M341" s="21" t="n">
        <f aca="false">ROUND(Q341*S341,0)</f>
        <v>56</v>
      </c>
      <c r="N341" s="21" t="n">
        <f aca="false">ROUND(SQRT((F341*J341/100)^2+(G341*M341)^2),0)</f>
        <v>41</v>
      </c>
      <c r="P341" s="41" t="n">
        <v>2.69248342378036</v>
      </c>
      <c r="Q341" s="42" t="n">
        <v>722.617602648569</v>
      </c>
      <c r="R341" s="43" t="n">
        <f aca="false">MAX(0,MIN(1,P341/100+$D$5))</f>
        <v>0.553909532814425</v>
      </c>
      <c r="S341" s="43" t="n">
        <v>0.0779420971553049</v>
      </c>
      <c r="T341" s="44" t="s">
        <v>90</v>
      </c>
    </row>
    <row r="342" customFormat="false" ht="15" hidden="false" customHeight="false" outlineLevel="0" collapsed="false">
      <c r="A342" s="38" t="s">
        <v>344</v>
      </c>
      <c r="B342" s="38" t="s">
        <v>475</v>
      </c>
      <c r="C342" s="38" t="s">
        <v>478</v>
      </c>
      <c r="D342" s="21" t="n">
        <f aca="false">ROUND(Q342*R342,0)</f>
        <v>599</v>
      </c>
      <c r="E342" s="21" t="n">
        <f aca="false">ROUND(Q342,0)-D342</f>
        <v>558</v>
      </c>
      <c r="F342" s="21" t="n">
        <f aca="false">IF(COUNTA(D342:E342)=0,"",SUM(D342:E342))</f>
        <v>1157</v>
      </c>
      <c r="G342" s="39" t="n">
        <f aca="false">IF(OR(F342="",F342=0),"",D342/F342)</f>
        <v>0.517718236819361</v>
      </c>
      <c r="H342" s="39" t="n">
        <f aca="false">IF(OR(F342="",F342=0),"",E342/F342)</f>
        <v>0.48228176318064</v>
      </c>
      <c r="I342" s="38" t="s">
        <v>191</v>
      </c>
      <c r="J342" s="40" t="n">
        <v>2.12060277043418</v>
      </c>
      <c r="K342" s="39" t="n">
        <f aca="false">IF(G342="","",MAX(0,G342-J342/100))</f>
        <v>0.496512209115019</v>
      </c>
      <c r="L342" s="39" t="n">
        <f aca="false">IF(G342="","",MIN(1,G342+J342/100))</f>
        <v>0.538924264523702</v>
      </c>
      <c r="M342" s="21" t="n">
        <f aca="false">ROUND(Q342*S342,0)</f>
        <v>73</v>
      </c>
      <c r="N342" s="21" t="n">
        <f aca="false">ROUND(SQRT((F342*J342/100)^2+(G342*M342)^2),0)</f>
        <v>45</v>
      </c>
      <c r="P342" s="41" t="n">
        <v>-0.900480059840719</v>
      </c>
      <c r="Q342" s="42" t="n">
        <v>1156.94950570428</v>
      </c>
      <c r="R342" s="43" t="n">
        <f aca="false">MAX(0,MIN(1,P342/100+$D$5))</f>
        <v>0.517979897978214</v>
      </c>
      <c r="S342" s="43" t="n">
        <v>0.0633793435818552</v>
      </c>
      <c r="T342" s="44" t="s">
        <v>99</v>
      </c>
    </row>
    <row r="343" customFormat="false" ht="15" hidden="false" customHeight="false" outlineLevel="0" collapsed="false">
      <c r="A343" s="38" t="s">
        <v>344</v>
      </c>
      <c r="B343" s="38" t="s">
        <v>475</v>
      </c>
      <c r="C343" s="38" t="s">
        <v>479</v>
      </c>
      <c r="D343" s="21" t="n">
        <f aca="false">ROUND(Q343*R343,0)</f>
        <v>822</v>
      </c>
      <c r="E343" s="21" t="n">
        <f aca="false">ROUND(Q343,0)-D343</f>
        <v>626</v>
      </c>
      <c r="F343" s="21" t="n">
        <f aca="false">IF(COUNTA(D343:E343)=0,"",SUM(D343:E343))</f>
        <v>1448</v>
      </c>
      <c r="G343" s="39" t="n">
        <f aca="false">IF(OR(F343="",F343=0),"",D343/F343)</f>
        <v>0.56767955801105</v>
      </c>
      <c r="H343" s="39" t="n">
        <f aca="false">IF(OR(F343="",F343=0),"",E343/F343)</f>
        <v>0.43232044198895</v>
      </c>
      <c r="I343" s="38" t="s">
        <v>89</v>
      </c>
      <c r="J343" s="40" t="n">
        <v>1.26135644325249</v>
      </c>
      <c r="K343" s="39" t="n">
        <f aca="false">IF(G343="","",MAX(0,G343-J343/100))</f>
        <v>0.555065993578525</v>
      </c>
      <c r="L343" s="39" t="n">
        <f aca="false">IF(G343="","",MIN(1,G343+J343/100))</f>
        <v>0.580293122443575</v>
      </c>
      <c r="M343" s="21" t="n">
        <f aca="false">ROUND(Q343*S343,0)</f>
        <v>202</v>
      </c>
      <c r="N343" s="21" t="n">
        <f aca="false">ROUND(SQRT((F343*J343/100)^2+(G343*M343)^2),0)</f>
        <v>116</v>
      </c>
      <c r="P343" s="41" t="n">
        <v>4.04700740723341</v>
      </c>
      <c r="Q343" s="42" t="n">
        <v>1448.36945639917</v>
      </c>
      <c r="R343" s="43" t="n">
        <f aca="false">MAX(0,MIN(1,P343/100+$D$5))</f>
        <v>0.567454772648956</v>
      </c>
      <c r="S343" s="43" t="n">
        <v>0.139463116518417</v>
      </c>
      <c r="T343" s="44" t="s">
        <v>128</v>
      </c>
    </row>
    <row r="344" customFormat="false" ht="15" hidden="false" customHeight="false" outlineLevel="0" collapsed="false">
      <c r="A344" s="38" t="s">
        <v>344</v>
      </c>
      <c r="B344" s="38" t="s">
        <v>475</v>
      </c>
      <c r="C344" s="38" t="s">
        <v>480</v>
      </c>
      <c r="D344" s="21" t="n">
        <f aca="false">ROUND(Q344*R344,0)</f>
        <v>1042</v>
      </c>
      <c r="E344" s="21" t="n">
        <f aca="false">ROUND(Q344,0)-D344</f>
        <v>892</v>
      </c>
      <c r="F344" s="21" t="n">
        <f aca="false">IF(COUNTA(D344:E344)=0,"",SUM(D344:E344))</f>
        <v>1934</v>
      </c>
      <c r="G344" s="39" t="n">
        <f aca="false">IF(OR(F344="",F344=0),"",D344/F344)</f>
        <v>0.538779731127198</v>
      </c>
      <c r="H344" s="39" t="n">
        <f aca="false">IF(OR(F344="",F344=0),"",E344/F344)</f>
        <v>0.461220268872803</v>
      </c>
      <c r="I344" s="38" t="s">
        <v>89</v>
      </c>
      <c r="J344" s="40" t="n">
        <v>1.26135644325249</v>
      </c>
      <c r="K344" s="39" t="n">
        <f aca="false">IF(G344="","",MAX(0,G344-J344/100))</f>
        <v>0.526166166694673</v>
      </c>
      <c r="L344" s="39" t="n">
        <f aca="false">IF(G344="","",MIN(1,G344+J344/100))</f>
        <v>0.551393295559722</v>
      </c>
      <c r="M344" s="21" t="n">
        <f aca="false">ROUND(Q344*S344,0)</f>
        <v>270</v>
      </c>
      <c r="N344" s="21" t="n">
        <f aca="false">ROUND(SQRT((F344*J344/100)^2+(G344*M344)^2),0)</f>
        <v>148</v>
      </c>
      <c r="P344" s="41" t="n">
        <v>1.1881315288077</v>
      </c>
      <c r="Q344" s="42" t="n">
        <v>1934.02143446253</v>
      </c>
      <c r="R344" s="43" t="n">
        <f aca="false">MAX(0,MIN(1,P344/100+$D$5))</f>
        <v>0.538866013864699</v>
      </c>
      <c r="S344" s="43" t="n">
        <v>0.139463116518417</v>
      </c>
      <c r="T344" s="44" t="s">
        <v>128</v>
      </c>
    </row>
    <row r="345" customFormat="false" ht="15" hidden="false" customHeight="false" outlineLevel="0" collapsed="false">
      <c r="A345" s="38" t="s">
        <v>344</v>
      </c>
      <c r="B345" s="38" t="s">
        <v>475</v>
      </c>
      <c r="C345" s="38" t="s">
        <v>481</v>
      </c>
      <c r="D345" s="21" t="n">
        <f aca="false">ROUND(Q345*R345,0)</f>
        <v>736</v>
      </c>
      <c r="E345" s="21" t="n">
        <f aca="false">ROUND(Q345,0)-D345</f>
        <v>627</v>
      </c>
      <c r="F345" s="21" t="n">
        <f aca="false">IF(COUNTA(D345:E345)=0,"",SUM(D345:E345))</f>
        <v>1363</v>
      </c>
      <c r="G345" s="39" t="n">
        <f aca="false">IF(OR(F345="",F345=0),"",D345/F345)</f>
        <v>0.539985326485693</v>
      </c>
      <c r="H345" s="39" t="n">
        <f aca="false">IF(OR(F345="",F345=0),"",E345/F345)</f>
        <v>0.460014673514307</v>
      </c>
      <c r="I345" s="38" t="s">
        <v>89</v>
      </c>
      <c r="J345" s="40" t="n">
        <v>1.26135644325249</v>
      </c>
      <c r="K345" s="39" t="n">
        <f aca="false">IF(G345="","",MAX(0,G345-J345/100))</f>
        <v>0.527371762053169</v>
      </c>
      <c r="L345" s="39" t="n">
        <f aca="false">IF(G345="","",MIN(1,G345+J345/100))</f>
        <v>0.552598890918218</v>
      </c>
      <c r="M345" s="21" t="n">
        <f aca="false">ROUND(Q345*S345,0)</f>
        <v>190</v>
      </c>
      <c r="N345" s="21" t="n">
        <f aca="false">ROUND(SQRT((F345*J345/100)^2+(G345*M345)^2),0)</f>
        <v>104</v>
      </c>
      <c r="P345" s="41" t="n">
        <v>1.33435642369504</v>
      </c>
      <c r="Q345" s="42" t="n">
        <v>1362.50033722065</v>
      </c>
      <c r="R345" s="43" t="n">
        <f aca="false">MAX(0,MIN(1,P345/100+$D$5))</f>
        <v>0.540328262813572</v>
      </c>
      <c r="S345" s="43" t="n">
        <v>0.139463116518417</v>
      </c>
      <c r="T345" s="44" t="s">
        <v>128</v>
      </c>
    </row>
    <row r="346" customFormat="false" ht="15" hidden="false" customHeight="false" outlineLevel="0" collapsed="false">
      <c r="A346" s="38" t="s">
        <v>344</v>
      </c>
      <c r="B346" s="38" t="s">
        <v>475</v>
      </c>
      <c r="C346" s="38" t="s">
        <v>482</v>
      </c>
      <c r="D346" s="21" t="n">
        <f aca="false">ROUND(Q346*R346,0)</f>
        <v>574</v>
      </c>
      <c r="E346" s="21" t="n">
        <f aca="false">ROUND(Q346,0)-D346</f>
        <v>445</v>
      </c>
      <c r="F346" s="21" t="n">
        <f aca="false">IF(COUNTA(D346:E346)=0,"",SUM(D346:E346))</f>
        <v>1019</v>
      </c>
      <c r="G346" s="39" t="n">
        <f aca="false">IF(OR(F346="",F346=0),"",D346/F346)</f>
        <v>0.563297350343474</v>
      </c>
      <c r="H346" s="39" t="n">
        <f aca="false">IF(OR(F346="",F346=0),"",E346/F346)</f>
        <v>0.436702649656526</v>
      </c>
      <c r="I346" s="38" t="s">
        <v>191</v>
      </c>
      <c r="J346" s="40" t="n">
        <v>2.12060277043418</v>
      </c>
      <c r="K346" s="39" t="n">
        <f aca="false">IF(G346="","",MAX(0,G346-J346/100))</f>
        <v>0.542091322639132</v>
      </c>
      <c r="L346" s="39" t="n">
        <f aca="false">IF(G346="","",MIN(1,G346+J346/100))</f>
        <v>0.584503378047816</v>
      </c>
      <c r="M346" s="21" t="n">
        <f aca="false">ROUND(Q346*S346,0)</f>
        <v>65</v>
      </c>
      <c r="N346" s="21" t="n">
        <f aca="false">ROUND(SQRT((F346*J346/100)^2+(G346*M346)^2),0)</f>
        <v>43</v>
      </c>
      <c r="P346" s="41" t="n">
        <v>3.66702809382888</v>
      </c>
      <c r="Q346" s="42" t="n">
        <v>1018.89247010824</v>
      </c>
      <c r="R346" s="43" t="n">
        <f aca="false">MAX(0,MIN(1,P346/100+$D$5))</f>
        <v>0.563654979514911</v>
      </c>
      <c r="S346" s="43" t="n">
        <v>0.0633793435818552</v>
      </c>
      <c r="T346" s="44" t="s">
        <v>99</v>
      </c>
    </row>
    <row r="347" customFormat="false" ht="15" hidden="false" customHeight="false" outlineLevel="0" collapsed="false">
      <c r="A347" s="38" t="s">
        <v>344</v>
      </c>
      <c r="B347" s="38" t="s">
        <v>475</v>
      </c>
      <c r="C347" s="38" t="s">
        <v>483</v>
      </c>
      <c r="D347" s="21" t="n">
        <f aca="false">ROUND(Q347*R347,0)</f>
        <v>557</v>
      </c>
      <c r="E347" s="21" t="n">
        <f aca="false">ROUND(Q347,0)-D347</f>
        <v>563</v>
      </c>
      <c r="F347" s="21" t="n">
        <f aca="false">IF(COUNTA(D347:E347)=0,"",SUM(D347:E347))</f>
        <v>1120</v>
      </c>
      <c r="G347" s="39" t="n">
        <f aca="false">IF(OR(F347="",F347=0),"",D347/F347)</f>
        <v>0.497321428571429</v>
      </c>
      <c r="H347" s="39" t="n">
        <f aca="false">IF(OR(F347="",F347=0),"",E347/F347)</f>
        <v>0.502678571428571</v>
      </c>
      <c r="I347" s="38" t="s">
        <v>191</v>
      </c>
      <c r="J347" s="40" t="n">
        <v>2.12060277043418</v>
      </c>
      <c r="K347" s="39" t="n">
        <f aca="false">IF(G347="","",MAX(0,G347-J347/100))</f>
        <v>0.476115400867087</v>
      </c>
      <c r="L347" s="39" t="n">
        <f aca="false">IF(G347="","",MIN(1,G347+J347/100))</f>
        <v>0.51852745627577</v>
      </c>
      <c r="M347" s="21" t="n">
        <f aca="false">ROUND(Q347*S347,0)</f>
        <v>71</v>
      </c>
      <c r="N347" s="21" t="n">
        <f aca="false">ROUND(SQRT((F347*J347/100)^2+(G347*M347)^2),0)</f>
        <v>43</v>
      </c>
      <c r="P347" s="41" t="n">
        <v>-2.93821767255603</v>
      </c>
      <c r="Q347" s="42" t="n">
        <v>1120.00729169085</v>
      </c>
      <c r="R347" s="43" t="n">
        <f aca="false">MAX(0,MIN(1,P347/100+$D$5))</f>
        <v>0.497602521851061</v>
      </c>
      <c r="S347" s="43" t="n">
        <v>0.0633793435818552</v>
      </c>
      <c r="T347" s="44" t="s">
        <v>99</v>
      </c>
    </row>
    <row r="348" customFormat="false" ht="15" hidden="false" customHeight="false" outlineLevel="0" collapsed="false">
      <c r="A348" s="38" t="s">
        <v>344</v>
      </c>
      <c r="B348" s="38" t="s">
        <v>475</v>
      </c>
      <c r="C348" s="38" t="s">
        <v>484</v>
      </c>
      <c r="D348" s="21" t="n">
        <f aca="false">ROUND(Q348*R348,0)</f>
        <v>807</v>
      </c>
      <c r="E348" s="21" t="n">
        <f aca="false">ROUND(Q348,0)-D348</f>
        <v>811</v>
      </c>
      <c r="F348" s="21" t="n">
        <f aca="false">IF(COUNTA(D348:E348)=0,"",SUM(D348:E348))</f>
        <v>1618</v>
      </c>
      <c r="G348" s="39" t="n">
        <f aca="false">IF(OR(F348="",F348=0),"",D348/F348)</f>
        <v>0.49876390605686</v>
      </c>
      <c r="H348" s="39" t="n">
        <f aca="false">IF(OR(F348="",F348=0),"",E348/F348)</f>
        <v>0.50123609394314</v>
      </c>
      <c r="I348" s="38" t="s">
        <v>191</v>
      </c>
      <c r="J348" s="40" t="n">
        <v>1.26135644325249</v>
      </c>
      <c r="K348" s="39" t="n">
        <f aca="false">IF(G348="","",MAX(0,G348-J348/100))</f>
        <v>0.486150341624335</v>
      </c>
      <c r="L348" s="39" t="n">
        <f aca="false">IF(G348="","",MIN(1,G348+J348/100))</f>
        <v>0.511377470489385</v>
      </c>
      <c r="M348" s="21" t="n">
        <f aca="false">ROUND(Q348*S348,0)</f>
        <v>226</v>
      </c>
      <c r="N348" s="21" t="n">
        <f aca="false">ROUND(SQRT((F348*J348/100)^2+(G348*M348)^2),0)</f>
        <v>115</v>
      </c>
      <c r="P348" s="41" t="n">
        <v>-2.83327960759095</v>
      </c>
      <c r="Q348" s="42" t="n">
        <v>1617.9336874848</v>
      </c>
      <c r="R348" s="43" t="n">
        <f aca="false">MAX(0,MIN(1,P348/100+$D$5))</f>
        <v>0.498651902500712</v>
      </c>
      <c r="S348" s="43" t="n">
        <v>0.139463116518417</v>
      </c>
      <c r="T348" s="44" t="s">
        <v>128</v>
      </c>
    </row>
    <row r="349" customFormat="false" ht="15" hidden="false" customHeight="false" outlineLevel="0" collapsed="false">
      <c r="A349" s="38" t="s">
        <v>344</v>
      </c>
      <c r="B349" s="38" t="s">
        <v>485</v>
      </c>
      <c r="C349" s="38" t="s">
        <v>486</v>
      </c>
      <c r="D349" s="21" t="n">
        <f aca="false">ROUND(Q349*R349,0)</f>
        <v>96</v>
      </c>
      <c r="E349" s="21" t="n">
        <f aca="false">ROUND(Q349,0)-D349</f>
        <v>131</v>
      </c>
      <c r="F349" s="21" t="n">
        <f aca="false">IF(COUNTA(D349:E349)=0,"",SUM(D349:E349))</f>
        <v>227</v>
      </c>
      <c r="G349" s="39" t="n">
        <f aca="false">IF(OR(F349="",F349=0),"",D349/F349)</f>
        <v>0.422907488986784</v>
      </c>
      <c r="H349" s="39" t="n">
        <f aca="false">IF(OR(F349="",F349=0),"",E349/F349)</f>
        <v>0.577092511013216</v>
      </c>
      <c r="I349" s="38" t="s">
        <v>89</v>
      </c>
      <c r="J349" s="40" t="n">
        <v>3.7041269898902</v>
      </c>
      <c r="K349" s="39" t="n">
        <f aca="false">IF(G349="","",MAX(0,G349-J349/100))</f>
        <v>0.385866219087882</v>
      </c>
      <c r="L349" s="39" t="n">
        <f aca="false">IF(G349="","",MIN(1,G349+J349/100))</f>
        <v>0.459948758885686</v>
      </c>
      <c r="M349" s="21" t="n">
        <f aca="false">ROUND(Q349*S349,0)</f>
        <v>18</v>
      </c>
      <c r="N349" s="21" t="n">
        <f aca="false">ROUND(SQRT((F349*J349/100)^2+(G349*M349)^2),0)</f>
        <v>11</v>
      </c>
      <c r="P349" s="41" t="n">
        <v>-10.4442619215123</v>
      </c>
      <c r="Q349" s="42" t="n">
        <v>227.458376191386</v>
      </c>
      <c r="R349" s="43" t="n">
        <f aca="false">MAX(0,MIN(1,P349/100+$D$5))</f>
        <v>0.422542079361499</v>
      </c>
      <c r="S349" s="43" t="n">
        <v>0.0779420971553049</v>
      </c>
      <c r="T349" s="44" t="s">
        <v>90</v>
      </c>
    </row>
    <row r="350" customFormat="false" ht="15" hidden="false" customHeight="false" outlineLevel="0" collapsed="false">
      <c r="A350" s="38" t="s">
        <v>344</v>
      </c>
      <c r="B350" s="38" t="s">
        <v>485</v>
      </c>
      <c r="C350" s="38" t="s">
        <v>487</v>
      </c>
      <c r="D350" s="21" t="n">
        <f aca="false">ROUND(Q350*R350,0)</f>
        <v>238</v>
      </c>
      <c r="E350" s="21" t="n">
        <f aca="false">ROUND(Q350,0)-D350</f>
        <v>361</v>
      </c>
      <c r="F350" s="21" t="n">
        <f aca="false">IF(COUNTA(D350:E350)=0,"",SUM(D350:E350))</f>
        <v>599</v>
      </c>
      <c r="G350" s="39" t="n">
        <f aca="false">IF(OR(F350="",F350=0),"",D350/F350)</f>
        <v>0.397328881469115</v>
      </c>
      <c r="H350" s="39" t="n">
        <f aca="false">IF(OR(F350="",F350=0),"",E350/F350)</f>
        <v>0.602671118530885</v>
      </c>
      <c r="I350" s="38" t="s">
        <v>89</v>
      </c>
      <c r="J350" s="40" t="n">
        <v>3.7041269898902</v>
      </c>
      <c r="K350" s="39" t="n">
        <f aca="false">IF(G350="","",MAX(0,G350-J350/100))</f>
        <v>0.360287611570213</v>
      </c>
      <c r="L350" s="39" t="n">
        <f aca="false">IF(G350="","",MIN(1,G350+J350/100))</f>
        <v>0.434370151368017</v>
      </c>
      <c r="M350" s="21" t="n">
        <f aca="false">ROUND(Q350*S350,0)</f>
        <v>47</v>
      </c>
      <c r="N350" s="21" t="n">
        <f aca="false">ROUND(SQRT((F350*J350/100)^2+(G350*M350)^2),0)</f>
        <v>29</v>
      </c>
      <c r="P350" s="41" t="n">
        <v>-13.0039157495561</v>
      </c>
      <c r="Q350" s="42" t="n">
        <v>599.005289560819</v>
      </c>
      <c r="R350" s="43" t="n">
        <f aca="false">MAX(0,MIN(1,P350/100+$D$5))</f>
        <v>0.396945541081061</v>
      </c>
      <c r="S350" s="43" t="n">
        <v>0.0779420971553049</v>
      </c>
      <c r="T350" s="44" t="s">
        <v>90</v>
      </c>
    </row>
    <row r="351" customFormat="false" ht="15" hidden="false" customHeight="false" outlineLevel="0" collapsed="false">
      <c r="A351" s="38" t="s">
        <v>344</v>
      </c>
      <c r="B351" s="38" t="s">
        <v>485</v>
      </c>
      <c r="C351" s="38" t="s">
        <v>488</v>
      </c>
      <c r="D351" s="21" t="n">
        <f aca="false">ROUND(Q351*R351,0)</f>
        <v>172</v>
      </c>
      <c r="E351" s="21" t="n">
        <f aca="false">ROUND(Q351,0)-D351</f>
        <v>217</v>
      </c>
      <c r="F351" s="21" t="n">
        <f aca="false">IF(COUNTA(D351:E351)=0,"",SUM(D351:E351))</f>
        <v>389</v>
      </c>
      <c r="G351" s="39" t="n">
        <f aca="false">IF(OR(F351="",F351=0),"",D351/F351)</f>
        <v>0.442159383033419</v>
      </c>
      <c r="H351" s="39" t="n">
        <f aca="false">IF(OR(F351="",F351=0),"",E351/F351)</f>
        <v>0.557840616966581</v>
      </c>
      <c r="I351" s="38" t="s">
        <v>89</v>
      </c>
      <c r="J351" s="40" t="n">
        <v>3.7041269898902</v>
      </c>
      <c r="K351" s="39" t="n">
        <f aca="false">IF(G351="","",MAX(0,G351-J351/100))</f>
        <v>0.405118113134517</v>
      </c>
      <c r="L351" s="39" t="n">
        <f aca="false">IF(G351="","",MIN(1,G351+J351/100))</f>
        <v>0.479200652932321</v>
      </c>
      <c r="M351" s="21" t="n">
        <f aca="false">ROUND(Q351*S351,0)</f>
        <v>30</v>
      </c>
      <c r="N351" s="21" t="n">
        <f aca="false">ROUND(SQRT((F351*J351/100)^2+(G351*M351)^2),0)</f>
        <v>20</v>
      </c>
      <c r="P351" s="41" t="n">
        <v>-8.60210668077794</v>
      </c>
      <c r="Q351" s="42" t="n">
        <v>389.086783403881</v>
      </c>
      <c r="R351" s="43" t="n">
        <f aca="false">MAX(0,MIN(1,P351/100+$D$5))</f>
        <v>0.440963631768842</v>
      </c>
      <c r="S351" s="43" t="n">
        <v>0.0779420971553049</v>
      </c>
      <c r="T351" s="44" t="s">
        <v>90</v>
      </c>
    </row>
    <row r="352" customFormat="false" ht="15" hidden="false" customHeight="false" outlineLevel="0" collapsed="false">
      <c r="A352" s="38" t="s">
        <v>344</v>
      </c>
      <c r="B352" s="38" t="s">
        <v>485</v>
      </c>
      <c r="C352" s="38" t="s">
        <v>489</v>
      </c>
      <c r="D352" s="21" t="n">
        <f aca="false">ROUND(Q352*R352,0)</f>
        <v>101</v>
      </c>
      <c r="E352" s="21" t="n">
        <f aca="false">ROUND(Q352,0)-D352</f>
        <v>126</v>
      </c>
      <c r="F352" s="21" t="n">
        <f aca="false">IF(COUNTA(D352:E352)=0,"",SUM(D352:E352))</f>
        <v>227</v>
      </c>
      <c r="G352" s="39" t="n">
        <f aca="false">IF(OR(F352="",F352=0),"",D352/F352)</f>
        <v>0.444933920704846</v>
      </c>
      <c r="H352" s="39" t="n">
        <f aca="false">IF(OR(F352="",F352=0),"",E352/F352)</f>
        <v>0.555066079295154</v>
      </c>
      <c r="I352" s="38" t="s">
        <v>89</v>
      </c>
      <c r="J352" s="40" t="n">
        <v>3.7041269898902</v>
      </c>
      <c r="K352" s="39" t="n">
        <f aca="false">IF(G352="","",MAX(0,G352-J352/100))</f>
        <v>0.407892650805944</v>
      </c>
      <c r="L352" s="39" t="n">
        <f aca="false">IF(G352="","",MIN(1,G352+J352/100))</f>
        <v>0.481975190603748</v>
      </c>
      <c r="M352" s="21" t="n">
        <f aca="false">ROUND(Q352*S352,0)</f>
        <v>18</v>
      </c>
      <c r="N352" s="21" t="n">
        <f aca="false">ROUND(SQRT((F352*J352/100)^2+(G352*M352)^2),0)</f>
        <v>12</v>
      </c>
      <c r="P352" s="41" t="n">
        <v>-8.47430274930754</v>
      </c>
      <c r="Q352" s="42" t="n">
        <v>227.335883208555</v>
      </c>
      <c r="R352" s="43" t="n">
        <f aca="false">MAX(0,MIN(1,P352/100+$D$5))</f>
        <v>0.442241671083546</v>
      </c>
      <c r="S352" s="43" t="n">
        <v>0.0779420971553049</v>
      </c>
      <c r="T352" s="44" t="s">
        <v>90</v>
      </c>
    </row>
    <row r="353" customFormat="false" ht="15" hidden="false" customHeight="false" outlineLevel="0" collapsed="false">
      <c r="A353" s="38" t="s">
        <v>344</v>
      </c>
      <c r="B353" s="38" t="s">
        <v>490</v>
      </c>
      <c r="C353" s="38" t="s">
        <v>491</v>
      </c>
      <c r="D353" s="21" t="n">
        <f aca="false">ROUND(Q353*R353,0)</f>
        <v>388</v>
      </c>
      <c r="E353" s="21" t="n">
        <f aca="false">ROUND(Q353,0)-D353</f>
        <v>610</v>
      </c>
      <c r="F353" s="21" t="n">
        <f aca="false">IF(COUNTA(D353:E353)=0,"",SUM(D353:E353))</f>
        <v>998</v>
      </c>
      <c r="G353" s="39" t="n">
        <f aca="false">IF(OR(F353="",F353=0),"",D353/F353)</f>
        <v>0.38877755511022</v>
      </c>
      <c r="H353" s="39" t="n">
        <f aca="false">IF(OR(F353="",F353=0),"",E353/F353)</f>
        <v>0.61122244488978</v>
      </c>
      <c r="I353" s="38" t="s">
        <v>89</v>
      </c>
      <c r="J353" s="40" t="n">
        <v>2.12060277043418</v>
      </c>
      <c r="K353" s="39" t="n">
        <f aca="false">IF(G353="","",MAX(0,G353-J353/100))</f>
        <v>0.367571527405879</v>
      </c>
      <c r="L353" s="39" t="n">
        <f aca="false">IF(G353="","",MIN(1,G353+J353/100))</f>
        <v>0.409983582814562</v>
      </c>
      <c r="M353" s="21" t="n">
        <f aca="false">ROUND(Q353*S353,0)</f>
        <v>63</v>
      </c>
      <c r="N353" s="21" t="n">
        <f aca="false">ROUND(SQRT((F353*J353/100)^2+(G353*M353)^2),0)</f>
        <v>32</v>
      </c>
      <c r="P353" s="41" t="n">
        <v>-13.7702014542193</v>
      </c>
      <c r="Q353" s="42" t="n">
        <v>997.632883001231</v>
      </c>
      <c r="R353" s="43" t="n">
        <f aca="false">MAX(0,MIN(1,P353/100+$D$5))</f>
        <v>0.389282684034428</v>
      </c>
      <c r="S353" s="43" t="n">
        <v>0.0633793435818552</v>
      </c>
      <c r="T353" s="44" t="s">
        <v>99</v>
      </c>
    </row>
    <row r="354" customFormat="false" ht="15" hidden="false" customHeight="false" outlineLevel="0" collapsed="false">
      <c r="A354" s="38" t="s">
        <v>344</v>
      </c>
      <c r="B354" s="38" t="s">
        <v>490</v>
      </c>
      <c r="C354" s="38" t="s">
        <v>492</v>
      </c>
      <c r="D354" s="21" t="n">
        <f aca="false">ROUND(Q354*R354,0)</f>
        <v>315</v>
      </c>
      <c r="E354" s="21" t="n">
        <f aca="false">ROUND(Q354,0)-D354</f>
        <v>480</v>
      </c>
      <c r="F354" s="21" t="n">
        <f aca="false">IF(COUNTA(D354:E354)=0,"",SUM(D354:E354))</f>
        <v>795</v>
      </c>
      <c r="G354" s="39" t="n">
        <f aca="false">IF(OR(F354="",F354=0),"",D354/F354)</f>
        <v>0.39622641509434</v>
      </c>
      <c r="H354" s="39" t="n">
        <f aca="false">IF(OR(F354="",F354=0),"",E354/F354)</f>
        <v>0.60377358490566</v>
      </c>
      <c r="I354" s="38" t="s">
        <v>89</v>
      </c>
      <c r="J354" s="40" t="n">
        <v>2.12060277043418</v>
      </c>
      <c r="K354" s="39" t="n">
        <f aca="false">IF(G354="","",MAX(0,G354-J354/100))</f>
        <v>0.375020387389998</v>
      </c>
      <c r="L354" s="39" t="n">
        <f aca="false">IF(G354="","",MIN(1,G354+J354/100))</f>
        <v>0.417432442798681</v>
      </c>
      <c r="M354" s="21" t="n">
        <f aca="false">ROUND(Q354*S354,0)</f>
        <v>50</v>
      </c>
      <c r="N354" s="21" t="n">
        <f aca="false">ROUND(SQRT((F354*J354/100)^2+(G354*M354)^2),0)</f>
        <v>26</v>
      </c>
      <c r="P354" s="41" t="n">
        <v>-13.0554897835459</v>
      </c>
      <c r="Q354" s="42" t="n">
        <v>794.538525457258</v>
      </c>
      <c r="R354" s="43" t="n">
        <f aca="false">MAX(0,MIN(1,P354/100+$D$5))</f>
        <v>0.396429800741162</v>
      </c>
      <c r="S354" s="43" t="n">
        <v>0.0633793435818552</v>
      </c>
      <c r="T354" s="44" t="s">
        <v>99</v>
      </c>
    </row>
    <row r="355" customFormat="false" ht="15" hidden="false" customHeight="false" outlineLevel="0" collapsed="false">
      <c r="A355" s="38" t="s">
        <v>344</v>
      </c>
      <c r="B355" s="38" t="s">
        <v>490</v>
      </c>
      <c r="C355" s="38" t="s">
        <v>493</v>
      </c>
      <c r="D355" s="21" t="n">
        <f aca="false">ROUND(Q355*R355,0)</f>
        <v>285</v>
      </c>
      <c r="E355" s="21" t="n">
        <f aca="false">ROUND(Q355,0)-D355</f>
        <v>467</v>
      </c>
      <c r="F355" s="21" t="n">
        <f aca="false">IF(COUNTA(D355:E355)=0,"",SUM(D355:E355))</f>
        <v>752</v>
      </c>
      <c r="G355" s="39" t="n">
        <f aca="false">IF(OR(F355="",F355=0),"",D355/F355)</f>
        <v>0.378989361702128</v>
      </c>
      <c r="H355" s="39" t="n">
        <f aca="false">IF(OR(F355="",F355=0),"",E355/F355)</f>
        <v>0.621010638297872</v>
      </c>
      <c r="I355" s="38" t="s">
        <v>89</v>
      </c>
      <c r="J355" s="40" t="n">
        <v>3.7041269898902</v>
      </c>
      <c r="K355" s="39" t="n">
        <f aca="false">IF(G355="","",MAX(0,G355-J355/100))</f>
        <v>0.341948091803226</v>
      </c>
      <c r="L355" s="39" t="n">
        <f aca="false">IF(G355="","",MIN(1,G355+J355/100))</f>
        <v>0.41603063160103</v>
      </c>
      <c r="M355" s="21" t="n">
        <f aca="false">ROUND(Q355*S355,0)</f>
        <v>59</v>
      </c>
      <c r="N355" s="21" t="n">
        <f aca="false">ROUND(SQRT((F355*J355/100)^2+(G355*M355)^2),0)</f>
        <v>36</v>
      </c>
      <c r="P355" s="41" t="n">
        <v>-14.752133282546</v>
      </c>
      <c r="Q355" s="42" t="n">
        <v>751.598865268589</v>
      </c>
      <c r="R355" s="43" t="n">
        <f aca="false">MAX(0,MIN(1,P355/100+$D$5))</f>
        <v>0.379463365751161</v>
      </c>
      <c r="S355" s="43" t="n">
        <v>0.0779420971553049</v>
      </c>
      <c r="T355" s="44" t="s">
        <v>90</v>
      </c>
    </row>
    <row r="356" customFormat="false" ht="15" hidden="false" customHeight="false" outlineLevel="0" collapsed="false">
      <c r="A356" s="38" t="s">
        <v>344</v>
      </c>
      <c r="B356" s="38" t="s">
        <v>490</v>
      </c>
      <c r="C356" s="38" t="s">
        <v>494</v>
      </c>
      <c r="D356" s="21" t="n">
        <f aca="false">ROUND(Q356*R356,0)</f>
        <v>288</v>
      </c>
      <c r="E356" s="21" t="n">
        <f aca="false">ROUND(Q356,0)-D356</f>
        <v>475</v>
      </c>
      <c r="F356" s="21" t="n">
        <f aca="false">IF(COUNTA(D356:E356)=0,"",SUM(D356:E356))</f>
        <v>763</v>
      </c>
      <c r="G356" s="39" t="n">
        <f aca="false">IF(OR(F356="",F356=0),"",D356/F356)</f>
        <v>0.377457404980341</v>
      </c>
      <c r="H356" s="39" t="n">
        <f aca="false">IF(OR(F356="",F356=0),"",E356/F356)</f>
        <v>0.622542595019659</v>
      </c>
      <c r="I356" s="38" t="s">
        <v>89</v>
      </c>
      <c r="J356" s="40" t="n">
        <v>3.7041269898902</v>
      </c>
      <c r="K356" s="39" t="n">
        <f aca="false">IF(G356="","",MAX(0,G356-J356/100))</f>
        <v>0.340416135081439</v>
      </c>
      <c r="L356" s="39" t="n">
        <f aca="false">IF(G356="","",MIN(1,G356+J356/100))</f>
        <v>0.414498674879243</v>
      </c>
      <c r="M356" s="21" t="n">
        <f aca="false">ROUND(Q356*S356,0)</f>
        <v>59</v>
      </c>
      <c r="N356" s="21" t="n">
        <f aca="false">ROUND(SQRT((F356*J356/100)^2+(G356*M356)^2),0)</f>
        <v>36</v>
      </c>
      <c r="P356" s="41" t="n">
        <v>-14.9334268485594</v>
      </c>
      <c r="Q356" s="42" t="n">
        <v>763.072409749948</v>
      </c>
      <c r="R356" s="43" t="n">
        <f aca="false">MAX(0,MIN(1,P356/100+$D$5))</f>
        <v>0.377650430091028</v>
      </c>
      <c r="S356" s="43" t="n">
        <v>0.0779420971553049</v>
      </c>
      <c r="T356" s="44" t="s">
        <v>90</v>
      </c>
    </row>
    <row r="357" customFormat="false" ht="15" hidden="false" customHeight="false" outlineLevel="0" collapsed="false">
      <c r="A357" s="38" t="s">
        <v>344</v>
      </c>
      <c r="B357" s="38" t="s">
        <v>495</v>
      </c>
      <c r="C357" s="38" t="s">
        <v>496</v>
      </c>
      <c r="D357" s="21" t="n">
        <f aca="false">ROUND(Q357*R357,0)</f>
        <v>78</v>
      </c>
      <c r="E357" s="21" t="n">
        <f aca="false">ROUND(Q357,0)-D357</f>
        <v>129</v>
      </c>
      <c r="F357" s="21" t="n">
        <f aca="false">IF(COUNTA(D357:E357)=0,"",SUM(D357:E357))</f>
        <v>207</v>
      </c>
      <c r="G357" s="39" t="n">
        <f aca="false">IF(OR(F357="",F357=0),"",D357/F357)</f>
        <v>0.376811594202899</v>
      </c>
      <c r="H357" s="39" t="n">
        <f aca="false">IF(OR(F357="",F357=0),"",E357/F357)</f>
        <v>0.623188405797101</v>
      </c>
      <c r="I357" s="38" t="s">
        <v>89</v>
      </c>
      <c r="J357" s="40" t="n">
        <v>3.7041269898902</v>
      </c>
      <c r="K357" s="39" t="n">
        <f aca="false">IF(G357="","",MAX(0,G357-J357/100))</f>
        <v>0.339770324303997</v>
      </c>
      <c r="L357" s="39" t="n">
        <f aca="false">IF(G357="","",MIN(1,G357+J357/100))</f>
        <v>0.413852864101801</v>
      </c>
      <c r="M357" s="21" t="n">
        <f aca="false">ROUND(Q357*S357,0)</f>
        <v>16</v>
      </c>
      <c r="N357" s="21" t="n">
        <f aca="false">ROUND(SQRT((F357*J357/100)^2+(G357*M357)^2),0)</f>
        <v>10</v>
      </c>
      <c r="P357" s="41" t="n">
        <v>-14.8764576581032</v>
      </c>
      <c r="Q357" s="42" t="n">
        <v>206.985686786738</v>
      </c>
      <c r="R357" s="43" t="n">
        <f aca="false">MAX(0,MIN(1,P357/100+$D$5))</f>
        <v>0.37822012199559</v>
      </c>
      <c r="S357" s="43" t="n">
        <v>0.0779420971553049</v>
      </c>
      <c r="T357" s="44" t="s">
        <v>90</v>
      </c>
    </row>
    <row r="358" customFormat="false" ht="15" hidden="false" customHeight="false" outlineLevel="0" collapsed="false">
      <c r="A358" s="38" t="s">
        <v>344</v>
      </c>
      <c r="B358" s="38" t="s">
        <v>497</v>
      </c>
      <c r="C358" s="38" t="s">
        <v>498</v>
      </c>
      <c r="D358" s="21" t="n">
        <f aca="false">ROUND(Q358*R358,0)</f>
        <v>305</v>
      </c>
      <c r="E358" s="21" t="n">
        <f aca="false">ROUND(Q358,0)-D358</f>
        <v>420</v>
      </c>
      <c r="F358" s="21" t="n">
        <f aca="false">IF(COUNTA(D358:E358)=0,"",SUM(D358:E358))</f>
        <v>725</v>
      </c>
      <c r="G358" s="39" t="n">
        <f aca="false">IF(OR(F358="",F358=0),"",D358/F358)</f>
        <v>0.420689655172414</v>
      </c>
      <c r="H358" s="39" t="n">
        <f aca="false">IF(OR(F358="",F358=0),"",E358/F358)</f>
        <v>0.579310344827586</v>
      </c>
      <c r="I358" s="38" t="s">
        <v>89</v>
      </c>
      <c r="J358" s="40" t="n">
        <v>3.7041269898902</v>
      </c>
      <c r="K358" s="39" t="n">
        <f aca="false">IF(G358="","",MAX(0,G358-J358/100))</f>
        <v>0.383648385273512</v>
      </c>
      <c r="L358" s="39" t="n">
        <f aca="false">IF(G358="","",MIN(1,G358+J358/100))</f>
        <v>0.457730925071316</v>
      </c>
      <c r="M358" s="21" t="n">
        <f aca="false">ROUND(Q358*S358,0)</f>
        <v>56</v>
      </c>
      <c r="N358" s="21" t="n">
        <f aca="false">ROUND(SQRT((F358*J358/100)^2+(G358*M358)^2),0)</f>
        <v>36</v>
      </c>
      <c r="P358" s="41" t="n">
        <v>-10.6745017677508</v>
      </c>
      <c r="Q358" s="42" t="n">
        <v>724.860095656174</v>
      </c>
      <c r="R358" s="43" t="n">
        <f aca="false">MAX(0,MIN(1,P358/100+$D$5))</f>
        <v>0.420239680899113</v>
      </c>
      <c r="S358" s="43" t="n">
        <v>0.0779420971553049</v>
      </c>
      <c r="T358" s="44" t="s">
        <v>90</v>
      </c>
    </row>
    <row r="359" customFormat="false" ht="15" hidden="false" customHeight="false" outlineLevel="0" collapsed="false">
      <c r="A359" s="38" t="s">
        <v>344</v>
      </c>
      <c r="B359" s="38" t="s">
        <v>499</v>
      </c>
      <c r="C359" s="38" t="s">
        <v>500</v>
      </c>
      <c r="D359" s="21" t="n">
        <f aca="false">ROUND(Q359*R359,0)</f>
        <v>182</v>
      </c>
      <c r="E359" s="21" t="n">
        <f aca="false">ROUND(Q359,0)-D359</f>
        <v>231</v>
      </c>
      <c r="F359" s="21" t="n">
        <f aca="false">IF(COUNTA(D359:E359)=0,"",SUM(D359:E359))</f>
        <v>413</v>
      </c>
      <c r="G359" s="39" t="n">
        <f aca="false">IF(OR(F359="",F359=0),"",D359/F359)</f>
        <v>0.440677966101695</v>
      </c>
      <c r="H359" s="39" t="n">
        <f aca="false">IF(OR(F359="",F359=0),"",E359/F359)</f>
        <v>0.559322033898305</v>
      </c>
      <c r="I359" s="38" t="s">
        <v>89</v>
      </c>
      <c r="J359" s="40" t="n">
        <v>3.7041269898902</v>
      </c>
      <c r="K359" s="39" t="n">
        <f aca="false">IF(G359="","",MAX(0,G359-J359/100))</f>
        <v>0.403636696202793</v>
      </c>
      <c r="L359" s="39" t="n">
        <f aca="false">IF(G359="","",MIN(1,G359+J359/100))</f>
        <v>0.477719236000597</v>
      </c>
      <c r="M359" s="21" t="n">
        <f aca="false">ROUND(Q359*S359,0)</f>
        <v>32</v>
      </c>
      <c r="N359" s="21" t="n">
        <f aca="false">ROUND(SQRT((F359*J359/100)^2+(G359*M359)^2),0)</f>
        <v>21</v>
      </c>
      <c r="P359" s="41" t="n">
        <v>-8.67973747528884</v>
      </c>
      <c r="Q359" s="42" t="n">
        <v>412.971596248003</v>
      </c>
      <c r="R359" s="43" t="n">
        <f aca="false">MAX(0,MIN(1,P359/100+$D$5))</f>
        <v>0.440187323823733</v>
      </c>
      <c r="S359" s="43" t="n">
        <v>0.0779420971553049</v>
      </c>
      <c r="T359" s="44" t="s">
        <v>90</v>
      </c>
    </row>
    <row r="360" customFormat="false" ht="15" hidden="false" customHeight="false" outlineLevel="0" collapsed="false">
      <c r="A360" s="38" t="s">
        <v>344</v>
      </c>
      <c r="B360" s="38" t="s">
        <v>501</v>
      </c>
      <c r="C360" s="38" t="s">
        <v>502</v>
      </c>
      <c r="D360" s="21" t="n">
        <f aca="false">ROUND(Q360*R360,0)</f>
        <v>300</v>
      </c>
      <c r="E360" s="21" t="n">
        <f aca="false">ROUND(Q360,0)-D360</f>
        <v>335</v>
      </c>
      <c r="F360" s="21" t="n">
        <f aca="false">IF(COUNTA(D360:E360)=0,"",SUM(D360:E360))</f>
        <v>635</v>
      </c>
      <c r="G360" s="39" t="n">
        <f aca="false">IF(OR(F360="",F360=0),"",D360/F360)</f>
        <v>0.47244094488189</v>
      </c>
      <c r="H360" s="39" t="n">
        <f aca="false">IF(OR(F360="",F360=0),"",E360/F360)</f>
        <v>0.52755905511811</v>
      </c>
      <c r="I360" s="38" t="s">
        <v>89</v>
      </c>
      <c r="J360" s="40" t="n">
        <v>3.7041269898902</v>
      </c>
      <c r="K360" s="39" t="n">
        <f aca="false">IF(G360="","",MAX(0,G360-J360/100))</f>
        <v>0.435399674982988</v>
      </c>
      <c r="L360" s="39" t="n">
        <f aca="false">IF(G360="","",MIN(1,G360+J360/100))</f>
        <v>0.509482214780792</v>
      </c>
      <c r="M360" s="21" t="n">
        <f aca="false">ROUND(Q360*S360,0)</f>
        <v>49</v>
      </c>
      <c r="N360" s="21" t="n">
        <f aca="false">ROUND(SQRT((F360*J360/100)^2+(G360*M360)^2),0)</f>
        <v>33</v>
      </c>
      <c r="P360" s="41" t="n">
        <v>-5.40510861606519</v>
      </c>
      <c r="Q360" s="42" t="n">
        <v>634.770120448408</v>
      </c>
      <c r="R360" s="43" t="n">
        <f aca="false">MAX(0,MIN(1,P360/100+$D$5))</f>
        <v>0.47293361241597</v>
      </c>
      <c r="S360" s="43" t="n">
        <v>0.0779420971553049</v>
      </c>
      <c r="T360" s="44" t="s">
        <v>90</v>
      </c>
    </row>
    <row r="361" customFormat="false" ht="15" hidden="false" customHeight="false" outlineLevel="0" collapsed="false">
      <c r="A361" s="38" t="s">
        <v>344</v>
      </c>
      <c r="B361" s="38" t="s">
        <v>503</v>
      </c>
      <c r="C361" s="38" t="s">
        <v>504</v>
      </c>
      <c r="D361" s="21" t="n">
        <f aca="false">ROUND(Q361*R361,0)</f>
        <v>291</v>
      </c>
      <c r="E361" s="21" t="n">
        <f aca="false">ROUND(Q361,0)-D361</f>
        <v>595</v>
      </c>
      <c r="F361" s="21" t="n">
        <f aca="false">IF(COUNTA(D361:E361)=0,"",SUM(D361:E361))</f>
        <v>886</v>
      </c>
      <c r="G361" s="39" t="n">
        <f aca="false">IF(OR(F361="",F361=0),"",D361/F361)</f>
        <v>0.328442437923251</v>
      </c>
      <c r="H361" s="39" t="n">
        <f aca="false">IF(OR(F361="",F361=0),"",E361/F361)</f>
        <v>0.671557562076749</v>
      </c>
      <c r="I361" s="38" t="s">
        <v>89</v>
      </c>
      <c r="J361" s="40" t="n">
        <v>2.12060277043418</v>
      </c>
      <c r="K361" s="39" t="n">
        <f aca="false">IF(G361="","",MAX(0,G361-J361/100))</f>
        <v>0.307236410218909</v>
      </c>
      <c r="L361" s="39" t="n">
        <f aca="false">IF(G361="","",MIN(1,G361+J361/100))</f>
        <v>0.349648465627592</v>
      </c>
      <c r="M361" s="21" t="n">
        <f aca="false">ROUND(Q361*S361,0)</f>
        <v>56</v>
      </c>
      <c r="N361" s="21" t="n">
        <f aca="false">ROUND(SQRT((F361*J361/100)^2+(G361*M361)^2),0)</f>
        <v>26</v>
      </c>
      <c r="P361" s="41" t="n">
        <v>-19.9079943633853</v>
      </c>
      <c r="Q361" s="42" t="n">
        <v>886.404571762911</v>
      </c>
      <c r="R361" s="43" t="n">
        <f aca="false">MAX(0,MIN(1,P361/100+$D$5))</f>
        <v>0.327904754942769</v>
      </c>
      <c r="S361" s="43" t="n">
        <v>0.0633793435818552</v>
      </c>
      <c r="T361" s="44" t="s">
        <v>99</v>
      </c>
    </row>
    <row r="362" customFormat="false" ht="15" hidden="false" customHeight="false" outlineLevel="0" collapsed="false">
      <c r="A362" s="38" t="s">
        <v>344</v>
      </c>
      <c r="B362" s="38" t="s">
        <v>503</v>
      </c>
      <c r="C362" s="38" t="s">
        <v>505</v>
      </c>
      <c r="D362" s="21" t="n">
        <f aca="false">ROUND(Q362*R362,0)</f>
        <v>235</v>
      </c>
      <c r="E362" s="21" t="n">
        <f aca="false">ROUND(Q362,0)-D362</f>
        <v>414</v>
      </c>
      <c r="F362" s="21" t="n">
        <f aca="false">IF(COUNTA(D362:E362)=0,"",SUM(D362:E362))</f>
        <v>649</v>
      </c>
      <c r="G362" s="39" t="n">
        <f aca="false">IF(OR(F362="",F362=0),"",D362/F362)</f>
        <v>0.362095531587057</v>
      </c>
      <c r="H362" s="39" t="n">
        <f aca="false">IF(OR(F362="",F362=0),"",E362/F362)</f>
        <v>0.637904468412943</v>
      </c>
      <c r="I362" s="38" t="s">
        <v>89</v>
      </c>
      <c r="J362" s="40" t="n">
        <v>3.7041269898902</v>
      </c>
      <c r="K362" s="39" t="n">
        <f aca="false">IF(G362="","",MAX(0,G362-J362/100))</f>
        <v>0.325054261688155</v>
      </c>
      <c r="L362" s="39" t="n">
        <f aca="false">IF(G362="","",MIN(1,G362+J362/100))</f>
        <v>0.399136801485959</v>
      </c>
      <c r="M362" s="21" t="n">
        <f aca="false">ROUND(Q362*S362,0)</f>
        <v>51</v>
      </c>
      <c r="N362" s="21" t="n">
        <f aca="false">ROUND(SQRT((F362*J362/100)^2+(G362*M362)^2),0)</f>
        <v>30</v>
      </c>
      <c r="P362" s="41" t="n">
        <v>-16.5747521637767</v>
      </c>
      <c r="Q362" s="42" t="n">
        <v>649.415178828189</v>
      </c>
      <c r="R362" s="43" t="n">
        <f aca="false">MAX(0,MIN(1,P362/100+$D$5))</f>
        <v>0.361237176938855</v>
      </c>
      <c r="S362" s="43" t="n">
        <v>0.0779420971553049</v>
      </c>
      <c r="T362" s="44" t="s">
        <v>90</v>
      </c>
    </row>
    <row r="363" customFormat="false" ht="15" hidden="false" customHeight="false" outlineLevel="0" collapsed="false">
      <c r="A363" s="38" t="s">
        <v>344</v>
      </c>
      <c r="B363" s="38" t="s">
        <v>503</v>
      </c>
      <c r="C363" s="38" t="s">
        <v>506</v>
      </c>
      <c r="D363" s="21" t="n">
        <f aca="false">ROUND(Q363*R363,0)</f>
        <v>178</v>
      </c>
      <c r="E363" s="21" t="n">
        <f aca="false">ROUND(Q363,0)-D363</f>
        <v>381</v>
      </c>
      <c r="F363" s="21" t="n">
        <f aca="false">IF(COUNTA(D363:E363)=0,"",SUM(D363:E363))</f>
        <v>559</v>
      </c>
      <c r="G363" s="39" t="n">
        <f aca="false">IF(OR(F363="",F363=0),"",D363/F363)</f>
        <v>0.318425760286225</v>
      </c>
      <c r="H363" s="39" t="n">
        <f aca="false">IF(OR(F363="",F363=0),"",E363/F363)</f>
        <v>0.681574239713775</v>
      </c>
      <c r="I363" s="38" t="s">
        <v>89</v>
      </c>
      <c r="J363" s="40" t="n">
        <v>3.7041269898902</v>
      </c>
      <c r="K363" s="39" t="n">
        <f aca="false">IF(G363="","",MAX(0,G363-J363/100))</f>
        <v>0.281384490387323</v>
      </c>
      <c r="L363" s="39" t="n">
        <f aca="false">IF(G363="","",MIN(1,G363+J363/100))</f>
        <v>0.355467030185127</v>
      </c>
      <c r="M363" s="21" t="n">
        <f aca="false">ROUND(Q363*S363,0)</f>
        <v>44</v>
      </c>
      <c r="N363" s="21" t="n">
        <f aca="false">ROUND(SQRT((F363*J363/100)^2+(G363*M363)^2),0)</f>
        <v>25</v>
      </c>
      <c r="P363" s="41" t="n">
        <v>-20.7715193368906</v>
      </c>
      <c r="Q363" s="42" t="n">
        <v>558.912302405969</v>
      </c>
      <c r="R363" s="43" t="n">
        <f aca="false">MAX(0,MIN(1,P363/100+$D$5))</f>
        <v>0.319269505207716</v>
      </c>
      <c r="S363" s="43" t="n">
        <v>0.0779420971553049</v>
      </c>
      <c r="T363" s="44" t="s">
        <v>90</v>
      </c>
    </row>
    <row r="364" customFormat="false" ht="15" hidden="false" customHeight="false" outlineLevel="0" collapsed="false">
      <c r="A364" s="38" t="s">
        <v>344</v>
      </c>
      <c r="B364" s="38" t="s">
        <v>503</v>
      </c>
      <c r="C364" s="38" t="s">
        <v>507</v>
      </c>
      <c r="D364" s="21" t="n">
        <f aca="false">ROUND(Q364*R364,0)</f>
        <v>168</v>
      </c>
      <c r="E364" s="21" t="n">
        <f aca="false">ROUND(Q364,0)-D364</f>
        <v>339</v>
      </c>
      <c r="F364" s="21" t="n">
        <f aca="false">IF(COUNTA(D364:E364)=0,"",SUM(D364:E364))</f>
        <v>507</v>
      </c>
      <c r="G364" s="39" t="n">
        <f aca="false">IF(OR(F364="",F364=0),"",D364/F364)</f>
        <v>0.331360946745562</v>
      </c>
      <c r="H364" s="39" t="n">
        <f aca="false">IF(OR(F364="",F364=0),"",E364/F364)</f>
        <v>0.668639053254438</v>
      </c>
      <c r="I364" s="38" t="s">
        <v>89</v>
      </c>
      <c r="J364" s="40" t="n">
        <v>3.7041269898902</v>
      </c>
      <c r="K364" s="39" t="n">
        <f aca="false">IF(G364="","",MAX(0,G364-J364/100))</f>
        <v>0.29431967684666</v>
      </c>
      <c r="L364" s="39" t="n">
        <f aca="false">IF(G364="","",MIN(1,G364+J364/100))</f>
        <v>0.368402216644464</v>
      </c>
      <c r="M364" s="21" t="n">
        <f aca="false">ROUND(Q364*S364,0)</f>
        <v>39</v>
      </c>
      <c r="N364" s="21" t="n">
        <f aca="false">ROUND(SQRT((F364*J364/100)^2+(G364*M364)^2),0)</f>
        <v>23</v>
      </c>
      <c r="P364" s="41" t="n">
        <v>-19.5615009012633</v>
      </c>
      <c r="Q364" s="42" t="n">
        <v>506.566231554035</v>
      </c>
      <c r="R364" s="43" t="n">
        <f aca="false">MAX(0,MIN(1,P364/100+$D$5))</f>
        <v>0.331369689563988</v>
      </c>
      <c r="S364" s="43" t="n">
        <v>0.0779420971553049</v>
      </c>
      <c r="T364" s="44" t="s">
        <v>90</v>
      </c>
    </row>
    <row r="365" customFormat="false" ht="15" hidden="false" customHeight="false" outlineLevel="0" collapsed="false">
      <c r="A365" s="38" t="s">
        <v>344</v>
      </c>
      <c r="B365" s="38" t="s">
        <v>503</v>
      </c>
      <c r="C365" s="38" t="s">
        <v>508</v>
      </c>
      <c r="D365" s="21" t="n">
        <f aca="false">ROUND(Q365*R365,0)</f>
        <v>306</v>
      </c>
      <c r="E365" s="21" t="n">
        <f aca="false">ROUND(Q365,0)-D365</f>
        <v>463</v>
      </c>
      <c r="F365" s="21" t="n">
        <f aca="false">IF(COUNTA(D365:E365)=0,"",SUM(D365:E365))</f>
        <v>769</v>
      </c>
      <c r="G365" s="39" t="n">
        <f aca="false">IF(OR(F365="",F365=0),"",D365/F365)</f>
        <v>0.397919375812744</v>
      </c>
      <c r="H365" s="39" t="n">
        <f aca="false">IF(OR(F365="",F365=0),"",E365/F365)</f>
        <v>0.602080624187256</v>
      </c>
      <c r="I365" s="38" t="s">
        <v>89</v>
      </c>
      <c r="J365" s="40" t="n">
        <v>3.7041269898902</v>
      </c>
      <c r="K365" s="39" t="n">
        <f aca="false">IF(G365="","",MAX(0,G365-J365/100))</f>
        <v>0.360878105913842</v>
      </c>
      <c r="L365" s="39" t="n">
        <f aca="false">IF(G365="","",MIN(1,G365+J365/100))</f>
        <v>0.434960645711646</v>
      </c>
      <c r="M365" s="21" t="n">
        <f aca="false">ROUND(Q365*S365,0)</f>
        <v>60</v>
      </c>
      <c r="N365" s="21" t="n">
        <f aca="false">ROUND(SQRT((F365*J365/100)^2+(G365*M365)^2),0)</f>
        <v>37</v>
      </c>
      <c r="P365" s="41" t="n">
        <v>-12.890817234814</v>
      </c>
      <c r="Q365" s="42" t="n">
        <v>768.830580298779</v>
      </c>
      <c r="R365" s="43" t="n">
        <f aca="false">MAX(0,MIN(1,P365/100+$D$5))</f>
        <v>0.398076526228482</v>
      </c>
      <c r="S365" s="43" t="n">
        <v>0.0779420971553049</v>
      </c>
      <c r="T365" s="44" t="s">
        <v>90</v>
      </c>
    </row>
    <row r="366" customFormat="false" ht="15" hidden="false" customHeight="false" outlineLevel="0" collapsed="false">
      <c r="A366" s="38" t="s">
        <v>344</v>
      </c>
      <c r="B366" s="38" t="s">
        <v>509</v>
      </c>
      <c r="C366" s="38" t="s">
        <v>510</v>
      </c>
      <c r="D366" s="21" t="n">
        <f aca="false">ROUND(Q366*R366,0)</f>
        <v>1005</v>
      </c>
      <c r="E366" s="21" t="n">
        <f aca="false">ROUND(Q366,0)-D366</f>
        <v>877</v>
      </c>
      <c r="F366" s="21" t="n">
        <f aca="false">IF(COUNTA(D366:E366)=0,"",SUM(D366:E366))</f>
        <v>1882</v>
      </c>
      <c r="G366" s="39" t="n">
        <f aca="false">IF(OR(F366="",F366=0),"",D366/F366)</f>
        <v>0.534006376195537</v>
      </c>
      <c r="H366" s="39" t="n">
        <f aca="false">IF(OR(F366="",F366=0),"",E366/F366)</f>
        <v>0.465993623804463</v>
      </c>
      <c r="I366" s="38" t="s">
        <v>89</v>
      </c>
      <c r="J366" s="40" t="n">
        <v>1.26135644325249</v>
      </c>
      <c r="K366" s="39" t="n">
        <f aca="false">IF(G366="","",MAX(0,G366-J366/100))</f>
        <v>0.521392811763012</v>
      </c>
      <c r="L366" s="39" t="n">
        <f aca="false">IF(G366="","",MIN(1,G366+J366/100))</f>
        <v>0.546619940628062</v>
      </c>
      <c r="M366" s="21" t="n">
        <f aca="false">ROUND(Q366*S366,0)</f>
        <v>262</v>
      </c>
      <c r="N366" s="21" t="n">
        <f aca="false">ROUND(SQRT((F366*J366/100)^2+(G366*M366)^2),0)</f>
        <v>142</v>
      </c>
      <c r="P366" s="41" t="n">
        <v>0.691710345583946</v>
      </c>
      <c r="Q366" s="42" t="n">
        <v>1881.57585264391</v>
      </c>
      <c r="R366" s="43" t="n">
        <f aca="false">MAX(0,MIN(1,P366/100+$D$5))</f>
        <v>0.533901802032461</v>
      </c>
      <c r="S366" s="43" t="n">
        <v>0.139463116518417</v>
      </c>
      <c r="T366" s="44" t="s">
        <v>128</v>
      </c>
    </row>
    <row r="367" customFormat="false" ht="15" hidden="false" customHeight="false" outlineLevel="0" collapsed="false">
      <c r="A367" s="38" t="s">
        <v>344</v>
      </c>
      <c r="B367" s="38" t="s">
        <v>509</v>
      </c>
      <c r="C367" s="38" t="s">
        <v>511</v>
      </c>
      <c r="D367" s="21" t="n">
        <f aca="false">ROUND(Q367*R367,0)</f>
        <v>296</v>
      </c>
      <c r="E367" s="21" t="n">
        <f aca="false">ROUND(Q367,0)-D367</f>
        <v>281</v>
      </c>
      <c r="F367" s="21" t="n">
        <f aca="false">IF(COUNTA(D367:E367)=0,"",SUM(D367:E367))</f>
        <v>577</v>
      </c>
      <c r="G367" s="39" t="n">
        <f aca="false">IF(OR(F367="",F367=0),"",D367/F367)</f>
        <v>0.512998266897747</v>
      </c>
      <c r="H367" s="39" t="n">
        <f aca="false">IF(OR(F367="",F367=0),"",E367/F367)</f>
        <v>0.487001733102253</v>
      </c>
      <c r="I367" s="38" t="s">
        <v>191</v>
      </c>
      <c r="J367" s="40" t="n">
        <v>3.7041269898902</v>
      </c>
      <c r="K367" s="39" t="n">
        <f aca="false">IF(G367="","",MAX(0,G367-J367/100))</f>
        <v>0.475956996998845</v>
      </c>
      <c r="L367" s="39" t="n">
        <f aca="false">IF(G367="","",MIN(1,G367+J367/100))</f>
        <v>0.550039536796649</v>
      </c>
      <c r="M367" s="21" t="n">
        <f aca="false">ROUND(Q367*S367,0)</f>
        <v>45</v>
      </c>
      <c r="N367" s="21" t="n">
        <f aca="false">ROUND(SQRT((F367*J367/100)^2+(G367*M367)^2),0)</f>
        <v>31</v>
      </c>
      <c r="P367" s="41" t="n">
        <v>-1.50108055557639</v>
      </c>
      <c r="Q367" s="42" t="n">
        <v>577.197090396511</v>
      </c>
      <c r="R367" s="43" t="n">
        <f aca="false">MAX(0,MIN(1,P367/100+$D$5))</f>
        <v>0.511973893020858</v>
      </c>
      <c r="S367" s="43" t="n">
        <v>0.0779420971553049</v>
      </c>
      <c r="T367" s="44" t="s">
        <v>90</v>
      </c>
    </row>
    <row r="368" customFormat="false" ht="15" hidden="false" customHeight="false" outlineLevel="0" collapsed="false">
      <c r="A368" s="38" t="s">
        <v>344</v>
      </c>
      <c r="B368" s="38" t="s">
        <v>509</v>
      </c>
      <c r="C368" s="38" t="s">
        <v>512</v>
      </c>
      <c r="D368" s="21" t="n">
        <f aca="false">ROUND(Q368*R368,0)</f>
        <v>752</v>
      </c>
      <c r="E368" s="21" t="n">
        <f aca="false">ROUND(Q368,0)-D368</f>
        <v>652</v>
      </c>
      <c r="F368" s="21" t="n">
        <f aca="false">IF(COUNTA(D368:E368)=0,"",SUM(D368:E368))</f>
        <v>1404</v>
      </c>
      <c r="G368" s="39" t="n">
        <f aca="false">IF(OR(F368="",F368=0),"",D368/F368)</f>
        <v>0.535612535612536</v>
      </c>
      <c r="H368" s="39" t="n">
        <f aca="false">IF(OR(F368="",F368=0),"",E368/F368)</f>
        <v>0.464387464387464</v>
      </c>
      <c r="I368" s="38" t="s">
        <v>89</v>
      </c>
      <c r="J368" s="40" t="n">
        <v>1.26135644325249</v>
      </c>
      <c r="K368" s="39" t="n">
        <f aca="false">IF(G368="","",MAX(0,G368-J368/100))</f>
        <v>0.522998971180011</v>
      </c>
      <c r="L368" s="39" t="n">
        <f aca="false">IF(G368="","",MIN(1,G368+J368/100))</f>
        <v>0.54822610004506</v>
      </c>
      <c r="M368" s="21" t="n">
        <f aca="false">ROUND(Q368*S368,0)</f>
        <v>196</v>
      </c>
      <c r="N368" s="21" t="n">
        <f aca="false">ROUND(SQRT((F368*J368/100)^2+(G368*M368)^2),0)</f>
        <v>106</v>
      </c>
      <c r="P368" s="41" t="n">
        <v>0.892270906992711</v>
      </c>
      <c r="Q368" s="42" t="n">
        <v>1404.00949961788</v>
      </c>
      <c r="R368" s="43" t="n">
        <f aca="false">MAX(0,MIN(1,P368/100+$D$5))</f>
        <v>0.535907407646549</v>
      </c>
      <c r="S368" s="43" t="n">
        <v>0.139463116518417</v>
      </c>
      <c r="T368" s="44" t="s">
        <v>128</v>
      </c>
    </row>
    <row r="369" customFormat="false" ht="15" hidden="false" customHeight="false" outlineLevel="0" collapsed="false">
      <c r="A369" s="38" t="s">
        <v>344</v>
      </c>
      <c r="B369" s="38" t="s">
        <v>509</v>
      </c>
      <c r="C369" s="38" t="s">
        <v>513</v>
      </c>
      <c r="D369" s="21" t="n">
        <f aca="false">ROUND(Q369*R369,0)</f>
        <v>224</v>
      </c>
      <c r="E369" s="21" t="n">
        <f aca="false">ROUND(Q369,0)-D369</f>
        <v>212</v>
      </c>
      <c r="F369" s="21" t="n">
        <f aca="false">IF(COUNTA(D369:E369)=0,"",SUM(D369:E369))</f>
        <v>436</v>
      </c>
      <c r="G369" s="39" t="n">
        <f aca="false">IF(OR(F369="",F369=0),"",D369/F369)</f>
        <v>0.513761467889908</v>
      </c>
      <c r="H369" s="39" t="n">
        <f aca="false">IF(OR(F369="",F369=0),"",E369/F369)</f>
        <v>0.486238532110092</v>
      </c>
      <c r="I369" s="38" t="s">
        <v>191</v>
      </c>
      <c r="J369" s="40" t="n">
        <v>3.7041269898902</v>
      </c>
      <c r="K369" s="39" t="n">
        <f aca="false">IF(G369="","",MAX(0,G369-J369/100))</f>
        <v>0.476720197991006</v>
      </c>
      <c r="L369" s="39" t="n">
        <f aca="false">IF(G369="","",MIN(1,G369+J369/100))</f>
        <v>0.55080273778881</v>
      </c>
      <c r="M369" s="21" t="n">
        <f aca="false">ROUND(Q369*S369,0)</f>
        <v>34</v>
      </c>
      <c r="N369" s="21" t="n">
        <f aca="false">ROUND(SQRT((F369*J369/100)^2+(G369*M369)^2),0)</f>
        <v>24</v>
      </c>
      <c r="P369" s="41" t="n">
        <v>-1.36114475564936</v>
      </c>
      <c r="Q369" s="42" t="n">
        <v>435.763126195824</v>
      </c>
      <c r="R369" s="43" t="n">
        <f aca="false">MAX(0,MIN(1,P369/100+$D$5))</f>
        <v>0.513373251020128</v>
      </c>
      <c r="S369" s="43" t="n">
        <v>0.0779420971553049</v>
      </c>
      <c r="T369" s="44" t="s">
        <v>90</v>
      </c>
    </row>
    <row r="370" customFormat="false" ht="15" hidden="false" customHeight="false" outlineLevel="0" collapsed="false">
      <c r="A370" s="38" t="s">
        <v>344</v>
      </c>
      <c r="B370" s="38" t="s">
        <v>514</v>
      </c>
      <c r="C370" s="38" t="s">
        <v>515</v>
      </c>
      <c r="D370" s="21" t="n">
        <f aca="false">ROUND(Q370*R370,0)</f>
        <v>352</v>
      </c>
      <c r="E370" s="21" t="n">
        <f aca="false">ROUND(Q370,0)-D370</f>
        <v>465</v>
      </c>
      <c r="F370" s="21" t="n">
        <f aca="false">IF(COUNTA(D370:E370)=0,"",SUM(D370:E370))</f>
        <v>817</v>
      </c>
      <c r="G370" s="39" t="n">
        <f aca="false">IF(OR(F370="",F370=0),"",D370/F370)</f>
        <v>0.430844553243574</v>
      </c>
      <c r="H370" s="39" t="n">
        <f aca="false">IF(OR(F370="",F370=0),"",E370/F370)</f>
        <v>0.569155446756426</v>
      </c>
      <c r="I370" s="38" t="s">
        <v>89</v>
      </c>
      <c r="J370" s="40" t="n">
        <v>2.12060277043418</v>
      </c>
      <c r="K370" s="39" t="n">
        <f aca="false">IF(G370="","",MAX(0,G370-J370/100))</f>
        <v>0.409638525539232</v>
      </c>
      <c r="L370" s="39" t="n">
        <f aca="false">IF(G370="","",MIN(1,G370+J370/100))</f>
        <v>0.452050580947916</v>
      </c>
      <c r="M370" s="21" t="n">
        <f aca="false">ROUND(Q370*S370,0)</f>
        <v>52</v>
      </c>
      <c r="N370" s="21" t="n">
        <f aca="false">ROUND(SQRT((F370*J370/100)^2+(G370*M370)^2),0)</f>
        <v>28</v>
      </c>
      <c r="P370" s="41" t="n">
        <v>-9.60988231982651</v>
      </c>
      <c r="Q370" s="42" t="n">
        <v>816.931941712245</v>
      </c>
      <c r="R370" s="43" t="n">
        <f aca="false">MAX(0,MIN(1,P370/100+$D$5))</f>
        <v>0.430885875378357</v>
      </c>
      <c r="S370" s="43" t="n">
        <v>0.0633793435818552</v>
      </c>
      <c r="T370" s="44" t="s">
        <v>99</v>
      </c>
    </row>
    <row r="371" customFormat="false" ht="15" hidden="false" customHeight="false" outlineLevel="0" collapsed="false">
      <c r="A371" s="38" t="s">
        <v>344</v>
      </c>
      <c r="B371" s="38" t="s">
        <v>319</v>
      </c>
      <c r="C371" s="38" t="s">
        <v>516</v>
      </c>
      <c r="D371" s="21" t="n">
        <f aca="false">ROUND(Q371*R371,0)</f>
        <v>695</v>
      </c>
      <c r="E371" s="21" t="n">
        <f aca="false">ROUND(Q371,0)-D371</f>
        <v>1176</v>
      </c>
      <c r="F371" s="21" t="n">
        <f aca="false">IF(COUNTA(D371:E371)=0,"",SUM(D371:E371))</f>
        <v>1871</v>
      </c>
      <c r="G371" s="39" t="n">
        <f aca="false">IF(OR(F371="",F371=0),"",D371/F371)</f>
        <v>0.371459112773918</v>
      </c>
      <c r="H371" s="39" t="n">
        <f aca="false">IF(OR(F371="",F371=0),"",E371/F371)</f>
        <v>0.628540887226082</v>
      </c>
      <c r="I371" s="38" t="s">
        <v>89</v>
      </c>
      <c r="J371" s="40" t="n">
        <v>1.26135644325249</v>
      </c>
      <c r="K371" s="39" t="n">
        <f aca="false">IF(G371="","",MAX(0,G371-J371/100))</f>
        <v>0.358845548341393</v>
      </c>
      <c r="L371" s="39" t="n">
        <f aca="false">IF(G371="","",MIN(1,G371+J371/100))</f>
        <v>0.384072677206443</v>
      </c>
      <c r="M371" s="21" t="n">
        <f aca="false">ROUND(Q371*S371,0)</f>
        <v>261</v>
      </c>
      <c r="N371" s="21" t="n">
        <f aca="false">ROUND(SQRT((F371*J371/100)^2+(G371*M371)^2),0)</f>
        <v>100</v>
      </c>
      <c r="P371" s="41" t="n">
        <v>-15.5549133329125</v>
      </c>
      <c r="Q371" s="42" t="n">
        <v>1870.67688318226</v>
      </c>
      <c r="R371" s="43" t="n">
        <f aca="false">MAX(0,MIN(1,P371/100+$D$5))</f>
        <v>0.371435565247497</v>
      </c>
      <c r="S371" s="43" t="n">
        <v>0.139463116518417</v>
      </c>
      <c r="T371" s="44" t="s">
        <v>128</v>
      </c>
    </row>
    <row r="372" customFormat="false" ht="15" hidden="false" customHeight="false" outlineLevel="0" collapsed="false">
      <c r="A372" s="38" t="s">
        <v>344</v>
      </c>
      <c r="B372" s="38" t="s">
        <v>319</v>
      </c>
      <c r="C372" s="38" t="s">
        <v>517</v>
      </c>
      <c r="D372" s="21" t="n">
        <f aca="false">ROUND(Q372*R372,0)</f>
        <v>529</v>
      </c>
      <c r="E372" s="21" t="n">
        <f aca="false">ROUND(Q372,0)-D372</f>
        <v>916</v>
      </c>
      <c r="F372" s="21" t="n">
        <f aca="false">IF(COUNTA(D372:E372)=0,"",SUM(D372:E372))</f>
        <v>1445</v>
      </c>
      <c r="G372" s="39" t="n">
        <f aca="false">IF(OR(F372="",F372=0),"",D372/F372)</f>
        <v>0.366089965397924</v>
      </c>
      <c r="H372" s="39" t="n">
        <f aca="false">IF(OR(F372="",F372=0),"",E372/F372)</f>
        <v>0.633910034602076</v>
      </c>
      <c r="I372" s="38" t="s">
        <v>518</v>
      </c>
      <c r="J372" s="40" t="n">
        <v>1.26135644325249</v>
      </c>
      <c r="K372" s="39" t="n">
        <f aca="false">IF(G372="","",MAX(0,G372-J372/100))</f>
        <v>0.353476400965399</v>
      </c>
      <c r="L372" s="39" t="n">
        <f aca="false">IF(G372="","",MIN(1,G372+J372/100))</f>
        <v>0.378703529830449</v>
      </c>
      <c r="M372" s="21" t="n">
        <f aca="false">ROUND(Q372*S372,0)</f>
        <v>201</v>
      </c>
      <c r="N372" s="21" t="n">
        <f aca="false">ROUND(SQRT((F372*J372/100)^2+(G372*M372)^2),0)</f>
        <v>76</v>
      </c>
      <c r="P372" s="41" t="n">
        <v>-16.0706400011571</v>
      </c>
      <c r="Q372" s="42" t="n">
        <v>1444.77467692026</v>
      </c>
      <c r="R372" s="43" t="n">
        <f aca="false">MAX(0,MIN(1,P372/100+$D$5))</f>
        <v>0.36627829856505</v>
      </c>
      <c r="S372" s="43" t="n">
        <v>0.139463116518417</v>
      </c>
      <c r="T372" s="44" t="s">
        <v>128</v>
      </c>
    </row>
    <row r="373" customFormat="false" ht="15" hidden="false" customHeight="false" outlineLevel="0" collapsed="false">
      <c r="A373" s="38" t="s">
        <v>344</v>
      </c>
      <c r="B373" s="38" t="s">
        <v>519</v>
      </c>
      <c r="C373" s="38" t="s">
        <v>519</v>
      </c>
      <c r="D373" s="21" t="n">
        <f aca="false">ROUND(Q373*R373,0)</f>
        <v>243</v>
      </c>
      <c r="E373" s="21" t="n">
        <f aca="false">ROUND(Q373,0)-D373</f>
        <v>215</v>
      </c>
      <c r="F373" s="21" t="n">
        <f aca="false">IF(COUNTA(D373:E373)=0,"",SUM(D373:E373))</f>
        <v>458</v>
      </c>
      <c r="G373" s="39" t="n">
        <f aca="false">IF(OR(F373="",F373=0),"",D373/F373)</f>
        <v>0.53056768558952</v>
      </c>
      <c r="H373" s="39" t="n">
        <f aca="false">IF(OR(F373="",F373=0),"",E373/F373)</f>
        <v>0.46943231441048</v>
      </c>
      <c r="I373" s="38" t="s">
        <v>89</v>
      </c>
      <c r="J373" s="40" t="n">
        <v>3.7041269898902</v>
      </c>
      <c r="K373" s="39" t="n">
        <f aca="false">IF(G373="","",MAX(0,G373-J373/100))</f>
        <v>0.493526415690618</v>
      </c>
      <c r="L373" s="39" t="n">
        <f aca="false">IF(G373="","",MIN(1,G373+J373/100))</f>
        <v>0.567608955488422</v>
      </c>
      <c r="M373" s="21" t="n">
        <f aca="false">ROUND(Q373*S373,0)</f>
        <v>36</v>
      </c>
      <c r="N373" s="21" t="n">
        <f aca="false">ROUND(SQRT((F373*J373/100)^2+(G373*M373)^2),0)</f>
        <v>26</v>
      </c>
      <c r="P373" s="41" t="n">
        <v>0.245225945516242</v>
      </c>
      <c r="Q373" s="42" t="n">
        <v>458.340802629546</v>
      </c>
      <c r="R373" s="43" t="n">
        <f aca="false">MAX(0,MIN(1,P373/100+$D$5))</f>
        <v>0.529436958031784</v>
      </c>
      <c r="S373" s="43" t="n">
        <v>0.0779420971553049</v>
      </c>
      <c r="T373" s="44" t="s">
        <v>90</v>
      </c>
    </row>
    <row r="374" customFormat="false" ht="15" hidden="false" customHeight="false" outlineLevel="0" collapsed="false">
      <c r="A374" s="38" t="s">
        <v>344</v>
      </c>
      <c r="B374" s="38" t="s">
        <v>520</v>
      </c>
      <c r="C374" s="38" t="s">
        <v>521</v>
      </c>
      <c r="D374" s="21" t="n">
        <f aca="false">ROUND(Q374*R374,0)</f>
        <v>495</v>
      </c>
      <c r="E374" s="21" t="n">
        <f aca="false">ROUND(Q374,0)-D374</f>
        <v>546</v>
      </c>
      <c r="F374" s="21" t="n">
        <f aca="false">IF(COUNTA(D374:E374)=0,"",SUM(D374:E374))</f>
        <v>1041</v>
      </c>
      <c r="G374" s="39" t="n">
        <f aca="false">IF(OR(F374="",F374=0),"",D374/F374)</f>
        <v>0.475504322766571</v>
      </c>
      <c r="H374" s="39" t="n">
        <f aca="false">IF(OR(F374="",F374=0),"",E374/F374)</f>
        <v>0.524495677233429</v>
      </c>
      <c r="I374" s="38" t="s">
        <v>89</v>
      </c>
      <c r="J374" s="40" t="n">
        <v>2.12060277043418</v>
      </c>
      <c r="K374" s="39" t="n">
        <f aca="false">IF(G374="","",MAX(0,G374-J374/100))</f>
        <v>0.454298295062229</v>
      </c>
      <c r="L374" s="39" t="n">
        <f aca="false">IF(G374="","",MIN(1,G374+J374/100))</f>
        <v>0.496710350470912</v>
      </c>
      <c r="M374" s="21" t="n">
        <f aca="false">ROUND(Q374*S374,0)</f>
        <v>66</v>
      </c>
      <c r="N374" s="21" t="n">
        <f aca="false">ROUND(SQRT((F374*J374/100)^2+(G374*M374)^2),0)</f>
        <v>38</v>
      </c>
      <c r="P374" s="41" t="n">
        <v>-5.17287234181889</v>
      </c>
      <c r="Q374" s="42" t="n">
        <v>1040.60617488812</v>
      </c>
      <c r="R374" s="43" t="n">
        <f aca="false">MAX(0,MIN(1,P374/100+$D$5))</f>
        <v>0.475255975158433</v>
      </c>
      <c r="S374" s="43" t="n">
        <v>0.0633793435818552</v>
      </c>
      <c r="T374" s="44" t="s">
        <v>99</v>
      </c>
    </row>
    <row r="375" customFormat="false" ht="15" hidden="false" customHeight="false" outlineLevel="0" collapsed="false">
      <c r="A375" s="38" t="s">
        <v>344</v>
      </c>
      <c r="B375" s="38" t="s">
        <v>520</v>
      </c>
      <c r="C375" s="38" t="s">
        <v>522</v>
      </c>
      <c r="D375" s="21" t="n">
        <f aca="false">ROUND(Q375*R375,0)</f>
        <v>421</v>
      </c>
      <c r="E375" s="21" t="n">
        <f aca="false">ROUND(Q375,0)-D375</f>
        <v>546</v>
      </c>
      <c r="F375" s="21" t="n">
        <f aca="false">IF(COUNTA(D375:E375)=0,"",SUM(D375:E375))</f>
        <v>967</v>
      </c>
      <c r="G375" s="39" t="n">
        <f aca="false">IF(OR(F375="",F375=0),"",D375/F375)</f>
        <v>0.435367114788004</v>
      </c>
      <c r="H375" s="39" t="n">
        <f aca="false">IF(OR(F375="",F375=0),"",E375/F375)</f>
        <v>0.564632885211996</v>
      </c>
      <c r="I375" s="38" t="s">
        <v>89</v>
      </c>
      <c r="J375" s="40" t="n">
        <v>2.12060277043418</v>
      </c>
      <c r="K375" s="39" t="n">
        <f aca="false">IF(G375="","",MAX(0,G375-J375/100))</f>
        <v>0.414161087083662</v>
      </c>
      <c r="L375" s="39" t="n">
        <f aca="false">IF(G375="","",MIN(1,G375+J375/100))</f>
        <v>0.456573142492346</v>
      </c>
      <c r="M375" s="21" t="n">
        <f aca="false">ROUND(Q375*S375,0)</f>
        <v>61</v>
      </c>
      <c r="N375" s="21" t="n">
        <f aca="false">ROUND(SQRT((F375*J375/100)^2+(G375*M375)^2),0)</f>
        <v>34</v>
      </c>
      <c r="P375" s="41" t="n">
        <v>-9.1514608769512</v>
      </c>
      <c r="Q375" s="42" t="n">
        <v>967.065801910546</v>
      </c>
      <c r="R375" s="43" t="n">
        <f aca="false">MAX(0,MIN(1,P375/100+$D$5))</f>
        <v>0.43547008980711</v>
      </c>
      <c r="S375" s="43" t="n">
        <v>0.0633793435818552</v>
      </c>
      <c r="T375" s="44" t="s">
        <v>99</v>
      </c>
    </row>
    <row r="376" customFormat="false" ht="15" hidden="false" customHeight="false" outlineLevel="0" collapsed="false">
      <c r="A376" s="38" t="s">
        <v>344</v>
      </c>
      <c r="B376" s="38" t="s">
        <v>520</v>
      </c>
      <c r="C376" s="38" t="s">
        <v>523</v>
      </c>
      <c r="D376" s="21" t="n">
        <f aca="false">ROUND(Q376*R376,0)</f>
        <v>510</v>
      </c>
      <c r="E376" s="21" t="n">
        <f aca="false">ROUND(Q376,0)-D376</f>
        <v>442</v>
      </c>
      <c r="F376" s="21" t="n">
        <f aca="false">IF(COUNTA(D376:E376)=0,"",SUM(D376:E376))</f>
        <v>952</v>
      </c>
      <c r="G376" s="39" t="n">
        <f aca="false">IF(OR(F376="",F376=0),"",D376/F376)</f>
        <v>0.535714285714286</v>
      </c>
      <c r="H376" s="39" t="n">
        <f aca="false">IF(OR(F376="",F376=0),"",E376/F376)</f>
        <v>0.464285714285714</v>
      </c>
      <c r="I376" s="38" t="s">
        <v>89</v>
      </c>
      <c r="J376" s="40" t="n">
        <v>2.12060277043418</v>
      </c>
      <c r="K376" s="39" t="n">
        <f aca="false">IF(G376="","",MAX(0,G376-J376/100))</f>
        <v>0.514508258009944</v>
      </c>
      <c r="L376" s="39" t="n">
        <f aca="false">IF(G376="","",MIN(1,G376+J376/100))</f>
        <v>0.556920313418628</v>
      </c>
      <c r="M376" s="21" t="n">
        <f aca="false">ROUND(Q376*S376,0)</f>
        <v>60</v>
      </c>
      <c r="N376" s="21" t="n">
        <f aca="false">ROUND(SQRT((F376*J376/100)^2+(G376*M376)^2),0)</f>
        <v>38</v>
      </c>
      <c r="P376" s="41" t="n">
        <v>0.882175956323804</v>
      </c>
      <c r="Q376" s="42" t="n">
        <v>952.284478722297</v>
      </c>
      <c r="R376" s="43" t="n">
        <f aca="false">MAX(0,MIN(1,P376/100+$D$5))</f>
        <v>0.53580645813986</v>
      </c>
      <c r="S376" s="43" t="n">
        <v>0.0633793435818552</v>
      </c>
      <c r="T376" s="44" t="s">
        <v>99</v>
      </c>
    </row>
    <row r="377" customFormat="false" ht="15" hidden="false" customHeight="false" outlineLevel="0" collapsed="false">
      <c r="A377" s="38" t="s">
        <v>344</v>
      </c>
      <c r="B377" s="38" t="s">
        <v>520</v>
      </c>
      <c r="C377" s="38" t="s">
        <v>524</v>
      </c>
      <c r="D377" s="21" t="n">
        <f aca="false">ROUND(Q377*R377,0)</f>
        <v>286</v>
      </c>
      <c r="E377" s="21" t="n">
        <f aca="false">ROUND(Q377,0)-D377</f>
        <v>334</v>
      </c>
      <c r="F377" s="21" t="n">
        <f aca="false">IF(COUNTA(D377:E377)=0,"",SUM(D377:E377))</f>
        <v>620</v>
      </c>
      <c r="G377" s="39" t="n">
        <f aca="false">IF(OR(F377="",F377=0),"",D377/F377)</f>
        <v>0.461290322580645</v>
      </c>
      <c r="H377" s="39" t="n">
        <f aca="false">IF(OR(F377="",F377=0),"",E377/F377)</f>
        <v>0.538709677419355</v>
      </c>
      <c r="I377" s="38" t="s">
        <v>89</v>
      </c>
      <c r="J377" s="40" t="n">
        <v>3.7041269898902</v>
      </c>
      <c r="K377" s="39" t="n">
        <f aca="false">IF(G377="","",MAX(0,G377-J377/100))</f>
        <v>0.424249052681743</v>
      </c>
      <c r="L377" s="39" t="n">
        <f aca="false">IF(G377="","",MIN(1,G377+J377/100))</f>
        <v>0.498331592479547</v>
      </c>
      <c r="M377" s="21" t="n">
        <f aca="false">ROUND(Q377*S377,0)</f>
        <v>48</v>
      </c>
      <c r="N377" s="21" t="n">
        <f aca="false">ROUND(SQRT((F377*J377/100)^2+(G377*M377)^2),0)</f>
        <v>32</v>
      </c>
      <c r="P377" s="41" t="n">
        <v>-6.51568262416358</v>
      </c>
      <c r="Q377" s="42" t="n">
        <v>619.710844843724</v>
      </c>
      <c r="R377" s="43" t="n">
        <f aca="false">MAX(0,MIN(1,P377/100+$D$5))</f>
        <v>0.461827872334986</v>
      </c>
      <c r="S377" s="43" t="n">
        <v>0.0779420971553049</v>
      </c>
      <c r="T377" s="44" t="s">
        <v>90</v>
      </c>
    </row>
    <row r="378" customFormat="false" ht="15" hidden="false" customHeight="false" outlineLevel="0" collapsed="false">
      <c r="A378" s="38" t="s">
        <v>344</v>
      </c>
      <c r="B378" s="38" t="s">
        <v>525</v>
      </c>
      <c r="C378" s="38" t="s">
        <v>526</v>
      </c>
      <c r="D378" s="21" t="n">
        <f aca="false">ROUND(Q378*R378,0)</f>
        <v>490</v>
      </c>
      <c r="E378" s="21" t="n">
        <f aca="false">ROUND(Q378,0)-D378</f>
        <v>295</v>
      </c>
      <c r="F378" s="21" t="n">
        <f aca="false">IF(COUNTA(D378:E378)=0,"",SUM(D378:E378))</f>
        <v>785</v>
      </c>
      <c r="G378" s="39" t="n">
        <f aca="false">IF(OR(F378="",F378=0),"",D378/F378)</f>
        <v>0.624203821656051</v>
      </c>
      <c r="H378" s="39" t="n">
        <f aca="false">IF(OR(F378="",F378=0),"",E378/F378)</f>
        <v>0.375796178343949</v>
      </c>
      <c r="I378" s="38" t="s">
        <v>89</v>
      </c>
      <c r="J378" s="40" t="n">
        <v>2.12060277043418</v>
      </c>
      <c r="K378" s="39" t="n">
        <f aca="false">IF(G378="","",MAX(0,G378-J378/100))</f>
        <v>0.602997793951709</v>
      </c>
      <c r="L378" s="39" t="n">
        <f aca="false">IF(G378="","",MIN(1,G378+J378/100))</f>
        <v>0.645409849360393</v>
      </c>
      <c r="M378" s="21" t="n">
        <f aca="false">ROUND(Q378*S378,0)</f>
        <v>50</v>
      </c>
      <c r="N378" s="21" t="n">
        <f aca="false">ROUND(SQRT((F378*J378/100)^2+(G378*M378)^2),0)</f>
        <v>35</v>
      </c>
      <c r="P378" s="41" t="n">
        <v>9.71369445441981</v>
      </c>
      <c r="Q378" s="42" t="n">
        <v>784.542356154909</v>
      </c>
      <c r="R378" s="43" t="n">
        <f aca="false">MAX(0,MIN(1,P378/100+$D$5))</f>
        <v>0.62412164312082</v>
      </c>
      <c r="S378" s="43" t="n">
        <v>0.0633793435818552</v>
      </c>
      <c r="T378" s="44" t="s">
        <v>99</v>
      </c>
    </row>
    <row r="379" customFormat="false" ht="15" hidden="false" customHeight="false" outlineLevel="0" collapsed="false">
      <c r="A379" s="38" t="s">
        <v>344</v>
      </c>
      <c r="B379" s="38" t="s">
        <v>525</v>
      </c>
      <c r="C379" s="38" t="s">
        <v>527</v>
      </c>
      <c r="D379" s="21" t="n">
        <f aca="false">ROUND(Q379*R379,0)</f>
        <v>389</v>
      </c>
      <c r="E379" s="21" t="n">
        <f aca="false">ROUND(Q379,0)-D379</f>
        <v>253</v>
      </c>
      <c r="F379" s="21" t="n">
        <f aca="false">IF(COUNTA(D379:E379)=0,"",SUM(D379:E379))</f>
        <v>642</v>
      </c>
      <c r="G379" s="39" t="n">
        <f aca="false">IF(OR(F379="",F379=0),"",D379/F379)</f>
        <v>0.605919003115265</v>
      </c>
      <c r="H379" s="39" t="n">
        <f aca="false">IF(OR(F379="",F379=0),"",E379/F379)</f>
        <v>0.394080996884735</v>
      </c>
      <c r="I379" s="38" t="s">
        <v>89</v>
      </c>
      <c r="J379" s="40" t="n">
        <v>3.7041269898902</v>
      </c>
      <c r="K379" s="39" t="n">
        <f aca="false">IF(G379="","",MAX(0,G379-J379/100))</f>
        <v>0.568877733216363</v>
      </c>
      <c r="L379" s="39" t="n">
        <f aca="false">IF(G379="","",MIN(1,G379+J379/100))</f>
        <v>0.642960273014167</v>
      </c>
      <c r="M379" s="21" t="n">
        <f aca="false">ROUND(Q379*S379,0)</f>
        <v>50</v>
      </c>
      <c r="N379" s="21" t="n">
        <f aca="false">ROUND(SQRT((F379*J379/100)^2+(G379*M379)^2),0)</f>
        <v>39</v>
      </c>
      <c r="P379" s="41" t="n">
        <v>7.84308065896004</v>
      </c>
      <c r="Q379" s="42" t="n">
        <v>642.477763036208</v>
      </c>
      <c r="R379" s="43" t="n">
        <f aca="false">MAX(0,MIN(1,P379/100+$D$5))</f>
        <v>0.605415505166222</v>
      </c>
      <c r="S379" s="43" t="n">
        <v>0.0779420971553049</v>
      </c>
      <c r="T379" s="44" t="s">
        <v>90</v>
      </c>
    </row>
    <row r="380" customFormat="false" ht="15" hidden="false" customHeight="false" outlineLevel="0" collapsed="false">
      <c r="A380" s="38" t="s">
        <v>344</v>
      </c>
      <c r="B380" s="38" t="s">
        <v>525</v>
      </c>
      <c r="C380" s="38" t="s">
        <v>528</v>
      </c>
      <c r="D380" s="21" t="n">
        <f aca="false">ROUND(Q380*R380,0)</f>
        <v>587</v>
      </c>
      <c r="E380" s="21" t="n">
        <f aca="false">ROUND(Q380,0)-D380</f>
        <v>421</v>
      </c>
      <c r="F380" s="21" t="n">
        <f aca="false">IF(COUNTA(D380:E380)=0,"",SUM(D380:E380))</f>
        <v>1008</v>
      </c>
      <c r="G380" s="39" t="n">
        <f aca="false">IF(OR(F380="",F380=0),"",D380/F380)</f>
        <v>0.58234126984127</v>
      </c>
      <c r="H380" s="39" t="n">
        <f aca="false">IF(OR(F380="",F380=0),"",E380/F380)</f>
        <v>0.41765873015873</v>
      </c>
      <c r="I380" s="38" t="s">
        <v>89</v>
      </c>
      <c r="J380" s="40" t="n">
        <v>2.12060277043418</v>
      </c>
      <c r="K380" s="39" t="n">
        <f aca="false">IF(G380="","",MAX(0,G380-J380/100))</f>
        <v>0.561135242136928</v>
      </c>
      <c r="L380" s="39" t="n">
        <f aca="false">IF(G380="","",MIN(1,G380+J380/100))</f>
        <v>0.603547297545612</v>
      </c>
      <c r="M380" s="21" t="n">
        <f aca="false">ROUND(Q380*S380,0)</f>
        <v>64</v>
      </c>
      <c r="N380" s="21" t="n">
        <f aca="false">ROUND(SQRT((F380*J380/100)^2+(G380*M380)^2),0)</f>
        <v>43</v>
      </c>
      <c r="P380" s="41" t="n">
        <v>5.60166279965323</v>
      </c>
      <c r="Q380" s="42" t="n">
        <v>1007.65488390747</v>
      </c>
      <c r="R380" s="43" t="n">
        <f aca="false">MAX(0,MIN(1,P380/100+$D$5))</f>
        <v>0.583001326573154</v>
      </c>
      <c r="S380" s="43" t="n">
        <v>0.0633793435818552</v>
      </c>
      <c r="T380" s="44" t="s">
        <v>99</v>
      </c>
    </row>
    <row r="381" customFormat="false" ht="15" hidden="false" customHeight="false" outlineLevel="0" collapsed="false">
      <c r="A381" s="38" t="s">
        <v>344</v>
      </c>
      <c r="B381" s="38" t="s">
        <v>529</v>
      </c>
      <c r="C381" s="38" t="s">
        <v>529</v>
      </c>
      <c r="D381" s="21" t="n">
        <f aca="false">ROUND(Q381*R381,0)</f>
        <v>574</v>
      </c>
      <c r="E381" s="21" t="n">
        <f aca="false">ROUND(Q381,0)-D381</f>
        <v>627</v>
      </c>
      <c r="F381" s="21" t="n">
        <f aca="false">IF(COUNTA(D381:E381)=0,"",SUM(D381:E381))</f>
        <v>1201</v>
      </c>
      <c r="G381" s="39" t="n">
        <f aca="false">IF(OR(F381="",F381=0),"",D381/F381)</f>
        <v>0.477935054121565</v>
      </c>
      <c r="H381" s="39" t="n">
        <f aca="false">IF(OR(F381="",F381=0),"",E381/F381)</f>
        <v>0.522064945878435</v>
      </c>
      <c r="I381" s="38" t="s">
        <v>89</v>
      </c>
      <c r="J381" s="40" t="n">
        <v>1.26135644325249</v>
      </c>
      <c r="K381" s="39" t="n">
        <f aca="false">IF(G381="","",MAX(0,G381-J381/100))</f>
        <v>0.46532148968904</v>
      </c>
      <c r="L381" s="39" t="n">
        <f aca="false">IF(G381="","",MIN(1,G381+J381/100))</f>
        <v>0.49054861855409</v>
      </c>
      <c r="M381" s="21" t="n">
        <f aca="false">ROUND(Q381*S381,0)</f>
        <v>168</v>
      </c>
      <c r="N381" s="21" t="n">
        <f aca="false">ROUND(SQRT((F381*J381/100)^2+(G381*M381)^2),0)</f>
        <v>82</v>
      </c>
      <c r="P381" s="41" t="n">
        <v>-4.9390022935437</v>
      </c>
      <c r="Q381" s="42" t="n">
        <v>1201.42320392547</v>
      </c>
      <c r="R381" s="43" t="n">
        <f aca="false">MAX(0,MIN(1,P381/100+$D$5))</f>
        <v>0.477594675641185</v>
      </c>
      <c r="S381" s="43" t="n">
        <v>0.139463116518417</v>
      </c>
      <c r="T381" s="44" t="s">
        <v>128</v>
      </c>
    </row>
  </sheetData>
  <mergeCells count="4">
    <mergeCell ref="A3:I3"/>
    <mergeCell ref="A6:N6"/>
    <mergeCell ref="A9:N9"/>
    <mergeCell ref="A10:N10"/>
  </mergeCells>
  <conditionalFormatting sqref="G12:G381">
    <cfRule type="colorScale" priority="2">
      <colorScale>
        <cfvo type="num" val="0.25"/>
        <cfvo type="num" val="0.5"/>
        <cfvo type="num" val="0.75"/>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14"/>
    <col collapsed="false" customWidth="true" hidden="false" outlineLevel="0" max="7" min="5" style="0" width="16"/>
    <col collapsed="false" customWidth="true" hidden="false" outlineLevel="0" max="10" min="8" style="0" width="13"/>
  </cols>
  <sheetData>
    <row r="1" customFormat="false" ht="17.35" hidden="false" customHeight="false" outlineLevel="0" collapsed="false">
      <c r="A1" s="1" t="s">
        <v>534</v>
      </c>
    </row>
    <row r="3" customFormat="false" ht="15" hidden="false" customHeight="false" outlineLevel="0" collapsed="false">
      <c r="A3" s="5" t="s">
        <v>535</v>
      </c>
    </row>
    <row r="4" customFormat="false" ht="45.75" hidden="false" customHeight="true" outlineLevel="0" collapsed="false">
      <c r="A4" s="45" t="s">
        <v>536</v>
      </c>
      <c r="B4" s="45"/>
      <c r="C4" s="45"/>
      <c r="D4" s="45"/>
      <c r="E4" s="45"/>
      <c r="F4" s="45"/>
      <c r="G4" s="45"/>
      <c r="H4" s="45"/>
      <c r="I4" s="45"/>
    </row>
    <row r="5" customFormat="false" ht="15" hidden="false" customHeight="false" outlineLevel="0" collapsed="false">
      <c r="A5" s="5" t="s">
        <v>537</v>
      </c>
    </row>
    <row r="6" customFormat="false" ht="45.75" hidden="false" customHeight="true" outlineLevel="0" collapsed="false">
      <c r="A6" s="45" t="s">
        <v>538</v>
      </c>
      <c r="B6" s="45"/>
      <c r="C6" s="45"/>
      <c r="D6" s="45"/>
      <c r="E6" s="45"/>
      <c r="F6" s="45"/>
      <c r="G6" s="45"/>
      <c r="H6" s="45"/>
      <c r="I6" s="45"/>
    </row>
    <row r="7" customFormat="false" ht="15" hidden="false" customHeight="false" outlineLevel="0" collapsed="false">
      <c r="A7" s="5" t="s">
        <v>539</v>
      </c>
    </row>
    <row r="8" customFormat="false" ht="45.75" hidden="false" customHeight="true" outlineLevel="0" collapsed="false">
      <c r="A8" s="45" t="s">
        <v>540</v>
      </c>
      <c r="B8" s="45"/>
      <c r="C8" s="45"/>
      <c r="D8" s="45"/>
      <c r="E8" s="45"/>
      <c r="F8" s="45"/>
      <c r="G8" s="45"/>
      <c r="H8" s="45"/>
      <c r="I8" s="45"/>
    </row>
    <row r="10" customFormat="false" ht="15" hidden="false" customHeight="false" outlineLevel="0" collapsed="false">
      <c r="A10" s="4" t="s">
        <v>541</v>
      </c>
      <c r="B10" s="4"/>
      <c r="C10" s="4"/>
      <c r="D10" s="4"/>
      <c r="E10" s="4"/>
      <c r="F10" s="4"/>
      <c r="G10" s="4"/>
      <c r="H10" s="4"/>
      <c r="I10" s="4"/>
    </row>
    <row r="11" customFormat="false" ht="31.5" hidden="false" customHeight="true" outlineLevel="0" collapsed="false">
      <c r="A11" s="7" t="s">
        <v>542</v>
      </c>
      <c r="B11" s="7" t="s">
        <v>543</v>
      </c>
      <c r="C11" s="7" t="s">
        <v>544</v>
      </c>
      <c r="D11" s="7" t="s">
        <v>545</v>
      </c>
      <c r="E11" s="7" t="s">
        <v>546</v>
      </c>
      <c r="F11" s="7" t="s">
        <v>547</v>
      </c>
      <c r="G11" s="7" t="s">
        <v>548</v>
      </c>
      <c r="H11" s="7" t="s">
        <v>549</v>
      </c>
      <c r="I11" s="7" t="s">
        <v>550</v>
      </c>
      <c r="J11" s="7" t="s">
        <v>551</v>
      </c>
    </row>
    <row r="12" customFormat="false" ht="15" hidden="false" customHeight="false" outlineLevel="0" collapsed="false">
      <c r="A12" s="16" t="s">
        <v>552</v>
      </c>
      <c r="B12" s="9" t="n">
        <v>0.0037702470941466</v>
      </c>
      <c r="C12" s="9" t="n">
        <v>0</v>
      </c>
      <c r="D12" s="9" t="n">
        <v>0.00366522897743315</v>
      </c>
      <c r="E12" s="9" t="n">
        <v>0.0110432813971276</v>
      </c>
      <c r="F12" s="9" t="n">
        <v>0</v>
      </c>
      <c r="G12" s="9" t="n">
        <v>0.0143620858927956</v>
      </c>
      <c r="H12" s="9" t="n">
        <v>0.00636720972085122</v>
      </c>
      <c r="I12" s="9" t="n">
        <v>0</v>
      </c>
      <c r="J12" s="9" t="n">
        <v>0.00682146190557875</v>
      </c>
    </row>
    <row r="13" customFormat="false" ht="15" hidden="false" customHeight="false" outlineLevel="0" collapsed="false">
      <c r="A13" s="16" t="s">
        <v>553</v>
      </c>
      <c r="B13" s="9" t="n">
        <v>0.018879771965252</v>
      </c>
      <c r="C13" s="9" t="n">
        <v>0</v>
      </c>
      <c r="D13" s="9" t="n">
        <v>0.0183383552278423</v>
      </c>
      <c r="E13" s="9" t="n">
        <v>0.025734147537008</v>
      </c>
      <c r="F13" s="9" t="n">
        <v>0</v>
      </c>
      <c r="G13" s="9" t="n">
        <v>0.0669359086331925</v>
      </c>
      <c r="H13" s="9" t="n">
        <v>0.0213272452546261</v>
      </c>
      <c r="I13" s="9" t="n">
        <v>0</v>
      </c>
      <c r="J13" s="9" t="n">
        <v>0.0326776325967856</v>
      </c>
    </row>
    <row r="14" customFormat="false" ht="15" hidden="false" customHeight="false" outlineLevel="0" collapsed="false">
      <c r="A14" s="16" t="s">
        <v>554</v>
      </c>
      <c r="B14" s="9" t="n">
        <v>0.73496245861599</v>
      </c>
      <c r="C14" s="9" t="n">
        <v>0.681973814628143</v>
      </c>
      <c r="D14" s="9" t="n">
        <v>0.772709507183352</v>
      </c>
      <c r="E14" s="9" t="n">
        <v>0.523772966382655</v>
      </c>
      <c r="F14" s="9" t="n">
        <v>0.560202953054042</v>
      </c>
      <c r="G14" s="9" t="n">
        <v>0.340590448662777</v>
      </c>
      <c r="H14" s="9" t="n">
        <v>0.659553599584773</v>
      </c>
      <c r="I14" s="9" t="n">
        <v>0.636432897949408</v>
      </c>
      <c r="J14" s="9" t="n">
        <v>0.645207717435825</v>
      </c>
    </row>
    <row r="15" customFormat="false" ht="15" hidden="false" customHeight="false" outlineLevel="0" collapsed="false">
      <c r="A15" s="16" t="s">
        <v>555</v>
      </c>
      <c r="B15" s="9" t="n">
        <v>0.242387522324612</v>
      </c>
      <c r="C15" s="9" t="n">
        <v>0.318026185371857</v>
      </c>
      <c r="D15" s="9" t="n">
        <v>0.205286908611373</v>
      </c>
      <c r="E15" s="9" t="n">
        <v>0.43944960468321</v>
      </c>
      <c r="F15" s="9" t="n">
        <v>0.439797046945958</v>
      </c>
      <c r="G15" s="9" t="n">
        <v>0.578111556811235</v>
      </c>
      <c r="H15" s="9" t="n">
        <v>0.31275194543975</v>
      </c>
      <c r="I15" s="9" t="n">
        <v>0.363567102050593</v>
      </c>
      <c r="J15" s="9" t="n">
        <v>0.31529318806181</v>
      </c>
    </row>
    <row r="17" customFormat="false" ht="15" hidden="false" customHeight="false" outlineLevel="0" collapsed="false">
      <c r="A17" s="4" t="s">
        <v>556</v>
      </c>
      <c r="B17" s="4"/>
      <c r="C17" s="4"/>
      <c r="D17" s="4"/>
      <c r="E17" s="4"/>
      <c r="F17" s="4"/>
      <c r="G17" s="4"/>
      <c r="H17" s="4"/>
      <c r="I17" s="4"/>
    </row>
    <row r="18" customFormat="false" ht="31.5" hidden="false" customHeight="true" outlineLevel="0" collapsed="false">
      <c r="A18" s="7" t="s">
        <v>542</v>
      </c>
      <c r="B18" s="7" t="s">
        <v>557</v>
      </c>
      <c r="C18" s="7" t="s">
        <v>558</v>
      </c>
      <c r="D18" s="7" t="s">
        <v>559</v>
      </c>
      <c r="E18" s="7" t="s">
        <v>560</v>
      </c>
    </row>
    <row r="19" customFormat="false" ht="15" hidden="false" customHeight="false" outlineLevel="0" collapsed="false">
      <c r="A19" s="5" t="s">
        <v>552</v>
      </c>
      <c r="B19" s="46" t="n">
        <v>1</v>
      </c>
      <c r="C19" s="46" t="n">
        <v>1</v>
      </c>
      <c r="D19" s="46" t="n">
        <v>1</v>
      </c>
      <c r="E19" s="3" t="s">
        <v>561</v>
      </c>
    </row>
    <row r="20" customFormat="false" ht="15" hidden="false" customHeight="false" outlineLevel="0" collapsed="false">
      <c r="A20" s="5" t="s">
        <v>553</v>
      </c>
      <c r="B20" s="46" t="n">
        <v>1</v>
      </c>
      <c r="C20" s="46" t="n">
        <v>2</v>
      </c>
      <c r="D20" s="46" t="n">
        <v>1</v>
      </c>
      <c r="E20" s="3" t="s">
        <v>562</v>
      </c>
    </row>
    <row r="21" customFormat="false" ht="15" hidden="false" customHeight="false" outlineLevel="0" collapsed="false">
      <c r="A21" s="5" t="s">
        <v>554</v>
      </c>
      <c r="B21" s="46" t="n">
        <v>1.08146732138672</v>
      </c>
      <c r="C21" s="46" t="n">
        <v>0.50000000000013</v>
      </c>
      <c r="D21" s="46" t="n">
        <v>0.978141710272924</v>
      </c>
      <c r="E21" s="3" t="s">
        <v>563</v>
      </c>
    </row>
    <row r="22" customFormat="false" ht="15" hidden="false" customHeight="false" outlineLevel="0" collapsed="false">
      <c r="A22" s="5" t="s">
        <v>555</v>
      </c>
      <c r="B22" s="46" t="n">
        <v>0.871491166520102</v>
      </c>
      <c r="C22" s="46" t="n">
        <v>1.01154030534078</v>
      </c>
      <c r="D22" s="46" t="n">
        <v>1.24350752602877</v>
      </c>
      <c r="E22" s="3" t="s">
        <v>564</v>
      </c>
    </row>
    <row r="23" customFormat="false" ht="15" hidden="false" customHeight="false" outlineLevel="0" collapsed="false">
      <c r="A23" s="3" t="s">
        <v>565</v>
      </c>
    </row>
    <row r="25" customFormat="false" ht="15" hidden="false" customHeight="false" outlineLevel="0" collapsed="false">
      <c r="A25" s="4" t="s">
        <v>566</v>
      </c>
      <c r="B25" s="4"/>
      <c r="C25" s="4"/>
      <c r="D25" s="4"/>
      <c r="E25" s="4"/>
      <c r="F25" s="4"/>
      <c r="G25" s="4"/>
      <c r="H25" s="4"/>
      <c r="I25" s="4"/>
    </row>
    <row r="26" customFormat="false" ht="31.5" hidden="false" customHeight="true" outlineLevel="0" collapsed="false">
      <c r="A26" s="7" t="s">
        <v>567</v>
      </c>
      <c r="B26" s="7" t="s">
        <v>568</v>
      </c>
      <c r="C26" s="7" t="s">
        <v>569</v>
      </c>
      <c r="D26" s="7" t="s">
        <v>570</v>
      </c>
      <c r="E26" s="7" t="s">
        <v>571</v>
      </c>
    </row>
    <row r="27" customFormat="false" ht="15" hidden="false" customHeight="false" outlineLevel="0" collapsed="false">
      <c r="A27" s="38" t="s">
        <v>572</v>
      </c>
      <c r="B27" s="38" t="s">
        <v>573</v>
      </c>
      <c r="C27" s="38" t="n">
        <v>20</v>
      </c>
      <c r="D27" s="39" t="n">
        <v>0.295756429329796</v>
      </c>
      <c r="E27" s="16" t="s">
        <v>574</v>
      </c>
    </row>
    <row r="28" customFormat="false" ht="15" hidden="false" customHeight="false" outlineLevel="0" collapsed="false">
      <c r="A28" s="38" t="s">
        <v>575</v>
      </c>
      <c r="B28" s="38" t="s">
        <v>573</v>
      </c>
      <c r="C28" s="38" t="n">
        <v>20</v>
      </c>
      <c r="D28" s="39" t="n">
        <v>0.194047279611282</v>
      </c>
      <c r="E28" s="16" t="s">
        <v>574</v>
      </c>
    </row>
    <row r="29" customFormat="false" ht="15" hidden="false" customHeight="false" outlineLevel="0" collapsed="false">
      <c r="A29" s="38" t="s">
        <v>576</v>
      </c>
      <c r="B29" s="38" t="s">
        <v>573</v>
      </c>
      <c r="C29" s="38" t="n">
        <v>20</v>
      </c>
      <c r="D29" s="39" t="n">
        <v>0.131124777356041</v>
      </c>
      <c r="E29" s="16" t="s">
        <v>574</v>
      </c>
    </row>
    <row r="30" customFormat="false" ht="15" hidden="false" customHeight="false" outlineLevel="0" collapsed="false">
      <c r="A30" s="38" t="s">
        <v>577</v>
      </c>
      <c r="B30" s="38" t="s">
        <v>573</v>
      </c>
      <c r="C30" s="38" t="n">
        <v>20</v>
      </c>
      <c r="D30" s="39" t="n">
        <v>0.111056024665298</v>
      </c>
      <c r="E30" s="16" t="s">
        <v>574</v>
      </c>
    </row>
    <row r="31" customFormat="false" ht="15" hidden="false" customHeight="false" outlineLevel="0" collapsed="false">
      <c r="A31" s="38" t="s">
        <v>578</v>
      </c>
      <c r="B31" s="38" t="s">
        <v>573</v>
      </c>
      <c r="C31" s="38" t="n">
        <v>20</v>
      </c>
      <c r="D31" s="39" t="n">
        <v>0.0784636485079385</v>
      </c>
      <c r="E31" s="16" t="s">
        <v>574</v>
      </c>
    </row>
    <row r="32" customFormat="false" ht="15" hidden="false" customHeight="false" outlineLevel="0" collapsed="false">
      <c r="A32" s="38" t="s">
        <v>579</v>
      </c>
      <c r="B32" s="38" t="s">
        <v>573</v>
      </c>
      <c r="C32" s="38" t="n">
        <v>20</v>
      </c>
      <c r="D32" s="39" t="n">
        <v>0.072851368429534</v>
      </c>
      <c r="E32" s="16" t="s">
        <v>574</v>
      </c>
    </row>
    <row r="33" customFormat="false" ht="15" hidden="false" customHeight="false" outlineLevel="0" collapsed="false">
      <c r="A33" s="38" t="s">
        <v>580</v>
      </c>
      <c r="B33" s="38" t="s">
        <v>573</v>
      </c>
      <c r="C33" s="38" t="n">
        <v>20</v>
      </c>
      <c r="D33" s="39" t="n">
        <v>0.0177291097961352</v>
      </c>
      <c r="E33" s="38" t="s">
        <v>581</v>
      </c>
    </row>
    <row r="34" customFormat="false" ht="15" hidden="false" customHeight="false" outlineLevel="0" collapsed="false">
      <c r="A34" s="38" t="s">
        <v>582</v>
      </c>
      <c r="B34" s="38" t="s">
        <v>573</v>
      </c>
      <c r="C34" s="38" t="n">
        <v>20</v>
      </c>
      <c r="D34" s="39" t="n">
        <v>0.0139848632605242</v>
      </c>
      <c r="E34" s="38" t="s">
        <v>581</v>
      </c>
    </row>
    <row r="35" customFormat="false" ht="15" hidden="false" customHeight="false" outlineLevel="0" collapsed="false">
      <c r="A35" s="38" t="s">
        <v>583</v>
      </c>
      <c r="B35" s="38" t="s">
        <v>573</v>
      </c>
      <c r="C35" s="38" t="n">
        <v>20</v>
      </c>
      <c r="D35" s="39" t="n">
        <v>0.0139258200798483</v>
      </c>
      <c r="E35" s="38" t="s">
        <v>581</v>
      </c>
    </row>
    <row r="36" customFormat="false" ht="15" hidden="false" customHeight="false" outlineLevel="0" collapsed="false">
      <c r="A36" s="38" t="s">
        <v>584</v>
      </c>
      <c r="B36" s="38" t="s">
        <v>573</v>
      </c>
      <c r="C36" s="38" t="n">
        <v>20</v>
      </c>
      <c r="D36" s="39" t="n">
        <v>0.00909359000880721</v>
      </c>
      <c r="E36" s="38" t="s">
        <v>581</v>
      </c>
    </row>
    <row r="37" customFormat="false" ht="15" hidden="false" customHeight="false" outlineLevel="0" collapsed="false">
      <c r="A37" s="38" t="s">
        <v>585</v>
      </c>
      <c r="B37" s="38" t="s">
        <v>573</v>
      </c>
      <c r="C37" s="38" t="n">
        <v>20</v>
      </c>
      <c r="D37" s="39" t="n">
        <v>0.00868447971652879</v>
      </c>
      <c r="E37" s="38" t="s">
        <v>581</v>
      </c>
    </row>
    <row r="38" customFormat="false" ht="15" hidden="false" customHeight="false" outlineLevel="0" collapsed="false">
      <c r="A38" s="38" t="s">
        <v>586</v>
      </c>
      <c r="B38" s="38" t="s">
        <v>573</v>
      </c>
      <c r="C38" s="38" t="n">
        <v>20</v>
      </c>
      <c r="D38" s="39" t="n">
        <v>0.00802640797950434</v>
      </c>
      <c r="E38" s="38" t="s">
        <v>581</v>
      </c>
    </row>
    <row r="39" customFormat="false" ht="15" hidden="false" customHeight="false" outlineLevel="0" collapsed="false">
      <c r="A39" s="38" t="s">
        <v>587</v>
      </c>
      <c r="B39" s="38" t="s">
        <v>573</v>
      </c>
      <c r="C39" s="38" t="n">
        <v>20</v>
      </c>
      <c r="D39" s="39" t="n">
        <v>0.00774398588932939</v>
      </c>
      <c r="E39" s="38" t="s">
        <v>581</v>
      </c>
    </row>
    <row r="40" customFormat="false" ht="15" hidden="false" customHeight="false" outlineLevel="0" collapsed="false">
      <c r="A40" s="38" t="s">
        <v>588</v>
      </c>
      <c r="B40" s="38" t="s">
        <v>573</v>
      </c>
      <c r="C40" s="38" t="n">
        <v>20</v>
      </c>
      <c r="D40" s="39" t="n">
        <v>0.00767596085177424</v>
      </c>
      <c r="E40" s="38" t="s">
        <v>581</v>
      </c>
    </row>
    <row r="41" customFormat="false" ht="15" hidden="false" customHeight="false" outlineLevel="0" collapsed="false">
      <c r="A41" s="38" t="s">
        <v>589</v>
      </c>
      <c r="B41" s="38" t="s">
        <v>573</v>
      </c>
      <c r="C41" s="38" t="n">
        <v>20</v>
      </c>
      <c r="D41" s="39" t="n">
        <v>0.0062468124354559</v>
      </c>
      <c r="E41" s="38" t="s">
        <v>581</v>
      </c>
    </row>
    <row r="42" customFormat="false" ht="15" hidden="false" customHeight="false" outlineLevel="0" collapsed="false">
      <c r="A42" s="38" t="s">
        <v>590</v>
      </c>
      <c r="B42" s="38" t="s">
        <v>573</v>
      </c>
      <c r="C42" s="38" t="n">
        <v>20</v>
      </c>
      <c r="D42" s="39" t="n">
        <v>0.0053368249593437</v>
      </c>
      <c r="E42" s="38" t="s">
        <v>581</v>
      </c>
    </row>
    <row r="43" customFormat="false" ht="15" hidden="false" customHeight="false" outlineLevel="0" collapsed="false">
      <c r="A43" s="38" t="s">
        <v>591</v>
      </c>
      <c r="B43" s="38" t="s">
        <v>573</v>
      </c>
      <c r="C43" s="38" t="n">
        <v>20</v>
      </c>
      <c r="D43" s="39" t="n">
        <v>0.00402791326606008</v>
      </c>
      <c r="E43" s="38" t="s">
        <v>581</v>
      </c>
    </row>
    <row r="44" customFormat="false" ht="15" hidden="false" customHeight="false" outlineLevel="0" collapsed="false">
      <c r="A44" s="38" t="s">
        <v>592</v>
      </c>
      <c r="B44" s="38" t="s">
        <v>573</v>
      </c>
      <c r="C44" s="38" t="n">
        <v>19</v>
      </c>
      <c r="D44" s="39" t="n">
        <v>0.00374999439364002</v>
      </c>
      <c r="E44" s="38" t="s">
        <v>581</v>
      </c>
    </row>
    <row r="45" customFormat="false" ht="15" hidden="false" customHeight="false" outlineLevel="0" collapsed="false">
      <c r="A45" s="38" t="s">
        <v>593</v>
      </c>
      <c r="B45" s="38" t="s">
        <v>573</v>
      </c>
      <c r="C45" s="38" t="n">
        <v>19</v>
      </c>
      <c r="D45" s="39" t="n">
        <v>0.00351600047549058</v>
      </c>
      <c r="E45" s="38" t="s">
        <v>581</v>
      </c>
    </row>
    <row r="46" customFormat="false" ht="15" hidden="false" customHeight="false" outlineLevel="0" collapsed="false">
      <c r="A46" s="38" t="s">
        <v>594</v>
      </c>
      <c r="B46" s="38" t="s">
        <v>573</v>
      </c>
      <c r="C46" s="38" t="n">
        <v>17</v>
      </c>
      <c r="D46" s="39" t="n">
        <v>0.00238662830348723</v>
      </c>
      <c r="E46" s="38" t="s">
        <v>581</v>
      </c>
    </row>
    <row r="47" customFormat="false" ht="15" hidden="false" customHeight="false" outlineLevel="0" collapsed="false">
      <c r="A47" s="38" t="s">
        <v>595</v>
      </c>
      <c r="B47" s="38" t="s">
        <v>573</v>
      </c>
      <c r="C47" s="38" t="n">
        <v>15</v>
      </c>
      <c r="D47" s="39" t="n">
        <v>0.00235540953814556</v>
      </c>
      <c r="E47" s="38" t="s">
        <v>581</v>
      </c>
    </row>
    <row r="48" customFormat="false" ht="15" hidden="false" customHeight="false" outlineLevel="0" collapsed="false">
      <c r="A48" s="38" t="s">
        <v>596</v>
      </c>
      <c r="B48" s="38" t="s">
        <v>573</v>
      </c>
      <c r="C48" s="38" t="n">
        <v>1</v>
      </c>
      <c r="D48" s="39" t="n">
        <v>0.00122696313641621</v>
      </c>
      <c r="E48" s="38" t="s">
        <v>581</v>
      </c>
    </row>
    <row r="49" customFormat="false" ht="15" hidden="false" customHeight="false" outlineLevel="0" collapsed="false">
      <c r="A49" s="38" t="s">
        <v>597</v>
      </c>
      <c r="B49" s="38" t="s">
        <v>573</v>
      </c>
      <c r="C49" s="38" t="n">
        <v>1</v>
      </c>
      <c r="D49" s="39" t="n">
        <v>0.000989708009618751</v>
      </c>
      <c r="E49" s="38" t="s">
        <v>581</v>
      </c>
    </row>
    <row r="50" customFormat="false" ht="15" hidden="false" customHeight="false" outlineLevel="0" collapsed="false">
      <c r="A50" s="38" t="s">
        <v>598</v>
      </c>
      <c r="B50" s="38" t="s">
        <v>599</v>
      </c>
      <c r="C50" s="38" t="n">
        <v>20</v>
      </c>
      <c r="D50" s="39" t="n">
        <v>0.296425645069779</v>
      </c>
      <c r="E50" s="16" t="s">
        <v>574</v>
      </c>
    </row>
    <row r="51" customFormat="false" ht="15" hidden="false" customHeight="false" outlineLevel="0" collapsed="false">
      <c r="A51" s="38" t="s">
        <v>600</v>
      </c>
      <c r="B51" s="38" t="s">
        <v>599</v>
      </c>
      <c r="C51" s="38" t="n">
        <v>20</v>
      </c>
      <c r="D51" s="39" t="n">
        <v>0.10465480361676</v>
      </c>
      <c r="E51" s="16" t="s">
        <v>574</v>
      </c>
    </row>
    <row r="52" customFormat="false" ht="15" hidden="false" customHeight="false" outlineLevel="0" collapsed="false">
      <c r="A52" s="38" t="s">
        <v>601</v>
      </c>
      <c r="B52" s="38" t="s">
        <v>599</v>
      </c>
      <c r="C52" s="38" t="n">
        <v>20</v>
      </c>
      <c r="D52" s="39" t="n">
        <v>0.0934159881202169</v>
      </c>
      <c r="E52" s="16" t="s">
        <v>574</v>
      </c>
    </row>
    <row r="53" customFormat="false" ht="15" hidden="false" customHeight="false" outlineLevel="0" collapsed="false">
      <c r="A53" s="38" t="s">
        <v>602</v>
      </c>
      <c r="B53" s="38" t="s">
        <v>599</v>
      </c>
      <c r="C53" s="38" t="n">
        <v>20</v>
      </c>
      <c r="D53" s="39" t="n">
        <v>0.0859917956593758</v>
      </c>
      <c r="E53" s="16" t="s">
        <v>574</v>
      </c>
    </row>
    <row r="54" customFormat="false" ht="15" hidden="false" customHeight="false" outlineLevel="0" collapsed="false">
      <c r="A54" s="38" t="s">
        <v>584</v>
      </c>
      <c r="B54" s="38" t="s">
        <v>599</v>
      </c>
      <c r="C54" s="38" t="n">
        <v>20</v>
      </c>
      <c r="D54" s="39" t="n">
        <v>0.0678952852727082</v>
      </c>
      <c r="E54" s="16" t="s">
        <v>574</v>
      </c>
    </row>
    <row r="55" customFormat="false" ht="15" hidden="false" customHeight="false" outlineLevel="0" collapsed="false">
      <c r="A55" s="38" t="s">
        <v>603</v>
      </c>
      <c r="B55" s="38" t="s">
        <v>599</v>
      </c>
      <c r="C55" s="38" t="n">
        <v>20</v>
      </c>
      <c r="D55" s="39" t="n">
        <v>0.0641467270535103</v>
      </c>
      <c r="E55" s="16" t="s">
        <v>574</v>
      </c>
    </row>
    <row r="56" customFormat="false" ht="15" hidden="false" customHeight="false" outlineLevel="0" collapsed="false">
      <c r="A56" s="38" t="s">
        <v>604</v>
      </c>
      <c r="B56" s="38" t="s">
        <v>599</v>
      </c>
      <c r="C56" s="38" t="n">
        <v>20</v>
      </c>
      <c r="D56" s="39" t="n">
        <v>0.0619193769783327</v>
      </c>
      <c r="E56" s="16" t="s">
        <v>574</v>
      </c>
    </row>
    <row r="57" customFormat="false" ht="15" hidden="false" customHeight="false" outlineLevel="0" collapsed="false">
      <c r="A57" s="38" t="s">
        <v>577</v>
      </c>
      <c r="B57" s="38" t="s">
        <v>599</v>
      </c>
      <c r="C57" s="38" t="n">
        <v>20</v>
      </c>
      <c r="D57" s="39" t="n">
        <v>0.04920010776085</v>
      </c>
      <c r="E57" s="16" t="s">
        <v>574</v>
      </c>
    </row>
    <row r="58" customFormat="false" ht="15" hidden="false" customHeight="false" outlineLevel="0" collapsed="false">
      <c r="A58" s="38" t="s">
        <v>605</v>
      </c>
      <c r="B58" s="38" t="s">
        <v>599</v>
      </c>
      <c r="C58" s="38" t="n">
        <v>20</v>
      </c>
      <c r="D58" s="39" t="n">
        <v>0.0449376955243392</v>
      </c>
      <c r="E58" s="16" t="s">
        <v>574</v>
      </c>
    </row>
    <row r="59" customFormat="false" ht="15" hidden="false" customHeight="false" outlineLevel="0" collapsed="false">
      <c r="A59" s="38" t="s">
        <v>579</v>
      </c>
      <c r="B59" s="38" t="s">
        <v>599</v>
      </c>
      <c r="C59" s="38" t="n">
        <v>20</v>
      </c>
      <c r="D59" s="39" t="n">
        <v>0.0348556547770757</v>
      </c>
      <c r="E59" s="16" t="s">
        <v>574</v>
      </c>
    </row>
    <row r="60" customFormat="false" ht="15" hidden="false" customHeight="false" outlineLevel="0" collapsed="false">
      <c r="A60" s="38" t="s">
        <v>589</v>
      </c>
      <c r="B60" s="38" t="s">
        <v>599</v>
      </c>
      <c r="C60" s="38" t="n">
        <v>20</v>
      </c>
      <c r="D60" s="39" t="n">
        <v>0.0203442011094513</v>
      </c>
      <c r="E60" s="16" t="s">
        <v>574</v>
      </c>
    </row>
    <row r="61" customFormat="false" ht="15" hidden="false" customHeight="false" outlineLevel="0" collapsed="false">
      <c r="A61" s="38" t="s">
        <v>597</v>
      </c>
      <c r="B61" s="38" t="s">
        <v>599</v>
      </c>
      <c r="C61" s="38" t="n">
        <v>20</v>
      </c>
      <c r="D61" s="39" t="n">
        <v>0.0183944048173732</v>
      </c>
      <c r="E61" s="38" t="s">
        <v>581</v>
      </c>
    </row>
    <row r="62" customFormat="false" ht="15" hidden="false" customHeight="false" outlineLevel="0" collapsed="false">
      <c r="A62" s="38" t="s">
        <v>588</v>
      </c>
      <c r="B62" s="38" t="s">
        <v>599</v>
      </c>
      <c r="C62" s="38" t="n">
        <v>20</v>
      </c>
      <c r="D62" s="39" t="n">
        <v>0.0115159909570801</v>
      </c>
      <c r="E62" s="38" t="s">
        <v>581</v>
      </c>
    </row>
    <row r="63" customFormat="false" ht="15" hidden="false" customHeight="false" outlineLevel="0" collapsed="false">
      <c r="A63" s="38" t="s">
        <v>592</v>
      </c>
      <c r="B63" s="38" t="s">
        <v>599</v>
      </c>
      <c r="C63" s="38" t="n">
        <v>15</v>
      </c>
      <c r="D63" s="39" t="n">
        <v>0.00964317369996874</v>
      </c>
      <c r="E63" s="38" t="s">
        <v>581</v>
      </c>
    </row>
    <row r="64" customFormat="false" ht="15" hidden="false" customHeight="false" outlineLevel="0" collapsed="false">
      <c r="A64" s="38" t="s">
        <v>606</v>
      </c>
      <c r="B64" s="38" t="s">
        <v>599</v>
      </c>
      <c r="C64" s="38" t="n">
        <v>19</v>
      </c>
      <c r="D64" s="39" t="n">
        <v>0.00748418607882273</v>
      </c>
      <c r="E64" s="38" t="s">
        <v>581</v>
      </c>
    </row>
    <row r="65" customFormat="false" ht="15" hidden="false" customHeight="false" outlineLevel="0" collapsed="false">
      <c r="A65" s="38" t="s">
        <v>593</v>
      </c>
      <c r="B65" s="38" t="s">
        <v>599</v>
      </c>
      <c r="C65" s="38" t="n">
        <v>19</v>
      </c>
      <c r="D65" s="39" t="n">
        <v>0.00599959944000595</v>
      </c>
      <c r="E65" s="38" t="s">
        <v>581</v>
      </c>
    </row>
    <row r="66" customFormat="false" ht="15" hidden="false" customHeight="false" outlineLevel="0" collapsed="false">
      <c r="A66" s="38" t="s">
        <v>595</v>
      </c>
      <c r="B66" s="38" t="s">
        <v>599</v>
      </c>
      <c r="C66" s="38" t="n">
        <v>16</v>
      </c>
      <c r="D66" s="39" t="n">
        <v>0.00510210082842249</v>
      </c>
      <c r="E66" s="38" t="s">
        <v>581</v>
      </c>
    </row>
    <row r="67" customFormat="false" ht="15" hidden="false" customHeight="false" outlineLevel="0" collapsed="false">
      <c r="A67" s="38" t="s">
        <v>586</v>
      </c>
      <c r="B67" s="38" t="s">
        <v>599</v>
      </c>
      <c r="C67" s="38" t="n">
        <v>14</v>
      </c>
      <c r="D67" s="39" t="n">
        <v>0.00470122274028913</v>
      </c>
      <c r="E67" s="38" t="s">
        <v>581</v>
      </c>
    </row>
    <row r="68" customFormat="false" ht="15" hidden="false" customHeight="false" outlineLevel="0" collapsed="false">
      <c r="A68" s="38" t="s">
        <v>583</v>
      </c>
      <c r="B68" s="38" t="s">
        <v>599</v>
      </c>
      <c r="C68" s="38" t="n">
        <v>10</v>
      </c>
      <c r="D68" s="39" t="n">
        <v>0.00435588543937852</v>
      </c>
      <c r="E68" s="38" t="s">
        <v>581</v>
      </c>
    </row>
    <row r="69" customFormat="false" ht="15" hidden="false" customHeight="false" outlineLevel="0" collapsed="false">
      <c r="A69" s="38" t="s">
        <v>590</v>
      </c>
      <c r="B69" s="38" t="s">
        <v>599</v>
      </c>
      <c r="C69" s="38" t="n">
        <v>17</v>
      </c>
      <c r="D69" s="39" t="n">
        <v>0.00398076895023261</v>
      </c>
      <c r="E69" s="38" t="s">
        <v>581</v>
      </c>
    </row>
    <row r="70" customFormat="false" ht="15" hidden="false" customHeight="false" outlineLevel="0" collapsed="false">
      <c r="A70" s="38" t="s">
        <v>607</v>
      </c>
      <c r="B70" s="38" t="s">
        <v>599</v>
      </c>
      <c r="C70" s="38" t="n">
        <v>6</v>
      </c>
      <c r="D70" s="39" t="n">
        <v>0.00275328111457495</v>
      </c>
      <c r="E70" s="38" t="s">
        <v>581</v>
      </c>
    </row>
    <row r="71" customFormat="false" ht="15" hidden="false" customHeight="false" outlineLevel="0" collapsed="false">
      <c r="A71" s="38" t="s">
        <v>596</v>
      </c>
      <c r="B71" s="38" t="s">
        <v>599</v>
      </c>
      <c r="C71" s="38" t="n">
        <v>0</v>
      </c>
      <c r="D71" s="39" t="n">
        <v>0.0022821049914527</v>
      </c>
      <c r="E71" s="38" t="s">
        <v>581</v>
      </c>
    </row>
  </sheetData>
  <mergeCells count="6">
    <mergeCell ref="A4:I4"/>
    <mergeCell ref="A6:I6"/>
    <mergeCell ref="A8:I8"/>
    <mergeCell ref="A10:I10"/>
    <mergeCell ref="A17:I17"/>
    <mergeCell ref="A25:I25"/>
  </mergeCells>
  <conditionalFormatting sqref="B12:J15">
    <cfRule type="dataBar" priority="2">
      <dataBar showValue="1" minLength="10" maxLength="90">
        <cfvo type="num" val="0"/>
        <cfvo type="num" val="1"/>
        <color rgb="FF5B9BD5"/>
      </dataBar>
      <extLst>
        <ext xmlns:x14="http://schemas.microsoft.com/office/spreadsheetml/2009/9/main" uri="{B025F937-C7B1-47D3-B67F-A62EFF666E3E}">
          <x14:id>{1520A4B6-DDAD-41BD-A6BA-AE2F54146097}</x14:id>
        </ext>
      </extLst>
    </cfRule>
  </conditionalFormatting>
  <conditionalFormatting sqref="E27:E71">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1520A4B6-DDAD-41BD-A6BA-AE2F54146097}">
            <x14:dataBar minLength="10" maxLength="90" axisPosition="none" gradient="true">
              <x14:cfvo type="num">
                <xm:f>0</xm:f>
              </x14:cfvo>
              <x14:cfvo type="num">
                <xm:f>1</xm:f>
              </x14:cfvo>
              <x14:negativeFillColor rgb="FF5B9BD5"/>
              <x14:axisColor rgb="FF000000"/>
            </x14:dataBar>
          </x14:cfRule>
          <xm:sqref>B12:J15</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608</v>
      </c>
      <c r="B1" s="7" t="s">
        <v>609</v>
      </c>
      <c r="C1" s="7" t="s">
        <v>542</v>
      </c>
      <c r="D1" s="7" t="s">
        <v>610</v>
      </c>
      <c r="E1" s="7" t="s">
        <v>611</v>
      </c>
      <c r="F1" s="7" t="s">
        <v>612</v>
      </c>
      <c r="G1" s="7" t="s">
        <v>613</v>
      </c>
      <c r="H1" s="7" t="s">
        <v>614</v>
      </c>
      <c r="I1" s="7" t="s">
        <v>615</v>
      </c>
    </row>
    <row r="2" customFormat="false" ht="28.35" hidden="false" customHeight="false" outlineLevel="0" collapsed="false">
      <c r="A2" s="38" t="n">
        <v>1</v>
      </c>
      <c r="B2" s="47" t="s">
        <v>616</v>
      </c>
      <c r="C2" s="38" t="s">
        <v>554</v>
      </c>
      <c r="D2" s="39" t="n">
        <v>0.180489534420705</v>
      </c>
      <c r="E2" s="39" t="n">
        <v>0.273654081388281</v>
      </c>
      <c r="F2" s="21" t="n">
        <v>55.6607931046251</v>
      </c>
      <c r="G2" s="38" t="s">
        <v>617</v>
      </c>
      <c r="H2" s="47" t="s">
        <v>618</v>
      </c>
      <c r="I2" s="38" t="s">
        <v>572</v>
      </c>
    </row>
    <row r="3" customFormat="false" ht="28.35" hidden="false" customHeight="false" outlineLevel="0" collapsed="false">
      <c r="A3" s="38" t="n">
        <v>2</v>
      </c>
      <c r="B3" s="47" t="s">
        <v>619</v>
      </c>
      <c r="C3" s="38" t="s">
        <v>554</v>
      </c>
      <c r="D3" s="39" t="n">
        <v>0.12313336353269</v>
      </c>
      <c r="E3" s="39" t="n">
        <v>0.186691974102195</v>
      </c>
      <c r="F3" s="21" t="n">
        <v>37.972842546617</v>
      </c>
      <c r="G3" s="38" t="s">
        <v>617</v>
      </c>
      <c r="H3" s="47" t="s">
        <v>618</v>
      </c>
      <c r="I3" s="38" t="s">
        <v>575</v>
      </c>
    </row>
    <row r="4" customFormat="false" ht="28.35" hidden="false" customHeight="false" outlineLevel="0" collapsed="false">
      <c r="A4" s="38" t="n">
        <v>3</v>
      </c>
      <c r="B4" s="47" t="s">
        <v>620</v>
      </c>
      <c r="C4" s="38" t="s">
        <v>555</v>
      </c>
      <c r="D4" s="39" t="n">
        <v>0.111960729027067</v>
      </c>
      <c r="E4" s="39" t="n">
        <v>0.357985715707197</v>
      </c>
      <c r="F4" s="21" t="n">
        <v>34.5273369684292</v>
      </c>
      <c r="G4" s="38" t="s">
        <v>621</v>
      </c>
      <c r="H4" s="47" t="s">
        <v>622</v>
      </c>
      <c r="I4" s="38" t="s">
        <v>598</v>
      </c>
    </row>
    <row r="5" customFormat="false" ht="41.75" hidden="false" customHeight="false" outlineLevel="0" collapsed="false">
      <c r="A5" s="38" t="n">
        <v>4</v>
      </c>
      <c r="B5" s="47" t="s">
        <v>623</v>
      </c>
      <c r="C5" s="38" t="s">
        <v>555</v>
      </c>
      <c r="D5" s="39" t="n">
        <v>0.0872686286170457</v>
      </c>
      <c r="E5" s="39" t="n">
        <v>0.279034646752845</v>
      </c>
      <c r="F5" s="21" t="n">
        <v>26.9125913453546</v>
      </c>
      <c r="G5" s="38" t="s">
        <v>624</v>
      </c>
      <c r="H5" s="47" t="s">
        <v>625</v>
      </c>
      <c r="I5" s="38" t="s">
        <v>577</v>
      </c>
    </row>
    <row r="6" customFormat="false" ht="28.35" hidden="false" customHeight="false" outlineLevel="0" collapsed="false">
      <c r="A6" s="38" t="n">
        <v>5</v>
      </c>
      <c r="B6" s="47" t="s">
        <v>626</v>
      </c>
      <c r="C6" s="38" t="s">
        <v>554</v>
      </c>
      <c r="D6" s="39" t="n">
        <v>0.0834112571239778</v>
      </c>
      <c r="E6" s="39" t="n">
        <v>0.126466229850751</v>
      </c>
      <c r="F6" s="21" t="n">
        <v>25.7230245525074</v>
      </c>
      <c r="G6" s="38" t="s">
        <v>617</v>
      </c>
      <c r="H6" s="47" t="s">
        <v>618</v>
      </c>
      <c r="I6" s="38" t="s">
        <v>576</v>
      </c>
    </row>
    <row r="7" customFormat="false" ht="41.75" hidden="false" customHeight="false" outlineLevel="0" collapsed="false">
      <c r="A7" s="38" t="n">
        <v>6</v>
      </c>
      <c r="B7" s="47" t="s">
        <v>627</v>
      </c>
      <c r="C7" s="38" t="s">
        <v>555</v>
      </c>
      <c r="D7" s="39" t="n">
        <v>0.0614661735827788</v>
      </c>
      <c r="E7" s="39" t="n">
        <v>0.196533305320782</v>
      </c>
      <c r="F7" s="21" t="n">
        <v>18.9554257630771</v>
      </c>
      <c r="G7" s="38" t="s">
        <v>624</v>
      </c>
      <c r="H7" s="47" t="s">
        <v>625</v>
      </c>
      <c r="I7" s="38" t="s">
        <v>579</v>
      </c>
    </row>
    <row r="8" customFormat="false" ht="28.35" hidden="false" customHeight="false" outlineLevel="0" collapsed="false">
      <c r="A8" s="38" t="n">
        <v>7</v>
      </c>
      <c r="B8" s="47" t="s">
        <v>628</v>
      </c>
      <c r="C8" s="38" t="s">
        <v>554</v>
      </c>
      <c r="D8" s="39" t="n">
        <v>0.0520105913283768</v>
      </c>
      <c r="E8" s="39" t="n">
        <v>0.0788572624895391</v>
      </c>
      <c r="F8" s="21" t="n">
        <v>16.039438366715</v>
      </c>
      <c r="G8" s="38" t="s">
        <v>617</v>
      </c>
      <c r="H8" s="47" t="s">
        <v>618</v>
      </c>
      <c r="I8" s="38" t="s">
        <v>578</v>
      </c>
    </row>
    <row r="9" customFormat="false" ht="28.35" hidden="false" customHeight="false" outlineLevel="0" collapsed="false">
      <c r="A9" s="38" t="n">
        <v>8</v>
      </c>
      <c r="B9" s="47" t="s">
        <v>629</v>
      </c>
      <c r="C9" s="38" t="s">
        <v>554</v>
      </c>
      <c r="D9" s="39" t="n">
        <v>0.0377191777320588</v>
      </c>
      <c r="E9" s="39" t="n">
        <v>0.05718894985306</v>
      </c>
      <c r="F9" s="21" t="n">
        <v>11.6321389744793</v>
      </c>
      <c r="G9" s="38" t="s">
        <v>621</v>
      </c>
      <c r="H9" s="47" t="s">
        <v>622</v>
      </c>
      <c r="I9" s="38" t="s">
        <v>600</v>
      </c>
    </row>
    <row r="10" customFormat="false" ht="28.35" hidden="false" customHeight="false" outlineLevel="0" collapsed="false">
      <c r="A10" s="38" t="n">
        <v>9</v>
      </c>
      <c r="B10" s="47" t="s">
        <v>630</v>
      </c>
      <c r="C10" s="38" t="s">
        <v>554</v>
      </c>
      <c r="D10" s="39" t="n">
        <v>0.0376737807365202</v>
      </c>
      <c r="E10" s="39" t="n">
        <v>0.0571201199724147</v>
      </c>
      <c r="F10" s="21" t="n">
        <v>11.6181390891987</v>
      </c>
      <c r="G10" s="38" t="s">
        <v>621</v>
      </c>
      <c r="H10" s="47" t="s">
        <v>622</v>
      </c>
      <c r="I10" s="38" t="s">
        <v>601</v>
      </c>
    </row>
    <row r="11" customFormat="false" ht="28.35" hidden="false" customHeight="false" outlineLevel="0" collapsed="false">
      <c r="A11" s="38" t="n">
        <v>10</v>
      </c>
      <c r="B11" s="47" t="s">
        <v>631</v>
      </c>
      <c r="C11" s="38" t="s">
        <v>554</v>
      </c>
      <c r="D11" s="39" t="n">
        <v>0.034844626346752</v>
      </c>
      <c r="E11" s="39" t="n">
        <v>0.0528306211484385</v>
      </c>
      <c r="F11" s="21" t="n">
        <v>10.7456620358596</v>
      </c>
      <c r="G11" s="38" t="s">
        <v>621</v>
      </c>
      <c r="H11" s="47" t="s">
        <v>622</v>
      </c>
      <c r="I11" s="38" t="s">
        <v>602</v>
      </c>
    </row>
    <row r="12" customFormat="false" ht="41.75" hidden="false" customHeight="false" outlineLevel="0" collapsed="false">
      <c r="A12" s="38" t="n">
        <v>11</v>
      </c>
      <c r="B12" s="47" t="s">
        <v>632</v>
      </c>
      <c r="C12" s="38" t="s">
        <v>554</v>
      </c>
      <c r="D12" s="39" t="n">
        <v>0.0331175853885851</v>
      </c>
      <c r="E12" s="39" t="n">
        <v>0.0502121213642599</v>
      </c>
      <c r="F12" s="21" t="n">
        <v>10.2130634574197</v>
      </c>
      <c r="G12" s="38" t="s">
        <v>624</v>
      </c>
      <c r="H12" s="47" t="s">
        <v>625</v>
      </c>
      <c r="I12" s="38" t="s">
        <v>584</v>
      </c>
    </row>
    <row r="13" customFormat="false" ht="28.35" hidden="false" customHeight="false" outlineLevel="0" collapsed="false">
      <c r="A13" s="38" t="n">
        <v>12</v>
      </c>
      <c r="B13" s="47" t="s">
        <v>633</v>
      </c>
      <c r="C13" s="38" t="s">
        <v>554</v>
      </c>
      <c r="D13" s="39" t="n">
        <v>0.019062497267196</v>
      </c>
      <c r="E13" s="39" t="n">
        <v>0.0289021199781139</v>
      </c>
      <c r="F13" s="21" t="n">
        <v>5.87864398815338</v>
      </c>
      <c r="G13" s="38" t="s">
        <v>621</v>
      </c>
      <c r="H13" s="47" t="s">
        <v>622</v>
      </c>
      <c r="I13" s="38" t="s">
        <v>603</v>
      </c>
    </row>
    <row r="14" customFormat="false" ht="28.35" hidden="false" customHeight="false" outlineLevel="0" collapsed="false">
      <c r="A14" s="38" t="n">
        <v>13</v>
      </c>
      <c r="B14" s="47" t="s">
        <v>634</v>
      </c>
      <c r="C14" s="38" t="s">
        <v>554</v>
      </c>
      <c r="D14" s="39" t="n">
        <v>0.0157225316670766</v>
      </c>
      <c r="E14" s="39" t="n">
        <v>0.0238381409440792</v>
      </c>
      <c r="F14" s="21" t="n">
        <v>4.84863892530311</v>
      </c>
      <c r="G14" s="38" t="s">
        <v>621</v>
      </c>
      <c r="H14" s="47" t="s">
        <v>622</v>
      </c>
      <c r="I14" s="38" t="s">
        <v>604</v>
      </c>
    </row>
    <row r="15" customFormat="false" ht="28.35" hidden="false" customHeight="false" outlineLevel="0" collapsed="false">
      <c r="A15" s="38" t="n">
        <v>14</v>
      </c>
      <c r="B15" s="47" t="s">
        <v>635</v>
      </c>
      <c r="C15" s="38" t="s">
        <v>555</v>
      </c>
      <c r="D15" s="39" t="n">
        <v>0.013652036660572</v>
      </c>
      <c r="E15" s="39" t="n">
        <v>0.0436513245069548</v>
      </c>
      <c r="F15" s="21" t="n">
        <v>4.21012326537246</v>
      </c>
      <c r="G15" s="38" t="s">
        <v>617</v>
      </c>
      <c r="H15" s="47" t="s">
        <v>618</v>
      </c>
      <c r="I15" s="38" t="s">
        <v>580</v>
      </c>
    </row>
    <row r="16" customFormat="false" ht="41.75" hidden="false" customHeight="false" outlineLevel="0" collapsed="false">
      <c r="A16" s="38" t="n">
        <v>15</v>
      </c>
      <c r="B16" s="47" t="s">
        <v>636</v>
      </c>
      <c r="C16" s="38" t="s">
        <v>554</v>
      </c>
      <c r="D16" s="39" t="n">
        <v>0.0121956119007549</v>
      </c>
      <c r="E16" s="39" t="n">
        <v>0.0184907063026154</v>
      </c>
      <c r="F16" s="21" t="n">
        <v>3.76097945496361</v>
      </c>
      <c r="G16" s="38" t="s">
        <v>624</v>
      </c>
      <c r="H16" s="47" t="s">
        <v>637</v>
      </c>
      <c r="I16" s="38" t="s">
        <v>583</v>
      </c>
    </row>
    <row r="17" customFormat="false" ht="41.75" hidden="false" customHeight="false" outlineLevel="0" collapsed="false">
      <c r="A17" s="38" t="n">
        <v>16</v>
      </c>
      <c r="B17" s="47" t="s">
        <v>638</v>
      </c>
      <c r="C17" s="38" t="s">
        <v>555</v>
      </c>
      <c r="D17" s="39" t="n">
        <v>0.0114483038859964</v>
      </c>
      <c r="E17" s="39" t="n">
        <v>0.036605060505377</v>
      </c>
      <c r="F17" s="21" t="n">
        <v>3.53051868654065</v>
      </c>
      <c r="G17" s="38" t="s">
        <v>624</v>
      </c>
      <c r="H17" s="47" t="s">
        <v>625</v>
      </c>
      <c r="I17" s="38" t="s">
        <v>589</v>
      </c>
    </row>
    <row r="18" customFormat="false" ht="28.35" hidden="false" customHeight="false" outlineLevel="0" collapsed="false">
      <c r="A18" s="38" t="n">
        <v>17</v>
      </c>
      <c r="B18" s="47" t="s">
        <v>639</v>
      </c>
      <c r="C18" s="38" t="s">
        <v>554</v>
      </c>
      <c r="D18" s="39" t="n">
        <v>0.0110966142313133</v>
      </c>
      <c r="E18" s="39" t="n">
        <v>0.0168244313097514</v>
      </c>
      <c r="F18" s="21" t="n">
        <v>3.42206184349332</v>
      </c>
      <c r="G18" s="38" t="s">
        <v>621</v>
      </c>
      <c r="H18" s="47" t="s">
        <v>622</v>
      </c>
      <c r="I18" s="38" t="s">
        <v>605</v>
      </c>
    </row>
    <row r="19" customFormat="false" ht="28.35" hidden="false" customHeight="false" outlineLevel="0" collapsed="false">
      <c r="A19" s="38" t="n">
        <v>18</v>
      </c>
      <c r="B19" s="47" t="s">
        <v>640</v>
      </c>
      <c r="C19" s="38" t="s">
        <v>553</v>
      </c>
      <c r="D19" s="39" t="n">
        <v>0.00918577323872056</v>
      </c>
      <c r="E19" s="39" t="n">
        <v>0.43070603488878</v>
      </c>
      <c r="F19" s="21" t="n">
        <v>2.83278155371969</v>
      </c>
      <c r="G19" s="38" t="s">
        <v>617</v>
      </c>
      <c r="H19" s="47" t="s">
        <v>618</v>
      </c>
      <c r="I19" s="38" t="s">
        <v>582</v>
      </c>
    </row>
    <row r="20" customFormat="false" ht="41.75" hidden="false" customHeight="false" outlineLevel="0" collapsed="false">
      <c r="A20" s="38" t="n">
        <v>19</v>
      </c>
      <c r="B20" s="47" t="s">
        <v>641</v>
      </c>
      <c r="C20" s="38" t="s">
        <v>555</v>
      </c>
      <c r="D20" s="39" t="n">
        <v>0.00791392444620333</v>
      </c>
      <c r="E20" s="39" t="n">
        <v>0.0253041573732686</v>
      </c>
      <c r="F20" s="21" t="n">
        <v>2.440558742974</v>
      </c>
      <c r="G20" s="38" t="s">
        <v>624</v>
      </c>
      <c r="H20" s="47" t="s">
        <v>625</v>
      </c>
      <c r="I20" s="38" t="s">
        <v>588</v>
      </c>
    </row>
    <row r="21" customFormat="false" ht="41.75" hidden="false" customHeight="false" outlineLevel="0" collapsed="false">
      <c r="A21" s="38" t="n">
        <v>20</v>
      </c>
      <c r="B21" s="47" t="s">
        <v>642</v>
      </c>
      <c r="C21" s="38" t="s">
        <v>554</v>
      </c>
      <c r="D21" s="39" t="n">
        <v>0.00785106119967727</v>
      </c>
      <c r="E21" s="39" t="n">
        <v>0.0119035984408545</v>
      </c>
      <c r="F21" s="21" t="n">
        <v>2.4211724767841</v>
      </c>
      <c r="G21" s="38" t="s">
        <v>624</v>
      </c>
      <c r="H21" s="47" t="s">
        <v>643</v>
      </c>
      <c r="I21" s="38" t="s">
        <v>586</v>
      </c>
    </row>
    <row r="22" customFormat="false" ht="41.75" hidden="false" customHeight="false" outlineLevel="0" collapsed="false">
      <c r="A22" s="38" t="n">
        <v>21</v>
      </c>
      <c r="B22" s="47" t="s">
        <v>644</v>
      </c>
      <c r="C22" s="38" t="s">
        <v>553</v>
      </c>
      <c r="D22" s="39" t="n">
        <v>0.00732207093244594</v>
      </c>
      <c r="E22" s="39" t="n">
        <v>0.343320051184656</v>
      </c>
      <c r="F22" s="21" t="n">
        <v>2.25803826563315</v>
      </c>
      <c r="G22" s="38" t="s">
        <v>624</v>
      </c>
      <c r="H22" s="47" t="s">
        <v>645</v>
      </c>
      <c r="I22" s="38" t="s">
        <v>597</v>
      </c>
    </row>
    <row r="23" customFormat="false" ht="41.75" hidden="false" customHeight="false" outlineLevel="0" collapsed="false">
      <c r="A23" s="38" t="n">
        <v>22</v>
      </c>
      <c r="B23" s="47" t="s">
        <v>646</v>
      </c>
      <c r="C23" s="38" t="s">
        <v>552</v>
      </c>
      <c r="D23" s="39" t="n">
        <v>0.00636720972085122</v>
      </c>
      <c r="E23" s="39" t="n">
        <v>1</v>
      </c>
      <c r="F23" s="21" t="n">
        <v>1.96357059739527</v>
      </c>
      <c r="G23" s="38" t="s">
        <v>624</v>
      </c>
      <c r="H23" s="47" t="s">
        <v>647</v>
      </c>
      <c r="I23" s="38" t="s">
        <v>592</v>
      </c>
    </row>
    <row r="24" customFormat="false" ht="28.35" hidden="false" customHeight="false" outlineLevel="0" collapsed="false">
      <c r="A24" s="38" t="n">
        <v>23</v>
      </c>
      <c r="B24" s="47" t="s">
        <v>648</v>
      </c>
      <c r="C24" s="38" t="s">
        <v>555</v>
      </c>
      <c r="D24" s="39" t="n">
        <v>0.00627894797362772</v>
      </c>
      <c r="E24" s="39" t="n">
        <v>0.0200764473736498</v>
      </c>
      <c r="F24" s="21" t="n">
        <v>1.93635174026304</v>
      </c>
      <c r="G24" s="38" t="s">
        <v>617</v>
      </c>
      <c r="H24" s="47" t="s">
        <v>618</v>
      </c>
      <c r="I24" s="38" t="s">
        <v>585</v>
      </c>
    </row>
    <row r="25" customFormat="false" ht="41.75" hidden="false" customHeight="false" outlineLevel="0" collapsed="false">
      <c r="A25" s="38" t="n">
        <v>24</v>
      </c>
      <c r="B25" s="47" t="s">
        <v>649</v>
      </c>
      <c r="C25" s="38" t="s">
        <v>554</v>
      </c>
      <c r="D25" s="39" t="n">
        <v>0.00599463877870422</v>
      </c>
      <c r="E25" s="39" t="n">
        <v>0.00908893345814228</v>
      </c>
      <c r="F25" s="21" t="n">
        <v>1.848674217424</v>
      </c>
      <c r="G25" s="38" t="s">
        <v>624</v>
      </c>
      <c r="H25" s="47" t="s">
        <v>650</v>
      </c>
      <c r="I25" s="38" t="s">
        <v>590</v>
      </c>
    </row>
    <row r="26" customFormat="false" ht="28.35" hidden="false" customHeight="false" outlineLevel="0" collapsed="false">
      <c r="A26" s="38" t="n">
        <v>25</v>
      </c>
      <c r="B26" s="47" t="s">
        <v>631</v>
      </c>
      <c r="C26" s="38" t="s">
        <v>554</v>
      </c>
      <c r="D26" s="39" t="n">
        <v>0.00523072793038546</v>
      </c>
      <c r="E26" s="39" t="n">
        <v>0.00793070939750538</v>
      </c>
      <c r="F26" s="21" t="n">
        <v>1.61309333560101</v>
      </c>
      <c r="G26" s="38" t="s">
        <v>617</v>
      </c>
      <c r="H26" s="47" t="s">
        <v>618</v>
      </c>
      <c r="I26" s="38" t="s">
        <v>587</v>
      </c>
    </row>
    <row r="27" customFormat="false" ht="41.75" hidden="false" customHeight="false" outlineLevel="0" collapsed="false">
      <c r="A27" s="38" t="n">
        <v>26</v>
      </c>
      <c r="B27" s="47" t="s">
        <v>651</v>
      </c>
      <c r="C27" s="38" t="s">
        <v>555</v>
      </c>
      <c r="D27" s="39" t="n">
        <v>0.00477840604623045</v>
      </c>
      <c r="E27" s="39" t="n">
        <v>0.015278581367453</v>
      </c>
      <c r="F27" s="21" t="n">
        <v>1.47360272806273</v>
      </c>
      <c r="G27" s="38" t="s">
        <v>624</v>
      </c>
      <c r="H27" s="47" t="s">
        <v>652</v>
      </c>
      <c r="I27" s="38" t="s">
        <v>593</v>
      </c>
    </row>
    <row r="28" customFormat="false" ht="41.75" hidden="false" customHeight="false" outlineLevel="0" collapsed="false">
      <c r="A28" s="38" t="n">
        <v>27</v>
      </c>
      <c r="B28" s="47" t="s">
        <v>653</v>
      </c>
      <c r="C28" s="38" t="s">
        <v>553</v>
      </c>
      <c r="D28" s="39" t="n">
        <v>0.00321033179037839</v>
      </c>
      <c r="E28" s="39" t="n">
        <v>0.150527259946149</v>
      </c>
      <c r="F28" s="21" t="n">
        <v>0.990027561182259</v>
      </c>
      <c r="G28" s="38" t="s">
        <v>624</v>
      </c>
      <c r="H28" s="47" t="s">
        <v>654</v>
      </c>
      <c r="I28" s="38" t="s">
        <v>595</v>
      </c>
    </row>
    <row r="29" customFormat="false" ht="28.35" hidden="false" customHeight="false" outlineLevel="0" collapsed="false">
      <c r="A29" s="38" t="n">
        <v>28</v>
      </c>
      <c r="B29" s="47" t="s">
        <v>655</v>
      </c>
      <c r="C29" s="38" t="s">
        <v>555</v>
      </c>
      <c r="D29" s="39" t="n">
        <v>0.00281250480566238</v>
      </c>
      <c r="E29" s="39" t="n">
        <v>0.00899276518234864</v>
      </c>
      <c r="F29" s="21" t="n">
        <v>0.867342522635371</v>
      </c>
      <c r="G29" s="38" t="s">
        <v>617</v>
      </c>
      <c r="H29" s="47" t="s">
        <v>618</v>
      </c>
      <c r="I29" s="38" t="s">
        <v>591</v>
      </c>
    </row>
    <row r="30" customFormat="false" ht="28.35" hidden="false" customHeight="false" outlineLevel="0" collapsed="false">
      <c r="A30" s="38" t="n">
        <v>29</v>
      </c>
      <c r="B30" s="47" t="s">
        <v>656</v>
      </c>
      <c r="C30" s="38" t="s">
        <v>555</v>
      </c>
      <c r="D30" s="39" t="n">
        <v>0.00273773266230008</v>
      </c>
      <c r="E30" s="39" t="n">
        <v>0.00875368707443417</v>
      </c>
      <c r="F30" s="21" t="n">
        <v>0.844283696454471</v>
      </c>
      <c r="G30" s="38" t="s">
        <v>621</v>
      </c>
      <c r="H30" s="47" t="s">
        <v>657</v>
      </c>
      <c r="I30" s="38" t="s">
        <v>606</v>
      </c>
    </row>
    <row r="31" customFormat="false" ht="28.35" hidden="false" customHeight="false" outlineLevel="0" collapsed="false">
      <c r="A31" s="38" t="n">
        <v>30</v>
      </c>
      <c r="B31" s="47" t="s">
        <v>658</v>
      </c>
      <c r="C31" s="38" t="s">
        <v>553</v>
      </c>
      <c r="D31" s="39" t="n">
        <v>0.00160906929308121</v>
      </c>
      <c r="E31" s="39" t="n">
        <v>0.0754466539804145</v>
      </c>
      <c r="F31" s="21" t="n">
        <v>0.496217541369671</v>
      </c>
      <c r="G31" s="38" t="s">
        <v>624</v>
      </c>
      <c r="H31" s="47" t="s">
        <v>659</v>
      </c>
      <c r="I31" s="38" t="s">
        <v>596</v>
      </c>
    </row>
    <row r="32" customFormat="false" ht="28.35" hidden="false" customHeight="false" outlineLevel="0" collapsed="false">
      <c r="A32" s="38" t="n">
        <v>31</v>
      </c>
      <c r="B32" s="47" t="s">
        <v>660</v>
      </c>
      <c r="C32" s="38" t="s">
        <v>555</v>
      </c>
      <c r="D32" s="39" t="n">
        <v>0.00148208394467541</v>
      </c>
      <c r="E32" s="39" t="n">
        <v>0.00473884804326798</v>
      </c>
      <c r="F32" s="21" t="n">
        <v>0.457056793198761</v>
      </c>
      <c r="G32" s="38" t="s">
        <v>617</v>
      </c>
      <c r="H32" s="47" t="s">
        <v>661</v>
      </c>
      <c r="I32" s="38" t="s">
        <v>594</v>
      </c>
    </row>
    <row r="33" customFormat="false" ht="28.35" hidden="false" customHeight="false" outlineLevel="0" collapsed="false">
      <c r="A33" s="38" t="n">
        <v>32</v>
      </c>
      <c r="B33" s="47" t="s">
        <v>662</v>
      </c>
      <c r="C33" s="38" t="s">
        <v>555</v>
      </c>
      <c r="D33" s="39" t="n">
        <v>0.00095247378759047</v>
      </c>
      <c r="E33" s="39" t="n">
        <v>0.00304546079242202</v>
      </c>
      <c r="F33" s="21" t="n">
        <v>0.293731415501785</v>
      </c>
      <c r="G33" s="38" t="s">
        <v>621</v>
      </c>
      <c r="H33" s="47" t="s">
        <v>663</v>
      </c>
      <c r="I33" s="38" t="s">
        <v>607</v>
      </c>
    </row>
    <row r="35" customFormat="false" ht="15" hidden="false" customHeight="false" outlineLevel="0" collapsed="false">
      <c r="B35" s="5" t="s">
        <v>664</v>
      </c>
      <c r="C35" s="5" t="s">
        <v>554</v>
      </c>
      <c r="D35" s="48" t="n">
        <f aca="false">SUMIF(C2:C33,"Historical voter data",D2:D33)</f>
        <v>0.659553599584773</v>
      </c>
      <c r="F35" s="49" t="n">
        <f aca="false">SUMIF(C2:C33,"Historical voter data",F2:F33)</f>
        <v>203.398366369144</v>
      </c>
    </row>
    <row r="36" customFormat="false" ht="15" hidden="false" customHeight="false" outlineLevel="0" collapsed="false">
      <c r="B36" s="5" t="s">
        <v>665</v>
      </c>
      <c r="C36" s="5" t="s">
        <v>555</v>
      </c>
      <c r="D36" s="48" t="n">
        <f aca="false">SUMIF(C2:C33,"Voter registration data",D2:D33)</f>
        <v>0.31275194543975</v>
      </c>
      <c r="F36" s="49" t="n">
        <f aca="false">SUMIF(C2:C33,"Voter registration data",F2:F33)</f>
        <v>96.4489236678642</v>
      </c>
    </row>
    <row r="37" customFormat="false" ht="15" hidden="false" customHeight="false" outlineLevel="0" collapsed="false">
      <c r="B37" s="5" t="s">
        <v>666</v>
      </c>
      <c r="C37" s="5" t="s">
        <v>553</v>
      </c>
      <c r="D37" s="48" t="n">
        <f aca="false">SUMIF(C2:C33,"Geography &amp; municipal context",D2:D33)</f>
        <v>0.0213272452546261</v>
      </c>
      <c r="F37" s="49" t="n">
        <f aca="false">SUMIF(C2:C33,"Geography &amp; municipal context",F2:F33)</f>
        <v>6.57706492190476</v>
      </c>
    </row>
    <row r="38" customFormat="false" ht="15" hidden="false" customHeight="false" outlineLevel="0" collapsed="false">
      <c r="B38" s="5" t="s">
        <v>667</v>
      </c>
      <c r="C38" s="5" t="s">
        <v>552</v>
      </c>
      <c r="D38" s="48" t="n">
        <f aca="false">SUMIF(C2:C33,"Election type",D2:D33)</f>
        <v>0.00636720972085122</v>
      </c>
      <c r="F38" s="49" t="n">
        <f aca="false">SUMIF(C2:C33,"Election type",F2:F33)</f>
        <v>1.96357059739527</v>
      </c>
    </row>
    <row r="39" customFormat="false" ht="15" hidden="false" customHeight="false" outlineLevel="0" collapsed="false">
      <c r="B39" s="5" t="s">
        <v>668</v>
      </c>
      <c r="D39" s="48" t="n">
        <f aca="false">SUM(D2:D33)</f>
        <v>1</v>
      </c>
      <c r="F39" s="49" t="n">
        <f aca="false">SUM(F2:F33)</f>
        <v>308.387925556308</v>
      </c>
    </row>
    <row r="41" customFormat="false" ht="15" hidden="false" customHeight="false" outlineLevel="0" collapsed="false">
      <c r="B41" s="5" t="s">
        <v>69</v>
      </c>
    </row>
    <row r="42" customFormat="false" ht="30" hidden="false" customHeight="true" outlineLevel="0" collapsed="false">
      <c r="B42" s="50" t="s">
        <v>669</v>
      </c>
    </row>
    <row r="43" customFormat="false" ht="60" hidden="false" customHeight="true" outlineLevel="0" collapsed="false">
      <c r="B43" s="50" t="s">
        <v>670</v>
      </c>
    </row>
    <row r="44" customFormat="false" ht="60" hidden="false" customHeight="true" outlineLevel="0" collapsed="false">
      <c r="B44" s="50" t="s">
        <v>671</v>
      </c>
    </row>
    <row r="45" customFormat="false" ht="30" hidden="false" customHeight="true" outlineLevel="0" collapsed="false">
      <c r="B45" s="50" t="s">
        <v>672</v>
      </c>
    </row>
    <row r="46" customFormat="false" ht="90" hidden="false" customHeight="true" outlineLevel="0" collapsed="false">
      <c r="B46" s="50" t="s">
        <v>673</v>
      </c>
    </row>
    <row r="47" customFormat="false" ht="30" hidden="false" customHeight="true" outlineLevel="0" collapsed="false">
      <c r="B47" s="50" t="s">
        <v>674</v>
      </c>
    </row>
    <row r="48" customFormat="false" ht="75" hidden="false" customHeight="true" outlineLevel="0" collapsed="false">
      <c r="B48" s="50" t="s">
        <v>675</v>
      </c>
    </row>
    <row r="49" customFormat="false" ht="45" hidden="false" customHeight="true" outlineLevel="0" collapsed="false">
      <c r="B49" s="50" t="s">
        <v>676</v>
      </c>
    </row>
    <row r="50" customFormat="false" ht="60" hidden="false" customHeight="true" outlineLevel="0" collapsed="false">
      <c r="B50" s="50" t="s">
        <v>677</v>
      </c>
    </row>
  </sheetData>
  <conditionalFormatting sqref="D2:D33">
    <cfRule type="dataBar" priority="2">
      <dataBar showValue="1" minLength="10" maxLength="90">
        <cfvo type="num" val="0"/>
        <cfvo type="max" val="0"/>
        <color rgb="FF5B9BD5"/>
      </dataBar>
      <extLst>
        <ext xmlns:x14="http://schemas.microsoft.com/office/spreadsheetml/2009/9/main" uri="{B025F937-C7B1-47D3-B67F-A62EFF666E3E}">
          <x14:id>{607540C9-53EF-45A4-854E-36E6F028E4D5}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607540C9-53EF-45A4-854E-36E6F028E4D5}">
            <x14:dataBar minLength="10" maxLength="90" axisPosition="none" gradient="true">
              <x14:cfvo type="num">
                <xm:f>0</xm:f>
              </x14:cfvo>
              <x14:cfvo type="max"/>
              <x14:negativeFillColor rgb="FF5B9BD5"/>
              <x14:axisColor rgb="FF000000"/>
            </x14:dataBar>
          </x14:cfRule>
          <xm:sqref>D2:D33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608</v>
      </c>
      <c r="B1" s="7" t="s">
        <v>609</v>
      </c>
      <c r="C1" s="7" t="s">
        <v>542</v>
      </c>
      <c r="D1" s="7" t="s">
        <v>610</v>
      </c>
      <c r="E1" s="7" t="s">
        <v>611</v>
      </c>
      <c r="F1" s="7" t="s">
        <v>612</v>
      </c>
      <c r="G1" s="7" t="s">
        <v>613</v>
      </c>
      <c r="H1" s="7" t="s">
        <v>614</v>
      </c>
      <c r="I1" s="7" t="s">
        <v>615</v>
      </c>
    </row>
    <row r="2" customFormat="false" ht="41.75" hidden="false" customHeight="false" outlineLevel="0" collapsed="false">
      <c r="A2" s="38" t="n">
        <v>1</v>
      </c>
      <c r="B2" s="47" t="s">
        <v>623</v>
      </c>
      <c r="C2" s="38" t="s">
        <v>555</v>
      </c>
      <c r="D2" s="39" t="n">
        <v>0.120417092847849</v>
      </c>
      <c r="E2" s="39" t="n">
        <v>0.331210090705876</v>
      </c>
      <c r="F2" s="21" t="n">
        <v>33.3514833670856</v>
      </c>
      <c r="G2" s="38" t="s">
        <v>624</v>
      </c>
      <c r="H2" s="47" t="s">
        <v>625</v>
      </c>
      <c r="I2" s="38" t="s">
        <v>577</v>
      </c>
    </row>
    <row r="3" customFormat="false" ht="28.35" hidden="false" customHeight="false" outlineLevel="0" collapsed="false">
      <c r="A3" s="38" t="n">
        <v>2</v>
      </c>
      <c r="B3" s="47" t="s">
        <v>620</v>
      </c>
      <c r="C3" s="38" t="s">
        <v>555</v>
      </c>
      <c r="D3" s="39" t="n">
        <v>0.118511492668555</v>
      </c>
      <c r="E3" s="39" t="n">
        <v>0.325968691886934</v>
      </c>
      <c r="F3" s="21" t="n">
        <v>32.8236962300523</v>
      </c>
      <c r="G3" s="38" t="s">
        <v>621</v>
      </c>
      <c r="H3" s="47" t="s">
        <v>622</v>
      </c>
      <c r="I3" s="38" t="s">
        <v>598</v>
      </c>
    </row>
    <row r="4" customFormat="false" ht="41.75" hidden="false" customHeight="false" outlineLevel="0" collapsed="false">
      <c r="A4" s="38" t="n">
        <v>3</v>
      </c>
      <c r="B4" s="47" t="s">
        <v>627</v>
      </c>
      <c r="C4" s="38" t="s">
        <v>555</v>
      </c>
      <c r="D4" s="39" t="n">
        <v>0.111747078002167</v>
      </c>
      <c r="E4" s="39" t="n">
        <v>0.307363007741598</v>
      </c>
      <c r="F4" s="21" t="n">
        <v>30.950180951626</v>
      </c>
      <c r="G4" s="38" t="s">
        <v>624</v>
      </c>
      <c r="H4" s="47" t="s">
        <v>625</v>
      </c>
      <c r="I4" s="38" t="s">
        <v>579</v>
      </c>
    </row>
    <row r="5" customFormat="false" ht="28.35" hidden="false" customHeight="false" outlineLevel="0" collapsed="false">
      <c r="A5" s="38" t="n">
        <v>4</v>
      </c>
      <c r="B5" s="47" t="s">
        <v>616</v>
      </c>
      <c r="C5" s="38" t="s">
        <v>554</v>
      </c>
      <c r="D5" s="39" t="n">
        <v>0.110949963932528</v>
      </c>
      <c r="E5" s="39" t="n">
        <v>0.174330969203524</v>
      </c>
      <c r="F5" s="21" t="n">
        <v>30.7294071727005</v>
      </c>
      <c r="G5" s="38" t="s">
        <v>617</v>
      </c>
      <c r="H5" s="47" t="s">
        <v>618</v>
      </c>
      <c r="I5" s="38" t="s">
        <v>572</v>
      </c>
    </row>
    <row r="6" customFormat="false" ht="28.35" hidden="false" customHeight="false" outlineLevel="0" collapsed="false">
      <c r="A6" s="38" t="n">
        <v>5</v>
      </c>
      <c r="B6" s="47" t="s">
        <v>628</v>
      </c>
      <c r="C6" s="38" t="s">
        <v>554</v>
      </c>
      <c r="D6" s="39" t="n">
        <v>0.106852670312489</v>
      </c>
      <c r="E6" s="39" t="n">
        <v>0.167893065642535</v>
      </c>
      <c r="F6" s="21" t="n">
        <v>29.5945946906266</v>
      </c>
      <c r="G6" s="38" t="s">
        <v>617</v>
      </c>
      <c r="H6" s="47" t="s">
        <v>618</v>
      </c>
      <c r="I6" s="38" t="s">
        <v>578</v>
      </c>
    </row>
    <row r="7" customFormat="false" ht="28.35" hidden="false" customHeight="false" outlineLevel="0" collapsed="false">
      <c r="A7" s="38" t="n">
        <v>6</v>
      </c>
      <c r="B7" s="47" t="s">
        <v>619</v>
      </c>
      <c r="C7" s="38" t="s">
        <v>554</v>
      </c>
      <c r="D7" s="39" t="n">
        <v>0.10539045143079</v>
      </c>
      <c r="E7" s="39" t="n">
        <v>0.165595543175658</v>
      </c>
      <c r="F7" s="21" t="n">
        <v>29.1896092557629</v>
      </c>
      <c r="G7" s="38" t="s">
        <v>617</v>
      </c>
      <c r="H7" s="47" t="s">
        <v>618</v>
      </c>
      <c r="I7" s="38" t="s">
        <v>575</v>
      </c>
    </row>
    <row r="8" customFormat="false" ht="28.35" hidden="false" customHeight="false" outlineLevel="0" collapsed="false">
      <c r="A8" s="38" t="n">
        <v>7</v>
      </c>
      <c r="B8" s="47" t="s">
        <v>626</v>
      </c>
      <c r="C8" s="38" t="s">
        <v>554</v>
      </c>
      <c r="D8" s="39" t="n">
        <v>0.103730282009737</v>
      </c>
      <c r="E8" s="39" t="n">
        <v>0.162986989428039</v>
      </c>
      <c r="F8" s="21" t="n">
        <v>28.72979818141</v>
      </c>
      <c r="G8" s="38" t="s">
        <v>617</v>
      </c>
      <c r="H8" s="47" t="s">
        <v>618</v>
      </c>
      <c r="I8" s="38" t="s">
        <v>576</v>
      </c>
    </row>
    <row r="9" customFormat="false" ht="28.35" hidden="false" customHeight="false" outlineLevel="0" collapsed="false">
      <c r="A9" s="38" t="n">
        <v>8</v>
      </c>
      <c r="B9" s="47" t="s">
        <v>630</v>
      </c>
      <c r="C9" s="38" t="s">
        <v>554</v>
      </c>
      <c r="D9" s="39" t="n">
        <v>0.0447791298653945</v>
      </c>
      <c r="E9" s="39" t="n">
        <v>0.070359546166883</v>
      </c>
      <c r="F9" s="21" t="n">
        <v>12.4023124091302</v>
      </c>
      <c r="G9" s="38" t="s">
        <v>621</v>
      </c>
      <c r="H9" s="47" t="s">
        <v>622</v>
      </c>
      <c r="I9" s="38" t="s">
        <v>601</v>
      </c>
    </row>
    <row r="10" customFormat="false" ht="28.35" hidden="false" customHeight="false" outlineLevel="0" collapsed="false">
      <c r="A10" s="38" t="n">
        <v>9</v>
      </c>
      <c r="B10" s="47" t="s">
        <v>631</v>
      </c>
      <c r="C10" s="38" t="s">
        <v>554</v>
      </c>
      <c r="D10" s="39" t="n">
        <v>0.0406867947872338</v>
      </c>
      <c r="E10" s="39" t="n">
        <v>0.0639294337522888</v>
      </c>
      <c r="F10" s="21" t="n">
        <v>11.2688732763298</v>
      </c>
      <c r="G10" s="38" t="s">
        <v>621</v>
      </c>
      <c r="H10" s="47" t="s">
        <v>622</v>
      </c>
      <c r="I10" s="38" t="s">
        <v>602</v>
      </c>
    </row>
    <row r="11" customFormat="false" ht="28.35" hidden="false" customHeight="false" outlineLevel="0" collapsed="false">
      <c r="A11" s="38" t="n">
        <v>10</v>
      </c>
      <c r="B11" s="47" t="s">
        <v>629</v>
      </c>
      <c r="C11" s="38" t="s">
        <v>554</v>
      </c>
      <c r="D11" s="39" t="n">
        <v>0.0395339379525938</v>
      </c>
      <c r="E11" s="39" t="n">
        <v>0.062117998739494</v>
      </c>
      <c r="F11" s="21" t="n">
        <v>10.9495707202242</v>
      </c>
      <c r="G11" s="38" t="s">
        <v>621</v>
      </c>
      <c r="H11" s="47" t="s">
        <v>622</v>
      </c>
      <c r="I11" s="38" t="s">
        <v>600</v>
      </c>
    </row>
    <row r="12" customFormat="false" ht="28.35" hidden="false" customHeight="false" outlineLevel="0" collapsed="false">
      <c r="A12" s="38" t="n">
        <v>11</v>
      </c>
      <c r="B12" s="47" t="s">
        <v>632</v>
      </c>
      <c r="C12" s="38" t="s">
        <v>554</v>
      </c>
      <c r="D12" s="39" t="n">
        <v>0.0295865193901714</v>
      </c>
      <c r="E12" s="39" t="n">
        <v>0.0464880421573106</v>
      </c>
      <c r="F12" s="21" t="n">
        <v>8.19447045261299</v>
      </c>
      <c r="G12" s="38" t="s">
        <v>621</v>
      </c>
      <c r="H12" s="47" t="s">
        <v>622</v>
      </c>
      <c r="I12" s="38" t="s">
        <v>584</v>
      </c>
    </row>
    <row r="13" customFormat="false" ht="28.35" hidden="false" customHeight="false" outlineLevel="0" collapsed="false">
      <c r="A13" s="38" t="n">
        <v>12</v>
      </c>
      <c r="B13" s="47" t="s">
        <v>633</v>
      </c>
      <c r="C13" s="38" t="s">
        <v>554</v>
      </c>
      <c r="D13" s="39" t="n">
        <v>0.0225640848137651</v>
      </c>
      <c r="E13" s="39" t="n">
        <v>0.0354539887652992</v>
      </c>
      <c r="F13" s="21" t="n">
        <v>6.24949234001737</v>
      </c>
      <c r="G13" s="38" t="s">
        <v>621</v>
      </c>
      <c r="H13" s="47" t="s">
        <v>622</v>
      </c>
      <c r="I13" s="38" t="s">
        <v>603</v>
      </c>
    </row>
    <row r="14" customFormat="false" ht="28.35" hidden="false" customHeight="false" outlineLevel="0" collapsed="false">
      <c r="A14" s="38" t="n">
        <v>13</v>
      </c>
      <c r="B14" s="47" t="s">
        <v>634</v>
      </c>
      <c r="C14" s="38" t="s">
        <v>554</v>
      </c>
      <c r="D14" s="39" t="n">
        <v>0.0188288503821242</v>
      </c>
      <c r="E14" s="39" t="n">
        <v>0.0295849734399195</v>
      </c>
      <c r="F14" s="21" t="n">
        <v>5.21495807189282</v>
      </c>
      <c r="G14" s="38" t="s">
        <v>621</v>
      </c>
      <c r="H14" s="47" t="s">
        <v>622</v>
      </c>
      <c r="I14" s="38" t="s">
        <v>604</v>
      </c>
    </row>
    <row r="15" customFormat="false" ht="28.35" hidden="false" customHeight="false" outlineLevel="0" collapsed="false">
      <c r="A15" s="38" t="n">
        <v>14</v>
      </c>
      <c r="B15" s="47" t="s">
        <v>639</v>
      </c>
      <c r="C15" s="38" t="s">
        <v>554</v>
      </c>
      <c r="D15" s="39" t="n">
        <v>0.0135302130725814</v>
      </c>
      <c r="E15" s="39" t="n">
        <v>0.0212594495290483</v>
      </c>
      <c r="F15" s="21" t="n">
        <v>3.74741380622346</v>
      </c>
      <c r="G15" s="38" t="s">
        <v>621</v>
      </c>
      <c r="H15" s="47" t="s">
        <v>622</v>
      </c>
      <c r="I15" s="38" t="s">
        <v>605</v>
      </c>
    </row>
    <row r="16" customFormat="false" ht="28.35" hidden="false" customHeight="false" outlineLevel="0" collapsed="false">
      <c r="A16" s="38" t="n">
        <v>15</v>
      </c>
      <c r="B16" s="47" t="s">
        <v>638</v>
      </c>
      <c r="C16" s="38" t="s">
        <v>555</v>
      </c>
      <c r="D16" s="39" t="n">
        <v>0.0128914385320215</v>
      </c>
      <c r="E16" s="39" t="n">
        <v>0.0354582096655917</v>
      </c>
      <c r="F16" s="21" t="n">
        <v>3.5704947496264</v>
      </c>
      <c r="G16" s="38" t="s">
        <v>621</v>
      </c>
      <c r="H16" s="47" t="s">
        <v>622</v>
      </c>
      <c r="I16" s="38" t="s">
        <v>589</v>
      </c>
    </row>
    <row r="18" customFormat="false" ht="15" hidden="false" customHeight="false" outlineLevel="0" collapsed="false">
      <c r="B18" s="5" t="s">
        <v>665</v>
      </c>
      <c r="C18" s="5" t="s">
        <v>555</v>
      </c>
      <c r="D18" s="48" t="n">
        <f aca="false">SUMIF(C2:C16,"Voter registration data",D2:D16)</f>
        <v>0.363567102050593</v>
      </c>
      <c r="F18" s="49" t="n">
        <f aca="false">SUMIF(C2:C16,"Voter registration data",F2:F16)</f>
        <v>100.69585529839</v>
      </c>
    </row>
    <row r="19" customFormat="false" ht="15" hidden="false" customHeight="false" outlineLevel="0" collapsed="false">
      <c r="B19" s="5" t="s">
        <v>664</v>
      </c>
      <c r="C19" s="5" t="s">
        <v>554</v>
      </c>
      <c r="D19" s="48" t="n">
        <f aca="false">SUMIF(C2:C16,"Historical voter data",D2:D16)</f>
        <v>0.636432897949408</v>
      </c>
      <c r="F19" s="49" t="n">
        <f aca="false">SUMIF(C2:C16,"Historical voter data",F2:F16)</f>
        <v>176.270500376931</v>
      </c>
    </row>
    <row r="20" customFormat="false" ht="15" hidden="false" customHeight="false" outlineLevel="0" collapsed="false">
      <c r="B20" s="5" t="s">
        <v>668</v>
      </c>
      <c r="D20" s="48" t="n">
        <f aca="false">SUM(D2:D16)</f>
        <v>1</v>
      </c>
      <c r="F20" s="49" t="n">
        <f aca="false">SUM(F2:F16)</f>
        <v>276.966355675321</v>
      </c>
    </row>
    <row r="22" customFormat="false" ht="15" hidden="false" customHeight="false" outlineLevel="0" collapsed="false">
      <c r="B22" s="5" t="s">
        <v>69</v>
      </c>
    </row>
    <row r="23" customFormat="false" ht="30" hidden="false" customHeight="true" outlineLevel="0" collapsed="false">
      <c r="B23" s="50" t="s">
        <v>669</v>
      </c>
    </row>
    <row r="24" customFormat="false" ht="60" hidden="false" customHeight="true" outlineLevel="0" collapsed="false">
      <c r="B24" s="50" t="s">
        <v>670</v>
      </c>
    </row>
    <row r="25" customFormat="false" ht="60" hidden="false" customHeight="true" outlineLevel="0" collapsed="false">
      <c r="B25" s="50" t="s">
        <v>671</v>
      </c>
    </row>
    <row r="26" customFormat="false" ht="30" hidden="false" customHeight="true" outlineLevel="0" collapsed="false">
      <c r="B26" s="50" t="s">
        <v>672</v>
      </c>
    </row>
    <row r="27" customFormat="false" ht="90" hidden="false" customHeight="true" outlineLevel="0" collapsed="false">
      <c r="B27" s="50" t="s">
        <v>673</v>
      </c>
    </row>
    <row r="28" customFormat="false" ht="60" hidden="false" customHeight="true" outlineLevel="0" collapsed="false">
      <c r="B28" s="50" t="s">
        <v>678</v>
      </c>
    </row>
    <row r="29" customFormat="false" ht="75" hidden="false" customHeight="true" outlineLevel="0" collapsed="false">
      <c r="B29" s="50" t="s">
        <v>675</v>
      </c>
    </row>
    <row r="30" customFormat="false" ht="45" hidden="false" customHeight="true" outlineLevel="0" collapsed="false">
      <c r="B30" s="50" t="s">
        <v>679</v>
      </c>
    </row>
    <row r="31" customFormat="false" ht="60" hidden="false" customHeight="true" outlineLevel="0" collapsed="false">
      <c r="B31" s="50" t="s">
        <v>677</v>
      </c>
    </row>
  </sheetData>
  <conditionalFormatting sqref="D2:D16">
    <cfRule type="dataBar" priority="2">
      <dataBar showValue="1" minLength="10" maxLength="90">
        <cfvo type="num" val="0"/>
        <cfvo type="max" val="0"/>
        <color rgb="FF5B9BD5"/>
      </dataBar>
      <extLst>
        <ext xmlns:x14="http://schemas.microsoft.com/office/spreadsheetml/2009/9/main" uri="{B025F937-C7B1-47D3-B67F-A62EFF666E3E}">
          <x14:id>{4EB7D927-95B4-4A68-9874-819528913071}</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EB7D927-95B4-4A68-9874-819528913071}">
            <x14:dataBar minLength="10" maxLength="90" axisPosition="none" gradient="true">
              <x14:cfvo type="num">
                <xm:f>0</xm:f>
              </x14:cfvo>
              <x14:cfvo type="max"/>
              <x14:negativeFillColor rgb="FF5B9BD5"/>
              <x14:axisColor rgb="FF000000"/>
            </x14:dataBar>
          </x14:cfRule>
          <xm:sqref>D2:D16</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60"/>
    <col collapsed="false" customWidth="true" hidden="false" outlineLevel="0" max="9" min="9" style="0" width="40"/>
  </cols>
  <sheetData>
    <row r="1" customFormat="false" ht="31.5" hidden="false" customHeight="true" outlineLevel="0" collapsed="false">
      <c r="A1" s="7" t="s">
        <v>608</v>
      </c>
      <c r="B1" s="7" t="s">
        <v>609</v>
      </c>
      <c r="C1" s="7" t="s">
        <v>542</v>
      </c>
      <c r="D1" s="7" t="s">
        <v>610</v>
      </c>
      <c r="E1" s="7" t="s">
        <v>611</v>
      </c>
      <c r="F1" s="7" t="s">
        <v>612</v>
      </c>
      <c r="G1" s="7" t="s">
        <v>613</v>
      </c>
      <c r="H1" s="7" t="s">
        <v>614</v>
      </c>
      <c r="I1" s="7" t="s">
        <v>615</v>
      </c>
    </row>
    <row r="2" customFormat="false" ht="28.35" hidden="false" customHeight="false" outlineLevel="0" collapsed="false">
      <c r="A2" s="38" t="n">
        <v>1</v>
      </c>
      <c r="B2" s="47" t="s">
        <v>616</v>
      </c>
      <c r="C2" s="38" t="s">
        <v>554</v>
      </c>
      <c r="D2" s="39" t="n">
        <v>0.208203749698555</v>
      </c>
      <c r="E2" s="39" t="n">
        <v>0.32269259042033</v>
      </c>
      <c r="F2" s="21" t="n">
        <v>59.745298501696</v>
      </c>
      <c r="G2" s="38" t="s">
        <v>617</v>
      </c>
      <c r="H2" s="47" t="s">
        <v>618</v>
      </c>
      <c r="I2" s="38" t="s">
        <v>572</v>
      </c>
    </row>
    <row r="3" customFormat="false" ht="28.35" hidden="false" customHeight="false" outlineLevel="0" collapsed="false">
      <c r="A3" s="38" t="n">
        <v>2</v>
      </c>
      <c r="B3" s="47" t="s">
        <v>619</v>
      </c>
      <c r="C3" s="38" t="s">
        <v>554</v>
      </c>
      <c r="D3" s="39" t="n">
        <v>0.142091650794427</v>
      </c>
      <c r="E3" s="39" t="n">
        <v>0.220226210807157</v>
      </c>
      <c r="F3" s="21" t="n">
        <v>40.7740403503919</v>
      </c>
      <c r="G3" s="38" t="s">
        <v>617</v>
      </c>
      <c r="H3" s="47" t="s">
        <v>618</v>
      </c>
      <c r="I3" s="38" t="s">
        <v>575</v>
      </c>
    </row>
    <row r="4" customFormat="false" ht="28.35" hidden="false" customHeight="false" outlineLevel="0" collapsed="false">
      <c r="A4" s="38" t="n">
        <v>3</v>
      </c>
      <c r="B4" s="47" t="s">
        <v>620</v>
      </c>
      <c r="C4" s="38" t="s">
        <v>555</v>
      </c>
      <c r="D4" s="39" t="n">
        <v>0.121711352054789</v>
      </c>
      <c r="E4" s="39" t="n">
        <v>0.386025948746245</v>
      </c>
      <c r="F4" s="21" t="n">
        <v>34.9257929796489</v>
      </c>
      <c r="G4" s="38" t="s">
        <v>621</v>
      </c>
      <c r="H4" s="47" t="s">
        <v>622</v>
      </c>
      <c r="I4" s="38" t="s">
        <v>598</v>
      </c>
    </row>
    <row r="5" customFormat="false" ht="28.35" hidden="false" customHeight="false" outlineLevel="0" collapsed="false">
      <c r="A5" s="38" t="n">
        <v>4</v>
      </c>
      <c r="B5" s="47" t="s">
        <v>626</v>
      </c>
      <c r="C5" s="38" t="s">
        <v>554</v>
      </c>
      <c r="D5" s="39" t="n">
        <v>0.0960865364638045</v>
      </c>
      <c r="E5" s="39" t="n">
        <v>0.148923414688327</v>
      </c>
      <c r="F5" s="21" t="n">
        <v>27.5726004518926</v>
      </c>
      <c r="G5" s="38" t="s">
        <v>617</v>
      </c>
      <c r="H5" s="47" t="s">
        <v>618</v>
      </c>
      <c r="I5" s="38" t="s">
        <v>576</v>
      </c>
    </row>
    <row r="6" customFormat="false" ht="41.75" hidden="false" customHeight="false" outlineLevel="0" collapsed="false">
      <c r="A6" s="38" t="n">
        <v>5</v>
      </c>
      <c r="B6" s="47" t="s">
        <v>623</v>
      </c>
      <c r="C6" s="38" t="s">
        <v>555</v>
      </c>
      <c r="D6" s="39" t="n">
        <v>0.0835004016716033</v>
      </c>
      <c r="E6" s="39" t="n">
        <v>0.264834144324215</v>
      </c>
      <c r="F6" s="21" t="n">
        <v>23.9609345658009</v>
      </c>
      <c r="G6" s="38" t="s">
        <v>624</v>
      </c>
      <c r="H6" s="47" t="s">
        <v>625</v>
      </c>
      <c r="I6" s="38" t="s">
        <v>577</v>
      </c>
    </row>
    <row r="7" customFormat="false" ht="28.35" hidden="false" customHeight="false" outlineLevel="0" collapsed="false">
      <c r="A7" s="38" t="n">
        <v>6</v>
      </c>
      <c r="B7" s="47" t="s">
        <v>628</v>
      </c>
      <c r="C7" s="38" t="s">
        <v>554</v>
      </c>
      <c r="D7" s="39" t="n">
        <v>0.0598628833639654</v>
      </c>
      <c r="E7" s="39" t="n">
        <v>0.0927807925203864</v>
      </c>
      <c r="F7" s="21" t="n">
        <v>17.1780087579141</v>
      </c>
      <c r="G7" s="38" t="s">
        <v>617</v>
      </c>
      <c r="H7" s="47" t="s">
        <v>618</v>
      </c>
      <c r="I7" s="38" t="s">
        <v>578</v>
      </c>
    </row>
    <row r="8" customFormat="false" ht="41.75" hidden="false" customHeight="false" outlineLevel="0" collapsed="false">
      <c r="A8" s="38" t="n">
        <v>7</v>
      </c>
      <c r="B8" s="47" t="s">
        <v>627</v>
      </c>
      <c r="C8" s="38" t="s">
        <v>555</v>
      </c>
      <c r="D8" s="39" t="n">
        <v>0.0590305096584858</v>
      </c>
      <c r="E8" s="39" t="n">
        <v>0.187224183374724</v>
      </c>
      <c r="F8" s="21" t="n">
        <v>16.9391541956363</v>
      </c>
      <c r="G8" s="38" t="s">
        <v>624</v>
      </c>
      <c r="H8" s="47" t="s">
        <v>625</v>
      </c>
      <c r="I8" s="38" t="s">
        <v>579</v>
      </c>
    </row>
    <row r="9" customFormat="false" ht="41.75" hidden="false" customHeight="false" outlineLevel="0" collapsed="false">
      <c r="A9" s="38" t="n">
        <v>8</v>
      </c>
      <c r="B9" s="47" t="s">
        <v>632</v>
      </c>
      <c r="C9" s="38" t="s">
        <v>554</v>
      </c>
      <c r="D9" s="39" t="n">
        <v>0.0221566938915682</v>
      </c>
      <c r="E9" s="39" t="n">
        <v>0.0343404043268779</v>
      </c>
      <c r="F9" s="21" t="n">
        <v>6.35799447550313</v>
      </c>
      <c r="G9" s="38" t="s">
        <v>624</v>
      </c>
      <c r="H9" s="47" t="s">
        <v>625</v>
      </c>
      <c r="I9" s="38" t="s">
        <v>584</v>
      </c>
    </row>
    <row r="10" customFormat="false" ht="28.35" hidden="false" customHeight="false" outlineLevel="0" collapsed="false">
      <c r="A10" s="38" t="n">
        <v>9</v>
      </c>
      <c r="B10" s="47" t="s">
        <v>629</v>
      </c>
      <c r="C10" s="38" t="s">
        <v>554</v>
      </c>
      <c r="D10" s="39" t="n">
        <v>0.0202681634558506</v>
      </c>
      <c r="E10" s="39" t="n">
        <v>0.0314133927851949</v>
      </c>
      <c r="F10" s="21" t="n">
        <v>5.81606948724116</v>
      </c>
      <c r="G10" s="38" t="s">
        <v>621</v>
      </c>
      <c r="H10" s="47" t="s">
        <v>622</v>
      </c>
      <c r="I10" s="38" t="s">
        <v>600</v>
      </c>
    </row>
    <row r="11" customFormat="false" ht="28.35" hidden="false" customHeight="false" outlineLevel="0" collapsed="false">
      <c r="A11" s="38" t="n">
        <v>10</v>
      </c>
      <c r="B11" s="47" t="s">
        <v>630</v>
      </c>
      <c r="C11" s="38" t="s">
        <v>554</v>
      </c>
      <c r="D11" s="39" t="n">
        <v>0.0202437696651769</v>
      </c>
      <c r="E11" s="39" t="n">
        <v>0.031375585130366</v>
      </c>
      <c r="F11" s="21" t="n">
        <v>5.80906954460084</v>
      </c>
      <c r="G11" s="38" t="s">
        <v>621</v>
      </c>
      <c r="H11" s="47" t="s">
        <v>622</v>
      </c>
      <c r="I11" s="38" t="s">
        <v>601</v>
      </c>
    </row>
    <row r="12" customFormat="false" ht="28.35" hidden="false" customHeight="false" outlineLevel="0" collapsed="false">
      <c r="A12" s="38" t="n">
        <v>11</v>
      </c>
      <c r="B12" s="47" t="s">
        <v>631</v>
      </c>
      <c r="C12" s="38" t="s">
        <v>554</v>
      </c>
      <c r="D12" s="39" t="n">
        <v>0.0187235413075762</v>
      </c>
      <c r="E12" s="39" t="n">
        <v>0.0290194007318867</v>
      </c>
      <c r="F12" s="21" t="n">
        <v>5.37283101793117</v>
      </c>
      <c r="G12" s="38" t="s">
        <v>621</v>
      </c>
      <c r="H12" s="47" t="s">
        <v>622</v>
      </c>
      <c r="I12" s="38" t="s">
        <v>602</v>
      </c>
    </row>
    <row r="13" customFormat="false" ht="41.75" hidden="false" customHeight="false" outlineLevel="0" collapsed="false">
      <c r="A13" s="38" t="n">
        <v>12</v>
      </c>
      <c r="B13" s="47" t="s">
        <v>644</v>
      </c>
      <c r="C13" s="38" t="s">
        <v>553</v>
      </c>
      <c r="D13" s="39" t="n">
        <v>0.015048694588944</v>
      </c>
      <c r="E13" s="39" t="n">
        <v>0.460519731482148</v>
      </c>
      <c r="F13" s="21" t="n">
        <v>4.31831199764197</v>
      </c>
      <c r="G13" s="38" t="s">
        <v>624</v>
      </c>
      <c r="H13" s="47" t="s">
        <v>645</v>
      </c>
      <c r="I13" s="38" t="s">
        <v>597</v>
      </c>
    </row>
    <row r="14" customFormat="false" ht="41.75" hidden="false" customHeight="false" outlineLevel="0" collapsed="false">
      <c r="A14" s="38" t="n">
        <v>13</v>
      </c>
      <c r="B14" s="47" t="s">
        <v>636</v>
      </c>
      <c r="C14" s="38" t="s">
        <v>554</v>
      </c>
      <c r="D14" s="39" t="n">
        <v>0.0130449798597185</v>
      </c>
      <c r="E14" s="39" t="n">
        <v>0.0202182638353455</v>
      </c>
      <c r="F14" s="21" t="n">
        <v>3.74333419448932</v>
      </c>
      <c r="G14" s="38" t="s">
        <v>624</v>
      </c>
      <c r="H14" s="47" t="s">
        <v>637</v>
      </c>
      <c r="I14" s="38" t="s">
        <v>583</v>
      </c>
    </row>
    <row r="15" customFormat="false" ht="28.35" hidden="false" customHeight="false" outlineLevel="0" collapsed="false">
      <c r="A15" s="38" t="n">
        <v>14</v>
      </c>
      <c r="B15" s="47" t="s">
        <v>635</v>
      </c>
      <c r="C15" s="38" t="s">
        <v>555</v>
      </c>
      <c r="D15" s="39" t="n">
        <v>0.0126212348248612</v>
      </c>
      <c r="E15" s="39" t="n">
        <v>0.0400301538464792</v>
      </c>
      <c r="F15" s="21" t="n">
        <v>3.62173804824882</v>
      </c>
      <c r="G15" s="38" t="s">
        <v>617</v>
      </c>
      <c r="H15" s="47" t="s">
        <v>618</v>
      </c>
      <c r="I15" s="38" t="s">
        <v>580</v>
      </c>
    </row>
    <row r="16" customFormat="false" ht="41.75" hidden="false" customHeight="false" outlineLevel="0" collapsed="false">
      <c r="A16" s="38" t="n">
        <v>15</v>
      </c>
      <c r="B16" s="47" t="s">
        <v>638</v>
      </c>
      <c r="C16" s="38" t="s">
        <v>555</v>
      </c>
      <c r="D16" s="39" t="n">
        <v>0.0118960906987626</v>
      </c>
      <c r="E16" s="39" t="n">
        <v>0.0377302496507804</v>
      </c>
      <c r="F16" s="21" t="n">
        <v>3.41365364855267</v>
      </c>
      <c r="G16" s="38" t="s">
        <v>624</v>
      </c>
      <c r="H16" s="47" t="s">
        <v>625</v>
      </c>
      <c r="I16" s="38" t="s">
        <v>589</v>
      </c>
    </row>
    <row r="17" customFormat="false" ht="28.35" hidden="false" customHeight="false" outlineLevel="0" collapsed="false">
      <c r="A17" s="38" t="n">
        <v>16</v>
      </c>
      <c r="B17" s="47" t="s">
        <v>633</v>
      </c>
      <c r="C17" s="38" t="s">
        <v>554</v>
      </c>
      <c r="D17" s="39" t="n">
        <v>0.0102431132839848</v>
      </c>
      <c r="E17" s="39" t="n">
        <v>0.0158756831438607</v>
      </c>
      <c r="F17" s="21" t="n">
        <v>2.93932199407745</v>
      </c>
      <c r="G17" s="38" t="s">
        <v>621</v>
      </c>
      <c r="H17" s="47" t="s">
        <v>622</v>
      </c>
      <c r="I17" s="38" t="s">
        <v>603</v>
      </c>
    </row>
    <row r="18" customFormat="false" ht="28.35" hidden="false" customHeight="false" outlineLevel="0" collapsed="false">
      <c r="A18" s="38" t="n">
        <v>17</v>
      </c>
      <c r="B18" s="47" t="s">
        <v>640</v>
      </c>
      <c r="C18" s="38" t="s">
        <v>553</v>
      </c>
      <c r="D18" s="39" t="n">
        <v>0.00978182361669573</v>
      </c>
      <c r="E18" s="39" t="n">
        <v>0.29934309309965</v>
      </c>
      <c r="F18" s="21" t="n">
        <v>2.80695219330376</v>
      </c>
      <c r="G18" s="38" t="s">
        <v>617</v>
      </c>
      <c r="H18" s="47" t="s">
        <v>618</v>
      </c>
      <c r="I18" s="38" t="s">
        <v>582</v>
      </c>
    </row>
    <row r="19" customFormat="false" ht="28.35" hidden="false" customHeight="false" outlineLevel="0" collapsed="false">
      <c r="A19" s="38" t="n">
        <v>18</v>
      </c>
      <c r="B19" s="47" t="s">
        <v>634</v>
      </c>
      <c r="C19" s="38" t="s">
        <v>554</v>
      </c>
      <c r="D19" s="39" t="n">
        <v>0.0084484037279861</v>
      </c>
      <c r="E19" s="39" t="n">
        <v>0.0130940835016072</v>
      </c>
      <c r="F19" s="21" t="n">
        <v>2.42431946265219</v>
      </c>
      <c r="G19" s="38" t="s">
        <v>621</v>
      </c>
      <c r="H19" s="47" t="s">
        <v>622</v>
      </c>
      <c r="I19" s="38" t="s">
        <v>604</v>
      </c>
    </row>
    <row r="20" customFormat="false" ht="41.75" hidden="false" customHeight="false" outlineLevel="0" collapsed="false">
      <c r="A20" s="38" t="n">
        <v>19</v>
      </c>
      <c r="B20" s="47" t="s">
        <v>642</v>
      </c>
      <c r="C20" s="38" t="s">
        <v>554</v>
      </c>
      <c r="D20" s="39" t="n">
        <v>0.00801890887682229</v>
      </c>
      <c r="E20" s="39" t="n">
        <v>0.0124284143852013</v>
      </c>
      <c r="F20" s="21" t="n">
        <v>2.30107337258476</v>
      </c>
      <c r="G20" s="38" t="s">
        <v>624</v>
      </c>
      <c r="H20" s="47" t="s">
        <v>643</v>
      </c>
      <c r="I20" s="38" t="s">
        <v>586</v>
      </c>
    </row>
    <row r="21" customFormat="false" ht="41.75" hidden="false" customHeight="false" outlineLevel="0" collapsed="false">
      <c r="A21" s="38" t="n">
        <v>20</v>
      </c>
      <c r="B21" s="47" t="s">
        <v>641</v>
      </c>
      <c r="C21" s="38" t="s">
        <v>555</v>
      </c>
      <c r="D21" s="39" t="n">
        <v>0.00791680425042077</v>
      </c>
      <c r="E21" s="39" t="n">
        <v>0.025109341242313</v>
      </c>
      <c r="F21" s="21" t="n">
        <v>2.27177384559932</v>
      </c>
      <c r="G21" s="38" t="s">
        <v>624</v>
      </c>
      <c r="H21" s="47" t="s">
        <v>625</v>
      </c>
      <c r="I21" s="38" t="s">
        <v>588</v>
      </c>
    </row>
    <row r="22" customFormat="false" ht="41.75" hidden="false" customHeight="false" outlineLevel="0" collapsed="false">
      <c r="A22" s="38" t="n">
        <v>21</v>
      </c>
      <c r="B22" s="47" t="s">
        <v>646</v>
      </c>
      <c r="C22" s="38" t="s">
        <v>552</v>
      </c>
      <c r="D22" s="39" t="n">
        <v>0.00682146190557875</v>
      </c>
      <c r="E22" s="39" t="n">
        <v>1</v>
      </c>
      <c r="F22" s="21" t="n">
        <v>1.9574588755333</v>
      </c>
      <c r="G22" s="38" t="s">
        <v>624</v>
      </c>
      <c r="H22" s="47" t="s">
        <v>647</v>
      </c>
      <c r="I22" s="38" t="s">
        <v>592</v>
      </c>
    </row>
    <row r="23" customFormat="false" ht="28.35" hidden="false" customHeight="false" outlineLevel="0" collapsed="false">
      <c r="A23" s="38" t="n">
        <v>22</v>
      </c>
      <c r="B23" s="47" t="s">
        <v>631</v>
      </c>
      <c r="C23" s="38" t="s">
        <v>554</v>
      </c>
      <c r="D23" s="39" t="n">
        <v>0.00602942886618279</v>
      </c>
      <c r="E23" s="39" t="n">
        <v>0.00934494226160972</v>
      </c>
      <c r="F23" s="21" t="n">
        <v>1.73018030619712</v>
      </c>
      <c r="G23" s="38" t="s">
        <v>617</v>
      </c>
      <c r="H23" s="47" t="s">
        <v>618</v>
      </c>
      <c r="I23" s="38" t="s">
        <v>587</v>
      </c>
    </row>
    <row r="24" customFormat="false" ht="28.35" hidden="false" customHeight="false" outlineLevel="0" collapsed="false">
      <c r="A24" s="38" t="n">
        <v>23</v>
      </c>
      <c r="B24" s="47" t="s">
        <v>639</v>
      </c>
      <c r="C24" s="38" t="s">
        <v>554</v>
      </c>
      <c r="D24" s="39" t="n">
        <v>0.00596269602281439</v>
      </c>
      <c r="E24" s="39" t="n">
        <v>0.0092415137973105</v>
      </c>
      <c r="F24" s="21" t="n">
        <v>1.7110309217471</v>
      </c>
      <c r="G24" s="38" t="s">
        <v>621</v>
      </c>
      <c r="H24" s="47" t="s">
        <v>622</v>
      </c>
      <c r="I24" s="38" t="s">
        <v>605</v>
      </c>
    </row>
    <row r="25" customFormat="false" ht="41.75" hidden="false" customHeight="false" outlineLevel="0" collapsed="false">
      <c r="A25" s="38" t="n">
        <v>24</v>
      </c>
      <c r="B25" s="47" t="s">
        <v>649</v>
      </c>
      <c r="C25" s="38" t="s">
        <v>554</v>
      </c>
      <c r="D25" s="39" t="n">
        <v>0.00582319815739299</v>
      </c>
      <c r="E25" s="39" t="n">
        <v>0.00902530766453857</v>
      </c>
      <c r="F25" s="21" t="n">
        <v>1.67100118346421</v>
      </c>
      <c r="G25" s="38" t="s">
        <v>624</v>
      </c>
      <c r="H25" s="47" t="s">
        <v>650</v>
      </c>
      <c r="I25" s="38" t="s">
        <v>590</v>
      </c>
    </row>
    <row r="26" customFormat="false" ht="28.35" hidden="false" customHeight="false" outlineLevel="0" collapsed="false">
      <c r="A26" s="38" t="n">
        <v>25</v>
      </c>
      <c r="B26" s="47" t="s">
        <v>648</v>
      </c>
      <c r="C26" s="38" t="s">
        <v>555</v>
      </c>
      <c r="D26" s="39" t="n">
        <v>0.00581418705295596</v>
      </c>
      <c r="E26" s="39" t="n">
        <v>0.0184405730066586</v>
      </c>
      <c r="F26" s="21" t="n">
        <v>1.66841539370202</v>
      </c>
      <c r="G26" s="38" t="s">
        <v>617</v>
      </c>
      <c r="H26" s="47" t="s">
        <v>618</v>
      </c>
      <c r="I26" s="38" t="s">
        <v>585</v>
      </c>
    </row>
    <row r="27" customFormat="false" ht="41.75" hidden="false" customHeight="false" outlineLevel="0" collapsed="false">
      <c r="A27" s="38" t="n">
        <v>26</v>
      </c>
      <c r="B27" s="47" t="s">
        <v>653</v>
      </c>
      <c r="C27" s="38" t="s">
        <v>553</v>
      </c>
      <c r="D27" s="39" t="n">
        <v>0.00521572316758658</v>
      </c>
      <c r="E27" s="39" t="n">
        <v>0.159611414692864</v>
      </c>
      <c r="F27" s="21" t="n">
        <v>1.49668263900549</v>
      </c>
      <c r="G27" s="38" t="s">
        <v>624</v>
      </c>
      <c r="H27" s="47" t="s">
        <v>654</v>
      </c>
      <c r="I27" s="38" t="s">
        <v>595</v>
      </c>
    </row>
    <row r="28" customFormat="false" ht="41.75" hidden="false" customHeight="false" outlineLevel="0" collapsed="false">
      <c r="A28" s="38" t="n">
        <v>27</v>
      </c>
      <c r="B28" s="47" t="s">
        <v>651</v>
      </c>
      <c r="C28" s="38" t="s">
        <v>555</v>
      </c>
      <c r="D28" s="39" t="n">
        <v>0.00480762881774925</v>
      </c>
      <c r="E28" s="39" t="n">
        <v>0.0152481214304153</v>
      </c>
      <c r="F28" s="21" t="n">
        <v>1.37957754948051</v>
      </c>
      <c r="G28" s="38" t="s">
        <v>624</v>
      </c>
      <c r="H28" s="47" t="s">
        <v>652</v>
      </c>
      <c r="I28" s="38" t="s">
        <v>593</v>
      </c>
    </row>
    <row r="29" customFormat="false" ht="28.35" hidden="false" customHeight="false" outlineLevel="0" collapsed="false">
      <c r="A29" s="38" t="n">
        <v>28</v>
      </c>
      <c r="B29" s="47" t="s">
        <v>656</v>
      </c>
      <c r="C29" s="38" t="s">
        <v>555</v>
      </c>
      <c r="D29" s="39" t="n">
        <v>0.00297616089845702</v>
      </c>
      <c r="E29" s="39" t="n">
        <v>0.00943934411254571</v>
      </c>
      <c r="F29" s="21" t="n">
        <v>0.854026988105798</v>
      </c>
      <c r="G29" s="38" t="s">
        <v>621</v>
      </c>
      <c r="H29" s="47" t="s">
        <v>657</v>
      </c>
      <c r="I29" s="38" t="s">
        <v>606</v>
      </c>
    </row>
    <row r="30" customFormat="false" ht="28.35" hidden="false" customHeight="false" outlineLevel="0" collapsed="false">
      <c r="A30" s="38" t="n">
        <v>29</v>
      </c>
      <c r="B30" s="47" t="s">
        <v>658</v>
      </c>
      <c r="C30" s="38" t="s">
        <v>553</v>
      </c>
      <c r="D30" s="39" t="n">
        <v>0.00263139122355925</v>
      </c>
      <c r="E30" s="39" t="n">
        <v>0.0805257607253377</v>
      </c>
      <c r="F30" s="21" t="n">
        <v>0.755093288924477</v>
      </c>
      <c r="G30" s="38" t="s">
        <v>624</v>
      </c>
      <c r="H30" s="47" t="s">
        <v>659</v>
      </c>
      <c r="I30" s="38" t="s">
        <v>596</v>
      </c>
    </row>
    <row r="31" customFormat="false" ht="28.35" hidden="false" customHeight="false" outlineLevel="0" collapsed="false">
      <c r="A31" s="38" t="n">
        <v>30</v>
      </c>
      <c r="B31" s="47" t="s">
        <v>655</v>
      </c>
      <c r="C31" s="38" t="s">
        <v>555</v>
      </c>
      <c r="D31" s="39" t="n">
        <v>0.00260571549173579</v>
      </c>
      <c r="E31" s="39" t="n">
        <v>0.00826442051524741</v>
      </c>
      <c r="F31" s="21" t="n">
        <v>0.747725485682396</v>
      </c>
      <c r="G31" s="38" t="s">
        <v>617</v>
      </c>
      <c r="H31" s="47" t="s">
        <v>618</v>
      </c>
      <c r="I31" s="38" t="s">
        <v>591</v>
      </c>
    </row>
    <row r="32" customFormat="false" ht="28.35" hidden="false" customHeight="false" outlineLevel="0" collapsed="false">
      <c r="A32" s="38" t="n">
        <v>31</v>
      </c>
      <c r="B32" s="47" t="s">
        <v>660</v>
      </c>
      <c r="C32" s="38" t="s">
        <v>555</v>
      </c>
      <c r="D32" s="39" t="n">
        <v>0.00137767822584195</v>
      </c>
      <c r="E32" s="39" t="n">
        <v>0.00436951471838291</v>
      </c>
      <c r="F32" s="21" t="n">
        <v>0.395332922492441</v>
      </c>
      <c r="G32" s="38" t="s">
        <v>617</v>
      </c>
      <c r="H32" s="47" t="s">
        <v>661</v>
      </c>
      <c r="I32" s="38" t="s">
        <v>594</v>
      </c>
    </row>
    <row r="33" customFormat="false" ht="28.35" hidden="false" customHeight="false" outlineLevel="0" collapsed="false">
      <c r="A33" s="38" t="n">
        <v>32</v>
      </c>
      <c r="B33" s="47" t="s">
        <v>662</v>
      </c>
      <c r="C33" s="38" t="s">
        <v>555</v>
      </c>
      <c r="D33" s="39" t="n">
        <v>0.00103542441614823</v>
      </c>
      <c r="E33" s="39" t="n">
        <v>0.00328400503199342</v>
      </c>
      <c r="F33" s="21" t="n">
        <v>0.297121165724855</v>
      </c>
      <c r="G33" s="38" t="s">
        <v>621</v>
      </c>
      <c r="H33" s="47" t="s">
        <v>663</v>
      </c>
      <c r="I33" s="38" t="s">
        <v>607</v>
      </c>
    </row>
    <row r="35" customFormat="false" ht="15" hidden="false" customHeight="false" outlineLevel="0" collapsed="false">
      <c r="B35" s="5" t="s">
        <v>664</v>
      </c>
      <c r="C35" s="5" t="s">
        <v>554</v>
      </c>
      <c r="D35" s="48" t="n">
        <f aca="false">SUMIF(C2:C33,"Historical voter data",D2:D33)</f>
        <v>0.645207717435825</v>
      </c>
      <c r="F35" s="49" t="n">
        <f aca="false">SUMIF(C2:C33,"Historical voter data",F2:F33)</f>
        <v>185.146174022383</v>
      </c>
    </row>
    <row r="36" customFormat="false" ht="15" hidden="false" customHeight="false" outlineLevel="0" collapsed="false">
      <c r="B36" s="5" t="s">
        <v>665</v>
      </c>
      <c r="C36" s="5" t="s">
        <v>555</v>
      </c>
      <c r="D36" s="48" t="n">
        <f aca="false">SUMIF(C2:C33,"Voter registration data",D2:D33)</f>
        <v>0.31529318806181</v>
      </c>
      <c r="F36" s="49" t="n">
        <f aca="false">SUMIF(C2:C33,"Voter registration data",F2:F33)</f>
        <v>90.4752467886748</v>
      </c>
    </row>
    <row r="37" customFormat="false" ht="15" hidden="false" customHeight="false" outlineLevel="0" collapsed="false">
      <c r="B37" s="5" t="s">
        <v>666</v>
      </c>
      <c r="C37" s="5" t="s">
        <v>553</v>
      </c>
      <c r="D37" s="48" t="n">
        <f aca="false">SUMIF(C2:C33,"Geography &amp; municipal context",D2:D33)</f>
        <v>0.0326776325967855</v>
      </c>
      <c r="F37" s="49" t="n">
        <f aca="false">SUMIF(C2:C33,"Geography &amp; municipal context",F2:F33)</f>
        <v>9.3770401188757</v>
      </c>
    </row>
    <row r="38" customFormat="false" ht="15" hidden="false" customHeight="false" outlineLevel="0" collapsed="false">
      <c r="B38" s="5" t="s">
        <v>667</v>
      </c>
      <c r="C38" s="5" t="s">
        <v>552</v>
      </c>
      <c r="D38" s="48" t="n">
        <f aca="false">SUMIF(C2:C33,"Election type",D2:D33)</f>
        <v>0.00682146190557875</v>
      </c>
      <c r="F38" s="49" t="n">
        <f aca="false">SUMIF(C2:C33,"Election type",F2:F33)</f>
        <v>1.9574588755333</v>
      </c>
    </row>
    <row r="39" customFormat="false" ht="15" hidden="false" customHeight="false" outlineLevel="0" collapsed="false">
      <c r="B39" s="5" t="s">
        <v>668</v>
      </c>
      <c r="D39" s="48" t="n">
        <f aca="false">SUM(D2:D33)</f>
        <v>1</v>
      </c>
      <c r="F39" s="49" t="n">
        <f aca="false">SUM(F2:F33)</f>
        <v>286.955919805467</v>
      </c>
    </row>
    <row r="41" customFormat="false" ht="15" hidden="false" customHeight="false" outlineLevel="0" collapsed="false">
      <c r="B41" s="5" t="s">
        <v>69</v>
      </c>
    </row>
    <row r="42" customFormat="false" ht="30" hidden="false" customHeight="true" outlineLevel="0" collapsed="false">
      <c r="B42" s="50" t="s">
        <v>669</v>
      </c>
    </row>
    <row r="43" customFormat="false" ht="60" hidden="false" customHeight="true" outlineLevel="0" collapsed="false">
      <c r="B43" s="50" t="s">
        <v>670</v>
      </c>
    </row>
    <row r="44" customFormat="false" ht="60" hidden="false" customHeight="true" outlineLevel="0" collapsed="false">
      <c r="B44" s="50" t="s">
        <v>671</v>
      </c>
    </row>
    <row r="45" customFormat="false" ht="30" hidden="false" customHeight="true" outlineLevel="0" collapsed="false">
      <c r="B45" s="50" t="s">
        <v>672</v>
      </c>
    </row>
    <row r="46" customFormat="false" ht="90" hidden="false" customHeight="true" outlineLevel="0" collapsed="false">
      <c r="B46" s="50" t="s">
        <v>673</v>
      </c>
    </row>
    <row r="47" customFormat="false" ht="105" hidden="false" customHeight="true" outlineLevel="0" collapsed="false">
      <c r="B47" s="50" t="s">
        <v>680</v>
      </c>
    </row>
    <row r="48" customFormat="false" ht="75" hidden="false" customHeight="true" outlineLevel="0" collapsed="false">
      <c r="B48" s="50" t="s">
        <v>675</v>
      </c>
    </row>
    <row r="49" customFormat="false" ht="45" hidden="false" customHeight="true" outlineLevel="0" collapsed="false">
      <c r="B49" s="50" t="s">
        <v>676</v>
      </c>
    </row>
    <row r="50" customFormat="false" ht="60" hidden="false" customHeight="true" outlineLevel="0" collapsed="false">
      <c r="B50" s="50" t="s">
        <v>677</v>
      </c>
    </row>
  </sheetData>
  <conditionalFormatting sqref="D2:D33">
    <cfRule type="dataBar" priority="2">
      <dataBar showValue="1" minLength="10" maxLength="90">
        <cfvo type="num" val="0"/>
        <cfvo type="max" val="0"/>
        <color rgb="FF5B9BD5"/>
      </dataBar>
      <extLst>
        <ext xmlns:x14="http://schemas.microsoft.com/office/spreadsheetml/2009/9/main" uri="{B025F937-C7B1-47D3-B67F-A62EFF666E3E}">
          <x14:id>{38BB74AB-8430-4020-AB70-49FD97A5F715}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8BB74AB-8430-4020-AB70-49FD97A5F715}">
            <x14:dataBar minLength="10" maxLength="90" axisPosition="none" gradient="true">
              <x14:cfvo type="num">
                <xm:f>0</xm:f>
              </x14:cfvo>
              <x14:cfvo type="max"/>
              <x14:negativeFillColor rgb="FF5B9BD5"/>
              <x14:axisColor rgb="FF000000"/>
            </x14:dataBar>
          </x14:cfRule>
          <xm:sqref>D2:D33</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681</v>
      </c>
      <c r="E1" s="7" t="s">
        <v>682</v>
      </c>
      <c r="F1" s="7" t="s">
        <v>683</v>
      </c>
      <c r="G1" s="7" t="s">
        <v>684</v>
      </c>
      <c r="H1" s="7" t="s">
        <v>685</v>
      </c>
      <c r="I1" s="7" t="s">
        <v>686</v>
      </c>
      <c r="J1" s="7" t="s">
        <v>687</v>
      </c>
      <c r="K1" s="7" t="s">
        <v>688</v>
      </c>
      <c r="L1" s="7" t="s">
        <v>689</v>
      </c>
      <c r="M1" s="7" t="s">
        <v>690</v>
      </c>
    </row>
    <row r="2" customFormat="false" ht="15" hidden="false" customHeight="false" outlineLevel="0" collapsed="false">
      <c r="A2" s="38" t="s">
        <v>87</v>
      </c>
      <c r="B2" s="38" t="s">
        <v>88</v>
      </c>
      <c r="C2" s="38" t="s">
        <v>88</v>
      </c>
      <c r="D2" s="21" t="n">
        <v>208</v>
      </c>
      <c r="E2" s="21" t="n">
        <v>181</v>
      </c>
      <c r="F2" s="51" t="n">
        <f aca="false">IF(E2="","",D2-E2)</f>
        <v>27</v>
      </c>
      <c r="G2" s="21" t="n">
        <v>314</v>
      </c>
      <c r="H2" s="21" t="n">
        <v>284</v>
      </c>
      <c r="I2" s="51" t="n">
        <f aca="false">IF(H2="","",G2-H2)</f>
        <v>30</v>
      </c>
      <c r="J2" s="39" t="n">
        <f aca="false">IF(OR(D2="",D2+G2=0),"",D2/(D2+G2))</f>
        <v>0.398467432950192</v>
      </c>
      <c r="K2" s="39" t="n">
        <f aca="false">IF(E2="","",E2/(E2+H2))</f>
        <v>0.389247311827957</v>
      </c>
      <c r="L2" s="52" t="n">
        <f aca="false">IF(OR(K2="",J2=""),"",(J2-K2)*100)</f>
        <v>0.922012112223458</v>
      </c>
      <c r="M2" s="38"/>
    </row>
    <row r="3" customFormat="false" ht="15" hidden="false" customHeight="false" outlineLevel="0" collapsed="false">
      <c r="A3" s="38" t="s">
        <v>87</v>
      </c>
      <c r="B3" s="38" t="s">
        <v>91</v>
      </c>
      <c r="C3" s="38" t="s">
        <v>91</v>
      </c>
      <c r="D3" s="21" t="n">
        <v>120</v>
      </c>
      <c r="E3" s="21" t="n">
        <v>118</v>
      </c>
      <c r="F3" s="51" t="n">
        <f aca="false">IF(E3="","",D3-E3)</f>
        <v>2</v>
      </c>
      <c r="G3" s="21" t="n">
        <v>292</v>
      </c>
      <c r="H3" s="21" t="n">
        <v>298</v>
      </c>
      <c r="I3" s="51" t="n">
        <f aca="false">IF(H3="","",G3-H3)</f>
        <v>-6</v>
      </c>
      <c r="J3" s="39" t="n">
        <f aca="false">IF(OR(D3="",D3+G3=0),"",D3/(D3+G3))</f>
        <v>0.29126213592233</v>
      </c>
      <c r="K3" s="39" t="n">
        <f aca="false">IF(E3="","",E3/(E3+H3))</f>
        <v>0.283653846153846</v>
      </c>
      <c r="L3" s="52" t="n">
        <f aca="false">IF(OR(K3="",J3=""),"",(J3-K3)*100)</f>
        <v>0.760828976848393</v>
      </c>
      <c r="M3" s="38"/>
    </row>
    <row r="4" customFormat="false" ht="15" hidden="false" customHeight="false" outlineLevel="0" collapsed="false">
      <c r="A4" s="38" t="s">
        <v>87</v>
      </c>
      <c r="B4" s="38" t="s">
        <v>92</v>
      </c>
      <c r="C4" s="38" t="s">
        <v>92</v>
      </c>
      <c r="D4" s="21" t="n">
        <v>164</v>
      </c>
      <c r="E4" s="21" t="n">
        <v>143</v>
      </c>
      <c r="F4" s="51" t="n">
        <f aca="false">IF(E4="","",D4-E4)</f>
        <v>21</v>
      </c>
      <c r="G4" s="21" t="n">
        <v>288</v>
      </c>
      <c r="H4" s="21" t="n">
        <v>309</v>
      </c>
      <c r="I4" s="51" t="n">
        <f aca="false">IF(H4="","",G4-H4)</f>
        <v>-21</v>
      </c>
      <c r="J4" s="39" t="n">
        <f aca="false">IF(OR(D4="",D4+G4=0),"",D4/(D4+G4))</f>
        <v>0.36283185840708</v>
      </c>
      <c r="K4" s="39" t="n">
        <f aca="false">IF(E4="","",E4/(E4+H4))</f>
        <v>0.316371681415929</v>
      </c>
      <c r="L4" s="52" t="n">
        <f aca="false">IF(OR(K4="",J4=""),"",(J4-K4)*100)</f>
        <v>4.64601769911505</v>
      </c>
      <c r="M4" s="38"/>
    </row>
    <row r="5" customFormat="false" ht="15" hidden="false" customHeight="false" outlineLevel="0" collapsed="false">
      <c r="A5" s="38" t="s">
        <v>87</v>
      </c>
      <c r="B5" s="38" t="s">
        <v>93</v>
      </c>
      <c r="C5" s="38" t="s">
        <v>94</v>
      </c>
      <c r="D5" s="21" t="n">
        <v>255</v>
      </c>
      <c r="E5" s="21" t="n">
        <v>202</v>
      </c>
      <c r="F5" s="51" t="n">
        <f aca="false">IF(E5="","",D5-E5)</f>
        <v>53</v>
      </c>
      <c r="G5" s="21" t="n">
        <v>605</v>
      </c>
      <c r="H5" s="21" t="n">
        <v>640</v>
      </c>
      <c r="I5" s="51" t="n">
        <f aca="false">IF(H5="","",G5-H5)</f>
        <v>-35</v>
      </c>
      <c r="J5" s="39" t="n">
        <f aca="false">IF(OR(D5="",D5+G5=0),"",D5/(D5+G5))</f>
        <v>0.296511627906977</v>
      </c>
      <c r="K5" s="39" t="n">
        <f aca="false">IF(E5="","",E5/(E5+H5))</f>
        <v>0.239904988123515</v>
      </c>
      <c r="L5" s="52" t="n">
        <f aca="false">IF(OR(K5="",J5=""),"",(J5-K5)*100)</f>
        <v>5.66066397834613</v>
      </c>
      <c r="M5" s="38"/>
    </row>
    <row r="6" customFormat="false" ht="15" hidden="false" customHeight="false" outlineLevel="0" collapsed="false">
      <c r="A6" s="38" t="s">
        <v>87</v>
      </c>
      <c r="B6" s="38" t="s">
        <v>93</v>
      </c>
      <c r="C6" s="38" t="s">
        <v>95</v>
      </c>
      <c r="D6" s="21" t="n">
        <v>258</v>
      </c>
      <c r="E6" s="21" t="n">
        <v>232</v>
      </c>
      <c r="F6" s="51" t="n">
        <f aca="false">IF(E6="","",D6-E6)</f>
        <v>26</v>
      </c>
      <c r="G6" s="21" t="n">
        <v>578</v>
      </c>
      <c r="H6" s="21" t="n">
        <v>603</v>
      </c>
      <c r="I6" s="51" t="n">
        <f aca="false">IF(H6="","",G6-H6)</f>
        <v>-25</v>
      </c>
      <c r="J6" s="39" t="n">
        <f aca="false">IF(OR(D6="",D6+G6=0),"",D6/(D6+G6))</f>
        <v>0.308612440191388</v>
      </c>
      <c r="K6" s="39" t="n">
        <f aca="false">IF(E6="","",E6/(E6+H6))</f>
        <v>0.277844311377246</v>
      </c>
      <c r="L6" s="52" t="n">
        <f aca="false">IF(OR(K6="",J6=""),"",(J6-K6)*100)</f>
        <v>3.0768128814142</v>
      </c>
      <c r="M6" s="38"/>
    </row>
    <row r="7" customFormat="false" ht="15" hidden="false" customHeight="false" outlineLevel="0" collapsed="false">
      <c r="A7" s="38" t="s">
        <v>87</v>
      </c>
      <c r="B7" s="38" t="s">
        <v>96</v>
      </c>
      <c r="C7" s="38" t="s">
        <v>96</v>
      </c>
      <c r="D7" s="21" t="n">
        <v>48</v>
      </c>
      <c r="E7" s="21" t="n">
        <v>38</v>
      </c>
      <c r="F7" s="51" t="n">
        <f aca="false">IF(E7="","",D7-E7)</f>
        <v>10</v>
      </c>
      <c r="G7" s="21" t="n">
        <v>76</v>
      </c>
      <c r="H7" s="21" t="n">
        <v>78</v>
      </c>
      <c r="I7" s="51" t="n">
        <f aca="false">IF(H7="","",G7-H7)</f>
        <v>-2</v>
      </c>
      <c r="J7" s="39" t="n">
        <f aca="false">IF(OR(D7="",D7+G7=0),"",D7/(D7+G7))</f>
        <v>0.387096774193548</v>
      </c>
      <c r="K7" s="39" t="n">
        <f aca="false">IF(E7="","",E7/(E7+H7))</f>
        <v>0.327586206896552</v>
      </c>
      <c r="L7" s="52" t="n">
        <f aca="false">IF(OR(K7="",J7=""),"",(J7-K7)*100)</f>
        <v>5.95105672969967</v>
      </c>
      <c r="M7" s="38"/>
    </row>
    <row r="8" customFormat="false" ht="15" hidden="false" customHeight="false" outlineLevel="0" collapsed="false">
      <c r="A8" s="38" t="s">
        <v>87</v>
      </c>
      <c r="B8" s="38" t="s">
        <v>97</v>
      </c>
      <c r="C8" s="38" t="s">
        <v>98</v>
      </c>
      <c r="D8" s="21" t="n">
        <v>347</v>
      </c>
      <c r="E8" s="21" t="n">
        <v>301</v>
      </c>
      <c r="F8" s="51" t="n">
        <f aca="false">IF(E8="","",D8-E8)</f>
        <v>46</v>
      </c>
      <c r="G8" s="21" t="n">
        <v>761</v>
      </c>
      <c r="H8" s="21" t="n">
        <v>760</v>
      </c>
      <c r="I8" s="51" t="n">
        <f aca="false">IF(H8="","",G8-H8)</f>
        <v>1</v>
      </c>
      <c r="J8" s="39" t="n">
        <f aca="false">IF(OR(D8="",D8+G8=0),"",D8/(D8+G8))</f>
        <v>0.313176895306859</v>
      </c>
      <c r="K8" s="39" t="n">
        <f aca="false">IF(E8="","",E8/(E8+H8))</f>
        <v>0.283694627709708</v>
      </c>
      <c r="L8" s="52" t="n">
        <f aca="false">IF(OR(K8="",J8=""),"",(J8-K8)*100)</f>
        <v>2.94822675971514</v>
      </c>
      <c r="M8" s="38"/>
    </row>
    <row r="9" customFormat="false" ht="15" hidden="false" customHeight="false" outlineLevel="0" collapsed="false">
      <c r="A9" s="38" t="s">
        <v>87</v>
      </c>
      <c r="B9" s="38" t="s">
        <v>97</v>
      </c>
      <c r="C9" s="38" t="s">
        <v>100</v>
      </c>
      <c r="D9" s="21" t="n">
        <v>193</v>
      </c>
      <c r="E9" s="21" t="n">
        <v>164</v>
      </c>
      <c r="F9" s="51" t="n">
        <f aca="false">IF(E9="","",D9-E9)</f>
        <v>29</v>
      </c>
      <c r="G9" s="21" t="n">
        <v>432</v>
      </c>
      <c r="H9" s="21" t="n">
        <v>450</v>
      </c>
      <c r="I9" s="51" t="n">
        <f aca="false">IF(H9="","",G9-H9)</f>
        <v>-18</v>
      </c>
      <c r="J9" s="39" t="n">
        <f aca="false">IF(OR(D9="",D9+G9=0),"",D9/(D9+G9))</f>
        <v>0.3088</v>
      </c>
      <c r="K9" s="39" t="n">
        <f aca="false">IF(E9="","",E9/(E9+H9))</f>
        <v>0.267100977198697</v>
      </c>
      <c r="L9" s="52" t="n">
        <f aca="false">IF(OR(K9="",J9=""),"",(J9-K9)*100)</f>
        <v>4.16990228013029</v>
      </c>
      <c r="M9" s="38"/>
    </row>
    <row r="10" customFormat="false" ht="15" hidden="false" customHeight="false" outlineLevel="0" collapsed="false">
      <c r="A10" s="38" t="s">
        <v>87</v>
      </c>
      <c r="B10" s="38" t="s">
        <v>97</v>
      </c>
      <c r="C10" s="38" t="s">
        <v>101</v>
      </c>
      <c r="D10" s="21" t="n">
        <v>263</v>
      </c>
      <c r="E10" s="21" t="n">
        <v>235</v>
      </c>
      <c r="F10" s="51" t="n">
        <f aca="false">IF(E10="","",D10-E10)</f>
        <v>28</v>
      </c>
      <c r="G10" s="21" t="n">
        <v>630</v>
      </c>
      <c r="H10" s="21" t="n">
        <v>626</v>
      </c>
      <c r="I10" s="51" t="n">
        <f aca="false">IF(H10="","",G10-H10)</f>
        <v>4</v>
      </c>
      <c r="J10" s="39" t="n">
        <f aca="false">IF(OR(D10="",D10+G10=0),"",D10/(D10+G10))</f>
        <v>0.29451287793953</v>
      </c>
      <c r="K10" s="39" t="n">
        <f aca="false">IF(E10="","",E10/(E10+H10))</f>
        <v>0.272938443670151</v>
      </c>
      <c r="L10" s="52" t="n">
        <f aca="false">IF(OR(K10="",J10=""),"",(J10-K10)*100)</f>
        <v>2.15744342693787</v>
      </c>
      <c r="M10" s="38"/>
    </row>
    <row r="11" customFormat="false" ht="15" hidden="false" customHeight="false" outlineLevel="0" collapsed="false">
      <c r="A11" s="38" t="s">
        <v>87</v>
      </c>
      <c r="B11" s="38" t="s">
        <v>102</v>
      </c>
      <c r="C11" s="38" t="s">
        <v>103</v>
      </c>
      <c r="D11" s="21" t="n">
        <v>275</v>
      </c>
      <c r="E11" s="21" t="n">
        <v>229</v>
      </c>
      <c r="F11" s="51" t="n">
        <f aca="false">IF(E11="","",D11-E11)</f>
        <v>46</v>
      </c>
      <c r="G11" s="21" t="n">
        <v>291</v>
      </c>
      <c r="H11" s="21" t="n">
        <v>297</v>
      </c>
      <c r="I11" s="51" t="n">
        <f aca="false">IF(H11="","",G11-H11)</f>
        <v>-6</v>
      </c>
      <c r="J11" s="39" t="n">
        <f aca="false">IF(OR(D11="",D11+G11=0),"",D11/(D11+G11))</f>
        <v>0.485865724381625</v>
      </c>
      <c r="K11" s="39" t="n">
        <f aca="false">IF(E11="","",E11/(E11+H11))</f>
        <v>0.435361216730038</v>
      </c>
      <c r="L11" s="52" t="n">
        <f aca="false">IF(OR(K11="",J11=""),"",(J11-K11)*100)</f>
        <v>5.05045076515874</v>
      </c>
      <c r="M11" s="38"/>
    </row>
    <row r="12" customFormat="false" ht="15" hidden="false" customHeight="false" outlineLevel="0" collapsed="false">
      <c r="A12" s="38" t="s">
        <v>87</v>
      </c>
      <c r="B12" s="38" t="s">
        <v>102</v>
      </c>
      <c r="C12" s="38" t="s">
        <v>104</v>
      </c>
      <c r="D12" s="21" t="n">
        <v>184</v>
      </c>
      <c r="E12" s="21" t="n">
        <v>163</v>
      </c>
      <c r="F12" s="51" t="n">
        <f aca="false">IF(E12="","",D12-E12)</f>
        <v>21</v>
      </c>
      <c r="G12" s="21" t="n">
        <v>213</v>
      </c>
      <c r="H12" s="21" t="n">
        <v>226</v>
      </c>
      <c r="I12" s="51" t="n">
        <f aca="false">IF(H12="","",G12-H12)</f>
        <v>-13</v>
      </c>
      <c r="J12" s="39" t="n">
        <f aca="false">IF(OR(D12="",D12+G12=0),"",D12/(D12+G12))</f>
        <v>0.463476070528967</v>
      </c>
      <c r="K12" s="39" t="n">
        <f aca="false">IF(E12="","",E12/(E12+H12))</f>
        <v>0.419023136246787</v>
      </c>
      <c r="L12" s="52" t="n">
        <f aca="false">IF(OR(K12="",J12=""),"",(J12-K12)*100)</f>
        <v>4.44529342821807</v>
      </c>
      <c r="M12" s="38"/>
    </row>
    <row r="13" customFormat="false" ht="15" hidden="false" customHeight="false" outlineLevel="0" collapsed="false">
      <c r="A13" s="38" t="s">
        <v>87</v>
      </c>
      <c r="B13" s="38" t="s">
        <v>102</v>
      </c>
      <c r="C13" s="38" t="s">
        <v>105</v>
      </c>
      <c r="D13" s="21" t="n">
        <v>333</v>
      </c>
      <c r="E13" s="21" t="n">
        <v>286</v>
      </c>
      <c r="F13" s="51" t="n">
        <f aca="false">IF(E13="","",D13-E13)</f>
        <v>47</v>
      </c>
      <c r="G13" s="21" t="n">
        <v>460</v>
      </c>
      <c r="H13" s="21" t="n">
        <v>464</v>
      </c>
      <c r="I13" s="51" t="n">
        <f aca="false">IF(H13="","",G13-H13)</f>
        <v>-4</v>
      </c>
      <c r="J13" s="39" t="n">
        <f aca="false">IF(OR(D13="",D13+G13=0),"",D13/(D13+G13))</f>
        <v>0.419924337957125</v>
      </c>
      <c r="K13" s="39" t="n">
        <f aca="false">IF(E13="","",E13/(E13+H13))</f>
        <v>0.381333333333333</v>
      </c>
      <c r="L13" s="52" t="n">
        <f aca="false">IF(OR(K13="",J13=""),"",(J13-K13)*100)</f>
        <v>3.85910046237915</v>
      </c>
      <c r="M13" s="38"/>
    </row>
    <row r="14" customFormat="false" ht="15" hidden="false" customHeight="false" outlineLevel="0" collapsed="false">
      <c r="A14" s="38" t="s">
        <v>87</v>
      </c>
      <c r="B14" s="38" t="s">
        <v>102</v>
      </c>
      <c r="C14" s="38" t="s">
        <v>106</v>
      </c>
      <c r="D14" s="21" t="n">
        <v>176</v>
      </c>
      <c r="E14" s="21" t="n">
        <v>138</v>
      </c>
      <c r="F14" s="51" t="n">
        <f aca="false">IF(E14="","",D14-E14)</f>
        <v>38</v>
      </c>
      <c r="G14" s="21" t="n">
        <v>142</v>
      </c>
      <c r="H14" s="21" t="n">
        <v>134</v>
      </c>
      <c r="I14" s="51" t="n">
        <f aca="false">IF(H14="","",G14-H14)</f>
        <v>8</v>
      </c>
      <c r="J14" s="39" t="n">
        <f aca="false">IF(OR(D14="",D14+G14=0),"",D14/(D14+G14))</f>
        <v>0.553459119496855</v>
      </c>
      <c r="K14" s="39" t="n">
        <f aca="false">IF(E14="","",E14/(E14+H14))</f>
        <v>0.507352941176471</v>
      </c>
      <c r="L14" s="52" t="n">
        <f aca="false">IF(OR(K14="",J14=""),"",(J14-K14)*100)</f>
        <v>4.61061783203848</v>
      </c>
      <c r="M14" s="38"/>
    </row>
    <row r="15" customFormat="false" ht="15" hidden="false" customHeight="false" outlineLevel="0" collapsed="false">
      <c r="A15" s="38" t="s">
        <v>87</v>
      </c>
      <c r="B15" s="38" t="s">
        <v>102</v>
      </c>
      <c r="C15" s="38" t="s">
        <v>107</v>
      </c>
      <c r="D15" s="21" t="n">
        <v>327</v>
      </c>
      <c r="E15" s="21" t="n">
        <v>275</v>
      </c>
      <c r="F15" s="51" t="n">
        <f aca="false">IF(E15="","",D15-E15)</f>
        <v>52</v>
      </c>
      <c r="G15" s="21" t="n">
        <v>326</v>
      </c>
      <c r="H15" s="21" t="n">
        <v>352</v>
      </c>
      <c r="I15" s="51" t="n">
        <f aca="false">IF(H15="","",G15-H15)</f>
        <v>-26</v>
      </c>
      <c r="J15" s="39" t="n">
        <f aca="false">IF(OR(D15="",D15+G15=0),"",D15/(D15+G15))</f>
        <v>0.500765696784074</v>
      </c>
      <c r="K15" s="39" t="n">
        <f aca="false">IF(E15="","",E15/(E15+H15))</f>
        <v>0.43859649122807</v>
      </c>
      <c r="L15" s="52" t="n">
        <f aca="false">IF(OR(K15="",J15=""),"",(J15-K15)*100)</f>
        <v>6.21692055560033</v>
      </c>
      <c r="M15" s="38"/>
    </row>
    <row r="16" customFormat="false" ht="15" hidden="false" customHeight="false" outlineLevel="0" collapsed="false">
      <c r="A16" s="38" t="s">
        <v>87</v>
      </c>
      <c r="B16" s="38" t="s">
        <v>108</v>
      </c>
      <c r="C16" s="38" t="s">
        <v>109</v>
      </c>
      <c r="D16" s="21" t="n">
        <v>124</v>
      </c>
      <c r="E16" s="21" t="n">
        <v>120</v>
      </c>
      <c r="F16" s="51" t="n">
        <f aca="false">IF(E16="","",D16-E16)</f>
        <v>4</v>
      </c>
      <c r="G16" s="21" t="n">
        <v>215</v>
      </c>
      <c r="H16" s="21" t="n">
        <v>202</v>
      </c>
      <c r="I16" s="51" t="n">
        <f aca="false">IF(H16="","",G16-H16)</f>
        <v>13</v>
      </c>
      <c r="J16" s="39" t="n">
        <f aca="false">IF(OR(D16="",D16+G16=0),"",D16/(D16+G16))</f>
        <v>0.365781710914454</v>
      </c>
      <c r="K16" s="39" t="n">
        <f aca="false">IF(E16="","",E16/(E16+H16))</f>
        <v>0.372670807453416</v>
      </c>
      <c r="L16" s="52" t="n">
        <f aca="false">IF(OR(K16="",J16=""),"",(J16-K16)*100)</f>
        <v>-0.688909653896186</v>
      </c>
      <c r="M16" s="38"/>
    </row>
    <row r="17" customFormat="false" ht="15" hidden="false" customHeight="false" outlineLevel="0" collapsed="false">
      <c r="A17" s="38" t="s">
        <v>87</v>
      </c>
      <c r="B17" s="38" t="s">
        <v>108</v>
      </c>
      <c r="C17" s="38" t="s">
        <v>110</v>
      </c>
      <c r="D17" s="21" t="n">
        <v>270</v>
      </c>
      <c r="E17" s="21" t="n">
        <v>227</v>
      </c>
      <c r="F17" s="51" t="n">
        <f aca="false">IF(E17="","",D17-E17)</f>
        <v>43</v>
      </c>
      <c r="G17" s="21" t="n">
        <v>540</v>
      </c>
      <c r="H17" s="21" t="n">
        <v>484</v>
      </c>
      <c r="I17" s="51" t="n">
        <f aca="false">IF(H17="","",G17-H17)</f>
        <v>56</v>
      </c>
      <c r="J17" s="39" t="n">
        <f aca="false">IF(OR(D17="",D17+G17=0),"",D17/(D17+G17))</f>
        <v>0.333333333333333</v>
      </c>
      <c r="K17" s="39" t="n">
        <f aca="false">IF(E17="","",E17/(E17+H17))</f>
        <v>0.319268635724332</v>
      </c>
      <c r="L17" s="52" t="n">
        <f aca="false">IF(OR(K17="",J17=""),"",(J17-K17)*100)</f>
        <v>1.40646976090014</v>
      </c>
      <c r="M17" s="38"/>
    </row>
    <row r="18" customFormat="false" ht="15" hidden="false" customHeight="false" outlineLevel="0" collapsed="false">
      <c r="A18" s="38" t="s">
        <v>87</v>
      </c>
      <c r="B18" s="38" t="s">
        <v>111</v>
      </c>
      <c r="C18" s="38" t="s">
        <v>112</v>
      </c>
      <c r="D18" s="21" t="n">
        <v>289</v>
      </c>
      <c r="E18" s="21" t="n">
        <v>249</v>
      </c>
      <c r="F18" s="51" t="n">
        <f aca="false">IF(E18="","",D18-E18)</f>
        <v>40</v>
      </c>
      <c r="G18" s="21" t="n">
        <v>383</v>
      </c>
      <c r="H18" s="21" t="n">
        <v>392</v>
      </c>
      <c r="I18" s="51" t="n">
        <f aca="false">IF(H18="","",G18-H18)</f>
        <v>-9</v>
      </c>
      <c r="J18" s="39" t="n">
        <f aca="false">IF(OR(D18="",D18+G18=0),"",D18/(D18+G18))</f>
        <v>0.430059523809524</v>
      </c>
      <c r="K18" s="39" t="n">
        <f aca="false">IF(E18="","",E18/(E18+H18))</f>
        <v>0.388455538221529</v>
      </c>
      <c r="L18" s="52" t="n">
        <f aca="false">IF(OR(K18="",J18=""),"",(J18-K18)*100)</f>
        <v>4.1603985587995</v>
      </c>
      <c r="M18" s="38"/>
    </row>
    <row r="19" customFormat="false" ht="15" hidden="false" customHeight="false" outlineLevel="0" collapsed="false">
      <c r="A19" s="38" t="s">
        <v>87</v>
      </c>
      <c r="B19" s="38" t="s">
        <v>111</v>
      </c>
      <c r="C19" s="38" t="s">
        <v>113</v>
      </c>
      <c r="D19" s="21" t="n">
        <v>181</v>
      </c>
      <c r="E19" s="21" t="n">
        <v>152</v>
      </c>
      <c r="F19" s="51" t="n">
        <f aca="false">IF(E19="","",D19-E19)</f>
        <v>29</v>
      </c>
      <c r="G19" s="21" t="n">
        <v>234</v>
      </c>
      <c r="H19" s="21" t="n">
        <v>246</v>
      </c>
      <c r="I19" s="51" t="n">
        <f aca="false">IF(H19="","",G19-H19)</f>
        <v>-12</v>
      </c>
      <c r="J19" s="39" t="n">
        <f aca="false">IF(OR(D19="",D19+G19=0),"",D19/(D19+G19))</f>
        <v>0.436144578313253</v>
      </c>
      <c r="K19" s="39" t="n">
        <f aca="false">IF(E19="","",E19/(E19+H19))</f>
        <v>0.381909547738693</v>
      </c>
      <c r="L19" s="52" t="n">
        <f aca="false">IF(OR(K19="",J19=""),"",(J19-K19)*100)</f>
        <v>5.42350305745596</v>
      </c>
      <c r="M19" s="38"/>
    </row>
    <row r="20" customFormat="false" ht="15" hidden="false" customHeight="false" outlineLevel="0" collapsed="false">
      <c r="A20" s="38" t="s">
        <v>87</v>
      </c>
      <c r="B20" s="38" t="s">
        <v>111</v>
      </c>
      <c r="C20" s="38" t="s">
        <v>114</v>
      </c>
      <c r="D20" s="21" t="n">
        <v>165</v>
      </c>
      <c r="E20" s="21" t="n">
        <v>165</v>
      </c>
      <c r="F20" s="51" t="n">
        <f aca="false">IF(E20="","",D20-E20)</f>
        <v>0</v>
      </c>
      <c r="G20" s="21" t="n">
        <v>197</v>
      </c>
      <c r="H20" s="21" t="n">
        <v>237</v>
      </c>
      <c r="I20" s="51" t="n">
        <f aca="false">IF(H20="","",G20-H20)</f>
        <v>-40</v>
      </c>
      <c r="J20" s="39" t="n">
        <f aca="false">IF(OR(D20="",D20+G20=0),"",D20/(D20+G20))</f>
        <v>0.455801104972376</v>
      </c>
      <c r="K20" s="39" t="n">
        <f aca="false">IF(E20="","",E20/(E20+H20))</f>
        <v>0.41044776119403</v>
      </c>
      <c r="L20" s="52" t="n">
        <f aca="false">IF(OR(K20="",J20=""),"",(J20-K20)*100)</f>
        <v>4.53533437783458</v>
      </c>
      <c r="M20" s="38"/>
    </row>
    <row r="21" customFormat="false" ht="15" hidden="false" customHeight="false" outlineLevel="0" collapsed="false">
      <c r="A21" s="38" t="s">
        <v>87</v>
      </c>
      <c r="B21" s="38" t="s">
        <v>115</v>
      </c>
      <c r="C21" s="38" t="s">
        <v>115</v>
      </c>
      <c r="D21" s="21" t="n">
        <v>50</v>
      </c>
      <c r="E21" s="21" t="n">
        <v>38</v>
      </c>
      <c r="F21" s="51" t="n">
        <f aca="false">IF(E21="","",D21-E21)</f>
        <v>12</v>
      </c>
      <c r="G21" s="21" t="n">
        <v>103</v>
      </c>
      <c r="H21" s="21" t="n">
        <v>106</v>
      </c>
      <c r="I21" s="51" t="n">
        <f aca="false">IF(H21="","",G21-H21)</f>
        <v>-3</v>
      </c>
      <c r="J21" s="39" t="n">
        <f aca="false">IF(OR(D21="",D21+G21=0),"",D21/(D21+G21))</f>
        <v>0.326797385620915</v>
      </c>
      <c r="K21" s="39" t="n">
        <f aca="false">IF(E21="","",E21/(E21+H21))</f>
        <v>0.263888888888889</v>
      </c>
      <c r="L21" s="52" t="n">
        <f aca="false">IF(OR(K21="",J21=""),"",(J21-K21)*100)</f>
        <v>6.29084967320261</v>
      </c>
      <c r="M21" s="38"/>
    </row>
    <row r="22" customFormat="false" ht="15" hidden="false" customHeight="false" outlineLevel="0" collapsed="false">
      <c r="A22" s="38" t="s">
        <v>87</v>
      </c>
      <c r="B22" s="38" t="s">
        <v>116</v>
      </c>
      <c r="C22" s="38" t="s">
        <v>116</v>
      </c>
      <c r="D22" s="21" t="n">
        <v>72</v>
      </c>
      <c r="E22" s="21" t="n">
        <v>58</v>
      </c>
      <c r="F22" s="51" t="n">
        <f aca="false">IF(E22="","",D22-E22)</f>
        <v>14</v>
      </c>
      <c r="G22" s="21" t="n">
        <v>230</v>
      </c>
      <c r="H22" s="21" t="n">
        <v>214</v>
      </c>
      <c r="I22" s="51" t="n">
        <f aca="false">IF(H22="","",G22-H22)</f>
        <v>16</v>
      </c>
      <c r="J22" s="39" t="n">
        <f aca="false">IF(OR(D22="",D22+G22=0),"",D22/(D22+G22))</f>
        <v>0.23841059602649</v>
      </c>
      <c r="K22" s="39" t="n">
        <f aca="false">IF(E22="","",E22/(E22+H22))</f>
        <v>0.213235294117647</v>
      </c>
      <c r="L22" s="52" t="n">
        <f aca="false">IF(OR(K22="",J22=""),"",(J22-K22)*100)</f>
        <v>2.5175301908843</v>
      </c>
      <c r="M22" s="38"/>
    </row>
    <row r="23" customFormat="false" ht="15" hidden="false" customHeight="false" outlineLevel="0" collapsed="false">
      <c r="A23" s="38" t="s">
        <v>87</v>
      </c>
      <c r="B23" s="38" t="s">
        <v>117</v>
      </c>
      <c r="C23" s="38" t="s">
        <v>118</v>
      </c>
      <c r="D23" s="21" t="n">
        <v>325</v>
      </c>
      <c r="E23" s="21" t="n">
        <v>321</v>
      </c>
      <c r="F23" s="51" t="n">
        <f aca="false">IF(E23="","",D23-E23)</f>
        <v>4</v>
      </c>
      <c r="G23" s="21" t="n">
        <v>476</v>
      </c>
      <c r="H23" s="21" t="n">
        <v>498</v>
      </c>
      <c r="I23" s="51" t="n">
        <f aca="false">IF(H23="","",G23-H23)</f>
        <v>-22</v>
      </c>
      <c r="J23" s="39" t="n">
        <f aca="false">IF(OR(D23="",D23+G23=0),"",D23/(D23+G23))</f>
        <v>0.405742821473159</v>
      </c>
      <c r="K23" s="39" t="n">
        <f aca="false">IF(E23="","",E23/(E23+H23))</f>
        <v>0.391941391941392</v>
      </c>
      <c r="L23" s="52" t="n">
        <f aca="false">IF(OR(K23="",J23=""),"",(J23-K23)*100)</f>
        <v>1.38014295317666</v>
      </c>
      <c r="M23" s="38"/>
    </row>
    <row r="24" customFormat="false" ht="15" hidden="false" customHeight="false" outlineLevel="0" collapsed="false">
      <c r="A24" s="38" t="s">
        <v>87</v>
      </c>
      <c r="B24" s="38" t="s">
        <v>117</v>
      </c>
      <c r="C24" s="38" t="s">
        <v>119</v>
      </c>
      <c r="D24" s="21" t="n">
        <v>318</v>
      </c>
      <c r="E24" s="21" t="n">
        <v>288</v>
      </c>
      <c r="F24" s="51" t="n">
        <f aca="false">IF(E24="","",D24-E24)</f>
        <v>30</v>
      </c>
      <c r="G24" s="21" t="n">
        <v>401</v>
      </c>
      <c r="H24" s="21" t="n">
        <v>448</v>
      </c>
      <c r="I24" s="51" t="n">
        <f aca="false">IF(H24="","",G24-H24)</f>
        <v>-47</v>
      </c>
      <c r="J24" s="39" t="n">
        <f aca="false">IF(OR(D24="",D24+G24=0),"",D24/(D24+G24))</f>
        <v>0.442280945757997</v>
      </c>
      <c r="K24" s="39" t="n">
        <f aca="false">IF(E24="","",E24/(E24+H24))</f>
        <v>0.391304347826087</v>
      </c>
      <c r="L24" s="52" t="n">
        <f aca="false">IF(OR(K24="",J24=""),"",(J24-K24)*100)</f>
        <v>5.09765979319102</v>
      </c>
      <c r="M24" s="38"/>
    </row>
    <row r="25" customFormat="false" ht="15" hidden="false" customHeight="false" outlineLevel="0" collapsed="false">
      <c r="A25" s="38" t="s">
        <v>87</v>
      </c>
      <c r="B25" s="38" t="s">
        <v>117</v>
      </c>
      <c r="C25" s="38" t="s">
        <v>120</v>
      </c>
      <c r="D25" s="21" t="n">
        <v>333</v>
      </c>
      <c r="E25" s="21" t="n">
        <v>317</v>
      </c>
      <c r="F25" s="51" t="n">
        <f aca="false">IF(E25="","",D25-E25)</f>
        <v>16</v>
      </c>
      <c r="G25" s="21" t="n">
        <v>448</v>
      </c>
      <c r="H25" s="21" t="n">
        <v>527</v>
      </c>
      <c r="I25" s="51" t="n">
        <f aca="false">IF(H25="","",G25-H25)</f>
        <v>-79</v>
      </c>
      <c r="J25" s="39" t="n">
        <f aca="false">IF(OR(D25="",D25+G25=0),"",D25/(D25+G25))</f>
        <v>0.426376440460948</v>
      </c>
      <c r="K25" s="39" t="n">
        <f aca="false">IF(E25="","",E25/(E25+H25))</f>
        <v>0.375592417061611</v>
      </c>
      <c r="L25" s="52" t="n">
        <f aca="false">IF(OR(K25="",J25=""),"",(J25-K25)*100)</f>
        <v>5.07840233993361</v>
      </c>
      <c r="M25" s="38"/>
    </row>
    <row r="26" customFormat="false" ht="15" hidden="false" customHeight="false" outlineLevel="0" collapsed="false">
      <c r="A26" s="38" t="s">
        <v>87</v>
      </c>
      <c r="B26" s="38" t="s">
        <v>121</v>
      </c>
      <c r="C26" s="38" t="s">
        <v>122</v>
      </c>
      <c r="D26" s="21" t="n">
        <v>358</v>
      </c>
      <c r="E26" s="21" t="n">
        <v>285</v>
      </c>
      <c r="F26" s="51" t="n">
        <f aca="false">IF(E26="","",D26-E26)</f>
        <v>73</v>
      </c>
      <c r="G26" s="21" t="n">
        <v>707</v>
      </c>
      <c r="H26" s="21" t="n">
        <v>760</v>
      </c>
      <c r="I26" s="51" t="n">
        <f aca="false">IF(H26="","",G26-H26)</f>
        <v>-53</v>
      </c>
      <c r="J26" s="39" t="n">
        <f aca="false">IF(OR(D26="",D26+G26=0),"",D26/(D26+G26))</f>
        <v>0.336150234741784</v>
      </c>
      <c r="K26" s="39" t="n">
        <f aca="false">IF(E26="","",E26/(E26+H26))</f>
        <v>0.272727272727273</v>
      </c>
      <c r="L26" s="52" t="n">
        <f aca="false">IF(OR(K26="",J26=""),"",(J26-K26)*100)</f>
        <v>6.34229620145113</v>
      </c>
      <c r="M26" s="38"/>
    </row>
    <row r="27" customFormat="false" ht="15" hidden="false" customHeight="false" outlineLevel="0" collapsed="false">
      <c r="A27" s="38" t="s">
        <v>87</v>
      </c>
      <c r="B27" s="38" t="s">
        <v>121</v>
      </c>
      <c r="C27" s="38" t="s">
        <v>123</v>
      </c>
      <c r="D27" s="21" t="n">
        <v>238</v>
      </c>
      <c r="E27" s="21" t="n">
        <v>228</v>
      </c>
      <c r="F27" s="51" t="n">
        <f aca="false">IF(E27="","",D27-E27)</f>
        <v>10</v>
      </c>
      <c r="G27" s="21" t="n">
        <v>463</v>
      </c>
      <c r="H27" s="21" t="n">
        <v>522</v>
      </c>
      <c r="I27" s="51" t="n">
        <f aca="false">IF(H27="","",G27-H27)</f>
        <v>-59</v>
      </c>
      <c r="J27" s="39" t="n">
        <f aca="false">IF(OR(D27="",D27+G27=0),"",D27/(D27+G27))</f>
        <v>0.339514978601997</v>
      </c>
      <c r="K27" s="39" t="n">
        <f aca="false">IF(E27="","",E27/(E27+H27))</f>
        <v>0.304</v>
      </c>
      <c r="L27" s="52" t="n">
        <f aca="false">IF(OR(K27="",J27=""),"",(J27-K27)*100)</f>
        <v>3.55149786019972</v>
      </c>
      <c r="M27" s="38"/>
    </row>
    <row r="28" customFormat="false" ht="15" hidden="false" customHeight="false" outlineLevel="0" collapsed="false">
      <c r="A28" s="38" t="s">
        <v>87</v>
      </c>
      <c r="B28" s="38" t="s">
        <v>124</v>
      </c>
      <c r="C28" s="38" t="s">
        <v>125</v>
      </c>
      <c r="D28" s="21" t="n">
        <v>154</v>
      </c>
      <c r="E28" s="21" t="n">
        <v>135</v>
      </c>
      <c r="F28" s="51" t="n">
        <f aca="false">IF(E28="","",D28-E28)</f>
        <v>19</v>
      </c>
      <c r="G28" s="21" t="n">
        <v>376</v>
      </c>
      <c r="H28" s="21" t="n">
        <v>395</v>
      </c>
      <c r="I28" s="51" t="n">
        <f aca="false">IF(H28="","",G28-H28)</f>
        <v>-19</v>
      </c>
      <c r="J28" s="39" t="n">
        <f aca="false">IF(OR(D28="",D28+G28=0),"",D28/(D28+G28))</f>
        <v>0.290566037735849</v>
      </c>
      <c r="K28" s="39" t="n">
        <f aca="false">IF(E28="","",E28/(E28+H28))</f>
        <v>0.254716981132075</v>
      </c>
      <c r="L28" s="52" t="n">
        <f aca="false">IF(OR(K28="",J28=""),"",(J28-K28)*100)</f>
        <v>3.58490566037736</v>
      </c>
      <c r="M28" s="38"/>
    </row>
    <row r="29" customFormat="false" ht="15" hidden="false" customHeight="false" outlineLevel="0" collapsed="false">
      <c r="A29" s="38" t="s">
        <v>87</v>
      </c>
      <c r="B29" s="38" t="s">
        <v>124</v>
      </c>
      <c r="C29" s="38" t="s">
        <v>126</v>
      </c>
      <c r="D29" s="21" t="n">
        <v>127</v>
      </c>
      <c r="E29" s="21" t="n">
        <v>124</v>
      </c>
      <c r="F29" s="51" t="n">
        <f aca="false">IF(E29="","",D29-E29)</f>
        <v>3</v>
      </c>
      <c r="G29" s="21" t="n">
        <v>272</v>
      </c>
      <c r="H29" s="21" t="n">
        <v>298</v>
      </c>
      <c r="I29" s="51" t="n">
        <f aca="false">IF(H29="","",G29-H29)</f>
        <v>-26</v>
      </c>
      <c r="J29" s="39" t="n">
        <f aca="false">IF(OR(D29="",D29+G29=0),"",D29/(D29+G29))</f>
        <v>0.318295739348371</v>
      </c>
      <c r="K29" s="39" t="n">
        <f aca="false">IF(E29="","",E29/(E29+H29))</f>
        <v>0.293838862559242</v>
      </c>
      <c r="L29" s="52" t="n">
        <f aca="false">IF(OR(K29="",J29=""),"",(J29-K29)*100)</f>
        <v>2.44568767891292</v>
      </c>
      <c r="M29" s="38"/>
    </row>
    <row r="30" customFormat="false" ht="15" hidden="false" customHeight="false" outlineLevel="0" collapsed="false">
      <c r="A30" s="38" t="s">
        <v>87</v>
      </c>
      <c r="B30" s="38" t="s">
        <v>124</v>
      </c>
      <c r="C30" s="38" t="s">
        <v>127</v>
      </c>
      <c r="D30" s="21" t="n">
        <v>437</v>
      </c>
      <c r="E30" s="21" t="n">
        <v>424</v>
      </c>
      <c r="F30" s="51" t="n">
        <f aca="false">IF(E30="","",D30-E30)</f>
        <v>13</v>
      </c>
      <c r="G30" s="21" t="n">
        <v>921</v>
      </c>
      <c r="H30" s="21" t="n">
        <v>988</v>
      </c>
      <c r="I30" s="51" t="n">
        <f aca="false">IF(H30="","",G30-H30)</f>
        <v>-67</v>
      </c>
      <c r="J30" s="39" t="n">
        <f aca="false">IF(OR(D30="",D30+G30=0),"",D30/(D30+G30))</f>
        <v>0.32179675994109</v>
      </c>
      <c r="K30" s="39" t="n">
        <f aca="false">IF(E30="","",E30/(E30+H30))</f>
        <v>0.30028328611898</v>
      </c>
      <c r="L30" s="52" t="n">
        <f aca="false">IF(OR(K30="",J30=""),"",(J30-K30)*100)</f>
        <v>2.15134738221097</v>
      </c>
      <c r="M30" s="38"/>
    </row>
    <row r="31" customFormat="false" ht="15" hidden="false" customHeight="false" outlineLevel="0" collapsed="false">
      <c r="A31" s="38" t="s">
        <v>87</v>
      </c>
      <c r="B31" s="38" t="s">
        <v>129</v>
      </c>
      <c r="C31" s="38" t="s">
        <v>130</v>
      </c>
      <c r="D31" s="21" t="n">
        <v>330</v>
      </c>
      <c r="E31" s="21" t="n">
        <v>279</v>
      </c>
      <c r="F31" s="51" t="n">
        <f aca="false">IF(E31="","",D31-E31)</f>
        <v>51</v>
      </c>
      <c r="G31" s="21" t="n">
        <v>414</v>
      </c>
      <c r="H31" s="21" t="n">
        <v>445</v>
      </c>
      <c r="I31" s="51" t="n">
        <f aca="false">IF(H31="","",G31-H31)</f>
        <v>-31</v>
      </c>
      <c r="J31" s="39" t="n">
        <f aca="false">IF(OR(D31="",D31+G31=0),"",D31/(D31+G31))</f>
        <v>0.443548387096774</v>
      </c>
      <c r="K31" s="39" t="n">
        <f aca="false">IF(E31="","",E31/(E31+H31))</f>
        <v>0.385359116022099</v>
      </c>
      <c r="L31" s="52" t="n">
        <f aca="false">IF(OR(K31="",J31=""),"",(J31-K31)*100)</f>
        <v>5.81892710746748</v>
      </c>
      <c r="M31" s="38"/>
    </row>
    <row r="32" customFormat="false" ht="15" hidden="false" customHeight="false" outlineLevel="0" collapsed="false">
      <c r="A32" s="38" t="s">
        <v>87</v>
      </c>
      <c r="B32" s="38" t="s">
        <v>129</v>
      </c>
      <c r="C32" s="38" t="s">
        <v>131</v>
      </c>
      <c r="D32" s="21" t="n">
        <v>331</v>
      </c>
      <c r="E32" s="21" t="n">
        <v>309</v>
      </c>
      <c r="F32" s="51" t="n">
        <f aca="false">IF(E32="","",D32-E32)</f>
        <v>22</v>
      </c>
      <c r="G32" s="21" t="n">
        <v>495</v>
      </c>
      <c r="H32" s="21" t="n">
        <v>488</v>
      </c>
      <c r="I32" s="51" t="n">
        <f aca="false">IF(H32="","",G32-H32)</f>
        <v>7</v>
      </c>
      <c r="J32" s="39" t="n">
        <f aca="false">IF(OR(D32="",D32+G32=0),"",D32/(D32+G32))</f>
        <v>0.400726392251816</v>
      </c>
      <c r="K32" s="39" t="n">
        <f aca="false">IF(E32="","",E32/(E32+H32))</f>
        <v>0.387703889585947</v>
      </c>
      <c r="L32" s="52" t="n">
        <f aca="false">IF(OR(K32="",J32=""),"",(J32-K32)*100)</f>
        <v>1.30225026658687</v>
      </c>
      <c r="M32" s="38"/>
    </row>
    <row r="33" customFormat="false" ht="15" hidden="false" customHeight="false" outlineLevel="0" collapsed="false">
      <c r="A33" s="38" t="s">
        <v>87</v>
      </c>
      <c r="B33" s="38" t="s">
        <v>132</v>
      </c>
      <c r="C33" s="38" t="s">
        <v>132</v>
      </c>
      <c r="D33" s="21" t="n">
        <v>163</v>
      </c>
      <c r="E33" s="21" t="n">
        <v>134</v>
      </c>
      <c r="F33" s="51" t="n">
        <f aca="false">IF(E33="","",D33-E33)</f>
        <v>29</v>
      </c>
      <c r="G33" s="21" t="n">
        <v>541</v>
      </c>
      <c r="H33" s="21" t="n">
        <v>503</v>
      </c>
      <c r="I33" s="51" t="n">
        <f aca="false">IF(H33="","",G33-H33)</f>
        <v>38</v>
      </c>
      <c r="J33" s="39" t="n">
        <f aca="false">IF(OR(D33="",D33+G33=0),"",D33/(D33+G33))</f>
        <v>0.231534090909091</v>
      </c>
      <c r="K33" s="39" t="n">
        <f aca="false">IF(E33="","",E33/(E33+H33))</f>
        <v>0.210361067503925</v>
      </c>
      <c r="L33" s="52" t="n">
        <f aca="false">IF(OR(K33="",J33=""),"",(J33-K33)*100)</f>
        <v>2.11730234051663</v>
      </c>
      <c r="M33" s="38"/>
    </row>
    <row r="34" customFormat="false" ht="15" hidden="false" customHeight="false" outlineLevel="0" collapsed="false">
      <c r="A34" s="38" t="s">
        <v>87</v>
      </c>
      <c r="B34" s="38" t="s">
        <v>133</v>
      </c>
      <c r="C34" s="38" t="s">
        <v>134</v>
      </c>
      <c r="D34" s="21" t="n">
        <v>334</v>
      </c>
      <c r="E34" s="21" t="n">
        <v>281</v>
      </c>
      <c r="F34" s="51" t="n">
        <f aca="false">IF(E34="","",D34-E34)</f>
        <v>53</v>
      </c>
      <c r="G34" s="21" t="n">
        <v>568</v>
      </c>
      <c r="H34" s="21" t="n">
        <v>592</v>
      </c>
      <c r="I34" s="51" t="n">
        <f aca="false">IF(H34="","",G34-H34)</f>
        <v>-24</v>
      </c>
      <c r="J34" s="39" t="n">
        <f aca="false">IF(OR(D34="",D34+G34=0),"",D34/(D34+G34))</f>
        <v>0.370288248337029</v>
      </c>
      <c r="K34" s="39" t="n">
        <f aca="false">IF(E34="","",E34/(E34+H34))</f>
        <v>0.321878579610538</v>
      </c>
      <c r="L34" s="52" t="n">
        <f aca="false">IF(OR(K34="",J34=""),"",(J34-K34)*100)</f>
        <v>4.84096687264904</v>
      </c>
      <c r="M34" s="38"/>
    </row>
    <row r="35" customFormat="false" ht="15" hidden="false" customHeight="false" outlineLevel="0" collapsed="false">
      <c r="A35" s="38" t="s">
        <v>87</v>
      </c>
      <c r="B35" s="38" t="s">
        <v>133</v>
      </c>
      <c r="C35" s="38" t="s">
        <v>135</v>
      </c>
      <c r="D35" s="21" t="n">
        <v>540</v>
      </c>
      <c r="E35" s="21" t="n">
        <v>467</v>
      </c>
      <c r="F35" s="51" t="n">
        <f aca="false">IF(E35="","",D35-E35)</f>
        <v>73</v>
      </c>
      <c r="G35" s="21" t="n">
        <v>747</v>
      </c>
      <c r="H35" s="21" t="n">
        <v>782</v>
      </c>
      <c r="I35" s="51" t="n">
        <f aca="false">IF(H35="","",G35-H35)</f>
        <v>-35</v>
      </c>
      <c r="J35" s="39" t="n">
        <f aca="false">IF(OR(D35="",D35+G35=0),"",D35/(D35+G35))</f>
        <v>0.41958041958042</v>
      </c>
      <c r="K35" s="39" t="n">
        <f aca="false">IF(E35="","",E35/(E35+H35))</f>
        <v>0.373899119295436</v>
      </c>
      <c r="L35" s="52" t="n">
        <f aca="false">IF(OR(K35="",J35=""),"",(J35-K35)*100)</f>
        <v>4.56813002849832</v>
      </c>
      <c r="M35" s="38"/>
    </row>
    <row r="36" customFormat="false" ht="15" hidden="false" customHeight="false" outlineLevel="0" collapsed="false">
      <c r="A36" s="38" t="s">
        <v>87</v>
      </c>
      <c r="B36" s="38" t="s">
        <v>133</v>
      </c>
      <c r="C36" s="38" t="s">
        <v>136</v>
      </c>
      <c r="D36" s="21" t="n">
        <v>164</v>
      </c>
      <c r="E36" s="21" t="n">
        <v>136</v>
      </c>
      <c r="F36" s="51" t="n">
        <f aca="false">IF(E36="","",D36-E36)</f>
        <v>28</v>
      </c>
      <c r="G36" s="21" t="n">
        <v>250</v>
      </c>
      <c r="H36" s="21" t="n">
        <v>278</v>
      </c>
      <c r="I36" s="51" t="n">
        <f aca="false">IF(H36="","",G36-H36)</f>
        <v>-28</v>
      </c>
      <c r="J36" s="39" t="n">
        <f aca="false">IF(OR(D36="",D36+G36=0),"",D36/(D36+G36))</f>
        <v>0.396135265700483</v>
      </c>
      <c r="K36" s="39" t="n">
        <f aca="false">IF(E36="","",E36/(E36+H36))</f>
        <v>0.328502415458937</v>
      </c>
      <c r="L36" s="52" t="n">
        <f aca="false">IF(OR(K36="",J36=""),"",(J36-K36)*100)</f>
        <v>6.76328502415459</v>
      </c>
      <c r="M36" s="38"/>
    </row>
    <row r="37" customFormat="false" ht="15" hidden="false" customHeight="false" outlineLevel="0" collapsed="false">
      <c r="A37" s="38" t="s">
        <v>87</v>
      </c>
      <c r="B37" s="38" t="s">
        <v>137</v>
      </c>
      <c r="C37" s="38" t="s">
        <v>137</v>
      </c>
      <c r="D37" s="21" t="n">
        <v>69</v>
      </c>
      <c r="E37" s="21" t="n">
        <v>68</v>
      </c>
      <c r="F37" s="51" t="n">
        <f aca="false">IF(E37="","",D37-E37)</f>
        <v>1</v>
      </c>
      <c r="G37" s="21" t="n">
        <v>162</v>
      </c>
      <c r="H37" s="21" t="n">
        <v>153</v>
      </c>
      <c r="I37" s="51" t="n">
        <f aca="false">IF(H37="","",G37-H37)</f>
        <v>9</v>
      </c>
      <c r="J37" s="39" t="n">
        <f aca="false">IF(OR(D37="",D37+G37=0),"",D37/(D37+G37))</f>
        <v>0.298701298701299</v>
      </c>
      <c r="K37" s="39" t="n">
        <f aca="false">IF(E37="","",E37/(E37+H37))</f>
        <v>0.307692307692308</v>
      </c>
      <c r="L37" s="52" t="n">
        <f aca="false">IF(OR(K37="",J37=""),"",(J37-K37)*100)</f>
        <v>-0.899100899100902</v>
      </c>
      <c r="M37" s="38"/>
    </row>
    <row r="38" customFormat="false" ht="15" hidden="false" customHeight="false" outlineLevel="0" collapsed="false">
      <c r="A38" s="38" t="s">
        <v>87</v>
      </c>
      <c r="B38" s="38" t="s">
        <v>138</v>
      </c>
      <c r="C38" s="38" t="s">
        <v>139</v>
      </c>
      <c r="D38" s="21" t="n">
        <v>451</v>
      </c>
      <c r="E38" s="21" t="n">
        <v>432</v>
      </c>
      <c r="F38" s="51" t="n">
        <f aca="false">IF(E38="","",D38-E38)</f>
        <v>19</v>
      </c>
      <c r="G38" s="21" t="n">
        <v>689</v>
      </c>
      <c r="H38" s="21" t="n">
        <v>705</v>
      </c>
      <c r="I38" s="51" t="n">
        <f aca="false">IF(H38="","",G38-H38)</f>
        <v>-16</v>
      </c>
      <c r="J38" s="39" t="n">
        <f aca="false">IF(OR(D38="",D38+G38=0),"",D38/(D38+G38))</f>
        <v>0.395614035087719</v>
      </c>
      <c r="K38" s="39" t="n">
        <f aca="false">IF(E38="","",E38/(E38+H38))</f>
        <v>0.379947229551451</v>
      </c>
      <c r="L38" s="52" t="n">
        <f aca="false">IF(OR(K38="",J38=""),"",(J38-K38)*100)</f>
        <v>1.56668055362681</v>
      </c>
      <c r="M38" s="38"/>
    </row>
    <row r="39" customFormat="false" ht="15" hidden="false" customHeight="false" outlineLevel="0" collapsed="false">
      <c r="A39" s="38" t="s">
        <v>87</v>
      </c>
      <c r="B39" s="38" t="s">
        <v>138</v>
      </c>
      <c r="C39" s="38" t="s">
        <v>140</v>
      </c>
      <c r="D39" s="21" t="n">
        <v>323</v>
      </c>
      <c r="E39" s="21" t="n">
        <v>296</v>
      </c>
      <c r="F39" s="51" t="n">
        <f aca="false">IF(E39="","",D39-E39)</f>
        <v>27</v>
      </c>
      <c r="G39" s="21" t="n">
        <v>516</v>
      </c>
      <c r="H39" s="21" t="n">
        <v>529</v>
      </c>
      <c r="I39" s="51" t="n">
        <f aca="false">IF(H39="","",G39-H39)</f>
        <v>-13</v>
      </c>
      <c r="J39" s="39" t="n">
        <f aca="false">IF(OR(D39="",D39+G39=0),"",D39/(D39+G39))</f>
        <v>0.384982121573302</v>
      </c>
      <c r="K39" s="39" t="n">
        <f aca="false">IF(E39="","",E39/(E39+H39))</f>
        <v>0.358787878787879</v>
      </c>
      <c r="L39" s="52" t="n">
        <f aca="false">IF(OR(K39="",J39=""),"",(J39-K39)*100)</f>
        <v>2.61942427854228</v>
      </c>
      <c r="M39" s="38"/>
    </row>
    <row r="40" customFormat="false" ht="15" hidden="false" customHeight="false" outlineLevel="0" collapsed="false">
      <c r="A40" s="38" t="s">
        <v>87</v>
      </c>
      <c r="B40" s="38" t="s">
        <v>138</v>
      </c>
      <c r="C40" s="38" t="s">
        <v>141</v>
      </c>
      <c r="D40" s="21" t="n">
        <v>491</v>
      </c>
      <c r="E40" s="21" t="n">
        <v>460</v>
      </c>
      <c r="F40" s="51" t="n">
        <f aca="false">IF(E40="","",D40-E40)</f>
        <v>31</v>
      </c>
      <c r="G40" s="21" t="n">
        <v>765</v>
      </c>
      <c r="H40" s="21" t="n">
        <v>791</v>
      </c>
      <c r="I40" s="51" t="n">
        <f aca="false">IF(H40="","",G40-H40)</f>
        <v>-26</v>
      </c>
      <c r="J40" s="39" t="n">
        <f aca="false">IF(OR(D40="",D40+G40=0),"",D40/(D40+G40))</f>
        <v>0.390923566878981</v>
      </c>
      <c r="K40" s="39" t="n">
        <f aca="false">IF(E40="","",E40/(E40+H40))</f>
        <v>0.367705835331735</v>
      </c>
      <c r="L40" s="52" t="n">
        <f aca="false">IF(OR(K40="",J40=""),"",(J40-K40)*100)</f>
        <v>2.32177315472463</v>
      </c>
      <c r="M40" s="38"/>
    </row>
    <row r="41" customFormat="false" ht="15" hidden="false" customHeight="false" outlineLevel="0" collapsed="false">
      <c r="A41" s="38" t="s">
        <v>87</v>
      </c>
      <c r="B41" s="38" t="s">
        <v>138</v>
      </c>
      <c r="C41" s="38" t="s">
        <v>142</v>
      </c>
      <c r="D41" s="21" t="n">
        <v>440</v>
      </c>
      <c r="E41" s="21" t="n">
        <v>425</v>
      </c>
      <c r="F41" s="51" t="n">
        <f aca="false">IF(E41="","",D41-E41)</f>
        <v>15</v>
      </c>
      <c r="G41" s="21" t="n">
        <v>846</v>
      </c>
      <c r="H41" s="21" t="n">
        <v>920</v>
      </c>
      <c r="I41" s="51" t="n">
        <f aca="false">IF(H41="","",G41-H41)</f>
        <v>-74</v>
      </c>
      <c r="J41" s="39" t="n">
        <f aca="false">IF(OR(D41="",D41+G41=0),"",D41/(D41+G41))</f>
        <v>0.342146189735614</v>
      </c>
      <c r="K41" s="39" t="n">
        <f aca="false">IF(E41="","",E41/(E41+H41))</f>
        <v>0.315985130111524</v>
      </c>
      <c r="L41" s="52" t="n">
        <f aca="false">IF(OR(K41="",J41=""),"",(J41-K41)*100)</f>
        <v>2.61610596240901</v>
      </c>
      <c r="M41" s="38"/>
    </row>
    <row r="42" customFormat="false" ht="15" hidden="false" customHeight="false" outlineLevel="0" collapsed="false">
      <c r="A42" s="38" t="s">
        <v>87</v>
      </c>
      <c r="B42" s="38" t="s">
        <v>138</v>
      </c>
      <c r="C42" s="38" t="s">
        <v>143</v>
      </c>
      <c r="D42" s="21" t="n">
        <v>433</v>
      </c>
      <c r="E42" s="21" t="n">
        <v>397</v>
      </c>
      <c r="F42" s="51" t="n">
        <f aca="false">IF(E42="","",D42-E42)</f>
        <v>36</v>
      </c>
      <c r="G42" s="21" t="n">
        <v>732</v>
      </c>
      <c r="H42" s="21" t="n">
        <v>692</v>
      </c>
      <c r="I42" s="51" t="n">
        <f aca="false">IF(H42="","",G42-H42)</f>
        <v>40</v>
      </c>
      <c r="J42" s="39" t="n">
        <f aca="false">IF(OR(D42="",D42+G42=0),"",D42/(D42+G42))</f>
        <v>0.371673819742489</v>
      </c>
      <c r="K42" s="39" t="n">
        <f aca="false">IF(E42="","",E42/(E42+H42))</f>
        <v>0.36455463728191</v>
      </c>
      <c r="L42" s="52" t="n">
        <f aca="false">IF(OR(K42="",J42=""),"",(J42-K42)*100)</f>
        <v>0.711918246057924</v>
      </c>
      <c r="M42" s="38"/>
    </row>
    <row r="43" customFormat="false" ht="15" hidden="false" customHeight="false" outlineLevel="0" collapsed="false">
      <c r="A43" s="38" t="s">
        <v>87</v>
      </c>
      <c r="B43" s="38" t="s">
        <v>144</v>
      </c>
      <c r="C43" s="38" t="s">
        <v>145</v>
      </c>
      <c r="D43" s="21" t="n">
        <v>194</v>
      </c>
      <c r="E43" s="21" t="n">
        <v>175</v>
      </c>
      <c r="F43" s="51" t="n">
        <f aca="false">IF(E43="","",D43-E43)</f>
        <v>19</v>
      </c>
      <c r="G43" s="21" t="n">
        <v>196</v>
      </c>
      <c r="H43" s="21" t="n">
        <v>212</v>
      </c>
      <c r="I43" s="51" t="n">
        <f aca="false">IF(H43="","",G43-H43)</f>
        <v>-16</v>
      </c>
      <c r="J43" s="39" t="n">
        <f aca="false">IF(OR(D43="",D43+G43=0),"",D43/(D43+G43))</f>
        <v>0.497435897435897</v>
      </c>
      <c r="K43" s="39" t="n">
        <f aca="false">IF(E43="","",E43/(E43+H43))</f>
        <v>0.452196382428941</v>
      </c>
      <c r="L43" s="52" t="n">
        <f aca="false">IF(OR(K43="",J43=""),"",(J43-K43)*100)</f>
        <v>4.52395150069569</v>
      </c>
      <c r="M43" s="38"/>
    </row>
    <row r="44" customFormat="false" ht="15" hidden="false" customHeight="false" outlineLevel="0" collapsed="false">
      <c r="A44" s="38" t="s">
        <v>87</v>
      </c>
      <c r="B44" s="38" t="s">
        <v>144</v>
      </c>
      <c r="C44" s="38" t="s">
        <v>146</v>
      </c>
      <c r="D44" s="21" t="n">
        <v>206</v>
      </c>
      <c r="E44" s="21" t="n">
        <v>184</v>
      </c>
      <c r="F44" s="51" t="n">
        <f aca="false">IF(E44="","",D44-E44)</f>
        <v>22</v>
      </c>
      <c r="G44" s="21" t="n">
        <v>197</v>
      </c>
      <c r="H44" s="21" t="n">
        <v>208</v>
      </c>
      <c r="I44" s="51" t="n">
        <f aca="false">IF(H44="","",G44-H44)</f>
        <v>-11</v>
      </c>
      <c r="J44" s="39" t="n">
        <f aca="false">IF(OR(D44="",D44+G44=0),"",D44/(D44+G44))</f>
        <v>0.511166253101737</v>
      </c>
      <c r="K44" s="39" t="n">
        <f aca="false">IF(E44="","",E44/(E44+H44))</f>
        <v>0.469387755102041</v>
      </c>
      <c r="L44" s="52" t="n">
        <f aca="false">IF(OR(K44="",J44=""),"",(J44-K44)*100)</f>
        <v>4.17784979996962</v>
      </c>
      <c r="M44" s="38"/>
    </row>
    <row r="45" customFormat="false" ht="15" hidden="false" customHeight="false" outlineLevel="0" collapsed="false">
      <c r="A45" s="38" t="s">
        <v>87</v>
      </c>
      <c r="B45" s="38" t="s">
        <v>144</v>
      </c>
      <c r="C45" s="38" t="s">
        <v>147</v>
      </c>
      <c r="D45" s="21" t="n">
        <v>139</v>
      </c>
      <c r="E45" s="21" t="n">
        <v>102</v>
      </c>
      <c r="F45" s="51" t="n">
        <f aca="false">IF(E45="","",D45-E45)</f>
        <v>37</v>
      </c>
      <c r="G45" s="21" t="n">
        <v>188</v>
      </c>
      <c r="H45" s="21" t="n">
        <v>192</v>
      </c>
      <c r="I45" s="51" t="n">
        <f aca="false">IF(H45="","",G45-H45)</f>
        <v>-4</v>
      </c>
      <c r="J45" s="39" t="n">
        <f aca="false">IF(OR(D45="",D45+G45=0),"",D45/(D45+G45))</f>
        <v>0.425076452599388</v>
      </c>
      <c r="K45" s="39" t="n">
        <f aca="false">IF(E45="","",E45/(E45+H45))</f>
        <v>0.346938775510204</v>
      </c>
      <c r="L45" s="52" t="n">
        <f aca="false">IF(OR(K45="",J45=""),"",(J45-K45)*100)</f>
        <v>7.81376770891843</v>
      </c>
      <c r="M45" s="38"/>
    </row>
    <row r="46" customFormat="false" ht="15" hidden="false" customHeight="false" outlineLevel="0" collapsed="false">
      <c r="A46" s="38" t="s">
        <v>87</v>
      </c>
      <c r="B46" s="38" t="s">
        <v>144</v>
      </c>
      <c r="C46" s="38" t="s">
        <v>148</v>
      </c>
      <c r="D46" s="21" t="n">
        <v>209</v>
      </c>
      <c r="E46" s="21" t="n">
        <v>194</v>
      </c>
      <c r="F46" s="51" t="n">
        <f aca="false">IF(E46="","",D46-E46)</f>
        <v>15</v>
      </c>
      <c r="G46" s="21" t="n">
        <v>272</v>
      </c>
      <c r="H46" s="21" t="n">
        <v>296</v>
      </c>
      <c r="I46" s="51" t="n">
        <f aca="false">IF(H46="","",G46-H46)</f>
        <v>-24</v>
      </c>
      <c r="J46" s="39" t="n">
        <f aca="false">IF(OR(D46="",D46+G46=0),"",D46/(D46+G46))</f>
        <v>0.434511434511435</v>
      </c>
      <c r="K46" s="39" t="n">
        <f aca="false">IF(E46="","",E46/(E46+H46))</f>
        <v>0.395918367346939</v>
      </c>
      <c r="L46" s="52" t="n">
        <f aca="false">IF(OR(K46="",J46=""),"",(J46-K46)*100)</f>
        <v>3.85930671644958</v>
      </c>
      <c r="M46" s="38"/>
    </row>
    <row r="47" customFormat="false" ht="15" hidden="false" customHeight="false" outlineLevel="0" collapsed="false">
      <c r="A47" s="38" t="s">
        <v>87</v>
      </c>
      <c r="B47" s="38" t="s">
        <v>149</v>
      </c>
      <c r="C47" s="38" t="s">
        <v>150</v>
      </c>
      <c r="D47" s="21" t="n">
        <v>313</v>
      </c>
      <c r="E47" s="21" t="n">
        <v>298</v>
      </c>
      <c r="F47" s="51" t="n">
        <f aca="false">IF(E47="","",D47-E47)</f>
        <v>15</v>
      </c>
      <c r="G47" s="21" t="n">
        <v>663</v>
      </c>
      <c r="H47" s="21" t="n">
        <v>649</v>
      </c>
      <c r="I47" s="51" t="n">
        <f aca="false">IF(H47="","",G47-H47)</f>
        <v>14</v>
      </c>
      <c r="J47" s="39" t="n">
        <f aca="false">IF(OR(D47="",D47+G47=0),"",D47/(D47+G47))</f>
        <v>0.320696721311475</v>
      </c>
      <c r="K47" s="39" t="n">
        <f aca="false">IF(E47="","",E47/(E47+H47))</f>
        <v>0.31467793030623</v>
      </c>
      <c r="L47" s="52" t="n">
        <f aca="false">IF(OR(K47="",J47=""),"",(J47-K47)*100)</f>
        <v>0.601879100524522</v>
      </c>
      <c r="M47" s="38"/>
    </row>
    <row r="48" customFormat="false" ht="15" hidden="false" customHeight="false" outlineLevel="0" collapsed="false">
      <c r="A48" s="38" t="s">
        <v>87</v>
      </c>
      <c r="B48" s="38" t="s">
        <v>149</v>
      </c>
      <c r="C48" s="38" t="s">
        <v>151</v>
      </c>
      <c r="D48" s="21" t="n">
        <v>289</v>
      </c>
      <c r="E48" s="21" t="n">
        <v>253</v>
      </c>
      <c r="F48" s="51" t="n">
        <f aca="false">IF(E48="","",D48-E48)</f>
        <v>36</v>
      </c>
      <c r="G48" s="21" t="n">
        <v>679</v>
      </c>
      <c r="H48" s="21" t="n">
        <v>710</v>
      </c>
      <c r="I48" s="51" t="n">
        <f aca="false">IF(H48="","",G48-H48)</f>
        <v>-31</v>
      </c>
      <c r="J48" s="39" t="n">
        <f aca="false">IF(OR(D48="",D48+G48=0),"",D48/(D48+G48))</f>
        <v>0.298553719008264</v>
      </c>
      <c r="K48" s="39" t="n">
        <f aca="false">IF(E48="","",E48/(E48+H48))</f>
        <v>0.262720664589823</v>
      </c>
      <c r="L48" s="52" t="n">
        <f aca="false">IF(OR(K48="",J48=""),"",(J48-K48)*100)</f>
        <v>3.5833054418441</v>
      </c>
      <c r="M48" s="38"/>
    </row>
    <row r="49" customFormat="false" ht="15" hidden="false" customHeight="false" outlineLevel="0" collapsed="false">
      <c r="A49" s="38" t="s">
        <v>87</v>
      </c>
      <c r="B49" s="38" t="s">
        <v>149</v>
      </c>
      <c r="C49" s="38" t="s">
        <v>152</v>
      </c>
      <c r="D49" s="21" t="n">
        <v>291</v>
      </c>
      <c r="E49" s="21" t="n">
        <v>238</v>
      </c>
      <c r="F49" s="51" t="n">
        <f aca="false">IF(E49="","",D49-E49)</f>
        <v>53</v>
      </c>
      <c r="G49" s="21" t="n">
        <v>623</v>
      </c>
      <c r="H49" s="21" t="n">
        <v>586</v>
      </c>
      <c r="I49" s="51" t="n">
        <f aca="false">IF(H49="","",G49-H49)</f>
        <v>37</v>
      </c>
      <c r="J49" s="39" t="n">
        <f aca="false">IF(OR(D49="",D49+G49=0),"",D49/(D49+G49))</f>
        <v>0.318380743982495</v>
      </c>
      <c r="K49" s="39" t="n">
        <f aca="false">IF(E49="","",E49/(E49+H49))</f>
        <v>0.288834951456311</v>
      </c>
      <c r="L49" s="52" t="n">
        <f aca="false">IF(OR(K49="",J49=""),"",(J49-K49)*100)</f>
        <v>2.95457925261839</v>
      </c>
      <c r="M49" s="38"/>
    </row>
    <row r="50" customFormat="false" ht="15" hidden="false" customHeight="false" outlineLevel="0" collapsed="false">
      <c r="A50" s="38" t="s">
        <v>87</v>
      </c>
      <c r="B50" s="38" t="s">
        <v>153</v>
      </c>
      <c r="C50" s="38" t="s">
        <v>154</v>
      </c>
      <c r="D50" s="21" t="n">
        <v>256</v>
      </c>
      <c r="E50" s="21" t="n">
        <v>238</v>
      </c>
      <c r="F50" s="51" t="n">
        <f aca="false">IF(E50="","",D50-E50)</f>
        <v>18</v>
      </c>
      <c r="G50" s="21" t="n">
        <v>604</v>
      </c>
      <c r="H50" s="21" t="n">
        <v>541</v>
      </c>
      <c r="I50" s="51" t="n">
        <f aca="false">IF(H50="","",G50-H50)</f>
        <v>63</v>
      </c>
      <c r="J50" s="39" t="n">
        <f aca="false">IF(OR(D50="",D50+G50=0),"",D50/(D50+G50))</f>
        <v>0.297674418604651</v>
      </c>
      <c r="K50" s="39" t="n">
        <f aca="false">IF(E50="","",E50/(E50+H50))</f>
        <v>0.305519897304236</v>
      </c>
      <c r="L50" s="52" t="n">
        <f aca="false">IF(OR(K50="",J50=""),"",(J50-K50)*100)</f>
        <v>-0.784547869958502</v>
      </c>
      <c r="M50" s="38"/>
    </row>
    <row r="51" customFormat="false" ht="15" hidden="false" customHeight="false" outlineLevel="0" collapsed="false">
      <c r="A51" s="38" t="s">
        <v>87</v>
      </c>
      <c r="B51" s="38" t="s">
        <v>153</v>
      </c>
      <c r="C51" s="38" t="s">
        <v>155</v>
      </c>
      <c r="D51" s="21" t="n">
        <v>120</v>
      </c>
      <c r="E51" s="21" t="n">
        <v>103</v>
      </c>
      <c r="F51" s="51" t="n">
        <f aca="false">IF(E51="","",D51-E51)</f>
        <v>17</v>
      </c>
      <c r="G51" s="21" t="n">
        <v>289</v>
      </c>
      <c r="H51" s="21" t="n">
        <v>292</v>
      </c>
      <c r="I51" s="51" t="n">
        <f aca="false">IF(H51="","",G51-H51)</f>
        <v>-3</v>
      </c>
      <c r="J51" s="39" t="n">
        <f aca="false">IF(OR(D51="",D51+G51=0),"",D51/(D51+G51))</f>
        <v>0.293398533007335</v>
      </c>
      <c r="K51" s="39" t="n">
        <f aca="false">IF(E51="","",E51/(E51+H51))</f>
        <v>0.260759493670886</v>
      </c>
      <c r="L51" s="52" t="n">
        <f aca="false">IF(OR(K51="",J51=""),"",(J51-K51)*100)</f>
        <v>3.26390393364489</v>
      </c>
      <c r="M51" s="38"/>
    </row>
    <row r="52" customFormat="false" ht="15" hidden="false" customHeight="false" outlineLevel="0" collapsed="false">
      <c r="A52" s="38" t="s">
        <v>87</v>
      </c>
      <c r="B52" s="38" t="s">
        <v>156</v>
      </c>
      <c r="C52" s="38" t="s">
        <v>156</v>
      </c>
      <c r="D52" s="21" t="n">
        <v>65</v>
      </c>
      <c r="E52" s="21" t="n">
        <v>53</v>
      </c>
      <c r="F52" s="51" t="n">
        <f aca="false">IF(E52="","",D52-E52)</f>
        <v>12</v>
      </c>
      <c r="G52" s="21" t="n">
        <v>87</v>
      </c>
      <c r="H52" s="21" t="n">
        <v>99</v>
      </c>
      <c r="I52" s="51" t="n">
        <f aca="false">IF(H52="","",G52-H52)</f>
        <v>-12</v>
      </c>
      <c r="J52" s="39" t="n">
        <f aca="false">IF(OR(D52="",D52+G52=0),"",D52/(D52+G52))</f>
        <v>0.427631578947368</v>
      </c>
      <c r="K52" s="39" t="n">
        <f aca="false">IF(E52="","",E52/(E52+H52))</f>
        <v>0.348684210526316</v>
      </c>
      <c r="L52" s="52" t="n">
        <f aca="false">IF(OR(K52="",J52=""),"",(J52-K52)*100)</f>
        <v>7.89473684210527</v>
      </c>
      <c r="M52" s="38"/>
    </row>
    <row r="53" customFormat="false" ht="15" hidden="false" customHeight="false" outlineLevel="0" collapsed="false">
      <c r="A53" s="38" t="s">
        <v>157</v>
      </c>
      <c r="B53" s="38" t="s">
        <v>158</v>
      </c>
      <c r="C53" s="38" t="s">
        <v>158</v>
      </c>
      <c r="D53" s="21" t="n">
        <v>728</v>
      </c>
      <c r="E53" s="21" t="n">
        <v>601</v>
      </c>
      <c r="F53" s="51" t="n">
        <f aca="false">IF(E53="","",D53-E53)</f>
        <v>127</v>
      </c>
      <c r="G53" s="21" t="n">
        <v>714</v>
      </c>
      <c r="H53" s="21" t="n">
        <v>766</v>
      </c>
      <c r="I53" s="51" t="n">
        <f aca="false">IF(H53="","",G53-H53)</f>
        <v>-52</v>
      </c>
      <c r="J53" s="39" t="n">
        <f aca="false">IF(OR(D53="",D53+G53=0),"",D53/(D53+G53))</f>
        <v>0.504854368932039</v>
      </c>
      <c r="K53" s="39" t="n">
        <f aca="false">IF(E53="","",E53/(E53+H53))</f>
        <v>0.439648866130212</v>
      </c>
      <c r="L53" s="52" t="n">
        <f aca="false">IF(OR(K53="",J53=""),"",(J53-K53)*100)</f>
        <v>6.52055028018267</v>
      </c>
      <c r="M53" s="38"/>
    </row>
    <row r="54" customFormat="false" ht="15" hidden="false" customHeight="false" outlineLevel="0" collapsed="false">
      <c r="A54" s="38" t="s">
        <v>157</v>
      </c>
      <c r="B54" s="38" t="s">
        <v>159</v>
      </c>
      <c r="C54" s="38" t="s">
        <v>160</v>
      </c>
      <c r="D54" s="21" t="n">
        <v>507</v>
      </c>
      <c r="E54" s="21" t="n">
        <v>437</v>
      </c>
      <c r="F54" s="51" t="n">
        <f aca="false">IF(E54="","",D54-E54)</f>
        <v>70</v>
      </c>
      <c r="G54" s="21" t="n">
        <v>146</v>
      </c>
      <c r="H54" s="21" t="n">
        <v>173</v>
      </c>
      <c r="I54" s="51" t="n">
        <f aca="false">IF(H54="","",G54-H54)</f>
        <v>-27</v>
      </c>
      <c r="J54" s="39" t="n">
        <f aca="false">IF(OR(D54="",D54+G54=0),"",D54/(D54+G54))</f>
        <v>0.776416539050536</v>
      </c>
      <c r="K54" s="39" t="n">
        <f aca="false">IF(E54="","",E54/(E54+H54))</f>
        <v>0.716393442622951</v>
      </c>
      <c r="L54" s="52" t="n">
        <f aca="false">IF(OR(K54="",J54=""),"",(J54-K54)*100)</f>
        <v>6.00230964275852</v>
      </c>
      <c r="M54" s="38"/>
    </row>
    <row r="55" customFormat="false" ht="15" hidden="false" customHeight="false" outlineLevel="0" collapsed="false">
      <c r="A55" s="38" t="s">
        <v>157</v>
      </c>
      <c r="B55" s="38" t="s">
        <v>159</v>
      </c>
      <c r="C55" s="38" t="s">
        <v>161</v>
      </c>
      <c r="D55" s="21" t="n">
        <v>333</v>
      </c>
      <c r="E55" s="21" t="n">
        <v>328</v>
      </c>
      <c r="F55" s="51" t="n">
        <f aca="false">IF(E55="","",D55-E55)</f>
        <v>5</v>
      </c>
      <c r="G55" s="21" t="n">
        <v>108</v>
      </c>
      <c r="H55" s="21" t="n">
        <v>173</v>
      </c>
      <c r="I55" s="51" t="n">
        <f aca="false">IF(H55="","",G55-H55)</f>
        <v>-65</v>
      </c>
      <c r="J55" s="39" t="n">
        <f aca="false">IF(OR(D55="",D55+G55=0),"",D55/(D55+G55))</f>
        <v>0.755102040816327</v>
      </c>
      <c r="K55" s="39" t="n">
        <f aca="false">IF(E55="","",E55/(E55+H55))</f>
        <v>0.654690618762475</v>
      </c>
      <c r="L55" s="52" t="n">
        <f aca="false">IF(OR(K55="",J55=""),"",(J55-K55)*100)</f>
        <v>10.0411422053851</v>
      </c>
      <c r="M55" s="38"/>
    </row>
    <row r="56" customFormat="false" ht="15" hidden="false" customHeight="false" outlineLevel="0" collapsed="false">
      <c r="A56" s="38" t="s">
        <v>157</v>
      </c>
      <c r="B56" s="38" t="s">
        <v>159</v>
      </c>
      <c r="C56" s="38" t="s">
        <v>162</v>
      </c>
      <c r="D56" s="21" t="n">
        <v>355</v>
      </c>
      <c r="E56" s="21" t="n">
        <v>347</v>
      </c>
      <c r="F56" s="51" t="n">
        <f aca="false">IF(E56="","",D56-E56)</f>
        <v>8</v>
      </c>
      <c r="G56" s="21" t="n">
        <v>103</v>
      </c>
      <c r="H56" s="21" t="n">
        <v>147</v>
      </c>
      <c r="I56" s="51" t="n">
        <f aca="false">IF(H56="","",G56-H56)</f>
        <v>-44</v>
      </c>
      <c r="J56" s="39" t="n">
        <f aca="false">IF(OR(D56="",D56+G56=0),"",D56/(D56+G56))</f>
        <v>0.775109170305677</v>
      </c>
      <c r="K56" s="39" t="n">
        <f aca="false">IF(E56="","",E56/(E56+H56))</f>
        <v>0.702429149797571</v>
      </c>
      <c r="L56" s="52" t="n">
        <f aca="false">IF(OR(K56="",J56=""),"",(J56-K56)*100)</f>
        <v>7.2680020508106</v>
      </c>
      <c r="M56" s="38"/>
    </row>
    <row r="57" customFormat="false" ht="15" hidden="false" customHeight="false" outlineLevel="0" collapsed="false">
      <c r="A57" s="38" t="s">
        <v>157</v>
      </c>
      <c r="B57" s="38" t="s">
        <v>159</v>
      </c>
      <c r="C57" s="38" t="s">
        <v>163</v>
      </c>
      <c r="D57" s="21" t="n">
        <v>312</v>
      </c>
      <c r="E57" s="21" t="n">
        <v>314</v>
      </c>
      <c r="F57" s="51" t="n">
        <f aca="false">IF(E57="","",D57-E57)</f>
        <v>-2</v>
      </c>
      <c r="G57" s="21" t="n">
        <v>105</v>
      </c>
      <c r="H57" s="21" t="n">
        <v>149</v>
      </c>
      <c r="I57" s="51" t="n">
        <f aca="false">IF(H57="","",G57-H57)</f>
        <v>-44</v>
      </c>
      <c r="J57" s="39" t="n">
        <f aca="false">IF(OR(D57="",D57+G57=0),"",D57/(D57+G57))</f>
        <v>0.748201438848921</v>
      </c>
      <c r="K57" s="39" t="n">
        <f aca="false">IF(E57="","",E57/(E57+H57))</f>
        <v>0.678185745140389</v>
      </c>
      <c r="L57" s="52" t="n">
        <f aca="false">IF(OR(K57="",J57=""),"",(J57-K57)*100)</f>
        <v>7.00156937085321</v>
      </c>
      <c r="M57" s="38"/>
    </row>
    <row r="58" customFormat="false" ht="15" hidden="false" customHeight="false" outlineLevel="0" collapsed="false">
      <c r="A58" s="38" t="s">
        <v>157</v>
      </c>
      <c r="B58" s="38" t="s">
        <v>159</v>
      </c>
      <c r="C58" s="38" t="s">
        <v>164</v>
      </c>
      <c r="D58" s="21" t="n">
        <v>353</v>
      </c>
      <c r="E58" s="21" t="n">
        <v>364</v>
      </c>
      <c r="F58" s="51" t="n">
        <f aca="false">IF(E58="","",D58-E58)</f>
        <v>-11</v>
      </c>
      <c r="G58" s="21" t="n">
        <v>105</v>
      </c>
      <c r="H58" s="21" t="n">
        <v>137</v>
      </c>
      <c r="I58" s="51" t="n">
        <f aca="false">IF(H58="","",G58-H58)</f>
        <v>-32</v>
      </c>
      <c r="J58" s="39" t="n">
        <f aca="false">IF(OR(D58="",D58+G58=0),"",D58/(D58+G58))</f>
        <v>0.770742358078603</v>
      </c>
      <c r="K58" s="39" t="n">
        <f aca="false">IF(E58="","",E58/(E58+H58))</f>
        <v>0.726546906187625</v>
      </c>
      <c r="L58" s="52" t="n">
        <f aca="false">IF(OR(K58="",J58=""),"",(J58-K58)*100)</f>
        <v>4.41954518909778</v>
      </c>
      <c r="M58" s="38"/>
    </row>
    <row r="59" customFormat="false" ht="15" hidden="false" customHeight="false" outlineLevel="0" collapsed="false">
      <c r="A59" s="38" t="s">
        <v>157</v>
      </c>
      <c r="B59" s="38" t="s">
        <v>159</v>
      </c>
      <c r="C59" s="38" t="s">
        <v>165</v>
      </c>
      <c r="D59" s="21" t="n">
        <v>429</v>
      </c>
      <c r="E59" s="21" t="n">
        <v>399</v>
      </c>
      <c r="F59" s="51" t="n">
        <f aca="false">IF(E59="","",D59-E59)</f>
        <v>30</v>
      </c>
      <c r="G59" s="21" t="n">
        <v>151</v>
      </c>
      <c r="H59" s="21" t="n">
        <v>171</v>
      </c>
      <c r="I59" s="51" t="n">
        <f aca="false">IF(H59="","",G59-H59)</f>
        <v>-20</v>
      </c>
      <c r="J59" s="39" t="n">
        <f aca="false">IF(OR(D59="",D59+G59=0),"",D59/(D59+G59))</f>
        <v>0.739655172413793</v>
      </c>
      <c r="K59" s="39" t="n">
        <f aca="false">IF(E59="","",E59/(E59+H59))</f>
        <v>0.7</v>
      </c>
      <c r="L59" s="52" t="n">
        <f aca="false">IF(OR(K59="",J59=""),"",(J59-K59)*100)</f>
        <v>3.96551724137931</v>
      </c>
      <c r="M59" s="38"/>
    </row>
    <row r="60" customFormat="false" ht="15" hidden="false" customHeight="false" outlineLevel="0" collapsed="false">
      <c r="A60" s="38" t="s">
        <v>157</v>
      </c>
      <c r="B60" s="38" t="s">
        <v>159</v>
      </c>
      <c r="C60" s="38" t="s">
        <v>166</v>
      </c>
      <c r="D60" s="21" t="n">
        <v>793</v>
      </c>
      <c r="E60" s="21" t="n">
        <v>1034</v>
      </c>
      <c r="F60" s="51" t="n">
        <f aca="false">IF(E60="","",D60-E60)</f>
        <v>-241</v>
      </c>
      <c r="G60" s="21" t="n">
        <v>213</v>
      </c>
      <c r="H60" s="21" t="n">
        <v>285</v>
      </c>
      <c r="I60" s="51" t="n">
        <f aca="false">IF(H60="","",G60-H60)</f>
        <v>-72</v>
      </c>
      <c r="J60" s="39" t="n">
        <f aca="false">IF(OR(D60="",D60+G60=0),"",D60/(D60+G60))</f>
        <v>0.788270377733598</v>
      </c>
      <c r="K60" s="39" t="n">
        <f aca="false">IF(E60="","",E60/(E60+H60))</f>
        <v>0.783927217589083</v>
      </c>
      <c r="L60" s="52" t="n">
        <f aca="false">IF(OR(K60="",J60=""),"",(J60-K60)*100)</f>
        <v>0.434316014451575</v>
      </c>
      <c r="M60" s="38"/>
    </row>
    <row r="61" customFormat="false" ht="15" hidden="false" customHeight="false" outlineLevel="0" collapsed="false">
      <c r="A61" s="38" t="s">
        <v>157</v>
      </c>
      <c r="B61" s="38" t="s">
        <v>159</v>
      </c>
      <c r="C61" s="38" t="s">
        <v>167</v>
      </c>
      <c r="D61" s="21" t="n">
        <v>391</v>
      </c>
      <c r="E61" s="21" t="n">
        <v>377</v>
      </c>
      <c r="F61" s="51" t="n">
        <f aca="false">IF(E61="","",D61-E61)</f>
        <v>14</v>
      </c>
      <c r="G61" s="21" t="n">
        <v>181</v>
      </c>
      <c r="H61" s="21" t="n">
        <v>190</v>
      </c>
      <c r="I61" s="51" t="n">
        <f aca="false">IF(H61="","",G61-H61)</f>
        <v>-9</v>
      </c>
      <c r="J61" s="39" t="n">
        <f aca="false">IF(OR(D61="",D61+G61=0),"",D61/(D61+G61))</f>
        <v>0.683566433566434</v>
      </c>
      <c r="K61" s="39" t="n">
        <f aca="false">IF(E61="","",E61/(E61+H61))</f>
        <v>0.664902998236332</v>
      </c>
      <c r="L61" s="52" t="n">
        <f aca="false">IF(OR(K61="",J61=""),"",(J61-K61)*100)</f>
        <v>1.8663435330102</v>
      </c>
      <c r="M61" s="38"/>
    </row>
    <row r="62" customFormat="false" ht="15" hidden="false" customHeight="false" outlineLevel="0" collapsed="false">
      <c r="A62" s="38" t="s">
        <v>157</v>
      </c>
      <c r="B62" s="38" t="s">
        <v>159</v>
      </c>
      <c r="C62" s="38" t="s">
        <v>168</v>
      </c>
      <c r="D62" s="21" t="n">
        <v>603</v>
      </c>
      <c r="E62" s="21" t="n">
        <v>619</v>
      </c>
      <c r="F62" s="51" t="n">
        <f aca="false">IF(E62="","",D62-E62)</f>
        <v>-16</v>
      </c>
      <c r="G62" s="21" t="n">
        <v>368</v>
      </c>
      <c r="H62" s="21" t="n">
        <v>400</v>
      </c>
      <c r="I62" s="51" t="n">
        <f aca="false">IF(H62="","",G62-H62)</f>
        <v>-32</v>
      </c>
      <c r="J62" s="39" t="n">
        <f aca="false">IF(OR(D62="",D62+G62=0),"",D62/(D62+G62))</f>
        <v>0.621009268795057</v>
      </c>
      <c r="K62" s="39" t="n">
        <f aca="false">IF(E62="","",E62/(E62+H62))</f>
        <v>0.607458292443572</v>
      </c>
      <c r="L62" s="52" t="n">
        <f aca="false">IF(OR(K62="",J62=""),"",(J62-K62)*100)</f>
        <v>1.35509763514846</v>
      </c>
      <c r="M62" s="38"/>
    </row>
    <row r="63" customFormat="false" ht="15" hidden="false" customHeight="false" outlineLevel="0" collapsed="false">
      <c r="A63" s="38" t="s">
        <v>157</v>
      </c>
      <c r="B63" s="38" t="s">
        <v>159</v>
      </c>
      <c r="C63" s="38" t="s">
        <v>169</v>
      </c>
      <c r="D63" s="21" t="n">
        <v>438</v>
      </c>
      <c r="E63" s="21" t="n">
        <v>438</v>
      </c>
      <c r="F63" s="51" t="n">
        <f aca="false">IF(E63="","",D63-E63)</f>
        <v>0</v>
      </c>
      <c r="G63" s="21" t="n">
        <v>265</v>
      </c>
      <c r="H63" s="21" t="n">
        <v>259</v>
      </c>
      <c r="I63" s="51" t="n">
        <f aca="false">IF(H63="","",G63-H63)</f>
        <v>6</v>
      </c>
      <c r="J63" s="39" t="n">
        <f aca="false">IF(OR(D63="",D63+G63=0),"",D63/(D63+G63))</f>
        <v>0.623044096728307</v>
      </c>
      <c r="K63" s="39" t="n">
        <f aca="false">IF(E63="","",E63/(E63+H63))</f>
        <v>0.628407460545194</v>
      </c>
      <c r="L63" s="52" t="n">
        <f aca="false">IF(OR(K63="",J63=""),"",(J63-K63)*100)</f>
        <v>-0.53633638168864</v>
      </c>
      <c r="M63" s="38"/>
    </row>
    <row r="64" customFormat="false" ht="15" hidden="false" customHeight="false" outlineLevel="0" collapsed="false">
      <c r="A64" s="38" t="s">
        <v>157</v>
      </c>
      <c r="B64" s="38" t="s">
        <v>159</v>
      </c>
      <c r="C64" s="38" t="s">
        <v>170</v>
      </c>
      <c r="D64" s="21" t="n">
        <v>451</v>
      </c>
      <c r="E64" s="21" t="n">
        <v>428</v>
      </c>
      <c r="F64" s="51" t="n">
        <f aca="false">IF(E64="","",D64-E64)</f>
        <v>23</v>
      </c>
      <c r="G64" s="21" t="n">
        <v>157</v>
      </c>
      <c r="H64" s="21" t="n">
        <v>195</v>
      </c>
      <c r="I64" s="51" t="n">
        <f aca="false">IF(H64="","",G64-H64)</f>
        <v>-38</v>
      </c>
      <c r="J64" s="39" t="n">
        <f aca="false">IF(OR(D64="",D64+G64=0),"",D64/(D64+G64))</f>
        <v>0.741776315789474</v>
      </c>
      <c r="K64" s="39" t="n">
        <f aca="false">IF(E64="","",E64/(E64+H64))</f>
        <v>0.686998394863563</v>
      </c>
      <c r="L64" s="52" t="n">
        <f aca="false">IF(OR(K64="",J64=""),"",(J64-K64)*100)</f>
        <v>5.47779209259103</v>
      </c>
      <c r="M64" s="38"/>
    </row>
    <row r="65" customFormat="false" ht="15" hidden="false" customHeight="false" outlineLevel="0" collapsed="false">
      <c r="A65" s="38" t="s">
        <v>157</v>
      </c>
      <c r="B65" s="38" t="s">
        <v>159</v>
      </c>
      <c r="C65" s="38" t="s">
        <v>171</v>
      </c>
      <c r="D65" s="21" t="n">
        <v>523</v>
      </c>
      <c r="E65" s="21" t="n">
        <v>563</v>
      </c>
      <c r="F65" s="51" t="n">
        <f aca="false">IF(E65="","",D65-E65)</f>
        <v>-40</v>
      </c>
      <c r="G65" s="21" t="n">
        <v>255</v>
      </c>
      <c r="H65" s="21" t="n">
        <v>322</v>
      </c>
      <c r="I65" s="51" t="n">
        <f aca="false">IF(H65="","",G65-H65)</f>
        <v>-67</v>
      </c>
      <c r="J65" s="39" t="n">
        <f aca="false">IF(OR(D65="",D65+G65=0),"",D65/(D65+G65))</f>
        <v>0.672236503856041</v>
      </c>
      <c r="K65" s="39" t="n">
        <f aca="false">IF(E65="","",E65/(E65+H65))</f>
        <v>0.636158192090396</v>
      </c>
      <c r="L65" s="52" t="n">
        <f aca="false">IF(OR(K65="",J65=""),"",(J65-K65)*100)</f>
        <v>3.60783117656457</v>
      </c>
      <c r="M65" s="38"/>
    </row>
    <row r="66" customFormat="false" ht="15" hidden="false" customHeight="false" outlineLevel="0" collapsed="false">
      <c r="A66" s="38" t="s">
        <v>157</v>
      </c>
      <c r="B66" s="38" t="s">
        <v>159</v>
      </c>
      <c r="C66" s="38" t="s">
        <v>172</v>
      </c>
      <c r="D66" s="21" t="n">
        <v>449</v>
      </c>
      <c r="E66" s="21" t="n">
        <v>472</v>
      </c>
      <c r="F66" s="51" t="n">
        <f aca="false">IF(E66="","",D66-E66)</f>
        <v>-23</v>
      </c>
      <c r="G66" s="21" t="n">
        <v>265</v>
      </c>
      <c r="H66" s="21" t="n">
        <v>273</v>
      </c>
      <c r="I66" s="51" t="n">
        <f aca="false">IF(H66="","",G66-H66)</f>
        <v>-8</v>
      </c>
      <c r="J66" s="39" t="n">
        <f aca="false">IF(OR(D66="",D66+G66=0),"",D66/(D66+G66))</f>
        <v>0.628851540616247</v>
      </c>
      <c r="K66" s="39" t="n">
        <f aca="false">IF(E66="","",E66/(E66+H66))</f>
        <v>0.633557046979866</v>
      </c>
      <c r="L66" s="52" t="n">
        <f aca="false">IF(OR(K66="",J66=""),"",(J66-K66)*100)</f>
        <v>-0.470550636361933</v>
      </c>
      <c r="M66" s="38"/>
    </row>
    <row r="67" customFormat="false" ht="15" hidden="false" customHeight="false" outlineLevel="0" collapsed="false">
      <c r="A67" s="38" t="s">
        <v>157</v>
      </c>
      <c r="B67" s="38" t="s">
        <v>159</v>
      </c>
      <c r="C67" s="38" t="s">
        <v>173</v>
      </c>
      <c r="D67" s="21" t="n">
        <v>449</v>
      </c>
      <c r="E67" s="21" t="n">
        <v>426</v>
      </c>
      <c r="F67" s="51" t="n">
        <f aca="false">IF(E67="","",D67-E67)</f>
        <v>23</v>
      </c>
      <c r="G67" s="21" t="n">
        <v>324</v>
      </c>
      <c r="H67" s="21" t="n">
        <v>331</v>
      </c>
      <c r="I67" s="51" t="n">
        <f aca="false">IF(H67="","",G67-H67)</f>
        <v>-7</v>
      </c>
      <c r="J67" s="39" t="n">
        <f aca="false">IF(OR(D67="",D67+G67=0),"",D67/(D67+G67))</f>
        <v>0.580853816300129</v>
      </c>
      <c r="K67" s="39" t="n">
        <f aca="false">IF(E67="","",E67/(E67+H67))</f>
        <v>0.562747688243065</v>
      </c>
      <c r="L67" s="52" t="n">
        <f aca="false">IF(OR(K67="",J67=""),"",(J67-K67)*100)</f>
        <v>1.81061280570646</v>
      </c>
      <c r="M67" s="38"/>
    </row>
    <row r="68" customFormat="false" ht="15" hidden="false" customHeight="false" outlineLevel="0" collapsed="false">
      <c r="A68" s="38" t="s">
        <v>157</v>
      </c>
      <c r="B68" s="38" t="s">
        <v>159</v>
      </c>
      <c r="C68" s="38" t="s">
        <v>174</v>
      </c>
      <c r="D68" s="21" t="n">
        <v>421</v>
      </c>
      <c r="E68" s="21" t="n">
        <v>418</v>
      </c>
      <c r="F68" s="51" t="n">
        <f aca="false">IF(E68="","",D68-E68)</f>
        <v>3</v>
      </c>
      <c r="G68" s="21" t="n">
        <v>233</v>
      </c>
      <c r="H68" s="21" t="n">
        <v>278</v>
      </c>
      <c r="I68" s="51" t="n">
        <f aca="false">IF(H68="","",G68-H68)</f>
        <v>-45</v>
      </c>
      <c r="J68" s="39" t="n">
        <f aca="false">IF(OR(D68="",D68+G68=0),"",D68/(D68+G68))</f>
        <v>0.643730886850153</v>
      </c>
      <c r="K68" s="39" t="n">
        <f aca="false">IF(E68="","",E68/(E68+H68))</f>
        <v>0.600574712643678</v>
      </c>
      <c r="L68" s="52" t="n">
        <f aca="false">IF(OR(K68="",J68=""),"",(J68-K68)*100)</f>
        <v>4.31561742064748</v>
      </c>
      <c r="M68" s="38"/>
    </row>
    <row r="69" customFormat="false" ht="15" hidden="false" customHeight="false" outlineLevel="0" collapsed="false">
      <c r="A69" s="38" t="s">
        <v>157</v>
      </c>
      <c r="B69" s="38" t="s">
        <v>159</v>
      </c>
      <c r="C69" s="38" t="s">
        <v>175</v>
      </c>
      <c r="D69" s="21" t="n">
        <v>412</v>
      </c>
      <c r="E69" s="21" t="n">
        <v>424</v>
      </c>
      <c r="F69" s="51" t="n">
        <f aca="false">IF(E69="","",D69-E69)</f>
        <v>-12</v>
      </c>
      <c r="G69" s="21" t="n">
        <v>135</v>
      </c>
      <c r="H69" s="21" t="n">
        <v>188</v>
      </c>
      <c r="I69" s="51" t="n">
        <f aca="false">IF(H69="","",G69-H69)</f>
        <v>-53</v>
      </c>
      <c r="J69" s="39" t="n">
        <f aca="false">IF(OR(D69="",D69+G69=0),"",D69/(D69+G69))</f>
        <v>0.753199268738574</v>
      </c>
      <c r="K69" s="39" t="n">
        <f aca="false">IF(E69="","",E69/(E69+H69))</f>
        <v>0.69281045751634</v>
      </c>
      <c r="L69" s="52" t="n">
        <f aca="false">IF(OR(K69="",J69=""),"",(J69-K69)*100)</f>
        <v>6.03888112222342</v>
      </c>
      <c r="M69" s="38"/>
    </row>
    <row r="70" customFormat="false" ht="15" hidden="false" customHeight="false" outlineLevel="0" collapsed="false">
      <c r="A70" s="38" t="s">
        <v>157</v>
      </c>
      <c r="B70" s="38" t="s">
        <v>159</v>
      </c>
      <c r="C70" s="38" t="s">
        <v>176</v>
      </c>
      <c r="D70" s="21" t="n">
        <v>349</v>
      </c>
      <c r="E70" s="21" t="n">
        <v>330</v>
      </c>
      <c r="F70" s="51" t="n">
        <f aca="false">IF(E70="","",D70-E70)</f>
        <v>19</v>
      </c>
      <c r="G70" s="21" t="n">
        <v>140</v>
      </c>
      <c r="H70" s="21" t="n">
        <v>195</v>
      </c>
      <c r="I70" s="51" t="n">
        <f aca="false">IF(H70="","",G70-H70)</f>
        <v>-55</v>
      </c>
      <c r="J70" s="39" t="n">
        <f aca="false">IF(OR(D70="",D70+G70=0),"",D70/(D70+G70))</f>
        <v>0.713701431492843</v>
      </c>
      <c r="K70" s="39" t="n">
        <f aca="false">IF(E70="","",E70/(E70+H70))</f>
        <v>0.628571428571429</v>
      </c>
      <c r="L70" s="52" t="n">
        <f aca="false">IF(OR(K70="",J70=""),"",(J70-K70)*100)</f>
        <v>8.51300029214139</v>
      </c>
      <c r="M70" s="38"/>
    </row>
    <row r="71" customFormat="false" ht="15" hidden="false" customHeight="false" outlineLevel="0" collapsed="false">
      <c r="A71" s="38" t="s">
        <v>157</v>
      </c>
      <c r="B71" s="38" t="s">
        <v>159</v>
      </c>
      <c r="C71" s="38" t="s">
        <v>177</v>
      </c>
      <c r="D71" s="21" t="n">
        <v>441</v>
      </c>
      <c r="E71" s="21" t="n">
        <v>441</v>
      </c>
      <c r="F71" s="51" t="n">
        <f aca="false">IF(E71="","",D71-E71)</f>
        <v>0</v>
      </c>
      <c r="G71" s="21" t="n">
        <v>200</v>
      </c>
      <c r="H71" s="21" t="n">
        <v>232</v>
      </c>
      <c r="I71" s="51" t="n">
        <f aca="false">IF(H71="","",G71-H71)</f>
        <v>-32</v>
      </c>
      <c r="J71" s="39" t="n">
        <f aca="false">IF(OR(D71="",D71+G71=0),"",D71/(D71+G71))</f>
        <v>0.68798751950078</v>
      </c>
      <c r="K71" s="39" t="n">
        <f aca="false">IF(E71="","",E71/(E71+H71))</f>
        <v>0.655274888558692</v>
      </c>
      <c r="L71" s="52" t="n">
        <f aca="false">IF(OR(K71="",J71=""),"",(J71-K71)*100)</f>
        <v>3.27126309420877</v>
      </c>
      <c r="M71" s="38"/>
    </row>
    <row r="72" customFormat="false" ht="15" hidden="false" customHeight="false" outlineLevel="0" collapsed="false">
      <c r="A72" s="38" t="s">
        <v>157</v>
      </c>
      <c r="B72" s="38" t="s">
        <v>159</v>
      </c>
      <c r="C72" s="38" t="s">
        <v>178</v>
      </c>
      <c r="D72" s="21" t="n">
        <v>285</v>
      </c>
      <c r="E72" s="21" t="n">
        <v>313</v>
      </c>
      <c r="F72" s="51" t="n">
        <f aca="false">IF(E72="","",D72-E72)</f>
        <v>-28</v>
      </c>
      <c r="G72" s="21" t="n">
        <v>113</v>
      </c>
      <c r="H72" s="21" t="n">
        <v>155</v>
      </c>
      <c r="I72" s="51" t="n">
        <f aca="false">IF(H72="","",G72-H72)</f>
        <v>-42</v>
      </c>
      <c r="J72" s="39" t="n">
        <f aca="false">IF(OR(D72="",D72+G72=0),"",D72/(D72+G72))</f>
        <v>0.71608040201005</v>
      </c>
      <c r="K72" s="39" t="n">
        <f aca="false">IF(E72="","",E72/(E72+H72))</f>
        <v>0.668803418803419</v>
      </c>
      <c r="L72" s="52" t="n">
        <f aca="false">IF(OR(K72="",J72=""),"",(J72-K72)*100)</f>
        <v>4.72769832066315</v>
      </c>
      <c r="M72" s="38"/>
    </row>
    <row r="73" customFormat="false" ht="15" hidden="false" customHeight="false" outlineLevel="0" collapsed="false">
      <c r="A73" s="38" t="s">
        <v>157</v>
      </c>
      <c r="B73" s="38" t="s">
        <v>159</v>
      </c>
      <c r="C73" s="38" t="s">
        <v>179</v>
      </c>
      <c r="D73" s="21" t="n">
        <v>649</v>
      </c>
      <c r="E73" s="21" t="n">
        <v>658</v>
      </c>
      <c r="F73" s="51" t="n">
        <f aca="false">IF(E73="","",D73-E73)</f>
        <v>-9</v>
      </c>
      <c r="G73" s="21" t="n">
        <v>337</v>
      </c>
      <c r="H73" s="21" t="n">
        <v>375</v>
      </c>
      <c r="I73" s="51" t="n">
        <f aca="false">IF(H73="","",G73-H73)</f>
        <v>-38</v>
      </c>
      <c r="J73" s="39" t="n">
        <f aca="false">IF(OR(D73="",D73+G73=0),"",D73/(D73+G73))</f>
        <v>0.658215010141988</v>
      </c>
      <c r="K73" s="39" t="n">
        <f aca="false">IF(E73="","",E73/(E73+H73))</f>
        <v>0.636979670861568</v>
      </c>
      <c r="L73" s="52" t="n">
        <f aca="false">IF(OR(K73="",J73=""),"",(J73-K73)*100)</f>
        <v>2.12353392804195</v>
      </c>
      <c r="M73" s="38"/>
    </row>
    <row r="74" customFormat="false" ht="15" hidden="false" customHeight="false" outlineLevel="0" collapsed="false">
      <c r="A74" s="38" t="s">
        <v>157</v>
      </c>
      <c r="B74" s="38" t="s">
        <v>159</v>
      </c>
      <c r="C74" s="38" t="s">
        <v>180</v>
      </c>
      <c r="D74" s="21" t="n">
        <v>752</v>
      </c>
      <c r="E74" s="21" t="n">
        <v>693</v>
      </c>
      <c r="F74" s="51" t="n">
        <f aca="false">IF(E74="","",D74-E74)</f>
        <v>59</v>
      </c>
      <c r="G74" s="21" t="n">
        <v>306</v>
      </c>
      <c r="H74" s="21" t="n">
        <v>389</v>
      </c>
      <c r="I74" s="51" t="n">
        <f aca="false">IF(H74="","",G74-H74)</f>
        <v>-83</v>
      </c>
      <c r="J74" s="39" t="n">
        <f aca="false">IF(OR(D74="",D74+G74=0),"",D74/(D74+G74))</f>
        <v>0.710775047258979</v>
      </c>
      <c r="K74" s="39" t="n">
        <f aca="false">IF(E74="","",E74/(E74+H74))</f>
        <v>0.640480591497227</v>
      </c>
      <c r="L74" s="52" t="n">
        <f aca="false">IF(OR(K74="",J74=""),"",(J74-K74)*100)</f>
        <v>7.02944557617519</v>
      </c>
      <c r="M74" s="38"/>
    </row>
    <row r="75" customFormat="false" ht="15" hidden="false" customHeight="false" outlineLevel="0" collapsed="false">
      <c r="A75" s="38" t="s">
        <v>157</v>
      </c>
      <c r="B75" s="38" t="s">
        <v>159</v>
      </c>
      <c r="C75" s="38" t="s">
        <v>181</v>
      </c>
      <c r="D75" s="21" t="n">
        <v>489</v>
      </c>
      <c r="E75" s="21" t="n">
        <v>446</v>
      </c>
      <c r="F75" s="51" t="n">
        <f aca="false">IF(E75="","",D75-E75)</f>
        <v>43</v>
      </c>
      <c r="G75" s="21" t="n">
        <v>310</v>
      </c>
      <c r="H75" s="21" t="n">
        <v>382</v>
      </c>
      <c r="I75" s="51" t="n">
        <f aca="false">IF(H75="","",G75-H75)</f>
        <v>-72</v>
      </c>
      <c r="J75" s="39" t="n">
        <f aca="false">IF(OR(D75="",D75+G75=0),"",D75/(D75+G75))</f>
        <v>0.612015018773467</v>
      </c>
      <c r="K75" s="39" t="n">
        <f aca="false">IF(E75="","",E75/(E75+H75))</f>
        <v>0.538647342995169</v>
      </c>
      <c r="L75" s="52" t="n">
        <f aca="false">IF(OR(K75="",J75=""),"",(J75-K75)*100)</f>
        <v>7.33676757782978</v>
      </c>
      <c r="M75" s="38"/>
    </row>
    <row r="76" customFormat="false" ht="15" hidden="false" customHeight="false" outlineLevel="0" collapsed="false">
      <c r="A76" s="38" t="s">
        <v>157</v>
      </c>
      <c r="B76" s="38" t="s">
        <v>159</v>
      </c>
      <c r="C76" s="38" t="s">
        <v>182</v>
      </c>
      <c r="D76" s="21" t="n">
        <v>625</v>
      </c>
      <c r="E76" s="21" t="n">
        <v>627</v>
      </c>
      <c r="F76" s="51" t="n">
        <f aca="false">IF(E76="","",D76-E76)</f>
        <v>-2</v>
      </c>
      <c r="G76" s="21" t="n">
        <v>344</v>
      </c>
      <c r="H76" s="21" t="n">
        <v>389</v>
      </c>
      <c r="I76" s="51" t="n">
        <f aca="false">IF(H76="","",G76-H76)</f>
        <v>-45</v>
      </c>
      <c r="J76" s="39" t="n">
        <f aca="false">IF(OR(D76="",D76+G76=0),"",D76/(D76+G76))</f>
        <v>0.64499484004128</v>
      </c>
      <c r="K76" s="39" t="n">
        <f aca="false">IF(E76="","",E76/(E76+H76))</f>
        <v>0.617125984251969</v>
      </c>
      <c r="L76" s="52" t="n">
        <f aca="false">IF(OR(K76="",J76=""),"",(J76-K76)*100)</f>
        <v>2.78688557893112</v>
      </c>
      <c r="M76" s="38"/>
    </row>
    <row r="77" customFormat="false" ht="15" hidden="false" customHeight="false" outlineLevel="0" collapsed="false">
      <c r="A77" s="38" t="s">
        <v>157</v>
      </c>
      <c r="B77" s="38" t="s">
        <v>159</v>
      </c>
      <c r="C77" s="38" t="s">
        <v>183</v>
      </c>
      <c r="D77" s="21" t="n">
        <v>648</v>
      </c>
      <c r="E77" s="21" t="n">
        <v>645</v>
      </c>
      <c r="F77" s="51" t="n">
        <f aca="false">IF(E77="","",D77-E77)</f>
        <v>3</v>
      </c>
      <c r="G77" s="21" t="n">
        <v>360</v>
      </c>
      <c r="H77" s="21" t="n">
        <v>418</v>
      </c>
      <c r="I77" s="51" t="n">
        <f aca="false">IF(H77="","",G77-H77)</f>
        <v>-58</v>
      </c>
      <c r="J77" s="39" t="n">
        <f aca="false">IF(OR(D77="",D77+G77=0),"",D77/(D77+G77))</f>
        <v>0.642857142857143</v>
      </c>
      <c r="K77" s="39" t="n">
        <f aca="false">IF(E77="","",E77/(E77+H77))</f>
        <v>0.606773283160865</v>
      </c>
      <c r="L77" s="52" t="n">
        <f aca="false">IF(OR(K77="",J77=""),"",(J77-K77)*100)</f>
        <v>3.60838596962775</v>
      </c>
      <c r="M77" s="38"/>
    </row>
    <row r="78" customFormat="false" ht="15" hidden="false" customHeight="false" outlineLevel="0" collapsed="false">
      <c r="A78" s="38" t="s">
        <v>157</v>
      </c>
      <c r="B78" s="38" t="s">
        <v>159</v>
      </c>
      <c r="C78" s="38" t="s">
        <v>184</v>
      </c>
      <c r="D78" s="21" t="n">
        <v>478</v>
      </c>
      <c r="E78" s="21" t="n">
        <v>452</v>
      </c>
      <c r="F78" s="51" t="n">
        <f aca="false">IF(E78="","",D78-E78)</f>
        <v>26</v>
      </c>
      <c r="G78" s="21" t="n">
        <v>272</v>
      </c>
      <c r="H78" s="21" t="n">
        <v>341</v>
      </c>
      <c r="I78" s="51" t="n">
        <f aca="false">IF(H78="","",G78-H78)</f>
        <v>-69</v>
      </c>
      <c r="J78" s="39" t="n">
        <f aca="false">IF(OR(D78="",D78+G78=0),"",D78/(D78+G78))</f>
        <v>0.637333333333333</v>
      </c>
      <c r="K78" s="39" t="n">
        <f aca="false">IF(E78="","",E78/(E78+H78))</f>
        <v>0.569987389659521</v>
      </c>
      <c r="L78" s="52" t="n">
        <f aca="false">IF(OR(K78="",J78=""),"",(J78-K78)*100)</f>
        <v>6.73459436738125</v>
      </c>
      <c r="M78" s="38"/>
    </row>
    <row r="79" customFormat="false" ht="15" hidden="false" customHeight="false" outlineLevel="0" collapsed="false">
      <c r="A79" s="38" t="s">
        <v>157</v>
      </c>
      <c r="B79" s="38" t="s">
        <v>159</v>
      </c>
      <c r="C79" s="38" t="s">
        <v>185</v>
      </c>
      <c r="D79" s="21" t="n">
        <v>550</v>
      </c>
      <c r="E79" s="21" t="n">
        <v>541</v>
      </c>
      <c r="F79" s="51" t="n">
        <f aca="false">IF(E79="","",D79-E79)</f>
        <v>9</v>
      </c>
      <c r="G79" s="21" t="n">
        <v>304</v>
      </c>
      <c r="H79" s="21" t="n">
        <v>325</v>
      </c>
      <c r="I79" s="51" t="n">
        <f aca="false">IF(H79="","",G79-H79)</f>
        <v>-21</v>
      </c>
      <c r="J79" s="39" t="n">
        <f aca="false">IF(OR(D79="",D79+G79=0),"",D79/(D79+G79))</f>
        <v>0.644028103044497</v>
      </c>
      <c r="K79" s="39" t="n">
        <f aca="false">IF(E79="","",E79/(E79+H79))</f>
        <v>0.624711316397229</v>
      </c>
      <c r="L79" s="52" t="n">
        <f aca="false">IF(OR(K79="",J79=""),"",(J79-K79)*100)</f>
        <v>1.93167866472679</v>
      </c>
      <c r="M79" s="38"/>
    </row>
    <row r="80" customFormat="false" ht="15" hidden="false" customHeight="false" outlineLevel="0" collapsed="false">
      <c r="A80" s="38" t="s">
        <v>157</v>
      </c>
      <c r="B80" s="38" t="s">
        <v>159</v>
      </c>
      <c r="C80" s="38" t="s">
        <v>186</v>
      </c>
      <c r="D80" s="21" t="n">
        <v>769</v>
      </c>
      <c r="E80" s="21" t="n">
        <v>783</v>
      </c>
      <c r="F80" s="51" t="n">
        <f aca="false">IF(E80="","",D80-E80)</f>
        <v>-14</v>
      </c>
      <c r="G80" s="21" t="n">
        <v>460</v>
      </c>
      <c r="H80" s="21" t="n">
        <v>562</v>
      </c>
      <c r="I80" s="51" t="n">
        <f aca="false">IF(H80="","",G80-H80)</f>
        <v>-102</v>
      </c>
      <c r="J80" s="39" t="n">
        <f aca="false">IF(OR(D80="",D80+G80=0),"",D80/(D80+G80))</f>
        <v>0.625711960943857</v>
      </c>
      <c r="K80" s="39" t="n">
        <f aca="false">IF(E80="","",E80/(E80+H80))</f>
        <v>0.582156133828996</v>
      </c>
      <c r="L80" s="52" t="n">
        <f aca="false">IF(OR(K80="",J80=""),"",(J80-K80)*100)</f>
        <v>4.35558271148605</v>
      </c>
      <c r="M80" s="38"/>
    </row>
    <row r="81" customFormat="false" ht="15" hidden="false" customHeight="false" outlineLevel="0" collapsed="false">
      <c r="A81" s="38" t="s">
        <v>157</v>
      </c>
      <c r="B81" s="38" t="s">
        <v>159</v>
      </c>
      <c r="C81" s="38" t="s">
        <v>187</v>
      </c>
      <c r="D81" s="21" t="n">
        <v>472</v>
      </c>
      <c r="E81" s="21" t="n">
        <v>454</v>
      </c>
      <c r="F81" s="51" t="n">
        <f aca="false">IF(E81="","",D81-E81)</f>
        <v>18</v>
      </c>
      <c r="G81" s="21" t="n">
        <v>200</v>
      </c>
      <c r="H81" s="21" t="n">
        <v>218</v>
      </c>
      <c r="I81" s="51" t="n">
        <f aca="false">IF(H81="","",G81-H81)</f>
        <v>-18</v>
      </c>
      <c r="J81" s="39" t="n">
        <f aca="false">IF(OR(D81="",D81+G81=0),"",D81/(D81+G81))</f>
        <v>0.702380952380952</v>
      </c>
      <c r="K81" s="39" t="n">
        <f aca="false">IF(E81="","",E81/(E81+H81))</f>
        <v>0.675595238095238</v>
      </c>
      <c r="L81" s="52" t="n">
        <f aca="false">IF(OR(K81="",J81=""),"",(J81-K81)*100)</f>
        <v>2.67857142857142</v>
      </c>
      <c r="M81" s="38"/>
    </row>
    <row r="82" customFormat="false" ht="15" hidden="false" customHeight="false" outlineLevel="0" collapsed="false">
      <c r="A82" s="38" t="s">
        <v>157</v>
      </c>
      <c r="B82" s="38" t="s">
        <v>159</v>
      </c>
      <c r="C82" s="38" t="s">
        <v>188</v>
      </c>
      <c r="D82" s="21" t="n">
        <v>504</v>
      </c>
      <c r="E82" s="21" t="n">
        <v>502</v>
      </c>
      <c r="F82" s="51" t="n">
        <f aca="false">IF(E82="","",D82-E82)</f>
        <v>2</v>
      </c>
      <c r="G82" s="21" t="n">
        <v>273</v>
      </c>
      <c r="H82" s="21" t="n">
        <v>274</v>
      </c>
      <c r="I82" s="51" t="n">
        <f aca="false">IF(H82="","",G82-H82)</f>
        <v>-1</v>
      </c>
      <c r="J82" s="39" t="n">
        <f aca="false">IF(OR(D82="",D82+G82=0),"",D82/(D82+G82))</f>
        <v>0.648648648648649</v>
      </c>
      <c r="K82" s="39" t="n">
        <f aca="false">IF(E82="","",E82/(E82+H82))</f>
        <v>0.646907216494845</v>
      </c>
      <c r="L82" s="52" t="n">
        <f aca="false">IF(OR(K82="",J82=""),"",(J82-K82)*100)</f>
        <v>0.174143215380329</v>
      </c>
      <c r="M82" s="38"/>
    </row>
    <row r="83" customFormat="false" ht="15" hidden="false" customHeight="false" outlineLevel="0" collapsed="false">
      <c r="A83" s="38" t="s">
        <v>157</v>
      </c>
      <c r="B83" s="38" t="s">
        <v>159</v>
      </c>
      <c r="C83" s="38" t="s">
        <v>189</v>
      </c>
      <c r="D83" s="21" t="n">
        <v>530</v>
      </c>
      <c r="E83" s="21" t="n">
        <v>502</v>
      </c>
      <c r="F83" s="51" t="n">
        <f aca="false">IF(E83="","",D83-E83)</f>
        <v>28</v>
      </c>
      <c r="G83" s="21" t="n">
        <v>308</v>
      </c>
      <c r="H83" s="21" t="n">
        <v>283</v>
      </c>
      <c r="I83" s="51" t="n">
        <f aca="false">IF(H83="","",G83-H83)</f>
        <v>25</v>
      </c>
      <c r="J83" s="39" t="n">
        <f aca="false">IF(OR(D83="",D83+G83=0),"",D83/(D83+G83))</f>
        <v>0.632458233890215</v>
      </c>
      <c r="K83" s="39" t="n">
        <f aca="false">IF(E83="","",E83/(E83+H83))</f>
        <v>0.639490445859873</v>
      </c>
      <c r="L83" s="52" t="n">
        <f aca="false">IF(OR(K83="",J83=""),"",(J83-K83)*100)</f>
        <v>-0.703221196965775</v>
      </c>
      <c r="M83" s="38"/>
    </row>
    <row r="84" customFormat="false" ht="15" hidden="false" customHeight="false" outlineLevel="0" collapsed="false">
      <c r="A84" s="38" t="s">
        <v>157</v>
      </c>
      <c r="B84" s="38" t="s">
        <v>159</v>
      </c>
      <c r="C84" s="38" t="s">
        <v>190</v>
      </c>
      <c r="D84" s="21" t="n">
        <v>379</v>
      </c>
      <c r="E84" s="21"/>
      <c r="F84" s="51" t="str">
        <f aca="false">IF(E84="","",D84-E84)</f>
        <v/>
      </c>
      <c r="G84" s="21" t="n">
        <v>255</v>
      </c>
      <c r="H84" s="21"/>
      <c r="I84" s="51" t="str">
        <f aca="false">IF(H84="","",G84-H84)</f>
        <v/>
      </c>
      <c r="J84" s="39" t="n">
        <f aca="false">IF(OR(D84="",D84+G84=0),"",D84/(D84+G84))</f>
        <v>0.597791798107256</v>
      </c>
      <c r="K84" s="39" t="str">
        <f aca="false">IF(E84="","",E84/(E84+H84))</f>
        <v/>
      </c>
      <c r="L84" s="52" t="str">
        <f aca="false">IF(OR(K84="",J84=""),"",(J84-K84)*100)</f>
        <v/>
      </c>
      <c r="M84" s="38" t="s">
        <v>691</v>
      </c>
    </row>
    <row r="85" customFormat="false" ht="15" hidden="false" customHeight="false" outlineLevel="0" collapsed="false">
      <c r="A85" s="38" t="s">
        <v>157</v>
      </c>
      <c r="B85" s="38" t="s">
        <v>159</v>
      </c>
      <c r="C85" s="38" t="s">
        <v>192</v>
      </c>
      <c r="D85" s="21" t="n">
        <v>958</v>
      </c>
      <c r="E85" s="21"/>
      <c r="F85" s="51" t="str">
        <f aca="false">IF(E85="","",D85-E85)</f>
        <v/>
      </c>
      <c r="G85" s="21" t="n">
        <v>653</v>
      </c>
      <c r="H85" s="21"/>
      <c r="I85" s="51" t="str">
        <f aca="false">IF(H85="","",G85-H85)</f>
        <v/>
      </c>
      <c r="J85" s="39" t="n">
        <f aca="false">IF(OR(D85="",D85+G85=0),"",D85/(D85+G85))</f>
        <v>0.594661700806952</v>
      </c>
      <c r="K85" s="39" t="str">
        <f aca="false">IF(E85="","",E85/(E85+H85))</f>
        <v/>
      </c>
      <c r="L85" s="52" t="str">
        <f aca="false">IF(OR(K85="",J85=""),"",(J85-K85)*100)</f>
        <v/>
      </c>
      <c r="M85" s="38" t="s">
        <v>691</v>
      </c>
    </row>
    <row r="86" customFormat="false" ht="15" hidden="false" customHeight="false" outlineLevel="0" collapsed="false">
      <c r="A86" s="38" t="s">
        <v>157</v>
      </c>
      <c r="B86" s="38" t="s">
        <v>159</v>
      </c>
      <c r="C86" s="38" t="s">
        <v>193</v>
      </c>
      <c r="D86" s="21" t="n">
        <v>516</v>
      </c>
      <c r="E86" s="21" t="n">
        <v>488</v>
      </c>
      <c r="F86" s="51" t="n">
        <f aca="false">IF(E86="","",D86-E86)</f>
        <v>28</v>
      </c>
      <c r="G86" s="21" t="n">
        <v>230</v>
      </c>
      <c r="H86" s="21" t="n">
        <v>252</v>
      </c>
      <c r="I86" s="51" t="n">
        <f aca="false">IF(H86="","",G86-H86)</f>
        <v>-22</v>
      </c>
      <c r="J86" s="39" t="n">
        <f aca="false">IF(OR(D86="",D86+G86=0),"",D86/(D86+G86))</f>
        <v>0.691689008042896</v>
      </c>
      <c r="K86" s="39" t="n">
        <f aca="false">IF(E86="","",E86/(E86+H86))</f>
        <v>0.65945945945946</v>
      </c>
      <c r="L86" s="52" t="n">
        <f aca="false">IF(OR(K86="",J86=""),"",(J86-K86)*100)</f>
        <v>3.2229548583436</v>
      </c>
      <c r="M86" s="38"/>
    </row>
    <row r="87" customFormat="false" ht="15" hidden="false" customHeight="false" outlineLevel="0" collapsed="false">
      <c r="A87" s="38" t="s">
        <v>157</v>
      </c>
      <c r="B87" s="38" t="s">
        <v>159</v>
      </c>
      <c r="C87" s="38" t="s">
        <v>194</v>
      </c>
      <c r="D87" s="21" t="n">
        <v>648</v>
      </c>
      <c r="E87" s="21" t="n">
        <v>601</v>
      </c>
      <c r="F87" s="51" t="n">
        <f aca="false">IF(E87="","",D87-E87)</f>
        <v>47</v>
      </c>
      <c r="G87" s="21" t="n">
        <v>388</v>
      </c>
      <c r="H87" s="21" t="n">
        <v>394</v>
      </c>
      <c r="I87" s="51" t="n">
        <f aca="false">IF(H87="","",G87-H87)</f>
        <v>-6</v>
      </c>
      <c r="J87" s="39" t="n">
        <f aca="false">IF(OR(D87="",D87+G87=0),"",D87/(D87+G87))</f>
        <v>0.625482625482626</v>
      </c>
      <c r="K87" s="39" t="n">
        <f aca="false">IF(E87="","",E87/(E87+H87))</f>
        <v>0.604020100502513</v>
      </c>
      <c r="L87" s="52" t="n">
        <f aca="false">IF(OR(K87="",J87=""),"",(J87-K87)*100)</f>
        <v>2.14625249801129</v>
      </c>
      <c r="M87" s="38"/>
    </row>
    <row r="88" customFormat="false" ht="15" hidden="false" customHeight="false" outlineLevel="0" collapsed="false">
      <c r="A88" s="38" t="s">
        <v>157</v>
      </c>
      <c r="B88" s="38" t="s">
        <v>159</v>
      </c>
      <c r="C88" s="38" t="s">
        <v>195</v>
      </c>
      <c r="D88" s="21" t="n">
        <v>18</v>
      </c>
      <c r="E88" s="21"/>
      <c r="F88" s="51" t="str">
        <f aca="false">IF(E88="","",D88-E88)</f>
        <v/>
      </c>
      <c r="G88" s="21" t="n">
        <v>13</v>
      </c>
      <c r="H88" s="21"/>
      <c r="I88" s="51" t="str">
        <f aca="false">IF(H88="","",G88-H88)</f>
        <v/>
      </c>
      <c r="J88" s="39" t="n">
        <f aca="false">IF(OR(D88="",D88+G88=0),"",D88/(D88+G88))</f>
        <v>0.580645161290323</v>
      </c>
      <c r="K88" s="39" t="str">
        <f aca="false">IF(E88="","",E88/(E88+H88))</f>
        <v/>
      </c>
      <c r="L88" s="52" t="str">
        <f aca="false">IF(OR(K88="",J88=""),"",(J88-K88)*100)</f>
        <v/>
      </c>
      <c r="M88" s="38" t="s">
        <v>691</v>
      </c>
    </row>
    <row r="89" customFormat="false" ht="15" hidden="false" customHeight="false" outlineLevel="0" collapsed="false">
      <c r="A89" s="38" t="s">
        <v>157</v>
      </c>
      <c r="B89" s="38" t="s">
        <v>159</v>
      </c>
      <c r="C89" s="38" t="s">
        <v>196</v>
      </c>
      <c r="D89" s="21" t="n">
        <v>344</v>
      </c>
      <c r="E89" s="21" t="n">
        <v>330</v>
      </c>
      <c r="F89" s="51" t="n">
        <f aca="false">IF(E89="","",D89-E89)</f>
        <v>14</v>
      </c>
      <c r="G89" s="21" t="n">
        <v>237</v>
      </c>
      <c r="H89" s="21" t="n">
        <v>270</v>
      </c>
      <c r="I89" s="51" t="n">
        <f aca="false">IF(H89="","",G89-H89)</f>
        <v>-33</v>
      </c>
      <c r="J89" s="39" t="n">
        <f aca="false">IF(OR(D89="",D89+G89=0),"",D89/(D89+G89))</f>
        <v>0.592082616179002</v>
      </c>
      <c r="K89" s="39" t="n">
        <f aca="false">IF(E89="","",E89/(E89+H89))</f>
        <v>0.55</v>
      </c>
      <c r="L89" s="52" t="n">
        <f aca="false">IF(OR(K89="",J89=""),"",(J89-K89)*100)</f>
        <v>4.20826161790017</v>
      </c>
      <c r="M89" s="38"/>
    </row>
    <row r="90" customFormat="false" ht="15" hidden="false" customHeight="false" outlineLevel="0" collapsed="false">
      <c r="A90" s="38" t="s">
        <v>157</v>
      </c>
      <c r="B90" s="38" t="s">
        <v>159</v>
      </c>
      <c r="C90" s="38" t="s">
        <v>197</v>
      </c>
      <c r="D90" s="21" t="n">
        <v>588</v>
      </c>
      <c r="E90" s="21" t="n">
        <v>591</v>
      </c>
      <c r="F90" s="51" t="n">
        <f aca="false">IF(E90="","",D90-E90)</f>
        <v>-3</v>
      </c>
      <c r="G90" s="21" t="n">
        <v>240</v>
      </c>
      <c r="H90" s="21" t="n">
        <v>333</v>
      </c>
      <c r="I90" s="51" t="n">
        <f aca="false">IF(H90="","",G90-H90)</f>
        <v>-93</v>
      </c>
      <c r="J90" s="39" t="n">
        <f aca="false">IF(OR(D90="",D90+G90=0),"",D90/(D90+G90))</f>
        <v>0.710144927536232</v>
      </c>
      <c r="K90" s="39" t="n">
        <f aca="false">IF(E90="","",E90/(E90+H90))</f>
        <v>0.63961038961039</v>
      </c>
      <c r="L90" s="52" t="n">
        <f aca="false">IF(OR(K90="",J90=""),"",(J90-K90)*100)</f>
        <v>7.05345379258423</v>
      </c>
      <c r="M90" s="38"/>
    </row>
    <row r="91" customFormat="false" ht="15" hidden="false" customHeight="false" outlineLevel="0" collapsed="false">
      <c r="A91" s="38" t="s">
        <v>157</v>
      </c>
      <c r="B91" s="38" t="s">
        <v>159</v>
      </c>
      <c r="C91" s="38" t="s">
        <v>198</v>
      </c>
      <c r="D91" s="21" t="n">
        <v>351</v>
      </c>
      <c r="E91" s="21" t="n">
        <v>347</v>
      </c>
      <c r="F91" s="51" t="n">
        <f aca="false">IF(E91="","",D91-E91)</f>
        <v>4</v>
      </c>
      <c r="G91" s="21" t="n">
        <v>235</v>
      </c>
      <c r="H91" s="21" t="n">
        <v>243</v>
      </c>
      <c r="I91" s="51" t="n">
        <f aca="false">IF(H91="","",G91-H91)</f>
        <v>-8</v>
      </c>
      <c r="J91" s="39" t="n">
        <f aca="false">IF(OR(D91="",D91+G91=0),"",D91/(D91+G91))</f>
        <v>0.598976109215017</v>
      </c>
      <c r="K91" s="39" t="n">
        <f aca="false">IF(E91="","",E91/(E91+H91))</f>
        <v>0.588135593220339</v>
      </c>
      <c r="L91" s="52" t="n">
        <f aca="false">IF(OR(K91="",J91=""),"",(J91-K91)*100)</f>
        <v>1.08405159946781</v>
      </c>
      <c r="M91" s="38"/>
    </row>
    <row r="92" customFormat="false" ht="15" hidden="false" customHeight="false" outlineLevel="0" collapsed="false">
      <c r="A92" s="38" t="s">
        <v>157</v>
      </c>
      <c r="B92" s="38" t="s">
        <v>159</v>
      </c>
      <c r="C92" s="38" t="s">
        <v>199</v>
      </c>
      <c r="D92" s="21" t="n">
        <v>462</v>
      </c>
      <c r="E92" s="21" t="n">
        <v>440</v>
      </c>
      <c r="F92" s="51" t="n">
        <f aca="false">IF(E92="","",D92-E92)</f>
        <v>22</v>
      </c>
      <c r="G92" s="21" t="n">
        <v>197</v>
      </c>
      <c r="H92" s="21" t="n">
        <v>259</v>
      </c>
      <c r="I92" s="51" t="n">
        <f aca="false">IF(H92="","",G92-H92)</f>
        <v>-62</v>
      </c>
      <c r="J92" s="39" t="n">
        <f aca="false">IF(OR(D92="",D92+G92=0),"",D92/(D92+G92))</f>
        <v>0.701062215477997</v>
      </c>
      <c r="K92" s="39" t="n">
        <f aca="false">IF(E92="","",E92/(E92+H92))</f>
        <v>0.629470672389127</v>
      </c>
      <c r="L92" s="52" t="n">
        <f aca="false">IF(OR(K92="",J92=""),"",(J92-K92)*100)</f>
        <v>7.15915430888696</v>
      </c>
      <c r="M92" s="38"/>
    </row>
    <row r="93" customFormat="false" ht="15" hidden="false" customHeight="false" outlineLevel="0" collapsed="false">
      <c r="A93" s="38" t="s">
        <v>157</v>
      </c>
      <c r="B93" s="38" t="s">
        <v>159</v>
      </c>
      <c r="C93" s="38" t="s">
        <v>200</v>
      </c>
      <c r="D93" s="21" t="n">
        <v>567</v>
      </c>
      <c r="E93" s="21" t="n">
        <v>553</v>
      </c>
      <c r="F93" s="51" t="n">
        <f aca="false">IF(E93="","",D93-E93)</f>
        <v>14</v>
      </c>
      <c r="G93" s="21" t="n">
        <v>376</v>
      </c>
      <c r="H93" s="21" t="n">
        <v>367</v>
      </c>
      <c r="I93" s="51" t="n">
        <f aca="false">IF(H93="","",G93-H93)</f>
        <v>9</v>
      </c>
      <c r="J93" s="39" t="n">
        <f aca="false">IF(OR(D93="",D93+G93=0),"",D93/(D93+G93))</f>
        <v>0.601272534464475</v>
      </c>
      <c r="K93" s="39" t="n">
        <f aca="false">IF(E93="","",E93/(E93+H93))</f>
        <v>0.601086956521739</v>
      </c>
      <c r="L93" s="52" t="n">
        <f aca="false">IF(OR(K93="",J93=""),"",(J93-K93)*100)</f>
        <v>0.0185577942735882</v>
      </c>
      <c r="M93" s="38"/>
    </row>
    <row r="94" customFormat="false" ht="15" hidden="false" customHeight="false" outlineLevel="0" collapsed="false">
      <c r="A94" s="38" t="s">
        <v>157</v>
      </c>
      <c r="B94" s="38" t="s">
        <v>159</v>
      </c>
      <c r="C94" s="38" t="s">
        <v>201</v>
      </c>
      <c r="D94" s="21" t="n">
        <v>1</v>
      </c>
      <c r="E94" s="21"/>
      <c r="F94" s="51" t="str">
        <f aca="false">IF(E94="","",D94-E94)</f>
        <v/>
      </c>
      <c r="G94" s="21" t="n">
        <v>2</v>
      </c>
      <c r="H94" s="21"/>
      <c r="I94" s="51" t="str">
        <f aca="false">IF(H94="","",G94-H94)</f>
        <v/>
      </c>
      <c r="J94" s="39" t="n">
        <f aca="false">IF(OR(D94="",D94+G94=0),"",D94/(D94+G94))</f>
        <v>0.333333333333333</v>
      </c>
      <c r="K94" s="39" t="str">
        <f aca="false">IF(E94="","",E94/(E94+H94))</f>
        <v/>
      </c>
      <c r="L94" s="52" t="str">
        <f aca="false">IF(OR(K94="",J94=""),"",(J94-K94)*100)</f>
        <v/>
      </c>
      <c r="M94" s="38" t="s">
        <v>691</v>
      </c>
    </row>
    <row r="95" customFormat="false" ht="15" hidden="false" customHeight="false" outlineLevel="0" collapsed="false">
      <c r="A95" s="38" t="s">
        <v>157</v>
      </c>
      <c r="B95" s="38" t="s">
        <v>159</v>
      </c>
      <c r="C95" s="38" t="s">
        <v>202</v>
      </c>
      <c r="D95" s="21" t="n">
        <v>820</v>
      </c>
      <c r="E95" s="21" t="n">
        <v>821</v>
      </c>
      <c r="F95" s="51" t="n">
        <f aca="false">IF(E95="","",D95-E95)</f>
        <v>-1</v>
      </c>
      <c r="G95" s="21" t="n">
        <v>451</v>
      </c>
      <c r="H95" s="21" t="n">
        <v>504</v>
      </c>
      <c r="I95" s="51" t="n">
        <f aca="false">IF(H95="","",G95-H95)</f>
        <v>-53</v>
      </c>
      <c r="J95" s="39" t="n">
        <f aca="false">IF(OR(D95="",D95+G95=0),"",D95/(D95+G95))</f>
        <v>0.645161290322581</v>
      </c>
      <c r="K95" s="39" t="n">
        <f aca="false">IF(E95="","",E95/(E95+H95))</f>
        <v>0.619622641509434</v>
      </c>
      <c r="L95" s="52" t="n">
        <f aca="false">IF(OR(K95="",J95=""),"",(J95-K95)*100)</f>
        <v>2.55386488131467</v>
      </c>
      <c r="M95" s="38"/>
    </row>
    <row r="96" customFormat="false" ht="15" hidden="false" customHeight="false" outlineLevel="0" collapsed="false">
      <c r="A96" s="38" t="s">
        <v>157</v>
      </c>
      <c r="B96" s="38" t="s">
        <v>159</v>
      </c>
      <c r="C96" s="38" t="s">
        <v>203</v>
      </c>
      <c r="D96" s="21" t="n">
        <v>465</v>
      </c>
      <c r="E96" s="21" t="n">
        <v>487</v>
      </c>
      <c r="F96" s="51" t="n">
        <f aca="false">IF(E96="","",D96-E96)</f>
        <v>-22</v>
      </c>
      <c r="G96" s="21" t="n">
        <v>126</v>
      </c>
      <c r="H96" s="21" t="n">
        <v>191</v>
      </c>
      <c r="I96" s="51" t="n">
        <f aca="false">IF(H96="","",G96-H96)</f>
        <v>-65</v>
      </c>
      <c r="J96" s="39" t="n">
        <f aca="false">IF(OR(D96="",D96+G96=0),"",D96/(D96+G96))</f>
        <v>0.786802030456853</v>
      </c>
      <c r="K96" s="39" t="n">
        <f aca="false">IF(E96="","",E96/(E96+H96))</f>
        <v>0.718289085545723</v>
      </c>
      <c r="L96" s="52" t="n">
        <f aca="false">IF(OR(K96="",J96=""),"",(J96-K96)*100)</f>
        <v>6.85129449111301</v>
      </c>
      <c r="M96" s="38"/>
    </row>
    <row r="97" customFormat="false" ht="15" hidden="false" customHeight="false" outlineLevel="0" collapsed="false">
      <c r="A97" s="38" t="s">
        <v>157</v>
      </c>
      <c r="B97" s="38" t="s">
        <v>159</v>
      </c>
      <c r="C97" s="38" t="s">
        <v>204</v>
      </c>
      <c r="D97" s="21" t="n">
        <v>448</v>
      </c>
      <c r="E97" s="21" t="n">
        <v>418</v>
      </c>
      <c r="F97" s="51" t="n">
        <f aca="false">IF(E97="","",D97-E97)</f>
        <v>30</v>
      </c>
      <c r="G97" s="21" t="n">
        <v>135</v>
      </c>
      <c r="H97" s="21" t="n">
        <v>181</v>
      </c>
      <c r="I97" s="51" t="n">
        <f aca="false">IF(H97="","",G97-H97)</f>
        <v>-46</v>
      </c>
      <c r="J97" s="39" t="n">
        <f aca="false">IF(OR(D97="",D97+G97=0),"",D97/(D97+G97))</f>
        <v>0.76843910806175</v>
      </c>
      <c r="K97" s="39" t="n">
        <f aca="false">IF(E97="","",E97/(E97+H97))</f>
        <v>0.697829716193656</v>
      </c>
      <c r="L97" s="52" t="n">
        <f aca="false">IF(OR(K97="",J97=""),"",(J97-K97)*100)</f>
        <v>7.06093918680935</v>
      </c>
      <c r="M97" s="38"/>
    </row>
    <row r="98" customFormat="false" ht="15" hidden="false" customHeight="false" outlineLevel="0" collapsed="false">
      <c r="A98" s="38" t="s">
        <v>157</v>
      </c>
      <c r="B98" s="38" t="s">
        <v>159</v>
      </c>
      <c r="C98" s="38" t="s">
        <v>205</v>
      </c>
      <c r="D98" s="21" t="n">
        <v>527</v>
      </c>
      <c r="E98" s="21" t="n">
        <v>677</v>
      </c>
      <c r="F98" s="51" t="n">
        <f aca="false">IF(E98="","",D98-E98)</f>
        <v>-150</v>
      </c>
      <c r="G98" s="21" t="n">
        <v>148</v>
      </c>
      <c r="H98" s="21" t="n">
        <v>264</v>
      </c>
      <c r="I98" s="51" t="n">
        <f aca="false">IF(H98="","",G98-H98)</f>
        <v>-116</v>
      </c>
      <c r="J98" s="39" t="n">
        <f aca="false">IF(OR(D98="",D98+G98=0),"",D98/(D98+G98))</f>
        <v>0.780740740740741</v>
      </c>
      <c r="K98" s="39" t="n">
        <f aca="false">IF(E98="","",E98/(E98+H98))</f>
        <v>0.719447396386823</v>
      </c>
      <c r="L98" s="52" t="n">
        <f aca="false">IF(OR(K98="",J98=""),"",(J98-K98)*100)</f>
        <v>6.12933443539182</v>
      </c>
      <c r="M98" s="38"/>
    </row>
    <row r="99" customFormat="false" ht="15" hidden="false" customHeight="false" outlineLevel="0" collapsed="false">
      <c r="A99" s="38" t="s">
        <v>157</v>
      </c>
      <c r="B99" s="38" t="s">
        <v>159</v>
      </c>
      <c r="C99" s="38" t="s">
        <v>206</v>
      </c>
      <c r="D99" s="21" t="n">
        <v>277</v>
      </c>
      <c r="E99" s="21" t="n">
        <v>283</v>
      </c>
      <c r="F99" s="51" t="n">
        <f aca="false">IF(E99="","",D99-E99)</f>
        <v>-6</v>
      </c>
      <c r="G99" s="21" t="n">
        <v>93</v>
      </c>
      <c r="H99" s="21" t="n">
        <v>138</v>
      </c>
      <c r="I99" s="51" t="n">
        <f aca="false">IF(H99="","",G99-H99)</f>
        <v>-45</v>
      </c>
      <c r="J99" s="39" t="n">
        <f aca="false">IF(OR(D99="",D99+G99=0),"",D99/(D99+G99))</f>
        <v>0.748648648648649</v>
      </c>
      <c r="K99" s="39" t="n">
        <f aca="false">IF(E99="","",E99/(E99+H99))</f>
        <v>0.672209026128266</v>
      </c>
      <c r="L99" s="52" t="n">
        <f aca="false">IF(OR(K99="",J99=""),"",(J99-K99)*100)</f>
        <v>7.64396225203826</v>
      </c>
      <c r="M99" s="38"/>
    </row>
    <row r="100" customFormat="false" ht="15" hidden="false" customHeight="false" outlineLevel="0" collapsed="false">
      <c r="A100" s="38" t="s">
        <v>157</v>
      </c>
      <c r="B100" s="38" t="s">
        <v>159</v>
      </c>
      <c r="C100" s="38" t="s">
        <v>207</v>
      </c>
      <c r="D100" s="21" t="n">
        <v>411</v>
      </c>
      <c r="E100" s="21" t="n">
        <v>447</v>
      </c>
      <c r="F100" s="51" t="n">
        <f aca="false">IF(E100="","",D100-E100)</f>
        <v>-36</v>
      </c>
      <c r="G100" s="21" t="n">
        <v>111</v>
      </c>
      <c r="H100" s="21" t="n">
        <v>152</v>
      </c>
      <c r="I100" s="51" t="n">
        <f aca="false">IF(H100="","",G100-H100)</f>
        <v>-41</v>
      </c>
      <c r="J100" s="39" t="n">
        <f aca="false">IF(OR(D100="",D100+G100=0),"",D100/(D100+G100))</f>
        <v>0.78735632183908</v>
      </c>
      <c r="K100" s="39" t="n">
        <f aca="false">IF(E100="","",E100/(E100+H100))</f>
        <v>0.746243739565943</v>
      </c>
      <c r="L100" s="52" t="n">
        <f aca="false">IF(OR(K100="",J100=""),"",(J100-K100)*100)</f>
        <v>4.11125822731372</v>
      </c>
      <c r="M100" s="38"/>
    </row>
    <row r="101" customFormat="false" ht="15" hidden="false" customHeight="false" outlineLevel="0" collapsed="false">
      <c r="A101" s="38" t="s">
        <v>157</v>
      </c>
      <c r="B101" s="38" t="s">
        <v>159</v>
      </c>
      <c r="C101" s="38" t="s">
        <v>208</v>
      </c>
      <c r="D101" s="21" t="n">
        <v>218</v>
      </c>
      <c r="E101" s="21" t="n">
        <v>179</v>
      </c>
      <c r="F101" s="51" t="n">
        <f aca="false">IF(E101="","",D101-E101)</f>
        <v>39</v>
      </c>
      <c r="G101" s="21" t="n">
        <v>68</v>
      </c>
      <c r="H101" s="21" t="n">
        <v>112</v>
      </c>
      <c r="I101" s="51" t="n">
        <f aca="false">IF(H101="","",G101-H101)</f>
        <v>-44</v>
      </c>
      <c r="J101" s="39" t="n">
        <f aca="false">IF(OR(D101="",D101+G101=0),"",D101/(D101+G101))</f>
        <v>0.762237762237762</v>
      </c>
      <c r="K101" s="39" t="n">
        <f aca="false">IF(E101="","",E101/(E101+H101))</f>
        <v>0.615120274914089</v>
      </c>
      <c r="L101" s="52" t="n">
        <f aca="false">IF(OR(K101="",J101=""),"",(J101-K101)*100)</f>
        <v>14.7117487323673</v>
      </c>
      <c r="M101" s="38"/>
    </row>
    <row r="102" customFormat="false" ht="15" hidden="false" customHeight="false" outlineLevel="0" collapsed="false">
      <c r="A102" s="38" t="s">
        <v>157</v>
      </c>
      <c r="B102" s="38" t="s">
        <v>159</v>
      </c>
      <c r="C102" s="38" t="s">
        <v>209</v>
      </c>
      <c r="D102" s="21" t="n">
        <v>371</v>
      </c>
      <c r="E102" s="21" t="n">
        <v>357</v>
      </c>
      <c r="F102" s="51" t="n">
        <f aca="false">IF(E102="","",D102-E102)</f>
        <v>14</v>
      </c>
      <c r="G102" s="21" t="n">
        <v>146</v>
      </c>
      <c r="H102" s="21" t="n">
        <v>225</v>
      </c>
      <c r="I102" s="51" t="n">
        <f aca="false">IF(H102="","",G102-H102)</f>
        <v>-79</v>
      </c>
      <c r="J102" s="39" t="n">
        <f aca="false">IF(OR(D102="",D102+G102=0),"",D102/(D102+G102))</f>
        <v>0.717601547388782</v>
      </c>
      <c r="K102" s="39" t="n">
        <f aca="false">IF(E102="","",E102/(E102+H102))</f>
        <v>0.61340206185567</v>
      </c>
      <c r="L102" s="52" t="n">
        <f aca="false">IF(OR(K102="",J102=""),"",(J102-K102)*100)</f>
        <v>10.4199485533111</v>
      </c>
      <c r="M102" s="38"/>
    </row>
    <row r="103" customFormat="false" ht="15" hidden="false" customHeight="false" outlineLevel="0" collapsed="false">
      <c r="A103" s="38" t="s">
        <v>157</v>
      </c>
      <c r="B103" s="38" t="s">
        <v>159</v>
      </c>
      <c r="C103" s="38" t="s">
        <v>210</v>
      </c>
      <c r="D103" s="21" t="n">
        <v>532</v>
      </c>
      <c r="E103" s="21" t="n">
        <v>520</v>
      </c>
      <c r="F103" s="51" t="n">
        <f aca="false">IF(E103="","",D103-E103)</f>
        <v>12</v>
      </c>
      <c r="G103" s="21" t="n">
        <v>160</v>
      </c>
      <c r="H103" s="21" t="n">
        <v>193</v>
      </c>
      <c r="I103" s="51" t="n">
        <f aca="false">IF(H103="","",G103-H103)</f>
        <v>-33</v>
      </c>
      <c r="J103" s="39" t="n">
        <f aca="false">IF(OR(D103="",D103+G103=0),"",D103/(D103+G103))</f>
        <v>0.76878612716763</v>
      </c>
      <c r="K103" s="39" t="n">
        <f aca="false">IF(E103="","",E103/(E103+H103))</f>
        <v>0.729312762973352</v>
      </c>
      <c r="L103" s="52" t="n">
        <f aca="false">IF(OR(K103="",J103=""),"",(J103-K103)*100)</f>
        <v>3.94733641942781</v>
      </c>
      <c r="M103" s="38"/>
    </row>
    <row r="104" customFormat="false" ht="15" hidden="false" customHeight="false" outlineLevel="0" collapsed="false">
      <c r="A104" s="38" t="s">
        <v>157</v>
      </c>
      <c r="B104" s="38" t="s">
        <v>159</v>
      </c>
      <c r="C104" s="38" t="s">
        <v>211</v>
      </c>
      <c r="D104" s="21" t="n">
        <v>206</v>
      </c>
      <c r="E104" s="21" t="n">
        <v>218</v>
      </c>
      <c r="F104" s="51" t="n">
        <f aca="false">IF(E104="","",D104-E104)</f>
        <v>-12</v>
      </c>
      <c r="G104" s="21" t="n">
        <v>58</v>
      </c>
      <c r="H104" s="21" t="n">
        <v>86</v>
      </c>
      <c r="I104" s="51" t="n">
        <f aca="false">IF(H104="","",G104-H104)</f>
        <v>-28</v>
      </c>
      <c r="J104" s="39" t="n">
        <f aca="false">IF(OR(D104="",D104+G104=0),"",D104/(D104+G104))</f>
        <v>0.78030303030303</v>
      </c>
      <c r="K104" s="39" t="n">
        <f aca="false">IF(E104="","",E104/(E104+H104))</f>
        <v>0.717105263157895</v>
      </c>
      <c r="L104" s="52" t="n">
        <f aca="false">IF(OR(K104="",J104=""),"",(J104-K104)*100)</f>
        <v>6.31977671451356</v>
      </c>
      <c r="M104" s="38"/>
    </row>
    <row r="105" customFormat="false" ht="15" hidden="false" customHeight="false" outlineLevel="0" collapsed="false">
      <c r="A105" s="38" t="s">
        <v>157</v>
      </c>
      <c r="B105" s="38" t="s">
        <v>159</v>
      </c>
      <c r="C105" s="38" t="s">
        <v>212</v>
      </c>
      <c r="D105" s="21" t="n">
        <v>236</v>
      </c>
      <c r="E105" s="21" t="n">
        <v>262</v>
      </c>
      <c r="F105" s="51" t="n">
        <f aca="false">IF(E105="","",D105-E105)</f>
        <v>-26</v>
      </c>
      <c r="G105" s="21" t="n">
        <v>64</v>
      </c>
      <c r="H105" s="21" t="n">
        <v>109</v>
      </c>
      <c r="I105" s="51" t="n">
        <f aca="false">IF(H105="","",G105-H105)</f>
        <v>-45</v>
      </c>
      <c r="J105" s="39" t="n">
        <f aca="false">IF(OR(D105="",D105+G105=0),"",D105/(D105+G105))</f>
        <v>0.786666666666667</v>
      </c>
      <c r="K105" s="39" t="n">
        <f aca="false">IF(E105="","",E105/(E105+H105))</f>
        <v>0.706199460916442</v>
      </c>
      <c r="L105" s="52" t="n">
        <f aca="false">IF(OR(K105="",J105=""),"",(J105-K105)*100)</f>
        <v>8.04672057502246</v>
      </c>
      <c r="M105" s="38"/>
    </row>
    <row r="106" customFormat="false" ht="15" hidden="false" customHeight="false" outlineLevel="0" collapsed="false">
      <c r="A106" s="38" t="s">
        <v>157</v>
      </c>
      <c r="B106" s="38" t="s">
        <v>159</v>
      </c>
      <c r="C106" s="38" t="s">
        <v>213</v>
      </c>
      <c r="D106" s="21" t="n">
        <v>406</v>
      </c>
      <c r="E106" s="21" t="n">
        <v>424</v>
      </c>
      <c r="F106" s="51" t="n">
        <f aca="false">IF(E106="","",D106-E106)</f>
        <v>-18</v>
      </c>
      <c r="G106" s="21" t="n">
        <v>116</v>
      </c>
      <c r="H106" s="21" t="n">
        <v>151</v>
      </c>
      <c r="I106" s="51" t="n">
        <f aca="false">IF(H106="","",G106-H106)</f>
        <v>-35</v>
      </c>
      <c r="J106" s="39" t="n">
        <f aca="false">IF(OR(D106="",D106+G106=0),"",D106/(D106+G106))</f>
        <v>0.777777777777778</v>
      </c>
      <c r="K106" s="39" t="n">
        <f aca="false">IF(E106="","",E106/(E106+H106))</f>
        <v>0.737391304347826</v>
      </c>
      <c r="L106" s="52" t="n">
        <f aca="false">IF(OR(K106="",J106=""),"",(J106-K106)*100)</f>
        <v>4.03864734299517</v>
      </c>
      <c r="M106" s="38"/>
    </row>
    <row r="107" customFormat="false" ht="15" hidden="false" customHeight="false" outlineLevel="0" collapsed="false">
      <c r="A107" s="38" t="s">
        <v>157</v>
      </c>
      <c r="B107" s="38" t="s">
        <v>159</v>
      </c>
      <c r="C107" s="38" t="s">
        <v>214</v>
      </c>
      <c r="D107" s="21" t="n">
        <v>482</v>
      </c>
      <c r="E107" s="21" t="n">
        <v>565</v>
      </c>
      <c r="F107" s="51" t="n">
        <f aca="false">IF(E107="","",D107-E107)</f>
        <v>-83</v>
      </c>
      <c r="G107" s="21" t="n">
        <v>221</v>
      </c>
      <c r="H107" s="21" t="n">
        <v>277</v>
      </c>
      <c r="I107" s="51" t="n">
        <f aca="false">IF(H107="","",G107-H107)</f>
        <v>-56</v>
      </c>
      <c r="J107" s="39" t="n">
        <f aca="false">IF(OR(D107="",D107+G107=0),"",D107/(D107+G107))</f>
        <v>0.685633001422475</v>
      </c>
      <c r="K107" s="39" t="n">
        <f aca="false">IF(E107="","",E107/(E107+H107))</f>
        <v>0.671021377672209</v>
      </c>
      <c r="L107" s="52" t="n">
        <f aca="false">IF(OR(K107="",J107=""),"",(J107-K107)*100)</f>
        <v>1.4611623750266</v>
      </c>
      <c r="M107" s="38"/>
    </row>
    <row r="108" customFormat="false" ht="15" hidden="false" customHeight="false" outlineLevel="0" collapsed="false">
      <c r="A108" s="38" t="s">
        <v>157</v>
      </c>
      <c r="B108" s="38" t="s">
        <v>159</v>
      </c>
      <c r="C108" s="38" t="s">
        <v>215</v>
      </c>
      <c r="D108" s="21" t="n">
        <v>239</v>
      </c>
      <c r="E108" s="21" t="n">
        <v>260</v>
      </c>
      <c r="F108" s="51" t="n">
        <f aca="false">IF(E108="","",D108-E108)</f>
        <v>-21</v>
      </c>
      <c r="G108" s="21" t="n">
        <v>90</v>
      </c>
      <c r="H108" s="21" t="n">
        <v>121</v>
      </c>
      <c r="I108" s="51" t="n">
        <f aca="false">IF(H108="","",G108-H108)</f>
        <v>-31</v>
      </c>
      <c r="J108" s="39" t="n">
        <f aca="false">IF(OR(D108="",D108+G108=0),"",D108/(D108+G108))</f>
        <v>0.726443768996961</v>
      </c>
      <c r="K108" s="39" t="n">
        <f aca="false">IF(E108="","",E108/(E108+H108))</f>
        <v>0.68241469816273</v>
      </c>
      <c r="L108" s="52" t="n">
        <f aca="false">IF(OR(K108="",J108=""),"",(J108-K108)*100)</f>
        <v>4.40290708342308</v>
      </c>
      <c r="M108" s="38"/>
    </row>
    <row r="109" customFormat="false" ht="15" hidden="false" customHeight="false" outlineLevel="0" collapsed="false">
      <c r="A109" s="38" t="s">
        <v>157</v>
      </c>
      <c r="B109" s="38" t="s">
        <v>159</v>
      </c>
      <c r="C109" s="38" t="s">
        <v>216</v>
      </c>
      <c r="D109" s="21" t="n">
        <v>322</v>
      </c>
      <c r="E109" s="21" t="n">
        <v>317</v>
      </c>
      <c r="F109" s="51" t="n">
        <f aca="false">IF(E109="","",D109-E109)</f>
        <v>5</v>
      </c>
      <c r="G109" s="21" t="n">
        <v>100</v>
      </c>
      <c r="H109" s="21" t="n">
        <v>152</v>
      </c>
      <c r="I109" s="51" t="n">
        <f aca="false">IF(H109="","",G109-H109)</f>
        <v>-52</v>
      </c>
      <c r="J109" s="39" t="n">
        <f aca="false">IF(OR(D109="",D109+G109=0),"",D109/(D109+G109))</f>
        <v>0.76303317535545</v>
      </c>
      <c r="K109" s="39" t="n">
        <f aca="false">IF(E109="","",E109/(E109+H109))</f>
        <v>0.67590618336887</v>
      </c>
      <c r="L109" s="52" t="n">
        <f aca="false">IF(OR(K109="",J109=""),"",(J109-K109)*100)</f>
        <v>8.71269919865803</v>
      </c>
      <c r="M109" s="38"/>
    </row>
    <row r="110" customFormat="false" ht="15" hidden="false" customHeight="false" outlineLevel="0" collapsed="false">
      <c r="A110" s="38" t="s">
        <v>157</v>
      </c>
      <c r="B110" s="38" t="s">
        <v>159</v>
      </c>
      <c r="C110" s="38" t="s">
        <v>217</v>
      </c>
      <c r="D110" s="21" t="n">
        <v>434</v>
      </c>
      <c r="E110" s="21" t="n">
        <v>424</v>
      </c>
      <c r="F110" s="51" t="n">
        <f aca="false">IF(E110="","",D110-E110)</f>
        <v>10</v>
      </c>
      <c r="G110" s="21" t="n">
        <v>241</v>
      </c>
      <c r="H110" s="21" t="n">
        <v>264</v>
      </c>
      <c r="I110" s="51" t="n">
        <f aca="false">IF(H110="","",G110-H110)</f>
        <v>-23</v>
      </c>
      <c r="J110" s="39" t="n">
        <f aca="false">IF(OR(D110="",D110+G110=0),"",D110/(D110+G110))</f>
        <v>0.642962962962963</v>
      </c>
      <c r="K110" s="39" t="n">
        <f aca="false">IF(E110="","",E110/(E110+H110))</f>
        <v>0.616279069767442</v>
      </c>
      <c r="L110" s="52" t="n">
        <f aca="false">IF(OR(K110="",J110=""),"",(J110-K110)*100)</f>
        <v>2.66838931955211</v>
      </c>
      <c r="M110" s="38"/>
    </row>
    <row r="111" customFormat="false" ht="15" hidden="false" customHeight="false" outlineLevel="0" collapsed="false">
      <c r="A111" s="38" t="s">
        <v>157</v>
      </c>
      <c r="B111" s="38" t="s">
        <v>159</v>
      </c>
      <c r="C111" s="38" t="s">
        <v>218</v>
      </c>
      <c r="D111" s="21" t="n">
        <v>446</v>
      </c>
      <c r="E111" s="21" t="n">
        <v>469</v>
      </c>
      <c r="F111" s="51" t="n">
        <f aca="false">IF(E111="","",D111-E111)</f>
        <v>-23</v>
      </c>
      <c r="G111" s="21" t="n">
        <v>131</v>
      </c>
      <c r="H111" s="21" t="n">
        <v>215</v>
      </c>
      <c r="I111" s="51" t="n">
        <f aca="false">IF(H111="","",G111-H111)</f>
        <v>-84</v>
      </c>
      <c r="J111" s="39" t="n">
        <f aca="false">IF(OR(D111="",D111+G111=0),"",D111/(D111+G111))</f>
        <v>0.772963604852686</v>
      </c>
      <c r="K111" s="39" t="n">
        <f aca="false">IF(E111="","",E111/(E111+H111))</f>
        <v>0.685672514619883</v>
      </c>
      <c r="L111" s="52" t="n">
        <f aca="false">IF(OR(K111="",J111=""),"",(J111-K111)*100)</f>
        <v>8.72910902328034</v>
      </c>
      <c r="M111" s="38"/>
    </row>
    <row r="112" customFormat="false" ht="15" hidden="false" customHeight="false" outlineLevel="0" collapsed="false">
      <c r="A112" s="38" t="s">
        <v>157</v>
      </c>
      <c r="B112" s="38" t="s">
        <v>219</v>
      </c>
      <c r="C112" s="38" t="s">
        <v>220</v>
      </c>
      <c r="D112" s="21" t="n">
        <v>599</v>
      </c>
      <c r="E112" s="21" t="n">
        <v>598</v>
      </c>
      <c r="F112" s="51" t="n">
        <f aca="false">IF(E112="","",D112-E112)</f>
        <v>1</v>
      </c>
      <c r="G112" s="21" t="n">
        <v>214</v>
      </c>
      <c r="H112" s="21" t="n">
        <v>253</v>
      </c>
      <c r="I112" s="51" t="n">
        <f aca="false">IF(H112="","",G112-H112)</f>
        <v>-39</v>
      </c>
      <c r="J112" s="39" t="n">
        <f aca="false">IF(OR(D112="",D112+G112=0),"",D112/(D112+G112))</f>
        <v>0.736777367773678</v>
      </c>
      <c r="K112" s="39" t="n">
        <f aca="false">IF(E112="","",E112/(E112+H112))</f>
        <v>0.702702702702703</v>
      </c>
      <c r="L112" s="52" t="n">
        <f aca="false">IF(OR(K112="",J112=""),"",(J112-K112)*100)</f>
        <v>3.4074665070975</v>
      </c>
      <c r="M112" s="38"/>
    </row>
    <row r="113" customFormat="false" ht="15" hidden="false" customHeight="false" outlineLevel="0" collapsed="false">
      <c r="A113" s="38" t="s">
        <v>157</v>
      </c>
      <c r="B113" s="38" t="s">
        <v>219</v>
      </c>
      <c r="C113" s="38" t="s">
        <v>221</v>
      </c>
      <c r="D113" s="21" t="n">
        <v>436</v>
      </c>
      <c r="E113" s="21" t="n">
        <v>420</v>
      </c>
      <c r="F113" s="51" t="n">
        <f aca="false">IF(E113="","",D113-E113)</f>
        <v>16</v>
      </c>
      <c r="G113" s="21" t="n">
        <v>187</v>
      </c>
      <c r="H113" s="21" t="n">
        <v>214</v>
      </c>
      <c r="I113" s="51" t="n">
        <f aca="false">IF(H113="","",G113-H113)</f>
        <v>-27</v>
      </c>
      <c r="J113" s="39" t="n">
        <f aca="false">IF(OR(D113="",D113+G113=0),"",D113/(D113+G113))</f>
        <v>0.69983948635634</v>
      </c>
      <c r="K113" s="39" t="n">
        <f aca="false">IF(E113="","",E113/(E113+H113))</f>
        <v>0.662460567823344</v>
      </c>
      <c r="L113" s="52" t="n">
        <f aca="false">IF(OR(K113="",J113=""),"",(J113-K113)*100)</f>
        <v>3.73789185329965</v>
      </c>
      <c r="M113" s="38"/>
    </row>
    <row r="114" customFormat="false" ht="15" hidden="false" customHeight="false" outlineLevel="0" collapsed="false">
      <c r="A114" s="38" t="s">
        <v>157</v>
      </c>
      <c r="B114" s="38" t="s">
        <v>219</v>
      </c>
      <c r="C114" s="38" t="s">
        <v>222</v>
      </c>
      <c r="D114" s="21" t="n">
        <v>430</v>
      </c>
      <c r="E114" s="21" t="n">
        <v>438</v>
      </c>
      <c r="F114" s="51" t="n">
        <f aca="false">IF(E114="","",D114-E114)</f>
        <v>-8</v>
      </c>
      <c r="G114" s="21" t="n">
        <v>148</v>
      </c>
      <c r="H114" s="21" t="n">
        <v>176</v>
      </c>
      <c r="I114" s="51" t="n">
        <f aca="false">IF(H114="","",G114-H114)</f>
        <v>-28</v>
      </c>
      <c r="J114" s="39" t="n">
        <f aca="false">IF(OR(D114="",D114+G114=0),"",D114/(D114+G114))</f>
        <v>0.743944636678201</v>
      </c>
      <c r="K114" s="39" t="n">
        <f aca="false">IF(E114="","",E114/(E114+H114))</f>
        <v>0.713355048859935</v>
      </c>
      <c r="L114" s="52" t="n">
        <f aca="false">IF(OR(K114="",J114=""),"",(J114-K114)*100)</f>
        <v>3.05895878182658</v>
      </c>
      <c r="M114" s="38"/>
    </row>
    <row r="115" customFormat="false" ht="15" hidden="false" customHeight="false" outlineLevel="0" collapsed="false">
      <c r="A115" s="38" t="s">
        <v>157</v>
      </c>
      <c r="B115" s="38" t="s">
        <v>219</v>
      </c>
      <c r="C115" s="38" t="s">
        <v>223</v>
      </c>
      <c r="D115" s="21" t="n">
        <v>491</v>
      </c>
      <c r="E115" s="21" t="n">
        <v>463</v>
      </c>
      <c r="F115" s="51" t="n">
        <f aca="false">IF(E115="","",D115-E115)</f>
        <v>28</v>
      </c>
      <c r="G115" s="21" t="n">
        <v>193</v>
      </c>
      <c r="H115" s="21" t="n">
        <v>219</v>
      </c>
      <c r="I115" s="51" t="n">
        <f aca="false">IF(H115="","",G115-H115)</f>
        <v>-26</v>
      </c>
      <c r="J115" s="39" t="n">
        <f aca="false">IF(OR(D115="",D115+G115=0),"",D115/(D115+G115))</f>
        <v>0.717836257309942</v>
      </c>
      <c r="K115" s="39" t="n">
        <f aca="false">IF(E115="","",E115/(E115+H115))</f>
        <v>0.678885630498534</v>
      </c>
      <c r="L115" s="52" t="n">
        <f aca="false">IF(OR(K115="",J115=""),"",(J115-K115)*100)</f>
        <v>3.89506268114078</v>
      </c>
      <c r="M115" s="38"/>
    </row>
    <row r="116" customFormat="false" ht="15" hidden="false" customHeight="false" outlineLevel="0" collapsed="false">
      <c r="A116" s="38" t="s">
        <v>157</v>
      </c>
      <c r="B116" s="38" t="s">
        <v>219</v>
      </c>
      <c r="C116" s="38" t="s">
        <v>224</v>
      </c>
      <c r="D116" s="21" t="n">
        <v>797</v>
      </c>
      <c r="E116" s="21" t="n">
        <v>782</v>
      </c>
      <c r="F116" s="51" t="n">
        <f aca="false">IF(E116="","",D116-E116)</f>
        <v>15</v>
      </c>
      <c r="G116" s="21" t="n">
        <v>416</v>
      </c>
      <c r="H116" s="21" t="n">
        <v>404</v>
      </c>
      <c r="I116" s="51" t="n">
        <f aca="false">IF(H116="","",G116-H116)</f>
        <v>12</v>
      </c>
      <c r="J116" s="39" t="n">
        <f aca="false">IF(OR(D116="",D116+G116=0),"",D116/(D116+G116))</f>
        <v>0.657048639736191</v>
      </c>
      <c r="K116" s="39" t="n">
        <f aca="false">IF(E116="","",E116/(E116+H116))</f>
        <v>0.659359190556492</v>
      </c>
      <c r="L116" s="52" t="n">
        <f aca="false">IF(OR(K116="",J116=""),"",(J116-K116)*100)</f>
        <v>-0.231055082030118</v>
      </c>
      <c r="M116" s="38"/>
    </row>
    <row r="117" customFormat="false" ht="15" hidden="false" customHeight="false" outlineLevel="0" collapsed="false">
      <c r="A117" s="38" t="s">
        <v>157</v>
      </c>
      <c r="B117" s="38" t="s">
        <v>219</v>
      </c>
      <c r="C117" s="38" t="s">
        <v>225</v>
      </c>
      <c r="D117" s="21" t="n">
        <v>539</v>
      </c>
      <c r="E117" s="21" t="n">
        <v>503</v>
      </c>
      <c r="F117" s="51" t="n">
        <f aca="false">IF(E117="","",D117-E117)</f>
        <v>36</v>
      </c>
      <c r="G117" s="21" t="n">
        <v>301</v>
      </c>
      <c r="H117" s="21" t="n">
        <v>318</v>
      </c>
      <c r="I117" s="51" t="n">
        <f aca="false">IF(H117="","",G117-H117)</f>
        <v>-17</v>
      </c>
      <c r="J117" s="39" t="n">
        <f aca="false">IF(OR(D117="",D117+G117=0),"",D117/(D117+G117))</f>
        <v>0.641666666666667</v>
      </c>
      <c r="K117" s="39" t="n">
        <f aca="false">IF(E117="","",E117/(E117+H117))</f>
        <v>0.612667478684531</v>
      </c>
      <c r="L117" s="52" t="n">
        <f aca="false">IF(OR(K117="",J117=""),"",(J117-K117)*100)</f>
        <v>2.89991879821356</v>
      </c>
      <c r="M117" s="38"/>
    </row>
    <row r="118" customFormat="false" ht="15" hidden="false" customHeight="false" outlineLevel="0" collapsed="false">
      <c r="A118" s="38" t="s">
        <v>157</v>
      </c>
      <c r="B118" s="38" t="s">
        <v>219</v>
      </c>
      <c r="C118" s="38" t="s">
        <v>226</v>
      </c>
      <c r="D118" s="21" t="n">
        <v>625</v>
      </c>
      <c r="E118" s="21" t="n">
        <v>597</v>
      </c>
      <c r="F118" s="51" t="n">
        <f aca="false">IF(E118="","",D118-E118)</f>
        <v>28</v>
      </c>
      <c r="G118" s="21" t="n">
        <v>417</v>
      </c>
      <c r="H118" s="21" t="n">
        <v>396</v>
      </c>
      <c r="I118" s="51" t="n">
        <f aca="false">IF(H118="","",G118-H118)</f>
        <v>21</v>
      </c>
      <c r="J118" s="39" t="n">
        <f aca="false">IF(OR(D118="",D118+G118=0),"",D118/(D118+G118))</f>
        <v>0.599808061420346</v>
      </c>
      <c r="K118" s="39" t="n">
        <f aca="false">IF(E118="","",E118/(E118+H118))</f>
        <v>0.601208459214502</v>
      </c>
      <c r="L118" s="52" t="n">
        <f aca="false">IF(OR(K118="",J118=""),"",(J118-K118)*100)</f>
        <v>-0.140039779415602</v>
      </c>
      <c r="M118" s="38"/>
    </row>
    <row r="119" customFormat="false" ht="15" hidden="false" customHeight="false" outlineLevel="0" collapsed="false">
      <c r="A119" s="38" t="s">
        <v>157</v>
      </c>
      <c r="B119" s="38" t="s">
        <v>219</v>
      </c>
      <c r="C119" s="38" t="s">
        <v>227</v>
      </c>
      <c r="D119" s="21" t="n">
        <v>712</v>
      </c>
      <c r="E119" s="21" t="n">
        <v>678</v>
      </c>
      <c r="F119" s="51" t="n">
        <f aca="false">IF(E119="","",D119-E119)</f>
        <v>34</v>
      </c>
      <c r="G119" s="21" t="n">
        <v>441</v>
      </c>
      <c r="H119" s="21" t="n">
        <v>451</v>
      </c>
      <c r="I119" s="51" t="n">
        <f aca="false">IF(H119="","",G119-H119)</f>
        <v>-10</v>
      </c>
      <c r="J119" s="39" t="n">
        <f aca="false">IF(OR(D119="",D119+G119=0),"",D119/(D119+G119))</f>
        <v>0.617519514310494</v>
      </c>
      <c r="K119" s="39" t="n">
        <f aca="false">IF(E119="","",E119/(E119+H119))</f>
        <v>0.600531443755536</v>
      </c>
      <c r="L119" s="52" t="n">
        <f aca="false">IF(OR(K119="",J119=""),"",(J119-K119)*100)</f>
        <v>1.69880705549584</v>
      </c>
      <c r="M119" s="38"/>
    </row>
    <row r="120" customFormat="false" ht="15" hidden="false" customHeight="false" outlineLevel="0" collapsed="false">
      <c r="A120" s="38" t="s">
        <v>157</v>
      </c>
      <c r="B120" s="38" t="s">
        <v>219</v>
      </c>
      <c r="C120" s="38" t="s">
        <v>228</v>
      </c>
      <c r="D120" s="21" t="n">
        <v>541</v>
      </c>
      <c r="E120" s="21" t="n">
        <v>524</v>
      </c>
      <c r="F120" s="51" t="n">
        <f aca="false">IF(E120="","",D120-E120)</f>
        <v>17</v>
      </c>
      <c r="G120" s="21" t="n">
        <v>329</v>
      </c>
      <c r="H120" s="21" t="n">
        <v>327</v>
      </c>
      <c r="I120" s="51" t="n">
        <f aca="false">IF(H120="","",G120-H120)</f>
        <v>2</v>
      </c>
      <c r="J120" s="39" t="n">
        <f aca="false">IF(OR(D120="",D120+G120=0),"",D120/(D120+G120))</f>
        <v>0.62183908045977</v>
      </c>
      <c r="K120" s="39" t="n">
        <f aca="false">IF(E120="","",E120/(E120+H120))</f>
        <v>0.615746180963572</v>
      </c>
      <c r="L120" s="52" t="n">
        <f aca="false">IF(OR(K120="",J120=""),"",(J120-K120)*100)</f>
        <v>0.609289949619785</v>
      </c>
      <c r="M120" s="38"/>
    </row>
    <row r="121" customFormat="false" ht="15" hidden="false" customHeight="false" outlineLevel="0" collapsed="false">
      <c r="A121" s="38" t="s">
        <v>157</v>
      </c>
      <c r="B121" s="38" t="s">
        <v>219</v>
      </c>
      <c r="C121" s="38" t="s">
        <v>229</v>
      </c>
      <c r="D121" s="21" t="n">
        <v>437</v>
      </c>
      <c r="E121" s="21" t="n">
        <v>437</v>
      </c>
      <c r="F121" s="51" t="n">
        <f aca="false">IF(E121="","",D121-E121)</f>
        <v>0</v>
      </c>
      <c r="G121" s="21" t="n">
        <v>325</v>
      </c>
      <c r="H121" s="21" t="n">
        <v>344</v>
      </c>
      <c r="I121" s="51" t="n">
        <f aca="false">IF(H121="","",G121-H121)</f>
        <v>-19</v>
      </c>
      <c r="J121" s="39" t="n">
        <f aca="false">IF(OR(D121="",D121+G121=0),"",D121/(D121+G121))</f>
        <v>0.573490813648294</v>
      </c>
      <c r="K121" s="39" t="n">
        <f aca="false">IF(E121="","",E121/(E121+H121))</f>
        <v>0.559539052496799</v>
      </c>
      <c r="L121" s="52" t="n">
        <f aca="false">IF(OR(K121="",J121=""),"",(J121-K121)*100)</f>
        <v>1.3951761151495</v>
      </c>
      <c r="M121" s="38"/>
    </row>
    <row r="122" customFormat="false" ht="15" hidden="false" customHeight="false" outlineLevel="0" collapsed="false">
      <c r="A122" s="38" t="s">
        <v>157</v>
      </c>
      <c r="B122" s="38" t="s">
        <v>219</v>
      </c>
      <c r="C122" s="38" t="s">
        <v>230</v>
      </c>
      <c r="D122" s="21" t="n">
        <v>582</v>
      </c>
      <c r="E122" s="21" t="n">
        <v>581</v>
      </c>
      <c r="F122" s="51" t="n">
        <f aca="false">IF(E122="","",D122-E122)</f>
        <v>1</v>
      </c>
      <c r="G122" s="21" t="n">
        <v>324</v>
      </c>
      <c r="H122" s="21" t="n">
        <v>342</v>
      </c>
      <c r="I122" s="51" t="n">
        <f aca="false">IF(H122="","",G122-H122)</f>
        <v>-18</v>
      </c>
      <c r="J122" s="39" t="n">
        <f aca="false">IF(OR(D122="",D122+G122=0),"",D122/(D122+G122))</f>
        <v>0.642384105960265</v>
      </c>
      <c r="K122" s="39" t="n">
        <f aca="false">IF(E122="","",E122/(E122+H122))</f>
        <v>0.629469122426869</v>
      </c>
      <c r="L122" s="52" t="n">
        <f aca="false">IF(OR(K122="",J122=""),"",(J122-K122)*100)</f>
        <v>1.29149835333959</v>
      </c>
      <c r="M122" s="38"/>
    </row>
    <row r="123" customFormat="false" ht="15" hidden="false" customHeight="false" outlineLevel="0" collapsed="false">
      <c r="A123" s="38" t="s">
        <v>157</v>
      </c>
      <c r="B123" s="38" t="s">
        <v>219</v>
      </c>
      <c r="C123" s="38" t="s">
        <v>231</v>
      </c>
      <c r="D123" s="21" t="n">
        <v>602</v>
      </c>
      <c r="E123" s="21" t="n">
        <v>591</v>
      </c>
      <c r="F123" s="51" t="n">
        <f aca="false">IF(E123="","",D123-E123)</f>
        <v>11</v>
      </c>
      <c r="G123" s="21" t="n">
        <v>379</v>
      </c>
      <c r="H123" s="21" t="n">
        <v>390</v>
      </c>
      <c r="I123" s="51" t="n">
        <f aca="false">IF(H123="","",G123-H123)</f>
        <v>-11</v>
      </c>
      <c r="J123" s="39" t="n">
        <f aca="false">IF(OR(D123="",D123+G123=0),"",D123/(D123+G123))</f>
        <v>0.613659531090724</v>
      </c>
      <c r="K123" s="39" t="n">
        <f aca="false">IF(E123="","",E123/(E123+H123))</f>
        <v>0.602446483180428</v>
      </c>
      <c r="L123" s="52" t="n">
        <f aca="false">IF(OR(K123="",J123=""),"",(J123-K123)*100)</f>
        <v>1.12130479102956</v>
      </c>
      <c r="M123" s="38"/>
    </row>
    <row r="124" customFormat="false" ht="15" hidden="false" customHeight="false" outlineLevel="0" collapsed="false">
      <c r="A124" s="38" t="s">
        <v>157</v>
      </c>
      <c r="B124" s="38" t="s">
        <v>232</v>
      </c>
      <c r="C124" s="38" t="s">
        <v>233</v>
      </c>
      <c r="D124" s="21" t="n">
        <v>554</v>
      </c>
      <c r="E124" s="21" t="n">
        <v>557</v>
      </c>
      <c r="F124" s="51" t="n">
        <f aca="false">IF(E124="","",D124-E124)</f>
        <v>-3</v>
      </c>
      <c r="G124" s="21" t="n">
        <v>402</v>
      </c>
      <c r="H124" s="21" t="n">
        <v>454</v>
      </c>
      <c r="I124" s="51" t="n">
        <f aca="false">IF(H124="","",G124-H124)</f>
        <v>-52</v>
      </c>
      <c r="J124" s="39" t="n">
        <f aca="false">IF(OR(D124="",D124+G124=0),"",D124/(D124+G124))</f>
        <v>0.579497907949791</v>
      </c>
      <c r="K124" s="39" t="n">
        <f aca="false">IF(E124="","",E124/(E124+H124))</f>
        <v>0.550939663699308</v>
      </c>
      <c r="L124" s="52" t="n">
        <f aca="false">IF(OR(K124="",J124=""),"",(J124-K124)*100)</f>
        <v>2.85582442504833</v>
      </c>
      <c r="M124" s="38"/>
    </row>
    <row r="125" customFormat="false" ht="15" hidden="false" customHeight="false" outlineLevel="0" collapsed="false">
      <c r="A125" s="38" t="s">
        <v>157</v>
      </c>
      <c r="B125" s="38" t="s">
        <v>232</v>
      </c>
      <c r="C125" s="38" t="s">
        <v>234</v>
      </c>
      <c r="D125" s="21" t="n">
        <v>541</v>
      </c>
      <c r="E125" s="21" t="n">
        <v>467</v>
      </c>
      <c r="F125" s="51" t="n">
        <f aca="false">IF(E125="","",D125-E125)</f>
        <v>74</v>
      </c>
      <c r="G125" s="21" t="n">
        <v>507</v>
      </c>
      <c r="H125" s="21" t="n">
        <v>513</v>
      </c>
      <c r="I125" s="51" t="n">
        <f aca="false">IF(H125="","",G125-H125)</f>
        <v>-6</v>
      </c>
      <c r="J125" s="39" t="n">
        <f aca="false">IF(OR(D125="",D125+G125=0),"",D125/(D125+G125))</f>
        <v>0.516221374045802</v>
      </c>
      <c r="K125" s="39" t="n">
        <f aca="false">IF(E125="","",E125/(E125+H125))</f>
        <v>0.476530612244898</v>
      </c>
      <c r="L125" s="52" t="n">
        <f aca="false">IF(OR(K125="",J125=""),"",(J125-K125)*100)</f>
        <v>3.96907618009035</v>
      </c>
      <c r="M125" s="38"/>
    </row>
    <row r="126" customFormat="false" ht="15" hidden="false" customHeight="false" outlineLevel="0" collapsed="false">
      <c r="A126" s="38" t="s">
        <v>157</v>
      </c>
      <c r="B126" s="38" t="s">
        <v>232</v>
      </c>
      <c r="C126" s="38" t="s">
        <v>235</v>
      </c>
      <c r="D126" s="21" t="n">
        <v>573</v>
      </c>
      <c r="E126" s="21" t="n">
        <v>536</v>
      </c>
      <c r="F126" s="51" t="n">
        <f aca="false">IF(E126="","",D126-E126)</f>
        <v>37</v>
      </c>
      <c r="G126" s="21" t="n">
        <v>524</v>
      </c>
      <c r="H126" s="21" t="n">
        <v>524</v>
      </c>
      <c r="I126" s="51" t="n">
        <f aca="false">IF(H126="","",G126-H126)</f>
        <v>0</v>
      </c>
      <c r="J126" s="39" t="n">
        <f aca="false">IF(OR(D126="",D126+G126=0),"",D126/(D126+G126))</f>
        <v>0.522333637192343</v>
      </c>
      <c r="K126" s="39" t="n">
        <f aca="false">IF(E126="","",E126/(E126+H126))</f>
        <v>0.505660377358491</v>
      </c>
      <c r="L126" s="52" t="n">
        <f aca="false">IF(OR(K126="",J126=""),"",(J126-K126)*100)</f>
        <v>1.66732598338522</v>
      </c>
      <c r="M126" s="38"/>
    </row>
    <row r="127" customFormat="false" ht="15" hidden="false" customHeight="false" outlineLevel="0" collapsed="false">
      <c r="A127" s="38" t="s">
        <v>157</v>
      </c>
      <c r="B127" s="38" t="s">
        <v>236</v>
      </c>
      <c r="C127" s="38" t="s">
        <v>236</v>
      </c>
      <c r="D127" s="21" t="n">
        <v>836</v>
      </c>
      <c r="E127" s="21" t="n">
        <v>735</v>
      </c>
      <c r="F127" s="51" t="n">
        <f aca="false">IF(E127="","",D127-E127)</f>
        <v>101</v>
      </c>
      <c r="G127" s="21" t="n">
        <v>793</v>
      </c>
      <c r="H127" s="21" t="n">
        <v>804</v>
      </c>
      <c r="I127" s="51" t="n">
        <f aca="false">IF(H127="","",G127-H127)</f>
        <v>-11</v>
      </c>
      <c r="J127" s="39" t="n">
        <f aca="false">IF(OR(D127="",D127+G127=0),"",D127/(D127+G127))</f>
        <v>0.513198281154082</v>
      </c>
      <c r="K127" s="39" t="n">
        <f aca="false">IF(E127="","",E127/(E127+H127))</f>
        <v>0.477582846003899</v>
      </c>
      <c r="L127" s="52" t="n">
        <f aca="false">IF(OR(K127="",J127=""),"",(J127-K127)*100)</f>
        <v>3.56154351501837</v>
      </c>
      <c r="M127" s="38"/>
    </row>
    <row r="128" customFormat="false" ht="15" hidden="false" customHeight="false" outlineLevel="0" collapsed="false">
      <c r="A128" s="38" t="s">
        <v>157</v>
      </c>
      <c r="B128" s="38" t="s">
        <v>237</v>
      </c>
      <c r="C128" s="38" t="s">
        <v>238</v>
      </c>
      <c r="D128" s="21" t="n">
        <v>424</v>
      </c>
      <c r="E128" s="21" t="n">
        <v>372</v>
      </c>
      <c r="F128" s="51" t="n">
        <f aca="false">IF(E128="","",D128-E128)</f>
        <v>52</v>
      </c>
      <c r="G128" s="21" t="n">
        <v>387</v>
      </c>
      <c r="H128" s="21" t="n">
        <v>383</v>
      </c>
      <c r="I128" s="51" t="n">
        <f aca="false">IF(H128="","",G128-H128)</f>
        <v>4</v>
      </c>
      <c r="J128" s="39" t="n">
        <f aca="false">IF(OR(D128="",D128+G128=0),"",D128/(D128+G128))</f>
        <v>0.522811344019729</v>
      </c>
      <c r="K128" s="39" t="n">
        <f aca="false">IF(E128="","",E128/(E128+H128))</f>
        <v>0.492715231788079</v>
      </c>
      <c r="L128" s="52" t="n">
        <f aca="false">IF(OR(K128="",J128=""),"",(J128-K128)*100)</f>
        <v>3.00961122316493</v>
      </c>
      <c r="M128" s="38"/>
    </row>
    <row r="129" customFormat="false" ht="15" hidden="false" customHeight="false" outlineLevel="0" collapsed="false">
      <c r="A129" s="38" t="s">
        <v>157</v>
      </c>
      <c r="B129" s="38" t="s">
        <v>237</v>
      </c>
      <c r="C129" s="38" t="s">
        <v>239</v>
      </c>
      <c r="D129" s="21" t="n">
        <v>564</v>
      </c>
      <c r="E129" s="21" t="n">
        <v>527</v>
      </c>
      <c r="F129" s="51" t="n">
        <f aca="false">IF(E129="","",D129-E129)</f>
        <v>37</v>
      </c>
      <c r="G129" s="21" t="n">
        <v>484</v>
      </c>
      <c r="H129" s="21" t="n">
        <v>515</v>
      </c>
      <c r="I129" s="51" t="n">
        <f aca="false">IF(H129="","",G129-H129)</f>
        <v>-31</v>
      </c>
      <c r="J129" s="39" t="n">
        <f aca="false">IF(OR(D129="",D129+G129=0),"",D129/(D129+G129))</f>
        <v>0.538167938931298</v>
      </c>
      <c r="K129" s="39" t="n">
        <f aca="false">IF(E129="","",E129/(E129+H129))</f>
        <v>0.505758157389635</v>
      </c>
      <c r="L129" s="52" t="n">
        <f aca="false">IF(OR(K129="",J129=""),"",(J129-K129)*100)</f>
        <v>3.24097815416623</v>
      </c>
      <c r="M129" s="38"/>
    </row>
    <row r="130" customFormat="false" ht="15" hidden="false" customHeight="false" outlineLevel="0" collapsed="false">
      <c r="A130" s="38" t="s">
        <v>157</v>
      </c>
      <c r="B130" s="38" t="s">
        <v>240</v>
      </c>
      <c r="C130" s="38" t="s">
        <v>241</v>
      </c>
      <c r="D130" s="21" t="n">
        <v>589</v>
      </c>
      <c r="E130" s="21" t="n">
        <v>562</v>
      </c>
      <c r="F130" s="51" t="n">
        <f aca="false">IF(E130="","",D130-E130)</f>
        <v>27</v>
      </c>
      <c r="G130" s="21" t="n">
        <v>472</v>
      </c>
      <c r="H130" s="21" t="n">
        <v>497</v>
      </c>
      <c r="I130" s="51" t="n">
        <f aca="false">IF(H130="","",G130-H130)</f>
        <v>-25</v>
      </c>
      <c r="J130" s="39" t="n">
        <f aca="false">IF(OR(D130="",D130+G130=0),"",D130/(D130+G130))</f>
        <v>0.555136663524977</v>
      </c>
      <c r="K130" s="39" t="n">
        <f aca="false">IF(E130="","",E130/(E130+H130))</f>
        <v>0.530689329556185</v>
      </c>
      <c r="L130" s="52" t="n">
        <f aca="false">IF(OR(K130="",J130=""),"",(J130-K130)*100)</f>
        <v>2.44473339687914</v>
      </c>
      <c r="M130" s="38"/>
    </row>
    <row r="131" customFormat="false" ht="15" hidden="false" customHeight="false" outlineLevel="0" collapsed="false">
      <c r="A131" s="38" t="s">
        <v>157</v>
      </c>
      <c r="B131" s="38" t="s">
        <v>240</v>
      </c>
      <c r="C131" s="38" t="s">
        <v>242</v>
      </c>
      <c r="D131" s="21" t="n">
        <v>608</v>
      </c>
      <c r="E131" s="21" t="n">
        <v>566</v>
      </c>
      <c r="F131" s="51" t="n">
        <f aca="false">IF(E131="","",D131-E131)</f>
        <v>42</v>
      </c>
      <c r="G131" s="21" t="n">
        <v>496</v>
      </c>
      <c r="H131" s="21" t="n">
        <v>509</v>
      </c>
      <c r="I131" s="51" t="n">
        <f aca="false">IF(H131="","",G131-H131)</f>
        <v>-13</v>
      </c>
      <c r="J131" s="39" t="n">
        <f aca="false">IF(OR(D131="",D131+G131=0),"",D131/(D131+G131))</f>
        <v>0.550724637681159</v>
      </c>
      <c r="K131" s="39" t="n">
        <f aca="false">IF(E131="","",E131/(E131+H131))</f>
        <v>0.526511627906977</v>
      </c>
      <c r="L131" s="52" t="n">
        <f aca="false">IF(OR(K131="",J131=""),"",(J131-K131)*100)</f>
        <v>2.42130097741827</v>
      </c>
      <c r="M131" s="38"/>
    </row>
    <row r="132" customFormat="false" ht="15" hidden="false" customHeight="false" outlineLevel="0" collapsed="false">
      <c r="A132" s="38" t="s">
        <v>157</v>
      </c>
      <c r="B132" s="38" t="s">
        <v>240</v>
      </c>
      <c r="C132" s="38" t="s">
        <v>243</v>
      </c>
      <c r="D132" s="21" t="n">
        <v>802</v>
      </c>
      <c r="E132" s="21" t="n">
        <v>826</v>
      </c>
      <c r="F132" s="51" t="n">
        <f aca="false">IF(E132="","",D132-E132)</f>
        <v>-24</v>
      </c>
      <c r="G132" s="21" t="n">
        <v>720</v>
      </c>
      <c r="H132" s="21" t="n">
        <v>801</v>
      </c>
      <c r="I132" s="51" t="n">
        <f aca="false">IF(H132="","",G132-H132)</f>
        <v>-81</v>
      </c>
      <c r="J132" s="39" t="n">
        <f aca="false">IF(OR(D132="",D132+G132=0),"",D132/(D132+G132))</f>
        <v>0.526938239159001</v>
      </c>
      <c r="K132" s="39" t="n">
        <f aca="false">IF(E132="","",E132/(E132+H132))</f>
        <v>0.507682851874616</v>
      </c>
      <c r="L132" s="52" t="n">
        <f aca="false">IF(OR(K132="",J132=""),"",(J132-K132)*100)</f>
        <v>1.92553872843855</v>
      </c>
      <c r="M132" s="38"/>
    </row>
    <row r="133" customFormat="false" ht="15" hidden="false" customHeight="false" outlineLevel="0" collapsed="false">
      <c r="A133" s="38" t="s">
        <v>157</v>
      </c>
      <c r="B133" s="38" t="s">
        <v>240</v>
      </c>
      <c r="C133" s="38" t="s">
        <v>244</v>
      </c>
      <c r="D133" s="21" t="n">
        <v>711</v>
      </c>
      <c r="E133" s="21" t="n">
        <v>686</v>
      </c>
      <c r="F133" s="51" t="n">
        <f aca="false">IF(E133="","",D133-E133)</f>
        <v>25</v>
      </c>
      <c r="G133" s="21" t="n">
        <v>541</v>
      </c>
      <c r="H133" s="21" t="n">
        <v>580</v>
      </c>
      <c r="I133" s="51" t="n">
        <f aca="false">IF(H133="","",G133-H133)</f>
        <v>-39</v>
      </c>
      <c r="J133" s="39" t="n">
        <f aca="false">IF(OR(D133="",D133+G133=0),"",D133/(D133+G133))</f>
        <v>0.567891373801917</v>
      </c>
      <c r="K133" s="39" t="n">
        <f aca="false">IF(E133="","",E133/(E133+H133))</f>
        <v>0.541864139020537</v>
      </c>
      <c r="L133" s="52" t="n">
        <f aca="false">IF(OR(K133="",J133=""),"",(J133-K133)*100)</f>
        <v>2.60272347813798</v>
      </c>
      <c r="M133" s="38"/>
    </row>
    <row r="134" customFormat="false" ht="15" hidden="false" customHeight="false" outlineLevel="0" collapsed="false">
      <c r="A134" s="38" t="s">
        <v>157</v>
      </c>
      <c r="B134" s="38" t="s">
        <v>240</v>
      </c>
      <c r="C134" s="38" t="s">
        <v>245</v>
      </c>
      <c r="D134" s="21" t="n">
        <v>374</v>
      </c>
      <c r="E134" s="21" t="n">
        <v>332</v>
      </c>
      <c r="F134" s="51" t="n">
        <f aca="false">IF(E134="","",D134-E134)</f>
        <v>42</v>
      </c>
      <c r="G134" s="21" t="n">
        <v>340</v>
      </c>
      <c r="H134" s="21" t="n">
        <v>340</v>
      </c>
      <c r="I134" s="51" t="n">
        <f aca="false">IF(H134="","",G134-H134)</f>
        <v>0</v>
      </c>
      <c r="J134" s="39" t="n">
        <f aca="false">IF(OR(D134="",D134+G134=0),"",D134/(D134+G134))</f>
        <v>0.523809523809524</v>
      </c>
      <c r="K134" s="39" t="n">
        <f aca="false">IF(E134="","",E134/(E134+H134))</f>
        <v>0.494047619047619</v>
      </c>
      <c r="L134" s="52" t="n">
        <f aca="false">IF(OR(K134="",J134=""),"",(J134-K134)*100)</f>
        <v>2.97619047619048</v>
      </c>
      <c r="M134" s="38"/>
    </row>
    <row r="135" customFormat="false" ht="15" hidden="false" customHeight="false" outlineLevel="0" collapsed="false">
      <c r="A135" s="38" t="s">
        <v>157</v>
      </c>
      <c r="B135" s="38" t="s">
        <v>240</v>
      </c>
      <c r="C135" s="38" t="s">
        <v>246</v>
      </c>
      <c r="D135" s="21" t="n">
        <v>747</v>
      </c>
      <c r="E135" s="21" t="n">
        <v>691</v>
      </c>
      <c r="F135" s="51" t="n">
        <f aca="false">IF(E135="","",D135-E135)</f>
        <v>56</v>
      </c>
      <c r="G135" s="21" t="n">
        <v>529</v>
      </c>
      <c r="H135" s="21" t="n">
        <v>509</v>
      </c>
      <c r="I135" s="51" t="n">
        <f aca="false">IF(H135="","",G135-H135)</f>
        <v>20</v>
      </c>
      <c r="J135" s="39" t="n">
        <f aca="false">IF(OR(D135="",D135+G135=0),"",D135/(D135+G135))</f>
        <v>0.585423197492163</v>
      </c>
      <c r="K135" s="39" t="n">
        <f aca="false">IF(E135="","",E135/(E135+H135))</f>
        <v>0.575833333333333</v>
      </c>
      <c r="L135" s="52" t="n">
        <f aca="false">IF(OR(K135="",J135=""),"",(J135-K135)*100)</f>
        <v>0.958986415882968</v>
      </c>
      <c r="M135" s="38"/>
    </row>
    <row r="136" customFormat="false" ht="15" hidden="false" customHeight="false" outlineLevel="0" collapsed="false">
      <c r="A136" s="38" t="s">
        <v>157</v>
      </c>
      <c r="B136" s="38" t="s">
        <v>247</v>
      </c>
      <c r="C136" s="38" t="s">
        <v>248</v>
      </c>
      <c r="D136" s="21" t="n">
        <v>617</v>
      </c>
      <c r="E136" s="21" t="n">
        <v>579</v>
      </c>
      <c r="F136" s="51" t="n">
        <f aca="false">IF(E136="","",D136-E136)</f>
        <v>38</v>
      </c>
      <c r="G136" s="21" t="n">
        <v>252</v>
      </c>
      <c r="H136" s="21" t="n">
        <v>292</v>
      </c>
      <c r="I136" s="51" t="n">
        <f aca="false">IF(H136="","",G136-H136)</f>
        <v>-40</v>
      </c>
      <c r="J136" s="39" t="n">
        <f aca="false">IF(OR(D136="",D136+G136=0),"",D136/(D136+G136))</f>
        <v>0.710011507479862</v>
      </c>
      <c r="K136" s="39" t="n">
        <f aca="false">IF(E136="","",E136/(E136+H136))</f>
        <v>0.664753157290471</v>
      </c>
      <c r="L136" s="52" t="n">
        <f aca="false">IF(OR(K136="",J136=""),"",(J136-K136)*100)</f>
        <v>4.52583501893912</v>
      </c>
      <c r="M136" s="38"/>
    </row>
    <row r="137" customFormat="false" ht="15" hidden="false" customHeight="false" outlineLevel="0" collapsed="false">
      <c r="A137" s="38" t="s">
        <v>157</v>
      </c>
      <c r="B137" s="38" t="s">
        <v>247</v>
      </c>
      <c r="C137" s="38" t="s">
        <v>249</v>
      </c>
      <c r="D137" s="21" t="n">
        <v>434</v>
      </c>
      <c r="E137" s="21" t="n">
        <v>440</v>
      </c>
      <c r="F137" s="51" t="n">
        <f aca="false">IF(E137="","",D137-E137)</f>
        <v>-6</v>
      </c>
      <c r="G137" s="21" t="n">
        <v>230</v>
      </c>
      <c r="H137" s="21" t="n">
        <v>262</v>
      </c>
      <c r="I137" s="51" t="n">
        <f aca="false">IF(H137="","",G137-H137)</f>
        <v>-32</v>
      </c>
      <c r="J137" s="39" t="n">
        <f aca="false">IF(OR(D137="",D137+G137=0),"",D137/(D137+G137))</f>
        <v>0.653614457831325</v>
      </c>
      <c r="K137" s="39" t="n">
        <f aca="false">IF(E137="","",E137/(E137+H137))</f>
        <v>0.626780626780627</v>
      </c>
      <c r="L137" s="52" t="n">
        <f aca="false">IF(OR(K137="",J137=""),"",(J137-K137)*100)</f>
        <v>2.68338310506986</v>
      </c>
      <c r="M137" s="38"/>
    </row>
    <row r="138" customFormat="false" ht="15" hidden="false" customHeight="false" outlineLevel="0" collapsed="false">
      <c r="A138" s="38" t="s">
        <v>157</v>
      </c>
      <c r="B138" s="38" t="s">
        <v>247</v>
      </c>
      <c r="C138" s="38" t="s">
        <v>250</v>
      </c>
      <c r="D138" s="21" t="n">
        <v>461</v>
      </c>
      <c r="E138" s="21" t="n">
        <v>414</v>
      </c>
      <c r="F138" s="51" t="n">
        <f aca="false">IF(E138="","",D138-E138)</f>
        <v>47</v>
      </c>
      <c r="G138" s="21" t="n">
        <v>210</v>
      </c>
      <c r="H138" s="21" t="n">
        <v>239</v>
      </c>
      <c r="I138" s="51" t="n">
        <f aca="false">IF(H138="","",G138-H138)</f>
        <v>-29</v>
      </c>
      <c r="J138" s="39" t="n">
        <f aca="false">IF(OR(D138="",D138+G138=0),"",D138/(D138+G138))</f>
        <v>0.687034277198212</v>
      </c>
      <c r="K138" s="39" t="n">
        <f aca="false">IF(E138="","",E138/(E138+H138))</f>
        <v>0.633996937212864</v>
      </c>
      <c r="L138" s="52" t="n">
        <f aca="false">IF(OR(K138="",J138=""),"",(J138-K138)*100)</f>
        <v>5.3037339985348</v>
      </c>
      <c r="M138" s="38"/>
    </row>
    <row r="139" customFormat="false" ht="15" hidden="false" customHeight="false" outlineLevel="0" collapsed="false">
      <c r="A139" s="38" t="s">
        <v>157</v>
      </c>
      <c r="B139" s="38" t="s">
        <v>251</v>
      </c>
      <c r="C139" s="38" t="s">
        <v>251</v>
      </c>
      <c r="D139" s="21" t="n">
        <v>412</v>
      </c>
      <c r="E139" s="21" t="n">
        <v>379</v>
      </c>
      <c r="F139" s="51" t="n">
        <f aca="false">IF(E139="","",D139-E139)</f>
        <v>33</v>
      </c>
      <c r="G139" s="21" t="n">
        <v>324</v>
      </c>
      <c r="H139" s="21" t="n">
        <v>330</v>
      </c>
      <c r="I139" s="51" t="n">
        <f aca="false">IF(H139="","",G139-H139)</f>
        <v>-6</v>
      </c>
      <c r="J139" s="39" t="n">
        <f aca="false">IF(OR(D139="",D139+G139=0),"",D139/(D139+G139))</f>
        <v>0.559782608695652</v>
      </c>
      <c r="K139" s="39" t="n">
        <f aca="false">IF(E139="","",E139/(E139+H139))</f>
        <v>0.534555712270804</v>
      </c>
      <c r="L139" s="52" t="n">
        <f aca="false">IF(OR(K139="",J139=""),"",(J139-K139)*100)</f>
        <v>2.52268964248483</v>
      </c>
      <c r="M139" s="38"/>
    </row>
    <row r="140" customFormat="false" ht="15" hidden="false" customHeight="false" outlineLevel="0" collapsed="false">
      <c r="A140" s="38" t="s">
        <v>157</v>
      </c>
      <c r="B140" s="38" t="s">
        <v>252</v>
      </c>
      <c r="C140" s="38" t="s">
        <v>252</v>
      </c>
      <c r="D140" s="21" t="n">
        <v>737</v>
      </c>
      <c r="E140" s="21" t="n">
        <v>654</v>
      </c>
      <c r="F140" s="51" t="n">
        <f aca="false">IF(E140="","",D140-E140)</f>
        <v>83</v>
      </c>
      <c r="G140" s="21" t="n">
        <v>1409</v>
      </c>
      <c r="H140" s="21" t="n">
        <v>1439</v>
      </c>
      <c r="I140" s="51" t="n">
        <f aca="false">IF(H140="","",G140-H140)</f>
        <v>-30</v>
      </c>
      <c r="J140" s="39" t="n">
        <f aca="false">IF(OR(D140="",D140+G140=0),"",D140/(D140+G140))</f>
        <v>0.343429636533085</v>
      </c>
      <c r="K140" s="39" t="n">
        <f aca="false">IF(E140="","",E140/(E140+H140))</f>
        <v>0.312470138557095</v>
      </c>
      <c r="L140" s="52" t="n">
        <f aca="false">IF(OR(K140="",J140=""),"",(J140-K140)*100)</f>
        <v>3.09594979759897</v>
      </c>
      <c r="M140" s="38"/>
    </row>
    <row r="141" customFormat="false" ht="15" hidden="false" customHeight="false" outlineLevel="0" collapsed="false">
      <c r="A141" s="38" t="s">
        <v>157</v>
      </c>
      <c r="B141" s="38" t="s">
        <v>253</v>
      </c>
      <c r="C141" s="38" t="s">
        <v>254</v>
      </c>
      <c r="D141" s="21" t="n">
        <v>1062</v>
      </c>
      <c r="E141" s="21" t="n">
        <v>928</v>
      </c>
      <c r="F141" s="51" t="n">
        <f aca="false">IF(E141="","",D141-E141)</f>
        <v>134</v>
      </c>
      <c r="G141" s="21" t="n">
        <v>1001</v>
      </c>
      <c r="H141" s="21" t="n">
        <v>988</v>
      </c>
      <c r="I141" s="51" t="n">
        <f aca="false">IF(H141="","",G141-H141)</f>
        <v>13</v>
      </c>
      <c r="J141" s="39" t="n">
        <f aca="false">IF(OR(D141="",D141+G141=0),"",D141/(D141+G141))</f>
        <v>0.514784294716432</v>
      </c>
      <c r="K141" s="39" t="n">
        <f aca="false">IF(E141="","",E141/(E141+H141))</f>
        <v>0.484342379958246</v>
      </c>
      <c r="L141" s="52" t="n">
        <f aca="false">IF(OR(K141="",J141=""),"",(J141-K141)*100)</f>
        <v>3.0441914758186</v>
      </c>
      <c r="M141" s="38"/>
    </row>
    <row r="142" customFormat="false" ht="15" hidden="false" customHeight="false" outlineLevel="0" collapsed="false">
      <c r="A142" s="38" t="s">
        <v>157</v>
      </c>
      <c r="B142" s="38" t="s">
        <v>253</v>
      </c>
      <c r="C142" s="38" t="s">
        <v>255</v>
      </c>
      <c r="D142" s="21" t="n">
        <v>1230</v>
      </c>
      <c r="E142" s="21" t="n">
        <v>1082</v>
      </c>
      <c r="F142" s="51" t="n">
        <f aca="false">IF(E142="","",D142-E142)</f>
        <v>148</v>
      </c>
      <c r="G142" s="21" t="n">
        <v>1109</v>
      </c>
      <c r="H142" s="21" t="n">
        <v>1101</v>
      </c>
      <c r="I142" s="51" t="n">
        <f aca="false">IF(H142="","",G142-H142)</f>
        <v>8</v>
      </c>
      <c r="J142" s="39" t="n">
        <f aca="false">IF(OR(D142="",D142+G142=0),"",D142/(D142+G142))</f>
        <v>0.525865754595981</v>
      </c>
      <c r="K142" s="39" t="n">
        <f aca="false">IF(E142="","",E142/(E142+H142))</f>
        <v>0.495648190563445</v>
      </c>
      <c r="L142" s="52" t="n">
        <f aca="false">IF(OR(K142="",J142=""),"",(J142-K142)*100)</f>
        <v>3.02175640325364</v>
      </c>
      <c r="M142" s="38"/>
    </row>
    <row r="143" customFormat="false" ht="15" hidden="false" customHeight="false" outlineLevel="0" collapsed="false">
      <c r="A143" s="38" t="s">
        <v>157</v>
      </c>
      <c r="B143" s="38" t="s">
        <v>253</v>
      </c>
      <c r="C143" s="38" t="s">
        <v>256</v>
      </c>
      <c r="D143" s="21" t="n">
        <v>2061</v>
      </c>
      <c r="E143" s="21" t="n">
        <v>1799</v>
      </c>
      <c r="F143" s="51" t="n">
        <f aca="false">IF(E143="","",D143-E143)</f>
        <v>262</v>
      </c>
      <c r="G143" s="21" t="n">
        <v>1905</v>
      </c>
      <c r="H143" s="21" t="n">
        <v>1810</v>
      </c>
      <c r="I143" s="51" t="n">
        <f aca="false">IF(H143="","",G143-H143)</f>
        <v>95</v>
      </c>
      <c r="J143" s="39" t="n">
        <f aca="false">IF(OR(D143="",D143+G143=0),"",D143/(D143+G143))</f>
        <v>0.519667170953101</v>
      </c>
      <c r="K143" s="39" t="n">
        <f aca="false">IF(E143="","",E143/(E143+H143))</f>
        <v>0.498476032141868</v>
      </c>
      <c r="L143" s="52" t="n">
        <f aca="false">IF(OR(K143="",J143=""),"",(J143-K143)*100)</f>
        <v>2.11911388112338</v>
      </c>
      <c r="M143" s="38"/>
    </row>
    <row r="144" customFormat="false" ht="15" hidden="false" customHeight="false" outlineLevel="0" collapsed="false">
      <c r="A144" s="38" t="s">
        <v>157</v>
      </c>
      <c r="B144" s="38" t="s">
        <v>253</v>
      </c>
      <c r="C144" s="38" t="s">
        <v>257</v>
      </c>
      <c r="D144" s="21" t="n">
        <v>1021</v>
      </c>
      <c r="E144" s="21" t="n">
        <v>906</v>
      </c>
      <c r="F144" s="51" t="n">
        <f aca="false">IF(E144="","",D144-E144)</f>
        <v>115</v>
      </c>
      <c r="G144" s="21" t="n">
        <v>944</v>
      </c>
      <c r="H144" s="21" t="n">
        <v>980</v>
      </c>
      <c r="I144" s="51" t="n">
        <f aca="false">IF(H144="","",G144-H144)</f>
        <v>-36</v>
      </c>
      <c r="J144" s="39" t="n">
        <f aca="false">IF(OR(D144="",D144+G144=0),"",D144/(D144+G144))</f>
        <v>0.519592875318066</v>
      </c>
      <c r="K144" s="39" t="n">
        <f aca="false">IF(E144="","",E144/(E144+H144))</f>
        <v>0.480381760339343</v>
      </c>
      <c r="L144" s="52" t="n">
        <f aca="false">IF(OR(K144="",J144=""),"",(J144-K144)*100)</f>
        <v>3.92111149787237</v>
      </c>
      <c r="M144" s="38"/>
    </row>
    <row r="145" customFormat="false" ht="15" hidden="false" customHeight="false" outlineLevel="0" collapsed="false">
      <c r="A145" s="38" t="s">
        <v>157</v>
      </c>
      <c r="B145" s="38" t="s">
        <v>253</v>
      </c>
      <c r="C145" s="38" t="s">
        <v>258</v>
      </c>
      <c r="D145" s="21" t="n">
        <v>956</v>
      </c>
      <c r="E145" s="21" t="n">
        <v>852</v>
      </c>
      <c r="F145" s="51" t="n">
        <f aca="false">IF(E145="","",D145-E145)</f>
        <v>104</v>
      </c>
      <c r="G145" s="21" t="n">
        <v>883</v>
      </c>
      <c r="H145" s="21" t="n">
        <v>912</v>
      </c>
      <c r="I145" s="51" t="n">
        <f aca="false">IF(H145="","",G145-H145)</f>
        <v>-29</v>
      </c>
      <c r="J145" s="39" t="n">
        <f aca="false">IF(OR(D145="",D145+G145=0),"",D145/(D145+G145))</f>
        <v>0.519847743338771</v>
      </c>
      <c r="K145" s="39" t="n">
        <f aca="false">IF(E145="","",E145/(E145+H145))</f>
        <v>0.482993197278912</v>
      </c>
      <c r="L145" s="52" t="n">
        <f aca="false">IF(OR(K145="",J145=""),"",(J145-K145)*100)</f>
        <v>3.68545460598595</v>
      </c>
      <c r="M145" s="38"/>
    </row>
    <row r="146" customFormat="false" ht="15" hidden="false" customHeight="false" outlineLevel="0" collapsed="false">
      <c r="A146" s="38" t="s">
        <v>157</v>
      </c>
      <c r="B146" s="38" t="s">
        <v>253</v>
      </c>
      <c r="C146" s="38" t="s">
        <v>259</v>
      </c>
      <c r="D146" s="21" t="n">
        <v>789</v>
      </c>
      <c r="E146" s="21" t="n">
        <v>715</v>
      </c>
      <c r="F146" s="51" t="n">
        <f aca="false">IF(E146="","",D146-E146)</f>
        <v>74</v>
      </c>
      <c r="G146" s="21" t="n">
        <v>709</v>
      </c>
      <c r="H146" s="21" t="n">
        <v>677</v>
      </c>
      <c r="I146" s="51" t="n">
        <f aca="false">IF(H146="","",G146-H146)</f>
        <v>32</v>
      </c>
      <c r="J146" s="39" t="n">
        <f aca="false">IF(OR(D146="",D146+G146=0),"",D146/(D146+G146))</f>
        <v>0.526702269692924</v>
      </c>
      <c r="K146" s="39" t="n">
        <f aca="false">IF(E146="","",E146/(E146+H146))</f>
        <v>0.513649425287356</v>
      </c>
      <c r="L146" s="52" t="n">
        <f aca="false">IF(OR(K146="",J146=""),"",(J146-K146)*100)</f>
        <v>1.30528444055675</v>
      </c>
      <c r="M146" s="38"/>
    </row>
    <row r="147" customFormat="false" ht="15" hidden="false" customHeight="false" outlineLevel="0" collapsed="false">
      <c r="A147" s="38" t="s">
        <v>157</v>
      </c>
      <c r="B147" s="38" t="s">
        <v>253</v>
      </c>
      <c r="C147" s="38" t="s">
        <v>260</v>
      </c>
      <c r="D147" s="21" t="n">
        <v>1670</v>
      </c>
      <c r="E147" s="21" t="n">
        <v>1480</v>
      </c>
      <c r="F147" s="51" t="n">
        <f aca="false">IF(E147="","",D147-E147)</f>
        <v>190</v>
      </c>
      <c r="G147" s="21" t="n">
        <v>1494</v>
      </c>
      <c r="H147" s="21" t="n">
        <v>1588</v>
      </c>
      <c r="I147" s="51" t="n">
        <f aca="false">IF(H147="","",G147-H147)</f>
        <v>-94</v>
      </c>
      <c r="J147" s="39" t="n">
        <f aca="false">IF(OR(D147="",D147+G147=0),"",D147/(D147+G147))</f>
        <v>0.527812895069532</v>
      </c>
      <c r="K147" s="39" t="n">
        <f aca="false">IF(E147="","",E147/(E147+H147))</f>
        <v>0.482398956975228</v>
      </c>
      <c r="L147" s="52" t="n">
        <f aca="false">IF(OR(K147="",J147=""),"",(J147-K147)*100)</f>
        <v>4.54139380943041</v>
      </c>
      <c r="M147" s="38"/>
    </row>
    <row r="148" customFormat="false" ht="15" hidden="false" customHeight="false" outlineLevel="0" collapsed="false">
      <c r="A148" s="38" t="s">
        <v>157</v>
      </c>
      <c r="B148" s="38" t="s">
        <v>253</v>
      </c>
      <c r="C148" s="38" t="s">
        <v>261</v>
      </c>
      <c r="D148" s="21" t="n">
        <v>988</v>
      </c>
      <c r="E148" s="21" t="n">
        <v>890</v>
      </c>
      <c r="F148" s="51" t="n">
        <f aca="false">IF(E148="","",D148-E148)</f>
        <v>98</v>
      </c>
      <c r="G148" s="21" t="n">
        <v>807</v>
      </c>
      <c r="H148" s="21" t="n">
        <v>789</v>
      </c>
      <c r="I148" s="51" t="n">
        <f aca="false">IF(H148="","",G148-H148)</f>
        <v>18</v>
      </c>
      <c r="J148" s="39" t="n">
        <f aca="false">IF(OR(D148="",D148+G148=0),"",D148/(D148+G148))</f>
        <v>0.55041782729805</v>
      </c>
      <c r="K148" s="39" t="n">
        <f aca="false">IF(E148="","",E148/(E148+H148))</f>
        <v>0.530077427039905</v>
      </c>
      <c r="L148" s="52" t="n">
        <f aca="false">IF(OR(K148="",J148=""),"",(J148-K148)*100)</f>
        <v>2.03404002581454</v>
      </c>
      <c r="M148" s="38"/>
    </row>
    <row r="149" customFormat="false" ht="15" hidden="false" customHeight="false" outlineLevel="0" collapsed="false">
      <c r="A149" s="38" t="s">
        <v>157</v>
      </c>
      <c r="B149" s="38" t="s">
        <v>253</v>
      </c>
      <c r="C149" s="38" t="s">
        <v>262</v>
      </c>
      <c r="D149" s="21" t="n">
        <v>894</v>
      </c>
      <c r="E149" s="21" t="n">
        <v>817</v>
      </c>
      <c r="F149" s="51" t="n">
        <f aca="false">IF(E149="","",D149-E149)</f>
        <v>77</v>
      </c>
      <c r="G149" s="21" t="n">
        <v>791</v>
      </c>
      <c r="H149" s="21" t="n">
        <v>798</v>
      </c>
      <c r="I149" s="51" t="n">
        <f aca="false">IF(H149="","",G149-H149)</f>
        <v>-7</v>
      </c>
      <c r="J149" s="39" t="n">
        <f aca="false">IF(OR(D149="",D149+G149=0),"",D149/(D149+G149))</f>
        <v>0.530563798219585</v>
      </c>
      <c r="K149" s="39" t="n">
        <f aca="false">IF(E149="","",E149/(E149+H149))</f>
        <v>0.505882352941176</v>
      </c>
      <c r="L149" s="52" t="n">
        <f aca="false">IF(OR(K149="",J149=""),"",(J149-K149)*100)</f>
        <v>2.46814452784081</v>
      </c>
      <c r="M149" s="38"/>
    </row>
    <row r="150" customFormat="false" ht="15" hidden="false" customHeight="false" outlineLevel="0" collapsed="false">
      <c r="A150" s="38" t="s">
        <v>157</v>
      </c>
      <c r="B150" s="38" t="s">
        <v>253</v>
      </c>
      <c r="C150" s="38" t="s">
        <v>263</v>
      </c>
      <c r="D150" s="21" t="n">
        <v>665</v>
      </c>
      <c r="E150" s="21" t="n">
        <v>552</v>
      </c>
      <c r="F150" s="51" t="n">
        <f aca="false">IF(E150="","",D150-E150)</f>
        <v>113</v>
      </c>
      <c r="G150" s="21" t="n">
        <v>561</v>
      </c>
      <c r="H150" s="21" t="n">
        <v>556</v>
      </c>
      <c r="I150" s="51" t="n">
        <f aca="false">IF(H150="","",G150-H150)</f>
        <v>5</v>
      </c>
      <c r="J150" s="39" t="n">
        <f aca="false">IF(OR(D150="",D150+G150=0),"",D150/(D150+G150))</f>
        <v>0.542414355628059</v>
      </c>
      <c r="K150" s="39" t="n">
        <f aca="false">IF(E150="","",E150/(E150+H150))</f>
        <v>0.498194945848375</v>
      </c>
      <c r="L150" s="52" t="n">
        <f aca="false">IF(OR(K150="",J150=""),"",(J150-K150)*100)</f>
        <v>4.42194097796833</v>
      </c>
      <c r="M150" s="38"/>
    </row>
    <row r="151" customFormat="false" ht="15" hidden="false" customHeight="false" outlineLevel="0" collapsed="false">
      <c r="A151" s="38" t="s">
        <v>157</v>
      </c>
      <c r="B151" s="38" t="s">
        <v>264</v>
      </c>
      <c r="C151" s="38" t="s">
        <v>264</v>
      </c>
      <c r="D151" s="21" t="n">
        <v>1097</v>
      </c>
      <c r="E151" s="21" t="n">
        <v>985</v>
      </c>
      <c r="F151" s="51" t="n">
        <f aca="false">IF(E151="","",D151-E151)</f>
        <v>112</v>
      </c>
      <c r="G151" s="21" t="n">
        <v>1682</v>
      </c>
      <c r="H151" s="21" t="n">
        <v>1586</v>
      </c>
      <c r="I151" s="51" t="n">
        <f aca="false">IF(H151="","",G151-H151)</f>
        <v>96</v>
      </c>
      <c r="J151" s="39" t="n">
        <f aca="false">IF(OR(D151="",D151+G151=0),"",D151/(D151+G151))</f>
        <v>0.394746311622886</v>
      </c>
      <c r="K151" s="39" t="n">
        <f aca="false">IF(E151="","",E151/(E151+H151))</f>
        <v>0.383119408790354</v>
      </c>
      <c r="L151" s="52" t="n">
        <f aca="false">IF(OR(K151="",J151=""),"",(J151-K151)*100)</f>
        <v>1.1626902832532</v>
      </c>
      <c r="M151" s="38"/>
    </row>
    <row r="152" customFormat="false" ht="15" hidden="false" customHeight="false" outlineLevel="0" collapsed="false">
      <c r="A152" s="38" t="s">
        <v>157</v>
      </c>
      <c r="B152" s="38" t="s">
        <v>265</v>
      </c>
      <c r="C152" s="38" t="s">
        <v>265</v>
      </c>
      <c r="D152" s="21" t="n">
        <v>625</v>
      </c>
      <c r="E152" s="21" t="n">
        <v>543</v>
      </c>
      <c r="F152" s="51" t="n">
        <f aca="false">IF(E152="","",D152-E152)</f>
        <v>82</v>
      </c>
      <c r="G152" s="21" t="n">
        <v>1018</v>
      </c>
      <c r="H152" s="21" t="n">
        <v>990</v>
      </c>
      <c r="I152" s="51" t="n">
        <f aca="false">IF(H152="","",G152-H152)</f>
        <v>28</v>
      </c>
      <c r="J152" s="39" t="n">
        <f aca="false">IF(OR(D152="",D152+G152=0),"",D152/(D152+G152))</f>
        <v>0.380401704199635</v>
      </c>
      <c r="K152" s="39" t="n">
        <f aca="false">IF(E152="","",E152/(E152+H152))</f>
        <v>0.354207436399217</v>
      </c>
      <c r="L152" s="52" t="n">
        <f aca="false">IF(OR(K152="",J152=""),"",(J152-K152)*100)</f>
        <v>2.61942678004176</v>
      </c>
      <c r="M152" s="38"/>
    </row>
    <row r="153" customFormat="false" ht="15" hidden="false" customHeight="false" outlineLevel="0" collapsed="false">
      <c r="A153" s="38" t="s">
        <v>157</v>
      </c>
      <c r="B153" s="38" t="s">
        <v>266</v>
      </c>
      <c r="C153" s="38" t="s">
        <v>267</v>
      </c>
      <c r="D153" s="21" t="n">
        <v>229</v>
      </c>
      <c r="E153" s="21" t="n">
        <v>181</v>
      </c>
      <c r="F153" s="51" t="n">
        <f aca="false">IF(E153="","",D153-E153)</f>
        <v>48</v>
      </c>
      <c r="G153" s="21" t="n">
        <v>492</v>
      </c>
      <c r="H153" s="21" t="n">
        <v>482</v>
      </c>
      <c r="I153" s="51" t="n">
        <f aca="false">IF(H153="","",G153-H153)</f>
        <v>10</v>
      </c>
      <c r="J153" s="39" t="n">
        <f aca="false">IF(OR(D153="",D153+G153=0),"",D153/(D153+G153))</f>
        <v>0.317614424410541</v>
      </c>
      <c r="K153" s="39" t="n">
        <f aca="false">IF(E153="","",E153/(E153+H153))</f>
        <v>0.273001508295626</v>
      </c>
      <c r="L153" s="52" t="n">
        <f aca="false">IF(OR(K153="",J153=""),"",(J153-K153)*100)</f>
        <v>4.4612916114915</v>
      </c>
      <c r="M153" s="38"/>
    </row>
    <row r="154" customFormat="false" ht="15" hidden="false" customHeight="false" outlineLevel="0" collapsed="false">
      <c r="A154" s="38" t="s">
        <v>157</v>
      </c>
      <c r="B154" s="38" t="s">
        <v>266</v>
      </c>
      <c r="C154" s="38" t="s">
        <v>268</v>
      </c>
      <c r="D154" s="21" t="n">
        <v>167</v>
      </c>
      <c r="E154" s="21" t="n">
        <v>147</v>
      </c>
      <c r="F154" s="51" t="n">
        <f aca="false">IF(E154="","",D154-E154)</f>
        <v>20</v>
      </c>
      <c r="G154" s="21" t="n">
        <v>323</v>
      </c>
      <c r="H154" s="21" t="n">
        <v>314</v>
      </c>
      <c r="I154" s="51" t="n">
        <f aca="false">IF(H154="","",G154-H154)</f>
        <v>9</v>
      </c>
      <c r="J154" s="39" t="n">
        <f aca="false">IF(OR(D154="",D154+G154=0),"",D154/(D154+G154))</f>
        <v>0.340816326530612</v>
      </c>
      <c r="K154" s="39" t="n">
        <f aca="false">IF(E154="","",E154/(E154+H154))</f>
        <v>0.318872017353579</v>
      </c>
      <c r="L154" s="52" t="n">
        <f aca="false">IF(OR(K154="",J154=""),"",(J154-K154)*100)</f>
        <v>2.19443091770331</v>
      </c>
      <c r="M154" s="38"/>
    </row>
    <row r="155" customFormat="false" ht="15" hidden="false" customHeight="false" outlineLevel="0" collapsed="false">
      <c r="A155" s="38" t="s">
        <v>157</v>
      </c>
      <c r="B155" s="38" t="s">
        <v>266</v>
      </c>
      <c r="C155" s="38" t="s">
        <v>269</v>
      </c>
      <c r="D155" s="21" t="n">
        <v>600</v>
      </c>
      <c r="E155" s="21" t="n">
        <v>522</v>
      </c>
      <c r="F155" s="51" t="n">
        <f aca="false">IF(E155="","",D155-E155)</f>
        <v>78</v>
      </c>
      <c r="G155" s="21" t="n">
        <v>1080</v>
      </c>
      <c r="H155" s="21" t="n">
        <v>1060</v>
      </c>
      <c r="I155" s="51" t="n">
        <f aca="false">IF(H155="","",G155-H155)</f>
        <v>20</v>
      </c>
      <c r="J155" s="39" t="n">
        <f aca="false">IF(OR(D155="",D155+G155=0),"",D155/(D155+G155))</f>
        <v>0.357142857142857</v>
      </c>
      <c r="K155" s="39" t="n">
        <f aca="false">IF(E155="","",E155/(E155+H155))</f>
        <v>0.329962073324905</v>
      </c>
      <c r="L155" s="52" t="n">
        <f aca="false">IF(OR(K155="",J155=""),"",(J155-K155)*100)</f>
        <v>2.7180783817952</v>
      </c>
      <c r="M155" s="38"/>
    </row>
    <row r="156" customFormat="false" ht="15" hidden="false" customHeight="false" outlineLevel="0" collapsed="false">
      <c r="A156" s="38" t="s">
        <v>157</v>
      </c>
      <c r="B156" s="38" t="s">
        <v>270</v>
      </c>
      <c r="C156" s="38" t="s">
        <v>270</v>
      </c>
      <c r="D156" s="21" t="n">
        <v>1079</v>
      </c>
      <c r="E156" s="21" t="n">
        <v>980</v>
      </c>
      <c r="F156" s="51" t="n">
        <f aca="false">IF(E156="","",D156-E156)</f>
        <v>99</v>
      </c>
      <c r="G156" s="21" t="n">
        <v>869</v>
      </c>
      <c r="H156" s="21" t="n">
        <v>872</v>
      </c>
      <c r="I156" s="51" t="n">
        <f aca="false">IF(H156="","",G156-H156)</f>
        <v>-3</v>
      </c>
      <c r="J156" s="39" t="n">
        <f aca="false">IF(OR(D156="",D156+G156=0),"",D156/(D156+G156))</f>
        <v>0.553901437371663</v>
      </c>
      <c r="K156" s="39" t="n">
        <f aca="false">IF(E156="","",E156/(E156+H156))</f>
        <v>0.529157667386609</v>
      </c>
      <c r="L156" s="52" t="n">
        <f aca="false">IF(OR(K156="",J156=""),"",(J156-K156)*100)</f>
        <v>2.47437699850541</v>
      </c>
      <c r="M156" s="38"/>
    </row>
    <row r="157" customFormat="false" ht="15" hidden="false" customHeight="false" outlineLevel="0" collapsed="false">
      <c r="A157" s="38" t="s">
        <v>157</v>
      </c>
      <c r="B157" s="38" t="s">
        <v>271</v>
      </c>
      <c r="C157" s="38" t="s">
        <v>272</v>
      </c>
      <c r="D157" s="21" t="n">
        <v>1120</v>
      </c>
      <c r="E157" s="21" t="n">
        <v>1010</v>
      </c>
      <c r="F157" s="51" t="n">
        <f aca="false">IF(E157="","",D157-E157)</f>
        <v>110</v>
      </c>
      <c r="G157" s="21" t="n">
        <v>1384</v>
      </c>
      <c r="H157" s="21" t="n">
        <v>1334</v>
      </c>
      <c r="I157" s="51" t="n">
        <f aca="false">IF(H157="","",G157-H157)</f>
        <v>50</v>
      </c>
      <c r="J157" s="39" t="n">
        <f aca="false">IF(OR(D157="",D157+G157=0),"",D157/(D157+G157))</f>
        <v>0.447284345047923</v>
      </c>
      <c r="K157" s="39" t="n">
        <f aca="false">IF(E157="","",E157/(E157+H157))</f>
        <v>0.430887372013652</v>
      </c>
      <c r="L157" s="52" t="n">
        <f aca="false">IF(OR(K157="",J157=""),"",(J157-K157)*100)</f>
        <v>1.63969730342714</v>
      </c>
      <c r="M157" s="38"/>
    </row>
    <row r="158" customFormat="false" ht="15" hidden="false" customHeight="false" outlineLevel="0" collapsed="false">
      <c r="A158" s="38" t="s">
        <v>157</v>
      </c>
      <c r="B158" s="38" t="s">
        <v>271</v>
      </c>
      <c r="C158" s="38" t="s">
        <v>273</v>
      </c>
      <c r="D158" s="21" t="n">
        <v>955</v>
      </c>
      <c r="E158" s="21" t="n">
        <v>860</v>
      </c>
      <c r="F158" s="51" t="n">
        <f aca="false">IF(E158="","",D158-E158)</f>
        <v>95</v>
      </c>
      <c r="G158" s="21" t="n">
        <v>1344</v>
      </c>
      <c r="H158" s="21" t="n">
        <v>1332</v>
      </c>
      <c r="I158" s="51" t="n">
        <f aca="false">IF(H158="","",G158-H158)</f>
        <v>12</v>
      </c>
      <c r="J158" s="39" t="n">
        <f aca="false">IF(OR(D158="",D158+G158=0),"",D158/(D158+G158))</f>
        <v>0.415397999130057</v>
      </c>
      <c r="K158" s="39" t="n">
        <f aca="false">IF(E158="","",E158/(E158+H158))</f>
        <v>0.392335766423358</v>
      </c>
      <c r="L158" s="52" t="n">
        <f aca="false">IF(OR(K158="",J158=""),"",(J158-K158)*100)</f>
        <v>2.30622327066989</v>
      </c>
      <c r="M158" s="38"/>
    </row>
    <row r="159" customFormat="false" ht="15" hidden="false" customHeight="false" outlineLevel="0" collapsed="false">
      <c r="A159" s="38" t="s">
        <v>157</v>
      </c>
      <c r="B159" s="38" t="s">
        <v>271</v>
      </c>
      <c r="C159" s="38" t="s">
        <v>274</v>
      </c>
      <c r="D159" s="21" t="n">
        <v>525</v>
      </c>
      <c r="E159" s="21" t="n">
        <v>449</v>
      </c>
      <c r="F159" s="51" t="n">
        <f aca="false">IF(E159="","",D159-E159)</f>
        <v>76</v>
      </c>
      <c r="G159" s="21" t="n">
        <v>709</v>
      </c>
      <c r="H159" s="21" t="n">
        <v>705</v>
      </c>
      <c r="I159" s="51" t="n">
        <f aca="false">IF(H159="","",G159-H159)</f>
        <v>4</v>
      </c>
      <c r="J159" s="39" t="n">
        <f aca="false">IF(OR(D159="",D159+G159=0),"",D159/(D159+G159))</f>
        <v>0.425445705024311</v>
      </c>
      <c r="K159" s="39" t="n">
        <f aca="false">IF(E159="","",E159/(E159+H159))</f>
        <v>0.389081455805893</v>
      </c>
      <c r="L159" s="52" t="n">
        <f aca="false">IF(OR(K159="",J159=""),"",(J159-K159)*100)</f>
        <v>3.63642492184186</v>
      </c>
      <c r="M159" s="38"/>
    </row>
    <row r="160" customFormat="false" ht="15" hidden="false" customHeight="false" outlineLevel="0" collapsed="false">
      <c r="A160" s="38" t="s">
        <v>157</v>
      </c>
      <c r="B160" s="38" t="s">
        <v>271</v>
      </c>
      <c r="C160" s="38" t="s">
        <v>275</v>
      </c>
      <c r="D160" s="21" t="n">
        <v>729</v>
      </c>
      <c r="E160" s="21" t="n">
        <v>654</v>
      </c>
      <c r="F160" s="51" t="n">
        <f aca="false">IF(E160="","",D160-E160)</f>
        <v>75</v>
      </c>
      <c r="G160" s="21" t="n">
        <v>986</v>
      </c>
      <c r="H160" s="21" t="n">
        <v>979</v>
      </c>
      <c r="I160" s="51" t="n">
        <f aca="false">IF(H160="","",G160-H160)</f>
        <v>7</v>
      </c>
      <c r="J160" s="39" t="n">
        <f aca="false">IF(OR(D160="",D160+G160=0),"",D160/(D160+G160))</f>
        <v>0.425072886297376</v>
      </c>
      <c r="K160" s="39" t="n">
        <f aca="false">IF(E160="","",E160/(E160+H160))</f>
        <v>0.400489895897122</v>
      </c>
      <c r="L160" s="52" t="n">
        <f aca="false">IF(OR(K160="",J160=""),"",(J160-K160)*100)</f>
        <v>2.45829904002542</v>
      </c>
      <c r="M160" s="38"/>
    </row>
    <row r="161" customFormat="false" ht="15" hidden="false" customHeight="false" outlineLevel="0" collapsed="false">
      <c r="A161" s="38" t="s">
        <v>157</v>
      </c>
      <c r="B161" s="38" t="s">
        <v>271</v>
      </c>
      <c r="C161" s="38" t="s">
        <v>276</v>
      </c>
      <c r="D161" s="21" t="n">
        <v>649</v>
      </c>
      <c r="E161" s="21" t="n">
        <v>557</v>
      </c>
      <c r="F161" s="51" t="n">
        <f aca="false">IF(E161="","",D161-E161)</f>
        <v>92</v>
      </c>
      <c r="G161" s="21" t="n">
        <v>933</v>
      </c>
      <c r="H161" s="21" t="n">
        <v>890</v>
      </c>
      <c r="I161" s="51" t="n">
        <f aca="false">IF(H161="","",G161-H161)</f>
        <v>43</v>
      </c>
      <c r="J161" s="39" t="n">
        <f aca="false">IF(OR(D161="",D161+G161=0),"",D161/(D161+G161))</f>
        <v>0.410240202275601</v>
      </c>
      <c r="K161" s="39" t="n">
        <f aca="false">IF(E161="","",E161/(E161+H161))</f>
        <v>0.384934346924672</v>
      </c>
      <c r="L161" s="52" t="n">
        <f aca="false">IF(OR(K161="",J161=""),"",(J161-K161)*100)</f>
        <v>2.53058553509288</v>
      </c>
      <c r="M161" s="38"/>
    </row>
    <row r="162" customFormat="false" ht="15" hidden="false" customHeight="false" outlineLevel="0" collapsed="false">
      <c r="A162" s="38" t="s">
        <v>157</v>
      </c>
      <c r="B162" s="38" t="s">
        <v>271</v>
      </c>
      <c r="C162" s="38" t="s">
        <v>277</v>
      </c>
      <c r="D162" s="21" t="n">
        <v>562</v>
      </c>
      <c r="E162" s="21" t="n">
        <v>492</v>
      </c>
      <c r="F162" s="51" t="n">
        <f aca="false">IF(E162="","",D162-E162)</f>
        <v>70</v>
      </c>
      <c r="G162" s="21" t="n">
        <v>676</v>
      </c>
      <c r="H162" s="21" t="n">
        <v>675</v>
      </c>
      <c r="I162" s="51" t="n">
        <f aca="false">IF(H162="","",G162-H162)</f>
        <v>1</v>
      </c>
      <c r="J162" s="39" t="n">
        <f aca="false">IF(OR(D162="",D162+G162=0),"",D162/(D162+G162))</f>
        <v>0.453957996768982</v>
      </c>
      <c r="K162" s="39" t="n">
        <f aca="false">IF(E162="","",E162/(E162+H162))</f>
        <v>0.42159383033419</v>
      </c>
      <c r="L162" s="52" t="n">
        <f aca="false">IF(OR(K162="",J162=""),"",(J162-K162)*100)</f>
        <v>3.2364166434792</v>
      </c>
      <c r="M162" s="38"/>
    </row>
    <row r="163" customFormat="false" ht="15" hidden="false" customHeight="false" outlineLevel="0" collapsed="false">
      <c r="A163" s="38" t="s">
        <v>157</v>
      </c>
      <c r="B163" s="38" t="s">
        <v>278</v>
      </c>
      <c r="C163" s="38" t="s">
        <v>279</v>
      </c>
      <c r="D163" s="21" t="n">
        <v>738</v>
      </c>
      <c r="E163" s="21" t="n">
        <v>668</v>
      </c>
      <c r="F163" s="51" t="n">
        <f aca="false">IF(E163="","",D163-E163)</f>
        <v>70</v>
      </c>
      <c r="G163" s="21" t="n">
        <v>702</v>
      </c>
      <c r="H163" s="21" t="n">
        <v>693</v>
      </c>
      <c r="I163" s="51" t="n">
        <f aca="false">IF(H163="","",G163-H163)</f>
        <v>9</v>
      </c>
      <c r="J163" s="39" t="n">
        <f aca="false">IF(OR(D163="",D163+G163=0),"",D163/(D163+G163))</f>
        <v>0.5125</v>
      </c>
      <c r="K163" s="39" t="n">
        <f aca="false">IF(E163="","",E163/(E163+H163))</f>
        <v>0.490815576781778</v>
      </c>
      <c r="L163" s="52" t="n">
        <f aca="false">IF(OR(K163="",J163=""),"",(J163-K163)*100)</f>
        <v>2.16844232182218</v>
      </c>
      <c r="M163" s="38"/>
    </row>
    <row r="164" customFormat="false" ht="15" hidden="false" customHeight="false" outlineLevel="0" collapsed="false">
      <c r="A164" s="38" t="s">
        <v>157</v>
      </c>
      <c r="B164" s="38" t="s">
        <v>278</v>
      </c>
      <c r="C164" s="38" t="s">
        <v>280</v>
      </c>
      <c r="D164" s="21" t="n">
        <v>874</v>
      </c>
      <c r="E164" s="21" t="n">
        <v>803</v>
      </c>
      <c r="F164" s="51" t="n">
        <f aca="false">IF(E164="","",D164-E164)</f>
        <v>71</v>
      </c>
      <c r="G164" s="21" t="n">
        <v>779</v>
      </c>
      <c r="H164" s="21" t="n">
        <v>818</v>
      </c>
      <c r="I164" s="51" t="n">
        <f aca="false">IF(H164="","",G164-H164)</f>
        <v>-39</v>
      </c>
      <c r="J164" s="39" t="n">
        <f aca="false">IF(OR(D164="",D164+G164=0),"",D164/(D164+G164))</f>
        <v>0.528735632183908</v>
      </c>
      <c r="K164" s="39" t="n">
        <f aca="false">IF(E164="","",E164/(E164+H164))</f>
        <v>0.495373226403455</v>
      </c>
      <c r="L164" s="52" t="n">
        <f aca="false">IF(OR(K164="",J164=""),"",(J164-K164)*100)</f>
        <v>3.33624057804534</v>
      </c>
      <c r="M164" s="38"/>
    </row>
    <row r="165" customFormat="false" ht="15" hidden="false" customHeight="false" outlineLevel="0" collapsed="false">
      <c r="A165" s="38" t="s">
        <v>157</v>
      </c>
      <c r="B165" s="38" t="s">
        <v>278</v>
      </c>
      <c r="C165" s="38" t="s">
        <v>281</v>
      </c>
      <c r="D165" s="21" t="n">
        <v>416</v>
      </c>
      <c r="E165" s="21" t="n">
        <v>342</v>
      </c>
      <c r="F165" s="51" t="n">
        <f aca="false">IF(E165="","",D165-E165)</f>
        <v>74</v>
      </c>
      <c r="G165" s="21" t="n">
        <v>373</v>
      </c>
      <c r="H165" s="21" t="n">
        <v>358</v>
      </c>
      <c r="I165" s="51" t="n">
        <f aca="false">IF(H165="","",G165-H165)</f>
        <v>15</v>
      </c>
      <c r="J165" s="39" t="n">
        <f aca="false">IF(OR(D165="",D165+G165=0),"",D165/(D165+G165))</f>
        <v>0.527249683143219</v>
      </c>
      <c r="K165" s="39" t="n">
        <f aca="false">IF(E165="","",E165/(E165+H165))</f>
        <v>0.488571428571429</v>
      </c>
      <c r="L165" s="52" t="n">
        <f aca="false">IF(OR(K165="",J165=""),"",(J165-K165)*100)</f>
        <v>3.86782545717908</v>
      </c>
      <c r="M165" s="38"/>
    </row>
    <row r="166" customFormat="false" ht="15" hidden="false" customHeight="false" outlineLevel="0" collapsed="false">
      <c r="A166" s="38" t="s">
        <v>157</v>
      </c>
      <c r="B166" s="38" t="s">
        <v>278</v>
      </c>
      <c r="C166" s="38" t="s">
        <v>282</v>
      </c>
      <c r="D166" s="21" t="n">
        <v>448</v>
      </c>
      <c r="E166" s="21" t="n">
        <v>411</v>
      </c>
      <c r="F166" s="51" t="n">
        <f aca="false">IF(E166="","",D166-E166)</f>
        <v>37</v>
      </c>
      <c r="G166" s="21" t="n">
        <v>404</v>
      </c>
      <c r="H166" s="21" t="n">
        <v>417</v>
      </c>
      <c r="I166" s="51" t="n">
        <f aca="false">IF(H166="","",G166-H166)</f>
        <v>-13</v>
      </c>
      <c r="J166" s="39" t="n">
        <f aca="false">IF(OR(D166="",D166+G166=0),"",D166/(D166+G166))</f>
        <v>0.525821596244132</v>
      </c>
      <c r="K166" s="39" t="n">
        <f aca="false">IF(E166="","",E166/(E166+H166))</f>
        <v>0.496376811594203</v>
      </c>
      <c r="L166" s="52" t="n">
        <f aca="false">IF(OR(K166="",J166=""),"",(J166-K166)*100)</f>
        <v>2.94447846499286</v>
      </c>
      <c r="M166" s="38"/>
    </row>
    <row r="167" customFormat="false" ht="15" hidden="false" customHeight="false" outlineLevel="0" collapsed="false">
      <c r="A167" s="38" t="s">
        <v>157</v>
      </c>
      <c r="B167" s="38" t="s">
        <v>278</v>
      </c>
      <c r="C167" s="38" t="s">
        <v>283</v>
      </c>
      <c r="D167" s="21" t="n">
        <v>588</v>
      </c>
      <c r="E167" s="21" t="n">
        <v>525</v>
      </c>
      <c r="F167" s="51" t="n">
        <f aca="false">IF(E167="","",D167-E167)</f>
        <v>63</v>
      </c>
      <c r="G167" s="21" t="n">
        <v>589</v>
      </c>
      <c r="H167" s="21" t="n">
        <v>552</v>
      </c>
      <c r="I167" s="51" t="n">
        <f aca="false">IF(H167="","",G167-H167)</f>
        <v>37</v>
      </c>
      <c r="J167" s="39" t="n">
        <f aca="false">IF(OR(D167="",D167+G167=0),"",D167/(D167+G167))</f>
        <v>0.499575191163976</v>
      </c>
      <c r="K167" s="39" t="n">
        <f aca="false">IF(E167="","",E167/(E167+H167))</f>
        <v>0.487465181058496</v>
      </c>
      <c r="L167" s="52" t="n">
        <f aca="false">IF(OR(K167="",J167=""),"",(J167-K167)*100)</f>
        <v>1.21100101054804</v>
      </c>
      <c r="M167" s="38"/>
    </row>
    <row r="168" customFormat="false" ht="15" hidden="false" customHeight="false" outlineLevel="0" collapsed="false">
      <c r="A168" s="38" t="s">
        <v>157</v>
      </c>
      <c r="B168" s="38" t="s">
        <v>278</v>
      </c>
      <c r="C168" s="38" t="s">
        <v>284</v>
      </c>
      <c r="D168" s="21" t="n">
        <v>378</v>
      </c>
      <c r="E168" s="21" t="n">
        <v>313</v>
      </c>
      <c r="F168" s="51" t="n">
        <f aca="false">IF(E168="","",D168-E168)</f>
        <v>65</v>
      </c>
      <c r="G168" s="21" t="n">
        <v>373</v>
      </c>
      <c r="H168" s="21" t="n">
        <v>360</v>
      </c>
      <c r="I168" s="51" t="n">
        <f aca="false">IF(H168="","",G168-H168)</f>
        <v>13</v>
      </c>
      <c r="J168" s="39" t="n">
        <f aca="false">IF(OR(D168="",D168+G168=0),"",D168/(D168+G168))</f>
        <v>0.503328894806924</v>
      </c>
      <c r="K168" s="39" t="n">
        <f aca="false">IF(E168="","",E168/(E168+H168))</f>
        <v>0.465081723625557</v>
      </c>
      <c r="L168" s="52" t="n">
        <f aca="false">IF(OR(K168="",J168=""),"",(J168-K168)*100)</f>
        <v>3.82471711813669</v>
      </c>
      <c r="M168" s="38"/>
    </row>
    <row r="169" customFormat="false" ht="15" hidden="false" customHeight="false" outlineLevel="0" collapsed="false">
      <c r="A169" s="38" t="s">
        <v>157</v>
      </c>
      <c r="B169" s="38" t="s">
        <v>278</v>
      </c>
      <c r="C169" s="38" t="s">
        <v>285</v>
      </c>
      <c r="D169" s="21" t="n">
        <v>451</v>
      </c>
      <c r="E169" s="21" t="n">
        <v>415</v>
      </c>
      <c r="F169" s="51" t="n">
        <f aca="false">IF(E169="","",D169-E169)</f>
        <v>36</v>
      </c>
      <c r="G169" s="21" t="n">
        <v>381</v>
      </c>
      <c r="H169" s="21" t="n">
        <v>371</v>
      </c>
      <c r="I169" s="51" t="n">
        <f aca="false">IF(H169="","",G169-H169)</f>
        <v>10</v>
      </c>
      <c r="J169" s="39" t="n">
        <f aca="false">IF(OR(D169="",D169+G169=0),"",D169/(D169+G169))</f>
        <v>0.542067307692308</v>
      </c>
      <c r="K169" s="39" t="n">
        <f aca="false">IF(E169="","",E169/(E169+H169))</f>
        <v>0.527989821882952</v>
      </c>
      <c r="L169" s="52" t="n">
        <f aca="false">IF(OR(K169="",J169=""),"",(J169-K169)*100)</f>
        <v>1.40774858093561</v>
      </c>
      <c r="M169" s="38"/>
    </row>
    <row r="170" customFormat="false" ht="15" hidden="false" customHeight="false" outlineLevel="0" collapsed="false">
      <c r="A170" s="38" t="s">
        <v>157</v>
      </c>
      <c r="B170" s="38" t="s">
        <v>278</v>
      </c>
      <c r="C170" s="38" t="s">
        <v>286</v>
      </c>
      <c r="D170" s="21" t="n">
        <v>637</v>
      </c>
      <c r="E170" s="21" t="n">
        <v>533</v>
      </c>
      <c r="F170" s="51" t="n">
        <f aca="false">IF(E170="","",D170-E170)</f>
        <v>104</v>
      </c>
      <c r="G170" s="21" t="n">
        <v>579</v>
      </c>
      <c r="H170" s="21" t="n">
        <v>535</v>
      </c>
      <c r="I170" s="51" t="n">
        <f aca="false">IF(H170="","",G170-H170)</f>
        <v>44</v>
      </c>
      <c r="J170" s="39" t="n">
        <f aca="false">IF(OR(D170="",D170+G170=0),"",D170/(D170+G170))</f>
        <v>0.523848684210526</v>
      </c>
      <c r="K170" s="39" t="n">
        <f aca="false">IF(E170="","",E170/(E170+H170))</f>
        <v>0.499063670411985</v>
      </c>
      <c r="L170" s="52" t="n">
        <f aca="false">IF(OR(K170="",J170=""),"",(J170-K170)*100)</f>
        <v>2.47850137985413</v>
      </c>
      <c r="M170" s="38"/>
    </row>
    <row r="171" customFormat="false" ht="15" hidden="false" customHeight="false" outlineLevel="0" collapsed="false">
      <c r="A171" s="38" t="s">
        <v>157</v>
      </c>
      <c r="B171" s="38" t="s">
        <v>287</v>
      </c>
      <c r="C171" s="38" t="s">
        <v>288</v>
      </c>
      <c r="D171" s="21" t="n">
        <v>269</v>
      </c>
      <c r="E171" s="21" t="n">
        <v>242</v>
      </c>
      <c r="F171" s="51" t="n">
        <f aca="false">IF(E171="","",D171-E171)</f>
        <v>27</v>
      </c>
      <c r="G171" s="21" t="n">
        <v>305</v>
      </c>
      <c r="H171" s="21" t="n">
        <v>337</v>
      </c>
      <c r="I171" s="51" t="n">
        <f aca="false">IF(H171="","",G171-H171)</f>
        <v>-32</v>
      </c>
      <c r="J171" s="39" t="n">
        <f aca="false">IF(OR(D171="",D171+G171=0),"",D171/(D171+G171))</f>
        <v>0.468641114982578</v>
      </c>
      <c r="K171" s="39" t="n">
        <f aca="false">IF(E171="","",E171/(E171+H171))</f>
        <v>0.417962003454231</v>
      </c>
      <c r="L171" s="52" t="n">
        <f aca="false">IF(OR(K171="",J171=""),"",(J171-K171)*100)</f>
        <v>5.06791115283469</v>
      </c>
      <c r="M171" s="38"/>
    </row>
    <row r="172" customFormat="false" ht="15" hidden="false" customHeight="false" outlineLevel="0" collapsed="false">
      <c r="A172" s="38" t="s">
        <v>157</v>
      </c>
      <c r="B172" s="38" t="s">
        <v>287</v>
      </c>
      <c r="C172" s="38" t="s">
        <v>289</v>
      </c>
      <c r="D172" s="21" t="n">
        <v>215</v>
      </c>
      <c r="E172" s="21" t="n">
        <v>187</v>
      </c>
      <c r="F172" s="51" t="n">
        <f aca="false">IF(E172="","",D172-E172)</f>
        <v>28</v>
      </c>
      <c r="G172" s="21" t="n">
        <v>271</v>
      </c>
      <c r="H172" s="21" t="n">
        <v>292</v>
      </c>
      <c r="I172" s="51" t="n">
        <f aca="false">IF(H172="","",G172-H172)</f>
        <v>-21</v>
      </c>
      <c r="J172" s="39" t="n">
        <f aca="false">IF(OR(D172="",D172+G172=0),"",D172/(D172+G172))</f>
        <v>0.44238683127572</v>
      </c>
      <c r="K172" s="39" t="n">
        <f aca="false">IF(E172="","",E172/(E172+H172))</f>
        <v>0.390396659707724</v>
      </c>
      <c r="L172" s="52" t="n">
        <f aca="false">IF(OR(K172="",J172=""),"",(J172-K172)*100)</f>
        <v>5.19901715679957</v>
      </c>
      <c r="M172" s="38"/>
    </row>
    <row r="173" customFormat="false" ht="15" hidden="false" customHeight="false" outlineLevel="0" collapsed="false">
      <c r="A173" s="38" t="s">
        <v>157</v>
      </c>
      <c r="B173" s="38" t="s">
        <v>287</v>
      </c>
      <c r="C173" s="38" t="s">
        <v>290</v>
      </c>
      <c r="D173" s="21" t="n">
        <v>414</v>
      </c>
      <c r="E173" s="21" t="n">
        <v>371</v>
      </c>
      <c r="F173" s="51" t="n">
        <f aca="false">IF(E173="","",D173-E173)</f>
        <v>43</v>
      </c>
      <c r="G173" s="21" t="n">
        <v>513</v>
      </c>
      <c r="H173" s="21" t="n">
        <v>527</v>
      </c>
      <c r="I173" s="51" t="n">
        <f aca="false">IF(H173="","",G173-H173)</f>
        <v>-14</v>
      </c>
      <c r="J173" s="39" t="n">
        <f aca="false">IF(OR(D173="",D173+G173=0),"",D173/(D173+G173))</f>
        <v>0.446601941747573</v>
      </c>
      <c r="K173" s="39" t="n">
        <f aca="false">IF(E173="","",E173/(E173+H173))</f>
        <v>0.413140311804009</v>
      </c>
      <c r="L173" s="52" t="n">
        <f aca="false">IF(OR(K173="",J173=""),"",(J173-K173)*100)</f>
        <v>3.34616299435639</v>
      </c>
      <c r="M173" s="38"/>
    </row>
    <row r="174" customFormat="false" ht="15" hidden="false" customHeight="false" outlineLevel="0" collapsed="false">
      <c r="A174" s="38" t="s">
        <v>157</v>
      </c>
      <c r="B174" s="38" t="s">
        <v>291</v>
      </c>
      <c r="C174" s="38" t="s">
        <v>292</v>
      </c>
      <c r="D174" s="21" t="n">
        <v>1021</v>
      </c>
      <c r="E174" s="21" t="n">
        <v>912</v>
      </c>
      <c r="F174" s="51" t="n">
        <f aca="false">IF(E174="","",D174-E174)</f>
        <v>109</v>
      </c>
      <c r="G174" s="21" t="n">
        <v>926</v>
      </c>
      <c r="H174" s="21" t="n">
        <v>964</v>
      </c>
      <c r="I174" s="51" t="n">
        <f aca="false">IF(H174="","",G174-H174)</f>
        <v>-38</v>
      </c>
      <c r="J174" s="39" t="n">
        <f aca="false">IF(OR(D174="",D174+G174=0),"",D174/(D174+G174))</f>
        <v>0.524396507447355</v>
      </c>
      <c r="K174" s="39" t="n">
        <f aca="false">IF(E174="","",E174/(E174+H174))</f>
        <v>0.486140724946695</v>
      </c>
      <c r="L174" s="52" t="n">
        <f aca="false">IF(OR(K174="",J174=""),"",(J174-K174)*100)</f>
        <v>3.82557825006598</v>
      </c>
      <c r="M174" s="38"/>
    </row>
    <row r="175" customFormat="false" ht="15" hidden="false" customHeight="false" outlineLevel="0" collapsed="false">
      <c r="A175" s="38" t="s">
        <v>157</v>
      </c>
      <c r="B175" s="38" t="s">
        <v>291</v>
      </c>
      <c r="C175" s="38" t="s">
        <v>293</v>
      </c>
      <c r="D175" s="21" t="n">
        <v>494</v>
      </c>
      <c r="E175" s="21" t="n">
        <v>449</v>
      </c>
      <c r="F175" s="51" t="n">
        <f aca="false">IF(E175="","",D175-E175)</f>
        <v>45</v>
      </c>
      <c r="G175" s="21" t="n">
        <v>459</v>
      </c>
      <c r="H175" s="21" t="n">
        <v>448</v>
      </c>
      <c r="I175" s="51" t="n">
        <f aca="false">IF(H175="","",G175-H175)</f>
        <v>11</v>
      </c>
      <c r="J175" s="39" t="n">
        <f aca="false">IF(OR(D175="",D175+G175=0),"",D175/(D175+G175))</f>
        <v>0.518363064008395</v>
      </c>
      <c r="K175" s="39" t="n">
        <f aca="false">IF(E175="","",E175/(E175+H175))</f>
        <v>0.500557413600892</v>
      </c>
      <c r="L175" s="52" t="n">
        <f aca="false">IF(OR(K175="",J175=""),"",(J175-K175)*100)</f>
        <v>1.78056504075026</v>
      </c>
      <c r="M175" s="38"/>
    </row>
    <row r="176" customFormat="false" ht="15" hidden="false" customHeight="false" outlineLevel="0" collapsed="false">
      <c r="A176" s="38" t="s">
        <v>157</v>
      </c>
      <c r="B176" s="38" t="s">
        <v>291</v>
      </c>
      <c r="C176" s="38" t="s">
        <v>294</v>
      </c>
      <c r="D176" s="21" t="n">
        <v>1287</v>
      </c>
      <c r="E176" s="21" t="n">
        <v>1161</v>
      </c>
      <c r="F176" s="51" t="n">
        <f aca="false">IF(E176="","",D176-E176)</f>
        <v>126</v>
      </c>
      <c r="G176" s="21" t="n">
        <v>927</v>
      </c>
      <c r="H176" s="21" t="n">
        <v>915</v>
      </c>
      <c r="I176" s="51" t="n">
        <f aca="false">IF(H176="","",G176-H176)</f>
        <v>12</v>
      </c>
      <c r="J176" s="39" t="n">
        <f aca="false">IF(OR(D176="",D176+G176=0),"",D176/(D176+G176))</f>
        <v>0.58130081300813</v>
      </c>
      <c r="K176" s="39" t="n">
        <f aca="false">IF(E176="","",E176/(E176+H176))</f>
        <v>0.559248554913295</v>
      </c>
      <c r="L176" s="52" t="n">
        <f aca="false">IF(OR(K176="",J176=""),"",(J176-K176)*100)</f>
        <v>2.20522580948352</v>
      </c>
      <c r="M176" s="38"/>
    </row>
    <row r="177" customFormat="false" ht="15" hidden="false" customHeight="false" outlineLevel="0" collapsed="false">
      <c r="A177" s="38" t="s">
        <v>157</v>
      </c>
      <c r="B177" s="38" t="s">
        <v>291</v>
      </c>
      <c r="C177" s="38" t="s">
        <v>295</v>
      </c>
      <c r="D177" s="21" t="n">
        <v>607</v>
      </c>
      <c r="E177" s="21" t="n">
        <v>534</v>
      </c>
      <c r="F177" s="51" t="n">
        <f aca="false">IF(E177="","",D177-E177)</f>
        <v>73</v>
      </c>
      <c r="G177" s="21" t="n">
        <v>569</v>
      </c>
      <c r="H177" s="21" t="n">
        <v>577</v>
      </c>
      <c r="I177" s="51" t="n">
        <f aca="false">IF(H177="","",G177-H177)</f>
        <v>-8</v>
      </c>
      <c r="J177" s="39" t="n">
        <f aca="false">IF(OR(D177="",D177+G177=0),"",D177/(D177+G177))</f>
        <v>0.516156462585034</v>
      </c>
      <c r="K177" s="39" t="n">
        <f aca="false">IF(E177="","",E177/(E177+H177))</f>
        <v>0.480648064806481</v>
      </c>
      <c r="L177" s="52" t="n">
        <f aca="false">IF(OR(K177="",J177=""),"",(J177-K177)*100)</f>
        <v>3.55083977785534</v>
      </c>
      <c r="M177" s="38"/>
    </row>
    <row r="178" customFormat="false" ht="15" hidden="false" customHeight="false" outlineLevel="0" collapsed="false">
      <c r="A178" s="38" t="s">
        <v>157</v>
      </c>
      <c r="B178" s="38" t="s">
        <v>291</v>
      </c>
      <c r="C178" s="38" t="s">
        <v>296</v>
      </c>
      <c r="D178" s="21" t="n">
        <v>1193</v>
      </c>
      <c r="E178" s="21" t="n">
        <v>1123</v>
      </c>
      <c r="F178" s="51" t="n">
        <f aca="false">IF(E178="","",D178-E178)</f>
        <v>70</v>
      </c>
      <c r="G178" s="21" t="n">
        <v>778</v>
      </c>
      <c r="H178" s="21" t="n">
        <v>741</v>
      </c>
      <c r="I178" s="51" t="n">
        <f aca="false">IF(H178="","",G178-H178)</f>
        <v>37</v>
      </c>
      <c r="J178" s="39" t="n">
        <f aca="false">IF(OR(D178="",D178+G178=0),"",D178/(D178+G178))</f>
        <v>0.605276509386098</v>
      </c>
      <c r="K178" s="39" t="n">
        <f aca="false">IF(E178="","",E178/(E178+H178))</f>
        <v>0.602467811158798</v>
      </c>
      <c r="L178" s="52" t="n">
        <f aca="false">IF(OR(K178="",J178=""),"",(J178-K178)*100)</f>
        <v>0.280869822730012</v>
      </c>
      <c r="M178" s="38"/>
    </row>
    <row r="179" customFormat="false" ht="15" hidden="false" customHeight="false" outlineLevel="0" collapsed="false">
      <c r="A179" s="38" t="s">
        <v>157</v>
      </c>
      <c r="B179" s="38" t="s">
        <v>291</v>
      </c>
      <c r="C179" s="38" t="s">
        <v>297</v>
      </c>
      <c r="D179" s="21" t="n">
        <v>1104</v>
      </c>
      <c r="E179" s="21" t="n">
        <v>1054</v>
      </c>
      <c r="F179" s="51" t="n">
        <f aca="false">IF(E179="","",D179-E179)</f>
        <v>50</v>
      </c>
      <c r="G179" s="21" t="n">
        <v>724</v>
      </c>
      <c r="H179" s="21" t="n">
        <v>706</v>
      </c>
      <c r="I179" s="51" t="n">
        <f aca="false">IF(H179="","",G179-H179)</f>
        <v>18</v>
      </c>
      <c r="J179" s="39" t="n">
        <f aca="false">IF(OR(D179="",D179+G179=0),"",D179/(D179+G179))</f>
        <v>0.603938730853392</v>
      </c>
      <c r="K179" s="39" t="n">
        <f aca="false">IF(E179="","",E179/(E179+H179))</f>
        <v>0.598863636363636</v>
      </c>
      <c r="L179" s="52" t="n">
        <f aca="false">IF(OR(K179="",J179=""),"",(J179-K179)*100)</f>
        <v>0.507509448975529</v>
      </c>
      <c r="M179" s="38"/>
    </row>
    <row r="180" customFormat="false" ht="15" hidden="false" customHeight="false" outlineLevel="0" collapsed="false">
      <c r="A180" s="38" t="s">
        <v>157</v>
      </c>
      <c r="B180" s="38" t="s">
        <v>291</v>
      </c>
      <c r="C180" s="38" t="s">
        <v>298</v>
      </c>
      <c r="D180" s="21" t="n">
        <v>534</v>
      </c>
      <c r="E180" s="21" t="n">
        <v>469</v>
      </c>
      <c r="F180" s="51" t="n">
        <f aca="false">IF(E180="","",D180-E180)</f>
        <v>65</v>
      </c>
      <c r="G180" s="21" t="n">
        <v>432</v>
      </c>
      <c r="H180" s="21" t="n">
        <v>468</v>
      </c>
      <c r="I180" s="51" t="n">
        <f aca="false">IF(H180="","",G180-H180)</f>
        <v>-36</v>
      </c>
      <c r="J180" s="39" t="n">
        <f aca="false">IF(OR(D180="",D180+G180=0),"",D180/(D180+G180))</f>
        <v>0.552795031055901</v>
      </c>
      <c r="K180" s="39" t="n">
        <f aca="false">IF(E180="","",E180/(E180+H180))</f>
        <v>0.500533617929562</v>
      </c>
      <c r="L180" s="52" t="n">
        <f aca="false">IF(OR(K180="",J180=""),"",(J180-K180)*100)</f>
        <v>5.22614131263383</v>
      </c>
      <c r="M180" s="38"/>
    </row>
    <row r="181" customFormat="false" ht="15" hidden="false" customHeight="false" outlineLevel="0" collapsed="false">
      <c r="A181" s="38" t="s">
        <v>157</v>
      </c>
      <c r="B181" s="38" t="s">
        <v>291</v>
      </c>
      <c r="C181" s="38" t="s">
        <v>299</v>
      </c>
      <c r="D181" s="21" t="n">
        <v>1439</v>
      </c>
      <c r="E181" s="21" t="n">
        <v>1317</v>
      </c>
      <c r="F181" s="51" t="n">
        <f aca="false">IF(E181="","",D181-E181)</f>
        <v>122</v>
      </c>
      <c r="G181" s="21" t="n">
        <v>1295</v>
      </c>
      <c r="H181" s="21" t="n">
        <v>1291</v>
      </c>
      <c r="I181" s="51" t="n">
        <f aca="false">IF(H181="","",G181-H181)</f>
        <v>4</v>
      </c>
      <c r="J181" s="39" t="n">
        <f aca="false">IF(OR(D181="",D181+G181=0),"",D181/(D181+G181))</f>
        <v>0.526335040234089</v>
      </c>
      <c r="K181" s="39" t="n">
        <f aca="false">IF(E181="","",E181/(E181+H181))</f>
        <v>0.504984662576687</v>
      </c>
      <c r="L181" s="52" t="n">
        <f aca="false">IF(OR(K181="",J181=""),"",(J181-K181)*100)</f>
        <v>2.13503776574021</v>
      </c>
      <c r="M181" s="38"/>
    </row>
    <row r="182" customFormat="false" ht="15" hidden="false" customHeight="false" outlineLevel="0" collapsed="false">
      <c r="A182" s="38" t="s">
        <v>157</v>
      </c>
      <c r="B182" s="38" t="s">
        <v>300</v>
      </c>
      <c r="C182" s="38" t="s">
        <v>301</v>
      </c>
      <c r="D182" s="21" t="n">
        <v>1113</v>
      </c>
      <c r="E182" s="21" t="n">
        <v>992</v>
      </c>
      <c r="F182" s="51" t="n">
        <f aca="false">IF(E182="","",D182-E182)</f>
        <v>121</v>
      </c>
      <c r="G182" s="21" t="n">
        <v>988</v>
      </c>
      <c r="H182" s="21" t="n">
        <v>983</v>
      </c>
      <c r="I182" s="51" t="n">
        <f aca="false">IF(H182="","",G182-H182)</f>
        <v>5</v>
      </c>
      <c r="J182" s="39" t="n">
        <f aca="false">IF(OR(D182="",D182+G182=0),"",D182/(D182+G182))</f>
        <v>0.529747739171823</v>
      </c>
      <c r="K182" s="39" t="n">
        <f aca="false">IF(E182="","",E182/(E182+H182))</f>
        <v>0.502278481012658</v>
      </c>
      <c r="L182" s="52" t="n">
        <f aca="false">IF(OR(K182="",J182=""),"",(J182-K182)*100)</f>
        <v>2.74692581591647</v>
      </c>
      <c r="M182" s="38"/>
    </row>
    <row r="183" customFormat="false" ht="15" hidden="false" customHeight="false" outlineLevel="0" collapsed="false">
      <c r="A183" s="38" t="s">
        <v>157</v>
      </c>
      <c r="B183" s="38" t="s">
        <v>300</v>
      </c>
      <c r="C183" s="38" t="s">
        <v>302</v>
      </c>
      <c r="D183" s="21" t="n">
        <v>1462</v>
      </c>
      <c r="E183" s="21" t="n">
        <v>1311</v>
      </c>
      <c r="F183" s="51" t="n">
        <f aca="false">IF(E183="","",D183-E183)</f>
        <v>151</v>
      </c>
      <c r="G183" s="21" t="n">
        <v>1319</v>
      </c>
      <c r="H183" s="21" t="n">
        <v>1258</v>
      </c>
      <c r="I183" s="51" t="n">
        <f aca="false">IF(H183="","",G183-H183)</f>
        <v>61</v>
      </c>
      <c r="J183" s="39" t="n">
        <f aca="false">IF(OR(D183="",D183+G183=0),"",D183/(D183+G183))</f>
        <v>0.525710176195613</v>
      </c>
      <c r="K183" s="39" t="n">
        <f aca="false">IF(E183="","",E183/(E183+H183))</f>
        <v>0.510315297781238</v>
      </c>
      <c r="L183" s="52" t="n">
        <f aca="false">IF(OR(K183="",J183=""),"",(J183-K183)*100)</f>
        <v>1.53948784143753</v>
      </c>
      <c r="M183" s="38"/>
    </row>
    <row r="184" customFormat="false" ht="15" hidden="false" customHeight="false" outlineLevel="0" collapsed="false">
      <c r="A184" s="38" t="s">
        <v>157</v>
      </c>
      <c r="B184" s="38" t="s">
        <v>300</v>
      </c>
      <c r="C184" s="38" t="s">
        <v>303</v>
      </c>
      <c r="D184" s="21" t="n">
        <v>975</v>
      </c>
      <c r="E184" s="21" t="n">
        <v>914</v>
      </c>
      <c r="F184" s="51" t="n">
        <f aca="false">IF(E184="","",D184-E184)</f>
        <v>61</v>
      </c>
      <c r="G184" s="21" t="n">
        <v>985</v>
      </c>
      <c r="H184" s="21" t="n">
        <v>1075</v>
      </c>
      <c r="I184" s="51" t="n">
        <f aca="false">IF(H184="","",G184-H184)</f>
        <v>-90</v>
      </c>
      <c r="J184" s="39" t="n">
        <f aca="false">IF(OR(D184="",D184+G184=0),"",D184/(D184+G184))</f>
        <v>0.497448979591837</v>
      </c>
      <c r="K184" s="39" t="n">
        <f aca="false">IF(E184="","",E184/(E184+H184))</f>
        <v>0.459527400703871</v>
      </c>
      <c r="L184" s="52" t="n">
        <f aca="false">IF(OR(K184="",J184=""),"",(J184-K184)*100)</f>
        <v>3.79215788879655</v>
      </c>
      <c r="M184" s="38"/>
    </row>
    <row r="185" customFormat="false" ht="15" hidden="false" customHeight="false" outlineLevel="0" collapsed="false">
      <c r="A185" s="38" t="s">
        <v>157</v>
      </c>
      <c r="B185" s="38" t="s">
        <v>300</v>
      </c>
      <c r="C185" s="38" t="s">
        <v>304</v>
      </c>
      <c r="D185" s="21" t="n">
        <v>718</v>
      </c>
      <c r="E185" s="21" t="n">
        <v>735</v>
      </c>
      <c r="F185" s="51" t="n">
        <f aca="false">IF(E185="","",D185-E185)</f>
        <v>-17</v>
      </c>
      <c r="G185" s="21" t="n">
        <v>548</v>
      </c>
      <c r="H185" s="21" t="n">
        <v>653</v>
      </c>
      <c r="I185" s="51" t="n">
        <f aca="false">IF(H185="","",G185-H185)</f>
        <v>-105</v>
      </c>
      <c r="J185" s="39" t="n">
        <f aca="false">IF(OR(D185="",D185+G185=0),"",D185/(D185+G185))</f>
        <v>0.567140600315956</v>
      </c>
      <c r="K185" s="39" t="n">
        <f aca="false">IF(E185="","",E185/(E185+H185))</f>
        <v>0.529538904899136</v>
      </c>
      <c r="L185" s="52" t="n">
        <f aca="false">IF(OR(K185="",J185=""),"",(J185-K185)*100)</f>
        <v>3.76016954168203</v>
      </c>
      <c r="M185" s="38"/>
    </row>
    <row r="186" customFormat="false" ht="15" hidden="false" customHeight="false" outlineLevel="0" collapsed="false">
      <c r="A186" s="38" t="s">
        <v>157</v>
      </c>
      <c r="B186" s="38" t="s">
        <v>300</v>
      </c>
      <c r="C186" s="38" t="s">
        <v>305</v>
      </c>
      <c r="D186" s="21" t="n">
        <v>2104</v>
      </c>
      <c r="E186" s="21" t="n">
        <v>1929</v>
      </c>
      <c r="F186" s="51" t="n">
        <f aca="false">IF(E186="","",D186-E186)</f>
        <v>175</v>
      </c>
      <c r="G186" s="21" t="n">
        <v>1638</v>
      </c>
      <c r="H186" s="21" t="n">
        <v>1679</v>
      </c>
      <c r="I186" s="51" t="n">
        <f aca="false">IF(H186="","",G186-H186)</f>
        <v>-41</v>
      </c>
      <c r="J186" s="39" t="n">
        <f aca="false">IF(OR(D186="",D186+G186=0),"",D186/(D186+G186))</f>
        <v>0.562266167824693</v>
      </c>
      <c r="K186" s="39" t="n">
        <f aca="false">IF(E186="","",E186/(E186+H186))</f>
        <v>0.534645232815965</v>
      </c>
      <c r="L186" s="52" t="n">
        <f aca="false">IF(OR(K186="",J186=""),"",(J186-K186)*100)</f>
        <v>2.76209350087281</v>
      </c>
      <c r="M186" s="38"/>
    </row>
    <row r="187" customFormat="false" ht="15" hidden="false" customHeight="false" outlineLevel="0" collapsed="false">
      <c r="A187" s="38" t="s">
        <v>157</v>
      </c>
      <c r="B187" s="38" t="s">
        <v>300</v>
      </c>
      <c r="C187" s="38" t="s">
        <v>306</v>
      </c>
      <c r="D187" s="21" t="n">
        <v>751</v>
      </c>
      <c r="E187" s="21" t="n">
        <v>696</v>
      </c>
      <c r="F187" s="51" t="n">
        <f aca="false">IF(E187="","",D187-E187)</f>
        <v>55</v>
      </c>
      <c r="G187" s="21" t="n">
        <v>643</v>
      </c>
      <c r="H187" s="21" t="n">
        <v>666</v>
      </c>
      <c r="I187" s="51" t="n">
        <f aca="false">IF(H187="","",G187-H187)</f>
        <v>-23</v>
      </c>
      <c r="J187" s="39" t="n">
        <f aca="false">IF(OR(D187="",D187+G187=0),"",D187/(D187+G187))</f>
        <v>0.538737446197991</v>
      </c>
      <c r="K187" s="39" t="n">
        <f aca="false">IF(E187="","",E187/(E187+H187))</f>
        <v>0.511013215859031</v>
      </c>
      <c r="L187" s="52" t="n">
        <f aca="false">IF(OR(K187="",J187=""),"",(J187-K187)*100)</f>
        <v>2.77242303389605</v>
      </c>
      <c r="M187" s="38"/>
    </row>
    <row r="188" customFormat="false" ht="15" hidden="false" customHeight="false" outlineLevel="0" collapsed="false">
      <c r="A188" s="38" t="s">
        <v>157</v>
      </c>
      <c r="B188" s="38" t="s">
        <v>300</v>
      </c>
      <c r="C188" s="38" t="s">
        <v>307</v>
      </c>
      <c r="D188" s="21" t="n">
        <v>769</v>
      </c>
      <c r="E188" s="21" t="n">
        <v>715</v>
      </c>
      <c r="F188" s="51" t="n">
        <f aca="false">IF(E188="","",D188-E188)</f>
        <v>54</v>
      </c>
      <c r="G188" s="21" t="n">
        <v>592</v>
      </c>
      <c r="H188" s="21" t="n">
        <v>601</v>
      </c>
      <c r="I188" s="51" t="n">
        <f aca="false">IF(H188="","",G188-H188)</f>
        <v>-9</v>
      </c>
      <c r="J188" s="39" t="n">
        <f aca="false">IF(OR(D188="",D188+G188=0),"",D188/(D188+G188))</f>
        <v>0.565025716385011</v>
      </c>
      <c r="K188" s="39" t="n">
        <f aca="false">IF(E188="","",E188/(E188+H188))</f>
        <v>0.543313069908815</v>
      </c>
      <c r="L188" s="52" t="n">
        <f aca="false">IF(OR(K188="",J188=""),"",(J188-K188)*100)</f>
        <v>2.17126464761964</v>
      </c>
      <c r="M188" s="38"/>
    </row>
    <row r="189" customFormat="false" ht="15" hidden="false" customHeight="false" outlineLevel="0" collapsed="false">
      <c r="A189" s="38" t="s">
        <v>157</v>
      </c>
      <c r="B189" s="38" t="s">
        <v>300</v>
      </c>
      <c r="C189" s="38" t="s">
        <v>308</v>
      </c>
      <c r="D189" s="21" t="n">
        <v>805</v>
      </c>
      <c r="E189" s="21" t="n">
        <v>728</v>
      </c>
      <c r="F189" s="51" t="n">
        <f aca="false">IF(E189="","",D189-E189)</f>
        <v>77</v>
      </c>
      <c r="G189" s="21" t="n">
        <v>690</v>
      </c>
      <c r="H189" s="21" t="n">
        <v>692</v>
      </c>
      <c r="I189" s="51" t="n">
        <f aca="false">IF(H189="","",G189-H189)</f>
        <v>-2</v>
      </c>
      <c r="J189" s="39" t="n">
        <f aca="false">IF(OR(D189="",D189+G189=0),"",D189/(D189+G189))</f>
        <v>0.538461538461538</v>
      </c>
      <c r="K189" s="39" t="n">
        <f aca="false">IF(E189="","",E189/(E189+H189))</f>
        <v>0.512676056338028</v>
      </c>
      <c r="L189" s="52" t="n">
        <f aca="false">IF(OR(K189="",J189=""),"",(J189-K189)*100)</f>
        <v>2.57854821235103</v>
      </c>
      <c r="M189" s="38"/>
    </row>
    <row r="190" customFormat="false" ht="15" hidden="false" customHeight="false" outlineLevel="0" collapsed="false">
      <c r="A190" s="38" t="s">
        <v>157</v>
      </c>
      <c r="B190" s="38" t="s">
        <v>309</v>
      </c>
      <c r="C190" s="38" t="s">
        <v>310</v>
      </c>
      <c r="D190" s="21" t="n">
        <v>1639</v>
      </c>
      <c r="E190" s="21" t="n">
        <v>1473</v>
      </c>
      <c r="F190" s="51" t="n">
        <f aca="false">IF(E190="","",D190-E190)</f>
        <v>166</v>
      </c>
      <c r="G190" s="21" t="n">
        <v>1670</v>
      </c>
      <c r="H190" s="21" t="n">
        <v>1690</v>
      </c>
      <c r="I190" s="51" t="n">
        <f aca="false">IF(H190="","",G190-H190)</f>
        <v>-20</v>
      </c>
      <c r="J190" s="39" t="n">
        <f aca="false">IF(OR(D190="",D190+G190=0),"",D190/(D190+G190))</f>
        <v>0.495315805379269</v>
      </c>
      <c r="K190" s="39" t="n">
        <f aca="false">IF(E190="","",E190/(E190+H190))</f>
        <v>0.465697122984508</v>
      </c>
      <c r="L190" s="52" t="n">
        <f aca="false">IF(OR(K190="",J190=""),"",(J190-K190)*100)</f>
        <v>2.96186823947603</v>
      </c>
      <c r="M190" s="38"/>
    </row>
    <row r="191" customFormat="false" ht="15" hidden="false" customHeight="false" outlineLevel="0" collapsed="false">
      <c r="A191" s="38" t="s">
        <v>157</v>
      </c>
      <c r="B191" s="38" t="s">
        <v>309</v>
      </c>
      <c r="C191" s="38" t="s">
        <v>311</v>
      </c>
      <c r="D191" s="21" t="n">
        <v>1060</v>
      </c>
      <c r="E191" s="21" t="n">
        <v>907</v>
      </c>
      <c r="F191" s="51" t="n">
        <f aca="false">IF(E191="","",D191-E191)</f>
        <v>153</v>
      </c>
      <c r="G191" s="21" t="n">
        <v>1478</v>
      </c>
      <c r="H191" s="21" t="n">
        <v>1445</v>
      </c>
      <c r="I191" s="51" t="n">
        <f aca="false">IF(H191="","",G191-H191)</f>
        <v>33</v>
      </c>
      <c r="J191" s="39" t="n">
        <f aca="false">IF(OR(D191="",D191+G191=0),"",D191/(D191+G191))</f>
        <v>0.417651694247439</v>
      </c>
      <c r="K191" s="39" t="n">
        <f aca="false">IF(E191="","",E191/(E191+H191))</f>
        <v>0.38562925170068</v>
      </c>
      <c r="L191" s="52" t="n">
        <f aca="false">IF(OR(K191="",J191=""),"",(J191-K191)*100)</f>
        <v>3.20224425467586</v>
      </c>
      <c r="M191" s="38"/>
    </row>
    <row r="192" customFormat="false" ht="15" hidden="false" customHeight="false" outlineLevel="0" collapsed="false">
      <c r="A192" s="38" t="s">
        <v>157</v>
      </c>
      <c r="B192" s="38" t="s">
        <v>312</v>
      </c>
      <c r="C192" s="38" t="s">
        <v>313</v>
      </c>
      <c r="D192" s="21" t="n">
        <v>1169</v>
      </c>
      <c r="E192" s="21" t="n">
        <v>1017</v>
      </c>
      <c r="F192" s="51" t="n">
        <f aca="false">IF(E192="","",D192-E192)</f>
        <v>152</v>
      </c>
      <c r="G192" s="21" t="n">
        <v>1081</v>
      </c>
      <c r="H192" s="21" t="n">
        <v>1074</v>
      </c>
      <c r="I192" s="51" t="n">
        <f aca="false">IF(H192="","",G192-H192)</f>
        <v>7</v>
      </c>
      <c r="J192" s="39" t="n">
        <f aca="false">IF(OR(D192="",D192+G192=0),"",D192/(D192+G192))</f>
        <v>0.519555555555556</v>
      </c>
      <c r="K192" s="39" t="n">
        <f aca="false">IF(E192="","",E192/(E192+H192))</f>
        <v>0.486370157819225</v>
      </c>
      <c r="L192" s="52" t="n">
        <f aca="false">IF(OR(K192="",J192=""),"",(J192-K192)*100)</f>
        <v>3.31853977363303</v>
      </c>
      <c r="M192" s="38"/>
    </row>
    <row r="193" customFormat="false" ht="15" hidden="false" customHeight="false" outlineLevel="0" collapsed="false">
      <c r="A193" s="38" t="s">
        <v>157</v>
      </c>
      <c r="B193" s="38" t="s">
        <v>312</v>
      </c>
      <c r="C193" s="38" t="s">
        <v>314</v>
      </c>
      <c r="D193" s="21" t="n">
        <v>820</v>
      </c>
      <c r="E193" s="21" t="n">
        <v>753</v>
      </c>
      <c r="F193" s="51" t="n">
        <f aca="false">IF(E193="","",D193-E193)</f>
        <v>67</v>
      </c>
      <c r="G193" s="21" t="n">
        <v>841</v>
      </c>
      <c r="H193" s="21" t="n">
        <v>851</v>
      </c>
      <c r="I193" s="51" t="n">
        <f aca="false">IF(H193="","",G193-H193)</f>
        <v>-10</v>
      </c>
      <c r="J193" s="39" t="n">
        <f aca="false">IF(OR(D193="",D193+G193=0),"",D193/(D193+G193))</f>
        <v>0.49367850692354</v>
      </c>
      <c r="K193" s="39" t="n">
        <f aca="false">IF(E193="","",E193/(E193+H193))</f>
        <v>0.469451371571072</v>
      </c>
      <c r="L193" s="52" t="n">
        <f aca="false">IF(OR(K193="",J193=""),"",(J193-K193)*100)</f>
        <v>2.42271353524677</v>
      </c>
      <c r="M193" s="38"/>
    </row>
    <row r="194" customFormat="false" ht="15" hidden="false" customHeight="false" outlineLevel="0" collapsed="false">
      <c r="A194" s="38" t="s">
        <v>157</v>
      </c>
      <c r="B194" s="38" t="s">
        <v>312</v>
      </c>
      <c r="C194" s="38" t="s">
        <v>315</v>
      </c>
      <c r="D194" s="21" t="n">
        <v>660</v>
      </c>
      <c r="E194" s="21" t="n">
        <v>713</v>
      </c>
      <c r="F194" s="51" t="n">
        <f aca="false">IF(E194="","",D194-E194)</f>
        <v>-53</v>
      </c>
      <c r="G194" s="21" t="n">
        <v>653</v>
      </c>
      <c r="H194" s="21" t="n">
        <v>780</v>
      </c>
      <c r="I194" s="51" t="n">
        <f aca="false">IF(H194="","",G194-H194)</f>
        <v>-127</v>
      </c>
      <c r="J194" s="39" t="n">
        <f aca="false">IF(OR(D194="",D194+G194=0),"",D194/(D194+G194))</f>
        <v>0.502665651180503</v>
      </c>
      <c r="K194" s="39" t="n">
        <f aca="false">IF(E194="","",E194/(E194+H194))</f>
        <v>0.477561955793704</v>
      </c>
      <c r="L194" s="52" t="n">
        <f aca="false">IF(OR(K194="",J194=""),"",(J194-K194)*100)</f>
        <v>2.51036953867987</v>
      </c>
      <c r="M194" s="38"/>
    </row>
    <row r="195" customFormat="false" ht="15" hidden="false" customHeight="false" outlineLevel="0" collapsed="false">
      <c r="A195" s="38" t="s">
        <v>157</v>
      </c>
      <c r="B195" s="38" t="s">
        <v>312</v>
      </c>
      <c r="C195" s="38" t="s">
        <v>316</v>
      </c>
      <c r="D195" s="21" t="n">
        <v>1828</v>
      </c>
      <c r="E195" s="21" t="n">
        <v>1648</v>
      </c>
      <c r="F195" s="51" t="n">
        <f aca="false">IF(E195="","",D195-E195)</f>
        <v>180</v>
      </c>
      <c r="G195" s="21" t="n">
        <v>1821</v>
      </c>
      <c r="H195" s="21" t="n">
        <v>1789</v>
      </c>
      <c r="I195" s="51" t="n">
        <f aca="false">IF(H195="","",G195-H195)</f>
        <v>32</v>
      </c>
      <c r="J195" s="39" t="n">
        <f aca="false">IF(OR(D195="",D195+G195=0),"",D195/(D195+G195))</f>
        <v>0.50095916689504</v>
      </c>
      <c r="K195" s="39" t="n">
        <f aca="false">IF(E195="","",E195/(E195+H195))</f>
        <v>0.479487925516439</v>
      </c>
      <c r="L195" s="52" t="n">
        <f aca="false">IF(OR(K195="",J195=""),"",(J195-K195)*100)</f>
        <v>2.1471241378601</v>
      </c>
      <c r="M195" s="38"/>
    </row>
    <row r="196" customFormat="false" ht="15" hidden="false" customHeight="false" outlineLevel="0" collapsed="false">
      <c r="A196" s="38" t="s">
        <v>157</v>
      </c>
      <c r="B196" s="38" t="s">
        <v>312</v>
      </c>
      <c r="C196" s="38" t="s">
        <v>317</v>
      </c>
      <c r="D196" s="21" t="n">
        <v>751</v>
      </c>
      <c r="E196" s="21" t="n">
        <v>683</v>
      </c>
      <c r="F196" s="51" t="n">
        <f aca="false">IF(E196="","",D196-E196)</f>
        <v>68</v>
      </c>
      <c r="G196" s="21" t="n">
        <v>707</v>
      </c>
      <c r="H196" s="21" t="n">
        <v>663</v>
      </c>
      <c r="I196" s="51" t="n">
        <f aca="false">IF(H196="","",G196-H196)</f>
        <v>44</v>
      </c>
      <c r="J196" s="39" t="n">
        <f aca="false">IF(OR(D196="",D196+G196=0),"",D196/(D196+G196))</f>
        <v>0.515089163237311</v>
      </c>
      <c r="K196" s="39" t="n">
        <f aca="false">IF(E196="","",E196/(E196+H196))</f>
        <v>0.507429420505201</v>
      </c>
      <c r="L196" s="52" t="n">
        <f aca="false">IF(OR(K196="",J196=""),"",(J196-K196)*100)</f>
        <v>0.765974273211079</v>
      </c>
      <c r="M196" s="38"/>
    </row>
    <row r="197" customFormat="false" ht="15" hidden="false" customHeight="false" outlineLevel="0" collapsed="false">
      <c r="A197" s="38" t="s">
        <v>157</v>
      </c>
      <c r="B197" s="38" t="s">
        <v>312</v>
      </c>
      <c r="C197" s="38" t="s">
        <v>318</v>
      </c>
      <c r="D197" s="21" t="n">
        <v>708</v>
      </c>
      <c r="E197" s="21" t="n">
        <v>648</v>
      </c>
      <c r="F197" s="51" t="n">
        <f aca="false">IF(E197="","",D197-E197)</f>
        <v>60</v>
      </c>
      <c r="G197" s="21" t="n">
        <v>613</v>
      </c>
      <c r="H197" s="21" t="n">
        <v>583</v>
      </c>
      <c r="I197" s="51" t="n">
        <f aca="false">IF(H197="","",G197-H197)</f>
        <v>30</v>
      </c>
      <c r="J197" s="39" t="n">
        <f aca="false">IF(OR(D197="",D197+G197=0),"",D197/(D197+G197))</f>
        <v>0.535957607872824</v>
      </c>
      <c r="K197" s="39" t="n">
        <f aca="false">IF(E197="","",E197/(E197+H197))</f>
        <v>0.526401299756296</v>
      </c>
      <c r="L197" s="52" t="n">
        <f aca="false">IF(OR(K197="",J197=""),"",(J197-K197)*100)</f>
        <v>0.955630811652797</v>
      </c>
      <c r="M197" s="38"/>
    </row>
    <row r="198" customFormat="false" ht="15" hidden="false" customHeight="false" outlineLevel="0" collapsed="false">
      <c r="A198" s="38" t="s">
        <v>157</v>
      </c>
      <c r="B198" s="38" t="s">
        <v>319</v>
      </c>
      <c r="C198" s="38" t="s">
        <v>320</v>
      </c>
      <c r="D198" s="21" t="n">
        <v>280</v>
      </c>
      <c r="E198" s="21" t="n">
        <v>243</v>
      </c>
      <c r="F198" s="51" t="n">
        <f aca="false">IF(E198="","",D198-E198)</f>
        <v>37</v>
      </c>
      <c r="G198" s="21" t="n">
        <v>533</v>
      </c>
      <c r="H198" s="21" t="n">
        <v>532</v>
      </c>
      <c r="I198" s="51" t="n">
        <f aca="false">IF(H198="","",G198-H198)</f>
        <v>1</v>
      </c>
      <c r="J198" s="39" t="n">
        <f aca="false">IF(OR(D198="",D198+G198=0),"",D198/(D198+G198))</f>
        <v>0.34440344403444</v>
      </c>
      <c r="K198" s="39" t="n">
        <f aca="false">IF(E198="","",E198/(E198+H198))</f>
        <v>0.313548387096774</v>
      </c>
      <c r="L198" s="52" t="n">
        <f aca="false">IF(OR(K198="",J198=""),"",(J198-K198)*100)</f>
        <v>3.08550569376662</v>
      </c>
      <c r="M198" s="38"/>
    </row>
    <row r="199" customFormat="false" ht="15" hidden="false" customHeight="false" outlineLevel="0" collapsed="false">
      <c r="A199" s="38" t="s">
        <v>157</v>
      </c>
      <c r="B199" s="38" t="s">
        <v>319</v>
      </c>
      <c r="C199" s="38" t="s">
        <v>321</v>
      </c>
      <c r="D199" s="21" t="n">
        <v>955</v>
      </c>
      <c r="E199" s="21" t="n">
        <v>841</v>
      </c>
      <c r="F199" s="51" t="n">
        <f aca="false">IF(E199="","",D199-E199)</f>
        <v>114</v>
      </c>
      <c r="G199" s="21" t="n">
        <v>1664</v>
      </c>
      <c r="H199" s="21" t="n">
        <v>1653</v>
      </c>
      <c r="I199" s="51" t="n">
        <f aca="false">IF(H199="","",G199-H199)</f>
        <v>11</v>
      </c>
      <c r="J199" s="39" t="n">
        <f aca="false">IF(OR(D199="",D199+G199=0),"",D199/(D199+G199))</f>
        <v>0.364642993508973</v>
      </c>
      <c r="K199" s="39" t="n">
        <f aca="false">IF(E199="","",E199/(E199+H199))</f>
        <v>0.337209302325581</v>
      </c>
      <c r="L199" s="52" t="n">
        <f aca="false">IF(OR(K199="",J199=""),"",(J199-K199)*100)</f>
        <v>2.74336911833915</v>
      </c>
      <c r="M199" s="38"/>
    </row>
    <row r="200" customFormat="false" ht="15" hidden="false" customHeight="false" outlineLevel="0" collapsed="false">
      <c r="A200" s="38" t="s">
        <v>157</v>
      </c>
      <c r="B200" s="38" t="s">
        <v>319</v>
      </c>
      <c r="C200" s="38" t="s">
        <v>322</v>
      </c>
      <c r="D200" s="21" t="n">
        <v>237</v>
      </c>
      <c r="E200" s="21" t="n">
        <v>182</v>
      </c>
      <c r="F200" s="51" t="n">
        <f aca="false">IF(E200="","",D200-E200)</f>
        <v>55</v>
      </c>
      <c r="G200" s="21" t="n">
        <v>456</v>
      </c>
      <c r="H200" s="21" t="n">
        <v>484</v>
      </c>
      <c r="I200" s="51" t="n">
        <f aca="false">IF(H200="","",G200-H200)</f>
        <v>-28</v>
      </c>
      <c r="J200" s="39" t="n">
        <f aca="false">IF(OR(D200="",D200+G200=0),"",D200/(D200+G200))</f>
        <v>0.341991341991342</v>
      </c>
      <c r="K200" s="39" t="n">
        <f aca="false">IF(E200="","",E200/(E200+H200))</f>
        <v>0.273273273273273</v>
      </c>
      <c r="L200" s="52" t="n">
        <f aca="false">IF(OR(K200="",J200=""),"",(J200-K200)*100)</f>
        <v>6.87180687180687</v>
      </c>
      <c r="M200" s="38"/>
    </row>
    <row r="201" customFormat="false" ht="15" hidden="false" customHeight="false" outlineLevel="0" collapsed="false">
      <c r="A201" s="38" t="s">
        <v>157</v>
      </c>
      <c r="B201" s="38" t="s">
        <v>323</v>
      </c>
      <c r="C201" s="38" t="s">
        <v>323</v>
      </c>
      <c r="D201" s="21" t="n">
        <v>1331</v>
      </c>
      <c r="E201" s="21" t="n">
        <v>1172</v>
      </c>
      <c r="F201" s="51" t="n">
        <f aca="false">IF(E201="","",D201-E201)</f>
        <v>159</v>
      </c>
      <c r="G201" s="21" t="n">
        <v>2267</v>
      </c>
      <c r="H201" s="21" t="n">
        <v>2201</v>
      </c>
      <c r="I201" s="51" t="n">
        <f aca="false">IF(H201="","",G201-H201)</f>
        <v>66</v>
      </c>
      <c r="J201" s="39" t="n">
        <f aca="false">IF(OR(D201="",D201+G201=0),"",D201/(D201+G201))</f>
        <v>0.369927737632018</v>
      </c>
      <c r="K201" s="39" t="n">
        <f aca="false">IF(E201="","",E201/(E201+H201))</f>
        <v>0.347465164541951</v>
      </c>
      <c r="L201" s="52" t="n">
        <f aca="false">IF(OR(K201="",J201=""),"",(J201-K201)*100)</f>
        <v>2.2462573090067</v>
      </c>
      <c r="M201" s="38"/>
    </row>
    <row r="202" customFormat="false" ht="15" hidden="false" customHeight="false" outlineLevel="0" collapsed="false">
      <c r="A202" s="38" t="s">
        <v>157</v>
      </c>
      <c r="B202" s="38" t="s">
        <v>324</v>
      </c>
      <c r="C202" s="38" t="s">
        <v>325</v>
      </c>
      <c r="D202" s="21" t="n">
        <v>878</v>
      </c>
      <c r="E202" s="21" t="n">
        <v>811</v>
      </c>
      <c r="F202" s="51" t="n">
        <f aca="false">IF(E202="","",D202-E202)</f>
        <v>67</v>
      </c>
      <c r="G202" s="21" t="n">
        <v>910</v>
      </c>
      <c r="H202" s="21" t="n">
        <v>918</v>
      </c>
      <c r="I202" s="51" t="n">
        <f aca="false">IF(H202="","",G202-H202)</f>
        <v>-8</v>
      </c>
      <c r="J202" s="39" t="n">
        <f aca="false">IF(OR(D202="",D202+G202=0),"",D202/(D202+G202))</f>
        <v>0.491051454138702</v>
      </c>
      <c r="K202" s="39" t="n">
        <f aca="false">IF(E202="","",E202/(E202+H202))</f>
        <v>0.469057258530943</v>
      </c>
      <c r="L202" s="52" t="n">
        <f aca="false">IF(OR(K202="",J202=""),"",(J202-K202)*100)</f>
        <v>2.19941956077597</v>
      </c>
      <c r="M202" s="38"/>
    </row>
    <row r="203" customFormat="false" ht="15" hidden="false" customHeight="false" outlineLevel="0" collapsed="false">
      <c r="A203" s="38" t="s">
        <v>157</v>
      </c>
      <c r="B203" s="38" t="s">
        <v>324</v>
      </c>
      <c r="C203" s="38" t="s">
        <v>326</v>
      </c>
      <c r="D203" s="21" t="n">
        <v>671</v>
      </c>
      <c r="E203" s="21" t="n">
        <v>606</v>
      </c>
      <c r="F203" s="51" t="n">
        <f aca="false">IF(E203="","",D203-E203)</f>
        <v>65</v>
      </c>
      <c r="G203" s="21" t="n">
        <v>685</v>
      </c>
      <c r="H203" s="21" t="n">
        <v>669</v>
      </c>
      <c r="I203" s="51" t="n">
        <f aca="false">IF(H203="","",G203-H203)</f>
        <v>16</v>
      </c>
      <c r="J203" s="39" t="n">
        <f aca="false">IF(OR(D203="",D203+G203=0),"",D203/(D203+G203))</f>
        <v>0.494837758112094</v>
      </c>
      <c r="K203" s="39" t="n">
        <f aca="false">IF(E203="","",E203/(E203+H203))</f>
        <v>0.475294117647059</v>
      </c>
      <c r="L203" s="52" t="n">
        <f aca="false">IF(OR(K203="",J203=""),"",(J203-K203)*100)</f>
        <v>1.95436404650356</v>
      </c>
      <c r="M203" s="38"/>
    </row>
    <row r="204" customFormat="false" ht="15" hidden="false" customHeight="false" outlineLevel="0" collapsed="false">
      <c r="A204" s="38" t="s">
        <v>157</v>
      </c>
      <c r="B204" s="38" t="s">
        <v>324</v>
      </c>
      <c r="C204" s="38" t="s">
        <v>327</v>
      </c>
      <c r="D204" s="21" t="n">
        <v>801</v>
      </c>
      <c r="E204" s="21" t="n">
        <v>732</v>
      </c>
      <c r="F204" s="51" t="n">
        <f aca="false">IF(E204="","",D204-E204)</f>
        <v>69</v>
      </c>
      <c r="G204" s="21" t="n">
        <v>552</v>
      </c>
      <c r="H204" s="21" t="n">
        <v>616</v>
      </c>
      <c r="I204" s="51" t="n">
        <f aca="false">IF(H204="","",G204-H204)</f>
        <v>-64</v>
      </c>
      <c r="J204" s="39" t="n">
        <f aca="false">IF(OR(D204="",D204+G204=0),"",D204/(D204+G204))</f>
        <v>0.592017738359202</v>
      </c>
      <c r="K204" s="39" t="n">
        <f aca="false">IF(E204="","",E204/(E204+H204))</f>
        <v>0.543026706231454</v>
      </c>
      <c r="L204" s="52" t="n">
        <f aca="false">IF(OR(K204="",J204=""),"",(J204-K204)*100)</f>
        <v>4.89910321277478</v>
      </c>
      <c r="M204" s="38"/>
    </row>
    <row r="205" customFormat="false" ht="15" hidden="false" customHeight="false" outlineLevel="0" collapsed="false">
      <c r="A205" s="38" t="s">
        <v>157</v>
      </c>
      <c r="B205" s="38" t="s">
        <v>324</v>
      </c>
      <c r="C205" s="38" t="s">
        <v>328</v>
      </c>
      <c r="D205" s="21" t="n">
        <v>916</v>
      </c>
      <c r="E205" s="21" t="n">
        <v>871</v>
      </c>
      <c r="F205" s="51" t="n">
        <f aca="false">IF(E205="","",D205-E205)</f>
        <v>45</v>
      </c>
      <c r="G205" s="21" t="n">
        <v>576</v>
      </c>
      <c r="H205" s="21" t="n">
        <v>616</v>
      </c>
      <c r="I205" s="51" t="n">
        <f aca="false">IF(H205="","",G205-H205)</f>
        <v>-40</v>
      </c>
      <c r="J205" s="39" t="n">
        <f aca="false">IF(OR(D205="",D205+G205=0),"",D205/(D205+G205))</f>
        <v>0.613941018766756</v>
      </c>
      <c r="K205" s="39" t="n">
        <f aca="false">IF(E205="","",E205/(E205+H205))</f>
        <v>0.585743106926698</v>
      </c>
      <c r="L205" s="52" t="n">
        <f aca="false">IF(OR(K205="",J205=""),"",(J205-K205)*100)</f>
        <v>2.81979118400579</v>
      </c>
      <c r="M205" s="38"/>
    </row>
    <row r="206" customFormat="false" ht="15" hidden="false" customHeight="false" outlineLevel="0" collapsed="false">
      <c r="A206" s="38" t="s">
        <v>157</v>
      </c>
      <c r="B206" s="38" t="s">
        <v>324</v>
      </c>
      <c r="C206" s="38" t="s">
        <v>329</v>
      </c>
      <c r="D206" s="21" t="n">
        <v>325</v>
      </c>
      <c r="E206" s="21" t="n">
        <v>305</v>
      </c>
      <c r="F206" s="51" t="n">
        <f aca="false">IF(E206="","",D206-E206)</f>
        <v>20</v>
      </c>
      <c r="G206" s="21" t="n">
        <v>240</v>
      </c>
      <c r="H206" s="21" t="n">
        <v>262</v>
      </c>
      <c r="I206" s="51" t="n">
        <f aca="false">IF(H206="","",G206-H206)</f>
        <v>-22</v>
      </c>
      <c r="J206" s="39" t="n">
        <f aca="false">IF(OR(D206="",D206+G206=0),"",D206/(D206+G206))</f>
        <v>0.575221238938053</v>
      </c>
      <c r="K206" s="39" t="n">
        <f aca="false">IF(E206="","",E206/(E206+H206))</f>
        <v>0.537918871252205</v>
      </c>
      <c r="L206" s="52" t="n">
        <f aca="false">IF(OR(K206="",J206=""),"",(J206-K206)*100)</f>
        <v>3.73023676858485</v>
      </c>
      <c r="M206" s="38"/>
    </row>
    <row r="207" customFormat="false" ht="15" hidden="false" customHeight="false" outlineLevel="0" collapsed="false">
      <c r="A207" s="38" t="s">
        <v>157</v>
      </c>
      <c r="B207" s="38" t="s">
        <v>324</v>
      </c>
      <c r="C207" s="38" t="s">
        <v>330</v>
      </c>
      <c r="D207" s="21" t="n">
        <v>569</v>
      </c>
      <c r="E207" s="21" t="n">
        <v>535</v>
      </c>
      <c r="F207" s="51" t="n">
        <f aca="false">IF(E207="","",D207-E207)</f>
        <v>34</v>
      </c>
      <c r="G207" s="21" t="n">
        <v>286</v>
      </c>
      <c r="H207" s="21" t="n">
        <v>364</v>
      </c>
      <c r="I207" s="51" t="n">
        <f aca="false">IF(H207="","",G207-H207)</f>
        <v>-78</v>
      </c>
      <c r="J207" s="39" t="n">
        <f aca="false">IF(OR(D207="",D207+G207=0),"",D207/(D207+G207))</f>
        <v>0.665497076023392</v>
      </c>
      <c r="K207" s="39" t="n">
        <f aca="false">IF(E207="","",E207/(E207+H207))</f>
        <v>0.595105672969967</v>
      </c>
      <c r="L207" s="52" t="n">
        <f aca="false">IF(OR(K207="",J207=""),"",(J207-K207)*100)</f>
        <v>7.03914030534252</v>
      </c>
      <c r="M207" s="38"/>
    </row>
    <row r="208" customFormat="false" ht="15" hidden="false" customHeight="false" outlineLevel="0" collapsed="false">
      <c r="A208" s="38" t="s">
        <v>157</v>
      </c>
      <c r="B208" s="38" t="s">
        <v>324</v>
      </c>
      <c r="C208" s="38" t="s">
        <v>331</v>
      </c>
      <c r="D208" s="21" t="n">
        <v>553</v>
      </c>
      <c r="E208" s="21" t="n">
        <v>564</v>
      </c>
      <c r="F208" s="51" t="n">
        <f aca="false">IF(E208="","",D208-E208)</f>
        <v>-11</v>
      </c>
      <c r="G208" s="21" t="n">
        <v>408</v>
      </c>
      <c r="H208" s="21" t="n">
        <v>451</v>
      </c>
      <c r="I208" s="51" t="n">
        <f aca="false">IF(H208="","",G208-H208)</f>
        <v>-43</v>
      </c>
      <c r="J208" s="39" t="n">
        <f aca="false">IF(OR(D208="",D208+G208=0),"",D208/(D208+G208))</f>
        <v>0.575442247658689</v>
      </c>
      <c r="K208" s="39" t="n">
        <f aca="false">IF(E208="","",E208/(E208+H208))</f>
        <v>0.555665024630542</v>
      </c>
      <c r="L208" s="52" t="n">
        <f aca="false">IF(OR(K208="",J208=""),"",(J208-K208)*100)</f>
        <v>1.9777223028147</v>
      </c>
      <c r="M208" s="38"/>
    </row>
    <row r="209" customFormat="false" ht="15" hidden="false" customHeight="false" outlineLevel="0" collapsed="false">
      <c r="A209" s="38" t="s">
        <v>157</v>
      </c>
      <c r="B209" s="38" t="s">
        <v>324</v>
      </c>
      <c r="C209" s="38" t="s">
        <v>332</v>
      </c>
      <c r="D209" s="21" t="n">
        <v>293</v>
      </c>
      <c r="E209" s="21" t="n">
        <v>279</v>
      </c>
      <c r="F209" s="51" t="n">
        <f aca="false">IF(E209="","",D209-E209)</f>
        <v>14</v>
      </c>
      <c r="G209" s="21" t="n">
        <v>297</v>
      </c>
      <c r="H209" s="21" t="n">
        <v>318</v>
      </c>
      <c r="I209" s="51" t="n">
        <f aca="false">IF(H209="","",G209-H209)</f>
        <v>-21</v>
      </c>
      <c r="J209" s="39" t="n">
        <f aca="false">IF(OR(D209="",D209+G209=0),"",D209/(D209+G209))</f>
        <v>0.496610169491525</v>
      </c>
      <c r="K209" s="39" t="n">
        <f aca="false">IF(E209="","",E209/(E209+H209))</f>
        <v>0.467336683417085</v>
      </c>
      <c r="L209" s="52" t="n">
        <f aca="false">IF(OR(K209="",J209=""),"",(J209-K209)*100)</f>
        <v>2.927348607444</v>
      </c>
      <c r="M209" s="38"/>
    </row>
    <row r="210" customFormat="false" ht="15" hidden="false" customHeight="false" outlineLevel="0" collapsed="false">
      <c r="A210" s="38" t="s">
        <v>157</v>
      </c>
      <c r="B210" s="38" t="s">
        <v>324</v>
      </c>
      <c r="C210" s="38" t="s">
        <v>333</v>
      </c>
      <c r="D210" s="21" t="n">
        <v>618</v>
      </c>
      <c r="E210" s="21" t="n">
        <v>571</v>
      </c>
      <c r="F210" s="51" t="n">
        <f aca="false">IF(E210="","",D210-E210)</f>
        <v>47</v>
      </c>
      <c r="G210" s="21" t="n">
        <v>508</v>
      </c>
      <c r="H210" s="21" t="n">
        <v>544</v>
      </c>
      <c r="I210" s="51" t="n">
        <f aca="false">IF(H210="","",G210-H210)</f>
        <v>-36</v>
      </c>
      <c r="J210" s="39" t="n">
        <f aca="false">IF(OR(D210="",D210+G210=0),"",D210/(D210+G210))</f>
        <v>0.548845470692718</v>
      </c>
      <c r="K210" s="39" t="n">
        <f aca="false">IF(E210="","",E210/(E210+H210))</f>
        <v>0.512107623318386</v>
      </c>
      <c r="L210" s="52" t="n">
        <f aca="false">IF(OR(K210="",J210=""),"",(J210-K210)*100)</f>
        <v>3.67378473743319</v>
      </c>
      <c r="M210" s="38"/>
    </row>
    <row r="211" customFormat="false" ht="15" hidden="false" customHeight="false" outlineLevel="0" collapsed="false">
      <c r="A211" s="38" t="s">
        <v>157</v>
      </c>
      <c r="B211" s="38" t="s">
        <v>324</v>
      </c>
      <c r="C211" s="38" t="s">
        <v>334</v>
      </c>
      <c r="D211" s="21" t="n">
        <v>951</v>
      </c>
      <c r="E211" s="21" t="n">
        <v>829</v>
      </c>
      <c r="F211" s="51" t="n">
        <f aca="false">IF(E211="","",D211-E211)</f>
        <v>122</v>
      </c>
      <c r="G211" s="21" t="n">
        <v>938</v>
      </c>
      <c r="H211" s="21" t="n">
        <v>968</v>
      </c>
      <c r="I211" s="51" t="n">
        <f aca="false">IF(H211="","",G211-H211)</f>
        <v>-30</v>
      </c>
      <c r="J211" s="39" t="n">
        <f aca="false">IF(OR(D211="",D211+G211=0),"",D211/(D211+G211))</f>
        <v>0.503440974060349</v>
      </c>
      <c r="K211" s="39" t="n">
        <f aca="false">IF(E211="","",E211/(E211+H211))</f>
        <v>0.461324429604897</v>
      </c>
      <c r="L211" s="52" t="n">
        <f aca="false">IF(OR(K211="",J211=""),"",(J211-K211)*100)</f>
        <v>4.21165444554523</v>
      </c>
      <c r="M211" s="38"/>
    </row>
    <row r="212" customFormat="false" ht="15" hidden="false" customHeight="false" outlineLevel="0" collapsed="false">
      <c r="A212" s="38" t="s">
        <v>157</v>
      </c>
      <c r="B212" s="38" t="s">
        <v>324</v>
      </c>
      <c r="C212" s="38" t="s">
        <v>335</v>
      </c>
      <c r="D212" s="21" t="n">
        <v>778</v>
      </c>
      <c r="E212" s="21" t="n">
        <v>698</v>
      </c>
      <c r="F212" s="51" t="n">
        <f aca="false">IF(E212="","",D212-E212)</f>
        <v>80</v>
      </c>
      <c r="G212" s="21" t="n">
        <v>733</v>
      </c>
      <c r="H212" s="21" t="n">
        <v>748</v>
      </c>
      <c r="I212" s="51" t="n">
        <f aca="false">IF(H212="","",G212-H212)</f>
        <v>-15</v>
      </c>
      <c r="J212" s="39" t="n">
        <f aca="false">IF(OR(D212="",D212+G212=0),"",D212/(D212+G212))</f>
        <v>0.514890800794176</v>
      </c>
      <c r="K212" s="39" t="n">
        <f aca="false">IF(E212="","",E212/(E212+H212))</f>
        <v>0.482710926694329</v>
      </c>
      <c r="L212" s="52" t="n">
        <f aca="false">IF(OR(K212="",J212=""),"",(J212-K212)*100)</f>
        <v>3.21798740998469</v>
      </c>
      <c r="M212" s="38"/>
    </row>
    <row r="213" customFormat="false" ht="15" hidden="false" customHeight="false" outlineLevel="0" collapsed="false">
      <c r="A213" s="38" t="s">
        <v>157</v>
      </c>
      <c r="B213" s="38" t="s">
        <v>324</v>
      </c>
      <c r="C213" s="38" t="s">
        <v>336</v>
      </c>
      <c r="D213" s="21" t="n">
        <v>655</v>
      </c>
      <c r="E213" s="21" t="n">
        <v>582</v>
      </c>
      <c r="F213" s="51" t="n">
        <f aca="false">IF(E213="","",D213-E213)</f>
        <v>73</v>
      </c>
      <c r="G213" s="21" t="n">
        <v>563</v>
      </c>
      <c r="H213" s="21" t="n">
        <v>562</v>
      </c>
      <c r="I213" s="51" t="n">
        <f aca="false">IF(H213="","",G213-H213)</f>
        <v>1</v>
      </c>
      <c r="J213" s="39" t="n">
        <f aca="false">IF(OR(D213="",D213+G213=0),"",D213/(D213+G213))</f>
        <v>0.537766830870279</v>
      </c>
      <c r="K213" s="39" t="n">
        <f aca="false">IF(E213="","",E213/(E213+H213))</f>
        <v>0.508741258741259</v>
      </c>
      <c r="L213" s="52" t="n">
        <f aca="false">IF(OR(K213="",J213=""),"",(J213-K213)*100)</f>
        <v>2.90255721290204</v>
      </c>
      <c r="M213" s="38"/>
    </row>
    <row r="214" customFormat="false" ht="15" hidden="false" customHeight="false" outlineLevel="0" collapsed="false">
      <c r="A214" s="38" t="s">
        <v>337</v>
      </c>
      <c r="B214" s="38" t="s">
        <v>338</v>
      </c>
      <c r="C214" s="38" t="s">
        <v>339</v>
      </c>
      <c r="D214" s="21" t="n">
        <v>536</v>
      </c>
      <c r="E214" s="21" t="n">
        <v>471</v>
      </c>
      <c r="F214" s="51" t="n">
        <f aca="false">IF(E214="","",D214-E214)</f>
        <v>65</v>
      </c>
      <c r="G214" s="21" t="n">
        <v>1065</v>
      </c>
      <c r="H214" s="21" t="n">
        <v>1124</v>
      </c>
      <c r="I214" s="51" t="n">
        <f aca="false">IF(H214="","",G214-H214)</f>
        <v>-59</v>
      </c>
      <c r="J214" s="39" t="n">
        <f aca="false">IF(OR(D214="",D214+G214=0),"",D214/(D214+G214))</f>
        <v>0.334790755777639</v>
      </c>
      <c r="K214" s="39" t="n">
        <f aca="false">IF(E214="","",E214/(E214+H214))</f>
        <v>0.295297805642633</v>
      </c>
      <c r="L214" s="52" t="n">
        <f aca="false">IF(OR(K214="",J214=""),"",(J214-K214)*100)</f>
        <v>3.94929501350057</v>
      </c>
      <c r="M214" s="38"/>
    </row>
    <row r="215" customFormat="false" ht="15" hidden="false" customHeight="false" outlineLevel="0" collapsed="false">
      <c r="A215" s="38" t="s">
        <v>337</v>
      </c>
      <c r="B215" s="38" t="s">
        <v>340</v>
      </c>
      <c r="C215" s="38" t="s">
        <v>341</v>
      </c>
      <c r="D215" s="21" t="n">
        <v>1477</v>
      </c>
      <c r="E215" s="21" t="n">
        <v>1414</v>
      </c>
      <c r="F215" s="51" t="n">
        <f aca="false">IF(E215="","",D215-E215)</f>
        <v>63</v>
      </c>
      <c r="G215" s="21" t="n">
        <v>2765</v>
      </c>
      <c r="H215" s="21" t="n">
        <v>2894</v>
      </c>
      <c r="I215" s="51" t="n">
        <f aca="false">IF(H215="","",G215-H215)</f>
        <v>-129</v>
      </c>
      <c r="J215" s="39" t="n">
        <f aca="false">IF(OR(D215="",D215+G215=0),"",D215/(D215+G215))</f>
        <v>0.348184818481848</v>
      </c>
      <c r="K215" s="39" t="n">
        <f aca="false">IF(E215="","",E215/(E215+H215))</f>
        <v>0.328226555246054</v>
      </c>
      <c r="L215" s="52" t="n">
        <f aca="false">IF(OR(K215="",J215=""),"",(J215-K215)*100)</f>
        <v>1.99582632357943</v>
      </c>
      <c r="M215" s="38"/>
    </row>
    <row r="216" customFormat="false" ht="15" hidden="false" customHeight="false" outlineLevel="0" collapsed="false">
      <c r="A216" s="38" t="s">
        <v>337</v>
      </c>
      <c r="B216" s="38" t="s">
        <v>342</v>
      </c>
      <c r="C216" s="38" t="s">
        <v>343</v>
      </c>
      <c r="D216" s="21" t="n">
        <v>1058</v>
      </c>
      <c r="E216" s="21" t="n">
        <v>521</v>
      </c>
      <c r="F216" s="51" t="n">
        <f aca="false">IF(E216="","",D216-E216)</f>
        <v>537</v>
      </c>
      <c r="G216" s="21" t="n">
        <v>1985</v>
      </c>
      <c r="H216" s="21" t="n">
        <v>997</v>
      </c>
      <c r="I216" s="51" t="n">
        <f aca="false">IF(H216="","",G216-H216)</f>
        <v>988</v>
      </c>
      <c r="J216" s="39" t="n">
        <f aca="false">IF(OR(D216="",D216+G216=0),"",D216/(D216+G216))</f>
        <v>0.347683207361157</v>
      </c>
      <c r="K216" s="39" t="n">
        <f aca="false">IF(E216="","",E216/(E216+H216))</f>
        <v>0.343214756258235</v>
      </c>
      <c r="L216" s="52" t="n">
        <f aca="false">IF(OR(K216="",J216=""),"",(J216-K216)*100)</f>
        <v>0.446845110292227</v>
      </c>
      <c r="M216" s="38"/>
    </row>
    <row r="217" customFormat="false" ht="15" hidden="false" customHeight="false" outlineLevel="0" collapsed="false">
      <c r="A217" s="38" t="s">
        <v>344</v>
      </c>
      <c r="B217" s="38" t="s">
        <v>345</v>
      </c>
      <c r="C217" s="38" t="s">
        <v>346</v>
      </c>
      <c r="D217" s="21" t="n">
        <v>768</v>
      </c>
      <c r="E217" s="21" t="n">
        <v>687</v>
      </c>
      <c r="F217" s="51" t="n">
        <f aca="false">IF(E217="","",D217-E217)</f>
        <v>81</v>
      </c>
      <c r="G217" s="21" t="n">
        <v>1016</v>
      </c>
      <c r="H217" s="21" t="n">
        <v>1009</v>
      </c>
      <c r="I217" s="51" t="n">
        <f aca="false">IF(H217="","",G217-H217)</f>
        <v>7</v>
      </c>
      <c r="J217" s="39" t="n">
        <f aca="false">IF(OR(D217="",D217+G217=0),"",D217/(D217+G217))</f>
        <v>0.430493273542601</v>
      </c>
      <c r="K217" s="39" t="n">
        <f aca="false">IF(E217="","",E217/(E217+H217))</f>
        <v>0.405070754716981</v>
      </c>
      <c r="L217" s="52" t="n">
        <f aca="false">IF(OR(K217="",J217=""),"",(J217-K217)*100)</f>
        <v>2.54225188256198</v>
      </c>
      <c r="M217" s="38"/>
    </row>
    <row r="218" customFormat="false" ht="15" hidden="false" customHeight="false" outlineLevel="0" collapsed="false">
      <c r="A218" s="38" t="s">
        <v>344</v>
      </c>
      <c r="B218" s="38" t="s">
        <v>345</v>
      </c>
      <c r="C218" s="38" t="s">
        <v>347</v>
      </c>
      <c r="D218" s="21" t="n">
        <v>910</v>
      </c>
      <c r="E218" s="21" t="n">
        <v>824</v>
      </c>
      <c r="F218" s="51" t="n">
        <f aca="false">IF(E218="","",D218-E218)</f>
        <v>86</v>
      </c>
      <c r="G218" s="21" t="n">
        <v>893</v>
      </c>
      <c r="H218" s="21" t="n">
        <v>1009</v>
      </c>
      <c r="I218" s="51" t="n">
        <f aca="false">IF(H218="","",G218-H218)</f>
        <v>-116</v>
      </c>
      <c r="J218" s="39" t="n">
        <f aca="false">IF(OR(D218="",D218+G218=0),"",D218/(D218+G218))</f>
        <v>0.50471436494731</v>
      </c>
      <c r="K218" s="39" t="n">
        <f aca="false">IF(E218="","",E218/(E218+H218))</f>
        <v>0.449536279323513</v>
      </c>
      <c r="L218" s="52" t="n">
        <f aca="false">IF(OR(K218="",J218=""),"",(J218-K218)*100)</f>
        <v>5.51780856237967</v>
      </c>
      <c r="M218" s="38"/>
    </row>
    <row r="219" customFormat="false" ht="15" hidden="false" customHeight="false" outlineLevel="0" collapsed="false">
      <c r="A219" s="38" t="s">
        <v>344</v>
      </c>
      <c r="B219" s="38" t="s">
        <v>348</v>
      </c>
      <c r="C219" s="38" t="s">
        <v>349</v>
      </c>
      <c r="D219" s="21" t="n">
        <v>498</v>
      </c>
      <c r="E219" s="21"/>
      <c r="F219" s="51" t="str">
        <f aca="false">IF(E219="","",D219-E219)</f>
        <v/>
      </c>
      <c r="G219" s="21" t="n">
        <v>640</v>
      </c>
      <c r="H219" s="21"/>
      <c r="I219" s="51" t="str">
        <f aca="false">IF(H219="","",G219-H219)</f>
        <v/>
      </c>
      <c r="J219" s="39" t="n">
        <f aca="false">IF(OR(D219="",D219+G219=0),"",D219/(D219+G219))</f>
        <v>0.437609841827768</v>
      </c>
      <c r="K219" s="39" t="str">
        <f aca="false">IF(E219="","",E219/(E219+H219))</f>
        <v/>
      </c>
      <c r="L219" s="52" t="str">
        <f aca="false">IF(OR(K219="",J219=""),"",(J219-K219)*100)</f>
        <v/>
      </c>
      <c r="M219" s="38" t="s">
        <v>691</v>
      </c>
    </row>
    <row r="220" customFormat="false" ht="15" hidden="false" customHeight="false" outlineLevel="0" collapsed="false">
      <c r="A220" s="38" t="s">
        <v>344</v>
      </c>
      <c r="B220" s="38" t="s">
        <v>348</v>
      </c>
      <c r="C220" s="38" t="s">
        <v>350</v>
      </c>
      <c r="D220" s="21" t="n">
        <v>528</v>
      </c>
      <c r="E220" s="21"/>
      <c r="F220" s="51" t="str">
        <f aca="false">IF(E220="","",D220-E220)</f>
        <v/>
      </c>
      <c r="G220" s="21" t="n">
        <v>666</v>
      </c>
      <c r="H220" s="21"/>
      <c r="I220" s="51" t="str">
        <f aca="false">IF(H220="","",G220-H220)</f>
        <v/>
      </c>
      <c r="J220" s="39" t="n">
        <f aca="false">IF(OR(D220="",D220+G220=0),"",D220/(D220+G220))</f>
        <v>0.442211055276382</v>
      </c>
      <c r="K220" s="39" t="str">
        <f aca="false">IF(E220="","",E220/(E220+H220))</f>
        <v/>
      </c>
      <c r="L220" s="52" t="str">
        <f aca="false">IF(OR(K220="",J220=""),"",(J220-K220)*100)</f>
        <v/>
      </c>
      <c r="M220" s="38" t="s">
        <v>691</v>
      </c>
    </row>
    <row r="221" customFormat="false" ht="15" hidden="false" customHeight="false" outlineLevel="0" collapsed="false">
      <c r="A221" s="38" t="s">
        <v>344</v>
      </c>
      <c r="B221" s="38" t="s">
        <v>351</v>
      </c>
      <c r="C221" s="38" t="s">
        <v>352</v>
      </c>
      <c r="D221" s="21" t="n">
        <v>655</v>
      </c>
      <c r="E221" s="21" t="n">
        <v>623</v>
      </c>
      <c r="F221" s="51" t="n">
        <f aca="false">IF(E221="","",D221-E221)</f>
        <v>32</v>
      </c>
      <c r="G221" s="21" t="n">
        <v>721</v>
      </c>
      <c r="H221" s="21" t="n">
        <v>726</v>
      </c>
      <c r="I221" s="51" t="n">
        <f aca="false">IF(H221="","",G221-H221)</f>
        <v>-5</v>
      </c>
      <c r="J221" s="39" t="n">
        <f aca="false">IF(OR(D221="",D221+G221=0),"",D221/(D221+G221))</f>
        <v>0.476017441860465</v>
      </c>
      <c r="K221" s="39" t="n">
        <f aca="false">IF(E221="","",E221/(E221+H221))</f>
        <v>0.46182357301705</v>
      </c>
      <c r="L221" s="52" t="n">
        <f aca="false">IF(OR(K221="",J221=""),"",(J221-K221)*100)</f>
        <v>1.41938688434154</v>
      </c>
      <c r="M221" s="38"/>
    </row>
    <row r="222" customFormat="false" ht="15" hidden="false" customHeight="false" outlineLevel="0" collapsed="false">
      <c r="A222" s="38" t="s">
        <v>344</v>
      </c>
      <c r="B222" s="38" t="s">
        <v>219</v>
      </c>
      <c r="C222" s="38" t="s">
        <v>353</v>
      </c>
      <c r="D222" s="21" t="n">
        <v>756</v>
      </c>
      <c r="E222" s="21" t="n">
        <v>775</v>
      </c>
      <c r="F222" s="51" t="n">
        <f aca="false">IF(E222="","",D222-E222)</f>
        <v>-19</v>
      </c>
      <c r="G222" s="21" t="n">
        <v>451</v>
      </c>
      <c r="H222" s="21" t="n">
        <v>447</v>
      </c>
      <c r="I222" s="51" t="n">
        <f aca="false">IF(H222="","",G222-H222)</f>
        <v>4</v>
      </c>
      <c r="J222" s="39" t="n">
        <f aca="false">IF(OR(D222="",D222+G222=0),"",D222/(D222+G222))</f>
        <v>0.626346313173157</v>
      </c>
      <c r="K222" s="39" t="n">
        <f aca="false">IF(E222="","",E222/(E222+H222))</f>
        <v>0.634206219312602</v>
      </c>
      <c r="L222" s="52" t="n">
        <f aca="false">IF(OR(K222="",J222=""),"",(J222-K222)*100)</f>
        <v>-0.785990613944565</v>
      </c>
      <c r="M222" s="38"/>
    </row>
    <row r="223" customFormat="false" ht="15" hidden="false" customHeight="false" outlineLevel="0" collapsed="false">
      <c r="A223" s="38" t="s">
        <v>344</v>
      </c>
      <c r="B223" s="38" t="s">
        <v>219</v>
      </c>
      <c r="C223" s="38" t="s">
        <v>354</v>
      </c>
      <c r="D223" s="21" t="n">
        <v>1084</v>
      </c>
      <c r="E223" s="21" t="n">
        <v>982</v>
      </c>
      <c r="F223" s="51" t="n">
        <f aca="false">IF(E223="","",D223-E223)</f>
        <v>102</v>
      </c>
      <c r="G223" s="21" t="n">
        <v>674</v>
      </c>
      <c r="H223" s="21" t="n">
        <v>684</v>
      </c>
      <c r="I223" s="51" t="n">
        <f aca="false">IF(H223="","",G223-H223)</f>
        <v>-10</v>
      </c>
      <c r="J223" s="39" t="n">
        <f aca="false">IF(OR(D223="",D223+G223=0),"",D223/(D223+G223))</f>
        <v>0.616609783845279</v>
      </c>
      <c r="K223" s="39" t="n">
        <f aca="false">IF(E223="","",E223/(E223+H223))</f>
        <v>0.589435774309724</v>
      </c>
      <c r="L223" s="52" t="n">
        <f aca="false">IF(OR(K223="",J223=""),"",(J223-K223)*100)</f>
        <v>2.71740095355548</v>
      </c>
      <c r="M223" s="38"/>
    </row>
    <row r="224" customFormat="false" ht="15" hidden="false" customHeight="false" outlineLevel="0" collapsed="false">
      <c r="A224" s="38" t="s">
        <v>344</v>
      </c>
      <c r="B224" s="38" t="s">
        <v>219</v>
      </c>
      <c r="C224" s="38" t="s">
        <v>355</v>
      </c>
      <c r="D224" s="21" t="n">
        <v>799</v>
      </c>
      <c r="E224" s="21" t="n">
        <v>750</v>
      </c>
      <c r="F224" s="51" t="n">
        <f aca="false">IF(E224="","",D224-E224)</f>
        <v>49</v>
      </c>
      <c r="G224" s="21" t="n">
        <v>400</v>
      </c>
      <c r="H224" s="21" t="n">
        <v>421</v>
      </c>
      <c r="I224" s="51" t="n">
        <f aca="false">IF(H224="","",G224-H224)</f>
        <v>-21</v>
      </c>
      <c r="J224" s="39" t="n">
        <f aca="false">IF(OR(D224="",D224+G224=0),"",D224/(D224+G224))</f>
        <v>0.666388657214345</v>
      </c>
      <c r="K224" s="39" t="n">
        <f aca="false">IF(E224="","",E224/(E224+H224))</f>
        <v>0.640478223740393</v>
      </c>
      <c r="L224" s="52" t="n">
        <f aca="false">IF(OR(K224="",J224=""),"",(J224-K224)*100)</f>
        <v>2.59104334739524</v>
      </c>
      <c r="M224" s="38"/>
    </row>
    <row r="225" customFormat="false" ht="15" hidden="false" customHeight="false" outlineLevel="0" collapsed="false">
      <c r="A225" s="38" t="s">
        <v>344</v>
      </c>
      <c r="B225" s="38" t="s">
        <v>219</v>
      </c>
      <c r="C225" s="38" t="s">
        <v>356</v>
      </c>
      <c r="D225" s="21" t="n">
        <v>610</v>
      </c>
      <c r="E225" s="21" t="n">
        <v>592</v>
      </c>
      <c r="F225" s="51" t="n">
        <f aca="false">IF(E225="","",D225-E225)</f>
        <v>18</v>
      </c>
      <c r="G225" s="21" t="n">
        <v>339</v>
      </c>
      <c r="H225" s="21" t="n">
        <v>337</v>
      </c>
      <c r="I225" s="51" t="n">
        <f aca="false">IF(H225="","",G225-H225)</f>
        <v>2</v>
      </c>
      <c r="J225" s="39" t="n">
        <f aca="false">IF(OR(D225="",D225+G225=0),"",D225/(D225+G225))</f>
        <v>0.642781875658588</v>
      </c>
      <c r="K225" s="39" t="n">
        <f aca="false">IF(E225="","",E225/(E225+H225))</f>
        <v>0.63724434876211</v>
      </c>
      <c r="L225" s="52" t="n">
        <f aca="false">IF(OR(K225="",J225=""),"",(J225-K225)*100)</f>
        <v>0.553752689647824</v>
      </c>
      <c r="M225" s="38"/>
    </row>
    <row r="226" customFormat="false" ht="15" hidden="false" customHeight="false" outlineLevel="0" collapsed="false">
      <c r="A226" s="38" t="s">
        <v>344</v>
      </c>
      <c r="B226" s="38" t="s">
        <v>219</v>
      </c>
      <c r="C226" s="38" t="s">
        <v>357</v>
      </c>
      <c r="D226" s="21" t="n">
        <v>816</v>
      </c>
      <c r="E226" s="21" t="n">
        <v>740</v>
      </c>
      <c r="F226" s="51" t="n">
        <f aca="false">IF(E226="","",D226-E226)</f>
        <v>76</v>
      </c>
      <c r="G226" s="21" t="n">
        <v>511</v>
      </c>
      <c r="H226" s="21" t="n">
        <v>506</v>
      </c>
      <c r="I226" s="51" t="n">
        <f aca="false">IF(H226="","",G226-H226)</f>
        <v>5</v>
      </c>
      <c r="J226" s="39" t="n">
        <f aca="false">IF(OR(D226="",D226+G226=0),"",D226/(D226+G226))</f>
        <v>0.614920874152223</v>
      </c>
      <c r="K226" s="39" t="n">
        <f aca="false">IF(E226="","",E226/(E226+H226))</f>
        <v>0.593900481540931</v>
      </c>
      <c r="L226" s="52" t="n">
        <f aca="false">IF(OR(K226="",J226=""),"",(J226-K226)*100)</f>
        <v>2.10203926112921</v>
      </c>
      <c r="M226" s="38"/>
    </row>
    <row r="227" customFormat="false" ht="15" hidden="false" customHeight="false" outlineLevel="0" collapsed="false">
      <c r="A227" s="38" t="s">
        <v>344</v>
      </c>
      <c r="B227" s="38" t="s">
        <v>219</v>
      </c>
      <c r="C227" s="38" t="s">
        <v>358</v>
      </c>
      <c r="D227" s="21" t="n">
        <v>1091</v>
      </c>
      <c r="E227" s="21" t="n">
        <v>1037</v>
      </c>
      <c r="F227" s="51" t="n">
        <f aca="false">IF(E227="","",D227-E227)</f>
        <v>54</v>
      </c>
      <c r="G227" s="21" t="n">
        <v>599</v>
      </c>
      <c r="H227" s="21" t="n">
        <v>623</v>
      </c>
      <c r="I227" s="51" t="n">
        <f aca="false">IF(H227="","",G227-H227)</f>
        <v>-24</v>
      </c>
      <c r="J227" s="39" t="n">
        <f aca="false">IF(OR(D227="",D227+G227=0),"",D227/(D227+G227))</f>
        <v>0.645562130177515</v>
      </c>
      <c r="K227" s="39" t="n">
        <f aca="false">IF(E227="","",E227/(E227+H227))</f>
        <v>0.624698795180723</v>
      </c>
      <c r="L227" s="52" t="n">
        <f aca="false">IF(OR(K227="",J227=""),"",(J227-K227)*100)</f>
        <v>2.08633349967919</v>
      </c>
      <c r="M227" s="38"/>
    </row>
    <row r="228" customFormat="false" ht="15" hidden="false" customHeight="false" outlineLevel="0" collapsed="false">
      <c r="A228" s="38" t="s">
        <v>344</v>
      </c>
      <c r="B228" s="38" t="s">
        <v>219</v>
      </c>
      <c r="C228" s="38" t="s">
        <v>359</v>
      </c>
      <c r="D228" s="21" t="n">
        <v>774</v>
      </c>
      <c r="E228" s="21" t="n">
        <v>681</v>
      </c>
      <c r="F228" s="51" t="n">
        <f aca="false">IF(E228="","",D228-E228)</f>
        <v>93</v>
      </c>
      <c r="G228" s="21" t="n">
        <v>523</v>
      </c>
      <c r="H228" s="21" t="n">
        <v>513</v>
      </c>
      <c r="I228" s="51" t="n">
        <f aca="false">IF(H228="","",G228-H228)</f>
        <v>10</v>
      </c>
      <c r="J228" s="39" t="n">
        <f aca="false">IF(OR(D228="",D228+G228=0),"",D228/(D228+G228))</f>
        <v>0.596761757902853</v>
      </c>
      <c r="K228" s="39" t="n">
        <f aca="false">IF(E228="","",E228/(E228+H228))</f>
        <v>0.57035175879397</v>
      </c>
      <c r="L228" s="52" t="n">
        <f aca="false">IF(OR(K228="",J228=""),"",(J228-K228)*100)</f>
        <v>2.64099991088829</v>
      </c>
      <c r="M228" s="38"/>
    </row>
    <row r="229" customFormat="false" ht="15" hidden="false" customHeight="false" outlineLevel="0" collapsed="false">
      <c r="A229" s="38" t="s">
        <v>344</v>
      </c>
      <c r="B229" s="38" t="s">
        <v>219</v>
      </c>
      <c r="C229" s="38" t="s">
        <v>360</v>
      </c>
      <c r="D229" s="21" t="n">
        <v>580</v>
      </c>
      <c r="E229" s="21" t="n">
        <v>529</v>
      </c>
      <c r="F229" s="51" t="n">
        <f aca="false">IF(E229="","",D229-E229)</f>
        <v>51</v>
      </c>
      <c r="G229" s="21" t="n">
        <v>321</v>
      </c>
      <c r="H229" s="21" t="n">
        <v>293</v>
      </c>
      <c r="I229" s="51" t="n">
        <f aca="false">IF(H229="","",G229-H229)</f>
        <v>28</v>
      </c>
      <c r="J229" s="39" t="n">
        <f aca="false">IF(OR(D229="",D229+G229=0),"",D229/(D229+G229))</f>
        <v>0.643729189789123</v>
      </c>
      <c r="K229" s="39" t="n">
        <f aca="false">IF(E229="","",E229/(E229+H229))</f>
        <v>0.643552311435523</v>
      </c>
      <c r="L229" s="52" t="n">
        <f aca="false">IF(OR(K229="",J229=""),"",(J229-K229)*100)</f>
        <v>0.017687835360003</v>
      </c>
      <c r="M229" s="38"/>
    </row>
    <row r="230" customFormat="false" ht="15" hidden="false" customHeight="false" outlineLevel="0" collapsed="false">
      <c r="A230" s="38" t="s">
        <v>344</v>
      </c>
      <c r="B230" s="38" t="s">
        <v>219</v>
      </c>
      <c r="C230" s="38" t="s">
        <v>361</v>
      </c>
      <c r="D230" s="21" t="n">
        <v>743</v>
      </c>
      <c r="E230" s="21" t="n">
        <v>767</v>
      </c>
      <c r="F230" s="51" t="n">
        <f aca="false">IF(E230="","",D230-E230)</f>
        <v>-24</v>
      </c>
      <c r="G230" s="21" t="n">
        <v>339</v>
      </c>
      <c r="H230" s="21" t="n">
        <v>384</v>
      </c>
      <c r="I230" s="51" t="n">
        <f aca="false">IF(H230="","",G230-H230)</f>
        <v>-45</v>
      </c>
      <c r="J230" s="39" t="n">
        <f aca="false">IF(OR(D230="",D230+G230=0),"",D230/(D230+G230))</f>
        <v>0.686691312384473</v>
      </c>
      <c r="K230" s="39" t="n">
        <f aca="false">IF(E230="","",E230/(E230+H230))</f>
        <v>0.66637706342311</v>
      </c>
      <c r="L230" s="52" t="n">
        <f aca="false">IF(OR(K230="",J230=""),"",(J230-K230)*100)</f>
        <v>2.03142489613629</v>
      </c>
      <c r="M230" s="38"/>
    </row>
    <row r="231" customFormat="false" ht="15" hidden="false" customHeight="false" outlineLevel="0" collapsed="false">
      <c r="A231" s="38" t="s">
        <v>344</v>
      </c>
      <c r="B231" s="38" t="s">
        <v>219</v>
      </c>
      <c r="C231" s="38" t="s">
        <v>362</v>
      </c>
      <c r="D231" s="21" t="n">
        <v>949</v>
      </c>
      <c r="E231" s="21" t="n">
        <v>906</v>
      </c>
      <c r="F231" s="51" t="n">
        <f aca="false">IF(E231="","",D231-E231)</f>
        <v>43</v>
      </c>
      <c r="G231" s="21" t="n">
        <v>545</v>
      </c>
      <c r="H231" s="21" t="n">
        <v>586</v>
      </c>
      <c r="I231" s="51" t="n">
        <f aca="false">IF(H231="","",G231-H231)</f>
        <v>-41</v>
      </c>
      <c r="J231" s="39" t="n">
        <f aca="false">IF(OR(D231="",D231+G231=0),"",D231/(D231+G231))</f>
        <v>0.63520749665328</v>
      </c>
      <c r="K231" s="39" t="n">
        <f aca="false">IF(E231="","",E231/(E231+H231))</f>
        <v>0.607238605898123</v>
      </c>
      <c r="L231" s="52" t="n">
        <f aca="false">IF(OR(K231="",J231=""),"",(J231-K231)*100)</f>
        <v>2.79688907551565</v>
      </c>
      <c r="M231" s="38"/>
    </row>
    <row r="232" customFormat="false" ht="15" hidden="false" customHeight="false" outlineLevel="0" collapsed="false">
      <c r="A232" s="38" t="s">
        <v>344</v>
      </c>
      <c r="B232" s="38" t="s">
        <v>219</v>
      </c>
      <c r="C232" s="38" t="s">
        <v>363</v>
      </c>
      <c r="D232" s="21" t="n">
        <v>800</v>
      </c>
      <c r="E232" s="21" t="n">
        <v>954</v>
      </c>
      <c r="F232" s="51" t="n">
        <f aca="false">IF(E232="","",D232-E232)</f>
        <v>-154</v>
      </c>
      <c r="G232" s="21" t="n">
        <v>332</v>
      </c>
      <c r="H232" s="21" t="n">
        <v>416</v>
      </c>
      <c r="I232" s="51" t="n">
        <f aca="false">IF(H232="","",G232-H232)</f>
        <v>-84</v>
      </c>
      <c r="J232" s="39" t="n">
        <f aca="false">IF(OR(D232="",D232+G232=0),"",D232/(D232+G232))</f>
        <v>0.706713780918728</v>
      </c>
      <c r="K232" s="39" t="n">
        <f aca="false">IF(E232="","",E232/(E232+H232))</f>
        <v>0.696350364963504</v>
      </c>
      <c r="L232" s="52" t="n">
        <f aca="false">IF(OR(K232="",J232=""),"",(J232-K232)*100)</f>
        <v>1.03634159552243</v>
      </c>
      <c r="M232" s="38"/>
    </row>
    <row r="233" customFormat="false" ht="15" hidden="false" customHeight="false" outlineLevel="0" collapsed="false">
      <c r="A233" s="38" t="s">
        <v>344</v>
      </c>
      <c r="B233" s="38" t="s">
        <v>219</v>
      </c>
      <c r="C233" s="38" t="s">
        <v>364</v>
      </c>
      <c r="D233" s="21" t="n">
        <v>753</v>
      </c>
      <c r="E233" s="21" t="n">
        <v>821</v>
      </c>
      <c r="F233" s="51" t="n">
        <f aca="false">IF(E233="","",D233-E233)</f>
        <v>-68</v>
      </c>
      <c r="G233" s="21" t="n">
        <v>431</v>
      </c>
      <c r="H233" s="21" t="n">
        <v>474</v>
      </c>
      <c r="I233" s="51" t="n">
        <f aca="false">IF(H233="","",G233-H233)</f>
        <v>-43</v>
      </c>
      <c r="J233" s="39" t="n">
        <f aca="false">IF(OR(D233="",D233+G233=0),"",D233/(D233+G233))</f>
        <v>0.63597972972973</v>
      </c>
      <c r="K233" s="39" t="n">
        <f aca="false">IF(E233="","",E233/(E233+H233))</f>
        <v>0.633976833976834</v>
      </c>
      <c r="L233" s="52" t="n">
        <f aca="false">IF(OR(K233="",J233=""),"",(J233-K233)*100)</f>
        <v>0.200289575289569</v>
      </c>
      <c r="M233" s="38"/>
    </row>
    <row r="234" customFormat="false" ht="15" hidden="false" customHeight="false" outlineLevel="0" collapsed="false">
      <c r="A234" s="38" t="s">
        <v>344</v>
      </c>
      <c r="B234" s="38" t="s">
        <v>219</v>
      </c>
      <c r="C234" s="38" t="s">
        <v>365</v>
      </c>
      <c r="D234" s="21" t="n">
        <v>263</v>
      </c>
      <c r="E234" s="21" t="n">
        <v>283</v>
      </c>
      <c r="F234" s="51" t="n">
        <f aca="false">IF(E234="","",D234-E234)</f>
        <v>-20</v>
      </c>
      <c r="G234" s="21" t="n">
        <v>81</v>
      </c>
      <c r="H234" s="21" t="n">
        <v>110</v>
      </c>
      <c r="I234" s="51" t="n">
        <f aca="false">IF(H234="","",G234-H234)</f>
        <v>-29</v>
      </c>
      <c r="J234" s="39" t="n">
        <f aca="false">IF(OR(D234="",D234+G234=0),"",D234/(D234+G234))</f>
        <v>0.76453488372093</v>
      </c>
      <c r="K234" s="39" t="n">
        <f aca="false">IF(E234="","",E234/(E234+H234))</f>
        <v>0.720101781170484</v>
      </c>
      <c r="L234" s="52" t="n">
        <f aca="false">IF(OR(K234="",J234=""),"",(J234-K234)*100)</f>
        <v>4.44331025504468</v>
      </c>
      <c r="M234" s="38"/>
    </row>
    <row r="235" customFormat="false" ht="15" hidden="false" customHeight="false" outlineLevel="0" collapsed="false">
      <c r="A235" s="38" t="s">
        <v>344</v>
      </c>
      <c r="B235" s="38" t="s">
        <v>219</v>
      </c>
      <c r="C235" s="38" t="s">
        <v>366</v>
      </c>
      <c r="D235" s="21" t="n">
        <v>451</v>
      </c>
      <c r="E235" s="21" t="n">
        <v>450</v>
      </c>
      <c r="F235" s="51" t="n">
        <f aca="false">IF(E235="","",D235-E235)</f>
        <v>1</v>
      </c>
      <c r="G235" s="21" t="n">
        <v>135</v>
      </c>
      <c r="H235" s="21" t="n">
        <v>179</v>
      </c>
      <c r="I235" s="51" t="n">
        <f aca="false">IF(H235="","",G235-H235)</f>
        <v>-44</v>
      </c>
      <c r="J235" s="39" t="n">
        <f aca="false">IF(OR(D235="",D235+G235=0),"",D235/(D235+G235))</f>
        <v>0.76962457337884</v>
      </c>
      <c r="K235" s="39" t="n">
        <f aca="false">IF(E235="","",E235/(E235+H235))</f>
        <v>0.715421303656598</v>
      </c>
      <c r="L235" s="52" t="n">
        <f aca="false">IF(OR(K235="",J235=""),"",(J235-K235)*100)</f>
        <v>5.42032697222419</v>
      </c>
      <c r="M235" s="38"/>
    </row>
    <row r="236" customFormat="false" ht="15" hidden="false" customHeight="false" outlineLevel="0" collapsed="false">
      <c r="A236" s="38" t="s">
        <v>344</v>
      </c>
      <c r="B236" s="38" t="s">
        <v>219</v>
      </c>
      <c r="C236" s="38" t="s">
        <v>367</v>
      </c>
      <c r="D236" s="21" t="n">
        <v>454</v>
      </c>
      <c r="E236" s="21" t="n">
        <v>442</v>
      </c>
      <c r="F236" s="51" t="n">
        <f aca="false">IF(E236="","",D236-E236)</f>
        <v>12</v>
      </c>
      <c r="G236" s="21" t="n">
        <v>146</v>
      </c>
      <c r="H236" s="21" t="n">
        <v>161</v>
      </c>
      <c r="I236" s="51" t="n">
        <f aca="false">IF(H236="","",G236-H236)</f>
        <v>-15</v>
      </c>
      <c r="J236" s="39" t="n">
        <f aca="false">IF(OR(D236="",D236+G236=0),"",D236/(D236+G236))</f>
        <v>0.756666666666667</v>
      </c>
      <c r="K236" s="39" t="n">
        <f aca="false">IF(E236="","",E236/(E236+H236))</f>
        <v>0.733001658374793</v>
      </c>
      <c r="L236" s="52" t="n">
        <f aca="false">IF(OR(K236="",J236=""),"",(J236-K236)*100)</f>
        <v>2.3665008291874</v>
      </c>
      <c r="M236" s="38"/>
    </row>
    <row r="237" customFormat="false" ht="15" hidden="false" customHeight="false" outlineLevel="0" collapsed="false">
      <c r="A237" s="38" t="s">
        <v>344</v>
      </c>
      <c r="B237" s="38" t="s">
        <v>219</v>
      </c>
      <c r="C237" s="38" t="s">
        <v>368</v>
      </c>
      <c r="D237" s="21" t="n">
        <v>628</v>
      </c>
      <c r="E237" s="21" t="n">
        <v>599</v>
      </c>
      <c r="F237" s="51" t="n">
        <f aca="false">IF(E237="","",D237-E237)</f>
        <v>29</v>
      </c>
      <c r="G237" s="21" t="n">
        <v>157</v>
      </c>
      <c r="H237" s="21" t="n">
        <v>203</v>
      </c>
      <c r="I237" s="51" t="n">
        <f aca="false">IF(H237="","",G237-H237)</f>
        <v>-46</v>
      </c>
      <c r="J237" s="39" t="n">
        <f aca="false">IF(OR(D237="",D237+G237=0),"",D237/(D237+G237))</f>
        <v>0.8</v>
      </c>
      <c r="K237" s="39" t="n">
        <f aca="false">IF(E237="","",E237/(E237+H237))</f>
        <v>0.746882793017456</v>
      </c>
      <c r="L237" s="52" t="n">
        <f aca="false">IF(OR(K237="",J237=""),"",(J237-K237)*100)</f>
        <v>5.31172069825436</v>
      </c>
      <c r="M237" s="38"/>
    </row>
    <row r="238" customFormat="false" ht="15" hidden="false" customHeight="false" outlineLevel="0" collapsed="false">
      <c r="A238" s="38" t="s">
        <v>344</v>
      </c>
      <c r="B238" s="38" t="s">
        <v>219</v>
      </c>
      <c r="C238" s="38" t="s">
        <v>369</v>
      </c>
      <c r="D238" s="21" t="n">
        <v>756</v>
      </c>
      <c r="E238" s="21" t="n">
        <v>1506</v>
      </c>
      <c r="F238" s="51" t="n">
        <f aca="false">IF(E238="","",D238-E238)</f>
        <v>-750</v>
      </c>
      <c r="G238" s="21" t="n">
        <v>166</v>
      </c>
      <c r="H238" s="21" t="n">
        <v>338</v>
      </c>
      <c r="I238" s="51" t="n">
        <f aca="false">IF(H238="","",G238-H238)</f>
        <v>-172</v>
      </c>
      <c r="J238" s="39" t="n">
        <f aca="false">IF(OR(D238="",D238+G238=0),"",D238/(D238+G238))</f>
        <v>0.819956616052061</v>
      </c>
      <c r="K238" s="39" t="n">
        <f aca="false">IF(E238="","",E238/(E238+H238))</f>
        <v>0.816702819956616</v>
      </c>
      <c r="L238" s="52" t="n">
        <f aca="false">IF(OR(K238="",J238=""),"",(J238-K238)*100)</f>
        <v>0.325379609544463</v>
      </c>
      <c r="M238" s="38"/>
    </row>
    <row r="239" customFormat="false" ht="15" hidden="false" customHeight="false" outlineLevel="0" collapsed="false">
      <c r="A239" s="38" t="s">
        <v>344</v>
      </c>
      <c r="B239" s="38" t="s">
        <v>219</v>
      </c>
      <c r="C239" s="38" t="s">
        <v>370</v>
      </c>
      <c r="D239" s="21" t="n">
        <v>672</v>
      </c>
      <c r="E239" s="21" t="n">
        <v>645</v>
      </c>
      <c r="F239" s="51" t="n">
        <f aca="false">IF(E239="","",D239-E239)</f>
        <v>27</v>
      </c>
      <c r="G239" s="21" t="n">
        <v>182</v>
      </c>
      <c r="H239" s="21" t="n">
        <v>243</v>
      </c>
      <c r="I239" s="51" t="n">
        <f aca="false">IF(H239="","",G239-H239)</f>
        <v>-61</v>
      </c>
      <c r="J239" s="39" t="n">
        <f aca="false">IF(OR(D239="",D239+G239=0),"",D239/(D239+G239))</f>
        <v>0.786885245901639</v>
      </c>
      <c r="K239" s="39" t="n">
        <f aca="false">IF(E239="","",E239/(E239+H239))</f>
        <v>0.726351351351351</v>
      </c>
      <c r="L239" s="52" t="n">
        <f aca="false">IF(OR(K239="",J239=""),"",(J239-K239)*100)</f>
        <v>6.0533894550288</v>
      </c>
      <c r="M239" s="38"/>
    </row>
    <row r="240" customFormat="false" ht="15" hidden="false" customHeight="false" outlineLevel="0" collapsed="false">
      <c r="A240" s="38" t="s">
        <v>344</v>
      </c>
      <c r="B240" s="38" t="s">
        <v>219</v>
      </c>
      <c r="C240" s="38" t="s">
        <v>371</v>
      </c>
      <c r="D240" s="21" t="n">
        <v>636</v>
      </c>
      <c r="E240" s="21" t="n">
        <v>628</v>
      </c>
      <c r="F240" s="51" t="n">
        <f aca="false">IF(E240="","",D240-E240)</f>
        <v>8</v>
      </c>
      <c r="G240" s="21" t="n">
        <v>196</v>
      </c>
      <c r="H240" s="21" t="n">
        <v>267</v>
      </c>
      <c r="I240" s="51" t="n">
        <f aca="false">IF(H240="","",G240-H240)</f>
        <v>-71</v>
      </c>
      <c r="J240" s="39" t="n">
        <f aca="false">IF(OR(D240="",D240+G240=0),"",D240/(D240+G240))</f>
        <v>0.764423076923077</v>
      </c>
      <c r="K240" s="39" t="n">
        <f aca="false">IF(E240="","",E240/(E240+H240))</f>
        <v>0.701675977653631</v>
      </c>
      <c r="L240" s="52" t="n">
        <f aca="false">IF(OR(K240="",J240=""),"",(J240-K240)*100)</f>
        <v>6.27470992694455</v>
      </c>
      <c r="M240" s="38"/>
    </row>
    <row r="241" customFormat="false" ht="15" hidden="false" customHeight="false" outlineLevel="0" collapsed="false">
      <c r="A241" s="38" t="s">
        <v>344</v>
      </c>
      <c r="B241" s="38" t="s">
        <v>219</v>
      </c>
      <c r="C241" s="38" t="s">
        <v>372</v>
      </c>
      <c r="D241" s="21" t="n">
        <v>460</v>
      </c>
      <c r="E241" s="21" t="n">
        <v>473</v>
      </c>
      <c r="F241" s="51" t="n">
        <f aca="false">IF(E241="","",D241-E241)</f>
        <v>-13</v>
      </c>
      <c r="G241" s="21" t="n">
        <v>178</v>
      </c>
      <c r="H241" s="21" t="n">
        <v>153</v>
      </c>
      <c r="I241" s="51" t="n">
        <f aca="false">IF(H241="","",G241-H241)</f>
        <v>25</v>
      </c>
      <c r="J241" s="39" t="n">
        <f aca="false">IF(OR(D241="",D241+G241=0),"",D241/(D241+G241))</f>
        <v>0.721003134796238</v>
      </c>
      <c r="K241" s="39" t="n">
        <f aca="false">IF(E241="","",E241/(E241+H241))</f>
        <v>0.755591054313099</v>
      </c>
      <c r="L241" s="52" t="n">
        <f aca="false">IF(OR(K241="",J241=""),"",(J241-K241)*100)</f>
        <v>-3.45879195168608</v>
      </c>
      <c r="M241" s="38"/>
    </row>
    <row r="242" customFormat="false" ht="15" hidden="false" customHeight="false" outlineLevel="0" collapsed="false">
      <c r="A242" s="38" t="s">
        <v>344</v>
      </c>
      <c r="B242" s="38" t="s">
        <v>219</v>
      </c>
      <c r="C242" s="38" t="s">
        <v>373</v>
      </c>
      <c r="D242" s="21" t="n">
        <v>717</v>
      </c>
      <c r="E242" s="21" t="n">
        <v>745</v>
      </c>
      <c r="F242" s="51" t="n">
        <f aca="false">IF(E242="","",D242-E242)</f>
        <v>-28</v>
      </c>
      <c r="G242" s="21" t="n">
        <v>254</v>
      </c>
      <c r="H242" s="21" t="n">
        <v>301</v>
      </c>
      <c r="I242" s="51" t="n">
        <f aca="false">IF(H242="","",G242-H242)</f>
        <v>-47</v>
      </c>
      <c r="J242" s="39" t="n">
        <f aca="false">IF(OR(D242="",D242+G242=0),"",D242/(D242+G242))</f>
        <v>0.738414006179197</v>
      </c>
      <c r="K242" s="39" t="n">
        <f aca="false">IF(E242="","",E242/(E242+H242))</f>
        <v>0.712237093690249</v>
      </c>
      <c r="L242" s="52" t="n">
        <f aca="false">IF(OR(K242="",J242=""),"",(J242-K242)*100)</f>
        <v>2.61769124889482</v>
      </c>
      <c r="M242" s="38"/>
    </row>
    <row r="243" customFormat="false" ht="15" hidden="false" customHeight="false" outlineLevel="0" collapsed="false">
      <c r="A243" s="38" t="s">
        <v>344</v>
      </c>
      <c r="B243" s="38" t="s">
        <v>219</v>
      </c>
      <c r="C243" s="38" t="s">
        <v>374</v>
      </c>
      <c r="D243" s="21" t="n">
        <v>634</v>
      </c>
      <c r="E243" s="21" t="n">
        <v>682</v>
      </c>
      <c r="F243" s="51" t="n">
        <f aca="false">IF(E243="","",D243-E243)</f>
        <v>-48</v>
      </c>
      <c r="G243" s="21" t="n">
        <v>250</v>
      </c>
      <c r="H243" s="21" t="n">
        <v>313</v>
      </c>
      <c r="I243" s="51" t="n">
        <f aca="false">IF(H243="","",G243-H243)</f>
        <v>-63</v>
      </c>
      <c r="J243" s="39" t="n">
        <f aca="false">IF(OR(D243="",D243+G243=0),"",D243/(D243+G243))</f>
        <v>0.717194570135747</v>
      </c>
      <c r="K243" s="39" t="n">
        <f aca="false">IF(E243="","",E243/(E243+H243))</f>
        <v>0.685427135678392</v>
      </c>
      <c r="L243" s="52" t="n">
        <f aca="false">IF(OR(K243="",J243=""),"",(J243-K243)*100)</f>
        <v>3.17674344573546</v>
      </c>
      <c r="M243" s="38"/>
    </row>
    <row r="244" customFormat="false" ht="15" hidden="false" customHeight="false" outlineLevel="0" collapsed="false">
      <c r="A244" s="38" t="s">
        <v>344</v>
      </c>
      <c r="B244" s="38" t="s">
        <v>219</v>
      </c>
      <c r="C244" s="38" t="s">
        <v>375</v>
      </c>
      <c r="D244" s="21" t="n">
        <v>733</v>
      </c>
      <c r="E244" s="21" t="n">
        <v>711</v>
      </c>
      <c r="F244" s="51" t="n">
        <f aca="false">IF(E244="","",D244-E244)</f>
        <v>22</v>
      </c>
      <c r="G244" s="21" t="n">
        <v>291</v>
      </c>
      <c r="H244" s="21" t="n">
        <v>341</v>
      </c>
      <c r="I244" s="51" t="n">
        <f aca="false">IF(H244="","",G244-H244)</f>
        <v>-50</v>
      </c>
      <c r="J244" s="39" t="n">
        <f aca="false">IF(OR(D244="",D244+G244=0),"",D244/(D244+G244))</f>
        <v>0.7158203125</v>
      </c>
      <c r="K244" s="39" t="n">
        <f aca="false">IF(E244="","",E244/(E244+H244))</f>
        <v>0.675855513307985</v>
      </c>
      <c r="L244" s="52" t="n">
        <f aca="false">IF(OR(K244="",J244=""),"",(J244-K244)*100)</f>
        <v>3.99647991920152</v>
      </c>
      <c r="M244" s="38"/>
    </row>
    <row r="245" customFormat="false" ht="15" hidden="false" customHeight="false" outlineLevel="0" collapsed="false">
      <c r="A245" s="38" t="s">
        <v>344</v>
      </c>
      <c r="B245" s="38" t="s">
        <v>219</v>
      </c>
      <c r="C245" s="38" t="s">
        <v>376</v>
      </c>
      <c r="D245" s="21" t="n">
        <v>587</v>
      </c>
      <c r="E245" s="21"/>
      <c r="F245" s="51" t="str">
        <f aca="false">IF(E245="","",D245-E245)</f>
        <v/>
      </c>
      <c r="G245" s="21" t="n">
        <v>299</v>
      </c>
      <c r="H245" s="21"/>
      <c r="I245" s="51" t="str">
        <f aca="false">IF(H245="","",G245-H245)</f>
        <v/>
      </c>
      <c r="J245" s="39" t="n">
        <f aca="false">IF(OR(D245="",D245+G245=0),"",D245/(D245+G245))</f>
        <v>0.662528216704289</v>
      </c>
      <c r="K245" s="39" t="str">
        <f aca="false">IF(E245="","",E245/(E245+H245))</f>
        <v/>
      </c>
      <c r="L245" s="52" t="str">
        <f aca="false">IF(OR(K245="",J245=""),"",(J245-K245)*100)</f>
        <v/>
      </c>
      <c r="M245" s="38" t="s">
        <v>691</v>
      </c>
    </row>
    <row r="246" customFormat="false" ht="15" hidden="false" customHeight="false" outlineLevel="0" collapsed="false">
      <c r="A246" s="38" t="s">
        <v>344</v>
      </c>
      <c r="B246" s="38" t="s">
        <v>377</v>
      </c>
      <c r="C246" s="38" t="s">
        <v>378</v>
      </c>
      <c r="D246" s="21" t="n">
        <v>519</v>
      </c>
      <c r="E246" s="21" t="n">
        <v>466</v>
      </c>
      <c r="F246" s="51" t="n">
        <f aca="false">IF(E246="","",D246-E246)</f>
        <v>53</v>
      </c>
      <c r="G246" s="21" t="n">
        <v>434</v>
      </c>
      <c r="H246" s="21" t="n">
        <v>405</v>
      </c>
      <c r="I246" s="51" t="n">
        <f aca="false">IF(H246="","",G246-H246)</f>
        <v>29</v>
      </c>
      <c r="J246" s="39" t="n">
        <f aca="false">IF(OR(D246="",D246+G246=0),"",D246/(D246+G246))</f>
        <v>0.544596012591815</v>
      </c>
      <c r="K246" s="39" t="n">
        <f aca="false">IF(E246="","",E246/(E246+H246))</f>
        <v>0.535017221584386</v>
      </c>
      <c r="L246" s="52" t="n">
        <f aca="false">IF(OR(K246="",J246=""),"",(J246-K246)*100)</f>
        <v>0.957879100742953</v>
      </c>
      <c r="M246" s="38"/>
    </row>
    <row r="247" customFormat="false" ht="15" hidden="false" customHeight="false" outlineLevel="0" collapsed="false">
      <c r="A247" s="38" t="s">
        <v>344</v>
      </c>
      <c r="B247" s="38" t="s">
        <v>377</v>
      </c>
      <c r="C247" s="38" t="s">
        <v>379</v>
      </c>
      <c r="D247" s="21" t="n">
        <v>639</v>
      </c>
      <c r="E247" s="21" t="n">
        <v>552</v>
      </c>
      <c r="F247" s="51" t="n">
        <f aca="false">IF(E247="","",D247-E247)</f>
        <v>87</v>
      </c>
      <c r="G247" s="21" t="n">
        <v>534</v>
      </c>
      <c r="H247" s="21" t="n">
        <v>506</v>
      </c>
      <c r="I247" s="51" t="n">
        <f aca="false">IF(H247="","",G247-H247)</f>
        <v>28</v>
      </c>
      <c r="J247" s="39" t="n">
        <f aca="false">IF(OR(D247="",D247+G247=0),"",D247/(D247+G247))</f>
        <v>0.544757033248082</v>
      </c>
      <c r="K247" s="39" t="n">
        <f aca="false">IF(E247="","",E247/(E247+H247))</f>
        <v>0.521739130434783</v>
      </c>
      <c r="L247" s="52" t="n">
        <f aca="false">IF(OR(K247="",J247=""),"",(J247-K247)*100)</f>
        <v>2.30179028132993</v>
      </c>
      <c r="M247" s="38"/>
    </row>
    <row r="248" customFormat="false" ht="15" hidden="false" customHeight="false" outlineLevel="0" collapsed="false">
      <c r="A248" s="38" t="s">
        <v>344</v>
      </c>
      <c r="B248" s="38" t="s">
        <v>377</v>
      </c>
      <c r="C248" s="38" t="s">
        <v>380</v>
      </c>
      <c r="D248" s="21" t="n">
        <v>677</v>
      </c>
      <c r="E248" s="21" t="n">
        <v>722</v>
      </c>
      <c r="F248" s="51" t="n">
        <f aca="false">IF(E248="","",D248-E248)</f>
        <v>-45</v>
      </c>
      <c r="G248" s="21" t="n">
        <v>521</v>
      </c>
      <c r="H248" s="21" t="n">
        <v>596</v>
      </c>
      <c r="I248" s="51" t="n">
        <f aca="false">IF(H248="","",G248-H248)</f>
        <v>-75</v>
      </c>
      <c r="J248" s="39" t="n">
        <f aca="false">IF(OR(D248="",D248+G248=0),"",D248/(D248+G248))</f>
        <v>0.565108514190317</v>
      </c>
      <c r="K248" s="39" t="n">
        <f aca="false">IF(E248="","",E248/(E248+H248))</f>
        <v>0.547799696509863</v>
      </c>
      <c r="L248" s="52" t="n">
        <f aca="false">IF(OR(K248="",J248=""),"",(J248-K248)*100)</f>
        <v>1.73088176804538</v>
      </c>
      <c r="M248" s="38"/>
    </row>
    <row r="249" customFormat="false" ht="15" hidden="false" customHeight="false" outlineLevel="0" collapsed="false">
      <c r="A249" s="38" t="s">
        <v>344</v>
      </c>
      <c r="B249" s="38" t="s">
        <v>377</v>
      </c>
      <c r="C249" s="38" t="s">
        <v>381</v>
      </c>
      <c r="D249" s="21" t="n">
        <v>331</v>
      </c>
      <c r="E249" s="21" t="n">
        <v>339</v>
      </c>
      <c r="F249" s="51" t="n">
        <f aca="false">IF(E249="","",D249-E249)</f>
        <v>-8</v>
      </c>
      <c r="G249" s="21" t="n">
        <v>317</v>
      </c>
      <c r="H249" s="21" t="n">
        <v>338</v>
      </c>
      <c r="I249" s="51" t="n">
        <f aca="false">IF(H249="","",G249-H249)</f>
        <v>-21</v>
      </c>
      <c r="J249" s="39" t="n">
        <f aca="false">IF(OR(D249="",D249+G249=0),"",D249/(D249+G249))</f>
        <v>0.510802469135803</v>
      </c>
      <c r="K249" s="39" t="n">
        <f aca="false">IF(E249="","",E249/(E249+H249))</f>
        <v>0.500738552437223</v>
      </c>
      <c r="L249" s="52" t="n">
        <f aca="false">IF(OR(K249="",J249=""),"",(J249-K249)*100)</f>
        <v>1.00639166985794</v>
      </c>
      <c r="M249" s="38"/>
    </row>
    <row r="250" customFormat="false" ht="15" hidden="false" customHeight="false" outlineLevel="0" collapsed="false">
      <c r="A250" s="38" t="s">
        <v>344</v>
      </c>
      <c r="B250" s="38" t="s">
        <v>377</v>
      </c>
      <c r="C250" s="38" t="s">
        <v>382</v>
      </c>
      <c r="D250" s="21" t="n">
        <v>615</v>
      </c>
      <c r="E250" s="21" t="n">
        <v>579</v>
      </c>
      <c r="F250" s="51" t="n">
        <f aca="false">IF(E250="","",D250-E250)</f>
        <v>36</v>
      </c>
      <c r="G250" s="21" t="n">
        <v>474</v>
      </c>
      <c r="H250" s="21" t="n">
        <v>482</v>
      </c>
      <c r="I250" s="51" t="n">
        <f aca="false">IF(H250="","",G250-H250)</f>
        <v>-8</v>
      </c>
      <c r="J250" s="39" t="n">
        <f aca="false">IF(OR(D250="",D250+G250=0),"",D250/(D250+G250))</f>
        <v>0.564738292011019</v>
      </c>
      <c r="K250" s="39" t="n">
        <f aca="false">IF(E250="","",E250/(E250+H250))</f>
        <v>0.545711592836946</v>
      </c>
      <c r="L250" s="52" t="n">
        <f aca="false">IF(OR(K250="",J250=""),"",(J250-K250)*100)</f>
        <v>1.90266991740731</v>
      </c>
      <c r="M250" s="38"/>
    </row>
    <row r="251" customFormat="false" ht="15" hidden="false" customHeight="false" outlineLevel="0" collapsed="false">
      <c r="A251" s="38" t="s">
        <v>344</v>
      </c>
      <c r="B251" s="38" t="s">
        <v>377</v>
      </c>
      <c r="C251" s="38" t="s">
        <v>383</v>
      </c>
      <c r="D251" s="21" t="n">
        <v>596</v>
      </c>
      <c r="E251" s="21" t="n">
        <v>562</v>
      </c>
      <c r="F251" s="51" t="n">
        <f aca="false">IF(E251="","",D251-E251)</f>
        <v>34</v>
      </c>
      <c r="G251" s="21" t="n">
        <v>506</v>
      </c>
      <c r="H251" s="21" t="n">
        <v>525</v>
      </c>
      <c r="I251" s="51" t="n">
        <f aca="false">IF(H251="","",G251-H251)</f>
        <v>-19</v>
      </c>
      <c r="J251" s="39" t="n">
        <f aca="false">IF(OR(D251="",D251+G251=0),"",D251/(D251+G251))</f>
        <v>0.540834845735027</v>
      </c>
      <c r="K251" s="39" t="n">
        <f aca="false">IF(E251="","",E251/(E251+H251))</f>
        <v>0.517019319227231</v>
      </c>
      <c r="L251" s="52" t="n">
        <f aca="false">IF(OR(K251="",J251=""),"",(J251-K251)*100)</f>
        <v>2.38155265077964</v>
      </c>
      <c r="M251" s="38"/>
    </row>
    <row r="252" customFormat="false" ht="15" hidden="false" customHeight="false" outlineLevel="0" collapsed="false">
      <c r="A252" s="38" t="s">
        <v>344</v>
      </c>
      <c r="B252" s="38" t="s">
        <v>377</v>
      </c>
      <c r="C252" s="38" t="s">
        <v>384</v>
      </c>
      <c r="D252" s="21" t="n">
        <v>375</v>
      </c>
      <c r="E252" s="21" t="n">
        <v>337</v>
      </c>
      <c r="F252" s="51" t="n">
        <f aca="false">IF(E252="","",D252-E252)</f>
        <v>38</v>
      </c>
      <c r="G252" s="21" t="n">
        <v>289</v>
      </c>
      <c r="H252" s="21" t="n">
        <v>296</v>
      </c>
      <c r="I252" s="51" t="n">
        <f aca="false">IF(H252="","",G252-H252)</f>
        <v>-7</v>
      </c>
      <c r="J252" s="39" t="n">
        <f aca="false">IF(OR(D252="",D252+G252=0),"",D252/(D252+G252))</f>
        <v>0.564759036144578</v>
      </c>
      <c r="K252" s="39" t="n">
        <f aca="false">IF(E252="","",E252/(E252+H252))</f>
        <v>0.532385466034755</v>
      </c>
      <c r="L252" s="52" t="n">
        <f aca="false">IF(OR(K252="",J252=""),"",(J252-K252)*100)</f>
        <v>3.23735701098232</v>
      </c>
      <c r="M252" s="38"/>
    </row>
    <row r="253" customFormat="false" ht="15" hidden="false" customHeight="false" outlineLevel="0" collapsed="false">
      <c r="A253" s="38" t="s">
        <v>344</v>
      </c>
      <c r="B253" s="38" t="s">
        <v>377</v>
      </c>
      <c r="C253" s="38" t="s">
        <v>385</v>
      </c>
      <c r="D253" s="21" t="n">
        <v>524</v>
      </c>
      <c r="E253" s="21" t="n">
        <v>517</v>
      </c>
      <c r="F253" s="51" t="n">
        <f aca="false">IF(E253="","",D253-E253)</f>
        <v>7</v>
      </c>
      <c r="G253" s="21" t="n">
        <v>361</v>
      </c>
      <c r="H253" s="21" t="n">
        <v>388</v>
      </c>
      <c r="I253" s="51" t="n">
        <f aca="false">IF(H253="","",G253-H253)</f>
        <v>-27</v>
      </c>
      <c r="J253" s="39" t="n">
        <f aca="false">IF(OR(D253="",D253+G253=0),"",D253/(D253+G253))</f>
        <v>0.592090395480226</v>
      </c>
      <c r="K253" s="39" t="n">
        <f aca="false">IF(E253="","",E253/(E253+H253))</f>
        <v>0.571270718232044</v>
      </c>
      <c r="L253" s="52" t="n">
        <f aca="false">IF(OR(K253="",J253=""),"",(J253-K253)*100)</f>
        <v>2.08196772481818</v>
      </c>
      <c r="M253" s="38"/>
    </row>
    <row r="254" customFormat="false" ht="15" hidden="false" customHeight="false" outlineLevel="0" collapsed="false">
      <c r="A254" s="38" t="s">
        <v>344</v>
      </c>
      <c r="B254" s="38" t="s">
        <v>377</v>
      </c>
      <c r="C254" s="38" t="s">
        <v>386</v>
      </c>
      <c r="D254" s="21" t="n">
        <v>333</v>
      </c>
      <c r="E254" s="21" t="n">
        <v>329</v>
      </c>
      <c r="F254" s="51" t="n">
        <f aca="false">IF(E254="","",D254-E254)</f>
        <v>4</v>
      </c>
      <c r="G254" s="21" t="n">
        <v>222</v>
      </c>
      <c r="H254" s="21" t="n">
        <v>217</v>
      </c>
      <c r="I254" s="51" t="n">
        <f aca="false">IF(H254="","",G254-H254)</f>
        <v>5</v>
      </c>
      <c r="J254" s="39" t="n">
        <f aca="false">IF(OR(D254="",D254+G254=0),"",D254/(D254+G254))</f>
        <v>0.6</v>
      </c>
      <c r="K254" s="39" t="n">
        <f aca="false">IF(E254="","",E254/(E254+H254))</f>
        <v>0.602564102564103</v>
      </c>
      <c r="L254" s="52" t="n">
        <f aca="false">IF(OR(K254="",J254=""),"",(J254-K254)*100)</f>
        <v>-0.256410256410256</v>
      </c>
      <c r="M254" s="38"/>
    </row>
    <row r="255" customFormat="false" ht="15" hidden="false" customHeight="false" outlineLevel="0" collapsed="false">
      <c r="A255" s="38" t="s">
        <v>344</v>
      </c>
      <c r="B255" s="38" t="s">
        <v>377</v>
      </c>
      <c r="C255" s="38" t="s">
        <v>387</v>
      </c>
      <c r="D255" s="21" t="n">
        <v>391</v>
      </c>
      <c r="E255" s="21" t="n">
        <v>352</v>
      </c>
      <c r="F255" s="51" t="n">
        <f aca="false">IF(E255="","",D255-E255)</f>
        <v>39</v>
      </c>
      <c r="G255" s="21" t="n">
        <v>360</v>
      </c>
      <c r="H255" s="21" t="n">
        <v>326</v>
      </c>
      <c r="I255" s="51" t="n">
        <f aca="false">IF(H255="","",G255-H255)</f>
        <v>34</v>
      </c>
      <c r="J255" s="39" t="n">
        <f aca="false">IF(OR(D255="",D255+G255=0),"",D255/(D255+G255))</f>
        <v>0.520639147802929</v>
      </c>
      <c r="K255" s="39" t="n">
        <f aca="false">IF(E255="","",E255/(E255+H255))</f>
        <v>0.519174041297935</v>
      </c>
      <c r="L255" s="52" t="n">
        <f aca="false">IF(OR(K255="",J255=""),"",(J255-K255)*100)</f>
        <v>0.146510650499432</v>
      </c>
      <c r="M255" s="38"/>
    </row>
    <row r="256" customFormat="false" ht="15" hidden="false" customHeight="false" outlineLevel="0" collapsed="false">
      <c r="A256" s="38" t="s">
        <v>344</v>
      </c>
      <c r="B256" s="38" t="s">
        <v>377</v>
      </c>
      <c r="C256" s="38" t="s">
        <v>388</v>
      </c>
      <c r="D256" s="21" t="n">
        <v>491</v>
      </c>
      <c r="E256" s="21" t="n">
        <v>420</v>
      </c>
      <c r="F256" s="51" t="n">
        <f aca="false">IF(E256="","",D256-E256)</f>
        <v>71</v>
      </c>
      <c r="G256" s="21" t="n">
        <v>396</v>
      </c>
      <c r="H256" s="21" t="n">
        <v>378</v>
      </c>
      <c r="I256" s="51" t="n">
        <f aca="false">IF(H256="","",G256-H256)</f>
        <v>18</v>
      </c>
      <c r="J256" s="39" t="n">
        <f aca="false">IF(OR(D256="",D256+G256=0),"",D256/(D256+G256))</f>
        <v>0.553551296505073</v>
      </c>
      <c r="K256" s="39" t="n">
        <f aca="false">IF(E256="","",E256/(E256+H256))</f>
        <v>0.526315789473684</v>
      </c>
      <c r="L256" s="52" t="n">
        <f aca="false">IF(OR(K256="",J256=""),"",(J256-K256)*100)</f>
        <v>2.72355070313891</v>
      </c>
      <c r="M256" s="38"/>
    </row>
    <row r="257" customFormat="false" ht="15" hidden="false" customHeight="false" outlineLevel="0" collapsed="false">
      <c r="A257" s="38" t="s">
        <v>344</v>
      </c>
      <c r="B257" s="38" t="s">
        <v>377</v>
      </c>
      <c r="C257" s="38" t="s">
        <v>389</v>
      </c>
      <c r="D257" s="21" t="n">
        <v>536</v>
      </c>
      <c r="E257" s="21" t="n">
        <v>522</v>
      </c>
      <c r="F257" s="51" t="n">
        <f aca="false">IF(E257="","",D257-E257)</f>
        <v>14</v>
      </c>
      <c r="G257" s="21" t="n">
        <v>383</v>
      </c>
      <c r="H257" s="21" t="n">
        <v>400</v>
      </c>
      <c r="I257" s="51" t="n">
        <f aca="false">IF(H257="","",G257-H257)</f>
        <v>-17</v>
      </c>
      <c r="J257" s="39" t="n">
        <f aca="false">IF(OR(D257="",D257+G257=0),"",D257/(D257+G257))</f>
        <v>0.583242655059848</v>
      </c>
      <c r="K257" s="39" t="n">
        <f aca="false">IF(E257="","",E257/(E257+H257))</f>
        <v>0.566160520607375</v>
      </c>
      <c r="L257" s="52" t="n">
        <f aca="false">IF(OR(K257="",J257=""),"",(J257-K257)*100)</f>
        <v>1.70821344524723</v>
      </c>
      <c r="M257" s="38"/>
    </row>
    <row r="258" customFormat="false" ht="15" hidden="false" customHeight="false" outlineLevel="0" collapsed="false">
      <c r="A258" s="38" t="s">
        <v>344</v>
      </c>
      <c r="B258" s="38" t="s">
        <v>377</v>
      </c>
      <c r="C258" s="38" t="s">
        <v>390</v>
      </c>
      <c r="D258" s="21" t="n">
        <v>485</v>
      </c>
      <c r="E258" s="21" t="n">
        <v>436</v>
      </c>
      <c r="F258" s="51" t="n">
        <f aca="false">IF(E258="","",D258-E258)</f>
        <v>49</v>
      </c>
      <c r="G258" s="21" t="n">
        <v>452</v>
      </c>
      <c r="H258" s="21" t="n">
        <v>423</v>
      </c>
      <c r="I258" s="51" t="n">
        <f aca="false">IF(H258="","",G258-H258)</f>
        <v>29</v>
      </c>
      <c r="J258" s="39" t="n">
        <f aca="false">IF(OR(D258="",D258+G258=0),"",D258/(D258+G258))</f>
        <v>0.51760939167556</v>
      </c>
      <c r="K258" s="39" t="n">
        <f aca="false">IF(E258="","",E258/(E258+H258))</f>
        <v>0.507566938300349</v>
      </c>
      <c r="L258" s="52" t="n">
        <f aca="false">IF(OR(K258="",J258=""),"",(J258-K258)*100)</f>
        <v>1.0042453375211</v>
      </c>
      <c r="M258" s="38"/>
    </row>
    <row r="259" customFormat="false" ht="15" hidden="false" customHeight="false" outlineLevel="0" collapsed="false">
      <c r="A259" s="38" t="s">
        <v>344</v>
      </c>
      <c r="B259" s="38" t="s">
        <v>377</v>
      </c>
      <c r="C259" s="38" t="s">
        <v>391</v>
      </c>
      <c r="D259" s="21" t="n">
        <v>1028</v>
      </c>
      <c r="E259" s="21" t="n">
        <v>925</v>
      </c>
      <c r="F259" s="51" t="n">
        <f aca="false">IF(E259="","",D259-E259)</f>
        <v>103</v>
      </c>
      <c r="G259" s="21" t="n">
        <v>750</v>
      </c>
      <c r="H259" s="21" t="n">
        <v>710</v>
      </c>
      <c r="I259" s="51" t="n">
        <f aca="false">IF(H259="","",G259-H259)</f>
        <v>40</v>
      </c>
      <c r="J259" s="39" t="n">
        <f aca="false">IF(OR(D259="",D259+G259=0),"",D259/(D259+G259))</f>
        <v>0.578177727784027</v>
      </c>
      <c r="K259" s="39" t="n">
        <f aca="false">IF(E259="","",E259/(E259+H259))</f>
        <v>0.565749235474006</v>
      </c>
      <c r="L259" s="52" t="n">
        <f aca="false">IF(OR(K259="",J259=""),"",(J259-K259)*100)</f>
        <v>1.24284923100209</v>
      </c>
      <c r="M259" s="38"/>
    </row>
    <row r="260" customFormat="false" ht="15" hidden="false" customHeight="false" outlineLevel="0" collapsed="false">
      <c r="A260" s="38" t="s">
        <v>344</v>
      </c>
      <c r="B260" s="38" t="s">
        <v>377</v>
      </c>
      <c r="C260" s="38" t="s">
        <v>392</v>
      </c>
      <c r="D260" s="21" t="n">
        <v>563</v>
      </c>
      <c r="E260" s="21" t="n">
        <v>535</v>
      </c>
      <c r="F260" s="51" t="n">
        <f aca="false">IF(E260="","",D260-E260)</f>
        <v>28</v>
      </c>
      <c r="G260" s="21" t="n">
        <v>524</v>
      </c>
      <c r="H260" s="21" t="n">
        <v>514</v>
      </c>
      <c r="I260" s="51" t="n">
        <f aca="false">IF(H260="","",G260-H260)</f>
        <v>10</v>
      </c>
      <c r="J260" s="39" t="n">
        <f aca="false">IF(OR(D260="",D260+G260=0),"",D260/(D260+G260))</f>
        <v>0.517939282428703</v>
      </c>
      <c r="K260" s="39" t="n">
        <f aca="false">IF(E260="","",E260/(E260+H260))</f>
        <v>0.510009532888465</v>
      </c>
      <c r="L260" s="52" t="n">
        <f aca="false">IF(OR(K260="",J260=""),"",(J260-K260)*100)</f>
        <v>0.792974954023773</v>
      </c>
      <c r="M260" s="38"/>
    </row>
    <row r="261" customFormat="false" ht="15" hidden="false" customHeight="false" outlineLevel="0" collapsed="false">
      <c r="A261" s="38" t="s">
        <v>344</v>
      </c>
      <c r="B261" s="38" t="s">
        <v>377</v>
      </c>
      <c r="C261" s="38" t="s">
        <v>393</v>
      </c>
      <c r="D261" s="21" t="n">
        <v>553</v>
      </c>
      <c r="E261" s="21" t="n">
        <v>499</v>
      </c>
      <c r="F261" s="51" t="n">
        <f aca="false">IF(E261="","",D261-E261)</f>
        <v>54</v>
      </c>
      <c r="G261" s="21" t="n">
        <v>494</v>
      </c>
      <c r="H261" s="21" t="n">
        <v>468</v>
      </c>
      <c r="I261" s="51" t="n">
        <f aca="false">IF(H261="","",G261-H261)</f>
        <v>26</v>
      </c>
      <c r="J261" s="39" t="n">
        <f aca="false">IF(OR(D261="",D261+G261=0),"",D261/(D261+G261))</f>
        <v>0.528175740210124</v>
      </c>
      <c r="K261" s="39" t="n">
        <f aca="false">IF(E261="","",E261/(E261+H261))</f>
        <v>0.516028955532575</v>
      </c>
      <c r="L261" s="52" t="n">
        <f aca="false">IF(OR(K261="",J261=""),"",(J261-K261)*100)</f>
        <v>1.21467846775492</v>
      </c>
      <c r="M261" s="38"/>
    </row>
    <row r="262" customFormat="false" ht="15" hidden="false" customHeight="false" outlineLevel="0" collapsed="false">
      <c r="A262" s="38" t="s">
        <v>344</v>
      </c>
      <c r="B262" s="38" t="s">
        <v>377</v>
      </c>
      <c r="C262" s="38" t="s">
        <v>394</v>
      </c>
      <c r="D262" s="21" t="n">
        <v>572</v>
      </c>
      <c r="E262" s="21" t="n">
        <v>503</v>
      </c>
      <c r="F262" s="51" t="n">
        <f aca="false">IF(E262="","",D262-E262)</f>
        <v>69</v>
      </c>
      <c r="G262" s="21" t="n">
        <v>487</v>
      </c>
      <c r="H262" s="21" t="n">
        <v>468</v>
      </c>
      <c r="I262" s="51" t="n">
        <f aca="false">IF(H262="","",G262-H262)</f>
        <v>19</v>
      </c>
      <c r="J262" s="39" t="n">
        <f aca="false">IF(OR(D262="",D262+G262=0),"",D262/(D262+G262))</f>
        <v>0.540132200188857</v>
      </c>
      <c r="K262" s="39" t="n">
        <f aca="false">IF(E262="","",E262/(E262+H262))</f>
        <v>0.518022657054583</v>
      </c>
      <c r="L262" s="52" t="n">
        <f aca="false">IF(OR(K262="",J262=""),"",(J262-K262)*100)</f>
        <v>2.21095431342745</v>
      </c>
      <c r="M262" s="38"/>
    </row>
    <row r="263" customFormat="false" ht="15" hidden="false" customHeight="false" outlineLevel="0" collapsed="false">
      <c r="A263" s="38" t="s">
        <v>344</v>
      </c>
      <c r="B263" s="38" t="s">
        <v>395</v>
      </c>
      <c r="C263" s="38" t="s">
        <v>396</v>
      </c>
      <c r="D263" s="21" t="n">
        <v>999</v>
      </c>
      <c r="E263" s="21" t="n">
        <v>939</v>
      </c>
      <c r="F263" s="51" t="n">
        <f aca="false">IF(E263="","",D263-E263)</f>
        <v>60</v>
      </c>
      <c r="G263" s="21" t="n">
        <v>1529</v>
      </c>
      <c r="H263" s="21" t="n">
        <v>1452</v>
      </c>
      <c r="I263" s="51" t="n">
        <f aca="false">IF(H263="","",G263-H263)</f>
        <v>77</v>
      </c>
      <c r="J263" s="39" t="n">
        <f aca="false">IF(OR(D263="",D263+G263=0),"",D263/(D263+G263))</f>
        <v>0.395174050632911</v>
      </c>
      <c r="K263" s="39" t="n">
        <f aca="false">IF(E263="","",E263/(E263+H263))</f>
        <v>0.392722710163112</v>
      </c>
      <c r="L263" s="52" t="n">
        <f aca="false">IF(OR(K263="",J263=""),"",(J263-K263)*100)</f>
        <v>0.245134046979972</v>
      </c>
      <c r="M263" s="38"/>
    </row>
    <row r="264" customFormat="false" ht="15" hidden="false" customHeight="false" outlineLevel="0" collapsed="false">
      <c r="A264" s="38" t="s">
        <v>344</v>
      </c>
      <c r="B264" s="38" t="s">
        <v>395</v>
      </c>
      <c r="C264" s="38" t="s">
        <v>397</v>
      </c>
      <c r="D264" s="21" t="n">
        <v>935</v>
      </c>
      <c r="E264" s="21" t="n">
        <v>820</v>
      </c>
      <c r="F264" s="51" t="n">
        <f aca="false">IF(E264="","",D264-E264)</f>
        <v>115</v>
      </c>
      <c r="G264" s="21" t="n">
        <v>1217</v>
      </c>
      <c r="H264" s="21" t="n">
        <v>1185</v>
      </c>
      <c r="I264" s="51" t="n">
        <f aca="false">IF(H264="","",G264-H264)</f>
        <v>32</v>
      </c>
      <c r="J264" s="39" t="n">
        <f aca="false">IF(OR(D264="",D264+G264=0),"",D264/(D264+G264))</f>
        <v>0.434479553903346</v>
      </c>
      <c r="K264" s="39" t="n">
        <f aca="false">IF(E264="","",E264/(E264+H264))</f>
        <v>0.408977556109726</v>
      </c>
      <c r="L264" s="52" t="n">
        <f aca="false">IF(OR(K264="",J264=""),"",(J264-K264)*100)</f>
        <v>2.55019977936201</v>
      </c>
      <c r="M264" s="38"/>
    </row>
    <row r="265" customFormat="false" ht="15" hidden="false" customHeight="false" outlineLevel="0" collapsed="false">
      <c r="A265" s="38" t="s">
        <v>344</v>
      </c>
      <c r="B265" s="38" t="s">
        <v>395</v>
      </c>
      <c r="C265" s="38" t="s">
        <v>398</v>
      </c>
      <c r="D265" s="21" t="n">
        <v>452</v>
      </c>
      <c r="E265" s="21" t="n">
        <v>410</v>
      </c>
      <c r="F265" s="51" t="n">
        <f aca="false">IF(E265="","",D265-E265)</f>
        <v>42</v>
      </c>
      <c r="G265" s="21" t="n">
        <v>788</v>
      </c>
      <c r="H265" s="21" t="n">
        <v>822</v>
      </c>
      <c r="I265" s="51" t="n">
        <f aca="false">IF(H265="","",G265-H265)</f>
        <v>-34</v>
      </c>
      <c r="J265" s="39" t="n">
        <f aca="false">IF(OR(D265="",D265+G265=0),"",D265/(D265+G265))</f>
        <v>0.364516129032258</v>
      </c>
      <c r="K265" s="39" t="n">
        <f aca="false">IF(E265="","",E265/(E265+H265))</f>
        <v>0.332792207792208</v>
      </c>
      <c r="L265" s="52" t="n">
        <f aca="false">IF(OR(K265="",J265=""),"",(J265-K265)*100)</f>
        <v>3.17239212400502</v>
      </c>
      <c r="M265" s="38"/>
    </row>
    <row r="266" customFormat="false" ht="15" hidden="false" customHeight="false" outlineLevel="0" collapsed="false">
      <c r="A266" s="38" t="s">
        <v>344</v>
      </c>
      <c r="B266" s="38" t="s">
        <v>399</v>
      </c>
      <c r="C266" s="38" t="s">
        <v>399</v>
      </c>
      <c r="D266" s="21" t="n">
        <v>45</v>
      </c>
      <c r="E266" s="21" t="n">
        <v>40</v>
      </c>
      <c r="F266" s="51" t="n">
        <f aca="false">IF(E266="","",D266-E266)</f>
        <v>5</v>
      </c>
      <c r="G266" s="21" t="n">
        <v>80</v>
      </c>
      <c r="H266" s="21" t="n">
        <v>83</v>
      </c>
      <c r="I266" s="51" t="n">
        <f aca="false">IF(H266="","",G266-H266)</f>
        <v>-3</v>
      </c>
      <c r="J266" s="39" t="n">
        <f aca="false">IF(OR(D266="",D266+G266=0),"",D266/(D266+G266))</f>
        <v>0.36</v>
      </c>
      <c r="K266" s="39" t="n">
        <f aca="false">IF(E266="","",E266/(E266+H266))</f>
        <v>0.32520325203252</v>
      </c>
      <c r="L266" s="52" t="n">
        <f aca="false">IF(OR(K266="",J266=""),"",(J266-K266)*100)</f>
        <v>3.47967479674797</v>
      </c>
      <c r="M266" s="38"/>
    </row>
    <row r="267" customFormat="false" ht="15" hidden="false" customHeight="false" outlineLevel="0" collapsed="false">
      <c r="A267" s="38" t="s">
        <v>344</v>
      </c>
      <c r="B267" s="38" t="s">
        <v>400</v>
      </c>
      <c r="C267" s="38" t="s">
        <v>401</v>
      </c>
      <c r="D267" s="21" t="n">
        <v>738</v>
      </c>
      <c r="E267" s="21" t="n">
        <v>774</v>
      </c>
      <c r="F267" s="51" t="n">
        <f aca="false">IF(E267="","",D267-E267)</f>
        <v>-36</v>
      </c>
      <c r="G267" s="21" t="n">
        <v>923</v>
      </c>
      <c r="H267" s="21" t="n">
        <v>1032</v>
      </c>
      <c r="I267" s="51" t="n">
        <f aca="false">IF(H267="","",G267-H267)</f>
        <v>-109</v>
      </c>
      <c r="J267" s="39" t="n">
        <f aca="false">IF(OR(D267="",D267+G267=0),"",D267/(D267+G267))</f>
        <v>0.444310656231186</v>
      </c>
      <c r="K267" s="39" t="n">
        <f aca="false">IF(E267="","",E267/(E267+H267))</f>
        <v>0.428571428571429</v>
      </c>
      <c r="L267" s="52" t="n">
        <f aca="false">IF(OR(K267="",J267=""),"",(J267-K267)*100)</f>
        <v>1.57392276597575</v>
      </c>
      <c r="M267" s="38"/>
    </row>
    <row r="268" customFormat="false" ht="15" hidden="false" customHeight="false" outlineLevel="0" collapsed="false">
      <c r="A268" s="38" t="s">
        <v>344</v>
      </c>
      <c r="B268" s="38" t="s">
        <v>400</v>
      </c>
      <c r="C268" s="38" t="s">
        <v>402</v>
      </c>
      <c r="D268" s="21" t="n">
        <v>813</v>
      </c>
      <c r="E268" s="21" t="n">
        <v>710</v>
      </c>
      <c r="F268" s="51" t="n">
        <f aca="false">IF(E268="","",D268-E268)</f>
        <v>103</v>
      </c>
      <c r="G268" s="21" t="n">
        <v>911</v>
      </c>
      <c r="H268" s="21" t="n">
        <v>927</v>
      </c>
      <c r="I268" s="51" t="n">
        <f aca="false">IF(H268="","",G268-H268)</f>
        <v>-16</v>
      </c>
      <c r="J268" s="39" t="n">
        <f aca="false">IF(OR(D268="",D268+G268=0),"",D268/(D268+G268))</f>
        <v>0.471577726218097</v>
      </c>
      <c r="K268" s="39" t="n">
        <f aca="false">IF(E268="","",E268/(E268+H268))</f>
        <v>0.433720219914478</v>
      </c>
      <c r="L268" s="52" t="n">
        <f aca="false">IF(OR(K268="",J268=""),"",(J268-K268)*100)</f>
        <v>3.78575063036198</v>
      </c>
      <c r="M268" s="38"/>
    </row>
    <row r="269" customFormat="false" ht="15" hidden="false" customHeight="false" outlineLevel="0" collapsed="false">
      <c r="A269" s="38" t="s">
        <v>344</v>
      </c>
      <c r="B269" s="38" t="s">
        <v>403</v>
      </c>
      <c r="C269" s="38" t="s">
        <v>403</v>
      </c>
      <c r="D269" s="21" t="n">
        <v>207</v>
      </c>
      <c r="E269" s="21" t="n">
        <v>217</v>
      </c>
      <c r="F269" s="51" t="n">
        <f aca="false">IF(E269="","",D269-E269)</f>
        <v>-10</v>
      </c>
      <c r="G269" s="21" t="n">
        <v>304</v>
      </c>
      <c r="H269" s="21" t="n">
        <v>309</v>
      </c>
      <c r="I269" s="51" t="n">
        <f aca="false">IF(H269="","",G269-H269)</f>
        <v>-5</v>
      </c>
      <c r="J269" s="39" t="n">
        <f aca="false">IF(OR(D269="",D269+G269=0),"",D269/(D269+G269))</f>
        <v>0.405088062622309</v>
      </c>
      <c r="K269" s="39" t="n">
        <f aca="false">IF(E269="","",E269/(E269+H269))</f>
        <v>0.41254752851711</v>
      </c>
      <c r="L269" s="52" t="n">
        <f aca="false">IF(OR(K269="",J269=""),"",(J269-K269)*100)</f>
        <v>-0.745946589480107</v>
      </c>
      <c r="M269" s="38"/>
    </row>
    <row r="270" customFormat="false" ht="15" hidden="false" customHeight="false" outlineLevel="0" collapsed="false">
      <c r="A270" s="38" t="s">
        <v>344</v>
      </c>
      <c r="B270" s="38" t="s">
        <v>404</v>
      </c>
      <c r="C270" s="38" t="s">
        <v>405</v>
      </c>
      <c r="D270" s="21" t="n">
        <v>690</v>
      </c>
      <c r="E270" s="21"/>
      <c r="F270" s="51" t="str">
        <f aca="false">IF(E270="","",D270-E270)</f>
        <v/>
      </c>
      <c r="G270" s="21" t="n">
        <v>348</v>
      </c>
      <c r="H270" s="21"/>
      <c r="I270" s="51" t="str">
        <f aca="false">IF(H270="","",G270-H270)</f>
        <v/>
      </c>
      <c r="J270" s="39" t="n">
        <f aca="false">IF(OR(D270="",D270+G270=0),"",D270/(D270+G270))</f>
        <v>0.664739884393064</v>
      </c>
      <c r="K270" s="39" t="str">
        <f aca="false">IF(E270="","",E270/(E270+H270))</f>
        <v/>
      </c>
      <c r="L270" s="52" t="str">
        <f aca="false">IF(OR(K270="",J270=""),"",(J270-K270)*100)</f>
        <v/>
      </c>
      <c r="M270" s="38" t="s">
        <v>691</v>
      </c>
    </row>
    <row r="271" customFormat="false" ht="15" hidden="false" customHeight="false" outlineLevel="0" collapsed="false">
      <c r="A271" s="38" t="s">
        <v>344</v>
      </c>
      <c r="B271" s="38" t="s">
        <v>404</v>
      </c>
      <c r="C271" s="38" t="s">
        <v>406</v>
      </c>
      <c r="D271" s="21" t="n">
        <v>464</v>
      </c>
      <c r="E271" s="21"/>
      <c r="F271" s="51" t="str">
        <f aca="false">IF(E271="","",D271-E271)</f>
        <v/>
      </c>
      <c r="G271" s="21" t="n">
        <v>184</v>
      </c>
      <c r="H271" s="21"/>
      <c r="I271" s="51" t="str">
        <f aca="false">IF(H271="","",G271-H271)</f>
        <v/>
      </c>
      <c r="J271" s="39" t="n">
        <f aca="false">IF(OR(D271="",D271+G271=0),"",D271/(D271+G271))</f>
        <v>0.716049382716049</v>
      </c>
      <c r="K271" s="39" t="str">
        <f aca="false">IF(E271="","",E271/(E271+H271))</f>
        <v/>
      </c>
      <c r="L271" s="52" t="str">
        <f aca="false">IF(OR(K271="",J271=""),"",(J271-K271)*100)</f>
        <v/>
      </c>
      <c r="M271" s="38" t="s">
        <v>691</v>
      </c>
    </row>
    <row r="272" customFormat="false" ht="15" hidden="false" customHeight="false" outlineLevel="0" collapsed="false">
      <c r="A272" s="38" t="s">
        <v>344</v>
      </c>
      <c r="B272" s="38" t="s">
        <v>404</v>
      </c>
      <c r="C272" s="38" t="s">
        <v>407</v>
      </c>
      <c r="D272" s="21" t="n">
        <v>449</v>
      </c>
      <c r="E272" s="21" t="n">
        <v>492</v>
      </c>
      <c r="F272" s="51" t="n">
        <f aca="false">IF(E272="","",D272-E272)</f>
        <v>-43</v>
      </c>
      <c r="G272" s="21" t="n">
        <v>149</v>
      </c>
      <c r="H272" s="21" t="n">
        <v>197</v>
      </c>
      <c r="I272" s="51" t="n">
        <f aca="false">IF(H272="","",G272-H272)</f>
        <v>-48</v>
      </c>
      <c r="J272" s="39" t="n">
        <f aca="false">IF(OR(D272="",D272+G272=0),"",D272/(D272+G272))</f>
        <v>0.750836120401338</v>
      </c>
      <c r="K272" s="39" t="n">
        <f aca="false">IF(E272="","",E272/(E272+H272))</f>
        <v>0.714078374455733</v>
      </c>
      <c r="L272" s="52" t="n">
        <f aca="false">IF(OR(K272="",J272=""),"",(J272-K272)*100)</f>
        <v>3.67577459456049</v>
      </c>
      <c r="M272" s="38"/>
    </row>
    <row r="273" customFormat="false" ht="15" hidden="false" customHeight="false" outlineLevel="0" collapsed="false">
      <c r="A273" s="38" t="s">
        <v>344</v>
      </c>
      <c r="B273" s="38" t="s">
        <v>404</v>
      </c>
      <c r="C273" s="38" t="s">
        <v>408</v>
      </c>
      <c r="D273" s="21" t="n">
        <v>733</v>
      </c>
      <c r="E273" s="21" t="n">
        <v>743</v>
      </c>
      <c r="F273" s="51" t="n">
        <f aca="false">IF(E273="","",D273-E273)</f>
        <v>-10</v>
      </c>
      <c r="G273" s="21" t="n">
        <v>260</v>
      </c>
      <c r="H273" s="21" t="n">
        <v>265</v>
      </c>
      <c r="I273" s="51" t="n">
        <f aca="false">IF(H273="","",G273-H273)</f>
        <v>-5</v>
      </c>
      <c r="J273" s="39" t="n">
        <f aca="false">IF(OR(D273="",D273+G273=0),"",D273/(D273+G273))</f>
        <v>0.738167170191339</v>
      </c>
      <c r="K273" s="39" t="n">
        <f aca="false">IF(E273="","",E273/(E273+H273))</f>
        <v>0.737103174603175</v>
      </c>
      <c r="L273" s="52" t="n">
        <f aca="false">IF(OR(K273="",J273=""),"",(J273-K273)*100)</f>
        <v>0.106399558816472</v>
      </c>
      <c r="M273" s="38"/>
    </row>
    <row r="274" customFormat="false" ht="15" hidden="false" customHeight="false" outlineLevel="0" collapsed="false">
      <c r="A274" s="38" t="s">
        <v>344</v>
      </c>
      <c r="B274" s="38" t="s">
        <v>404</v>
      </c>
      <c r="C274" s="38" t="s">
        <v>409</v>
      </c>
      <c r="D274" s="21" t="n">
        <v>445</v>
      </c>
      <c r="E274" s="21" t="n">
        <v>1109</v>
      </c>
      <c r="F274" s="51" t="n">
        <f aca="false">IF(E274="","",D274-E274)</f>
        <v>-664</v>
      </c>
      <c r="G274" s="21" t="n">
        <v>106</v>
      </c>
      <c r="H274" s="21" t="n">
        <v>290</v>
      </c>
      <c r="I274" s="51" t="n">
        <f aca="false">IF(H274="","",G274-H274)</f>
        <v>-184</v>
      </c>
      <c r="J274" s="39" t="n">
        <f aca="false">IF(OR(D274="",D274+G274=0),"",D274/(D274+G274))</f>
        <v>0.807622504537205</v>
      </c>
      <c r="K274" s="39" t="n">
        <f aca="false">IF(E274="","",E274/(E274+H274))</f>
        <v>0.792709077912795</v>
      </c>
      <c r="L274" s="52" t="n">
        <f aca="false">IF(OR(K274="",J274=""),"",(J274-K274)*100)</f>
        <v>1.49134266244102</v>
      </c>
      <c r="M274" s="38"/>
    </row>
    <row r="275" customFormat="false" ht="15" hidden="false" customHeight="false" outlineLevel="0" collapsed="false">
      <c r="A275" s="38" t="s">
        <v>344</v>
      </c>
      <c r="B275" s="38" t="s">
        <v>404</v>
      </c>
      <c r="C275" s="38" t="s">
        <v>410</v>
      </c>
      <c r="D275" s="21" t="n">
        <v>610</v>
      </c>
      <c r="E275" s="21" t="n">
        <v>566</v>
      </c>
      <c r="F275" s="51" t="n">
        <f aca="false">IF(E275="","",D275-E275)</f>
        <v>44</v>
      </c>
      <c r="G275" s="21" t="n">
        <v>227</v>
      </c>
      <c r="H275" s="21" t="n">
        <v>257</v>
      </c>
      <c r="I275" s="51" t="n">
        <f aca="false">IF(H275="","",G275-H275)</f>
        <v>-30</v>
      </c>
      <c r="J275" s="39" t="n">
        <f aca="false">IF(OR(D275="",D275+G275=0),"",D275/(D275+G275))</f>
        <v>0.728793309438471</v>
      </c>
      <c r="K275" s="39" t="n">
        <f aca="false">IF(E275="","",E275/(E275+H275))</f>
        <v>0.687727825030377</v>
      </c>
      <c r="L275" s="52" t="n">
        <f aca="false">IF(OR(K275="",J275=""),"",(J275-K275)*100)</f>
        <v>4.10654844080941</v>
      </c>
      <c r="M275" s="38"/>
    </row>
    <row r="276" customFormat="false" ht="15" hidden="false" customHeight="false" outlineLevel="0" collapsed="false">
      <c r="A276" s="38" t="s">
        <v>344</v>
      </c>
      <c r="B276" s="38" t="s">
        <v>404</v>
      </c>
      <c r="C276" s="38" t="s">
        <v>411</v>
      </c>
      <c r="D276" s="21" t="n">
        <v>516</v>
      </c>
      <c r="E276" s="21" t="n">
        <v>517</v>
      </c>
      <c r="F276" s="51" t="n">
        <f aca="false">IF(E276="","",D276-E276)</f>
        <v>-1</v>
      </c>
      <c r="G276" s="21" t="n">
        <v>227</v>
      </c>
      <c r="H276" s="21" t="n">
        <v>265</v>
      </c>
      <c r="I276" s="51" t="n">
        <f aca="false">IF(H276="","",G276-H276)</f>
        <v>-38</v>
      </c>
      <c r="J276" s="39" t="n">
        <f aca="false">IF(OR(D276="",D276+G276=0),"",D276/(D276+G276))</f>
        <v>0.694481830417227</v>
      </c>
      <c r="K276" s="39" t="n">
        <f aca="false">IF(E276="","",E276/(E276+H276))</f>
        <v>0.661125319693095</v>
      </c>
      <c r="L276" s="52" t="n">
        <f aca="false">IF(OR(K276="",J276=""),"",(J276-K276)*100)</f>
        <v>3.33565107241328</v>
      </c>
      <c r="M276" s="38"/>
    </row>
    <row r="277" customFormat="false" ht="15" hidden="false" customHeight="false" outlineLevel="0" collapsed="false">
      <c r="A277" s="38" t="s">
        <v>344</v>
      </c>
      <c r="B277" s="38" t="s">
        <v>404</v>
      </c>
      <c r="C277" s="38" t="s">
        <v>412</v>
      </c>
      <c r="D277" s="21" t="n">
        <v>207</v>
      </c>
      <c r="E277" s="21" t="n">
        <v>233</v>
      </c>
      <c r="F277" s="51" t="n">
        <f aca="false">IF(E277="","",D277-E277)</f>
        <v>-26</v>
      </c>
      <c r="G277" s="21" t="n">
        <v>79</v>
      </c>
      <c r="H277" s="21" t="n">
        <v>84</v>
      </c>
      <c r="I277" s="51" t="n">
        <f aca="false">IF(H277="","",G277-H277)</f>
        <v>-5</v>
      </c>
      <c r="J277" s="39" t="n">
        <f aca="false">IF(OR(D277="",D277+G277=0),"",D277/(D277+G277))</f>
        <v>0.723776223776224</v>
      </c>
      <c r="K277" s="39" t="n">
        <f aca="false">IF(E277="","",E277/(E277+H277))</f>
        <v>0.735015772870662</v>
      </c>
      <c r="L277" s="52" t="n">
        <f aca="false">IF(OR(K277="",J277=""),"",(J277-K277)*100)</f>
        <v>-1.12395490944387</v>
      </c>
      <c r="M277" s="38"/>
    </row>
    <row r="278" customFormat="false" ht="15" hidden="false" customHeight="false" outlineLevel="0" collapsed="false">
      <c r="A278" s="38" t="s">
        <v>344</v>
      </c>
      <c r="B278" s="38" t="s">
        <v>404</v>
      </c>
      <c r="C278" s="38" t="s">
        <v>413</v>
      </c>
      <c r="D278" s="21" t="n">
        <v>343</v>
      </c>
      <c r="E278" s="21" t="n">
        <v>391</v>
      </c>
      <c r="F278" s="51" t="n">
        <f aca="false">IF(E278="","",D278-E278)</f>
        <v>-48</v>
      </c>
      <c r="G278" s="21" t="n">
        <v>109</v>
      </c>
      <c r="H278" s="21" t="n">
        <v>126</v>
      </c>
      <c r="I278" s="51" t="n">
        <f aca="false">IF(H278="","",G278-H278)</f>
        <v>-17</v>
      </c>
      <c r="J278" s="39" t="n">
        <f aca="false">IF(OR(D278="",D278+G278=0),"",D278/(D278+G278))</f>
        <v>0.758849557522124</v>
      </c>
      <c r="K278" s="39" t="n">
        <f aca="false">IF(E278="","",E278/(E278+H278))</f>
        <v>0.756286266924565</v>
      </c>
      <c r="L278" s="52" t="n">
        <f aca="false">IF(OR(K278="",J278=""),"",(J278-K278)*100)</f>
        <v>0.256329059755911</v>
      </c>
      <c r="M278" s="38"/>
    </row>
    <row r="279" customFormat="false" ht="15" hidden="false" customHeight="false" outlineLevel="0" collapsed="false">
      <c r="A279" s="38" t="s">
        <v>344</v>
      </c>
      <c r="B279" s="38" t="s">
        <v>404</v>
      </c>
      <c r="C279" s="38" t="s">
        <v>414</v>
      </c>
      <c r="D279" s="21" t="n">
        <v>398</v>
      </c>
      <c r="E279" s="21" t="n">
        <v>381</v>
      </c>
      <c r="F279" s="51" t="n">
        <f aca="false">IF(E279="","",D279-E279)</f>
        <v>17</v>
      </c>
      <c r="G279" s="21" t="n">
        <v>133</v>
      </c>
      <c r="H279" s="21" t="n">
        <v>184</v>
      </c>
      <c r="I279" s="51" t="n">
        <f aca="false">IF(H279="","",G279-H279)</f>
        <v>-51</v>
      </c>
      <c r="J279" s="39" t="n">
        <f aca="false">IF(OR(D279="",D279+G279=0),"",D279/(D279+G279))</f>
        <v>0.749529190207156</v>
      </c>
      <c r="K279" s="39" t="n">
        <f aca="false">IF(E279="","",E279/(E279+H279))</f>
        <v>0.674336283185841</v>
      </c>
      <c r="L279" s="52" t="n">
        <f aca="false">IF(OR(K279="",J279=""),"",(J279-K279)*100)</f>
        <v>7.51929070213157</v>
      </c>
      <c r="M279" s="38"/>
    </row>
    <row r="280" customFormat="false" ht="15" hidden="false" customHeight="false" outlineLevel="0" collapsed="false">
      <c r="A280" s="38" t="s">
        <v>344</v>
      </c>
      <c r="B280" s="38" t="s">
        <v>404</v>
      </c>
      <c r="C280" s="38" t="s">
        <v>415</v>
      </c>
      <c r="D280" s="21" t="n">
        <v>724</v>
      </c>
      <c r="E280" s="21"/>
      <c r="F280" s="51" t="str">
        <f aca="false">IF(E280="","",D280-E280)</f>
        <v/>
      </c>
      <c r="G280" s="21" t="n">
        <v>371</v>
      </c>
      <c r="H280" s="21"/>
      <c r="I280" s="51" t="str">
        <f aca="false">IF(H280="","",G280-H280)</f>
        <v/>
      </c>
      <c r="J280" s="39" t="n">
        <f aca="false">IF(OR(D280="",D280+G280=0),"",D280/(D280+G280))</f>
        <v>0.661187214611872</v>
      </c>
      <c r="K280" s="39" t="str">
        <f aca="false">IF(E280="","",E280/(E280+H280))</f>
        <v/>
      </c>
      <c r="L280" s="52" t="str">
        <f aca="false">IF(OR(K280="",J280=""),"",(J280-K280)*100)</f>
        <v/>
      </c>
      <c r="M280" s="38" t="s">
        <v>691</v>
      </c>
    </row>
    <row r="281" customFormat="false" ht="15" hidden="false" customHeight="false" outlineLevel="0" collapsed="false">
      <c r="A281" s="38" t="s">
        <v>344</v>
      </c>
      <c r="B281" s="38" t="s">
        <v>404</v>
      </c>
      <c r="C281" s="38" t="s">
        <v>416</v>
      </c>
      <c r="D281" s="21" t="n">
        <v>881</v>
      </c>
      <c r="E281" s="21" t="n">
        <v>912</v>
      </c>
      <c r="F281" s="51" t="n">
        <f aca="false">IF(E281="","",D281-E281)</f>
        <v>-31</v>
      </c>
      <c r="G281" s="21" t="n">
        <v>362</v>
      </c>
      <c r="H281" s="21" t="n">
        <v>445</v>
      </c>
      <c r="I281" s="51" t="n">
        <f aca="false">IF(H281="","",G281-H281)</f>
        <v>-83</v>
      </c>
      <c r="J281" s="39" t="n">
        <f aca="false">IF(OR(D281="",D281+G281=0),"",D281/(D281+G281))</f>
        <v>0.708769106999196</v>
      </c>
      <c r="K281" s="39" t="n">
        <f aca="false">IF(E281="","",E281/(E281+H281))</f>
        <v>0.672070744288873</v>
      </c>
      <c r="L281" s="52" t="n">
        <f aca="false">IF(OR(K281="",J281=""),"",(J281-K281)*100)</f>
        <v>3.6698362710323</v>
      </c>
      <c r="M281" s="38"/>
    </row>
    <row r="282" customFormat="false" ht="15" hidden="false" customHeight="false" outlineLevel="0" collapsed="false">
      <c r="A282" s="38" t="s">
        <v>344</v>
      </c>
      <c r="B282" s="38" t="s">
        <v>417</v>
      </c>
      <c r="C282" s="38" t="s">
        <v>418</v>
      </c>
      <c r="D282" s="21" t="n">
        <v>1527</v>
      </c>
      <c r="E282" s="21"/>
      <c r="F282" s="51" t="str">
        <f aca="false">IF(E282="","",D282-E282)</f>
        <v/>
      </c>
      <c r="G282" s="21" t="n">
        <v>1372</v>
      </c>
      <c r="H282" s="21"/>
      <c r="I282" s="51" t="str">
        <f aca="false">IF(H282="","",G282-H282)</f>
        <v/>
      </c>
      <c r="J282" s="39" t="n">
        <f aca="false">IF(OR(D282="",D282+G282=0),"",D282/(D282+G282))</f>
        <v>0.526733356329769</v>
      </c>
      <c r="K282" s="39" t="str">
        <f aca="false">IF(E282="","",E282/(E282+H282))</f>
        <v/>
      </c>
      <c r="L282" s="52" t="str">
        <f aca="false">IF(OR(K282="",J282=""),"",(J282-K282)*100)</f>
        <v/>
      </c>
      <c r="M282" s="38" t="s">
        <v>691</v>
      </c>
    </row>
    <row r="283" customFormat="false" ht="15" hidden="false" customHeight="false" outlineLevel="0" collapsed="false">
      <c r="A283" s="38" t="s">
        <v>344</v>
      </c>
      <c r="B283" s="38" t="s">
        <v>417</v>
      </c>
      <c r="C283" s="38" t="s">
        <v>419</v>
      </c>
      <c r="D283" s="21" t="n">
        <v>688</v>
      </c>
      <c r="E283" s="21"/>
      <c r="F283" s="51" t="str">
        <f aca="false">IF(E283="","",D283-E283)</f>
        <v/>
      </c>
      <c r="G283" s="21" t="n">
        <v>622</v>
      </c>
      <c r="H283" s="21"/>
      <c r="I283" s="51" t="str">
        <f aca="false">IF(H283="","",G283-H283)</f>
        <v/>
      </c>
      <c r="J283" s="39" t="n">
        <f aca="false">IF(OR(D283="",D283+G283=0),"",D283/(D283+G283))</f>
        <v>0.525190839694657</v>
      </c>
      <c r="K283" s="39" t="str">
        <f aca="false">IF(E283="","",E283/(E283+H283))</f>
        <v/>
      </c>
      <c r="L283" s="52" t="str">
        <f aca="false">IF(OR(K283="",J283=""),"",(J283-K283)*100)</f>
        <v/>
      </c>
      <c r="M283" s="38" t="s">
        <v>691</v>
      </c>
    </row>
    <row r="284" customFormat="false" ht="15" hidden="false" customHeight="false" outlineLevel="0" collapsed="false">
      <c r="A284" s="38" t="s">
        <v>344</v>
      </c>
      <c r="B284" s="38" t="s">
        <v>417</v>
      </c>
      <c r="C284" s="38" t="s">
        <v>420</v>
      </c>
      <c r="D284" s="21" t="n">
        <v>864</v>
      </c>
      <c r="E284" s="21"/>
      <c r="F284" s="51" t="str">
        <f aca="false">IF(E284="","",D284-E284)</f>
        <v/>
      </c>
      <c r="G284" s="21" t="n">
        <v>720</v>
      </c>
      <c r="H284" s="21"/>
      <c r="I284" s="51" t="str">
        <f aca="false">IF(H284="","",G284-H284)</f>
        <v/>
      </c>
      <c r="J284" s="39" t="n">
        <f aca="false">IF(OR(D284="",D284+G284=0),"",D284/(D284+G284))</f>
        <v>0.545454545454545</v>
      </c>
      <c r="K284" s="39" t="str">
        <f aca="false">IF(E284="","",E284/(E284+H284))</f>
        <v/>
      </c>
      <c r="L284" s="52" t="str">
        <f aca="false">IF(OR(K284="",J284=""),"",(J284-K284)*100)</f>
        <v/>
      </c>
      <c r="M284" s="38" t="s">
        <v>691</v>
      </c>
    </row>
    <row r="285" customFormat="false" ht="15" hidden="false" customHeight="false" outlineLevel="0" collapsed="false">
      <c r="A285" s="38" t="s">
        <v>344</v>
      </c>
      <c r="B285" s="38" t="s">
        <v>417</v>
      </c>
      <c r="C285" s="38" t="s">
        <v>421</v>
      </c>
      <c r="D285" s="21" t="n">
        <v>764</v>
      </c>
      <c r="E285" s="21"/>
      <c r="F285" s="51" t="str">
        <f aca="false">IF(E285="","",D285-E285)</f>
        <v/>
      </c>
      <c r="G285" s="21" t="n">
        <v>650</v>
      </c>
      <c r="H285" s="21"/>
      <c r="I285" s="51" t="str">
        <f aca="false">IF(H285="","",G285-H285)</f>
        <v/>
      </c>
      <c r="J285" s="39" t="n">
        <f aca="false">IF(OR(D285="",D285+G285=0),"",D285/(D285+G285))</f>
        <v>0.54031117397454</v>
      </c>
      <c r="K285" s="39" t="str">
        <f aca="false">IF(E285="","",E285/(E285+H285))</f>
        <v/>
      </c>
      <c r="L285" s="52" t="str">
        <f aca="false">IF(OR(K285="",J285=""),"",(J285-K285)*100)</f>
        <v/>
      </c>
      <c r="M285" s="38" t="s">
        <v>691</v>
      </c>
    </row>
    <row r="286" customFormat="false" ht="15" hidden="false" customHeight="false" outlineLevel="0" collapsed="false">
      <c r="A286" s="38" t="s">
        <v>344</v>
      </c>
      <c r="B286" s="38" t="s">
        <v>417</v>
      </c>
      <c r="C286" s="38" t="s">
        <v>422</v>
      </c>
      <c r="D286" s="21" t="n">
        <v>1084</v>
      </c>
      <c r="E286" s="21" t="n">
        <v>975</v>
      </c>
      <c r="F286" s="51" t="n">
        <f aca="false">IF(E286="","",D286-E286)</f>
        <v>109</v>
      </c>
      <c r="G286" s="21" t="n">
        <v>897</v>
      </c>
      <c r="H286" s="21" t="n">
        <v>935</v>
      </c>
      <c r="I286" s="51" t="n">
        <f aca="false">IF(H286="","",G286-H286)</f>
        <v>-38</v>
      </c>
      <c r="J286" s="39" t="n">
        <f aca="false">IF(OR(D286="",D286+G286=0),"",D286/(D286+G286))</f>
        <v>0.547198384654215</v>
      </c>
      <c r="K286" s="39" t="n">
        <f aca="false">IF(E286="","",E286/(E286+H286))</f>
        <v>0.510471204188482</v>
      </c>
      <c r="L286" s="52" t="n">
        <f aca="false">IF(OR(K286="",J286=""),"",(J286-K286)*100)</f>
        <v>3.67271804657333</v>
      </c>
      <c r="M286" s="38"/>
    </row>
    <row r="287" customFormat="false" ht="15" hidden="false" customHeight="false" outlineLevel="0" collapsed="false">
      <c r="A287" s="38" t="s">
        <v>344</v>
      </c>
      <c r="B287" s="38" t="s">
        <v>417</v>
      </c>
      <c r="C287" s="38" t="s">
        <v>423</v>
      </c>
      <c r="D287" s="21" t="n">
        <v>839</v>
      </c>
      <c r="E287" s="21"/>
      <c r="F287" s="51" t="str">
        <f aca="false">IF(E287="","",D287-E287)</f>
        <v/>
      </c>
      <c r="G287" s="21" t="n">
        <v>749</v>
      </c>
      <c r="H287" s="21"/>
      <c r="I287" s="51" t="str">
        <f aca="false">IF(H287="","",G287-H287)</f>
        <v/>
      </c>
      <c r="J287" s="39" t="n">
        <f aca="false">IF(OR(D287="",D287+G287=0),"",D287/(D287+G287))</f>
        <v>0.528337531486146</v>
      </c>
      <c r="K287" s="39" t="str">
        <f aca="false">IF(E287="","",E287/(E287+H287))</f>
        <v/>
      </c>
      <c r="L287" s="52" t="str">
        <f aca="false">IF(OR(K287="",J287=""),"",(J287-K287)*100)</f>
        <v/>
      </c>
      <c r="M287" s="38" t="s">
        <v>691</v>
      </c>
    </row>
    <row r="288" customFormat="false" ht="15" hidden="false" customHeight="false" outlineLevel="0" collapsed="false">
      <c r="A288" s="38" t="s">
        <v>344</v>
      </c>
      <c r="B288" s="38" t="s">
        <v>417</v>
      </c>
      <c r="C288" s="38" t="s">
        <v>424</v>
      </c>
      <c r="D288" s="21" t="n">
        <v>734</v>
      </c>
      <c r="E288" s="21"/>
      <c r="F288" s="51" t="str">
        <f aca="false">IF(E288="","",D288-E288)</f>
        <v/>
      </c>
      <c r="G288" s="21" t="n">
        <v>734</v>
      </c>
      <c r="H288" s="21"/>
      <c r="I288" s="51" t="str">
        <f aca="false">IF(H288="","",G288-H288)</f>
        <v/>
      </c>
      <c r="J288" s="39" t="n">
        <f aca="false">IF(OR(D288="",D288+G288=0),"",D288/(D288+G288))</f>
        <v>0.5</v>
      </c>
      <c r="K288" s="39" t="str">
        <f aca="false">IF(E288="","",E288/(E288+H288))</f>
        <v/>
      </c>
      <c r="L288" s="52" t="str">
        <f aca="false">IF(OR(K288="",J288=""),"",(J288-K288)*100)</f>
        <v/>
      </c>
      <c r="M288" s="38" t="s">
        <v>691</v>
      </c>
    </row>
    <row r="289" customFormat="false" ht="15" hidden="false" customHeight="false" outlineLevel="0" collapsed="false">
      <c r="A289" s="38" t="s">
        <v>344</v>
      </c>
      <c r="B289" s="38" t="s">
        <v>425</v>
      </c>
      <c r="C289" s="38" t="s">
        <v>425</v>
      </c>
      <c r="D289" s="21" t="n">
        <v>756</v>
      </c>
      <c r="E289" s="21" t="n">
        <v>714</v>
      </c>
      <c r="F289" s="51" t="n">
        <f aca="false">IF(E289="","",D289-E289)</f>
        <v>42</v>
      </c>
      <c r="G289" s="21" t="n">
        <v>474</v>
      </c>
      <c r="H289" s="21" t="n">
        <v>484</v>
      </c>
      <c r="I289" s="51" t="n">
        <f aca="false">IF(H289="","",G289-H289)</f>
        <v>-10</v>
      </c>
      <c r="J289" s="39" t="n">
        <f aca="false">IF(OR(D289="",D289+G289=0),"",D289/(D289+G289))</f>
        <v>0.614634146341463</v>
      </c>
      <c r="K289" s="39" t="n">
        <f aca="false">IF(E289="","",E289/(E289+H289))</f>
        <v>0.595993322203673</v>
      </c>
      <c r="L289" s="52" t="n">
        <f aca="false">IF(OR(K289="",J289=""),"",(J289-K289)*100)</f>
        <v>1.86408241377907</v>
      </c>
      <c r="M289" s="38"/>
    </row>
    <row r="290" customFormat="false" ht="15" hidden="false" customHeight="false" outlineLevel="0" collapsed="false">
      <c r="A290" s="38" t="s">
        <v>344</v>
      </c>
      <c r="B290" s="38" t="s">
        <v>426</v>
      </c>
      <c r="C290" s="38" t="s">
        <v>426</v>
      </c>
      <c r="D290" s="21" t="n">
        <v>107</v>
      </c>
      <c r="E290" s="21" t="n">
        <v>109</v>
      </c>
      <c r="F290" s="51" t="n">
        <f aca="false">IF(E290="","",D290-E290)</f>
        <v>-2</v>
      </c>
      <c r="G290" s="21" t="n">
        <v>101</v>
      </c>
      <c r="H290" s="21" t="n">
        <v>97</v>
      </c>
      <c r="I290" s="51" t="n">
        <f aca="false">IF(H290="","",G290-H290)</f>
        <v>4</v>
      </c>
      <c r="J290" s="39" t="n">
        <f aca="false">IF(OR(D290="",D290+G290=0),"",D290/(D290+G290))</f>
        <v>0.514423076923077</v>
      </c>
      <c r="K290" s="39" t="n">
        <f aca="false">IF(E290="","",E290/(E290+H290))</f>
        <v>0.529126213592233</v>
      </c>
      <c r="L290" s="52" t="n">
        <f aca="false">IF(OR(K290="",J290=""),"",(J290-K290)*100)</f>
        <v>-1.47031366691561</v>
      </c>
      <c r="M290" s="38"/>
    </row>
    <row r="291" customFormat="false" ht="15" hidden="false" customHeight="false" outlineLevel="0" collapsed="false">
      <c r="A291" s="38" t="s">
        <v>344</v>
      </c>
      <c r="B291" s="38" t="s">
        <v>251</v>
      </c>
      <c r="C291" s="38" t="s">
        <v>427</v>
      </c>
      <c r="D291" s="21" t="n">
        <v>1041</v>
      </c>
      <c r="E291" s="21" t="n">
        <v>955</v>
      </c>
      <c r="F291" s="51" t="n">
        <f aca="false">IF(E291="","",D291-E291)</f>
        <v>86</v>
      </c>
      <c r="G291" s="21" t="n">
        <v>733</v>
      </c>
      <c r="H291" s="21" t="n">
        <v>692</v>
      </c>
      <c r="I291" s="51" t="n">
        <f aca="false">IF(H291="","",G291-H291)</f>
        <v>41</v>
      </c>
      <c r="J291" s="39" t="n">
        <f aca="false">IF(OR(D291="",D291+G291=0),"",D291/(D291+G291))</f>
        <v>0.586809470124014</v>
      </c>
      <c r="K291" s="39" t="n">
        <f aca="false">IF(E291="","",E291/(E291+H291))</f>
        <v>0.579842137219186</v>
      </c>
      <c r="L291" s="52" t="n">
        <f aca="false">IF(OR(K291="",J291=""),"",(J291-K291)*100)</f>
        <v>0.69673329048271</v>
      </c>
      <c r="M291" s="38"/>
    </row>
    <row r="292" customFormat="false" ht="15" hidden="false" customHeight="false" outlineLevel="0" collapsed="false">
      <c r="A292" s="38" t="s">
        <v>344</v>
      </c>
      <c r="B292" s="38" t="s">
        <v>251</v>
      </c>
      <c r="C292" s="38" t="s">
        <v>428</v>
      </c>
      <c r="D292" s="21" t="n">
        <v>1004</v>
      </c>
      <c r="E292" s="21" t="n">
        <v>910</v>
      </c>
      <c r="F292" s="51" t="n">
        <f aca="false">IF(E292="","",D292-E292)</f>
        <v>94</v>
      </c>
      <c r="G292" s="21" t="n">
        <v>800</v>
      </c>
      <c r="H292" s="21" t="n">
        <v>742</v>
      </c>
      <c r="I292" s="51" t="n">
        <f aca="false">IF(H292="","",G292-H292)</f>
        <v>58</v>
      </c>
      <c r="J292" s="39" t="n">
        <f aca="false">IF(OR(D292="",D292+G292=0),"",D292/(D292+G292))</f>
        <v>0.556541019955654</v>
      </c>
      <c r="K292" s="39" t="n">
        <f aca="false">IF(E292="","",E292/(E292+H292))</f>
        <v>0.550847457627119</v>
      </c>
      <c r="L292" s="52" t="n">
        <f aca="false">IF(OR(K292="",J292=""),"",(J292-K292)*100)</f>
        <v>0.569356232853546</v>
      </c>
      <c r="M292" s="38"/>
    </row>
    <row r="293" customFormat="false" ht="15" hidden="false" customHeight="false" outlineLevel="0" collapsed="false">
      <c r="A293" s="38" t="s">
        <v>344</v>
      </c>
      <c r="B293" s="38" t="s">
        <v>251</v>
      </c>
      <c r="C293" s="38" t="s">
        <v>429</v>
      </c>
      <c r="D293" s="21" t="n">
        <v>492</v>
      </c>
      <c r="E293" s="21" t="n">
        <v>446</v>
      </c>
      <c r="F293" s="51" t="n">
        <f aca="false">IF(E293="","",D293-E293)</f>
        <v>46</v>
      </c>
      <c r="G293" s="21" t="n">
        <v>426</v>
      </c>
      <c r="H293" s="21" t="n">
        <v>410</v>
      </c>
      <c r="I293" s="51" t="n">
        <f aca="false">IF(H293="","",G293-H293)</f>
        <v>16</v>
      </c>
      <c r="J293" s="39" t="n">
        <f aca="false">IF(OR(D293="",D293+G293=0),"",D293/(D293+G293))</f>
        <v>0.535947712418301</v>
      </c>
      <c r="K293" s="39" t="n">
        <f aca="false">IF(E293="","",E293/(E293+H293))</f>
        <v>0.521028037383178</v>
      </c>
      <c r="L293" s="52" t="n">
        <f aca="false">IF(OR(K293="",J293=""),"",(J293-K293)*100)</f>
        <v>1.4919675035123</v>
      </c>
      <c r="M293" s="38"/>
    </row>
    <row r="294" customFormat="false" ht="15" hidden="false" customHeight="false" outlineLevel="0" collapsed="false">
      <c r="A294" s="38" t="s">
        <v>344</v>
      </c>
      <c r="B294" s="38" t="s">
        <v>251</v>
      </c>
      <c r="C294" s="38" t="s">
        <v>430</v>
      </c>
      <c r="D294" s="21" t="n">
        <v>833</v>
      </c>
      <c r="E294" s="21" t="n">
        <v>744</v>
      </c>
      <c r="F294" s="51" t="n">
        <f aca="false">IF(E294="","",D294-E294)</f>
        <v>89</v>
      </c>
      <c r="G294" s="21" t="n">
        <v>714</v>
      </c>
      <c r="H294" s="21" t="n">
        <v>678</v>
      </c>
      <c r="I294" s="51" t="n">
        <f aca="false">IF(H294="","",G294-H294)</f>
        <v>36</v>
      </c>
      <c r="J294" s="39" t="n">
        <f aca="false">IF(OR(D294="",D294+G294=0),"",D294/(D294+G294))</f>
        <v>0.538461538461538</v>
      </c>
      <c r="K294" s="39" t="n">
        <f aca="false">IF(E294="","",E294/(E294+H294))</f>
        <v>0.523206751054852</v>
      </c>
      <c r="L294" s="52" t="n">
        <f aca="false">IF(OR(K294="",J294=""),"",(J294-K294)*100)</f>
        <v>1.52547874066861</v>
      </c>
      <c r="M294" s="38"/>
    </row>
    <row r="295" customFormat="false" ht="15" hidden="false" customHeight="false" outlineLevel="0" collapsed="false">
      <c r="A295" s="38" t="s">
        <v>344</v>
      </c>
      <c r="B295" s="38" t="s">
        <v>251</v>
      </c>
      <c r="C295" s="38" t="s">
        <v>431</v>
      </c>
      <c r="D295" s="21" t="n">
        <v>854</v>
      </c>
      <c r="E295" s="21" t="n">
        <v>775</v>
      </c>
      <c r="F295" s="51" t="n">
        <f aca="false">IF(E295="","",D295-E295)</f>
        <v>79</v>
      </c>
      <c r="G295" s="21" t="n">
        <v>637</v>
      </c>
      <c r="H295" s="21" t="n">
        <v>645</v>
      </c>
      <c r="I295" s="51" t="n">
        <f aca="false">IF(H295="","",G295-H295)</f>
        <v>-8</v>
      </c>
      <c r="J295" s="39" t="n">
        <f aca="false">IF(OR(D295="",D295+G295=0),"",D295/(D295+G295))</f>
        <v>0.572769953051643</v>
      </c>
      <c r="K295" s="39" t="n">
        <f aca="false">IF(E295="","",E295/(E295+H295))</f>
        <v>0.545774647887324</v>
      </c>
      <c r="L295" s="52" t="n">
        <f aca="false">IF(OR(K295="",J295=""),"",(J295-K295)*100)</f>
        <v>2.69953051643193</v>
      </c>
      <c r="M295" s="38"/>
    </row>
    <row r="296" customFormat="false" ht="15" hidden="false" customHeight="false" outlineLevel="0" collapsed="false">
      <c r="A296" s="38" t="s">
        <v>344</v>
      </c>
      <c r="B296" s="38" t="s">
        <v>251</v>
      </c>
      <c r="C296" s="38" t="s">
        <v>432</v>
      </c>
      <c r="D296" s="21" t="n">
        <v>573</v>
      </c>
      <c r="E296" s="21" t="n">
        <v>511</v>
      </c>
      <c r="F296" s="51" t="n">
        <f aca="false">IF(E296="","",D296-E296)</f>
        <v>62</v>
      </c>
      <c r="G296" s="21" t="n">
        <v>480</v>
      </c>
      <c r="H296" s="21" t="n">
        <v>453</v>
      </c>
      <c r="I296" s="51" t="n">
        <f aca="false">IF(H296="","",G296-H296)</f>
        <v>27</v>
      </c>
      <c r="J296" s="39" t="n">
        <f aca="false">IF(OR(D296="",D296+G296=0),"",D296/(D296+G296))</f>
        <v>0.544159544159544</v>
      </c>
      <c r="K296" s="39" t="n">
        <f aca="false">IF(E296="","",E296/(E296+H296))</f>
        <v>0.530082987551867</v>
      </c>
      <c r="L296" s="52" t="n">
        <f aca="false">IF(OR(K296="",J296=""),"",(J296-K296)*100)</f>
        <v>1.40765566076769</v>
      </c>
      <c r="M296" s="38"/>
    </row>
    <row r="297" customFormat="false" ht="15" hidden="false" customHeight="false" outlineLevel="0" collapsed="false">
      <c r="A297" s="38" t="s">
        <v>344</v>
      </c>
      <c r="B297" s="38" t="s">
        <v>433</v>
      </c>
      <c r="C297" s="38" t="s">
        <v>434</v>
      </c>
      <c r="D297" s="21" t="n">
        <v>614</v>
      </c>
      <c r="E297" s="21" t="n">
        <v>553</v>
      </c>
      <c r="F297" s="51" t="n">
        <f aca="false">IF(E297="","",D297-E297)</f>
        <v>61</v>
      </c>
      <c r="G297" s="21" t="n">
        <v>588</v>
      </c>
      <c r="H297" s="21" t="n">
        <v>581</v>
      </c>
      <c r="I297" s="51" t="n">
        <f aca="false">IF(H297="","",G297-H297)</f>
        <v>7</v>
      </c>
      <c r="J297" s="39" t="n">
        <f aca="false">IF(OR(D297="",D297+G297=0),"",D297/(D297+G297))</f>
        <v>0.5108153078203</v>
      </c>
      <c r="K297" s="39" t="n">
        <f aca="false">IF(E297="","",E297/(E297+H297))</f>
        <v>0.487654320987654</v>
      </c>
      <c r="L297" s="52" t="n">
        <f aca="false">IF(OR(K297="",J297=""),"",(J297-K297)*100)</f>
        <v>2.31609868326452</v>
      </c>
      <c r="M297" s="38"/>
    </row>
    <row r="298" customFormat="false" ht="15" hidden="false" customHeight="false" outlineLevel="0" collapsed="false">
      <c r="A298" s="38" t="s">
        <v>344</v>
      </c>
      <c r="B298" s="38" t="s">
        <v>433</v>
      </c>
      <c r="C298" s="38" t="s">
        <v>435</v>
      </c>
      <c r="D298" s="21" t="n">
        <v>498</v>
      </c>
      <c r="E298" s="21" t="n">
        <v>473</v>
      </c>
      <c r="F298" s="51" t="n">
        <f aca="false">IF(E298="","",D298-E298)</f>
        <v>25</v>
      </c>
      <c r="G298" s="21" t="n">
        <v>423</v>
      </c>
      <c r="H298" s="21" t="n">
        <v>465</v>
      </c>
      <c r="I298" s="51" t="n">
        <f aca="false">IF(H298="","",G298-H298)</f>
        <v>-42</v>
      </c>
      <c r="J298" s="39" t="n">
        <f aca="false">IF(OR(D298="",D298+G298=0),"",D298/(D298+G298))</f>
        <v>0.54071661237785</v>
      </c>
      <c r="K298" s="39" t="n">
        <f aca="false">IF(E298="","",E298/(E298+H298))</f>
        <v>0.504264392324094</v>
      </c>
      <c r="L298" s="52" t="n">
        <f aca="false">IF(OR(K298="",J298=""),"",(J298-K298)*100)</f>
        <v>3.64522200537564</v>
      </c>
      <c r="M298" s="38"/>
    </row>
    <row r="299" customFormat="false" ht="15" hidden="false" customHeight="false" outlineLevel="0" collapsed="false">
      <c r="A299" s="38" t="s">
        <v>344</v>
      </c>
      <c r="B299" s="38" t="s">
        <v>433</v>
      </c>
      <c r="C299" s="38" t="s">
        <v>436</v>
      </c>
      <c r="D299" s="21" t="n">
        <v>731</v>
      </c>
      <c r="E299" s="21" t="n">
        <v>700</v>
      </c>
      <c r="F299" s="51" t="n">
        <f aca="false">IF(E299="","",D299-E299)</f>
        <v>31</v>
      </c>
      <c r="G299" s="21" t="n">
        <v>578</v>
      </c>
      <c r="H299" s="21" t="n">
        <v>639</v>
      </c>
      <c r="I299" s="51" t="n">
        <f aca="false">IF(H299="","",G299-H299)</f>
        <v>-61</v>
      </c>
      <c r="J299" s="39" t="n">
        <f aca="false">IF(OR(D299="",D299+G299=0),"",D299/(D299+G299))</f>
        <v>0.558441558441558</v>
      </c>
      <c r="K299" s="39" t="n">
        <f aca="false">IF(E299="","",E299/(E299+H299))</f>
        <v>0.522778192681105</v>
      </c>
      <c r="L299" s="52" t="n">
        <f aca="false">IF(OR(K299="",J299=""),"",(J299-K299)*100)</f>
        <v>3.56633657604531</v>
      </c>
      <c r="M299" s="38"/>
    </row>
    <row r="300" customFormat="false" ht="15" hidden="false" customHeight="false" outlineLevel="0" collapsed="false">
      <c r="A300" s="38" t="s">
        <v>344</v>
      </c>
      <c r="B300" s="38" t="s">
        <v>437</v>
      </c>
      <c r="C300" s="38" t="s">
        <v>438</v>
      </c>
      <c r="D300" s="21" t="n">
        <v>634</v>
      </c>
      <c r="E300" s="21" t="n">
        <v>546</v>
      </c>
      <c r="F300" s="51" t="n">
        <f aca="false">IF(E300="","",D300-E300)</f>
        <v>88</v>
      </c>
      <c r="G300" s="21" t="n">
        <v>1108</v>
      </c>
      <c r="H300" s="21" t="n">
        <v>1089</v>
      </c>
      <c r="I300" s="51" t="n">
        <f aca="false">IF(H300="","",G300-H300)</f>
        <v>19</v>
      </c>
      <c r="J300" s="39" t="n">
        <f aca="false">IF(OR(D300="",D300+G300=0),"",D300/(D300+G300))</f>
        <v>0.363949483352468</v>
      </c>
      <c r="K300" s="39" t="n">
        <f aca="false">IF(E300="","",E300/(E300+H300))</f>
        <v>0.33394495412844</v>
      </c>
      <c r="L300" s="52" t="n">
        <f aca="false">IF(OR(K300="",J300=""),"",(J300-K300)*100)</f>
        <v>3.0004529224028</v>
      </c>
      <c r="M300" s="38"/>
    </row>
    <row r="301" customFormat="false" ht="15" hidden="false" customHeight="false" outlineLevel="0" collapsed="false">
      <c r="A301" s="38" t="s">
        <v>344</v>
      </c>
      <c r="B301" s="38" t="s">
        <v>437</v>
      </c>
      <c r="C301" s="38" t="s">
        <v>439</v>
      </c>
      <c r="D301" s="21" t="n">
        <v>731</v>
      </c>
      <c r="E301" s="21" t="n">
        <v>636</v>
      </c>
      <c r="F301" s="51" t="n">
        <f aca="false">IF(E301="","",D301-E301)</f>
        <v>95</v>
      </c>
      <c r="G301" s="21" t="n">
        <v>1240</v>
      </c>
      <c r="H301" s="21" t="n">
        <v>1262</v>
      </c>
      <c r="I301" s="51" t="n">
        <f aca="false">IF(H301="","",G301-H301)</f>
        <v>-22</v>
      </c>
      <c r="J301" s="39" t="n">
        <f aca="false">IF(OR(D301="",D301+G301=0),"",D301/(D301+G301))</f>
        <v>0.370877727042111</v>
      </c>
      <c r="K301" s="39" t="n">
        <f aca="false">IF(E301="","",E301/(E301+H301))</f>
        <v>0.33508956796628</v>
      </c>
      <c r="L301" s="52" t="n">
        <f aca="false">IF(OR(K301="",J301=""),"",(J301-K301)*100)</f>
        <v>3.57881590758303</v>
      </c>
      <c r="M301" s="38"/>
    </row>
    <row r="302" customFormat="false" ht="15" hidden="false" customHeight="false" outlineLevel="0" collapsed="false">
      <c r="A302" s="38" t="s">
        <v>344</v>
      </c>
      <c r="B302" s="38" t="s">
        <v>437</v>
      </c>
      <c r="C302" s="38" t="s">
        <v>440</v>
      </c>
      <c r="D302" s="21" t="n">
        <v>240</v>
      </c>
      <c r="E302" s="21" t="n">
        <v>224</v>
      </c>
      <c r="F302" s="51" t="n">
        <f aca="false">IF(E302="","",D302-E302)</f>
        <v>16</v>
      </c>
      <c r="G302" s="21" t="n">
        <v>503</v>
      </c>
      <c r="H302" s="21" t="n">
        <v>495</v>
      </c>
      <c r="I302" s="51" t="n">
        <f aca="false">IF(H302="","",G302-H302)</f>
        <v>8</v>
      </c>
      <c r="J302" s="39" t="n">
        <f aca="false">IF(OR(D302="",D302+G302=0),"",D302/(D302+G302))</f>
        <v>0.323014804845222</v>
      </c>
      <c r="K302" s="39" t="n">
        <f aca="false">IF(E302="","",E302/(E302+H302))</f>
        <v>0.311543810848401</v>
      </c>
      <c r="L302" s="52" t="n">
        <f aca="false">IF(OR(K302="",J302=""),"",(J302-K302)*100)</f>
        <v>1.14709939968215</v>
      </c>
      <c r="M302" s="38"/>
    </row>
    <row r="303" customFormat="false" ht="15" hidden="false" customHeight="false" outlineLevel="0" collapsed="false">
      <c r="A303" s="38" t="s">
        <v>344</v>
      </c>
      <c r="B303" s="38" t="s">
        <v>437</v>
      </c>
      <c r="C303" s="38" t="s">
        <v>441</v>
      </c>
      <c r="D303" s="21" t="n">
        <v>577</v>
      </c>
      <c r="E303" s="21" t="n">
        <v>478</v>
      </c>
      <c r="F303" s="51" t="n">
        <f aca="false">IF(E303="","",D303-E303)</f>
        <v>99</v>
      </c>
      <c r="G303" s="21" t="n">
        <v>971</v>
      </c>
      <c r="H303" s="21" t="n">
        <v>948</v>
      </c>
      <c r="I303" s="51" t="n">
        <f aca="false">IF(H303="","",G303-H303)</f>
        <v>23</v>
      </c>
      <c r="J303" s="39" t="n">
        <f aca="false">IF(OR(D303="",D303+G303=0),"",D303/(D303+G303))</f>
        <v>0.372739018087855</v>
      </c>
      <c r="K303" s="39" t="n">
        <f aca="false">IF(E303="","",E303/(E303+H303))</f>
        <v>0.335203366058906</v>
      </c>
      <c r="L303" s="52" t="n">
        <f aca="false">IF(OR(K303="",J303=""),"",(J303-K303)*100)</f>
        <v>3.75356520289493</v>
      </c>
      <c r="M303" s="38"/>
    </row>
    <row r="304" customFormat="false" ht="15" hidden="false" customHeight="false" outlineLevel="0" collapsed="false">
      <c r="A304" s="38" t="s">
        <v>344</v>
      </c>
      <c r="B304" s="38" t="s">
        <v>437</v>
      </c>
      <c r="C304" s="38" t="s">
        <v>442</v>
      </c>
      <c r="D304" s="21" t="n">
        <v>381</v>
      </c>
      <c r="E304" s="21" t="n">
        <v>360</v>
      </c>
      <c r="F304" s="51" t="n">
        <f aca="false">IF(E304="","",D304-E304)</f>
        <v>21</v>
      </c>
      <c r="G304" s="21" t="n">
        <v>670</v>
      </c>
      <c r="H304" s="21" t="n">
        <v>645</v>
      </c>
      <c r="I304" s="51" t="n">
        <f aca="false">IF(H304="","",G304-H304)</f>
        <v>25</v>
      </c>
      <c r="J304" s="39" t="n">
        <f aca="false">IF(OR(D304="",D304+G304=0),"",D304/(D304+G304))</f>
        <v>0.362511893434824</v>
      </c>
      <c r="K304" s="39" t="n">
        <f aca="false">IF(E304="","",E304/(E304+H304))</f>
        <v>0.358208955223881</v>
      </c>
      <c r="L304" s="52" t="n">
        <f aca="false">IF(OR(K304="",J304=""),"",(J304-K304)*100)</f>
        <v>0.430293821094341</v>
      </c>
      <c r="M304" s="38"/>
    </row>
    <row r="305" customFormat="false" ht="15" hidden="false" customHeight="false" outlineLevel="0" collapsed="false">
      <c r="A305" s="38" t="s">
        <v>344</v>
      </c>
      <c r="B305" s="38" t="s">
        <v>443</v>
      </c>
      <c r="C305" s="38" t="s">
        <v>444</v>
      </c>
      <c r="D305" s="21" t="n">
        <v>283</v>
      </c>
      <c r="E305" s="21" t="n">
        <v>264</v>
      </c>
      <c r="F305" s="51" t="n">
        <f aca="false">IF(E305="","",D305-E305)</f>
        <v>19</v>
      </c>
      <c r="G305" s="21" t="n">
        <v>438</v>
      </c>
      <c r="H305" s="21" t="n">
        <v>439</v>
      </c>
      <c r="I305" s="51" t="n">
        <f aca="false">IF(H305="","",G305-H305)</f>
        <v>-1</v>
      </c>
      <c r="J305" s="39" t="n">
        <f aca="false">IF(OR(D305="",D305+G305=0),"",D305/(D305+G305))</f>
        <v>0.39251040221914</v>
      </c>
      <c r="K305" s="39" t="n">
        <f aca="false">IF(E305="","",E305/(E305+H305))</f>
        <v>0.375533428165007</v>
      </c>
      <c r="L305" s="52" t="n">
        <f aca="false">IF(OR(K305="",J305=""),"",(J305-K305)*100)</f>
        <v>1.6976974054133</v>
      </c>
      <c r="M305" s="38"/>
    </row>
    <row r="306" customFormat="false" ht="15" hidden="false" customHeight="false" outlineLevel="0" collapsed="false">
      <c r="A306" s="38" t="s">
        <v>344</v>
      </c>
      <c r="B306" s="38" t="s">
        <v>443</v>
      </c>
      <c r="C306" s="38" t="s">
        <v>445</v>
      </c>
      <c r="D306" s="21" t="n">
        <v>423</v>
      </c>
      <c r="E306" s="21" t="n">
        <v>361</v>
      </c>
      <c r="F306" s="51" t="n">
        <f aca="false">IF(E306="","",D306-E306)</f>
        <v>62</v>
      </c>
      <c r="G306" s="21" t="n">
        <v>755</v>
      </c>
      <c r="H306" s="21" t="n">
        <v>775</v>
      </c>
      <c r="I306" s="51" t="n">
        <f aca="false">IF(H306="","",G306-H306)</f>
        <v>-20</v>
      </c>
      <c r="J306" s="39" t="n">
        <f aca="false">IF(OR(D306="",D306+G306=0),"",D306/(D306+G306))</f>
        <v>0.359083191850594</v>
      </c>
      <c r="K306" s="39" t="n">
        <f aca="false">IF(E306="","",E306/(E306+H306))</f>
        <v>0.317781690140845</v>
      </c>
      <c r="L306" s="52" t="n">
        <f aca="false">IF(OR(K306="",J306=""),"",(J306-K306)*100)</f>
        <v>4.13015017097492</v>
      </c>
      <c r="M306" s="38"/>
    </row>
    <row r="307" customFormat="false" ht="15" hidden="false" customHeight="false" outlineLevel="0" collapsed="false">
      <c r="A307" s="38" t="s">
        <v>344</v>
      </c>
      <c r="B307" s="38" t="s">
        <v>446</v>
      </c>
      <c r="C307" s="38" t="s">
        <v>447</v>
      </c>
      <c r="D307" s="21" t="n">
        <v>288</v>
      </c>
      <c r="E307" s="21"/>
      <c r="F307" s="51" t="str">
        <f aca="false">IF(E307="","",D307-E307)</f>
        <v/>
      </c>
      <c r="G307" s="21" t="n">
        <v>359</v>
      </c>
      <c r="H307" s="21"/>
      <c r="I307" s="51" t="str">
        <f aca="false">IF(H307="","",G307-H307)</f>
        <v/>
      </c>
      <c r="J307" s="39" t="n">
        <f aca="false">IF(OR(D307="",D307+G307=0),"",D307/(D307+G307))</f>
        <v>0.445131375579598</v>
      </c>
      <c r="K307" s="39" t="str">
        <f aca="false">IF(E307="","",E307/(E307+H307))</f>
        <v/>
      </c>
      <c r="L307" s="52" t="str">
        <f aca="false">IF(OR(K307="",J307=""),"",(J307-K307)*100)</f>
        <v/>
      </c>
      <c r="M307" s="38" t="s">
        <v>691</v>
      </c>
    </row>
    <row r="308" customFormat="false" ht="15" hidden="false" customHeight="false" outlineLevel="0" collapsed="false">
      <c r="A308" s="38" t="s">
        <v>344</v>
      </c>
      <c r="B308" s="38" t="s">
        <v>446</v>
      </c>
      <c r="C308" s="38" t="s">
        <v>448</v>
      </c>
      <c r="D308" s="21" t="n">
        <v>705</v>
      </c>
      <c r="E308" s="21"/>
      <c r="F308" s="51" t="str">
        <f aca="false">IF(E308="","",D308-E308)</f>
        <v/>
      </c>
      <c r="G308" s="21" t="n">
        <v>676</v>
      </c>
      <c r="H308" s="21"/>
      <c r="I308" s="51" t="str">
        <f aca="false">IF(H308="","",G308-H308)</f>
        <v/>
      </c>
      <c r="J308" s="39" t="n">
        <f aca="false">IF(OR(D308="",D308+G308=0),"",D308/(D308+G308))</f>
        <v>0.510499637943519</v>
      </c>
      <c r="K308" s="39" t="str">
        <f aca="false">IF(E308="","",E308/(E308+H308))</f>
        <v/>
      </c>
      <c r="L308" s="52" t="str">
        <f aca="false">IF(OR(K308="",J308=""),"",(J308-K308)*100)</f>
        <v/>
      </c>
      <c r="M308" s="38" t="s">
        <v>691</v>
      </c>
    </row>
    <row r="309" customFormat="false" ht="15" hidden="false" customHeight="false" outlineLevel="0" collapsed="false">
      <c r="A309" s="38" t="s">
        <v>344</v>
      </c>
      <c r="B309" s="38" t="s">
        <v>446</v>
      </c>
      <c r="C309" s="38" t="s">
        <v>449</v>
      </c>
      <c r="D309" s="21" t="n">
        <v>700</v>
      </c>
      <c r="E309" s="21" t="n">
        <v>606</v>
      </c>
      <c r="F309" s="51" t="n">
        <f aca="false">IF(E309="","",D309-E309)</f>
        <v>94</v>
      </c>
      <c r="G309" s="21" t="n">
        <v>835</v>
      </c>
      <c r="H309" s="21" t="n">
        <v>825</v>
      </c>
      <c r="I309" s="51" t="n">
        <f aca="false">IF(H309="","",G309-H309)</f>
        <v>10</v>
      </c>
      <c r="J309" s="39" t="n">
        <f aca="false">IF(OR(D309="",D309+G309=0),"",D309/(D309+G309))</f>
        <v>0.456026058631922</v>
      </c>
      <c r="K309" s="39" t="n">
        <f aca="false">IF(E309="","",E309/(E309+H309))</f>
        <v>0.423480083857442</v>
      </c>
      <c r="L309" s="52" t="n">
        <f aca="false">IF(OR(K309="",J309=""),"",(J309-K309)*100)</f>
        <v>3.25459747744795</v>
      </c>
      <c r="M309" s="38"/>
    </row>
    <row r="310" customFormat="false" ht="15" hidden="false" customHeight="false" outlineLevel="0" collapsed="false">
      <c r="A310" s="38" t="s">
        <v>344</v>
      </c>
      <c r="B310" s="38" t="s">
        <v>446</v>
      </c>
      <c r="C310" s="38" t="s">
        <v>450</v>
      </c>
      <c r="D310" s="21" t="n">
        <v>676</v>
      </c>
      <c r="E310" s="21"/>
      <c r="F310" s="51" t="str">
        <f aca="false">IF(E310="","",D310-E310)</f>
        <v/>
      </c>
      <c r="G310" s="21" t="n">
        <v>723</v>
      </c>
      <c r="H310" s="21"/>
      <c r="I310" s="51" t="str">
        <f aca="false">IF(H310="","",G310-H310)</f>
        <v/>
      </c>
      <c r="J310" s="39" t="n">
        <f aca="false">IF(OR(D310="",D310+G310=0),"",D310/(D310+G310))</f>
        <v>0.483202287348106</v>
      </c>
      <c r="K310" s="39" t="str">
        <f aca="false">IF(E310="","",E310/(E310+H310))</f>
        <v/>
      </c>
      <c r="L310" s="52" t="str">
        <f aca="false">IF(OR(K310="",J310=""),"",(J310-K310)*100)</f>
        <v/>
      </c>
      <c r="M310" s="38" t="s">
        <v>691</v>
      </c>
    </row>
    <row r="311" customFormat="false" ht="15" hidden="false" customHeight="false" outlineLevel="0" collapsed="false">
      <c r="A311" s="38" t="s">
        <v>344</v>
      </c>
      <c r="B311" s="38" t="s">
        <v>451</v>
      </c>
      <c r="C311" s="38" t="s">
        <v>452</v>
      </c>
      <c r="D311" s="21" t="n">
        <v>656</v>
      </c>
      <c r="E311" s="21" t="n">
        <v>585</v>
      </c>
      <c r="F311" s="51" t="n">
        <f aca="false">IF(E311="","",D311-E311)</f>
        <v>71</v>
      </c>
      <c r="G311" s="21" t="n">
        <v>567</v>
      </c>
      <c r="H311" s="21" t="n">
        <v>527</v>
      </c>
      <c r="I311" s="51" t="n">
        <f aca="false">IF(H311="","",G311-H311)</f>
        <v>40</v>
      </c>
      <c r="J311" s="39" t="n">
        <f aca="false">IF(OR(D311="",D311+G311=0),"",D311/(D311+G311))</f>
        <v>0.536385936222404</v>
      </c>
      <c r="K311" s="39" t="n">
        <f aca="false">IF(E311="","",E311/(E311+H311))</f>
        <v>0.526079136690647</v>
      </c>
      <c r="L311" s="52" t="n">
        <f aca="false">IF(OR(K311="",J311=""),"",(J311-K311)*100)</f>
        <v>1.03067995317565</v>
      </c>
      <c r="M311" s="38"/>
    </row>
    <row r="312" customFormat="false" ht="15" hidden="false" customHeight="false" outlineLevel="0" collapsed="false">
      <c r="A312" s="38" t="s">
        <v>344</v>
      </c>
      <c r="B312" s="38" t="s">
        <v>451</v>
      </c>
      <c r="C312" s="38" t="s">
        <v>453</v>
      </c>
      <c r="D312" s="21" t="n">
        <v>748</v>
      </c>
      <c r="E312" s="21" t="n">
        <v>639</v>
      </c>
      <c r="F312" s="51" t="n">
        <f aca="false">IF(E312="","",D312-E312)</f>
        <v>109</v>
      </c>
      <c r="G312" s="21" t="n">
        <v>883</v>
      </c>
      <c r="H312" s="21" t="n">
        <v>886</v>
      </c>
      <c r="I312" s="51" t="n">
        <f aca="false">IF(H312="","",G312-H312)</f>
        <v>-3</v>
      </c>
      <c r="J312" s="39" t="n">
        <f aca="false">IF(OR(D312="",D312+G312=0),"",D312/(D312+G312))</f>
        <v>0.458614347026364</v>
      </c>
      <c r="K312" s="39" t="n">
        <f aca="false">IF(E312="","",E312/(E312+H312))</f>
        <v>0.419016393442623</v>
      </c>
      <c r="L312" s="52" t="n">
        <f aca="false">IF(OR(K312="",J312=""),"",(J312-K312)*100)</f>
        <v>3.95979535837412</v>
      </c>
      <c r="M312" s="38"/>
    </row>
    <row r="313" customFormat="false" ht="15" hidden="false" customHeight="false" outlineLevel="0" collapsed="false">
      <c r="A313" s="38" t="s">
        <v>344</v>
      </c>
      <c r="B313" s="38" t="s">
        <v>451</v>
      </c>
      <c r="C313" s="38" t="s">
        <v>454</v>
      </c>
      <c r="D313" s="21" t="n">
        <v>455</v>
      </c>
      <c r="E313" s="21"/>
      <c r="F313" s="51" t="str">
        <f aca="false">IF(E313="","",D313-E313)</f>
        <v/>
      </c>
      <c r="G313" s="21" t="n">
        <v>591</v>
      </c>
      <c r="H313" s="21"/>
      <c r="I313" s="51" t="str">
        <f aca="false">IF(H313="","",G313-H313)</f>
        <v/>
      </c>
      <c r="J313" s="39" t="n">
        <f aca="false">IF(OR(D313="",D313+G313=0),"",D313/(D313+G313))</f>
        <v>0.434990439770555</v>
      </c>
      <c r="K313" s="39" t="str">
        <f aca="false">IF(E313="","",E313/(E313+H313))</f>
        <v/>
      </c>
      <c r="L313" s="52" t="str">
        <f aca="false">IF(OR(K313="",J313=""),"",(J313-K313)*100)</f>
        <v/>
      </c>
      <c r="M313" s="38" t="s">
        <v>691</v>
      </c>
    </row>
    <row r="314" customFormat="false" ht="15" hidden="false" customHeight="false" outlineLevel="0" collapsed="false">
      <c r="A314" s="38" t="s">
        <v>344</v>
      </c>
      <c r="B314" s="38" t="s">
        <v>451</v>
      </c>
      <c r="C314" s="38" t="s">
        <v>455</v>
      </c>
      <c r="D314" s="21" t="n">
        <v>545</v>
      </c>
      <c r="E314" s="21" t="n">
        <v>496</v>
      </c>
      <c r="F314" s="51" t="n">
        <f aca="false">IF(E314="","",D314-E314)</f>
        <v>49</v>
      </c>
      <c r="G314" s="21" t="n">
        <v>476</v>
      </c>
      <c r="H314" s="21" t="n">
        <v>458</v>
      </c>
      <c r="I314" s="51" t="n">
        <f aca="false">IF(H314="","",G314-H314)</f>
        <v>18</v>
      </c>
      <c r="J314" s="39" t="n">
        <f aca="false">IF(OR(D314="",D314+G314=0),"",D314/(D314+G314))</f>
        <v>0.533790401567091</v>
      </c>
      <c r="K314" s="39" t="n">
        <f aca="false">IF(E314="","",E314/(E314+H314))</f>
        <v>0.519916142557652</v>
      </c>
      <c r="L314" s="52" t="n">
        <f aca="false">IF(OR(K314="",J314=""),"",(J314-K314)*100)</f>
        <v>1.38742590094392</v>
      </c>
      <c r="M314" s="38"/>
    </row>
    <row r="315" customFormat="false" ht="15" hidden="false" customHeight="false" outlineLevel="0" collapsed="false">
      <c r="A315" s="38" t="s">
        <v>344</v>
      </c>
      <c r="B315" s="38" t="s">
        <v>451</v>
      </c>
      <c r="C315" s="38" t="s">
        <v>456</v>
      </c>
      <c r="D315" s="21" t="n">
        <v>463</v>
      </c>
      <c r="E315" s="21" t="n">
        <v>423</v>
      </c>
      <c r="F315" s="51" t="n">
        <f aca="false">IF(E315="","",D315-E315)</f>
        <v>40</v>
      </c>
      <c r="G315" s="21" t="n">
        <v>583</v>
      </c>
      <c r="H315" s="21" t="n">
        <v>592</v>
      </c>
      <c r="I315" s="51" t="n">
        <f aca="false">IF(H315="","",G315-H315)</f>
        <v>-9</v>
      </c>
      <c r="J315" s="39" t="n">
        <f aca="false">IF(OR(D315="",D315+G315=0),"",D315/(D315+G315))</f>
        <v>0.44263862332696</v>
      </c>
      <c r="K315" s="39" t="n">
        <f aca="false">IF(E315="","",E315/(E315+H315))</f>
        <v>0.416748768472906</v>
      </c>
      <c r="L315" s="52" t="n">
        <f aca="false">IF(OR(K315="",J315=""),"",(J315-K315)*100)</f>
        <v>2.58898548540534</v>
      </c>
      <c r="M315" s="38"/>
    </row>
    <row r="316" customFormat="false" ht="15" hidden="false" customHeight="false" outlineLevel="0" collapsed="false">
      <c r="A316" s="38" t="s">
        <v>344</v>
      </c>
      <c r="B316" s="38" t="s">
        <v>451</v>
      </c>
      <c r="C316" s="38" t="s">
        <v>457</v>
      </c>
      <c r="D316" s="21" t="n">
        <v>891</v>
      </c>
      <c r="E316" s="21"/>
      <c r="F316" s="51" t="str">
        <f aca="false">IF(E316="","",D316-E316)</f>
        <v/>
      </c>
      <c r="G316" s="21" t="n">
        <v>935</v>
      </c>
      <c r="H316" s="21"/>
      <c r="I316" s="51" t="str">
        <f aca="false">IF(H316="","",G316-H316)</f>
        <v/>
      </c>
      <c r="J316" s="39" t="n">
        <f aca="false">IF(OR(D316="",D316+G316=0),"",D316/(D316+G316))</f>
        <v>0.487951807228916</v>
      </c>
      <c r="K316" s="39" t="str">
        <f aca="false">IF(E316="","",E316/(E316+H316))</f>
        <v/>
      </c>
      <c r="L316" s="52" t="str">
        <f aca="false">IF(OR(K316="",J316=""),"",(J316-K316)*100)</f>
        <v/>
      </c>
      <c r="M316" s="38" t="s">
        <v>691</v>
      </c>
    </row>
    <row r="317" customFormat="false" ht="15" hidden="false" customHeight="false" outlineLevel="0" collapsed="false">
      <c r="A317" s="38" t="s">
        <v>344</v>
      </c>
      <c r="B317" s="38" t="s">
        <v>458</v>
      </c>
      <c r="C317" s="38" t="s">
        <v>459</v>
      </c>
      <c r="D317" s="21" t="n">
        <v>448</v>
      </c>
      <c r="E317" s="21" t="n">
        <v>409</v>
      </c>
      <c r="F317" s="51" t="n">
        <f aca="false">IF(E317="","",D317-E317)</f>
        <v>39</v>
      </c>
      <c r="G317" s="21" t="n">
        <v>808</v>
      </c>
      <c r="H317" s="21" t="n">
        <v>764</v>
      </c>
      <c r="I317" s="51" t="n">
        <f aca="false">IF(H317="","",G317-H317)</f>
        <v>44</v>
      </c>
      <c r="J317" s="39" t="n">
        <f aca="false">IF(OR(D317="",D317+G317=0),"",D317/(D317+G317))</f>
        <v>0.356687898089172</v>
      </c>
      <c r="K317" s="39" t="n">
        <f aca="false">IF(E317="","",E317/(E317+H317))</f>
        <v>0.348678601875533</v>
      </c>
      <c r="L317" s="52" t="n">
        <f aca="false">IF(OR(K317="",J317=""),"",(J317-K317)*100)</f>
        <v>0.800929621363911</v>
      </c>
      <c r="M317" s="38"/>
    </row>
    <row r="318" customFormat="false" ht="15" hidden="false" customHeight="false" outlineLevel="0" collapsed="false">
      <c r="A318" s="38" t="s">
        <v>344</v>
      </c>
      <c r="B318" s="38" t="s">
        <v>458</v>
      </c>
      <c r="C318" s="38" t="s">
        <v>460</v>
      </c>
      <c r="D318" s="21" t="n">
        <v>901</v>
      </c>
      <c r="E318" s="21" t="n">
        <v>805</v>
      </c>
      <c r="F318" s="51" t="n">
        <f aca="false">IF(E318="","",D318-E318)</f>
        <v>96</v>
      </c>
      <c r="G318" s="21" t="n">
        <v>1594</v>
      </c>
      <c r="H318" s="21" t="n">
        <v>1577</v>
      </c>
      <c r="I318" s="51" t="n">
        <f aca="false">IF(H318="","",G318-H318)</f>
        <v>17</v>
      </c>
      <c r="J318" s="39" t="n">
        <f aca="false">IF(OR(D318="",D318+G318=0),"",D318/(D318+G318))</f>
        <v>0.361122244488978</v>
      </c>
      <c r="K318" s="39" t="n">
        <f aca="false">IF(E318="","",E318/(E318+H318))</f>
        <v>0.337951301427372</v>
      </c>
      <c r="L318" s="52" t="n">
        <f aca="false">IF(OR(K318="",J318=""),"",(J318-K318)*100)</f>
        <v>2.3170943061606</v>
      </c>
      <c r="M318" s="38"/>
    </row>
    <row r="319" customFormat="false" ht="15" hidden="false" customHeight="false" outlineLevel="0" collapsed="false">
      <c r="A319" s="38" t="s">
        <v>344</v>
      </c>
      <c r="B319" s="38" t="s">
        <v>458</v>
      </c>
      <c r="C319" s="38" t="s">
        <v>461</v>
      </c>
      <c r="D319" s="21" t="n">
        <v>627</v>
      </c>
      <c r="E319" s="21" t="n">
        <v>547</v>
      </c>
      <c r="F319" s="51" t="n">
        <f aca="false">IF(E319="","",D319-E319)</f>
        <v>80</v>
      </c>
      <c r="G319" s="21" t="n">
        <v>1186</v>
      </c>
      <c r="H319" s="21" t="n">
        <v>1179</v>
      </c>
      <c r="I319" s="51" t="n">
        <f aca="false">IF(H319="","",G319-H319)</f>
        <v>7</v>
      </c>
      <c r="J319" s="39" t="n">
        <f aca="false">IF(OR(D319="",D319+G319=0),"",D319/(D319+G319))</f>
        <v>0.345835631549917</v>
      </c>
      <c r="K319" s="39" t="n">
        <f aca="false">IF(E319="","",E319/(E319+H319))</f>
        <v>0.316917728852839</v>
      </c>
      <c r="L319" s="52" t="n">
        <f aca="false">IF(OR(K319="",J319=""),"",(J319-K319)*100)</f>
        <v>2.89179026970783</v>
      </c>
      <c r="M319" s="38"/>
    </row>
    <row r="320" customFormat="false" ht="15" hidden="false" customHeight="false" outlineLevel="0" collapsed="false">
      <c r="A320" s="38" t="s">
        <v>344</v>
      </c>
      <c r="B320" s="38" t="s">
        <v>458</v>
      </c>
      <c r="C320" s="38" t="s">
        <v>462</v>
      </c>
      <c r="D320" s="21" t="n">
        <v>292</v>
      </c>
      <c r="E320" s="21" t="n">
        <v>245</v>
      </c>
      <c r="F320" s="51" t="n">
        <f aca="false">IF(E320="","",D320-E320)</f>
        <v>47</v>
      </c>
      <c r="G320" s="21" t="n">
        <v>518</v>
      </c>
      <c r="H320" s="21" t="n">
        <v>537</v>
      </c>
      <c r="I320" s="51" t="n">
        <f aca="false">IF(H320="","",G320-H320)</f>
        <v>-19</v>
      </c>
      <c r="J320" s="39" t="n">
        <f aca="false">IF(OR(D320="",D320+G320=0),"",D320/(D320+G320))</f>
        <v>0.360493827160494</v>
      </c>
      <c r="K320" s="39" t="n">
        <f aca="false">IF(E320="","",E320/(E320+H320))</f>
        <v>0.313299232736573</v>
      </c>
      <c r="L320" s="52" t="n">
        <f aca="false">IF(OR(K320="",J320=""),"",(J320-K320)*100)</f>
        <v>4.71945944239209</v>
      </c>
      <c r="M320" s="38"/>
    </row>
    <row r="321" customFormat="false" ht="15" hidden="false" customHeight="false" outlineLevel="0" collapsed="false">
      <c r="A321" s="38" t="s">
        <v>344</v>
      </c>
      <c r="B321" s="38" t="s">
        <v>463</v>
      </c>
      <c r="C321" s="38" t="s">
        <v>464</v>
      </c>
      <c r="D321" s="21" t="n">
        <v>649</v>
      </c>
      <c r="E321" s="21" t="n">
        <v>601</v>
      </c>
      <c r="F321" s="51" t="n">
        <f aca="false">IF(E321="","",D321-E321)</f>
        <v>48</v>
      </c>
      <c r="G321" s="21" t="n">
        <v>620</v>
      </c>
      <c r="H321" s="21" t="n">
        <v>605</v>
      </c>
      <c r="I321" s="51" t="n">
        <f aca="false">IF(H321="","",G321-H321)</f>
        <v>15</v>
      </c>
      <c r="J321" s="39" t="n">
        <f aca="false">IF(OR(D321="",D321+G321=0),"",D321/(D321+G321))</f>
        <v>0.511426319936958</v>
      </c>
      <c r="K321" s="39" t="n">
        <f aca="false">IF(E321="","",E321/(E321+H321))</f>
        <v>0.498341625207297</v>
      </c>
      <c r="L321" s="52" t="n">
        <f aca="false">IF(OR(K321="",J321=""),"",(J321-K321)*100)</f>
        <v>1.30846947296613</v>
      </c>
      <c r="M321" s="38"/>
    </row>
    <row r="322" customFormat="false" ht="15" hidden="false" customHeight="false" outlineLevel="0" collapsed="false">
      <c r="A322" s="38" t="s">
        <v>344</v>
      </c>
      <c r="B322" s="38" t="s">
        <v>463</v>
      </c>
      <c r="C322" s="38" t="s">
        <v>465</v>
      </c>
      <c r="D322" s="21" t="n">
        <v>547</v>
      </c>
      <c r="E322" s="21" t="n">
        <v>523</v>
      </c>
      <c r="F322" s="51" t="n">
        <f aca="false">IF(E322="","",D322-E322)</f>
        <v>24</v>
      </c>
      <c r="G322" s="21" t="n">
        <v>472</v>
      </c>
      <c r="H322" s="21" t="n">
        <v>542</v>
      </c>
      <c r="I322" s="51" t="n">
        <f aca="false">IF(H322="","",G322-H322)</f>
        <v>-70</v>
      </c>
      <c r="J322" s="39" t="n">
        <f aca="false">IF(OR(D322="",D322+G322=0),"",D322/(D322+G322))</f>
        <v>0.536800785083415</v>
      </c>
      <c r="K322" s="39" t="n">
        <f aca="false">IF(E322="","",E322/(E322+H322))</f>
        <v>0.491079812206573</v>
      </c>
      <c r="L322" s="52" t="n">
        <f aca="false">IF(OR(K322="",J322=""),"",(J322-K322)*100)</f>
        <v>4.57209728768424</v>
      </c>
      <c r="M322" s="38"/>
    </row>
    <row r="323" customFormat="false" ht="15" hidden="false" customHeight="false" outlineLevel="0" collapsed="false">
      <c r="A323" s="38" t="s">
        <v>344</v>
      </c>
      <c r="B323" s="38" t="s">
        <v>463</v>
      </c>
      <c r="C323" s="38" t="s">
        <v>466</v>
      </c>
      <c r="D323" s="21" t="n">
        <v>508</v>
      </c>
      <c r="E323" s="21" t="n">
        <v>472</v>
      </c>
      <c r="F323" s="51" t="n">
        <f aca="false">IF(E323="","",D323-E323)</f>
        <v>36</v>
      </c>
      <c r="G323" s="21" t="n">
        <v>490</v>
      </c>
      <c r="H323" s="21" t="n">
        <v>517</v>
      </c>
      <c r="I323" s="51" t="n">
        <f aca="false">IF(H323="","",G323-H323)</f>
        <v>-27</v>
      </c>
      <c r="J323" s="39" t="n">
        <f aca="false">IF(OR(D323="",D323+G323=0),"",D323/(D323+G323))</f>
        <v>0.509018036072144</v>
      </c>
      <c r="K323" s="39" t="n">
        <f aca="false">IF(E323="","",E323/(E323+H323))</f>
        <v>0.477249747219414</v>
      </c>
      <c r="L323" s="52" t="n">
        <f aca="false">IF(OR(K323="",J323=""),"",(J323-K323)*100)</f>
        <v>3.17682888527307</v>
      </c>
      <c r="M323" s="38"/>
    </row>
    <row r="324" customFormat="false" ht="15" hidden="false" customHeight="false" outlineLevel="0" collapsed="false">
      <c r="A324" s="38" t="s">
        <v>344</v>
      </c>
      <c r="B324" s="38" t="s">
        <v>467</v>
      </c>
      <c r="C324" s="38" t="s">
        <v>468</v>
      </c>
      <c r="D324" s="21" t="n">
        <v>254</v>
      </c>
      <c r="E324" s="21" t="n">
        <v>222</v>
      </c>
      <c r="F324" s="51" t="n">
        <f aca="false">IF(E324="","",D324-E324)</f>
        <v>32</v>
      </c>
      <c r="G324" s="21" t="n">
        <v>274</v>
      </c>
      <c r="H324" s="21" t="n">
        <v>276</v>
      </c>
      <c r="I324" s="51" t="n">
        <f aca="false">IF(H324="","",G324-H324)</f>
        <v>-2</v>
      </c>
      <c r="J324" s="39" t="n">
        <f aca="false">IF(OR(D324="",D324+G324=0),"",D324/(D324+G324))</f>
        <v>0.481060606060606</v>
      </c>
      <c r="K324" s="39" t="n">
        <f aca="false">IF(E324="","",E324/(E324+H324))</f>
        <v>0.445783132530121</v>
      </c>
      <c r="L324" s="52" t="n">
        <f aca="false">IF(OR(K324="",J324=""),"",(J324-K324)*100)</f>
        <v>3.52774735304856</v>
      </c>
      <c r="M324" s="38"/>
    </row>
    <row r="325" customFormat="false" ht="15" hidden="false" customHeight="false" outlineLevel="0" collapsed="false">
      <c r="A325" s="38" t="s">
        <v>344</v>
      </c>
      <c r="B325" s="38" t="s">
        <v>467</v>
      </c>
      <c r="C325" s="38" t="s">
        <v>469</v>
      </c>
      <c r="D325" s="21" t="n">
        <v>664</v>
      </c>
      <c r="E325" s="21" t="n">
        <v>625</v>
      </c>
      <c r="F325" s="51" t="n">
        <f aca="false">IF(E325="","",D325-E325)</f>
        <v>39</v>
      </c>
      <c r="G325" s="21" t="n">
        <v>608</v>
      </c>
      <c r="H325" s="21" t="n">
        <v>613</v>
      </c>
      <c r="I325" s="51" t="n">
        <f aca="false">IF(H325="","",G325-H325)</f>
        <v>-5</v>
      </c>
      <c r="J325" s="39" t="n">
        <f aca="false">IF(OR(D325="",D325+G325=0),"",D325/(D325+G325))</f>
        <v>0.522012578616352</v>
      </c>
      <c r="K325" s="39" t="n">
        <f aca="false">IF(E325="","",E325/(E325+H325))</f>
        <v>0.504846526655897</v>
      </c>
      <c r="L325" s="52" t="n">
        <f aca="false">IF(OR(K325="",J325=""),"",(J325-K325)*100)</f>
        <v>1.71660519604556</v>
      </c>
      <c r="M325" s="38"/>
    </row>
    <row r="326" customFormat="false" ht="15" hidden="false" customHeight="false" outlineLevel="0" collapsed="false">
      <c r="A326" s="38" t="s">
        <v>344</v>
      </c>
      <c r="B326" s="38" t="s">
        <v>470</v>
      </c>
      <c r="C326" s="38" t="s">
        <v>471</v>
      </c>
      <c r="D326" s="21" t="n">
        <v>707</v>
      </c>
      <c r="E326" s="21" t="n">
        <v>628</v>
      </c>
      <c r="F326" s="51" t="n">
        <f aca="false">IF(E326="","",D326-E326)</f>
        <v>79</v>
      </c>
      <c r="G326" s="21" t="n">
        <v>713</v>
      </c>
      <c r="H326" s="21" t="n">
        <v>719</v>
      </c>
      <c r="I326" s="51" t="n">
        <f aca="false">IF(H326="","",G326-H326)</f>
        <v>-6</v>
      </c>
      <c r="J326" s="39" t="n">
        <f aca="false">IF(OR(D326="",D326+G326=0),"",D326/(D326+G326))</f>
        <v>0.497887323943662</v>
      </c>
      <c r="K326" s="39" t="n">
        <f aca="false">IF(E326="","",E326/(E326+H326))</f>
        <v>0.466221232368226</v>
      </c>
      <c r="L326" s="52" t="n">
        <f aca="false">IF(OR(K326="",J326=""),"",(J326-K326)*100)</f>
        <v>3.16660915754363</v>
      </c>
      <c r="M326" s="38"/>
    </row>
    <row r="327" customFormat="false" ht="15" hidden="false" customHeight="false" outlineLevel="0" collapsed="false">
      <c r="A327" s="38" t="s">
        <v>344</v>
      </c>
      <c r="B327" s="38" t="s">
        <v>470</v>
      </c>
      <c r="C327" s="38" t="s">
        <v>472</v>
      </c>
      <c r="D327" s="21" t="n">
        <v>610</v>
      </c>
      <c r="E327" s="21" t="n">
        <v>588</v>
      </c>
      <c r="F327" s="51" t="n">
        <f aca="false">IF(E327="","",D327-E327)</f>
        <v>22</v>
      </c>
      <c r="G327" s="21" t="n">
        <v>592</v>
      </c>
      <c r="H327" s="21" t="n">
        <v>628</v>
      </c>
      <c r="I327" s="51" t="n">
        <f aca="false">IF(H327="","",G327-H327)</f>
        <v>-36</v>
      </c>
      <c r="J327" s="39" t="n">
        <f aca="false">IF(OR(D327="",D327+G327=0),"",D327/(D327+G327))</f>
        <v>0.507487520798669</v>
      </c>
      <c r="K327" s="39" t="n">
        <f aca="false">IF(E327="","",E327/(E327+H327))</f>
        <v>0.483552631578947</v>
      </c>
      <c r="L327" s="52" t="n">
        <f aca="false">IF(OR(K327="",J327=""),"",(J327-K327)*100)</f>
        <v>2.39348892197215</v>
      </c>
      <c r="M327" s="38"/>
    </row>
    <row r="328" customFormat="false" ht="15" hidden="false" customHeight="false" outlineLevel="0" collapsed="false">
      <c r="A328" s="38" t="s">
        <v>344</v>
      </c>
      <c r="B328" s="38" t="s">
        <v>470</v>
      </c>
      <c r="C328" s="38" t="s">
        <v>473</v>
      </c>
      <c r="D328" s="21" t="n">
        <v>1301</v>
      </c>
      <c r="E328" s="21" t="n">
        <v>1120</v>
      </c>
      <c r="F328" s="51" t="n">
        <f aca="false">IF(E328="","",D328-E328)</f>
        <v>181</v>
      </c>
      <c r="G328" s="21" t="n">
        <v>1290</v>
      </c>
      <c r="H328" s="21" t="n">
        <v>1352</v>
      </c>
      <c r="I328" s="51" t="n">
        <f aca="false">IF(H328="","",G328-H328)</f>
        <v>-62</v>
      </c>
      <c r="J328" s="39" t="n">
        <f aca="false">IF(OR(D328="",D328+G328=0),"",D328/(D328+G328))</f>
        <v>0.502122732535701</v>
      </c>
      <c r="K328" s="39" t="n">
        <f aca="false">IF(E328="","",E328/(E328+H328))</f>
        <v>0.453074433656958</v>
      </c>
      <c r="L328" s="52" t="n">
        <f aca="false">IF(OR(K328="",J328=""),"",(J328-K328)*100)</f>
        <v>4.90482988787426</v>
      </c>
      <c r="M328" s="38"/>
    </row>
    <row r="329" customFormat="false" ht="15" hidden="false" customHeight="false" outlineLevel="0" collapsed="false">
      <c r="A329" s="38" t="s">
        <v>344</v>
      </c>
      <c r="B329" s="38" t="s">
        <v>470</v>
      </c>
      <c r="C329" s="38" t="s">
        <v>474</v>
      </c>
      <c r="D329" s="21" t="n">
        <v>277</v>
      </c>
      <c r="E329" s="21" t="n">
        <v>237</v>
      </c>
      <c r="F329" s="51" t="n">
        <f aca="false">IF(E329="","",D329-E329)</f>
        <v>40</v>
      </c>
      <c r="G329" s="21" t="n">
        <v>290</v>
      </c>
      <c r="H329" s="21" t="n">
        <v>324</v>
      </c>
      <c r="I329" s="51" t="n">
        <f aca="false">IF(H329="","",G329-H329)</f>
        <v>-34</v>
      </c>
      <c r="J329" s="39" t="n">
        <f aca="false">IF(OR(D329="",D329+G329=0),"",D329/(D329+G329))</f>
        <v>0.488536155202822</v>
      </c>
      <c r="K329" s="39" t="n">
        <f aca="false">IF(E329="","",E329/(E329+H329))</f>
        <v>0.422459893048128</v>
      </c>
      <c r="L329" s="52" t="n">
        <f aca="false">IF(OR(K329="",J329=""),"",(J329-K329)*100)</f>
        <v>6.60762621546935</v>
      </c>
      <c r="M329" s="38"/>
    </row>
    <row r="330" customFormat="false" ht="15" hidden="false" customHeight="false" outlineLevel="0" collapsed="false">
      <c r="A330" s="38" t="s">
        <v>344</v>
      </c>
      <c r="B330" s="38" t="s">
        <v>475</v>
      </c>
      <c r="C330" s="38" t="s">
        <v>476</v>
      </c>
      <c r="D330" s="21" t="n">
        <v>721</v>
      </c>
      <c r="E330" s="21" t="n">
        <v>600</v>
      </c>
      <c r="F330" s="51" t="n">
        <f aca="false">IF(E330="","",D330-E330)</f>
        <v>121</v>
      </c>
      <c r="G330" s="21" t="n">
        <v>671</v>
      </c>
      <c r="H330" s="21" t="n">
        <v>681</v>
      </c>
      <c r="I330" s="51" t="n">
        <f aca="false">IF(H330="","",G330-H330)</f>
        <v>-10</v>
      </c>
      <c r="J330" s="39" t="n">
        <f aca="false">IF(OR(D330="",D330+G330=0),"",D330/(D330+G330))</f>
        <v>0.517959770114943</v>
      </c>
      <c r="K330" s="39" t="n">
        <f aca="false">IF(E330="","",E330/(E330+H330))</f>
        <v>0.468384074941452</v>
      </c>
      <c r="L330" s="52" t="n">
        <f aca="false">IF(OR(K330="",J330=""),"",(J330-K330)*100)</f>
        <v>4.95756951734905</v>
      </c>
      <c r="M330" s="38"/>
    </row>
    <row r="331" customFormat="false" ht="15" hidden="false" customHeight="false" outlineLevel="0" collapsed="false">
      <c r="A331" s="38" t="s">
        <v>344</v>
      </c>
      <c r="B331" s="38" t="s">
        <v>475</v>
      </c>
      <c r="C331" s="38" t="s">
        <v>477</v>
      </c>
      <c r="D331" s="21" t="n">
        <v>552</v>
      </c>
      <c r="E331" s="21"/>
      <c r="F331" s="51" t="str">
        <f aca="false">IF(E331="","",D331-E331)</f>
        <v/>
      </c>
      <c r="G331" s="21" t="n">
        <v>469</v>
      </c>
      <c r="H331" s="21"/>
      <c r="I331" s="51" t="str">
        <f aca="false">IF(H331="","",G331-H331)</f>
        <v/>
      </c>
      <c r="J331" s="39" t="n">
        <f aca="false">IF(OR(D331="",D331+G331=0),"",D331/(D331+G331))</f>
        <v>0.540646425073457</v>
      </c>
      <c r="K331" s="39" t="str">
        <f aca="false">IF(E331="","",E331/(E331+H331))</f>
        <v/>
      </c>
      <c r="L331" s="52" t="str">
        <f aca="false">IF(OR(K331="",J331=""),"",(J331-K331)*100)</f>
        <v/>
      </c>
      <c r="M331" s="38" t="s">
        <v>691</v>
      </c>
    </row>
    <row r="332" customFormat="false" ht="15" hidden="false" customHeight="false" outlineLevel="0" collapsed="false">
      <c r="A332" s="38" t="s">
        <v>344</v>
      </c>
      <c r="B332" s="38" t="s">
        <v>475</v>
      </c>
      <c r="C332" s="38" t="s">
        <v>478</v>
      </c>
      <c r="D332" s="21" t="n">
        <v>809</v>
      </c>
      <c r="E332" s="21"/>
      <c r="F332" s="51" t="str">
        <f aca="false">IF(E332="","",D332-E332)</f>
        <v/>
      </c>
      <c r="G332" s="21" t="n">
        <v>733</v>
      </c>
      <c r="H332" s="21"/>
      <c r="I332" s="51" t="str">
        <f aca="false">IF(H332="","",G332-H332)</f>
        <v/>
      </c>
      <c r="J332" s="39" t="n">
        <f aca="false">IF(OR(D332="",D332+G332=0),"",D332/(D332+G332))</f>
        <v>0.524643320363165</v>
      </c>
      <c r="K332" s="39" t="str">
        <f aca="false">IF(E332="","",E332/(E332+H332))</f>
        <v/>
      </c>
      <c r="L332" s="52" t="str">
        <f aca="false">IF(OR(K332="",J332=""),"",(J332-K332)*100)</f>
        <v/>
      </c>
      <c r="M332" s="38" t="s">
        <v>691</v>
      </c>
    </row>
    <row r="333" customFormat="false" ht="15" hidden="false" customHeight="false" outlineLevel="0" collapsed="false">
      <c r="A333" s="38" t="s">
        <v>344</v>
      </c>
      <c r="B333" s="38" t="s">
        <v>475</v>
      </c>
      <c r="C333" s="38" t="s">
        <v>479</v>
      </c>
      <c r="D333" s="21" t="n">
        <v>914</v>
      </c>
      <c r="E333" s="21" t="n">
        <v>824</v>
      </c>
      <c r="F333" s="51" t="n">
        <f aca="false">IF(E333="","",D333-E333)</f>
        <v>90</v>
      </c>
      <c r="G333" s="21" t="n">
        <v>769</v>
      </c>
      <c r="H333" s="21" t="n">
        <v>795</v>
      </c>
      <c r="I333" s="51" t="n">
        <f aca="false">IF(H333="","",G333-H333)</f>
        <v>-26</v>
      </c>
      <c r="J333" s="39" t="n">
        <f aca="false">IF(OR(D333="",D333+G333=0),"",D333/(D333+G333))</f>
        <v>0.543077837195484</v>
      </c>
      <c r="K333" s="39" t="n">
        <f aca="false">IF(E333="","",E333/(E333+H333))</f>
        <v>0.508956145768993</v>
      </c>
      <c r="L333" s="52" t="n">
        <f aca="false">IF(OR(K333="",J333=""),"",(J333-K333)*100)</f>
        <v>3.41216914264911</v>
      </c>
      <c r="M333" s="38"/>
    </row>
    <row r="334" customFormat="false" ht="15" hidden="false" customHeight="false" outlineLevel="0" collapsed="false">
      <c r="A334" s="38" t="s">
        <v>344</v>
      </c>
      <c r="B334" s="38" t="s">
        <v>475</v>
      </c>
      <c r="C334" s="38" t="s">
        <v>480</v>
      </c>
      <c r="D334" s="21" t="n">
        <v>1325</v>
      </c>
      <c r="E334" s="21" t="n">
        <v>1193</v>
      </c>
      <c r="F334" s="51" t="n">
        <f aca="false">IF(E334="","",D334-E334)</f>
        <v>132</v>
      </c>
      <c r="G334" s="21" t="n">
        <v>1254</v>
      </c>
      <c r="H334" s="21" t="n">
        <v>1334</v>
      </c>
      <c r="I334" s="51" t="n">
        <f aca="false">IF(H334="","",G334-H334)</f>
        <v>-80</v>
      </c>
      <c r="J334" s="39" t="n">
        <f aca="false">IF(OR(D334="",D334+G334=0),"",D334/(D334+G334))</f>
        <v>0.513765025203567</v>
      </c>
      <c r="K334" s="39" t="n">
        <f aca="false">IF(E334="","",E334/(E334+H334))</f>
        <v>0.47210130589632</v>
      </c>
      <c r="L334" s="52" t="n">
        <f aca="false">IF(OR(K334="",J334=""),"",(J334-K334)*100)</f>
        <v>4.16637193072475</v>
      </c>
      <c r="M334" s="38"/>
    </row>
    <row r="335" customFormat="false" ht="15" hidden="false" customHeight="false" outlineLevel="0" collapsed="false">
      <c r="A335" s="38" t="s">
        <v>344</v>
      </c>
      <c r="B335" s="38" t="s">
        <v>475</v>
      </c>
      <c r="C335" s="38" t="s">
        <v>481</v>
      </c>
      <c r="D335" s="21" t="n">
        <v>850</v>
      </c>
      <c r="E335" s="21" t="n">
        <v>755</v>
      </c>
      <c r="F335" s="51" t="n">
        <f aca="false">IF(E335="","",D335-E335)</f>
        <v>95</v>
      </c>
      <c r="G335" s="21" t="n">
        <v>821</v>
      </c>
      <c r="H335" s="21" t="n">
        <v>789</v>
      </c>
      <c r="I335" s="51" t="n">
        <f aca="false">IF(H335="","",G335-H335)</f>
        <v>32</v>
      </c>
      <c r="J335" s="39" t="n">
        <f aca="false">IF(OR(D335="",D335+G335=0),"",D335/(D335+G335))</f>
        <v>0.508677438659485</v>
      </c>
      <c r="K335" s="39" t="n">
        <f aca="false">IF(E335="","",E335/(E335+H335))</f>
        <v>0.4889896373057</v>
      </c>
      <c r="L335" s="52" t="n">
        <f aca="false">IF(OR(K335="",J335=""),"",(J335-K335)*100)</f>
        <v>1.96878013537858</v>
      </c>
      <c r="M335" s="38"/>
    </row>
    <row r="336" customFormat="false" ht="15" hidden="false" customHeight="false" outlineLevel="0" collapsed="false">
      <c r="A336" s="38" t="s">
        <v>344</v>
      </c>
      <c r="B336" s="38" t="s">
        <v>475</v>
      </c>
      <c r="C336" s="38" t="s">
        <v>482</v>
      </c>
      <c r="D336" s="21" t="n">
        <v>800</v>
      </c>
      <c r="E336" s="21"/>
      <c r="F336" s="51" t="str">
        <f aca="false">IF(E336="","",D336-E336)</f>
        <v/>
      </c>
      <c r="G336" s="21" t="n">
        <v>615</v>
      </c>
      <c r="H336" s="21"/>
      <c r="I336" s="51" t="str">
        <f aca="false">IF(H336="","",G336-H336)</f>
        <v/>
      </c>
      <c r="J336" s="39" t="n">
        <f aca="false">IF(OR(D336="",D336+G336=0),"",D336/(D336+G336))</f>
        <v>0.565371024734982</v>
      </c>
      <c r="K336" s="39" t="str">
        <f aca="false">IF(E336="","",E336/(E336+H336))</f>
        <v/>
      </c>
      <c r="L336" s="52" t="str">
        <f aca="false">IF(OR(K336="",J336=""),"",(J336-K336)*100)</f>
        <v/>
      </c>
      <c r="M336" s="38" t="s">
        <v>691</v>
      </c>
    </row>
    <row r="337" customFormat="false" ht="15" hidden="false" customHeight="false" outlineLevel="0" collapsed="false">
      <c r="A337" s="38" t="s">
        <v>344</v>
      </c>
      <c r="B337" s="38" t="s">
        <v>475</v>
      </c>
      <c r="C337" s="38" t="s">
        <v>483</v>
      </c>
      <c r="D337" s="21" t="n">
        <v>774</v>
      </c>
      <c r="E337" s="21"/>
      <c r="F337" s="51" t="str">
        <f aca="false">IF(E337="","",D337-E337)</f>
        <v/>
      </c>
      <c r="G337" s="21" t="n">
        <v>765</v>
      </c>
      <c r="H337" s="21"/>
      <c r="I337" s="51" t="str">
        <f aca="false">IF(H337="","",G337-H337)</f>
        <v/>
      </c>
      <c r="J337" s="39" t="n">
        <f aca="false">IF(OR(D337="",D337+G337=0),"",D337/(D337+G337))</f>
        <v>0.502923976608187</v>
      </c>
      <c r="K337" s="39" t="str">
        <f aca="false">IF(E337="","",E337/(E337+H337))</f>
        <v/>
      </c>
      <c r="L337" s="52" t="str">
        <f aca="false">IF(OR(K337="",J337=""),"",(J337-K337)*100)</f>
        <v/>
      </c>
      <c r="M337" s="38" t="s">
        <v>691</v>
      </c>
    </row>
    <row r="338" customFormat="false" ht="15" hidden="false" customHeight="false" outlineLevel="0" collapsed="false">
      <c r="A338" s="38" t="s">
        <v>344</v>
      </c>
      <c r="B338" s="38" t="s">
        <v>475</v>
      </c>
      <c r="C338" s="38" t="s">
        <v>484</v>
      </c>
      <c r="D338" s="21" t="n">
        <v>844</v>
      </c>
      <c r="E338" s="21"/>
      <c r="F338" s="51" t="str">
        <f aca="false">IF(E338="","",D338-E338)</f>
        <v/>
      </c>
      <c r="G338" s="21" t="n">
        <v>892</v>
      </c>
      <c r="H338" s="21"/>
      <c r="I338" s="51" t="str">
        <f aca="false">IF(H338="","",G338-H338)</f>
        <v/>
      </c>
      <c r="J338" s="39" t="n">
        <f aca="false">IF(OR(D338="",D338+G338=0),"",D338/(D338+G338))</f>
        <v>0.486175115207373</v>
      </c>
      <c r="K338" s="39" t="str">
        <f aca="false">IF(E338="","",E338/(E338+H338))</f>
        <v/>
      </c>
      <c r="L338" s="52" t="str">
        <f aca="false">IF(OR(K338="",J338=""),"",(J338-K338)*100)</f>
        <v/>
      </c>
      <c r="M338" s="38" t="s">
        <v>691</v>
      </c>
    </row>
    <row r="339" customFormat="false" ht="15" hidden="false" customHeight="false" outlineLevel="0" collapsed="false">
      <c r="A339" s="38" t="s">
        <v>344</v>
      </c>
      <c r="B339" s="38" t="s">
        <v>485</v>
      </c>
      <c r="C339" s="38" t="s">
        <v>486</v>
      </c>
      <c r="D339" s="21" t="n">
        <v>113</v>
      </c>
      <c r="E339" s="21" t="n">
        <v>112</v>
      </c>
      <c r="F339" s="51" t="n">
        <f aca="false">IF(E339="","",D339-E339)</f>
        <v>1</v>
      </c>
      <c r="G339" s="21" t="n">
        <v>179</v>
      </c>
      <c r="H339" s="21" t="n">
        <v>199</v>
      </c>
      <c r="I339" s="51" t="n">
        <f aca="false">IF(H339="","",G339-H339)</f>
        <v>-20</v>
      </c>
      <c r="J339" s="39" t="n">
        <f aca="false">IF(OR(D339="",D339+G339=0),"",D339/(D339+G339))</f>
        <v>0.386986301369863</v>
      </c>
      <c r="K339" s="39" t="n">
        <f aca="false">IF(E339="","",E339/(E339+H339))</f>
        <v>0.360128617363344</v>
      </c>
      <c r="L339" s="52" t="n">
        <f aca="false">IF(OR(K339="",J339=""),"",(J339-K339)*100)</f>
        <v>2.68576840065189</v>
      </c>
      <c r="M339" s="38"/>
    </row>
    <row r="340" customFormat="false" ht="15" hidden="false" customHeight="false" outlineLevel="0" collapsed="false">
      <c r="A340" s="38" t="s">
        <v>344</v>
      </c>
      <c r="B340" s="38" t="s">
        <v>485</v>
      </c>
      <c r="C340" s="38" t="s">
        <v>487</v>
      </c>
      <c r="D340" s="21" t="n">
        <v>281</v>
      </c>
      <c r="E340" s="21" t="n">
        <v>259</v>
      </c>
      <c r="F340" s="51" t="n">
        <f aca="false">IF(E340="","",D340-E340)</f>
        <v>22</v>
      </c>
      <c r="G340" s="21" t="n">
        <v>477</v>
      </c>
      <c r="H340" s="21" t="n">
        <v>480</v>
      </c>
      <c r="I340" s="51" t="n">
        <f aca="false">IF(H340="","",G340-H340)</f>
        <v>-3</v>
      </c>
      <c r="J340" s="39" t="n">
        <f aca="false">IF(OR(D340="",D340+G340=0),"",D340/(D340+G340))</f>
        <v>0.370712401055409</v>
      </c>
      <c r="K340" s="39" t="n">
        <f aca="false">IF(E340="","",E340/(E340+H340))</f>
        <v>0.350473612990528</v>
      </c>
      <c r="L340" s="52" t="n">
        <f aca="false">IF(OR(K340="",J340=""),"",(J340-K340)*100)</f>
        <v>2.02387880648812</v>
      </c>
      <c r="M340" s="38"/>
    </row>
    <row r="341" customFormat="false" ht="15" hidden="false" customHeight="false" outlineLevel="0" collapsed="false">
      <c r="A341" s="38" t="s">
        <v>344</v>
      </c>
      <c r="B341" s="38" t="s">
        <v>485</v>
      </c>
      <c r="C341" s="38" t="s">
        <v>488</v>
      </c>
      <c r="D341" s="21" t="n">
        <v>218</v>
      </c>
      <c r="E341" s="21" t="n">
        <v>204</v>
      </c>
      <c r="F341" s="51" t="n">
        <f aca="false">IF(E341="","",D341-E341)</f>
        <v>14</v>
      </c>
      <c r="G341" s="21" t="n">
        <v>288</v>
      </c>
      <c r="H341" s="21" t="n">
        <v>301</v>
      </c>
      <c r="I341" s="51" t="n">
        <f aca="false">IF(H341="","",G341-H341)</f>
        <v>-13</v>
      </c>
      <c r="J341" s="39" t="n">
        <f aca="false">IF(OR(D341="",D341+G341=0),"",D341/(D341+G341))</f>
        <v>0.430830039525692</v>
      </c>
      <c r="K341" s="39" t="n">
        <f aca="false">IF(E341="","",E341/(E341+H341))</f>
        <v>0.403960396039604</v>
      </c>
      <c r="L341" s="52" t="n">
        <f aca="false">IF(OR(K341="",J341=""),"",(J341-K341)*100)</f>
        <v>2.68696434860877</v>
      </c>
      <c r="M341" s="38"/>
    </row>
    <row r="342" customFormat="false" ht="15" hidden="false" customHeight="false" outlineLevel="0" collapsed="false">
      <c r="A342" s="38" t="s">
        <v>344</v>
      </c>
      <c r="B342" s="38" t="s">
        <v>485</v>
      </c>
      <c r="C342" s="38" t="s">
        <v>489</v>
      </c>
      <c r="D342" s="21" t="n">
        <v>146</v>
      </c>
      <c r="E342" s="21" t="n">
        <v>128</v>
      </c>
      <c r="F342" s="51" t="n">
        <f aca="false">IF(E342="","",D342-E342)</f>
        <v>18</v>
      </c>
      <c r="G342" s="21" t="n">
        <v>183</v>
      </c>
      <c r="H342" s="21" t="n">
        <v>200</v>
      </c>
      <c r="I342" s="51" t="n">
        <f aca="false">IF(H342="","",G342-H342)</f>
        <v>-17</v>
      </c>
      <c r="J342" s="39" t="n">
        <f aca="false">IF(OR(D342="",D342+G342=0),"",D342/(D342+G342))</f>
        <v>0.443768996960486</v>
      </c>
      <c r="K342" s="39" t="n">
        <f aca="false">IF(E342="","",E342/(E342+H342))</f>
        <v>0.390243902439024</v>
      </c>
      <c r="L342" s="52" t="n">
        <f aca="false">IF(OR(K342="",J342=""),"",(J342-K342)*100)</f>
        <v>5.35250945214619</v>
      </c>
      <c r="M342" s="38"/>
    </row>
    <row r="343" customFormat="false" ht="15" hidden="false" customHeight="false" outlineLevel="0" collapsed="false">
      <c r="A343" s="38" t="s">
        <v>344</v>
      </c>
      <c r="B343" s="38" t="s">
        <v>490</v>
      </c>
      <c r="C343" s="38" t="s">
        <v>491</v>
      </c>
      <c r="D343" s="21" t="n">
        <v>453</v>
      </c>
      <c r="E343" s="21" t="n">
        <v>412</v>
      </c>
      <c r="F343" s="51" t="n">
        <f aca="false">IF(E343="","",D343-E343)</f>
        <v>41</v>
      </c>
      <c r="G343" s="21" t="n">
        <v>814</v>
      </c>
      <c r="H343" s="21" t="n">
        <v>767</v>
      </c>
      <c r="I343" s="51" t="n">
        <f aca="false">IF(H343="","",G343-H343)</f>
        <v>47</v>
      </c>
      <c r="J343" s="39" t="n">
        <f aca="false">IF(OR(D343="",D343+G343=0),"",D343/(D343+G343))</f>
        <v>0.357537490134175</v>
      </c>
      <c r="K343" s="39" t="n">
        <f aca="false">IF(E343="","",E343/(E343+H343))</f>
        <v>0.349448685326548</v>
      </c>
      <c r="L343" s="52" t="n">
        <f aca="false">IF(OR(K343="",J343=""),"",(J343-K343)*100)</f>
        <v>0.80888048076273</v>
      </c>
      <c r="M343" s="38"/>
    </row>
    <row r="344" customFormat="false" ht="15" hidden="false" customHeight="false" outlineLevel="0" collapsed="false">
      <c r="A344" s="38" t="s">
        <v>344</v>
      </c>
      <c r="B344" s="38" t="s">
        <v>490</v>
      </c>
      <c r="C344" s="38" t="s">
        <v>492</v>
      </c>
      <c r="D344" s="21" t="n">
        <v>372</v>
      </c>
      <c r="E344" s="21" t="n">
        <v>361</v>
      </c>
      <c r="F344" s="51" t="n">
        <f aca="false">IF(E344="","",D344-E344)</f>
        <v>11</v>
      </c>
      <c r="G344" s="21" t="n">
        <v>654</v>
      </c>
      <c r="H344" s="21" t="n">
        <v>633</v>
      </c>
      <c r="I344" s="51" t="n">
        <f aca="false">IF(H344="","",G344-H344)</f>
        <v>21</v>
      </c>
      <c r="J344" s="39" t="n">
        <f aca="false">IF(OR(D344="",D344+G344=0),"",D344/(D344+G344))</f>
        <v>0.362573099415205</v>
      </c>
      <c r="K344" s="39" t="n">
        <f aca="false">IF(E344="","",E344/(E344+H344))</f>
        <v>0.36317907444668</v>
      </c>
      <c r="L344" s="52" t="n">
        <f aca="false">IF(OR(K344="",J344=""),"",(J344-K344)*100)</f>
        <v>-0.0605975031475414</v>
      </c>
      <c r="M344" s="38"/>
    </row>
    <row r="345" customFormat="false" ht="15" hidden="false" customHeight="false" outlineLevel="0" collapsed="false">
      <c r="A345" s="38" t="s">
        <v>344</v>
      </c>
      <c r="B345" s="38" t="s">
        <v>490</v>
      </c>
      <c r="C345" s="38" t="s">
        <v>493</v>
      </c>
      <c r="D345" s="21" t="n">
        <v>338</v>
      </c>
      <c r="E345" s="21" t="n">
        <v>286</v>
      </c>
      <c r="F345" s="51" t="n">
        <f aca="false">IF(E345="","",D345-E345)</f>
        <v>52</v>
      </c>
      <c r="G345" s="21" t="n">
        <v>615</v>
      </c>
      <c r="H345" s="21" t="n">
        <v>553</v>
      </c>
      <c r="I345" s="51" t="n">
        <f aca="false">IF(H345="","",G345-H345)</f>
        <v>62</v>
      </c>
      <c r="J345" s="39" t="n">
        <f aca="false">IF(OR(D345="",D345+G345=0),"",D345/(D345+G345))</f>
        <v>0.354669464847849</v>
      </c>
      <c r="K345" s="39" t="n">
        <f aca="false">IF(E345="","",E345/(E345+H345))</f>
        <v>0.34088200238379</v>
      </c>
      <c r="L345" s="52" t="n">
        <f aca="false">IF(OR(K345="",J345=""),"",(J345-K345)*100)</f>
        <v>1.37874624640587</v>
      </c>
      <c r="M345" s="38"/>
    </row>
    <row r="346" customFormat="false" ht="15" hidden="false" customHeight="false" outlineLevel="0" collapsed="false">
      <c r="A346" s="38" t="s">
        <v>344</v>
      </c>
      <c r="B346" s="38" t="s">
        <v>490</v>
      </c>
      <c r="C346" s="38" t="s">
        <v>494</v>
      </c>
      <c r="D346" s="21" t="n">
        <v>353</v>
      </c>
      <c r="E346" s="21" t="n">
        <v>302</v>
      </c>
      <c r="F346" s="51" t="n">
        <f aca="false">IF(E346="","",D346-E346)</f>
        <v>51</v>
      </c>
      <c r="G346" s="21" t="n">
        <v>645</v>
      </c>
      <c r="H346" s="21" t="n">
        <v>608</v>
      </c>
      <c r="I346" s="51" t="n">
        <f aca="false">IF(H346="","",G346-H346)</f>
        <v>37</v>
      </c>
      <c r="J346" s="39" t="n">
        <f aca="false">IF(OR(D346="",D346+G346=0),"",D346/(D346+G346))</f>
        <v>0.353707414829659</v>
      </c>
      <c r="K346" s="39" t="n">
        <f aca="false">IF(E346="","",E346/(E346+H346))</f>
        <v>0.331868131868132</v>
      </c>
      <c r="L346" s="52" t="n">
        <f aca="false">IF(OR(K346="",J346=""),"",(J346-K346)*100)</f>
        <v>2.18392829615275</v>
      </c>
      <c r="M346" s="38"/>
    </row>
    <row r="347" customFormat="false" ht="15" hidden="false" customHeight="false" outlineLevel="0" collapsed="false">
      <c r="A347" s="38" t="s">
        <v>344</v>
      </c>
      <c r="B347" s="38" t="s">
        <v>495</v>
      </c>
      <c r="C347" s="38" t="s">
        <v>496</v>
      </c>
      <c r="D347" s="21" t="n">
        <v>86</v>
      </c>
      <c r="E347" s="21" t="n">
        <v>92</v>
      </c>
      <c r="F347" s="51" t="n">
        <f aca="false">IF(E347="","",D347-E347)</f>
        <v>-6</v>
      </c>
      <c r="G347" s="21" t="n">
        <v>170</v>
      </c>
      <c r="H347" s="21" t="n">
        <v>167</v>
      </c>
      <c r="I347" s="51" t="n">
        <f aca="false">IF(H347="","",G347-H347)</f>
        <v>3</v>
      </c>
      <c r="J347" s="39" t="n">
        <f aca="false">IF(OR(D347="",D347+G347=0),"",D347/(D347+G347))</f>
        <v>0.3359375</v>
      </c>
      <c r="K347" s="39" t="n">
        <f aca="false">IF(E347="","",E347/(E347+H347))</f>
        <v>0.355212355212355</v>
      </c>
      <c r="L347" s="52" t="n">
        <f aca="false">IF(OR(K347="",J347=""),"",(J347-K347)*100)</f>
        <v>-1.92748552123552</v>
      </c>
      <c r="M347" s="38"/>
    </row>
    <row r="348" customFormat="false" ht="15" hidden="false" customHeight="false" outlineLevel="0" collapsed="false">
      <c r="A348" s="38" t="s">
        <v>344</v>
      </c>
      <c r="B348" s="38" t="s">
        <v>497</v>
      </c>
      <c r="C348" s="38" t="s">
        <v>498</v>
      </c>
      <c r="D348" s="21" t="n">
        <v>391</v>
      </c>
      <c r="E348" s="21" t="n">
        <v>335</v>
      </c>
      <c r="F348" s="51" t="n">
        <f aca="false">IF(E348="","",D348-E348)</f>
        <v>56</v>
      </c>
      <c r="G348" s="21" t="n">
        <v>564</v>
      </c>
      <c r="H348" s="21" t="n">
        <v>581</v>
      </c>
      <c r="I348" s="51" t="n">
        <f aca="false">IF(H348="","",G348-H348)</f>
        <v>-17</v>
      </c>
      <c r="J348" s="39" t="n">
        <f aca="false">IF(OR(D348="",D348+G348=0),"",D348/(D348+G348))</f>
        <v>0.409424083769634</v>
      </c>
      <c r="K348" s="39" t="n">
        <f aca="false">IF(E348="","",E348/(E348+H348))</f>
        <v>0.365720524017467</v>
      </c>
      <c r="L348" s="52" t="n">
        <f aca="false">IF(OR(K348="",J348=""),"",(J348-K348)*100)</f>
        <v>4.37035597521663</v>
      </c>
      <c r="M348" s="38"/>
    </row>
    <row r="349" customFormat="false" ht="15" hidden="false" customHeight="false" outlineLevel="0" collapsed="false">
      <c r="A349" s="38" t="s">
        <v>344</v>
      </c>
      <c r="B349" s="38" t="s">
        <v>499</v>
      </c>
      <c r="C349" s="38" t="s">
        <v>500</v>
      </c>
      <c r="D349" s="21" t="n">
        <v>233</v>
      </c>
      <c r="E349" s="21" t="n">
        <v>210</v>
      </c>
      <c r="F349" s="51" t="n">
        <f aca="false">IF(E349="","",D349-E349)</f>
        <v>23</v>
      </c>
      <c r="G349" s="21" t="n">
        <v>305</v>
      </c>
      <c r="H349" s="21" t="n">
        <v>309</v>
      </c>
      <c r="I349" s="51" t="n">
        <f aca="false">IF(H349="","",G349-H349)</f>
        <v>-4</v>
      </c>
      <c r="J349" s="39" t="n">
        <f aca="false">IF(OR(D349="",D349+G349=0),"",D349/(D349+G349))</f>
        <v>0.433085501858736</v>
      </c>
      <c r="K349" s="39" t="n">
        <f aca="false">IF(E349="","",E349/(E349+H349))</f>
        <v>0.404624277456647</v>
      </c>
      <c r="L349" s="52" t="n">
        <f aca="false">IF(OR(K349="",J349=""),"",(J349-K349)*100)</f>
        <v>2.84612244020886</v>
      </c>
      <c r="M349" s="38"/>
    </row>
    <row r="350" customFormat="false" ht="15" hidden="false" customHeight="false" outlineLevel="0" collapsed="false">
      <c r="A350" s="38" t="s">
        <v>344</v>
      </c>
      <c r="B350" s="38" t="s">
        <v>501</v>
      </c>
      <c r="C350" s="38" t="s">
        <v>502</v>
      </c>
      <c r="D350" s="21" t="n">
        <v>357</v>
      </c>
      <c r="E350" s="21" t="n">
        <v>331</v>
      </c>
      <c r="F350" s="51" t="n">
        <f aca="false">IF(E350="","",D350-E350)</f>
        <v>26</v>
      </c>
      <c r="G350" s="21" t="n">
        <v>414</v>
      </c>
      <c r="H350" s="21" t="n">
        <v>458</v>
      </c>
      <c r="I350" s="51" t="n">
        <f aca="false">IF(H350="","",G350-H350)</f>
        <v>-44</v>
      </c>
      <c r="J350" s="39" t="n">
        <f aca="false">IF(OR(D350="",D350+G350=0),"",D350/(D350+G350))</f>
        <v>0.463035019455253</v>
      </c>
      <c r="K350" s="39" t="n">
        <f aca="false">IF(E350="","",E350/(E350+H350))</f>
        <v>0.419518377693283</v>
      </c>
      <c r="L350" s="52" t="n">
        <f aca="false">IF(OR(K350="",J350=""),"",(J350-K350)*100)</f>
        <v>4.35166417619703</v>
      </c>
      <c r="M350" s="38"/>
    </row>
    <row r="351" customFormat="false" ht="15" hidden="false" customHeight="false" outlineLevel="0" collapsed="false">
      <c r="A351" s="38" t="s">
        <v>344</v>
      </c>
      <c r="B351" s="38" t="s">
        <v>503</v>
      </c>
      <c r="C351" s="38" t="s">
        <v>504</v>
      </c>
      <c r="D351" s="21" t="n">
        <v>346</v>
      </c>
      <c r="E351" s="21" t="n">
        <v>307</v>
      </c>
      <c r="F351" s="51" t="n">
        <f aca="false">IF(E351="","",D351-E351)</f>
        <v>39</v>
      </c>
      <c r="G351" s="21" t="n">
        <v>747</v>
      </c>
      <c r="H351" s="21" t="n">
        <v>746</v>
      </c>
      <c r="I351" s="51" t="n">
        <f aca="false">IF(H351="","",G351-H351)</f>
        <v>1</v>
      </c>
      <c r="J351" s="39" t="n">
        <f aca="false">IF(OR(D351="",D351+G351=0),"",D351/(D351+G351))</f>
        <v>0.316559926806953</v>
      </c>
      <c r="K351" s="39" t="n">
        <f aca="false">IF(E351="","",E351/(E351+H351))</f>
        <v>0.291547958214625</v>
      </c>
      <c r="L351" s="52" t="n">
        <f aca="false">IF(OR(K351="",J351=""),"",(J351-K351)*100)</f>
        <v>2.50119685923285</v>
      </c>
      <c r="M351" s="38"/>
    </row>
    <row r="352" customFormat="false" ht="15" hidden="false" customHeight="false" outlineLevel="0" collapsed="false">
      <c r="A352" s="38" t="s">
        <v>344</v>
      </c>
      <c r="B352" s="38" t="s">
        <v>503</v>
      </c>
      <c r="C352" s="38" t="s">
        <v>505</v>
      </c>
      <c r="D352" s="21" t="n">
        <v>264</v>
      </c>
      <c r="E352" s="21" t="n">
        <v>232</v>
      </c>
      <c r="F352" s="51" t="n">
        <f aca="false">IF(E352="","",D352-E352)</f>
        <v>32</v>
      </c>
      <c r="G352" s="21" t="n">
        <v>504</v>
      </c>
      <c r="H352" s="21" t="n">
        <v>487</v>
      </c>
      <c r="I352" s="51" t="n">
        <f aca="false">IF(H352="","",G352-H352)</f>
        <v>17</v>
      </c>
      <c r="J352" s="39" t="n">
        <f aca="false">IF(OR(D352="",D352+G352=0),"",D352/(D352+G352))</f>
        <v>0.34375</v>
      </c>
      <c r="K352" s="39" t="n">
        <f aca="false">IF(E352="","",E352/(E352+H352))</f>
        <v>0.322670375521558</v>
      </c>
      <c r="L352" s="52" t="n">
        <f aca="false">IF(OR(K352="",J352=""),"",(J352-K352)*100)</f>
        <v>2.10796244784423</v>
      </c>
      <c r="M352" s="38"/>
    </row>
    <row r="353" customFormat="false" ht="15" hidden="false" customHeight="false" outlineLevel="0" collapsed="false">
      <c r="A353" s="38" t="s">
        <v>344</v>
      </c>
      <c r="B353" s="38" t="s">
        <v>503</v>
      </c>
      <c r="C353" s="38" t="s">
        <v>506</v>
      </c>
      <c r="D353" s="21" t="n">
        <v>213</v>
      </c>
      <c r="E353" s="21" t="n">
        <v>178</v>
      </c>
      <c r="F353" s="51" t="n">
        <f aca="false">IF(E353="","",D353-E353)</f>
        <v>35</v>
      </c>
      <c r="G353" s="21" t="n">
        <v>446</v>
      </c>
      <c r="H353" s="21" t="n">
        <v>480</v>
      </c>
      <c r="I353" s="51" t="n">
        <f aca="false">IF(H353="","",G353-H353)</f>
        <v>-34</v>
      </c>
      <c r="J353" s="39" t="n">
        <f aca="false">IF(OR(D353="",D353+G353=0),"",D353/(D353+G353))</f>
        <v>0.323216995447648</v>
      </c>
      <c r="K353" s="39" t="n">
        <f aca="false">IF(E353="","",E353/(E353+H353))</f>
        <v>0.270516717325228</v>
      </c>
      <c r="L353" s="52" t="n">
        <f aca="false">IF(OR(K353="",J353=""),"",(J353-K353)*100)</f>
        <v>5.270027812242</v>
      </c>
      <c r="M353" s="38"/>
    </row>
    <row r="354" customFormat="false" ht="15" hidden="false" customHeight="false" outlineLevel="0" collapsed="false">
      <c r="A354" s="38" t="s">
        <v>344</v>
      </c>
      <c r="B354" s="38" t="s">
        <v>503</v>
      </c>
      <c r="C354" s="38" t="s">
        <v>507</v>
      </c>
      <c r="D354" s="21" t="n">
        <v>216</v>
      </c>
      <c r="E354" s="21" t="n">
        <v>180</v>
      </c>
      <c r="F354" s="51" t="n">
        <f aca="false">IF(E354="","",D354-E354)</f>
        <v>36</v>
      </c>
      <c r="G354" s="21" t="n">
        <v>426</v>
      </c>
      <c r="H354" s="21" t="n">
        <v>430</v>
      </c>
      <c r="I354" s="51" t="n">
        <f aca="false">IF(H354="","",G354-H354)</f>
        <v>-4</v>
      </c>
      <c r="J354" s="39" t="n">
        <f aca="false">IF(OR(D354="",D354+G354=0),"",D354/(D354+G354))</f>
        <v>0.336448598130841</v>
      </c>
      <c r="K354" s="39" t="n">
        <f aca="false">IF(E354="","",E354/(E354+H354))</f>
        <v>0.295081967213115</v>
      </c>
      <c r="L354" s="52" t="n">
        <f aca="false">IF(OR(K354="",J354=""),"",(J354-K354)*100)</f>
        <v>4.13666309177264</v>
      </c>
      <c r="M354" s="38"/>
    </row>
    <row r="355" customFormat="false" ht="15" hidden="false" customHeight="false" outlineLevel="0" collapsed="false">
      <c r="A355" s="38" t="s">
        <v>344</v>
      </c>
      <c r="B355" s="38" t="s">
        <v>503</v>
      </c>
      <c r="C355" s="38" t="s">
        <v>508</v>
      </c>
      <c r="D355" s="21" t="n">
        <v>359</v>
      </c>
      <c r="E355" s="21" t="n">
        <v>345</v>
      </c>
      <c r="F355" s="51" t="n">
        <f aca="false">IF(E355="","",D355-E355)</f>
        <v>14</v>
      </c>
      <c r="G355" s="21" t="n">
        <v>591</v>
      </c>
      <c r="H355" s="21" t="n">
        <v>573</v>
      </c>
      <c r="I355" s="51" t="n">
        <f aca="false">IF(H355="","",G355-H355)</f>
        <v>18</v>
      </c>
      <c r="J355" s="39" t="n">
        <f aca="false">IF(OR(D355="",D355+G355=0),"",D355/(D355+G355))</f>
        <v>0.377894736842105</v>
      </c>
      <c r="K355" s="39" t="n">
        <f aca="false">IF(E355="","",E355/(E355+H355))</f>
        <v>0.375816993464052</v>
      </c>
      <c r="L355" s="52" t="n">
        <f aca="false">IF(OR(K355="",J355=""),"",(J355-K355)*100)</f>
        <v>0.2077743378053</v>
      </c>
      <c r="M355" s="38"/>
    </row>
    <row r="356" customFormat="false" ht="15" hidden="false" customHeight="false" outlineLevel="0" collapsed="false">
      <c r="A356" s="38" t="s">
        <v>344</v>
      </c>
      <c r="B356" s="38" t="s">
        <v>509</v>
      </c>
      <c r="C356" s="38" t="s">
        <v>510</v>
      </c>
      <c r="D356" s="21" t="n">
        <v>1220</v>
      </c>
      <c r="E356" s="21" t="n">
        <v>1084</v>
      </c>
      <c r="F356" s="51" t="n">
        <f aca="false">IF(E356="","",D356-E356)</f>
        <v>136</v>
      </c>
      <c r="G356" s="21" t="n">
        <v>1145</v>
      </c>
      <c r="H356" s="21" t="n">
        <v>1187</v>
      </c>
      <c r="I356" s="51" t="n">
        <f aca="false">IF(H356="","",G356-H356)</f>
        <v>-42</v>
      </c>
      <c r="J356" s="39" t="n">
        <f aca="false">IF(OR(D356="",D356+G356=0),"",D356/(D356+G356))</f>
        <v>0.515856236786469</v>
      </c>
      <c r="K356" s="39" t="n">
        <f aca="false">IF(E356="","",E356/(E356+H356))</f>
        <v>0.477322765301629</v>
      </c>
      <c r="L356" s="52" t="n">
        <f aca="false">IF(OR(K356="",J356=""),"",(J356-K356)*100)</f>
        <v>3.853347148484</v>
      </c>
      <c r="M356" s="38"/>
    </row>
    <row r="357" customFormat="false" ht="15" hidden="false" customHeight="false" outlineLevel="0" collapsed="false">
      <c r="A357" s="38" t="s">
        <v>344</v>
      </c>
      <c r="B357" s="38" t="s">
        <v>509</v>
      </c>
      <c r="C357" s="38" t="s">
        <v>511</v>
      </c>
      <c r="D357" s="21" t="n">
        <v>381</v>
      </c>
      <c r="E357" s="21"/>
      <c r="F357" s="51" t="str">
        <f aca="false">IF(E357="","",D357-E357)</f>
        <v/>
      </c>
      <c r="G357" s="21" t="n">
        <v>350</v>
      </c>
      <c r="H357" s="21"/>
      <c r="I357" s="51" t="str">
        <f aca="false">IF(H357="","",G357-H357)</f>
        <v/>
      </c>
      <c r="J357" s="39" t="n">
        <f aca="false">IF(OR(D357="",D357+G357=0),"",D357/(D357+G357))</f>
        <v>0.521203830369357</v>
      </c>
      <c r="K357" s="39" t="str">
        <f aca="false">IF(E357="","",E357/(E357+H357))</f>
        <v/>
      </c>
      <c r="L357" s="52" t="str">
        <f aca="false">IF(OR(K357="",J357=""),"",(J357-K357)*100)</f>
        <v/>
      </c>
      <c r="M357" s="38" t="s">
        <v>691</v>
      </c>
    </row>
    <row r="358" customFormat="false" ht="15" hidden="false" customHeight="false" outlineLevel="0" collapsed="false">
      <c r="A358" s="38" t="s">
        <v>344</v>
      </c>
      <c r="B358" s="38" t="s">
        <v>509</v>
      </c>
      <c r="C358" s="38" t="s">
        <v>512</v>
      </c>
      <c r="D358" s="21" t="n">
        <v>938</v>
      </c>
      <c r="E358" s="21" t="n">
        <v>880</v>
      </c>
      <c r="F358" s="51" t="n">
        <f aca="false">IF(E358="","",D358-E358)</f>
        <v>58</v>
      </c>
      <c r="G358" s="21" t="n">
        <v>951</v>
      </c>
      <c r="H358" s="21" t="n">
        <v>960</v>
      </c>
      <c r="I358" s="51" t="n">
        <f aca="false">IF(H358="","",G358-H358)</f>
        <v>-9</v>
      </c>
      <c r="J358" s="39" t="n">
        <f aca="false">IF(OR(D358="",D358+G358=0),"",D358/(D358+G358))</f>
        <v>0.496559025939651</v>
      </c>
      <c r="K358" s="39" t="n">
        <f aca="false">IF(E358="","",E358/(E358+H358))</f>
        <v>0.478260869565217</v>
      </c>
      <c r="L358" s="52" t="n">
        <f aca="false">IF(OR(K358="",J358=""),"",(J358-K358)*100)</f>
        <v>1.82981563744332</v>
      </c>
      <c r="M358" s="38"/>
    </row>
    <row r="359" customFormat="false" ht="15" hidden="false" customHeight="false" outlineLevel="0" collapsed="false">
      <c r="A359" s="38" t="s">
        <v>344</v>
      </c>
      <c r="B359" s="38" t="s">
        <v>509</v>
      </c>
      <c r="C359" s="38" t="s">
        <v>513</v>
      </c>
      <c r="D359" s="21" t="n">
        <v>296</v>
      </c>
      <c r="E359" s="21"/>
      <c r="F359" s="51" t="str">
        <f aca="false">IF(E359="","",D359-E359)</f>
        <v/>
      </c>
      <c r="G359" s="21" t="n">
        <v>261</v>
      </c>
      <c r="H359" s="21"/>
      <c r="I359" s="51" t="str">
        <f aca="false">IF(H359="","",G359-H359)</f>
        <v/>
      </c>
      <c r="J359" s="39" t="n">
        <f aca="false">IF(OR(D359="",D359+G359=0),"",D359/(D359+G359))</f>
        <v>0.531418312387792</v>
      </c>
      <c r="K359" s="39" t="str">
        <f aca="false">IF(E359="","",E359/(E359+H359))</f>
        <v/>
      </c>
      <c r="L359" s="52" t="str">
        <f aca="false">IF(OR(K359="",J359=""),"",(J359-K359)*100)</f>
        <v/>
      </c>
      <c r="M359" s="38" t="s">
        <v>691</v>
      </c>
    </row>
    <row r="360" customFormat="false" ht="15" hidden="false" customHeight="false" outlineLevel="0" collapsed="false">
      <c r="A360" s="38" t="s">
        <v>344</v>
      </c>
      <c r="B360" s="38" t="s">
        <v>514</v>
      </c>
      <c r="C360" s="38" t="s">
        <v>515</v>
      </c>
      <c r="D360" s="21" t="n">
        <v>450</v>
      </c>
      <c r="E360" s="21" t="n">
        <v>416</v>
      </c>
      <c r="F360" s="51" t="n">
        <f aca="false">IF(E360="","",D360-E360)</f>
        <v>34</v>
      </c>
      <c r="G360" s="21" t="n">
        <v>612</v>
      </c>
      <c r="H360" s="21" t="n">
        <v>658</v>
      </c>
      <c r="I360" s="51" t="n">
        <f aca="false">IF(H360="","",G360-H360)</f>
        <v>-46</v>
      </c>
      <c r="J360" s="39" t="n">
        <f aca="false">IF(OR(D360="",D360+G360=0),"",D360/(D360+G360))</f>
        <v>0.423728813559322</v>
      </c>
      <c r="K360" s="39" t="n">
        <f aca="false">IF(E360="","",E360/(E360+H360))</f>
        <v>0.387337057728119</v>
      </c>
      <c r="L360" s="52" t="n">
        <f aca="false">IF(OR(K360="",J360=""),"",(J360-K360)*100)</f>
        <v>3.63917558312029</v>
      </c>
      <c r="M360" s="38"/>
    </row>
    <row r="361" customFormat="false" ht="15" hidden="false" customHeight="false" outlineLevel="0" collapsed="false">
      <c r="A361" s="38" t="s">
        <v>344</v>
      </c>
      <c r="B361" s="38" t="s">
        <v>319</v>
      </c>
      <c r="C361" s="38" t="s">
        <v>516</v>
      </c>
      <c r="D361" s="21" t="n">
        <v>890</v>
      </c>
      <c r="E361" s="21" t="n">
        <v>541</v>
      </c>
      <c r="F361" s="51" t="n">
        <f aca="false">IF(E361="","",D361-E361)</f>
        <v>349</v>
      </c>
      <c r="G361" s="21" t="n">
        <v>1572</v>
      </c>
      <c r="H361" s="21" t="n">
        <v>1106</v>
      </c>
      <c r="I361" s="51" t="n">
        <f aca="false">IF(H361="","",G361-H361)</f>
        <v>466</v>
      </c>
      <c r="J361" s="39" t="n">
        <f aca="false">IF(OR(D361="",D361+G361=0),"",D361/(D361+G361))</f>
        <v>0.361494719740049</v>
      </c>
      <c r="K361" s="39" t="n">
        <f aca="false">IF(E361="","",E361/(E361+H361))</f>
        <v>0.328476017000607</v>
      </c>
      <c r="L361" s="52" t="n">
        <f aca="false">IF(OR(K361="",J361=""),"",(J361-K361)*100)</f>
        <v>3.30187027394416</v>
      </c>
      <c r="M361" s="38"/>
    </row>
    <row r="362" customFormat="false" ht="15" hidden="false" customHeight="false" outlineLevel="0" collapsed="false">
      <c r="A362" s="38" t="s">
        <v>344</v>
      </c>
      <c r="B362" s="38" t="s">
        <v>319</v>
      </c>
      <c r="C362" s="38" t="s">
        <v>517</v>
      </c>
      <c r="D362" s="21" t="n">
        <v>636</v>
      </c>
      <c r="E362" s="21" t="n">
        <v>500</v>
      </c>
      <c r="F362" s="51" t="n">
        <f aca="false">IF(E362="","",D362-E362)</f>
        <v>136</v>
      </c>
      <c r="G362" s="21" t="n">
        <v>1060</v>
      </c>
      <c r="H362" s="21" t="n">
        <v>982</v>
      </c>
      <c r="I362" s="51" t="n">
        <f aca="false">IF(H362="","",G362-H362)</f>
        <v>78</v>
      </c>
      <c r="J362" s="39" t="n">
        <f aca="false">IF(OR(D362="",D362+G362=0),"",D362/(D362+G362))</f>
        <v>0.375</v>
      </c>
      <c r="K362" s="39" t="n">
        <f aca="false">IF(E362="","",E362/(E362+H362))</f>
        <v>0.337381916329285</v>
      </c>
      <c r="L362" s="52" t="n">
        <f aca="false">IF(OR(K362="",J362=""),"",(J362-K362)*100)</f>
        <v>3.76180836707152</v>
      </c>
      <c r="M362" s="38"/>
    </row>
    <row r="363" customFormat="false" ht="15" hidden="false" customHeight="false" outlineLevel="0" collapsed="false">
      <c r="A363" s="38" t="s">
        <v>344</v>
      </c>
      <c r="B363" s="38" t="s">
        <v>519</v>
      </c>
      <c r="C363" s="38" t="s">
        <v>519</v>
      </c>
      <c r="D363" s="21" t="n">
        <v>296</v>
      </c>
      <c r="E363" s="21" t="n">
        <v>281</v>
      </c>
      <c r="F363" s="51" t="n">
        <f aca="false">IF(E363="","",D363-E363)</f>
        <v>15</v>
      </c>
      <c r="G363" s="21" t="n">
        <v>311</v>
      </c>
      <c r="H363" s="21" t="n">
        <v>310</v>
      </c>
      <c r="I363" s="51" t="n">
        <f aca="false">IF(H363="","",G363-H363)</f>
        <v>1</v>
      </c>
      <c r="J363" s="39" t="n">
        <f aca="false">IF(OR(D363="",D363+G363=0),"",D363/(D363+G363))</f>
        <v>0.487644151565074</v>
      </c>
      <c r="K363" s="39" t="n">
        <f aca="false">IF(E363="","",E363/(E363+H363))</f>
        <v>0.475465313028765</v>
      </c>
      <c r="L363" s="52" t="n">
        <f aca="false">IF(OR(K363="",J363=""),"",(J363-K363)*100)</f>
        <v>1.21788385363093</v>
      </c>
      <c r="M363" s="38"/>
    </row>
    <row r="364" customFormat="false" ht="15" hidden="false" customHeight="false" outlineLevel="0" collapsed="false">
      <c r="A364" s="38" t="s">
        <v>344</v>
      </c>
      <c r="B364" s="38" t="s">
        <v>520</v>
      </c>
      <c r="C364" s="38" t="s">
        <v>521</v>
      </c>
      <c r="D364" s="21" t="n">
        <v>569</v>
      </c>
      <c r="E364" s="21" t="n">
        <v>514</v>
      </c>
      <c r="F364" s="51" t="n">
        <f aca="false">IF(E364="","",D364-E364)</f>
        <v>55</v>
      </c>
      <c r="G364" s="21" t="n">
        <v>697</v>
      </c>
      <c r="H364" s="21" t="n">
        <v>713</v>
      </c>
      <c r="I364" s="51" t="n">
        <f aca="false">IF(H364="","",G364-H364)</f>
        <v>-16</v>
      </c>
      <c r="J364" s="39" t="n">
        <f aca="false">IF(OR(D364="",D364+G364=0),"",D364/(D364+G364))</f>
        <v>0.449447077409163</v>
      </c>
      <c r="K364" s="39" t="n">
        <f aca="false">IF(E364="","",E364/(E364+H364))</f>
        <v>0.418907905460473</v>
      </c>
      <c r="L364" s="52" t="n">
        <f aca="false">IF(OR(K364="",J364=""),"",(J364-K364)*100)</f>
        <v>3.053917194869</v>
      </c>
      <c r="M364" s="38"/>
    </row>
    <row r="365" customFormat="false" ht="15" hidden="false" customHeight="false" outlineLevel="0" collapsed="false">
      <c r="A365" s="38" t="s">
        <v>344</v>
      </c>
      <c r="B365" s="38" t="s">
        <v>520</v>
      </c>
      <c r="C365" s="38" t="s">
        <v>522</v>
      </c>
      <c r="D365" s="21" t="n">
        <v>471</v>
      </c>
      <c r="E365" s="21" t="n">
        <v>425</v>
      </c>
      <c r="F365" s="51" t="n">
        <f aca="false">IF(E365="","",D365-E365)</f>
        <v>46</v>
      </c>
      <c r="G365" s="21" t="n">
        <v>675</v>
      </c>
      <c r="H365" s="21" t="n">
        <v>656</v>
      </c>
      <c r="I365" s="51" t="n">
        <f aca="false">IF(H365="","",G365-H365)</f>
        <v>19</v>
      </c>
      <c r="J365" s="39" t="n">
        <f aca="false">IF(OR(D365="",D365+G365=0),"",D365/(D365+G365))</f>
        <v>0.410994764397906</v>
      </c>
      <c r="K365" s="39" t="n">
        <f aca="false">IF(E365="","",E365/(E365+H365))</f>
        <v>0.393154486586494</v>
      </c>
      <c r="L365" s="52" t="n">
        <f aca="false">IF(OR(K365="",J365=""),"",(J365-K365)*100)</f>
        <v>1.78402778114118</v>
      </c>
      <c r="M365" s="38"/>
    </row>
    <row r="366" customFormat="false" ht="15" hidden="false" customHeight="false" outlineLevel="0" collapsed="false">
      <c r="A366" s="38" t="s">
        <v>344</v>
      </c>
      <c r="B366" s="38" t="s">
        <v>520</v>
      </c>
      <c r="C366" s="38" t="s">
        <v>523</v>
      </c>
      <c r="D366" s="21" t="n">
        <v>652</v>
      </c>
      <c r="E366" s="21" t="n">
        <v>624</v>
      </c>
      <c r="F366" s="51" t="n">
        <f aca="false">IF(E366="","",D366-E366)</f>
        <v>28</v>
      </c>
      <c r="G366" s="21" t="n">
        <v>637</v>
      </c>
      <c r="H366" s="21" t="n">
        <v>618</v>
      </c>
      <c r="I366" s="51" t="n">
        <f aca="false">IF(H366="","",G366-H366)</f>
        <v>19</v>
      </c>
      <c r="J366" s="39" t="n">
        <f aca="false">IF(OR(D366="",D366+G366=0),"",D366/(D366+G366))</f>
        <v>0.505818463925524</v>
      </c>
      <c r="K366" s="39" t="n">
        <f aca="false">IF(E366="","",E366/(E366+H366))</f>
        <v>0.502415458937198</v>
      </c>
      <c r="L366" s="52" t="n">
        <f aca="false">IF(OR(K366="",J366=""),"",(J366-K366)*100)</f>
        <v>0.340300498832558</v>
      </c>
      <c r="M366" s="38"/>
    </row>
    <row r="367" customFormat="false" ht="15" hidden="false" customHeight="false" outlineLevel="0" collapsed="false">
      <c r="A367" s="38" t="s">
        <v>344</v>
      </c>
      <c r="B367" s="38" t="s">
        <v>520</v>
      </c>
      <c r="C367" s="38" t="s">
        <v>524</v>
      </c>
      <c r="D367" s="21" t="n">
        <v>345</v>
      </c>
      <c r="E367" s="21" t="n">
        <v>284</v>
      </c>
      <c r="F367" s="51" t="n">
        <f aca="false">IF(E367="","",D367-E367)</f>
        <v>61</v>
      </c>
      <c r="G367" s="21" t="n">
        <v>414</v>
      </c>
      <c r="H367" s="21" t="n">
        <v>414</v>
      </c>
      <c r="I367" s="51" t="n">
        <f aca="false">IF(H367="","",G367-H367)</f>
        <v>0</v>
      </c>
      <c r="J367" s="39" t="n">
        <f aca="false">IF(OR(D367="",D367+G367=0),"",D367/(D367+G367))</f>
        <v>0.454545454545455</v>
      </c>
      <c r="K367" s="39" t="n">
        <f aca="false">IF(E367="","",E367/(E367+H367))</f>
        <v>0.406876790830946</v>
      </c>
      <c r="L367" s="52" t="n">
        <f aca="false">IF(OR(K367="",J367=""),"",(J367-K367)*100)</f>
        <v>4.7668663714509</v>
      </c>
      <c r="M367" s="38"/>
    </row>
    <row r="368" customFormat="false" ht="15" hidden="false" customHeight="false" outlineLevel="0" collapsed="false">
      <c r="A368" s="38" t="s">
        <v>344</v>
      </c>
      <c r="B368" s="38" t="s">
        <v>525</v>
      </c>
      <c r="C368" s="38" t="s">
        <v>526</v>
      </c>
      <c r="D368" s="21" t="n">
        <v>655</v>
      </c>
      <c r="E368" s="21" t="n">
        <v>648</v>
      </c>
      <c r="F368" s="51" t="n">
        <f aca="false">IF(E368="","",D368-E368)</f>
        <v>7</v>
      </c>
      <c r="G368" s="21" t="n">
        <v>407</v>
      </c>
      <c r="H368" s="21" t="n">
        <v>462</v>
      </c>
      <c r="I368" s="51" t="n">
        <f aca="false">IF(H368="","",G368-H368)</f>
        <v>-55</v>
      </c>
      <c r="J368" s="39" t="n">
        <f aca="false">IF(OR(D368="",D368+G368=0),"",D368/(D368+G368))</f>
        <v>0.616760828625235</v>
      </c>
      <c r="K368" s="39" t="n">
        <f aca="false">IF(E368="","",E368/(E368+H368))</f>
        <v>0.583783783783784</v>
      </c>
      <c r="L368" s="52" t="n">
        <f aca="false">IF(OR(K368="",J368=""),"",(J368-K368)*100)</f>
        <v>3.29770448414516</v>
      </c>
      <c r="M368" s="38"/>
    </row>
    <row r="369" customFormat="false" ht="15" hidden="false" customHeight="false" outlineLevel="0" collapsed="false">
      <c r="A369" s="38" t="s">
        <v>344</v>
      </c>
      <c r="B369" s="38" t="s">
        <v>525</v>
      </c>
      <c r="C369" s="38" t="s">
        <v>527</v>
      </c>
      <c r="D369" s="21" t="n">
        <v>525</v>
      </c>
      <c r="E369" s="21" t="n">
        <v>491</v>
      </c>
      <c r="F369" s="51" t="n">
        <f aca="false">IF(E369="","",D369-E369)</f>
        <v>34</v>
      </c>
      <c r="G369" s="21" t="n">
        <v>375</v>
      </c>
      <c r="H369" s="21" t="n">
        <v>402</v>
      </c>
      <c r="I369" s="51" t="n">
        <f aca="false">IF(H369="","",G369-H369)</f>
        <v>-27</v>
      </c>
      <c r="J369" s="39" t="n">
        <f aca="false">IF(OR(D369="",D369+G369=0),"",D369/(D369+G369))</f>
        <v>0.583333333333333</v>
      </c>
      <c r="K369" s="39" t="n">
        <f aca="false">IF(E369="","",E369/(E369+H369))</f>
        <v>0.5498320268757</v>
      </c>
      <c r="L369" s="52" t="n">
        <f aca="false">IF(OR(K369="",J369=""),"",(J369-K369)*100)</f>
        <v>3.35013064576335</v>
      </c>
      <c r="M369" s="38"/>
    </row>
    <row r="370" customFormat="false" ht="15" hidden="false" customHeight="false" outlineLevel="0" collapsed="false">
      <c r="A370" s="38" t="s">
        <v>344</v>
      </c>
      <c r="B370" s="38" t="s">
        <v>525</v>
      </c>
      <c r="C370" s="38" t="s">
        <v>528</v>
      </c>
      <c r="D370" s="21" t="n">
        <v>825</v>
      </c>
      <c r="E370" s="21" t="n">
        <v>758</v>
      </c>
      <c r="F370" s="51" t="n">
        <f aca="false">IF(E370="","",D370-E370)</f>
        <v>67</v>
      </c>
      <c r="G370" s="21" t="n">
        <v>631</v>
      </c>
      <c r="H370" s="21" t="n">
        <v>674</v>
      </c>
      <c r="I370" s="51" t="n">
        <f aca="false">IF(H370="","",G370-H370)</f>
        <v>-43</v>
      </c>
      <c r="J370" s="39" t="n">
        <f aca="false">IF(OR(D370="",D370+G370=0),"",D370/(D370+G370))</f>
        <v>0.566620879120879</v>
      </c>
      <c r="K370" s="39" t="n">
        <f aca="false">IF(E370="","",E370/(E370+H370))</f>
        <v>0.529329608938548</v>
      </c>
      <c r="L370" s="52" t="n">
        <f aca="false">IF(OR(K370="",J370=""),"",(J370-K370)*100)</f>
        <v>3.72912701823316</v>
      </c>
      <c r="M370" s="38"/>
    </row>
    <row r="371" customFormat="false" ht="15" hidden="false" customHeight="false" outlineLevel="0" collapsed="false">
      <c r="A371" s="38" t="s">
        <v>344</v>
      </c>
      <c r="B371" s="38" t="s">
        <v>529</v>
      </c>
      <c r="C371" s="38" t="s">
        <v>529</v>
      </c>
      <c r="D371" s="21" t="n">
        <v>673</v>
      </c>
      <c r="E371" s="21" t="n">
        <v>634</v>
      </c>
      <c r="F371" s="51" t="n">
        <f aca="false">IF(E371="","",D371-E371)</f>
        <v>39</v>
      </c>
      <c r="G371" s="21" t="n">
        <v>811</v>
      </c>
      <c r="H371" s="21" t="n">
        <v>856</v>
      </c>
      <c r="I371" s="51" t="n">
        <f aca="false">IF(H371="","",G371-H371)</f>
        <v>-45</v>
      </c>
      <c r="J371" s="39" t="n">
        <f aca="false">IF(OR(D371="",D371+G371=0),"",D371/(D371+G371))</f>
        <v>0.453504043126685</v>
      </c>
      <c r="K371" s="39" t="n">
        <f aca="false">IF(E371="","",E371/(E371+H371))</f>
        <v>0.425503355704698</v>
      </c>
      <c r="L371" s="52" t="n">
        <f aca="false">IF(OR(K371="",J371=""),"",(J371-K371)*100)</f>
        <v>2.80006874219866</v>
      </c>
      <c r="M371" s="38"/>
    </row>
    <row r="373" customFormat="false" ht="15" hidden="false" customHeight="false" outlineLevel="0" collapsed="false">
      <c r="A373" s="11" t="s">
        <v>692</v>
      </c>
      <c r="B373" s="53"/>
      <c r="C373" s="53"/>
      <c r="D373" s="54" t="n">
        <f aca="false">SUMIF(E2:E371,"&lt;&gt;",D2:D371)</f>
        <v>196254</v>
      </c>
      <c r="E373" s="54" t="n">
        <f aca="false">SUM(E2:E371)</f>
        <v>183378</v>
      </c>
      <c r="F373" s="55" t="n">
        <f aca="false">D373-E373</f>
        <v>12876</v>
      </c>
      <c r="G373" s="54" t="n">
        <f aca="false">SUMIF(H2:H371,"&lt;&gt;",G2:G371)</f>
        <v>185294</v>
      </c>
      <c r="H373" s="54" t="n">
        <f aca="false">SUM(H2:H371)</f>
        <v>189309</v>
      </c>
      <c r="I373" s="55" t="n">
        <f aca="false">G373-H373</f>
        <v>-4015</v>
      </c>
      <c r="J373" s="56" t="n">
        <f aca="false">D373/(D373+G373)</f>
        <v>0.514362544162202</v>
      </c>
      <c r="K373" s="56" t="n">
        <f aca="false">E373/(E373+H373)</f>
        <v>0.492042920735094</v>
      </c>
      <c r="L373" s="57" t="n">
        <f aca="false">(J373-K373)*100</f>
        <v>2.23196234271084</v>
      </c>
    </row>
    <row r="374" customFormat="false" ht="15" hidden="false" customHeight="false" outlineLevel="0" collapsed="false">
      <c r="A374" s="11" t="s">
        <v>693</v>
      </c>
      <c r="B374" s="53"/>
      <c r="C374" s="53"/>
      <c r="D374" s="54" t="n">
        <f aca="false">SUM(D2:D371)</f>
        <v>213988</v>
      </c>
      <c r="E374" s="54"/>
      <c r="F374" s="55"/>
      <c r="G374" s="54" t="n">
        <f aca="false">SUM(G2:G371)</f>
        <v>200941</v>
      </c>
      <c r="H374" s="54"/>
      <c r="I374" s="55"/>
      <c r="J374" s="56" t="n">
        <f aca="false">D374/(D374+G374)</f>
        <v>0.515721966890721</v>
      </c>
      <c r="K374" s="56"/>
      <c r="L374" s="57"/>
    </row>
    <row r="376" customFormat="false" ht="15" hidden="false" customHeight="false" outlineLevel="0" collapsed="false">
      <c r="A376" s="2" t="s">
        <v>694</v>
      </c>
      <c r="F376" s="58" t="n">
        <f aca="false">(SUMIF(F2:F371,"&gt;0")-SUMIF(F2:F371,"&lt;0"))/COUNT(F2:F371)</f>
        <v>55.046783625731</v>
      </c>
    </row>
    <row r="377" customFormat="false" ht="15" hidden="false" customHeight="false" outlineLevel="0" collapsed="false">
      <c r="A377" s="2" t="s">
        <v>695</v>
      </c>
      <c r="F377" s="58" t="n">
        <f aca="false">(SUMIF(I2:I371,"&gt;0")-SUMIF(I2:I371,"&lt;0"))/COUNT(I2:I371)</f>
        <v>35.453216374269</v>
      </c>
    </row>
    <row r="378" customFormat="false" ht="15" hidden="false" customHeight="false" outlineLevel="0" collapsed="false">
      <c r="A378" s="2" t="s">
        <v>696</v>
      </c>
      <c r="F378" s="59" t="n">
        <f aca="false">(SUMIF(L2:L371,"&gt;0")-SUMIF(L2:L371,"&lt;0"))/COUNT(L2:L371)</f>
        <v>3.142695843626</v>
      </c>
    </row>
    <row r="379" customFormat="false" ht="15" hidden="false" customHeight="false" outlineLevel="0" collapsed="false">
      <c r="A379" s="5" t="s">
        <v>697</v>
      </c>
      <c r="F379" s="60" t="n">
        <f aca="false">SQRT(SUMSQ(L2:L371)/COUNT(L2:L371))</f>
        <v>3.72974270854558</v>
      </c>
    </row>
    <row r="380" customFormat="false" ht="15" hidden="false" customHeight="false" outlineLevel="0" collapsed="false">
      <c r="A380" s="5" t="s">
        <v>698</v>
      </c>
      <c r="F380" s="61" t="n">
        <f aca="false">L373</f>
        <v>2.23196234271084</v>
      </c>
    </row>
    <row r="381" customFormat="false" ht="15" hidden="false" customHeight="false" outlineLevel="0" collapsed="false">
      <c r="A381" s="5" t="s">
        <v>699</v>
      </c>
      <c r="F381" s="60" t="n">
        <f aca="false">SQRT((SUMSQ(L2:L371)-2*L373*SUM(L2:L371)+COUNT(L2:L371)*L373^2)/COUNT(L2:L371))</f>
        <v>2.28839262164551</v>
      </c>
    </row>
    <row r="382" customFormat="false" ht="15" hidden="false" customHeight="false" outlineLevel="0" collapsed="false">
      <c r="A382" s="2" t="s">
        <v>700</v>
      </c>
      <c r="F382" s="62" t="n">
        <f aca="false">(D373+G373)/(E373+H373)-1</f>
        <v>0.0237759836001792</v>
      </c>
    </row>
    <row r="383" customFormat="false" ht="15" hidden="false" customHeight="false" outlineLevel="0" collapsed="false">
      <c r="A383" s="2" t="s">
        <v>701</v>
      </c>
      <c r="F383" s="63" t="n">
        <f aca="false">COUNTIFS(L2:L371,"&gt;=-3",L2:L371,"&lt;=3")/COUNT(L2:L371)</f>
        <v>0.532163742690059</v>
      </c>
    </row>
    <row r="384" customFormat="false" ht="15" hidden="false" customHeight="false" outlineLevel="0" collapsed="false">
      <c r="A384" s="2" t="s">
        <v>702</v>
      </c>
      <c r="F384" s="64" t="n">
        <f aca="false">COUNT(E2:E371)</f>
        <v>342</v>
      </c>
    </row>
    <row r="385" customFormat="false" ht="15" hidden="false" customHeight="false" outlineLevel="0" collapsed="false">
      <c r="A385" s="2" t="s">
        <v>703</v>
      </c>
      <c r="F385" s="64" t="n">
        <f aca="false">COUNTA(A2:A371)</f>
        <v>370</v>
      </c>
    </row>
    <row r="387" customFormat="false" ht="15" hidden="false" customHeight="false" outlineLevel="0" collapsed="false">
      <c r="M387" s="5" t="s">
        <v>69</v>
      </c>
    </row>
    <row r="388" customFormat="false" ht="28.35" hidden="false" customHeight="false" outlineLevel="0" collapsed="false">
      <c r="M388" s="50" t="s">
        <v>704</v>
      </c>
    </row>
    <row r="389" customFormat="false" ht="28.35" hidden="false" customHeight="false" outlineLevel="0" collapsed="false">
      <c r="M389" s="50" t="s">
        <v>705</v>
      </c>
    </row>
    <row r="390" customFormat="false" ht="41.75" hidden="false" customHeight="false" outlineLevel="0" collapsed="false">
      <c r="M390" s="50" t="s">
        <v>706</v>
      </c>
    </row>
    <row r="391" customFormat="false" ht="55.2" hidden="false" customHeight="false" outlineLevel="0" collapsed="false">
      <c r="M391" s="50" t="s">
        <v>707</v>
      </c>
    </row>
    <row r="392" customFormat="false" ht="15" hidden="false" customHeight="false" outlineLevel="0" collapsed="false">
      <c r="M392" s="50" t="s">
        <v>708</v>
      </c>
    </row>
    <row r="393" customFormat="false" ht="28.35" hidden="false" customHeight="false" outlineLevel="0" collapsed="false">
      <c r="M393" s="50" t="s">
        <v>709</v>
      </c>
    </row>
    <row r="394" customFormat="false" ht="28.35" hidden="false" customHeight="false" outlineLevel="0" collapsed="false">
      <c r="M394" s="50" t="s">
        <v>710</v>
      </c>
    </row>
    <row r="395" customFormat="false" ht="28.35" hidden="false" customHeight="false" outlineLevel="0" collapsed="false">
      <c r="M395" s="50" t="s">
        <v>711</v>
      </c>
    </row>
    <row r="396" customFormat="false" ht="15" hidden="false" customHeight="false" outlineLevel="0" collapsed="false">
      <c r="M396" s="50" t="s">
        <v>712</v>
      </c>
    </row>
    <row r="397" customFormat="false" ht="41.75" hidden="false" customHeight="false" outlineLevel="0" collapsed="false">
      <c r="M397" s="50" t="s">
        <v>713</v>
      </c>
    </row>
    <row r="398" customFormat="false" ht="28.35" hidden="false" customHeight="false" outlineLevel="0" collapsed="false">
      <c r="M398" s="50" t="s">
        <v>714</v>
      </c>
    </row>
  </sheetData>
  <conditionalFormatting sqref="L2:L371">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681</v>
      </c>
      <c r="E1" s="7" t="s">
        <v>682</v>
      </c>
      <c r="F1" s="7" t="s">
        <v>683</v>
      </c>
      <c r="G1" s="7" t="s">
        <v>684</v>
      </c>
      <c r="H1" s="7" t="s">
        <v>685</v>
      </c>
      <c r="I1" s="7" t="s">
        <v>686</v>
      </c>
      <c r="J1" s="7" t="s">
        <v>687</v>
      </c>
      <c r="K1" s="7" t="s">
        <v>688</v>
      </c>
      <c r="L1" s="7" t="s">
        <v>689</v>
      </c>
      <c r="M1" s="7" t="s">
        <v>690</v>
      </c>
    </row>
    <row r="2" customFormat="false" ht="15" hidden="false" customHeight="false" outlineLevel="0" collapsed="false">
      <c r="A2" s="38" t="s">
        <v>87</v>
      </c>
      <c r="B2" s="38" t="s">
        <v>88</v>
      </c>
      <c r="C2" s="38" t="s">
        <v>88</v>
      </c>
      <c r="D2" s="21" t="n">
        <v>214</v>
      </c>
      <c r="E2" s="21" t="n">
        <v>181</v>
      </c>
      <c r="F2" s="51" t="n">
        <f aca="false">IF(E2="","",D2-E2)</f>
        <v>33</v>
      </c>
      <c r="G2" s="21" t="n">
        <v>305</v>
      </c>
      <c r="H2" s="21" t="n">
        <v>284</v>
      </c>
      <c r="I2" s="51" t="n">
        <f aca="false">IF(H2="","",G2-H2)</f>
        <v>21</v>
      </c>
      <c r="J2" s="39" t="n">
        <f aca="false">IF(OR(D2="",D2+G2=0),"",D2/(D2+G2))</f>
        <v>0.41233140655106</v>
      </c>
      <c r="K2" s="39" t="n">
        <f aca="false">IF(E2="","",E2/(E2+H2))</f>
        <v>0.389247311827957</v>
      </c>
      <c r="L2" s="52" t="n">
        <f aca="false">IF(OR(K2="",J2=""),"",(J2-K2)*100)</f>
        <v>2.30840947231027</v>
      </c>
      <c r="M2" s="38"/>
    </row>
    <row r="3" customFormat="false" ht="15" hidden="false" customHeight="false" outlineLevel="0" collapsed="false">
      <c r="A3" s="38" t="s">
        <v>87</v>
      </c>
      <c r="B3" s="38" t="s">
        <v>91</v>
      </c>
      <c r="C3" s="38" t="s">
        <v>91</v>
      </c>
      <c r="D3" s="21" t="n">
        <v>122</v>
      </c>
      <c r="E3" s="21" t="n">
        <v>118</v>
      </c>
      <c r="F3" s="51" t="n">
        <f aca="false">IF(E3="","",D3-E3)</f>
        <v>4</v>
      </c>
      <c r="G3" s="21" t="n">
        <v>294</v>
      </c>
      <c r="H3" s="21" t="n">
        <v>298</v>
      </c>
      <c r="I3" s="51" t="n">
        <f aca="false">IF(H3="","",G3-H3)</f>
        <v>-4</v>
      </c>
      <c r="J3" s="39" t="n">
        <f aca="false">IF(OR(D3="",D3+G3=0),"",D3/(D3+G3))</f>
        <v>0.293269230769231</v>
      </c>
      <c r="K3" s="39" t="n">
        <f aca="false">IF(E3="","",E3/(E3+H3))</f>
        <v>0.283653846153846</v>
      </c>
      <c r="L3" s="52" t="n">
        <f aca="false">IF(OR(K3="",J3=""),"",(J3-K3)*100)</f>
        <v>0.961538461538464</v>
      </c>
      <c r="M3" s="38"/>
    </row>
    <row r="4" customFormat="false" ht="15" hidden="false" customHeight="false" outlineLevel="0" collapsed="false">
      <c r="A4" s="38" t="s">
        <v>87</v>
      </c>
      <c r="B4" s="38" t="s">
        <v>92</v>
      </c>
      <c r="C4" s="38" t="s">
        <v>92</v>
      </c>
      <c r="D4" s="21" t="n">
        <v>161</v>
      </c>
      <c r="E4" s="21" t="n">
        <v>143</v>
      </c>
      <c r="F4" s="51" t="n">
        <f aca="false">IF(E4="","",D4-E4)</f>
        <v>18</v>
      </c>
      <c r="G4" s="21" t="n">
        <v>290</v>
      </c>
      <c r="H4" s="21" t="n">
        <v>309</v>
      </c>
      <c r="I4" s="51" t="n">
        <f aca="false">IF(H4="","",G4-H4)</f>
        <v>-19</v>
      </c>
      <c r="J4" s="39" t="n">
        <f aca="false">IF(OR(D4="",D4+G4=0),"",D4/(D4+G4))</f>
        <v>0.356984478935698</v>
      </c>
      <c r="K4" s="39" t="n">
        <f aca="false">IF(E4="","",E4/(E4+H4))</f>
        <v>0.316371681415929</v>
      </c>
      <c r="L4" s="52" t="n">
        <f aca="false">IF(OR(K4="",J4=""),"",(J4-K4)*100)</f>
        <v>4.06127975197693</v>
      </c>
      <c r="M4" s="38"/>
    </row>
    <row r="5" customFormat="false" ht="15" hidden="false" customHeight="false" outlineLevel="0" collapsed="false">
      <c r="A5" s="38" t="s">
        <v>87</v>
      </c>
      <c r="B5" s="38" t="s">
        <v>93</v>
      </c>
      <c r="C5" s="38" t="s">
        <v>94</v>
      </c>
      <c r="D5" s="21" t="n">
        <v>242</v>
      </c>
      <c r="E5" s="21" t="n">
        <v>202</v>
      </c>
      <c r="F5" s="51" t="n">
        <f aca="false">IF(E5="","",D5-E5)</f>
        <v>40</v>
      </c>
      <c r="G5" s="21" t="n">
        <v>618</v>
      </c>
      <c r="H5" s="21" t="n">
        <v>640</v>
      </c>
      <c r="I5" s="51" t="n">
        <f aca="false">IF(H5="","",G5-H5)</f>
        <v>-22</v>
      </c>
      <c r="J5" s="39" t="n">
        <f aca="false">IF(OR(D5="",D5+G5=0),"",D5/(D5+G5))</f>
        <v>0.281395348837209</v>
      </c>
      <c r="K5" s="39" t="n">
        <f aca="false">IF(E5="","",E5/(E5+H5))</f>
        <v>0.239904988123515</v>
      </c>
      <c r="L5" s="52" t="n">
        <f aca="false">IF(OR(K5="",J5=""),"",(J5-K5)*100)</f>
        <v>4.14903607136939</v>
      </c>
      <c r="M5" s="38"/>
    </row>
    <row r="6" customFormat="false" ht="15" hidden="false" customHeight="false" outlineLevel="0" collapsed="false">
      <c r="A6" s="38" t="s">
        <v>87</v>
      </c>
      <c r="B6" s="38" t="s">
        <v>93</v>
      </c>
      <c r="C6" s="38" t="s">
        <v>95</v>
      </c>
      <c r="D6" s="21" t="n">
        <v>251</v>
      </c>
      <c r="E6" s="21" t="n">
        <v>232</v>
      </c>
      <c r="F6" s="51" t="n">
        <f aca="false">IF(E6="","",D6-E6)</f>
        <v>19</v>
      </c>
      <c r="G6" s="21" t="n">
        <v>585</v>
      </c>
      <c r="H6" s="21" t="n">
        <v>603</v>
      </c>
      <c r="I6" s="51" t="n">
        <f aca="false">IF(H6="","",G6-H6)</f>
        <v>-18</v>
      </c>
      <c r="J6" s="39" t="n">
        <f aca="false">IF(OR(D6="",D6+G6=0),"",D6/(D6+G6))</f>
        <v>0.300239234449761</v>
      </c>
      <c r="K6" s="39" t="n">
        <f aca="false">IF(E6="","",E6/(E6+H6))</f>
        <v>0.277844311377246</v>
      </c>
      <c r="L6" s="52" t="n">
        <f aca="false">IF(OR(K6="",J6=""),"",(J6-K6)*100)</f>
        <v>2.23949230725152</v>
      </c>
      <c r="M6" s="38"/>
    </row>
    <row r="7" customFormat="false" ht="15" hidden="false" customHeight="false" outlineLevel="0" collapsed="false">
      <c r="A7" s="38" t="s">
        <v>87</v>
      </c>
      <c r="B7" s="38" t="s">
        <v>96</v>
      </c>
      <c r="C7" s="38" t="s">
        <v>96</v>
      </c>
      <c r="D7" s="21" t="n">
        <v>49</v>
      </c>
      <c r="E7" s="21" t="n">
        <v>38</v>
      </c>
      <c r="F7" s="51" t="n">
        <f aca="false">IF(E7="","",D7-E7)</f>
        <v>11</v>
      </c>
      <c r="G7" s="21" t="n">
        <v>74</v>
      </c>
      <c r="H7" s="21" t="n">
        <v>78</v>
      </c>
      <c r="I7" s="51" t="n">
        <f aca="false">IF(H7="","",G7-H7)</f>
        <v>-4</v>
      </c>
      <c r="J7" s="39" t="n">
        <f aca="false">IF(OR(D7="",D7+G7=0),"",D7/(D7+G7))</f>
        <v>0.398373983739837</v>
      </c>
      <c r="K7" s="39" t="n">
        <f aca="false">IF(E7="","",E7/(E7+H7))</f>
        <v>0.327586206896552</v>
      </c>
      <c r="L7" s="52" t="n">
        <f aca="false">IF(OR(K7="",J7=""),"",(J7-K7)*100)</f>
        <v>7.07877768432857</v>
      </c>
      <c r="M7" s="38"/>
    </row>
    <row r="8" customFormat="false" ht="15" hidden="false" customHeight="false" outlineLevel="0" collapsed="false">
      <c r="A8" s="38" t="s">
        <v>87</v>
      </c>
      <c r="B8" s="38" t="s">
        <v>97</v>
      </c>
      <c r="C8" s="38" t="s">
        <v>98</v>
      </c>
      <c r="D8" s="21" t="n">
        <v>337</v>
      </c>
      <c r="E8" s="21" t="n">
        <v>301</v>
      </c>
      <c r="F8" s="51" t="n">
        <f aca="false">IF(E8="","",D8-E8)</f>
        <v>36</v>
      </c>
      <c r="G8" s="21" t="n">
        <v>768</v>
      </c>
      <c r="H8" s="21" t="n">
        <v>760</v>
      </c>
      <c r="I8" s="51" t="n">
        <f aca="false">IF(H8="","",G8-H8)</f>
        <v>8</v>
      </c>
      <c r="J8" s="39" t="n">
        <f aca="false">IF(OR(D8="",D8+G8=0),"",D8/(D8+G8))</f>
        <v>0.304977375565611</v>
      </c>
      <c r="K8" s="39" t="n">
        <f aca="false">IF(E8="","",E8/(E8+H8))</f>
        <v>0.283694627709708</v>
      </c>
      <c r="L8" s="52" t="n">
        <f aca="false">IF(OR(K8="",J8=""),"",(J8-K8)*100)</f>
        <v>2.12827478559031</v>
      </c>
      <c r="M8" s="38"/>
    </row>
    <row r="9" customFormat="false" ht="15" hidden="false" customHeight="false" outlineLevel="0" collapsed="false">
      <c r="A9" s="38" t="s">
        <v>87</v>
      </c>
      <c r="B9" s="38" t="s">
        <v>97</v>
      </c>
      <c r="C9" s="38" t="s">
        <v>100</v>
      </c>
      <c r="D9" s="21" t="n">
        <v>188</v>
      </c>
      <c r="E9" s="21" t="n">
        <v>164</v>
      </c>
      <c r="F9" s="51" t="n">
        <f aca="false">IF(E9="","",D9-E9)</f>
        <v>24</v>
      </c>
      <c r="G9" s="21" t="n">
        <v>437</v>
      </c>
      <c r="H9" s="21" t="n">
        <v>450</v>
      </c>
      <c r="I9" s="51" t="n">
        <f aca="false">IF(H9="","",G9-H9)</f>
        <v>-13</v>
      </c>
      <c r="J9" s="39" t="n">
        <f aca="false">IF(OR(D9="",D9+G9=0),"",D9/(D9+G9))</f>
        <v>0.3008</v>
      </c>
      <c r="K9" s="39" t="n">
        <f aca="false">IF(E9="","",E9/(E9+H9))</f>
        <v>0.267100977198697</v>
      </c>
      <c r="L9" s="52" t="n">
        <f aca="false">IF(OR(K9="",J9=""),"",(J9-K9)*100)</f>
        <v>3.36990228013029</v>
      </c>
      <c r="M9" s="38"/>
    </row>
    <row r="10" customFormat="false" ht="15" hidden="false" customHeight="false" outlineLevel="0" collapsed="false">
      <c r="A10" s="38" t="s">
        <v>87</v>
      </c>
      <c r="B10" s="38" t="s">
        <v>97</v>
      </c>
      <c r="C10" s="38" t="s">
        <v>101</v>
      </c>
      <c r="D10" s="21" t="n">
        <v>250</v>
      </c>
      <c r="E10" s="21" t="n">
        <v>235</v>
      </c>
      <c r="F10" s="51" t="n">
        <f aca="false">IF(E10="","",D10-E10)</f>
        <v>15</v>
      </c>
      <c r="G10" s="21" t="n">
        <v>643</v>
      </c>
      <c r="H10" s="21" t="n">
        <v>626</v>
      </c>
      <c r="I10" s="51" t="n">
        <f aca="false">IF(H10="","",G10-H10)</f>
        <v>17</v>
      </c>
      <c r="J10" s="39" t="n">
        <f aca="false">IF(OR(D10="",D10+G10=0),"",D10/(D10+G10))</f>
        <v>0.279955207166853</v>
      </c>
      <c r="K10" s="39" t="n">
        <f aca="false">IF(E10="","",E10/(E10+H10))</f>
        <v>0.272938443670151</v>
      </c>
      <c r="L10" s="52" t="n">
        <f aca="false">IF(OR(K10="",J10=""),"",(J10-K10)*100)</f>
        <v>0.701676349670233</v>
      </c>
      <c r="M10" s="38"/>
    </row>
    <row r="11" customFormat="false" ht="15" hidden="false" customHeight="false" outlineLevel="0" collapsed="false">
      <c r="A11" s="38" t="s">
        <v>87</v>
      </c>
      <c r="B11" s="38" t="s">
        <v>102</v>
      </c>
      <c r="C11" s="38" t="s">
        <v>103</v>
      </c>
      <c r="D11" s="21" t="n">
        <v>274</v>
      </c>
      <c r="E11" s="21" t="n">
        <v>229</v>
      </c>
      <c r="F11" s="51" t="n">
        <f aca="false">IF(E11="","",D11-E11)</f>
        <v>45</v>
      </c>
      <c r="G11" s="21" t="n">
        <v>292</v>
      </c>
      <c r="H11" s="21" t="n">
        <v>297</v>
      </c>
      <c r="I11" s="51" t="n">
        <f aca="false">IF(H11="","",G11-H11)</f>
        <v>-5</v>
      </c>
      <c r="J11" s="39" t="n">
        <f aca="false">IF(OR(D11="",D11+G11=0),"",D11/(D11+G11))</f>
        <v>0.484098939929329</v>
      </c>
      <c r="K11" s="39" t="n">
        <f aca="false">IF(E11="","",E11/(E11+H11))</f>
        <v>0.435361216730038</v>
      </c>
      <c r="L11" s="52" t="n">
        <f aca="false">IF(OR(K11="",J11=""),"",(J11-K11)*100)</f>
        <v>4.87377231992906</v>
      </c>
      <c r="M11" s="38"/>
    </row>
    <row r="12" customFormat="false" ht="15" hidden="false" customHeight="false" outlineLevel="0" collapsed="false">
      <c r="A12" s="38" t="s">
        <v>87</v>
      </c>
      <c r="B12" s="38" t="s">
        <v>102</v>
      </c>
      <c r="C12" s="38" t="s">
        <v>104</v>
      </c>
      <c r="D12" s="21" t="n">
        <v>188</v>
      </c>
      <c r="E12" s="21" t="n">
        <v>163</v>
      </c>
      <c r="F12" s="51" t="n">
        <f aca="false">IF(E12="","",D12-E12)</f>
        <v>25</v>
      </c>
      <c r="G12" s="21" t="n">
        <v>208</v>
      </c>
      <c r="H12" s="21" t="n">
        <v>226</v>
      </c>
      <c r="I12" s="51" t="n">
        <f aca="false">IF(H12="","",G12-H12)</f>
        <v>-18</v>
      </c>
      <c r="J12" s="39" t="n">
        <f aca="false">IF(OR(D12="",D12+G12=0),"",D12/(D12+G12))</f>
        <v>0.474747474747475</v>
      </c>
      <c r="K12" s="39" t="n">
        <f aca="false">IF(E12="","",E12/(E12+H12))</f>
        <v>0.419023136246787</v>
      </c>
      <c r="L12" s="52" t="n">
        <f aca="false">IF(OR(K12="",J12=""),"",(J12-K12)*100)</f>
        <v>5.57243385006881</v>
      </c>
      <c r="M12" s="38"/>
    </row>
    <row r="13" customFormat="false" ht="15" hidden="false" customHeight="false" outlineLevel="0" collapsed="false">
      <c r="A13" s="38" t="s">
        <v>87</v>
      </c>
      <c r="B13" s="38" t="s">
        <v>102</v>
      </c>
      <c r="C13" s="38" t="s">
        <v>105</v>
      </c>
      <c r="D13" s="21" t="n">
        <v>335</v>
      </c>
      <c r="E13" s="21" t="n">
        <v>286</v>
      </c>
      <c r="F13" s="51" t="n">
        <f aca="false">IF(E13="","",D13-E13)</f>
        <v>49</v>
      </c>
      <c r="G13" s="21" t="n">
        <v>456</v>
      </c>
      <c r="H13" s="21" t="n">
        <v>464</v>
      </c>
      <c r="I13" s="51" t="n">
        <f aca="false">IF(H13="","",G13-H13)</f>
        <v>-8</v>
      </c>
      <c r="J13" s="39" t="n">
        <f aca="false">IF(OR(D13="",D13+G13=0),"",D13/(D13+G13))</f>
        <v>0.423514538558786</v>
      </c>
      <c r="K13" s="39" t="n">
        <f aca="false">IF(E13="","",E13/(E13+H13))</f>
        <v>0.381333333333333</v>
      </c>
      <c r="L13" s="52" t="n">
        <f aca="false">IF(OR(K13="",J13=""),"",(J13-K13)*100)</f>
        <v>4.2181205225453</v>
      </c>
      <c r="M13" s="38"/>
    </row>
    <row r="14" customFormat="false" ht="15" hidden="false" customHeight="false" outlineLevel="0" collapsed="false">
      <c r="A14" s="38" t="s">
        <v>87</v>
      </c>
      <c r="B14" s="38" t="s">
        <v>102</v>
      </c>
      <c r="C14" s="38" t="s">
        <v>106</v>
      </c>
      <c r="D14" s="21" t="n">
        <v>175</v>
      </c>
      <c r="E14" s="21" t="n">
        <v>138</v>
      </c>
      <c r="F14" s="51" t="n">
        <f aca="false">IF(E14="","",D14-E14)</f>
        <v>37</v>
      </c>
      <c r="G14" s="21" t="n">
        <v>141</v>
      </c>
      <c r="H14" s="21" t="n">
        <v>134</v>
      </c>
      <c r="I14" s="51" t="n">
        <f aca="false">IF(H14="","",G14-H14)</f>
        <v>7</v>
      </c>
      <c r="J14" s="39" t="n">
        <f aca="false">IF(OR(D14="",D14+G14=0),"",D14/(D14+G14))</f>
        <v>0.55379746835443</v>
      </c>
      <c r="K14" s="39" t="n">
        <f aca="false">IF(E14="","",E14/(E14+H14))</f>
        <v>0.507352941176471</v>
      </c>
      <c r="L14" s="52" t="n">
        <f aca="false">IF(OR(K14="",J14=""),"",(J14-K14)*100)</f>
        <v>4.64445271779598</v>
      </c>
      <c r="M14" s="38"/>
    </row>
    <row r="15" customFormat="false" ht="15" hidden="false" customHeight="false" outlineLevel="0" collapsed="false">
      <c r="A15" s="38" t="s">
        <v>87</v>
      </c>
      <c r="B15" s="38" t="s">
        <v>102</v>
      </c>
      <c r="C15" s="38" t="s">
        <v>107</v>
      </c>
      <c r="D15" s="21" t="n">
        <v>318</v>
      </c>
      <c r="E15" s="21" t="n">
        <v>275</v>
      </c>
      <c r="F15" s="51" t="n">
        <f aca="false">IF(E15="","",D15-E15)</f>
        <v>43</v>
      </c>
      <c r="G15" s="21" t="n">
        <v>333</v>
      </c>
      <c r="H15" s="21" t="n">
        <v>352</v>
      </c>
      <c r="I15" s="51" t="n">
        <f aca="false">IF(H15="","",G15-H15)</f>
        <v>-19</v>
      </c>
      <c r="J15" s="39" t="n">
        <f aca="false">IF(OR(D15="",D15+G15=0),"",D15/(D15+G15))</f>
        <v>0.488479262672811</v>
      </c>
      <c r="K15" s="39" t="n">
        <f aca="false">IF(E15="","",E15/(E15+H15))</f>
        <v>0.43859649122807</v>
      </c>
      <c r="L15" s="52" t="n">
        <f aca="false">IF(OR(K15="",J15=""),"",(J15-K15)*100)</f>
        <v>4.98827714447409</v>
      </c>
      <c r="M15" s="38"/>
    </row>
    <row r="16" customFormat="false" ht="15" hidden="false" customHeight="false" outlineLevel="0" collapsed="false">
      <c r="A16" s="38" t="s">
        <v>87</v>
      </c>
      <c r="B16" s="38" t="s">
        <v>108</v>
      </c>
      <c r="C16" s="38" t="s">
        <v>109</v>
      </c>
      <c r="D16" s="21" t="n">
        <v>124</v>
      </c>
      <c r="E16" s="21" t="n">
        <v>120</v>
      </c>
      <c r="F16" s="51" t="n">
        <f aca="false">IF(E16="","",D16-E16)</f>
        <v>4</v>
      </c>
      <c r="G16" s="21" t="n">
        <v>214</v>
      </c>
      <c r="H16" s="21" t="n">
        <v>202</v>
      </c>
      <c r="I16" s="51" t="n">
        <f aca="false">IF(H16="","",G16-H16)</f>
        <v>12</v>
      </c>
      <c r="J16" s="39" t="n">
        <f aca="false">IF(OR(D16="",D16+G16=0),"",D16/(D16+G16))</f>
        <v>0.366863905325444</v>
      </c>
      <c r="K16" s="39" t="n">
        <f aca="false">IF(E16="","",E16/(E16+H16))</f>
        <v>0.372670807453416</v>
      </c>
      <c r="L16" s="52" t="n">
        <f aca="false">IF(OR(K16="",J16=""),"",(J16-K16)*100)</f>
        <v>-0.580690212797236</v>
      </c>
      <c r="M16" s="38"/>
    </row>
    <row r="17" customFormat="false" ht="15" hidden="false" customHeight="false" outlineLevel="0" collapsed="false">
      <c r="A17" s="38" t="s">
        <v>87</v>
      </c>
      <c r="B17" s="38" t="s">
        <v>108</v>
      </c>
      <c r="C17" s="38" t="s">
        <v>110</v>
      </c>
      <c r="D17" s="21" t="n">
        <v>273</v>
      </c>
      <c r="E17" s="21" t="n">
        <v>227</v>
      </c>
      <c r="F17" s="51" t="n">
        <f aca="false">IF(E17="","",D17-E17)</f>
        <v>46</v>
      </c>
      <c r="G17" s="21" t="n">
        <v>539</v>
      </c>
      <c r="H17" s="21" t="n">
        <v>484</v>
      </c>
      <c r="I17" s="51" t="n">
        <f aca="false">IF(H17="","",G17-H17)</f>
        <v>55</v>
      </c>
      <c r="J17" s="39" t="n">
        <f aca="false">IF(OR(D17="",D17+G17=0),"",D17/(D17+G17))</f>
        <v>0.336206896551724</v>
      </c>
      <c r="K17" s="39" t="n">
        <f aca="false">IF(E17="","",E17/(E17+H17))</f>
        <v>0.319268635724332</v>
      </c>
      <c r="L17" s="52" t="n">
        <f aca="false">IF(OR(K17="",J17=""),"",(J17-K17)*100)</f>
        <v>1.69382608273922</v>
      </c>
      <c r="M17" s="38"/>
    </row>
    <row r="18" customFormat="false" ht="15" hidden="false" customHeight="false" outlineLevel="0" collapsed="false">
      <c r="A18" s="38" t="s">
        <v>87</v>
      </c>
      <c r="B18" s="38" t="s">
        <v>111</v>
      </c>
      <c r="C18" s="38" t="s">
        <v>112</v>
      </c>
      <c r="D18" s="21" t="n">
        <v>300</v>
      </c>
      <c r="E18" s="21" t="n">
        <v>249</v>
      </c>
      <c r="F18" s="51" t="n">
        <f aca="false">IF(E18="","",D18-E18)</f>
        <v>51</v>
      </c>
      <c r="G18" s="21" t="n">
        <v>373</v>
      </c>
      <c r="H18" s="21" t="n">
        <v>392</v>
      </c>
      <c r="I18" s="51" t="n">
        <f aca="false">IF(H18="","",G18-H18)</f>
        <v>-19</v>
      </c>
      <c r="J18" s="39" t="n">
        <f aca="false">IF(OR(D18="",D18+G18=0),"",D18/(D18+G18))</f>
        <v>0.445765230312036</v>
      </c>
      <c r="K18" s="39" t="n">
        <f aca="false">IF(E18="","",E18/(E18+H18))</f>
        <v>0.388455538221529</v>
      </c>
      <c r="L18" s="52" t="n">
        <f aca="false">IF(OR(K18="",J18=""),"",(J18-K18)*100)</f>
        <v>5.73096920905068</v>
      </c>
      <c r="M18" s="38"/>
    </row>
    <row r="19" customFormat="false" ht="15" hidden="false" customHeight="false" outlineLevel="0" collapsed="false">
      <c r="A19" s="38" t="s">
        <v>87</v>
      </c>
      <c r="B19" s="38" t="s">
        <v>111</v>
      </c>
      <c r="C19" s="38" t="s">
        <v>113</v>
      </c>
      <c r="D19" s="21" t="n">
        <v>185</v>
      </c>
      <c r="E19" s="21" t="n">
        <v>152</v>
      </c>
      <c r="F19" s="51" t="n">
        <f aca="false">IF(E19="","",D19-E19)</f>
        <v>33</v>
      </c>
      <c r="G19" s="21" t="n">
        <v>230</v>
      </c>
      <c r="H19" s="21" t="n">
        <v>246</v>
      </c>
      <c r="I19" s="51" t="n">
        <f aca="false">IF(H19="","",G19-H19)</f>
        <v>-16</v>
      </c>
      <c r="J19" s="39" t="n">
        <f aca="false">IF(OR(D19="",D19+G19=0),"",D19/(D19+G19))</f>
        <v>0.445783132530121</v>
      </c>
      <c r="K19" s="39" t="n">
        <f aca="false">IF(E19="","",E19/(E19+H19))</f>
        <v>0.381909547738693</v>
      </c>
      <c r="L19" s="52" t="n">
        <f aca="false">IF(OR(K19="",J19=""),"",(J19-K19)*100)</f>
        <v>6.3873584791427</v>
      </c>
      <c r="M19" s="38"/>
    </row>
    <row r="20" customFormat="false" ht="15" hidden="false" customHeight="false" outlineLevel="0" collapsed="false">
      <c r="A20" s="38" t="s">
        <v>87</v>
      </c>
      <c r="B20" s="38" t="s">
        <v>111</v>
      </c>
      <c r="C20" s="38" t="s">
        <v>114</v>
      </c>
      <c r="D20" s="21" t="n">
        <v>174</v>
      </c>
      <c r="E20" s="21" t="n">
        <v>165</v>
      </c>
      <c r="F20" s="51" t="n">
        <f aca="false">IF(E20="","",D20-E20)</f>
        <v>9</v>
      </c>
      <c r="G20" s="21" t="n">
        <v>189</v>
      </c>
      <c r="H20" s="21" t="n">
        <v>237</v>
      </c>
      <c r="I20" s="51" t="n">
        <f aca="false">IF(H20="","",G20-H20)</f>
        <v>-48</v>
      </c>
      <c r="J20" s="39" t="n">
        <f aca="false">IF(OR(D20="",D20+G20=0),"",D20/(D20+G20))</f>
        <v>0.479338842975207</v>
      </c>
      <c r="K20" s="39" t="n">
        <f aca="false">IF(E20="","",E20/(E20+H20))</f>
        <v>0.41044776119403</v>
      </c>
      <c r="L20" s="52" t="n">
        <f aca="false">IF(OR(K20="",J20=""),"",(J20-K20)*100)</f>
        <v>6.88910817811768</v>
      </c>
      <c r="M20" s="38"/>
    </row>
    <row r="21" customFormat="false" ht="15" hidden="false" customHeight="false" outlineLevel="0" collapsed="false">
      <c r="A21" s="38" t="s">
        <v>87</v>
      </c>
      <c r="B21" s="38" t="s">
        <v>115</v>
      </c>
      <c r="C21" s="38" t="s">
        <v>115</v>
      </c>
      <c r="D21" s="21" t="n">
        <v>50</v>
      </c>
      <c r="E21" s="21" t="n">
        <v>38</v>
      </c>
      <c r="F21" s="51" t="n">
        <f aca="false">IF(E21="","",D21-E21)</f>
        <v>12</v>
      </c>
      <c r="G21" s="21" t="n">
        <v>103</v>
      </c>
      <c r="H21" s="21" t="n">
        <v>106</v>
      </c>
      <c r="I21" s="51" t="n">
        <f aca="false">IF(H21="","",G21-H21)</f>
        <v>-3</v>
      </c>
      <c r="J21" s="39" t="n">
        <f aca="false">IF(OR(D21="",D21+G21=0),"",D21/(D21+G21))</f>
        <v>0.326797385620915</v>
      </c>
      <c r="K21" s="39" t="n">
        <f aca="false">IF(E21="","",E21/(E21+H21))</f>
        <v>0.263888888888889</v>
      </c>
      <c r="L21" s="52" t="n">
        <f aca="false">IF(OR(K21="",J21=""),"",(J21-K21)*100)</f>
        <v>6.29084967320261</v>
      </c>
      <c r="M21" s="38"/>
    </row>
    <row r="22" customFormat="false" ht="15" hidden="false" customHeight="false" outlineLevel="0" collapsed="false">
      <c r="A22" s="38" t="s">
        <v>87</v>
      </c>
      <c r="B22" s="38" t="s">
        <v>116</v>
      </c>
      <c r="C22" s="38" t="s">
        <v>116</v>
      </c>
      <c r="D22" s="21" t="n">
        <v>75</v>
      </c>
      <c r="E22" s="21" t="n">
        <v>58</v>
      </c>
      <c r="F22" s="51" t="n">
        <f aca="false">IF(E22="","",D22-E22)</f>
        <v>17</v>
      </c>
      <c r="G22" s="21" t="n">
        <v>226</v>
      </c>
      <c r="H22" s="21" t="n">
        <v>214</v>
      </c>
      <c r="I22" s="51" t="n">
        <f aca="false">IF(H22="","",G22-H22)</f>
        <v>12</v>
      </c>
      <c r="J22" s="39" t="n">
        <f aca="false">IF(OR(D22="",D22+G22=0),"",D22/(D22+G22))</f>
        <v>0.249169435215947</v>
      </c>
      <c r="K22" s="39" t="n">
        <f aca="false">IF(E22="","",E22/(E22+H22))</f>
        <v>0.213235294117647</v>
      </c>
      <c r="L22" s="52" t="n">
        <f aca="false">IF(OR(K22="",J22=""),"",(J22-K22)*100)</f>
        <v>3.59341410982998</v>
      </c>
      <c r="M22" s="38"/>
    </row>
    <row r="23" customFormat="false" ht="15" hidden="false" customHeight="false" outlineLevel="0" collapsed="false">
      <c r="A23" s="38" t="s">
        <v>87</v>
      </c>
      <c r="B23" s="38" t="s">
        <v>117</v>
      </c>
      <c r="C23" s="38" t="s">
        <v>118</v>
      </c>
      <c r="D23" s="21" t="n">
        <v>333</v>
      </c>
      <c r="E23" s="21" t="n">
        <v>321</v>
      </c>
      <c r="F23" s="51" t="n">
        <f aca="false">IF(E23="","",D23-E23)</f>
        <v>12</v>
      </c>
      <c r="G23" s="21" t="n">
        <v>470</v>
      </c>
      <c r="H23" s="21" t="n">
        <v>498</v>
      </c>
      <c r="I23" s="51" t="n">
        <f aca="false">IF(H23="","",G23-H23)</f>
        <v>-28</v>
      </c>
      <c r="J23" s="39" t="n">
        <f aca="false">IF(OR(D23="",D23+G23=0),"",D23/(D23+G23))</f>
        <v>0.414694894146949</v>
      </c>
      <c r="K23" s="39" t="n">
        <f aca="false">IF(E23="","",E23/(E23+H23))</f>
        <v>0.391941391941392</v>
      </c>
      <c r="L23" s="52" t="n">
        <f aca="false">IF(OR(K23="",J23=""),"",(J23-K23)*100)</f>
        <v>2.2753502205557</v>
      </c>
      <c r="M23" s="38"/>
    </row>
    <row r="24" customFormat="false" ht="15" hidden="false" customHeight="false" outlineLevel="0" collapsed="false">
      <c r="A24" s="38" t="s">
        <v>87</v>
      </c>
      <c r="B24" s="38" t="s">
        <v>117</v>
      </c>
      <c r="C24" s="38" t="s">
        <v>119</v>
      </c>
      <c r="D24" s="21" t="n">
        <v>312</v>
      </c>
      <c r="E24" s="21" t="n">
        <v>288</v>
      </c>
      <c r="F24" s="51" t="n">
        <f aca="false">IF(E24="","",D24-E24)</f>
        <v>24</v>
      </c>
      <c r="G24" s="21" t="n">
        <v>406</v>
      </c>
      <c r="H24" s="21" t="n">
        <v>448</v>
      </c>
      <c r="I24" s="51" t="n">
        <f aca="false">IF(H24="","",G24-H24)</f>
        <v>-42</v>
      </c>
      <c r="J24" s="39" t="n">
        <f aca="false">IF(OR(D24="",D24+G24=0),"",D24/(D24+G24))</f>
        <v>0.434540389972145</v>
      </c>
      <c r="K24" s="39" t="n">
        <f aca="false">IF(E24="","",E24/(E24+H24))</f>
        <v>0.391304347826087</v>
      </c>
      <c r="L24" s="52" t="n">
        <f aca="false">IF(OR(K24="",J24=""),"",(J24-K24)*100)</f>
        <v>4.32360421460579</v>
      </c>
      <c r="M24" s="38"/>
    </row>
    <row r="25" customFormat="false" ht="15" hidden="false" customHeight="false" outlineLevel="0" collapsed="false">
      <c r="A25" s="38" t="s">
        <v>87</v>
      </c>
      <c r="B25" s="38" t="s">
        <v>117</v>
      </c>
      <c r="C25" s="38" t="s">
        <v>120</v>
      </c>
      <c r="D25" s="21" t="n">
        <v>335</v>
      </c>
      <c r="E25" s="21" t="n">
        <v>317</v>
      </c>
      <c r="F25" s="51" t="n">
        <f aca="false">IF(E25="","",D25-E25)</f>
        <v>18</v>
      </c>
      <c r="G25" s="21" t="n">
        <v>448</v>
      </c>
      <c r="H25" s="21" t="n">
        <v>527</v>
      </c>
      <c r="I25" s="51" t="n">
        <f aca="false">IF(H25="","",G25-H25)</f>
        <v>-79</v>
      </c>
      <c r="J25" s="39" t="n">
        <f aca="false">IF(OR(D25="",D25+G25=0),"",D25/(D25+G25))</f>
        <v>0.427841634738187</v>
      </c>
      <c r="K25" s="39" t="n">
        <f aca="false">IF(E25="","",E25/(E25+H25))</f>
        <v>0.375592417061611</v>
      </c>
      <c r="L25" s="52" t="n">
        <f aca="false">IF(OR(K25="",J25=""),"",(J25-K25)*100)</f>
        <v>5.22492176765751</v>
      </c>
      <c r="M25" s="38"/>
    </row>
    <row r="26" customFormat="false" ht="15" hidden="false" customHeight="false" outlineLevel="0" collapsed="false">
      <c r="A26" s="38" t="s">
        <v>87</v>
      </c>
      <c r="B26" s="38" t="s">
        <v>121</v>
      </c>
      <c r="C26" s="38" t="s">
        <v>122</v>
      </c>
      <c r="D26" s="21" t="n">
        <v>358</v>
      </c>
      <c r="E26" s="21" t="n">
        <v>285</v>
      </c>
      <c r="F26" s="51" t="n">
        <f aca="false">IF(E26="","",D26-E26)</f>
        <v>73</v>
      </c>
      <c r="G26" s="21" t="n">
        <v>705</v>
      </c>
      <c r="H26" s="21" t="n">
        <v>760</v>
      </c>
      <c r="I26" s="51" t="n">
        <f aca="false">IF(H26="","",G26-H26)</f>
        <v>-55</v>
      </c>
      <c r="J26" s="39" t="n">
        <f aca="false">IF(OR(D26="",D26+G26=0),"",D26/(D26+G26))</f>
        <v>0.336782690498589</v>
      </c>
      <c r="K26" s="39" t="n">
        <f aca="false">IF(E26="","",E26/(E26+H26))</f>
        <v>0.272727272727273</v>
      </c>
      <c r="L26" s="52" t="n">
        <f aca="false">IF(OR(K26="",J26=""),"",(J26-K26)*100)</f>
        <v>6.40554177713162</v>
      </c>
      <c r="M26" s="38"/>
    </row>
    <row r="27" customFormat="false" ht="15" hidden="false" customHeight="false" outlineLevel="0" collapsed="false">
      <c r="A27" s="38" t="s">
        <v>87</v>
      </c>
      <c r="B27" s="38" t="s">
        <v>121</v>
      </c>
      <c r="C27" s="38" t="s">
        <v>123</v>
      </c>
      <c r="D27" s="21" t="n">
        <v>238</v>
      </c>
      <c r="E27" s="21" t="n">
        <v>228</v>
      </c>
      <c r="F27" s="51" t="n">
        <f aca="false">IF(E27="","",D27-E27)</f>
        <v>10</v>
      </c>
      <c r="G27" s="21" t="n">
        <v>459</v>
      </c>
      <c r="H27" s="21" t="n">
        <v>522</v>
      </c>
      <c r="I27" s="51" t="n">
        <f aca="false">IF(H27="","",G27-H27)</f>
        <v>-63</v>
      </c>
      <c r="J27" s="39" t="n">
        <f aca="false">IF(OR(D27="",D27+G27=0),"",D27/(D27+G27))</f>
        <v>0.341463414634146</v>
      </c>
      <c r="K27" s="39" t="n">
        <f aca="false">IF(E27="","",E27/(E27+H27))</f>
        <v>0.304</v>
      </c>
      <c r="L27" s="52" t="n">
        <f aca="false">IF(OR(K27="",J27=""),"",(J27-K27)*100)</f>
        <v>3.74634146341464</v>
      </c>
      <c r="M27" s="38"/>
    </row>
    <row r="28" customFormat="false" ht="15" hidden="false" customHeight="false" outlineLevel="0" collapsed="false">
      <c r="A28" s="38" t="s">
        <v>87</v>
      </c>
      <c r="B28" s="38" t="s">
        <v>124</v>
      </c>
      <c r="C28" s="38" t="s">
        <v>125</v>
      </c>
      <c r="D28" s="21" t="n">
        <v>142</v>
      </c>
      <c r="E28" s="21" t="n">
        <v>135</v>
      </c>
      <c r="F28" s="51" t="n">
        <f aca="false">IF(E28="","",D28-E28)</f>
        <v>7</v>
      </c>
      <c r="G28" s="21" t="n">
        <v>389</v>
      </c>
      <c r="H28" s="21" t="n">
        <v>395</v>
      </c>
      <c r="I28" s="51" t="n">
        <f aca="false">IF(H28="","",G28-H28)</f>
        <v>-6</v>
      </c>
      <c r="J28" s="39" t="n">
        <f aca="false">IF(OR(D28="",D28+G28=0),"",D28/(D28+G28))</f>
        <v>0.267419962335217</v>
      </c>
      <c r="K28" s="39" t="n">
        <f aca="false">IF(E28="","",E28/(E28+H28))</f>
        <v>0.254716981132075</v>
      </c>
      <c r="L28" s="52" t="n">
        <f aca="false">IF(OR(K28="",J28=""),"",(J28-K28)*100)</f>
        <v>1.27029812031411</v>
      </c>
      <c r="M28" s="38"/>
    </row>
    <row r="29" customFormat="false" ht="15" hidden="false" customHeight="false" outlineLevel="0" collapsed="false">
      <c r="A29" s="38" t="s">
        <v>87</v>
      </c>
      <c r="B29" s="38" t="s">
        <v>124</v>
      </c>
      <c r="C29" s="38" t="s">
        <v>126</v>
      </c>
      <c r="D29" s="21" t="n">
        <v>128</v>
      </c>
      <c r="E29" s="21" t="n">
        <v>124</v>
      </c>
      <c r="F29" s="51" t="n">
        <f aca="false">IF(E29="","",D29-E29)</f>
        <v>4</v>
      </c>
      <c r="G29" s="21" t="n">
        <v>274</v>
      </c>
      <c r="H29" s="21" t="n">
        <v>298</v>
      </c>
      <c r="I29" s="51" t="n">
        <f aca="false">IF(H29="","",G29-H29)</f>
        <v>-24</v>
      </c>
      <c r="J29" s="39" t="n">
        <f aca="false">IF(OR(D29="",D29+G29=0),"",D29/(D29+G29))</f>
        <v>0.318407960199005</v>
      </c>
      <c r="K29" s="39" t="n">
        <f aca="false">IF(E29="","",E29/(E29+H29))</f>
        <v>0.293838862559242</v>
      </c>
      <c r="L29" s="52" t="n">
        <f aca="false">IF(OR(K29="",J29=""),"",(J29-K29)*100)</f>
        <v>2.45690976397633</v>
      </c>
      <c r="M29" s="38"/>
    </row>
    <row r="30" customFormat="false" ht="15" hidden="false" customHeight="false" outlineLevel="0" collapsed="false">
      <c r="A30" s="38" t="s">
        <v>87</v>
      </c>
      <c r="B30" s="38" t="s">
        <v>124</v>
      </c>
      <c r="C30" s="38" t="s">
        <v>127</v>
      </c>
      <c r="D30" s="21" t="n">
        <v>424</v>
      </c>
      <c r="E30" s="21" t="n">
        <v>424</v>
      </c>
      <c r="F30" s="51" t="n">
        <f aca="false">IF(E30="","",D30-E30)</f>
        <v>0</v>
      </c>
      <c r="G30" s="21" t="n">
        <v>924</v>
      </c>
      <c r="H30" s="21" t="n">
        <v>988</v>
      </c>
      <c r="I30" s="51" t="n">
        <f aca="false">IF(H30="","",G30-H30)</f>
        <v>-64</v>
      </c>
      <c r="J30" s="39" t="n">
        <f aca="false">IF(OR(D30="",D30+G30=0),"",D30/(D30+G30))</f>
        <v>0.314540059347181</v>
      </c>
      <c r="K30" s="39" t="n">
        <f aca="false">IF(E30="","",E30/(E30+H30))</f>
        <v>0.30028328611898</v>
      </c>
      <c r="L30" s="52" t="n">
        <f aca="false">IF(OR(K30="",J30=""),"",(J30-K30)*100)</f>
        <v>1.42567732282008</v>
      </c>
      <c r="M30" s="38"/>
    </row>
    <row r="31" customFormat="false" ht="15" hidden="false" customHeight="false" outlineLevel="0" collapsed="false">
      <c r="A31" s="38" t="s">
        <v>87</v>
      </c>
      <c r="B31" s="38" t="s">
        <v>129</v>
      </c>
      <c r="C31" s="38" t="s">
        <v>130</v>
      </c>
      <c r="D31" s="21" t="n">
        <v>328</v>
      </c>
      <c r="E31" s="21" t="n">
        <v>279</v>
      </c>
      <c r="F31" s="51" t="n">
        <f aca="false">IF(E31="","",D31-E31)</f>
        <v>49</v>
      </c>
      <c r="G31" s="21" t="n">
        <v>412</v>
      </c>
      <c r="H31" s="21" t="n">
        <v>445</v>
      </c>
      <c r="I31" s="51" t="n">
        <f aca="false">IF(H31="","",G31-H31)</f>
        <v>-33</v>
      </c>
      <c r="J31" s="39" t="n">
        <f aca="false">IF(OR(D31="",D31+G31=0),"",D31/(D31+G31))</f>
        <v>0.443243243243243</v>
      </c>
      <c r="K31" s="39" t="n">
        <f aca="false">IF(E31="","",E31/(E31+H31))</f>
        <v>0.385359116022099</v>
      </c>
      <c r="L31" s="52" t="n">
        <f aca="false">IF(OR(K31="",J31=""),"",(J31-K31)*100)</f>
        <v>5.78841272211438</v>
      </c>
      <c r="M31" s="38"/>
    </row>
    <row r="32" customFormat="false" ht="15" hidden="false" customHeight="false" outlineLevel="0" collapsed="false">
      <c r="A32" s="38" t="s">
        <v>87</v>
      </c>
      <c r="B32" s="38" t="s">
        <v>129</v>
      </c>
      <c r="C32" s="38" t="s">
        <v>131</v>
      </c>
      <c r="D32" s="21" t="n">
        <v>338</v>
      </c>
      <c r="E32" s="21" t="n">
        <v>309</v>
      </c>
      <c r="F32" s="51" t="n">
        <f aca="false">IF(E32="","",D32-E32)</f>
        <v>29</v>
      </c>
      <c r="G32" s="21" t="n">
        <v>484</v>
      </c>
      <c r="H32" s="21" t="n">
        <v>488</v>
      </c>
      <c r="I32" s="51" t="n">
        <f aca="false">IF(H32="","",G32-H32)</f>
        <v>-4</v>
      </c>
      <c r="J32" s="39" t="n">
        <f aca="false">IF(OR(D32="",D32+G32=0),"",D32/(D32+G32))</f>
        <v>0.411192214111922</v>
      </c>
      <c r="K32" s="39" t="n">
        <f aca="false">IF(E32="","",E32/(E32+H32))</f>
        <v>0.387703889585947</v>
      </c>
      <c r="L32" s="52" t="n">
        <f aca="false">IF(OR(K32="",J32=""),"",(J32-K32)*100)</f>
        <v>2.34883245259748</v>
      </c>
      <c r="M32" s="38"/>
    </row>
    <row r="33" customFormat="false" ht="15" hidden="false" customHeight="false" outlineLevel="0" collapsed="false">
      <c r="A33" s="38" t="s">
        <v>87</v>
      </c>
      <c r="B33" s="38" t="s">
        <v>132</v>
      </c>
      <c r="C33" s="38" t="s">
        <v>132</v>
      </c>
      <c r="D33" s="21" t="n">
        <v>175</v>
      </c>
      <c r="E33" s="21" t="n">
        <v>134</v>
      </c>
      <c r="F33" s="51" t="n">
        <f aca="false">IF(E33="","",D33-E33)</f>
        <v>41</v>
      </c>
      <c r="G33" s="21" t="n">
        <v>527</v>
      </c>
      <c r="H33" s="21" t="n">
        <v>503</v>
      </c>
      <c r="I33" s="51" t="n">
        <f aca="false">IF(H33="","",G33-H33)</f>
        <v>24</v>
      </c>
      <c r="J33" s="39" t="n">
        <f aca="false">IF(OR(D33="",D33+G33=0),"",D33/(D33+G33))</f>
        <v>0.249287749287749</v>
      </c>
      <c r="K33" s="39" t="n">
        <f aca="false">IF(E33="","",E33/(E33+H33))</f>
        <v>0.210361067503925</v>
      </c>
      <c r="L33" s="52" t="n">
        <f aca="false">IF(OR(K33="",J33=""),"",(J33-K33)*100)</f>
        <v>3.89266817838247</v>
      </c>
      <c r="M33" s="38"/>
    </row>
    <row r="34" customFormat="false" ht="15" hidden="false" customHeight="false" outlineLevel="0" collapsed="false">
      <c r="A34" s="38" t="s">
        <v>87</v>
      </c>
      <c r="B34" s="38" t="s">
        <v>133</v>
      </c>
      <c r="C34" s="38" t="s">
        <v>134</v>
      </c>
      <c r="D34" s="21" t="n">
        <v>337</v>
      </c>
      <c r="E34" s="21" t="n">
        <v>281</v>
      </c>
      <c r="F34" s="51" t="n">
        <f aca="false">IF(E34="","",D34-E34)</f>
        <v>56</v>
      </c>
      <c r="G34" s="21" t="n">
        <v>558</v>
      </c>
      <c r="H34" s="21" t="n">
        <v>592</v>
      </c>
      <c r="I34" s="51" t="n">
        <f aca="false">IF(H34="","",G34-H34)</f>
        <v>-34</v>
      </c>
      <c r="J34" s="39" t="n">
        <f aca="false">IF(OR(D34="",D34+G34=0),"",D34/(D34+G34))</f>
        <v>0.376536312849162</v>
      </c>
      <c r="K34" s="39" t="n">
        <f aca="false">IF(E34="","",E34/(E34+H34))</f>
        <v>0.321878579610538</v>
      </c>
      <c r="L34" s="52" t="n">
        <f aca="false">IF(OR(K34="",J34=""),"",(J34-K34)*100)</f>
        <v>5.46577332386236</v>
      </c>
      <c r="M34" s="38"/>
    </row>
    <row r="35" customFormat="false" ht="15" hidden="false" customHeight="false" outlineLevel="0" collapsed="false">
      <c r="A35" s="38" t="s">
        <v>87</v>
      </c>
      <c r="B35" s="38" t="s">
        <v>133</v>
      </c>
      <c r="C35" s="38" t="s">
        <v>135</v>
      </c>
      <c r="D35" s="21" t="n">
        <v>544</v>
      </c>
      <c r="E35" s="21" t="n">
        <v>467</v>
      </c>
      <c r="F35" s="51" t="n">
        <f aca="false">IF(E35="","",D35-E35)</f>
        <v>77</v>
      </c>
      <c r="G35" s="21" t="n">
        <v>746</v>
      </c>
      <c r="H35" s="21" t="n">
        <v>782</v>
      </c>
      <c r="I35" s="51" t="n">
        <f aca="false">IF(H35="","",G35-H35)</f>
        <v>-36</v>
      </c>
      <c r="J35" s="39" t="n">
        <f aca="false">IF(OR(D35="",D35+G35=0),"",D35/(D35+G35))</f>
        <v>0.421705426356589</v>
      </c>
      <c r="K35" s="39" t="n">
        <f aca="false">IF(E35="","",E35/(E35+H35))</f>
        <v>0.373899119295436</v>
      </c>
      <c r="L35" s="52" t="n">
        <f aca="false">IF(OR(K35="",J35=""),"",(J35-K35)*100)</f>
        <v>4.78063070611528</v>
      </c>
      <c r="M35" s="38"/>
    </row>
    <row r="36" customFormat="false" ht="15" hidden="false" customHeight="false" outlineLevel="0" collapsed="false">
      <c r="A36" s="38" t="s">
        <v>87</v>
      </c>
      <c r="B36" s="38" t="s">
        <v>133</v>
      </c>
      <c r="C36" s="38" t="s">
        <v>136</v>
      </c>
      <c r="D36" s="21" t="n">
        <v>164</v>
      </c>
      <c r="E36" s="21" t="n">
        <v>136</v>
      </c>
      <c r="F36" s="51" t="n">
        <f aca="false">IF(E36="","",D36-E36)</f>
        <v>28</v>
      </c>
      <c r="G36" s="21" t="n">
        <v>253</v>
      </c>
      <c r="H36" s="21" t="n">
        <v>278</v>
      </c>
      <c r="I36" s="51" t="n">
        <f aca="false">IF(H36="","",G36-H36)</f>
        <v>-25</v>
      </c>
      <c r="J36" s="39" t="n">
        <f aca="false">IF(OR(D36="",D36+G36=0),"",D36/(D36+G36))</f>
        <v>0.393285371702638</v>
      </c>
      <c r="K36" s="39" t="n">
        <f aca="false">IF(E36="","",E36/(E36+H36))</f>
        <v>0.328502415458937</v>
      </c>
      <c r="L36" s="52" t="n">
        <f aca="false">IF(OR(K36="",J36=""),"",(J36-K36)*100)</f>
        <v>6.47829562437007</v>
      </c>
      <c r="M36" s="38"/>
    </row>
    <row r="37" customFormat="false" ht="15" hidden="false" customHeight="false" outlineLevel="0" collapsed="false">
      <c r="A37" s="38" t="s">
        <v>87</v>
      </c>
      <c r="B37" s="38" t="s">
        <v>137</v>
      </c>
      <c r="C37" s="38" t="s">
        <v>137</v>
      </c>
      <c r="D37" s="21" t="n">
        <v>69</v>
      </c>
      <c r="E37" s="21" t="n">
        <v>68</v>
      </c>
      <c r="F37" s="51" t="n">
        <f aca="false">IF(E37="","",D37-E37)</f>
        <v>1</v>
      </c>
      <c r="G37" s="21" t="n">
        <v>162</v>
      </c>
      <c r="H37" s="21" t="n">
        <v>153</v>
      </c>
      <c r="I37" s="51" t="n">
        <f aca="false">IF(H37="","",G37-H37)</f>
        <v>9</v>
      </c>
      <c r="J37" s="39" t="n">
        <f aca="false">IF(OR(D37="",D37+G37=0),"",D37/(D37+G37))</f>
        <v>0.298701298701299</v>
      </c>
      <c r="K37" s="39" t="n">
        <f aca="false">IF(E37="","",E37/(E37+H37))</f>
        <v>0.307692307692308</v>
      </c>
      <c r="L37" s="52" t="n">
        <f aca="false">IF(OR(K37="",J37=""),"",(J37-K37)*100)</f>
        <v>-0.899100899100902</v>
      </c>
      <c r="M37" s="38"/>
    </row>
    <row r="38" customFormat="false" ht="15" hidden="false" customHeight="false" outlineLevel="0" collapsed="false">
      <c r="A38" s="38" t="s">
        <v>87</v>
      </c>
      <c r="B38" s="38" t="s">
        <v>138</v>
      </c>
      <c r="C38" s="38" t="s">
        <v>139</v>
      </c>
      <c r="D38" s="21" t="n">
        <v>458</v>
      </c>
      <c r="E38" s="21" t="n">
        <v>432</v>
      </c>
      <c r="F38" s="51" t="n">
        <f aca="false">IF(E38="","",D38-E38)</f>
        <v>26</v>
      </c>
      <c r="G38" s="21" t="n">
        <v>673</v>
      </c>
      <c r="H38" s="21" t="n">
        <v>705</v>
      </c>
      <c r="I38" s="51" t="n">
        <f aca="false">IF(H38="","",G38-H38)</f>
        <v>-32</v>
      </c>
      <c r="J38" s="39" t="n">
        <f aca="false">IF(OR(D38="",D38+G38=0),"",D38/(D38+G38))</f>
        <v>0.404951370468612</v>
      </c>
      <c r="K38" s="39" t="n">
        <f aca="false">IF(E38="","",E38/(E38+H38))</f>
        <v>0.379947229551451</v>
      </c>
      <c r="L38" s="52" t="n">
        <f aca="false">IF(OR(K38="",J38=""),"",(J38-K38)*100)</f>
        <v>2.50041409171607</v>
      </c>
      <c r="M38" s="38"/>
    </row>
    <row r="39" customFormat="false" ht="15" hidden="false" customHeight="false" outlineLevel="0" collapsed="false">
      <c r="A39" s="38" t="s">
        <v>87</v>
      </c>
      <c r="B39" s="38" t="s">
        <v>138</v>
      </c>
      <c r="C39" s="38" t="s">
        <v>140</v>
      </c>
      <c r="D39" s="21" t="n">
        <v>330</v>
      </c>
      <c r="E39" s="21" t="n">
        <v>296</v>
      </c>
      <c r="F39" s="51" t="n">
        <f aca="false">IF(E39="","",D39-E39)</f>
        <v>34</v>
      </c>
      <c r="G39" s="21" t="n">
        <v>510</v>
      </c>
      <c r="H39" s="21" t="n">
        <v>529</v>
      </c>
      <c r="I39" s="51" t="n">
        <f aca="false">IF(H39="","",G39-H39)</f>
        <v>-19</v>
      </c>
      <c r="J39" s="39" t="n">
        <f aca="false">IF(OR(D39="",D39+G39=0),"",D39/(D39+G39))</f>
        <v>0.392857142857143</v>
      </c>
      <c r="K39" s="39" t="n">
        <f aca="false">IF(E39="","",E39/(E39+H39))</f>
        <v>0.358787878787879</v>
      </c>
      <c r="L39" s="52" t="n">
        <f aca="false">IF(OR(K39="",J39=""),"",(J39-K39)*100)</f>
        <v>3.40692640692641</v>
      </c>
      <c r="M39" s="38"/>
    </row>
    <row r="40" customFormat="false" ht="15" hidden="false" customHeight="false" outlineLevel="0" collapsed="false">
      <c r="A40" s="38" t="s">
        <v>87</v>
      </c>
      <c r="B40" s="38" t="s">
        <v>138</v>
      </c>
      <c r="C40" s="38" t="s">
        <v>141</v>
      </c>
      <c r="D40" s="21" t="n">
        <v>502</v>
      </c>
      <c r="E40" s="21" t="n">
        <v>460</v>
      </c>
      <c r="F40" s="51" t="n">
        <f aca="false">IF(E40="","",D40-E40)</f>
        <v>42</v>
      </c>
      <c r="G40" s="21" t="n">
        <v>751</v>
      </c>
      <c r="H40" s="21" t="n">
        <v>791</v>
      </c>
      <c r="I40" s="51" t="n">
        <f aca="false">IF(H40="","",G40-H40)</f>
        <v>-40</v>
      </c>
      <c r="J40" s="39" t="n">
        <f aca="false">IF(OR(D40="",D40+G40=0),"",D40/(D40+G40))</f>
        <v>0.400638467677574</v>
      </c>
      <c r="K40" s="39" t="n">
        <f aca="false">IF(E40="","",E40/(E40+H40))</f>
        <v>0.367705835331735</v>
      </c>
      <c r="L40" s="52" t="n">
        <f aca="false">IF(OR(K40="",J40=""),"",(J40-K40)*100)</f>
        <v>3.29326323458392</v>
      </c>
      <c r="M40" s="38"/>
    </row>
    <row r="41" customFormat="false" ht="15" hidden="false" customHeight="false" outlineLevel="0" collapsed="false">
      <c r="A41" s="38" t="s">
        <v>87</v>
      </c>
      <c r="B41" s="38" t="s">
        <v>138</v>
      </c>
      <c r="C41" s="38" t="s">
        <v>142</v>
      </c>
      <c r="D41" s="21" t="n">
        <v>447</v>
      </c>
      <c r="E41" s="21" t="n">
        <v>425</v>
      </c>
      <c r="F41" s="51" t="n">
        <f aca="false">IF(E41="","",D41-E41)</f>
        <v>22</v>
      </c>
      <c r="G41" s="21" t="n">
        <v>836</v>
      </c>
      <c r="H41" s="21" t="n">
        <v>920</v>
      </c>
      <c r="I41" s="51" t="n">
        <f aca="false">IF(H41="","",G41-H41)</f>
        <v>-84</v>
      </c>
      <c r="J41" s="39" t="n">
        <f aca="false">IF(OR(D41="",D41+G41=0),"",D41/(D41+G41))</f>
        <v>0.348402182385035</v>
      </c>
      <c r="K41" s="39" t="n">
        <f aca="false">IF(E41="","",E41/(E41+H41))</f>
        <v>0.315985130111524</v>
      </c>
      <c r="L41" s="52" t="n">
        <f aca="false">IF(OR(K41="",J41=""),"",(J41-K41)*100)</f>
        <v>3.24170522735109</v>
      </c>
      <c r="M41" s="38"/>
    </row>
    <row r="42" customFormat="false" ht="15" hidden="false" customHeight="false" outlineLevel="0" collapsed="false">
      <c r="A42" s="38" t="s">
        <v>87</v>
      </c>
      <c r="B42" s="38" t="s">
        <v>138</v>
      </c>
      <c r="C42" s="38" t="s">
        <v>143</v>
      </c>
      <c r="D42" s="21" t="n">
        <v>436</v>
      </c>
      <c r="E42" s="21" t="n">
        <v>397</v>
      </c>
      <c r="F42" s="51" t="n">
        <f aca="false">IF(E42="","",D42-E42)</f>
        <v>39</v>
      </c>
      <c r="G42" s="21" t="n">
        <v>732</v>
      </c>
      <c r="H42" s="21" t="n">
        <v>692</v>
      </c>
      <c r="I42" s="51" t="n">
        <f aca="false">IF(H42="","",G42-H42)</f>
        <v>40</v>
      </c>
      <c r="J42" s="39" t="n">
        <f aca="false">IF(OR(D42="",D42+G42=0),"",D42/(D42+G42))</f>
        <v>0.373287671232877</v>
      </c>
      <c r="K42" s="39" t="n">
        <f aca="false">IF(E42="","",E42/(E42+H42))</f>
        <v>0.36455463728191</v>
      </c>
      <c r="L42" s="52" t="n">
        <f aca="false">IF(OR(K42="",J42=""),"",(J42-K42)*100)</f>
        <v>0.87330339509667</v>
      </c>
      <c r="M42" s="38"/>
    </row>
    <row r="43" customFormat="false" ht="15" hidden="false" customHeight="false" outlineLevel="0" collapsed="false">
      <c r="A43" s="38" t="s">
        <v>87</v>
      </c>
      <c r="B43" s="38" t="s">
        <v>144</v>
      </c>
      <c r="C43" s="38" t="s">
        <v>145</v>
      </c>
      <c r="D43" s="21" t="n">
        <v>200</v>
      </c>
      <c r="E43" s="21" t="n">
        <v>175</v>
      </c>
      <c r="F43" s="51" t="n">
        <f aca="false">IF(E43="","",D43-E43)</f>
        <v>25</v>
      </c>
      <c r="G43" s="21" t="n">
        <v>189</v>
      </c>
      <c r="H43" s="21" t="n">
        <v>212</v>
      </c>
      <c r="I43" s="51" t="n">
        <f aca="false">IF(H43="","",G43-H43)</f>
        <v>-23</v>
      </c>
      <c r="J43" s="39" t="n">
        <f aca="false">IF(OR(D43="",D43+G43=0),"",D43/(D43+G43))</f>
        <v>0.51413881748072</v>
      </c>
      <c r="K43" s="39" t="n">
        <f aca="false">IF(E43="","",E43/(E43+H43))</f>
        <v>0.452196382428941</v>
      </c>
      <c r="L43" s="52" t="n">
        <f aca="false">IF(OR(K43="",J43=""),"",(J43-K43)*100)</f>
        <v>6.19424350517792</v>
      </c>
      <c r="M43" s="38"/>
    </row>
    <row r="44" customFormat="false" ht="15" hidden="false" customHeight="false" outlineLevel="0" collapsed="false">
      <c r="A44" s="38" t="s">
        <v>87</v>
      </c>
      <c r="B44" s="38" t="s">
        <v>144</v>
      </c>
      <c r="C44" s="38" t="s">
        <v>146</v>
      </c>
      <c r="D44" s="21" t="n">
        <v>208</v>
      </c>
      <c r="E44" s="21" t="n">
        <v>184</v>
      </c>
      <c r="F44" s="51" t="n">
        <f aca="false">IF(E44="","",D44-E44)</f>
        <v>24</v>
      </c>
      <c r="G44" s="21" t="n">
        <v>194</v>
      </c>
      <c r="H44" s="21" t="n">
        <v>208</v>
      </c>
      <c r="I44" s="51" t="n">
        <f aca="false">IF(H44="","",G44-H44)</f>
        <v>-14</v>
      </c>
      <c r="J44" s="39" t="n">
        <f aca="false">IF(OR(D44="",D44+G44=0),"",D44/(D44+G44))</f>
        <v>0.517412935323383</v>
      </c>
      <c r="K44" s="39" t="n">
        <f aca="false">IF(E44="","",E44/(E44+H44))</f>
        <v>0.469387755102041</v>
      </c>
      <c r="L44" s="52" t="n">
        <f aca="false">IF(OR(K44="",J44=""),"",(J44-K44)*100)</f>
        <v>4.80251802213422</v>
      </c>
      <c r="M44" s="38"/>
    </row>
    <row r="45" customFormat="false" ht="15" hidden="false" customHeight="false" outlineLevel="0" collapsed="false">
      <c r="A45" s="38" t="s">
        <v>87</v>
      </c>
      <c r="B45" s="38" t="s">
        <v>144</v>
      </c>
      <c r="C45" s="38" t="s">
        <v>147</v>
      </c>
      <c r="D45" s="21" t="n">
        <v>134</v>
      </c>
      <c r="E45" s="21" t="n">
        <v>102</v>
      </c>
      <c r="F45" s="51" t="n">
        <f aca="false">IF(E45="","",D45-E45)</f>
        <v>32</v>
      </c>
      <c r="G45" s="21" t="n">
        <v>192</v>
      </c>
      <c r="H45" s="21" t="n">
        <v>192</v>
      </c>
      <c r="I45" s="51" t="n">
        <f aca="false">IF(H45="","",G45-H45)</f>
        <v>0</v>
      </c>
      <c r="J45" s="39" t="n">
        <f aca="false">IF(OR(D45="",D45+G45=0),"",D45/(D45+G45))</f>
        <v>0.411042944785276</v>
      </c>
      <c r="K45" s="39" t="n">
        <f aca="false">IF(E45="","",E45/(E45+H45))</f>
        <v>0.346938775510204</v>
      </c>
      <c r="L45" s="52" t="n">
        <f aca="false">IF(OR(K45="",J45=""),"",(J45-K45)*100)</f>
        <v>6.4104169275072</v>
      </c>
      <c r="M45" s="38"/>
    </row>
    <row r="46" customFormat="false" ht="15" hidden="false" customHeight="false" outlineLevel="0" collapsed="false">
      <c r="A46" s="38" t="s">
        <v>87</v>
      </c>
      <c r="B46" s="38" t="s">
        <v>144</v>
      </c>
      <c r="C46" s="38" t="s">
        <v>148</v>
      </c>
      <c r="D46" s="21" t="n">
        <v>215</v>
      </c>
      <c r="E46" s="21" t="n">
        <v>194</v>
      </c>
      <c r="F46" s="51" t="n">
        <f aca="false">IF(E46="","",D46-E46)</f>
        <v>21</v>
      </c>
      <c r="G46" s="21" t="n">
        <v>264</v>
      </c>
      <c r="H46" s="21" t="n">
        <v>296</v>
      </c>
      <c r="I46" s="51" t="n">
        <f aca="false">IF(H46="","",G46-H46)</f>
        <v>-32</v>
      </c>
      <c r="J46" s="39" t="n">
        <f aca="false">IF(OR(D46="",D46+G46=0),"",D46/(D46+G46))</f>
        <v>0.448851774530271</v>
      </c>
      <c r="K46" s="39" t="n">
        <f aca="false">IF(E46="","",E46/(E46+H46))</f>
        <v>0.395918367346939</v>
      </c>
      <c r="L46" s="52" t="n">
        <f aca="false">IF(OR(K46="",J46=""),"",(J46-K46)*100)</f>
        <v>5.29334071833327</v>
      </c>
      <c r="M46" s="38"/>
    </row>
    <row r="47" customFormat="false" ht="15" hidden="false" customHeight="false" outlineLevel="0" collapsed="false">
      <c r="A47" s="38" t="s">
        <v>87</v>
      </c>
      <c r="B47" s="38" t="s">
        <v>149</v>
      </c>
      <c r="C47" s="38" t="s">
        <v>150</v>
      </c>
      <c r="D47" s="21" t="n">
        <v>306</v>
      </c>
      <c r="E47" s="21" t="n">
        <v>298</v>
      </c>
      <c r="F47" s="51" t="n">
        <f aca="false">IF(E47="","",D47-E47)</f>
        <v>8</v>
      </c>
      <c r="G47" s="21" t="n">
        <v>667</v>
      </c>
      <c r="H47" s="21" t="n">
        <v>649</v>
      </c>
      <c r="I47" s="51" t="n">
        <f aca="false">IF(H47="","",G47-H47)</f>
        <v>18</v>
      </c>
      <c r="J47" s="39" t="n">
        <f aca="false">IF(OR(D47="",D47+G47=0),"",D47/(D47+G47))</f>
        <v>0.314491264131552</v>
      </c>
      <c r="K47" s="39" t="n">
        <f aca="false">IF(E47="","",E47/(E47+H47))</f>
        <v>0.31467793030623</v>
      </c>
      <c r="L47" s="52" t="n">
        <f aca="false">IF(OR(K47="",J47=""),"",(J47-K47)*100)</f>
        <v>-0.0186666174678274</v>
      </c>
      <c r="M47" s="38"/>
    </row>
    <row r="48" customFormat="false" ht="15" hidden="false" customHeight="false" outlineLevel="0" collapsed="false">
      <c r="A48" s="38" t="s">
        <v>87</v>
      </c>
      <c r="B48" s="38" t="s">
        <v>149</v>
      </c>
      <c r="C48" s="38" t="s">
        <v>151</v>
      </c>
      <c r="D48" s="21" t="n">
        <v>281</v>
      </c>
      <c r="E48" s="21" t="n">
        <v>253</v>
      </c>
      <c r="F48" s="51" t="n">
        <f aca="false">IF(E48="","",D48-E48)</f>
        <v>28</v>
      </c>
      <c r="G48" s="21" t="n">
        <v>687</v>
      </c>
      <c r="H48" s="21" t="n">
        <v>710</v>
      </c>
      <c r="I48" s="51" t="n">
        <f aca="false">IF(H48="","",G48-H48)</f>
        <v>-23</v>
      </c>
      <c r="J48" s="39" t="n">
        <f aca="false">IF(OR(D48="",D48+G48=0),"",D48/(D48+G48))</f>
        <v>0.290289256198347</v>
      </c>
      <c r="K48" s="39" t="n">
        <f aca="false">IF(E48="","",E48/(E48+H48))</f>
        <v>0.262720664589823</v>
      </c>
      <c r="L48" s="52" t="n">
        <f aca="false">IF(OR(K48="",J48=""),"",(J48-K48)*100)</f>
        <v>2.75685916085237</v>
      </c>
      <c r="M48" s="38"/>
    </row>
    <row r="49" customFormat="false" ht="15" hidden="false" customHeight="false" outlineLevel="0" collapsed="false">
      <c r="A49" s="38" t="s">
        <v>87</v>
      </c>
      <c r="B49" s="38" t="s">
        <v>149</v>
      </c>
      <c r="C49" s="38" t="s">
        <v>152</v>
      </c>
      <c r="D49" s="21" t="n">
        <v>288</v>
      </c>
      <c r="E49" s="21" t="n">
        <v>238</v>
      </c>
      <c r="F49" s="51" t="n">
        <f aca="false">IF(E49="","",D49-E49)</f>
        <v>50</v>
      </c>
      <c r="G49" s="21" t="n">
        <v>626</v>
      </c>
      <c r="H49" s="21" t="n">
        <v>586</v>
      </c>
      <c r="I49" s="51" t="n">
        <f aca="false">IF(H49="","",G49-H49)</f>
        <v>40</v>
      </c>
      <c r="J49" s="39" t="n">
        <f aca="false">IF(OR(D49="",D49+G49=0),"",D49/(D49+G49))</f>
        <v>0.315098468271335</v>
      </c>
      <c r="K49" s="39" t="n">
        <f aca="false">IF(E49="","",E49/(E49+H49))</f>
        <v>0.288834951456311</v>
      </c>
      <c r="L49" s="52" t="n">
        <f aca="false">IF(OR(K49="",J49=""),"",(J49-K49)*100)</f>
        <v>2.62635168150241</v>
      </c>
      <c r="M49" s="38"/>
    </row>
    <row r="50" customFormat="false" ht="15" hidden="false" customHeight="false" outlineLevel="0" collapsed="false">
      <c r="A50" s="38" t="s">
        <v>87</v>
      </c>
      <c r="B50" s="38" t="s">
        <v>153</v>
      </c>
      <c r="C50" s="38" t="s">
        <v>154</v>
      </c>
      <c r="D50" s="21" t="n">
        <v>249</v>
      </c>
      <c r="E50" s="21" t="n">
        <v>238</v>
      </c>
      <c r="F50" s="51" t="n">
        <f aca="false">IF(E50="","",D50-E50)</f>
        <v>11</v>
      </c>
      <c r="G50" s="21" t="n">
        <v>610</v>
      </c>
      <c r="H50" s="21" t="n">
        <v>541</v>
      </c>
      <c r="I50" s="51" t="n">
        <f aca="false">IF(H50="","",G50-H50)</f>
        <v>69</v>
      </c>
      <c r="J50" s="39" t="n">
        <f aca="false">IF(OR(D50="",D50+G50=0),"",D50/(D50+G50))</f>
        <v>0.289871944121071</v>
      </c>
      <c r="K50" s="39" t="n">
        <f aca="false">IF(E50="","",E50/(E50+H50))</f>
        <v>0.305519897304236</v>
      </c>
      <c r="L50" s="52" t="n">
        <f aca="false">IF(OR(K50="",J50=""),"",(J50-K50)*100)</f>
        <v>-1.56479531831651</v>
      </c>
      <c r="M50" s="38"/>
    </row>
    <row r="51" customFormat="false" ht="15" hidden="false" customHeight="false" outlineLevel="0" collapsed="false">
      <c r="A51" s="38" t="s">
        <v>87</v>
      </c>
      <c r="B51" s="38" t="s">
        <v>153</v>
      </c>
      <c r="C51" s="38" t="s">
        <v>155</v>
      </c>
      <c r="D51" s="21" t="n">
        <v>119</v>
      </c>
      <c r="E51" s="21" t="n">
        <v>103</v>
      </c>
      <c r="F51" s="51" t="n">
        <f aca="false">IF(E51="","",D51-E51)</f>
        <v>16</v>
      </c>
      <c r="G51" s="21" t="n">
        <v>288</v>
      </c>
      <c r="H51" s="21" t="n">
        <v>292</v>
      </c>
      <c r="I51" s="51" t="n">
        <f aca="false">IF(H51="","",G51-H51)</f>
        <v>-4</v>
      </c>
      <c r="J51" s="39" t="n">
        <f aca="false">IF(OR(D51="",D51+G51=0),"",D51/(D51+G51))</f>
        <v>0.292383292383292</v>
      </c>
      <c r="K51" s="39" t="n">
        <f aca="false">IF(E51="","",E51/(E51+H51))</f>
        <v>0.260759493670886</v>
      </c>
      <c r="L51" s="52" t="n">
        <f aca="false">IF(OR(K51="",J51=""),"",(J51-K51)*100)</f>
        <v>3.16237987124063</v>
      </c>
      <c r="M51" s="38"/>
    </row>
    <row r="52" customFormat="false" ht="15" hidden="false" customHeight="false" outlineLevel="0" collapsed="false">
      <c r="A52" s="38" t="s">
        <v>87</v>
      </c>
      <c r="B52" s="38" t="s">
        <v>156</v>
      </c>
      <c r="C52" s="38" t="s">
        <v>156</v>
      </c>
      <c r="D52" s="21" t="n">
        <v>66</v>
      </c>
      <c r="E52" s="21" t="n">
        <v>53</v>
      </c>
      <c r="F52" s="51" t="n">
        <f aca="false">IF(E52="","",D52-E52)</f>
        <v>13</v>
      </c>
      <c r="G52" s="21" t="n">
        <v>86</v>
      </c>
      <c r="H52" s="21" t="n">
        <v>99</v>
      </c>
      <c r="I52" s="51" t="n">
        <f aca="false">IF(H52="","",G52-H52)</f>
        <v>-13</v>
      </c>
      <c r="J52" s="39" t="n">
        <f aca="false">IF(OR(D52="",D52+G52=0),"",D52/(D52+G52))</f>
        <v>0.43421052631579</v>
      </c>
      <c r="K52" s="39" t="n">
        <f aca="false">IF(E52="","",E52/(E52+H52))</f>
        <v>0.348684210526316</v>
      </c>
      <c r="L52" s="52" t="n">
        <f aca="false">IF(OR(K52="",J52=""),"",(J52-K52)*100)</f>
        <v>8.55263157894737</v>
      </c>
      <c r="M52" s="38"/>
    </row>
    <row r="53" customFormat="false" ht="15" hidden="false" customHeight="false" outlineLevel="0" collapsed="false">
      <c r="A53" s="38" t="s">
        <v>157</v>
      </c>
      <c r="B53" s="38" t="s">
        <v>158</v>
      </c>
      <c r="C53" s="38" t="s">
        <v>158</v>
      </c>
      <c r="D53" s="21" t="n">
        <v>748</v>
      </c>
      <c r="E53" s="21" t="n">
        <v>601</v>
      </c>
      <c r="F53" s="51" t="n">
        <f aca="false">IF(E53="","",D53-E53)</f>
        <v>147</v>
      </c>
      <c r="G53" s="21" t="n">
        <v>702</v>
      </c>
      <c r="H53" s="21" t="n">
        <v>766</v>
      </c>
      <c r="I53" s="51" t="n">
        <f aca="false">IF(H53="","",G53-H53)</f>
        <v>-64</v>
      </c>
      <c r="J53" s="39" t="n">
        <f aca="false">IF(OR(D53="",D53+G53=0),"",D53/(D53+G53))</f>
        <v>0.515862068965517</v>
      </c>
      <c r="K53" s="39" t="n">
        <f aca="false">IF(E53="","",E53/(E53+H53))</f>
        <v>0.439648866130212</v>
      </c>
      <c r="L53" s="52" t="n">
        <f aca="false">IF(OR(K53="",J53=""),"",(J53-K53)*100)</f>
        <v>7.62132028353051</v>
      </c>
      <c r="M53" s="38"/>
    </row>
    <row r="54" customFormat="false" ht="15" hidden="false" customHeight="false" outlineLevel="0" collapsed="false">
      <c r="A54" s="38" t="s">
        <v>157</v>
      </c>
      <c r="B54" s="38" t="s">
        <v>159</v>
      </c>
      <c r="C54" s="38" t="s">
        <v>160</v>
      </c>
      <c r="D54" s="21" t="n">
        <v>498</v>
      </c>
      <c r="E54" s="21" t="n">
        <v>437</v>
      </c>
      <c r="F54" s="51" t="n">
        <f aca="false">IF(E54="","",D54-E54)</f>
        <v>61</v>
      </c>
      <c r="G54" s="21" t="n">
        <v>152</v>
      </c>
      <c r="H54" s="21" t="n">
        <v>173</v>
      </c>
      <c r="I54" s="51" t="n">
        <f aca="false">IF(H54="","",G54-H54)</f>
        <v>-21</v>
      </c>
      <c r="J54" s="39" t="n">
        <f aca="false">IF(OR(D54="",D54+G54=0),"",D54/(D54+G54))</f>
        <v>0.766153846153846</v>
      </c>
      <c r="K54" s="39" t="n">
        <f aca="false">IF(E54="","",E54/(E54+H54))</f>
        <v>0.716393442622951</v>
      </c>
      <c r="L54" s="52" t="n">
        <f aca="false">IF(OR(K54="",J54=""),"",(J54-K54)*100)</f>
        <v>4.97604035308954</v>
      </c>
      <c r="M54" s="38"/>
    </row>
    <row r="55" customFormat="false" ht="15" hidden="false" customHeight="false" outlineLevel="0" collapsed="false">
      <c r="A55" s="38" t="s">
        <v>157</v>
      </c>
      <c r="B55" s="38" t="s">
        <v>159</v>
      </c>
      <c r="C55" s="38" t="s">
        <v>161</v>
      </c>
      <c r="D55" s="21" t="n">
        <v>334</v>
      </c>
      <c r="E55" s="21" t="n">
        <v>328</v>
      </c>
      <c r="F55" s="51" t="n">
        <f aca="false">IF(E55="","",D55-E55)</f>
        <v>6</v>
      </c>
      <c r="G55" s="21" t="n">
        <v>112</v>
      </c>
      <c r="H55" s="21" t="n">
        <v>173</v>
      </c>
      <c r="I55" s="51" t="n">
        <f aca="false">IF(H55="","",G55-H55)</f>
        <v>-61</v>
      </c>
      <c r="J55" s="39" t="n">
        <f aca="false">IF(OR(D55="",D55+G55=0),"",D55/(D55+G55))</f>
        <v>0.748878923766816</v>
      </c>
      <c r="K55" s="39" t="n">
        <f aca="false">IF(E55="","",E55/(E55+H55))</f>
        <v>0.654690618762475</v>
      </c>
      <c r="L55" s="52" t="n">
        <f aca="false">IF(OR(K55="",J55=""),"",(J55-K55)*100)</f>
        <v>9.41883050043412</v>
      </c>
      <c r="M55" s="38"/>
    </row>
    <row r="56" customFormat="false" ht="15" hidden="false" customHeight="false" outlineLevel="0" collapsed="false">
      <c r="A56" s="38" t="s">
        <v>157</v>
      </c>
      <c r="B56" s="38" t="s">
        <v>159</v>
      </c>
      <c r="C56" s="38" t="s">
        <v>162</v>
      </c>
      <c r="D56" s="21" t="n">
        <v>357</v>
      </c>
      <c r="E56" s="21" t="n">
        <v>347</v>
      </c>
      <c r="F56" s="51" t="n">
        <f aca="false">IF(E56="","",D56-E56)</f>
        <v>10</v>
      </c>
      <c r="G56" s="21" t="n">
        <v>112</v>
      </c>
      <c r="H56" s="21" t="n">
        <v>147</v>
      </c>
      <c r="I56" s="51" t="n">
        <f aca="false">IF(H56="","",G56-H56)</f>
        <v>-35</v>
      </c>
      <c r="J56" s="39" t="n">
        <f aca="false">IF(OR(D56="",D56+G56=0),"",D56/(D56+G56))</f>
        <v>0.761194029850746</v>
      </c>
      <c r="K56" s="39" t="n">
        <f aca="false">IF(E56="","",E56/(E56+H56))</f>
        <v>0.702429149797571</v>
      </c>
      <c r="L56" s="52" t="n">
        <f aca="false">IF(OR(K56="",J56=""),"",(J56-K56)*100)</f>
        <v>5.87648800531754</v>
      </c>
      <c r="M56" s="38"/>
    </row>
    <row r="57" customFormat="false" ht="15" hidden="false" customHeight="false" outlineLevel="0" collapsed="false">
      <c r="A57" s="38" t="s">
        <v>157</v>
      </c>
      <c r="B57" s="38" t="s">
        <v>159</v>
      </c>
      <c r="C57" s="38" t="s">
        <v>163</v>
      </c>
      <c r="D57" s="21" t="n">
        <v>309</v>
      </c>
      <c r="E57" s="21" t="n">
        <v>314</v>
      </c>
      <c r="F57" s="51" t="n">
        <f aca="false">IF(E57="","",D57-E57)</f>
        <v>-5</v>
      </c>
      <c r="G57" s="21" t="n">
        <v>118</v>
      </c>
      <c r="H57" s="21" t="n">
        <v>149</v>
      </c>
      <c r="I57" s="51" t="n">
        <f aca="false">IF(H57="","",G57-H57)</f>
        <v>-31</v>
      </c>
      <c r="J57" s="39" t="n">
        <f aca="false">IF(OR(D57="",D57+G57=0),"",D57/(D57+G57))</f>
        <v>0.723653395784543</v>
      </c>
      <c r="K57" s="39" t="n">
        <f aca="false">IF(E57="","",E57/(E57+H57))</f>
        <v>0.678185745140389</v>
      </c>
      <c r="L57" s="52" t="n">
        <f aca="false">IF(OR(K57="",J57=""),"",(J57-K57)*100)</f>
        <v>4.54676506441546</v>
      </c>
      <c r="M57" s="38"/>
    </row>
    <row r="58" customFormat="false" ht="15" hidden="false" customHeight="false" outlineLevel="0" collapsed="false">
      <c r="A58" s="38" t="s">
        <v>157</v>
      </c>
      <c r="B58" s="38" t="s">
        <v>159</v>
      </c>
      <c r="C58" s="38" t="s">
        <v>164</v>
      </c>
      <c r="D58" s="21" t="n">
        <v>351</v>
      </c>
      <c r="E58" s="21" t="n">
        <v>364</v>
      </c>
      <c r="F58" s="51" t="n">
        <f aca="false">IF(E58="","",D58-E58)</f>
        <v>-13</v>
      </c>
      <c r="G58" s="21" t="n">
        <v>108</v>
      </c>
      <c r="H58" s="21" t="n">
        <v>137</v>
      </c>
      <c r="I58" s="51" t="n">
        <f aca="false">IF(H58="","",G58-H58)</f>
        <v>-29</v>
      </c>
      <c r="J58" s="39" t="n">
        <f aca="false">IF(OR(D58="",D58+G58=0),"",D58/(D58+G58))</f>
        <v>0.764705882352941</v>
      </c>
      <c r="K58" s="39" t="n">
        <f aca="false">IF(E58="","",E58/(E58+H58))</f>
        <v>0.726546906187625</v>
      </c>
      <c r="L58" s="52" t="n">
        <f aca="false">IF(OR(K58="",J58=""),"",(J58-K58)*100)</f>
        <v>3.81589761653164</v>
      </c>
      <c r="M58" s="38"/>
    </row>
    <row r="59" customFormat="false" ht="15" hidden="false" customHeight="false" outlineLevel="0" collapsed="false">
      <c r="A59" s="38" t="s">
        <v>157</v>
      </c>
      <c r="B59" s="38" t="s">
        <v>159</v>
      </c>
      <c r="C59" s="38" t="s">
        <v>165</v>
      </c>
      <c r="D59" s="21" t="n">
        <v>437</v>
      </c>
      <c r="E59" s="21" t="n">
        <v>399</v>
      </c>
      <c r="F59" s="51" t="n">
        <f aca="false">IF(E59="","",D59-E59)</f>
        <v>38</v>
      </c>
      <c r="G59" s="21" t="n">
        <v>163</v>
      </c>
      <c r="H59" s="21" t="n">
        <v>171</v>
      </c>
      <c r="I59" s="51" t="n">
        <f aca="false">IF(H59="","",G59-H59)</f>
        <v>-8</v>
      </c>
      <c r="J59" s="39" t="n">
        <f aca="false">IF(OR(D59="",D59+G59=0),"",D59/(D59+G59))</f>
        <v>0.728333333333333</v>
      </c>
      <c r="K59" s="39" t="n">
        <f aca="false">IF(E59="","",E59/(E59+H59))</f>
        <v>0.7</v>
      </c>
      <c r="L59" s="52" t="n">
        <f aca="false">IF(OR(K59="",J59=""),"",(J59-K59)*100)</f>
        <v>2.83333333333334</v>
      </c>
      <c r="M59" s="38"/>
    </row>
    <row r="60" customFormat="false" ht="15" hidden="false" customHeight="false" outlineLevel="0" collapsed="false">
      <c r="A60" s="38" t="s">
        <v>157</v>
      </c>
      <c r="B60" s="38" t="s">
        <v>159</v>
      </c>
      <c r="C60" s="38" t="s">
        <v>166</v>
      </c>
      <c r="D60" s="21" t="n">
        <v>773</v>
      </c>
      <c r="E60" s="21" t="n">
        <v>1034</v>
      </c>
      <c r="F60" s="51" t="n">
        <f aca="false">IF(E60="","",D60-E60)</f>
        <v>-261</v>
      </c>
      <c r="G60" s="21" t="n">
        <v>243</v>
      </c>
      <c r="H60" s="21" t="n">
        <v>285</v>
      </c>
      <c r="I60" s="51" t="n">
        <f aca="false">IF(H60="","",G60-H60)</f>
        <v>-42</v>
      </c>
      <c r="J60" s="39" t="n">
        <f aca="false">IF(OR(D60="",D60+G60=0),"",D60/(D60+G60))</f>
        <v>0.760826771653543</v>
      </c>
      <c r="K60" s="39" t="n">
        <f aca="false">IF(E60="","",E60/(E60+H60))</f>
        <v>0.783927217589083</v>
      </c>
      <c r="L60" s="52" t="n">
        <f aca="false">IF(OR(K60="",J60=""),"",(J60-K60)*100)</f>
        <v>-2.31004459355394</v>
      </c>
      <c r="M60" s="38"/>
    </row>
    <row r="61" customFormat="false" ht="15" hidden="false" customHeight="false" outlineLevel="0" collapsed="false">
      <c r="A61" s="38" t="s">
        <v>157</v>
      </c>
      <c r="B61" s="38" t="s">
        <v>159</v>
      </c>
      <c r="C61" s="38" t="s">
        <v>167</v>
      </c>
      <c r="D61" s="21" t="n">
        <v>392</v>
      </c>
      <c r="E61" s="21" t="n">
        <v>377</v>
      </c>
      <c r="F61" s="51" t="n">
        <f aca="false">IF(E61="","",D61-E61)</f>
        <v>15</v>
      </c>
      <c r="G61" s="21" t="n">
        <v>186</v>
      </c>
      <c r="H61" s="21" t="n">
        <v>190</v>
      </c>
      <c r="I61" s="51" t="n">
        <f aca="false">IF(H61="","",G61-H61)</f>
        <v>-4</v>
      </c>
      <c r="J61" s="39" t="n">
        <f aca="false">IF(OR(D61="",D61+G61=0),"",D61/(D61+G61))</f>
        <v>0.678200692041522</v>
      </c>
      <c r="K61" s="39" t="n">
        <f aca="false">IF(E61="","",E61/(E61+H61))</f>
        <v>0.664902998236332</v>
      </c>
      <c r="L61" s="52" t="n">
        <f aca="false">IF(OR(K61="",J61=""),"",(J61-K61)*100)</f>
        <v>1.32976938051909</v>
      </c>
      <c r="M61" s="38"/>
    </row>
    <row r="62" customFormat="false" ht="15" hidden="false" customHeight="false" outlineLevel="0" collapsed="false">
      <c r="A62" s="38" t="s">
        <v>157</v>
      </c>
      <c r="B62" s="38" t="s">
        <v>159</v>
      </c>
      <c r="C62" s="38" t="s">
        <v>168</v>
      </c>
      <c r="D62" s="21" t="n">
        <v>616</v>
      </c>
      <c r="E62" s="21" t="n">
        <v>619</v>
      </c>
      <c r="F62" s="51" t="n">
        <f aca="false">IF(E62="","",D62-E62)</f>
        <v>-3</v>
      </c>
      <c r="G62" s="21" t="n">
        <v>365</v>
      </c>
      <c r="H62" s="21" t="n">
        <v>400</v>
      </c>
      <c r="I62" s="51" t="n">
        <f aca="false">IF(H62="","",G62-H62)</f>
        <v>-35</v>
      </c>
      <c r="J62" s="39" t="n">
        <f aca="false">IF(OR(D62="",D62+G62=0),"",D62/(D62+G62))</f>
        <v>0.627930682976555</v>
      </c>
      <c r="K62" s="39" t="n">
        <f aca="false">IF(E62="","",E62/(E62+H62))</f>
        <v>0.607458292443572</v>
      </c>
      <c r="L62" s="52" t="n">
        <f aca="false">IF(OR(K62="",J62=""),"",(J62-K62)*100)</f>
        <v>2.04723905329824</v>
      </c>
      <c r="M62" s="38"/>
    </row>
    <row r="63" customFormat="false" ht="15" hidden="false" customHeight="false" outlineLevel="0" collapsed="false">
      <c r="A63" s="38" t="s">
        <v>157</v>
      </c>
      <c r="B63" s="38" t="s">
        <v>159</v>
      </c>
      <c r="C63" s="38" t="s">
        <v>169</v>
      </c>
      <c r="D63" s="21" t="n">
        <v>446</v>
      </c>
      <c r="E63" s="21" t="n">
        <v>438</v>
      </c>
      <c r="F63" s="51" t="n">
        <f aca="false">IF(E63="","",D63-E63)</f>
        <v>8</v>
      </c>
      <c r="G63" s="21" t="n">
        <v>269</v>
      </c>
      <c r="H63" s="21" t="n">
        <v>259</v>
      </c>
      <c r="I63" s="51" t="n">
        <f aca="false">IF(H63="","",G63-H63)</f>
        <v>10</v>
      </c>
      <c r="J63" s="39" t="n">
        <f aca="false">IF(OR(D63="",D63+G63=0),"",D63/(D63+G63))</f>
        <v>0.623776223776224</v>
      </c>
      <c r="K63" s="39" t="n">
        <f aca="false">IF(E63="","",E63/(E63+H63))</f>
        <v>0.628407460545194</v>
      </c>
      <c r="L63" s="52" t="n">
        <f aca="false">IF(OR(K63="",J63=""),"",(J63-K63)*100)</f>
        <v>-0.463123676896993</v>
      </c>
      <c r="M63" s="38"/>
    </row>
    <row r="64" customFormat="false" ht="15" hidden="false" customHeight="false" outlineLevel="0" collapsed="false">
      <c r="A64" s="38" t="s">
        <v>157</v>
      </c>
      <c r="B64" s="38" t="s">
        <v>159</v>
      </c>
      <c r="C64" s="38" t="s">
        <v>170</v>
      </c>
      <c r="D64" s="21" t="n">
        <v>448</v>
      </c>
      <c r="E64" s="21" t="n">
        <v>428</v>
      </c>
      <c r="F64" s="51" t="n">
        <f aca="false">IF(E64="","",D64-E64)</f>
        <v>20</v>
      </c>
      <c r="G64" s="21" t="n">
        <v>178</v>
      </c>
      <c r="H64" s="21" t="n">
        <v>195</v>
      </c>
      <c r="I64" s="51" t="n">
        <f aca="false">IF(H64="","",G64-H64)</f>
        <v>-17</v>
      </c>
      <c r="J64" s="39" t="n">
        <f aca="false">IF(OR(D64="",D64+G64=0),"",D64/(D64+G64))</f>
        <v>0.715654952076677</v>
      </c>
      <c r="K64" s="39" t="n">
        <f aca="false">IF(E64="","",E64/(E64+H64))</f>
        <v>0.686998394863563</v>
      </c>
      <c r="L64" s="52" t="n">
        <f aca="false">IF(OR(K64="",J64=""),"",(J64-K64)*100)</f>
        <v>2.86565572131139</v>
      </c>
      <c r="M64" s="38"/>
    </row>
    <row r="65" customFormat="false" ht="15" hidden="false" customHeight="false" outlineLevel="0" collapsed="false">
      <c r="A65" s="38" t="s">
        <v>157</v>
      </c>
      <c r="B65" s="38" t="s">
        <v>159</v>
      </c>
      <c r="C65" s="38" t="s">
        <v>171</v>
      </c>
      <c r="D65" s="21" t="n">
        <v>541</v>
      </c>
      <c r="E65" s="21" t="n">
        <v>563</v>
      </c>
      <c r="F65" s="51" t="n">
        <f aca="false">IF(E65="","",D65-E65)</f>
        <v>-22</v>
      </c>
      <c r="G65" s="21" t="n">
        <v>256</v>
      </c>
      <c r="H65" s="21" t="n">
        <v>322</v>
      </c>
      <c r="I65" s="51" t="n">
        <f aca="false">IF(H65="","",G65-H65)</f>
        <v>-66</v>
      </c>
      <c r="J65" s="39" t="n">
        <f aca="false">IF(OR(D65="",D65+G65=0),"",D65/(D65+G65))</f>
        <v>0.678795483061481</v>
      </c>
      <c r="K65" s="39" t="n">
        <f aca="false">IF(E65="","",E65/(E65+H65))</f>
        <v>0.636158192090396</v>
      </c>
      <c r="L65" s="52" t="n">
        <f aca="false">IF(OR(K65="",J65=""),"",(J65-K65)*100)</f>
        <v>4.2637290971085</v>
      </c>
      <c r="M65" s="38"/>
    </row>
    <row r="66" customFormat="false" ht="15" hidden="false" customHeight="false" outlineLevel="0" collapsed="false">
      <c r="A66" s="38" t="s">
        <v>157</v>
      </c>
      <c r="B66" s="38" t="s">
        <v>159</v>
      </c>
      <c r="C66" s="38" t="s">
        <v>172</v>
      </c>
      <c r="D66" s="21" t="n">
        <v>458</v>
      </c>
      <c r="E66" s="21" t="n">
        <v>472</v>
      </c>
      <c r="F66" s="51" t="n">
        <f aca="false">IF(E66="","",D66-E66)</f>
        <v>-14</v>
      </c>
      <c r="G66" s="21" t="n">
        <v>269</v>
      </c>
      <c r="H66" s="21" t="n">
        <v>273</v>
      </c>
      <c r="I66" s="51" t="n">
        <f aca="false">IF(H66="","",G66-H66)</f>
        <v>-4</v>
      </c>
      <c r="J66" s="39" t="n">
        <f aca="false">IF(OR(D66="",D66+G66=0),"",D66/(D66+G66))</f>
        <v>0.629986244841816</v>
      </c>
      <c r="K66" s="39" t="n">
        <f aca="false">IF(E66="","",E66/(E66+H66))</f>
        <v>0.633557046979866</v>
      </c>
      <c r="L66" s="52" t="n">
        <f aca="false">IF(OR(K66="",J66=""),"",(J66-K66)*100)</f>
        <v>-0.357080213805017</v>
      </c>
      <c r="M66" s="38"/>
    </row>
    <row r="67" customFormat="false" ht="15" hidden="false" customHeight="false" outlineLevel="0" collapsed="false">
      <c r="A67" s="38" t="s">
        <v>157</v>
      </c>
      <c r="B67" s="38" t="s">
        <v>159</v>
      </c>
      <c r="C67" s="38" t="s">
        <v>173</v>
      </c>
      <c r="D67" s="21" t="n">
        <v>465</v>
      </c>
      <c r="E67" s="21" t="n">
        <v>426</v>
      </c>
      <c r="F67" s="51" t="n">
        <f aca="false">IF(E67="","",D67-E67)</f>
        <v>39</v>
      </c>
      <c r="G67" s="21" t="n">
        <v>306</v>
      </c>
      <c r="H67" s="21" t="n">
        <v>331</v>
      </c>
      <c r="I67" s="51" t="n">
        <f aca="false">IF(H67="","",G67-H67)</f>
        <v>-25</v>
      </c>
      <c r="J67" s="39" t="n">
        <f aca="false">IF(OR(D67="",D67+G67=0),"",D67/(D67+G67))</f>
        <v>0.603112840466926</v>
      </c>
      <c r="K67" s="39" t="n">
        <f aca="false">IF(E67="","",E67/(E67+H67))</f>
        <v>0.562747688243065</v>
      </c>
      <c r="L67" s="52" t="n">
        <f aca="false">IF(OR(K67="",J67=""),"",(J67-K67)*100)</f>
        <v>4.03651522238613</v>
      </c>
      <c r="M67" s="38"/>
    </row>
    <row r="68" customFormat="false" ht="15" hidden="false" customHeight="false" outlineLevel="0" collapsed="false">
      <c r="A68" s="38" t="s">
        <v>157</v>
      </c>
      <c r="B68" s="38" t="s">
        <v>159</v>
      </c>
      <c r="C68" s="38" t="s">
        <v>174</v>
      </c>
      <c r="D68" s="21" t="n">
        <v>435</v>
      </c>
      <c r="E68" s="21" t="n">
        <v>418</v>
      </c>
      <c r="F68" s="51" t="n">
        <f aca="false">IF(E68="","",D68-E68)</f>
        <v>17</v>
      </c>
      <c r="G68" s="21" t="n">
        <v>240</v>
      </c>
      <c r="H68" s="21" t="n">
        <v>278</v>
      </c>
      <c r="I68" s="51" t="n">
        <f aca="false">IF(H68="","",G68-H68)</f>
        <v>-38</v>
      </c>
      <c r="J68" s="39" t="n">
        <f aca="false">IF(OR(D68="",D68+G68=0),"",D68/(D68+G68))</f>
        <v>0.644444444444445</v>
      </c>
      <c r="K68" s="39" t="n">
        <f aca="false">IF(E68="","",E68/(E68+H68))</f>
        <v>0.600574712643678</v>
      </c>
      <c r="L68" s="52" t="n">
        <f aca="false">IF(OR(K68="",J68=""),"",(J68-K68)*100)</f>
        <v>4.38697318007664</v>
      </c>
      <c r="M68" s="38"/>
    </row>
    <row r="69" customFormat="false" ht="15" hidden="false" customHeight="false" outlineLevel="0" collapsed="false">
      <c r="A69" s="38" t="s">
        <v>157</v>
      </c>
      <c r="B69" s="38" t="s">
        <v>159</v>
      </c>
      <c r="C69" s="38" t="s">
        <v>175</v>
      </c>
      <c r="D69" s="21" t="n">
        <v>419</v>
      </c>
      <c r="E69" s="21" t="n">
        <v>424</v>
      </c>
      <c r="F69" s="51" t="n">
        <f aca="false">IF(E69="","",D69-E69)</f>
        <v>-5</v>
      </c>
      <c r="G69" s="21" t="n">
        <v>139</v>
      </c>
      <c r="H69" s="21" t="n">
        <v>188</v>
      </c>
      <c r="I69" s="51" t="n">
        <f aca="false">IF(H69="","",G69-H69)</f>
        <v>-49</v>
      </c>
      <c r="J69" s="39" t="n">
        <f aca="false">IF(OR(D69="",D69+G69=0),"",D69/(D69+G69))</f>
        <v>0.75089605734767</v>
      </c>
      <c r="K69" s="39" t="n">
        <f aca="false">IF(E69="","",E69/(E69+H69))</f>
        <v>0.69281045751634</v>
      </c>
      <c r="L69" s="52" t="n">
        <f aca="false">IF(OR(K69="",J69=""),"",(J69-K69)*100)</f>
        <v>5.80855998313304</v>
      </c>
      <c r="M69" s="38"/>
    </row>
    <row r="70" customFormat="false" ht="15" hidden="false" customHeight="false" outlineLevel="0" collapsed="false">
      <c r="A70" s="38" t="s">
        <v>157</v>
      </c>
      <c r="B70" s="38" t="s">
        <v>159</v>
      </c>
      <c r="C70" s="38" t="s">
        <v>176</v>
      </c>
      <c r="D70" s="21" t="n">
        <v>345</v>
      </c>
      <c r="E70" s="21" t="n">
        <v>330</v>
      </c>
      <c r="F70" s="51" t="n">
        <f aca="false">IF(E70="","",D70-E70)</f>
        <v>15</v>
      </c>
      <c r="G70" s="21" t="n">
        <v>150</v>
      </c>
      <c r="H70" s="21" t="n">
        <v>195</v>
      </c>
      <c r="I70" s="51" t="n">
        <f aca="false">IF(H70="","",G70-H70)</f>
        <v>-45</v>
      </c>
      <c r="J70" s="39" t="n">
        <f aca="false">IF(OR(D70="",D70+G70=0),"",D70/(D70+G70))</f>
        <v>0.696969696969697</v>
      </c>
      <c r="K70" s="39" t="n">
        <f aca="false">IF(E70="","",E70/(E70+H70))</f>
        <v>0.628571428571429</v>
      </c>
      <c r="L70" s="52" t="n">
        <f aca="false">IF(OR(K70="",J70=""),"",(J70-K70)*100)</f>
        <v>6.83982683982685</v>
      </c>
      <c r="M70" s="38"/>
    </row>
    <row r="71" customFormat="false" ht="15" hidden="false" customHeight="false" outlineLevel="0" collapsed="false">
      <c r="A71" s="38" t="s">
        <v>157</v>
      </c>
      <c r="B71" s="38" t="s">
        <v>159</v>
      </c>
      <c r="C71" s="38" t="s">
        <v>177</v>
      </c>
      <c r="D71" s="21" t="n">
        <v>447</v>
      </c>
      <c r="E71" s="21" t="n">
        <v>441</v>
      </c>
      <c r="F71" s="51" t="n">
        <f aca="false">IF(E71="","",D71-E71)</f>
        <v>6</v>
      </c>
      <c r="G71" s="21" t="n">
        <v>208</v>
      </c>
      <c r="H71" s="21" t="n">
        <v>232</v>
      </c>
      <c r="I71" s="51" t="n">
        <f aca="false">IF(H71="","",G71-H71)</f>
        <v>-24</v>
      </c>
      <c r="J71" s="39" t="n">
        <f aca="false">IF(OR(D71="",D71+G71=0),"",D71/(D71+G71))</f>
        <v>0.682442748091603</v>
      </c>
      <c r="K71" s="39" t="n">
        <f aca="false">IF(E71="","",E71/(E71+H71))</f>
        <v>0.655274888558692</v>
      </c>
      <c r="L71" s="52" t="n">
        <f aca="false">IF(OR(K71="",J71=""),"",(J71-K71)*100)</f>
        <v>2.71678595329107</v>
      </c>
      <c r="M71" s="38"/>
    </row>
    <row r="72" customFormat="false" ht="15" hidden="false" customHeight="false" outlineLevel="0" collapsed="false">
      <c r="A72" s="38" t="s">
        <v>157</v>
      </c>
      <c r="B72" s="38" t="s">
        <v>159</v>
      </c>
      <c r="C72" s="38" t="s">
        <v>178</v>
      </c>
      <c r="D72" s="21" t="n">
        <v>289</v>
      </c>
      <c r="E72" s="21" t="n">
        <v>313</v>
      </c>
      <c r="F72" s="51" t="n">
        <f aca="false">IF(E72="","",D72-E72)</f>
        <v>-24</v>
      </c>
      <c r="G72" s="21" t="n">
        <v>120</v>
      </c>
      <c r="H72" s="21" t="n">
        <v>155</v>
      </c>
      <c r="I72" s="51" t="n">
        <f aca="false">IF(H72="","",G72-H72)</f>
        <v>-35</v>
      </c>
      <c r="J72" s="39" t="n">
        <f aca="false">IF(OR(D72="",D72+G72=0),"",D72/(D72+G72))</f>
        <v>0.706601466992665</v>
      </c>
      <c r="K72" s="39" t="n">
        <f aca="false">IF(E72="","",E72/(E72+H72))</f>
        <v>0.668803418803419</v>
      </c>
      <c r="L72" s="52" t="n">
        <f aca="false">IF(OR(K72="",J72=""),"",(J72-K72)*100)</f>
        <v>3.77980481892463</v>
      </c>
      <c r="M72" s="38"/>
    </row>
    <row r="73" customFormat="false" ht="15" hidden="false" customHeight="false" outlineLevel="0" collapsed="false">
      <c r="A73" s="38" t="s">
        <v>157</v>
      </c>
      <c r="B73" s="38" t="s">
        <v>159</v>
      </c>
      <c r="C73" s="38" t="s">
        <v>179</v>
      </c>
      <c r="D73" s="21" t="n">
        <v>664</v>
      </c>
      <c r="E73" s="21" t="n">
        <v>658</v>
      </c>
      <c r="F73" s="51" t="n">
        <f aca="false">IF(E73="","",D73-E73)</f>
        <v>6</v>
      </c>
      <c r="G73" s="21" t="n">
        <v>345</v>
      </c>
      <c r="H73" s="21" t="n">
        <v>375</v>
      </c>
      <c r="I73" s="51" t="n">
        <f aca="false">IF(H73="","",G73-H73)</f>
        <v>-30</v>
      </c>
      <c r="J73" s="39" t="n">
        <f aca="false">IF(OR(D73="",D73+G73=0),"",D73/(D73+G73))</f>
        <v>0.658077304261645</v>
      </c>
      <c r="K73" s="39" t="n">
        <f aca="false">IF(E73="","",E73/(E73+H73))</f>
        <v>0.636979670861568</v>
      </c>
      <c r="L73" s="52" t="n">
        <f aca="false">IF(OR(K73="",J73=""),"",(J73-K73)*100)</f>
        <v>2.1097633400077</v>
      </c>
      <c r="M73" s="38"/>
    </row>
    <row r="74" customFormat="false" ht="15" hidden="false" customHeight="false" outlineLevel="0" collapsed="false">
      <c r="A74" s="38" t="s">
        <v>157</v>
      </c>
      <c r="B74" s="38" t="s">
        <v>159</v>
      </c>
      <c r="C74" s="38" t="s">
        <v>180</v>
      </c>
      <c r="D74" s="21" t="n">
        <v>778</v>
      </c>
      <c r="E74" s="21" t="n">
        <v>693</v>
      </c>
      <c r="F74" s="51" t="n">
        <f aca="false">IF(E74="","",D74-E74)</f>
        <v>85</v>
      </c>
      <c r="G74" s="21" t="n">
        <v>296</v>
      </c>
      <c r="H74" s="21" t="n">
        <v>389</v>
      </c>
      <c r="I74" s="51" t="n">
        <f aca="false">IF(H74="","",G74-H74)</f>
        <v>-93</v>
      </c>
      <c r="J74" s="39" t="n">
        <f aca="false">IF(OR(D74="",D74+G74=0),"",D74/(D74+G74))</f>
        <v>0.7243947858473</v>
      </c>
      <c r="K74" s="39" t="n">
        <f aca="false">IF(E74="","",E74/(E74+H74))</f>
        <v>0.640480591497227</v>
      </c>
      <c r="L74" s="52" t="n">
        <f aca="false">IF(OR(K74="",J74=""),"",(J74-K74)*100)</f>
        <v>8.39141943500724</v>
      </c>
      <c r="M74" s="38"/>
    </row>
    <row r="75" customFormat="false" ht="15" hidden="false" customHeight="false" outlineLevel="0" collapsed="false">
      <c r="A75" s="38" t="s">
        <v>157</v>
      </c>
      <c r="B75" s="38" t="s">
        <v>159</v>
      </c>
      <c r="C75" s="38" t="s">
        <v>181</v>
      </c>
      <c r="D75" s="21" t="n">
        <v>505</v>
      </c>
      <c r="E75" s="21" t="n">
        <v>446</v>
      </c>
      <c r="F75" s="51" t="n">
        <f aca="false">IF(E75="","",D75-E75)</f>
        <v>59</v>
      </c>
      <c r="G75" s="21" t="n">
        <v>302</v>
      </c>
      <c r="H75" s="21" t="n">
        <v>382</v>
      </c>
      <c r="I75" s="51" t="n">
        <f aca="false">IF(H75="","",G75-H75)</f>
        <v>-80</v>
      </c>
      <c r="J75" s="39" t="n">
        <f aca="false">IF(OR(D75="",D75+G75=0),"",D75/(D75+G75))</f>
        <v>0.625774473358117</v>
      </c>
      <c r="K75" s="39" t="n">
        <f aca="false">IF(E75="","",E75/(E75+H75))</f>
        <v>0.538647342995169</v>
      </c>
      <c r="L75" s="52" t="n">
        <f aca="false">IF(OR(K75="",J75=""),"",(J75-K75)*100)</f>
        <v>8.71271303629475</v>
      </c>
      <c r="M75" s="38"/>
    </row>
    <row r="76" customFormat="false" ht="15" hidden="false" customHeight="false" outlineLevel="0" collapsed="false">
      <c r="A76" s="38" t="s">
        <v>157</v>
      </c>
      <c r="B76" s="38" t="s">
        <v>159</v>
      </c>
      <c r="C76" s="38" t="s">
        <v>182</v>
      </c>
      <c r="D76" s="21" t="n">
        <v>640</v>
      </c>
      <c r="E76" s="21" t="n">
        <v>627</v>
      </c>
      <c r="F76" s="51" t="n">
        <f aca="false">IF(E76="","",D76-E76)</f>
        <v>13</v>
      </c>
      <c r="G76" s="21" t="n">
        <v>337</v>
      </c>
      <c r="H76" s="21" t="n">
        <v>389</v>
      </c>
      <c r="I76" s="51" t="n">
        <f aca="false">IF(H76="","",G76-H76)</f>
        <v>-52</v>
      </c>
      <c r="J76" s="39" t="n">
        <f aca="false">IF(OR(D76="",D76+G76=0),"",D76/(D76+G76))</f>
        <v>0.655066530194473</v>
      </c>
      <c r="K76" s="39" t="n">
        <f aca="false">IF(E76="","",E76/(E76+H76))</f>
        <v>0.617125984251969</v>
      </c>
      <c r="L76" s="52" t="n">
        <f aca="false">IF(OR(K76="",J76=""),"",(J76-K76)*100)</f>
        <v>3.79405459425044</v>
      </c>
      <c r="M76" s="38"/>
    </row>
    <row r="77" customFormat="false" ht="15" hidden="false" customHeight="false" outlineLevel="0" collapsed="false">
      <c r="A77" s="38" t="s">
        <v>157</v>
      </c>
      <c r="B77" s="38" t="s">
        <v>159</v>
      </c>
      <c r="C77" s="38" t="s">
        <v>183</v>
      </c>
      <c r="D77" s="21" t="n">
        <v>662</v>
      </c>
      <c r="E77" s="21" t="n">
        <v>645</v>
      </c>
      <c r="F77" s="51" t="n">
        <f aca="false">IF(E77="","",D77-E77)</f>
        <v>17</v>
      </c>
      <c r="G77" s="21" t="n">
        <v>357</v>
      </c>
      <c r="H77" s="21" t="n">
        <v>418</v>
      </c>
      <c r="I77" s="51" t="n">
        <f aca="false">IF(H77="","",G77-H77)</f>
        <v>-61</v>
      </c>
      <c r="J77" s="39" t="n">
        <f aca="false">IF(OR(D77="",D77+G77=0),"",D77/(D77+G77))</f>
        <v>0.649656526005888</v>
      </c>
      <c r="K77" s="39" t="n">
        <f aca="false">IF(E77="","",E77/(E77+H77))</f>
        <v>0.606773283160865</v>
      </c>
      <c r="L77" s="52" t="n">
        <f aca="false">IF(OR(K77="",J77=""),"",(J77-K77)*100)</f>
        <v>4.28832428450227</v>
      </c>
      <c r="M77" s="38"/>
    </row>
    <row r="78" customFormat="false" ht="15" hidden="false" customHeight="false" outlineLevel="0" collapsed="false">
      <c r="A78" s="38" t="s">
        <v>157</v>
      </c>
      <c r="B78" s="38" t="s">
        <v>159</v>
      </c>
      <c r="C78" s="38" t="s">
        <v>184</v>
      </c>
      <c r="D78" s="21" t="n">
        <v>491</v>
      </c>
      <c r="E78" s="21" t="n">
        <v>452</v>
      </c>
      <c r="F78" s="51" t="n">
        <f aca="false">IF(E78="","",D78-E78)</f>
        <v>39</v>
      </c>
      <c r="G78" s="21" t="n">
        <v>270</v>
      </c>
      <c r="H78" s="21" t="n">
        <v>341</v>
      </c>
      <c r="I78" s="51" t="n">
        <f aca="false">IF(H78="","",G78-H78)</f>
        <v>-71</v>
      </c>
      <c r="J78" s="39" t="n">
        <f aca="false">IF(OR(D78="",D78+G78=0),"",D78/(D78+G78))</f>
        <v>0.645203679369251</v>
      </c>
      <c r="K78" s="39" t="n">
        <f aca="false">IF(E78="","",E78/(E78+H78))</f>
        <v>0.569987389659521</v>
      </c>
      <c r="L78" s="52" t="n">
        <f aca="false">IF(OR(K78="",J78=""),"",(J78-K78)*100)</f>
        <v>7.52162897097302</v>
      </c>
      <c r="M78" s="38"/>
    </row>
    <row r="79" customFormat="false" ht="15" hidden="false" customHeight="false" outlineLevel="0" collapsed="false">
      <c r="A79" s="38" t="s">
        <v>157</v>
      </c>
      <c r="B79" s="38" t="s">
        <v>159</v>
      </c>
      <c r="C79" s="38" t="s">
        <v>185</v>
      </c>
      <c r="D79" s="21" t="n">
        <v>565</v>
      </c>
      <c r="E79" s="21" t="n">
        <v>541</v>
      </c>
      <c r="F79" s="51" t="n">
        <f aca="false">IF(E79="","",D79-E79)</f>
        <v>24</v>
      </c>
      <c r="G79" s="21" t="n">
        <v>300</v>
      </c>
      <c r="H79" s="21" t="n">
        <v>325</v>
      </c>
      <c r="I79" s="51" t="n">
        <f aca="false">IF(H79="","",G79-H79)</f>
        <v>-25</v>
      </c>
      <c r="J79" s="39" t="n">
        <f aca="false">IF(OR(D79="",D79+G79=0),"",D79/(D79+G79))</f>
        <v>0.653179190751445</v>
      </c>
      <c r="K79" s="39" t="n">
        <f aca="false">IF(E79="","",E79/(E79+H79))</f>
        <v>0.624711316397229</v>
      </c>
      <c r="L79" s="52" t="n">
        <f aca="false">IF(OR(K79="",J79=""),"",(J79-K79)*100)</f>
        <v>2.84678743542164</v>
      </c>
      <c r="M79" s="38"/>
    </row>
    <row r="80" customFormat="false" ht="15" hidden="false" customHeight="false" outlineLevel="0" collapsed="false">
      <c r="A80" s="38" t="s">
        <v>157</v>
      </c>
      <c r="B80" s="38" t="s">
        <v>159</v>
      </c>
      <c r="C80" s="38" t="s">
        <v>186</v>
      </c>
      <c r="D80" s="21" t="n">
        <v>782</v>
      </c>
      <c r="E80" s="21" t="n">
        <v>783</v>
      </c>
      <c r="F80" s="51" t="n">
        <f aca="false">IF(E80="","",D80-E80)</f>
        <v>-1</v>
      </c>
      <c r="G80" s="21" t="n">
        <v>459</v>
      </c>
      <c r="H80" s="21" t="n">
        <v>562</v>
      </c>
      <c r="I80" s="51" t="n">
        <f aca="false">IF(H80="","",G80-H80)</f>
        <v>-103</v>
      </c>
      <c r="J80" s="39" t="n">
        <f aca="false">IF(OR(D80="",D80+G80=0),"",D80/(D80+G80))</f>
        <v>0.63013698630137</v>
      </c>
      <c r="K80" s="39" t="n">
        <f aca="false">IF(E80="","",E80/(E80+H80))</f>
        <v>0.582156133828996</v>
      </c>
      <c r="L80" s="52" t="n">
        <f aca="false">IF(OR(K80="",J80=""),"",(J80-K80)*100)</f>
        <v>4.79808524723735</v>
      </c>
      <c r="M80" s="38"/>
    </row>
    <row r="81" customFormat="false" ht="15" hidden="false" customHeight="false" outlineLevel="0" collapsed="false">
      <c r="A81" s="38" t="s">
        <v>157</v>
      </c>
      <c r="B81" s="38" t="s">
        <v>159</v>
      </c>
      <c r="C81" s="38" t="s">
        <v>187</v>
      </c>
      <c r="D81" s="21" t="n">
        <v>477</v>
      </c>
      <c r="E81" s="21" t="n">
        <v>454</v>
      </c>
      <c r="F81" s="51" t="n">
        <f aca="false">IF(E81="","",D81-E81)</f>
        <v>23</v>
      </c>
      <c r="G81" s="21" t="n">
        <v>206</v>
      </c>
      <c r="H81" s="21" t="n">
        <v>218</v>
      </c>
      <c r="I81" s="51" t="n">
        <f aca="false">IF(H81="","",G81-H81)</f>
        <v>-12</v>
      </c>
      <c r="J81" s="39" t="n">
        <f aca="false">IF(OR(D81="",D81+G81=0),"",D81/(D81+G81))</f>
        <v>0.698389458272328</v>
      </c>
      <c r="K81" s="39" t="n">
        <f aca="false">IF(E81="","",E81/(E81+H81))</f>
        <v>0.675595238095238</v>
      </c>
      <c r="L81" s="52" t="n">
        <f aca="false">IF(OR(K81="",J81=""),"",(J81-K81)*100)</f>
        <v>2.27942201770899</v>
      </c>
      <c r="M81" s="38"/>
    </row>
    <row r="82" customFormat="false" ht="15" hidden="false" customHeight="false" outlineLevel="0" collapsed="false">
      <c r="A82" s="38" t="s">
        <v>157</v>
      </c>
      <c r="B82" s="38" t="s">
        <v>159</v>
      </c>
      <c r="C82" s="38" t="s">
        <v>188</v>
      </c>
      <c r="D82" s="21" t="n">
        <v>505</v>
      </c>
      <c r="E82" s="21" t="n">
        <v>502</v>
      </c>
      <c r="F82" s="51" t="n">
        <f aca="false">IF(E82="","",D82-E82)</f>
        <v>3</v>
      </c>
      <c r="G82" s="21" t="n">
        <v>282</v>
      </c>
      <c r="H82" s="21" t="n">
        <v>274</v>
      </c>
      <c r="I82" s="51" t="n">
        <f aca="false">IF(H82="","",G82-H82)</f>
        <v>8</v>
      </c>
      <c r="J82" s="39" t="n">
        <f aca="false">IF(OR(D82="",D82+G82=0),"",D82/(D82+G82))</f>
        <v>0.641677255400254</v>
      </c>
      <c r="K82" s="39" t="n">
        <f aca="false">IF(E82="","",E82/(E82+H82))</f>
        <v>0.646907216494845</v>
      </c>
      <c r="L82" s="52" t="n">
        <f aca="false">IF(OR(K82="",J82=""),"",(J82-K82)*100)</f>
        <v>-0.522996109459128</v>
      </c>
      <c r="M82" s="38"/>
    </row>
    <row r="83" customFormat="false" ht="15" hidden="false" customHeight="false" outlineLevel="0" collapsed="false">
      <c r="A83" s="38" t="s">
        <v>157</v>
      </c>
      <c r="B83" s="38" t="s">
        <v>159</v>
      </c>
      <c r="C83" s="38" t="s">
        <v>189</v>
      </c>
      <c r="D83" s="21" t="n">
        <v>524</v>
      </c>
      <c r="E83" s="21" t="n">
        <v>502</v>
      </c>
      <c r="F83" s="51" t="n">
        <f aca="false">IF(E83="","",D83-E83)</f>
        <v>22</v>
      </c>
      <c r="G83" s="21" t="n">
        <v>319</v>
      </c>
      <c r="H83" s="21" t="n">
        <v>283</v>
      </c>
      <c r="I83" s="51" t="n">
        <f aca="false">IF(H83="","",G83-H83)</f>
        <v>36</v>
      </c>
      <c r="J83" s="39" t="n">
        <f aca="false">IF(OR(D83="",D83+G83=0),"",D83/(D83+G83))</f>
        <v>0.62158956109134</v>
      </c>
      <c r="K83" s="39" t="n">
        <f aca="false">IF(E83="","",E83/(E83+H83))</f>
        <v>0.639490445859873</v>
      </c>
      <c r="L83" s="52" t="n">
        <f aca="false">IF(OR(K83="",J83=""),"",(J83-K83)*100)</f>
        <v>-1.79008847685321</v>
      </c>
      <c r="M83" s="38"/>
    </row>
    <row r="84" customFormat="false" ht="15" hidden="false" customHeight="false" outlineLevel="0" collapsed="false">
      <c r="A84" s="38" t="s">
        <v>157</v>
      </c>
      <c r="B84" s="38" t="s">
        <v>159</v>
      </c>
      <c r="C84" s="38" t="s">
        <v>190</v>
      </c>
      <c r="D84" s="21" t="n">
        <v>381</v>
      </c>
      <c r="E84" s="21"/>
      <c r="F84" s="51" t="str">
        <f aca="false">IF(E84="","",D84-E84)</f>
        <v/>
      </c>
      <c r="G84" s="21" t="n">
        <v>252</v>
      </c>
      <c r="H84" s="21"/>
      <c r="I84" s="51" t="str">
        <f aca="false">IF(H84="","",G84-H84)</f>
        <v/>
      </c>
      <c r="J84" s="39" t="n">
        <f aca="false">IF(OR(D84="",D84+G84=0),"",D84/(D84+G84))</f>
        <v>0.601895734597156</v>
      </c>
      <c r="K84" s="39" t="str">
        <f aca="false">IF(E84="","",E84/(E84+H84))</f>
        <v/>
      </c>
      <c r="L84" s="52" t="str">
        <f aca="false">IF(OR(K84="",J84=""),"",(J84-K84)*100)</f>
        <v/>
      </c>
      <c r="M84" s="38" t="s">
        <v>691</v>
      </c>
    </row>
    <row r="85" customFormat="false" ht="15" hidden="false" customHeight="false" outlineLevel="0" collapsed="false">
      <c r="A85" s="38" t="s">
        <v>157</v>
      </c>
      <c r="B85" s="38" t="s">
        <v>159</v>
      </c>
      <c r="C85" s="38" t="s">
        <v>192</v>
      </c>
      <c r="D85" s="21" t="n">
        <v>969</v>
      </c>
      <c r="E85" s="21"/>
      <c r="F85" s="51" t="str">
        <f aca="false">IF(E85="","",D85-E85)</f>
        <v/>
      </c>
      <c r="G85" s="21" t="n">
        <v>625</v>
      </c>
      <c r="H85" s="21"/>
      <c r="I85" s="51" t="str">
        <f aca="false">IF(H85="","",G85-H85)</f>
        <v/>
      </c>
      <c r="J85" s="39" t="n">
        <f aca="false">IF(OR(D85="",D85+G85=0),"",D85/(D85+G85))</f>
        <v>0.607904642409034</v>
      </c>
      <c r="K85" s="39" t="str">
        <f aca="false">IF(E85="","",E85/(E85+H85))</f>
        <v/>
      </c>
      <c r="L85" s="52" t="str">
        <f aca="false">IF(OR(K85="",J85=""),"",(J85-K85)*100)</f>
        <v/>
      </c>
      <c r="M85" s="38" t="s">
        <v>691</v>
      </c>
    </row>
    <row r="86" customFormat="false" ht="15" hidden="false" customHeight="false" outlineLevel="0" collapsed="false">
      <c r="A86" s="38" t="s">
        <v>157</v>
      </c>
      <c r="B86" s="38" t="s">
        <v>159</v>
      </c>
      <c r="C86" s="38" t="s">
        <v>193</v>
      </c>
      <c r="D86" s="21" t="n">
        <v>514</v>
      </c>
      <c r="E86" s="21" t="n">
        <v>488</v>
      </c>
      <c r="F86" s="51" t="n">
        <f aca="false">IF(E86="","",D86-E86)</f>
        <v>26</v>
      </c>
      <c r="G86" s="21" t="n">
        <v>243</v>
      </c>
      <c r="H86" s="21" t="n">
        <v>252</v>
      </c>
      <c r="I86" s="51" t="n">
        <f aca="false">IF(H86="","",G86-H86)</f>
        <v>-9</v>
      </c>
      <c r="J86" s="39" t="n">
        <f aca="false">IF(OR(D86="",D86+G86=0),"",D86/(D86+G86))</f>
        <v>0.678996036988111</v>
      </c>
      <c r="K86" s="39" t="n">
        <f aca="false">IF(E86="","",E86/(E86+H86))</f>
        <v>0.65945945945946</v>
      </c>
      <c r="L86" s="52" t="n">
        <f aca="false">IF(OR(K86="",J86=""),"",(J86-K86)*100)</f>
        <v>1.95365775286515</v>
      </c>
      <c r="M86" s="38"/>
    </row>
    <row r="87" customFormat="false" ht="15" hidden="false" customHeight="false" outlineLevel="0" collapsed="false">
      <c r="A87" s="38" t="s">
        <v>157</v>
      </c>
      <c r="B87" s="38" t="s">
        <v>159</v>
      </c>
      <c r="C87" s="38" t="s">
        <v>194</v>
      </c>
      <c r="D87" s="21" t="n">
        <v>648</v>
      </c>
      <c r="E87" s="21" t="n">
        <v>601</v>
      </c>
      <c r="F87" s="51" t="n">
        <f aca="false">IF(E87="","",D87-E87)</f>
        <v>47</v>
      </c>
      <c r="G87" s="21" t="n">
        <v>401</v>
      </c>
      <c r="H87" s="21" t="n">
        <v>394</v>
      </c>
      <c r="I87" s="51" t="n">
        <f aca="false">IF(H87="","",G87-H87)</f>
        <v>7</v>
      </c>
      <c r="J87" s="39" t="n">
        <f aca="false">IF(OR(D87="",D87+G87=0),"",D87/(D87+G87))</f>
        <v>0.617731172545281</v>
      </c>
      <c r="K87" s="39" t="n">
        <f aca="false">IF(E87="","",E87/(E87+H87))</f>
        <v>0.604020100502513</v>
      </c>
      <c r="L87" s="52" t="n">
        <f aca="false">IF(OR(K87="",J87=""),"",(J87-K87)*100)</f>
        <v>1.37110720427687</v>
      </c>
      <c r="M87" s="38"/>
    </row>
    <row r="88" customFormat="false" ht="15" hidden="false" customHeight="false" outlineLevel="0" collapsed="false">
      <c r="A88" s="38" t="s">
        <v>157</v>
      </c>
      <c r="B88" s="38" t="s">
        <v>159</v>
      </c>
      <c r="C88" s="38" t="s">
        <v>195</v>
      </c>
      <c r="D88" s="21" t="n">
        <v>18</v>
      </c>
      <c r="E88" s="21"/>
      <c r="F88" s="51" t="str">
        <f aca="false">IF(E88="","",D88-E88)</f>
        <v/>
      </c>
      <c r="G88" s="21" t="n">
        <v>13</v>
      </c>
      <c r="H88" s="21"/>
      <c r="I88" s="51" t="str">
        <f aca="false">IF(H88="","",G88-H88)</f>
        <v/>
      </c>
      <c r="J88" s="39" t="n">
        <f aca="false">IF(OR(D88="",D88+G88=0),"",D88/(D88+G88))</f>
        <v>0.580645161290323</v>
      </c>
      <c r="K88" s="39" t="str">
        <f aca="false">IF(E88="","",E88/(E88+H88))</f>
        <v/>
      </c>
      <c r="L88" s="52" t="str">
        <f aca="false">IF(OR(K88="",J88=""),"",(J88-K88)*100)</f>
        <v/>
      </c>
      <c r="M88" s="38" t="s">
        <v>691</v>
      </c>
    </row>
    <row r="89" customFormat="false" ht="15" hidden="false" customHeight="false" outlineLevel="0" collapsed="false">
      <c r="A89" s="38" t="s">
        <v>157</v>
      </c>
      <c r="B89" s="38" t="s">
        <v>159</v>
      </c>
      <c r="C89" s="38" t="s">
        <v>196</v>
      </c>
      <c r="D89" s="21" t="n">
        <v>361</v>
      </c>
      <c r="E89" s="21" t="n">
        <v>330</v>
      </c>
      <c r="F89" s="51" t="n">
        <f aca="false">IF(E89="","",D89-E89)</f>
        <v>31</v>
      </c>
      <c r="G89" s="21" t="n">
        <v>230</v>
      </c>
      <c r="H89" s="21" t="n">
        <v>270</v>
      </c>
      <c r="I89" s="51" t="n">
        <f aca="false">IF(H89="","",G89-H89)</f>
        <v>-40</v>
      </c>
      <c r="J89" s="39" t="n">
        <f aca="false">IF(OR(D89="",D89+G89=0),"",D89/(D89+G89))</f>
        <v>0.61082910321489</v>
      </c>
      <c r="K89" s="39" t="n">
        <f aca="false">IF(E89="","",E89/(E89+H89))</f>
        <v>0.55</v>
      </c>
      <c r="L89" s="52" t="n">
        <f aca="false">IF(OR(K89="",J89=""),"",(J89-K89)*100)</f>
        <v>6.082910321489</v>
      </c>
      <c r="M89" s="38"/>
    </row>
    <row r="90" customFormat="false" ht="15" hidden="false" customHeight="false" outlineLevel="0" collapsed="false">
      <c r="A90" s="38" t="s">
        <v>157</v>
      </c>
      <c r="B90" s="38" t="s">
        <v>159</v>
      </c>
      <c r="C90" s="38" t="s">
        <v>197</v>
      </c>
      <c r="D90" s="21" t="n">
        <v>601</v>
      </c>
      <c r="E90" s="21" t="n">
        <v>591</v>
      </c>
      <c r="F90" s="51" t="n">
        <f aca="false">IF(E90="","",D90-E90)</f>
        <v>10</v>
      </c>
      <c r="G90" s="21" t="n">
        <v>249</v>
      </c>
      <c r="H90" s="21" t="n">
        <v>333</v>
      </c>
      <c r="I90" s="51" t="n">
        <f aca="false">IF(H90="","",G90-H90)</f>
        <v>-84</v>
      </c>
      <c r="J90" s="39" t="n">
        <f aca="false">IF(OR(D90="",D90+G90=0),"",D90/(D90+G90))</f>
        <v>0.707058823529412</v>
      </c>
      <c r="K90" s="39" t="n">
        <f aca="false">IF(E90="","",E90/(E90+H90))</f>
        <v>0.63961038961039</v>
      </c>
      <c r="L90" s="52" t="n">
        <f aca="false">IF(OR(K90="",J90=""),"",(J90-K90)*100)</f>
        <v>6.74484339190221</v>
      </c>
      <c r="M90" s="38"/>
    </row>
    <row r="91" customFormat="false" ht="15" hidden="false" customHeight="false" outlineLevel="0" collapsed="false">
      <c r="A91" s="38" t="s">
        <v>157</v>
      </c>
      <c r="B91" s="38" t="s">
        <v>159</v>
      </c>
      <c r="C91" s="38" t="s">
        <v>198</v>
      </c>
      <c r="D91" s="21" t="n">
        <v>362</v>
      </c>
      <c r="E91" s="21" t="n">
        <v>347</v>
      </c>
      <c r="F91" s="51" t="n">
        <f aca="false">IF(E91="","",D91-E91)</f>
        <v>15</v>
      </c>
      <c r="G91" s="21" t="n">
        <v>233</v>
      </c>
      <c r="H91" s="21" t="n">
        <v>243</v>
      </c>
      <c r="I91" s="51" t="n">
        <f aca="false">IF(H91="","",G91-H91)</f>
        <v>-10</v>
      </c>
      <c r="J91" s="39" t="n">
        <f aca="false">IF(OR(D91="",D91+G91=0),"",D91/(D91+G91))</f>
        <v>0.608403361344538</v>
      </c>
      <c r="K91" s="39" t="n">
        <f aca="false">IF(E91="","",E91/(E91+H91))</f>
        <v>0.588135593220339</v>
      </c>
      <c r="L91" s="52" t="n">
        <f aca="false">IF(OR(K91="",J91=""),"",(J91-K91)*100)</f>
        <v>2.02677681241987</v>
      </c>
      <c r="M91" s="38"/>
    </row>
    <row r="92" customFormat="false" ht="15" hidden="false" customHeight="false" outlineLevel="0" collapsed="false">
      <c r="A92" s="38" t="s">
        <v>157</v>
      </c>
      <c r="B92" s="38" t="s">
        <v>159</v>
      </c>
      <c r="C92" s="38" t="s">
        <v>199</v>
      </c>
      <c r="D92" s="21" t="n">
        <v>467</v>
      </c>
      <c r="E92" s="21" t="n">
        <v>440</v>
      </c>
      <c r="F92" s="51" t="n">
        <f aca="false">IF(E92="","",D92-E92)</f>
        <v>27</v>
      </c>
      <c r="G92" s="21" t="n">
        <v>207</v>
      </c>
      <c r="H92" s="21" t="n">
        <v>259</v>
      </c>
      <c r="I92" s="51" t="n">
        <f aca="false">IF(H92="","",G92-H92)</f>
        <v>-52</v>
      </c>
      <c r="J92" s="39" t="n">
        <f aca="false">IF(OR(D92="",D92+G92=0),"",D92/(D92+G92))</f>
        <v>0.692878338278932</v>
      </c>
      <c r="K92" s="39" t="n">
        <f aca="false">IF(E92="","",E92/(E92+H92))</f>
        <v>0.629470672389127</v>
      </c>
      <c r="L92" s="52" t="n">
        <f aca="false">IF(OR(K92="",J92=""),"",(J92-K92)*100)</f>
        <v>6.34076658898044</v>
      </c>
      <c r="M92" s="38"/>
    </row>
    <row r="93" customFormat="false" ht="15" hidden="false" customHeight="false" outlineLevel="0" collapsed="false">
      <c r="A93" s="38" t="s">
        <v>157</v>
      </c>
      <c r="B93" s="38" t="s">
        <v>159</v>
      </c>
      <c r="C93" s="38" t="s">
        <v>200</v>
      </c>
      <c r="D93" s="21" t="n">
        <v>581</v>
      </c>
      <c r="E93" s="21" t="n">
        <v>553</v>
      </c>
      <c r="F93" s="51" t="n">
        <f aca="false">IF(E93="","",D93-E93)</f>
        <v>28</v>
      </c>
      <c r="G93" s="21" t="n">
        <v>375</v>
      </c>
      <c r="H93" s="21" t="n">
        <v>367</v>
      </c>
      <c r="I93" s="51" t="n">
        <f aca="false">IF(H93="","",G93-H93)</f>
        <v>8</v>
      </c>
      <c r="J93" s="39" t="n">
        <f aca="false">IF(OR(D93="",D93+G93=0),"",D93/(D93+G93))</f>
        <v>0.607740585774059</v>
      </c>
      <c r="K93" s="39" t="n">
        <f aca="false">IF(E93="","",E93/(E93+H93))</f>
        <v>0.601086956521739</v>
      </c>
      <c r="L93" s="52" t="n">
        <f aca="false">IF(OR(K93="",J93=""),"",(J93-K93)*100)</f>
        <v>0.665362925231938</v>
      </c>
      <c r="M93" s="38"/>
    </row>
    <row r="94" customFormat="false" ht="15" hidden="false" customHeight="false" outlineLevel="0" collapsed="false">
      <c r="A94" s="38" t="s">
        <v>157</v>
      </c>
      <c r="B94" s="38" t="s">
        <v>159</v>
      </c>
      <c r="C94" s="38" t="s">
        <v>201</v>
      </c>
      <c r="D94" s="21" t="n">
        <v>1</v>
      </c>
      <c r="E94" s="21"/>
      <c r="F94" s="51" t="str">
        <f aca="false">IF(E94="","",D94-E94)</f>
        <v/>
      </c>
      <c r="G94" s="21" t="n">
        <v>2</v>
      </c>
      <c r="H94" s="21"/>
      <c r="I94" s="51" t="str">
        <f aca="false">IF(H94="","",G94-H94)</f>
        <v/>
      </c>
      <c r="J94" s="39" t="n">
        <f aca="false">IF(OR(D94="",D94+G94=0),"",D94/(D94+G94))</f>
        <v>0.333333333333333</v>
      </c>
      <c r="K94" s="39" t="str">
        <f aca="false">IF(E94="","",E94/(E94+H94))</f>
        <v/>
      </c>
      <c r="L94" s="52" t="str">
        <f aca="false">IF(OR(K94="",J94=""),"",(J94-K94)*100)</f>
        <v/>
      </c>
      <c r="M94" s="38" t="s">
        <v>691</v>
      </c>
    </row>
    <row r="95" customFormat="false" ht="15" hidden="false" customHeight="false" outlineLevel="0" collapsed="false">
      <c r="A95" s="38" t="s">
        <v>157</v>
      </c>
      <c r="B95" s="38" t="s">
        <v>159</v>
      </c>
      <c r="C95" s="38" t="s">
        <v>202</v>
      </c>
      <c r="D95" s="21" t="n">
        <v>843</v>
      </c>
      <c r="E95" s="21" t="n">
        <v>821</v>
      </c>
      <c r="F95" s="51" t="n">
        <f aca="false">IF(E95="","",D95-E95)</f>
        <v>22</v>
      </c>
      <c r="G95" s="21" t="n">
        <v>453</v>
      </c>
      <c r="H95" s="21" t="n">
        <v>504</v>
      </c>
      <c r="I95" s="51" t="n">
        <f aca="false">IF(H95="","",G95-H95)</f>
        <v>-51</v>
      </c>
      <c r="J95" s="39" t="n">
        <f aca="false">IF(OR(D95="",D95+G95=0),"",D95/(D95+G95))</f>
        <v>0.650462962962963</v>
      </c>
      <c r="K95" s="39" t="n">
        <f aca="false">IF(E95="","",E95/(E95+H95))</f>
        <v>0.619622641509434</v>
      </c>
      <c r="L95" s="52" t="n">
        <f aca="false">IF(OR(K95="",J95=""),"",(J95-K95)*100)</f>
        <v>3.0840321453529</v>
      </c>
      <c r="M95" s="38"/>
    </row>
    <row r="96" customFormat="false" ht="15" hidden="false" customHeight="false" outlineLevel="0" collapsed="false">
      <c r="A96" s="38" t="s">
        <v>157</v>
      </c>
      <c r="B96" s="38" t="s">
        <v>159</v>
      </c>
      <c r="C96" s="38" t="s">
        <v>203</v>
      </c>
      <c r="D96" s="21" t="n">
        <v>467</v>
      </c>
      <c r="E96" s="21" t="n">
        <v>487</v>
      </c>
      <c r="F96" s="51" t="n">
        <f aca="false">IF(E96="","",D96-E96)</f>
        <v>-20</v>
      </c>
      <c r="G96" s="21" t="n">
        <v>128</v>
      </c>
      <c r="H96" s="21" t="n">
        <v>191</v>
      </c>
      <c r="I96" s="51" t="n">
        <f aca="false">IF(H96="","",G96-H96)</f>
        <v>-63</v>
      </c>
      <c r="J96" s="39" t="n">
        <f aca="false">IF(OR(D96="",D96+G96=0),"",D96/(D96+G96))</f>
        <v>0.784873949579832</v>
      </c>
      <c r="K96" s="39" t="n">
        <f aca="false">IF(E96="","",E96/(E96+H96))</f>
        <v>0.718289085545723</v>
      </c>
      <c r="L96" s="52" t="n">
        <f aca="false">IF(OR(K96="",J96=""),"",(J96-K96)*100)</f>
        <v>6.65848640341092</v>
      </c>
      <c r="M96" s="38"/>
    </row>
    <row r="97" customFormat="false" ht="15" hidden="false" customHeight="false" outlineLevel="0" collapsed="false">
      <c r="A97" s="38" t="s">
        <v>157</v>
      </c>
      <c r="B97" s="38" t="s">
        <v>159</v>
      </c>
      <c r="C97" s="38" t="s">
        <v>204</v>
      </c>
      <c r="D97" s="21" t="n">
        <v>441</v>
      </c>
      <c r="E97" s="21" t="n">
        <v>418</v>
      </c>
      <c r="F97" s="51" t="n">
        <f aca="false">IF(E97="","",D97-E97)</f>
        <v>23</v>
      </c>
      <c r="G97" s="21" t="n">
        <v>151</v>
      </c>
      <c r="H97" s="21" t="n">
        <v>181</v>
      </c>
      <c r="I97" s="51" t="n">
        <f aca="false">IF(H97="","",G97-H97)</f>
        <v>-30</v>
      </c>
      <c r="J97" s="39" t="n">
        <f aca="false">IF(OR(D97="",D97+G97=0),"",D97/(D97+G97))</f>
        <v>0.744932432432433</v>
      </c>
      <c r="K97" s="39" t="n">
        <f aca="false">IF(E97="","",E97/(E97+H97))</f>
        <v>0.697829716193656</v>
      </c>
      <c r="L97" s="52" t="n">
        <f aca="false">IF(OR(K97="",J97=""),"",(J97-K97)*100)</f>
        <v>4.71027162387764</v>
      </c>
      <c r="M97" s="38"/>
    </row>
    <row r="98" customFormat="false" ht="15" hidden="false" customHeight="false" outlineLevel="0" collapsed="false">
      <c r="A98" s="38" t="s">
        <v>157</v>
      </c>
      <c r="B98" s="38" t="s">
        <v>159</v>
      </c>
      <c r="C98" s="38" t="s">
        <v>205</v>
      </c>
      <c r="D98" s="21" t="n">
        <v>515</v>
      </c>
      <c r="E98" s="21" t="n">
        <v>677</v>
      </c>
      <c r="F98" s="51" t="n">
        <f aca="false">IF(E98="","",D98-E98)</f>
        <v>-162</v>
      </c>
      <c r="G98" s="21" t="n">
        <v>164</v>
      </c>
      <c r="H98" s="21" t="n">
        <v>264</v>
      </c>
      <c r="I98" s="51" t="n">
        <f aca="false">IF(H98="","",G98-H98)</f>
        <v>-100</v>
      </c>
      <c r="J98" s="39" t="n">
        <f aca="false">IF(OR(D98="",D98+G98=0),"",D98/(D98+G98))</f>
        <v>0.758468335787923</v>
      </c>
      <c r="K98" s="39" t="n">
        <f aca="false">IF(E98="","",E98/(E98+H98))</f>
        <v>0.719447396386823</v>
      </c>
      <c r="L98" s="52" t="n">
        <f aca="false">IF(OR(K98="",J98=""),"",(J98-K98)*100)</f>
        <v>3.90209394011009</v>
      </c>
      <c r="M98" s="38"/>
    </row>
    <row r="99" customFormat="false" ht="15" hidden="false" customHeight="false" outlineLevel="0" collapsed="false">
      <c r="A99" s="38" t="s">
        <v>157</v>
      </c>
      <c r="B99" s="38" t="s">
        <v>159</v>
      </c>
      <c r="C99" s="38" t="s">
        <v>206</v>
      </c>
      <c r="D99" s="21" t="n">
        <v>275</v>
      </c>
      <c r="E99" s="21" t="n">
        <v>283</v>
      </c>
      <c r="F99" s="51" t="n">
        <f aca="false">IF(E99="","",D99-E99)</f>
        <v>-8</v>
      </c>
      <c r="G99" s="21" t="n">
        <v>98</v>
      </c>
      <c r="H99" s="21" t="n">
        <v>138</v>
      </c>
      <c r="I99" s="51" t="n">
        <f aca="false">IF(H99="","",G99-H99)</f>
        <v>-40</v>
      </c>
      <c r="J99" s="39" t="n">
        <f aca="false">IF(OR(D99="",D99+G99=0),"",D99/(D99+G99))</f>
        <v>0.737265415549598</v>
      </c>
      <c r="K99" s="39" t="n">
        <f aca="false">IF(E99="","",E99/(E99+H99))</f>
        <v>0.672209026128266</v>
      </c>
      <c r="L99" s="52" t="n">
        <f aca="false">IF(OR(K99="",J99=""),"",(J99-K99)*100)</f>
        <v>6.50563894213319</v>
      </c>
      <c r="M99" s="38"/>
    </row>
    <row r="100" customFormat="false" ht="15" hidden="false" customHeight="false" outlineLevel="0" collapsed="false">
      <c r="A100" s="38" t="s">
        <v>157</v>
      </c>
      <c r="B100" s="38" t="s">
        <v>159</v>
      </c>
      <c r="C100" s="38" t="s">
        <v>207</v>
      </c>
      <c r="D100" s="21" t="n">
        <v>406</v>
      </c>
      <c r="E100" s="21" t="n">
        <v>447</v>
      </c>
      <c r="F100" s="51" t="n">
        <f aca="false">IF(E100="","",D100-E100)</f>
        <v>-41</v>
      </c>
      <c r="G100" s="21" t="n">
        <v>117</v>
      </c>
      <c r="H100" s="21" t="n">
        <v>152</v>
      </c>
      <c r="I100" s="51" t="n">
        <f aca="false">IF(H100="","",G100-H100)</f>
        <v>-35</v>
      </c>
      <c r="J100" s="39" t="n">
        <f aca="false">IF(OR(D100="",D100+G100=0),"",D100/(D100+G100))</f>
        <v>0.776290630975143</v>
      </c>
      <c r="K100" s="39" t="n">
        <f aca="false">IF(E100="","",E100/(E100+H100))</f>
        <v>0.746243739565943</v>
      </c>
      <c r="L100" s="52" t="n">
        <f aca="false">IF(OR(K100="",J100=""),"",(J100-K100)*100)</f>
        <v>3.00468914092001</v>
      </c>
      <c r="M100" s="38"/>
    </row>
    <row r="101" customFormat="false" ht="15" hidden="false" customHeight="false" outlineLevel="0" collapsed="false">
      <c r="A101" s="38" t="s">
        <v>157</v>
      </c>
      <c r="B101" s="38" t="s">
        <v>159</v>
      </c>
      <c r="C101" s="38" t="s">
        <v>208</v>
      </c>
      <c r="D101" s="21" t="n">
        <v>223</v>
      </c>
      <c r="E101" s="21" t="n">
        <v>179</v>
      </c>
      <c r="F101" s="51" t="n">
        <f aca="false">IF(E101="","",D101-E101)</f>
        <v>44</v>
      </c>
      <c r="G101" s="21" t="n">
        <v>76</v>
      </c>
      <c r="H101" s="21" t="n">
        <v>112</v>
      </c>
      <c r="I101" s="51" t="n">
        <f aca="false">IF(H101="","",G101-H101)</f>
        <v>-36</v>
      </c>
      <c r="J101" s="39" t="n">
        <f aca="false">IF(OR(D101="",D101+G101=0),"",D101/(D101+G101))</f>
        <v>0.745819397993311</v>
      </c>
      <c r="K101" s="39" t="n">
        <f aca="false">IF(E101="","",E101/(E101+H101))</f>
        <v>0.615120274914089</v>
      </c>
      <c r="L101" s="52" t="n">
        <f aca="false">IF(OR(K101="",J101=""),"",(J101-K101)*100)</f>
        <v>13.0699123079222</v>
      </c>
      <c r="M101" s="38"/>
    </row>
    <row r="102" customFormat="false" ht="15" hidden="false" customHeight="false" outlineLevel="0" collapsed="false">
      <c r="A102" s="38" t="s">
        <v>157</v>
      </c>
      <c r="B102" s="38" t="s">
        <v>159</v>
      </c>
      <c r="C102" s="38" t="s">
        <v>209</v>
      </c>
      <c r="D102" s="21" t="n">
        <v>372</v>
      </c>
      <c r="E102" s="21" t="n">
        <v>357</v>
      </c>
      <c r="F102" s="51" t="n">
        <f aca="false">IF(E102="","",D102-E102)</f>
        <v>15</v>
      </c>
      <c r="G102" s="21" t="n">
        <v>150</v>
      </c>
      <c r="H102" s="21" t="n">
        <v>225</v>
      </c>
      <c r="I102" s="51" t="n">
        <f aca="false">IF(H102="","",G102-H102)</f>
        <v>-75</v>
      </c>
      <c r="J102" s="39" t="n">
        <f aca="false">IF(OR(D102="",D102+G102=0),"",D102/(D102+G102))</f>
        <v>0.71264367816092</v>
      </c>
      <c r="K102" s="39" t="n">
        <f aca="false">IF(E102="","",E102/(E102+H102))</f>
        <v>0.61340206185567</v>
      </c>
      <c r="L102" s="52" t="n">
        <f aca="false">IF(OR(K102="",J102=""),"",(J102-K102)*100)</f>
        <v>9.92416163052494</v>
      </c>
      <c r="M102" s="38"/>
    </row>
    <row r="103" customFormat="false" ht="15" hidden="false" customHeight="false" outlineLevel="0" collapsed="false">
      <c r="A103" s="38" t="s">
        <v>157</v>
      </c>
      <c r="B103" s="38" t="s">
        <v>159</v>
      </c>
      <c r="C103" s="38" t="s">
        <v>210</v>
      </c>
      <c r="D103" s="21" t="n">
        <v>541</v>
      </c>
      <c r="E103" s="21" t="n">
        <v>520</v>
      </c>
      <c r="F103" s="51" t="n">
        <f aca="false">IF(E103="","",D103-E103)</f>
        <v>21</v>
      </c>
      <c r="G103" s="21" t="n">
        <v>171</v>
      </c>
      <c r="H103" s="21" t="n">
        <v>193</v>
      </c>
      <c r="I103" s="51" t="n">
        <f aca="false">IF(H103="","",G103-H103)</f>
        <v>-22</v>
      </c>
      <c r="J103" s="39" t="n">
        <f aca="false">IF(OR(D103="",D103+G103=0),"",D103/(D103+G103))</f>
        <v>0.759831460674157</v>
      </c>
      <c r="K103" s="39" t="n">
        <f aca="false">IF(E103="","",E103/(E103+H103))</f>
        <v>0.729312762973352</v>
      </c>
      <c r="L103" s="52" t="n">
        <f aca="false">IF(OR(K103="",J103=""),"",(J103-K103)*100)</f>
        <v>3.05186977008053</v>
      </c>
      <c r="M103" s="38"/>
    </row>
    <row r="104" customFormat="false" ht="15" hidden="false" customHeight="false" outlineLevel="0" collapsed="false">
      <c r="A104" s="38" t="s">
        <v>157</v>
      </c>
      <c r="B104" s="38" t="s">
        <v>159</v>
      </c>
      <c r="C104" s="38" t="s">
        <v>211</v>
      </c>
      <c r="D104" s="21" t="n">
        <v>206</v>
      </c>
      <c r="E104" s="21" t="n">
        <v>218</v>
      </c>
      <c r="F104" s="51" t="n">
        <f aca="false">IF(E104="","",D104-E104)</f>
        <v>-12</v>
      </c>
      <c r="G104" s="21" t="n">
        <v>64</v>
      </c>
      <c r="H104" s="21" t="n">
        <v>86</v>
      </c>
      <c r="I104" s="51" t="n">
        <f aca="false">IF(H104="","",G104-H104)</f>
        <v>-22</v>
      </c>
      <c r="J104" s="39" t="n">
        <f aca="false">IF(OR(D104="",D104+G104=0),"",D104/(D104+G104))</f>
        <v>0.762962962962963</v>
      </c>
      <c r="K104" s="39" t="n">
        <f aca="false">IF(E104="","",E104/(E104+H104))</f>
        <v>0.717105263157895</v>
      </c>
      <c r="L104" s="52" t="n">
        <f aca="false">IF(OR(K104="",J104=""),"",(J104-K104)*100)</f>
        <v>4.58576998050683</v>
      </c>
      <c r="M104" s="38"/>
    </row>
    <row r="105" customFormat="false" ht="15" hidden="false" customHeight="false" outlineLevel="0" collapsed="false">
      <c r="A105" s="38" t="s">
        <v>157</v>
      </c>
      <c r="B105" s="38" t="s">
        <v>159</v>
      </c>
      <c r="C105" s="38" t="s">
        <v>212</v>
      </c>
      <c r="D105" s="21" t="n">
        <v>240</v>
      </c>
      <c r="E105" s="21" t="n">
        <v>262</v>
      </c>
      <c r="F105" s="51" t="n">
        <f aca="false">IF(E105="","",D105-E105)</f>
        <v>-22</v>
      </c>
      <c r="G105" s="21" t="n">
        <v>69</v>
      </c>
      <c r="H105" s="21" t="n">
        <v>109</v>
      </c>
      <c r="I105" s="51" t="n">
        <f aca="false">IF(H105="","",G105-H105)</f>
        <v>-40</v>
      </c>
      <c r="J105" s="39" t="n">
        <f aca="false">IF(OR(D105="",D105+G105=0),"",D105/(D105+G105))</f>
        <v>0.776699029126214</v>
      </c>
      <c r="K105" s="39" t="n">
        <f aca="false">IF(E105="","",E105/(E105+H105))</f>
        <v>0.706199460916442</v>
      </c>
      <c r="L105" s="52" t="n">
        <f aca="false">IF(OR(K105="",J105=""),"",(J105-K105)*100)</f>
        <v>7.04995682097716</v>
      </c>
      <c r="M105" s="38"/>
    </row>
    <row r="106" customFormat="false" ht="15" hidden="false" customHeight="false" outlineLevel="0" collapsed="false">
      <c r="A106" s="38" t="s">
        <v>157</v>
      </c>
      <c r="B106" s="38" t="s">
        <v>159</v>
      </c>
      <c r="C106" s="38" t="s">
        <v>213</v>
      </c>
      <c r="D106" s="21" t="n">
        <v>401</v>
      </c>
      <c r="E106" s="21" t="n">
        <v>424</v>
      </c>
      <c r="F106" s="51" t="n">
        <f aca="false">IF(E106="","",D106-E106)</f>
        <v>-23</v>
      </c>
      <c r="G106" s="21" t="n">
        <v>119</v>
      </c>
      <c r="H106" s="21" t="n">
        <v>151</v>
      </c>
      <c r="I106" s="51" t="n">
        <f aca="false">IF(H106="","",G106-H106)</f>
        <v>-32</v>
      </c>
      <c r="J106" s="39" t="n">
        <f aca="false">IF(OR(D106="",D106+G106=0),"",D106/(D106+G106))</f>
        <v>0.771153846153846</v>
      </c>
      <c r="K106" s="39" t="n">
        <f aca="false">IF(E106="","",E106/(E106+H106))</f>
        <v>0.737391304347826</v>
      </c>
      <c r="L106" s="52" t="n">
        <f aca="false">IF(OR(K106="",J106=""),"",(J106-K106)*100)</f>
        <v>3.37625418060201</v>
      </c>
      <c r="M106" s="38"/>
    </row>
    <row r="107" customFormat="false" ht="15" hidden="false" customHeight="false" outlineLevel="0" collapsed="false">
      <c r="A107" s="38" t="s">
        <v>157</v>
      </c>
      <c r="B107" s="38" t="s">
        <v>159</v>
      </c>
      <c r="C107" s="38" t="s">
        <v>214</v>
      </c>
      <c r="D107" s="21" t="n">
        <v>485</v>
      </c>
      <c r="E107" s="21" t="n">
        <v>565</v>
      </c>
      <c r="F107" s="51" t="n">
        <f aca="false">IF(E107="","",D107-E107)</f>
        <v>-80</v>
      </c>
      <c r="G107" s="21" t="n">
        <v>220</v>
      </c>
      <c r="H107" s="21" t="n">
        <v>277</v>
      </c>
      <c r="I107" s="51" t="n">
        <f aca="false">IF(H107="","",G107-H107)</f>
        <v>-57</v>
      </c>
      <c r="J107" s="39" t="n">
        <f aca="false">IF(OR(D107="",D107+G107=0),"",D107/(D107+G107))</f>
        <v>0.687943262411348</v>
      </c>
      <c r="K107" s="39" t="n">
        <f aca="false">IF(E107="","",E107/(E107+H107))</f>
        <v>0.671021377672209</v>
      </c>
      <c r="L107" s="52" t="n">
        <f aca="false">IF(OR(K107="",J107=""),"",(J107-K107)*100)</f>
        <v>1.69218847391385</v>
      </c>
      <c r="M107" s="38"/>
    </row>
    <row r="108" customFormat="false" ht="15" hidden="false" customHeight="false" outlineLevel="0" collapsed="false">
      <c r="A108" s="38" t="s">
        <v>157</v>
      </c>
      <c r="B108" s="38" t="s">
        <v>159</v>
      </c>
      <c r="C108" s="38" t="s">
        <v>215</v>
      </c>
      <c r="D108" s="21" t="n">
        <v>241</v>
      </c>
      <c r="E108" s="21" t="n">
        <v>260</v>
      </c>
      <c r="F108" s="51" t="n">
        <f aca="false">IF(E108="","",D108-E108)</f>
        <v>-19</v>
      </c>
      <c r="G108" s="21" t="n">
        <v>92</v>
      </c>
      <c r="H108" s="21" t="n">
        <v>121</v>
      </c>
      <c r="I108" s="51" t="n">
        <f aca="false">IF(H108="","",G108-H108)</f>
        <v>-29</v>
      </c>
      <c r="J108" s="39" t="n">
        <f aca="false">IF(OR(D108="",D108+G108=0),"",D108/(D108+G108))</f>
        <v>0.723723723723724</v>
      </c>
      <c r="K108" s="39" t="n">
        <f aca="false">IF(E108="","",E108/(E108+H108))</f>
        <v>0.68241469816273</v>
      </c>
      <c r="L108" s="52" t="n">
        <f aca="false">IF(OR(K108="",J108=""),"",(J108-K108)*100)</f>
        <v>4.1309025560994</v>
      </c>
      <c r="M108" s="38"/>
    </row>
    <row r="109" customFormat="false" ht="15" hidden="false" customHeight="false" outlineLevel="0" collapsed="false">
      <c r="A109" s="38" t="s">
        <v>157</v>
      </c>
      <c r="B109" s="38" t="s">
        <v>159</v>
      </c>
      <c r="C109" s="38" t="s">
        <v>216</v>
      </c>
      <c r="D109" s="21" t="n">
        <v>321</v>
      </c>
      <c r="E109" s="21" t="n">
        <v>317</v>
      </c>
      <c r="F109" s="51" t="n">
        <f aca="false">IF(E109="","",D109-E109)</f>
        <v>4</v>
      </c>
      <c r="G109" s="21" t="n">
        <v>105</v>
      </c>
      <c r="H109" s="21" t="n">
        <v>152</v>
      </c>
      <c r="I109" s="51" t="n">
        <f aca="false">IF(H109="","",G109-H109)</f>
        <v>-47</v>
      </c>
      <c r="J109" s="39" t="n">
        <f aca="false">IF(OR(D109="",D109+G109=0),"",D109/(D109+G109))</f>
        <v>0.753521126760563</v>
      </c>
      <c r="K109" s="39" t="n">
        <f aca="false">IF(E109="","",E109/(E109+H109))</f>
        <v>0.67590618336887</v>
      </c>
      <c r="L109" s="52" t="n">
        <f aca="false">IF(OR(K109="",J109=""),"",(J109-K109)*100)</f>
        <v>7.76149433916934</v>
      </c>
      <c r="M109" s="38"/>
    </row>
    <row r="110" customFormat="false" ht="15" hidden="false" customHeight="false" outlineLevel="0" collapsed="false">
      <c r="A110" s="38" t="s">
        <v>157</v>
      </c>
      <c r="B110" s="38" t="s">
        <v>159</v>
      </c>
      <c r="C110" s="38" t="s">
        <v>217</v>
      </c>
      <c r="D110" s="21" t="n">
        <v>441</v>
      </c>
      <c r="E110" s="21" t="n">
        <v>424</v>
      </c>
      <c r="F110" s="51" t="n">
        <f aca="false">IF(E110="","",D110-E110)</f>
        <v>17</v>
      </c>
      <c r="G110" s="21" t="n">
        <v>241</v>
      </c>
      <c r="H110" s="21" t="n">
        <v>264</v>
      </c>
      <c r="I110" s="51" t="n">
        <f aca="false">IF(H110="","",G110-H110)</f>
        <v>-23</v>
      </c>
      <c r="J110" s="39" t="n">
        <f aca="false">IF(OR(D110="",D110+G110=0),"",D110/(D110+G110))</f>
        <v>0.646627565982405</v>
      </c>
      <c r="K110" s="39" t="n">
        <f aca="false">IF(E110="","",E110/(E110+H110))</f>
        <v>0.616279069767442</v>
      </c>
      <c r="L110" s="52" t="n">
        <f aca="false">IF(OR(K110="",J110=""),"",(J110-K110)*100)</f>
        <v>3.03484962149628</v>
      </c>
      <c r="M110" s="38"/>
    </row>
    <row r="111" customFormat="false" ht="15" hidden="false" customHeight="false" outlineLevel="0" collapsed="false">
      <c r="A111" s="38" t="s">
        <v>157</v>
      </c>
      <c r="B111" s="38" t="s">
        <v>159</v>
      </c>
      <c r="C111" s="38" t="s">
        <v>218</v>
      </c>
      <c r="D111" s="21" t="n">
        <v>448</v>
      </c>
      <c r="E111" s="21" t="n">
        <v>469</v>
      </c>
      <c r="F111" s="51" t="n">
        <f aca="false">IF(E111="","",D111-E111)</f>
        <v>-21</v>
      </c>
      <c r="G111" s="21" t="n">
        <v>133</v>
      </c>
      <c r="H111" s="21" t="n">
        <v>215</v>
      </c>
      <c r="I111" s="51" t="n">
        <f aca="false">IF(H111="","",G111-H111)</f>
        <v>-82</v>
      </c>
      <c r="J111" s="39" t="n">
        <f aca="false">IF(OR(D111="",D111+G111=0),"",D111/(D111+G111))</f>
        <v>0.771084337349398</v>
      </c>
      <c r="K111" s="39" t="n">
        <f aca="false">IF(E111="","",E111/(E111+H111))</f>
        <v>0.685672514619883</v>
      </c>
      <c r="L111" s="52" t="n">
        <f aca="false">IF(OR(K111="",J111=""),"",(J111-K111)*100)</f>
        <v>8.54118227295146</v>
      </c>
      <c r="M111" s="38"/>
    </row>
    <row r="112" customFormat="false" ht="15" hidden="false" customHeight="false" outlineLevel="0" collapsed="false">
      <c r="A112" s="38" t="s">
        <v>157</v>
      </c>
      <c r="B112" s="38" t="s">
        <v>219</v>
      </c>
      <c r="C112" s="38" t="s">
        <v>220</v>
      </c>
      <c r="D112" s="21" t="n">
        <v>606</v>
      </c>
      <c r="E112" s="21" t="n">
        <v>598</v>
      </c>
      <c r="F112" s="51" t="n">
        <f aca="false">IF(E112="","",D112-E112)</f>
        <v>8</v>
      </c>
      <c r="G112" s="21" t="n">
        <v>230</v>
      </c>
      <c r="H112" s="21" t="n">
        <v>253</v>
      </c>
      <c r="I112" s="51" t="n">
        <f aca="false">IF(H112="","",G112-H112)</f>
        <v>-23</v>
      </c>
      <c r="J112" s="39" t="n">
        <f aca="false">IF(OR(D112="",D112+G112=0),"",D112/(D112+G112))</f>
        <v>0.72488038277512</v>
      </c>
      <c r="K112" s="39" t="n">
        <f aca="false">IF(E112="","",E112/(E112+H112))</f>
        <v>0.702702702702703</v>
      </c>
      <c r="L112" s="52" t="n">
        <f aca="false">IF(OR(K112="",J112=""),"",(J112-K112)*100)</f>
        <v>2.21776800724168</v>
      </c>
      <c r="M112" s="38"/>
    </row>
    <row r="113" customFormat="false" ht="15" hidden="false" customHeight="false" outlineLevel="0" collapsed="false">
      <c r="A113" s="38" t="s">
        <v>157</v>
      </c>
      <c r="B113" s="38" t="s">
        <v>219</v>
      </c>
      <c r="C113" s="38" t="s">
        <v>221</v>
      </c>
      <c r="D113" s="21" t="n">
        <v>437</v>
      </c>
      <c r="E113" s="21" t="n">
        <v>420</v>
      </c>
      <c r="F113" s="51" t="n">
        <f aca="false">IF(E113="","",D113-E113)</f>
        <v>17</v>
      </c>
      <c r="G113" s="21" t="n">
        <v>199</v>
      </c>
      <c r="H113" s="21" t="n">
        <v>214</v>
      </c>
      <c r="I113" s="51" t="n">
        <f aca="false">IF(H113="","",G113-H113)</f>
        <v>-15</v>
      </c>
      <c r="J113" s="39" t="n">
        <f aca="false">IF(OR(D113="",D113+G113=0),"",D113/(D113+G113))</f>
        <v>0.687106918238994</v>
      </c>
      <c r="K113" s="39" t="n">
        <f aca="false">IF(E113="","",E113/(E113+H113))</f>
        <v>0.662460567823344</v>
      </c>
      <c r="L113" s="52" t="n">
        <f aca="false">IF(OR(K113="",J113=""),"",(J113-K113)*100)</f>
        <v>2.46463504156499</v>
      </c>
      <c r="M113" s="38"/>
    </row>
    <row r="114" customFormat="false" ht="15" hidden="false" customHeight="false" outlineLevel="0" collapsed="false">
      <c r="A114" s="38" t="s">
        <v>157</v>
      </c>
      <c r="B114" s="38" t="s">
        <v>219</v>
      </c>
      <c r="C114" s="38" t="s">
        <v>222</v>
      </c>
      <c r="D114" s="21" t="n">
        <v>438</v>
      </c>
      <c r="E114" s="21" t="n">
        <v>438</v>
      </c>
      <c r="F114" s="51" t="n">
        <f aca="false">IF(E114="","",D114-E114)</f>
        <v>0</v>
      </c>
      <c r="G114" s="21" t="n">
        <v>164</v>
      </c>
      <c r="H114" s="21" t="n">
        <v>176</v>
      </c>
      <c r="I114" s="51" t="n">
        <f aca="false">IF(H114="","",G114-H114)</f>
        <v>-12</v>
      </c>
      <c r="J114" s="39" t="n">
        <f aca="false">IF(OR(D114="",D114+G114=0),"",D114/(D114+G114))</f>
        <v>0.727574750830565</v>
      </c>
      <c r="K114" s="39" t="n">
        <f aca="false">IF(E114="","",E114/(E114+H114))</f>
        <v>0.713355048859935</v>
      </c>
      <c r="L114" s="52" t="n">
        <f aca="false">IF(OR(K114="",J114=""),"",(J114-K114)*100)</f>
        <v>1.42197019706299</v>
      </c>
      <c r="M114" s="38"/>
    </row>
    <row r="115" customFormat="false" ht="15" hidden="false" customHeight="false" outlineLevel="0" collapsed="false">
      <c r="A115" s="38" t="s">
        <v>157</v>
      </c>
      <c r="B115" s="38" t="s">
        <v>219</v>
      </c>
      <c r="C115" s="38" t="s">
        <v>223</v>
      </c>
      <c r="D115" s="21" t="n">
        <v>496</v>
      </c>
      <c r="E115" s="21" t="n">
        <v>463</v>
      </c>
      <c r="F115" s="51" t="n">
        <f aca="false">IF(E115="","",D115-E115)</f>
        <v>33</v>
      </c>
      <c r="G115" s="21" t="n">
        <v>206</v>
      </c>
      <c r="H115" s="21" t="n">
        <v>219</v>
      </c>
      <c r="I115" s="51" t="n">
        <f aca="false">IF(H115="","",G115-H115)</f>
        <v>-13</v>
      </c>
      <c r="J115" s="39" t="n">
        <f aca="false">IF(OR(D115="",D115+G115=0),"",D115/(D115+G115))</f>
        <v>0.706552706552707</v>
      </c>
      <c r="K115" s="39" t="n">
        <f aca="false">IF(E115="","",E115/(E115+H115))</f>
        <v>0.678885630498534</v>
      </c>
      <c r="L115" s="52" t="n">
        <f aca="false">IF(OR(K115="",J115=""),"",(J115-K115)*100)</f>
        <v>2.76670760541728</v>
      </c>
      <c r="M115" s="38"/>
    </row>
    <row r="116" customFormat="false" ht="15" hidden="false" customHeight="false" outlineLevel="0" collapsed="false">
      <c r="A116" s="38" t="s">
        <v>157</v>
      </c>
      <c r="B116" s="38" t="s">
        <v>219</v>
      </c>
      <c r="C116" s="38" t="s">
        <v>224</v>
      </c>
      <c r="D116" s="21" t="n">
        <v>809</v>
      </c>
      <c r="E116" s="21" t="n">
        <v>782</v>
      </c>
      <c r="F116" s="51" t="n">
        <f aca="false">IF(E116="","",D116-E116)</f>
        <v>27</v>
      </c>
      <c r="G116" s="21" t="n">
        <v>419</v>
      </c>
      <c r="H116" s="21" t="n">
        <v>404</v>
      </c>
      <c r="I116" s="51" t="n">
        <f aca="false">IF(H116="","",G116-H116)</f>
        <v>15</v>
      </c>
      <c r="J116" s="39" t="n">
        <f aca="false">IF(OR(D116="",D116+G116=0),"",D116/(D116+G116))</f>
        <v>0.658794788273616</v>
      </c>
      <c r="K116" s="39" t="n">
        <f aca="false">IF(E116="","",E116/(E116+H116))</f>
        <v>0.659359190556492</v>
      </c>
      <c r="L116" s="52" t="n">
        <f aca="false">IF(OR(K116="",J116=""),"",(J116-K116)*100)</f>
        <v>-0.0564402282876797</v>
      </c>
      <c r="M116" s="38"/>
    </row>
    <row r="117" customFormat="false" ht="15" hidden="false" customHeight="false" outlineLevel="0" collapsed="false">
      <c r="A117" s="38" t="s">
        <v>157</v>
      </c>
      <c r="B117" s="38" t="s">
        <v>219</v>
      </c>
      <c r="C117" s="38" t="s">
        <v>225</v>
      </c>
      <c r="D117" s="21" t="n">
        <v>550</v>
      </c>
      <c r="E117" s="21" t="n">
        <v>503</v>
      </c>
      <c r="F117" s="51" t="n">
        <f aca="false">IF(E117="","",D117-E117)</f>
        <v>47</v>
      </c>
      <c r="G117" s="21" t="n">
        <v>295</v>
      </c>
      <c r="H117" s="21" t="n">
        <v>318</v>
      </c>
      <c r="I117" s="51" t="n">
        <f aca="false">IF(H117="","",G117-H117)</f>
        <v>-23</v>
      </c>
      <c r="J117" s="39" t="n">
        <f aca="false">IF(OR(D117="",D117+G117=0),"",D117/(D117+G117))</f>
        <v>0.650887573964497</v>
      </c>
      <c r="K117" s="39" t="n">
        <f aca="false">IF(E117="","",E117/(E117+H117))</f>
        <v>0.612667478684531</v>
      </c>
      <c r="L117" s="52" t="n">
        <f aca="false">IF(OR(K117="",J117=""),"",(J117-K117)*100)</f>
        <v>3.8220095279966</v>
      </c>
      <c r="M117" s="38"/>
    </row>
    <row r="118" customFormat="false" ht="15" hidden="false" customHeight="false" outlineLevel="0" collapsed="false">
      <c r="A118" s="38" t="s">
        <v>157</v>
      </c>
      <c r="B118" s="38" t="s">
        <v>219</v>
      </c>
      <c r="C118" s="38" t="s">
        <v>226</v>
      </c>
      <c r="D118" s="21" t="n">
        <v>638</v>
      </c>
      <c r="E118" s="21" t="n">
        <v>597</v>
      </c>
      <c r="F118" s="51" t="n">
        <f aca="false">IF(E118="","",D118-E118)</f>
        <v>41</v>
      </c>
      <c r="G118" s="21" t="n">
        <v>407</v>
      </c>
      <c r="H118" s="21" t="n">
        <v>396</v>
      </c>
      <c r="I118" s="51" t="n">
        <f aca="false">IF(H118="","",G118-H118)</f>
        <v>11</v>
      </c>
      <c r="J118" s="39" t="n">
        <f aca="false">IF(OR(D118="",D118+G118=0),"",D118/(D118+G118))</f>
        <v>0.610526315789474</v>
      </c>
      <c r="K118" s="39" t="n">
        <f aca="false">IF(E118="","",E118/(E118+H118))</f>
        <v>0.601208459214502</v>
      </c>
      <c r="L118" s="52" t="n">
        <f aca="false">IF(OR(K118="",J118=""),"",(J118-K118)*100)</f>
        <v>0.931785657497219</v>
      </c>
      <c r="M118" s="38"/>
    </row>
    <row r="119" customFormat="false" ht="15" hidden="false" customHeight="false" outlineLevel="0" collapsed="false">
      <c r="A119" s="38" t="s">
        <v>157</v>
      </c>
      <c r="B119" s="38" t="s">
        <v>219</v>
      </c>
      <c r="C119" s="38" t="s">
        <v>227</v>
      </c>
      <c r="D119" s="21" t="n">
        <v>720</v>
      </c>
      <c r="E119" s="21" t="n">
        <v>678</v>
      </c>
      <c r="F119" s="51" t="n">
        <f aca="false">IF(E119="","",D119-E119)</f>
        <v>42</v>
      </c>
      <c r="G119" s="21" t="n">
        <v>439</v>
      </c>
      <c r="H119" s="21" t="n">
        <v>451</v>
      </c>
      <c r="I119" s="51" t="n">
        <f aca="false">IF(H119="","",G119-H119)</f>
        <v>-12</v>
      </c>
      <c r="J119" s="39" t="n">
        <f aca="false">IF(OR(D119="",D119+G119=0),"",D119/(D119+G119))</f>
        <v>0.621225194132873</v>
      </c>
      <c r="K119" s="39" t="n">
        <f aca="false">IF(E119="","",E119/(E119+H119))</f>
        <v>0.600531443755536</v>
      </c>
      <c r="L119" s="52" t="n">
        <f aca="false">IF(OR(K119="",J119=""),"",(J119-K119)*100)</f>
        <v>2.06937503773372</v>
      </c>
      <c r="M119" s="38"/>
    </row>
    <row r="120" customFormat="false" ht="15" hidden="false" customHeight="false" outlineLevel="0" collapsed="false">
      <c r="A120" s="38" t="s">
        <v>157</v>
      </c>
      <c r="B120" s="38" t="s">
        <v>219</v>
      </c>
      <c r="C120" s="38" t="s">
        <v>228</v>
      </c>
      <c r="D120" s="21" t="n">
        <v>552</v>
      </c>
      <c r="E120" s="21" t="n">
        <v>524</v>
      </c>
      <c r="F120" s="51" t="n">
        <f aca="false">IF(E120="","",D120-E120)</f>
        <v>28</v>
      </c>
      <c r="G120" s="21" t="n">
        <v>325</v>
      </c>
      <c r="H120" s="21" t="n">
        <v>327</v>
      </c>
      <c r="I120" s="51" t="n">
        <f aca="false">IF(H120="","",G120-H120)</f>
        <v>-2</v>
      </c>
      <c r="J120" s="39" t="n">
        <f aca="false">IF(OR(D120="",D120+G120=0),"",D120/(D120+G120))</f>
        <v>0.629418472063854</v>
      </c>
      <c r="K120" s="39" t="n">
        <f aca="false">IF(E120="","",E120/(E120+H120))</f>
        <v>0.615746180963572</v>
      </c>
      <c r="L120" s="52" t="n">
        <f aca="false">IF(OR(K120="",J120=""),"",(J120-K120)*100)</f>
        <v>1.36722911002818</v>
      </c>
      <c r="M120" s="38"/>
    </row>
    <row r="121" customFormat="false" ht="15" hidden="false" customHeight="false" outlineLevel="0" collapsed="false">
      <c r="A121" s="38" t="s">
        <v>157</v>
      </c>
      <c r="B121" s="38" t="s">
        <v>219</v>
      </c>
      <c r="C121" s="38" t="s">
        <v>229</v>
      </c>
      <c r="D121" s="21" t="n">
        <v>449</v>
      </c>
      <c r="E121" s="21" t="n">
        <v>437</v>
      </c>
      <c r="F121" s="51" t="n">
        <f aca="false">IF(E121="","",D121-E121)</f>
        <v>12</v>
      </c>
      <c r="G121" s="21" t="n">
        <v>317</v>
      </c>
      <c r="H121" s="21" t="n">
        <v>344</v>
      </c>
      <c r="I121" s="51" t="n">
        <f aca="false">IF(H121="","",G121-H121)</f>
        <v>-27</v>
      </c>
      <c r="J121" s="39" t="n">
        <f aca="false">IF(OR(D121="",D121+G121=0),"",D121/(D121+G121))</f>
        <v>0.586161879895561</v>
      </c>
      <c r="K121" s="39" t="n">
        <f aca="false">IF(E121="","",E121/(E121+H121))</f>
        <v>0.559539052496799</v>
      </c>
      <c r="L121" s="52" t="n">
        <f aca="false">IF(OR(K121="",J121=""),"",(J121-K121)*100)</f>
        <v>2.66228273987623</v>
      </c>
      <c r="M121" s="38"/>
    </row>
    <row r="122" customFormat="false" ht="15" hidden="false" customHeight="false" outlineLevel="0" collapsed="false">
      <c r="A122" s="38" t="s">
        <v>157</v>
      </c>
      <c r="B122" s="38" t="s">
        <v>219</v>
      </c>
      <c r="C122" s="38" t="s">
        <v>230</v>
      </c>
      <c r="D122" s="21" t="n">
        <v>591</v>
      </c>
      <c r="E122" s="21" t="n">
        <v>581</v>
      </c>
      <c r="F122" s="51" t="n">
        <f aca="false">IF(E122="","",D122-E122)</f>
        <v>10</v>
      </c>
      <c r="G122" s="21" t="n">
        <v>328</v>
      </c>
      <c r="H122" s="21" t="n">
        <v>342</v>
      </c>
      <c r="I122" s="51" t="n">
        <f aca="false">IF(H122="","",G122-H122)</f>
        <v>-14</v>
      </c>
      <c r="J122" s="39" t="n">
        <f aca="false">IF(OR(D122="",D122+G122=0),"",D122/(D122+G122))</f>
        <v>0.643090315560392</v>
      </c>
      <c r="K122" s="39" t="n">
        <f aca="false">IF(E122="","",E122/(E122+H122))</f>
        <v>0.629469122426869</v>
      </c>
      <c r="L122" s="52" t="n">
        <f aca="false">IF(OR(K122="",J122=""),"",(J122-K122)*100)</f>
        <v>1.36211931335228</v>
      </c>
      <c r="M122" s="38"/>
    </row>
    <row r="123" customFormat="false" ht="15" hidden="false" customHeight="false" outlineLevel="0" collapsed="false">
      <c r="A123" s="38" t="s">
        <v>157</v>
      </c>
      <c r="B123" s="38" t="s">
        <v>219</v>
      </c>
      <c r="C123" s="38" t="s">
        <v>231</v>
      </c>
      <c r="D123" s="21" t="n">
        <v>610</v>
      </c>
      <c r="E123" s="21" t="n">
        <v>591</v>
      </c>
      <c r="F123" s="51" t="n">
        <f aca="false">IF(E123="","",D123-E123)</f>
        <v>19</v>
      </c>
      <c r="G123" s="21" t="n">
        <v>375</v>
      </c>
      <c r="H123" s="21" t="n">
        <v>390</v>
      </c>
      <c r="I123" s="51" t="n">
        <f aca="false">IF(H123="","",G123-H123)</f>
        <v>-15</v>
      </c>
      <c r="J123" s="39" t="n">
        <f aca="false">IF(OR(D123="",D123+G123=0),"",D123/(D123+G123))</f>
        <v>0.619289340101523</v>
      </c>
      <c r="K123" s="39" t="n">
        <f aca="false">IF(E123="","",E123/(E123+H123))</f>
        <v>0.602446483180428</v>
      </c>
      <c r="L123" s="52" t="n">
        <f aca="false">IF(OR(K123="",J123=""),"",(J123-K123)*100)</f>
        <v>1.68428569210947</v>
      </c>
      <c r="M123" s="38"/>
    </row>
    <row r="124" customFormat="false" ht="15" hidden="false" customHeight="false" outlineLevel="0" collapsed="false">
      <c r="A124" s="38" t="s">
        <v>157</v>
      </c>
      <c r="B124" s="38" t="s">
        <v>232</v>
      </c>
      <c r="C124" s="38" t="s">
        <v>233</v>
      </c>
      <c r="D124" s="21" t="n">
        <v>569</v>
      </c>
      <c r="E124" s="21" t="n">
        <v>557</v>
      </c>
      <c r="F124" s="51" t="n">
        <f aca="false">IF(E124="","",D124-E124)</f>
        <v>12</v>
      </c>
      <c r="G124" s="21" t="n">
        <v>392</v>
      </c>
      <c r="H124" s="21" t="n">
        <v>454</v>
      </c>
      <c r="I124" s="51" t="n">
        <f aca="false">IF(H124="","",G124-H124)</f>
        <v>-62</v>
      </c>
      <c r="J124" s="39" t="n">
        <f aca="false">IF(OR(D124="",D124+G124=0),"",D124/(D124+G124))</f>
        <v>0.592091571279917</v>
      </c>
      <c r="K124" s="39" t="n">
        <f aca="false">IF(E124="","",E124/(E124+H124))</f>
        <v>0.550939663699308</v>
      </c>
      <c r="L124" s="52" t="n">
        <f aca="false">IF(OR(K124="",J124=""),"",(J124-K124)*100)</f>
        <v>4.11519075806092</v>
      </c>
      <c r="M124" s="38"/>
    </row>
    <row r="125" customFormat="false" ht="15" hidden="false" customHeight="false" outlineLevel="0" collapsed="false">
      <c r="A125" s="38" t="s">
        <v>157</v>
      </c>
      <c r="B125" s="38" t="s">
        <v>232</v>
      </c>
      <c r="C125" s="38" t="s">
        <v>234</v>
      </c>
      <c r="D125" s="21" t="n">
        <v>556</v>
      </c>
      <c r="E125" s="21" t="n">
        <v>467</v>
      </c>
      <c r="F125" s="51" t="n">
        <f aca="false">IF(E125="","",D125-E125)</f>
        <v>89</v>
      </c>
      <c r="G125" s="21" t="n">
        <v>500</v>
      </c>
      <c r="H125" s="21" t="n">
        <v>513</v>
      </c>
      <c r="I125" s="51" t="n">
        <f aca="false">IF(H125="","",G125-H125)</f>
        <v>-13</v>
      </c>
      <c r="J125" s="39" t="n">
        <f aca="false">IF(OR(D125="",D125+G125=0),"",D125/(D125+G125))</f>
        <v>0.526515151515152</v>
      </c>
      <c r="K125" s="39" t="n">
        <f aca="false">IF(E125="","",E125/(E125+H125))</f>
        <v>0.476530612244898</v>
      </c>
      <c r="L125" s="52" t="n">
        <f aca="false">IF(OR(K125="",J125=""),"",(J125-K125)*100)</f>
        <v>4.99845392702535</v>
      </c>
      <c r="M125" s="38"/>
    </row>
    <row r="126" customFormat="false" ht="15" hidden="false" customHeight="false" outlineLevel="0" collapsed="false">
      <c r="A126" s="38" t="s">
        <v>157</v>
      </c>
      <c r="B126" s="38" t="s">
        <v>232</v>
      </c>
      <c r="C126" s="38" t="s">
        <v>235</v>
      </c>
      <c r="D126" s="21" t="n">
        <v>598</v>
      </c>
      <c r="E126" s="21" t="n">
        <v>536</v>
      </c>
      <c r="F126" s="51" t="n">
        <f aca="false">IF(E126="","",D126-E126)</f>
        <v>62</v>
      </c>
      <c r="G126" s="21" t="n">
        <v>501</v>
      </c>
      <c r="H126" s="21" t="n">
        <v>524</v>
      </c>
      <c r="I126" s="51" t="n">
        <f aca="false">IF(H126="","",G126-H126)</f>
        <v>-23</v>
      </c>
      <c r="J126" s="39" t="n">
        <f aca="false">IF(OR(D126="",D126+G126=0),"",D126/(D126+G126))</f>
        <v>0.544131028207461</v>
      </c>
      <c r="K126" s="39" t="n">
        <f aca="false">IF(E126="","",E126/(E126+H126))</f>
        <v>0.505660377358491</v>
      </c>
      <c r="L126" s="52" t="n">
        <f aca="false">IF(OR(K126="",J126=""),"",(J126-K126)*100)</f>
        <v>3.84706508489707</v>
      </c>
      <c r="M126" s="38"/>
    </row>
    <row r="127" customFormat="false" ht="15" hidden="false" customHeight="false" outlineLevel="0" collapsed="false">
      <c r="A127" s="38" t="s">
        <v>157</v>
      </c>
      <c r="B127" s="38" t="s">
        <v>236</v>
      </c>
      <c r="C127" s="38" t="s">
        <v>236</v>
      </c>
      <c r="D127" s="21" t="n">
        <v>830</v>
      </c>
      <c r="E127" s="21" t="n">
        <v>735</v>
      </c>
      <c r="F127" s="51" t="n">
        <f aca="false">IF(E127="","",D127-E127)</f>
        <v>95</v>
      </c>
      <c r="G127" s="21" t="n">
        <v>804</v>
      </c>
      <c r="H127" s="21" t="n">
        <v>804</v>
      </c>
      <c r="I127" s="51" t="n">
        <f aca="false">IF(H127="","",G127-H127)</f>
        <v>0</v>
      </c>
      <c r="J127" s="39" t="n">
        <f aca="false">IF(OR(D127="",D127+G127=0),"",D127/(D127+G127))</f>
        <v>0.507955936352509</v>
      </c>
      <c r="K127" s="39" t="n">
        <f aca="false">IF(E127="","",E127/(E127+H127))</f>
        <v>0.477582846003899</v>
      </c>
      <c r="L127" s="52" t="n">
        <f aca="false">IF(OR(K127="",J127=""),"",(J127-K127)*100)</f>
        <v>3.03730903486105</v>
      </c>
      <c r="M127" s="38"/>
    </row>
    <row r="128" customFormat="false" ht="15" hidden="false" customHeight="false" outlineLevel="0" collapsed="false">
      <c r="A128" s="38" t="s">
        <v>157</v>
      </c>
      <c r="B128" s="38" t="s">
        <v>237</v>
      </c>
      <c r="C128" s="38" t="s">
        <v>238</v>
      </c>
      <c r="D128" s="21" t="n">
        <v>443</v>
      </c>
      <c r="E128" s="21" t="n">
        <v>372</v>
      </c>
      <c r="F128" s="51" t="n">
        <f aca="false">IF(E128="","",D128-E128)</f>
        <v>71</v>
      </c>
      <c r="G128" s="21" t="n">
        <v>371</v>
      </c>
      <c r="H128" s="21" t="n">
        <v>383</v>
      </c>
      <c r="I128" s="51" t="n">
        <f aca="false">IF(H128="","",G128-H128)</f>
        <v>-12</v>
      </c>
      <c r="J128" s="39" t="n">
        <f aca="false">IF(OR(D128="",D128+G128=0),"",D128/(D128+G128))</f>
        <v>0.544226044226044</v>
      </c>
      <c r="K128" s="39" t="n">
        <f aca="false">IF(E128="","",E128/(E128+H128))</f>
        <v>0.492715231788079</v>
      </c>
      <c r="L128" s="52" t="n">
        <f aca="false">IF(OR(K128="",J128=""),"",(J128-K128)*100)</f>
        <v>5.15108124379648</v>
      </c>
      <c r="M128" s="38"/>
    </row>
    <row r="129" customFormat="false" ht="15" hidden="false" customHeight="false" outlineLevel="0" collapsed="false">
      <c r="A129" s="38" t="s">
        <v>157</v>
      </c>
      <c r="B129" s="38" t="s">
        <v>237</v>
      </c>
      <c r="C129" s="38" t="s">
        <v>239</v>
      </c>
      <c r="D129" s="21" t="n">
        <v>588</v>
      </c>
      <c r="E129" s="21" t="n">
        <v>527</v>
      </c>
      <c r="F129" s="51" t="n">
        <f aca="false">IF(E129="","",D129-E129)</f>
        <v>61</v>
      </c>
      <c r="G129" s="21" t="n">
        <v>471</v>
      </c>
      <c r="H129" s="21" t="n">
        <v>515</v>
      </c>
      <c r="I129" s="51" t="n">
        <f aca="false">IF(H129="","",G129-H129)</f>
        <v>-44</v>
      </c>
      <c r="J129" s="39" t="n">
        <f aca="false">IF(OR(D129="",D129+G129=0),"",D129/(D129+G129))</f>
        <v>0.555240793201133</v>
      </c>
      <c r="K129" s="39" t="n">
        <f aca="false">IF(E129="","",E129/(E129+H129))</f>
        <v>0.505758157389635</v>
      </c>
      <c r="L129" s="52" t="n">
        <f aca="false">IF(OR(K129="",J129=""),"",(J129-K129)*100)</f>
        <v>4.94826358114978</v>
      </c>
      <c r="M129" s="38"/>
    </row>
    <row r="130" customFormat="false" ht="15" hidden="false" customHeight="false" outlineLevel="0" collapsed="false">
      <c r="A130" s="38" t="s">
        <v>157</v>
      </c>
      <c r="B130" s="38" t="s">
        <v>240</v>
      </c>
      <c r="C130" s="38" t="s">
        <v>241</v>
      </c>
      <c r="D130" s="21" t="n">
        <v>606</v>
      </c>
      <c r="E130" s="21" t="n">
        <v>562</v>
      </c>
      <c r="F130" s="51" t="n">
        <f aca="false">IF(E130="","",D130-E130)</f>
        <v>44</v>
      </c>
      <c r="G130" s="21" t="n">
        <v>459</v>
      </c>
      <c r="H130" s="21" t="n">
        <v>497</v>
      </c>
      <c r="I130" s="51" t="n">
        <f aca="false">IF(H130="","",G130-H130)</f>
        <v>-38</v>
      </c>
      <c r="J130" s="39" t="n">
        <f aca="false">IF(OR(D130="",D130+G130=0),"",D130/(D130+G130))</f>
        <v>0.569014084507042</v>
      </c>
      <c r="K130" s="39" t="n">
        <f aca="false">IF(E130="","",E130/(E130+H130))</f>
        <v>0.530689329556185</v>
      </c>
      <c r="L130" s="52" t="n">
        <f aca="false">IF(OR(K130="",J130=""),"",(J130-K130)*100)</f>
        <v>3.83247549508572</v>
      </c>
      <c r="M130" s="38"/>
    </row>
    <row r="131" customFormat="false" ht="15" hidden="false" customHeight="false" outlineLevel="0" collapsed="false">
      <c r="A131" s="38" t="s">
        <v>157</v>
      </c>
      <c r="B131" s="38" t="s">
        <v>240</v>
      </c>
      <c r="C131" s="38" t="s">
        <v>242</v>
      </c>
      <c r="D131" s="21" t="n">
        <v>617</v>
      </c>
      <c r="E131" s="21" t="n">
        <v>566</v>
      </c>
      <c r="F131" s="51" t="n">
        <f aca="false">IF(E131="","",D131-E131)</f>
        <v>51</v>
      </c>
      <c r="G131" s="21" t="n">
        <v>494</v>
      </c>
      <c r="H131" s="21" t="n">
        <v>509</v>
      </c>
      <c r="I131" s="51" t="n">
        <f aca="false">IF(H131="","",G131-H131)</f>
        <v>-15</v>
      </c>
      <c r="J131" s="39" t="n">
        <f aca="false">IF(OR(D131="",D131+G131=0),"",D131/(D131+G131))</f>
        <v>0.555355535553555</v>
      </c>
      <c r="K131" s="39" t="n">
        <f aca="false">IF(E131="","",E131/(E131+H131))</f>
        <v>0.526511627906977</v>
      </c>
      <c r="L131" s="52" t="n">
        <f aca="false">IF(OR(K131="",J131=""),"",(J131-K131)*100)</f>
        <v>2.88439076465786</v>
      </c>
      <c r="M131" s="38"/>
    </row>
    <row r="132" customFormat="false" ht="15" hidden="false" customHeight="false" outlineLevel="0" collapsed="false">
      <c r="A132" s="38" t="s">
        <v>157</v>
      </c>
      <c r="B132" s="38" t="s">
        <v>240</v>
      </c>
      <c r="C132" s="38" t="s">
        <v>243</v>
      </c>
      <c r="D132" s="21" t="n">
        <v>822</v>
      </c>
      <c r="E132" s="21" t="n">
        <v>826</v>
      </c>
      <c r="F132" s="51" t="n">
        <f aca="false">IF(E132="","",D132-E132)</f>
        <v>-4</v>
      </c>
      <c r="G132" s="21" t="n">
        <v>707</v>
      </c>
      <c r="H132" s="21" t="n">
        <v>801</v>
      </c>
      <c r="I132" s="51" t="n">
        <f aca="false">IF(H132="","",G132-H132)</f>
        <v>-94</v>
      </c>
      <c r="J132" s="39" t="n">
        <f aca="false">IF(OR(D132="",D132+G132=0),"",D132/(D132+G132))</f>
        <v>0.537606278613473</v>
      </c>
      <c r="K132" s="39" t="n">
        <f aca="false">IF(E132="","",E132/(E132+H132))</f>
        <v>0.507682851874616</v>
      </c>
      <c r="L132" s="52" t="n">
        <f aca="false">IF(OR(K132="",J132=""),"",(J132-K132)*100)</f>
        <v>2.99234267388571</v>
      </c>
      <c r="M132" s="38"/>
    </row>
    <row r="133" customFormat="false" ht="15" hidden="false" customHeight="false" outlineLevel="0" collapsed="false">
      <c r="A133" s="38" t="s">
        <v>157</v>
      </c>
      <c r="B133" s="38" t="s">
        <v>240</v>
      </c>
      <c r="C133" s="38" t="s">
        <v>244</v>
      </c>
      <c r="D133" s="21" t="n">
        <v>725</v>
      </c>
      <c r="E133" s="21" t="n">
        <v>686</v>
      </c>
      <c r="F133" s="51" t="n">
        <f aca="false">IF(E133="","",D133-E133)</f>
        <v>39</v>
      </c>
      <c r="G133" s="21" t="n">
        <v>534</v>
      </c>
      <c r="H133" s="21" t="n">
        <v>580</v>
      </c>
      <c r="I133" s="51" t="n">
        <f aca="false">IF(H133="","",G133-H133)</f>
        <v>-46</v>
      </c>
      <c r="J133" s="39" t="n">
        <f aca="false">IF(OR(D133="",D133+G133=0),"",D133/(D133+G133))</f>
        <v>0.575853852263701</v>
      </c>
      <c r="K133" s="39" t="n">
        <f aca="false">IF(E133="","",E133/(E133+H133))</f>
        <v>0.541864139020537</v>
      </c>
      <c r="L133" s="52" t="n">
        <f aca="false">IF(OR(K133="",J133=""),"",(J133-K133)*100)</f>
        <v>3.39897132431642</v>
      </c>
      <c r="M133" s="38"/>
    </row>
    <row r="134" customFormat="false" ht="15" hidden="false" customHeight="false" outlineLevel="0" collapsed="false">
      <c r="A134" s="38" t="s">
        <v>157</v>
      </c>
      <c r="B134" s="38" t="s">
        <v>240</v>
      </c>
      <c r="C134" s="38" t="s">
        <v>245</v>
      </c>
      <c r="D134" s="21" t="n">
        <v>385</v>
      </c>
      <c r="E134" s="21" t="n">
        <v>332</v>
      </c>
      <c r="F134" s="51" t="n">
        <f aca="false">IF(E134="","",D134-E134)</f>
        <v>53</v>
      </c>
      <c r="G134" s="21" t="n">
        <v>330</v>
      </c>
      <c r="H134" s="21" t="n">
        <v>340</v>
      </c>
      <c r="I134" s="51" t="n">
        <f aca="false">IF(H134="","",G134-H134)</f>
        <v>-10</v>
      </c>
      <c r="J134" s="39" t="n">
        <f aca="false">IF(OR(D134="",D134+G134=0),"",D134/(D134+G134))</f>
        <v>0.538461538461538</v>
      </c>
      <c r="K134" s="39" t="n">
        <f aca="false">IF(E134="","",E134/(E134+H134))</f>
        <v>0.494047619047619</v>
      </c>
      <c r="L134" s="52" t="n">
        <f aca="false">IF(OR(K134="",J134=""),"",(J134-K134)*100)</f>
        <v>4.44139194139194</v>
      </c>
      <c r="M134" s="38"/>
    </row>
    <row r="135" customFormat="false" ht="15" hidden="false" customHeight="false" outlineLevel="0" collapsed="false">
      <c r="A135" s="38" t="s">
        <v>157</v>
      </c>
      <c r="B135" s="38" t="s">
        <v>240</v>
      </c>
      <c r="C135" s="38" t="s">
        <v>246</v>
      </c>
      <c r="D135" s="21" t="n">
        <v>723</v>
      </c>
      <c r="E135" s="21" t="n">
        <v>691</v>
      </c>
      <c r="F135" s="51" t="n">
        <f aca="false">IF(E135="","",D135-E135)</f>
        <v>32</v>
      </c>
      <c r="G135" s="21" t="n">
        <v>550</v>
      </c>
      <c r="H135" s="21" t="n">
        <v>509</v>
      </c>
      <c r="I135" s="51" t="n">
        <f aca="false">IF(H135="","",G135-H135)</f>
        <v>41</v>
      </c>
      <c r="J135" s="39" t="n">
        <f aca="false">IF(OR(D135="",D135+G135=0),"",D135/(D135+G135))</f>
        <v>0.567949725058916</v>
      </c>
      <c r="K135" s="39" t="n">
        <f aca="false">IF(E135="","",E135/(E135+H135))</f>
        <v>0.575833333333333</v>
      </c>
      <c r="L135" s="52" t="n">
        <f aca="false">IF(OR(K135="",J135=""),"",(J135-K135)*100)</f>
        <v>-0.788360827441736</v>
      </c>
      <c r="M135" s="38"/>
    </row>
    <row r="136" customFormat="false" ht="15" hidden="false" customHeight="false" outlineLevel="0" collapsed="false">
      <c r="A136" s="38" t="s">
        <v>157</v>
      </c>
      <c r="B136" s="38" t="s">
        <v>247</v>
      </c>
      <c r="C136" s="38" t="s">
        <v>248</v>
      </c>
      <c r="D136" s="21" t="n">
        <v>631</v>
      </c>
      <c r="E136" s="21" t="n">
        <v>579</v>
      </c>
      <c r="F136" s="51" t="n">
        <f aca="false">IF(E136="","",D136-E136)</f>
        <v>52</v>
      </c>
      <c r="G136" s="21" t="n">
        <v>256</v>
      </c>
      <c r="H136" s="21" t="n">
        <v>292</v>
      </c>
      <c r="I136" s="51" t="n">
        <f aca="false">IF(H136="","",G136-H136)</f>
        <v>-36</v>
      </c>
      <c r="J136" s="39" t="n">
        <f aca="false">IF(OR(D136="",D136+G136=0),"",D136/(D136+G136))</f>
        <v>0.711386696730552</v>
      </c>
      <c r="K136" s="39" t="n">
        <f aca="false">IF(E136="","",E136/(E136+H136))</f>
        <v>0.664753157290471</v>
      </c>
      <c r="L136" s="52" t="n">
        <f aca="false">IF(OR(K136="",J136=""),"",(J136-K136)*100)</f>
        <v>4.66335394400818</v>
      </c>
      <c r="M136" s="38"/>
    </row>
    <row r="137" customFormat="false" ht="15" hidden="false" customHeight="false" outlineLevel="0" collapsed="false">
      <c r="A137" s="38" t="s">
        <v>157</v>
      </c>
      <c r="B137" s="38" t="s">
        <v>247</v>
      </c>
      <c r="C137" s="38" t="s">
        <v>249</v>
      </c>
      <c r="D137" s="21" t="n">
        <v>454</v>
      </c>
      <c r="E137" s="21" t="n">
        <v>440</v>
      </c>
      <c r="F137" s="51" t="n">
        <f aca="false">IF(E137="","",D137-E137)</f>
        <v>14</v>
      </c>
      <c r="G137" s="21" t="n">
        <v>226</v>
      </c>
      <c r="H137" s="21" t="n">
        <v>262</v>
      </c>
      <c r="I137" s="51" t="n">
        <f aca="false">IF(H137="","",G137-H137)</f>
        <v>-36</v>
      </c>
      <c r="J137" s="39" t="n">
        <f aca="false">IF(OR(D137="",D137+G137=0),"",D137/(D137+G137))</f>
        <v>0.667647058823529</v>
      </c>
      <c r="K137" s="39" t="n">
        <f aca="false">IF(E137="","",E137/(E137+H137))</f>
        <v>0.626780626780627</v>
      </c>
      <c r="L137" s="52" t="n">
        <f aca="false">IF(OR(K137="",J137=""),"",(J137-K137)*100)</f>
        <v>4.08664320429026</v>
      </c>
      <c r="M137" s="38"/>
    </row>
    <row r="138" customFormat="false" ht="15" hidden="false" customHeight="false" outlineLevel="0" collapsed="false">
      <c r="A138" s="38" t="s">
        <v>157</v>
      </c>
      <c r="B138" s="38" t="s">
        <v>247</v>
      </c>
      <c r="C138" s="38" t="s">
        <v>250</v>
      </c>
      <c r="D138" s="21" t="n">
        <v>466</v>
      </c>
      <c r="E138" s="21" t="n">
        <v>414</v>
      </c>
      <c r="F138" s="51" t="n">
        <f aca="false">IF(E138="","",D138-E138)</f>
        <v>52</v>
      </c>
      <c r="G138" s="21" t="n">
        <v>216</v>
      </c>
      <c r="H138" s="21" t="n">
        <v>239</v>
      </c>
      <c r="I138" s="51" t="n">
        <f aca="false">IF(H138="","",G138-H138)</f>
        <v>-23</v>
      </c>
      <c r="J138" s="39" t="n">
        <f aca="false">IF(OR(D138="",D138+G138=0),"",D138/(D138+G138))</f>
        <v>0.683284457478006</v>
      </c>
      <c r="K138" s="39" t="n">
        <f aca="false">IF(E138="","",E138/(E138+H138))</f>
        <v>0.633996937212864</v>
      </c>
      <c r="L138" s="52" t="n">
        <f aca="false">IF(OR(K138="",J138=""),"",(J138-K138)*100)</f>
        <v>4.92875202651422</v>
      </c>
      <c r="M138" s="38"/>
    </row>
    <row r="139" customFormat="false" ht="15" hidden="false" customHeight="false" outlineLevel="0" collapsed="false">
      <c r="A139" s="38" t="s">
        <v>157</v>
      </c>
      <c r="B139" s="38" t="s">
        <v>251</v>
      </c>
      <c r="C139" s="38" t="s">
        <v>251</v>
      </c>
      <c r="D139" s="21" t="n">
        <v>432</v>
      </c>
      <c r="E139" s="21" t="n">
        <v>379</v>
      </c>
      <c r="F139" s="51" t="n">
        <f aca="false">IF(E139="","",D139-E139)</f>
        <v>53</v>
      </c>
      <c r="G139" s="21" t="n">
        <v>312</v>
      </c>
      <c r="H139" s="21" t="n">
        <v>330</v>
      </c>
      <c r="I139" s="51" t="n">
        <f aca="false">IF(H139="","",G139-H139)</f>
        <v>-18</v>
      </c>
      <c r="J139" s="39" t="n">
        <f aca="false">IF(OR(D139="",D139+G139=0),"",D139/(D139+G139))</f>
        <v>0.580645161290323</v>
      </c>
      <c r="K139" s="39" t="n">
        <f aca="false">IF(E139="","",E139/(E139+H139))</f>
        <v>0.534555712270804</v>
      </c>
      <c r="L139" s="52" t="n">
        <f aca="false">IF(OR(K139="",J139=""),"",(J139-K139)*100)</f>
        <v>4.60894490195187</v>
      </c>
      <c r="M139" s="38"/>
    </row>
    <row r="140" customFormat="false" ht="15" hidden="false" customHeight="false" outlineLevel="0" collapsed="false">
      <c r="A140" s="38" t="s">
        <v>157</v>
      </c>
      <c r="B140" s="38" t="s">
        <v>252</v>
      </c>
      <c r="C140" s="38" t="s">
        <v>252</v>
      </c>
      <c r="D140" s="21" t="n">
        <v>690</v>
      </c>
      <c r="E140" s="21" t="n">
        <v>654</v>
      </c>
      <c r="F140" s="51" t="n">
        <f aca="false">IF(E140="","",D140-E140)</f>
        <v>36</v>
      </c>
      <c r="G140" s="21" t="n">
        <v>1454</v>
      </c>
      <c r="H140" s="21" t="n">
        <v>1439</v>
      </c>
      <c r="I140" s="51" t="n">
        <f aca="false">IF(H140="","",G140-H140)</f>
        <v>15</v>
      </c>
      <c r="J140" s="39" t="n">
        <f aca="false">IF(OR(D140="",D140+G140=0),"",D140/(D140+G140))</f>
        <v>0.321828358208955</v>
      </c>
      <c r="K140" s="39" t="n">
        <f aca="false">IF(E140="","",E140/(E140+H140))</f>
        <v>0.312470138557095</v>
      </c>
      <c r="L140" s="52" t="n">
        <f aca="false">IF(OR(K140="",J140=""),"",(J140-K140)*100)</f>
        <v>0.935821965186012</v>
      </c>
      <c r="M140" s="38"/>
    </row>
    <row r="141" customFormat="false" ht="15" hidden="false" customHeight="false" outlineLevel="0" collapsed="false">
      <c r="A141" s="38" t="s">
        <v>157</v>
      </c>
      <c r="B141" s="38" t="s">
        <v>253</v>
      </c>
      <c r="C141" s="38" t="s">
        <v>254</v>
      </c>
      <c r="D141" s="21" t="n">
        <v>1041</v>
      </c>
      <c r="E141" s="21" t="n">
        <v>928</v>
      </c>
      <c r="F141" s="51" t="n">
        <f aca="false">IF(E141="","",D141-E141)</f>
        <v>113</v>
      </c>
      <c r="G141" s="21" t="n">
        <v>1023</v>
      </c>
      <c r="H141" s="21" t="n">
        <v>988</v>
      </c>
      <c r="I141" s="51" t="n">
        <f aca="false">IF(H141="","",G141-H141)</f>
        <v>35</v>
      </c>
      <c r="J141" s="39" t="n">
        <f aca="false">IF(OR(D141="",D141+G141=0),"",D141/(D141+G141))</f>
        <v>0.504360465116279</v>
      </c>
      <c r="K141" s="39" t="n">
        <f aca="false">IF(E141="","",E141/(E141+H141))</f>
        <v>0.484342379958246</v>
      </c>
      <c r="L141" s="52" t="n">
        <f aca="false">IF(OR(K141="",J141=""),"",(J141-K141)*100)</f>
        <v>2.00180851580327</v>
      </c>
      <c r="M141" s="38"/>
    </row>
    <row r="142" customFormat="false" ht="15" hidden="false" customHeight="false" outlineLevel="0" collapsed="false">
      <c r="A142" s="38" t="s">
        <v>157</v>
      </c>
      <c r="B142" s="38" t="s">
        <v>253</v>
      </c>
      <c r="C142" s="38" t="s">
        <v>255</v>
      </c>
      <c r="D142" s="21" t="n">
        <v>1233</v>
      </c>
      <c r="E142" s="21" t="n">
        <v>1082</v>
      </c>
      <c r="F142" s="51" t="n">
        <f aca="false">IF(E142="","",D142-E142)</f>
        <v>151</v>
      </c>
      <c r="G142" s="21" t="n">
        <v>1106</v>
      </c>
      <c r="H142" s="21" t="n">
        <v>1101</v>
      </c>
      <c r="I142" s="51" t="n">
        <f aca="false">IF(H142="","",G142-H142)</f>
        <v>5</v>
      </c>
      <c r="J142" s="39" t="n">
        <f aca="false">IF(OR(D142="",D142+G142=0),"",D142/(D142+G142))</f>
        <v>0.527148353997435</v>
      </c>
      <c r="K142" s="39" t="n">
        <f aca="false">IF(E142="","",E142/(E142+H142))</f>
        <v>0.495648190563445</v>
      </c>
      <c r="L142" s="52" t="n">
        <f aca="false">IF(OR(K142="",J142=""),"",(J142-K142)*100)</f>
        <v>3.150016343399</v>
      </c>
      <c r="M142" s="38"/>
    </row>
    <row r="143" customFormat="false" ht="15" hidden="false" customHeight="false" outlineLevel="0" collapsed="false">
      <c r="A143" s="38" t="s">
        <v>157</v>
      </c>
      <c r="B143" s="38" t="s">
        <v>253</v>
      </c>
      <c r="C143" s="38" t="s">
        <v>256</v>
      </c>
      <c r="D143" s="21" t="n">
        <v>2045</v>
      </c>
      <c r="E143" s="21" t="n">
        <v>1799</v>
      </c>
      <c r="F143" s="51" t="n">
        <f aca="false">IF(E143="","",D143-E143)</f>
        <v>246</v>
      </c>
      <c r="G143" s="21" t="n">
        <v>1915</v>
      </c>
      <c r="H143" s="21" t="n">
        <v>1810</v>
      </c>
      <c r="I143" s="51" t="n">
        <f aca="false">IF(H143="","",G143-H143)</f>
        <v>105</v>
      </c>
      <c r="J143" s="39" t="n">
        <f aca="false">IF(OR(D143="",D143+G143=0),"",D143/(D143+G143))</f>
        <v>0.516414141414141</v>
      </c>
      <c r="K143" s="39" t="n">
        <f aca="false">IF(E143="","",E143/(E143+H143))</f>
        <v>0.498476032141868</v>
      </c>
      <c r="L143" s="52" t="n">
        <f aca="false">IF(OR(K143="",J143=""),"",(J143-K143)*100)</f>
        <v>1.79381092722739</v>
      </c>
      <c r="M143" s="38"/>
    </row>
    <row r="144" customFormat="false" ht="15" hidden="false" customHeight="false" outlineLevel="0" collapsed="false">
      <c r="A144" s="38" t="s">
        <v>157</v>
      </c>
      <c r="B144" s="38" t="s">
        <v>253</v>
      </c>
      <c r="C144" s="38" t="s">
        <v>257</v>
      </c>
      <c r="D144" s="21" t="n">
        <v>1014</v>
      </c>
      <c r="E144" s="21" t="n">
        <v>906</v>
      </c>
      <c r="F144" s="51" t="n">
        <f aca="false">IF(E144="","",D144-E144)</f>
        <v>108</v>
      </c>
      <c r="G144" s="21" t="n">
        <v>957</v>
      </c>
      <c r="H144" s="21" t="n">
        <v>980</v>
      </c>
      <c r="I144" s="51" t="n">
        <f aca="false">IF(H144="","",G144-H144)</f>
        <v>-23</v>
      </c>
      <c r="J144" s="39" t="n">
        <f aca="false">IF(OR(D144="",D144+G144=0),"",D144/(D144+G144))</f>
        <v>0.514459665144597</v>
      </c>
      <c r="K144" s="39" t="n">
        <f aca="false">IF(E144="","",E144/(E144+H144))</f>
        <v>0.480381760339343</v>
      </c>
      <c r="L144" s="52" t="n">
        <f aca="false">IF(OR(K144="",J144=""),"",(J144-K144)*100)</f>
        <v>3.40779048052541</v>
      </c>
      <c r="M144" s="38"/>
    </row>
    <row r="145" customFormat="false" ht="15" hidden="false" customHeight="false" outlineLevel="0" collapsed="false">
      <c r="A145" s="38" t="s">
        <v>157</v>
      </c>
      <c r="B145" s="38" t="s">
        <v>253</v>
      </c>
      <c r="C145" s="38" t="s">
        <v>258</v>
      </c>
      <c r="D145" s="21" t="n">
        <v>968</v>
      </c>
      <c r="E145" s="21" t="n">
        <v>852</v>
      </c>
      <c r="F145" s="51" t="n">
        <f aca="false">IF(E145="","",D145-E145)</f>
        <v>116</v>
      </c>
      <c r="G145" s="21" t="n">
        <v>874</v>
      </c>
      <c r="H145" s="21" t="n">
        <v>912</v>
      </c>
      <c r="I145" s="51" t="n">
        <f aca="false">IF(H145="","",G145-H145)</f>
        <v>-38</v>
      </c>
      <c r="J145" s="39" t="n">
        <f aca="false">IF(OR(D145="",D145+G145=0),"",D145/(D145+G145))</f>
        <v>0.525515743756786</v>
      </c>
      <c r="K145" s="39" t="n">
        <f aca="false">IF(E145="","",E145/(E145+H145))</f>
        <v>0.482993197278912</v>
      </c>
      <c r="L145" s="52" t="n">
        <f aca="false">IF(OR(K145="",J145=""),"",(J145-K145)*100)</f>
        <v>4.25225464778746</v>
      </c>
      <c r="M145" s="38"/>
    </row>
    <row r="146" customFormat="false" ht="15" hidden="false" customHeight="false" outlineLevel="0" collapsed="false">
      <c r="A146" s="38" t="s">
        <v>157</v>
      </c>
      <c r="B146" s="38" t="s">
        <v>253</v>
      </c>
      <c r="C146" s="38" t="s">
        <v>259</v>
      </c>
      <c r="D146" s="21" t="n">
        <v>765</v>
      </c>
      <c r="E146" s="21" t="n">
        <v>715</v>
      </c>
      <c r="F146" s="51" t="n">
        <f aca="false">IF(E146="","",D146-E146)</f>
        <v>50</v>
      </c>
      <c r="G146" s="21" t="n">
        <v>734</v>
      </c>
      <c r="H146" s="21" t="n">
        <v>677</v>
      </c>
      <c r="I146" s="51" t="n">
        <f aca="false">IF(H146="","",G146-H146)</f>
        <v>57</v>
      </c>
      <c r="J146" s="39" t="n">
        <f aca="false">IF(OR(D146="",D146+G146=0),"",D146/(D146+G146))</f>
        <v>0.510340226817879</v>
      </c>
      <c r="K146" s="39" t="n">
        <f aca="false">IF(E146="","",E146/(E146+H146))</f>
        <v>0.513649425287356</v>
      </c>
      <c r="L146" s="52" t="n">
        <f aca="false">IF(OR(K146="",J146=""),"",(J146-K146)*100)</f>
        <v>-0.330919846947775</v>
      </c>
      <c r="M146" s="38"/>
    </row>
    <row r="147" customFormat="false" ht="15" hidden="false" customHeight="false" outlineLevel="0" collapsed="false">
      <c r="A147" s="38" t="s">
        <v>157</v>
      </c>
      <c r="B147" s="38" t="s">
        <v>253</v>
      </c>
      <c r="C147" s="38" t="s">
        <v>260</v>
      </c>
      <c r="D147" s="21" t="n">
        <v>1711</v>
      </c>
      <c r="E147" s="21" t="n">
        <v>1480</v>
      </c>
      <c r="F147" s="51" t="n">
        <f aca="false">IF(E147="","",D147-E147)</f>
        <v>231</v>
      </c>
      <c r="G147" s="21" t="n">
        <v>1469</v>
      </c>
      <c r="H147" s="21" t="n">
        <v>1588</v>
      </c>
      <c r="I147" s="51" t="n">
        <f aca="false">IF(H147="","",G147-H147)</f>
        <v>-119</v>
      </c>
      <c r="J147" s="39" t="n">
        <f aca="false">IF(OR(D147="",D147+G147=0),"",D147/(D147+G147))</f>
        <v>0.538050314465409</v>
      </c>
      <c r="K147" s="39" t="n">
        <f aca="false">IF(E147="","",E147/(E147+H147))</f>
        <v>0.482398956975228</v>
      </c>
      <c r="L147" s="52" t="n">
        <f aca="false">IF(OR(K147="",J147=""),"",(J147-K147)*100)</f>
        <v>5.56513574901807</v>
      </c>
      <c r="M147" s="38"/>
    </row>
    <row r="148" customFormat="false" ht="15" hidden="false" customHeight="false" outlineLevel="0" collapsed="false">
      <c r="A148" s="38" t="s">
        <v>157</v>
      </c>
      <c r="B148" s="38" t="s">
        <v>253</v>
      </c>
      <c r="C148" s="38" t="s">
        <v>261</v>
      </c>
      <c r="D148" s="21" t="n">
        <v>978</v>
      </c>
      <c r="E148" s="21" t="n">
        <v>890</v>
      </c>
      <c r="F148" s="51" t="n">
        <f aca="false">IF(E148="","",D148-E148)</f>
        <v>88</v>
      </c>
      <c r="G148" s="21" t="n">
        <v>819</v>
      </c>
      <c r="H148" s="21" t="n">
        <v>789</v>
      </c>
      <c r="I148" s="51" t="n">
        <f aca="false">IF(H148="","",G148-H148)</f>
        <v>30</v>
      </c>
      <c r="J148" s="39" t="n">
        <f aca="false">IF(OR(D148="",D148+G148=0),"",D148/(D148+G148))</f>
        <v>0.54424040066778</v>
      </c>
      <c r="K148" s="39" t="n">
        <f aca="false">IF(E148="","",E148/(E148+H148))</f>
        <v>0.530077427039905</v>
      </c>
      <c r="L148" s="52" t="n">
        <f aca="false">IF(OR(K148="",J148=""),"",(J148-K148)*100)</f>
        <v>1.4162973627875</v>
      </c>
      <c r="M148" s="38"/>
    </row>
    <row r="149" customFormat="false" ht="15" hidden="false" customHeight="false" outlineLevel="0" collapsed="false">
      <c r="A149" s="38" t="s">
        <v>157</v>
      </c>
      <c r="B149" s="38" t="s">
        <v>253</v>
      </c>
      <c r="C149" s="38" t="s">
        <v>262</v>
      </c>
      <c r="D149" s="21" t="n">
        <v>879</v>
      </c>
      <c r="E149" s="21" t="n">
        <v>817</v>
      </c>
      <c r="F149" s="51" t="n">
        <f aca="false">IF(E149="","",D149-E149)</f>
        <v>62</v>
      </c>
      <c r="G149" s="21" t="n">
        <v>803</v>
      </c>
      <c r="H149" s="21" t="n">
        <v>798</v>
      </c>
      <c r="I149" s="51" t="n">
        <f aca="false">IF(H149="","",G149-H149)</f>
        <v>5</v>
      </c>
      <c r="J149" s="39" t="n">
        <f aca="false">IF(OR(D149="",D149+G149=0),"",D149/(D149+G149))</f>
        <v>0.522592152199762</v>
      </c>
      <c r="K149" s="39" t="n">
        <f aca="false">IF(E149="","",E149/(E149+H149))</f>
        <v>0.505882352941176</v>
      </c>
      <c r="L149" s="52" t="n">
        <f aca="false">IF(OR(K149="",J149=""),"",(J149-K149)*100)</f>
        <v>1.67097992585857</v>
      </c>
      <c r="M149" s="38"/>
    </row>
    <row r="150" customFormat="false" ht="15" hidden="false" customHeight="false" outlineLevel="0" collapsed="false">
      <c r="A150" s="38" t="s">
        <v>157</v>
      </c>
      <c r="B150" s="38" t="s">
        <v>253</v>
      </c>
      <c r="C150" s="38" t="s">
        <v>263</v>
      </c>
      <c r="D150" s="21" t="n">
        <v>661</v>
      </c>
      <c r="E150" s="21" t="n">
        <v>552</v>
      </c>
      <c r="F150" s="51" t="n">
        <f aca="false">IF(E150="","",D150-E150)</f>
        <v>109</v>
      </c>
      <c r="G150" s="21" t="n">
        <v>572</v>
      </c>
      <c r="H150" s="21" t="n">
        <v>556</v>
      </c>
      <c r="I150" s="51" t="n">
        <f aca="false">IF(H150="","",G150-H150)</f>
        <v>16</v>
      </c>
      <c r="J150" s="39" t="n">
        <f aca="false">IF(OR(D150="",D150+G150=0),"",D150/(D150+G150))</f>
        <v>0.536090835360908</v>
      </c>
      <c r="K150" s="39" t="n">
        <f aca="false">IF(E150="","",E150/(E150+H150))</f>
        <v>0.498194945848375</v>
      </c>
      <c r="L150" s="52" t="n">
        <f aca="false">IF(OR(K150="",J150=""),"",(J150-K150)*100)</f>
        <v>3.7895889512533</v>
      </c>
      <c r="M150" s="38"/>
    </row>
    <row r="151" customFormat="false" ht="15" hidden="false" customHeight="false" outlineLevel="0" collapsed="false">
      <c r="A151" s="38" t="s">
        <v>157</v>
      </c>
      <c r="B151" s="38" t="s">
        <v>264</v>
      </c>
      <c r="C151" s="38" t="s">
        <v>264</v>
      </c>
      <c r="D151" s="21" t="n">
        <v>1067</v>
      </c>
      <c r="E151" s="21" t="n">
        <v>985</v>
      </c>
      <c r="F151" s="51" t="n">
        <f aca="false">IF(E151="","",D151-E151)</f>
        <v>82</v>
      </c>
      <c r="G151" s="21" t="n">
        <v>1713</v>
      </c>
      <c r="H151" s="21" t="n">
        <v>1586</v>
      </c>
      <c r="I151" s="51" t="n">
        <f aca="false">IF(H151="","",G151-H151)</f>
        <v>127</v>
      </c>
      <c r="J151" s="39" t="n">
        <f aca="false">IF(OR(D151="",D151+G151=0),"",D151/(D151+G151))</f>
        <v>0.383812949640288</v>
      </c>
      <c r="K151" s="39" t="n">
        <f aca="false">IF(E151="","",E151/(E151+H151))</f>
        <v>0.383119408790354</v>
      </c>
      <c r="L151" s="52" t="n">
        <f aca="false">IF(OR(K151="",J151=""),"",(J151-K151)*100)</f>
        <v>0.0693540849933838</v>
      </c>
      <c r="M151" s="38"/>
    </row>
    <row r="152" customFormat="false" ht="15" hidden="false" customHeight="false" outlineLevel="0" collapsed="false">
      <c r="A152" s="38" t="s">
        <v>157</v>
      </c>
      <c r="B152" s="38" t="s">
        <v>265</v>
      </c>
      <c r="C152" s="38" t="s">
        <v>265</v>
      </c>
      <c r="D152" s="21" t="n">
        <v>608</v>
      </c>
      <c r="E152" s="21" t="n">
        <v>543</v>
      </c>
      <c r="F152" s="51" t="n">
        <f aca="false">IF(E152="","",D152-E152)</f>
        <v>65</v>
      </c>
      <c r="G152" s="21" t="n">
        <v>1034</v>
      </c>
      <c r="H152" s="21" t="n">
        <v>990</v>
      </c>
      <c r="I152" s="51" t="n">
        <f aca="false">IF(H152="","",G152-H152)</f>
        <v>44</v>
      </c>
      <c r="J152" s="39" t="n">
        <f aca="false">IF(OR(D152="",D152+G152=0),"",D152/(D152+G152))</f>
        <v>0.370280146163216</v>
      </c>
      <c r="K152" s="39" t="n">
        <f aca="false">IF(E152="","",E152/(E152+H152))</f>
        <v>0.354207436399217</v>
      </c>
      <c r="L152" s="52" t="n">
        <f aca="false">IF(OR(K152="",J152=""),"",(J152-K152)*100)</f>
        <v>1.60727097639984</v>
      </c>
      <c r="M152" s="38"/>
    </row>
    <row r="153" customFormat="false" ht="15" hidden="false" customHeight="false" outlineLevel="0" collapsed="false">
      <c r="A153" s="38" t="s">
        <v>157</v>
      </c>
      <c r="B153" s="38" t="s">
        <v>266</v>
      </c>
      <c r="C153" s="38" t="s">
        <v>267</v>
      </c>
      <c r="D153" s="21" t="n">
        <v>211</v>
      </c>
      <c r="E153" s="21" t="n">
        <v>181</v>
      </c>
      <c r="F153" s="51" t="n">
        <f aca="false">IF(E153="","",D153-E153)</f>
        <v>30</v>
      </c>
      <c r="G153" s="21" t="n">
        <v>511</v>
      </c>
      <c r="H153" s="21" t="n">
        <v>482</v>
      </c>
      <c r="I153" s="51" t="n">
        <f aca="false">IF(H153="","",G153-H153)</f>
        <v>29</v>
      </c>
      <c r="J153" s="39" t="n">
        <f aca="false">IF(OR(D153="",D153+G153=0),"",D153/(D153+G153))</f>
        <v>0.292243767313019</v>
      </c>
      <c r="K153" s="39" t="n">
        <f aca="false">IF(E153="","",E153/(E153+H153))</f>
        <v>0.273001508295626</v>
      </c>
      <c r="L153" s="52" t="n">
        <f aca="false">IF(OR(K153="",J153=""),"",(J153-K153)*100)</f>
        <v>1.92422590173935</v>
      </c>
      <c r="M153" s="38"/>
    </row>
    <row r="154" customFormat="false" ht="15" hidden="false" customHeight="false" outlineLevel="0" collapsed="false">
      <c r="A154" s="38" t="s">
        <v>157</v>
      </c>
      <c r="B154" s="38" t="s">
        <v>266</v>
      </c>
      <c r="C154" s="38" t="s">
        <v>268</v>
      </c>
      <c r="D154" s="21" t="n">
        <v>161</v>
      </c>
      <c r="E154" s="21" t="n">
        <v>147</v>
      </c>
      <c r="F154" s="51" t="n">
        <f aca="false">IF(E154="","",D154-E154)</f>
        <v>14</v>
      </c>
      <c r="G154" s="21" t="n">
        <v>330</v>
      </c>
      <c r="H154" s="21" t="n">
        <v>314</v>
      </c>
      <c r="I154" s="51" t="n">
        <f aca="false">IF(H154="","",G154-H154)</f>
        <v>16</v>
      </c>
      <c r="J154" s="39" t="n">
        <f aca="false">IF(OR(D154="",D154+G154=0),"",D154/(D154+G154))</f>
        <v>0.327902240325866</v>
      </c>
      <c r="K154" s="39" t="n">
        <f aca="false">IF(E154="","",E154/(E154+H154))</f>
        <v>0.318872017353579</v>
      </c>
      <c r="L154" s="52" t="n">
        <f aca="false">IF(OR(K154="",J154=""),"",(J154-K154)*100)</f>
        <v>0.90302229722864</v>
      </c>
      <c r="M154" s="38"/>
    </row>
    <row r="155" customFormat="false" ht="15" hidden="false" customHeight="false" outlineLevel="0" collapsed="false">
      <c r="A155" s="38" t="s">
        <v>157</v>
      </c>
      <c r="B155" s="38" t="s">
        <v>266</v>
      </c>
      <c r="C155" s="38" t="s">
        <v>269</v>
      </c>
      <c r="D155" s="21" t="n">
        <v>569</v>
      </c>
      <c r="E155" s="21" t="n">
        <v>522</v>
      </c>
      <c r="F155" s="51" t="n">
        <f aca="false">IF(E155="","",D155-E155)</f>
        <v>47</v>
      </c>
      <c r="G155" s="21" t="n">
        <v>1112</v>
      </c>
      <c r="H155" s="21" t="n">
        <v>1060</v>
      </c>
      <c r="I155" s="51" t="n">
        <f aca="false">IF(H155="","",G155-H155)</f>
        <v>52</v>
      </c>
      <c r="J155" s="39" t="n">
        <f aca="false">IF(OR(D155="",D155+G155=0),"",D155/(D155+G155))</f>
        <v>0.338488994646044</v>
      </c>
      <c r="K155" s="39" t="n">
        <f aca="false">IF(E155="","",E155/(E155+H155))</f>
        <v>0.329962073324905</v>
      </c>
      <c r="L155" s="52" t="n">
        <f aca="false">IF(OR(K155="",J155=""),"",(J155-K155)*100)</f>
        <v>0.852692132113886</v>
      </c>
      <c r="M155" s="38"/>
    </row>
    <row r="156" customFormat="false" ht="15" hidden="false" customHeight="false" outlineLevel="0" collapsed="false">
      <c r="A156" s="38" t="s">
        <v>157</v>
      </c>
      <c r="B156" s="38" t="s">
        <v>270</v>
      </c>
      <c r="C156" s="38" t="s">
        <v>270</v>
      </c>
      <c r="D156" s="21" t="n">
        <v>1079</v>
      </c>
      <c r="E156" s="21" t="n">
        <v>980</v>
      </c>
      <c r="F156" s="51" t="n">
        <f aca="false">IF(E156="","",D156-E156)</f>
        <v>99</v>
      </c>
      <c r="G156" s="21" t="n">
        <v>883</v>
      </c>
      <c r="H156" s="21" t="n">
        <v>872</v>
      </c>
      <c r="I156" s="51" t="n">
        <f aca="false">IF(H156="","",G156-H156)</f>
        <v>11</v>
      </c>
      <c r="J156" s="39" t="n">
        <f aca="false">IF(OR(D156="",D156+G156=0),"",D156/(D156+G156))</f>
        <v>0.549949031600408</v>
      </c>
      <c r="K156" s="39" t="n">
        <f aca="false">IF(E156="","",E156/(E156+H156))</f>
        <v>0.529157667386609</v>
      </c>
      <c r="L156" s="52" t="n">
        <f aca="false">IF(OR(K156="",J156=""),"",(J156-K156)*100)</f>
        <v>2.07913642137987</v>
      </c>
      <c r="M156" s="38"/>
    </row>
    <row r="157" customFormat="false" ht="15" hidden="false" customHeight="false" outlineLevel="0" collapsed="false">
      <c r="A157" s="38" t="s">
        <v>157</v>
      </c>
      <c r="B157" s="38" t="s">
        <v>271</v>
      </c>
      <c r="C157" s="38" t="s">
        <v>272</v>
      </c>
      <c r="D157" s="21" t="n">
        <v>1057</v>
      </c>
      <c r="E157" s="21" t="n">
        <v>1010</v>
      </c>
      <c r="F157" s="51" t="n">
        <f aca="false">IF(E157="","",D157-E157)</f>
        <v>47</v>
      </c>
      <c r="G157" s="21" t="n">
        <v>1438</v>
      </c>
      <c r="H157" s="21" t="n">
        <v>1334</v>
      </c>
      <c r="I157" s="51" t="n">
        <f aca="false">IF(H157="","",G157-H157)</f>
        <v>104</v>
      </c>
      <c r="J157" s="39" t="n">
        <f aca="false">IF(OR(D157="",D157+G157=0),"",D157/(D157+G157))</f>
        <v>0.423647294589178</v>
      </c>
      <c r="K157" s="39" t="n">
        <f aca="false">IF(E157="","",E157/(E157+H157))</f>
        <v>0.430887372013652</v>
      </c>
      <c r="L157" s="52" t="n">
        <f aca="false">IF(OR(K157="",J157=""),"",(J157-K157)*100)</f>
        <v>-0.724007742447352</v>
      </c>
      <c r="M157" s="38"/>
    </row>
    <row r="158" customFormat="false" ht="15" hidden="false" customHeight="false" outlineLevel="0" collapsed="false">
      <c r="A158" s="38" t="s">
        <v>157</v>
      </c>
      <c r="B158" s="38" t="s">
        <v>271</v>
      </c>
      <c r="C158" s="38" t="s">
        <v>273</v>
      </c>
      <c r="D158" s="21" t="n">
        <v>943</v>
      </c>
      <c r="E158" s="21" t="n">
        <v>860</v>
      </c>
      <c r="F158" s="51" t="n">
        <f aca="false">IF(E158="","",D158-E158)</f>
        <v>83</v>
      </c>
      <c r="G158" s="21" t="n">
        <v>1362</v>
      </c>
      <c r="H158" s="21" t="n">
        <v>1332</v>
      </c>
      <c r="I158" s="51" t="n">
        <f aca="false">IF(H158="","",G158-H158)</f>
        <v>30</v>
      </c>
      <c r="J158" s="39" t="n">
        <f aca="false">IF(OR(D158="",D158+G158=0),"",D158/(D158+G158))</f>
        <v>0.409110629067245</v>
      </c>
      <c r="K158" s="39" t="n">
        <f aca="false">IF(E158="","",E158/(E158+H158))</f>
        <v>0.392335766423358</v>
      </c>
      <c r="L158" s="52" t="n">
        <f aca="false">IF(OR(K158="",J158=""),"",(J158-K158)*100)</f>
        <v>1.67748626438874</v>
      </c>
      <c r="M158" s="38"/>
    </row>
    <row r="159" customFormat="false" ht="15" hidden="false" customHeight="false" outlineLevel="0" collapsed="false">
      <c r="A159" s="38" t="s">
        <v>157</v>
      </c>
      <c r="B159" s="38" t="s">
        <v>271</v>
      </c>
      <c r="C159" s="38" t="s">
        <v>274</v>
      </c>
      <c r="D159" s="21" t="n">
        <v>516</v>
      </c>
      <c r="E159" s="21" t="n">
        <v>449</v>
      </c>
      <c r="F159" s="51" t="n">
        <f aca="false">IF(E159="","",D159-E159)</f>
        <v>67</v>
      </c>
      <c r="G159" s="21" t="n">
        <v>724</v>
      </c>
      <c r="H159" s="21" t="n">
        <v>705</v>
      </c>
      <c r="I159" s="51" t="n">
        <f aca="false">IF(H159="","",G159-H159)</f>
        <v>19</v>
      </c>
      <c r="J159" s="39" t="n">
        <f aca="false">IF(OR(D159="",D159+G159=0),"",D159/(D159+G159))</f>
        <v>0.416129032258065</v>
      </c>
      <c r="K159" s="39" t="n">
        <f aca="false">IF(E159="","",E159/(E159+H159))</f>
        <v>0.389081455805893</v>
      </c>
      <c r="L159" s="52" t="n">
        <f aca="false">IF(OR(K159="",J159=""),"",(J159-K159)*100)</f>
        <v>2.7047576452172</v>
      </c>
      <c r="M159" s="38"/>
    </row>
    <row r="160" customFormat="false" ht="15" hidden="false" customHeight="false" outlineLevel="0" collapsed="false">
      <c r="A160" s="38" t="s">
        <v>157</v>
      </c>
      <c r="B160" s="38" t="s">
        <v>271</v>
      </c>
      <c r="C160" s="38" t="s">
        <v>275</v>
      </c>
      <c r="D160" s="21" t="n">
        <v>714</v>
      </c>
      <c r="E160" s="21" t="n">
        <v>654</v>
      </c>
      <c r="F160" s="51" t="n">
        <f aca="false">IF(E160="","",D160-E160)</f>
        <v>60</v>
      </c>
      <c r="G160" s="21" t="n">
        <v>999</v>
      </c>
      <c r="H160" s="21" t="n">
        <v>979</v>
      </c>
      <c r="I160" s="51" t="n">
        <f aca="false">IF(H160="","",G160-H160)</f>
        <v>20</v>
      </c>
      <c r="J160" s="39" t="n">
        <f aca="false">IF(OR(D160="",D160+G160=0),"",D160/(D160+G160))</f>
        <v>0.416812609457093</v>
      </c>
      <c r="K160" s="39" t="n">
        <f aca="false">IF(E160="","",E160/(E160+H160))</f>
        <v>0.400489895897122</v>
      </c>
      <c r="L160" s="52" t="n">
        <f aca="false">IF(OR(K160="",J160=""),"",(J160-K160)*100)</f>
        <v>1.63227135599709</v>
      </c>
      <c r="M160" s="38"/>
    </row>
    <row r="161" customFormat="false" ht="15" hidden="false" customHeight="false" outlineLevel="0" collapsed="false">
      <c r="A161" s="38" t="s">
        <v>157</v>
      </c>
      <c r="B161" s="38" t="s">
        <v>271</v>
      </c>
      <c r="C161" s="38" t="s">
        <v>276</v>
      </c>
      <c r="D161" s="21" t="n">
        <v>625</v>
      </c>
      <c r="E161" s="21" t="n">
        <v>557</v>
      </c>
      <c r="F161" s="51" t="n">
        <f aca="false">IF(E161="","",D161-E161)</f>
        <v>68</v>
      </c>
      <c r="G161" s="21" t="n">
        <v>951</v>
      </c>
      <c r="H161" s="21" t="n">
        <v>890</v>
      </c>
      <c r="I161" s="51" t="n">
        <f aca="false">IF(H161="","",G161-H161)</f>
        <v>61</v>
      </c>
      <c r="J161" s="39" t="n">
        <f aca="false">IF(OR(D161="",D161+G161=0),"",D161/(D161+G161))</f>
        <v>0.396573604060914</v>
      </c>
      <c r="K161" s="39" t="n">
        <f aca="false">IF(E161="","",E161/(E161+H161))</f>
        <v>0.384934346924672</v>
      </c>
      <c r="L161" s="52" t="n">
        <f aca="false">IF(OR(K161="",J161=""),"",(J161-K161)*100)</f>
        <v>1.1639257136242</v>
      </c>
      <c r="M161" s="38"/>
    </row>
    <row r="162" customFormat="false" ht="15" hidden="false" customHeight="false" outlineLevel="0" collapsed="false">
      <c r="A162" s="38" t="s">
        <v>157</v>
      </c>
      <c r="B162" s="38" t="s">
        <v>271</v>
      </c>
      <c r="C162" s="38" t="s">
        <v>277</v>
      </c>
      <c r="D162" s="21" t="n">
        <v>552</v>
      </c>
      <c r="E162" s="21" t="n">
        <v>492</v>
      </c>
      <c r="F162" s="51" t="n">
        <f aca="false">IF(E162="","",D162-E162)</f>
        <v>60</v>
      </c>
      <c r="G162" s="21" t="n">
        <v>689</v>
      </c>
      <c r="H162" s="21" t="n">
        <v>675</v>
      </c>
      <c r="I162" s="51" t="n">
        <f aca="false">IF(H162="","",G162-H162)</f>
        <v>14</v>
      </c>
      <c r="J162" s="39" t="n">
        <f aca="false">IF(OR(D162="",D162+G162=0),"",D162/(D162+G162))</f>
        <v>0.444802578565673</v>
      </c>
      <c r="K162" s="39" t="n">
        <f aca="false">IF(E162="","",E162/(E162+H162))</f>
        <v>0.42159383033419</v>
      </c>
      <c r="L162" s="52" t="n">
        <f aca="false">IF(OR(K162="",J162=""),"",(J162-K162)*100)</f>
        <v>2.32087482314826</v>
      </c>
      <c r="M162" s="38"/>
    </row>
    <row r="163" customFormat="false" ht="15" hidden="false" customHeight="false" outlineLevel="0" collapsed="false">
      <c r="A163" s="38" t="s">
        <v>157</v>
      </c>
      <c r="B163" s="38" t="s">
        <v>278</v>
      </c>
      <c r="C163" s="38" t="s">
        <v>279</v>
      </c>
      <c r="D163" s="21" t="n">
        <v>757</v>
      </c>
      <c r="E163" s="21" t="n">
        <v>668</v>
      </c>
      <c r="F163" s="51" t="n">
        <f aca="false">IF(E163="","",D163-E163)</f>
        <v>89</v>
      </c>
      <c r="G163" s="21" t="n">
        <v>686</v>
      </c>
      <c r="H163" s="21" t="n">
        <v>693</v>
      </c>
      <c r="I163" s="51" t="n">
        <f aca="false">IF(H163="","",G163-H163)</f>
        <v>-7</v>
      </c>
      <c r="J163" s="39" t="n">
        <f aca="false">IF(OR(D163="",D163+G163=0),"",D163/(D163+G163))</f>
        <v>0.524601524601525</v>
      </c>
      <c r="K163" s="39" t="n">
        <f aca="false">IF(E163="","",E163/(E163+H163))</f>
        <v>0.490815576781778</v>
      </c>
      <c r="L163" s="52" t="n">
        <f aca="false">IF(OR(K163="",J163=""),"",(J163-K163)*100)</f>
        <v>3.37859478197465</v>
      </c>
      <c r="M163" s="38"/>
    </row>
    <row r="164" customFormat="false" ht="15" hidden="false" customHeight="false" outlineLevel="0" collapsed="false">
      <c r="A164" s="38" t="s">
        <v>157</v>
      </c>
      <c r="B164" s="38" t="s">
        <v>278</v>
      </c>
      <c r="C164" s="38" t="s">
        <v>280</v>
      </c>
      <c r="D164" s="21" t="n">
        <v>893</v>
      </c>
      <c r="E164" s="21" t="n">
        <v>803</v>
      </c>
      <c r="F164" s="51" t="n">
        <f aca="false">IF(E164="","",D164-E164)</f>
        <v>90</v>
      </c>
      <c r="G164" s="21" t="n">
        <v>768</v>
      </c>
      <c r="H164" s="21" t="n">
        <v>818</v>
      </c>
      <c r="I164" s="51" t="n">
        <f aca="false">IF(H164="","",G164-H164)</f>
        <v>-50</v>
      </c>
      <c r="J164" s="39" t="n">
        <f aca="false">IF(OR(D164="",D164+G164=0),"",D164/(D164+G164))</f>
        <v>0.537627934978928</v>
      </c>
      <c r="K164" s="39" t="n">
        <f aca="false">IF(E164="","",E164/(E164+H164))</f>
        <v>0.495373226403455</v>
      </c>
      <c r="L164" s="52" t="n">
        <f aca="false">IF(OR(K164="",J164=""),"",(J164-K164)*100)</f>
        <v>4.22547085754737</v>
      </c>
      <c r="M164" s="38"/>
    </row>
    <row r="165" customFormat="false" ht="15" hidden="false" customHeight="false" outlineLevel="0" collapsed="false">
      <c r="A165" s="38" t="s">
        <v>157</v>
      </c>
      <c r="B165" s="38" t="s">
        <v>278</v>
      </c>
      <c r="C165" s="38" t="s">
        <v>281</v>
      </c>
      <c r="D165" s="21" t="n">
        <v>416</v>
      </c>
      <c r="E165" s="21" t="n">
        <v>342</v>
      </c>
      <c r="F165" s="51" t="n">
        <f aca="false">IF(E165="","",D165-E165)</f>
        <v>74</v>
      </c>
      <c r="G165" s="21" t="n">
        <v>374</v>
      </c>
      <c r="H165" s="21" t="n">
        <v>358</v>
      </c>
      <c r="I165" s="51" t="n">
        <f aca="false">IF(H165="","",G165-H165)</f>
        <v>16</v>
      </c>
      <c r="J165" s="39" t="n">
        <f aca="false">IF(OR(D165="",D165+G165=0),"",D165/(D165+G165))</f>
        <v>0.526582278481013</v>
      </c>
      <c r="K165" s="39" t="n">
        <f aca="false">IF(E165="","",E165/(E165+H165))</f>
        <v>0.488571428571429</v>
      </c>
      <c r="L165" s="52" t="n">
        <f aca="false">IF(OR(K165="",J165=""),"",(J165-K165)*100)</f>
        <v>3.80108499095841</v>
      </c>
      <c r="M165" s="38"/>
    </row>
    <row r="166" customFormat="false" ht="15" hidden="false" customHeight="false" outlineLevel="0" collapsed="false">
      <c r="A166" s="38" t="s">
        <v>157</v>
      </c>
      <c r="B166" s="38" t="s">
        <v>278</v>
      </c>
      <c r="C166" s="38" t="s">
        <v>282</v>
      </c>
      <c r="D166" s="21" t="n">
        <v>461</v>
      </c>
      <c r="E166" s="21" t="n">
        <v>411</v>
      </c>
      <c r="F166" s="51" t="n">
        <f aca="false">IF(E166="","",D166-E166)</f>
        <v>50</v>
      </c>
      <c r="G166" s="21" t="n">
        <v>399</v>
      </c>
      <c r="H166" s="21" t="n">
        <v>417</v>
      </c>
      <c r="I166" s="51" t="n">
        <f aca="false">IF(H166="","",G166-H166)</f>
        <v>-18</v>
      </c>
      <c r="J166" s="39" t="n">
        <f aca="false">IF(OR(D166="",D166+G166=0),"",D166/(D166+G166))</f>
        <v>0.536046511627907</v>
      </c>
      <c r="K166" s="39" t="n">
        <f aca="false">IF(E166="","",E166/(E166+H166))</f>
        <v>0.496376811594203</v>
      </c>
      <c r="L166" s="52" t="n">
        <f aca="false">IF(OR(K166="",J166=""),"",(J166-K166)*100)</f>
        <v>3.96697000337041</v>
      </c>
      <c r="M166" s="38"/>
    </row>
    <row r="167" customFormat="false" ht="15" hidden="false" customHeight="false" outlineLevel="0" collapsed="false">
      <c r="A167" s="38" t="s">
        <v>157</v>
      </c>
      <c r="B167" s="38" t="s">
        <v>278</v>
      </c>
      <c r="C167" s="38" t="s">
        <v>283</v>
      </c>
      <c r="D167" s="21" t="n">
        <v>587</v>
      </c>
      <c r="E167" s="21" t="n">
        <v>525</v>
      </c>
      <c r="F167" s="51" t="n">
        <f aca="false">IF(E167="","",D167-E167)</f>
        <v>62</v>
      </c>
      <c r="G167" s="21" t="n">
        <v>593</v>
      </c>
      <c r="H167" s="21" t="n">
        <v>552</v>
      </c>
      <c r="I167" s="51" t="n">
        <f aca="false">IF(H167="","",G167-H167)</f>
        <v>41</v>
      </c>
      <c r="J167" s="39" t="n">
        <f aca="false">IF(OR(D167="",D167+G167=0),"",D167/(D167+G167))</f>
        <v>0.497457627118644</v>
      </c>
      <c r="K167" s="39" t="n">
        <f aca="false">IF(E167="","",E167/(E167+H167))</f>
        <v>0.487465181058496</v>
      </c>
      <c r="L167" s="52" t="n">
        <f aca="false">IF(OR(K167="",J167=""),"",(J167-K167)*100)</f>
        <v>0.999244606014821</v>
      </c>
      <c r="M167" s="38"/>
    </row>
    <row r="168" customFormat="false" ht="15" hidden="false" customHeight="false" outlineLevel="0" collapsed="false">
      <c r="A168" s="38" t="s">
        <v>157</v>
      </c>
      <c r="B168" s="38" t="s">
        <v>278</v>
      </c>
      <c r="C168" s="38" t="s">
        <v>284</v>
      </c>
      <c r="D168" s="21" t="n">
        <v>382</v>
      </c>
      <c r="E168" s="21" t="n">
        <v>313</v>
      </c>
      <c r="F168" s="51" t="n">
        <f aca="false">IF(E168="","",D168-E168)</f>
        <v>69</v>
      </c>
      <c r="G168" s="21" t="n">
        <v>371</v>
      </c>
      <c r="H168" s="21" t="n">
        <v>360</v>
      </c>
      <c r="I168" s="51" t="n">
        <f aca="false">IF(H168="","",G168-H168)</f>
        <v>11</v>
      </c>
      <c r="J168" s="39" t="n">
        <f aca="false">IF(OR(D168="",D168+G168=0),"",D168/(D168+G168))</f>
        <v>0.50730411686587</v>
      </c>
      <c r="K168" s="39" t="n">
        <f aca="false">IF(E168="","",E168/(E168+H168))</f>
        <v>0.465081723625557</v>
      </c>
      <c r="L168" s="52" t="n">
        <f aca="false">IF(OR(K168="",J168=""),"",(J168-K168)*100)</f>
        <v>4.22223932403126</v>
      </c>
      <c r="M168" s="38"/>
    </row>
    <row r="169" customFormat="false" ht="15" hidden="false" customHeight="false" outlineLevel="0" collapsed="false">
      <c r="A169" s="38" t="s">
        <v>157</v>
      </c>
      <c r="B169" s="38" t="s">
        <v>278</v>
      </c>
      <c r="C169" s="38" t="s">
        <v>285</v>
      </c>
      <c r="D169" s="21" t="n">
        <v>441</v>
      </c>
      <c r="E169" s="21" t="n">
        <v>415</v>
      </c>
      <c r="F169" s="51" t="n">
        <f aca="false">IF(E169="","",D169-E169)</f>
        <v>26</v>
      </c>
      <c r="G169" s="21" t="n">
        <v>391</v>
      </c>
      <c r="H169" s="21" t="n">
        <v>371</v>
      </c>
      <c r="I169" s="51" t="n">
        <f aca="false">IF(H169="","",G169-H169)</f>
        <v>20</v>
      </c>
      <c r="J169" s="39" t="n">
        <f aca="false">IF(OR(D169="",D169+G169=0),"",D169/(D169+G169))</f>
        <v>0.530048076923077</v>
      </c>
      <c r="K169" s="39" t="n">
        <f aca="false">IF(E169="","",E169/(E169+H169))</f>
        <v>0.527989821882952</v>
      </c>
      <c r="L169" s="52" t="n">
        <f aca="false">IF(OR(K169="",J169=""),"",(J169-K169)*100)</f>
        <v>0.205825504012525</v>
      </c>
      <c r="M169" s="38"/>
    </row>
    <row r="170" customFormat="false" ht="15" hidden="false" customHeight="false" outlineLevel="0" collapsed="false">
      <c r="A170" s="38" t="s">
        <v>157</v>
      </c>
      <c r="B170" s="38" t="s">
        <v>278</v>
      </c>
      <c r="C170" s="38" t="s">
        <v>286</v>
      </c>
      <c r="D170" s="21" t="n">
        <v>628</v>
      </c>
      <c r="E170" s="21" t="n">
        <v>533</v>
      </c>
      <c r="F170" s="51" t="n">
        <f aca="false">IF(E170="","",D170-E170)</f>
        <v>95</v>
      </c>
      <c r="G170" s="21" t="n">
        <v>590</v>
      </c>
      <c r="H170" s="21" t="n">
        <v>535</v>
      </c>
      <c r="I170" s="51" t="n">
        <f aca="false">IF(H170="","",G170-H170)</f>
        <v>55</v>
      </c>
      <c r="J170" s="39" t="n">
        <f aca="false">IF(OR(D170="",D170+G170=0),"",D170/(D170+G170))</f>
        <v>0.51559934318555</v>
      </c>
      <c r="K170" s="39" t="n">
        <f aca="false">IF(E170="","",E170/(E170+H170))</f>
        <v>0.499063670411985</v>
      </c>
      <c r="L170" s="52" t="n">
        <f aca="false">IF(OR(K170="",J170=""),"",(J170-K170)*100)</f>
        <v>1.65356727735651</v>
      </c>
      <c r="M170" s="38"/>
    </row>
    <row r="171" customFormat="false" ht="15" hidden="false" customHeight="false" outlineLevel="0" collapsed="false">
      <c r="A171" s="38" t="s">
        <v>157</v>
      </c>
      <c r="B171" s="38" t="s">
        <v>287</v>
      </c>
      <c r="C171" s="38" t="s">
        <v>288</v>
      </c>
      <c r="D171" s="21" t="n">
        <v>284</v>
      </c>
      <c r="E171" s="21" t="n">
        <v>242</v>
      </c>
      <c r="F171" s="51" t="n">
        <f aca="false">IF(E171="","",D171-E171)</f>
        <v>42</v>
      </c>
      <c r="G171" s="21" t="n">
        <v>298</v>
      </c>
      <c r="H171" s="21" t="n">
        <v>337</v>
      </c>
      <c r="I171" s="51" t="n">
        <f aca="false">IF(H171="","",G171-H171)</f>
        <v>-39</v>
      </c>
      <c r="J171" s="39" t="n">
        <f aca="false">IF(OR(D171="",D171+G171=0),"",D171/(D171+G171))</f>
        <v>0.487972508591065</v>
      </c>
      <c r="K171" s="39" t="n">
        <f aca="false">IF(E171="","",E171/(E171+H171))</f>
        <v>0.417962003454231</v>
      </c>
      <c r="L171" s="52" t="n">
        <f aca="false">IF(OR(K171="",J171=""),"",(J171-K171)*100)</f>
        <v>7.00105051368338</v>
      </c>
      <c r="M171" s="38"/>
    </row>
    <row r="172" customFormat="false" ht="15" hidden="false" customHeight="false" outlineLevel="0" collapsed="false">
      <c r="A172" s="38" t="s">
        <v>157</v>
      </c>
      <c r="B172" s="38" t="s">
        <v>287</v>
      </c>
      <c r="C172" s="38" t="s">
        <v>289</v>
      </c>
      <c r="D172" s="21" t="n">
        <v>225</v>
      </c>
      <c r="E172" s="21" t="n">
        <v>187</v>
      </c>
      <c r="F172" s="51" t="n">
        <f aca="false">IF(E172="","",D172-E172)</f>
        <v>38</v>
      </c>
      <c r="G172" s="21" t="n">
        <v>268</v>
      </c>
      <c r="H172" s="21" t="n">
        <v>292</v>
      </c>
      <c r="I172" s="51" t="n">
        <f aca="false">IF(H172="","",G172-H172)</f>
        <v>-24</v>
      </c>
      <c r="J172" s="39" t="n">
        <f aca="false">IF(OR(D172="",D172+G172=0),"",D172/(D172+G172))</f>
        <v>0.456389452332657</v>
      </c>
      <c r="K172" s="39" t="n">
        <f aca="false">IF(E172="","",E172/(E172+H172))</f>
        <v>0.390396659707724</v>
      </c>
      <c r="L172" s="52" t="n">
        <f aca="false">IF(OR(K172="",J172=""),"",(J172-K172)*100)</f>
        <v>6.59927926249328</v>
      </c>
      <c r="M172" s="38"/>
    </row>
    <row r="173" customFormat="false" ht="15" hidden="false" customHeight="false" outlineLevel="0" collapsed="false">
      <c r="A173" s="38" t="s">
        <v>157</v>
      </c>
      <c r="B173" s="38" t="s">
        <v>287</v>
      </c>
      <c r="C173" s="38" t="s">
        <v>290</v>
      </c>
      <c r="D173" s="21" t="n">
        <v>419</v>
      </c>
      <c r="E173" s="21" t="n">
        <v>371</v>
      </c>
      <c r="F173" s="51" t="n">
        <f aca="false">IF(E173="","",D173-E173)</f>
        <v>48</v>
      </c>
      <c r="G173" s="21" t="n">
        <v>513</v>
      </c>
      <c r="H173" s="21" t="n">
        <v>527</v>
      </c>
      <c r="I173" s="51" t="n">
        <f aca="false">IF(H173="","",G173-H173)</f>
        <v>-14</v>
      </c>
      <c r="J173" s="39" t="n">
        <f aca="false">IF(OR(D173="",D173+G173=0),"",D173/(D173+G173))</f>
        <v>0.449570815450644</v>
      </c>
      <c r="K173" s="39" t="n">
        <f aca="false">IF(E173="","",E173/(E173+H173))</f>
        <v>0.413140311804009</v>
      </c>
      <c r="L173" s="52" t="n">
        <f aca="false">IF(OR(K173="",J173=""),"",(J173-K173)*100)</f>
        <v>3.64305036466349</v>
      </c>
      <c r="M173" s="38"/>
    </row>
    <row r="174" customFormat="false" ht="15" hidden="false" customHeight="false" outlineLevel="0" collapsed="false">
      <c r="A174" s="38" t="s">
        <v>157</v>
      </c>
      <c r="B174" s="38" t="s">
        <v>291</v>
      </c>
      <c r="C174" s="38" t="s">
        <v>292</v>
      </c>
      <c r="D174" s="21" t="n">
        <v>1051</v>
      </c>
      <c r="E174" s="21" t="n">
        <v>912</v>
      </c>
      <c r="F174" s="51" t="n">
        <f aca="false">IF(E174="","",D174-E174)</f>
        <v>139</v>
      </c>
      <c r="G174" s="21" t="n">
        <v>902</v>
      </c>
      <c r="H174" s="21" t="n">
        <v>964</v>
      </c>
      <c r="I174" s="51" t="n">
        <f aca="false">IF(H174="","",G174-H174)</f>
        <v>-62</v>
      </c>
      <c r="J174" s="39" t="n">
        <f aca="false">IF(OR(D174="",D174+G174=0),"",D174/(D174+G174))</f>
        <v>0.538146441372248</v>
      </c>
      <c r="K174" s="39" t="n">
        <f aca="false">IF(E174="","",E174/(E174+H174))</f>
        <v>0.486140724946695</v>
      </c>
      <c r="L174" s="52" t="n">
        <f aca="false">IF(OR(K174="",J174=""),"",(J174-K174)*100)</f>
        <v>5.20057164255528</v>
      </c>
      <c r="M174" s="38"/>
    </row>
    <row r="175" customFormat="false" ht="15" hidden="false" customHeight="false" outlineLevel="0" collapsed="false">
      <c r="A175" s="38" t="s">
        <v>157</v>
      </c>
      <c r="B175" s="38" t="s">
        <v>291</v>
      </c>
      <c r="C175" s="38" t="s">
        <v>293</v>
      </c>
      <c r="D175" s="21" t="n">
        <v>515</v>
      </c>
      <c r="E175" s="21" t="n">
        <v>449</v>
      </c>
      <c r="F175" s="51" t="n">
        <f aca="false">IF(E175="","",D175-E175)</f>
        <v>66</v>
      </c>
      <c r="G175" s="21" t="n">
        <v>436</v>
      </c>
      <c r="H175" s="21" t="n">
        <v>448</v>
      </c>
      <c r="I175" s="51" t="n">
        <f aca="false">IF(H175="","",G175-H175)</f>
        <v>-12</v>
      </c>
      <c r="J175" s="39" t="n">
        <f aca="false">IF(OR(D175="",D175+G175=0),"",D175/(D175+G175))</f>
        <v>0.541535226077813</v>
      </c>
      <c r="K175" s="39" t="n">
        <f aca="false">IF(E175="","",E175/(E175+H175))</f>
        <v>0.500557413600892</v>
      </c>
      <c r="L175" s="52" t="n">
        <f aca="false">IF(OR(K175="",J175=""),"",(J175-K175)*100)</f>
        <v>4.09778124769209</v>
      </c>
      <c r="M175" s="38"/>
    </row>
    <row r="176" customFormat="false" ht="15" hidden="false" customHeight="false" outlineLevel="0" collapsed="false">
      <c r="A176" s="38" t="s">
        <v>157</v>
      </c>
      <c r="B176" s="38" t="s">
        <v>291</v>
      </c>
      <c r="C176" s="38" t="s">
        <v>294</v>
      </c>
      <c r="D176" s="21" t="n">
        <v>1284</v>
      </c>
      <c r="E176" s="21" t="n">
        <v>1161</v>
      </c>
      <c r="F176" s="51" t="n">
        <f aca="false">IF(E176="","",D176-E176)</f>
        <v>123</v>
      </c>
      <c r="G176" s="21" t="n">
        <v>932</v>
      </c>
      <c r="H176" s="21" t="n">
        <v>915</v>
      </c>
      <c r="I176" s="51" t="n">
        <f aca="false">IF(H176="","",G176-H176)</f>
        <v>17</v>
      </c>
      <c r="J176" s="39" t="n">
        <f aca="false">IF(OR(D176="",D176+G176=0),"",D176/(D176+G176))</f>
        <v>0.57942238267148</v>
      </c>
      <c r="K176" s="39" t="n">
        <f aca="false">IF(E176="","",E176/(E176+H176))</f>
        <v>0.559248554913295</v>
      </c>
      <c r="L176" s="52" t="n">
        <f aca="false">IF(OR(K176="",J176=""),"",(J176-K176)*100)</f>
        <v>2.01738277581853</v>
      </c>
      <c r="M176" s="38"/>
    </row>
    <row r="177" customFormat="false" ht="15" hidden="false" customHeight="false" outlineLevel="0" collapsed="false">
      <c r="A177" s="38" t="s">
        <v>157</v>
      </c>
      <c r="B177" s="38" t="s">
        <v>291</v>
      </c>
      <c r="C177" s="38" t="s">
        <v>295</v>
      </c>
      <c r="D177" s="21" t="n">
        <v>618</v>
      </c>
      <c r="E177" s="21" t="n">
        <v>534</v>
      </c>
      <c r="F177" s="51" t="n">
        <f aca="false">IF(E177="","",D177-E177)</f>
        <v>84</v>
      </c>
      <c r="G177" s="21" t="n">
        <v>563</v>
      </c>
      <c r="H177" s="21" t="n">
        <v>577</v>
      </c>
      <c r="I177" s="51" t="n">
        <f aca="false">IF(H177="","",G177-H177)</f>
        <v>-14</v>
      </c>
      <c r="J177" s="39" t="n">
        <f aca="false">IF(OR(D177="",D177+G177=0),"",D177/(D177+G177))</f>
        <v>0.523285351397121</v>
      </c>
      <c r="K177" s="39" t="n">
        <f aca="false">IF(E177="","",E177/(E177+H177))</f>
        <v>0.480648064806481</v>
      </c>
      <c r="L177" s="52" t="n">
        <f aca="false">IF(OR(K177="",J177=""),"",(J177-K177)*100)</f>
        <v>4.26372865906404</v>
      </c>
      <c r="M177" s="38"/>
    </row>
    <row r="178" customFormat="false" ht="15" hidden="false" customHeight="false" outlineLevel="0" collapsed="false">
      <c r="A178" s="38" t="s">
        <v>157</v>
      </c>
      <c r="B178" s="38" t="s">
        <v>291</v>
      </c>
      <c r="C178" s="38" t="s">
        <v>296</v>
      </c>
      <c r="D178" s="21" t="n">
        <v>1159</v>
      </c>
      <c r="E178" s="21" t="n">
        <v>1123</v>
      </c>
      <c r="F178" s="51" t="n">
        <f aca="false">IF(E178="","",D178-E178)</f>
        <v>36</v>
      </c>
      <c r="G178" s="21" t="n">
        <v>817</v>
      </c>
      <c r="H178" s="21" t="n">
        <v>741</v>
      </c>
      <c r="I178" s="51" t="n">
        <f aca="false">IF(H178="","",G178-H178)</f>
        <v>76</v>
      </c>
      <c r="J178" s="39" t="n">
        <f aca="false">IF(OR(D178="",D178+G178=0),"",D178/(D178+G178))</f>
        <v>0.586538461538462</v>
      </c>
      <c r="K178" s="39" t="n">
        <f aca="false">IF(E178="","",E178/(E178+H178))</f>
        <v>0.602467811158798</v>
      </c>
      <c r="L178" s="52" t="n">
        <f aca="false">IF(OR(K178="",J178=""),"",(J178-K178)*100)</f>
        <v>-1.59293496203368</v>
      </c>
      <c r="M178" s="38"/>
    </row>
    <row r="179" customFormat="false" ht="15" hidden="false" customHeight="false" outlineLevel="0" collapsed="false">
      <c r="A179" s="38" t="s">
        <v>157</v>
      </c>
      <c r="B179" s="38" t="s">
        <v>291</v>
      </c>
      <c r="C179" s="38" t="s">
        <v>297</v>
      </c>
      <c r="D179" s="21" t="n">
        <v>1088</v>
      </c>
      <c r="E179" s="21" t="n">
        <v>1054</v>
      </c>
      <c r="F179" s="51" t="n">
        <f aca="false">IF(E179="","",D179-E179)</f>
        <v>34</v>
      </c>
      <c r="G179" s="21" t="n">
        <v>738</v>
      </c>
      <c r="H179" s="21" t="n">
        <v>706</v>
      </c>
      <c r="I179" s="51" t="n">
        <f aca="false">IF(H179="","",G179-H179)</f>
        <v>32</v>
      </c>
      <c r="J179" s="39" t="n">
        <f aca="false">IF(OR(D179="",D179+G179=0),"",D179/(D179+G179))</f>
        <v>0.595837897042716</v>
      </c>
      <c r="K179" s="39" t="n">
        <f aca="false">IF(E179="","",E179/(E179+H179))</f>
        <v>0.598863636363636</v>
      </c>
      <c r="L179" s="52" t="n">
        <f aca="false">IF(OR(K179="",J179=""),"",(J179-K179)*100)</f>
        <v>-0.30257393209201</v>
      </c>
      <c r="M179" s="38"/>
    </row>
    <row r="180" customFormat="false" ht="15" hidden="false" customHeight="false" outlineLevel="0" collapsed="false">
      <c r="A180" s="38" t="s">
        <v>157</v>
      </c>
      <c r="B180" s="38" t="s">
        <v>291</v>
      </c>
      <c r="C180" s="38" t="s">
        <v>298</v>
      </c>
      <c r="D180" s="21" t="n">
        <v>539</v>
      </c>
      <c r="E180" s="21" t="n">
        <v>469</v>
      </c>
      <c r="F180" s="51" t="n">
        <f aca="false">IF(E180="","",D180-E180)</f>
        <v>70</v>
      </c>
      <c r="G180" s="21" t="n">
        <v>430</v>
      </c>
      <c r="H180" s="21" t="n">
        <v>468</v>
      </c>
      <c r="I180" s="51" t="n">
        <f aca="false">IF(H180="","",G180-H180)</f>
        <v>-38</v>
      </c>
      <c r="J180" s="39" t="n">
        <f aca="false">IF(OR(D180="",D180+G180=0),"",D180/(D180+G180))</f>
        <v>0.5562435500516</v>
      </c>
      <c r="K180" s="39" t="n">
        <f aca="false">IF(E180="","",E180/(E180+H180))</f>
        <v>0.500533617929562</v>
      </c>
      <c r="L180" s="52" t="n">
        <f aca="false">IF(OR(K180="",J180=""),"",(J180-K180)*100)</f>
        <v>5.57099321220371</v>
      </c>
      <c r="M180" s="38"/>
    </row>
    <row r="181" customFormat="false" ht="15" hidden="false" customHeight="false" outlineLevel="0" collapsed="false">
      <c r="A181" s="38" t="s">
        <v>157</v>
      </c>
      <c r="B181" s="38" t="s">
        <v>291</v>
      </c>
      <c r="C181" s="38" t="s">
        <v>299</v>
      </c>
      <c r="D181" s="21" t="n">
        <v>1454</v>
      </c>
      <c r="E181" s="21" t="n">
        <v>1317</v>
      </c>
      <c r="F181" s="51" t="n">
        <f aca="false">IF(E181="","",D181-E181)</f>
        <v>137</v>
      </c>
      <c r="G181" s="21" t="n">
        <v>1277</v>
      </c>
      <c r="H181" s="21" t="n">
        <v>1291</v>
      </c>
      <c r="I181" s="51" t="n">
        <f aca="false">IF(H181="","",G181-H181)</f>
        <v>-14</v>
      </c>
      <c r="J181" s="39" t="n">
        <f aca="false">IF(OR(D181="",D181+G181=0),"",D181/(D181+G181))</f>
        <v>0.532405712193336</v>
      </c>
      <c r="K181" s="39" t="n">
        <f aca="false">IF(E181="","",E181/(E181+H181))</f>
        <v>0.504984662576687</v>
      </c>
      <c r="L181" s="52" t="n">
        <f aca="false">IF(OR(K181="",J181=""),"",(J181-K181)*100)</f>
        <v>2.74210496166486</v>
      </c>
      <c r="M181" s="38"/>
    </row>
    <row r="182" customFormat="false" ht="15" hidden="false" customHeight="false" outlineLevel="0" collapsed="false">
      <c r="A182" s="38" t="s">
        <v>157</v>
      </c>
      <c r="B182" s="38" t="s">
        <v>300</v>
      </c>
      <c r="C182" s="38" t="s">
        <v>301</v>
      </c>
      <c r="D182" s="21" t="n">
        <v>1113</v>
      </c>
      <c r="E182" s="21" t="n">
        <v>992</v>
      </c>
      <c r="F182" s="51" t="n">
        <f aca="false">IF(E182="","",D182-E182)</f>
        <v>121</v>
      </c>
      <c r="G182" s="21" t="n">
        <v>980</v>
      </c>
      <c r="H182" s="21" t="n">
        <v>983</v>
      </c>
      <c r="I182" s="51" t="n">
        <f aca="false">IF(H182="","",G182-H182)</f>
        <v>-3</v>
      </c>
      <c r="J182" s="39" t="n">
        <f aca="false">IF(OR(D182="",D182+G182=0),"",D182/(D182+G182))</f>
        <v>0.531772575250836</v>
      </c>
      <c r="K182" s="39" t="n">
        <f aca="false">IF(E182="","",E182/(E182+H182))</f>
        <v>0.502278481012658</v>
      </c>
      <c r="L182" s="52" t="n">
        <f aca="false">IF(OR(K182="",J182=""),"",(J182-K182)*100)</f>
        <v>2.94940942381778</v>
      </c>
      <c r="M182" s="38"/>
    </row>
    <row r="183" customFormat="false" ht="15" hidden="false" customHeight="false" outlineLevel="0" collapsed="false">
      <c r="A183" s="38" t="s">
        <v>157</v>
      </c>
      <c r="B183" s="38" t="s">
        <v>300</v>
      </c>
      <c r="C183" s="38" t="s">
        <v>302</v>
      </c>
      <c r="D183" s="21" t="n">
        <v>1453</v>
      </c>
      <c r="E183" s="21" t="n">
        <v>1311</v>
      </c>
      <c r="F183" s="51" t="n">
        <f aca="false">IF(E183="","",D183-E183)</f>
        <v>142</v>
      </c>
      <c r="G183" s="21" t="n">
        <v>1315</v>
      </c>
      <c r="H183" s="21" t="n">
        <v>1258</v>
      </c>
      <c r="I183" s="51" t="n">
        <f aca="false">IF(H183="","",G183-H183)</f>
        <v>57</v>
      </c>
      <c r="J183" s="39" t="n">
        <f aca="false">IF(OR(D183="",D183+G183=0),"",D183/(D183+G183))</f>
        <v>0.52492774566474</v>
      </c>
      <c r="K183" s="39" t="n">
        <f aca="false">IF(E183="","",E183/(E183+H183))</f>
        <v>0.510315297781238</v>
      </c>
      <c r="L183" s="52" t="n">
        <f aca="false">IF(OR(K183="",J183=""),"",(J183-K183)*100)</f>
        <v>1.4612447883502</v>
      </c>
      <c r="M183" s="38"/>
    </row>
    <row r="184" customFormat="false" ht="15" hidden="false" customHeight="false" outlineLevel="0" collapsed="false">
      <c r="A184" s="38" t="s">
        <v>157</v>
      </c>
      <c r="B184" s="38" t="s">
        <v>300</v>
      </c>
      <c r="C184" s="38" t="s">
        <v>303</v>
      </c>
      <c r="D184" s="21" t="n">
        <v>982</v>
      </c>
      <c r="E184" s="21" t="n">
        <v>914</v>
      </c>
      <c r="F184" s="51" t="n">
        <f aca="false">IF(E184="","",D184-E184)</f>
        <v>68</v>
      </c>
      <c r="G184" s="21" t="n">
        <v>982</v>
      </c>
      <c r="H184" s="21" t="n">
        <v>1075</v>
      </c>
      <c r="I184" s="51" t="n">
        <f aca="false">IF(H184="","",G184-H184)</f>
        <v>-93</v>
      </c>
      <c r="J184" s="39" t="n">
        <f aca="false">IF(OR(D184="",D184+G184=0),"",D184/(D184+G184))</f>
        <v>0.5</v>
      </c>
      <c r="K184" s="39" t="n">
        <f aca="false">IF(E184="","",E184/(E184+H184))</f>
        <v>0.459527400703871</v>
      </c>
      <c r="L184" s="52" t="n">
        <f aca="false">IF(OR(K184="",J184=""),"",(J184-K184)*100)</f>
        <v>4.04725992961287</v>
      </c>
      <c r="M184" s="38"/>
    </row>
    <row r="185" customFormat="false" ht="15" hidden="false" customHeight="false" outlineLevel="0" collapsed="false">
      <c r="A185" s="38" t="s">
        <v>157</v>
      </c>
      <c r="B185" s="38" t="s">
        <v>300</v>
      </c>
      <c r="C185" s="38" t="s">
        <v>304</v>
      </c>
      <c r="D185" s="21" t="n">
        <v>721</v>
      </c>
      <c r="E185" s="21" t="n">
        <v>735</v>
      </c>
      <c r="F185" s="51" t="n">
        <f aca="false">IF(E185="","",D185-E185)</f>
        <v>-14</v>
      </c>
      <c r="G185" s="21" t="n">
        <v>554</v>
      </c>
      <c r="H185" s="21" t="n">
        <v>653</v>
      </c>
      <c r="I185" s="51" t="n">
        <f aca="false">IF(H185="","",G185-H185)</f>
        <v>-99</v>
      </c>
      <c r="J185" s="39" t="n">
        <f aca="false">IF(OR(D185="",D185+G185=0),"",D185/(D185+G185))</f>
        <v>0.565490196078431</v>
      </c>
      <c r="K185" s="39" t="n">
        <f aca="false">IF(E185="","",E185/(E185+H185))</f>
        <v>0.529538904899136</v>
      </c>
      <c r="L185" s="52" t="n">
        <f aca="false">IF(OR(K185="",J185=""),"",(J185-K185)*100)</f>
        <v>3.59512911792959</v>
      </c>
      <c r="M185" s="38"/>
    </row>
    <row r="186" customFormat="false" ht="15" hidden="false" customHeight="false" outlineLevel="0" collapsed="false">
      <c r="A186" s="38" t="s">
        <v>157</v>
      </c>
      <c r="B186" s="38" t="s">
        <v>300</v>
      </c>
      <c r="C186" s="38" t="s">
        <v>305</v>
      </c>
      <c r="D186" s="21" t="n">
        <v>2071</v>
      </c>
      <c r="E186" s="21" t="n">
        <v>1929</v>
      </c>
      <c r="F186" s="51" t="n">
        <f aca="false">IF(E186="","",D186-E186)</f>
        <v>142</v>
      </c>
      <c r="G186" s="21" t="n">
        <v>1668</v>
      </c>
      <c r="H186" s="21" t="n">
        <v>1679</v>
      </c>
      <c r="I186" s="51" t="n">
        <f aca="false">IF(H186="","",G186-H186)</f>
        <v>-11</v>
      </c>
      <c r="J186" s="39" t="n">
        <f aca="false">IF(OR(D186="",D186+G186=0),"",D186/(D186+G186))</f>
        <v>0.553891414816796</v>
      </c>
      <c r="K186" s="39" t="n">
        <f aca="false">IF(E186="","",E186/(E186+H186))</f>
        <v>0.534645232815965</v>
      </c>
      <c r="L186" s="52" t="n">
        <f aca="false">IF(OR(K186="",J186=""),"",(J186-K186)*100)</f>
        <v>1.92461820008314</v>
      </c>
      <c r="M186" s="38"/>
    </row>
    <row r="187" customFormat="false" ht="15" hidden="false" customHeight="false" outlineLevel="0" collapsed="false">
      <c r="A187" s="38" t="s">
        <v>157</v>
      </c>
      <c r="B187" s="38" t="s">
        <v>300</v>
      </c>
      <c r="C187" s="38" t="s">
        <v>306</v>
      </c>
      <c r="D187" s="21" t="n">
        <v>763</v>
      </c>
      <c r="E187" s="21" t="n">
        <v>696</v>
      </c>
      <c r="F187" s="51" t="n">
        <f aca="false">IF(E187="","",D187-E187)</f>
        <v>67</v>
      </c>
      <c r="G187" s="21" t="n">
        <v>641</v>
      </c>
      <c r="H187" s="21" t="n">
        <v>666</v>
      </c>
      <c r="I187" s="51" t="n">
        <f aca="false">IF(H187="","",G187-H187)</f>
        <v>-25</v>
      </c>
      <c r="J187" s="39" t="n">
        <f aca="false">IF(OR(D187="",D187+G187=0),"",D187/(D187+G187))</f>
        <v>0.543447293447294</v>
      </c>
      <c r="K187" s="39" t="n">
        <f aca="false">IF(E187="","",E187/(E187+H187))</f>
        <v>0.511013215859031</v>
      </c>
      <c r="L187" s="52" t="n">
        <f aca="false">IF(OR(K187="",J187=""),"",(J187-K187)*100)</f>
        <v>3.24340775882627</v>
      </c>
      <c r="M187" s="38"/>
    </row>
    <row r="188" customFormat="false" ht="15" hidden="false" customHeight="false" outlineLevel="0" collapsed="false">
      <c r="A188" s="38" t="s">
        <v>157</v>
      </c>
      <c r="B188" s="38" t="s">
        <v>300</v>
      </c>
      <c r="C188" s="38" t="s">
        <v>307</v>
      </c>
      <c r="D188" s="21" t="n">
        <v>775</v>
      </c>
      <c r="E188" s="21" t="n">
        <v>715</v>
      </c>
      <c r="F188" s="51" t="n">
        <f aca="false">IF(E188="","",D188-E188)</f>
        <v>60</v>
      </c>
      <c r="G188" s="21" t="n">
        <v>596</v>
      </c>
      <c r="H188" s="21" t="n">
        <v>601</v>
      </c>
      <c r="I188" s="51" t="n">
        <f aca="false">IF(H188="","",G188-H188)</f>
        <v>-5</v>
      </c>
      <c r="J188" s="39" t="n">
        <f aca="false">IF(OR(D188="",D188+G188=0),"",D188/(D188+G188))</f>
        <v>0.565280816921955</v>
      </c>
      <c r="K188" s="39" t="n">
        <f aca="false">IF(E188="","",E188/(E188+H188))</f>
        <v>0.543313069908815</v>
      </c>
      <c r="L188" s="52" t="n">
        <f aca="false">IF(OR(K188="",J188=""),"",(J188-K188)*100)</f>
        <v>2.19677470131402</v>
      </c>
      <c r="M188" s="38"/>
    </row>
    <row r="189" customFormat="false" ht="15" hidden="false" customHeight="false" outlineLevel="0" collapsed="false">
      <c r="A189" s="38" t="s">
        <v>157</v>
      </c>
      <c r="B189" s="38" t="s">
        <v>300</v>
      </c>
      <c r="C189" s="38" t="s">
        <v>308</v>
      </c>
      <c r="D189" s="21" t="n">
        <v>819</v>
      </c>
      <c r="E189" s="21" t="n">
        <v>728</v>
      </c>
      <c r="F189" s="51" t="n">
        <f aca="false">IF(E189="","",D189-E189)</f>
        <v>91</v>
      </c>
      <c r="G189" s="21" t="n">
        <v>682</v>
      </c>
      <c r="H189" s="21" t="n">
        <v>692</v>
      </c>
      <c r="I189" s="51" t="n">
        <f aca="false">IF(H189="","",G189-H189)</f>
        <v>-10</v>
      </c>
      <c r="J189" s="39" t="n">
        <f aca="false">IF(OR(D189="",D189+G189=0),"",D189/(D189+G189))</f>
        <v>0.545636242504997</v>
      </c>
      <c r="K189" s="39" t="n">
        <f aca="false">IF(E189="","",E189/(E189+H189))</f>
        <v>0.512676056338028</v>
      </c>
      <c r="L189" s="52" t="n">
        <f aca="false">IF(OR(K189="",J189=""),"",(J189-K189)*100)</f>
        <v>3.29601861669685</v>
      </c>
      <c r="M189" s="38"/>
    </row>
    <row r="190" customFormat="false" ht="15" hidden="false" customHeight="false" outlineLevel="0" collapsed="false">
      <c r="A190" s="38" t="s">
        <v>157</v>
      </c>
      <c r="B190" s="38" t="s">
        <v>309</v>
      </c>
      <c r="C190" s="38" t="s">
        <v>310</v>
      </c>
      <c r="D190" s="21" t="n">
        <v>1598</v>
      </c>
      <c r="E190" s="21" t="n">
        <v>1473</v>
      </c>
      <c r="F190" s="51" t="n">
        <f aca="false">IF(E190="","",D190-E190)</f>
        <v>125</v>
      </c>
      <c r="G190" s="21" t="n">
        <v>1721</v>
      </c>
      <c r="H190" s="21" t="n">
        <v>1690</v>
      </c>
      <c r="I190" s="51" t="n">
        <f aca="false">IF(H190="","",G190-H190)</f>
        <v>31</v>
      </c>
      <c r="J190" s="39" t="n">
        <f aca="false">IF(OR(D190="",D190+G190=0),"",D190/(D190+G190))</f>
        <v>0.481470322386261</v>
      </c>
      <c r="K190" s="39" t="n">
        <f aca="false">IF(E190="","",E190/(E190+H190))</f>
        <v>0.465697122984508</v>
      </c>
      <c r="L190" s="52" t="n">
        <f aca="false">IF(OR(K190="",J190=""),"",(J190-K190)*100)</f>
        <v>1.57731994017525</v>
      </c>
      <c r="M190" s="38"/>
    </row>
    <row r="191" customFormat="false" ht="15" hidden="false" customHeight="false" outlineLevel="0" collapsed="false">
      <c r="A191" s="38" t="s">
        <v>157</v>
      </c>
      <c r="B191" s="38" t="s">
        <v>309</v>
      </c>
      <c r="C191" s="38" t="s">
        <v>311</v>
      </c>
      <c r="D191" s="21" t="n">
        <v>1026</v>
      </c>
      <c r="E191" s="21" t="n">
        <v>907</v>
      </c>
      <c r="F191" s="51" t="n">
        <f aca="false">IF(E191="","",D191-E191)</f>
        <v>119</v>
      </c>
      <c r="G191" s="21" t="n">
        <v>1510</v>
      </c>
      <c r="H191" s="21" t="n">
        <v>1445</v>
      </c>
      <c r="I191" s="51" t="n">
        <f aca="false">IF(H191="","",G191-H191)</f>
        <v>65</v>
      </c>
      <c r="J191" s="39" t="n">
        <f aca="false">IF(OR(D191="",D191+G191=0),"",D191/(D191+G191))</f>
        <v>0.404574132492114</v>
      </c>
      <c r="K191" s="39" t="n">
        <f aca="false">IF(E191="","",E191/(E191+H191))</f>
        <v>0.38562925170068</v>
      </c>
      <c r="L191" s="52" t="n">
        <f aca="false">IF(OR(K191="",J191=""),"",(J191-K191)*100)</f>
        <v>1.89448807914333</v>
      </c>
      <c r="M191" s="38"/>
    </row>
    <row r="192" customFormat="false" ht="15" hidden="false" customHeight="false" outlineLevel="0" collapsed="false">
      <c r="A192" s="38" t="s">
        <v>157</v>
      </c>
      <c r="B192" s="38" t="s">
        <v>312</v>
      </c>
      <c r="C192" s="38" t="s">
        <v>313</v>
      </c>
      <c r="D192" s="21" t="n">
        <v>1161</v>
      </c>
      <c r="E192" s="21" t="n">
        <v>1017</v>
      </c>
      <c r="F192" s="51" t="n">
        <f aca="false">IF(E192="","",D192-E192)</f>
        <v>144</v>
      </c>
      <c r="G192" s="21" t="n">
        <v>1081</v>
      </c>
      <c r="H192" s="21" t="n">
        <v>1074</v>
      </c>
      <c r="I192" s="51" t="n">
        <f aca="false">IF(H192="","",G192-H192)</f>
        <v>7</v>
      </c>
      <c r="J192" s="39" t="n">
        <f aca="false">IF(OR(D192="",D192+G192=0),"",D192/(D192+G192))</f>
        <v>0.517841213202498</v>
      </c>
      <c r="K192" s="39" t="n">
        <f aca="false">IF(E192="","",E192/(E192+H192))</f>
        <v>0.486370157819225</v>
      </c>
      <c r="L192" s="52" t="n">
        <f aca="false">IF(OR(K192="",J192=""),"",(J192-K192)*100)</f>
        <v>3.14710553832725</v>
      </c>
      <c r="M192" s="38"/>
    </row>
    <row r="193" customFormat="false" ht="15" hidden="false" customHeight="false" outlineLevel="0" collapsed="false">
      <c r="A193" s="38" t="s">
        <v>157</v>
      </c>
      <c r="B193" s="38" t="s">
        <v>312</v>
      </c>
      <c r="C193" s="38" t="s">
        <v>314</v>
      </c>
      <c r="D193" s="21" t="n">
        <v>823</v>
      </c>
      <c r="E193" s="21" t="n">
        <v>753</v>
      </c>
      <c r="F193" s="51" t="n">
        <f aca="false">IF(E193="","",D193-E193)</f>
        <v>70</v>
      </c>
      <c r="G193" s="21" t="n">
        <v>844</v>
      </c>
      <c r="H193" s="21" t="n">
        <v>851</v>
      </c>
      <c r="I193" s="51" t="n">
        <f aca="false">IF(H193="","",G193-H193)</f>
        <v>-7</v>
      </c>
      <c r="J193" s="39" t="n">
        <f aca="false">IF(OR(D193="",D193+G193=0),"",D193/(D193+G193))</f>
        <v>0.49370125974805</v>
      </c>
      <c r="K193" s="39" t="n">
        <f aca="false">IF(E193="","",E193/(E193+H193))</f>
        <v>0.469451371571072</v>
      </c>
      <c r="L193" s="52" t="n">
        <f aca="false">IF(OR(K193="",J193=""),"",(J193-K193)*100)</f>
        <v>2.42498881769781</v>
      </c>
      <c r="M193" s="38"/>
    </row>
    <row r="194" customFormat="false" ht="15" hidden="false" customHeight="false" outlineLevel="0" collapsed="false">
      <c r="A194" s="38" t="s">
        <v>157</v>
      </c>
      <c r="B194" s="38" t="s">
        <v>312</v>
      </c>
      <c r="C194" s="38" t="s">
        <v>315</v>
      </c>
      <c r="D194" s="21" t="n">
        <v>644</v>
      </c>
      <c r="E194" s="21" t="n">
        <v>713</v>
      </c>
      <c r="F194" s="51" t="n">
        <f aca="false">IF(E194="","",D194-E194)</f>
        <v>-69</v>
      </c>
      <c r="G194" s="21" t="n">
        <v>666</v>
      </c>
      <c r="H194" s="21" t="n">
        <v>780</v>
      </c>
      <c r="I194" s="51" t="n">
        <f aca="false">IF(H194="","",G194-H194)</f>
        <v>-114</v>
      </c>
      <c r="J194" s="39" t="n">
        <f aca="false">IF(OR(D194="",D194+G194=0),"",D194/(D194+G194))</f>
        <v>0.491603053435115</v>
      </c>
      <c r="K194" s="39" t="n">
        <f aca="false">IF(E194="","",E194/(E194+H194))</f>
        <v>0.477561955793704</v>
      </c>
      <c r="L194" s="52" t="n">
        <f aca="false">IF(OR(K194="",J194=""),"",(J194-K194)*100)</f>
        <v>1.40410976414105</v>
      </c>
      <c r="M194" s="38"/>
    </row>
    <row r="195" customFormat="false" ht="15" hidden="false" customHeight="false" outlineLevel="0" collapsed="false">
      <c r="A195" s="38" t="s">
        <v>157</v>
      </c>
      <c r="B195" s="38" t="s">
        <v>312</v>
      </c>
      <c r="C195" s="38" t="s">
        <v>316</v>
      </c>
      <c r="D195" s="21" t="n">
        <v>1807</v>
      </c>
      <c r="E195" s="21" t="n">
        <v>1648</v>
      </c>
      <c r="F195" s="51" t="n">
        <f aca="false">IF(E195="","",D195-E195)</f>
        <v>159</v>
      </c>
      <c r="G195" s="21" t="n">
        <v>1844</v>
      </c>
      <c r="H195" s="21" t="n">
        <v>1789</v>
      </c>
      <c r="I195" s="51" t="n">
        <f aca="false">IF(H195="","",G195-H195)</f>
        <v>55</v>
      </c>
      <c r="J195" s="39" t="n">
        <f aca="false">IF(OR(D195="",D195+G195=0),"",D195/(D195+G195))</f>
        <v>0.494932895097234</v>
      </c>
      <c r="K195" s="39" t="n">
        <f aca="false">IF(E195="","",E195/(E195+H195))</f>
        <v>0.479487925516439</v>
      </c>
      <c r="L195" s="52" t="n">
        <f aca="false">IF(OR(K195="",J195=""),"",(J195-K195)*100)</f>
        <v>1.54449695807949</v>
      </c>
      <c r="M195" s="38"/>
    </row>
    <row r="196" customFormat="false" ht="15" hidden="false" customHeight="false" outlineLevel="0" collapsed="false">
      <c r="A196" s="38" t="s">
        <v>157</v>
      </c>
      <c r="B196" s="38" t="s">
        <v>312</v>
      </c>
      <c r="C196" s="38" t="s">
        <v>317</v>
      </c>
      <c r="D196" s="21" t="n">
        <v>734</v>
      </c>
      <c r="E196" s="21" t="n">
        <v>683</v>
      </c>
      <c r="F196" s="51" t="n">
        <f aca="false">IF(E196="","",D196-E196)</f>
        <v>51</v>
      </c>
      <c r="G196" s="21" t="n">
        <v>723</v>
      </c>
      <c r="H196" s="21" t="n">
        <v>663</v>
      </c>
      <c r="I196" s="51" t="n">
        <f aca="false">IF(H196="","",G196-H196)</f>
        <v>60</v>
      </c>
      <c r="J196" s="39" t="n">
        <f aca="false">IF(OR(D196="",D196+G196=0),"",D196/(D196+G196))</f>
        <v>0.503774879890185</v>
      </c>
      <c r="K196" s="39" t="n">
        <f aca="false">IF(E196="","",E196/(E196+H196))</f>
        <v>0.507429420505201</v>
      </c>
      <c r="L196" s="52" t="n">
        <f aca="false">IF(OR(K196="",J196=""),"",(J196-K196)*100)</f>
        <v>-0.365454061501525</v>
      </c>
      <c r="M196" s="38"/>
    </row>
    <row r="197" customFormat="false" ht="15" hidden="false" customHeight="false" outlineLevel="0" collapsed="false">
      <c r="A197" s="38" t="s">
        <v>157</v>
      </c>
      <c r="B197" s="38" t="s">
        <v>312</v>
      </c>
      <c r="C197" s="38" t="s">
        <v>318</v>
      </c>
      <c r="D197" s="21" t="n">
        <v>695</v>
      </c>
      <c r="E197" s="21" t="n">
        <v>648</v>
      </c>
      <c r="F197" s="51" t="n">
        <f aca="false">IF(E197="","",D197-E197)</f>
        <v>47</v>
      </c>
      <c r="G197" s="21" t="n">
        <v>622</v>
      </c>
      <c r="H197" s="21" t="n">
        <v>583</v>
      </c>
      <c r="I197" s="51" t="n">
        <f aca="false">IF(H197="","",G197-H197)</f>
        <v>39</v>
      </c>
      <c r="J197" s="39" t="n">
        <f aca="false">IF(OR(D197="",D197+G197=0),"",D197/(D197+G197))</f>
        <v>0.527714502657555</v>
      </c>
      <c r="K197" s="39" t="n">
        <f aca="false">IF(E197="","",E197/(E197+H197))</f>
        <v>0.526401299756296</v>
      </c>
      <c r="L197" s="52" t="n">
        <f aca="false">IF(OR(K197="",J197=""),"",(J197-K197)*100)</f>
        <v>0.131320290125936</v>
      </c>
      <c r="M197" s="38"/>
    </row>
    <row r="198" customFormat="false" ht="15" hidden="false" customHeight="false" outlineLevel="0" collapsed="false">
      <c r="A198" s="38" t="s">
        <v>157</v>
      </c>
      <c r="B198" s="38" t="s">
        <v>319</v>
      </c>
      <c r="C198" s="38" t="s">
        <v>320</v>
      </c>
      <c r="D198" s="21" t="n">
        <v>278</v>
      </c>
      <c r="E198" s="21" t="n">
        <v>243</v>
      </c>
      <c r="F198" s="51" t="n">
        <f aca="false">IF(E198="","",D198-E198)</f>
        <v>35</v>
      </c>
      <c r="G198" s="21" t="n">
        <v>542</v>
      </c>
      <c r="H198" s="21" t="n">
        <v>532</v>
      </c>
      <c r="I198" s="51" t="n">
        <f aca="false">IF(H198="","",G198-H198)</f>
        <v>10</v>
      </c>
      <c r="J198" s="39" t="n">
        <f aca="false">IF(OR(D198="",D198+G198=0),"",D198/(D198+G198))</f>
        <v>0.339024390243902</v>
      </c>
      <c r="K198" s="39" t="n">
        <f aca="false">IF(E198="","",E198/(E198+H198))</f>
        <v>0.313548387096774</v>
      </c>
      <c r="L198" s="52" t="n">
        <f aca="false">IF(OR(K198="",J198=""),"",(J198-K198)*100)</f>
        <v>2.54760031471283</v>
      </c>
      <c r="M198" s="38"/>
    </row>
    <row r="199" customFormat="false" ht="15" hidden="false" customHeight="false" outlineLevel="0" collapsed="false">
      <c r="A199" s="38" t="s">
        <v>157</v>
      </c>
      <c r="B199" s="38" t="s">
        <v>319</v>
      </c>
      <c r="C199" s="38" t="s">
        <v>321</v>
      </c>
      <c r="D199" s="21" t="n">
        <v>961</v>
      </c>
      <c r="E199" s="21" t="n">
        <v>841</v>
      </c>
      <c r="F199" s="51" t="n">
        <f aca="false">IF(E199="","",D199-E199)</f>
        <v>120</v>
      </c>
      <c r="G199" s="21" t="n">
        <v>1671</v>
      </c>
      <c r="H199" s="21" t="n">
        <v>1653</v>
      </c>
      <c r="I199" s="51" t="n">
        <f aca="false">IF(H199="","",G199-H199)</f>
        <v>18</v>
      </c>
      <c r="J199" s="39" t="n">
        <f aca="false">IF(OR(D199="",D199+G199=0),"",D199/(D199+G199))</f>
        <v>0.365121580547112</v>
      </c>
      <c r="K199" s="39" t="n">
        <f aca="false">IF(E199="","",E199/(E199+H199))</f>
        <v>0.337209302325581</v>
      </c>
      <c r="L199" s="52" t="n">
        <f aca="false">IF(OR(K199="",J199=""),"",(J199-K199)*100)</f>
        <v>2.79122782215311</v>
      </c>
      <c r="M199" s="38"/>
    </row>
    <row r="200" customFormat="false" ht="15" hidden="false" customHeight="false" outlineLevel="0" collapsed="false">
      <c r="A200" s="38" t="s">
        <v>157</v>
      </c>
      <c r="B200" s="38" t="s">
        <v>319</v>
      </c>
      <c r="C200" s="38" t="s">
        <v>322</v>
      </c>
      <c r="D200" s="21" t="n">
        <v>224</v>
      </c>
      <c r="E200" s="21" t="n">
        <v>182</v>
      </c>
      <c r="F200" s="51" t="n">
        <f aca="false">IF(E200="","",D200-E200)</f>
        <v>42</v>
      </c>
      <c r="G200" s="21" t="n">
        <v>473</v>
      </c>
      <c r="H200" s="21" t="n">
        <v>484</v>
      </c>
      <c r="I200" s="51" t="n">
        <f aca="false">IF(H200="","",G200-H200)</f>
        <v>-11</v>
      </c>
      <c r="J200" s="39" t="n">
        <f aca="false">IF(OR(D200="",D200+G200=0),"",D200/(D200+G200))</f>
        <v>0.321377331420373</v>
      </c>
      <c r="K200" s="39" t="n">
        <f aca="false">IF(E200="","",E200/(E200+H200))</f>
        <v>0.273273273273273</v>
      </c>
      <c r="L200" s="52" t="n">
        <f aca="false">IF(OR(K200="",J200=""),"",(J200-K200)*100)</f>
        <v>4.81040581470997</v>
      </c>
      <c r="M200" s="38"/>
    </row>
    <row r="201" customFormat="false" ht="15" hidden="false" customHeight="false" outlineLevel="0" collapsed="false">
      <c r="A201" s="38" t="s">
        <v>157</v>
      </c>
      <c r="B201" s="38" t="s">
        <v>323</v>
      </c>
      <c r="C201" s="38" t="s">
        <v>323</v>
      </c>
      <c r="D201" s="21" t="n">
        <v>1262</v>
      </c>
      <c r="E201" s="21" t="n">
        <v>1172</v>
      </c>
      <c r="F201" s="51" t="n">
        <f aca="false">IF(E201="","",D201-E201)</f>
        <v>90</v>
      </c>
      <c r="G201" s="21" t="n">
        <v>2339</v>
      </c>
      <c r="H201" s="21" t="n">
        <v>2201</v>
      </c>
      <c r="I201" s="51" t="n">
        <f aca="false">IF(H201="","",G201-H201)</f>
        <v>138</v>
      </c>
      <c r="J201" s="39" t="n">
        <f aca="false">IF(OR(D201="",D201+G201=0),"",D201/(D201+G201))</f>
        <v>0.350458206053874</v>
      </c>
      <c r="K201" s="39" t="n">
        <f aca="false">IF(E201="","",E201/(E201+H201))</f>
        <v>0.347465164541951</v>
      </c>
      <c r="L201" s="52" t="n">
        <f aca="false">IF(OR(K201="",J201=""),"",(J201-K201)*100)</f>
        <v>0.299304151192309</v>
      </c>
      <c r="M201" s="38"/>
    </row>
    <row r="202" customFormat="false" ht="15" hidden="false" customHeight="false" outlineLevel="0" collapsed="false">
      <c r="A202" s="38" t="s">
        <v>157</v>
      </c>
      <c r="B202" s="38" t="s">
        <v>324</v>
      </c>
      <c r="C202" s="38" t="s">
        <v>325</v>
      </c>
      <c r="D202" s="21" t="n">
        <v>899</v>
      </c>
      <c r="E202" s="21" t="n">
        <v>811</v>
      </c>
      <c r="F202" s="51" t="n">
        <f aca="false">IF(E202="","",D202-E202)</f>
        <v>88</v>
      </c>
      <c r="G202" s="21" t="n">
        <v>888</v>
      </c>
      <c r="H202" s="21" t="n">
        <v>918</v>
      </c>
      <c r="I202" s="51" t="n">
        <f aca="false">IF(H202="","",G202-H202)</f>
        <v>-30</v>
      </c>
      <c r="J202" s="39" t="n">
        <f aca="false">IF(OR(D202="",D202+G202=0),"",D202/(D202+G202))</f>
        <v>0.503077783995523</v>
      </c>
      <c r="K202" s="39" t="n">
        <f aca="false">IF(E202="","",E202/(E202+H202))</f>
        <v>0.469057258530943</v>
      </c>
      <c r="L202" s="52" t="n">
        <f aca="false">IF(OR(K202="",J202=""),"",(J202-K202)*100)</f>
        <v>3.40205254645805</v>
      </c>
      <c r="M202" s="38"/>
    </row>
    <row r="203" customFormat="false" ht="15" hidden="false" customHeight="false" outlineLevel="0" collapsed="false">
      <c r="A203" s="38" t="s">
        <v>157</v>
      </c>
      <c r="B203" s="38" t="s">
        <v>324</v>
      </c>
      <c r="C203" s="38" t="s">
        <v>326</v>
      </c>
      <c r="D203" s="21" t="n">
        <v>698</v>
      </c>
      <c r="E203" s="21" t="n">
        <v>606</v>
      </c>
      <c r="F203" s="51" t="n">
        <f aca="false">IF(E203="","",D203-E203)</f>
        <v>92</v>
      </c>
      <c r="G203" s="21" t="n">
        <v>658</v>
      </c>
      <c r="H203" s="21" t="n">
        <v>669</v>
      </c>
      <c r="I203" s="51" t="n">
        <f aca="false">IF(H203="","",G203-H203)</f>
        <v>-11</v>
      </c>
      <c r="J203" s="39" t="n">
        <f aca="false">IF(OR(D203="",D203+G203=0),"",D203/(D203+G203))</f>
        <v>0.514749262536873</v>
      </c>
      <c r="K203" s="39" t="n">
        <f aca="false">IF(E203="","",E203/(E203+H203))</f>
        <v>0.475294117647059</v>
      </c>
      <c r="L203" s="52" t="n">
        <f aca="false">IF(OR(K203="",J203=""),"",(J203-K203)*100)</f>
        <v>3.94551448898143</v>
      </c>
      <c r="M203" s="38"/>
    </row>
    <row r="204" customFormat="false" ht="15" hidden="false" customHeight="false" outlineLevel="0" collapsed="false">
      <c r="A204" s="38" t="s">
        <v>157</v>
      </c>
      <c r="B204" s="38" t="s">
        <v>324</v>
      </c>
      <c r="C204" s="38" t="s">
        <v>327</v>
      </c>
      <c r="D204" s="21" t="n">
        <v>816</v>
      </c>
      <c r="E204" s="21" t="n">
        <v>732</v>
      </c>
      <c r="F204" s="51" t="n">
        <f aca="false">IF(E204="","",D204-E204)</f>
        <v>84</v>
      </c>
      <c r="G204" s="21" t="n">
        <v>552</v>
      </c>
      <c r="H204" s="21" t="n">
        <v>616</v>
      </c>
      <c r="I204" s="51" t="n">
        <f aca="false">IF(H204="","",G204-H204)</f>
        <v>-64</v>
      </c>
      <c r="J204" s="39" t="n">
        <f aca="false">IF(OR(D204="",D204+G204=0),"",D204/(D204+G204))</f>
        <v>0.596491228070175</v>
      </c>
      <c r="K204" s="39" t="n">
        <f aca="false">IF(E204="","",E204/(E204+H204))</f>
        <v>0.543026706231454</v>
      </c>
      <c r="L204" s="52" t="n">
        <f aca="false">IF(OR(K204="",J204=""),"",(J204-K204)*100)</f>
        <v>5.34645218387214</v>
      </c>
      <c r="M204" s="38"/>
    </row>
    <row r="205" customFormat="false" ht="15" hidden="false" customHeight="false" outlineLevel="0" collapsed="false">
      <c r="A205" s="38" t="s">
        <v>157</v>
      </c>
      <c r="B205" s="38" t="s">
        <v>324</v>
      </c>
      <c r="C205" s="38" t="s">
        <v>328</v>
      </c>
      <c r="D205" s="21" t="n">
        <v>927</v>
      </c>
      <c r="E205" s="21" t="n">
        <v>871</v>
      </c>
      <c r="F205" s="51" t="n">
        <f aca="false">IF(E205="","",D205-E205)</f>
        <v>56</v>
      </c>
      <c r="G205" s="21" t="n">
        <v>585</v>
      </c>
      <c r="H205" s="21" t="n">
        <v>616</v>
      </c>
      <c r="I205" s="51" t="n">
        <f aca="false">IF(H205="","",G205-H205)</f>
        <v>-31</v>
      </c>
      <c r="J205" s="39" t="n">
        <f aca="false">IF(OR(D205="",D205+G205=0),"",D205/(D205+G205))</f>
        <v>0.613095238095238</v>
      </c>
      <c r="K205" s="39" t="n">
        <f aca="false">IF(E205="","",E205/(E205+H205))</f>
        <v>0.585743106926698</v>
      </c>
      <c r="L205" s="52" t="n">
        <f aca="false">IF(OR(K205="",J205=""),"",(J205-K205)*100)</f>
        <v>2.73521311685401</v>
      </c>
      <c r="M205" s="38"/>
    </row>
    <row r="206" customFormat="false" ht="15" hidden="false" customHeight="false" outlineLevel="0" collapsed="false">
      <c r="A206" s="38" t="s">
        <v>157</v>
      </c>
      <c r="B206" s="38" t="s">
        <v>324</v>
      </c>
      <c r="C206" s="38" t="s">
        <v>329</v>
      </c>
      <c r="D206" s="21" t="n">
        <v>333</v>
      </c>
      <c r="E206" s="21" t="n">
        <v>305</v>
      </c>
      <c r="F206" s="51" t="n">
        <f aca="false">IF(E206="","",D206-E206)</f>
        <v>28</v>
      </c>
      <c r="G206" s="21" t="n">
        <v>241</v>
      </c>
      <c r="H206" s="21" t="n">
        <v>262</v>
      </c>
      <c r="I206" s="51" t="n">
        <f aca="false">IF(H206="","",G206-H206)</f>
        <v>-21</v>
      </c>
      <c r="J206" s="39" t="n">
        <f aca="false">IF(OR(D206="",D206+G206=0),"",D206/(D206+G206))</f>
        <v>0.5801393728223</v>
      </c>
      <c r="K206" s="39" t="n">
        <f aca="false">IF(E206="","",E206/(E206+H206))</f>
        <v>0.537918871252205</v>
      </c>
      <c r="L206" s="52" t="n">
        <f aca="false">IF(OR(K206="",J206=""),"",(J206-K206)*100)</f>
        <v>4.22205015700951</v>
      </c>
      <c r="M206" s="38"/>
    </row>
    <row r="207" customFormat="false" ht="15" hidden="false" customHeight="false" outlineLevel="0" collapsed="false">
      <c r="A207" s="38" t="s">
        <v>157</v>
      </c>
      <c r="B207" s="38" t="s">
        <v>324</v>
      </c>
      <c r="C207" s="38" t="s">
        <v>330</v>
      </c>
      <c r="D207" s="21" t="n">
        <v>565</v>
      </c>
      <c r="E207" s="21" t="n">
        <v>535</v>
      </c>
      <c r="F207" s="51" t="n">
        <f aca="false">IF(E207="","",D207-E207)</f>
        <v>30</v>
      </c>
      <c r="G207" s="21" t="n">
        <v>299</v>
      </c>
      <c r="H207" s="21" t="n">
        <v>364</v>
      </c>
      <c r="I207" s="51" t="n">
        <f aca="false">IF(H207="","",G207-H207)</f>
        <v>-65</v>
      </c>
      <c r="J207" s="39" t="n">
        <f aca="false">IF(OR(D207="",D207+G207=0),"",D207/(D207+G207))</f>
        <v>0.653935185185185</v>
      </c>
      <c r="K207" s="39" t="n">
        <f aca="false">IF(E207="","",E207/(E207+H207))</f>
        <v>0.595105672969967</v>
      </c>
      <c r="L207" s="52" t="n">
        <f aca="false">IF(OR(K207="",J207=""),"",(J207-K207)*100)</f>
        <v>5.88295122152186</v>
      </c>
      <c r="M207" s="38"/>
    </row>
    <row r="208" customFormat="false" ht="15" hidden="false" customHeight="false" outlineLevel="0" collapsed="false">
      <c r="A208" s="38" t="s">
        <v>157</v>
      </c>
      <c r="B208" s="38" t="s">
        <v>324</v>
      </c>
      <c r="C208" s="38" t="s">
        <v>331</v>
      </c>
      <c r="D208" s="21" t="n">
        <v>559</v>
      </c>
      <c r="E208" s="21" t="n">
        <v>564</v>
      </c>
      <c r="F208" s="51" t="n">
        <f aca="false">IF(E208="","",D208-E208)</f>
        <v>-5</v>
      </c>
      <c r="G208" s="21" t="n">
        <v>408</v>
      </c>
      <c r="H208" s="21" t="n">
        <v>451</v>
      </c>
      <c r="I208" s="51" t="n">
        <f aca="false">IF(H208="","",G208-H208)</f>
        <v>-43</v>
      </c>
      <c r="J208" s="39" t="n">
        <f aca="false">IF(OR(D208="",D208+G208=0),"",D208/(D208+G208))</f>
        <v>0.578076525336091</v>
      </c>
      <c r="K208" s="39" t="n">
        <f aca="false">IF(E208="","",E208/(E208+H208))</f>
        <v>0.555665024630542</v>
      </c>
      <c r="L208" s="52" t="n">
        <f aca="false">IF(OR(K208="",J208=""),"",(J208-K208)*100)</f>
        <v>2.24115007055491</v>
      </c>
      <c r="M208" s="38"/>
    </row>
    <row r="209" customFormat="false" ht="15" hidden="false" customHeight="false" outlineLevel="0" collapsed="false">
      <c r="A209" s="38" t="s">
        <v>157</v>
      </c>
      <c r="B209" s="38" t="s">
        <v>324</v>
      </c>
      <c r="C209" s="38" t="s">
        <v>332</v>
      </c>
      <c r="D209" s="21" t="n">
        <v>313</v>
      </c>
      <c r="E209" s="21" t="n">
        <v>279</v>
      </c>
      <c r="F209" s="51" t="n">
        <f aca="false">IF(E209="","",D209-E209)</f>
        <v>34</v>
      </c>
      <c r="G209" s="21" t="n">
        <v>283</v>
      </c>
      <c r="H209" s="21" t="n">
        <v>318</v>
      </c>
      <c r="I209" s="51" t="n">
        <f aca="false">IF(H209="","",G209-H209)</f>
        <v>-35</v>
      </c>
      <c r="J209" s="39" t="n">
        <f aca="false">IF(OR(D209="",D209+G209=0),"",D209/(D209+G209))</f>
        <v>0.525167785234899</v>
      </c>
      <c r="K209" s="39" t="n">
        <f aca="false">IF(E209="","",E209/(E209+H209))</f>
        <v>0.467336683417085</v>
      </c>
      <c r="L209" s="52" t="n">
        <f aca="false">IF(OR(K209="",J209=""),"",(J209-K209)*100)</f>
        <v>5.78311018178139</v>
      </c>
      <c r="M209" s="38"/>
    </row>
    <row r="210" customFormat="false" ht="15" hidden="false" customHeight="false" outlineLevel="0" collapsed="false">
      <c r="A210" s="38" t="s">
        <v>157</v>
      </c>
      <c r="B210" s="38" t="s">
        <v>324</v>
      </c>
      <c r="C210" s="38" t="s">
        <v>333</v>
      </c>
      <c r="D210" s="21" t="n">
        <v>652</v>
      </c>
      <c r="E210" s="21" t="n">
        <v>571</v>
      </c>
      <c r="F210" s="51" t="n">
        <f aca="false">IF(E210="","",D210-E210)</f>
        <v>81</v>
      </c>
      <c r="G210" s="21" t="n">
        <v>490</v>
      </c>
      <c r="H210" s="21" t="n">
        <v>544</v>
      </c>
      <c r="I210" s="51" t="n">
        <f aca="false">IF(H210="","",G210-H210)</f>
        <v>-54</v>
      </c>
      <c r="J210" s="39" t="n">
        <f aca="false">IF(OR(D210="",D210+G210=0),"",D210/(D210+G210))</f>
        <v>0.57092819614711</v>
      </c>
      <c r="K210" s="39" t="n">
        <f aca="false">IF(E210="","",E210/(E210+H210))</f>
        <v>0.512107623318386</v>
      </c>
      <c r="L210" s="52" t="n">
        <f aca="false">IF(OR(K210="",J210=""),"",(J210-K210)*100)</f>
        <v>5.88205728287247</v>
      </c>
      <c r="M210" s="38"/>
    </row>
    <row r="211" customFormat="false" ht="15" hidden="false" customHeight="false" outlineLevel="0" collapsed="false">
      <c r="A211" s="38" t="s">
        <v>157</v>
      </c>
      <c r="B211" s="38" t="s">
        <v>324</v>
      </c>
      <c r="C211" s="38" t="s">
        <v>334</v>
      </c>
      <c r="D211" s="21" t="n">
        <v>961</v>
      </c>
      <c r="E211" s="21" t="n">
        <v>829</v>
      </c>
      <c r="F211" s="51" t="n">
        <f aca="false">IF(E211="","",D211-E211)</f>
        <v>132</v>
      </c>
      <c r="G211" s="21" t="n">
        <v>938</v>
      </c>
      <c r="H211" s="21" t="n">
        <v>968</v>
      </c>
      <c r="I211" s="51" t="n">
        <f aca="false">IF(H211="","",G211-H211)</f>
        <v>-30</v>
      </c>
      <c r="J211" s="39" t="n">
        <f aca="false">IF(OR(D211="",D211+G211=0),"",D211/(D211+G211))</f>
        <v>0.506055818852027</v>
      </c>
      <c r="K211" s="39" t="n">
        <f aca="false">IF(E211="","",E211/(E211+H211))</f>
        <v>0.461324429604897</v>
      </c>
      <c r="L211" s="52" t="n">
        <f aca="false">IF(OR(K211="",J211=""),"",(J211-K211)*100)</f>
        <v>4.47313892471303</v>
      </c>
      <c r="M211" s="38"/>
    </row>
    <row r="212" customFormat="false" ht="15" hidden="false" customHeight="false" outlineLevel="0" collapsed="false">
      <c r="A212" s="38" t="s">
        <v>157</v>
      </c>
      <c r="B212" s="38" t="s">
        <v>324</v>
      </c>
      <c r="C212" s="38" t="s">
        <v>335</v>
      </c>
      <c r="D212" s="21" t="n">
        <v>802</v>
      </c>
      <c r="E212" s="21" t="n">
        <v>698</v>
      </c>
      <c r="F212" s="51" t="n">
        <f aca="false">IF(E212="","",D212-E212)</f>
        <v>104</v>
      </c>
      <c r="G212" s="21" t="n">
        <v>720</v>
      </c>
      <c r="H212" s="21" t="n">
        <v>748</v>
      </c>
      <c r="I212" s="51" t="n">
        <f aca="false">IF(H212="","",G212-H212)</f>
        <v>-28</v>
      </c>
      <c r="J212" s="39" t="n">
        <f aca="false">IF(OR(D212="",D212+G212=0),"",D212/(D212+G212))</f>
        <v>0.526938239159001</v>
      </c>
      <c r="K212" s="39" t="n">
        <f aca="false">IF(E212="","",E212/(E212+H212))</f>
        <v>0.482710926694329</v>
      </c>
      <c r="L212" s="52" t="n">
        <f aca="false">IF(OR(K212="",J212=""),"",(J212-K212)*100)</f>
        <v>4.42273124646721</v>
      </c>
      <c r="M212" s="38"/>
    </row>
    <row r="213" customFormat="false" ht="15" hidden="false" customHeight="false" outlineLevel="0" collapsed="false">
      <c r="A213" s="38" t="s">
        <v>157</v>
      </c>
      <c r="B213" s="38" t="s">
        <v>324</v>
      </c>
      <c r="C213" s="38" t="s">
        <v>336</v>
      </c>
      <c r="D213" s="21" t="n">
        <v>684</v>
      </c>
      <c r="E213" s="21" t="n">
        <v>582</v>
      </c>
      <c r="F213" s="51" t="n">
        <f aca="false">IF(E213="","",D213-E213)</f>
        <v>102</v>
      </c>
      <c r="G213" s="21" t="n">
        <v>532</v>
      </c>
      <c r="H213" s="21" t="n">
        <v>562</v>
      </c>
      <c r="I213" s="51" t="n">
        <f aca="false">IF(H213="","",G213-H213)</f>
        <v>-30</v>
      </c>
      <c r="J213" s="39" t="n">
        <f aca="false">IF(OR(D213="",D213+G213=0),"",D213/(D213+G213))</f>
        <v>0.5625</v>
      </c>
      <c r="K213" s="39" t="n">
        <f aca="false">IF(E213="","",E213/(E213+H213))</f>
        <v>0.508741258741259</v>
      </c>
      <c r="L213" s="52" t="n">
        <f aca="false">IF(OR(K213="",J213=""),"",(J213-K213)*100)</f>
        <v>5.37587412587413</v>
      </c>
      <c r="M213" s="38"/>
    </row>
    <row r="214" customFormat="false" ht="15" hidden="false" customHeight="false" outlineLevel="0" collapsed="false">
      <c r="A214" s="38" t="s">
        <v>337</v>
      </c>
      <c r="B214" s="38" t="s">
        <v>338</v>
      </c>
      <c r="C214" s="38" t="s">
        <v>339</v>
      </c>
      <c r="D214" s="21" t="n">
        <v>538</v>
      </c>
      <c r="E214" s="21" t="n">
        <v>471</v>
      </c>
      <c r="F214" s="51" t="n">
        <f aca="false">IF(E214="","",D214-E214)</f>
        <v>67</v>
      </c>
      <c r="G214" s="21" t="n">
        <v>1062</v>
      </c>
      <c r="H214" s="21" t="n">
        <v>1124</v>
      </c>
      <c r="I214" s="51" t="n">
        <f aca="false">IF(H214="","",G214-H214)</f>
        <v>-62</v>
      </c>
      <c r="J214" s="39" t="n">
        <f aca="false">IF(OR(D214="",D214+G214=0),"",D214/(D214+G214))</f>
        <v>0.33625</v>
      </c>
      <c r="K214" s="39" t="n">
        <f aca="false">IF(E214="","",E214/(E214+H214))</f>
        <v>0.295297805642633</v>
      </c>
      <c r="L214" s="52" t="n">
        <f aca="false">IF(OR(K214="",J214=""),"",(J214-K214)*100)</f>
        <v>4.09521943573667</v>
      </c>
      <c r="M214" s="38"/>
    </row>
    <row r="215" customFormat="false" ht="15" hidden="false" customHeight="false" outlineLevel="0" collapsed="false">
      <c r="A215" s="38" t="s">
        <v>337</v>
      </c>
      <c r="B215" s="38" t="s">
        <v>340</v>
      </c>
      <c r="C215" s="38" t="s">
        <v>341</v>
      </c>
      <c r="D215" s="21" t="n">
        <v>1511</v>
      </c>
      <c r="E215" s="21" t="n">
        <v>1414</v>
      </c>
      <c r="F215" s="51" t="n">
        <f aca="false">IF(E215="","",D215-E215)</f>
        <v>97</v>
      </c>
      <c r="G215" s="21" t="n">
        <v>2734</v>
      </c>
      <c r="H215" s="21" t="n">
        <v>2894</v>
      </c>
      <c r="I215" s="51" t="n">
        <f aca="false">IF(H215="","",G215-H215)</f>
        <v>-160</v>
      </c>
      <c r="J215" s="39" t="n">
        <f aca="false">IF(OR(D215="",D215+G215=0),"",D215/(D215+G215))</f>
        <v>0.355948174322733</v>
      </c>
      <c r="K215" s="39" t="n">
        <f aca="false">IF(E215="","",E215/(E215+H215))</f>
        <v>0.328226555246054</v>
      </c>
      <c r="L215" s="52" t="n">
        <f aca="false">IF(OR(K215="",J215=""),"",(J215-K215)*100)</f>
        <v>2.77216190766787</v>
      </c>
      <c r="M215" s="38"/>
    </row>
    <row r="216" customFormat="false" ht="15" hidden="false" customHeight="false" outlineLevel="0" collapsed="false">
      <c r="A216" s="38" t="s">
        <v>337</v>
      </c>
      <c r="B216" s="38" t="s">
        <v>342</v>
      </c>
      <c r="C216" s="38" t="s">
        <v>343</v>
      </c>
      <c r="D216" s="21" t="n">
        <v>1040</v>
      </c>
      <c r="E216" s="21" t="n">
        <v>521</v>
      </c>
      <c r="F216" s="51" t="n">
        <f aca="false">IF(E216="","",D216-E216)</f>
        <v>519</v>
      </c>
      <c r="G216" s="21" t="n">
        <v>1959</v>
      </c>
      <c r="H216" s="21" t="n">
        <v>997</v>
      </c>
      <c r="I216" s="51" t="n">
        <f aca="false">IF(H216="","",G216-H216)</f>
        <v>962</v>
      </c>
      <c r="J216" s="39" t="n">
        <f aca="false">IF(OR(D216="",D216+G216=0),"",D216/(D216+G216))</f>
        <v>0.346782260753585</v>
      </c>
      <c r="K216" s="39" t="n">
        <f aca="false">IF(E216="","",E216/(E216+H216))</f>
        <v>0.343214756258235</v>
      </c>
      <c r="L216" s="52" t="n">
        <f aca="false">IF(OR(K216="",J216=""),"",(J216-K216)*100)</f>
        <v>0.356750449535004</v>
      </c>
      <c r="M216" s="38"/>
    </row>
    <row r="217" customFormat="false" ht="15" hidden="false" customHeight="false" outlineLevel="0" collapsed="false">
      <c r="A217" s="38" t="s">
        <v>344</v>
      </c>
      <c r="B217" s="38" t="s">
        <v>345</v>
      </c>
      <c r="C217" s="38" t="s">
        <v>346</v>
      </c>
      <c r="D217" s="21" t="n">
        <v>755</v>
      </c>
      <c r="E217" s="21" t="n">
        <v>687</v>
      </c>
      <c r="F217" s="51" t="n">
        <f aca="false">IF(E217="","",D217-E217)</f>
        <v>68</v>
      </c>
      <c r="G217" s="21" t="n">
        <v>1026</v>
      </c>
      <c r="H217" s="21" t="n">
        <v>1009</v>
      </c>
      <c r="I217" s="51" t="n">
        <f aca="false">IF(H217="","",G217-H217)</f>
        <v>17</v>
      </c>
      <c r="J217" s="39" t="n">
        <f aca="false">IF(OR(D217="",D217+G217=0),"",D217/(D217+G217))</f>
        <v>0.423919146546884</v>
      </c>
      <c r="K217" s="39" t="n">
        <f aca="false">IF(E217="","",E217/(E217+H217))</f>
        <v>0.405070754716981</v>
      </c>
      <c r="L217" s="52" t="n">
        <f aca="false">IF(OR(K217="",J217=""),"",(J217-K217)*100)</f>
        <v>1.88483918299027</v>
      </c>
      <c r="M217" s="38"/>
    </row>
    <row r="218" customFormat="false" ht="15" hidden="false" customHeight="false" outlineLevel="0" collapsed="false">
      <c r="A218" s="38" t="s">
        <v>344</v>
      </c>
      <c r="B218" s="38" t="s">
        <v>345</v>
      </c>
      <c r="C218" s="38" t="s">
        <v>347</v>
      </c>
      <c r="D218" s="21" t="n">
        <v>925</v>
      </c>
      <c r="E218" s="21" t="n">
        <v>824</v>
      </c>
      <c r="F218" s="51" t="n">
        <f aca="false">IF(E218="","",D218-E218)</f>
        <v>101</v>
      </c>
      <c r="G218" s="21" t="n">
        <v>864</v>
      </c>
      <c r="H218" s="21" t="n">
        <v>1009</v>
      </c>
      <c r="I218" s="51" t="n">
        <f aca="false">IF(H218="","",G218-H218)</f>
        <v>-145</v>
      </c>
      <c r="J218" s="39" t="n">
        <f aca="false">IF(OR(D218="",D218+G218=0),"",D218/(D218+G218))</f>
        <v>0.517048630519844</v>
      </c>
      <c r="K218" s="39" t="n">
        <f aca="false">IF(E218="","",E218/(E218+H218))</f>
        <v>0.449536279323513</v>
      </c>
      <c r="L218" s="52" t="n">
        <f aca="false">IF(OR(K218="",J218=""),"",(J218-K218)*100)</f>
        <v>6.75123511963301</v>
      </c>
      <c r="M218" s="38"/>
    </row>
    <row r="219" customFormat="false" ht="15" hidden="false" customHeight="false" outlineLevel="0" collapsed="false">
      <c r="A219" s="38" t="s">
        <v>344</v>
      </c>
      <c r="B219" s="38" t="s">
        <v>348</v>
      </c>
      <c r="C219" s="38" t="s">
        <v>349</v>
      </c>
      <c r="D219" s="21" t="n">
        <v>484</v>
      </c>
      <c r="E219" s="21"/>
      <c r="F219" s="51" t="str">
        <f aca="false">IF(E219="","",D219-E219)</f>
        <v/>
      </c>
      <c r="G219" s="21" t="n">
        <v>651</v>
      </c>
      <c r="H219" s="21"/>
      <c r="I219" s="51" t="str">
        <f aca="false">IF(H219="","",G219-H219)</f>
        <v/>
      </c>
      <c r="J219" s="39" t="n">
        <f aca="false">IF(OR(D219="",D219+G219=0),"",D219/(D219+G219))</f>
        <v>0.426431718061674</v>
      </c>
      <c r="K219" s="39" t="str">
        <f aca="false">IF(E219="","",E219/(E219+H219))</f>
        <v/>
      </c>
      <c r="L219" s="52" t="str">
        <f aca="false">IF(OR(K219="",J219=""),"",(J219-K219)*100)</f>
        <v/>
      </c>
      <c r="M219" s="38" t="s">
        <v>691</v>
      </c>
    </row>
    <row r="220" customFormat="false" ht="15" hidden="false" customHeight="false" outlineLevel="0" collapsed="false">
      <c r="A220" s="38" t="s">
        <v>344</v>
      </c>
      <c r="B220" s="38" t="s">
        <v>348</v>
      </c>
      <c r="C220" s="38" t="s">
        <v>350</v>
      </c>
      <c r="D220" s="21" t="n">
        <v>537</v>
      </c>
      <c r="E220" s="21"/>
      <c r="F220" s="51" t="str">
        <f aca="false">IF(E220="","",D220-E220)</f>
        <v/>
      </c>
      <c r="G220" s="21" t="n">
        <v>651</v>
      </c>
      <c r="H220" s="21"/>
      <c r="I220" s="51" t="str">
        <f aca="false">IF(H220="","",G220-H220)</f>
        <v/>
      </c>
      <c r="J220" s="39" t="n">
        <f aca="false">IF(OR(D220="",D220+G220=0),"",D220/(D220+G220))</f>
        <v>0.452020202020202</v>
      </c>
      <c r="K220" s="39" t="str">
        <f aca="false">IF(E220="","",E220/(E220+H220))</f>
        <v/>
      </c>
      <c r="L220" s="52" t="str">
        <f aca="false">IF(OR(K220="",J220=""),"",(J220-K220)*100)</f>
        <v/>
      </c>
      <c r="M220" s="38" t="s">
        <v>691</v>
      </c>
    </row>
    <row r="221" customFormat="false" ht="15" hidden="false" customHeight="false" outlineLevel="0" collapsed="false">
      <c r="A221" s="38" t="s">
        <v>344</v>
      </c>
      <c r="B221" s="38" t="s">
        <v>351</v>
      </c>
      <c r="C221" s="38" t="s">
        <v>352</v>
      </c>
      <c r="D221" s="21" t="n">
        <v>683</v>
      </c>
      <c r="E221" s="21" t="n">
        <v>623</v>
      </c>
      <c r="F221" s="51" t="n">
        <f aca="false">IF(E221="","",D221-E221)</f>
        <v>60</v>
      </c>
      <c r="G221" s="21" t="n">
        <v>699</v>
      </c>
      <c r="H221" s="21" t="n">
        <v>726</v>
      </c>
      <c r="I221" s="51" t="n">
        <f aca="false">IF(H221="","",G221-H221)</f>
        <v>-27</v>
      </c>
      <c r="J221" s="39" t="n">
        <f aca="false">IF(OR(D221="",D221+G221=0),"",D221/(D221+G221))</f>
        <v>0.494211287988423</v>
      </c>
      <c r="K221" s="39" t="n">
        <f aca="false">IF(E221="","",E221/(E221+H221))</f>
        <v>0.46182357301705</v>
      </c>
      <c r="L221" s="52" t="n">
        <f aca="false">IF(OR(K221="",J221=""),"",(J221-K221)*100)</f>
        <v>3.23877149713729</v>
      </c>
      <c r="M221" s="38"/>
    </row>
    <row r="222" customFormat="false" ht="15" hidden="false" customHeight="false" outlineLevel="0" collapsed="false">
      <c r="A222" s="38" t="s">
        <v>344</v>
      </c>
      <c r="B222" s="38" t="s">
        <v>219</v>
      </c>
      <c r="C222" s="38" t="s">
        <v>353</v>
      </c>
      <c r="D222" s="21" t="n">
        <v>756</v>
      </c>
      <c r="E222" s="21" t="n">
        <v>775</v>
      </c>
      <c r="F222" s="51" t="n">
        <f aca="false">IF(E222="","",D222-E222)</f>
        <v>-19</v>
      </c>
      <c r="G222" s="21" t="n">
        <v>447</v>
      </c>
      <c r="H222" s="21" t="n">
        <v>447</v>
      </c>
      <c r="I222" s="51" t="n">
        <f aca="false">IF(H222="","",G222-H222)</f>
        <v>0</v>
      </c>
      <c r="J222" s="39" t="n">
        <f aca="false">IF(OR(D222="",D222+G222=0),"",D222/(D222+G222))</f>
        <v>0.628428927680798</v>
      </c>
      <c r="K222" s="39" t="n">
        <f aca="false">IF(E222="","",E222/(E222+H222))</f>
        <v>0.634206219312602</v>
      </c>
      <c r="L222" s="52" t="n">
        <f aca="false">IF(OR(K222="",J222=""),"",(J222-K222)*100)</f>
        <v>-0.577729163180418</v>
      </c>
      <c r="M222" s="38"/>
    </row>
    <row r="223" customFormat="false" ht="15" hidden="false" customHeight="false" outlineLevel="0" collapsed="false">
      <c r="A223" s="38" t="s">
        <v>344</v>
      </c>
      <c r="B223" s="38" t="s">
        <v>219</v>
      </c>
      <c r="C223" s="38" t="s">
        <v>354</v>
      </c>
      <c r="D223" s="21" t="n">
        <v>1072</v>
      </c>
      <c r="E223" s="21" t="n">
        <v>982</v>
      </c>
      <c r="F223" s="51" t="n">
        <f aca="false">IF(E223="","",D223-E223)</f>
        <v>90</v>
      </c>
      <c r="G223" s="21" t="n">
        <v>682</v>
      </c>
      <c r="H223" s="21" t="n">
        <v>684</v>
      </c>
      <c r="I223" s="51" t="n">
        <f aca="false">IF(H223="","",G223-H223)</f>
        <v>-2</v>
      </c>
      <c r="J223" s="39" t="n">
        <f aca="false">IF(OR(D223="",D223+G223=0),"",D223/(D223+G223))</f>
        <v>0.611174458380844</v>
      </c>
      <c r="K223" s="39" t="n">
        <f aca="false">IF(E223="","",E223/(E223+H223))</f>
        <v>0.589435774309724</v>
      </c>
      <c r="L223" s="52" t="n">
        <f aca="false">IF(OR(K223="",J223=""),"",(J223-K223)*100)</f>
        <v>2.17386840711199</v>
      </c>
      <c r="M223" s="38"/>
    </row>
    <row r="224" customFormat="false" ht="15" hidden="false" customHeight="false" outlineLevel="0" collapsed="false">
      <c r="A224" s="38" t="s">
        <v>344</v>
      </c>
      <c r="B224" s="38" t="s">
        <v>219</v>
      </c>
      <c r="C224" s="38" t="s">
        <v>355</v>
      </c>
      <c r="D224" s="21" t="n">
        <v>790</v>
      </c>
      <c r="E224" s="21" t="n">
        <v>750</v>
      </c>
      <c r="F224" s="51" t="n">
        <f aca="false">IF(E224="","",D224-E224)</f>
        <v>40</v>
      </c>
      <c r="G224" s="21" t="n">
        <v>402</v>
      </c>
      <c r="H224" s="21" t="n">
        <v>421</v>
      </c>
      <c r="I224" s="51" t="n">
        <f aca="false">IF(H224="","",G224-H224)</f>
        <v>-19</v>
      </c>
      <c r="J224" s="39" t="n">
        <f aca="false">IF(OR(D224="",D224+G224=0),"",D224/(D224+G224))</f>
        <v>0.662751677852349</v>
      </c>
      <c r="K224" s="39" t="n">
        <f aca="false">IF(E224="","",E224/(E224+H224))</f>
        <v>0.640478223740393</v>
      </c>
      <c r="L224" s="52" t="n">
        <f aca="false">IF(OR(K224="",J224=""),"",(J224-K224)*100)</f>
        <v>2.22734541119561</v>
      </c>
      <c r="M224" s="38"/>
    </row>
    <row r="225" customFormat="false" ht="15" hidden="false" customHeight="false" outlineLevel="0" collapsed="false">
      <c r="A225" s="38" t="s">
        <v>344</v>
      </c>
      <c r="B225" s="38" t="s">
        <v>219</v>
      </c>
      <c r="C225" s="38" t="s">
        <v>356</v>
      </c>
      <c r="D225" s="21" t="n">
        <v>616</v>
      </c>
      <c r="E225" s="21" t="n">
        <v>592</v>
      </c>
      <c r="F225" s="51" t="n">
        <f aca="false">IF(E225="","",D225-E225)</f>
        <v>24</v>
      </c>
      <c r="G225" s="21" t="n">
        <v>328</v>
      </c>
      <c r="H225" s="21" t="n">
        <v>337</v>
      </c>
      <c r="I225" s="51" t="n">
        <f aca="false">IF(H225="","",G225-H225)</f>
        <v>-9</v>
      </c>
      <c r="J225" s="39" t="n">
        <f aca="false">IF(OR(D225="",D225+G225=0),"",D225/(D225+G225))</f>
        <v>0.652542372881356</v>
      </c>
      <c r="K225" s="39" t="n">
        <f aca="false">IF(E225="","",E225/(E225+H225))</f>
        <v>0.63724434876211</v>
      </c>
      <c r="L225" s="52" t="n">
        <f aca="false">IF(OR(K225="",J225=""),"",(J225-K225)*100)</f>
        <v>1.52980241192462</v>
      </c>
      <c r="M225" s="38"/>
    </row>
    <row r="226" customFormat="false" ht="15" hidden="false" customHeight="false" outlineLevel="0" collapsed="false">
      <c r="A226" s="38" t="s">
        <v>344</v>
      </c>
      <c r="B226" s="38" t="s">
        <v>219</v>
      </c>
      <c r="C226" s="38" t="s">
        <v>357</v>
      </c>
      <c r="D226" s="21" t="n">
        <v>831</v>
      </c>
      <c r="E226" s="21" t="n">
        <v>740</v>
      </c>
      <c r="F226" s="51" t="n">
        <f aca="false">IF(E226="","",D226-E226)</f>
        <v>91</v>
      </c>
      <c r="G226" s="21" t="n">
        <v>489</v>
      </c>
      <c r="H226" s="21" t="n">
        <v>506</v>
      </c>
      <c r="I226" s="51" t="n">
        <f aca="false">IF(H226="","",G226-H226)</f>
        <v>-17</v>
      </c>
      <c r="J226" s="39" t="n">
        <f aca="false">IF(OR(D226="",D226+G226=0),"",D226/(D226+G226))</f>
        <v>0.629545454545455</v>
      </c>
      <c r="K226" s="39" t="n">
        <f aca="false">IF(E226="","",E226/(E226+H226))</f>
        <v>0.593900481540931</v>
      </c>
      <c r="L226" s="52" t="n">
        <f aca="false">IF(OR(K226="",J226=""),"",(J226-K226)*100)</f>
        <v>3.56449730045235</v>
      </c>
      <c r="M226" s="38"/>
    </row>
    <row r="227" customFormat="false" ht="15" hidden="false" customHeight="false" outlineLevel="0" collapsed="false">
      <c r="A227" s="38" t="s">
        <v>344</v>
      </c>
      <c r="B227" s="38" t="s">
        <v>219</v>
      </c>
      <c r="C227" s="38" t="s">
        <v>358</v>
      </c>
      <c r="D227" s="21" t="n">
        <v>1085</v>
      </c>
      <c r="E227" s="21" t="n">
        <v>1037</v>
      </c>
      <c r="F227" s="51" t="n">
        <f aca="false">IF(E227="","",D227-E227)</f>
        <v>48</v>
      </c>
      <c r="G227" s="21" t="n">
        <v>586</v>
      </c>
      <c r="H227" s="21" t="n">
        <v>623</v>
      </c>
      <c r="I227" s="51" t="n">
        <f aca="false">IF(H227="","",G227-H227)</f>
        <v>-37</v>
      </c>
      <c r="J227" s="39" t="n">
        <f aca="false">IF(OR(D227="",D227+G227=0),"",D227/(D227+G227))</f>
        <v>0.649311789347696</v>
      </c>
      <c r="K227" s="39" t="n">
        <f aca="false">IF(E227="","",E227/(E227+H227))</f>
        <v>0.624698795180723</v>
      </c>
      <c r="L227" s="52" t="n">
        <f aca="false">IF(OR(K227="",J227=""),"",(J227-K227)*100)</f>
        <v>2.4612994166973</v>
      </c>
      <c r="M227" s="38"/>
    </row>
    <row r="228" customFormat="false" ht="15" hidden="false" customHeight="false" outlineLevel="0" collapsed="false">
      <c r="A228" s="38" t="s">
        <v>344</v>
      </c>
      <c r="B228" s="38" t="s">
        <v>219</v>
      </c>
      <c r="C228" s="38" t="s">
        <v>359</v>
      </c>
      <c r="D228" s="21" t="n">
        <v>773</v>
      </c>
      <c r="E228" s="21" t="n">
        <v>681</v>
      </c>
      <c r="F228" s="51" t="n">
        <f aca="false">IF(E228="","",D228-E228)</f>
        <v>92</v>
      </c>
      <c r="G228" s="21" t="n">
        <v>510</v>
      </c>
      <c r="H228" s="21" t="n">
        <v>513</v>
      </c>
      <c r="I228" s="51" t="n">
        <f aca="false">IF(H228="","",G228-H228)</f>
        <v>-3</v>
      </c>
      <c r="J228" s="39" t="n">
        <f aca="false">IF(OR(D228="",D228+G228=0),"",D228/(D228+G228))</f>
        <v>0.602494154325799</v>
      </c>
      <c r="K228" s="39" t="n">
        <f aca="false">IF(E228="","",E228/(E228+H228))</f>
        <v>0.57035175879397</v>
      </c>
      <c r="L228" s="52" t="n">
        <f aca="false">IF(OR(K228="",J228=""),"",(J228-K228)*100)</f>
        <v>3.21423955318291</v>
      </c>
      <c r="M228" s="38"/>
    </row>
    <row r="229" customFormat="false" ht="15" hidden="false" customHeight="false" outlineLevel="0" collapsed="false">
      <c r="A229" s="38" t="s">
        <v>344</v>
      </c>
      <c r="B229" s="38" t="s">
        <v>219</v>
      </c>
      <c r="C229" s="38" t="s">
        <v>360</v>
      </c>
      <c r="D229" s="21" t="n">
        <v>578</v>
      </c>
      <c r="E229" s="21" t="n">
        <v>529</v>
      </c>
      <c r="F229" s="51" t="n">
        <f aca="false">IF(E229="","",D229-E229)</f>
        <v>49</v>
      </c>
      <c r="G229" s="21" t="n">
        <v>318</v>
      </c>
      <c r="H229" s="21" t="n">
        <v>293</v>
      </c>
      <c r="I229" s="51" t="n">
        <f aca="false">IF(H229="","",G229-H229)</f>
        <v>25</v>
      </c>
      <c r="J229" s="39" t="n">
        <f aca="false">IF(OR(D229="",D229+G229=0),"",D229/(D229+G229))</f>
        <v>0.645089285714286</v>
      </c>
      <c r="K229" s="39" t="n">
        <f aca="false">IF(E229="","",E229/(E229+H229))</f>
        <v>0.643552311435523</v>
      </c>
      <c r="L229" s="52" t="n">
        <f aca="false">IF(OR(K229="",J229=""),"",(J229-K229)*100)</f>
        <v>0.153697427876254</v>
      </c>
      <c r="M229" s="38"/>
    </row>
    <row r="230" customFormat="false" ht="15" hidden="false" customHeight="false" outlineLevel="0" collapsed="false">
      <c r="A230" s="38" t="s">
        <v>344</v>
      </c>
      <c r="B230" s="38" t="s">
        <v>219</v>
      </c>
      <c r="C230" s="38" t="s">
        <v>361</v>
      </c>
      <c r="D230" s="21" t="n">
        <v>742</v>
      </c>
      <c r="E230" s="21" t="n">
        <v>767</v>
      </c>
      <c r="F230" s="51" t="n">
        <f aca="false">IF(E230="","",D230-E230)</f>
        <v>-25</v>
      </c>
      <c r="G230" s="21" t="n">
        <v>336</v>
      </c>
      <c r="H230" s="21" t="n">
        <v>384</v>
      </c>
      <c r="I230" s="51" t="n">
        <f aca="false">IF(H230="","",G230-H230)</f>
        <v>-48</v>
      </c>
      <c r="J230" s="39" t="n">
        <f aca="false">IF(OR(D230="",D230+G230=0),"",D230/(D230+G230))</f>
        <v>0.688311688311688</v>
      </c>
      <c r="K230" s="39" t="n">
        <f aca="false">IF(E230="","",E230/(E230+H230))</f>
        <v>0.66637706342311</v>
      </c>
      <c r="L230" s="52" t="n">
        <f aca="false">IF(OR(K230="",J230=""),"",(J230-K230)*100)</f>
        <v>2.1934624888578</v>
      </c>
      <c r="M230" s="38"/>
    </row>
    <row r="231" customFormat="false" ht="15" hidden="false" customHeight="false" outlineLevel="0" collapsed="false">
      <c r="A231" s="38" t="s">
        <v>344</v>
      </c>
      <c r="B231" s="38" t="s">
        <v>219</v>
      </c>
      <c r="C231" s="38" t="s">
        <v>362</v>
      </c>
      <c r="D231" s="21" t="n">
        <v>953</v>
      </c>
      <c r="E231" s="21" t="n">
        <v>906</v>
      </c>
      <c r="F231" s="51" t="n">
        <f aca="false">IF(E231="","",D231-E231)</f>
        <v>47</v>
      </c>
      <c r="G231" s="21" t="n">
        <v>528</v>
      </c>
      <c r="H231" s="21" t="n">
        <v>586</v>
      </c>
      <c r="I231" s="51" t="n">
        <f aca="false">IF(H231="","",G231-H231)</f>
        <v>-58</v>
      </c>
      <c r="J231" s="39" t="n">
        <f aca="false">IF(OR(D231="",D231+G231=0),"",D231/(D231+G231))</f>
        <v>0.643484132343012</v>
      </c>
      <c r="K231" s="39" t="n">
        <f aca="false">IF(E231="","",E231/(E231+H231))</f>
        <v>0.607238605898123</v>
      </c>
      <c r="L231" s="52" t="n">
        <f aca="false">IF(OR(K231="",J231=""),"",(J231-K231)*100)</f>
        <v>3.62455264448882</v>
      </c>
      <c r="M231" s="38"/>
    </row>
    <row r="232" customFormat="false" ht="15" hidden="false" customHeight="false" outlineLevel="0" collapsed="false">
      <c r="A232" s="38" t="s">
        <v>344</v>
      </c>
      <c r="B232" s="38" t="s">
        <v>219</v>
      </c>
      <c r="C232" s="38" t="s">
        <v>363</v>
      </c>
      <c r="D232" s="21" t="n">
        <v>788</v>
      </c>
      <c r="E232" s="21" t="n">
        <v>954</v>
      </c>
      <c r="F232" s="51" t="n">
        <f aca="false">IF(E232="","",D232-E232)</f>
        <v>-166</v>
      </c>
      <c r="G232" s="21" t="n">
        <v>314</v>
      </c>
      <c r="H232" s="21" t="n">
        <v>416</v>
      </c>
      <c r="I232" s="51" t="n">
        <f aca="false">IF(H232="","",G232-H232)</f>
        <v>-102</v>
      </c>
      <c r="J232" s="39" t="n">
        <f aca="false">IF(OR(D232="",D232+G232=0),"",D232/(D232+G232))</f>
        <v>0.715063520871143</v>
      </c>
      <c r="K232" s="39" t="n">
        <f aca="false">IF(E232="","",E232/(E232+H232))</f>
        <v>0.696350364963504</v>
      </c>
      <c r="L232" s="52" t="n">
        <f aca="false">IF(OR(K232="",J232=""),"",(J232-K232)*100)</f>
        <v>1.87131559076397</v>
      </c>
      <c r="M232" s="38"/>
    </row>
    <row r="233" customFormat="false" ht="15" hidden="false" customHeight="false" outlineLevel="0" collapsed="false">
      <c r="A233" s="38" t="s">
        <v>344</v>
      </c>
      <c r="B233" s="38" t="s">
        <v>219</v>
      </c>
      <c r="C233" s="38" t="s">
        <v>364</v>
      </c>
      <c r="D233" s="21" t="n">
        <v>750</v>
      </c>
      <c r="E233" s="21" t="n">
        <v>821</v>
      </c>
      <c r="F233" s="51" t="n">
        <f aca="false">IF(E233="","",D233-E233)</f>
        <v>-71</v>
      </c>
      <c r="G233" s="21" t="n">
        <v>425</v>
      </c>
      <c r="H233" s="21" t="n">
        <v>474</v>
      </c>
      <c r="I233" s="51" t="n">
        <f aca="false">IF(H233="","",G233-H233)</f>
        <v>-49</v>
      </c>
      <c r="J233" s="39" t="n">
        <f aca="false">IF(OR(D233="",D233+G233=0),"",D233/(D233+G233))</f>
        <v>0.638297872340426</v>
      </c>
      <c r="K233" s="39" t="n">
        <f aca="false">IF(E233="","",E233/(E233+H233))</f>
        <v>0.633976833976834</v>
      </c>
      <c r="L233" s="52" t="n">
        <f aca="false">IF(OR(K233="",J233=""),"",(J233-K233)*100)</f>
        <v>0.432103836359155</v>
      </c>
      <c r="M233" s="38"/>
    </row>
    <row r="234" customFormat="false" ht="15" hidden="false" customHeight="false" outlineLevel="0" collapsed="false">
      <c r="A234" s="38" t="s">
        <v>344</v>
      </c>
      <c r="B234" s="38" t="s">
        <v>219</v>
      </c>
      <c r="C234" s="38" t="s">
        <v>365</v>
      </c>
      <c r="D234" s="21" t="n">
        <v>262</v>
      </c>
      <c r="E234" s="21" t="n">
        <v>283</v>
      </c>
      <c r="F234" s="51" t="n">
        <f aca="false">IF(E234="","",D234-E234)</f>
        <v>-21</v>
      </c>
      <c r="G234" s="21" t="n">
        <v>83</v>
      </c>
      <c r="H234" s="21" t="n">
        <v>110</v>
      </c>
      <c r="I234" s="51" t="n">
        <f aca="false">IF(H234="","",G234-H234)</f>
        <v>-27</v>
      </c>
      <c r="J234" s="39" t="n">
        <f aca="false">IF(OR(D234="",D234+G234=0),"",D234/(D234+G234))</f>
        <v>0.759420289855073</v>
      </c>
      <c r="K234" s="39" t="n">
        <f aca="false">IF(E234="","",E234/(E234+H234))</f>
        <v>0.720101781170484</v>
      </c>
      <c r="L234" s="52" t="n">
        <f aca="false">IF(OR(K234="",J234=""),"",(J234-K234)*100)</f>
        <v>3.9318508684589</v>
      </c>
      <c r="M234" s="38"/>
    </row>
    <row r="235" customFormat="false" ht="15" hidden="false" customHeight="false" outlineLevel="0" collapsed="false">
      <c r="A235" s="38" t="s">
        <v>344</v>
      </c>
      <c r="B235" s="38" t="s">
        <v>219</v>
      </c>
      <c r="C235" s="38" t="s">
        <v>366</v>
      </c>
      <c r="D235" s="21" t="n">
        <v>440</v>
      </c>
      <c r="E235" s="21" t="n">
        <v>450</v>
      </c>
      <c r="F235" s="51" t="n">
        <f aca="false">IF(E235="","",D235-E235)</f>
        <v>-10</v>
      </c>
      <c r="G235" s="21" t="n">
        <v>139</v>
      </c>
      <c r="H235" s="21" t="n">
        <v>179</v>
      </c>
      <c r="I235" s="51" t="n">
        <f aca="false">IF(H235="","",G235-H235)</f>
        <v>-40</v>
      </c>
      <c r="J235" s="39" t="n">
        <f aca="false">IF(OR(D235="",D235+G235=0),"",D235/(D235+G235))</f>
        <v>0.75993091537133</v>
      </c>
      <c r="K235" s="39" t="n">
        <f aca="false">IF(E235="","",E235/(E235+H235))</f>
        <v>0.715421303656598</v>
      </c>
      <c r="L235" s="52" t="n">
        <f aca="false">IF(OR(K235="",J235=""),"",(J235-K235)*100)</f>
        <v>4.45096117147321</v>
      </c>
      <c r="M235" s="38"/>
    </row>
    <row r="236" customFormat="false" ht="15" hidden="false" customHeight="false" outlineLevel="0" collapsed="false">
      <c r="A236" s="38" t="s">
        <v>344</v>
      </c>
      <c r="B236" s="38" t="s">
        <v>219</v>
      </c>
      <c r="C236" s="38" t="s">
        <v>367</v>
      </c>
      <c r="D236" s="21" t="n">
        <v>443</v>
      </c>
      <c r="E236" s="21" t="n">
        <v>442</v>
      </c>
      <c r="F236" s="51" t="n">
        <f aca="false">IF(E236="","",D236-E236)</f>
        <v>1</v>
      </c>
      <c r="G236" s="21" t="n">
        <v>151</v>
      </c>
      <c r="H236" s="21" t="n">
        <v>161</v>
      </c>
      <c r="I236" s="51" t="n">
        <f aca="false">IF(H236="","",G236-H236)</f>
        <v>-10</v>
      </c>
      <c r="J236" s="39" t="n">
        <f aca="false">IF(OR(D236="",D236+G236=0),"",D236/(D236+G236))</f>
        <v>0.745791245791246</v>
      </c>
      <c r="K236" s="39" t="n">
        <f aca="false">IF(E236="","",E236/(E236+H236))</f>
        <v>0.733001658374793</v>
      </c>
      <c r="L236" s="52" t="n">
        <f aca="false">IF(OR(K236="",J236=""),"",(J236-K236)*100)</f>
        <v>1.27895874164531</v>
      </c>
      <c r="M236" s="38"/>
    </row>
    <row r="237" customFormat="false" ht="15" hidden="false" customHeight="false" outlineLevel="0" collapsed="false">
      <c r="A237" s="38" t="s">
        <v>344</v>
      </c>
      <c r="B237" s="38" t="s">
        <v>219</v>
      </c>
      <c r="C237" s="38" t="s">
        <v>368</v>
      </c>
      <c r="D237" s="21" t="n">
        <v>596</v>
      </c>
      <c r="E237" s="21" t="n">
        <v>599</v>
      </c>
      <c r="F237" s="51" t="n">
        <f aca="false">IF(E237="","",D237-E237)</f>
        <v>-3</v>
      </c>
      <c r="G237" s="21" t="n">
        <v>179</v>
      </c>
      <c r="H237" s="21" t="n">
        <v>203</v>
      </c>
      <c r="I237" s="51" t="n">
        <f aca="false">IF(H237="","",G237-H237)</f>
        <v>-24</v>
      </c>
      <c r="J237" s="39" t="n">
        <f aca="false">IF(OR(D237="",D237+G237=0),"",D237/(D237+G237))</f>
        <v>0.769032258064516</v>
      </c>
      <c r="K237" s="39" t="n">
        <f aca="false">IF(E237="","",E237/(E237+H237))</f>
        <v>0.746882793017456</v>
      </c>
      <c r="L237" s="52" t="n">
        <f aca="false">IF(OR(K237="",J237=""),"",(J237-K237)*100)</f>
        <v>2.21494650470597</v>
      </c>
      <c r="M237" s="38"/>
    </row>
    <row r="238" customFormat="false" ht="15" hidden="false" customHeight="false" outlineLevel="0" collapsed="false">
      <c r="A238" s="38" t="s">
        <v>344</v>
      </c>
      <c r="B238" s="38" t="s">
        <v>219</v>
      </c>
      <c r="C238" s="38" t="s">
        <v>369</v>
      </c>
      <c r="D238" s="21" t="n">
        <v>708</v>
      </c>
      <c r="E238" s="21" t="n">
        <v>1506</v>
      </c>
      <c r="F238" s="51" t="n">
        <f aca="false">IF(E238="","",D238-E238)</f>
        <v>-798</v>
      </c>
      <c r="G238" s="21" t="n">
        <v>196</v>
      </c>
      <c r="H238" s="21" t="n">
        <v>338</v>
      </c>
      <c r="I238" s="51" t="n">
        <f aca="false">IF(H238="","",G238-H238)</f>
        <v>-142</v>
      </c>
      <c r="J238" s="39" t="n">
        <f aca="false">IF(OR(D238="",D238+G238=0),"",D238/(D238+G238))</f>
        <v>0.783185840707965</v>
      </c>
      <c r="K238" s="39" t="n">
        <f aca="false">IF(E238="","",E238/(E238+H238))</f>
        <v>0.816702819956616</v>
      </c>
      <c r="L238" s="52" t="n">
        <f aca="false">IF(OR(K238="",J238=""),"",(J238-K238)*100)</f>
        <v>-3.35169792486515</v>
      </c>
      <c r="M238" s="38"/>
    </row>
    <row r="239" customFormat="false" ht="15" hidden="false" customHeight="false" outlineLevel="0" collapsed="false">
      <c r="A239" s="38" t="s">
        <v>344</v>
      </c>
      <c r="B239" s="38" t="s">
        <v>219</v>
      </c>
      <c r="C239" s="38" t="s">
        <v>370</v>
      </c>
      <c r="D239" s="21" t="n">
        <v>639</v>
      </c>
      <c r="E239" s="21" t="n">
        <v>645</v>
      </c>
      <c r="F239" s="51" t="n">
        <f aca="false">IF(E239="","",D239-E239)</f>
        <v>-6</v>
      </c>
      <c r="G239" s="21" t="n">
        <v>201</v>
      </c>
      <c r="H239" s="21" t="n">
        <v>243</v>
      </c>
      <c r="I239" s="51" t="n">
        <f aca="false">IF(H239="","",G239-H239)</f>
        <v>-42</v>
      </c>
      <c r="J239" s="39" t="n">
        <f aca="false">IF(OR(D239="",D239+G239=0),"",D239/(D239+G239))</f>
        <v>0.760714285714286</v>
      </c>
      <c r="K239" s="39" t="n">
        <f aca="false">IF(E239="","",E239/(E239+H239))</f>
        <v>0.726351351351351</v>
      </c>
      <c r="L239" s="52" t="n">
        <f aca="false">IF(OR(K239="",J239=""),"",(J239-K239)*100)</f>
        <v>3.43629343629344</v>
      </c>
      <c r="M239" s="38"/>
    </row>
    <row r="240" customFormat="false" ht="15" hidden="false" customHeight="false" outlineLevel="0" collapsed="false">
      <c r="A240" s="38" t="s">
        <v>344</v>
      </c>
      <c r="B240" s="38" t="s">
        <v>219</v>
      </c>
      <c r="C240" s="38" t="s">
        <v>371</v>
      </c>
      <c r="D240" s="21" t="n">
        <v>621</v>
      </c>
      <c r="E240" s="21" t="n">
        <v>628</v>
      </c>
      <c r="F240" s="51" t="n">
        <f aca="false">IF(E240="","",D240-E240)</f>
        <v>-7</v>
      </c>
      <c r="G240" s="21" t="n">
        <v>197</v>
      </c>
      <c r="H240" s="21" t="n">
        <v>267</v>
      </c>
      <c r="I240" s="51" t="n">
        <f aca="false">IF(H240="","",G240-H240)</f>
        <v>-70</v>
      </c>
      <c r="J240" s="39" t="n">
        <f aca="false">IF(OR(D240="",D240+G240=0),"",D240/(D240+G240))</f>
        <v>0.759168704156479</v>
      </c>
      <c r="K240" s="39" t="n">
        <f aca="false">IF(E240="","",E240/(E240+H240))</f>
        <v>0.701675977653631</v>
      </c>
      <c r="L240" s="52" t="n">
        <f aca="false">IF(OR(K240="",J240=""),"",(J240-K240)*100)</f>
        <v>5.74927265028479</v>
      </c>
      <c r="M240" s="38"/>
    </row>
    <row r="241" customFormat="false" ht="15" hidden="false" customHeight="false" outlineLevel="0" collapsed="false">
      <c r="A241" s="38" t="s">
        <v>344</v>
      </c>
      <c r="B241" s="38" t="s">
        <v>219</v>
      </c>
      <c r="C241" s="38" t="s">
        <v>372</v>
      </c>
      <c r="D241" s="21" t="n">
        <v>452</v>
      </c>
      <c r="E241" s="21" t="n">
        <v>473</v>
      </c>
      <c r="F241" s="51" t="n">
        <f aca="false">IF(E241="","",D241-E241)</f>
        <v>-21</v>
      </c>
      <c r="G241" s="21" t="n">
        <v>178</v>
      </c>
      <c r="H241" s="21" t="n">
        <v>153</v>
      </c>
      <c r="I241" s="51" t="n">
        <f aca="false">IF(H241="","",G241-H241)</f>
        <v>25</v>
      </c>
      <c r="J241" s="39" t="n">
        <f aca="false">IF(OR(D241="",D241+G241=0),"",D241/(D241+G241))</f>
        <v>0.717460317460318</v>
      </c>
      <c r="K241" s="39" t="n">
        <f aca="false">IF(E241="","",E241/(E241+H241))</f>
        <v>0.755591054313099</v>
      </c>
      <c r="L241" s="52" t="n">
        <f aca="false">IF(OR(K241="",J241=""),"",(J241-K241)*100)</f>
        <v>-3.81307368527816</v>
      </c>
      <c r="M241" s="38"/>
    </row>
    <row r="242" customFormat="false" ht="15" hidden="false" customHeight="false" outlineLevel="0" collapsed="false">
      <c r="A242" s="38" t="s">
        <v>344</v>
      </c>
      <c r="B242" s="38" t="s">
        <v>219</v>
      </c>
      <c r="C242" s="38" t="s">
        <v>373</v>
      </c>
      <c r="D242" s="21" t="n">
        <v>717</v>
      </c>
      <c r="E242" s="21" t="n">
        <v>745</v>
      </c>
      <c r="F242" s="51" t="n">
        <f aca="false">IF(E242="","",D242-E242)</f>
        <v>-28</v>
      </c>
      <c r="G242" s="21" t="n">
        <v>255</v>
      </c>
      <c r="H242" s="21" t="n">
        <v>301</v>
      </c>
      <c r="I242" s="51" t="n">
        <f aca="false">IF(H242="","",G242-H242)</f>
        <v>-46</v>
      </c>
      <c r="J242" s="39" t="n">
        <f aca="false">IF(OR(D242="",D242+G242=0),"",D242/(D242+G242))</f>
        <v>0.737654320987654</v>
      </c>
      <c r="K242" s="39" t="n">
        <f aca="false">IF(E242="","",E242/(E242+H242))</f>
        <v>0.712237093690249</v>
      </c>
      <c r="L242" s="52" t="n">
        <f aca="false">IF(OR(K242="",J242=""),"",(J242-K242)*100)</f>
        <v>2.54172272974057</v>
      </c>
      <c r="M242" s="38"/>
    </row>
    <row r="243" customFormat="false" ht="15" hidden="false" customHeight="false" outlineLevel="0" collapsed="false">
      <c r="A243" s="38" t="s">
        <v>344</v>
      </c>
      <c r="B243" s="38" t="s">
        <v>219</v>
      </c>
      <c r="C243" s="38" t="s">
        <v>374</v>
      </c>
      <c r="D243" s="21" t="n">
        <v>629</v>
      </c>
      <c r="E243" s="21" t="n">
        <v>682</v>
      </c>
      <c r="F243" s="51" t="n">
        <f aca="false">IF(E243="","",D243-E243)</f>
        <v>-53</v>
      </c>
      <c r="G243" s="21" t="n">
        <v>259</v>
      </c>
      <c r="H243" s="21" t="n">
        <v>313</v>
      </c>
      <c r="I243" s="51" t="n">
        <f aca="false">IF(H243="","",G243-H243)</f>
        <v>-54</v>
      </c>
      <c r="J243" s="39" t="n">
        <f aca="false">IF(OR(D243="",D243+G243=0),"",D243/(D243+G243))</f>
        <v>0.708333333333333</v>
      </c>
      <c r="K243" s="39" t="n">
        <f aca="false">IF(E243="","",E243/(E243+H243))</f>
        <v>0.685427135678392</v>
      </c>
      <c r="L243" s="52" t="n">
        <f aca="false">IF(OR(K243="",J243=""),"",(J243-K243)*100)</f>
        <v>2.29061976549414</v>
      </c>
      <c r="M243" s="38"/>
    </row>
    <row r="244" customFormat="false" ht="15" hidden="false" customHeight="false" outlineLevel="0" collapsed="false">
      <c r="A244" s="38" t="s">
        <v>344</v>
      </c>
      <c r="B244" s="38" t="s">
        <v>219</v>
      </c>
      <c r="C244" s="38" t="s">
        <v>375</v>
      </c>
      <c r="D244" s="21" t="n">
        <v>725</v>
      </c>
      <c r="E244" s="21" t="n">
        <v>711</v>
      </c>
      <c r="F244" s="51" t="n">
        <f aca="false">IF(E244="","",D244-E244)</f>
        <v>14</v>
      </c>
      <c r="G244" s="21" t="n">
        <v>299</v>
      </c>
      <c r="H244" s="21" t="n">
        <v>341</v>
      </c>
      <c r="I244" s="51" t="n">
        <f aca="false">IF(H244="","",G244-H244)</f>
        <v>-42</v>
      </c>
      <c r="J244" s="39" t="n">
        <f aca="false">IF(OR(D244="",D244+G244=0),"",D244/(D244+G244))</f>
        <v>0.7080078125</v>
      </c>
      <c r="K244" s="39" t="n">
        <f aca="false">IF(E244="","",E244/(E244+H244))</f>
        <v>0.675855513307985</v>
      </c>
      <c r="L244" s="52" t="n">
        <f aca="false">IF(OR(K244="",J244=""),"",(J244-K244)*100)</f>
        <v>3.21522991920152</v>
      </c>
      <c r="M244" s="38"/>
    </row>
    <row r="245" customFormat="false" ht="15" hidden="false" customHeight="false" outlineLevel="0" collapsed="false">
      <c r="A245" s="38" t="s">
        <v>344</v>
      </c>
      <c r="B245" s="38" t="s">
        <v>219</v>
      </c>
      <c r="C245" s="38" t="s">
        <v>376</v>
      </c>
      <c r="D245" s="21" t="n">
        <v>586</v>
      </c>
      <c r="E245" s="21"/>
      <c r="F245" s="51" t="str">
        <f aca="false">IF(E245="","",D245-E245)</f>
        <v/>
      </c>
      <c r="G245" s="21" t="n">
        <v>302</v>
      </c>
      <c r="H245" s="21"/>
      <c r="I245" s="51" t="str">
        <f aca="false">IF(H245="","",G245-H245)</f>
        <v/>
      </c>
      <c r="J245" s="39" t="n">
        <f aca="false">IF(OR(D245="",D245+G245=0),"",D245/(D245+G245))</f>
        <v>0.65990990990991</v>
      </c>
      <c r="K245" s="39" t="str">
        <f aca="false">IF(E245="","",E245/(E245+H245))</f>
        <v/>
      </c>
      <c r="L245" s="52" t="str">
        <f aca="false">IF(OR(K245="",J245=""),"",(J245-K245)*100)</f>
        <v/>
      </c>
      <c r="M245" s="38" t="s">
        <v>691</v>
      </c>
    </row>
    <row r="246" customFormat="false" ht="15" hidden="false" customHeight="false" outlineLevel="0" collapsed="false">
      <c r="A246" s="38" t="s">
        <v>344</v>
      </c>
      <c r="B246" s="38" t="s">
        <v>377</v>
      </c>
      <c r="C246" s="38" t="s">
        <v>378</v>
      </c>
      <c r="D246" s="21" t="n">
        <v>520</v>
      </c>
      <c r="E246" s="21" t="n">
        <v>466</v>
      </c>
      <c r="F246" s="51" t="n">
        <f aca="false">IF(E246="","",D246-E246)</f>
        <v>54</v>
      </c>
      <c r="G246" s="21" t="n">
        <v>426</v>
      </c>
      <c r="H246" s="21" t="n">
        <v>405</v>
      </c>
      <c r="I246" s="51" t="n">
        <f aca="false">IF(H246="","",G246-H246)</f>
        <v>21</v>
      </c>
      <c r="J246" s="39" t="n">
        <f aca="false">IF(OR(D246="",D246+G246=0),"",D246/(D246+G246))</f>
        <v>0.549682875264271</v>
      </c>
      <c r="K246" s="39" t="n">
        <f aca="false">IF(E246="","",E246/(E246+H246))</f>
        <v>0.535017221584386</v>
      </c>
      <c r="L246" s="52" t="n">
        <f aca="false">IF(OR(K246="",J246=""),"",(J246-K246)*100)</f>
        <v>1.46656536798848</v>
      </c>
      <c r="M246" s="38"/>
    </row>
    <row r="247" customFormat="false" ht="15" hidden="false" customHeight="false" outlineLevel="0" collapsed="false">
      <c r="A247" s="38" t="s">
        <v>344</v>
      </c>
      <c r="B247" s="38" t="s">
        <v>377</v>
      </c>
      <c r="C247" s="38" t="s">
        <v>379</v>
      </c>
      <c r="D247" s="21" t="n">
        <v>638</v>
      </c>
      <c r="E247" s="21" t="n">
        <v>552</v>
      </c>
      <c r="F247" s="51" t="n">
        <f aca="false">IF(E247="","",D247-E247)</f>
        <v>86</v>
      </c>
      <c r="G247" s="21" t="n">
        <v>527</v>
      </c>
      <c r="H247" s="21" t="n">
        <v>506</v>
      </c>
      <c r="I247" s="51" t="n">
        <f aca="false">IF(H247="","",G247-H247)</f>
        <v>21</v>
      </c>
      <c r="J247" s="39" t="n">
        <f aca="false">IF(OR(D247="",D247+G247=0),"",D247/(D247+G247))</f>
        <v>0.547639484978541</v>
      </c>
      <c r="K247" s="39" t="n">
        <f aca="false">IF(E247="","",E247/(E247+H247))</f>
        <v>0.521739130434783</v>
      </c>
      <c r="L247" s="52" t="n">
        <f aca="false">IF(OR(K247="",J247=""),"",(J247-K247)*100)</f>
        <v>2.59003545437582</v>
      </c>
      <c r="M247" s="38"/>
    </row>
    <row r="248" customFormat="false" ht="15" hidden="false" customHeight="false" outlineLevel="0" collapsed="false">
      <c r="A248" s="38" t="s">
        <v>344</v>
      </c>
      <c r="B248" s="38" t="s">
        <v>377</v>
      </c>
      <c r="C248" s="38" t="s">
        <v>380</v>
      </c>
      <c r="D248" s="21" t="n">
        <v>676</v>
      </c>
      <c r="E248" s="21" t="n">
        <v>722</v>
      </c>
      <c r="F248" s="51" t="n">
        <f aca="false">IF(E248="","",D248-E248)</f>
        <v>-46</v>
      </c>
      <c r="G248" s="21" t="n">
        <v>516</v>
      </c>
      <c r="H248" s="21" t="n">
        <v>596</v>
      </c>
      <c r="I248" s="51" t="n">
        <f aca="false">IF(H248="","",G248-H248)</f>
        <v>-80</v>
      </c>
      <c r="J248" s="39" t="n">
        <f aca="false">IF(OR(D248="",D248+G248=0),"",D248/(D248+G248))</f>
        <v>0.567114093959732</v>
      </c>
      <c r="K248" s="39" t="n">
        <f aca="false">IF(E248="","",E248/(E248+H248))</f>
        <v>0.547799696509863</v>
      </c>
      <c r="L248" s="52" t="n">
        <f aca="false">IF(OR(K248="",J248=""),"",(J248-K248)*100)</f>
        <v>1.93143974498682</v>
      </c>
      <c r="M248" s="38"/>
    </row>
    <row r="249" customFormat="false" ht="15" hidden="false" customHeight="false" outlineLevel="0" collapsed="false">
      <c r="A249" s="38" t="s">
        <v>344</v>
      </c>
      <c r="B249" s="38" t="s">
        <v>377</v>
      </c>
      <c r="C249" s="38" t="s">
        <v>381</v>
      </c>
      <c r="D249" s="21" t="n">
        <v>334</v>
      </c>
      <c r="E249" s="21" t="n">
        <v>339</v>
      </c>
      <c r="F249" s="51" t="n">
        <f aca="false">IF(E249="","",D249-E249)</f>
        <v>-5</v>
      </c>
      <c r="G249" s="21" t="n">
        <v>313</v>
      </c>
      <c r="H249" s="21" t="n">
        <v>338</v>
      </c>
      <c r="I249" s="51" t="n">
        <f aca="false">IF(H249="","",G249-H249)</f>
        <v>-25</v>
      </c>
      <c r="J249" s="39" t="n">
        <f aca="false">IF(OR(D249="",D249+G249=0),"",D249/(D249+G249))</f>
        <v>0.516228748068006</v>
      </c>
      <c r="K249" s="39" t="n">
        <f aca="false">IF(E249="","",E249/(E249+H249))</f>
        <v>0.500738552437223</v>
      </c>
      <c r="L249" s="52" t="n">
        <f aca="false">IF(OR(K249="",J249=""),"",(J249-K249)*100)</f>
        <v>1.54901956307831</v>
      </c>
      <c r="M249" s="38"/>
    </row>
    <row r="250" customFormat="false" ht="15" hidden="false" customHeight="false" outlineLevel="0" collapsed="false">
      <c r="A250" s="38" t="s">
        <v>344</v>
      </c>
      <c r="B250" s="38" t="s">
        <v>377</v>
      </c>
      <c r="C250" s="38" t="s">
        <v>382</v>
      </c>
      <c r="D250" s="21" t="n">
        <v>626</v>
      </c>
      <c r="E250" s="21" t="n">
        <v>579</v>
      </c>
      <c r="F250" s="51" t="n">
        <f aca="false">IF(E250="","",D250-E250)</f>
        <v>47</v>
      </c>
      <c r="G250" s="21" t="n">
        <v>454</v>
      </c>
      <c r="H250" s="21" t="n">
        <v>482</v>
      </c>
      <c r="I250" s="51" t="n">
        <f aca="false">IF(H250="","",G250-H250)</f>
        <v>-28</v>
      </c>
      <c r="J250" s="39" t="n">
        <f aca="false">IF(OR(D250="",D250+G250=0),"",D250/(D250+G250))</f>
        <v>0.57962962962963</v>
      </c>
      <c r="K250" s="39" t="n">
        <f aca="false">IF(E250="","",E250/(E250+H250))</f>
        <v>0.545711592836946</v>
      </c>
      <c r="L250" s="52" t="n">
        <f aca="false">IF(OR(K250="",J250=""),"",(J250-K250)*100)</f>
        <v>3.39180367926834</v>
      </c>
      <c r="M250" s="38"/>
    </row>
    <row r="251" customFormat="false" ht="15" hidden="false" customHeight="false" outlineLevel="0" collapsed="false">
      <c r="A251" s="38" t="s">
        <v>344</v>
      </c>
      <c r="B251" s="38" t="s">
        <v>377</v>
      </c>
      <c r="C251" s="38" t="s">
        <v>383</v>
      </c>
      <c r="D251" s="21" t="n">
        <v>616</v>
      </c>
      <c r="E251" s="21" t="n">
        <v>562</v>
      </c>
      <c r="F251" s="51" t="n">
        <f aca="false">IF(E251="","",D251-E251)</f>
        <v>54</v>
      </c>
      <c r="G251" s="21" t="n">
        <v>485</v>
      </c>
      <c r="H251" s="21" t="n">
        <v>525</v>
      </c>
      <c r="I251" s="51" t="n">
        <f aca="false">IF(H251="","",G251-H251)</f>
        <v>-40</v>
      </c>
      <c r="J251" s="39" t="n">
        <f aca="false">IF(OR(D251="",D251+G251=0),"",D251/(D251+G251))</f>
        <v>0.559491371480472</v>
      </c>
      <c r="K251" s="39" t="n">
        <f aca="false">IF(E251="","",E251/(E251+H251))</f>
        <v>0.517019319227231</v>
      </c>
      <c r="L251" s="52" t="n">
        <f aca="false">IF(OR(K251="",J251=""),"",(J251-K251)*100)</f>
        <v>4.24720522532415</v>
      </c>
      <c r="M251" s="38"/>
    </row>
    <row r="252" customFormat="false" ht="15" hidden="false" customHeight="false" outlineLevel="0" collapsed="false">
      <c r="A252" s="38" t="s">
        <v>344</v>
      </c>
      <c r="B252" s="38" t="s">
        <v>377</v>
      </c>
      <c r="C252" s="38" t="s">
        <v>384</v>
      </c>
      <c r="D252" s="21" t="n">
        <v>380</v>
      </c>
      <c r="E252" s="21" t="n">
        <v>337</v>
      </c>
      <c r="F252" s="51" t="n">
        <f aca="false">IF(E252="","",D252-E252)</f>
        <v>43</v>
      </c>
      <c r="G252" s="21" t="n">
        <v>281</v>
      </c>
      <c r="H252" s="21" t="n">
        <v>296</v>
      </c>
      <c r="I252" s="51" t="n">
        <f aca="false">IF(H252="","",G252-H252)</f>
        <v>-15</v>
      </c>
      <c r="J252" s="39" t="n">
        <f aca="false">IF(OR(D252="",D252+G252=0),"",D252/(D252+G252))</f>
        <v>0.574886535552194</v>
      </c>
      <c r="K252" s="39" t="n">
        <f aca="false">IF(E252="","",E252/(E252+H252))</f>
        <v>0.532385466034755</v>
      </c>
      <c r="L252" s="52" t="n">
        <f aca="false">IF(OR(K252="",J252=""),"",(J252-K252)*100)</f>
        <v>4.25010695174385</v>
      </c>
      <c r="M252" s="38"/>
    </row>
    <row r="253" customFormat="false" ht="15" hidden="false" customHeight="false" outlineLevel="0" collapsed="false">
      <c r="A253" s="38" t="s">
        <v>344</v>
      </c>
      <c r="B253" s="38" t="s">
        <v>377</v>
      </c>
      <c r="C253" s="38" t="s">
        <v>385</v>
      </c>
      <c r="D253" s="21" t="n">
        <v>522</v>
      </c>
      <c r="E253" s="21" t="n">
        <v>517</v>
      </c>
      <c r="F253" s="51" t="n">
        <f aca="false">IF(E253="","",D253-E253)</f>
        <v>5</v>
      </c>
      <c r="G253" s="21" t="n">
        <v>357</v>
      </c>
      <c r="H253" s="21" t="n">
        <v>388</v>
      </c>
      <c r="I253" s="51" t="n">
        <f aca="false">IF(H253="","",G253-H253)</f>
        <v>-31</v>
      </c>
      <c r="J253" s="39" t="n">
        <f aca="false">IF(OR(D253="",D253+G253=0),"",D253/(D253+G253))</f>
        <v>0.593856655290102</v>
      </c>
      <c r="K253" s="39" t="n">
        <f aca="false">IF(E253="","",E253/(E253+H253))</f>
        <v>0.571270718232044</v>
      </c>
      <c r="L253" s="52" t="n">
        <f aca="false">IF(OR(K253="",J253=""),"",(J253-K253)*100)</f>
        <v>2.25859370580581</v>
      </c>
      <c r="M253" s="38"/>
    </row>
    <row r="254" customFormat="false" ht="15" hidden="false" customHeight="false" outlineLevel="0" collapsed="false">
      <c r="A254" s="38" t="s">
        <v>344</v>
      </c>
      <c r="B254" s="38" t="s">
        <v>377</v>
      </c>
      <c r="C254" s="38" t="s">
        <v>386</v>
      </c>
      <c r="D254" s="21" t="n">
        <v>329</v>
      </c>
      <c r="E254" s="21" t="n">
        <v>329</v>
      </c>
      <c r="F254" s="51" t="n">
        <f aca="false">IF(E254="","",D254-E254)</f>
        <v>0</v>
      </c>
      <c r="G254" s="21" t="n">
        <v>220</v>
      </c>
      <c r="H254" s="21" t="n">
        <v>217</v>
      </c>
      <c r="I254" s="51" t="n">
        <f aca="false">IF(H254="","",G254-H254)</f>
        <v>3</v>
      </c>
      <c r="J254" s="39" t="n">
        <f aca="false">IF(OR(D254="",D254+G254=0),"",D254/(D254+G254))</f>
        <v>0.599271402550091</v>
      </c>
      <c r="K254" s="39" t="n">
        <f aca="false">IF(E254="","",E254/(E254+H254))</f>
        <v>0.602564102564103</v>
      </c>
      <c r="L254" s="52" t="n">
        <f aca="false">IF(OR(K254="",J254=""),"",(J254-K254)*100)</f>
        <v>-0.32927000140115</v>
      </c>
      <c r="M254" s="38"/>
    </row>
    <row r="255" customFormat="false" ht="15" hidden="false" customHeight="false" outlineLevel="0" collapsed="false">
      <c r="A255" s="38" t="s">
        <v>344</v>
      </c>
      <c r="B255" s="38" t="s">
        <v>377</v>
      </c>
      <c r="C255" s="38" t="s">
        <v>387</v>
      </c>
      <c r="D255" s="21" t="n">
        <v>395</v>
      </c>
      <c r="E255" s="21" t="n">
        <v>352</v>
      </c>
      <c r="F255" s="51" t="n">
        <f aca="false">IF(E255="","",D255-E255)</f>
        <v>43</v>
      </c>
      <c r="G255" s="21" t="n">
        <v>351</v>
      </c>
      <c r="H255" s="21" t="n">
        <v>326</v>
      </c>
      <c r="I255" s="51" t="n">
        <f aca="false">IF(H255="","",G255-H255)</f>
        <v>25</v>
      </c>
      <c r="J255" s="39" t="n">
        <f aca="false">IF(OR(D255="",D255+G255=0),"",D255/(D255+G255))</f>
        <v>0.529490616621984</v>
      </c>
      <c r="K255" s="39" t="n">
        <f aca="false">IF(E255="","",E255/(E255+H255))</f>
        <v>0.519174041297935</v>
      </c>
      <c r="L255" s="52" t="n">
        <f aca="false">IF(OR(K255="",J255=""),"",(J255-K255)*100)</f>
        <v>1.03165753240488</v>
      </c>
      <c r="M255" s="38"/>
    </row>
    <row r="256" customFormat="false" ht="15" hidden="false" customHeight="false" outlineLevel="0" collapsed="false">
      <c r="A256" s="38" t="s">
        <v>344</v>
      </c>
      <c r="B256" s="38" t="s">
        <v>377</v>
      </c>
      <c r="C256" s="38" t="s">
        <v>388</v>
      </c>
      <c r="D256" s="21" t="n">
        <v>493</v>
      </c>
      <c r="E256" s="21" t="n">
        <v>420</v>
      </c>
      <c r="F256" s="51" t="n">
        <f aca="false">IF(E256="","",D256-E256)</f>
        <v>73</v>
      </c>
      <c r="G256" s="21" t="n">
        <v>388</v>
      </c>
      <c r="H256" s="21" t="n">
        <v>378</v>
      </c>
      <c r="I256" s="51" t="n">
        <f aca="false">IF(H256="","",G256-H256)</f>
        <v>10</v>
      </c>
      <c r="J256" s="39" t="n">
        <f aca="false">IF(OR(D256="",D256+G256=0),"",D256/(D256+G256))</f>
        <v>0.559591373439274</v>
      </c>
      <c r="K256" s="39" t="n">
        <f aca="false">IF(E256="","",E256/(E256+H256))</f>
        <v>0.526315789473684</v>
      </c>
      <c r="L256" s="52" t="n">
        <f aca="false">IF(OR(K256="",J256=""),"",(J256-K256)*100)</f>
        <v>3.32755839655894</v>
      </c>
      <c r="M256" s="38"/>
    </row>
    <row r="257" customFormat="false" ht="15" hidden="false" customHeight="false" outlineLevel="0" collapsed="false">
      <c r="A257" s="38" t="s">
        <v>344</v>
      </c>
      <c r="B257" s="38" t="s">
        <v>377</v>
      </c>
      <c r="C257" s="38" t="s">
        <v>389</v>
      </c>
      <c r="D257" s="21" t="n">
        <v>532</v>
      </c>
      <c r="E257" s="21" t="n">
        <v>522</v>
      </c>
      <c r="F257" s="51" t="n">
        <f aca="false">IF(E257="","",D257-E257)</f>
        <v>10</v>
      </c>
      <c r="G257" s="21" t="n">
        <v>385</v>
      </c>
      <c r="H257" s="21" t="n">
        <v>400</v>
      </c>
      <c r="I257" s="51" t="n">
        <f aca="false">IF(H257="","",G257-H257)</f>
        <v>-15</v>
      </c>
      <c r="J257" s="39" t="n">
        <f aca="false">IF(OR(D257="",D257+G257=0),"",D257/(D257+G257))</f>
        <v>0.580152671755725</v>
      </c>
      <c r="K257" s="39" t="n">
        <f aca="false">IF(E257="","",E257/(E257+H257))</f>
        <v>0.566160520607375</v>
      </c>
      <c r="L257" s="52" t="n">
        <f aca="false">IF(OR(K257="",J257=""),"",(J257-K257)*100)</f>
        <v>1.39921511483498</v>
      </c>
      <c r="M257" s="38"/>
    </row>
    <row r="258" customFormat="false" ht="15" hidden="false" customHeight="false" outlineLevel="0" collapsed="false">
      <c r="A258" s="38" t="s">
        <v>344</v>
      </c>
      <c r="B258" s="38" t="s">
        <v>377</v>
      </c>
      <c r="C258" s="38" t="s">
        <v>390</v>
      </c>
      <c r="D258" s="21" t="n">
        <v>495</v>
      </c>
      <c r="E258" s="21" t="n">
        <v>436</v>
      </c>
      <c r="F258" s="51" t="n">
        <f aca="false">IF(E258="","",D258-E258)</f>
        <v>59</v>
      </c>
      <c r="G258" s="21" t="n">
        <v>436</v>
      </c>
      <c r="H258" s="21" t="n">
        <v>423</v>
      </c>
      <c r="I258" s="51" t="n">
        <f aca="false">IF(H258="","",G258-H258)</f>
        <v>13</v>
      </c>
      <c r="J258" s="39" t="n">
        <f aca="false">IF(OR(D258="",D258+G258=0),"",D258/(D258+G258))</f>
        <v>0.531686358754028</v>
      </c>
      <c r="K258" s="39" t="n">
        <f aca="false">IF(E258="","",E258/(E258+H258))</f>
        <v>0.507566938300349</v>
      </c>
      <c r="L258" s="52" t="n">
        <f aca="false">IF(OR(K258="",J258=""),"",(J258-K258)*100)</f>
        <v>2.41194204536787</v>
      </c>
      <c r="M258" s="38"/>
    </row>
    <row r="259" customFormat="false" ht="15" hidden="false" customHeight="false" outlineLevel="0" collapsed="false">
      <c r="A259" s="38" t="s">
        <v>344</v>
      </c>
      <c r="B259" s="38" t="s">
        <v>377</v>
      </c>
      <c r="C259" s="38" t="s">
        <v>391</v>
      </c>
      <c r="D259" s="21" t="n">
        <v>1022</v>
      </c>
      <c r="E259" s="21" t="n">
        <v>925</v>
      </c>
      <c r="F259" s="51" t="n">
        <f aca="false">IF(E259="","",D259-E259)</f>
        <v>97</v>
      </c>
      <c r="G259" s="21" t="n">
        <v>759</v>
      </c>
      <c r="H259" s="21" t="n">
        <v>710</v>
      </c>
      <c r="I259" s="51" t="n">
        <f aca="false">IF(H259="","",G259-H259)</f>
        <v>49</v>
      </c>
      <c r="J259" s="39" t="n">
        <f aca="false">IF(OR(D259="",D259+G259=0),"",D259/(D259+G259))</f>
        <v>0.573834924199888</v>
      </c>
      <c r="K259" s="39" t="n">
        <f aca="false">IF(E259="","",E259/(E259+H259))</f>
        <v>0.565749235474006</v>
      </c>
      <c r="L259" s="52" t="n">
        <f aca="false">IF(OR(K259="",J259=""),"",(J259-K259)*100)</f>
        <v>0.808568872588156</v>
      </c>
      <c r="M259" s="38"/>
    </row>
    <row r="260" customFormat="false" ht="15" hidden="false" customHeight="false" outlineLevel="0" collapsed="false">
      <c r="A260" s="38" t="s">
        <v>344</v>
      </c>
      <c r="B260" s="38" t="s">
        <v>377</v>
      </c>
      <c r="C260" s="38" t="s">
        <v>392</v>
      </c>
      <c r="D260" s="21" t="n">
        <v>567</v>
      </c>
      <c r="E260" s="21" t="n">
        <v>535</v>
      </c>
      <c r="F260" s="51" t="n">
        <f aca="false">IF(E260="","",D260-E260)</f>
        <v>32</v>
      </c>
      <c r="G260" s="21" t="n">
        <v>518</v>
      </c>
      <c r="H260" s="21" t="n">
        <v>514</v>
      </c>
      <c r="I260" s="51" t="n">
        <f aca="false">IF(H260="","",G260-H260)</f>
        <v>4</v>
      </c>
      <c r="J260" s="39" t="n">
        <f aca="false">IF(OR(D260="",D260+G260=0),"",D260/(D260+G260))</f>
        <v>0.52258064516129</v>
      </c>
      <c r="K260" s="39" t="n">
        <f aca="false">IF(E260="","",E260/(E260+H260))</f>
        <v>0.510009532888465</v>
      </c>
      <c r="L260" s="52" t="n">
        <f aca="false">IF(OR(K260="",J260=""),"",(J260-K260)*100)</f>
        <v>1.25711122728251</v>
      </c>
      <c r="M260" s="38"/>
    </row>
    <row r="261" customFormat="false" ht="15" hidden="false" customHeight="false" outlineLevel="0" collapsed="false">
      <c r="A261" s="38" t="s">
        <v>344</v>
      </c>
      <c r="B261" s="38" t="s">
        <v>377</v>
      </c>
      <c r="C261" s="38" t="s">
        <v>393</v>
      </c>
      <c r="D261" s="21" t="n">
        <v>561</v>
      </c>
      <c r="E261" s="21" t="n">
        <v>499</v>
      </c>
      <c r="F261" s="51" t="n">
        <f aca="false">IF(E261="","",D261-E261)</f>
        <v>62</v>
      </c>
      <c r="G261" s="21" t="n">
        <v>479</v>
      </c>
      <c r="H261" s="21" t="n">
        <v>468</v>
      </c>
      <c r="I261" s="51" t="n">
        <f aca="false">IF(H261="","",G261-H261)</f>
        <v>11</v>
      </c>
      <c r="J261" s="39" t="n">
        <f aca="false">IF(OR(D261="",D261+G261=0),"",D261/(D261+G261))</f>
        <v>0.539423076923077</v>
      </c>
      <c r="K261" s="39" t="n">
        <f aca="false">IF(E261="","",E261/(E261+H261))</f>
        <v>0.516028955532575</v>
      </c>
      <c r="L261" s="52" t="n">
        <f aca="false">IF(OR(K261="",J261=""),"",(J261-K261)*100)</f>
        <v>2.33941213905019</v>
      </c>
      <c r="M261" s="38"/>
    </row>
    <row r="262" customFormat="false" ht="15" hidden="false" customHeight="false" outlineLevel="0" collapsed="false">
      <c r="A262" s="38" t="s">
        <v>344</v>
      </c>
      <c r="B262" s="38" t="s">
        <v>377</v>
      </c>
      <c r="C262" s="38" t="s">
        <v>394</v>
      </c>
      <c r="D262" s="21" t="n">
        <v>582</v>
      </c>
      <c r="E262" s="21" t="n">
        <v>503</v>
      </c>
      <c r="F262" s="51" t="n">
        <f aca="false">IF(E262="","",D262-E262)</f>
        <v>79</v>
      </c>
      <c r="G262" s="21" t="n">
        <v>467</v>
      </c>
      <c r="H262" s="21" t="n">
        <v>468</v>
      </c>
      <c r="I262" s="51" t="n">
        <f aca="false">IF(H262="","",G262-H262)</f>
        <v>-1</v>
      </c>
      <c r="J262" s="39" t="n">
        <f aca="false">IF(OR(D262="",D262+G262=0),"",D262/(D262+G262))</f>
        <v>0.554814108674929</v>
      </c>
      <c r="K262" s="39" t="n">
        <f aca="false">IF(E262="","",E262/(E262+H262))</f>
        <v>0.518022657054583</v>
      </c>
      <c r="L262" s="52" t="n">
        <f aca="false">IF(OR(K262="",J262=""),"",(J262-K262)*100)</f>
        <v>3.67914516203456</v>
      </c>
      <c r="M262" s="38"/>
    </row>
    <row r="263" customFormat="false" ht="15" hidden="false" customHeight="false" outlineLevel="0" collapsed="false">
      <c r="A263" s="38" t="s">
        <v>344</v>
      </c>
      <c r="B263" s="38" t="s">
        <v>395</v>
      </c>
      <c r="C263" s="38" t="s">
        <v>396</v>
      </c>
      <c r="D263" s="21" t="n">
        <v>974</v>
      </c>
      <c r="E263" s="21" t="n">
        <v>939</v>
      </c>
      <c r="F263" s="51" t="n">
        <f aca="false">IF(E263="","",D263-E263)</f>
        <v>35</v>
      </c>
      <c r="G263" s="21" t="n">
        <v>1538</v>
      </c>
      <c r="H263" s="21" t="n">
        <v>1452</v>
      </c>
      <c r="I263" s="51" t="n">
        <f aca="false">IF(H263="","",G263-H263)</f>
        <v>86</v>
      </c>
      <c r="J263" s="39" t="n">
        <f aca="false">IF(OR(D263="",D263+G263=0),"",D263/(D263+G263))</f>
        <v>0.387738853503185</v>
      </c>
      <c r="K263" s="39" t="n">
        <f aca="false">IF(E263="","",E263/(E263+H263))</f>
        <v>0.392722710163112</v>
      </c>
      <c r="L263" s="52" t="n">
        <f aca="false">IF(OR(K263="",J263=""),"",(J263-K263)*100)</f>
        <v>-0.498385665992696</v>
      </c>
      <c r="M263" s="38"/>
    </row>
    <row r="264" customFormat="false" ht="15" hidden="false" customHeight="false" outlineLevel="0" collapsed="false">
      <c r="A264" s="38" t="s">
        <v>344</v>
      </c>
      <c r="B264" s="38" t="s">
        <v>395</v>
      </c>
      <c r="C264" s="38" t="s">
        <v>397</v>
      </c>
      <c r="D264" s="21" t="n">
        <v>894</v>
      </c>
      <c r="E264" s="21" t="n">
        <v>820</v>
      </c>
      <c r="F264" s="51" t="n">
        <f aca="false">IF(E264="","",D264-E264)</f>
        <v>74</v>
      </c>
      <c r="G264" s="21" t="n">
        <v>1252</v>
      </c>
      <c r="H264" s="21" t="n">
        <v>1185</v>
      </c>
      <c r="I264" s="51" t="n">
        <f aca="false">IF(H264="","",G264-H264)</f>
        <v>67</v>
      </c>
      <c r="J264" s="39" t="n">
        <f aca="false">IF(OR(D264="",D264+G264=0),"",D264/(D264+G264))</f>
        <v>0.416589002795899</v>
      </c>
      <c r="K264" s="39" t="n">
        <f aca="false">IF(E264="","",E264/(E264+H264))</f>
        <v>0.408977556109726</v>
      </c>
      <c r="L264" s="52" t="n">
        <f aca="false">IF(OR(K264="",J264=""),"",(J264-K264)*100)</f>
        <v>0.761144668617364</v>
      </c>
      <c r="M264" s="38"/>
    </row>
    <row r="265" customFormat="false" ht="15" hidden="false" customHeight="false" outlineLevel="0" collapsed="false">
      <c r="A265" s="38" t="s">
        <v>344</v>
      </c>
      <c r="B265" s="38" t="s">
        <v>395</v>
      </c>
      <c r="C265" s="38" t="s">
        <v>398</v>
      </c>
      <c r="D265" s="21" t="n">
        <v>442</v>
      </c>
      <c r="E265" s="21" t="n">
        <v>410</v>
      </c>
      <c r="F265" s="51" t="n">
        <f aca="false">IF(E265="","",D265-E265)</f>
        <v>32</v>
      </c>
      <c r="G265" s="21" t="n">
        <v>788</v>
      </c>
      <c r="H265" s="21" t="n">
        <v>822</v>
      </c>
      <c r="I265" s="51" t="n">
        <f aca="false">IF(H265="","",G265-H265)</f>
        <v>-34</v>
      </c>
      <c r="J265" s="39" t="n">
        <f aca="false">IF(OR(D265="",D265+G265=0),"",D265/(D265+G265))</f>
        <v>0.359349593495935</v>
      </c>
      <c r="K265" s="39" t="n">
        <f aca="false">IF(E265="","",E265/(E265+H265))</f>
        <v>0.332792207792208</v>
      </c>
      <c r="L265" s="52" t="n">
        <f aca="false">IF(OR(K265="",J265=""),"",(J265-K265)*100)</f>
        <v>2.65573857037272</v>
      </c>
      <c r="M265" s="38"/>
    </row>
    <row r="266" customFormat="false" ht="15" hidden="false" customHeight="false" outlineLevel="0" collapsed="false">
      <c r="A266" s="38" t="s">
        <v>344</v>
      </c>
      <c r="B266" s="38" t="s">
        <v>399</v>
      </c>
      <c r="C266" s="38" t="s">
        <v>399</v>
      </c>
      <c r="D266" s="21" t="n">
        <v>47</v>
      </c>
      <c r="E266" s="21" t="n">
        <v>40</v>
      </c>
      <c r="F266" s="51" t="n">
        <f aca="false">IF(E266="","",D266-E266)</f>
        <v>7</v>
      </c>
      <c r="G266" s="21" t="n">
        <v>79</v>
      </c>
      <c r="H266" s="21" t="n">
        <v>83</v>
      </c>
      <c r="I266" s="51" t="n">
        <f aca="false">IF(H266="","",G266-H266)</f>
        <v>-4</v>
      </c>
      <c r="J266" s="39" t="n">
        <f aca="false">IF(OR(D266="",D266+G266=0),"",D266/(D266+G266))</f>
        <v>0.373015873015873</v>
      </c>
      <c r="K266" s="39" t="n">
        <f aca="false">IF(E266="","",E266/(E266+H266))</f>
        <v>0.32520325203252</v>
      </c>
      <c r="L266" s="52" t="n">
        <f aca="false">IF(OR(K266="",J266=""),"",(J266-K266)*100)</f>
        <v>4.78126209833527</v>
      </c>
      <c r="M266" s="38"/>
    </row>
    <row r="267" customFormat="false" ht="15" hidden="false" customHeight="false" outlineLevel="0" collapsed="false">
      <c r="A267" s="38" t="s">
        <v>344</v>
      </c>
      <c r="B267" s="38" t="s">
        <v>400</v>
      </c>
      <c r="C267" s="38" t="s">
        <v>401</v>
      </c>
      <c r="D267" s="21" t="n">
        <v>716</v>
      </c>
      <c r="E267" s="21" t="n">
        <v>774</v>
      </c>
      <c r="F267" s="51" t="n">
        <f aca="false">IF(E267="","",D267-E267)</f>
        <v>-58</v>
      </c>
      <c r="G267" s="21" t="n">
        <v>942</v>
      </c>
      <c r="H267" s="21" t="n">
        <v>1032</v>
      </c>
      <c r="I267" s="51" t="n">
        <f aca="false">IF(H267="","",G267-H267)</f>
        <v>-90</v>
      </c>
      <c r="J267" s="39" t="n">
        <f aca="false">IF(OR(D267="",D267+G267=0),"",D267/(D267+G267))</f>
        <v>0.431845597104946</v>
      </c>
      <c r="K267" s="39" t="n">
        <f aca="false">IF(E267="","",E267/(E267+H267))</f>
        <v>0.428571428571429</v>
      </c>
      <c r="L267" s="52" t="n">
        <f aca="false">IF(OR(K267="",J267=""),"",(J267-K267)*100)</f>
        <v>0.32741685335172</v>
      </c>
      <c r="M267" s="38"/>
    </row>
    <row r="268" customFormat="false" ht="15" hidden="false" customHeight="false" outlineLevel="0" collapsed="false">
      <c r="A268" s="38" t="s">
        <v>344</v>
      </c>
      <c r="B268" s="38" t="s">
        <v>400</v>
      </c>
      <c r="C268" s="38" t="s">
        <v>402</v>
      </c>
      <c r="D268" s="21" t="n">
        <v>799</v>
      </c>
      <c r="E268" s="21" t="n">
        <v>710</v>
      </c>
      <c r="F268" s="51" t="n">
        <f aca="false">IF(E268="","",D268-E268)</f>
        <v>89</v>
      </c>
      <c r="G268" s="21" t="n">
        <v>918</v>
      </c>
      <c r="H268" s="21" t="n">
        <v>927</v>
      </c>
      <c r="I268" s="51" t="n">
        <f aca="false">IF(H268="","",G268-H268)</f>
        <v>-9</v>
      </c>
      <c r="J268" s="39" t="n">
        <f aca="false">IF(OR(D268="",D268+G268=0),"",D268/(D268+G268))</f>
        <v>0.465346534653465</v>
      </c>
      <c r="K268" s="39" t="n">
        <f aca="false">IF(E268="","",E268/(E268+H268))</f>
        <v>0.433720219914478</v>
      </c>
      <c r="L268" s="52" t="n">
        <f aca="false">IF(OR(K268="",J268=""),"",(J268-K268)*100)</f>
        <v>3.16263147389877</v>
      </c>
      <c r="M268" s="38"/>
    </row>
    <row r="269" customFormat="false" ht="15" hidden="false" customHeight="false" outlineLevel="0" collapsed="false">
      <c r="A269" s="38" t="s">
        <v>344</v>
      </c>
      <c r="B269" s="38" t="s">
        <v>403</v>
      </c>
      <c r="C269" s="38" t="s">
        <v>403</v>
      </c>
      <c r="D269" s="21" t="n">
        <v>203</v>
      </c>
      <c r="E269" s="21" t="n">
        <v>217</v>
      </c>
      <c r="F269" s="51" t="n">
        <f aca="false">IF(E269="","",D269-E269)</f>
        <v>-14</v>
      </c>
      <c r="G269" s="21" t="n">
        <v>310</v>
      </c>
      <c r="H269" s="21" t="n">
        <v>309</v>
      </c>
      <c r="I269" s="51" t="n">
        <f aca="false">IF(H269="","",G269-H269)</f>
        <v>1</v>
      </c>
      <c r="J269" s="39" t="n">
        <f aca="false">IF(OR(D269="",D269+G269=0),"",D269/(D269+G269))</f>
        <v>0.395711500974659</v>
      </c>
      <c r="K269" s="39" t="n">
        <f aca="false">IF(E269="","",E269/(E269+H269))</f>
        <v>0.41254752851711</v>
      </c>
      <c r="L269" s="52" t="n">
        <f aca="false">IF(OR(K269="",J269=""),"",(J269-K269)*100)</f>
        <v>-1.68360275424514</v>
      </c>
      <c r="M269" s="38"/>
    </row>
    <row r="270" customFormat="false" ht="15" hidden="false" customHeight="false" outlineLevel="0" collapsed="false">
      <c r="A270" s="38" t="s">
        <v>344</v>
      </c>
      <c r="B270" s="38" t="s">
        <v>404</v>
      </c>
      <c r="C270" s="38" t="s">
        <v>405</v>
      </c>
      <c r="D270" s="21" t="n">
        <v>677</v>
      </c>
      <c r="E270" s="21"/>
      <c r="F270" s="51" t="str">
        <f aca="false">IF(E270="","",D270-E270)</f>
        <v/>
      </c>
      <c r="G270" s="21" t="n">
        <v>340</v>
      </c>
      <c r="H270" s="21"/>
      <c r="I270" s="51" t="str">
        <f aca="false">IF(H270="","",G270-H270)</f>
        <v/>
      </c>
      <c r="J270" s="39" t="n">
        <f aca="false">IF(OR(D270="",D270+G270=0),"",D270/(D270+G270))</f>
        <v>0.665683382497542</v>
      </c>
      <c r="K270" s="39" t="str">
        <f aca="false">IF(E270="","",E270/(E270+H270))</f>
        <v/>
      </c>
      <c r="L270" s="52" t="str">
        <f aca="false">IF(OR(K270="",J270=""),"",(J270-K270)*100)</f>
        <v/>
      </c>
      <c r="M270" s="38" t="s">
        <v>691</v>
      </c>
    </row>
    <row r="271" customFormat="false" ht="15" hidden="false" customHeight="false" outlineLevel="0" collapsed="false">
      <c r="A271" s="38" t="s">
        <v>344</v>
      </c>
      <c r="B271" s="38" t="s">
        <v>404</v>
      </c>
      <c r="C271" s="38" t="s">
        <v>406</v>
      </c>
      <c r="D271" s="21" t="n">
        <v>464</v>
      </c>
      <c r="E271" s="21"/>
      <c r="F271" s="51" t="str">
        <f aca="false">IF(E271="","",D271-E271)</f>
        <v/>
      </c>
      <c r="G271" s="21" t="n">
        <v>180</v>
      </c>
      <c r="H271" s="21"/>
      <c r="I271" s="51" t="str">
        <f aca="false">IF(H271="","",G271-H271)</f>
        <v/>
      </c>
      <c r="J271" s="39" t="n">
        <f aca="false">IF(OR(D271="",D271+G271=0),"",D271/(D271+G271))</f>
        <v>0.720496894409938</v>
      </c>
      <c r="K271" s="39" t="str">
        <f aca="false">IF(E271="","",E271/(E271+H271))</f>
        <v/>
      </c>
      <c r="L271" s="52" t="str">
        <f aca="false">IF(OR(K271="",J271=""),"",(J271-K271)*100)</f>
        <v/>
      </c>
      <c r="M271" s="38" t="s">
        <v>691</v>
      </c>
    </row>
    <row r="272" customFormat="false" ht="15" hidden="false" customHeight="false" outlineLevel="0" collapsed="false">
      <c r="A272" s="38" t="s">
        <v>344</v>
      </c>
      <c r="B272" s="38" t="s">
        <v>404</v>
      </c>
      <c r="C272" s="38" t="s">
        <v>407</v>
      </c>
      <c r="D272" s="21" t="n">
        <v>444</v>
      </c>
      <c r="E272" s="21" t="n">
        <v>492</v>
      </c>
      <c r="F272" s="51" t="n">
        <f aca="false">IF(E272="","",D272-E272)</f>
        <v>-48</v>
      </c>
      <c r="G272" s="21" t="n">
        <v>155</v>
      </c>
      <c r="H272" s="21" t="n">
        <v>197</v>
      </c>
      <c r="I272" s="51" t="n">
        <f aca="false">IF(H272="","",G272-H272)</f>
        <v>-42</v>
      </c>
      <c r="J272" s="39" t="n">
        <f aca="false">IF(OR(D272="",D272+G272=0),"",D272/(D272+G272))</f>
        <v>0.741235392320534</v>
      </c>
      <c r="K272" s="39" t="n">
        <f aca="false">IF(E272="","",E272/(E272+H272))</f>
        <v>0.714078374455733</v>
      </c>
      <c r="L272" s="52" t="n">
        <f aca="false">IF(OR(K272="",J272=""),"",(J272-K272)*100)</f>
        <v>2.71570178648013</v>
      </c>
      <c r="M272" s="38"/>
    </row>
    <row r="273" customFormat="false" ht="15" hidden="false" customHeight="false" outlineLevel="0" collapsed="false">
      <c r="A273" s="38" t="s">
        <v>344</v>
      </c>
      <c r="B273" s="38" t="s">
        <v>404</v>
      </c>
      <c r="C273" s="38" t="s">
        <v>408</v>
      </c>
      <c r="D273" s="21" t="n">
        <v>739</v>
      </c>
      <c r="E273" s="21" t="n">
        <v>743</v>
      </c>
      <c r="F273" s="51" t="n">
        <f aca="false">IF(E273="","",D273-E273)</f>
        <v>-4</v>
      </c>
      <c r="G273" s="21" t="n">
        <v>263</v>
      </c>
      <c r="H273" s="21" t="n">
        <v>265</v>
      </c>
      <c r="I273" s="51" t="n">
        <f aca="false">IF(H273="","",G273-H273)</f>
        <v>-2</v>
      </c>
      <c r="J273" s="39" t="n">
        <f aca="false">IF(OR(D273="",D273+G273=0),"",D273/(D273+G273))</f>
        <v>0.7375249500998</v>
      </c>
      <c r="K273" s="39" t="n">
        <f aca="false">IF(E273="","",E273/(E273+H273))</f>
        <v>0.737103174603175</v>
      </c>
      <c r="L273" s="52" t="n">
        <f aca="false">IF(OR(K273="",J273=""),"",(J273-K273)*100)</f>
        <v>0.0421775496625698</v>
      </c>
      <c r="M273" s="38"/>
    </row>
    <row r="274" customFormat="false" ht="15" hidden="false" customHeight="false" outlineLevel="0" collapsed="false">
      <c r="A274" s="38" t="s">
        <v>344</v>
      </c>
      <c r="B274" s="38" t="s">
        <v>404</v>
      </c>
      <c r="C274" s="38" t="s">
        <v>409</v>
      </c>
      <c r="D274" s="21" t="n">
        <v>420</v>
      </c>
      <c r="E274" s="21" t="n">
        <v>1109</v>
      </c>
      <c r="F274" s="51" t="n">
        <f aca="false">IF(E274="","",D274-E274)</f>
        <v>-689</v>
      </c>
      <c r="G274" s="21" t="n">
        <v>118</v>
      </c>
      <c r="H274" s="21" t="n">
        <v>290</v>
      </c>
      <c r="I274" s="51" t="n">
        <f aca="false">IF(H274="","",G274-H274)</f>
        <v>-172</v>
      </c>
      <c r="J274" s="39" t="n">
        <f aca="false">IF(OR(D274="",D274+G274=0),"",D274/(D274+G274))</f>
        <v>0.780669144981413</v>
      </c>
      <c r="K274" s="39" t="n">
        <f aca="false">IF(E274="","",E274/(E274+H274))</f>
        <v>0.792709077912795</v>
      </c>
      <c r="L274" s="52" t="n">
        <f aca="false">IF(OR(K274="",J274=""),"",(J274-K274)*100)</f>
        <v>-1.20399329313823</v>
      </c>
      <c r="M274" s="38"/>
    </row>
    <row r="275" customFormat="false" ht="15" hidden="false" customHeight="false" outlineLevel="0" collapsed="false">
      <c r="A275" s="38" t="s">
        <v>344</v>
      </c>
      <c r="B275" s="38" t="s">
        <v>404</v>
      </c>
      <c r="C275" s="38" t="s">
        <v>410</v>
      </c>
      <c r="D275" s="21" t="n">
        <v>612</v>
      </c>
      <c r="E275" s="21" t="n">
        <v>566</v>
      </c>
      <c r="F275" s="51" t="n">
        <f aca="false">IF(E275="","",D275-E275)</f>
        <v>46</v>
      </c>
      <c r="G275" s="21" t="n">
        <v>228</v>
      </c>
      <c r="H275" s="21" t="n">
        <v>257</v>
      </c>
      <c r="I275" s="51" t="n">
        <f aca="false">IF(H275="","",G275-H275)</f>
        <v>-29</v>
      </c>
      <c r="J275" s="39" t="n">
        <f aca="false">IF(OR(D275="",D275+G275=0),"",D275/(D275+G275))</f>
        <v>0.728571428571429</v>
      </c>
      <c r="K275" s="39" t="n">
        <f aca="false">IF(E275="","",E275/(E275+H275))</f>
        <v>0.687727825030377</v>
      </c>
      <c r="L275" s="52" t="n">
        <f aca="false">IF(OR(K275="",J275=""),"",(J275-K275)*100)</f>
        <v>4.08436035410519</v>
      </c>
      <c r="M275" s="38"/>
    </row>
    <row r="276" customFormat="false" ht="15" hidden="false" customHeight="false" outlineLevel="0" collapsed="false">
      <c r="A276" s="38" t="s">
        <v>344</v>
      </c>
      <c r="B276" s="38" t="s">
        <v>404</v>
      </c>
      <c r="C276" s="38" t="s">
        <v>411</v>
      </c>
      <c r="D276" s="21" t="n">
        <v>510</v>
      </c>
      <c r="E276" s="21" t="n">
        <v>517</v>
      </c>
      <c r="F276" s="51" t="n">
        <f aca="false">IF(E276="","",D276-E276)</f>
        <v>-7</v>
      </c>
      <c r="G276" s="21" t="n">
        <v>229</v>
      </c>
      <c r="H276" s="21" t="n">
        <v>265</v>
      </c>
      <c r="I276" s="51" t="n">
        <f aca="false">IF(H276="","",G276-H276)</f>
        <v>-36</v>
      </c>
      <c r="J276" s="39" t="n">
        <f aca="false">IF(OR(D276="",D276+G276=0),"",D276/(D276+G276))</f>
        <v>0.690121786197564</v>
      </c>
      <c r="K276" s="39" t="n">
        <f aca="false">IF(E276="","",E276/(E276+H276))</f>
        <v>0.661125319693095</v>
      </c>
      <c r="L276" s="52" t="n">
        <f aca="false">IF(OR(K276="",J276=""),"",(J276-K276)*100)</f>
        <v>2.89964665044696</v>
      </c>
      <c r="M276" s="38"/>
    </row>
    <row r="277" customFormat="false" ht="15" hidden="false" customHeight="false" outlineLevel="0" collapsed="false">
      <c r="A277" s="38" t="s">
        <v>344</v>
      </c>
      <c r="B277" s="38" t="s">
        <v>404</v>
      </c>
      <c r="C277" s="38" t="s">
        <v>412</v>
      </c>
      <c r="D277" s="21" t="n">
        <v>207</v>
      </c>
      <c r="E277" s="21" t="n">
        <v>233</v>
      </c>
      <c r="F277" s="51" t="n">
        <f aca="false">IF(E277="","",D277-E277)</f>
        <v>-26</v>
      </c>
      <c r="G277" s="21" t="n">
        <v>76</v>
      </c>
      <c r="H277" s="21" t="n">
        <v>84</v>
      </c>
      <c r="I277" s="51" t="n">
        <f aca="false">IF(H277="","",G277-H277)</f>
        <v>-8</v>
      </c>
      <c r="J277" s="39" t="n">
        <f aca="false">IF(OR(D277="",D277+G277=0),"",D277/(D277+G277))</f>
        <v>0.731448763250883</v>
      </c>
      <c r="K277" s="39" t="n">
        <f aca="false">IF(E277="","",E277/(E277+H277))</f>
        <v>0.735015772870662</v>
      </c>
      <c r="L277" s="52" t="n">
        <f aca="false">IF(OR(K277="",J277=""),"",(J277-K277)*100)</f>
        <v>-0.356700961977907</v>
      </c>
      <c r="M277" s="38"/>
    </row>
    <row r="278" customFormat="false" ht="15" hidden="false" customHeight="false" outlineLevel="0" collapsed="false">
      <c r="A278" s="38" t="s">
        <v>344</v>
      </c>
      <c r="B278" s="38" t="s">
        <v>404</v>
      </c>
      <c r="C278" s="38" t="s">
        <v>413</v>
      </c>
      <c r="D278" s="21" t="n">
        <v>337</v>
      </c>
      <c r="E278" s="21" t="n">
        <v>391</v>
      </c>
      <c r="F278" s="51" t="n">
        <f aca="false">IF(E278="","",D278-E278)</f>
        <v>-54</v>
      </c>
      <c r="G278" s="21" t="n">
        <v>110</v>
      </c>
      <c r="H278" s="21" t="n">
        <v>126</v>
      </c>
      <c r="I278" s="51" t="n">
        <f aca="false">IF(H278="","",G278-H278)</f>
        <v>-16</v>
      </c>
      <c r="J278" s="39" t="n">
        <f aca="false">IF(OR(D278="",D278+G278=0),"",D278/(D278+G278))</f>
        <v>0.753914988814318</v>
      </c>
      <c r="K278" s="39" t="n">
        <f aca="false">IF(E278="","",E278/(E278+H278))</f>
        <v>0.756286266924565</v>
      </c>
      <c r="L278" s="52" t="n">
        <f aca="false">IF(OR(K278="",J278=""),"",(J278-K278)*100)</f>
        <v>-0.237127811024718</v>
      </c>
      <c r="M278" s="38"/>
    </row>
    <row r="279" customFormat="false" ht="15" hidden="false" customHeight="false" outlineLevel="0" collapsed="false">
      <c r="A279" s="38" t="s">
        <v>344</v>
      </c>
      <c r="B279" s="38" t="s">
        <v>404</v>
      </c>
      <c r="C279" s="38" t="s">
        <v>414</v>
      </c>
      <c r="D279" s="21" t="n">
        <v>391</v>
      </c>
      <c r="E279" s="21" t="n">
        <v>381</v>
      </c>
      <c r="F279" s="51" t="n">
        <f aca="false">IF(E279="","",D279-E279)</f>
        <v>10</v>
      </c>
      <c r="G279" s="21" t="n">
        <v>138</v>
      </c>
      <c r="H279" s="21" t="n">
        <v>184</v>
      </c>
      <c r="I279" s="51" t="n">
        <f aca="false">IF(H279="","",G279-H279)</f>
        <v>-46</v>
      </c>
      <c r="J279" s="39" t="n">
        <f aca="false">IF(OR(D279="",D279+G279=0),"",D279/(D279+G279))</f>
        <v>0.739130434782609</v>
      </c>
      <c r="K279" s="39" t="n">
        <f aca="false">IF(E279="","",E279/(E279+H279))</f>
        <v>0.674336283185841</v>
      </c>
      <c r="L279" s="52" t="n">
        <f aca="false">IF(OR(K279="",J279=""),"",(J279-K279)*100)</f>
        <v>6.47941515967679</v>
      </c>
      <c r="M279" s="38"/>
    </row>
    <row r="280" customFormat="false" ht="15" hidden="false" customHeight="false" outlineLevel="0" collapsed="false">
      <c r="A280" s="38" t="s">
        <v>344</v>
      </c>
      <c r="B280" s="38" t="s">
        <v>404</v>
      </c>
      <c r="C280" s="38" t="s">
        <v>415</v>
      </c>
      <c r="D280" s="21" t="n">
        <v>706</v>
      </c>
      <c r="E280" s="21"/>
      <c r="F280" s="51" t="str">
        <f aca="false">IF(E280="","",D280-E280)</f>
        <v/>
      </c>
      <c r="G280" s="21" t="n">
        <v>378</v>
      </c>
      <c r="H280" s="21"/>
      <c r="I280" s="51" t="str">
        <f aca="false">IF(H280="","",G280-H280)</f>
        <v/>
      </c>
      <c r="J280" s="39" t="n">
        <f aca="false">IF(OR(D280="",D280+G280=0),"",D280/(D280+G280))</f>
        <v>0.651291512915129</v>
      </c>
      <c r="K280" s="39" t="str">
        <f aca="false">IF(E280="","",E280/(E280+H280))</f>
        <v/>
      </c>
      <c r="L280" s="52" t="str">
        <f aca="false">IF(OR(K280="",J280=""),"",(J280-K280)*100)</f>
        <v/>
      </c>
      <c r="M280" s="38" t="s">
        <v>691</v>
      </c>
    </row>
    <row r="281" customFormat="false" ht="15" hidden="false" customHeight="false" outlineLevel="0" collapsed="false">
      <c r="A281" s="38" t="s">
        <v>344</v>
      </c>
      <c r="B281" s="38" t="s">
        <v>404</v>
      </c>
      <c r="C281" s="38" t="s">
        <v>416</v>
      </c>
      <c r="D281" s="21" t="n">
        <v>882</v>
      </c>
      <c r="E281" s="21" t="n">
        <v>912</v>
      </c>
      <c r="F281" s="51" t="n">
        <f aca="false">IF(E281="","",D281-E281)</f>
        <v>-30</v>
      </c>
      <c r="G281" s="21" t="n">
        <v>331</v>
      </c>
      <c r="H281" s="21" t="n">
        <v>445</v>
      </c>
      <c r="I281" s="51" t="n">
        <f aca="false">IF(H281="","",G281-H281)</f>
        <v>-114</v>
      </c>
      <c r="J281" s="39" t="n">
        <f aca="false">IF(OR(D281="",D281+G281=0),"",D281/(D281+G281))</f>
        <v>0.727122835943941</v>
      </c>
      <c r="K281" s="39" t="n">
        <f aca="false">IF(E281="","",E281/(E281+H281))</f>
        <v>0.672070744288873</v>
      </c>
      <c r="L281" s="52" t="n">
        <f aca="false">IF(OR(K281="",J281=""),"",(J281-K281)*100)</f>
        <v>5.50520916550682</v>
      </c>
      <c r="M281" s="38"/>
    </row>
    <row r="282" customFormat="false" ht="15" hidden="false" customHeight="false" outlineLevel="0" collapsed="false">
      <c r="A282" s="38" t="s">
        <v>344</v>
      </c>
      <c r="B282" s="38" t="s">
        <v>417</v>
      </c>
      <c r="C282" s="38" t="s">
        <v>418</v>
      </c>
      <c r="D282" s="21" t="n">
        <v>1524</v>
      </c>
      <c r="E282" s="21"/>
      <c r="F282" s="51" t="str">
        <f aca="false">IF(E282="","",D282-E282)</f>
        <v/>
      </c>
      <c r="G282" s="21" t="n">
        <v>1352</v>
      </c>
      <c r="H282" s="21"/>
      <c r="I282" s="51" t="str">
        <f aca="false">IF(H282="","",G282-H282)</f>
        <v/>
      </c>
      <c r="J282" s="39" t="n">
        <f aca="false">IF(OR(D282="",D282+G282=0),"",D282/(D282+G282))</f>
        <v>0.52990264255911</v>
      </c>
      <c r="K282" s="39" t="str">
        <f aca="false">IF(E282="","",E282/(E282+H282))</f>
        <v/>
      </c>
      <c r="L282" s="52" t="str">
        <f aca="false">IF(OR(K282="",J282=""),"",(J282-K282)*100)</f>
        <v/>
      </c>
      <c r="M282" s="38" t="s">
        <v>691</v>
      </c>
    </row>
    <row r="283" customFormat="false" ht="15" hidden="false" customHeight="false" outlineLevel="0" collapsed="false">
      <c r="A283" s="38" t="s">
        <v>344</v>
      </c>
      <c r="B283" s="38" t="s">
        <v>417</v>
      </c>
      <c r="C283" s="38" t="s">
        <v>419</v>
      </c>
      <c r="D283" s="21" t="n">
        <v>675</v>
      </c>
      <c r="E283" s="21"/>
      <c r="F283" s="51" t="str">
        <f aca="false">IF(E283="","",D283-E283)</f>
        <v/>
      </c>
      <c r="G283" s="21" t="n">
        <v>620</v>
      </c>
      <c r="H283" s="21"/>
      <c r="I283" s="51" t="str">
        <f aca="false">IF(H283="","",G283-H283)</f>
        <v/>
      </c>
      <c r="J283" s="39" t="n">
        <f aca="false">IF(OR(D283="",D283+G283=0),"",D283/(D283+G283))</f>
        <v>0.521235521235521</v>
      </c>
      <c r="K283" s="39" t="str">
        <f aca="false">IF(E283="","",E283/(E283+H283))</f>
        <v/>
      </c>
      <c r="L283" s="52" t="str">
        <f aca="false">IF(OR(K283="",J283=""),"",(J283-K283)*100)</f>
        <v/>
      </c>
      <c r="M283" s="38" t="s">
        <v>691</v>
      </c>
    </row>
    <row r="284" customFormat="false" ht="15" hidden="false" customHeight="false" outlineLevel="0" collapsed="false">
      <c r="A284" s="38" t="s">
        <v>344</v>
      </c>
      <c r="B284" s="38" t="s">
        <v>417</v>
      </c>
      <c r="C284" s="38" t="s">
        <v>420</v>
      </c>
      <c r="D284" s="21" t="n">
        <v>836</v>
      </c>
      <c r="E284" s="21"/>
      <c r="F284" s="51" t="str">
        <f aca="false">IF(E284="","",D284-E284)</f>
        <v/>
      </c>
      <c r="G284" s="21" t="n">
        <v>750</v>
      </c>
      <c r="H284" s="21"/>
      <c r="I284" s="51" t="str">
        <f aca="false">IF(H284="","",G284-H284)</f>
        <v/>
      </c>
      <c r="J284" s="39" t="n">
        <f aca="false">IF(OR(D284="",D284+G284=0),"",D284/(D284+G284))</f>
        <v>0.527112232030265</v>
      </c>
      <c r="K284" s="39" t="str">
        <f aca="false">IF(E284="","",E284/(E284+H284))</f>
        <v/>
      </c>
      <c r="L284" s="52" t="str">
        <f aca="false">IF(OR(K284="",J284=""),"",(J284-K284)*100)</f>
        <v/>
      </c>
      <c r="M284" s="38" t="s">
        <v>691</v>
      </c>
    </row>
    <row r="285" customFormat="false" ht="15" hidden="false" customHeight="false" outlineLevel="0" collapsed="false">
      <c r="A285" s="38" t="s">
        <v>344</v>
      </c>
      <c r="B285" s="38" t="s">
        <v>417</v>
      </c>
      <c r="C285" s="38" t="s">
        <v>421</v>
      </c>
      <c r="D285" s="21" t="n">
        <v>746</v>
      </c>
      <c r="E285" s="21"/>
      <c r="F285" s="51" t="str">
        <f aca="false">IF(E285="","",D285-E285)</f>
        <v/>
      </c>
      <c r="G285" s="21" t="n">
        <v>643</v>
      </c>
      <c r="H285" s="21"/>
      <c r="I285" s="51" t="str">
        <f aca="false">IF(H285="","",G285-H285)</f>
        <v/>
      </c>
      <c r="J285" s="39" t="n">
        <f aca="false">IF(OR(D285="",D285+G285=0),"",D285/(D285+G285))</f>
        <v>0.537077033837293</v>
      </c>
      <c r="K285" s="39" t="str">
        <f aca="false">IF(E285="","",E285/(E285+H285))</f>
        <v/>
      </c>
      <c r="L285" s="52" t="str">
        <f aca="false">IF(OR(K285="",J285=""),"",(J285-K285)*100)</f>
        <v/>
      </c>
      <c r="M285" s="38" t="s">
        <v>691</v>
      </c>
    </row>
    <row r="286" customFormat="false" ht="15" hidden="false" customHeight="false" outlineLevel="0" collapsed="false">
      <c r="A286" s="38" t="s">
        <v>344</v>
      </c>
      <c r="B286" s="38" t="s">
        <v>417</v>
      </c>
      <c r="C286" s="38" t="s">
        <v>422</v>
      </c>
      <c r="D286" s="21" t="n">
        <v>1088</v>
      </c>
      <c r="E286" s="21" t="n">
        <v>975</v>
      </c>
      <c r="F286" s="51" t="n">
        <f aca="false">IF(E286="","",D286-E286)</f>
        <v>113</v>
      </c>
      <c r="G286" s="21" t="n">
        <v>867</v>
      </c>
      <c r="H286" s="21" t="n">
        <v>935</v>
      </c>
      <c r="I286" s="51" t="n">
        <f aca="false">IF(H286="","",G286-H286)</f>
        <v>-68</v>
      </c>
      <c r="J286" s="39" t="n">
        <f aca="false">IF(OR(D286="",D286+G286=0),"",D286/(D286+G286))</f>
        <v>0.556521739130435</v>
      </c>
      <c r="K286" s="39" t="n">
        <f aca="false">IF(E286="","",E286/(E286+H286))</f>
        <v>0.510471204188482</v>
      </c>
      <c r="L286" s="52" t="n">
        <f aca="false">IF(OR(K286="",J286=""),"",(J286-K286)*100)</f>
        <v>4.60505349419531</v>
      </c>
      <c r="M286" s="38"/>
    </row>
    <row r="287" customFormat="false" ht="15" hidden="false" customHeight="false" outlineLevel="0" collapsed="false">
      <c r="A287" s="38" t="s">
        <v>344</v>
      </c>
      <c r="B287" s="38" t="s">
        <v>417</v>
      </c>
      <c r="C287" s="38" t="s">
        <v>423</v>
      </c>
      <c r="D287" s="21" t="n">
        <v>821</v>
      </c>
      <c r="E287" s="21"/>
      <c r="F287" s="51" t="str">
        <f aca="false">IF(E287="","",D287-E287)</f>
        <v/>
      </c>
      <c r="G287" s="21" t="n">
        <v>740</v>
      </c>
      <c r="H287" s="21"/>
      <c r="I287" s="51" t="str">
        <f aca="false">IF(H287="","",G287-H287)</f>
        <v/>
      </c>
      <c r="J287" s="39" t="n">
        <f aca="false">IF(OR(D287="",D287+G287=0),"",D287/(D287+G287))</f>
        <v>0.525944907110826</v>
      </c>
      <c r="K287" s="39" t="str">
        <f aca="false">IF(E287="","",E287/(E287+H287))</f>
        <v/>
      </c>
      <c r="L287" s="52" t="str">
        <f aca="false">IF(OR(K287="",J287=""),"",(J287-K287)*100)</f>
        <v/>
      </c>
      <c r="M287" s="38" t="s">
        <v>691</v>
      </c>
    </row>
    <row r="288" customFormat="false" ht="15" hidden="false" customHeight="false" outlineLevel="0" collapsed="false">
      <c r="A288" s="38" t="s">
        <v>344</v>
      </c>
      <c r="B288" s="38" t="s">
        <v>417</v>
      </c>
      <c r="C288" s="38" t="s">
        <v>424</v>
      </c>
      <c r="D288" s="21" t="n">
        <v>719</v>
      </c>
      <c r="E288" s="21"/>
      <c r="F288" s="51" t="str">
        <f aca="false">IF(E288="","",D288-E288)</f>
        <v/>
      </c>
      <c r="G288" s="21" t="n">
        <v>734</v>
      </c>
      <c r="H288" s="21"/>
      <c r="I288" s="51" t="str">
        <f aca="false">IF(H288="","",G288-H288)</f>
        <v/>
      </c>
      <c r="J288" s="39" t="n">
        <f aca="false">IF(OR(D288="",D288+G288=0),"",D288/(D288+G288))</f>
        <v>0.494838265657261</v>
      </c>
      <c r="K288" s="39" t="str">
        <f aca="false">IF(E288="","",E288/(E288+H288))</f>
        <v/>
      </c>
      <c r="L288" s="52" t="str">
        <f aca="false">IF(OR(K288="",J288=""),"",(J288-K288)*100)</f>
        <v/>
      </c>
      <c r="M288" s="38" t="s">
        <v>691</v>
      </c>
    </row>
    <row r="289" customFormat="false" ht="15" hidden="false" customHeight="false" outlineLevel="0" collapsed="false">
      <c r="A289" s="38" t="s">
        <v>344</v>
      </c>
      <c r="B289" s="38" t="s">
        <v>425</v>
      </c>
      <c r="C289" s="38" t="s">
        <v>425</v>
      </c>
      <c r="D289" s="21" t="n">
        <v>758</v>
      </c>
      <c r="E289" s="21" t="n">
        <v>714</v>
      </c>
      <c r="F289" s="51" t="n">
        <f aca="false">IF(E289="","",D289-E289)</f>
        <v>44</v>
      </c>
      <c r="G289" s="21" t="n">
        <v>467</v>
      </c>
      <c r="H289" s="21" t="n">
        <v>484</v>
      </c>
      <c r="I289" s="51" t="n">
        <f aca="false">IF(H289="","",G289-H289)</f>
        <v>-17</v>
      </c>
      <c r="J289" s="39" t="n">
        <f aca="false">IF(OR(D289="",D289+G289=0),"",D289/(D289+G289))</f>
        <v>0.618775510204082</v>
      </c>
      <c r="K289" s="39" t="n">
        <f aca="false">IF(E289="","",E289/(E289+H289))</f>
        <v>0.595993322203673</v>
      </c>
      <c r="L289" s="52" t="n">
        <f aca="false">IF(OR(K289="",J289=""),"",(J289-K289)*100)</f>
        <v>2.27821880004089</v>
      </c>
      <c r="M289" s="38"/>
    </row>
    <row r="290" customFormat="false" ht="15" hidden="false" customHeight="false" outlineLevel="0" collapsed="false">
      <c r="A290" s="38" t="s">
        <v>344</v>
      </c>
      <c r="B290" s="38" t="s">
        <v>426</v>
      </c>
      <c r="C290" s="38" t="s">
        <v>426</v>
      </c>
      <c r="D290" s="21" t="n">
        <v>111</v>
      </c>
      <c r="E290" s="21" t="n">
        <v>109</v>
      </c>
      <c r="F290" s="51" t="n">
        <f aca="false">IF(E290="","",D290-E290)</f>
        <v>2</v>
      </c>
      <c r="G290" s="21" t="n">
        <v>96</v>
      </c>
      <c r="H290" s="21" t="n">
        <v>97</v>
      </c>
      <c r="I290" s="51" t="n">
        <f aca="false">IF(H290="","",G290-H290)</f>
        <v>-1</v>
      </c>
      <c r="J290" s="39" t="n">
        <f aca="false">IF(OR(D290="",D290+G290=0),"",D290/(D290+G290))</f>
        <v>0.536231884057971</v>
      </c>
      <c r="K290" s="39" t="n">
        <f aca="false">IF(E290="","",E290/(E290+H290))</f>
        <v>0.529126213592233</v>
      </c>
      <c r="L290" s="52" t="n">
        <f aca="false">IF(OR(K290="",J290=""),"",(J290-K290)*100)</f>
        <v>0.710567046573807</v>
      </c>
      <c r="M290" s="38"/>
    </row>
    <row r="291" customFormat="false" ht="15" hidden="false" customHeight="false" outlineLevel="0" collapsed="false">
      <c r="A291" s="38" t="s">
        <v>344</v>
      </c>
      <c r="B291" s="38" t="s">
        <v>251</v>
      </c>
      <c r="C291" s="38" t="s">
        <v>427</v>
      </c>
      <c r="D291" s="21" t="n">
        <v>1026</v>
      </c>
      <c r="E291" s="21" t="n">
        <v>955</v>
      </c>
      <c r="F291" s="51" t="n">
        <f aca="false">IF(E291="","",D291-E291)</f>
        <v>71</v>
      </c>
      <c r="G291" s="21" t="n">
        <v>743</v>
      </c>
      <c r="H291" s="21" t="n">
        <v>692</v>
      </c>
      <c r="I291" s="51" t="n">
        <f aca="false">IF(H291="","",G291-H291)</f>
        <v>51</v>
      </c>
      <c r="J291" s="39" t="n">
        <f aca="false">IF(OR(D291="",D291+G291=0),"",D291/(D291+G291))</f>
        <v>0.579988694177501</v>
      </c>
      <c r="K291" s="39" t="n">
        <f aca="false">IF(E291="","",E291/(E291+H291))</f>
        <v>0.579842137219186</v>
      </c>
      <c r="L291" s="52" t="n">
        <f aca="false">IF(OR(K291="",J291=""),"",(J291-K291)*100)</f>
        <v>0.0146556958315003</v>
      </c>
      <c r="M291" s="38"/>
    </row>
    <row r="292" customFormat="false" ht="15" hidden="false" customHeight="false" outlineLevel="0" collapsed="false">
      <c r="A292" s="38" t="s">
        <v>344</v>
      </c>
      <c r="B292" s="38" t="s">
        <v>251</v>
      </c>
      <c r="C292" s="38" t="s">
        <v>428</v>
      </c>
      <c r="D292" s="21" t="n">
        <v>1010</v>
      </c>
      <c r="E292" s="21" t="n">
        <v>910</v>
      </c>
      <c r="F292" s="51" t="n">
        <f aca="false">IF(E292="","",D292-E292)</f>
        <v>100</v>
      </c>
      <c r="G292" s="21" t="n">
        <v>786</v>
      </c>
      <c r="H292" s="21" t="n">
        <v>742</v>
      </c>
      <c r="I292" s="51" t="n">
        <f aca="false">IF(H292="","",G292-H292)</f>
        <v>44</v>
      </c>
      <c r="J292" s="39" t="n">
        <f aca="false">IF(OR(D292="",D292+G292=0),"",D292/(D292+G292))</f>
        <v>0.562360801781737</v>
      </c>
      <c r="K292" s="39" t="n">
        <f aca="false">IF(E292="","",E292/(E292+H292))</f>
        <v>0.550847457627119</v>
      </c>
      <c r="L292" s="52" t="n">
        <f aca="false">IF(OR(K292="",J292=""),"",(J292-K292)*100)</f>
        <v>1.15133441546186</v>
      </c>
      <c r="M292" s="38"/>
    </row>
    <row r="293" customFormat="false" ht="15" hidden="false" customHeight="false" outlineLevel="0" collapsed="false">
      <c r="A293" s="38" t="s">
        <v>344</v>
      </c>
      <c r="B293" s="38" t="s">
        <v>251</v>
      </c>
      <c r="C293" s="38" t="s">
        <v>429</v>
      </c>
      <c r="D293" s="21" t="n">
        <v>491</v>
      </c>
      <c r="E293" s="21" t="n">
        <v>446</v>
      </c>
      <c r="F293" s="51" t="n">
        <f aca="false">IF(E293="","",D293-E293)</f>
        <v>45</v>
      </c>
      <c r="G293" s="21" t="n">
        <v>417</v>
      </c>
      <c r="H293" s="21" t="n">
        <v>410</v>
      </c>
      <c r="I293" s="51" t="n">
        <f aca="false">IF(H293="","",G293-H293)</f>
        <v>7</v>
      </c>
      <c r="J293" s="39" t="n">
        <f aca="false">IF(OR(D293="",D293+G293=0),"",D293/(D293+G293))</f>
        <v>0.540748898678414</v>
      </c>
      <c r="K293" s="39" t="n">
        <f aca="false">IF(E293="","",E293/(E293+H293))</f>
        <v>0.521028037383178</v>
      </c>
      <c r="L293" s="52" t="n">
        <f aca="false">IF(OR(K293="",J293=""),"",(J293-K293)*100)</f>
        <v>1.97208612952365</v>
      </c>
      <c r="M293" s="38"/>
    </row>
    <row r="294" customFormat="false" ht="15" hidden="false" customHeight="false" outlineLevel="0" collapsed="false">
      <c r="A294" s="38" t="s">
        <v>344</v>
      </c>
      <c r="B294" s="38" t="s">
        <v>251</v>
      </c>
      <c r="C294" s="38" t="s">
        <v>430</v>
      </c>
      <c r="D294" s="21" t="n">
        <v>835</v>
      </c>
      <c r="E294" s="21" t="n">
        <v>744</v>
      </c>
      <c r="F294" s="51" t="n">
        <f aca="false">IF(E294="","",D294-E294)</f>
        <v>91</v>
      </c>
      <c r="G294" s="21" t="n">
        <v>705</v>
      </c>
      <c r="H294" s="21" t="n">
        <v>678</v>
      </c>
      <c r="I294" s="51" t="n">
        <f aca="false">IF(H294="","",G294-H294)</f>
        <v>27</v>
      </c>
      <c r="J294" s="39" t="n">
        <f aca="false">IF(OR(D294="",D294+G294=0),"",D294/(D294+G294))</f>
        <v>0.542207792207792</v>
      </c>
      <c r="K294" s="39" t="n">
        <f aca="false">IF(E294="","",E294/(E294+H294))</f>
        <v>0.523206751054852</v>
      </c>
      <c r="L294" s="52" t="n">
        <f aca="false">IF(OR(K294="",J294=""),"",(J294-K294)*100)</f>
        <v>1.90010411529399</v>
      </c>
      <c r="M294" s="38"/>
    </row>
    <row r="295" customFormat="false" ht="15" hidden="false" customHeight="false" outlineLevel="0" collapsed="false">
      <c r="A295" s="38" t="s">
        <v>344</v>
      </c>
      <c r="B295" s="38" t="s">
        <v>251</v>
      </c>
      <c r="C295" s="38" t="s">
        <v>431</v>
      </c>
      <c r="D295" s="21" t="n">
        <v>846</v>
      </c>
      <c r="E295" s="21" t="n">
        <v>775</v>
      </c>
      <c r="F295" s="51" t="n">
        <f aca="false">IF(E295="","",D295-E295)</f>
        <v>71</v>
      </c>
      <c r="G295" s="21" t="n">
        <v>643</v>
      </c>
      <c r="H295" s="21" t="n">
        <v>645</v>
      </c>
      <c r="I295" s="51" t="n">
        <f aca="false">IF(H295="","",G295-H295)</f>
        <v>-2</v>
      </c>
      <c r="J295" s="39" t="n">
        <f aca="false">IF(OR(D295="",D295+G295=0),"",D295/(D295+G295))</f>
        <v>0.568166554734721</v>
      </c>
      <c r="K295" s="39" t="n">
        <f aca="false">IF(E295="","",E295/(E295+H295))</f>
        <v>0.545774647887324</v>
      </c>
      <c r="L295" s="52" t="n">
        <f aca="false">IF(OR(K295="",J295=""),"",(J295-K295)*100)</f>
        <v>2.23919068473973</v>
      </c>
      <c r="M295" s="38"/>
    </row>
    <row r="296" customFormat="false" ht="15" hidden="false" customHeight="false" outlineLevel="0" collapsed="false">
      <c r="A296" s="38" t="s">
        <v>344</v>
      </c>
      <c r="B296" s="38" t="s">
        <v>251</v>
      </c>
      <c r="C296" s="38" t="s">
        <v>432</v>
      </c>
      <c r="D296" s="21" t="n">
        <v>572</v>
      </c>
      <c r="E296" s="21" t="n">
        <v>511</v>
      </c>
      <c r="F296" s="51" t="n">
        <f aca="false">IF(E296="","",D296-E296)</f>
        <v>61</v>
      </c>
      <c r="G296" s="21" t="n">
        <v>473</v>
      </c>
      <c r="H296" s="21" t="n">
        <v>453</v>
      </c>
      <c r="I296" s="51" t="n">
        <f aca="false">IF(H296="","",G296-H296)</f>
        <v>20</v>
      </c>
      <c r="J296" s="39" t="n">
        <f aca="false">IF(OR(D296="",D296+G296=0),"",D296/(D296+G296))</f>
        <v>0.547368421052632</v>
      </c>
      <c r="K296" s="39" t="n">
        <f aca="false">IF(E296="","",E296/(E296+H296))</f>
        <v>0.530082987551867</v>
      </c>
      <c r="L296" s="52" t="n">
        <f aca="false">IF(OR(K296="",J296=""),"",(J296-K296)*100)</f>
        <v>1.72854335007644</v>
      </c>
      <c r="M296" s="38"/>
    </row>
    <row r="297" customFormat="false" ht="15" hidden="false" customHeight="false" outlineLevel="0" collapsed="false">
      <c r="A297" s="38" t="s">
        <v>344</v>
      </c>
      <c r="B297" s="38" t="s">
        <v>433</v>
      </c>
      <c r="C297" s="38" t="s">
        <v>434</v>
      </c>
      <c r="D297" s="21" t="n">
        <v>636</v>
      </c>
      <c r="E297" s="21" t="n">
        <v>553</v>
      </c>
      <c r="F297" s="51" t="n">
        <f aca="false">IF(E297="","",D297-E297)</f>
        <v>83</v>
      </c>
      <c r="G297" s="21" t="n">
        <v>567</v>
      </c>
      <c r="H297" s="21" t="n">
        <v>581</v>
      </c>
      <c r="I297" s="51" t="n">
        <f aca="false">IF(H297="","",G297-H297)</f>
        <v>-14</v>
      </c>
      <c r="J297" s="39" t="n">
        <f aca="false">IF(OR(D297="",D297+G297=0),"",D297/(D297+G297))</f>
        <v>0.528678304239402</v>
      </c>
      <c r="K297" s="39" t="n">
        <f aca="false">IF(E297="","",E297/(E297+H297))</f>
        <v>0.487654320987654</v>
      </c>
      <c r="L297" s="52" t="n">
        <f aca="false">IF(OR(K297="",J297=""),"",(J297-K297)*100)</f>
        <v>4.10239832517472</v>
      </c>
      <c r="M297" s="38"/>
    </row>
    <row r="298" customFormat="false" ht="15" hidden="false" customHeight="false" outlineLevel="0" collapsed="false">
      <c r="A298" s="38" t="s">
        <v>344</v>
      </c>
      <c r="B298" s="38" t="s">
        <v>433</v>
      </c>
      <c r="C298" s="38" t="s">
        <v>435</v>
      </c>
      <c r="D298" s="21" t="n">
        <v>507</v>
      </c>
      <c r="E298" s="21" t="n">
        <v>473</v>
      </c>
      <c r="F298" s="51" t="n">
        <f aca="false">IF(E298="","",D298-E298)</f>
        <v>34</v>
      </c>
      <c r="G298" s="21" t="n">
        <v>410</v>
      </c>
      <c r="H298" s="21" t="n">
        <v>465</v>
      </c>
      <c r="I298" s="51" t="n">
        <f aca="false">IF(H298="","",G298-H298)</f>
        <v>-55</v>
      </c>
      <c r="J298" s="39" t="n">
        <f aca="false">IF(OR(D298="",D298+G298=0),"",D298/(D298+G298))</f>
        <v>0.55288985823337</v>
      </c>
      <c r="K298" s="39" t="n">
        <f aca="false">IF(E298="","",E298/(E298+H298))</f>
        <v>0.504264392324094</v>
      </c>
      <c r="L298" s="52" t="n">
        <f aca="false">IF(OR(K298="",J298=""),"",(J298-K298)*100)</f>
        <v>4.86254659092759</v>
      </c>
      <c r="M298" s="38"/>
    </row>
    <row r="299" customFormat="false" ht="15" hidden="false" customHeight="false" outlineLevel="0" collapsed="false">
      <c r="A299" s="38" t="s">
        <v>344</v>
      </c>
      <c r="B299" s="38" t="s">
        <v>433</v>
      </c>
      <c r="C299" s="38" t="s">
        <v>436</v>
      </c>
      <c r="D299" s="21" t="n">
        <v>731</v>
      </c>
      <c r="E299" s="21" t="n">
        <v>700</v>
      </c>
      <c r="F299" s="51" t="n">
        <f aca="false">IF(E299="","",D299-E299)</f>
        <v>31</v>
      </c>
      <c r="G299" s="21" t="n">
        <v>572</v>
      </c>
      <c r="H299" s="21" t="n">
        <v>639</v>
      </c>
      <c r="I299" s="51" t="n">
        <f aca="false">IF(H299="","",G299-H299)</f>
        <v>-67</v>
      </c>
      <c r="J299" s="39" t="n">
        <f aca="false">IF(OR(D299="",D299+G299=0),"",D299/(D299+G299))</f>
        <v>0.561013046815042</v>
      </c>
      <c r="K299" s="39" t="n">
        <f aca="false">IF(E299="","",E299/(E299+H299))</f>
        <v>0.522778192681105</v>
      </c>
      <c r="L299" s="52" t="n">
        <f aca="false">IF(OR(K299="",J299=""),"",(J299-K299)*100)</f>
        <v>3.82348541339369</v>
      </c>
      <c r="M299" s="38"/>
    </row>
    <row r="300" customFormat="false" ht="15" hidden="false" customHeight="false" outlineLevel="0" collapsed="false">
      <c r="A300" s="38" t="s">
        <v>344</v>
      </c>
      <c r="B300" s="38" t="s">
        <v>437</v>
      </c>
      <c r="C300" s="38" t="s">
        <v>438</v>
      </c>
      <c r="D300" s="21" t="n">
        <v>636</v>
      </c>
      <c r="E300" s="21" t="n">
        <v>546</v>
      </c>
      <c r="F300" s="51" t="n">
        <f aca="false">IF(E300="","",D300-E300)</f>
        <v>90</v>
      </c>
      <c r="G300" s="21" t="n">
        <v>1105</v>
      </c>
      <c r="H300" s="21" t="n">
        <v>1089</v>
      </c>
      <c r="I300" s="51" t="n">
        <f aca="false">IF(H300="","",G300-H300)</f>
        <v>16</v>
      </c>
      <c r="J300" s="39" t="n">
        <f aca="false">IF(OR(D300="",D300+G300=0),"",D300/(D300+G300))</f>
        <v>0.365307294658242</v>
      </c>
      <c r="K300" s="39" t="n">
        <f aca="false">IF(E300="","",E300/(E300+H300))</f>
        <v>0.33394495412844</v>
      </c>
      <c r="L300" s="52" t="n">
        <f aca="false">IF(OR(K300="",J300=""),"",(J300-K300)*100)</f>
        <v>3.1362340529802</v>
      </c>
      <c r="M300" s="38"/>
    </row>
    <row r="301" customFormat="false" ht="15" hidden="false" customHeight="false" outlineLevel="0" collapsed="false">
      <c r="A301" s="38" t="s">
        <v>344</v>
      </c>
      <c r="B301" s="38" t="s">
        <v>437</v>
      </c>
      <c r="C301" s="38" t="s">
        <v>439</v>
      </c>
      <c r="D301" s="21" t="n">
        <v>729</v>
      </c>
      <c r="E301" s="21" t="n">
        <v>636</v>
      </c>
      <c r="F301" s="51" t="n">
        <f aca="false">IF(E301="","",D301-E301)</f>
        <v>93</v>
      </c>
      <c r="G301" s="21" t="n">
        <v>1232</v>
      </c>
      <c r="H301" s="21" t="n">
        <v>1262</v>
      </c>
      <c r="I301" s="51" t="n">
        <f aca="false">IF(H301="","",G301-H301)</f>
        <v>-30</v>
      </c>
      <c r="J301" s="39" t="n">
        <f aca="false">IF(OR(D301="",D301+G301=0),"",D301/(D301+G301))</f>
        <v>0.371749107598164</v>
      </c>
      <c r="K301" s="39" t="n">
        <f aca="false">IF(E301="","",E301/(E301+H301))</f>
        <v>0.33508956796628</v>
      </c>
      <c r="L301" s="52" t="n">
        <f aca="false">IF(OR(K301="",J301=""),"",(J301-K301)*100)</f>
        <v>3.66595396318839</v>
      </c>
      <c r="M301" s="38"/>
    </row>
    <row r="302" customFormat="false" ht="15" hidden="false" customHeight="false" outlineLevel="0" collapsed="false">
      <c r="A302" s="38" t="s">
        <v>344</v>
      </c>
      <c r="B302" s="38" t="s">
        <v>437</v>
      </c>
      <c r="C302" s="38" t="s">
        <v>440</v>
      </c>
      <c r="D302" s="21" t="n">
        <v>245</v>
      </c>
      <c r="E302" s="21" t="n">
        <v>224</v>
      </c>
      <c r="F302" s="51" t="n">
        <f aca="false">IF(E302="","",D302-E302)</f>
        <v>21</v>
      </c>
      <c r="G302" s="21" t="n">
        <v>494</v>
      </c>
      <c r="H302" s="21" t="n">
        <v>495</v>
      </c>
      <c r="I302" s="51" t="n">
        <f aca="false">IF(H302="","",G302-H302)</f>
        <v>-1</v>
      </c>
      <c r="J302" s="39" t="n">
        <f aca="false">IF(OR(D302="",D302+G302=0),"",D302/(D302+G302))</f>
        <v>0.331529093369418</v>
      </c>
      <c r="K302" s="39" t="n">
        <f aca="false">IF(E302="","",E302/(E302+H302))</f>
        <v>0.311543810848401</v>
      </c>
      <c r="L302" s="52" t="n">
        <f aca="false">IF(OR(K302="",J302=""),"",(J302-K302)*100)</f>
        <v>1.99852825210176</v>
      </c>
      <c r="M302" s="38"/>
    </row>
    <row r="303" customFormat="false" ht="15" hidden="false" customHeight="false" outlineLevel="0" collapsed="false">
      <c r="A303" s="38" t="s">
        <v>344</v>
      </c>
      <c r="B303" s="38" t="s">
        <v>437</v>
      </c>
      <c r="C303" s="38" t="s">
        <v>441</v>
      </c>
      <c r="D303" s="21" t="n">
        <v>567</v>
      </c>
      <c r="E303" s="21" t="n">
        <v>478</v>
      </c>
      <c r="F303" s="51" t="n">
        <f aca="false">IF(E303="","",D303-E303)</f>
        <v>89</v>
      </c>
      <c r="G303" s="21" t="n">
        <v>976</v>
      </c>
      <c r="H303" s="21" t="n">
        <v>948</v>
      </c>
      <c r="I303" s="51" t="n">
        <f aca="false">IF(H303="","",G303-H303)</f>
        <v>28</v>
      </c>
      <c r="J303" s="39" t="n">
        <f aca="false">IF(OR(D303="",D303+G303=0),"",D303/(D303+G303))</f>
        <v>0.367465975372651</v>
      </c>
      <c r="K303" s="39" t="n">
        <f aca="false">IF(E303="","",E303/(E303+H303))</f>
        <v>0.335203366058906</v>
      </c>
      <c r="L303" s="52" t="n">
        <f aca="false">IF(OR(K303="",J303=""),"",(J303-K303)*100)</f>
        <v>3.22626093137446</v>
      </c>
      <c r="M303" s="38"/>
    </row>
    <row r="304" customFormat="false" ht="15" hidden="false" customHeight="false" outlineLevel="0" collapsed="false">
      <c r="A304" s="38" t="s">
        <v>344</v>
      </c>
      <c r="B304" s="38" t="s">
        <v>437</v>
      </c>
      <c r="C304" s="38" t="s">
        <v>442</v>
      </c>
      <c r="D304" s="21" t="n">
        <v>382</v>
      </c>
      <c r="E304" s="21" t="n">
        <v>360</v>
      </c>
      <c r="F304" s="51" t="n">
        <f aca="false">IF(E304="","",D304-E304)</f>
        <v>22</v>
      </c>
      <c r="G304" s="21" t="n">
        <v>668</v>
      </c>
      <c r="H304" s="21" t="n">
        <v>645</v>
      </c>
      <c r="I304" s="51" t="n">
        <f aca="false">IF(H304="","",G304-H304)</f>
        <v>23</v>
      </c>
      <c r="J304" s="39" t="n">
        <f aca="false">IF(OR(D304="",D304+G304=0),"",D304/(D304+G304))</f>
        <v>0.363809523809524</v>
      </c>
      <c r="K304" s="39" t="n">
        <f aca="false">IF(E304="","",E304/(E304+H304))</f>
        <v>0.358208955223881</v>
      </c>
      <c r="L304" s="52" t="n">
        <f aca="false">IF(OR(K304="",J304=""),"",(J304-K304)*100)</f>
        <v>0.560056858564323</v>
      </c>
      <c r="M304" s="38"/>
    </row>
    <row r="305" customFormat="false" ht="15" hidden="false" customHeight="false" outlineLevel="0" collapsed="false">
      <c r="A305" s="38" t="s">
        <v>344</v>
      </c>
      <c r="B305" s="38" t="s">
        <v>443</v>
      </c>
      <c r="C305" s="38" t="s">
        <v>444</v>
      </c>
      <c r="D305" s="21" t="n">
        <v>277</v>
      </c>
      <c r="E305" s="21" t="n">
        <v>264</v>
      </c>
      <c r="F305" s="51" t="n">
        <f aca="false">IF(E305="","",D305-E305)</f>
        <v>13</v>
      </c>
      <c r="G305" s="21" t="n">
        <v>444</v>
      </c>
      <c r="H305" s="21" t="n">
        <v>439</v>
      </c>
      <c r="I305" s="51" t="n">
        <f aca="false">IF(H305="","",G305-H305)</f>
        <v>5</v>
      </c>
      <c r="J305" s="39" t="n">
        <f aca="false">IF(OR(D305="",D305+G305=0),"",D305/(D305+G305))</f>
        <v>0.384188626907074</v>
      </c>
      <c r="K305" s="39" t="n">
        <f aca="false">IF(E305="","",E305/(E305+H305))</f>
        <v>0.375533428165007</v>
      </c>
      <c r="L305" s="52" t="n">
        <f aca="false">IF(OR(K305="",J305=""),"",(J305-K305)*100)</f>
        <v>0.865519874206638</v>
      </c>
      <c r="M305" s="38"/>
    </row>
    <row r="306" customFormat="false" ht="15" hidden="false" customHeight="false" outlineLevel="0" collapsed="false">
      <c r="A306" s="38" t="s">
        <v>344</v>
      </c>
      <c r="B306" s="38" t="s">
        <v>443</v>
      </c>
      <c r="C306" s="38" t="s">
        <v>445</v>
      </c>
      <c r="D306" s="21" t="n">
        <v>418</v>
      </c>
      <c r="E306" s="21" t="n">
        <v>361</v>
      </c>
      <c r="F306" s="51" t="n">
        <f aca="false">IF(E306="","",D306-E306)</f>
        <v>57</v>
      </c>
      <c r="G306" s="21" t="n">
        <v>753</v>
      </c>
      <c r="H306" s="21" t="n">
        <v>775</v>
      </c>
      <c r="I306" s="51" t="n">
        <f aca="false">IF(H306="","",G306-H306)</f>
        <v>-22</v>
      </c>
      <c r="J306" s="39" t="n">
        <f aca="false">IF(OR(D306="",D306+G306=0),"",D306/(D306+G306))</f>
        <v>0.356959863364646</v>
      </c>
      <c r="K306" s="39" t="n">
        <f aca="false">IF(E306="","",E306/(E306+H306))</f>
        <v>0.317781690140845</v>
      </c>
      <c r="L306" s="52" t="n">
        <f aca="false">IF(OR(K306="",J306=""),"",(J306-K306)*100)</f>
        <v>3.91781732238005</v>
      </c>
      <c r="M306" s="38"/>
    </row>
    <row r="307" customFormat="false" ht="15" hidden="false" customHeight="false" outlineLevel="0" collapsed="false">
      <c r="A307" s="38" t="s">
        <v>344</v>
      </c>
      <c r="B307" s="38" t="s">
        <v>446</v>
      </c>
      <c r="C307" s="38" t="s">
        <v>447</v>
      </c>
      <c r="D307" s="21" t="n">
        <v>278</v>
      </c>
      <c r="E307" s="21"/>
      <c r="F307" s="51" t="str">
        <f aca="false">IF(E307="","",D307-E307)</f>
        <v/>
      </c>
      <c r="G307" s="21" t="n">
        <v>367</v>
      </c>
      <c r="H307" s="21"/>
      <c r="I307" s="51" t="str">
        <f aca="false">IF(H307="","",G307-H307)</f>
        <v/>
      </c>
      <c r="J307" s="39" t="n">
        <f aca="false">IF(OR(D307="",D307+G307=0),"",D307/(D307+G307))</f>
        <v>0.431007751937985</v>
      </c>
      <c r="K307" s="39" t="str">
        <f aca="false">IF(E307="","",E307/(E307+H307))</f>
        <v/>
      </c>
      <c r="L307" s="52" t="str">
        <f aca="false">IF(OR(K307="",J307=""),"",(J307-K307)*100)</f>
        <v/>
      </c>
      <c r="M307" s="38" t="s">
        <v>691</v>
      </c>
    </row>
    <row r="308" customFormat="false" ht="15" hidden="false" customHeight="false" outlineLevel="0" collapsed="false">
      <c r="A308" s="38" t="s">
        <v>344</v>
      </c>
      <c r="B308" s="38" t="s">
        <v>446</v>
      </c>
      <c r="C308" s="38" t="s">
        <v>448</v>
      </c>
      <c r="D308" s="21" t="n">
        <v>687</v>
      </c>
      <c r="E308" s="21"/>
      <c r="F308" s="51" t="str">
        <f aca="false">IF(E308="","",D308-E308)</f>
        <v/>
      </c>
      <c r="G308" s="21" t="n">
        <v>678</v>
      </c>
      <c r="H308" s="21"/>
      <c r="I308" s="51" t="str">
        <f aca="false">IF(H308="","",G308-H308)</f>
        <v/>
      </c>
      <c r="J308" s="39" t="n">
        <f aca="false">IF(OR(D308="",D308+G308=0),"",D308/(D308+G308))</f>
        <v>0.503296703296703</v>
      </c>
      <c r="K308" s="39" t="str">
        <f aca="false">IF(E308="","",E308/(E308+H308))</f>
        <v/>
      </c>
      <c r="L308" s="52" t="str">
        <f aca="false">IF(OR(K308="",J308=""),"",(J308-K308)*100)</f>
        <v/>
      </c>
      <c r="M308" s="38" t="s">
        <v>691</v>
      </c>
    </row>
    <row r="309" customFormat="false" ht="15" hidden="false" customHeight="false" outlineLevel="0" collapsed="false">
      <c r="A309" s="38" t="s">
        <v>344</v>
      </c>
      <c r="B309" s="38" t="s">
        <v>446</v>
      </c>
      <c r="C309" s="38" t="s">
        <v>449</v>
      </c>
      <c r="D309" s="21" t="n">
        <v>676</v>
      </c>
      <c r="E309" s="21" t="n">
        <v>606</v>
      </c>
      <c r="F309" s="51" t="n">
        <f aca="false">IF(E309="","",D309-E309)</f>
        <v>70</v>
      </c>
      <c r="G309" s="21" t="n">
        <v>844</v>
      </c>
      <c r="H309" s="21" t="n">
        <v>825</v>
      </c>
      <c r="I309" s="51" t="n">
        <f aca="false">IF(H309="","",G309-H309)</f>
        <v>19</v>
      </c>
      <c r="J309" s="39" t="n">
        <f aca="false">IF(OR(D309="",D309+G309=0),"",D309/(D309+G309))</f>
        <v>0.444736842105263</v>
      </c>
      <c r="K309" s="39" t="n">
        <f aca="false">IF(E309="","",E309/(E309+H309))</f>
        <v>0.423480083857442</v>
      </c>
      <c r="L309" s="52" t="n">
        <f aca="false">IF(OR(K309="",J309=""),"",(J309-K309)*100)</f>
        <v>2.12567582478208</v>
      </c>
      <c r="M309" s="38"/>
    </row>
    <row r="310" customFormat="false" ht="15" hidden="false" customHeight="false" outlineLevel="0" collapsed="false">
      <c r="A310" s="38" t="s">
        <v>344</v>
      </c>
      <c r="B310" s="38" t="s">
        <v>446</v>
      </c>
      <c r="C310" s="38" t="s">
        <v>450</v>
      </c>
      <c r="D310" s="21" t="n">
        <v>660</v>
      </c>
      <c r="E310" s="21"/>
      <c r="F310" s="51" t="str">
        <f aca="false">IF(E310="","",D310-E310)</f>
        <v/>
      </c>
      <c r="G310" s="21" t="n">
        <v>719</v>
      </c>
      <c r="H310" s="21"/>
      <c r="I310" s="51" t="str">
        <f aca="false">IF(H310="","",G310-H310)</f>
        <v/>
      </c>
      <c r="J310" s="39" t="n">
        <f aca="false">IF(OR(D310="",D310+G310=0),"",D310/(D310+G310))</f>
        <v>0.478607686729514</v>
      </c>
      <c r="K310" s="39" t="str">
        <f aca="false">IF(E310="","",E310/(E310+H310))</f>
        <v/>
      </c>
      <c r="L310" s="52" t="str">
        <f aca="false">IF(OR(K310="",J310=""),"",(J310-K310)*100)</f>
        <v/>
      </c>
      <c r="M310" s="38" t="s">
        <v>691</v>
      </c>
    </row>
    <row r="311" customFormat="false" ht="15" hidden="false" customHeight="false" outlineLevel="0" collapsed="false">
      <c r="A311" s="38" t="s">
        <v>344</v>
      </c>
      <c r="B311" s="38" t="s">
        <v>451</v>
      </c>
      <c r="C311" s="38" t="s">
        <v>452</v>
      </c>
      <c r="D311" s="21" t="n">
        <v>649</v>
      </c>
      <c r="E311" s="21" t="n">
        <v>585</v>
      </c>
      <c r="F311" s="51" t="n">
        <f aca="false">IF(E311="","",D311-E311)</f>
        <v>64</v>
      </c>
      <c r="G311" s="21" t="n">
        <v>571</v>
      </c>
      <c r="H311" s="21" t="n">
        <v>527</v>
      </c>
      <c r="I311" s="51" t="n">
        <f aca="false">IF(H311="","",G311-H311)</f>
        <v>44</v>
      </c>
      <c r="J311" s="39" t="n">
        <f aca="false">IF(OR(D311="",D311+G311=0),"",D311/(D311+G311))</f>
        <v>0.531967213114754</v>
      </c>
      <c r="K311" s="39" t="n">
        <f aca="false">IF(E311="","",E311/(E311+H311))</f>
        <v>0.526079136690647</v>
      </c>
      <c r="L311" s="52" t="n">
        <f aca="false">IF(OR(K311="",J311=""),"",(J311-K311)*100)</f>
        <v>0.588807642410671</v>
      </c>
      <c r="M311" s="38"/>
    </row>
    <row r="312" customFormat="false" ht="15" hidden="false" customHeight="false" outlineLevel="0" collapsed="false">
      <c r="A312" s="38" t="s">
        <v>344</v>
      </c>
      <c r="B312" s="38" t="s">
        <v>451</v>
      </c>
      <c r="C312" s="38" t="s">
        <v>453</v>
      </c>
      <c r="D312" s="21" t="n">
        <v>748</v>
      </c>
      <c r="E312" s="21" t="n">
        <v>639</v>
      </c>
      <c r="F312" s="51" t="n">
        <f aca="false">IF(E312="","",D312-E312)</f>
        <v>109</v>
      </c>
      <c r="G312" s="21" t="n">
        <v>871</v>
      </c>
      <c r="H312" s="21" t="n">
        <v>886</v>
      </c>
      <c r="I312" s="51" t="n">
        <f aca="false">IF(H312="","",G312-H312)</f>
        <v>-15</v>
      </c>
      <c r="J312" s="39" t="n">
        <f aca="false">IF(OR(D312="",D312+G312=0),"",D312/(D312+G312))</f>
        <v>0.46201358863496</v>
      </c>
      <c r="K312" s="39" t="n">
        <f aca="false">IF(E312="","",E312/(E312+H312))</f>
        <v>0.419016393442623</v>
      </c>
      <c r="L312" s="52" t="n">
        <f aca="false">IF(OR(K312="",J312=""),"",(J312-K312)*100)</f>
        <v>4.29971951923369</v>
      </c>
      <c r="M312" s="38"/>
    </row>
    <row r="313" customFormat="false" ht="15" hidden="false" customHeight="false" outlineLevel="0" collapsed="false">
      <c r="A313" s="38" t="s">
        <v>344</v>
      </c>
      <c r="B313" s="38" t="s">
        <v>451</v>
      </c>
      <c r="C313" s="38" t="s">
        <v>454</v>
      </c>
      <c r="D313" s="21" t="n">
        <v>450</v>
      </c>
      <c r="E313" s="21"/>
      <c r="F313" s="51" t="str">
        <f aca="false">IF(E313="","",D313-E313)</f>
        <v/>
      </c>
      <c r="G313" s="21" t="n">
        <v>590</v>
      </c>
      <c r="H313" s="21"/>
      <c r="I313" s="51" t="str">
        <f aca="false">IF(H313="","",G313-H313)</f>
        <v/>
      </c>
      <c r="J313" s="39" t="n">
        <f aca="false">IF(OR(D313="",D313+G313=0),"",D313/(D313+G313))</f>
        <v>0.432692307692308</v>
      </c>
      <c r="K313" s="39" t="str">
        <f aca="false">IF(E313="","",E313/(E313+H313))</f>
        <v/>
      </c>
      <c r="L313" s="52" t="str">
        <f aca="false">IF(OR(K313="",J313=""),"",(J313-K313)*100)</f>
        <v/>
      </c>
      <c r="M313" s="38" t="s">
        <v>691</v>
      </c>
    </row>
    <row r="314" customFormat="false" ht="15" hidden="false" customHeight="false" outlineLevel="0" collapsed="false">
      <c r="A314" s="38" t="s">
        <v>344</v>
      </c>
      <c r="B314" s="38" t="s">
        <v>451</v>
      </c>
      <c r="C314" s="38" t="s">
        <v>455</v>
      </c>
      <c r="D314" s="21" t="n">
        <v>544</v>
      </c>
      <c r="E314" s="21" t="n">
        <v>496</v>
      </c>
      <c r="F314" s="51" t="n">
        <f aca="false">IF(E314="","",D314-E314)</f>
        <v>48</v>
      </c>
      <c r="G314" s="21" t="n">
        <v>468</v>
      </c>
      <c r="H314" s="21" t="n">
        <v>458</v>
      </c>
      <c r="I314" s="51" t="n">
        <f aca="false">IF(H314="","",G314-H314)</f>
        <v>10</v>
      </c>
      <c r="J314" s="39" t="n">
        <f aca="false">IF(OR(D314="",D314+G314=0),"",D314/(D314+G314))</f>
        <v>0.537549407114625</v>
      </c>
      <c r="K314" s="39" t="n">
        <f aca="false">IF(E314="","",E314/(E314+H314))</f>
        <v>0.519916142557652</v>
      </c>
      <c r="L314" s="52" t="n">
        <f aca="false">IF(OR(K314="",J314=""),"",(J314-K314)*100)</f>
        <v>1.76332645569726</v>
      </c>
      <c r="M314" s="38"/>
    </row>
    <row r="315" customFormat="false" ht="15" hidden="false" customHeight="false" outlineLevel="0" collapsed="false">
      <c r="A315" s="38" t="s">
        <v>344</v>
      </c>
      <c r="B315" s="38" t="s">
        <v>451</v>
      </c>
      <c r="C315" s="38" t="s">
        <v>456</v>
      </c>
      <c r="D315" s="21" t="n">
        <v>453</v>
      </c>
      <c r="E315" s="21" t="n">
        <v>423</v>
      </c>
      <c r="F315" s="51" t="n">
        <f aca="false">IF(E315="","",D315-E315)</f>
        <v>30</v>
      </c>
      <c r="G315" s="21" t="n">
        <v>584</v>
      </c>
      <c r="H315" s="21" t="n">
        <v>592</v>
      </c>
      <c r="I315" s="51" t="n">
        <f aca="false">IF(H315="","",G315-H315)</f>
        <v>-8</v>
      </c>
      <c r="J315" s="39" t="n">
        <f aca="false">IF(OR(D315="",D315+G315=0),"",D315/(D315+G315))</f>
        <v>0.436837029893925</v>
      </c>
      <c r="K315" s="39" t="n">
        <f aca="false">IF(E315="","",E315/(E315+H315))</f>
        <v>0.416748768472906</v>
      </c>
      <c r="L315" s="52" t="n">
        <f aca="false">IF(OR(K315="",J315=""),"",(J315-K315)*100)</f>
        <v>2.00882614210183</v>
      </c>
      <c r="M315" s="38"/>
    </row>
    <row r="316" customFormat="false" ht="15" hidden="false" customHeight="false" outlineLevel="0" collapsed="false">
      <c r="A316" s="38" t="s">
        <v>344</v>
      </c>
      <c r="B316" s="38" t="s">
        <v>451</v>
      </c>
      <c r="C316" s="38" t="s">
        <v>457</v>
      </c>
      <c r="D316" s="21" t="n">
        <v>869</v>
      </c>
      <c r="E316" s="21"/>
      <c r="F316" s="51" t="str">
        <f aca="false">IF(E316="","",D316-E316)</f>
        <v/>
      </c>
      <c r="G316" s="21" t="n">
        <v>941</v>
      </c>
      <c r="H316" s="21"/>
      <c r="I316" s="51" t="str">
        <f aca="false">IF(H316="","",G316-H316)</f>
        <v/>
      </c>
      <c r="J316" s="39" t="n">
        <f aca="false">IF(OR(D316="",D316+G316=0),"",D316/(D316+G316))</f>
        <v>0.480110497237569</v>
      </c>
      <c r="K316" s="39" t="str">
        <f aca="false">IF(E316="","",E316/(E316+H316))</f>
        <v/>
      </c>
      <c r="L316" s="52" t="str">
        <f aca="false">IF(OR(K316="",J316=""),"",(J316-K316)*100)</f>
        <v/>
      </c>
      <c r="M316" s="38" t="s">
        <v>691</v>
      </c>
    </row>
    <row r="317" customFormat="false" ht="15" hidden="false" customHeight="false" outlineLevel="0" collapsed="false">
      <c r="A317" s="38" t="s">
        <v>344</v>
      </c>
      <c r="B317" s="38" t="s">
        <v>458</v>
      </c>
      <c r="C317" s="38" t="s">
        <v>459</v>
      </c>
      <c r="D317" s="21" t="n">
        <v>443</v>
      </c>
      <c r="E317" s="21" t="n">
        <v>409</v>
      </c>
      <c r="F317" s="51" t="n">
        <f aca="false">IF(E317="","",D317-E317)</f>
        <v>34</v>
      </c>
      <c r="G317" s="21" t="n">
        <v>808</v>
      </c>
      <c r="H317" s="21" t="n">
        <v>764</v>
      </c>
      <c r="I317" s="51" t="n">
        <f aca="false">IF(H317="","",G317-H317)</f>
        <v>44</v>
      </c>
      <c r="J317" s="39" t="n">
        <f aca="false">IF(OR(D317="",D317+G317=0),"",D317/(D317+G317))</f>
        <v>0.354116706634692</v>
      </c>
      <c r="K317" s="39" t="n">
        <f aca="false">IF(E317="","",E317/(E317+H317))</f>
        <v>0.348678601875533</v>
      </c>
      <c r="L317" s="52" t="n">
        <f aca="false">IF(OR(K317="",J317=""),"",(J317-K317)*100)</f>
        <v>0.54381047591594</v>
      </c>
      <c r="M317" s="38"/>
    </row>
    <row r="318" customFormat="false" ht="15" hidden="false" customHeight="false" outlineLevel="0" collapsed="false">
      <c r="A318" s="38" t="s">
        <v>344</v>
      </c>
      <c r="B318" s="38" t="s">
        <v>458</v>
      </c>
      <c r="C318" s="38" t="s">
        <v>460</v>
      </c>
      <c r="D318" s="21" t="n">
        <v>901</v>
      </c>
      <c r="E318" s="21" t="n">
        <v>805</v>
      </c>
      <c r="F318" s="51" t="n">
        <f aca="false">IF(E318="","",D318-E318)</f>
        <v>96</v>
      </c>
      <c r="G318" s="21" t="n">
        <v>1585</v>
      </c>
      <c r="H318" s="21" t="n">
        <v>1577</v>
      </c>
      <c r="I318" s="51" t="n">
        <f aca="false">IF(H318="","",G318-H318)</f>
        <v>8</v>
      </c>
      <c r="J318" s="39" t="n">
        <f aca="false">IF(OR(D318="",D318+G318=0),"",D318/(D318+G318))</f>
        <v>0.362429605792438</v>
      </c>
      <c r="K318" s="39" t="n">
        <f aca="false">IF(E318="","",E318/(E318+H318))</f>
        <v>0.337951301427372</v>
      </c>
      <c r="L318" s="52" t="n">
        <f aca="false">IF(OR(K318="",J318=""),"",(J318-K318)*100)</f>
        <v>2.44783043650657</v>
      </c>
      <c r="M318" s="38"/>
    </row>
    <row r="319" customFormat="false" ht="15" hidden="false" customHeight="false" outlineLevel="0" collapsed="false">
      <c r="A319" s="38" t="s">
        <v>344</v>
      </c>
      <c r="B319" s="38" t="s">
        <v>458</v>
      </c>
      <c r="C319" s="38" t="s">
        <v>461</v>
      </c>
      <c r="D319" s="21" t="n">
        <v>616</v>
      </c>
      <c r="E319" s="21" t="n">
        <v>547</v>
      </c>
      <c r="F319" s="51" t="n">
        <f aca="false">IF(E319="","",D319-E319)</f>
        <v>69</v>
      </c>
      <c r="G319" s="21" t="n">
        <v>1191</v>
      </c>
      <c r="H319" s="21" t="n">
        <v>1179</v>
      </c>
      <c r="I319" s="51" t="n">
        <f aca="false">IF(H319="","",G319-H319)</f>
        <v>12</v>
      </c>
      <c r="J319" s="39" t="n">
        <f aca="false">IF(OR(D319="",D319+G319=0),"",D319/(D319+G319))</f>
        <v>0.340896513558384</v>
      </c>
      <c r="K319" s="39" t="n">
        <f aca="false">IF(E319="","",E319/(E319+H319))</f>
        <v>0.316917728852839</v>
      </c>
      <c r="L319" s="52" t="n">
        <f aca="false">IF(OR(K319="",J319=""),"",(J319-K319)*100)</f>
        <v>2.39787847055452</v>
      </c>
      <c r="M319" s="38"/>
    </row>
    <row r="320" customFormat="false" ht="15" hidden="false" customHeight="false" outlineLevel="0" collapsed="false">
      <c r="A320" s="38" t="s">
        <v>344</v>
      </c>
      <c r="B320" s="38" t="s">
        <v>458</v>
      </c>
      <c r="C320" s="38" t="s">
        <v>462</v>
      </c>
      <c r="D320" s="21" t="n">
        <v>289</v>
      </c>
      <c r="E320" s="21" t="n">
        <v>245</v>
      </c>
      <c r="F320" s="51" t="n">
        <f aca="false">IF(E320="","",D320-E320)</f>
        <v>44</v>
      </c>
      <c r="G320" s="21" t="n">
        <v>519</v>
      </c>
      <c r="H320" s="21" t="n">
        <v>537</v>
      </c>
      <c r="I320" s="51" t="n">
        <f aca="false">IF(H320="","",G320-H320)</f>
        <v>-18</v>
      </c>
      <c r="J320" s="39" t="n">
        <f aca="false">IF(OR(D320="",D320+G320=0),"",D320/(D320+G320))</f>
        <v>0.357673267326733</v>
      </c>
      <c r="K320" s="39" t="n">
        <f aca="false">IF(E320="","",E320/(E320+H320))</f>
        <v>0.313299232736573</v>
      </c>
      <c r="L320" s="52" t="n">
        <f aca="false">IF(OR(K320="",J320=""),"",(J320-K320)*100)</f>
        <v>4.43740345901598</v>
      </c>
      <c r="M320" s="38"/>
    </row>
    <row r="321" customFormat="false" ht="15" hidden="false" customHeight="false" outlineLevel="0" collapsed="false">
      <c r="A321" s="38" t="s">
        <v>344</v>
      </c>
      <c r="B321" s="38" t="s">
        <v>463</v>
      </c>
      <c r="C321" s="38" t="s">
        <v>464</v>
      </c>
      <c r="D321" s="21" t="n">
        <v>655</v>
      </c>
      <c r="E321" s="21" t="n">
        <v>601</v>
      </c>
      <c r="F321" s="51" t="n">
        <f aca="false">IF(E321="","",D321-E321)</f>
        <v>54</v>
      </c>
      <c r="G321" s="21" t="n">
        <v>609</v>
      </c>
      <c r="H321" s="21" t="n">
        <v>605</v>
      </c>
      <c r="I321" s="51" t="n">
        <f aca="false">IF(H321="","",G321-H321)</f>
        <v>4</v>
      </c>
      <c r="J321" s="39" t="n">
        <f aca="false">IF(OR(D321="",D321+G321=0),"",D321/(D321+G321))</f>
        <v>0.518196202531646</v>
      </c>
      <c r="K321" s="39" t="n">
        <f aca="false">IF(E321="","",E321/(E321+H321))</f>
        <v>0.498341625207297</v>
      </c>
      <c r="L321" s="52" t="n">
        <f aca="false">IF(OR(K321="",J321=""),"",(J321-K321)*100)</f>
        <v>1.98545773243487</v>
      </c>
      <c r="M321" s="38"/>
    </row>
    <row r="322" customFormat="false" ht="15" hidden="false" customHeight="false" outlineLevel="0" collapsed="false">
      <c r="A322" s="38" t="s">
        <v>344</v>
      </c>
      <c r="B322" s="38" t="s">
        <v>463</v>
      </c>
      <c r="C322" s="38" t="s">
        <v>465</v>
      </c>
      <c r="D322" s="21" t="n">
        <v>555</v>
      </c>
      <c r="E322" s="21" t="n">
        <v>523</v>
      </c>
      <c r="F322" s="51" t="n">
        <f aca="false">IF(E322="","",D322-E322)</f>
        <v>32</v>
      </c>
      <c r="G322" s="21" t="n">
        <v>463</v>
      </c>
      <c r="H322" s="21" t="n">
        <v>542</v>
      </c>
      <c r="I322" s="51" t="n">
        <f aca="false">IF(H322="","",G322-H322)</f>
        <v>-79</v>
      </c>
      <c r="J322" s="39" t="n">
        <f aca="false">IF(OR(D322="",D322+G322=0),"",D322/(D322+G322))</f>
        <v>0.545186640471513</v>
      </c>
      <c r="K322" s="39" t="n">
        <f aca="false">IF(E322="","",E322/(E322+H322))</f>
        <v>0.491079812206573</v>
      </c>
      <c r="L322" s="52" t="n">
        <f aca="false">IF(OR(K322="",J322=""),"",(J322-K322)*100)</f>
        <v>5.410682826494</v>
      </c>
      <c r="M322" s="38"/>
    </row>
    <row r="323" customFormat="false" ht="15" hidden="false" customHeight="false" outlineLevel="0" collapsed="false">
      <c r="A323" s="38" t="s">
        <v>344</v>
      </c>
      <c r="B323" s="38" t="s">
        <v>463</v>
      </c>
      <c r="C323" s="38" t="s">
        <v>466</v>
      </c>
      <c r="D323" s="21" t="n">
        <v>524</v>
      </c>
      <c r="E323" s="21" t="n">
        <v>472</v>
      </c>
      <c r="F323" s="51" t="n">
        <f aca="false">IF(E323="","",D323-E323)</f>
        <v>52</v>
      </c>
      <c r="G323" s="21" t="n">
        <v>475</v>
      </c>
      <c r="H323" s="21" t="n">
        <v>517</v>
      </c>
      <c r="I323" s="51" t="n">
        <f aca="false">IF(H323="","",G323-H323)</f>
        <v>-42</v>
      </c>
      <c r="J323" s="39" t="n">
        <f aca="false">IF(OR(D323="",D323+G323=0),"",D323/(D323+G323))</f>
        <v>0.524524524524525</v>
      </c>
      <c r="K323" s="39" t="n">
        <f aca="false">IF(E323="","",E323/(E323+H323))</f>
        <v>0.477249747219414</v>
      </c>
      <c r="L323" s="52" t="n">
        <f aca="false">IF(OR(K323="",J323=""),"",(J323-K323)*100)</f>
        <v>4.72747773051109</v>
      </c>
      <c r="M323" s="38"/>
    </row>
    <row r="324" customFormat="false" ht="15" hidden="false" customHeight="false" outlineLevel="0" collapsed="false">
      <c r="A324" s="38" t="s">
        <v>344</v>
      </c>
      <c r="B324" s="38" t="s">
        <v>467</v>
      </c>
      <c r="C324" s="38" t="s">
        <v>468</v>
      </c>
      <c r="D324" s="21" t="n">
        <v>257</v>
      </c>
      <c r="E324" s="21" t="n">
        <v>222</v>
      </c>
      <c r="F324" s="51" t="n">
        <f aca="false">IF(E324="","",D324-E324)</f>
        <v>35</v>
      </c>
      <c r="G324" s="21" t="n">
        <v>273</v>
      </c>
      <c r="H324" s="21" t="n">
        <v>276</v>
      </c>
      <c r="I324" s="51" t="n">
        <f aca="false">IF(H324="","",G324-H324)</f>
        <v>-3</v>
      </c>
      <c r="J324" s="39" t="n">
        <f aca="false">IF(OR(D324="",D324+G324=0),"",D324/(D324+G324))</f>
        <v>0.484905660377359</v>
      </c>
      <c r="K324" s="39" t="n">
        <f aca="false">IF(E324="","",E324/(E324+H324))</f>
        <v>0.445783132530121</v>
      </c>
      <c r="L324" s="52" t="n">
        <f aca="false">IF(OR(K324="",J324=""),"",(J324-K324)*100)</f>
        <v>3.9122527847238</v>
      </c>
      <c r="M324" s="38"/>
    </row>
    <row r="325" customFormat="false" ht="15" hidden="false" customHeight="false" outlineLevel="0" collapsed="false">
      <c r="A325" s="38" t="s">
        <v>344</v>
      </c>
      <c r="B325" s="38" t="s">
        <v>467</v>
      </c>
      <c r="C325" s="38" t="s">
        <v>469</v>
      </c>
      <c r="D325" s="21" t="n">
        <v>678</v>
      </c>
      <c r="E325" s="21" t="n">
        <v>625</v>
      </c>
      <c r="F325" s="51" t="n">
        <f aca="false">IF(E325="","",D325-E325)</f>
        <v>53</v>
      </c>
      <c r="G325" s="21" t="n">
        <v>593</v>
      </c>
      <c r="H325" s="21" t="n">
        <v>613</v>
      </c>
      <c r="I325" s="51" t="n">
        <f aca="false">IF(H325="","",G325-H325)</f>
        <v>-20</v>
      </c>
      <c r="J325" s="39" t="n">
        <f aca="false">IF(OR(D325="",D325+G325=0),"",D325/(D325+G325))</f>
        <v>0.533438237608183</v>
      </c>
      <c r="K325" s="39" t="n">
        <f aca="false">IF(E325="","",E325/(E325+H325))</f>
        <v>0.504846526655897</v>
      </c>
      <c r="L325" s="52" t="n">
        <f aca="false">IF(OR(K325="",J325=""),"",(J325-K325)*100)</f>
        <v>2.8591710952286</v>
      </c>
      <c r="M325" s="38"/>
    </row>
    <row r="326" customFormat="false" ht="15" hidden="false" customHeight="false" outlineLevel="0" collapsed="false">
      <c r="A326" s="38" t="s">
        <v>344</v>
      </c>
      <c r="B326" s="38" t="s">
        <v>470</v>
      </c>
      <c r="C326" s="38" t="s">
        <v>471</v>
      </c>
      <c r="D326" s="21" t="n">
        <v>727</v>
      </c>
      <c r="E326" s="21" t="n">
        <v>628</v>
      </c>
      <c r="F326" s="51" t="n">
        <f aca="false">IF(E326="","",D326-E326)</f>
        <v>99</v>
      </c>
      <c r="G326" s="21" t="n">
        <v>698</v>
      </c>
      <c r="H326" s="21" t="n">
        <v>719</v>
      </c>
      <c r="I326" s="51" t="n">
        <f aca="false">IF(H326="","",G326-H326)</f>
        <v>-21</v>
      </c>
      <c r="J326" s="39" t="n">
        <f aca="false">IF(OR(D326="",D326+G326=0),"",D326/(D326+G326))</f>
        <v>0.510175438596491</v>
      </c>
      <c r="K326" s="39" t="n">
        <f aca="false">IF(E326="","",E326/(E326+H326))</f>
        <v>0.466221232368226</v>
      </c>
      <c r="L326" s="52" t="n">
        <f aca="false">IF(OR(K326="",J326=""),"",(J326-K326)*100)</f>
        <v>4.39542062282656</v>
      </c>
      <c r="M326" s="38"/>
    </row>
    <row r="327" customFormat="false" ht="15" hidden="false" customHeight="false" outlineLevel="0" collapsed="false">
      <c r="A327" s="38" t="s">
        <v>344</v>
      </c>
      <c r="B327" s="38" t="s">
        <v>470</v>
      </c>
      <c r="C327" s="38" t="s">
        <v>472</v>
      </c>
      <c r="D327" s="21" t="n">
        <v>622</v>
      </c>
      <c r="E327" s="21" t="n">
        <v>588</v>
      </c>
      <c r="F327" s="51" t="n">
        <f aca="false">IF(E327="","",D327-E327)</f>
        <v>34</v>
      </c>
      <c r="G327" s="21" t="n">
        <v>581</v>
      </c>
      <c r="H327" s="21" t="n">
        <v>628</v>
      </c>
      <c r="I327" s="51" t="n">
        <f aca="false">IF(H327="","",G327-H327)</f>
        <v>-47</v>
      </c>
      <c r="J327" s="39" t="n">
        <f aca="false">IF(OR(D327="",D327+G327=0),"",D327/(D327+G327))</f>
        <v>0.517040731504572</v>
      </c>
      <c r="K327" s="39" t="n">
        <f aca="false">IF(E327="","",E327/(E327+H327))</f>
        <v>0.483552631578947</v>
      </c>
      <c r="L327" s="52" t="n">
        <f aca="false">IF(OR(K327="",J327=""),"",(J327-K327)*100)</f>
        <v>3.34880999256245</v>
      </c>
      <c r="M327" s="38"/>
    </row>
    <row r="328" customFormat="false" ht="15" hidden="false" customHeight="false" outlineLevel="0" collapsed="false">
      <c r="A328" s="38" t="s">
        <v>344</v>
      </c>
      <c r="B328" s="38" t="s">
        <v>470</v>
      </c>
      <c r="C328" s="38" t="s">
        <v>473</v>
      </c>
      <c r="D328" s="21" t="n">
        <v>1316</v>
      </c>
      <c r="E328" s="21" t="n">
        <v>1120</v>
      </c>
      <c r="F328" s="51" t="n">
        <f aca="false">IF(E328="","",D328-E328)</f>
        <v>196</v>
      </c>
      <c r="G328" s="21" t="n">
        <v>1265</v>
      </c>
      <c r="H328" s="21" t="n">
        <v>1352</v>
      </c>
      <c r="I328" s="51" t="n">
        <f aca="false">IF(H328="","",G328-H328)</f>
        <v>-87</v>
      </c>
      <c r="J328" s="39" t="n">
        <f aca="false">IF(OR(D328="",D328+G328=0),"",D328/(D328+G328))</f>
        <v>0.509879891514917</v>
      </c>
      <c r="K328" s="39" t="n">
        <f aca="false">IF(E328="","",E328/(E328+H328))</f>
        <v>0.453074433656958</v>
      </c>
      <c r="L328" s="52" t="n">
        <f aca="false">IF(OR(K328="",J328=""),"",(J328-K328)*100)</f>
        <v>5.68054578579588</v>
      </c>
      <c r="M328" s="38"/>
    </row>
    <row r="329" customFormat="false" ht="15" hidden="false" customHeight="false" outlineLevel="0" collapsed="false">
      <c r="A329" s="38" t="s">
        <v>344</v>
      </c>
      <c r="B329" s="38" t="s">
        <v>470</v>
      </c>
      <c r="C329" s="38" t="s">
        <v>474</v>
      </c>
      <c r="D329" s="21" t="n">
        <v>289</v>
      </c>
      <c r="E329" s="21" t="n">
        <v>237</v>
      </c>
      <c r="F329" s="51" t="n">
        <f aca="false">IF(E329="","",D329-E329)</f>
        <v>52</v>
      </c>
      <c r="G329" s="21" t="n">
        <v>278</v>
      </c>
      <c r="H329" s="21" t="n">
        <v>324</v>
      </c>
      <c r="I329" s="51" t="n">
        <f aca="false">IF(H329="","",G329-H329)</f>
        <v>-46</v>
      </c>
      <c r="J329" s="39" t="n">
        <f aca="false">IF(OR(D329="",D329+G329=0),"",D329/(D329+G329))</f>
        <v>0.509700176366843</v>
      </c>
      <c r="K329" s="39" t="n">
        <f aca="false">IF(E329="","",E329/(E329+H329))</f>
        <v>0.422459893048128</v>
      </c>
      <c r="L329" s="52" t="n">
        <f aca="false">IF(OR(K329="",J329=""),"",(J329-K329)*100)</f>
        <v>8.72402833187147</v>
      </c>
      <c r="M329" s="38"/>
    </row>
    <row r="330" customFormat="false" ht="15" hidden="false" customHeight="false" outlineLevel="0" collapsed="false">
      <c r="A330" s="38" t="s">
        <v>344</v>
      </c>
      <c r="B330" s="38" t="s">
        <v>475</v>
      </c>
      <c r="C330" s="38" t="s">
        <v>476</v>
      </c>
      <c r="D330" s="21" t="n">
        <v>732</v>
      </c>
      <c r="E330" s="21" t="n">
        <v>600</v>
      </c>
      <c r="F330" s="51" t="n">
        <f aca="false">IF(E330="","",D330-E330)</f>
        <v>132</v>
      </c>
      <c r="G330" s="21" t="n">
        <v>655</v>
      </c>
      <c r="H330" s="21" t="n">
        <v>681</v>
      </c>
      <c r="I330" s="51" t="n">
        <f aca="false">IF(H330="","",G330-H330)</f>
        <v>-26</v>
      </c>
      <c r="J330" s="39" t="n">
        <f aca="false">IF(OR(D330="",D330+G330=0),"",D330/(D330+G330))</f>
        <v>0.527757750540735</v>
      </c>
      <c r="K330" s="39" t="n">
        <f aca="false">IF(E330="","",E330/(E330+H330))</f>
        <v>0.468384074941452</v>
      </c>
      <c r="L330" s="52" t="n">
        <f aca="false">IF(OR(K330="",J330=""),"",(J330-K330)*100)</f>
        <v>5.93736755992834</v>
      </c>
      <c r="M330" s="38"/>
    </row>
    <row r="331" customFormat="false" ht="15" hidden="false" customHeight="false" outlineLevel="0" collapsed="false">
      <c r="A331" s="38" t="s">
        <v>344</v>
      </c>
      <c r="B331" s="38" t="s">
        <v>475</v>
      </c>
      <c r="C331" s="38" t="s">
        <v>477</v>
      </c>
      <c r="D331" s="21" t="n">
        <v>543</v>
      </c>
      <c r="E331" s="21"/>
      <c r="F331" s="51" t="str">
        <f aca="false">IF(E331="","",D331-E331)</f>
        <v/>
      </c>
      <c r="G331" s="21" t="n">
        <v>471</v>
      </c>
      <c r="H331" s="21"/>
      <c r="I331" s="51" t="str">
        <f aca="false">IF(H331="","",G331-H331)</f>
        <v/>
      </c>
      <c r="J331" s="39" t="n">
        <f aca="false">IF(OR(D331="",D331+G331=0),"",D331/(D331+G331))</f>
        <v>0.535502958579882</v>
      </c>
      <c r="K331" s="39" t="str">
        <f aca="false">IF(E331="","",E331/(E331+H331))</f>
        <v/>
      </c>
      <c r="L331" s="52" t="str">
        <f aca="false">IF(OR(K331="",J331=""),"",(J331-K331)*100)</f>
        <v/>
      </c>
      <c r="M331" s="38" t="s">
        <v>691</v>
      </c>
    </row>
    <row r="332" customFormat="false" ht="15" hidden="false" customHeight="false" outlineLevel="0" collapsed="false">
      <c r="A332" s="38" t="s">
        <v>344</v>
      </c>
      <c r="B332" s="38" t="s">
        <v>475</v>
      </c>
      <c r="C332" s="38" t="s">
        <v>478</v>
      </c>
      <c r="D332" s="21" t="n">
        <v>790</v>
      </c>
      <c r="E332" s="21"/>
      <c r="F332" s="51" t="str">
        <f aca="false">IF(E332="","",D332-E332)</f>
        <v/>
      </c>
      <c r="G332" s="21" t="n">
        <v>725</v>
      </c>
      <c r="H332" s="21"/>
      <c r="I332" s="51" t="str">
        <f aca="false">IF(H332="","",G332-H332)</f>
        <v/>
      </c>
      <c r="J332" s="39" t="n">
        <f aca="false">IF(OR(D332="",D332+G332=0),"",D332/(D332+G332))</f>
        <v>0.521452145214521</v>
      </c>
      <c r="K332" s="39" t="str">
        <f aca="false">IF(E332="","",E332/(E332+H332))</f>
        <v/>
      </c>
      <c r="L332" s="52" t="str">
        <f aca="false">IF(OR(K332="",J332=""),"",(J332-K332)*100)</f>
        <v/>
      </c>
      <c r="M332" s="38" t="s">
        <v>691</v>
      </c>
    </row>
    <row r="333" customFormat="false" ht="15" hidden="false" customHeight="false" outlineLevel="0" collapsed="false">
      <c r="A333" s="38" t="s">
        <v>344</v>
      </c>
      <c r="B333" s="38" t="s">
        <v>475</v>
      </c>
      <c r="C333" s="38" t="s">
        <v>479</v>
      </c>
      <c r="D333" s="21" t="n">
        <v>918</v>
      </c>
      <c r="E333" s="21" t="n">
        <v>824</v>
      </c>
      <c r="F333" s="51" t="n">
        <f aca="false">IF(E333="","",D333-E333)</f>
        <v>94</v>
      </c>
      <c r="G333" s="21" t="n">
        <v>762</v>
      </c>
      <c r="H333" s="21" t="n">
        <v>795</v>
      </c>
      <c r="I333" s="51" t="n">
        <f aca="false">IF(H333="","",G333-H333)</f>
        <v>-33</v>
      </c>
      <c r="J333" s="39" t="n">
        <f aca="false">IF(OR(D333="",D333+G333=0),"",D333/(D333+G333))</f>
        <v>0.546428571428571</v>
      </c>
      <c r="K333" s="39" t="n">
        <f aca="false">IF(E333="","",E333/(E333+H333))</f>
        <v>0.508956145768993</v>
      </c>
      <c r="L333" s="52" t="n">
        <f aca="false">IF(OR(K333="",J333=""),"",(J333-K333)*100)</f>
        <v>3.74724256595782</v>
      </c>
      <c r="M333" s="38"/>
    </row>
    <row r="334" customFormat="false" ht="15" hidden="false" customHeight="false" outlineLevel="0" collapsed="false">
      <c r="A334" s="38" t="s">
        <v>344</v>
      </c>
      <c r="B334" s="38" t="s">
        <v>475</v>
      </c>
      <c r="C334" s="38" t="s">
        <v>480</v>
      </c>
      <c r="D334" s="21" t="n">
        <v>1330</v>
      </c>
      <c r="E334" s="21" t="n">
        <v>1193</v>
      </c>
      <c r="F334" s="51" t="n">
        <f aca="false">IF(E334="","",D334-E334)</f>
        <v>137</v>
      </c>
      <c r="G334" s="21" t="n">
        <v>1244</v>
      </c>
      <c r="H334" s="21" t="n">
        <v>1334</v>
      </c>
      <c r="I334" s="51" t="n">
        <f aca="false">IF(H334="","",G334-H334)</f>
        <v>-90</v>
      </c>
      <c r="J334" s="39" t="n">
        <f aca="false">IF(OR(D334="",D334+G334=0),"",D334/(D334+G334))</f>
        <v>0.516705516705517</v>
      </c>
      <c r="K334" s="39" t="n">
        <f aca="false">IF(E334="","",E334/(E334+H334))</f>
        <v>0.47210130589632</v>
      </c>
      <c r="L334" s="52" t="n">
        <f aca="false">IF(OR(K334="",J334=""),"",(J334-K334)*100)</f>
        <v>4.46042108091969</v>
      </c>
      <c r="M334" s="38"/>
    </row>
    <row r="335" customFormat="false" ht="15" hidden="false" customHeight="false" outlineLevel="0" collapsed="false">
      <c r="A335" s="38" t="s">
        <v>344</v>
      </c>
      <c r="B335" s="38" t="s">
        <v>475</v>
      </c>
      <c r="C335" s="38" t="s">
        <v>481</v>
      </c>
      <c r="D335" s="21" t="n">
        <v>866</v>
      </c>
      <c r="E335" s="21" t="n">
        <v>755</v>
      </c>
      <c r="F335" s="51" t="n">
        <f aca="false">IF(E335="","",D335-E335)</f>
        <v>111</v>
      </c>
      <c r="G335" s="21" t="n">
        <v>789</v>
      </c>
      <c r="H335" s="21" t="n">
        <v>789</v>
      </c>
      <c r="I335" s="51" t="n">
        <f aca="false">IF(H335="","",G335-H335)</f>
        <v>0</v>
      </c>
      <c r="J335" s="39" t="n">
        <f aca="false">IF(OR(D335="",D335+G335=0),"",D335/(D335+G335))</f>
        <v>0.523262839879154</v>
      </c>
      <c r="K335" s="39" t="n">
        <f aca="false">IF(E335="","",E335/(E335+H335))</f>
        <v>0.4889896373057</v>
      </c>
      <c r="L335" s="52" t="n">
        <f aca="false">IF(OR(K335="",J335=""),"",(J335-K335)*100)</f>
        <v>3.42732025734546</v>
      </c>
      <c r="M335" s="38"/>
    </row>
    <row r="336" customFormat="false" ht="15" hidden="false" customHeight="false" outlineLevel="0" collapsed="false">
      <c r="A336" s="38" t="s">
        <v>344</v>
      </c>
      <c r="B336" s="38" t="s">
        <v>475</v>
      </c>
      <c r="C336" s="38" t="s">
        <v>482</v>
      </c>
      <c r="D336" s="21" t="n">
        <v>760</v>
      </c>
      <c r="E336" s="21"/>
      <c r="F336" s="51" t="str">
        <f aca="false">IF(E336="","",D336-E336)</f>
        <v/>
      </c>
      <c r="G336" s="21" t="n">
        <v>615</v>
      </c>
      <c r="H336" s="21"/>
      <c r="I336" s="51" t="str">
        <f aca="false">IF(H336="","",G336-H336)</f>
        <v/>
      </c>
      <c r="J336" s="39" t="n">
        <f aca="false">IF(OR(D336="",D336+G336=0),"",D336/(D336+G336))</f>
        <v>0.552727272727273</v>
      </c>
      <c r="K336" s="39" t="str">
        <f aca="false">IF(E336="","",E336/(E336+H336))</f>
        <v/>
      </c>
      <c r="L336" s="52" t="str">
        <f aca="false">IF(OR(K336="",J336=""),"",(J336-K336)*100)</f>
        <v/>
      </c>
      <c r="M336" s="38" t="s">
        <v>691</v>
      </c>
    </row>
    <row r="337" customFormat="false" ht="15" hidden="false" customHeight="false" outlineLevel="0" collapsed="false">
      <c r="A337" s="38" t="s">
        <v>344</v>
      </c>
      <c r="B337" s="38" t="s">
        <v>475</v>
      </c>
      <c r="C337" s="38" t="s">
        <v>483</v>
      </c>
      <c r="D337" s="21" t="n">
        <v>765</v>
      </c>
      <c r="E337" s="21"/>
      <c r="F337" s="51" t="str">
        <f aca="false">IF(E337="","",D337-E337)</f>
        <v/>
      </c>
      <c r="G337" s="21" t="n">
        <v>773</v>
      </c>
      <c r="H337" s="21"/>
      <c r="I337" s="51" t="str">
        <f aca="false">IF(H337="","",G337-H337)</f>
        <v/>
      </c>
      <c r="J337" s="39" t="n">
        <f aca="false">IF(OR(D337="",D337+G337=0),"",D337/(D337+G337))</f>
        <v>0.49739921976593</v>
      </c>
      <c r="K337" s="39" t="str">
        <f aca="false">IF(E337="","",E337/(E337+H337))</f>
        <v/>
      </c>
      <c r="L337" s="52" t="str">
        <f aca="false">IF(OR(K337="",J337=""),"",(J337-K337)*100)</f>
        <v/>
      </c>
      <c r="M337" s="38" t="s">
        <v>691</v>
      </c>
    </row>
    <row r="338" customFormat="false" ht="15" hidden="false" customHeight="false" outlineLevel="0" collapsed="false">
      <c r="A338" s="38" t="s">
        <v>344</v>
      </c>
      <c r="B338" s="38" t="s">
        <v>475</v>
      </c>
      <c r="C338" s="38" t="s">
        <v>484</v>
      </c>
      <c r="D338" s="21" t="n">
        <v>842</v>
      </c>
      <c r="E338" s="21"/>
      <c r="F338" s="51" t="str">
        <f aca="false">IF(E338="","",D338-E338)</f>
        <v/>
      </c>
      <c r="G338" s="21" t="n">
        <v>883</v>
      </c>
      <c r="H338" s="21"/>
      <c r="I338" s="51" t="str">
        <f aca="false">IF(H338="","",G338-H338)</f>
        <v/>
      </c>
      <c r="J338" s="39" t="n">
        <f aca="false">IF(OR(D338="",D338+G338=0),"",D338/(D338+G338))</f>
        <v>0.488115942028986</v>
      </c>
      <c r="K338" s="39" t="str">
        <f aca="false">IF(E338="","",E338/(E338+H338))</f>
        <v/>
      </c>
      <c r="L338" s="52" t="str">
        <f aca="false">IF(OR(K338="",J338=""),"",(J338-K338)*100)</f>
        <v/>
      </c>
      <c r="M338" s="38" t="s">
        <v>691</v>
      </c>
    </row>
    <row r="339" customFormat="false" ht="15" hidden="false" customHeight="false" outlineLevel="0" collapsed="false">
      <c r="A339" s="38" t="s">
        <v>344</v>
      </c>
      <c r="B339" s="38" t="s">
        <v>485</v>
      </c>
      <c r="C339" s="38" t="s">
        <v>486</v>
      </c>
      <c r="D339" s="21" t="n">
        <v>115</v>
      </c>
      <c r="E339" s="21" t="n">
        <v>112</v>
      </c>
      <c r="F339" s="51" t="n">
        <f aca="false">IF(E339="","",D339-E339)</f>
        <v>3</v>
      </c>
      <c r="G339" s="21" t="n">
        <v>178</v>
      </c>
      <c r="H339" s="21" t="n">
        <v>199</v>
      </c>
      <c r="I339" s="51" t="n">
        <f aca="false">IF(H339="","",G339-H339)</f>
        <v>-21</v>
      </c>
      <c r="J339" s="39" t="n">
        <f aca="false">IF(OR(D339="",D339+G339=0),"",D339/(D339+G339))</f>
        <v>0.392491467576792</v>
      </c>
      <c r="K339" s="39" t="n">
        <f aca="false">IF(E339="","",E339/(E339+H339))</f>
        <v>0.360128617363344</v>
      </c>
      <c r="L339" s="52" t="n">
        <f aca="false">IF(OR(K339="",J339=""),"",(J339-K339)*100)</f>
        <v>3.23628502134478</v>
      </c>
      <c r="M339" s="38"/>
    </row>
    <row r="340" customFormat="false" ht="15" hidden="false" customHeight="false" outlineLevel="0" collapsed="false">
      <c r="A340" s="38" t="s">
        <v>344</v>
      </c>
      <c r="B340" s="38" t="s">
        <v>485</v>
      </c>
      <c r="C340" s="38" t="s">
        <v>487</v>
      </c>
      <c r="D340" s="21" t="n">
        <v>278</v>
      </c>
      <c r="E340" s="21" t="n">
        <v>259</v>
      </c>
      <c r="F340" s="51" t="n">
        <f aca="false">IF(E340="","",D340-E340)</f>
        <v>19</v>
      </c>
      <c r="G340" s="21" t="n">
        <v>479</v>
      </c>
      <c r="H340" s="21" t="n">
        <v>480</v>
      </c>
      <c r="I340" s="51" t="n">
        <f aca="false">IF(H340="","",G340-H340)</f>
        <v>-1</v>
      </c>
      <c r="J340" s="39" t="n">
        <f aca="false">IF(OR(D340="",D340+G340=0),"",D340/(D340+G340))</f>
        <v>0.367239101717305</v>
      </c>
      <c r="K340" s="39" t="n">
        <f aca="false">IF(E340="","",E340/(E340+H340))</f>
        <v>0.350473612990528</v>
      </c>
      <c r="L340" s="52" t="n">
        <f aca="false">IF(OR(K340="",J340=""),"",(J340-K340)*100)</f>
        <v>1.67654887267774</v>
      </c>
      <c r="M340" s="38"/>
    </row>
    <row r="341" customFormat="false" ht="15" hidden="false" customHeight="false" outlineLevel="0" collapsed="false">
      <c r="A341" s="38" t="s">
        <v>344</v>
      </c>
      <c r="B341" s="38" t="s">
        <v>485</v>
      </c>
      <c r="C341" s="38" t="s">
        <v>488</v>
      </c>
      <c r="D341" s="21" t="n">
        <v>220</v>
      </c>
      <c r="E341" s="21" t="n">
        <v>204</v>
      </c>
      <c r="F341" s="51" t="n">
        <f aca="false">IF(E341="","",D341-E341)</f>
        <v>16</v>
      </c>
      <c r="G341" s="21" t="n">
        <v>287</v>
      </c>
      <c r="H341" s="21" t="n">
        <v>301</v>
      </c>
      <c r="I341" s="51" t="n">
        <f aca="false">IF(H341="","",G341-H341)</f>
        <v>-14</v>
      </c>
      <c r="J341" s="39" t="n">
        <f aca="false">IF(OR(D341="",D341+G341=0),"",D341/(D341+G341))</f>
        <v>0.433925049309665</v>
      </c>
      <c r="K341" s="39" t="n">
        <f aca="false">IF(E341="","",E341/(E341+H341))</f>
        <v>0.403960396039604</v>
      </c>
      <c r="L341" s="52" t="n">
        <f aca="false">IF(OR(K341="",J341=""),"",(J341-K341)*100)</f>
        <v>2.99646532700607</v>
      </c>
      <c r="M341" s="38"/>
    </row>
    <row r="342" customFormat="false" ht="15" hidden="false" customHeight="false" outlineLevel="0" collapsed="false">
      <c r="A342" s="38" t="s">
        <v>344</v>
      </c>
      <c r="B342" s="38" t="s">
        <v>485</v>
      </c>
      <c r="C342" s="38" t="s">
        <v>489</v>
      </c>
      <c r="D342" s="21" t="n">
        <v>151</v>
      </c>
      <c r="E342" s="21" t="n">
        <v>128</v>
      </c>
      <c r="F342" s="51" t="n">
        <f aca="false">IF(E342="","",D342-E342)</f>
        <v>23</v>
      </c>
      <c r="G342" s="21" t="n">
        <v>182</v>
      </c>
      <c r="H342" s="21" t="n">
        <v>200</v>
      </c>
      <c r="I342" s="51" t="n">
        <f aca="false">IF(H342="","",G342-H342)</f>
        <v>-18</v>
      </c>
      <c r="J342" s="39" t="n">
        <f aca="false">IF(OR(D342="",D342+G342=0),"",D342/(D342+G342))</f>
        <v>0.453453453453453</v>
      </c>
      <c r="K342" s="39" t="n">
        <f aca="false">IF(E342="","",E342/(E342+H342))</f>
        <v>0.390243902439024</v>
      </c>
      <c r="L342" s="52" t="n">
        <f aca="false">IF(OR(K342="",J342=""),"",(J342-K342)*100)</f>
        <v>6.3209551014429</v>
      </c>
      <c r="M342" s="38"/>
    </row>
    <row r="343" customFormat="false" ht="15" hidden="false" customHeight="false" outlineLevel="0" collapsed="false">
      <c r="A343" s="38" t="s">
        <v>344</v>
      </c>
      <c r="B343" s="38" t="s">
        <v>490</v>
      </c>
      <c r="C343" s="38" t="s">
        <v>491</v>
      </c>
      <c r="D343" s="21" t="n">
        <v>456</v>
      </c>
      <c r="E343" s="21" t="n">
        <v>412</v>
      </c>
      <c r="F343" s="51" t="n">
        <f aca="false">IF(E343="","",D343-E343)</f>
        <v>44</v>
      </c>
      <c r="G343" s="21" t="n">
        <v>801</v>
      </c>
      <c r="H343" s="21" t="n">
        <v>767</v>
      </c>
      <c r="I343" s="51" t="n">
        <f aca="false">IF(H343="","",G343-H343)</f>
        <v>34</v>
      </c>
      <c r="J343" s="39" t="n">
        <f aca="false">IF(OR(D343="",D343+G343=0),"",D343/(D343+G343))</f>
        <v>0.362768496420048</v>
      </c>
      <c r="K343" s="39" t="n">
        <f aca="false">IF(E343="","",E343/(E343+H343))</f>
        <v>0.349448685326548</v>
      </c>
      <c r="L343" s="52" t="n">
        <f aca="false">IF(OR(K343="",J343=""),"",(J343-K343)*100)</f>
        <v>1.33198110934998</v>
      </c>
      <c r="M343" s="38"/>
    </row>
    <row r="344" customFormat="false" ht="15" hidden="false" customHeight="false" outlineLevel="0" collapsed="false">
      <c r="A344" s="38" t="s">
        <v>344</v>
      </c>
      <c r="B344" s="38" t="s">
        <v>490</v>
      </c>
      <c r="C344" s="38" t="s">
        <v>492</v>
      </c>
      <c r="D344" s="21" t="n">
        <v>375</v>
      </c>
      <c r="E344" s="21" t="n">
        <v>361</v>
      </c>
      <c r="F344" s="51" t="n">
        <f aca="false">IF(E344="","",D344-E344)</f>
        <v>14</v>
      </c>
      <c r="G344" s="21" t="n">
        <v>648</v>
      </c>
      <c r="H344" s="21" t="n">
        <v>633</v>
      </c>
      <c r="I344" s="51" t="n">
        <f aca="false">IF(H344="","",G344-H344)</f>
        <v>15</v>
      </c>
      <c r="J344" s="39" t="n">
        <f aca="false">IF(OR(D344="",D344+G344=0),"",D344/(D344+G344))</f>
        <v>0.366568914956012</v>
      </c>
      <c r="K344" s="39" t="n">
        <f aca="false">IF(E344="","",E344/(E344+H344))</f>
        <v>0.36317907444668</v>
      </c>
      <c r="L344" s="52" t="n">
        <f aca="false">IF(OR(K344="",J344=""),"",(J344-K344)*100)</f>
        <v>0.338984050933167</v>
      </c>
      <c r="M344" s="38"/>
    </row>
    <row r="345" customFormat="false" ht="15" hidden="false" customHeight="false" outlineLevel="0" collapsed="false">
      <c r="A345" s="38" t="s">
        <v>344</v>
      </c>
      <c r="B345" s="38" t="s">
        <v>490</v>
      </c>
      <c r="C345" s="38" t="s">
        <v>493</v>
      </c>
      <c r="D345" s="21" t="n">
        <v>333</v>
      </c>
      <c r="E345" s="21" t="n">
        <v>286</v>
      </c>
      <c r="F345" s="51" t="n">
        <f aca="false">IF(E345="","",D345-E345)</f>
        <v>47</v>
      </c>
      <c r="G345" s="21" t="n">
        <v>618</v>
      </c>
      <c r="H345" s="21" t="n">
        <v>553</v>
      </c>
      <c r="I345" s="51" t="n">
        <f aca="false">IF(H345="","",G345-H345)</f>
        <v>65</v>
      </c>
      <c r="J345" s="39" t="n">
        <f aca="false">IF(OR(D345="",D345+G345=0),"",D345/(D345+G345))</f>
        <v>0.350157728706625</v>
      </c>
      <c r="K345" s="39" t="n">
        <f aca="false">IF(E345="","",E345/(E345+H345))</f>
        <v>0.34088200238379</v>
      </c>
      <c r="L345" s="52" t="n">
        <f aca="false">IF(OR(K345="",J345=""),"",(J345-K345)*100)</f>
        <v>0.927572632283435</v>
      </c>
      <c r="M345" s="38"/>
    </row>
    <row r="346" customFormat="false" ht="15" hidden="false" customHeight="false" outlineLevel="0" collapsed="false">
      <c r="A346" s="38" t="s">
        <v>344</v>
      </c>
      <c r="B346" s="38" t="s">
        <v>490</v>
      </c>
      <c r="C346" s="38" t="s">
        <v>494</v>
      </c>
      <c r="D346" s="21" t="n">
        <v>360</v>
      </c>
      <c r="E346" s="21" t="n">
        <v>302</v>
      </c>
      <c r="F346" s="51" t="n">
        <f aca="false">IF(E346="","",D346-E346)</f>
        <v>58</v>
      </c>
      <c r="G346" s="21" t="n">
        <v>642</v>
      </c>
      <c r="H346" s="21" t="n">
        <v>608</v>
      </c>
      <c r="I346" s="51" t="n">
        <f aca="false">IF(H346="","",G346-H346)</f>
        <v>34</v>
      </c>
      <c r="J346" s="39" t="n">
        <f aca="false">IF(OR(D346="",D346+G346=0),"",D346/(D346+G346))</f>
        <v>0.359281437125749</v>
      </c>
      <c r="K346" s="39" t="n">
        <f aca="false">IF(E346="","",E346/(E346+H346))</f>
        <v>0.331868131868132</v>
      </c>
      <c r="L346" s="52" t="n">
        <f aca="false">IF(OR(K346="",J346=""),"",(J346-K346)*100)</f>
        <v>2.74133052576167</v>
      </c>
      <c r="M346" s="38"/>
    </row>
    <row r="347" customFormat="false" ht="15" hidden="false" customHeight="false" outlineLevel="0" collapsed="false">
      <c r="A347" s="38" t="s">
        <v>344</v>
      </c>
      <c r="B347" s="38" t="s">
        <v>495</v>
      </c>
      <c r="C347" s="38" t="s">
        <v>496</v>
      </c>
      <c r="D347" s="21" t="n">
        <v>88</v>
      </c>
      <c r="E347" s="21" t="n">
        <v>92</v>
      </c>
      <c r="F347" s="51" t="n">
        <f aca="false">IF(E347="","",D347-E347)</f>
        <v>-4</v>
      </c>
      <c r="G347" s="21" t="n">
        <v>169</v>
      </c>
      <c r="H347" s="21" t="n">
        <v>167</v>
      </c>
      <c r="I347" s="51" t="n">
        <f aca="false">IF(H347="","",G347-H347)</f>
        <v>2</v>
      </c>
      <c r="J347" s="39" t="n">
        <f aca="false">IF(OR(D347="",D347+G347=0),"",D347/(D347+G347))</f>
        <v>0.342412451361868</v>
      </c>
      <c r="K347" s="39" t="n">
        <f aca="false">IF(E347="","",E347/(E347+H347))</f>
        <v>0.355212355212355</v>
      </c>
      <c r="L347" s="52" t="n">
        <f aca="false">IF(OR(K347="",J347=""),"",(J347-K347)*100)</f>
        <v>-1.27999038504875</v>
      </c>
      <c r="M347" s="38"/>
    </row>
    <row r="348" customFormat="false" ht="15" hidden="false" customHeight="false" outlineLevel="0" collapsed="false">
      <c r="A348" s="38" t="s">
        <v>344</v>
      </c>
      <c r="B348" s="38" t="s">
        <v>497</v>
      </c>
      <c r="C348" s="38" t="s">
        <v>498</v>
      </c>
      <c r="D348" s="21" t="n">
        <v>388</v>
      </c>
      <c r="E348" s="21" t="n">
        <v>335</v>
      </c>
      <c r="F348" s="51" t="n">
        <f aca="false">IF(E348="","",D348-E348)</f>
        <v>53</v>
      </c>
      <c r="G348" s="21" t="n">
        <v>563</v>
      </c>
      <c r="H348" s="21" t="n">
        <v>581</v>
      </c>
      <c r="I348" s="51" t="n">
        <f aca="false">IF(H348="","",G348-H348)</f>
        <v>-18</v>
      </c>
      <c r="J348" s="39" t="n">
        <f aca="false">IF(OR(D348="",D348+G348=0),"",D348/(D348+G348))</f>
        <v>0.407991587802313</v>
      </c>
      <c r="K348" s="39" t="n">
        <f aca="false">IF(E348="","",E348/(E348+H348))</f>
        <v>0.365720524017467</v>
      </c>
      <c r="L348" s="52" t="n">
        <f aca="false">IF(OR(K348="",J348=""),"",(J348-K348)*100)</f>
        <v>4.22710637848461</v>
      </c>
      <c r="M348" s="38"/>
    </row>
    <row r="349" customFormat="false" ht="15" hidden="false" customHeight="false" outlineLevel="0" collapsed="false">
      <c r="A349" s="38" t="s">
        <v>344</v>
      </c>
      <c r="B349" s="38" t="s">
        <v>499</v>
      </c>
      <c r="C349" s="38" t="s">
        <v>500</v>
      </c>
      <c r="D349" s="21" t="n">
        <v>234</v>
      </c>
      <c r="E349" s="21" t="n">
        <v>210</v>
      </c>
      <c r="F349" s="51" t="n">
        <f aca="false">IF(E349="","",D349-E349)</f>
        <v>24</v>
      </c>
      <c r="G349" s="21" t="n">
        <v>303</v>
      </c>
      <c r="H349" s="21" t="n">
        <v>309</v>
      </c>
      <c r="I349" s="51" t="n">
        <f aca="false">IF(H349="","",G349-H349)</f>
        <v>-6</v>
      </c>
      <c r="J349" s="39" t="n">
        <f aca="false">IF(OR(D349="",D349+G349=0),"",D349/(D349+G349))</f>
        <v>0.435754189944134</v>
      </c>
      <c r="K349" s="39" t="n">
        <f aca="false">IF(E349="","",E349/(E349+H349))</f>
        <v>0.404624277456647</v>
      </c>
      <c r="L349" s="52" t="n">
        <f aca="false">IF(OR(K349="",J349=""),"",(J349-K349)*100)</f>
        <v>3.11299124874866</v>
      </c>
      <c r="M349" s="38"/>
    </row>
    <row r="350" customFormat="false" ht="15" hidden="false" customHeight="false" outlineLevel="0" collapsed="false">
      <c r="A350" s="38" t="s">
        <v>344</v>
      </c>
      <c r="B350" s="38" t="s">
        <v>501</v>
      </c>
      <c r="C350" s="38" t="s">
        <v>502</v>
      </c>
      <c r="D350" s="21" t="n">
        <v>350</v>
      </c>
      <c r="E350" s="21" t="n">
        <v>331</v>
      </c>
      <c r="F350" s="51" t="n">
        <f aca="false">IF(E350="","",D350-E350)</f>
        <v>19</v>
      </c>
      <c r="G350" s="21" t="n">
        <v>426</v>
      </c>
      <c r="H350" s="21" t="n">
        <v>458</v>
      </c>
      <c r="I350" s="51" t="n">
        <f aca="false">IF(H350="","",G350-H350)</f>
        <v>-32</v>
      </c>
      <c r="J350" s="39" t="n">
        <f aca="false">IF(OR(D350="",D350+G350=0),"",D350/(D350+G350))</f>
        <v>0.451030927835052</v>
      </c>
      <c r="K350" s="39" t="n">
        <f aca="false">IF(E350="","",E350/(E350+H350))</f>
        <v>0.419518377693283</v>
      </c>
      <c r="L350" s="52" t="n">
        <f aca="false">IF(OR(K350="",J350=""),"",(J350-K350)*100)</f>
        <v>3.15125501417689</v>
      </c>
      <c r="M350" s="38"/>
    </row>
    <row r="351" customFormat="false" ht="15" hidden="false" customHeight="false" outlineLevel="0" collapsed="false">
      <c r="A351" s="38" t="s">
        <v>344</v>
      </c>
      <c r="B351" s="38" t="s">
        <v>503</v>
      </c>
      <c r="C351" s="38" t="s">
        <v>504</v>
      </c>
      <c r="D351" s="21" t="n">
        <v>330</v>
      </c>
      <c r="E351" s="21" t="n">
        <v>307</v>
      </c>
      <c r="F351" s="51" t="n">
        <f aca="false">IF(E351="","",D351-E351)</f>
        <v>23</v>
      </c>
      <c r="G351" s="21" t="n">
        <v>756</v>
      </c>
      <c r="H351" s="21" t="n">
        <v>746</v>
      </c>
      <c r="I351" s="51" t="n">
        <f aca="false">IF(H351="","",G351-H351)</f>
        <v>10</v>
      </c>
      <c r="J351" s="39" t="n">
        <f aca="false">IF(OR(D351="",D351+G351=0),"",D351/(D351+G351))</f>
        <v>0.303867403314917</v>
      </c>
      <c r="K351" s="39" t="n">
        <f aca="false">IF(E351="","",E351/(E351+H351))</f>
        <v>0.291547958214625</v>
      </c>
      <c r="L351" s="52" t="n">
        <f aca="false">IF(OR(K351="",J351=""),"",(J351-K351)*100)</f>
        <v>1.23194451002923</v>
      </c>
      <c r="M351" s="38"/>
    </row>
    <row r="352" customFormat="false" ht="15" hidden="false" customHeight="false" outlineLevel="0" collapsed="false">
      <c r="A352" s="38" t="s">
        <v>344</v>
      </c>
      <c r="B352" s="38" t="s">
        <v>503</v>
      </c>
      <c r="C352" s="38" t="s">
        <v>505</v>
      </c>
      <c r="D352" s="21" t="n">
        <v>264</v>
      </c>
      <c r="E352" s="21" t="n">
        <v>232</v>
      </c>
      <c r="F352" s="51" t="n">
        <f aca="false">IF(E352="","",D352-E352)</f>
        <v>32</v>
      </c>
      <c r="G352" s="21" t="n">
        <v>502</v>
      </c>
      <c r="H352" s="21" t="n">
        <v>487</v>
      </c>
      <c r="I352" s="51" t="n">
        <f aca="false">IF(H352="","",G352-H352)</f>
        <v>15</v>
      </c>
      <c r="J352" s="39" t="n">
        <f aca="false">IF(OR(D352="",D352+G352=0),"",D352/(D352+G352))</f>
        <v>0.344647519582245</v>
      </c>
      <c r="K352" s="39" t="n">
        <f aca="false">IF(E352="","",E352/(E352+H352))</f>
        <v>0.322670375521558</v>
      </c>
      <c r="L352" s="52" t="n">
        <f aca="false">IF(OR(K352="",J352=""),"",(J352-K352)*100)</f>
        <v>2.19771440606877</v>
      </c>
      <c r="M352" s="38"/>
    </row>
    <row r="353" customFormat="false" ht="15" hidden="false" customHeight="false" outlineLevel="0" collapsed="false">
      <c r="A353" s="38" t="s">
        <v>344</v>
      </c>
      <c r="B353" s="38" t="s">
        <v>503</v>
      </c>
      <c r="C353" s="38" t="s">
        <v>506</v>
      </c>
      <c r="D353" s="21" t="n">
        <v>207</v>
      </c>
      <c r="E353" s="21" t="n">
        <v>178</v>
      </c>
      <c r="F353" s="51" t="n">
        <f aca="false">IF(E353="","",D353-E353)</f>
        <v>29</v>
      </c>
      <c r="G353" s="21" t="n">
        <v>447</v>
      </c>
      <c r="H353" s="21" t="n">
        <v>480</v>
      </c>
      <c r="I353" s="51" t="n">
        <f aca="false">IF(H353="","",G353-H353)</f>
        <v>-33</v>
      </c>
      <c r="J353" s="39" t="n">
        <f aca="false">IF(OR(D353="",D353+G353=0),"",D353/(D353+G353))</f>
        <v>0.31651376146789</v>
      </c>
      <c r="K353" s="39" t="n">
        <f aca="false">IF(E353="","",E353/(E353+H353))</f>
        <v>0.270516717325228</v>
      </c>
      <c r="L353" s="52" t="n">
        <f aca="false">IF(OR(K353="",J353=""),"",(J353-K353)*100)</f>
        <v>4.59970441426619</v>
      </c>
      <c r="M353" s="38"/>
    </row>
    <row r="354" customFormat="false" ht="15" hidden="false" customHeight="false" outlineLevel="0" collapsed="false">
      <c r="A354" s="38" t="s">
        <v>344</v>
      </c>
      <c r="B354" s="38" t="s">
        <v>503</v>
      </c>
      <c r="C354" s="38" t="s">
        <v>507</v>
      </c>
      <c r="D354" s="21" t="n">
        <v>212</v>
      </c>
      <c r="E354" s="21" t="n">
        <v>180</v>
      </c>
      <c r="F354" s="51" t="n">
        <f aca="false">IF(E354="","",D354-E354)</f>
        <v>32</v>
      </c>
      <c r="G354" s="21" t="n">
        <v>430</v>
      </c>
      <c r="H354" s="21" t="n">
        <v>430</v>
      </c>
      <c r="I354" s="51" t="n">
        <f aca="false">IF(H354="","",G354-H354)</f>
        <v>0</v>
      </c>
      <c r="J354" s="39" t="n">
        <f aca="false">IF(OR(D354="",D354+G354=0),"",D354/(D354+G354))</f>
        <v>0.330218068535826</v>
      </c>
      <c r="K354" s="39" t="n">
        <f aca="false">IF(E354="","",E354/(E354+H354))</f>
        <v>0.295081967213115</v>
      </c>
      <c r="L354" s="52" t="n">
        <f aca="false">IF(OR(K354="",J354=""),"",(J354-K354)*100)</f>
        <v>3.51361013227108</v>
      </c>
      <c r="M354" s="38"/>
    </row>
    <row r="355" customFormat="false" ht="15" hidden="false" customHeight="false" outlineLevel="0" collapsed="false">
      <c r="A355" s="38" t="s">
        <v>344</v>
      </c>
      <c r="B355" s="38" t="s">
        <v>503</v>
      </c>
      <c r="C355" s="38" t="s">
        <v>508</v>
      </c>
      <c r="D355" s="21" t="n">
        <v>352</v>
      </c>
      <c r="E355" s="21" t="n">
        <v>345</v>
      </c>
      <c r="F355" s="51" t="n">
        <f aca="false">IF(E355="","",D355-E355)</f>
        <v>7</v>
      </c>
      <c r="G355" s="21" t="n">
        <v>596</v>
      </c>
      <c r="H355" s="21" t="n">
        <v>573</v>
      </c>
      <c r="I355" s="51" t="n">
        <f aca="false">IF(H355="","",G355-H355)</f>
        <v>23</v>
      </c>
      <c r="J355" s="39" t="n">
        <f aca="false">IF(OR(D355="",D355+G355=0),"",D355/(D355+G355))</f>
        <v>0.371308016877637</v>
      </c>
      <c r="K355" s="39" t="n">
        <f aca="false">IF(E355="","",E355/(E355+H355))</f>
        <v>0.375816993464052</v>
      </c>
      <c r="L355" s="52" t="n">
        <f aca="false">IF(OR(K355="",J355=""),"",(J355-K355)*100)</f>
        <v>-0.450897658641514</v>
      </c>
      <c r="M355" s="38"/>
    </row>
    <row r="356" customFormat="false" ht="15" hidden="false" customHeight="false" outlineLevel="0" collapsed="false">
      <c r="A356" s="38" t="s">
        <v>344</v>
      </c>
      <c r="B356" s="38" t="s">
        <v>509</v>
      </c>
      <c r="C356" s="38" t="s">
        <v>510</v>
      </c>
      <c r="D356" s="21" t="n">
        <v>1198</v>
      </c>
      <c r="E356" s="21" t="n">
        <v>1084</v>
      </c>
      <c r="F356" s="51" t="n">
        <f aca="false">IF(E356="","",D356-E356)</f>
        <v>114</v>
      </c>
      <c r="G356" s="21" t="n">
        <v>1157</v>
      </c>
      <c r="H356" s="21" t="n">
        <v>1187</v>
      </c>
      <c r="I356" s="51" t="n">
        <f aca="false">IF(H356="","",G356-H356)</f>
        <v>-30</v>
      </c>
      <c r="J356" s="39" t="n">
        <f aca="false">IF(OR(D356="",D356+G356=0),"",D356/(D356+G356))</f>
        <v>0.508704883227176</v>
      </c>
      <c r="K356" s="39" t="n">
        <f aca="false">IF(E356="","",E356/(E356+H356))</f>
        <v>0.477322765301629</v>
      </c>
      <c r="L356" s="52" t="n">
        <f aca="false">IF(OR(K356="",J356=""),"",(J356-K356)*100)</f>
        <v>3.1382117925547</v>
      </c>
      <c r="M356" s="38"/>
    </row>
    <row r="357" customFormat="false" ht="15" hidden="false" customHeight="false" outlineLevel="0" collapsed="false">
      <c r="A357" s="38" t="s">
        <v>344</v>
      </c>
      <c r="B357" s="38" t="s">
        <v>509</v>
      </c>
      <c r="C357" s="38" t="s">
        <v>511</v>
      </c>
      <c r="D357" s="21" t="n">
        <v>372</v>
      </c>
      <c r="E357" s="21"/>
      <c r="F357" s="51" t="str">
        <f aca="false">IF(E357="","",D357-E357)</f>
        <v/>
      </c>
      <c r="G357" s="21" t="n">
        <v>345</v>
      </c>
      <c r="H357" s="21"/>
      <c r="I357" s="51" t="str">
        <f aca="false">IF(H357="","",G357-H357)</f>
        <v/>
      </c>
      <c r="J357" s="39" t="n">
        <f aca="false">IF(OR(D357="",D357+G357=0),"",D357/(D357+G357))</f>
        <v>0.518828451882845</v>
      </c>
      <c r="K357" s="39" t="str">
        <f aca="false">IF(E357="","",E357/(E357+H357))</f>
        <v/>
      </c>
      <c r="L357" s="52" t="str">
        <f aca="false">IF(OR(K357="",J357=""),"",(J357-K357)*100)</f>
        <v/>
      </c>
      <c r="M357" s="38" t="s">
        <v>691</v>
      </c>
    </row>
    <row r="358" customFormat="false" ht="15" hidden="false" customHeight="false" outlineLevel="0" collapsed="false">
      <c r="A358" s="38" t="s">
        <v>344</v>
      </c>
      <c r="B358" s="38" t="s">
        <v>509</v>
      </c>
      <c r="C358" s="38" t="s">
        <v>512</v>
      </c>
      <c r="D358" s="21" t="n">
        <v>935</v>
      </c>
      <c r="E358" s="21" t="n">
        <v>880</v>
      </c>
      <c r="F358" s="51" t="n">
        <f aca="false">IF(E358="","",D358-E358)</f>
        <v>55</v>
      </c>
      <c r="G358" s="21" t="n">
        <v>933</v>
      </c>
      <c r="H358" s="21" t="n">
        <v>960</v>
      </c>
      <c r="I358" s="51" t="n">
        <f aca="false">IF(H358="","",G358-H358)</f>
        <v>-27</v>
      </c>
      <c r="J358" s="39" t="n">
        <f aca="false">IF(OR(D358="",D358+G358=0),"",D358/(D358+G358))</f>
        <v>0.500535331905782</v>
      </c>
      <c r="K358" s="39" t="n">
        <f aca="false">IF(E358="","",E358/(E358+H358))</f>
        <v>0.478260869565217</v>
      </c>
      <c r="L358" s="52" t="n">
        <f aca="false">IF(OR(K358="",J358=""),"",(J358-K358)*100)</f>
        <v>2.22744623405642</v>
      </c>
      <c r="M358" s="38"/>
    </row>
    <row r="359" customFormat="false" ht="15" hidden="false" customHeight="false" outlineLevel="0" collapsed="false">
      <c r="A359" s="38" t="s">
        <v>344</v>
      </c>
      <c r="B359" s="38" t="s">
        <v>509</v>
      </c>
      <c r="C359" s="38" t="s">
        <v>513</v>
      </c>
      <c r="D359" s="21" t="n">
        <v>283</v>
      </c>
      <c r="E359" s="21"/>
      <c r="F359" s="51" t="str">
        <f aca="false">IF(E359="","",D359-E359)</f>
        <v/>
      </c>
      <c r="G359" s="21" t="n">
        <v>265</v>
      </c>
      <c r="H359" s="21"/>
      <c r="I359" s="51" t="str">
        <f aca="false">IF(H359="","",G359-H359)</f>
        <v/>
      </c>
      <c r="J359" s="39" t="n">
        <f aca="false">IF(OR(D359="",D359+G359=0),"",D359/(D359+G359))</f>
        <v>0.516423357664234</v>
      </c>
      <c r="K359" s="39" t="str">
        <f aca="false">IF(E359="","",E359/(E359+H359))</f>
        <v/>
      </c>
      <c r="L359" s="52" t="str">
        <f aca="false">IF(OR(K359="",J359=""),"",(J359-K359)*100)</f>
        <v/>
      </c>
      <c r="M359" s="38" t="s">
        <v>691</v>
      </c>
    </row>
    <row r="360" customFormat="false" ht="15" hidden="false" customHeight="false" outlineLevel="0" collapsed="false">
      <c r="A360" s="38" t="s">
        <v>344</v>
      </c>
      <c r="B360" s="38" t="s">
        <v>514</v>
      </c>
      <c r="C360" s="38" t="s">
        <v>515</v>
      </c>
      <c r="D360" s="21" t="n">
        <v>460</v>
      </c>
      <c r="E360" s="21" t="n">
        <v>416</v>
      </c>
      <c r="F360" s="51" t="n">
        <f aca="false">IF(E360="","",D360-E360)</f>
        <v>44</v>
      </c>
      <c r="G360" s="21" t="n">
        <v>610</v>
      </c>
      <c r="H360" s="21" t="n">
        <v>658</v>
      </c>
      <c r="I360" s="51" t="n">
        <f aca="false">IF(H360="","",G360-H360)</f>
        <v>-48</v>
      </c>
      <c r="J360" s="39" t="n">
        <f aca="false">IF(OR(D360="",D360+G360=0),"",D360/(D360+G360))</f>
        <v>0.429906542056075</v>
      </c>
      <c r="K360" s="39" t="n">
        <f aca="false">IF(E360="","",E360/(E360+H360))</f>
        <v>0.387337057728119</v>
      </c>
      <c r="L360" s="52" t="n">
        <f aca="false">IF(OR(K360="",J360=""),"",(J360-K360)*100)</f>
        <v>4.25694843279556</v>
      </c>
      <c r="M360" s="38"/>
    </row>
    <row r="361" customFormat="false" ht="15" hidden="false" customHeight="false" outlineLevel="0" collapsed="false">
      <c r="A361" s="38" t="s">
        <v>344</v>
      </c>
      <c r="B361" s="38" t="s">
        <v>319</v>
      </c>
      <c r="C361" s="38" t="s">
        <v>516</v>
      </c>
      <c r="D361" s="21" t="n">
        <v>893</v>
      </c>
      <c r="E361" s="21" t="n">
        <v>541</v>
      </c>
      <c r="F361" s="51" t="n">
        <f aca="false">IF(E361="","",D361-E361)</f>
        <v>352</v>
      </c>
      <c r="G361" s="21" t="n">
        <v>1553</v>
      </c>
      <c r="H361" s="21" t="n">
        <v>1106</v>
      </c>
      <c r="I361" s="51" t="n">
        <f aca="false">IF(H361="","",G361-H361)</f>
        <v>447</v>
      </c>
      <c r="J361" s="39" t="n">
        <f aca="false">IF(OR(D361="",D361+G361=0),"",D361/(D361+G361))</f>
        <v>0.365085854456255</v>
      </c>
      <c r="K361" s="39" t="n">
        <f aca="false">IF(E361="","",E361/(E361+H361))</f>
        <v>0.328476017000607</v>
      </c>
      <c r="L361" s="52" t="n">
        <f aca="false">IF(OR(K361="",J361=""),"",(J361-K361)*100)</f>
        <v>3.66098374556479</v>
      </c>
      <c r="M361" s="38"/>
    </row>
    <row r="362" customFormat="false" ht="15" hidden="false" customHeight="false" outlineLevel="0" collapsed="false">
      <c r="A362" s="38" t="s">
        <v>344</v>
      </c>
      <c r="B362" s="38" t="s">
        <v>319</v>
      </c>
      <c r="C362" s="38" t="s">
        <v>517</v>
      </c>
      <c r="D362" s="21" t="n">
        <v>616</v>
      </c>
      <c r="E362" s="21" t="n">
        <v>500</v>
      </c>
      <c r="F362" s="51" t="n">
        <f aca="false">IF(E362="","",D362-E362)</f>
        <v>116</v>
      </c>
      <c r="G362" s="21" t="n">
        <v>1073</v>
      </c>
      <c r="H362" s="21" t="n">
        <v>982</v>
      </c>
      <c r="I362" s="51" t="n">
        <f aca="false">IF(H362="","",G362-H362)</f>
        <v>91</v>
      </c>
      <c r="J362" s="39" t="n">
        <f aca="false">IF(OR(D362="",D362+G362=0),"",D362/(D362+G362))</f>
        <v>0.364712847838958</v>
      </c>
      <c r="K362" s="39" t="n">
        <f aca="false">IF(E362="","",E362/(E362+H362))</f>
        <v>0.337381916329285</v>
      </c>
      <c r="L362" s="52" t="n">
        <f aca="false">IF(OR(K362="",J362=""),"",(J362-K362)*100)</f>
        <v>2.73309315096732</v>
      </c>
      <c r="M362" s="38"/>
    </row>
    <row r="363" customFormat="false" ht="15" hidden="false" customHeight="false" outlineLevel="0" collapsed="false">
      <c r="A363" s="38" t="s">
        <v>344</v>
      </c>
      <c r="B363" s="38" t="s">
        <v>519</v>
      </c>
      <c r="C363" s="38" t="s">
        <v>519</v>
      </c>
      <c r="D363" s="21" t="n">
        <v>307</v>
      </c>
      <c r="E363" s="21" t="n">
        <v>281</v>
      </c>
      <c r="F363" s="51" t="n">
        <f aca="false">IF(E363="","",D363-E363)</f>
        <v>26</v>
      </c>
      <c r="G363" s="21" t="n">
        <v>303</v>
      </c>
      <c r="H363" s="21" t="n">
        <v>310</v>
      </c>
      <c r="I363" s="51" t="n">
        <f aca="false">IF(H363="","",G363-H363)</f>
        <v>-7</v>
      </c>
      <c r="J363" s="39" t="n">
        <f aca="false">IF(OR(D363="",D363+G363=0),"",D363/(D363+G363))</f>
        <v>0.50327868852459</v>
      </c>
      <c r="K363" s="39" t="n">
        <f aca="false">IF(E363="","",E363/(E363+H363))</f>
        <v>0.475465313028765</v>
      </c>
      <c r="L363" s="52" t="n">
        <f aca="false">IF(OR(K363="",J363=""),"",(J363-K363)*100)</f>
        <v>2.78133754958253</v>
      </c>
      <c r="M363" s="38"/>
    </row>
    <row r="364" customFormat="false" ht="15" hidden="false" customHeight="false" outlineLevel="0" collapsed="false">
      <c r="A364" s="38" t="s">
        <v>344</v>
      </c>
      <c r="B364" s="38" t="s">
        <v>520</v>
      </c>
      <c r="C364" s="38" t="s">
        <v>521</v>
      </c>
      <c r="D364" s="21" t="n">
        <v>554</v>
      </c>
      <c r="E364" s="21" t="n">
        <v>514</v>
      </c>
      <c r="F364" s="51" t="n">
        <f aca="false">IF(E364="","",D364-E364)</f>
        <v>40</v>
      </c>
      <c r="G364" s="21" t="n">
        <v>708</v>
      </c>
      <c r="H364" s="21" t="n">
        <v>713</v>
      </c>
      <c r="I364" s="51" t="n">
        <f aca="false">IF(H364="","",G364-H364)</f>
        <v>-5</v>
      </c>
      <c r="J364" s="39" t="n">
        <f aca="false">IF(OR(D364="",D364+G364=0),"",D364/(D364+G364))</f>
        <v>0.438985736925515</v>
      </c>
      <c r="K364" s="39" t="n">
        <f aca="false">IF(E364="","",E364/(E364+H364))</f>
        <v>0.418907905460473</v>
      </c>
      <c r="L364" s="52" t="n">
        <f aca="false">IF(OR(K364="",J364=""),"",(J364-K364)*100)</f>
        <v>2.00778314650424</v>
      </c>
      <c r="M364" s="38"/>
    </row>
    <row r="365" customFormat="false" ht="15" hidden="false" customHeight="false" outlineLevel="0" collapsed="false">
      <c r="A365" s="38" t="s">
        <v>344</v>
      </c>
      <c r="B365" s="38" t="s">
        <v>520</v>
      </c>
      <c r="C365" s="38" t="s">
        <v>522</v>
      </c>
      <c r="D365" s="21" t="n">
        <v>456</v>
      </c>
      <c r="E365" s="21" t="n">
        <v>425</v>
      </c>
      <c r="F365" s="51" t="n">
        <f aca="false">IF(E365="","",D365-E365)</f>
        <v>31</v>
      </c>
      <c r="G365" s="21" t="n">
        <v>687</v>
      </c>
      <c r="H365" s="21" t="n">
        <v>656</v>
      </c>
      <c r="I365" s="51" t="n">
        <f aca="false">IF(H365="","",G365-H365)</f>
        <v>31</v>
      </c>
      <c r="J365" s="39" t="n">
        <f aca="false">IF(OR(D365="",D365+G365=0),"",D365/(D365+G365))</f>
        <v>0.398950131233596</v>
      </c>
      <c r="K365" s="39" t="n">
        <f aca="false">IF(E365="","",E365/(E365+H365))</f>
        <v>0.393154486586494</v>
      </c>
      <c r="L365" s="52" t="n">
        <f aca="false">IF(OR(K365="",J365=""),"",(J365-K365)*100)</f>
        <v>0.579564464710181</v>
      </c>
      <c r="M365" s="38"/>
    </row>
    <row r="366" customFormat="false" ht="15" hidden="false" customHeight="false" outlineLevel="0" collapsed="false">
      <c r="A366" s="38" t="s">
        <v>344</v>
      </c>
      <c r="B366" s="38" t="s">
        <v>520</v>
      </c>
      <c r="C366" s="38" t="s">
        <v>523</v>
      </c>
      <c r="D366" s="21" t="n">
        <v>648</v>
      </c>
      <c r="E366" s="21" t="n">
        <v>624</v>
      </c>
      <c r="F366" s="51" t="n">
        <f aca="false">IF(E366="","",D366-E366)</f>
        <v>24</v>
      </c>
      <c r="G366" s="21" t="n">
        <v>629</v>
      </c>
      <c r="H366" s="21" t="n">
        <v>618</v>
      </c>
      <c r="I366" s="51" t="n">
        <f aca="false">IF(H366="","",G366-H366)</f>
        <v>11</v>
      </c>
      <c r="J366" s="39" t="n">
        <f aca="false">IF(OR(D366="",D366+G366=0),"",D366/(D366+G366))</f>
        <v>0.507439310884887</v>
      </c>
      <c r="K366" s="39" t="n">
        <f aca="false">IF(E366="","",E366/(E366+H366))</f>
        <v>0.502415458937198</v>
      </c>
      <c r="L366" s="52" t="n">
        <f aca="false">IF(OR(K366="",J366=""),"",(J366-K366)*100)</f>
        <v>0.50238519476884</v>
      </c>
      <c r="M366" s="38"/>
    </row>
    <row r="367" customFormat="false" ht="15" hidden="false" customHeight="false" outlineLevel="0" collapsed="false">
      <c r="A367" s="38" t="s">
        <v>344</v>
      </c>
      <c r="B367" s="38" t="s">
        <v>520</v>
      </c>
      <c r="C367" s="38" t="s">
        <v>524</v>
      </c>
      <c r="D367" s="21" t="n">
        <v>340</v>
      </c>
      <c r="E367" s="21" t="n">
        <v>284</v>
      </c>
      <c r="F367" s="51" t="n">
        <f aca="false">IF(E367="","",D367-E367)</f>
        <v>56</v>
      </c>
      <c r="G367" s="21" t="n">
        <v>416</v>
      </c>
      <c r="H367" s="21" t="n">
        <v>414</v>
      </c>
      <c r="I367" s="51" t="n">
        <f aca="false">IF(H367="","",G367-H367)</f>
        <v>2</v>
      </c>
      <c r="J367" s="39" t="n">
        <f aca="false">IF(OR(D367="",D367+G367=0),"",D367/(D367+G367))</f>
        <v>0.44973544973545</v>
      </c>
      <c r="K367" s="39" t="n">
        <f aca="false">IF(E367="","",E367/(E367+H367))</f>
        <v>0.406876790830946</v>
      </c>
      <c r="L367" s="52" t="n">
        <f aca="false">IF(OR(K367="",J367=""),"",(J367-K367)*100)</f>
        <v>4.28586589045041</v>
      </c>
      <c r="M367" s="38"/>
    </row>
    <row r="368" customFormat="false" ht="15" hidden="false" customHeight="false" outlineLevel="0" collapsed="false">
      <c r="A368" s="38" t="s">
        <v>344</v>
      </c>
      <c r="B368" s="38" t="s">
        <v>525</v>
      </c>
      <c r="C368" s="38" t="s">
        <v>526</v>
      </c>
      <c r="D368" s="21" t="n">
        <v>645</v>
      </c>
      <c r="E368" s="21" t="n">
        <v>648</v>
      </c>
      <c r="F368" s="51" t="n">
        <f aca="false">IF(E368="","",D368-E368)</f>
        <v>-3</v>
      </c>
      <c r="G368" s="21" t="n">
        <v>412</v>
      </c>
      <c r="H368" s="21" t="n">
        <v>462</v>
      </c>
      <c r="I368" s="51" t="n">
        <f aca="false">IF(H368="","",G368-H368)</f>
        <v>-50</v>
      </c>
      <c r="J368" s="39" t="n">
        <f aca="false">IF(OR(D368="",D368+G368=0),"",D368/(D368+G368))</f>
        <v>0.610217596972564</v>
      </c>
      <c r="K368" s="39" t="n">
        <f aca="false">IF(E368="","",E368/(E368+H368))</f>
        <v>0.583783783783784</v>
      </c>
      <c r="L368" s="52" t="n">
        <f aca="false">IF(OR(K368="",J368=""),"",(J368-K368)*100)</f>
        <v>2.643381318878</v>
      </c>
      <c r="M368" s="38"/>
    </row>
    <row r="369" customFormat="false" ht="15" hidden="false" customHeight="false" outlineLevel="0" collapsed="false">
      <c r="A369" s="38" t="s">
        <v>344</v>
      </c>
      <c r="B369" s="38" t="s">
        <v>525</v>
      </c>
      <c r="C369" s="38" t="s">
        <v>527</v>
      </c>
      <c r="D369" s="21" t="n">
        <v>530</v>
      </c>
      <c r="E369" s="21" t="n">
        <v>491</v>
      </c>
      <c r="F369" s="51" t="n">
        <f aca="false">IF(E369="","",D369-E369)</f>
        <v>39</v>
      </c>
      <c r="G369" s="21" t="n">
        <v>368</v>
      </c>
      <c r="H369" s="21" t="n">
        <v>402</v>
      </c>
      <c r="I369" s="51" t="n">
        <f aca="false">IF(H369="","",G369-H369)</f>
        <v>-34</v>
      </c>
      <c r="J369" s="39" t="n">
        <f aca="false">IF(OR(D369="",D369+G369=0),"",D369/(D369+G369))</f>
        <v>0.590200445434298</v>
      </c>
      <c r="K369" s="39" t="n">
        <f aca="false">IF(E369="","",E369/(E369+H369))</f>
        <v>0.5498320268757</v>
      </c>
      <c r="L369" s="52" t="n">
        <f aca="false">IF(OR(K369="",J369=""),"",(J369-K369)*100)</f>
        <v>4.03684185585985</v>
      </c>
      <c r="M369" s="38"/>
    </row>
    <row r="370" customFormat="false" ht="15" hidden="false" customHeight="false" outlineLevel="0" collapsed="false">
      <c r="A370" s="38" t="s">
        <v>344</v>
      </c>
      <c r="B370" s="38" t="s">
        <v>525</v>
      </c>
      <c r="C370" s="38" t="s">
        <v>528</v>
      </c>
      <c r="D370" s="21" t="n">
        <v>831</v>
      </c>
      <c r="E370" s="21" t="n">
        <v>758</v>
      </c>
      <c r="F370" s="51" t="n">
        <f aca="false">IF(E370="","",D370-E370)</f>
        <v>73</v>
      </c>
      <c r="G370" s="21" t="n">
        <v>611</v>
      </c>
      <c r="H370" s="21" t="n">
        <v>674</v>
      </c>
      <c r="I370" s="51" t="n">
        <f aca="false">IF(H370="","",G370-H370)</f>
        <v>-63</v>
      </c>
      <c r="J370" s="39" t="n">
        <f aca="false">IF(OR(D370="",D370+G370=0),"",D370/(D370+G370))</f>
        <v>0.57628294036061</v>
      </c>
      <c r="K370" s="39" t="n">
        <f aca="false">IF(E370="","",E370/(E370+H370))</f>
        <v>0.529329608938548</v>
      </c>
      <c r="L370" s="52" t="n">
        <f aca="false">IF(OR(K370="",J370=""),"",(J370-K370)*100)</f>
        <v>4.69533314220627</v>
      </c>
      <c r="M370" s="38"/>
    </row>
    <row r="371" customFormat="false" ht="15" hidden="false" customHeight="false" outlineLevel="0" collapsed="false">
      <c r="A371" s="38" t="s">
        <v>344</v>
      </c>
      <c r="B371" s="38" t="s">
        <v>529</v>
      </c>
      <c r="C371" s="38" t="s">
        <v>529</v>
      </c>
      <c r="D371" s="21" t="n">
        <v>680</v>
      </c>
      <c r="E371" s="21" t="n">
        <v>634</v>
      </c>
      <c r="F371" s="51" t="n">
        <f aca="false">IF(E371="","",D371-E371)</f>
        <v>46</v>
      </c>
      <c r="G371" s="21" t="n">
        <v>795</v>
      </c>
      <c r="H371" s="21" t="n">
        <v>856</v>
      </c>
      <c r="I371" s="51" t="n">
        <f aca="false">IF(H371="","",G371-H371)</f>
        <v>-61</v>
      </c>
      <c r="J371" s="39" t="n">
        <f aca="false">IF(OR(D371="",D371+G371=0),"",D371/(D371+G371))</f>
        <v>0.461016949152542</v>
      </c>
      <c r="K371" s="39" t="n">
        <f aca="false">IF(E371="","",E371/(E371+H371))</f>
        <v>0.425503355704698</v>
      </c>
      <c r="L371" s="52" t="n">
        <f aca="false">IF(OR(K371="",J371=""),"",(J371-K371)*100)</f>
        <v>3.55135934478444</v>
      </c>
      <c r="M371" s="38"/>
    </row>
    <row r="373" customFormat="false" ht="15" hidden="false" customHeight="false" outlineLevel="0" collapsed="false">
      <c r="A373" s="11" t="s">
        <v>692</v>
      </c>
      <c r="B373" s="53"/>
      <c r="C373" s="53"/>
      <c r="D373" s="54" t="n">
        <f aca="false">SUMIF(E2:E371,"&lt;&gt;",D2:D371)</f>
        <v>196380</v>
      </c>
      <c r="E373" s="54" t="n">
        <f aca="false">SUM(E2:E371)</f>
        <v>183378</v>
      </c>
      <c r="F373" s="55" t="n">
        <f aca="false">D373-E373</f>
        <v>13002</v>
      </c>
      <c r="G373" s="54" t="n">
        <f aca="false">SUMIF(H2:H371,"&lt;&gt;",G2:G371)</f>
        <v>185400</v>
      </c>
      <c r="H373" s="54" t="n">
        <f aca="false">SUM(H2:H371)</f>
        <v>189309</v>
      </c>
      <c r="I373" s="55" t="n">
        <f aca="false">G373-H373</f>
        <v>-3909</v>
      </c>
      <c r="J373" s="56" t="n">
        <f aca="false">D373/(D373+G373)</f>
        <v>0.514380009429514</v>
      </c>
      <c r="K373" s="56" t="n">
        <f aca="false">E373/(E373+H373)</f>
        <v>0.492042920735094</v>
      </c>
      <c r="L373" s="57" t="n">
        <f aca="false">(J373-K373)*100</f>
        <v>2.23370886944203</v>
      </c>
    </row>
    <row r="374" customFormat="false" ht="15" hidden="false" customHeight="false" outlineLevel="0" collapsed="false">
      <c r="A374" s="11" t="s">
        <v>693</v>
      </c>
      <c r="B374" s="53"/>
      <c r="C374" s="53"/>
      <c r="D374" s="54" t="n">
        <f aca="false">SUM(D2:D371)</f>
        <v>213823</v>
      </c>
      <c r="E374" s="54"/>
      <c r="F374" s="55"/>
      <c r="G374" s="54" t="n">
        <f aca="false">SUM(G2:G371)</f>
        <v>201005</v>
      </c>
      <c r="H374" s="54"/>
      <c r="I374" s="55"/>
      <c r="J374" s="56" t="n">
        <f aca="false">D374/(D374+G374)</f>
        <v>0.515449776774953</v>
      </c>
      <c r="K374" s="56"/>
      <c r="L374" s="57"/>
    </row>
    <row r="376" customFormat="false" ht="15" hidden="false" customHeight="false" outlineLevel="0" collapsed="false">
      <c r="A376" s="2" t="s">
        <v>694</v>
      </c>
      <c r="F376" s="58" t="n">
        <f aca="false">(SUMIF(F2:F371,"&gt;0")-SUMIF(F2:F371,"&lt;0"))/COUNT(F2:F371)</f>
        <v>55.9356725146199</v>
      </c>
    </row>
    <row r="377" customFormat="false" ht="15" hidden="false" customHeight="false" outlineLevel="0" collapsed="false">
      <c r="A377" s="2" t="s">
        <v>695</v>
      </c>
      <c r="F377" s="58" t="n">
        <f aca="false">(SUMIF(I2:I371,"&gt;0")-SUMIF(I2:I371,"&lt;0"))/COUNT(I2:I371)</f>
        <v>37.7046783625731</v>
      </c>
    </row>
    <row r="378" customFormat="false" ht="15" hidden="false" customHeight="false" outlineLevel="0" collapsed="false">
      <c r="A378" s="2" t="s">
        <v>696</v>
      </c>
      <c r="F378" s="59" t="n">
        <f aca="false">(SUMIF(L2:L371,"&gt;0")-SUMIF(L2:L371,"&lt;0"))/COUNT(L2:L371)</f>
        <v>3.22343901827113</v>
      </c>
    </row>
    <row r="379" customFormat="false" ht="15" hidden="false" customHeight="false" outlineLevel="0" collapsed="false">
      <c r="A379" s="5" t="s">
        <v>697</v>
      </c>
      <c r="F379" s="60" t="n">
        <f aca="false">SQRT(SUMSQ(L2:L371)/COUNT(L2:L371))</f>
        <v>3.7969585500387</v>
      </c>
    </row>
    <row r="380" customFormat="false" ht="15" hidden="false" customHeight="false" outlineLevel="0" collapsed="false">
      <c r="A380" s="5" t="s">
        <v>698</v>
      </c>
      <c r="F380" s="61" t="n">
        <f aca="false">L373</f>
        <v>2.23370886944203</v>
      </c>
    </row>
    <row r="381" customFormat="false" ht="15" hidden="false" customHeight="false" outlineLevel="0" collapsed="false">
      <c r="A381" s="5" t="s">
        <v>699</v>
      </c>
      <c r="F381" s="60" t="n">
        <f aca="false">SQRT((SUMSQ(L2:L371)-2*L373*SUM(L2:L371)+COUNT(L2:L371)*L373^2)/COUNT(L2:L371))</f>
        <v>2.38681946225821</v>
      </c>
    </row>
    <row r="382" customFormat="false" ht="15" hidden="false" customHeight="false" outlineLevel="0" collapsed="false">
      <c r="A382" s="2" t="s">
        <v>700</v>
      </c>
      <c r="F382" s="62" t="n">
        <f aca="false">(D373+G373)/(E373+H373)-1</f>
        <v>0.0243984898856144</v>
      </c>
    </row>
    <row r="383" customFormat="false" ht="15" hidden="false" customHeight="false" outlineLevel="0" collapsed="false">
      <c r="A383" s="2" t="s">
        <v>701</v>
      </c>
      <c r="F383" s="63" t="n">
        <f aca="false">COUNTIFS(L2:L371,"&gt;=-3",L2:L371,"&lt;=3")/COUNT(L2:L371)</f>
        <v>0.491228070175439</v>
      </c>
    </row>
    <row r="384" customFormat="false" ht="15" hidden="false" customHeight="false" outlineLevel="0" collapsed="false">
      <c r="A384" s="2" t="s">
        <v>702</v>
      </c>
      <c r="F384" s="64" t="n">
        <f aca="false">COUNT(E2:E371)</f>
        <v>342</v>
      </c>
    </row>
    <row r="385" customFormat="false" ht="15" hidden="false" customHeight="false" outlineLevel="0" collapsed="false">
      <c r="A385" s="2" t="s">
        <v>703</v>
      </c>
      <c r="F385" s="64" t="n">
        <f aca="false">COUNTA(A2:A371)</f>
        <v>370</v>
      </c>
    </row>
    <row r="387" customFormat="false" ht="15" hidden="false" customHeight="false" outlineLevel="0" collapsed="false">
      <c r="M387" s="5" t="s">
        <v>69</v>
      </c>
    </row>
    <row r="388" customFormat="false" ht="28.35" hidden="false" customHeight="false" outlineLevel="0" collapsed="false">
      <c r="M388" s="50" t="s">
        <v>704</v>
      </c>
    </row>
    <row r="389" customFormat="false" ht="28.35" hidden="false" customHeight="false" outlineLevel="0" collapsed="false">
      <c r="M389" s="50" t="s">
        <v>705</v>
      </c>
    </row>
    <row r="390" customFormat="false" ht="41.75" hidden="false" customHeight="false" outlineLevel="0" collapsed="false">
      <c r="M390" s="50" t="s">
        <v>706</v>
      </c>
    </row>
    <row r="391" customFormat="false" ht="55.2" hidden="false" customHeight="false" outlineLevel="0" collapsed="false">
      <c r="M391" s="50" t="s">
        <v>707</v>
      </c>
    </row>
    <row r="392" customFormat="false" ht="28.35" hidden="false" customHeight="false" outlineLevel="0" collapsed="false">
      <c r="M392" s="50" t="s">
        <v>715</v>
      </c>
    </row>
    <row r="393" customFormat="false" ht="28.35" hidden="false" customHeight="false" outlineLevel="0" collapsed="false">
      <c r="M393" s="50" t="s">
        <v>709</v>
      </c>
    </row>
    <row r="394" customFormat="false" ht="28.35" hidden="false" customHeight="false" outlineLevel="0" collapsed="false">
      <c r="M394" s="50" t="s">
        <v>710</v>
      </c>
    </row>
    <row r="395" customFormat="false" ht="28.35" hidden="false" customHeight="false" outlineLevel="0" collapsed="false">
      <c r="M395" s="50" t="s">
        <v>711</v>
      </c>
    </row>
    <row r="396" customFormat="false" ht="15" hidden="false" customHeight="false" outlineLevel="0" collapsed="false">
      <c r="M396" s="50" t="s">
        <v>712</v>
      </c>
    </row>
    <row r="397" customFormat="false" ht="41.75" hidden="false" customHeight="false" outlineLevel="0" collapsed="false">
      <c r="M397" s="50" t="s">
        <v>713</v>
      </c>
    </row>
    <row r="398" customFormat="false" ht="28.35" hidden="false" customHeight="false" outlineLevel="0" collapsed="false">
      <c r="M398" s="50" t="s">
        <v>714</v>
      </c>
    </row>
  </sheetData>
  <conditionalFormatting sqref="L2:L371">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1" min="9" style="0" width="14"/>
    <col collapsed="false" customWidth="true" hidden="false" outlineLevel="0" max="12" min="12" style="0" width="16"/>
    <col collapsed="false" customWidth="true" hidden="false" outlineLevel="0" max="13" min="13" style="0" width="90"/>
  </cols>
  <sheetData>
    <row r="1" customFormat="false" ht="60" hidden="false" customHeight="true" outlineLevel="0" collapsed="false">
      <c r="A1" s="7" t="s">
        <v>42</v>
      </c>
      <c r="B1" s="7" t="s">
        <v>43</v>
      </c>
      <c r="C1" s="7" t="s">
        <v>44</v>
      </c>
      <c r="D1" s="7" t="s">
        <v>681</v>
      </c>
      <c r="E1" s="7" t="s">
        <v>682</v>
      </c>
      <c r="F1" s="7" t="s">
        <v>683</v>
      </c>
      <c r="G1" s="7" t="s">
        <v>684</v>
      </c>
      <c r="H1" s="7" t="s">
        <v>685</v>
      </c>
      <c r="I1" s="7" t="s">
        <v>686</v>
      </c>
      <c r="J1" s="7" t="s">
        <v>687</v>
      </c>
      <c r="K1" s="7" t="s">
        <v>688</v>
      </c>
      <c r="L1" s="7" t="s">
        <v>689</v>
      </c>
      <c r="M1" s="7" t="s">
        <v>690</v>
      </c>
    </row>
    <row r="2" customFormat="false" ht="15" hidden="false" customHeight="false" outlineLevel="0" collapsed="false">
      <c r="A2" s="38" t="s">
        <v>87</v>
      </c>
      <c r="B2" s="38" t="s">
        <v>88</v>
      </c>
      <c r="C2" s="38" t="s">
        <v>88</v>
      </c>
      <c r="D2" s="21" t="n">
        <v>208</v>
      </c>
      <c r="E2" s="21" t="n">
        <v>181</v>
      </c>
      <c r="F2" s="51" t="n">
        <f aca="false">IF(E2="","",D2-E2)</f>
        <v>27</v>
      </c>
      <c r="G2" s="21" t="n">
        <v>314</v>
      </c>
      <c r="H2" s="21" t="n">
        <v>284</v>
      </c>
      <c r="I2" s="51" t="n">
        <f aca="false">IF(H2="","",G2-H2)</f>
        <v>30</v>
      </c>
      <c r="J2" s="39" t="n">
        <f aca="false">IF(OR(D2="",D2+G2=0),"",D2/(D2+G2))</f>
        <v>0.398467432950192</v>
      </c>
      <c r="K2" s="39" t="n">
        <f aca="false">IF(E2="","",E2/(E2+H2))</f>
        <v>0.389247311827957</v>
      </c>
      <c r="L2" s="52" t="n">
        <f aca="false">IF(OR(K2="",J2=""),"",(J2-K2)*100)</f>
        <v>0.922012112223458</v>
      </c>
      <c r="M2" s="38"/>
    </row>
    <row r="3" customFormat="false" ht="15" hidden="false" customHeight="false" outlineLevel="0" collapsed="false">
      <c r="A3" s="38" t="s">
        <v>87</v>
      </c>
      <c r="B3" s="38" t="s">
        <v>91</v>
      </c>
      <c r="C3" s="38" t="s">
        <v>91</v>
      </c>
      <c r="D3" s="21" t="n">
        <v>118</v>
      </c>
      <c r="E3" s="21" t="n">
        <v>118</v>
      </c>
      <c r="F3" s="51" t="n">
        <f aca="false">IF(E3="","",D3-E3)</f>
        <v>0</v>
      </c>
      <c r="G3" s="21" t="n">
        <v>294</v>
      </c>
      <c r="H3" s="21" t="n">
        <v>298</v>
      </c>
      <c r="I3" s="51" t="n">
        <f aca="false">IF(H3="","",G3-H3)</f>
        <v>-4</v>
      </c>
      <c r="J3" s="39" t="n">
        <f aca="false">IF(OR(D3="",D3+G3=0),"",D3/(D3+G3))</f>
        <v>0.286407766990291</v>
      </c>
      <c r="K3" s="39" t="n">
        <f aca="false">IF(E3="","",E3/(E3+H3))</f>
        <v>0.283653846153846</v>
      </c>
      <c r="L3" s="52" t="n">
        <f aca="false">IF(OR(K3="",J3=""),"",(J3-K3)*100)</f>
        <v>0.27539208364451</v>
      </c>
      <c r="M3" s="38"/>
    </row>
    <row r="4" customFormat="false" ht="15" hidden="false" customHeight="false" outlineLevel="0" collapsed="false">
      <c r="A4" s="38" t="s">
        <v>87</v>
      </c>
      <c r="B4" s="38" t="s">
        <v>92</v>
      </c>
      <c r="C4" s="38" t="s">
        <v>92</v>
      </c>
      <c r="D4" s="21" t="n">
        <v>162</v>
      </c>
      <c r="E4" s="21" t="n">
        <v>143</v>
      </c>
      <c r="F4" s="51" t="n">
        <f aca="false">IF(E4="","",D4-E4)</f>
        <v>19</v>
      </c>
      <c r="G4" s="21" t="n">
        <v>290</v>
      </c>
      <c r="H4" s="21" t="n">
        <v>309</v>
      </c>
      <c r="I4" s="51" t="n">
        <f aca="false">IF(H4="","",G4-H4)</f>
        <v>-19</v>
      </c>
      <c r="J4" s="39" t="n">
        <f aca="false">IF(OR(D4="",D4+G4=0),"",D4/(D4+G4))</f>
        <v>0.358407079646018</v>
      </c>
      <c r="K4" s="39" t="n">
        <f aca="false">IF(E4="","",E4/(E4+H4))</f>
        <v>0.316371681415929</v>
      </c>
      <c r="L4" s="52" t="n">
        <f aca="false">IF(OR(K4="",J4=""),"",(J4-K4)*100)</f>
        <v>4.20353982300885</v>
      </c>
      <c r="M4" s="38"/>
    </row>
    <row r="5" customFormat="false" ht="15" hidden="false" customHeight="false" outlineLevel="0" collapsed="false">
      <c r="A5" s="38" t="s">
        <v>87</v>
      </c>
      <c r="B5" s="38" t="s">
        <v>93</v>
      </c>
      <c r="C5" s="38" t="s">
        <v>94</v>
      </c>
      <c r="D5" s="21" t="n">
        <v>249</v>
      </c>
      <c r="E5" s="21" t="n">
        <v>202</v>
      </c>
      <c r="F5" s="51" t="n">
        <f aca="false">IF(E5="","",D5-E5)</f>
        <v>47</v>
      </c>
      <c r="G5" s="21" t="n">
        <v>611</v>
      </c>
      <c r="H5" s="21" t="n">
        <v>640</v>
      </c>
      <c r="I5" s="51" t="n">
        <f aca="false">IF(H5="","",G5-H5)</f>
        <v>-29</v>
      </c>
      <c r="J5" s="39" t="n">
        <f aca="false">IF(OR(D5="",D5+G5=0),"",D5/(D5+G5))</f>
        <v>0.28953488372093</v>
      </c>
      <c r="K5" s="39" t="n">
        <f aca="false">IF(E5="","",E5/(E5+H5))</f>
        <v>0.239904988123515</v>
      </c>
      <c r="L5" s="52" t="n">
        <f aca="false">IF(OR(K5="",J5=""),"",(J5-K5)*100)</f>
        <v>4.96298955974148</v>
      </c>
      <c r="M5" s="38"/>
    </row>
    <row r="6" customFormat="false" ht="15" hidden="false" customHeight="false" outlineLevel="0" collapsed="false">
      <c r="A6" s="38" t="s">
        <v>87</v>
      </c>
      <c r="B6" s="38" t="s">
        <v>93</v>
      </c>
      <c r="C6" s="38" t="s">
        <v>95</v>
      </c>
      <c r="D6" s="21" t="n">
        <v>253</v>
      </c>
      <c r="E6" s="21" t="n">
        <v>232</v>
      </c>
      <c r="F6" s="51" t="n">
        <f aca="false">IF(E6="","",D6-E6)</f>
        <v>21</v>
      </c>
      <c r="G6" s="21" t="n">
        <v>583</v>
      </c>
      <c r="H6" s="21" t="n">
        <v>603</v>
      </c>
      <c r="I6" s="51" t="n">
        <f aca="false">IF(H6="","",G6-H6)</f>
        <v>-20</v>
      </c>
      <c r="J6" s="39" t="n">
        <f aca="false">IF(OR(D6="",D6+G6=0),"",D6/(D6+G6))</f>
        <v>0.302631578947368</v>
      </c>
      <c r="K6" s="39" t="n">
        <f aca="false">IF(E6="","",E6/(E6+H6))</f>
        <v>0.277844311377246</v>
      </c>
      <c r="L6" s="52" t="n">
        <f aca="false">IF(OR(K6="",J6=""),"",(J6-K6)*100)</f>
        <v>2.47872675701229</v>
      </c>
      <c r="M6" s="38"/>
    </row>
    <row r="7" customFormat="false" ht="15" hidden="false" customHeight="false" outlineLevel="0" collapsed="false">
      <c r="A7" s="38" t="s">
        <v>87</v>
      </c>
      <c r="B7" s="38" t="s">
        <v>96</v>
      </c>
      <c r="C7" s="38" t="s">
        <v>96</v>
      </c>
      <c r="D7" s="21" t="n">
        <v>47</v>
      </c>
      <c r="E7" s="21" t="n">
        <v>38</v>
      </c>
      <c r="F7" s="51" t="n">
        <f aca="false">IF(E7="","",D7-E7)</f>
        <v>9</v>
      </c>
      <c r="G7" s="21" t="n">
        <v>77</v>
      </c>
      <c r="H7" s="21" t="n">
        <v>78</v>
      </c>
      <c r="I7" s="51" t="n">
        <f aca="false">IF(H7="","",G7-H7)</f>
        <v>-1</v>
      </c>
      <c r="J7" s="39" t="n">
        <f aca="false">IF(OR(D7="",D7+G7=0),"",D7/(D7+G7))</f>
        <v>0.379032258064516</v>
      </c>
      <c r="K7" s="39" t="n">
        <f aca="false">IF(E7="","",E7/(E7+H7))</f>
        <v>0.327586206896552</v>
      </c>
      <c r="L7" s="52" t="n">
        <f aca="false">IF(OR(K7="",J7=""),"",(J7-K7)*100)</f>
        <v>5.14460511679644</v>
      </c>
      <c r="M7" s="38"/>
    </row>
    <row r="8" customFormat="false" ht="15" hidden="false" customHeight="false" outlineLevel="0" collapsed="false">
      <c r="A8" s="38" t="s">
        <v>87</v>
      </c>
      <c r="B8" s="38" t="s">
        <v>97</v>
      </c>
      <c r="C8" s="38" t="s">
        <v>98</v>
      </c>
      <c r="D8" s="21" t="n">
        <v>340</v>
      </c>
      <c r="E8" s="21" t="n">
        <v>301</v>
      </c>
      <c r="F8" s="51" t="n">
        <f aca="false">IF(E8="","",D8-E8)</f>
        <v>39</v>
      </c>
      <c r="G8" s="21" t="n">
        <v>768</v>
      </c>
      <c r="H8" s="21" t="n">
        <v>760</v>
      </c>
      <c r="I8" s="51" t="n">
        <f aca="false">IF(H8="","",G8-H8)</f>
        <v>8</v>
      </c>
      <c r="J8" s="39" t="n">
        <f aca="false">IF(OR(D8="",D8+G8=0),"",D8/(D8+G8))</f>
        <v>0.306859205776173</v>
      </c>
      <c r="K8" s="39" t="n">
        <f aca="false">IF(E8="","",E8/(E8+H8))</f>
        <v>0.283694627709708</v>
      </c>
      <c r="L8" s="52" t="n">
        <f aca="false">IF(OR(K8="",J8=""),"",(J8-K8)*100)</f>
        <v>2.31645780664654</v>
      </c>
      <c r="M8" s="38"/>
    </row>
    <row r="9" customFormat="false" ht="15" hidden="false" customHeight="false" outlineLevel="0" collapsed="false">
      <c r="A9" s="38" t="s">
        <v>87</v>
      </c>
      <c r="B9" s="38" t="s">
        <v>97</v>
      </c>
      <c r="C9" s="38" t="s">
        <v>100</v>
      </c>
      <c r="D9" s="21" t="n">
        <v>190</v>
      </c>
      <c r="E9" s="21" t="n">
        <v>164</v>
      </c>
      <c r="F9" s="51" t="n">
        <f aca="false">IF(E9="","",D9-E9)</f>
        <v>26</v>
      </c>
      <c r="G9" s="21" t="n">
        <v>435</v>
      </c>
      <c r="H9" s="21" t="n">
        <v>450</v>
      </c>
      <c r="I9" s="51" t="n">
        <f aca="false">IF(H9="","",G9-H9)</f>
        <v>-15</v>
      </c>
      <c r="J9" s="39" t="n">
        <f aca="false">IF(OR(D9="",D9+G9=0),"",D9/(D9+G9))</f>
        <v>0.304</v>
      </c>
      <c r="K9" s="39" t="n">
        <f aca="false">IF(E9="","",E9/(E9+H9))</f>
        <v>0.267100977198697</v>
      </c>
      <c r="L9" s="52" t="n">
        <f aca="false">IF(OR(K9="",J9=""),"",(J9-K9)*100)</f>
        <v>3.68990228013029</v>
      </c>
      <c r="M9" s="38"/>
    </row>
    <row r="10" customFormat="false" ht="15" hidden="false" customHeight="false" outlineLevel="0" collapsed="false">
      <c r="A10" s="38" t="s">
        <v>87</v>
      </c>
      <c r="B10" s="38" t="s">
        <v>97</v>
      </c>
      <c r="C10" s="38" t="s">
        <v>101</v>
      </c>
      <c r="D10" s="21" t="n">
        <v>258</v>
      </c>
      <c r="E10" s="21" t="n">
        <v>235</v>
      </c>
      <c r="F10" s="51" t="n">
        <f aca="false">IF(E10="","",D10-E10)</f>
        <v>23</v>
      </c>
      <c r="G10" s="21" t="n">
        <v>635</v>
      </c>
      <c r="H10" s="21" t="n">
        <v>626</v>
      </c>
      <c r="I10" s="51" t="n">
        <f aca="false">IF(H10="","",G10-H10)</f>
        <v>9</v>
      </c>
      <c r="J10" s="39" t="n">
        <f aca="false">IF(OR(D10="",D10+G10=0),"",D10/(D10+G10))</f>
        <v>0.288913773796193</v>
      </c>
      <c r="K10" s="39" t="n">
        <f aca="false">IF(E10="","",E10/(E10+H10))</f>
        <v>0.272938443670151</v>
      </c>
      <c r="L10" s="52" t="n">
        <f aca="false">IF(OR(K10="",J10=""),"",(J10-K10)*100)</f>
        <v>1.59753301260416</v>
      </c>
      <c r="M10" s="38"/>
    </row>
    <row r="11" customFormat="false" ht="15" hidden="false" customHeight="false" outlineLevel="0" collapsed="false">
      <c r="A11" s="38" t="s">
        <v>87</v>
      </c>
      <c r="B11" s="38" t="s">
        <v>102</v>
      </c>
      <c r="C11" s="38" t="s">
        <v>103</v>
      </c>
      <c r="D11" s="21" t="n">
        <v>276</v>
      </c>
      <c r="E11" s="21" t="n">
        <v>229</v>
      </c>
      <c r="F11" s="51" t="n">
        <f aca="false">IF(E11="","",D11-E11)</f>
        <v>47</v>
      </c>
      <c r="G11" s="21" t="n">
        <v>290</v>
      </c>
      <c r="H11" s="21" t="n">
        <v>297</v>
      </c>
      <c r="I11" s="51" t="n">
        <f aca="false">IF(H11="","",G11-H11)</f>
        <v>-7</v>
      </c>
      <c r="J11" s="39" t="n">
        <f aca="false">IF(OR(D11="",D11+G11=0),"",D11/(D11+G11))</f>
        <v>0.487632508833922</v>
      </c>
      <c r="K11" s="39" t="n">
        <f aca="false">IF(E11="","",E11/(E11+H11))</f>
        <v>0.435361216730038</v>
      </c>
      <c r="L11" s="52" t="n">
        <f aca="false">IF(OR(K11="",J11=""),"",(J11-K11)*100)</f>
        <v>5.22712921038843</v>
      </c>
      <c r="M11" s="38"/>
    </row>
    <row r="12" customFormat="false" ht="15" hidden="false" customHeight="false" outlineLevel="0" collapsed="false">
      <c r="A12" s="38" t="s">
        <v>87</v>
      </c>
      <c r="B12" s="38" t="s">
        <v>102</v>
      </c>
      <c r="C12" s="38" t="s">
        <v>104</v>
      </c>
      <c r="D12" s="21" t="n">
        <v>183</v>
      </c>
      <c r="E12" s="21" t="n">
        <v>163</v>
      </c>
      <c r="F12" s="51" t="n">
        <f aca="false">IF(E12="","",D12-E12)</f>
        <v>20</v>
      </c>
      <c r="G12" s="21" t="n">
        <v>214</v>
      </c>
      <c r="H12" s="21" t="n">
        <v>226</v>
      </c>
      <c r="I12" s="51" t="n">
        <f aca="false">IF(H12="","",G12-H12)</f>
        <v>-12</v>
      </c>
      <c r="J12" s="39" t="n">
        <f aca="false">IF(OR(D12="",D12+G12=0),"",D12/(D12+G12))</f>
        <v>0.46095717884131</v>
      </c>
      <c r="K12" s="39" t="n">
        <f aca="false">IF(E12="","",E12/(E12+H12))</f>
        <v>0.419023136246787</v>
      </c>
      <c r="L12" s="52" t="n">
        <f aca="false">IF(OR(K12="",J12=""),"",(J12-K12)*100)</f>
        <v>4.19340425945232</v>
      </c>
      <c r="M12" s="38"/>
    </row>
    <row r="13" customFormat="false" ht="15" hidden="false" customHeight="false" outlineLevel="0" collapsed="false">
      <c r="A13" s="38" t="s">
        <v>87</v>
      </c>
      <c r="B13" s="38" t="s">
        <v>102</v>
      </c>
      <c r="C13" s="38" t="s">
        <v>105</v>
      </c>
      <c r="D13" s="21" t="n">
        <v>330</v>
      </c>
      <c r="E13" s="21" t="n">
        <v>286</v>
      </c>
      <c r="F13" s="51" t="n">
        <f aca="false">IF(E13="","",D13-E13)</f>
        <v>44</v>
      </c>
      <c r="G13" s="21" t="n">
        <v>463</v>
      </c>
      <c r="H13" s="21" t="n">
        <v>464</v>
      </c>
      <c r="I13" s="51" t="n">
        <f aca="false">IF(H13="","",G13-H13)</f>
        <v>-1</v>
      </c>
      <c r="J13" s="39" t="n">
        <f aca="false">IF(OR(D13="",D13+G13=0),"",D13/(D13+G13))</f>
        <v>0.416141235813367</v>
      </c>
      <c r="K13" s="39" t="n">
        <f aca="false">IF(E13="","",E13/(E13+H13))</f>
        <v>0.381333333333333</v>
      </c>
      <c r="L13" s="52" t="n">
        <f aca="false">IF(OR(K13="",J13=""),"",(J13-K13)*100)</f>
        <v>3.48079024800336</v>
      </c>
      <c r="M13" s="38"/>
    </row>
    <row r="14" customFormat="false" ht="15" hidden="false" customHeight="false" outlineLevel="0" collapsed="false">
      <c r="A14" s="38" t="s">
        <v>87</v>
      </c>
      <c r="B14" s="38" t="s">
        <v>102</v>
      </c>
      <c r="C14" s="38" t="s">
        <v>106</v>
      </c>
      <c r="D14" s="21" t="n">
        <v>174</v>
      </c>
      <c r="E14" s="21" t="n">
        <v>138</v>
      </c>
      <c r="F14" s="51" t="n">
        <f aca="false">IF(E14="","",D14-E14)</f>
        <v>36</v>
      </c>
      <c r="G14" s="21" t="n">
        <v>144</v>
      </c>
      <c r="H14" s="21" t="n">
        <v>134</v>
      </c>
      <c r="I14" s="51" t="n">
        <f aca="false">IF(H14="","",G14-H14)</f>
        <v>10</v>
      </c>
      <c r="J14" s="39" t="n">
        <f aca="false">IF(OR(D14="",D14+G14=0),"",D14/(D14+G14))</f>
        <v>0.547169811320755</v>
      </c>
      <c r="K14" s="39" t="n">
        <f aca="false">IF(E14="","",E14/(E14+H14))</f>
        <v>0.507352941176471</v>
      </c>
      <c r="L14" s="52" t="n">
        <f aca="false">IF(OR(K14="",J14=""),"",(J14-K14)*100)</f>
        <v>3.98168701442841</v>
      </c>
      <c r="M14" s="38"/>
    </row>
    <row r="15" customFormat="false" ht="15" hidden="false" customHeight="false" outlineLevel="0" collapsed="false">
      <c r="A15" s="38" t="s">
        <v>87</v>
      </c>
      <c r="B15" s="38" t="s">
        <v>102</v>
      </c>
      <c r="C15" s="38" t="s">
        <v>107</v>
      </c>
      <c r="D15" s="21" t="n">
        <v>326</v>
      </c>
      <c r="E15" s="21" t="n">
        <v>275</v>
      </c>
      <c r="F15" s="51" t="n">
        <f aca="false">IF(E15="","",D15-E15)</f>
        <v>51</v>
      </c>
      <c r="G15" s="21" t="n">
        <v>327</v>
      </c>
      <c r="H15" s="21" t="n">
        <v>352</v>
      </c>
      <c r="I15" s="51" t="n">
        <f aca="false">IF(H15="","",G15-H15)</f>
        <v>-25</v>
      </c>
      <c r="J15" s="39" t="n">
        <f aca="false">IF(OR(D15="",D15+G15=0),"",D15/(D15+G15))</f>
        <v>0.499234303215927</v>
      </c>
      <c r="K15" s="39" t="n">
        <f aca="false">IF(E15="","",E15/(E15+H15))</f>
        <v>0.43859649122807</v>
      </c>
      <c r="L15" s="52" t="n">
        <f aca="false">IF(OR(K15="",J15=""),"",(J15-K15)*100)</f>
        <v>6.06378119878563</v>
      </c>
      <c r="M15" s="38"/>
    </row>
    <row r="16" customFormat="false" ht="15" hidden="false" customHeight="false" outlineLevel="0" collapsed="false">
      <c r="A16" s="38" t="s">
        <v>87</v>
      </c>
      <c r="B16" s="38" t="s">
        <v>108</v>
      </c>
      <c r="C16" s="38" t="s">
        <v>109</v>
      </c>
      <c r="D16" s="21" t="n">
        <v>122</v>
      </c>
      <c r="E16" s="21" t="n">
        <v>120</v>
      </c>
      <c r="F16" s="51" t="n">
        <f aca="false">IF(E16="","",D16-E16)</f>
        <v>2</v>
      </c>
      <c r="G16" s="21" t="n">
        <v>217</v>
      </c>
      <c r="H16" s="21" t="n">
        <v>202</v>
      </c>
      <c r="I16" s="51" t="n">
        <f aca="false">IF(H16="","",G16-H16)</f>
        <v>15</v>
      </c>
      <c r="J16" s="39" t="n">
        <f aca="false">IF(OR(D16="",D16+G16=0),"",D16/(D16+G16))</f>
        <v>0.359882005899705</v>
      </c>
      <c r="K16" s="39" t="n">
        <f aca="false">IF(E16="","",E16/(E16+H16))</f>
        <v>0.372670807453416</v>
      </c>
      <c r="L16" s="52" t="n">
        <f aca="false">IF(OR(K16="",J16=""),"",(J16-K16)*100)</f>
        <v>-1.27888015537111</v>
      </c>
      <c r="M16" s="38"/>
    </row>
    <row r="17" customFormat="false" ht="15" hidden="false" customHeight="false" outlineLevel="0" collapsed="false">
      <c r="A17" s="38" t="s">
        <v>87</v>
      </c>
      <c r="B17" s="38" t="s">
        <v>108</v>
      </c>
      <c r="C17" s="38" t="s">
        <v>110</v>
      </c>
      <c r="D17" s="21" t="n">
        <v>266</v>
      </c>
      <c r="E17" s="21" t="n">
        <v>227</v>
      </c>
      <c r="F17" s="51" t="n">
        <f aca="false">IF(E17="","",D17-E17)</f>
        <v>39</v>
      </c>
      <c r="G17" s="21" t="n">
        <v>544</v>
      </c>
      <c r="H17" s="21" t="n">
        <v>484</v>
      </c>
      <c r="I17" s="51" t="n">
        <f aca="false">IF(H17="","",G17-H17)</f>
        <v>60</v>
      </c>
      <c r="J17" s="39" t="n">
        <f aca="false">IF(OR(D17="",D17+G17=0),"",D17/(D17+G17))</f>
        <v>0.328395061728395</v>
      </c>
      <c r="K17" s="39" t="n">
        <f aca="false">IF(E17="","",E17/(E17+H17))</f>
        <v>0.319268635724332</v>
      </c>
      <c r="L17" s="52" t="n">
        <f aca="false">IF(OR(K17="",J17=""),"",(J17-K17)*100)</f>
        <v>0.91264260040631</v>
      </c>
      <c r="M17" s="38"/>
    </row>
    <row r="18" customFormat="false" ht="15" hidden="false" customHeight="false" outlineLevel="0" collapsed="false">
      <c r="A18" s="38" t="s">
        <v>87</v>
      </c>
      <c r="B18" s="38" t="s">
        <v>111</v>
      </c>
      <c r="C18" s="38" t="s">
        <v>112</v>
      </c>
      <c r="D18" s="21" t="n">
        <v>288</v>
      </c>
      <c r="E18" s="21" t="n">
        <v>249</v>
      </c>
      <c r="F18" s="51" t="n">
        <f aca="false">IF(E18="","",D18-E18)</f>
        <v>39</v>
      </c>
      <c r="G18" s="21" t="n">
        <v>384</v>
      </c>
      <c r="H18" s="21" t="n">
        <v>392</v>
      </c>
      <c r="I18" s="51" t="n">
        <f aca="false">IF(H18="","",G18-H18)</f>
        <v>-8</v>
      </c>
      <c r="J18" s="39" t="n">
        <f aca="false">IF(OR(D18="",D18+G18=0),"",D18/(D18+G18))</f>
        <v>0.428571428571429</v>
      </c>
      <c r="K18" s="39" t="n">
        <f aca="false">IF(E18="","",E18/(E18+H18))</f>
        <v>0.388455538221529</v>
      </c>
      <c r="L18" s="52" t="n">
        <f aca="false">IF(OR(K18="",J18=""),"",(J18-K18)*100)</f>
        <v>4.01158903498997</v>
      </c>
      <c r="M18" s="38"/>
    </row>
    <row r="19" customFormat="false" ht="15" hidden="false" customHeight="false" outlineLevel="0" collapsed="false">
      <c r="A19" s="38" t="s">
        <v>87</v>
      </c>
      <c r="B19" s="38" t="s">
        <v>111</v>
      </c>
      <c r="C19" s="38" t="s">
        <v>113</v>
      </c>
      <c r="D19" s="21" t="n">
        <v>180</v>
      </c>
      <c r="E19" s="21" t="n">
        <v>152</v>
      </c>
      <c r="F19" s="51" t="n">
        <f aca="false">IF(E19="","",D19-E19)</f>
        <v>28</v>
      </c>
      <c r="G19" s="21" t="n">
        <v>235</v>
      </c>
      <c r="H19" s="21" t="n">
        <v>246</v>
      </c>
      <c r="I19" s="51" t="n">
        <f aca="false">IF(H19="","",G19-H19)</f>
        <v>-11</v>
      </c>
      <c r="J19" s="39" t="n">
        <f aca="false">IF(OR(D19="",D19+G19=0),"",D19/(D19+G19))</f>
        <v>0.433734939759036</v>
      </c>
      <c r="K19" s="39" t="n">
        <f aca="false">IF(E19="","",E19/(E19+H19))</f>
        <v>0.381909547738693</v>
      </c>
      <c r="L19" s="52" t="n">
        <f aca="false">IF(OR(K19="",J19=""),"",(J19-K19)*100)</f>
        <v>5.18253920203427</v>
      </c>
      <c r="M19" s="38"/>
    </row>
    <row r="20" customFormat="false" ht="15" hidden="false" customHeight="false" outlineLevel="0" collapsed="false">
      <c r="A20" s="38" t="s">
        <v>87</v>
      </c>
      <c r="B20" s="38" t="s">
        <v>111</v>
      </c>
      <c r="C20" s="38" t="s">
        <v>114</v>
      </c>
      <c r="D20" s="21" t="n">
        <v>164</v>
      </c>
      <c r="E20" s="21" t="n">
        <v>165</v>
      </c>
      <c r="F20" s="51" t="n">
        <f aca="false">IF(E20="","",D20-E20)</f>
        <v>-1</v>
      </c>
      <c r="G20" s="21" t="n">
        <v>198</v>
      </c>
      <c r="H20" s="21" t="n">
        <v>237</v>
      </c>
      <c r="I20" s="51" t="n">
        <f aca="false">IF(H20="","",G20-H20)</f>
        <v>-39</v>
      </c>
      <c r="J20" s="39" t="n">
        <f aca="false">IF(OR(D20="",D20+G20=0),"",D20/(D20+G20))</f>
        <v>0.453038674033149</v>
      </c>
      <c r="K20" s="39" t="n">
        <f aca="false">IF(E20="","",E20/(E20+H20))</f>
        <v>0.41044776119403</v>
      </c>
      <c r="L20" s="52" t="n">
        <f aca="false">IF(OR(K20="",J20=""),"",(J20-K20)*100)</f>
        <v>4.25909128391193</v>
      </c>
      <c r="M20" s="38"/>
    </row>
    <row r="21" customFormat="false" ht="15" hidden="false" customHeight="false" outlineLevel="0" collapsed="false">
      <c r="A21" s="38" t="s">
        <v>87</v>
      </c>
      <c r="B21" s="38" t="s">
        <v>115</v>
      </c>
      <c r="C21" s="38" t="s">
        <v>115</v>
      </c>
      <c r="D21" s="21" t="n">
        <v>49</v>
      </c>
      <c r="E21" s="21" t="n">
        <v>38</v>
      </c>
      <c r="F21" s="51" t="n">
        <f aca="false">IF(E21="","",D21-E21)</f>
        <v>11</v>
      </c>
      <c r="G21" s="21" t="n">
        <v>104</v>
      </c>
      <c r="H21" s="21" t="n">
        <v>106</v>
      </c>
      <c r="I21" s="51" t="n">
        <f aca="false">IF(H21="","",G21-H21)</f>
        <v>-2</v>
      </c>
      <c r="J21" s="39" t="n">
        <f aca="false">IF(OR(D21="",D21+G21=0),"",D21/(D21+G21))</f>
        <v>0.320261437908497</v>
      </c>
      <c r="K21" s="39" t="n">
        <f aca="false">IF(E21="","",E21/(E21+H21))</f>
        <v>0.263888888888889</v>
      </c>
      <c r="L21" s="52" t="n">
        <f aca="false">IF(OR(K21="",J21=""),"",(J21-K21)*100)</f>
        <v>5.63725490196078</v>
      </c>
      <c r="M21" s="38"/>
    </row>
    <row r="22" customFormat="false" ht="15" hidden="false" customHeight="false" outlineLevel="0" collapsed="false">
      <c r="A22" s="38" t="s">
        <v>87</v>
      </c>
      <c r="B22" s="38" t="s">
        <v>116</v>
      </c>
      <c r="C22" s="38" t="s">
        <v>116</v>
      </c>
      <c r="D22" s="21" t="n">
        <v>70</v>
      </c>
      <c r="E22" s="21" t="n">
        <v>58</v>
      </c>
      <c r="F22" s="51" t="n">
        <f aca="false">IF(E22="","",D22-E22)</f>
        <v>12</v>
      </c>
      <c r="G22" s="21" t="n">
        <v>232</v>
      </c>
      <c r="H22" s="21" t="n">
        <v>214</v>
      </c>
      <c r="I22" s="51" t="n">
        <f aca="false">IF(H22="","",G22-H22)</f>
        <v>18</v>
      </c>
      <c r="J22" s="39" t="n">
        <f aca="false">IF(OR(D22="",D22+G22=0),"",D22/(D22+G22))</f>
        <v>0.231788079470199</v>
      </c>
      <c r="K22" s="39" t="n">
        <f aca="false">IF(E22="","",E22/(E22+H22))</f>
        <v>0.213235294117647</v>
      </c>
      <c r="L22" s="52" t="n">
        <f aca="false">IF(OR(K22="",J22=""),"",(J22-K22)*100)</f>
        <v>1.85527853525516</v>
      </c>
      <c r="M22" s="38"/>
    </row>
    <row r="23" customFormat="false" ht="15" hidden="false" customHeight="false" outlineLevel="0" collapsed="false">
      <c r="A23" s="38" t="s">
        <v>87</v>
      </c>
      <c r="B23" s="38" t="s">
        <v>117</v>
      </c>
      <c r="C23" s="38" t="s">
        <v>118</v>
      </c>
      <c r="D23" s="21" t="n">
        <v>323</v>
      </c>
      <c r="E23" s="21" t="n">
        <v>321</v>
      </c>
      <c r="F23" s="51" t="n">
        <f aca="false">IF(E23="","",D23-E23)</f>
        <v>2</v>
      </c>
      <c r="G23" s="21" t="n">
        <v>478</v>
      </c>
      <c r="H23" s="21" t="n">
        <v>498</v>
      </c>
      <c r="I23" s="51" t="n">
        <f aca="false">IF(H23="","",G23-H23)</f>
        <v>-20</v>
      </c>
      <c r="J23" s="39" t="n">
        <f aca="false">IF(OR(D23="",D23+G23=0),"",D23/(D23+G23))</f>
        <v>0.403245942571785</v>
      </c>
      <c r="K23" s="39" t="n">
        <f aca="false">IF(E23="","",E23/(E23+H23))</f>
        <v>0.391941391941392</v>
      </c>
      <c r="L23" s="52" t="n">
        <f aca="false">IF(OR(K23="",J23=""),"",(J23-K23)*100)</f>
        <v>1.13045506303933</v>
      </c>
      <c r="M23" s="38"/>
    </row>
    <row r="24" customFormat="false" ht="15" hidden="false" customHeight="false" outlineLevel="0" collapsed="false">
      <c r="A24" s="38" t="s">
        <v>87</v>
      </c>
      <c r="B24" s="38" t="s">
        <v>117</v>
      </c>
      <c r="C24" s="38" t="s">
        <v>119</v>
      </c>
      <c r="D24" s="21" t="n">
        <v>315</v>
      </c>
      <c r="E24" s="21" t="n">
        <v>288</v>
      </c>
      <c r="F24" s="51" t="n">
        <f aca="false">IF(E24="","",D24-E24)</f>
        <v>27</v>
      </c>
      <c r="G24" s="21" t="n">
        <v>404</v>
      </c>
      <c r="H24" s="21" t="n">
        <v>448</v>
      </c>
      <c r="I24" s="51" t="n">
        <f aca="false">IF(H24="","",G24-H24)</f>
        <v>-44</v>
      </c>
      <c r="J24" s="39" t="n">
        <f aca="false">IF(OR(D24="",D24+G24=0),"",D24/(D24+G24))</f>
        <v>0.438108484005563</v>
      </c>
      <c r="K24" s="39" t="n">
        <f aca="false">IF(E24="","",E24/(E24+H24))</f>
        <v>0.391304347826087</v>
      </c>
      <c r="L24" s="52" t="n">
        <f aca="false">IF(OR(K24="",J24=""),"",(J24-K24)*100)</f>
        <v>4.68041361794763</v>
      </c>
      <c r="M24" s="38"/>
    </row>
    <row r="25" customFormat="false" ht="15" hidden="false" customHeight="false" outlineLevel="0" collapsed="false">
      <c r="A25" s="38" t="s">
        <v>87</v>
      </c>
      <c r="B25" s="38" t="s">
        <v>117</v>
      </c>
      <c r="C25" s="38" t="s">
        <v>120</v>
      </c>
      <c r="D25" s="21" t="n">
        <v>329</v>
      </c>
      <c r="E25" s="21" t="n">
        <v>317</v>
      </c>
      <c r="F25" s="51" t="n">
        <f aca="false">IF(E25="","",D25-E25)</f>
        <v>12</v>
      </c>
      <c r="G25" s="21" t="n">
        <v>452</v>
      </c>
      <c r="H25" s="21" t="n">
        <v>527</v>
      </c>
      <c r="I25" s="51" t="n">
        <f aca="false">IF(H25="","",G25-H25)</f>
        <v>-75</v>
      </c>
      <c r="J25" s="39" t="n">
        <f aca="false">IF(OR(D25="",D25+G25=0),"",D25/(D25+G25))</f>
        <v>0.421254801536492</v>
      </c>
      <c r="K25" s="39" t="n">
        <f aca="false">IF(E25="","",E25/(E25+H25))</f>
        <v>0.375592417061611</v>
      </c>
      <c r="L25" s="52" t="n">
        <f aca="false">IF(OR(K25="",J25=""),"",(J25-K25)*100)</f>
        <v>4.56623844748803</v>
      </c>
      <c r="M25" s="38"/>
    </row>
    <row r="26" customFormat="false" ht="15" hidden="false" customHeight="false" outlineLevel="0" collapsed="false">
      <c r="A26" s="38" t="s">
        <v>87</v>
      </c>
      <c r="B26" s="38" t="s">
        <v>121</v>
      </c>
      <c r="C26" s="38" t="s">
        <v>122</v>
      </c>
      <c r="D26" s="21" t="n">
        <v>352</v>
      </c>
      <c r="E26" s="21" t="n">
        <v>285</v>
      </c>
      <c r="F26" s="51" t="n">
        <f aca="false">IF(E26="","",D26-E26)</f>
        <v>67</v>
      </c>
      <c r="G26" s="21" t="n">
        <v>713</v>
      </c>
      <c r="H26" s="21" t="n">
        <v>760</v>
      </c>
      <c r="I26" s="51" t="n">
        <f aca="false">IF(H26="","",G26-H26)</f>
        <v>-47</v>
      </c>
      <c r="J26" s="39" t="n">
        <f aca="false">IF(OR(D26="",D26+G26=0),"",D26/(D26+G26))</f>
        <v>0.330516431924883</v>
      </c>
      <c r="K26" s="39" t="n">
        <f aca="false">IF(E26="","",E26/(E26+H26))</f>
        <v>0.272727272727273</v>
      </c>
      <c r="L26" s="52" t="n">
        <f aca="false">IF(OR(K26="",J26=""),"",(J26-K26)*100)</f>
        <v>5.77891591976099</v>
      </c>
      <c r="M26" s="38"/>
    </row>
    <row r="27" customFormat="false" ht="15" hidden="false" customHeight="false" outlineLevel="0" collapsed="false">
      <c r="A27" s="38" t="s">
        <v>87</v>
      </c>
      <c r="B27" s="38" t="s">
        <v>121</v>
      </c>
      <c r="C27" s="38" t="s">
        <v>123</v>
      </c>
      <c r="D27" s="21" t="n">
        <v>233</v>
      </c>
      <c r="E27" s="21" t="n">
        <v>228</v>
      </c>
      <c r="F27" s="51" t="n">
        <f aca="false">IF(E27="","",D27-E27)</f>
        <v>5</v>
      </c>
      <c r="G27" s="21" t="n">
        <v>468</v>
      </c>
      <c r="H27" s="21" t="n">
        <v>522</v>
      </c>
      <c r="I27" s="51" t="n">
        <f aca="false">IF(H27="","",G27-H27)</f>
        <v>-54</v>
      </c>
      <c r="J27" s="39" t="n">
        <f aca="false">IF(OR(D27="",D27+G27=0),"",D27/(D27+G27))</f>
        <v>0.332382310984308</v>
      </c>
      <c r="K27" s="39" t="n">
        <f aca="false">IF(E27="","",E27/(E27+H27))</f>
        <v>0.304</v>
      </c>
      <c r="L27" s="52" t="n">
        <f aca="false">IF(OR(K27="",J27=""),"",(J27-K27)*100)</f>
        <v>2.83823109843082</v>
      </c>
      <c r="M27" s="38"/>
    </row>
    <row r="28" customFormat="false" ht="15" hidden="false" customHeight="false" outlineLevel="0" collapsed="false">
      <c r="A28" s="38" t="s">
        <v>87</v>
      </c>
      <c r="B28" s="38" t="s">
        <v>124</v>
      </c>
      <c r="C28" s="38" t="s">
        <v>125</v>
      </c>
      <c r="D28" s="21" t="n">
        <v>152</v>
      </c>
      <c r="E28" s="21" t="n">
        <v>135</v>
      </c>
      <c r="F28" s="51" t="n">
        <f aca="false">IF(E28="","",D28-E28)</f>
        <v>17</v>
      </c>
      <c r="G28" s="21" t="n">
        <v>378</v>
      </c>
      <c r="H28" s="21" t="n">
        <v>395</v>
      </c>
      <c r="I28" s="51" t="n">
        <f aca="false">IF(H28="","",G28-H28)</f>
        <v>-17</v>
      </c>
      <c r="J28" s="39" t="n">
        <f aca="false">IF(OR(D28="",D28+G28=0),"",D28/(D28+G28))</f>
        <v>0.286792452830189</v>
      </c>
      <c r="K28" s="39" t="n">
        <f aca="false">IF(E28="","",E28/(E28+H28))</f>
        <v>0.254716981132075</v>
      </c>
      <c r="L28" s="52" t="n">
        <f aca="false">IF(OR(K28="",J28=""),"",(J28-K28)*100)</f>
        <v>3.20754716981132</v>
      </c>
      <c r="M28" s="38"/>
    </row>
    <row r="29" customFormat="false" ht="15" hidden="false" customHeight="false" outlineLevel="0" collapsed="false">
      <c r="A29" s="38" t="s">
        <v>87</v>
      </c>
      <c r="B29" s="38" t="s">
        <v>124</v>
      </c>
      <c r="C29" s="38" t="s">
        <v>126</v>
      </c>
      <c r="D29" s="21" t="n">
        <v>125</v>
      </c>
      <c r="E29" s="21" t="n">
        <v>124</v>
      </c>
      <c r="F29" s="51" t="n">
        <f aca="false">IF(E29="","",D29-E29)</f>
        <v>1</v>
      </c>
      <c r="G29" s="21" t="n">
        <v>274</v>
      </c>
      <c r="H29" s="21" t="n">
        <v>298</v>
      </c>
      <c r="I29" s="51" t="n">
        <f aca="false">IF(H29="","",G29-H29)</f>
        <v>-24</v>
      </c>
      <c r="J29" s="39" t="n">
        <f aca="false">IF(OR(D29="",D29+G29=0),"",D29/(D29+G29))</f>
        <v>0.31328320802005</v>
      </c>
      <c r="K29" s="39" t="n">
        <f aca="false">IF(E29="","",E29/(E29+H29))</f>
        <v>0.293838862559242</v>
      </c>
      <c r="L29" s="52" t="n">
        <f aca="false">IF(OR(K29="",J29=""),"",(J29-K29)*100)</f>
        <v>1.94443454608084</v>
      </c>
      <c r="M29" s="38"/>
    </row>
    <row r="30" customFormat="false" ht="15" hidden="false" customHeight="false" outlineLevel="0" collapsed="false">
      <c r="A30" s="38" t="s">
        <v>87</v>
      </c>
      <c r="B30" s="38" t="s">
        <v>124</v>
      </c>
      <c r="C30" s="38" t="s">
        <v>127</v>
      </c>
      <c r="D30" s="21" t="n">
        <v>430</v>
      </c>
      <c r="E30" s="21" t="n">
        <v>424</v>
      </c>
      <c r="F30" s="51" t="n">
        <f aca="false">IF(E30="","",D30-E30)</f>
        <v>6</v>
      </c>
      <c r="G30" s="21" t="n">
        <v>928</v>
      </c>
      <c r="H30" s="21" t="n">
        <v>988</v>
      </c>
      <c r="I30" s="51" t="n">
        <f aca="false">IF(H30="","",G30-H30)</f>
        <v>-60</v>
      </c>
      <c r="J30" s="39" t="n">
        <f aca="false">IF(OR(D30="",D30+G30=0),"",D30/(D30+G30))</f>
        <v>0.316642120765832</v>
      </c>
      <c r="K30" s="39" t="n">
        <f aca="false">IF(E30="","",E30/(E30+H30))</f>
        <v>0.30028328611898</v>
      </c>
      <c r="L30" s="52" t="n">
        <f aca="false">IF(OR(K30="",J30=""),"",(J30-K30)*100)</f>
        <v>1.63588346468519</v>
      </c>
      <c r="M30" s="38"/>
    </row>
    <row r="31" customFormat="false" ht="15" hidden="false" customHeight="false" outlineLevel="0" collapsed="false">
      <c r="A31" s="38" t="s">
        <v>87</v>
      </c>
      <c r="B31" s="38" t="s">
        <v>129</v>
      </c>
      <c r="C31" s="38" t="s">
        <v>130</v>
      </c>
      <c r="D31" s="21" t="n">
        <v>328</v>
      </c>
      <c r="E31" s="21" t="n">
        <v>279</v>
      </c>
      <c r="F31" s="51" t="n">
        <f aca="false">IF(E31="","",D31-E31)</f>
        <v>49</v>
      </c>
      <c r="G31" s="21" t="n">
        <v>416</v>
      </c>
      <c r="H31" s="21" t="n">
        <v>445</v>
      </c>
      <c r="I31" s="51" t="n">
        <f aca="false">IF(H31="","",G31-H31)</f>
        <v>-29</v>
      </c>
      <c r="J31" s="39" t="n">
        <f aca="false">IF(OR(D31="",D31+G31=0),"",D31/(D31+G31))</f>
        <v>0.440860215053763</v>
      </c>
      <c r="K31" s="39" t="n">
        <f aca="false">IF(E31="","",E31/(E31+H31))</f>
        <v>0.385359116022099</v>
      </c>
      <c r="L31" s="52" t="n">
        <f aca="false">IF(OR(K31="",J31=""),"",(J31-K31)*100)</f>
        <v>5.5501099031664</v>
      </c>
      <c r="M31" s="38"/>
    </row>
    <row r="32" customFormat="false" ht="15" hidden="false" customHeight="false" outlineLevel="0" collapsed="false">
      <c r="A32" s="38" t="s">
        <v>87</v>
      </c>
      <c r="B32" s="38" t="s">
        <v>129</v>
      </c>
      <c r="C32" s="38" t="s">
        <v>131</v>
      </c>
      <c r="D32" s="21" t="n">
        <v>329</v>
      </c>
      <c r="E32" s="21" t="n">
        <v>309</v>
      </c>
      <c r="F32" s="51" t="n">
        <f aca="false">IF(E32="","",D32-E32)</f>
        <v>20</v>
      </c>
      <c r="G32" s="21" t="n">
        <v>497</v>
      </c>
      <c r="H32" s="21" t="n">
        <v>488</v>
      </c>
      <c r="I32" s="51" t="n">
        <f aca="false">IF(H32="","",G32-H32)</f>
        <v>9</v>
      </c>
      <c r="J32" s="39" t="n">
        <f aca="false">IF(OR(D32="",D32+G32=0),"",D32/(D32+G32))</f>
        <v>0.398305084745763</v>
      </c>
      <c r="K32" s="39" t="n">
        <f aca="false">IF(E32="","",E32/(E32+H32))</f>
        <v>0.387703889585947</v>
      </c>
      <c r="L32" s="52" t="n">
        <f aca="false">IF(OR(K32="",J32=""),"",(J32-K32)*100)</f>
        <v>1.06011951598154</v>
      </c>
      <c r="M32" s="38"/>
    </row>
    <row r="33" customFormat="false" ht="15" hidden="false" customHeight="false" outlineLevel="0" collapsed="false">
      <c r="A33" s="38" t="s">
        <v>87</v>
      </c>
      <c r="B33" s="38" t="s">
        <v>132</v>
      </c>
      <c r="C33" s="38" t="s">
        <v>132</v>
      </c>
      <c r="D33" s="21" t="n">
        <v>156</v>
      </c>
      <c r="E33" s="21" t="n">
        <v>134</v>
      </c>
      <c r="F33" s="51" t="n">
        <f aca="false">IF(E33="","",D33-E33)</f>
        <v>22</v>
      </c>
      <c r="G33" s="21" t="n">
        <v>548</v>
      </c>
      <c r="H33" s="21" t="n">
        <v>503</v>
      </c>
      <c r="I33" s="51" t="n">
        <f aca="false">IF(H33="","",G33-H33)</f>
        <v>45</v>
      </c>
      <c r="J33" s="39" t="n">
        <f aca="false">IF(OR(D33="",D33+G33=0),"",D33/(D33+G33))</f>
        <v>0.221590909090909</v>
      </c>
      <c r="K33" s="39" t="n">
        <f aca="false">IF(E33="","",E33/(E33+H33))</f>
        <v>0.210361067503925</v>
      </c>
      <c r="L33" s="52" t="n">
        <f aca="false">IF(OR(K33="",J33=""),"",(J33-K33)*100)</f>
        <v>1.12298415869845</v>
      </c>
      <c r="M33" s="38"/>
    </row>
    <row r="34" customFormat="false" ht="15" hidden="false" customHeight="false" outlineLevel="0" collapsed="false">
      <c r="A34" s="38" t="s">
        <v>87</v>
      </c>
      <c r="B34" s="38" t="s">
        <v>133</v>
      </c>
      <c r="C34" s="38" t="s">
        <v>134</v>
      </c>
      <c r="D34" s="21" t="n">
        <v>329</v>
      </c>
      <c r="E34" s="21" t="n">
        <v>281</v>
      </c>
      <c r="F34" s="51" t="n">
        <f aca="false">IF(E34="","",D34-E34)</f>
        <v>48</v>
      </c>
      <c r="G34" s="21" t="n">
        <v>573</v>
      </c>
      <c r="H34" s="21" t="n">
        <v>592</v>
      </c>
      <c r="I34" s="51" t="n">
        <f aca="false">IF(H34="","",G34-H34)</f>
        <v>-19</v>
      </c>
      <c r="J34" s="39" t="n">
        <f aca="false">IF(OR(D34="",D34+G34=0),"",D34/(D34+G34))</f>
        <v>0.364745011086475</v>
      </c>
      <c r="K34" s="39" t="n">
        <f aca="false">IF(E34="","",E34/(E34+H34))</f>
        <v>0.321878579610538</v>
      </c>
      <c r="L34" s="52" t="n">
        <f aca="false">IF(OR(K34="",J34=""),"",(J34-K34)*100)</f>
        <v>4.28664314759361</v>
      </c>
      <c r="M34" s="38"/>
    </row>
    <row r="35" customFormat="false" ht="15" hidden="false" customHeight="false" outlineLevel="0" collapsed="false">
      <c r="A35" s="38" t="s">
        <v>87</v>
      </c>
      <c r="B35" s="38" t="s">
        <v>133</v>
      </c>
      <c r="C35" s="38" t="s">
        <v>135</v>
      </c>
      <c r="D35" s="21" t="n">
        <v>538</v>
      </c>
      <c r="E35" s="21" t="n">
        <v>467</v>
      </c>
      <c r="F35" s="51" t="n">
        <f aca="false">IF(E35="","",D35-E35)</f>
        <v>71</v>
      </c>
      <c r="G35" s="21" t="n">
        <v>749</v>
      </c>
      <c r="H35" s="21" t="n">
        <v>782</v>
      </c>
      <c r="I35" s="51" t="n">
        <f aca="false">IF(H35="","",G35-H35)</f>
        <v>-33</v>
      </c>
      <c r="J35" s="39" t="n">
        <f aca="false">IF(OR(D35="",D35+G35=0),"",D35/(D35+G35))</f>
        <v>0.418026418026418</v>
      </c>
      <c r="K35" s="39" t="n">
        <f aca="false">IF(E35="","",E35/(E35+H35))</f>
        <v>0.373899119295436</v>
      </c>
      <c r="L35" s="52" t="n">
        <f aca="false">IF(OR(K35="",J35=""),"",(J35-K35)*100)</f>
        <v>4.41272987309817</v>
      </c>
      <c r="M35" s="38"/>
    </row>
    <row r="36" customFormat="false" ht="15" hidden="false" customHeight="false" outlineLevel="0" collapsed="false">
      <c r="A36" s="38" t="s">
        <v>87</v>
      </c>
      <c r="B36" s="38" t="s">
        <v>133</v>
      </c>
      <c r="C36" s="38" t="s">
        <v>136</v>
      </c>
      <c r="D36" s="21" t="n">
        <v>164</v>
      </c>
      <c r="E36" s="21" t="n">
        <v>136</v>
      </c>
      <c r="F36" s="51" t="n">
        <f aca="false">IF(E36="","",D36-E36)</f>
        <v>28</v>
      </c>
      <c r="G36" s="21" t="n">
        <v>250</v>
      </c>
      <c r="H36" s="21" t="n">
        <v>278</v>
      </c>
      <c r="I36" s="51" t="n">
        <f aca="false">IF(H36="","",G36-H36)</f>
        <v>-28</v>
      </c>
      <c r="J36" s="39" t="n">
        <f aca="false">IF(OR(D36="",D36+G36=0),"",D36/(D36+G36))</f>
        <v>0.396135265700483</v>
      </c>
      <c r="K36" s="39" t="n">
        <f aca="false">IF(E36="","",E36/(E36+H36))</f>
        <v>0.328502415458937</v>
      </c>
      <c r="L36" s="52" t="n">
        <f aca="false">IF(OR(K36="",J36=""),"",(J36-K36)*100)</f>
        <v>6.76328502415459</v>
      </c>
      <c r="M36" s="38"/>
    </row>
    <row r="37" customFormat="false" ht="15" hidden="false" customHeight="false" outlineLevel="0" collapsed="false">
      <c r="A37" s="38" t="s">
        <v>87</v>
      </c>
      <c r="B37" s="38" t="s">
        <v>137</v>
      </c>
      <c r="C37" s="38" t="s">
        <v>137</v>
      </c>
      <c r="D37" s="21" t="n">
        <v>68</v>
      </c>
      <c r="E37" s="21" t="n">
        <v>68</v>
      </c>
      <c r="F37" s="51" t="n">
        <f aca="false">IF(E37="","",D37-E37)</f>
        <v>0</v>
      </c>
      <c r="G37" s="21" t="n">
        <v>163</v>
      </c>
      <c r="H37" s="21" t="n">
        <v>153</v>
      </c>
      <c r="I37" s="51" t="n">
        <f aca="false">IF(H37="","",G37-H37)</f>
        <v>10</v>
      </c>
      <c r="J37" s="39" t="n">
        <f aca="false">IF(OR(D37="",D37+G37=0),"",D37/(D37+G37))</f>
        <v>0.294372294372294</v>
      </c>
      <c r="K37" s="39" t="n">
        <f aca="false">IF(E37="","",E37/(E37+H37))</f>
        <v>0.307692307692308</v>
      </c>
      <c r="L37" s="52" t="n">
        <f aca="false">IF(OR(K37="",J37=""),"",(J37-K37)*100)</f>
        <v>-1.33200133200133</v>
      </c>
      <c r="M37" s="38"/>
    </row>
    <row r="38" customFormat="false" ht="15" hidden="false" customHeight="false" outlineLevel="0" collapsed="false">
      <c r="A38" s="38" t="s">
        <v>87</v>
      </c>
      <c r="B38" s="38" t="s">
        <v>138</v>
      </c>
      <c r="C38" s="38" t="s">
        <v>139</v>
      </c>
      <c r="D38" s="21" t="n">
        <v>446</v>
      </c>
      <c r="E38" s="21" t="n">
        <v>432</v>
      </c>
      <c r="F38" s="51" t="n">
        <f aca="false">IF(E38="","",D38-E38)</f>
        <v>14</v>
      </c>
      <c r="G38" s="21" t="n">
        <v>694</v>
      </c>
      <c r="H38" s="21" t="n">
        <v>705</v>
      </c>
      <c r="I38" s="51" t="n">
        <f aca="false">IF(H38="","",G38-H38)</f>
        <v>-11</v>
      </c>
      <c r="J38" s="39" t="n">
        <f aca="false">IF(OR(D38="",D38+G38=0),"",D38/(D38+G38))</f>
        <v>0.391228070175439</v>
      </c>
      <c r="K38" s="39" t="n">
        <f aca="false">IF(E38="","",E38/(E38+H38))</f>
        <v>0.379947229551451</v>
      </c>
      <c r="L38" s="52" t="n">
        <f aca="false">IF(OR(K38="",J38=""),"",(J38-K38)*100)</f>
        <v>1.12808406239874</v>
      </c>
      <c r="M38" s="38"/>
    </row>
    <row r="39" customFormat="false" ht="15" hidden="false" customHeight="false" outlineLevel="0" collapsed="false">
      <c r="A39" s="38" t="s">
        <v>87</v>
      </c>
      <c r="B39" s="38" t="s">
        <v>138</v>
      </c>
      <c r="C39" s="38" t="s">
        <v>140</v>
      </c>
      <c r="D39" s="21" t="n">
        <v>318</v>
      </c>
      <c r="E39" s="21" t="n">
        <v>296</v>
      </c>
      <c r="F39" s="51" t="n">
        <f aca="false">IF(E39="","",D39-E39)</f>
        <v>22</v>
      </c>
      <c r="G39" s="21" t="n">
        <v>521</v>
      </c>
      <c r="H39" s="21" t="n">
        <v>529</v>
      </c>
      <c r="I39" s="51" t="n">
        <f aca="false">IF(H39="","",G39-H39)</f>
        <v>-8</v>
      </c>
      <c r="J39" s="39" t="n">
        <f aca="false">IF(OR(D39="",D39+G39=0),"",D39/(D39+G39))</f>
        <v>0.379022646007151</v>
      </c>
      <c r="K39" s="39" t="n">
        <f aca="false">IF(E39="","",E39/(E39+H39))</f>
        <v>0.358787878787879</v>
      </c>
      <c r="L39" s="52" t="n">
        <f aca="false">IF(OR(K39="",J39=""),"",(J39-K39)*100)</f>
        <v>2.02347672192726</v>
      </c>
      <c r="M39" s="38"/>
    </row>
    <row r="40" customFormat="false" ht="15" hidden="false" customHeight="false" outlineLevel="0" collapsed="false">
      <c r="A40" s="38" t="s">
        <v>87</v>
      </c>
      <c r="B40" s="38" t="s">
        <v>138</v>
      </c>
      <c r="C40" s="38" t="s">
        <v>141</v>
      </c>
      <c r="D40" s="21" t="n">
        <v>485</v>
      </c>
      <c r="E40" s="21" t="n">
        <v>460</v>
      </c>
      <c r="F40" s="51" t="n">
        <f aca="false">IF(E40="","",D40-E40)</f>
        <v>25</v>
      </c>
      <c r="G40" s="21" t="n">
        <v>771</v>
      </c>
      <c r="H40" s="21" t="n">
        <v>791</v>
      </c>
      <c r="I40" s="51" t="n">
        <f aca="false">IF(H40="","",G40-H40)</f>
        <v>-20</v>
      </c>
      <c r="J40" s="39" t="n">
        <f aca="false">IF(OR(D40="",D40+G40=0),"",D40/(D40+G40))</f>
        <v>0.386146496815287</v>
      </c>
      <c r="K40" s="39" t="n">
        <f aca="false">IF(E40="","",E40/(E40+H40))</f>
        <v>0.367705835331735</v>
      </c>
      <c r="L40" s="52" t="n">
        <f aca="false">IF(OR(K40="",J40=""),"",(J40-K40)*100)</f>
        <v>1.8440661483552</v>
      </c>
      <c r="M40" s="38"/>
    </row>
    <row r="41" customFormat="false" ht="15" hidden="false" customHeight="false" outlineLevel="0" collapsed="false">
      <c r="A41" s="38" t="s">
        <v>87</v>
      </c>
      <c r="B41" s="38" t="s">
        <v>138</v>
      </c>
      <c r="C41" s="38" t="s">
        <v>142</v>
      </c>
      <c r="D41" s="21" t="n">
        <v>432</v>
      </c>
      <c r="E41" s="21" t="n">
        <v>425</v>
      </c>
      <c r="F41" s="51" t="n">
        <f aca="false">IF(E41="","",D41-E41)</f>
        <v>7</v>
      </c>
      <c r="G41" s="21" t="n">
        <v>854</v>
      </c>
      <c r="H41" s="21" t="n">
        <v>920</v>
      </c>
      <c r="I41" s="51" t="n">
        <f aca="false">IF(H41="","",G41-H41)</f>
        <v>-66</v>
      </c>
      <c r="J41" s="39" t="n">
        <f aca="false">IF(OR(D41="",D41+G41=0),"",D41/(D41+G41))</f>
        <v>0.33592534992224</v>
      </c>
      <c r="K41" s="39" t="n">
        <f aca="false">IF(E41="","",E41/(E41+H41))</f>
        <v>0.315985130111524</v>
      </c>
      <c r="L41" s="52" t="n">
        <f aca="false">IF(OR(K41="",J41=""),"",(J41-K41)*100)</f>
        <v>1.99402198107153</v>
      </c>
      <c r="M41" s="38"/>
    </row>
    <row r="42" customFormat="false" ht="15" hidden="false" customHeight="false" outlineLevel="0" collapsed="false">
      <c r="A42" s="38" t="s">
        <v>87</v>
      </c>
      <c r="B42" s="38" t="s">
        <v>138</v>
      </c>
      <c r="C42" s="38" t="s">
        <v>143</v>
      </c>
      <c r="D42" s="21" t="n">
        <v>428</v>
      </c>
      <c r="E42" s="21" t="n">
        <v>397</v>
      </c>
      <c r="F42" s="51" t="n">
        <f aca="false">IF(E42="","",D42-E42)</f>
        <v>31</v>
      </c>
      <c r="G42" s="21" t="n">
        <v>737</v>
      </c>
      <c r="H42" s="21" t="n">
        <v>692</v>
      </c>
      <c r="I42" s="51" t="n">
        <f aca="false">IF(H42="","",G42-H42)</f>
        <v>45</v>
      </c>
      <c r="J42" s="39" t="n">
        <f aca="false">IF(OR(D42="",D42+G42=0),"",D42/(D42+G42))</f>
        <v>0.367381974248927</v>
      </c>
      <c r="K42" s="39" t="n">
        <f aca="false">IF(E42="","",E42/(E42+H42))</f>
        <v>0.36455463728191</v>
      </c>
      <c r="L42" s="52" t="n">
        <f aca="false">IF(OR(K42="",J42=""),"",(J42-K42)*100)</f>
        <v>0.282733696701704</v>
      </c>
      <c r="M42" s="38"/>
    </row>
    <row r="43" customFormat="false" ht="15" hidden="false" customHeight="false" outlineLevel="0" collapsed="false">
      <c r="A43" s="38" t="s">
        <v>87</v>
      </c>
      <c r="B43" s="38" t="s">
        <v>144</v>
      </c>
      <c r="C43" s="38" t="s">
        <v>145</v>
      </c>
      <c r="D43" s="21" t="n">
        <v>193</v>
      </c>
      <c r="E43" s="21" t="n">
        <v>175</v>
      </c>
      <c r="F43" s="51" t="n">
        <f aca="false">IF(E43="","",D43-E43)</f>
        <v>18</v>
      </c>
      <c r="G43" s="21" t="n">
        <v>197</v>
      </c>
      <c r="H43" s="21" t="n">
        <v>212</v>
      </c>
      <c r="I43" s="51" t="n">
        <f aca="false">IF(H43="","",G43-H43)</f>
        <v>-15</v>
      </c>
      <c r="J43" s="39" t="n">
        <f aca="false">IF(OR(D43="",D43+G43=0),"",D43/(D43+G43))</f>
        <v>0.494871794871795</v>
      </c>
      <c r="K43" s="39" t="n">
        <f aca="false">IF(E43="","",E43/(E43+H43))</f>
        <v>0.452196382428941</v>
      </c>
      <c r="L43" s="52" t="n">
        <f aca="false">IF(OR(K43="",J43=""),"",(J43-K43)*100)</f>
        <v>4.26754124428543</v>
      </c>
      <c r="M43" s="38"/>
    </row>
    <row r="44" customFormat="false" ht="15" hidden="false" customHeight="false" outlineLevel="0" collapsed="false">
      <c r="A44" s="38" t="s">
        <v>87</v>
      </c>
      <c r="B44" s="38" t="s">
        <v>144</v>
      </c>
      <c r="C44" s="38" t="s">
        <v>146</v>
      </c>
      <c r="D44" s="21" t="n">
        <v>205</v>
      </c>
      <c r="E44" s="21" t="n">
        <v>184</v>
      </c>
      <c r="F44" s="51" t="n">
        <f aca="false">IF(E44="","",D44-E44)</f>
        <v>21</v>
      </c>
      <c r="G44" s="21" t="n">
        <v>198</v>
      </c>
      <c r="H44" s="21" t="n">
        <v>208</v>
      </c>
      <c r="I44" s="51" t="n">
        <f aca="false">IF(H44="","",G44-H44)</f>
        <v>-10</v>
      </c>
      <c r="J44" s="39" t="n">
        <f aca="false">IF(OR(D44="",D44+G44=0),"",D44/(D44+G44))</f>
        <v>0.508684863523573</v>
      </c>
      <c r="K44" s="39" t="n">
        <f aca="false">IF(E44="","",E44/(E44+H44))</f>
        <v>0.469387755102041</v>
      </c>
      <c r="L44" s="52" t="n">
        <f aca="false">IF(OR(K44="",J44=""),"",(J44-K44)*100)</f>
        <v>3.92971084215324</v>
      </c>
      <c r="M44" s="38"/>
    </row>
    <row r="45" customFormat="false" ht="15" hidden="false" customHeight="false" outlineLevel="0" collapsed="false">
      <c r="A45" s="38" t="s">
        <v>87</v>
      </c>
      <c r="B45" s="38" t="s">
        <v>144</v>
      </c>
      <c r="C45" s="38" t="s">
        <v>147</v>
      </c>
      <c r="D45" s="21" t="n">
        <v>138</v>
      </c>
      <c r="E45" s="21" t="n">
        <v>102</v>
      </c>
      <c r="F45" s="51" t="n">
        <f aca="false">IF(E45="","",D45-E45)</f>
        <v>36</v>
      </c>
      <c r="G45" s="21" t="n">
        <v>189</v>
      </c>
      <c r="H45" s="21" t="n">
        <v>192</v>
      </c>
      <c r="I45" s="51" t="n">
        <f aca="false">IF(H45="","",G45-H45)</f>
        <v>-3</v>
      </c>
      <c r="J45" s="39" t="n">
        <f aca="false">IF(OR(D45="",D45+G45=0),"",D45/(D45+G45))</f>
        <v>0.422018348623853</v>
      </c>
      <c r="K45" s="39" t="n">
        <f aca="false">IF(E45="","",E45/(E45+H45))</f>
        <v>0.346938775510204</v>
      </c>
      <c r="L45" s="52" t="n">
        <f aca="false">IF(OR(K45="",J45=""),"",(J45-K45)*100)</f>
        <v>7.50795731136492</v>
      </c>
      <c r="M45" s="38"/>
    </row>
    <row r="46" customFormat="false" ht="15" hidden="false" customHeight="false" outlineLevel="0" collapsed="false">
      <c r="A46" s="38" t="s">
        <v>87</v>
      </c>
      <c r="B46" s="38" t="s">
        <v>144</v>
      </c>
      <c r="C46" s="38" t="s">
        <v>148</v>
      </c>
      <c r="D46" s="21" t="n">
        <v>207</v>
      </c>
      <c r="E46" s="21" t="n">
        <v>194</v>
      </c>
      <c r="F46" s="51" t="n">
        <f aca="false">IF(E46="","",D46-E46)</f>
        <v>13</v>
      </c>
      <c r="G46" s="21" t="n">
        <v>274</v>
      </c>
      <c r="H46" s="21" t="n">
        <v>296</v>
      </c>
      <c r="I46" s="51" t="n">
        <f aca="false">IF(H46="","",G46-H46)</f>
        <v>-22</v>
      </c>
      <c r="J46" s="39" t="n">
        <f aca="false">IF(OR(D46="",D46+G46=0),"",D46/(D46+G46))</f>
        <v>0.43035343035343</v>
      </c>
      <c r="K46" s="39" t="n">
        <f aca="false">IF(E46="","",E46/(E46+H46))</f>
        <v>0.395918367346939</v>
      </c>
      <c r="L46" s="52" t="n">
        <f aca="false">IF(OR(K46="",J46=""),"",(J46-K46)*100)</f>
        <v>3.44350630064916</v>
      </c>
      <c r="M46" s="38"/>
    </row>
    <row r="47" customFormat="false" ht="15" hidden="false" customHeight="false" outlineLevel="0" collapsed="false">
      <c r="A47" s="38" t="s">
        <v>87</v>
      </c>
      <c r="B47" s="38" t="s">
        <v>149</v>
      </c>
      <c r="C47" s="38" t="s">
        <v>150</v>
      </c>
      <c r="D47" s="21" t="n">
        <v>309</v>
      </c>
      <c r="E47" s="21" t="n">
        <v>298</v>
      </c>
      <c r="F47" s="51" t="n">
        <f aca="false">IF(E47="","",D47-E47)</f>
        <v>11</v>
      </c>
      <c r="G47" s="21" t="n">
        <v>667</v>
      </c>
      <c r="H47" s="21" t="n">
        <v>649</v>
      </c>
      <c r="I47" s="51" t="n">
        <f aca="false">IF(H47="","",G47-H47)</f>
        <v>18</v>
      </c>
      <c r="J47" s="39" t="n">
        <f aca="false">IF(OR(D47="",D47+G47=0),"",D47/(D47+G47))</f>
        <v>0.316598360655738</v>
      </c>
      <c r="K47" s="39" t="n">
        <f aca="false">IF(E47="","",E47/(E47+H47))</f>
        <v>0.31467793030623</v>
      </c>
      <c r="L47" s="52" t="n">
        <f aca="false">IF(OR(K47="",J47=""),"",(J47-K47)*100)</f>
        <v>0.192043034950751</v>
      </c>
      <c r="M47" s="38"/>
    </row>
    <row r="48" customFormat="false" ht="15" hidden="false" customHeight="false" outlineLevel="0" collapsed="false">
      <c r="A48" s="38" t="s">
        <v>87</v>
      </c>
      <c r="B48" s="38" t="s">
        <v>149</v>
      </c>
      <c r="C48" s="38" t="s">
        <v>151</v>
      </c>
      <c r="D48" s="21" t="n">
        <v>284</v>
      </c>
      <c r="E48" s="21" t="n">
        <v>253</v>
      </c>
      <c r="F48" s="51" t="n">
        <f aca="false">IF(E48="","",D48-E48)</f>
        <v>31</v>
      </c>
      <c r="G48" s="21" t="n">
        <v>684</v>
      </c>
      <c r="H48" s="21" t="n">
        <v>710</v>
      </c>
      <c r="I48" s="51" t="n">
        <f aca="false">IF(H48="","",G48-H48)</f>
        <v>-26</v>
      </c>
      <c r="J48" s="39" t="n">
        <f aca="false">IF(OR(D48="",D48+G48=0),"",D48/(D48+G48))</f>
        <v>0.293388429752066</v>
      </c>
      <c r="K48" s="39" t="n">
        <f aca="false">IF(E48="","",E48/(E48+H48))</f>
        <v>0.262720664589823</v>
      </c>
      <c r="L48" s="52" t="n">
        <f aca="false">IF(OR(K48="",J48=""),"",(J48-K48)*100)</f>
        <v>3.06677651622427</v>
      </c>
      <c r="M48" s="38"/>
    </row>
    <row r="49" customFormat="false" ht="15" hidden="false" customHeight="false" outlineLevel="0" collapsed="false">
      <c r="A49" s="38" t="s">
        <v>87</v>
      </c>
      <c r="B49" s="38" t="s">
        <v>149</v>
      </c>
      <c r="C49" s="38" t="s">
        <v>152</v>
      </c>
      <c r="D49" s="21" t="n">
        <v>286</v>
      </c>
      <c r="E49" s="21" t="n">
        <v>238</v>
      </c>
      <c r="F49" s="51" t="n">
        <f aca="false">IF(E49="","",D49-E49)</f>
        <v>48</v>
      </c>
      <c r="G49" s="21" t="n">
        <v>628</v>
      </c>
      <c r="H49" s="21" t="n">
        <v>586</v>
      </c>
      <c r="I49" s="51" t="n">
        <f aca="false">IF(H49="","",G49-H49)</f>
        <v>42</v>
      </c>
      <c r="J49" s="39" t="n">
        <f aca="false">IF(OR(D49="",D49+G49=0),"",D49/(D49+G49))</f>
        <v>0.312910284463895</v>
      </c>
      <c r="K49" s="39" t="n">
        <f aca="false">IF(E49="","",E49/(E49+H49))</f>
        <v>0.288834951456311</v>
      </c>
      <c r="L49" s="52" t="n">
        <f aca="false">IF(OR(K49="",J49=""),"",(J49-K49)*100)</f>
        <v>2.40753330075843</v>
      </c>
      <c r="M49" s="38"/>
    </row>
    <row r="50" customFormat="false" ht="15" hidden="false" customHeight="false" outlineLevel="0" collapsed="false">
      <c r="A50" s="38" t="s">
        <v>87</v>
      </c>
      <c r="B50" s="38" t="s">
        <v>153</v>
      </c>
      <c r="C50" s="38" t="s">
        <v>154</v>
      </c>
      <c r="D50" s="21" t="n">
        <v>253</v>
      </c>
      <c r="E50" s="21" t="n">
        <v>238</v>
      </c>
      <c r="F50" s="51" t="n">
        <f aca="false">IF(E50="","",D50-E50)</f>
        <v>15</v>
      </c>
      <c r="G50" s="21" t="n">
        <v>607</v>
      </c>
      <c r="H50" s="21" t="n">
        <v>541</v>
      </c>
      <c r="I50" s="51" t="n">
        <f aca="false">IF(H50="","",G50-H50)</f>
        <v>66</v>
      </c>
      <c r="J50" s="39" t="n">
        <f aca="false">IF(OR(D50="",D50+G50=0),"",D50/(D50+G50))</f>
        <v>0.294186046511628</v>
      </c>
      <c r="K50" s="39" t="n">
        <f aca="false">IF(E50="","",E50/(E50+H50))</f>
        <v>0.305519897304236</v>
      </c>
      <c r="L50" s="52" t="n">
        <f aca="false">IF(OR(K50="",J50=""),"",(J50-K50)*100)</f>
        <v>-1.13338507926083</v>
      </c>
      <c r="M50" s="38"/>
    </row>
    <row r="51" customFormat="false" ht="15" hidden="false" customHeight="false" outlineLevel="0" collapsed="false">
      <c r="A51" s="38" t="s">
        <v>87</v>
      </c>
      <c r="B51" s="38" t="s">
        <v>153</v>
      </c>
      <c r="C51" s="38" t="s">
        <v>155</v>
      </c>
      <c r="D51" s="21" t="n">
        <v>118</v>
      </c>
      <c r="E51" s="21" t="n">
        <v>103</v>
      </c>
      <c r="F51" s="51" t="n">
        <f aca="false">IF(E51="","",D51-E51)</f>
        <v>15</v>
      </c>
      <c r="G51" s="21" t="n">
        <v>291</v>
      </c>
      <c r="H51" s="21" t="n">
        <v>292</v>
      </c>
      <c r="I51" s="51" t="n">
        <f aca="false">IF(H51="","",G51-H51)</f>
        <v>-1</v>
      </c>
      <c r="J51" s="39" t="n">
        <f aca="false">IF(OR(D51="",D51+G51=0),"",D51/(D51+G51))</f>
        <v>0.288508557457213</v>
      </c>
      <c r="K51" s="39" t="n">
        <f aca="false">IF(E51="","",E51/(E51+H51))</f>
        <v>0.260759493670886</v>
      </c>
      <c r="L51" s="52" t="n">
        <f aca="false">IF(OR(K51="",J51=""),"",(J51-K51)*100)</f>
        <v>2.77490637863266</v>
      </c>
      <c r="M51" s="38"/>
    </row>
    <row r="52" customFormat="false" ht="15" hidden="false" customHeight="false" outlineLevel="0" collapsed="false">
      <c r="A52" s="38" t="s">
        <v>87</v>
      </c>
      <c r="B52" s="38" t="s">
        <v>156</v>
      </c>
      <c r="C52" s="38" t="s">
        <v>156</v>
      </c>
      <c r="D52" s="21" t="n">
        <v>64</v>
      </c>
      <c r="E52" s="21" t="n">
        <v>53</v>
      </c>
      <c r="F52" s="51" t="n">
        <f aca="false">IF(E52="","",D52-E52)</f>
        <v>11</v>
      </c>
      <c r="G52" s="21" t="n">
        <v>88</v>
      </c>
      <c r="H52" s="21" t="n">
        <v>99</v>
      </c>
      <c r="I52" s="51" t="n">
        <f aca="false">IF(H52="","",G52-H52)</f>
        <v>-11</v>
      </c>
      <c r="J52" s="39" t="n">
        <f aca="false">IF(OR(D52="",D52+G52=0),"",D52/(D52+G52))</f>
        <v>0.421052631578947</v>
      </c>
      <c r="K52" s="39" t="n">
        <f aca="false">IF(E52="","",E52/(E52+H52))</f>
        <v>0.348684210526316</v>
      </c>
      <c r="L52" s="52" t="n">
        <f aca="false">IF(OR(K52="",J52=""),"",(J52-K52)*100)</f>
        <v>7.23684210526316</v>
      </c>
      <c r="M52" s="38"/>
    </row>
    <row r="53" customFormat="false" ht="15" hidden="false" customHeight="false" outlineLevel="0" collapsed="false">
      <c r="A53" s="38" t="s">
        <v>157</v>
      </c>
      <c r="B53" s="38" t="s">
        <v>158</v>
      </c>
      <c r="C53" s="38" t="s">
        <v>158</v>
      </c>
      <c r="D53" s="21" t="n">
        <v>728</v>
      </c>
      <c r="E53" s="21" t="n">
        <v>601</v>
      </c>
      <c r="F53" s="51" t="n">
        <f aca="false">IF(E53="","",D53-E53)</f>
        <v>127</v>
      </c>
      <c r="G53" s="21" t="n">
        <v>714</v>
      </c>
      <c r="H53" s="21" t="n">
        <v>766</v>
      </c>
      <c r="I53" s="51" t="n">
        <f aca="false">IF(H53="","",G53-H53)</f>
        <v>-52</v>
      </c>
      <c r="J53" s="39" t="n">
        <f aca="false">IF(OR(D53="",D53+G53=0),"",D53/(D53+G53))</f>
        <v>0.504854368932039</v>
      </c>
      <c r="K53" s="39" t="n">
        <f aca="false">IF(E53="","",E53/(E53+H53))</f>
        <v>0.439648866130212</v>
      </c>
      <c r="L53" s="52" t="n">
        <f aca="false">IF(OR(K53="",J53=""),"",(J53-K53)*100)</f>
        <v>6.52055028018267</v>
      </c>
      <c r="M53" s="38"/>
    </row>
    <row r="54" customFormat="false" ht="15" hidden="false" customHeight="false" outlineLevel="0" collapsed="false">
      <c r="A54" s="38" t="s">
        <v>157</v>
      </c>
      <c r="B54" s="38" t="s">
        <v>159</v>
      </c>
      <c r="C54" s="38" t="s">
        <v>160</v>
      </c>
      <c r="D54" s="21" t="n">
        <v>518</v>
      </c>
      <c r="E54" s="21" t="n">
        <v>437</v>
      </c>
      <c r="F54" s="51" t="n">
        <f aca="false">IF(E54="","",D54-E54)</f>
        <v>81</v>
      </c>
      <c r="G54" s="21" t="n">
        <v>135</v>
      </c>
      <c r="H54" s="21" t="n">
        <v>173</v>
      </c>
      <c r="I54" s="51" t="n">
        <f aca="false">IF(H54="","",G54-H54)</f>
        <v>-38</v>
      </c>
      <c r="J54" s="39" t="n">
        <f aca="false">IF(OR(D54="",D54+G54=0),"",D54/(D54+G54))</f>
        <v>0.793261868300153</v>
      </c>
      <c r="K54" s="39" t="n">
        <f aca="false">IF(E54="","",E54/(E54+H54))</f>
        <v>0.716393442622951</v>
      </c>
      <c r="L54" s="52" t="n">
        <f aca="false">IF(OR(K54="",J54=""),"",(J54-K54)*100)</f>
        <v>7.68684256772023</v>
      </c>
      <c r="M54" s="38"/>
    </row>
    <row r="55" customFormat="false" ht="15" hidden="false" customHeight="false" outlineLevel="0" collapsed="false">
      <c r="A55" s="38" t="s">
        <v>157</v>
      </c>
      <c r="B55" s="38" t="s">
        <v>159</v>
      </c>
      <c r="C55" s="38" t="s">
        <v>161</v>
      </c>
      <c r="D55" s="21" t="n">
        <v>340</v>
      </c>
      <c r="E55" s="21" t="n">
        <v>328</v>
      </c>
      <c r="F55" s="51" t="n">
        <f aca="false">IF(E55="","",D55-E55)</f>
        <v>12</v>
      </c>
      <c r="G55" s="21" t="n">
        <v>101</v>
      </c>
      <c r="H55" s="21" t="n">
        <v>173</v>
      </c>
      <c r="I55" s="51" t="n">
        <f aca="false">IF(H55="","",G55-H55)</f>
        <v>-72</v>
      </c>
      <c r="J55" s="39" t="n">
        <f aca="false">IF(OR(D55="",D55+G55=0),"",D55/(D55+G55))</f>
        <v>0.770975056689342</v>
      </c>
      <c r="K55" s="39" t="n">
        <f aca="false">IF(E55="","",E55/(E55+H55))</f>
        <v>0.654690618762475</v>
      </c>
      <c r="L55" s="52" t="n">
        <f aca="false">IF(OR(K55="",J55=""),"",(J55-K55)*100)</f>
        <v>11.6284437926867</v>
      </c>
      <c r="M55" s="38"/>
    </row>
    <row r="56" customFormat="false" ht="15" hidden="false" customHeight="false" outlineLevel="0" collapsed="false">
      <c r="A56" s="38" t="s">
        <v>157</v>
      </c>
      <c r="B56" s="38" t="s">
        <v>159</v>
      </c>
      <c r="C56" s="38" t="s">
        <v>162</v>
      </c>
      <c r="D56" s="21" t="n">
        <v>362</v>
      </c>
      <c r="E56" s="21" t="n">
        <v>347</v>
      </c>
      <c r="F56" s="51" t="n">
        <f aca="false">IF(E56="","",D56-E56)</f>
        <v>15</v>
      </c>
      <c r="G56" s="21" t="n">
        <v>96</v>
      </c>
      <c r="H56" s="21" t="n">
        <v>147</v>
      </c>
      <c r="I56" s="51" t="n">
        <f aca="false">IF(H56="","",G56-H56)</f>
        <v>-51</v>
      </c>
      <c r="J56" s="39" t="n">
        <f aca="false">IF(OR(D56="",D56+G56=0),"",D56/(D56+G56))</f>
        <v>0.790393013100437</v>
      </c>
      <c r="K56" s="39" t="n">
        <f aca="false">IF(E56="","",E56/(E56+H56))</f>
        <v>0.702429149797571</v>
      </c>
      <c r="L56" s="52" t="n">
        <f aca="false">IF(OR(K56="",J56=""),"",(J56-K56)*100)</f>
        <v>8.79638633028658</v>
      </c>
      <c r="M56" s="38"/>
    </row>
    <row r="57" customFormat="false" ht="15" hidden="false" customHeight="false" outlineLevel="0" collapsed="false">
      <c r="A57" s="38" t="s">
        <v>157</v>
      </c>
      <c r="B57" s="38" t="s">
        <v>159</v>
      </c>
      <c r="C57" s="38" t="s">
        <v>163</v>
      </c>
      <c r="D57" s="21" t="n">
        <v>317</v>
      </c>
      <c r="E57" s="21" t="n">
        <v>314</v>
      </c>
      <c r="F57" s="51" t="n">
        <f aca="false">IF(E57="","",D57-E57)</f>
        <v>3</v>
      </c>
      <c r="G57" s="21" t="n">
        <v>100</v>
      </c>
      <c r="H57" s="21" t="n">
        <v>149</v>
      </c>
      <c r="I57" s="51" t="n">
        <f aca="false">IF(H57="","",G57-H57)</f>
        <v>-49</v>
      </c>
      <c r="J57" s="39" t="n">
        <f aca="false">IF(OR(D57="",D57+G57=0),"",D57/(D57+G57))</f>
        <v>0.760191846522782</v>
      </c>
      <c r="K57" s="39" t="n">
        <f aca="false">IF(E57="","",E57/(E57+H57))</f>
        <v>0.678185745140389</v>
      </c>
      <c r="L57" s="52" t="n">
        <f aca="false">IF(OR(K57="",J57=""),"",(J57-K57)*100)</f>
        <v>8.20061013823931</v>
      </c>
      <c r="M57" s="38"/>
    </row>
    <row r="58" customFormat="false" ht="15" hidden="false" customHeight="false" outlineLevel="0" collapsed="false">
      <c r="A58" s="38" t="s">
        <v>157</v>
      </c>
      <c r="B58" s="38" t="s">
        <v>159</v>
      </c>
      <c r="C58" s="38" t="s">
        <v>164</v>
      </c>
      <c r="D58" s="21" t="n">
        <v>360</v>
      </c>
      <c r="E58" s="21" t="n">
        <v>364</v>
      </c>
      <c r="F58" s="51" t="n">
        <f aca="false">IF(E58="","",D58-E58)</f>
        <v>-4</v>
      </c>
      <c r="G58" s="21" t="n">
        <v>98</v>
      </c>
      <c r="H58" s="21" t="n">
        <v>137</v>
      </c>
      <c r="I58" s="51" t="n">
        <f aca="false">IF(H58="","",G58-H58)</f>
        <v>-39</v>
      </c>
      <c r="J58" s="39" t="n">
        <f aca="false">IF(OR(D58="",D58+G58=0),"",D58/(D58+G58))</f>
        <v>0.786026200873362</v>
      </c>
      <c r="K58" s="39" t="n">
        <f aca="false">IF(E58="","",E58/(E58+H58))</f>
        <v>0.726546906187625</v>
      </c>
      <c r="L58" s="52" t="n">
        <f aca="false">IF(OR(K58="",J58=""),"",(J58-K58)*100)</f>
        <v>5.94792946857377</v>
      </c>
      <c r="M58" s="38"/>
    </row>
    <row r="59" customFormat="false" ht="15" hidden="false" customHeight="false" outlineLevel="0" collapsed="false">
      <c r="A59" s="38" t="s">
        <v>157</v>
      </c>
      <c r="B59" s="38" t="s">
        <v>159</v>
      </c>
      <c r="C59" s="38" t="s">
        <v>165</v>
      </c>
      <c r="D59" s="21" t="n">
        <v>436</v>
      </c>
      <c r="E59" s="21" t="n">
        <v>399</v>
      </c>
      <c r="F59" s="51" t="n">
        <f aca="false">IF(E59="","",D59-E59)</f>
        <v>37</v>
      </c>
      <c r="G59" s="21" t="n">
        <v>144</v>
      </c>
      <c r="H59" s="21" t="n">
        <v>171</v>
      </c>
      <c r="I59" s="51" t="n">
        <f aca="false">IF(H59="","",G59-H59)</f>
        <v>-27</v>
      </c>
      <c r="J59" s="39" t="n">
        <f aca="false">IF(OR(D59="",D59+G59=0),"",D59/(D59+G59))</f>
        <v>0.751724137931034</v>
      </c>
      <c r="K59" s="39" t="n">
        <f aca="false">IF(E59="","",E59/(E59+H59))</f>
        <v>0.7</v>
      </c>
      <c r="L59" s="52" t="n">
        <f aca="false">IF(OR(K59="",J59=""),"",(J59-K59)*100)</f>
        <v>5.17241379310345</v>
      </c>
      <c r="M59" s="38"/>
    </row>
    <row r="60" customFormat="false" ht="15" hidden="false" customHeight="false" outlineLevel="0" collapsed="false">
      <c r="A60" s="38" t="s">
        <v>157</v>
      </c>
      <c r="B60" s="38" t="s">
        <v>159</v>
      </c>
      <c r="C60" s="38" t="s">
        <v>166</v>
      </c>
      <c r="D60" s="21" t="n">
        <v>812</v>
      </c>
      <c r="E60" s="21" t="n">
        <v>1034</v>
      </c>
      <c r="F60" s="51" t="n">
        <f aca="false">IF(E60="","",D60-E60)</f>
        <v>-222</v>
      </c>
      <c r="G60" s="21" t="n">
        <v>194</v>
      </c>
      <c r="H60" s="21" t="n">
        <v>285</v>
      </c>
      <c r="I60" s="51" t="n">
        <f aca="false">IF(H60="","",G60-H60)</f>
        <v>-91</v>
      </c>
      <c r="J60" s="39" t="n">
        <f aca="false">IF(OR(D60="",D60+G60=0),"",D60/(D60+G60))</f>
        <v>0.807157057654076</v>
      </c>
      <c r="K60" s="39" t="n">
        <f aca="false">IF(E60="","",E60/(E60+H60))</f>
        <v>0.783927217589083</v>
      </c>
      <c r="L60" s="52" t="n">
        <f aca="false">IF(OR(K60="",J60=""),"",(J60-K60)*100)</f>
        <v>2.32298400649928</v>
      </c>
      <c r="M60" s="38"/>
    </row>
    <row r="61" customFormat="false" ht="15" hidden="false" customHeight="false" outlineLevel="0" collapsed="false">
      <c r="A61" s="38" t="s">
        <v>157</v>
      </c>
      <c r="B61" s="38" t="s">
        <v>159</v>
      </c>
      <c r="C61" s="38" t="s">
        <v>167</v>
      </c>
      <c r="D61" s="21" t="n">
        <v>395</v>
      </c>
      <c r="E61" s="21" t="n">
        <v>377</v>
      </c>
      <c r="F61" s="51" t="n">
        <f aca="false">IF(E61="","",D61-E61)</f>
        <v>18</v>
      </c>
      <c r="G61" s="21" t="n">
        <v>177</v>
      </c>
      <c r="H61" s="21" t="n">
        <v>190</v>
      </c>
      <c r="I61" s="51" t="n">
        <f aca="false">IF(H61="","",G61-H61)</f>
        <v>-13</v>
      </c>
      <c r="J61" s="39" t="n">
        <f aca="false">IF(OR(D61="",D61+G61=0),"",D61/(D61+G61))</f>
        <v>0.690559440559441</v>
      </c>
      <c r="K61" s="39" t="n">
        <f aca="false">IF(E61="","",E61/(E61+H61))</f>
        <v>0.664902998236332</v>
      </c>
      <c r="L61" s="52" t="n">
        <f aca="false">IF(OR(K61="",J61=""),"",(J61-K61)*100)</f>
        <v>2.56564423231089</v>
      </c>
      <c r="M61" s="38"/>
    </row>
    <row r="62" customFormat="false" ht="15" hidden="false" customHeight="false" outlineLevel="0" collapsed="false">
      <c r="A62" s="38" t="s">
        <v>157</v>
      </c>
      <c r="B62" s="38" t="s">
        <v>159</v>
      </c>
      <c r="C62" s="38" t="s">
        <v>168</v>
      </c>
      <c r="D62" s="21" t="n">
        <v>609</v>
      </c>
      <c r="E62" s="21" t="n">
        <v>619</v>
      </c>
      <c r="F62" s="51" t="n">
        <f aca="false">IF(E62="","",D62-E62)</f>
        <v>-10</v>
      </c>
      <c r="G62" s="21" t="n">
        <v>362</v>
      </c>
      <c r="H62" s="21" t="n">
        <v>400</v>
      </c>
      <c r="I62" s="51" t="n">
        <f aca="false">IF(H62="","",G62-H62)</f>
        <v>-38</v>
      </c>
      <c r="J62" s="39" t="n">
        <f aca="false">IF(OR(D62="",D62+G62=0),"",D62/(D62+G62))</f>
        <v>0.627188465499485</v>
      </c>
      <c r="K62" s="39" t="n">
        <f aca="false">IF(E62="","",E62/(E62+H62))</f>
        <v>0.607458292443572</v>
      </c>
      <c r="L62" s="52" t="n">
        <f aca="false">IF(OR(K62="",J62=""),"",(J62-K62)*100)</f>
        <v>1.9730173055913</v>
      </c>
      <c r="M62" s="38"/>
    </row>
    <row r="63" customFormat="false" ht="15" hidden="false" customHeight="false" outlineLevel="0" collapsed="false">
      <c r="A63" s="38" t="s">
        <v>157</v>
      </c>
      <c r="B63" s="38" t="s">
        <v>159</v>
      </c>
      <c r="C63" s="38" t="s">
        <v>169</v>
      </c>
      <c r="D63" s="21" t="n">
        <v>442</v>
      </c>
      <c r="E63" s="21" t="n">
        <v>438</v>
      </c>
      <c r="F63" s="51" t="n">
        <f aca="false">IF(E63="","",D63-E63)</f>
        <v>4</v>
      </c>
      <c r="G63" s="21" t="n">
        <v>261</v>
      </c>
      <c r="H63" s="21" t="n">
        <v>259</v>
      </c>
      <c r="I63" s="51" t="n">
        <f aca="false">IF(H63="","",G63-H63)</f>
        <v>2</v>
      </c>
      <c r="J63" s="39" t="n">
        <f aca="false">IF(OR(D63="",D63+G63=0),"",D63/(D63+G63))</f>
        <v>0.62873399715505</v>
      </c>
      <c r="K63" s="39" t="n">
        <f aca="false">IF(E63="","",E63/(E63+H63))</f>
        <v>0.628407460545194</v>
      </c>
      <c r="L63" s="52" t="n">
        <f aca="false">IF(OR(K63="",J63=""),"",(J63-K63)*100)</f>
        <v>0.0326536609856043</v>
      </c>
      <c r="M63" s="38"/>
    </row>
    <row r="64" customFormat="false" ht="15" hidden="false" customHeight="false" outlineLevel="0" collapsed="false">
      <c r="A64" s="38" t="s">
        <v>157</v>
      </c>
      <c r="B64" s="38" t="s">
        <v>159</v>
      </c>
      <c r="C64" s="38" t="s">
        <v>170</v>
      </c>
      <c r="D64" s="21" t="n">
        <v>459</v>
      </c>
      <c r="E64" s="21" t="n">
        <v>428</v>
      </c>
      <c r="F64" s="51" t="n">
        <f aca="false">IF(E64="","",D64-E64)</f>
        <v>31</v>
      </c>
      <c r="G64" s="21" t="n">
        <v>149</v>
      </c>
      <c r="H64" s="21" t="n">
        <v>195</v>
      </c>
      <c r="I64" s="51" t="n">
        <f aca="false">IF(H64="","",G64-H64)</f>
        <v>-46</v>
      </c>
      <c r="J64" s="39" t="n">
        <f aca="false">IF(OR(D64="",D64+G64=0),"",D64/(D64+G64))</f>
        <v>0.754934210526316</v>
      </c>
      <c r="K64" s="39" t="n">
        <f aca="false">IF(E64="","",E64/(E64+H64))</f>
        <v>0.686998394863563</v>
      </c>
      <c r="L64" s="52" t="n">
        <f aca="false">IF(OR(K64="",J64=""),"",(J64-K64)*100)</f>
        <v>6.79358156627524</v>
      </c>
      <c r="M64" s="38"/>
    </row>
    <row r="65" customFormat="false" ht="15" hidden="false" customHeight="false" outlineLevel="0" collapsed="false">
      <c r="A65" s="38" t="s">
        <v>157</v>
      </c>
      <c r="B65" s="38" t="s">
        <v>159</v>
      </c>
      <c r="C65" s="38" t="s">
        <v>171</v>
      </c>
      <c r="D65" s="21" t="n">
        <v>531</v>
      </c>
      <c r="E65" s="21" t="n">
        <v>563</v>
      </c>
      <c r="F65" s="51" t="n">
        <f aca="false">IF(E65="","",D65-E65)</f>
        <v>-32</v>
      </c>
      <c r="G65" s="21" t="n">
        <v>247</v>
      </c>
      <c r="H65" s="21" t="n">
        <v>322</v>
      </c>
      <c r="I65" s="51" t="n">
        <f aca="false">IF(H65="","",G65-H65)</f>
        <v>-75</v>
      </c>
      <c r="J65" s="39" t="n">
        <f aca="false">IF(OR(D65="",D65+G65=0),"",D65/(D65+G65))</f>
        <v>0.682519280205656</v>
      </c>
      <c r="K65" s="39" t="n">
        <f aca="false">IF(E65="","",E65/(E65+H65))</f>
        <v>0.636158192090396</v>
      </c>
      <c r="L65" s="52" t="n">
        <f aca="false">IF(OR(K65="",J65=""),"",(J65-K65)*100)</f>
        <v>4.63610881152601</v>
      </c>
      <c r="M65" s="38"/>
    </row>
    <row r="66" customFormat="false" ht="15" hidden="false" customHeight="false" outlineLevel="0" collapsed="false">
      <c r="A66" s="38" t="s">
        <v>157</v>
      </c>
      <c r="B66" s="38" t="s">
        <v>159</v>
      </c>
      <c r="C66" s="38" t="s">
        <v>172</v>
      </c>
      <c r="D66" s="21" t="n">
        <v>455</v>
      </c>
      <c r="E66" s="21" t="n">
        <v>472</v>
      </c>
      <c r="F66" s="51" t="n">
        <f aca="false">IF(E66="","",D66-E66)</f>
        <v>-17</v>
      </c>
      <c r="G66" s="21" t="n">
        <v>259</v>
      </c>
      <c r="H66" s="21" t="n">
        <v>273</v>
      </c>
      <c r="I66" s="51" t="n">
        <f aca="false">IF(H66="","",G66-H66)</f>
        <v>-14</v>
      </c>
      <c r="J66" s="39" t="n">
        <f aca="false">IF(OR(D66="",D66+G66=0),"",D66/(D66+G66))</f>
        <v>0.637254901960784</v>
      </c>
      <c r="K66" s="39" t="n">
        <f aca="false">IF(E66="","",E66/(E66+H66))</f>
        <v>0.633557046979866</v>
      </c>
      <c r="L66" s="52" t="n">
        <f aca="false">IF(OR(K66="",J66=""),"",(J66-K66)*100)</f>
        <v>0.369785498091846</v>
      </c>
      <c r="M66" s="38"/>
    </row>
    <row r="67" customFormat="false" ht="15" hidden="false" customHeight="false" outlineLevel="0" collapsed="false">
      <c r="A67" s="38" t="s">
        <v>157</v>
      </c>
      <c r="B67" s="38" t="s">
        <v>159</v>
      </c>
      <c r="C67" s="38" t="s">
        <v>173</v>
      </c>
      <c r="D67" s="21" t="n">
        <v>446</v>
      </c>
      <c r="E67" s="21" t="n">
        <v>426</v>
      </c>
      <c r="F67" s="51" t="n">
        <f aca="false">IF(E67="","",D67-E67)</f>
        <v>20</v>
      </c>
      <c r="G67" s="21" t="n">
        <v>327</v>
      </c>
      <c r="H67" s="21" t="n">
        <v>331</v>
      </c>
      <c r="I67" s="51" t="n">
        <f aca="false">IF(H67="","",G67-H67)</f>
        <v>-4</v>
      </c>
      <c r="J67" s="39" t="n">
        <f aca="false">IF(OR(D67="",D67+G67=0),"",D67/(D67+G67))</f>
        <v>0.576972833117723</v>
      </c>
      <c r="K67" s="39" t="n">
        <f aca="false">IF(E67="","",E67/(E67+H67))</f>
        <v>0.562747688243065</v>
      </c>
      <c r="L67" s="52" t="n">
        <f aca="false">IF(OR(K67="",J67=""),"",(J67-K67)*100)</f>
        <v>1.42251448746584</v>
      </c>
      <c r="M67" s="38"/>
    </row>
    <row r="68" customFormat="false" ht="15" hidden="false" customHeight="false" outlineLevel="0" collapsed="false">
      <c r="A68" s="38" t="s">
        <v>157</v>
      </c>
      <c r="B68" s="38" t="s">
        <v>159</v>
      </c>
      <c r="C68" s="38" t="s">
        <v>174</v>
      </c>
      <c r="D68" s="21" t="n">
        <v>428</v>
      </c>
      <c r="E68" s="21" t="n">
        <v>418</v>
      </c>
      <c r="F68" s="51" t="n">
        <f aca="false">IF(E68="","",D68-E68)</f>
        <v>10</v>
      </c>
      <c r="G68" s="21" t="n">
        <v>226</v>
      </c>
      <c r="H68" s="21" t="n">
        <v>278</v>
      </c>
      <c r="I68" s="51" t="n">
        <f aca="false">IF(H68="","",G68-H68)</f>
        <v>-52</v>
      </c>
      <c r="J68" s="39" t="n">
        <f aca="false">IF(OR(D68="",D68+G68=0),"",D68/(D68+G68))</f>
        <v>0.654434250764526</v>
      </c>
      <c r="K68" s="39" t="n">
        <f aca="false">IF(E68="","",E68/(E68+H68))</f>
        <v>0.600574712643678</v>
      </c>
      <c r="L68" s="52" t="n">
        <f aca="false">IF(OR(K68="",J68=""),"",(J68-K68)*100)</f>
        <v>5.38595381208479</v>
      </c>
      <c r="M68" s="38"/>
    </row>
    <row r="69" customFormat="false" ht="15" hidden="false" customHeight="false" outlineLevel="0" collapsed="false">
      <c r="A69" s="38" t="s">
        <v>157</v>
      </c>
      <c r="B69" s="38" t="s">
        <v>159</v>
      </c>
      <c r="C69" s="38" t="s">
        <v>175</v>
      </c>
      <c r="D69" s="21" t="n">
        <v>418</v>
      </c>
      <c r="E69" s="21" t="n">
        <v>424</v>
      </c>
      <c r="F69" s="51" t="n">
        <f aca="false">IF(E69="","",D69-E69)</f>
        <v>-6</v>
      </c>
      <c r="G69" s="21" t="n">
        <v>129</v>
      </c>
      <c r="H69" s="21" t="n">
        <v>188</v>
      </c>
      <c r="I69" s="51" t="n">
        <f aca="false">IF(H69="","",G69-H69)</f>
        <v>-59</v>
      </c>
      <c r="J69" s="39" t="n">
        <f aca="false">IF(OR(D69="",D69+G69=0),"",D69/(D69+G69))</f>
        <v>0.764168190127971</v>
      </c>
      <c r="K69" s="39" t="n">
        <f aca="false">IF(E69="","",E69/(E69+H69))</f>
        <v>0.69281045751634</v>
      </c>
      <c r="L69" s="52" t="n">
        <f aca="false">IF(OR(K69="",J69=""),"",(J69-K69)*100)</f>
        <v>7.13577326116309</v>
      </c>
      <c r="M69" s="38"/>
    </row>
    <row r="70" customFormat="false" ht="15" hidden="false" customHeight="false" outlineLevel="0" collapsed="false">
      <c r="A70" s="38" t="s">
        <v>157</v>
      </c>
      <c r="B70" s="38" t="s">
        <v>159</v>
      </c>
      <c r="C70" s="38" t="s">
        <v>176</v>
      </c>
      <c r="D70" s="21" t="n">
        <v>353</v>
      </c>
      <c r="E70" s="21" t="n">
        <v>330</v>
      </c>
      <c r="F70" s="51" t="n">
        <f aca="false">IF(E70="","",D70-E70)</f>
        <v>23</v>
      </c>
      <c r="G70" s="21" t="n">
        <v>136</v>
      </c>
      <c r="H70" s="21" t="n">
        <v>195</v>
      </c>
      <c r="I70" s="51" t="n">
        <f aca="false">IF(H70="","",G70-H70)</f>
        <v>-59</v>
      </c>
      <c r="J70" s="39" t="n">
        <f aca="false">IF(OR(D70="",D70+G70=0),"",D70/(D70+G70))</f>
        <v>0.721881390593047</v>
      </c>
      <c r="K70" s="39" t="n">
        <f aca="false">IF(E70="","",E70/(E70+H70))</f>
        <v>0.628571428571429</v>
      </c>
      <c r="L70" s="52" t="n">
        <f aca="false">IF(OR(K70="",J70=""),"",(J70-K70)*100)</f>
        <v>9.33099620216185</v>
      </c>
      <c r="M70" s="38"/>
    </row>
    <row r="71" customFormat="false" ht="15" hidden="false" customHeight="false" outlineLevel="0" collapsed="false">
      <c r="A71" s="38" t="s">
        <v>157</v>
      </c>
      <c r="B71" s="38" t="s">
        <v>159</v>
      </c>
      <c r="C71" s="38" t="s">
        <v>177</v>
      </c>
      <c r="D71" s="21" t="n">
        <v>448</v>
      </c>
      <c r="E71" s="21" t="n">
        <v>441</v>
      </c>
      <c r="F71" s="51" t="n">
        <f aca="false">IF(E71="","",D71-E71)</f>
        <v>7</v>
      </c>
      <c r="G71" s="21" t="n">
        <v>193</v>
      </c>
      <c r="H71" s="21" t="n">
        <v>232</v>
      </c>
      <c r="I71" s="51" t="n">
        <f aca="false">IF(H71="","",G71-H71)</f>
        <v>-39</v>
      </c>
      <c r="J71" s="39" t="n">
        <f aca="false">IF(OR(D71="",D71+G71=0),"",D71/(D71+G71))</f>
        <v>0.698907956318253</v>
      </c>
      <c r="K71" s="39" t="n">
        <f aca="false">IF(E71="","",E71/(E71+H71))</f>
        <v>0.655274888558692</v>
      </c>
      <c r="L71" s="52" t="n">
        <f aca="false">IF(OR(K71="",J71=""),"",(J71-K71)*100)</f>
        <v>4.36330677595603</v>
      </c>
      <c r="M71" s="38"/>
    </row>
    <row r="72" customFormat="false" ht="15" hidden="false" customHeight="false" outlineLevel="0" collapsed="false">
      <c r="A72" s="38" t="s">
        <v>157</v>
      </c>
      <c r="B72" s="38" t="s">
        <v>159</v>
      </c>
      <c r="C72" s="38" t="s">
        <v>178</v>
      </c>
      <c r="D72" s="21" t="n">
        <v>289</v>
      </c>
      <c r="E72" s="21" t="n">
        <v>313</v>
      </c>
      <c r="F72" s="51" t="n">
        <f aca="false">IF(E72="","",D72-E72)</f>
        <v>-24</v>
      </c>
      <c r="G72" s="21" t="n">
        <v>109</v>
      </c>
      <c r="H72" s="21" t="n">
        <v>155</v>
      </c>
      <c r="I72" s="51" t="n">
        <f aca="false">IF(H72="","",G72-H72)</f>
        <v>-46</v>
      </c>
      <c r="J72" s="39" t="n">
        <f aca="false">IF(OR(D72="",D72+G72=0),"",D72/(D72+G72))</f>
        <v>0.726130653266332</v>
      </c>
      <c r="K72" s="39" t="n">
        <f aca="false">IF(E72="","",E72/(E72+H72))</f>
        <v>0.668803418803419</v>
      </c>
      <c r="L72" s="52" t="n">
        <f aca="false">IF(OR(K72="",J72=""),"",(J72-K72)*100)</f>
        <v>5.73272344629129</v>
      </c>
      <c r="M72" s="38"/>
    </row>
    <row r="73" customFormat="false" ht="15" hidden="false" customHeight="false" outlineLevel="0" collapsed="false">
      <c r="A73" s="38" t="s">
        <v>157</v>
      </c>
      <c r="B73" s="38" t="s">
        <v>159</v>
      </c>
      <c r="C73" s="38" t="s">
        <v>179</v>
      </c>
      <c r="D73" s="21" t="n">
        <v>660</v>
      </c>
      <c r="E73" s="21" t="n">
        <v>658</v>
      </c>
      <c r="F73" s="51" t="n">
        <f aca="false">IF(E73="","",D73-E73)</f>
        <v>2</v>
      </c>
      <c r="G73" s="21" t="n">
        <v>326</v>
      </c>
      <c r="H73" s="21" t="n">
        <v>375</v>
      </c>
      <c r="I73" s="51" t="n">
        <f aca="false">IF(H73="","",G73-H73)</f>
        <v>-49</v>
      </c>
      <c r="J73" s="39" t="n">
        <f aca="false">IF(OR(D73="",D73+G73=0),"",D73/(D73+G73))</f>
        <v>0.669371196754564</v>
      </c>
      <c r="K73" s="39" t="n">
        <f aca="false">IF(E73="","",E73/(E73+H73))</f>
        <v>0.636979670861568</v>
      </c>
      <c r="L73" s="52" t="n">
        <f aca="false">IF(OR(K73="",J73=""),"",(J73-K73)*100)</f>
        <v>3.23915258929957</v>
      </c>
      <c r="M73" s="38"/>
    </row>
    <row r="74" customFormat="false" ht="15" hidden="false" customHeight="false" outlineLevel="0" collapsed="false">
      <c r="A74" s="38" t="s">
        <v>157</v>
      </c>
      <c r="B74" s="38" t="s">
        <v>159</v>
      </c>
      <c r="C74" s="38" t="s">
        <v>180</v>
      </c>
      <c r="D74" s="21" t="n">
        <v>762</v>
      </c>
      <c r="E74" s="21" t="n">
        <v>693</v>
      </c>
      <c r="F74" s="51" t="n">
        <f aca="false">IF(E74="","",D74-E74)</f>
        <v>69</v>
      </c>
      <c r="G74" s="21" t="n">
        <v>296</v>
      </c>
      <c r="H74" s="21" t="n">
        <v>389</v>
      </c>
      <c r="I74" s="51" t="n">
        <f aca="false">IF(H74="","",G74-H74)</f>
        <v>-93</v>
      </c>
      <c r="J74" s="39" t="n">
        <f aca="false">IF(OR(D74="",D74+G74=0),"",D74/(D74+G74))</f>
        <v>0.720226843100189</v>
      </c>
      <c r="K74" s="39" t="n">
        <f aca="false">IF(E74="","",E74/(E74+H74))</f>
        <v>0.640480591497227</v>
      </c>
      <c r="L74" s="52" t="n">
        <f aca="false">IF(OR(K74="",J74=""),"",(J74-K74)*100)</f>
        <v>7.97462516029617</v>
      </c>
      <c r="M74" s="38"/>
    </row>
    <row r="75" customFormat="false" ht="15" hidden="false" customHeight="false" outlineLevel="0" collapsed="false">
      <c r="A75" s="38" t="s">
        <v>157</v>
      </c>
      <c r="B75" s="38" t="s">
        <v>159</v>
      </c>
      <c r="C75" s="38" t="s">
        <v>181</v>
      </c>
      <c r="D75" s="21" t="n">
        <v>494</v>
      </c>
      <c r="E75" s="21" t="n">
        <v>446</v>
      </c>
      <c r="F75" s="51" t="n">
        <f aca="false">IF(E75="","",D75-E75)</f>
        <v>48</v>
      </c>
      <c r="G75" s="21" t="n">
        <v>305</v>
      </c>
      <c r="H75" s="21" t="n">
        <v>382</v>
      </c>
      <c r="I75" s="51" t="n">
        <f aca="false">IF(H75="","",G75-H75)</f>
        <v>-77</v>
      </c>
      <c r="J75" s="39" t="n">
        <f aca="false">IF(OR(D75="",D75+G75=0),"",D75/(D75+G75))</f>
        <v>0.618272841051314</v>
      </c>
      <c r="K75" s="39" t="n">
        <f aca="false">IF(E75="","",E75/(E75+H75))</f>
        <v>0.538647342995169</v>
      </c>
      <c r="L75" s="52" t="n">
        <f aca="false">IF(OR(K75="",J75=""),"",(J75-K75)*100)</f>
        <v>7.96254980561452</v>
      </c>
      <c r="M75" s="38"/>
    </row>
    <row r="76" customFormat="false" ht="15" hidden="false" customHeight="false" outlineLevel="0" collapsed="false">
      <c r="A76" s="38" t="s">
        <v>157</v>
      </c>
      <c r="B76" s="38" t="s">
        <v>159</v>
      </c>
      <c r="C76" s="38" t="s">
        <v>182</v>
      </c>
      <c r="D76" s="21" t="n">
        <v>630</v>
      </c>
      <c r="E76" s="21" t="n">
        <v>627</v>
      </c>
      <c r="F76" s="51" t="n">
        <f aca="false">IF(E76="","",D76-E76)</f>
        <v>3</v>
      </c>
      <c r="G76" s="21" t="n">
        <v>339</v>
      </c>
      <c r="H76" s="21" t="n">
        <v>389</v>
      </c>
      <c r="I76" s="51" t="n">
        <f aca="false">IF(H76="","",G76-H76)</f>
        <v>-50</v>
      </c>
      <c r="J76" s="39" t="n">
        <f aca="false">IF(OR(D76="",D76+G76=0),"",D76/(D76+G76))</f>
        <v>0.65015479876161</v>
      </c>
      <c r="K76" s="39" t="n">
        <f aca="false">IF(E76="","",E76/(E76+H76))</f>
        <v>0.617125984251969</v>
      </c>
      <c r="L76" s="52" t="n">
        <f aca="false">IF(OR(K76="",J76=""),"",(J76-K76)*100)</f>
        <v>3.30288145096413</v>
      </c>
      <c r="M76" s="38"/>
    </row>
    <row r="77" customFormat="false" ht="15" hidden="false" customHeight="false" outlineLevel="0" collapsed="false">
      <c r="A77" s="38" t="s">
        <v>157</v>
      </c>
      <c r="B77" s="38" t="s">
        <v>159</v>
      </c>
      <c r="C77" s="38" t="s">
        <v>183</v>
      </c>
      <c r="D77" s="21" t="n">
        <v>655</v>
      </c>
      <c r="E77" s="21" t="n">
        <v>645</v>
      </c>
      <c r="F77" s="51" t="n">
        <f aca="false">IF(E77="","",D77-E77)</f>
        <v>10</v>
      </c>
      <c r="G77" s="21" t="n">
        <v>353</v>
      </c>
      <c r="H77" s="21" t="n">
        <v>418</v>
      </c>
      <c r="I77" s="51" t="n">
        <f aca="false">IF(H77="","",G77-H77)</f>
        <v>-65</v>
      </c>
      <c r="J77" s="39" t="n">
        <f aca="false">IF(OR(D77="",D77+G77=0),"",D77/(D77+G77))</f>
        <v>0.649801587301587</v>
      </c>
      <c r="K77" s="39" t="n">
        <f aca="false">IF(E77="","",E77/(E77+H77))</f>
        <v>0.606773283160865</v>
      </c>
      <c r="L77" s="52" t="n">
        <f aca="false">IF(OR(K77="",J77=""),"",(J77-K77)*100)</f>
        <v>4.30283041407219</v>
      </c>
      <c r="M77" s="38"/>
    </row>
    <row r="78" customFormat="false" ht="15" hidden="false" customHeight="false" outlineLevel="0" collapsed="false">
      <c r="A78" s="38" t="s">
        <v>157</v>
      </c>
      <c r="B78" s="38" t="s">
        <v>159</v>
      </c>
      <c r="C78" s="38" t="s">
        <v>184</v>
      </c>
      <c r="D78" s="21" t="n">
        <v>481</v>
      </c>
      <c r="E78" s="21" t="n">
        <v>452</v>
      </c>
      <c r="F78" s="51" t="n">
        <f aca="false">IF(E78="","",D78-E78)</f>
        <v>29</v>
      </c>
      <c r="G78" s="21" t="n">
        <v>269</v>
      </c>
      <c r="H78" s="21" t="n">
        <v>341</v>
      </c>
      <c r="I78" s="51" t="n">
        <f aca="false">IF(H78="","",G78-H78)</f>
        <v>-72</v>
      </c>
      <c r="J78" s="39" t="n">
        <f aca="false">IF(OR(D78="",D78+G78=0),"",D78/(D78+G78))</f>
        <v>0.641333333333333</v>
      </c>
      <c r="K78" s="39" t="n">
        <f aca="false">IF(E78="","",E78/(E78+H78))</f>
        <v>0.569987389659521</v>
      </c>
      <c r="L78" s="52" t="n">
        <f aca="false">IF(OR(K78="",J78=""),"",(J78-K78)*100)</f>
        <v>7.13459436738125</v>
      </c>
      <c r="M78" s="38"/>
    </row>
    <row r="79" customFormat="false" ht="15" hidden="false" customHeight="false" outlineLevel="0" collapsed="false">
      <c r="A79" s="38" t="s">
        <v>157</v>
      </c>
      <c r="B79" s="38" t="s">
        <v>159</v>
      </c>
      <c r="C79" s="38" t="s">
        <v>185</v>
      </c>
      <c r="D79" s="21" t="n">
        <v>557</v>
      </c>
      <c r="E79" s="21" t="n">
        <v>541</v>
      </c>
      <c r="F79" s="51" t="n">
        <f aca="false">IF(E79="","",D79-E79)</f>
        <v>16</v>
      </c>
      <c r="G79" s="21" t="n">
        <v>297</v>
      </c>
      <c r="H79" s="21" t="n">
        <v>325</v>
      </c>
      <c r="I79" s="51" t="n">
        <f aca="false">IF(H79="","",G79-H79)</f>
        <v>-28</v>
      </c>
      <c r="J79" s="39" t="n">
        <f aca="false">IF(OR(D79="",D79+G79=0),"",D79/(D79+G79))</f>
        <v>0.652224824355972</v>
      </c>
      <c r="K79" s="39" t="n">
        <f aca="false">IF(E79="","",E79/(E79+H79))</f>
        <v>0.624711316397229</v>
      </c>
      <c r="L79" s="52" t="n">
        <f aca="false">IF(OR(K79="",J79=""),"",(J79-K79)*100)</f>
        <v>2.75135079587432</v>
      </c>
      <c r="M79" s="38"/>
    </row>
    <row r="80" customFormat="false" ht="15" hidden="false" customHeight="false" outlineLevel="0" collapsed="false">
      <c r="A80" s="38" t="s">
        <v>157</v>
      </c>
      <c r="B80" s="38" t="s">
        <v>159</v>
      </c>
      <c r="C80" s="38" t="s">
        <v>186</v>
      </c>
      <c r="D80" s="21" t="n">
        <v>778</v>
      </c>
      <c r="E80" s="21" t="n">
        <v>783</v>
      </c>
      <c r="F80" s="51" t="n">
        <f aca="false">IF(E80="","",D80-E80)</f>
        <v>-5</v>
      </c>
      <c r="G80" s="21" t="n">
        <v>451</v>
      </c>
      <c r="H80" s="21" t="n">
        <v>562</v>
      </c>
      <c r="I80" s="51" t="n">
        <f aca="false">IF(H80="","",G80-H80)</f>
        <v>-111</v>
      </c>
      <c r="J80" s="39" t="n">
        <f aca="false">IF(OR(D80="",D80+G80=0),"",D80/(D80+G80))</f>
        <v>0.633034987794955</v>
      </c>
      <c r="K80" s="39" t="n">
        <f aca="false">IF(E80="","",E80/(E80+H80))</f>
        <v>0.582156133828996</v>
      </c>
      <c r="L80" s="52" t="n">
        <f aca="false">IF(OR(K80="",J80=""),"",(J80-K80)*100)</f>
        <v>5.08788539659589</v>
      </c>
      <c r="M80" s="38"/>
    </row>
    <row r="81" customFormat="false" ht="15" hidden="false" customHeight="false" outlineLevel="0" collapsed="false">
      <c r="A81" s="38" t="s">
        <v>157</v>
      </c>
      <c r="B81" s="38" t="s">
        <v>159</v>
      </c>
      <c r="C81" s="38" t="s">
        <v>187</v>
      </c>
      <c r="D81" s="21" t="n">
        <v>478</v>
      </c>
      <c r="E81" s="21" t="n">
        <v>454</v>
      </c>
      <c r="F81" s="51" t="n">
        <f aca="false">IF(E81="","",D81-E81)</f>
        <v>24</v>
      </c>
      <c r="G81" s="21" t="n">
        <v>194</v>
      </c>
      <c r="H81" s="21" t="n">
        <v>218</v>
      </c>
      <c r="I81" s="51" t="n">
        <f aca="false">IF(H81="","",G81-H81)</f>
        <v>-24</v>
      </c>
      <c r="J81" s="39" t="n">
        <f aca="false">IF(OR(D81="",D81+G81=0),"",D81/(D81+G81))</f>
        <v>0.711309523809524</v>
      </c>
      <c r="K81" s="39" t="n">
        <f aca="false">IF(E81="","",E81/(E81+H81))</f>
        <v>0.675595238095238</v>
      </c>
      <c r="L81" s="52" t="n">
        <f aca="false">IF(OR(K81="",J81=""),"",(J81-K81)*100)</f>
        <v>3.57142857142857</v>
      </c>
      <c r="M81" s="38"/>
    </row>
    <row r="82" customFormat="false" ht="15" hidden="false" customHeight="false" outlineLevel="0" collapsed="false">
      <c r="A82" s="38" t="s">
        <v>157</v>
      </c>
      <c r="B82" s="38" t="s">
        <v>159</v>
      </c>
      <c r="C82" s="38" t="s">
        <v>188</v>
      </c>
      <c r="D82" s="21" t="n">
        <v>508</v>
      </c>
      <c r="E82" s="21" t="n">
        <v>502</v>
      </c>
      <c r="F82" s="51" t="n">
        <f aca="false">IF(E82="","",D82-E82)</f>
        <v>6</v>
      </c>
      <c r="G82" s="21" t="n">
        <v>269</v>
      </c>
      <c r="H82" s="21" t="n">
        <v>274</v>
      </c>
      <c r="I82" s="51" t="n">
        <f aca="false">IF(H82="","",G82-H82)</f>
        <v>-5</v>
      </c>
      <c r="J82" s="39" t="n">
        <f aca="false">IF(OR(D82="",D82+G82=0),"",D82/(D82+G82))</f>
        <v>0.653796653796654</v>
      </c>
      <c r="K82" s="39" t="n">
        <f aca="false">IF(E82="","",E82/(E82+H82))</f>
        <v>0.646907216494845</v>
      </c>
      <c r="L82" s="52" t="n">
        <f aca="false">IF(OR(K82="",J82=""),"",(J82-K82)*100)</f>
        <v>0.688943730180835</v>
      </c>
      <c r="M82" s="38"/>
    </row>
    <row r="83" customFormat="false" ht="15" hidden="false" customHeight="false" outlineLevel="0" collapsed="false">
      <c r="A83" s="38" t="s">
        <v>157</v>
      </c>
      <c r="B83" s="38" t="s">
        <v>159</v>
      </c>
      <c r="C83" s="38" t="s">
        <v>189</v>
      </c>
      <c r="D83" s="21" t="n">
        <v>530</v>
      </c>
      <c r="E83" s="21" t="n">
        <v>502</v>
      </c>
      <c r="F83" s="51" t="n">
        <f aca="false">IF(E83="","",D83-E83)</f>
        <v>28</v>
      </c>
      <c r="G83" s="21" t="n">
        <v>308</v>
      </c>
      <c r="H83" s="21" t="n">
        <v>283</v>
      </c>
      <c r="I83" s="51" t="n">
        <f aca="false">IF(H83="","",G83-H83)</f>
        <v>25</v>
      </c>
      <c r="J83" s="39" t="n">
        <f aca="false">IF(OR(D83="",D83+G83=0),"",D83/(D83+G83))</f>
        <v>0.632458233890215</v>
      </c>
      <c r="K83" s="39" t="n">
        <f aca="false">IF(E83="","",E83/(E83+H83))</f>
        <v>0.639490445859873</v>
      </c>
      <c r="L83" s="52" t="n">
        <f aca="false">IF(OR(K83="",J83=""),"",(J83-K83)*100)</f>
        <v>-0.703221196965775</v>
      </c>
      <c r="M83" s="38"/>
    </row>
    <row r="84" customFormat="false" ht="15" hidden="false" customHeight="false" outlineLevel="0" collapsed="false">
      <c r="A84" s="38" t="s">
        <v>157</v>
      </c>
      <c r="B84" s="38" t="s">
        <v>159</v>
      </c>
      <c r="C84" s="38" t="s">
        <v>190</v>
      </c>
      <c r="D84" s="21" t="n">
        <v>378</v>
      </c>
      <c r="E84" s="21"/>
      <c r="F84" s="51" t="str">
        <f aca="false">IF(E84="","",D84-E84)</f>
        <v/>
      </c>
      <c r="G84" s="21" t="n">
        <v>256</v>
      </c>
      <c r="H84" s="21"/>
      <c r="I84" s="51" t="str">
        <f aca="false">IF(H84="","",G84-H84)</f>
        <v/>
      </c>
      <c r="J84" s="39" t="n">
        <f aca="false">IF(OR(D84="",D84+G84=0),"",D84/(D84+G84))</f>
        <v>0.596214511041009</v>
      </c>
      <c r="K84" s="39" t="str">
        <f aca="false">IF(E84="","",E84/(E84+H84))</f>
        <v/>
      </c>
      <c r="L84" s="52" t="str">
        <f aca="false">IF(OR(K84="",J84=""),"",(J84-K84)*100)</f>
        <v/>
      </c>
      <c r="M84" s="38" t="s">
        <v>691</v>
      </c>
    </row>
    <row r="85" customFormat="false" ht="15" hidden="false" customHeight="false" outlineLevel="0" collapsed="false">
      <c r="A85" s="38" t="s">
        <v>157</v>
      </c>
      <c r="B85" s="38" t="s">
        <v>159</v>
      </c>
      <c r="C85" s="38" t="s">
        <v>192</v>
      </c>
      <c r="D85" s="21" t="n">
        <v>966</v>
      </c>
      <c r="E85" s="21"/>
      <c r="F85" s="51" t="str">
        <f aca="false">IF(E85="","",D85-E85)</f>
        <v/>
      </c>
      <c r="G85" s="21" t="n">
        <v>645</v>
      </c>
      <c r="H85" s="21"/>
      <c r="I85" s="51" t="str">
        <f aca="false">IF(H85="","",G85-H85)</f>
        <v/>
      </c>
      <c r="J85" s="39" t="n">
        <f aca="false">IF(OR(D85="",D85+G85=0),"",D85/(D85+G85))</f>
        <v>0.599627560521415</v>
      </c>
      <c r="K85" s="39" t="str">
        <f aca="false">IF(E85="","",E85/(E85+H85))</f>
        <v/>
      </c>
      <c r="L85" s="52" t="str">
        <f aca="false">IF(OR(K85="",J85=""),"",(J85-K85)*100)</f>
        <v/>
      </c>
      <c r="M85" s="38" t="s">
        <v>691</v>
      </c>
    </row>
    <row r="86" customFormat="false" ht="15" hidden="false" customHeight="false" outlineLevel="0" collapsed="false">
      <c r="A86" s="38" t="s">
        <v>157</v>
      </c>
      <c r="B86" s="38" t="s">
        <v>159</v>
      </c>
      <c r="C86" s="38" t="s">
        <v>193</v>
      </c>
      <c r="D86" s="21" t="n">
        <v>521</v>
      </c>
      <c r="E86" s="21" t="n">
        <v>488</v>
      </c>
      <c r="F86" s="51" t="n">
        <f aca="false">IF(E86="","",D86-E86)</f>
        <v>33</v>
      </c>
      <c r="G86" s="21" t="n">
        <v>225</v>
      </c>
      <c r="H86" s="21" t="n">
        <v>252</v>
      </c>
      <c r="I86" s="51" t="n">
        <f aca="false">IF(H86="","",G86-H86)</f>
        <v>-27</v>
      </c>
      <c r="J86" s="39" t="n">
        <f aca="false">IF(OR(D86="",D86+G86=0),"",D86/(D86+G86))</f>
        <v>0.698391420911528</v>
      </c>
      <c r="K86" s="39" t="n">
        <f aca="false">IF(E86="","",E86/(E86+H86))</f>
        <v>0.65945945945946</v>
      </c>
      <c r="L86" s="52" t="n">
        <f aca="false">IF(OR(K86="",J86=""),"",(J86-K86)*100)</f>
        <v>3.89319614520687</v>
      </c>
      <c r="M86" s="38"/>
    </row>
    <row r="87" customFormat="false" ht="15" hidden="false" customHeight="false" outlineLevel="0" collapsed="false">
      <c r="A87" s="38" t="s">
        <v>157</v>
      </c>
      <c r="B87" s="38" t="s">
        <v>159</v>
      </c>
      <c r="C87" s="38" t="s">
        <v>194</v>
      </c>
      <c r="D87" s="21" t="n">
        <v>653</v>
      </c>
      <c r="E87" s="21" t="n">
        <v>601</v>
      </c>
      <c r="F87" s="51" t="n">
        <f aca="false">IF(E87="","",D87-E87)</f>
        <v>52</v>
      </c>
      <c r="G87" s="21" t="n">
        <v>383</v>
      </c>
      <c r="H87" s="21" t="n">
        <v>394</v>
      </c>
      <c r="I87" s="51" t="n">
        <f aca="false">IF(H87="","",G87-H87)</f>
        <v>-11</v>
      </c>
      <c r="J87" s="39" t="n">
        <f aca="false">IF(OR(D87="",D87+G87=0),"",D87/(D87+G87))</f>
        <v>0.63030888030888</v>
      </c>
      <c r="K87" s="39" t="n">
        <f aca="false">IF(E87="","",E87/(E87+H87))</f>
        <v>0.604020100502513</v>
      </c>
      <c r="L87" s="52" t="n">
        <f aca="false">IF(OR(K87="",J87=""),"",(J87-K87)*100)</f>
        <v>2.62887798063678</v>
      </c>
      <c r="M87" s="38"/>
    </row>
    <row r="88" customFormat="false" ht="15" hidden="false" customHeight="false" outlineLevel="0" collapsed="false">
      <c r="A88" s="38" t="s">
        <v>157</v>
      </c>
      <c r="B88" s="38" t="s">
        <v>159</v>
      </c>
      <c r="C88" s="38" t="s">
        <v>195</v>
      </c>
      <c r="D88" s="21" t="n">
        <v>18</v>
      </c>
      <c r="E88" s="21"/>
      <c r="F88" s="51" t="str">
        <f aca="false">IF(E88="","",D88-E88)</f>
        <v/>
      </c>
      <c r="G88" s="21" t="n">
        <v>13</v>
      </c>
      <c r="H88" s="21"/>
      <c r="I88" s="51" t="str">
        <f aca="false">IF(H88="","",G88-H88)</f>
        <v/>
      </c>
      <c r="J88" s="39" t="n">
        <f aca="false">IF(OR(D88="",D88+G88=0),"",D88/(D88+G88))</f>
        <v>0.580645161290323</v>
      </c>
      <c r="K88" s="39" t="str">
        <f aca="false">IF(E88="","",E88/(E88+H88))</f>
        <v/>
      </c>
      <c r="L88" s="52" t="str">
        <f aca="false">IF(OR(K88="",J88=""),"",(J88-K88)*100)</f>
        <v/>
      </c>
      <c r="M88" s="38" t="s">
        <v>691</v>
      </c>
    </row>
    <row r="89" customFormat="false" ht="15" hidden="false" customHeight="false" outlineLevel="0" collapsed="false">
      <c r="A89" s="38" t="s">
        <v>157</v>
      </c>
      <c r="B89" s="38" t="s">
        <v>159</v>
      </c>
      <c r="C89" s="38" t="s">
        <v>196</v>
      </c>
      <c r="D89" s="21" t="n">
        <v>345</v>
      </c>
      <c r="E89" s="21" t="n">
        <v>330</v>
      </c>
      <c r="F89" s="51" t="n">
        <f aca="false">IF(E89="","",D89-E89)</f>
        <v>15</v>
      </c>
      <c r="G89" s="21" t="n">
        <v>236</v>
      </c>
      <c r="H89" s="21" t="n">
        <v>270</v>
      </c>
      <c r="I89" s="51" t="n">
        <f aca="false">IF(H89="","",G89-H89)</f>
        <v>-34</v>
      </c>
      <c r="J89" s="39" t="n">
        <f aca="false">IF(OR(D89="",D89+G89=0),"",D89/(D89+G89))</f>
        <v>0.593803786574871</v>
      </c>
      <c r="K89" s="39" t="n">
        <f aca="false">IF(E89="","",E89/(E89+H89))</f>
        <v>0.55</v>
      </c>
      <c r="L89" s="52" t="n">
        <f aca="false">IF(OR(K89="",J89=""),"",(J89-K89)*100)</f>
        <v>4.38037865748708</v>
      </c>
      <c r="M89" s="38"/>
    </row>
    <row r="90" customFormat="false" ht="15" hidden="false" customHeight="false" outlineLevel="0" collapsed="false">
      <c r="A90" s="38" t="s">
        <v>157</v>
      </c>
      <c r="B90" s="38" t="s">
        <v>159</v>
      </c>
      <c r="C90" s="38" t="s">
        <v>197</v>
      </c>
      <c r="D90" s="21" t="n">
        <v>597</v>
      </c>
      <c r="E90" s="21" t="n">
        <v>591</v>
      </c>
      <c r="F90" s="51" t="n">
        <f aca="false">IF(E90="","",D90-E90)</f>
        <v>6</v>
      </c>
      <c r="G90" s="21" t="n">
        <v>231</v>
      </c>
      <c r="H90" s="21" t="n">
        <v>333</v>
      </c>
      <c r="I90" s="51" t="n">
        <f aca="false">IF(H90="","",G90-H90)</f>
        <v>-102</v>
      </c>
      <c r="J90" s="39" t="n">
        <f aca="false">IF(OR(D90="",D90+G90=0),"",D90/(D90+G90))</f>
        <v>0.721014492753623</v>
      </c>
      <c r="K90" s="39" t="n">
        <f aca="false">IF(E90="","",E90/(E90+H90))</f>
        <v>0.63961038961039</v>
      </c>
      <c r="L90" s="52" t="n">
        <f aca="false">IF(OR(K90="",J90=""),"",(J90-K90)*100)</f>
        <v>8.14041031432335</v>
      </c>
      <c r="M90" s="38"/>
    </row>
    <row r="91" customFormat="false" ht="15" hidden="false" customHeight="false" outlineLevel="0" collapsed="false">
      <c r="A91" s="38" t="s">
        <v>157</v>
      </c>
      <c r="B91" s="38" t="s">
        <v>159</v>
      </c>
      <c r="C91" s="38" t="s">
        <v>198</v>
      </c>
      <c r="D91" s="21" t="n">
        <v>352</v>
      </c>
      <c r="E91" s="21" t="n">
        <v>347</v>
      </c>
      <c r="F91" s="51" t="n">
        <f aca="false">IF(E91="","",D91-E91)</f>
        <v>5</v>
      </c>
      <c r="G91" s="21" t="n">
        <v>234</v>
      </c>
      <c r="H91" s="21" t="n">
        <v>243</v>
      </c>
      <c r="I91" s="51" t="n">
        <f aca="false">IF(H91="","",G91-H91)</f>
        <v>-9</v>
      </c>
      <c r="J91" s="39" t="n">
        <f aca="false">IF(OR(D91="",D91+G91=0),"",D91/(D91+G91))</f>
        <v>0.600682593856655</v>
      </c>
      <c r="K91" s="39" t="n">
        <f aca="false">IF(E91="","",E91/(E91+H91))</f>
        <v>0.588135593220339</v>
      </c>
      <c r="L91" s="52" t="n">
        <f aca="false">IF(OR(K91="",J91=""),"",(J91-K91)*100)</f>
        <v>1.25470006363163</v>
      </c>
      <c r="M91" s="38"/>
    </row>
    <row r="92" customFormat="false" ht="15" hidden="false" customHeight="false" outlineLevel="0" collapsed="false">
      <c r="A92" s="38" t="s">
        <v>157</v>
      </c>
      <c r="B92" s="38" t="s">
        <v>159</v>
      </c>
      <c r="C92" s="38" t="s">
        <v>199</v>
      </c>
      <c r="D92" s="21" t="n">
        <v>469</v>
      </c>
      <c r="E92" s="21" t="n">
        <v>440</v>
      </c>
      <c r="F92" s="51" t="n">
        <f aca="false">IF(E92="","",D92-E92)</f>
        <v>29</v>
      </c>
      <c r="G92" s="21" t="n">
        <v>190</v>
      </c>
      <c r="H92" s="21" t="n">
        <v>259</v>
      </c>
      <c r="I92" s="51" t="n">
        <f aca="false">IF(H92="","",G92-H92)</f>
        <v>-69</v>
      </c>
      <c r="J92" s="39" t="n">
        <f aca="false">IF(OR(D92="",D92+G92=0),"",D92/(D92+G92))</f>
        <v>0.711684370257967</v>
      </c>
      <c r="K92" s="39" t="n">
        <f aca="false">IF(E92="","",E92/(E92+H92))</f>
        <v>0.629470672389127</v>
      </c>
      <c r="L92" s="52" t="n">
        <f aca="false">IF(OR(K92="",J92=""),"",(J92-K92)*100)</f>
        <v>8.22136978688393</v>
      </c>
      <c r="M92" s="38"/>
    </row>
    <row r="93" customFormat="false" ht="15" hidden="false" customHeight="false" outlineLevel="0" collapsed="false">
      <c r="A93" s="38" t="s">
        <v>157</v>
      </c>
      <c r="B93" s="38" t="s">
        <v>159</v>
      </c>
      <c r="C93" s="38" t="s">
        <v>200</v>
      </c>
      <c r="D93" s="21" t="n">
        <v>572</v>
      </c>
      <c r="E93" s="21" t="n">
        <v>553</v>
      </c>
      <c r="F93" s="51" t="n">
        <f aca="false">IF(E93="","",D93-E93)</f>
        <v>19</v>
      </c>
      <c r="G93" s="21" t="n">
        <v>371</v>
      </c>
      <c r="H93" s="21" t="n">
        <v>367</v>
      </c>
      <c r="I93" s="51" t="n">
        <f aca="false">IF(H93="","",G93-H93)</f>
        <v>4</v>
      </c>
      <c r="J93" s="39" t="n">
        <f aca="false">IF(OR(D93="",D93+G93=0),"",D93/(D93+G93))</f>
        <v>0.606574761399788</v>
      </c>
      <c r="K93" s="39" t="n">
        <f aca="false">IF(E93="","",E93/(E93+H93))</f>
        <v>0.601086956521739</v>
      </c>
      <c r="L93" s="52" t="n">
        <f aca="false">IF(OR(K93="",J93=""),"",(J93-K93)*100)</f>
        <v>0.548780487804879</v>
      </c>
      <c r="M93" s="38"/>
    </row>
    <row r="94" customFormat="false" ht="15" hidden="false" customHeight="false" outlineLevel="0" collapsed="false">
      <c r="A94" s="38" t="s">
        <v>157</v>
      </c>
      <c r="B94" s="38" t="s">
        <v>159</v>
      </c>
      <c r="C94" s="38" t="s">
        <v>201</v>
      </c>
      <c r="D94" s="21" t="n">
        <v>1</v>
      </c>
      <c r="E94" s="21"/>
      <c r="F94" s="51" t="str">
        <f aca="false">IF(E94="","",D94-E94)</f>
        <v/>
      </c>
      <c r="G94" s="21" t="n">
        <v>2</v>
      </c>
      <c r="H94" s="21"/>
      <c r="I94" s="51" t="str">
        <f aca="false">IF(H94="","",G94-H94)</f>
        <v/>
      </c>
      <c r="J94" s="39" t="n">
        <f aca="false">IF(OR(D94="",D94+G94=0),"",D94/(D94+G94))</f>
        <v>0.333333333333333</v>
      </c>
      <c r="K94" s="39" t="str">
        <f aca="false">IF(E94="","",E94/(E94+H94))</f>
        <v/>
      </c>
      <c r="L94" s="52" t="str">
        <f aca="false">IF(OR(K94="",J94=""),"",(J94-K94)*100)</f>
        <v/>
      </c>
      <c r="M94" s="38" t="s">
        <v>691</v>
      </c>
    </row>
    <row r="95" customFormat="false" ht="15" hidden="false" customHeight="false" outlineLevel="0" collapsed="false">
      <c r="A95" s="38" t="s">
        <v>157</v>
      </c>
      <c r="B95" s="38" t="s">
        <v>159</v>
      </c>
      <c r="C95" s="38" t="s">
        <v>202</v>
      </c>
      <c r="D95" s="21" t="n">
        <v>831</v>
      </c>
      <c r="E95" s="21" t="n">
        <v>821</v>
      </c>
      <c r="F95" s="51" t="n">
        <f aca="false">IF(E95="","",D95-E95)</f>
        <v>10</v>
      </c>
      <c r="G95" s="21" t="n">
        <v>440</v>
      </c>
      <c r="H95" s="21" t="n">
        <v>504</v>
      </c>
      <c r="I95" s="51" t="n">
        <f aca="false">IF(H95="","",G95-H95)</f>
        <v>-64</v>
      </c>
      <c r="J95" s="39" t="n">
        <f aca="false">IF(OR(D95="",D95+G95=0),"",D95/(D95+G95))</f>
        <v>0.65381589299764</v>
      </c>
      <c r="K95" s="39" t="n">
        <f aca="false">IF(E95="","",E95/(E95+H95))</f>
        <v>0.619622641509434</v>
      </c>
      <c r="L95" s="52" t="n">
        <f aca="false">IF(OR(K95="",J95=""),"",(J95-K95)*100)</f>
        <v>3.41932514882057</v>
      </c>
      <c r="M95" s="38"/>
    </row>
    <row r="96" customFormat="false" ht="15" hidden="false" customHeight="false" outlineLevel="0" collapsed="false">
      <c r="A96" s="38" t="s">
        <v>157</v>
      </c>
      <c r="B96" s="38" t="s">
        <v>159</v>
      </c>
      <c r="C96" s="38" t="s">
        <v>203</v>
      </c>
      <c r="D96" s="21" t="n">
        <v>475</v>
      </c>
      <c r="E96" s="21" t="n">
        <v>487</v>
      </c>
      <c r="F96" s="51" t="n">
        <f aca="false">IF(E96="","",D96-E96)</f>
        <v>-12</v>
      </c>
      <c r="G96" s="21" t="n">
        <v>116</v>
      </c>
      <c r="H96" s="21" t="n">
        <v>191</v>
      </c>
      <c r="I96" s="51" t="n">
        <f aca="false">IF(H96="","",G96-H96)</f>
        <v>-75</v>
      </c>
      <c r="J96" s="39" t="n">
        <f aca="false">IF(OR(D96="",D96+G96=0),"",D96/(D96+G96))</f>
        <v>0.803722504230119</v>
      </c>
      <c r="K96" s="39" t="n">
        <f aca="false">IF(E96="","",E96/(E96+H96))</f>
        <v>0.718289085545723</v>
      </c>
      <c r="L96" s="52" t="n">
        <f aca="false">IF(OR(K96="",J96=""),"",(J96-K96)*100)</f>
        <v>8.54334186843958</v>
      </c>
      <c r="M96" s="38"/>
    </row>
    <row r="97" customFormat="false" ht="15" hidden="false" customHeight="false" outlineLevel="0" collapsed="false">
      <c r="A97" s="38" t="s">
        <v>157</v>
      </c>
      <c r="B97" s="38" t="s">
        <v>159</v>
      </c>
      <c r="C97" s="38" t="s">
        <v>204</v>
      </c>
      <c r="D97" s="21" t="n">
        <v>456</v>
      </c>
      <c r="E97" s="21" t="n">
        <v>418</v>
      </c>
      <c r="F97" s="51" t="n">
        <f aca="false">IF(E97="","",D97-E97)</f>
        <v>38</v>
      </c>
      <c r="G97" s="21" t="n">
        <v>127</v>
      </c>
      <c r="H97" s="21" t="n">
        <v>181</v>
      </c>
      <c r="I97" s="51" t="n">
        <f aca="false">IF(H97="","",G97-H97)</f>
        <v>-54</v>
      </c>
      <c r="J97" s="39" t="n">
        <f aca="false">IF(OR(D97="",D97+G97=0),"",D97/(D97+G97))</f>
        <v>0.782161234991424</v>
      </c>
      <c r="K97" s="39" t="n">
        <f aca="false">IF(E97="","",E97/(E97+H97))</f>
        <v>0.697829716193656</v>
      </c>
      <c r="L97" s="52" t="n">
        <f aca="false">IF(OR(K97="",J97=""),"",(J97-K97)*100)</f>
        <v>8.43315187977676</v>
      </c>
      <c r="M97" s="38"/>
    </row>
    <row r="98" customFormat="false" ht="15" hidden="false" customHeight="false" outlineLevel="0" collapsed="false">
      <c r="A98" s="38" t="s">
        <v>157</v>
      </c>
      <c r="B98" s="38" t="s">
        <v>159</v>
      </c>
      <c r="C98" s="38" t="s">
        <v>205</v>
      </c>
      <c r="D98" s="21" t="n">
        <v>538</v>
      </c>
      <c r="E98" s="21" t="n">
        <v>677</v>
      </c>
      <c r="F98" s="51" t="n">
        <f aca="false">IF(E98="","",D98-E98)</f>
        <v>-139</v>
      </c>
      <c r="G98" s="21" t="n">
        <v>137</v>
      </c>
      <c r="H98" s="21" t="n">
        <v>264</v>
      </c>
      <c r="I98" s="51" t="n">
        <f aca="false">IF(H98="","",G98-H98)</f>
        <v>-127</v>
      </c>
      <c r="J98" s="39" t="n">
        <f aca="false">IF(OR(D98="",D98+G98=0),"",D98/(D98+G98))</f>
        <v>0.797037037037037</v>
      </c>
      <c r="K98" s="39" t="n">
        <f aca="false">IF(E98="","",E98/(E98+H98))</f>
        <v>0.719447396386823</v>
      </c>
      <c r="L98" s="52" t="n">
        <f aca="false">IF(OR(K98="",J98=""),"",(J98-K98)*100)</f>
        <v>7.75896406502145</v>
      </c>
      <c r="M98" s="38"/>
    </row>
    <row r="99" customFormat="false" ht="15" hidden="false" customHeight="false" outlineLevel="0" collapsed="false">
      <c r="A99" s="38" t="s">
        <v>157</v>
      </c>
      <c r="B99" s="38" t="s">
        <v>159</v>
      </c>
      <c r="C99" s="38" t="s">
        <v>206</v>
      </c>
      <c r="D99" s="21" t="n">
        <v>282</v>
      </c>
      <c r="E99" s="21" t="n">
        <v>283</v>
      </c>
      <c r="F99" s="51" t="n">
        <f aca="false">IF(E99="","",D99-E99)</f>
        <v>-1</v>
      </c>
      <c r="G99" s="21" t="n">
        <v>88</v>
      </c>
      <c r="H99" s="21" t="n">
        <v>138</v>
      </c>
      <c r="I99" s="51" t="n">
        <f aca="false">IF(H99="","",G99-H99)</f>
        <v>-50</v>
      </c>
      <c r="J99" s="39" t="n">
        <f aca="false">IF(OR(D99="",D99+G99=0),"",D99/(D99+G99))</f>
        <v>0.762162162162162</v>
      </c>
      <c r="K99" s="39" t="n">
        <f aca="false">IF(E99="","",E99/(E99+H99))</f>
        <v>0.672209026128266</v>
      </c>
      <c r="L99" s="52" t="n">
        <f aca="false">IF(OR(K99="",J99=""),"",(J99-K99)*100)</f>
        <v>8.99531360338961</v>
      </c>
      <c r="M99" s="38"/>
    </row>
    <row r="100" customFormat="false" ht="15" hidden="false" customHeight="false" outlineLevel="0" collapsed="false">
      <c r="A100" s="38" t="s">
        <v>157</v>
      </c>
      <c r="B100" s="38" t="s">
        <v>159</v>
      </c>
      <c r="C100" s="38" t="s">
        <v>207</v>
      </c>
      <c r="D100" s="21" t="n">
        <v>419</v>
      </c>
      <c r="E100" s="21" t="n">
        <v>447</v>
      </c>
      <c r="F100" s="51" t="n">
        <f aca="false">IF(E100="","",D100-E100)</f>
        <v>-28</v>
      </c>
      <c r="G100" s="21" t="n">
        <v>103</v>
      </c>
      <c r="H100" s="21" t="n">
        <v>152</v>
      </c>
      <c r="I100" s="51" t="n">
        <f aca="false">IF(H100="","",G100-H100)</f>
        <v>-49</v>
      </c>
      <c r="J100" s="39" t="n">
        <f aca="false">IF(OR(D100="",D100+G100=0),"",D100/(D100+G100))</f>
        <v>0.802681992337165</v>
      </c>
      <c r="K100" s="39" t="n">
        <f aca="false">IF(E100="","",E100/(E100+H100))</f>
        <v>0.746243739565943</v>
      </c>
      <c r="L100" s="52" t="n">
        <f aca="false">IF(OR(K100="",J100=""),"",(J100-K100)*100)</f>
        <v>5.64382527712215</v>
      </c>
      <c r="M100" s="38"/>
    </row>
    <row r="101" customFormat="false" ht="15" hidden="false" customHeight="false" outlineLevel="0" collapsed="false">
      <c r="A101" s="38" t="s">
        <v>157</v>
      </c>
      <c r="B101" s="38" t="s">
        <v>159</v>
      </c>
      <c r="C101" s="38" t="s">
        <v>208</v>
      </c>
      <c r="D101" s="21" t="n">
        <v>222</v>
      </c>
      <c r="E101" s="21" t="n">
        <v>179</v>
      </c>
      <c r="F101" s="51" t="n">
        <f aca="false">IF(E101="","",D101-E101)</f>
        <v>43</v>
      </c>
      <c r="G101" s="21" t="n">
        <v>64</v>
      </c>
      <c r="H101" s="21" t="n">
        <v>112</v>
      </c>
      <c r="I101" s="51" t="n">
        <f aca="false">IF(H101="","",G101-H101)</f>
        <v>-48</v>
      </c>
      <c r="J101" s="39" t="n">
        <f aca="false">IF(OR(D101="",D101+G101=0),"",D101/(D101+G101))</f>
        <v>0.776223776223776</v>
      </c>
      <c r="K101" s="39" t="n">
        <f aca="false">IF(E101="","",E101/(E101+H101))</f>
        <v>0.615120274914089</v>
      </c>
      <c r="L101" s="52" t="n">
        <f aca="false">IF(OR(K101="",J101=""),"",(J101-K101)*100)</f>
        <v>16.1103501309687</v>
      </c>
      <c r="M101" s="38"/>
    </row>
    <row r="102" customFormat="false" ht="15" hidden="false" customHeight="false" outlineLevel="0" collapsed="false">
      <c r="A102" s="38" t="s">
        <v>157</v>
      </c>
      <c r="B102" s="38" t="s">
        <v>159</v>
      </c>
      <c r="C102" s="38" t="s">
        <v>209</v>
      </c>
      <c r="D102" s="21" t="n">
        <v>376</v>
      </c>
      <c r="E102" s="21" t="n">
        <v>357</v>
      </c>
      <c r="F102" s="51" t="n">
        <f aca="false">IF(E102="","",D102-E102)</f>
        <v>19</v>
      </c>
      <c r="G102" s="21" t="n">
        <v>141</v>
      </c>
      <c r="H102" s="21" t="n">
        <v>225</v>
      </c>
      <c r="I102" s="51" t="n">
        <f aca="false">IF(H102="","",G102-H102)</f>
        <v>-84</v>
      </c>
      <c r="J102" s="39" t="n">
        <f aca="false">IF(OR(D102="",D102+G102=0),"",D102/(D102+G102))</f>
        <v>0.727272727272727</v>
      </c>
      <c r="K102" s="39" t="n">
        <f aca="false">IF(E102="","",E102/(E102+H102))</f>
        <v>0.61340206185567</v>
      </c>
      <c r="L102" s="52" t="n">
        <f aca="false">IF(OR(K102="",J102=""),"",(J102-K102)*100)</f>
        <v>11.3870665417057</v>
      </c>
      <c r="M102" s="38"/>
    </row>
    <row r="103" customFormat="false" ht="15" hidden="false" customHeight="false" outlineLevel="0" collapsed="false">
      <c r="A103" s="38" t="s">
        <v>157</v>
      </c>
      <c r="B103" s="38" t="s">
        <v>159</v>
      </c>
      <c r="C103" s="38" t="s">
        <v>210</v>
      </c>
      <c r="D103" s="21" t="n">
        <v>543</v>
      </c>
      <c r="E103" s="21" t="n">
        <v>520</v>
      </c>
      <c r="F103" s="51" t="n">
        <f aca="false">IF(E103="","",D103-E103)</f>
        <v>23</v>
      </c>
      <c r="G103" s="21" t="n">
        <v>149</v>
      </c>
      <c r="H103" s="21" t="n">
        <v>193</v>
      </c>
      <c r="I103" s="51" t="n">
        <f aca="false">IF(H103="","",G103-H103)</f>
        <v>-44</v>
      </c>
      <c r="J103" s="39" t="n">
        <f aca="false">IF(OR(D103="",D103+G103=0),"",D103/(D103+G103))</f>
        <v>0.784682080924856</v>
      </c>
      <c r="K103" s="39" t="n">
        <f aca="false">IF(E103="","",E103/(E103+H103))</f>
        <v>0.729312762973352</v>
      </c>
      <c r="L103" s="52" t="n">
        <f aca="false">IF(OR(K103="",J103=""),"",(J103-K103)*100)</f>
        <v>5.53693179515035</v>
      </c>
      <c r="M103" s="38"/>
    </row>
    <row r="104" customFormat="false" ht="15" hidden="false" customHeight="false" outlineLevel="0" collapsed="false">
      <c r="A104" s="38" t="s">
        <v>157</v>
      </c>
      <c r="B104" s="38" t="s">
        <v>159</v>
      </c>
      <c r="C104" s="38" t="s">
        <v>211</v>
      </c>
      <c r="D104" s="21" t="n">
        <v>210</v>
      </c>
      <c r="E104" s="21" t="n">
        <v>218</v>
      </c>
      <c r="F104" s="51" t="n">
        <f aca="false">IF(E104="","",D104-E104)</f>
        <v>-8</v>
      </c>
      <c r="G104" s="21" t="n">
        <v>54</v>
      </c>
      <c r="H104" s="21" t="n">
        <v>86</v>
      </c>
      <c r="I104" s="51" t="n">
        <f aca="false">IF(H104="","",G104-H104)</f>
        <v>-32</v>
      </c>
      <c r="J104" s="39" t="n">
        <f aca="false">IF(OR(D104="",D104+G104=0),"",D104/(D104+G104))</f>
        <v>0.795454545454545</v>
      </c>
      <c r="K104" s="39" t="n">
        <f aca="false">IF(E104="","",E104/(E104+H104))</f>
        <v>0.717105263157895</v>
      </c>
      <c r="L104" s="52" t="n">
        <f aca="false">IF(OR(K104="",J104=""),"",(J104-K104)*100)</f>
        <v>7.83492822966507</v>
      </c>
      <c r="M104" s="38"/>
    </row>
    <row r="105" customFormat="false" ht="15" hidden="false" customHeight="false" outlineLevel="0" collapsed="false">
      <c r="A105" s="38" t="s">
        <v>157</v>
      </c>
      <c r="B105" s="38" t="s">
        <v>159</v>
      </c>
      <c r="C105" s="38" t="s">
        <v>212</v>
      </c>
      <c r="D105" s="21" t="n">
        <v>240</v>
      </c>
      <c r="E105" s="21" t="n">
        <v>262</v>
      </c>
      <c r="F105" s="51" t="n">
        <f aca="false">IF(E105="","",D105-E105)</f>
        <v>-22</v>
      </c>
      <c r="G105" s="21" t="n">
        <v>60</v>
      </c>
      <c r="H105" s="21" t="n">
        <v>109</v>
      </c>
      <c r="I105" s="51" t="n">
        <f aca="false">IF(H105="","",G105-H105)</f>
        <v>-49</v>
      </c>
      <c r="J105" s="39" t="n">
        <f aca="false">IF(OR(D105="",D105+G105=0),"",D105/(D105+G105))</f>
        <v>0.8</v>
      </c>
      <c r="K105" s="39" t="n">
        <f aca="false">IF(E105="","",E105/(E105+H105))</f>
        <v>0.706199460916442</v>
      </c>
      <c r="L105" s="52" t="n">
        <f aca="false">IF(OR(K105="",J105=""),"",(J105-K105)*100)</f>
        <v>9.3800539083558</v>
      </c>
      <c r="M105" s="38"/>
    </row>
    <row r="106" customFormat="false" ht="15" hidden="false" customHeight="false" outlineLevel="0" collapsed="false">
      <c r="A106" s="38" t="s">
        <v>157</v>
      </c>
      <c r="B106" s="38" t="s">
        <v>159</v>
      </c>
      <c r="C106" s="38" t="s">
        <v>213</v>
      </c>
      <c r="D106" s="21" t="n">
        <v>414</v>
      </c>
      <c r="E106" s="21" t="n">
        <v>424</v>
      </c>
      <c r="F106" s="51" t="n">
        <f aca="false">IF(E106="","",D106-E106)</f>
        <v>-10</v>
      </c>
      <c r="G106" s="21" t="n">
        <v>108</v>
      </c>
      <c r="H106" s="21" t="n">
        <v>151</v>
      </c>
      <c r="I106" s="51" t="n">
        <f aca="false">IF(H106="","",G106-H106)</f>
        <v>-43</v>
      </c>
      <c r="J106" s="39" t="n">
        <f aca="false">IF(OR(D106="",D106+G106=0),"",D106/(D106+G106))</f>
        <v>0.793103448275862</v>
      </c>
      <c r="K106" s="39" t="n">
        <f aca="false">IF(E106="","",E106/(E106+H106))</f>
        <v>0.737391304347826</v>
      </c>
      <c r="L106" s="52" t="n">
        <f aca="false">IF(OR(K106="",J106=""),"",(J106-K106)*100)</f>
        <v>5.5712143928036</v>
      </c>
      <c r="M106" s="38"/>
    </row>
    <row r="107" customFormat="false" ht="15" hidden="false" customHeight="false" outlineLevel="0" collapsed="false">
      <c r="A107" s="38" t="s">
        <v>157</v>
      </c>
      <c r="B107" s="38" t="s">
        <v>159</v>
      </c>
      <c r="C107" s="38" t="s">
        <v>214</v>
      </c>
      <c r="D107" s="21" t="n">
        <v>488</v>
      </c>
      <c r="E107" s="21" t="n">
        <v>565</v>
      </c>
      <c r="F107" s="51" t="n">
        <f aca="false">IF(E107="","",D107-E107)</f>
        <v>-77</v>
      </c>
      <c r="G107" s="21" t="n">
        <v>215</v>
      </c>
      <c r="H107" s="21" t="n">
        <v>277</v>
      </c>
      <c r="I107" s="51" t="n">
        <f aca="false">IF(H107="","",G107-H107)</f>
        <v>-62</v>
      </c>
      <c r="J107" s="39" t="n">
        <f aca="false">IF(OR(D107="",D107+G107=0),"",D107/(D107+G107))</f>
        <v>0.694167852062589</v>
      </c>
      <c r="K107" s="39" t="n">
        <f aca="false">IF(E107="","",E107/(E107+H107))</f>
        <v>0.671021377672209</v>
      </c>
      <c r="L107" s="52" t="n">
        <f aca="false">IF(OR(K107="",J107=""),"",(J107-K107)*100)</f>
        <v>2.31464743903799</v>
      </c>
      <c r="M107" s="38"/>
    </row>
    <row r="108" customFormat="false" ht="15" hidden="false" customHeight="false" outlineLevel="0" collapsed="false">
      <c r="A108" s="38" t="s">
        <v>157</v>
      </c>
      <c r="B108" s="38" t="s">
        <v>159</v>
      </c>
      <c r="C108" s="38" t="s">
        <v>215</v>
      </c>
      <c r="D108" s="21" t="n">
        <v>242</v>
      </c>
      <c r="E108" s="21" t="n">
        <v>260</v>
      </c>
      <c r="F108" s="51" t="n">
        <f aca="false">IF(E108="","",D108-E108)</f>
        <v>-18</v>
      </c>
      <c r="G108" s="21" t="n">
        <v>87</v>
      </c>
      <c r="H108" s="21" t="n">
        <v>121</v>
      </c>
      <c r="I108" s="51" t="n">
        <f aca="false">IF(H108="","",G108-H108)</f>
        <v>-34</v>
      </c>
      <c r="J108" s="39" t="n">
        <f aca="false">IF(OR(D108="",D108+G108=0),"",D108/(D108+G108))</f>
        <v>0.735562310030395</v>
      </c>
      <c r="K108" s="39" t="n">
        <f aca="false">IF(E108="","",E108/(E108+H108))</f>
        <v>0.68241469816273</v>
      </c>
      <c r="L108" s="52" t="n">
        <f aca="false">IF(OR(K108="",J108=""),"",(J108-K108)*100)</f>
        <v>5.31476118676655</v>
      </c>
      <c r="M108" s="38"/>
    </row>
    <row r="109" customFormat="false" ht="15" hidden="false" customHeight="false" outlineLevel="0" collapsed="false">
      <c r="A109" s="38" t="s">
        <v>157</v>
      </c>
      <c r="B109" s="38" t="s">
        <v>159</v>
      </c>
      <c r="C109" s="38" t="s">
        <v>216</v>
      </c>
      <c r="D109" s="21" t="n">
        <v>329</v>
      </c>
      <c r="E109" s="21" t="n">
        <v>317</v>
      </c>
      <c r="F109" s="51" t="n">
        <f aca="false">IF(E109="","",D109-E109)</f>
        <v>12</v>
      </c>
      <c r="G109" s="21" t="n">
        <v>93</v>
      </c>
      <c r="H109" s="21" t="n">
        <v>152</v>
      </c>
      <c r="I109" s="51" t="n">
        <f aca="false">IF(H109="","",G109-H109)</f>
        <v>-59</v>
      </c>
      <c r="J109" s="39" t="n">
        <f aca="false">IF(OR(D109="",D109+G109=0),"",D109/(D109+G109))</f>
        <v>0.779620853080569</v>
      </c>
      <c r="K109" s="39" t="n">
        <f aca="false">IF(E109="","",E109/(E109+H109))</f>
        <v>0.67590618336887</v>
      </c>
      <c r="L109" s="52" t="n">
        <f aca="false">IF(OR(K109="",J109=""),"",(J109-K109)*100)</f>
        <v>10.3714669711699</v>
      </c>
      <c r="M109" s="38"/>
    </row>
    <row r="110" customFormat="false" ht="15" hidden="false" customHeight="false" outlineLevel="0" collapsed="false">
      <c r="A110" s="38" t="s">
        <v>157</v>
      </c>
      <c r="B110" s="38" t="s">
        <v>159</v>
      </c>
      <c r="C110" s="38" t="s">
        <v>217</v>
      </c>
      <c r="D110" s="21" t="n">
        <v>438</v>
      </c>
      <c r="E110" s="21" t="n">
        <v>424</v>
      </c>
      <c r="F110" s="51" t="n">
        <f aca="false">IF(E110="","",D110-E110)</f>
        <v>14</v>
      </c>
      <c r="G110" s="21" t="n">
        <v>237</v>
      </c>
      <c r="H110" s="21" t="n">
        <v>264</v>
      </c>
      <c r="I110" s="51" t="n">
        <f aca="false">IF(H110="","",G110-H110)</f>
        <v>-27</v>
      </c>
      <c r="J110" s="39" t="n">
        <f aca="false">IF(OR(D110="",D110+G110=0),"",D110/(D110+G110))</f>
        <v>0.648888888888889</v>
      </c>
      <c r="K110" s="39" t="n">
        <f aca="false">IF(E110="","",E110/(E110+H110))</f>
        <v>0.616279069767442</v>
      </c>
      <c r="L110" s="52" t="n">
        <f aca="false">IF(OR(K110="",J110=""),"",(J110-K110)*100)</f>
        <v>3.2609819121447</v>
      </c>
      <c r="M110" s="38"/>
    </row>
    <row r="111" customFormat="false" ht="15" hidden="false" customHeight="false" outlineLevel="0" collapsed="false">
      <c r="A111" s="38" t="s">
        <v>157</v>
      </c>
      <c r="B111" s="38" t="s">
        <v>159</v>
      </c>
      <c r="C111" s="38" t="s">
        <v>218</v>
      </c>
      <c r="D111" s="21" t="n">
        <v>455</v>
      </c>
      <c r="E111" s="21" t="n">
        <v>469</v>
      </c>
      <c r="F111" s="51" t="n">
        <f aca="false">IF(E111="","",D111-E111)</f>
        <v>-14</v>
      </c>
      <c r="G111" s="21" t="n">
        <v>122</v>
      </c>
      <c r="H111" s="21" t="n">
        <v>215</v>
      </c>
      <c r="I111" s="51" t="n">
        <f aca="false">IF(H111="","",G111-H111)</f>
        <v>-93</v>
      </c>
      <c r="J111" s="39" t="n">
        <f aca="false">IF(OR(D111="",D111+G111=0),"",D111/(D111+G111))</f>
        <v>0.788561525129983</v>
      </c>
      <c r="K111" s="39" t="n">
        <f aca="false">IF(E111="","",E111/(E111+H111))</f>
        <v>0.685672514619883</v>
      </c>
      <c r="L111" s="52" t="n">
        <f aca="false">IF(OR(K111="",J111=""),"",(J111-K111)*100)</f>
        <v>10.28890105101</v>
      </c>
      <c r="M111" s="38"/>
    </row>
    <row r="112" customFormat="false" ht="15" hidden="false" customHeight="false" outlineLevel="0" collapsed="false">
      <c r="A112" s="38" t="s">
        <v>157</v>
      </c>
      <c r="B112" s="38" t="s">
        <v>219</v>
      </c>
      <c r="C112" s="38" t="s">
        <v>220</v>
      </c>
      <c r="D112" s="21" t="n">
        <v>608</v>
      </c>
      <c r="E112" s="21" t="n">
        <v>598</v>
      </c>
      <c r="F112" s="51" t="n">
        <f aca="false">IF(E112="","",D112-E112)</f>
        <v>10</v>
      </c>
      <c r="G112" s="21" t="n">
        <v>205</v>
      </c>
      <c r="H112" s="21" t="n">
        <v>253</v>
      </c>
      <c r="I112" s="51" t="n">
        <f aca="false">IF(H112="","",G112-H112)</f>
        <v>-48</v>
      </c>
      <c r="J112" s="39" t="n">
        <f aca="false">IF(OR(D112="",D112+G112=0),"",D112/(D112+G112))</f>
        <v>0.747847478474785</v>
      </c>
      <c r="K112" s="39" t="n">
        <f aca="false">IF(E112="","",E112/(E112+H112))</f>
        <v>0.702702702702703</v>
      </c>
      <c r="L112" s="52" t="n">
        <f aca="false">IF(OR(K112="",J112=""),"",(J112-K112)*100)</f>
        <v>4.5144775772082</v>
      </c>
      <c r="M112" s="38"/>
    </row>
    <row r="113" customFormat="false" ht="15" hidden="false" customHeight="false" outlineLevel="0" collapsed="false">
      <c r="A113" s="38" t="s">
        <v>157</v>
      </c>
      <c r="B113" s="38" t="s">
        <v>219</v>
      </c>
      <c r="C113" s="38" t="s">
        <v>221</v>
      </c>
      <c r="D113" s="21" t="n">
        <v>442</v>
      </c>
      <c r="E113" s="21" t="n">
        <v>420</v>
      </c>
      <c r="F113" s="51" t="n">
        <f aca="false">IF(E113="","",D113-E113)</f>
        <v>22</v>
      </c>
      <c r="G113" s="21" t="n">
        <v>181</v>
      </c>
      <c r="H113" s="21" t="n">
        <v>214</v>
      </c>
      <c r="I113" s="51" t="n">
        <f aca="false">IF(H113="","",G113-H113)</f>
        <v>-33</v>
      </c>
      <c r="J113" s="39" t="n">
        <f aca="false">IF(OR(D113="",D113+G113=0),"",D113/(D113+G113))</f>
        <v>0.709470304975923</v>
      </c>
      <c r="K113" s="39" t="n">
        <f aca="false">IF(E113="","",E113/(E113+H113))</f>
        <v>0.662460567823344</v>
      </c>
      <c r="L113" s="52" t="n">
        <f aca="false">IF(OR(K113="",J113=""),"",(J113-K113)*100)</f>
        <v>4.70097371525792</v>
      </c>
      <c r="M113" s="38"/>
    </row>
    <row r="114" customFormat="false" ht="15" hidden="false" customHeight="false" outlineLevel="0" collapsed="false">
      <c r="A114" s="38" t="s">
        <v>157</v>
      </c>
      <c r="B114" s="38" t="s">
        <v>219</v>
      </c>
      <c r="C114" s="38" t="s">
        <v>222</v>
      </c>
      <c r="D114" s="21" t="n">
        <v>437</v>
      </c>
      <c r="E114" s="21" t="n">
        <v>438</v>
      </c>
      <c r="F114" s="51" t="n">
        <f aca="false">IF(E114="","",D114-E114)</f>
        <v>-1</v>
      </c>
      <c r="G114" s="21" t="n">
        <v>141</v>
      </c>
      <c r="H114" s="21" t="n">
        <v>176</v>
      </c>
      <c r="I114" s="51" t="n">
        <f aca="false">IF(H114="","",G114-H114)</f>
        <v>-35</v>
      </c>
      <c r="J114" s="39" t="n">
        <f aca="false">IF(OR(D114="",D114+G114=0),"",D114/(D114+G114))</f>
        <v>0.756055363321799</v>
      </c>
      <c r="K114" s="39" t="n">
        <f aca="false">IF(E114="","",E114/(E114+H114))</f>
        <v>0.713355048859935</v>
      </c>
      <c r="L114" s="52" t="n">
        <f aca="false">IF(OR(K114="",J114=""),"",(J114-K114)*100)</f>
        <v>4.27003144618645</v>
      </c>
      <c r="M114" s="38"/>
    </row>
    <row r="115" customFormat="false" ht="15" hidden="false" customHeight="false" outlineLevel="0" collapsed="false">
      <c r="A115" s="38" t="s">
        <v>157</v>
      </c>
      <c r="B115" s="38" t="s">
        <v>219</v>
      </c>
      <c r="C115" s="38" t="s">
        <v>223</v>
      </c>
      <c r="D115" s="21" t="n">
        <v>498</v>
      </c>
      <c r="E115" s="21" t="n">
        <v>463</v>
      </c>
      <c r="F115" s="51" t="n">
        <f aca="false">IF(E115="","",D115-E115)</f>
        <v>35</v>
      </c>
      <c r="G115" s="21" t="n">
        <v>186</v>
      </c>
      <c r="H115" s="21" t="n">
        <v>219</v>
      </c>
      <c r="I115" s="51" t="n">
        <f aca="false">IF(H115="","",G115-H115)</f>
        <v>-33</v>
      </c>
      <c r="J115" s="39" t="n">
        <f aca="false">IF(OR(D115="",D115+G115=0),"",D115/(D115+G115))</f>
        <v>0.728070175438597</v>
      </c>
      <c r="K115" s="39" t="n">
        <f aca="false">IF(E115="","",E115/(E115+H115))</f>
        <v>0.678885630498534</v>
      </c>
      <c r="L115" s="52" t="n">
        <f aca="false">IF(OR(K115="",J115=""),"",(J115-K115)*100)</f>
        <v>4.91845449400629</v>
      </c>
      <c r="M115" s="38"/>
    </row>
    <row r="116" customFormat="false" ht="15" hidden="false" customHeight="false" outlineLevel="0" collapsed="false">
      <c r="A116" s="38" t="s">
        <v>157</v>
      </c>
      <c r="B116" s="38" t="s">
        <v>219</v>
      </c>
      <c r="C116" s="38" t="s">
        <v>224</v>
      </c>
      <c r="D116" s="21" t="n">
        <v>807</v>
      </c>
      <c r="E116" s="21" t="n">
        <v>782</v>
      </c>
      <c r="F116" s="51" t="n">
        <f aca="false">IF(E116="","",D116-E116)</f>
        <v>25</v>
      </c>
      <c r="G116" s="21" t="n">
        <v>406</v>
      </c>
      <c r="H116" s="21" t="n">
        <v>404</v>
      </c>
      <c r="I116" s="51" t="n">
        <f aca="false">IF(H116="","",G116-H116)</f>
        <v>2</v>
      </c>
      <c r="J116" s="39" t="n">
        <f aca="false">IF(OR(D116="",D116+G116=0),"",D116/(D116+G116))</f>
        <v>0.665292662819456</v>
      </c>
      <c r="K116" s="39" t="n">
        <f aca="false">IF(E116="","",E116/(E116+H116))</f>
        <v>0.659359190556492</v>
      </c>
      <c r="L116" s="52" t="n">
        <f aca="false">IF(OR(K116="",J116=""),"",(J116-K116)*100)</f>
        <v>0.593347226296348</v>
      </c>
      <c r="M116" s="38"/>
    </row>
    <row r="117" customFormat="false" ht="15" hidden="false" customHeight="false" outlineLevel="0" collapsed="false">
      <c r="A117" s="38" t="s">
        <v>157</v>
      </c>
      <c r="B117" s="38" t="s">
        <v>219</v>
      </c>
      <c r="C117" s="38" t="s">
        <v>225</v>
      </c>
      <c r="D117" s="21" t="n">
        <v>545</v>
      </c>
      <c r="E117" s="21" t="n">
        <v>503</v>
      </c>
      <c r="F117" s="51" t="n">
        <f aca="false">IF(E117="","",D117-E117)</f>
        <v>42</v>
      </c>
      <c r="G117" s="21" t="n">
        <v>295</v>
      </c>
      <c r="H117" s="21" t="n">
        <v>318</v>
      </c>
      <c r="I117" s="51" t="n">
        <f aca="false">IF(H117="","",G117-H117)</f>
        <v>-23</v>
      </c>
      <c r="J117" s="39" t="n">
        <f aca="false">IF(OR(D117="",D117+G117=0),"",D117/(D117+G117))</f>
        <v>0.648809523809524</v>
      </c>
      <c r="K117" s="39" t="n">
        <f aca="false">IF(E117="","",E117/(E117+H117))</f>
        <v>0.612667478684531</v>
      </c>
      <c r="L117" s="52" t="n">
        <f aca="false">IF(OR(K117="",J117=""),"",(J117-K117)*100)</f>
        <v>3.61420451249928</v>
      </c>
      <c r="M117" s="38"/>
    </row>
    <row r="118" customFormat="false" ht="15" hidden="false" customHeight="false" outlineLevel="0" collapsed="false">
      <c r="A118" s="38" t="s">
        <v>157</v>
      </c>
      <c r="B118" s="38" t="s">
        <v>219</v>
      </c>
      <c r="C118" s="38" t="s">
        <v>226</v>
      </c>
      <c r="D118" s="21" t="n">
        <v>626</v>
      </c>
      <c r="E118" s="21" t="n">
        <v>597</v>
      </c>
      <c r="F118" s="51" t="n">
        <f aca="false">IF(E118="","",D118-E118)</f>
        <v>29</v>
      </c>
      <c r="G118" s="21" t="n">
        <v>416</v>
      </c>
      <c r="H118" s="21" t="n">
        <v>396</v>
      </c>
      <c r="I118" s="51" t="n">
        <f aca="false">IF(H118="","",G118-H118)</f>
        <v>20</v>
      </c>
      <c r="J118" s="39" t="n">
        <f aca="false">IF(OR(D118="",D118+G118=0),"",D118/(D118+G118))</f>
        <v>0.600767754318618</v>
      </c>
      <c r="K118" s="39" t="n">
        <f aca="false">IF(E118="","",E118/(E118+H118))</f>
        <v>0.601208459214502</v>
      </c>
      <c r="L118" s="52" t="n">
        <f aca="false">IF(OR(K118="",J118=""),"",(J118-K118)*100)</f>
        <v>-0.0440704895883437</v>
      </c>
      <c r="M118" s="38"/>
    </row>
    <row r="119" customFormat="false" ht="15" hidden="false" customHeight="false" outlineLevel="0" collapsed="false">
      <c r="A119" s="38" t="s">
        <v>157</v>
      </c>
      <c r="B119" s="38" t="s">
        <v>219</v>
      </c>
      <c r="C119" s="38" t="s">
        <v>227</v>
      </c>
      <c r="D119" s="21" t="n">
        <v>715</v>
      </c>
      <c r="E119" s="21" t="n">
        <v>678</v>
      </c>
      <c r="F119" s="51" t="n">
        <f aca="false">IF(E119="","",D119-E119)</f>
        <v>37</v>
      </c>
      <c r="G119" s="21" t="n">
        <v>438</v>
      </c>
      <c r="H119" s="21" t="n">
        <v>451</v>
      </c>
      <c r="I119" s="51" t="n">
        <f aca="false">IF(H119="","",G119-H119)</f>
        <v>-13</v>
      </c>
      <c r="J119" s="39" t="n">
        <f aca="false">IF(OR(D119="",D119+G119=0),"",D119/(D119+G119))</f>
        <v>0.620121422376409</v>
      </c>
      <c r="K119" s="39" t="n">
        <f aca="false">IF(E119="","",E119/(E119+H119))</f>
        <v>0.600531443755536</v>
      </c>
      <c r="L119" s="52" t="n">
        <f aca="false">IF(OR(K119="",J119=""),"",(J119-K119)*100)</f>
        <v>1.95899786208734</v>
      </c>
      <c r="M119" s="38"/>
    </row>
    <row r="120" customFormat="false" ht="15" hidden="false" customHeight="false" outlineLevel="0" collapsed="false">
      <c r="A120" s="38" t="s">
        <v>157</v>
      </c>
      <c r="B120" s="38" t="s">
        <v>219</v>
      </c>
      <c r="C120" s="38" t="s">
        <v>228</v>
      </c>
      <c r="D120" s="21" t="n">
        <v>542</v>
      </c>
      <c r="E120" s="21" t="n">
        <v>524</v>
      </c>
      <c r="F120" s="51" t="n">
        <f aca="false">IF(E120="","",D120-E120)</f>
        <v>18</v>
      </c>
      <c r="G120" s="21" t="n">
        <v>328</v>
      </c>
      <c r="H120" s="21" t="n">
        <v>327</v>
      </c>
      <c r="I120" s="51" t="n">
        <f aca="false">IF(H120="","",G120-H120)</f>
        <v>1</v>
      </c>
      <c r="J120" s="39" t="n">
        <f aca="false">IF(OR(D120="",D120+G120=0),"",D120/(D120+G120))</f>
        <v>0.622988505747126</v>
      </c>
      <c r="K120" s="39" t="n">
        <f aca="false">IF(E120="","",E120/(E120+H120))</f>
        <v>0.615746180963572</v>
      </c>
      <c r="L120" s="52" t="n">
        <f aca="false">IF(OR(K120="",J120=""),"",(J120-K120)*100)</f>
        <v>0.724232478355413</v>
      </c>
      <c r="M120" s="38"/>
    </row>
    <row r="121" customFormat="false" ht="15" hidden="false" customHeight="false" outlineLevel="0" collapsed="false">
      <c r="A121" s="38" t="s">
        <v>157</v>
      </c>
      <c r="B121" s="38" t="s">
        <v>219</v>
      </c>
      <c r="C121" s="38" t="s">
        <v>229</v>
      </c>
      <c r="D121" s="21" t="n">
        <v>435</v>
      </c>
      <c r="E121" s="21" t="n">
        <v>437</v>
      </c>
      <c r="F121" s="51" t="n">
        <f aca="false">IF(E121="","",D121-E121)</f>
        <v>-2</v>
      </c>
      <c r="G121" s="21" t="n">
        <v>327</v>
      </c>
      <c r="H121" s="21" t="n">
        <v>344</v>
      </c>
      <c r="I121" s="51" t="n">
        <f aca="false">IF(H121="","",G121-H121)</f>
        <v>-17</v>
      </c>
      <c r="J121" s="39" t="n">
        <f aca="false">IF(OR(D121="",D121+G121=0),"",D121/(D121+G121))</f>
        <v>0.570866141732283</v>
      </c>
      <c r="K121" s="39" t="n">
        <f aca="false">IF(E121="","",E121/(E121+H121))</f>
        <v>0.559539052496799</v>
      </c>
      <c r="L121" s="52" t="n">
        <f aca="false">IF(OR(K121="",J121=""),"",(J121-K121)*100)</f>
        <v>1.13270892354844</v>
      </c>
      <c r="M121" s="38"/>
    </row>
    <row r="122" customFormat="false" ht="15" hidden="false" customHeight="false" outlineLevel="0" collapsed="false">
      <c r="A122" s="38" t="s">
        <v>157</v>
      </c>
      <c r="B122" s="38" t="s">
        <v>219</v>
      </c>
      <c r="C122" s="38" t="s">
        <v>230</v>
      </c>
      <c r="D122" s="21" t="n">
        <v>587</v>
      </c>
      <c r="E122" s="21" t="n">
        <v>581</v>
      </c>
      <c r="F122" s="51" t="n">
        <f aca="false">IF(E122="","",D122-E122)</f>
        <v>6</v>
      </c>
      <c r="G122" s="21" t="n">
        <v>319</v>
      </c>
      <c r="H122" s="21" t="n">
        <v>342</v>
      </c>
      <c r="I122" s="51" t="n">
        <f aca="false">IF(H122="","",G122-H122)</f>
        <v>-23</v>
      </c>
      <c r="J122" s="39" t="n">
        <f aca="false">IF(OR(D122="",D122+G122=0),"",D122/(D122+G122))</f>
        <v>0.647902869757174</v>
      </c>
      <c r="K122" s="39" t="n">
        <f aca="false">IF(E122="","",E122/(E122+H122))</f>
        <v>0.629469122426869</v>
      </c>
      <c r="L122" s="52" t="n">
        <f aca="false">IF(OR(K122="",J122=""),"",(J122-K122)*100)</f>
        <v>1.84337473303055</v>
      </c>
      <c r="M122" s="38"/>
    </row>
    <row r="123" customFormat="false" ht="15" hidden="false" customHeight="false" outlineLevel="0" collapsed="false">
      <c r="A123" s="38" t="s">
        <v>157</v>
      </c>
      <c r="B123" s="38" t="s">
        <v>219</v>
      </c>
      <c r="C123" s="38" t="s">
        <v>231</v>
      </c>
      <c r="D123" s="21" t="n">
        <v>607</v>
      </c>
      <c r="E123" s="21" t="n">
        <v>591</v>
      </c>
      <c r="F123" s="51" t="n">
        <f aca="false">IF(E123="","",D123-E123)</f>
        <v>16</v>
      </c>
      <c r="G123" s="21" t="n">
        <v>374</v>
      </c>
      <c r="H123" s="21" t="n">
        <v>390</v>
      </c>
      <c r="I123" s="51" t="n">
        <f aca="false">IF(H123="","",G123-H123)</f>
        <v>-16</v>
      </c>
      <c r="J123" s="39" t="n">
        <f aca="false">IF(OR(D123="",D123+G123=0),"",D123/(D123+G123))</f>
        <v>0.618756371049949</v>
      </c>
      <c r="K123" s="39" t="n">
        <f aca="false">IF(E123="","",E123/(E123+H123))</f>
        <v>0.602446483180428</v>
      </c>
      <c r="L123" s="52" t="n">
        <f aca="false">IF(OR(K123="",J123=""),"",(J123-K123)*100)</f>
        <v>1.63098878695209</v>
      </c>
      <c r="M123" s="38"/>
    </row>
    <row r="124" customFormat="false" ht="15" hidden="false" customHeight="false" outlineLevel="0" collapsed="false">
      <c r="A124" s="38" t="s">
        <v>157</v>
      </c>
      <c r="B124" s="38" t="s">
        <v>232</v>
      </c>
      <c r="C124" s="38" t="s">
        <v>233</v>
      </c>
      <c r="D124" s="21" t="n">
        <v>556</v>
      </c>
      <c r="E124" s="21" t="n">
        <v>557</v>
      </c>
      <c r="F124" s="51" t="n">
        <f aca="false">IF(E124="","",D124-E124)</f>
        <v>-1</v>
      </c>
      <c r="G124" s="21" t="n">
        <v>400</v>
      </c>
      <c r="H124" s="21" t="n">
        <v>454</v>
      </c>
      <c r="I124" s="51" t="n">
        <f aca="false">IF(H124="","",G124-H124)</f>
        <v>-54</v>
      </c>
      <c r="J124" s="39" t="n">
        <f aca="false">IF(OR(D124="",D124+G124=0),"",D124/(D124+G124))</f>
        <v>0.581589958158996</v>
      </c>
      <c r="K124" s="39" t="n">
        <f aca="false">IF(E124="","",E124/(E124+H124))</f>
        <v>0.550939663699308</v>
      </c>
      <c r="L124" s="52" t="n">
        <f aca="false">IF(OR(K124="",J124=""),"",(J124-K124)*100)</f>
        <v>3.06502944596883</v>
      </c>
      <c r="M124" s="38"/>
    </row>
    <row r="125" customFormat="false" ht="15" hidden="false" customHeight="false" outlineLevel="0" collapsed="false">
      <c r="A125" s="38" t="s">
        <v>157</v>
      </c>
      <c r="B125" s="38" t="s">
        <v>232</v>
      </c>
      <c r="C125" s="38" t="s">
        <v>234</v>
      </c>
      <c r="D125" s="21" t="n">
        <v>543</v>
      </c>
      <c r="E125" s="21" t="n">
        <v>467</v>
      </c>
      <c r="F125" s="51" t="n">
        <f aca="false">IF(E125="","",D125-E125)</f>
        <v>76</v>
      </c>
      <c r="G125" s="21" t="n">
        <v>505</v>
      </c>
      <c r="H125" s="21" t="n">
        <v>513</v>
      </c>
      <c r="I125" s="51" t="n">
        <f aca="false">IF(H125="","",G125-H125)</f>
        <v>-8</v>
      </c>
      <c r="J125" s="39" t="n">
        <f aca="false">IF(OR(D125="",D125+G125=0),"",D125/(D125+G125))</f>
        <v>0.518129770992367</v>
      </c>
      <c r="K125" s="39" t="n">
        <f aca="false">IF(E125="","",E125/(E125+H125))</f>
        <v>0.476530612244898</v>
      </c>
      <c r="L125" s="52" t="n">
        <f aca="false">IF(OR(K125="",J125=""),"",(J125-K125)*100)</f>
        <v>4.15991587474685</v>
      </c>
      <c r="M125" s="38"/>
    </row>
    <row r="126" customFormat="false" ht="15" hidden="false" customHeight="false" outlineLevel="0" collapsed="false">
      <c r="A126" s="38" t="s">
        <v>157</v>
      </c>
      <c r="B126" s="38" t="s">
        <v>232</v>
      </c>
      <c r="C126" s="38" t="s">
        <v>235</v>
      </c>
      <c r="D126" s="21" t="n">
        <v>571</v>
      </c>
      <c r="E126" s="21" t="n">
        <v>536</v>
      </c>
      <c r="F126" s="51" t="n">
        <f aca="false">IF(E126="","",D126-E126)</f>
        <v>35</v>
      </c>
      <c r="G126" s="21" t="n">
        <v>526</v>
      </c>
      <c r="H126" s="21" t="n">
        <v>524</v>
      </c>
      <c r="I126" s="51" t="n">
        <f aca="false">IF(H126="","",G126-H126)</f>
        <v>2</v>
      </c>
      <c r="J126" s="39" t="n">
        <f aca="false">IF(OR(D126="",D126+G126=0),"",D126/(D126+G126))</f>
        <v>0.520510483135825</v>
      </c>
      <c r="K126" s="39" t="n">
        <f aca="false">IF(E126="","",E126/(E126+H126))</f>
        <v>0.505660377358491</v>
      </c>
      <c r="L126" s="52" t="n">
        <f aca="false">IF(OR(K126="",J126=""),"",(J126-K126)*100)</f>
        <v>1.48501057773344</v>
      </c>
      <c r="M126" s="38"/>
    </row>
    <row r="127" customFormat="false" ht="15" hidden="false" customHeight="false" outlineLevel="0" collapsed="false">
      <c r="A127" s="38" t="s">
        <v>157</v>
      </c>
      <c r="B127" s="38" t="s">
        <v>236</v>
      </c>
      <c r="C127" s="38" t="s">
        <v>236</v>
      </c>
      <c r="D127" s="21" t="n">
        <v>833</v>
      </c>
      <c r="E127" s="21" t="n">
        <v>735</v>
      </c>
      <c r="F127" s="51" t="n">
        <f aca="false">IF(E127="","",D127-E127)</f>
        <v>98</v>
      </c>
      <c r="G127" s="21" t="n">
        <v>796</v>
      </c>
      <c r="H127" s="21" t="n">
        <v>804</v>
      </c>
      <c r="I127" s="51" t="n">
        <f aca="false">IF(H127="","",G127-H127)</f>
        <v>-8</v>
      </c>
      <c r="J127" s="39" t="n">
        <f aca="false">IF(OR(D127="",D127+G127=0),"",D127/(D127+G127))</f>
        <v>0.511356660527931</v>
      </c>
      <c r="K127" s="39" t="n">
        <f aca="false">IF(E127="","",E127/(E127+H127))</f>
        <v>0.477582846003899</v>
      </c>
      <c r="L127" s="52" t="n">
        <f aca="false">IF(OR(K127="",J127=""),"",(J127-K127)*100)</f>
        <v>3.37738145240327</v>
      </c>
      <c r="M127" s="38"/>
    </row>
    <row r="128" customFormat="false" ht="15" hidden="false" customHeight="false" outlineLevel="0" collapsed="false">
      <c r="A128" s="38" t="s">
        <v>157</v>
      </c>
      <c r="B128" s="38" t="s">
        <v>237</v>
      </c>
      <c r="C128" s="38" t="s">
        <v>238</v>
      </c>
      <c r="D128" s="21" t="n">
        <v>422</v>
      </c>
      <c r="E128" s="21" t="n">
        <v>372</v>
      </c>
      <c r="F128" s="51" t="n">
        <f aca="false">IF(E128="","",D128-E128)</f>
        <v>50</v>
      </c>
      <c r="G128" s="21" t="n">
        <v>389</v>
      </c>
      <c r="H128" s="21" t="n">
        <v>383</v>
      </c>
      <c r="I128" s="51" t="n">
        <f aca="false">IF(H128="","",G128-H128)</f>
        <v>6</v>
      </c>
      <c r="J128" s="39" t="n">
        <f aca="false">IF(OR(D128="",D128+G128=0),"",D128/(D128+G128))</f>
        <v>0.520345252774353</v>
      </c>
      <c r="K128" s="39" t="n">
        <f aca="false">IF(E128="","",E128/(E128+H128))</f>
        <v>0.492715231788079</v>
      </c>
      <c r="L128" s="52" t="n">
        <f aca="false">IF(OR(K128="",J128=""),"",(J128-K128)*100)</f>
        <v>2.76300209862732</v>
      </c>
      <c r="M128" s="38"/>
    </row>
    <row r="129" customFormat="false" ht="15" hidden="false" customHeight="false" outlineLevel="0" collapsed="false">
      <c r="A129" s="38" t="s">
        <v>157</v>
      </c>
      <c r="B129" s="38" t="s">
        <v>237</v>
      </c>
      <c r="C129" s="38" t="s">
        <v>239</v>
      </c>
      <c r="D129" s="21" t="n">
        <v>563</v>
      </c>
      <c r="E129" s="21" t="n">
        <v>527</v>
      </c>
      <c r="F129" s="51" t="n">
        <f aca="false">IF(E129="","",D129-E129)</f>
        <v>36</v>
      </c>
      <c r="G129" s="21" t="n">
        <v>485</v>
      </c>
      <c r="H129" s="21" t="n">
        <v>515</v>
      </c>
      <c r="I129" s="51" t="n">
        <f aca="false">IF(H129="","",G129-H129)</f>
        <v>-30</v>
      </c>
      <c r="J129" s="39" t="n">
        <f aca="false">IF(OR(D129="",D129+G129=0),"",D129/(D129+G129))</f>
        <v>0.537213740458015</v>
      </c>
      <c r="K129" s="39" t="n">
        <f aca="false">IF(E129="","",E129/(E129+H129))</f>
        <v>0.505758157389635</v>
      </c>
      <c r="L129" s="52" t="n">
        <f aca="false">IF(OR(K129="",J129=""),"",(J129-K129)*100)</f>
        <v>3.14555830683799</v>
      </c>
      <c r="M129" s="38"/>
    </row>
    <row r="130" customFormat="false" ht="15" hidden="false" customHeight="false" outlineLevel="0" collapsed="false">
      <c r="A130" s="38" t="s">
        <v>157</v>
      </c>
      <c r="B130" s="38" t="s">
        <v>240</v>
      </c>
      <c r="C130" s="38" t="s">
        <v>241</v>
      </c>
      <c r="D130" s="21" t="n">
        <v>588</v>
      </c>
      <c r="E130" s="21" t="n">
        <v>562</v>
      </c>
      <c r="F130" s="51" t="n">
        <f aca="false">IF(E130="","",D130-E130)</f>
        <v>26</v>
      </c>
      <c r="G130" s="21" t="n">
        <v>473</v>
      </c>
      <c r="H130" s="21" t="n">
        <v>497</v>
      </c>
      <c r="I130" s="51" t="n">
        <f aca="false">IF(H130="","",G130-H130)</f>
        <v>-24</v>
      </c>
      <c r="J130" s="39" t="n">
        <f aca="false">IF(OR(D130="",D130+G130=0),"",D130/(D130+G130))</f>
        <v>0.554194156456173</v>
      </c>
      <c r="K130" s="39" t="n">
        <f aca="false">IF(E130="","",E130/(E130+H130))</f>
        <v>0.530689329556185</v>
      </c>
      <c r="L130" s="52" t="n">
        <f aca="false">IF(OR(K130="",J130=""),"",(J130-K130)*100)</f>
        <v>2.35048268999883</v>
      </c>
      <c r="M130" s="38"/>
    </row>
    <row r="131" customFormat="false" ht="15" hidden="false" customHeight="false" outlineLevel="0" collapsed="false">
      <c r="A131" s="38" t="s">
        <v>157</v>
      </c>
      <c r="B131" s="38" t="s">
        <v>240</v>
      </c>
      <c r="C131" s="38" t="s">
        <v>242</v>
      </c>
      <c r="D131" s="21" t="n">
        <v>606</v>
      </c>
      <c r="E131" s="21" t="n">
        <v>566</v>
      </c>
      <c r="F131" s="51" t="n">
        <f aca="false">IF(E131="","",D131-E131)</f>
        <v>40</v>
      </c>
      <c r="G131" s="21" t="n">
        <v>498</v>
      </c>
      <c r="H131" s="21" t="n">
        <v>509</v>
      </c>
      <c r="I131" s="51" t="n">
        <f aca="false">IF(H131="","",G131-H131)</f>
        <v>-11</v>
      </c>
      <c r="J131" s="39" t="n">
        <f aca="false">IF(OR(D131="",D131+G131=0),"",D131/(D131+G131))</f>
        <v>0.548913043478261</v>
      </c>
      <c r="K131" s="39" t="n">
        <f aca="false">IF(E131="","",E131/(E131+H131))</f>
        <v>0.526511627906977</v>
      </c>
      <c r="L131" s="52" t="n">
        <f aca="false">IF(OR(K131="",J131=""),"",(J131-K131)*100)</f>
        <v>2.24014155712842</v>
      </c>
      <c r="M131" s="38"/>
    </row>
    <row r="132" customFormat="false" ht="15" hidden="false" customHeight="false" outlineLevel="0" collapsed="false">
      <c r="A132" s="38" t="s">
        <v>157</v>
      </c>
      <c r="B132" s="38" t="s">
        <v>240</v>
      </c>
      <c r="C132" s="38" t="s">
        <v>243</v>
      </c>
      <c r="D132" s="21" t="n">
        <v>805</v>
      </c>
      <c r="E132" s="21" t="n">
        <v>826</v>
      </c>
      <c r="F132" s="51" t="n">
        <f aca="false">IF(E132="","",D132-E132)</f>
        <v>-21</v>
      </c>
      <c r="G132" s="21" t="n">
        <v>717</v>
      </c>
      <c r="H132" s="21" t="n">
        <v>801</v>
      </c>
      <c r="I132" s="51" t="n">
        <f aca="false">IF(H132="","",G132-H132)</f>
        <v>-84</v>
      </c>
      <c r="J132" s="39" t="n">
        <f aca="false">IF(OR(D132="",D132+G132=0),"",D132/(D132+G132))</f>
        <v>0.528909329829172</v>
      </c>
      <c r="K132" s="39" t="n">
        <f aca="false">IF(E132="","",E132/(E132+H132))</f>
        <v>0.507682851874616</v>
      </c>
      <c r="L132" s="52" t="n">
        <f aca="false">IF(OR(K132="",J132=""),"",(J132-K132)*100)</f>
        <v>2.12264779545563</v>
      </c>
      <c r="M132" s="38"/>
    </row>
    <row r="133" customFormat="false" ht="15" hidden="false" customHeight="false" outlineLevel="0" collapsed="false">
      <c r="A133" s="38" t="s">
        <v>157</v>
      </c>
      <c r="B133" s="38" t="s">
        <v>240</v>
      </c>
      <c r="C133" s="38" t="s">
        <v>244</v>
      </c>
      <c r="D133" s="21" t="n">
        <v>710</v>
      </c>
      <c r="E133" s="21" t="n">
        <v>686</v>
      </c>
      <c r="F133" s="51" t="n">
        <f aca="false">IF(E133="","",D133-E133)</f>
        <v>24</v>
      </c>
      <c r="G133" s="21" t="n">
        <v>542</v>
      </c>
      <c r="H133" s="21" t="n">
        <v>580</v>
      </c>
      <c r="I133" s="51" t="n">
        <f aca="false">IF(H133="","",G133-H133)</f>
        <v>-38</v>
      </c>
      <c r="J133" s="39" t="n">
        <f aca="false">IF(OR(D133="",D133+G133=0),"",D133/(D133+G133))</f>
        <v>0.567092651757189</v>
      </c>
      <c r="K133" s="39" t="n">
        <f aca="false">IF(E133="","",E133/(E133+H133))</f>
        <v>0.541864139020537</v>
      </c>
      <c r="L133" s="52" t="n">
        <f aca="false">IF(OR(K133="",J133=""),"",(J133-K133)*100)</f>
        <v>2.52285127366514</v>
      </c>
      <c r="M133" s="38"/>
    </row>
    <row r="134" customFormat="false" ht="15" hidden="false" customHeight="false" outlineLevel="0" collapsed="false">
      <c r="A134" s="38" t="s">
        <v>157</v>
      </c>
      <c r="B134" s="38" t="s">
        <v>240</v>
      </c>
      <c r="C134" s="38" t="s">
        <v>245</v>
      </c>
      <c r="D134" s="21" t="n">
        <v>372</v>
      </c>
      <c r="E134" s="21" t="n">
        <v>332</v>
      </c>
      <c r="F134" s="51" t="n">
        <f aca="false">IF(E134="","",D134-E134)</f>
        <v>40</v>
      </c>
      <c r="G134" s="21" t="n">
        <v>342</v>
      </c>
      <c r="H134" s="21" t="n">
        <v>340</v>
      </c>
      <c r="I134" s="51" t="n">
        <f aca="false">IF(H134="","",G134-H134)</f>
        <v>2</v>
      </c>
      <c r="J134" s="39" t="n">
        <f aca="false">IF(OR(D134="",D134+G134=0),"",D134/(D134+G134))</f>
        <v>0.521008403361345</v>
      </c>
      <c r="K134" s="39" t="n">
        <f aca="false">IF(E134="","",E134/(E134+H134))</f>
        <v>0.494047619047619</v>
      </c>
      <c r="L134" s="52" t="n">
        <f aca="false">IF(OR(K134="",J134=""),"",(J134-K134)*100)</f>
        <v>2.69607843137255</v>
      </c>
      <c r="M134" s="38"/>
    </row>
    <row r="135" customFormat="false" ht="15" hidden="false" customHeight="false" outlineLevel="0" collapsed="false">
      <c r="A135" s="38" t="s">
        <v>157</v>
      </c>
      <c r="B135" s="38" t="s">
        <v>240</v>
      </c>
      <c r="C135" s="38" t="s">
        <v>246</v>
      </c>
      <c r="D135" s="21" t="n">
        <v>747</v>
      </c>
      <c r="E135" s="21" t="n">
        <v>691</v>
      </c>
      <c r="F135" s="51" t="n">
        <f aca="false">IF(E135="","",D135-E135)</f>
        <v>56</v>
      </c>
      <c r="G135" s="21" t="n">
        <v>529</v>
      </c>
      <c r="H135" s="21" t="n">
        <v>509</v>
      </c>
      <c r="I135" s="51" t="n">
        <f aca="false">IF(H135="","",G135-H135)</f>
        <v>20</v>
      </c>
      <c r="J135" s="39" t="n">
        <f aca="false">IF(OR(D135="",D135+G135=0),"",D135/(D135+G135))</f>
        <v>0.585423197492163</v>
      </c>
      <c r="K135" s="39" t="n">
        <f aca="false">IF(E135="","",E135/(E135+H135))</f>
        <v>0.575833333333333</v>
      </c>
      <c r="L135" s="52" t="n">
        <f aca="false">IF(OR(K135="",J135=""),"",(J135-K135)*100)</f>
        <v>0.958986415882968</v>
      </c>
      <c r="M135" s="38"/>
    </row>
    <row r="136" customFormat="false" ht="15" hidden="false" customHeight="false" outlineLevel="0" collapsed="false">
      <c r="A136" s="38" t="s">
        <v>157</v>
      </c>
      <c r="B136" s="38" t="s">
        <v>247</v>
      </c>
      <c r="C136" s="38" t="s">
        <v>248</v>
      </c>
      <c r="D136" s="21" t="n">
        <v>624</v>
      </c>
      <c r="E136" s="21" t="n">
        <v>579</v>
      </c>
      <c r="F136" s="51" t="n">
        <f aca="false">IF(E136="","",D136-E136)</f>
        <v>45</v>
      </c>
      <c r="G136" s="21" t="n">
        <v>245</v>
      </c>
      <c r="H136" s="21" t="n">
        <v>292</v>
      </c>
      <c r="I136" s="51" t="n">
        <f aca="false">IF(H136="","",G136-H136)</f>
        <v>-47</v>
      </c>
      <c r="J136" s="39" t="n">
        <f aca="false">IF(OR(D136="",D136+G136=0),"",D136/(D136+G136))</f>
        <v>0.718066743383199</v>
      </c>
      <c r="K136" s="39" t="n">
        <f aca="false">IF(E136="","",E136/(E136+H136))</f>
        <v>0.664753157290471</v>
      </c>
      <c r="L136" s="52" t="n">
        <f aca="false">IF(OR(K136="",J136=""),"",(J136-K136)*100)</f>
        <v>5.33135860927284</v>
      </c>
      <c r="M136" s="38"/>
    </row>
    <row r="137" customFormat="false" ht="15" hidden="false" customHeight="false" outlineLevel="0" collapsed="false">
      <c r="A137" s="38" t="s">
        <v>157</v>
      </c>
      <c r="B137" s="38" t="s">
        <v>247</v>
      </c>
      <c r="C137" s="38" t="s">
        <v>249</v>
      </c>
      <c r="D137" s="21" t="n">
        <v>439</v>
      </c>
      <c r="E137" s="21" t="n">
        <v>440</v>
      </c>
      <c r="F137" s="51" t="n">
        <f aca="false">IF(E137="","",D137-E137)</f>
        <v>-1</v>
      </c>
      <c r="G137" s="21" t="n">
        <v>225</v>
      </c>
      <c r="H137" s="21" t="n">
        <v>262</v>
      </c>
      <c r="I137" s="51" t="n">
        <f aca="false">IF(H137="","",G137-H137)</f>
        <v>-37</v>
      </c>
      <c r="J137" s="39" t="n">
        <f aca="false">IF(OR(D137="",D137+G137=0),"",D137/(D137+G137))</f>
        <v>0.661144578313253</v>
      </c>
      <c r="K137" s="39" t="n">
        <f aca="false">IF(E137="","",E137/(E137+H137))</f>
        <v>0.626780626780627</v>
      </c>
      <c r="L137" s="52" t="n">
        <f aca="false">IF(OR(K137="",J137=""),"",(J137-K137)*100)</f>
        <v>3.43639515326263</v>
      </c>
      <c r="M137" s="38"/>
    </row>
    <row r="138" customFormat="false" ht="15" hidden="false" customHeight="false" outlineLevel="0" collapsed="false">
      <c r="A138" s="38" t="s">
        <v>157</v>
      </c>
      <c r="B138" s="38" t="s">
        <v>247</v>
      </c>
      <c r="C138" s="38" t="s">
        <v>250</v>
      </c>
      <c r="D138" s="21" t="n">
        <v>466</v>
      </c>
      <c r="E138" s="21" t="n">
        <v>414</v>
      </c>
      <c r="F138" s="51" t="n">
        <f aca="false">IF(E138="","",D138-E138)</f>
        <v>52</v>
      </c>
      <c r="G138" s="21" t="n">
        <v>205</v>
      </c>
      <c r="H138" s="21" t="n">
        <v>239</v>
      </c>
      <c r="I138" s="51" t="n">
        <f aca="false">IF(H138="","",G138-H138)</f>
        <v>-34</v>
      </c>
      <c r="J138" s="39" t="n">
        <f aca="false">IF(OR(D138="",D138+G138=0),"",D138/(D138+G138))</f>
        <v>0.694485842026826</v>
      </c>
      <c r="K138" s="39" t="n">
        <f aca="false">IF(E138="","",E138/(E138+H138))</f>
        <v>0.633996937212864</v>
      </c>
      <c r="L138" s="52" t="n">
        <f aca="false">IF(OR(K138="",J138=""),"",(J138-K138)*100)</f>
        <v>6.0488904813962</v>
      </c>
      <c r="M138" s="38"/>
    </row>
    <row r="139" customFormat="false" ht="15" hidden="false" customHeight="false" outlineLevel="0" collapsed="false">
      <c r="A139" s="38" t="s">
        <v>157</v>
      </c>
      <c r="B139" s="38" t="s">
        <v>251</v>
      </c>
      <c r="C139" s="38" t="s">
        <v>251</v>
      </c>
      <c r="D139" s="21" t="n">
        <v>413</v>
      </c>
      <c r="E139" s="21" t="n">
        <v>379</v>
      </c>
      <c r="F139" s="51" t="n">
        <f aca="false">IF(E139="","",D139-E139)</f>
        <v>34</v>
      </c>
      <c r="G139" s="21" t="n">
        <v>323</v>
      </c>
      <c r="H139" s="21" t="n">
        <v>330</v>
      </c>
      <c r="I139" s="51" t="n">
        <f aca="false">IF(H139="","",G139-H139)</f>
        <v>-7</v>
      </c>
      <c r="J139" s="39" t="n">
        <f aca="false">IF(OR(D139="",D139+G139=0),"",D139/(D139+G139))</f>
        <v>0.561141304347826</v>
      </c>
      <c r="K139" s="39" t="n">
        <f aca="false">IF(E139="","",E139/(E139+H139))</f>
        <v>0.534555712270804</v>
      </c>
      <c r="L139" s="52" t="n">
        <f aca="false">IF(OR(K139="",J139=""),"",(J139-K139)*100)</f>
        <v>2.65855920770222</v>
      </c>
      <c r="M139" s="38"/>
    </row>
    <row r="140" customFormat="false" ht="15" hidden="false" customHeight="false" outlineLevel="0" collapsed="false">
      <c r="A140" s="38" t="s">
        <v>157</v>
      </c>
      <c r="B140" s="38" t="s">
        <v>252</v>
      </c>
      <c r="C140" s="38" t="s">
        <v>252</v>
      </c>
      <c r="D140" s="21" t="n">
        <v>727</v>
      </c>
      <c r="E140" s="21" t="n">
        <v>654</v>
      </c>
      <c r="F140" s="51" t="n">
        <f aca="false">IF(E140="","",D140-E140)</f>
        <v>73</v>
      </c>
      <c r="G140" s="21" t="n">
        <v>1419</v>
      </c>
      <c r="H140" s="21" t="n">
        <v>1439</v>
      </c>
      <c r="I140" s="51" t="n">
        <f aca="false">IF(H140="","",G140-H140)</f>
        <v>-20</v>
      </c>
      <c r="J140" s="39" t="n">
        <f aca="false">IF(OR(D140="",D140+G140=0),"",D140/(D140+G140))</f>
        <v>0.338769804287046</v>
      </c>
      <c r="K140" s="39" t="n">
        <f aca="false">IF(E140="","",E140/(E140+H140))</f>
        <v>0.312470138557095</v>
      </c>
      <c r="L140" s="52" t="n">
        <f aca="false">IF(OR(K140="",J140=""),"",(J140-K140)*100)</f>
        <v>2.62996657299506</v>
      </c>
      <c r="M140" s="38"/>
    </row>
    <row r="141" customFormat="false" ht="15" hidden="false" customHeight="false" outlineLevel="0" collapsed="false">
      <c r="A141" s="38" t="s">
        <v>157</v>
      </c>
      <c r="B141" s="38" t="s">
        <v>253</v>
      </c>
      <c r="C141" s="38" t="s">
        <v>254</v>
      </c>
      <c r="D141" s="21" t="n">
        <v>1055</v>
      </c>
      <c r="E141" s="21" t="n">
        <v>928</v>
      </c>
      <c r="F141" s="51" t="n">
        <f aca="false">IF(E141="","",D141-E141)</f>
        <v>127</v>
      </c>
      <c r="G141" s="21" t="n">
        <v>1008</v>
      </c>
      <c r="H141" s="21" t="n">
        <v>988</v>
      </c>
      <c r="I141" s="51" t="n">
        <f aca="false">IF(H141="","",G141-H141)</f>
        <v>20</v>
      </c>
      <c r="J141" s="39" t="n">
        <f aca="false">IF(OR(D141="",D141+G141=0),"",D141/(D141+G141))</f>
        <v>0.511391177896268</v>
      </c>
      <c r="K141" s="39" t="n">
        <f aca="false">IF(E141="","",E141/(E141+H141))</f>
        <v>0.484342379958246</v>
      </c>
      <c r="L141" s="52" t="n">
        <f aca="false">IF(OR(K141="",J141=""),"",(J141-K141)*100)</f>
        <v>2.70487979380212</v>
      </c>
      <c r="M141" s="38"/>
    </row>
    <row r="142" customFormat="false" ht="15" hidden="false" customHeight="false" outlineLevel="0" collapsed="false">
      <c r="A142" s="38" t="s">
        <v>157</v>
      </c>
      <c r="B142" s="38" t="s">
        <v>253</v>
      </c>
      <c r="C142" s="38" t="s">
        <v>255</v>
      </c>
      <c r="D142" s="21" t="n">
        <v>1229</v>
      </c>
      <c r="E142" s="21" t="n">
        <v>1082</v>
      </c>
      <c r="F142" s="51" t="n">
        <f aca="false">IF(E142="","",D142-E142)</f>
        <v>147</v>
      </c>
      <c r="G142" s="21" t="n">
        <v>1110</v>
      </c>
      <c r="H142" s="21" t="n">
        <v>1101</v>
      </c>
      <c r="I142" s="51" t="n">
        <f aca="false">IF(H142="","",G142-H142)</f>
        <v>9</v>
      </c>
      <c r="J142" s="39" t="n">
        <f aca="false">IF(OR(D142="",D142+G142=0),"",D142/(D142+G142))</f>
        <v>0.525438221462163</v>
      </c>
      <c r="K142" s="39" t="n">
        <f aca="false">IF(E142="","",E142/(E142+H142))</f>
        <v>0.495648190563445</v>
      </c>
      <c r="L142" s="52" t="n">
        <f aca="false">IF(OR(K142="",J142=""),"",(J142-K142)*100)</f>
        <v>2.97900308987186</v>
      </c>
      <c r="M142" s="38"/>
    </row>
    <row r="143" customFormat="false" ht="15" hidden="false" customHeight="false" outlineLevel="0" collapsed="false">
      <c r="A143" s="38" t="s">
        <v>157</v>
      </c>
      <c r="B143" s="38" t="s">
        <v>253</v>
      </c>
      <c r="C143" s="38" t="s">
        <v>256</v>
      </c>
      <c r="D143" s="21" t="n">
        <v>2060</v>
      </c>
      <c r="E143" s="21" t="n">
        <v>1799</v>
      </c>
      <c r="F143" s="51" t="n">
        <f aca="false">IF(E143="","",D143-E143)</f>
        <v>261</v>
      </c>
      <c r="G143" s="21" t="n">
        <v>1906</v>
      </c>
      <c r="H143" s="21" t="n">
        <v>1810</v>
      </c>
      <c r="I143" s="51" t="n">
        <f aca="false">IF(H143="","",G143-H143)</f>
        <v>96</v>
      </c>
      <c r="J143" s="39" t="n">
        <f aca="false">IF(OR(D143="",D143+G143=0),"",D143/(D143+G143))</f>
        <v>0.519415027735754</v>
      </c>
      <c r="K143" s="39" t="n">
        <f aca="false">IF(E143="","",E143/(E143+H143))</f>
        <v>0.498476032141868</v>
      </c>
      <c r="L143" s="52" t="n">
        <f aca="false">IF(OR(K143="",J143=""),"",(J143-K143)*100)</f>
        <v>2.09389955938863</v>
      </c>
      <c r="M143" s="38"/>
    </row>
    <row r="144" customFormat="false" ht="15" hidden="false" customHeight="false" outlineLevel="0" collapsed="false">
      <c r="A144" s="38" t="s">
        <v>157</v>
      </c>
      <c r="B144" s="38" t="s">
        <v>253</v>
      </c>
      <c r="C144" s="38" t="s">
        <v>257</v>
      </c>
      <c r="D144" s="21" t="n">
        <v>1021</v>
      </c>
      <c r="E144" s="21" t="n">
        <v>906</v>
      </c>
      <c r="F144" s="51" t="n">
        <f aca="false">IF(E144="","",D144-E144)</f>
        <v>115</v>
      </c>
      <c r="G144" s="21" t="n">
        <v>944</v>
      </c>
      <c r="H144" s="21" t="n">
        <v>980</v>
      </c>
      <c r="I144" s="51" t="n">
        <f aca="false">IF(H144="","",G144-H144)</f>
        <v>-36</v>
      </c>
      <c r="J144" s="39" t="n">
        <f aca="false">IF(OR(D144="",D144+G144=0),"",D144/(D144+G144))</f>
        <v>0.519592875318066</v>
      </c>
      <c r="K144" s="39" t="n">
        <f aca="false">IF(E144="","",E144/(E144+H144))</f>
        <v>0.480381760339343</v>
      </c>
      <c r="L144" s="52" t="n">
        <f aca="false">IF(OR(K144="",J144=""),"",(J144-K144)*100)</f>
        <v>3.92111149787237</v>
      </c>
      <c r="M144" s="38"/>
    </row>
    <row r="145" customFormat="false" ht="15" hidden="false" customHeight="false" outlineLevel="0" collapsed="false">
      <c r="A145" s="38" t="s">
        <v>157</v>
      </c>
      <c r="B145" s="38" t="s">
        <v>253</v>
      </c>
      <c r="C145" s="38" t="s">
        <v>258</v>
      </c>
      <c r="D145" s="21" t="n">
        <v>956</v>
      </c>
      <c r="E145" s="21" t="n">
        <v>852</v>
      </c>
      <c r="F145" s="51" t="n">
        <f aca="false">IF(E145="","",D145-E145)</f>
        <v>104</v>
      </c>
      <c r="G145" s="21" t="n">
        <v>883</v>
      </c>
      <c r="H145" s="21" t="n">
        <v>912</v>
      </c>
      <c r="I145" s="51" t="n">
        <f aca="false">IF(H145="","",G145-H145)</f>
        <v>-29</v>
      </c>
      <c r="J145" s="39" t="n">
        <f aca="false">IF(OR(D145="",D145+G145=0),"",D145/(D145+G145))</f>
        <v>0.519847743338771</v>
      </c>
      <c r="K145" s="39" t="n">
        <f aca="false">IF(E145="","",E145/(E145+H145))</f>
        <v>0.482993197278912</v>
      </c>
      <c r="L145" s="52" t="n">
        <f aca="false">IF(OR(K145="",J145=""),"",(J145-K145)*100)</f>
        <v>3.68545460598595</v>
      </c>
      <c r="M145" s="38"/>
    </row>
    <row r="146" customFormat="false" ht="15" hidden="false" customHeight="false" outlineLevel="0" collapsed="false">
      <c r="A146" s="38" t="s">
        <v>157</v>
      </c>
      <c r="B146" s="38" t="s">
        <v>253</v>
      </c>
      <c r="C146" s="38" t="s">
        <v>259</v>
      </c>
      <c r="D146" s="21" t="n">
        <v>787</v>
      </c>
      <c r="E146" s="21" t="n">
        <v>715</v>
      </c>
      <c r="F146" s="51" t="n">
        <f aca="false">IF(E146="","",D146-E146)</f>
        <v>72</v>
      </c>
      <c r="G146" s="21" t="n">
        <v>711</v>
      </c>
      <c r="H146" s="21" t="n">
        <v>677</v>
      </c>
      <c r="I146" s="51" t="n">
        <f aca="false">IF(H146="","",G146-H146)</f>
        <v>34</v>
      </c>
      <c r="J146" s="39" t="n">
        <f aca="false">IF(OR(D146="",D146+G146=0),"",D146/(D146+G146))</f>
        <v>0.525367156208278</v>
      </c>
      <c r="K146" s="39" t="n">
        <f aca="false">IF(E146="","",E146/(E146+H146))</f>
        <v>0.513649425287356</v>
      </c>
      <c r="L146" s="52" t="n">
        <f aca="false">IF(OR(K146="",J146=""),"",(J146-K146)*100)</f>
        <v>1.17177309209213</v>
      </c>
      <c r="M146" s="38"/>
    </row>
    <row r="147" customFormat="false" ht="15" hidden="false" customHeight="false" outlineLevel="0" collapsed="false">
      <c r="A147" s="38" t="s">
        <v>157</v>
      </c>
      <c r="B147" s="38" t="s">
        <v>253</v>
      </c>
      <c r="C147" s="38" t="s">
        <v>260</v>
      </c>
      <c r="D147" s="21" t="n">
        <v>1672</v>
      </c>
      <c r="E147" s="21" t="n">
        <v>1480</v>
      </c>
      <c r="F147" s="51" t="n">
        <f aca="false">IF(E147="","",D147-E147)</f>
        <v>192</v>
      </c>
      <c r="G147" s="21" t="n">
        <v>1492</v>
      </c>
      <c r="H147" s="21" t="n">
        <v>1588</v>
      </c>
      <c r="I147" s="51" t="n">
        <f aca="false">IF(H147="","",G147-H147)</f>
        <v>-96</v>
      </c>
      <c r="J147" s="39" t="n">
        <f aca="false">IF(OR(D147="",D147+G147=0),"",D147/(D147+G147))</f>
        <v>0.528445006321113</v>
      </c>
      <c r="K147" s="39" t="n">
        <f aca="false">IF(E147="","",E147/(E147+H147))</f>
        <v>0.482398956975228</v>
      </c>
      <c r="L147" s="52" t="n">
        <f aca="false">IF(OR(K147="",J147=""),"",(J147-K147)*100)</f>
        <v>4.60460493458843</v>
      </c>
      <c r="M147" s="38"/>
    </row>
    <row r="148" customFormat="false" ht="15" hidden="false" customHeight="false" outlineLevel="0" collapsed="false">
      <c r="A148" s="38" t="s">
        <v>157</v>
      </c>
      <c r="B148" s="38" t="s">
        <v>253</v>
      </c>
      <c r="C148" s="38" t="s">
        <v>261</v>
      </c>
      <c r="D148" s="21" t="n">
        <v>982</v>
      </c>
      <c r="E148" s="21" t="n">
        <v>890</v>
      </c>
      <c r="F148" s="51" t="n">
        <f aca="false">IF(E148="","",D148-E148)</f>
        <v>92</v>
      </c>
      <c r="G148" s="21" t="n">
        <v>813</v>
      </c>
      <c r="H148" s="21" t="n">
        <v>789</v>
      </c>
      <c r="I148" s="51" t="n">
        <f aca="false">IF(H148="","",G148-H148)</f>
        <v>24</v>
      </c>
      <c r="J148" s="39" t="n">
        <f aca="false">IF(OR(D148="",D148+G148=0),"",D148/(D148+G148))</f>
        <v>0.547075208913649</v>
      </c>
      <c r="K148" s="39" t="n">
        <f aca="false">IF(E148="","",E148/(E148+H148))</f>
        <v>0.530077427039905</v>
      </c>
      <c r="L148" s="52" t="n">
        <f aca="false">IF(OR(K148="",J148=""),"",(J148-K148)*100)</f>
        <v>1.69977818737443</v>
      </c>
      <c r="M148" s="38"/>
    </row>
    <row r="149" customFormat="false" ht="15" hidden="false" customHeight="false" outlineLevel="0" collapsed="false">
      <c r="A149" s="38" t="s">
        <v>157</v>
      </c>
      <c r="B149" s="38" t="s">
        <v>253</v>
      </c>
      <c r="C149" s="38" t="s">
        <v>262</v>
      </c>
      <c r="D149" s="21" t="n">
        <v>891</v>
      </c>
      <c r="E149" s="21" t="n">
        <v>817</v>
      </c>
      <c r="F149" s="51" t="n">
        <f aca="false">IF(E149="","",D149-E149)</f>
        <v>74</v>
      </c>
      <c r="G149" s="21" t="n">
        <v>794</v>
      </c>
      <c r="H149" s="21" t="n">
        <v>798</v>
      </c>
      <c r="I149" s="51" t="n">
        <f aca="false">IF(H149="","",G149-H149)</f>
        <v>-4</v>
      </c>
      <c r="J149" s="39" t="n">
        <f aca="false">IF(OR(D149="",D149+G149=0),"",D149/(D149+G149))</f>
        <v>0.528783382789318</v>
      </c>
      <c r="K149" s="39" t="n">
        <f aca="false">IF(E149="","",E149/(E149+H149))</f>
        <v>0.505882352941176</v>
      </c>
      <c r="L149" s="52" t="n">
        <f aca="false">IF(OR(K149="",J149=""),"",(J149-K149)*100)</f>
        <v>2.2901029848141</v>
      </c>
      <c r="M149" s="38"/>
    </row>
    <row r="150" customFormat="false" ht="15" hidden="false" customHeight="false" outlineLevel="0" collapsed="false">
      <c r="A150" s="38" t="s">
        <v>157</v>
      </c>
      <c r="B150" s="38" t="s">
        <v>253</v>
      </c>
      <c r="C150" s="38" t="s">
        <v>263</v>
      </c>
      <c r="D150" s="21" t="n">
        <v>662</v>
      </c>
      <c r="E150" s="21" t="n">
        <v>552</v>
      </c>
      <c r="F150" s="51" t="n">
        <f aca="false">IF(E150="","",D150-E150)</f>
        <v>110</v>
      </c>
      <c r="G150" s="21" t="n">
        <v>564</v>
      </c>
      <c r="H150" s="21" t="n">
        <v>556</v>
      </c>
      <c r="I150" s="51" t="n">
        <f aca="false">IF(H150="","",G150-H150)</f>
        <v>8</v>
      </c>
      <c r="J150" s="39" t="n">
        <f aca="false">IF(OR(D150="",D150+G150=0),"",D150/(D150+G150))</f>
        <v>0.539967373572594</v>
      </c>
      <c r="K150" s="39" t="n">
        <f aca="false">IF(E150="","",E150/(E150+H150))</f>
        <v>0.498194945848375</v>
      </c>
      <c r="L150" s="52" t="n">
        <f aca="false">IF(OR(K150="",J150=""),"",(J150-K150)*100)</f>
        <v>4.17724277242184</v>
      </c>
      <c r="M150" s="38"/>
    </row>
    <row r="151" customFormat="false" ht="15" hidden="false" customHeight="false" outlineLevel="0" collapsed="false">
      <c r="A151" s="38" t="s">
        <v>157</v>
      </c>
      <c r="B151" s="38" t="s">
        <v>264</v>
      </c>
      <c r="C151" s="38" t="s">
        <v>264</v>
      </c>
      <c r="D151" s="21" t="n">
        <v>1085</v>
      </c>
      <c r="E151" s="21" t="n">
        <v>985</v>
      </c>
      <c r="F151" s="51" t="n">
        <f aca="false">IF(E151="","",D151-E151)</f>
        <v>100</v>
      </c>
      <c r="G151" s="21" t="n">
        <v>1694</v>
      </c>
      <c r="H151" s="21" t="n">
        <v>1586</v>
      </c>
      <c r="I151" s="51" t="n">
        <f aca="false">IF(H151="","",G151-H151)</f>
        <v>108</v>
      </c>
      <c r="J151" s="39" t="n">
        <f aca="false">IF(OR(D151="",D151+G151=0),"",D151/(D151+G151))</f>
        <v>0.390428211586902</v>
      </c>
      <c r="K151" s="39" t="n">
        <f aca="false">IF(E151="","",E151/(E151+H151))</f>
        <v>0.383119408790354</v>
      </c>
      <c r="L151" s="52" t="n">
        <f aca="false">IF(OR(K151="",J151=""),"",(J151-K151)*100)</f>
        <v>0.730880279654783</v>
      </c>
      <c r="M151" s="38"/>
    </row>
    <row r="152" customFormat="false" ht="15" hidden="false" customHeight="false" outlineLevel="0" collapsed="false">
      <c r="A152" s="38" t="s">
        <v>157</v>
      </c>
      <c r="B152" s="38" t="s">
        <v>265</v>
      </c>
      <c r="C152" s="38" t="s">
        <v>265</v>
      </c>
      <c r="D152" s="21" t="n">
        <v>617</v>
      </c>
      <c r="E152" s="21" t="n">
        <v>543</v>
      </c>
      <c r="F152" s="51" t="n">
        <f aca="false">IF(E152="","",D152-E152)</f>
        <v>74</v>
      </c>
      <c r="G152" s="21" t="n">
        <v>1026</v>
      </c>
      <c r="H152" s="21" t="n">
        <v>990</v>
      </c>
      <c r="I152" s="51" t="n">
        <f aca="false">IF(H152="","",G152-H152)</f>
        <v>36</v>
      </c>
      <c r="J152" s="39" t="n">
        <f aca="false">IF(OR(D152="",D152+G152=0),"",D152/(D152+G152))</f>
        <v>0.37553256238588</v>
      </c>
      <c r="K152" s="39" t="n">
        <f aca="false">IF(E152="","",E152/(E152+H152))</f>
        <v>0.354207436399217</v>
      </c>
      <c r="L152" s="52" t="n">
        <f aca="false">IF(OR(K152="",J152=""),"",(J152-K152)*100)</f>
        <v>2.13251259866623</v>
      </c>
      <c r="M152" s="38"/>
    </row>
    <row r="153" customFormat="false" ht="15" hidden="false" customHeight="false" outlineLevel="0" collapsed="false">
      <c r="A153" s="38" t="s">
        <v>157</v>
      </c>
      <c r="B153" s="38" t="s">
        <v>266</v>
      </c>
      <c r="C153" s="38" t="s">
        <v>267</v>
      </c>
      <c r="D153" s="21" t="n">
        <v>224</v>
      </c>
      <c r="E153" s="21" t="n">
        <v>181</v>
      </c>
      <c r="F153" s="51" t="n">
        <f aca="false">IF(E153="","",D153-E153)</f>
        <v>43</v>
      </c>
      <c r="G153" s="21" t="n">
        <v>497</v>
      </c>
      <c r="H153" s="21" t="n">
        <v>482</v>
      </c>
      <c r="I153" s="51" t="n">
        <f aca="false">IF(H153="","",G153-H153)</f>
        <v>15</v>
      </c>
      <c r="J153" s="39" t="n">
        <f aca="false">IF(OR(D153="",D153+G153=0),"",D153/(D153+G153))</f>
        <v>0.310679611650485</v>
      </c>
      <c r="K153" s="39" t="n">
        <f aca="false">IF(E153="","",E153/(E153+H153))</f>
        <v>0.273001508295626</v>
      </c>
      <c r="L153" s="52" t="n">
        <f aca="false">IF(OR(K153="",J153=""),"",(J153-K153)*100)</f>
        <v>3.76781033548595</v>
      </c>
      <c r="M153" s="38"/>
    </row>
    <row r="154" customFormat="false" ht="15" hidden="false" customHeight="false" outlineLevel="0" collapsed="false">
      <c r="A154" s="38" t="s">
        <v>157</v>
      </c>
      <c r="B154" s="38" t="s">
        <v>266</v>
      </c>
      <c r="C154" s="38" t="s">
        <v>268</v>
      </c>
      <c r="D154" s="21" t="n">
        <v>165</v>
      </c>
      <c r="E154" s="21" t="n">
        <v>147</v>
      </c>
      <c r="F154" s="51" t="n">
        <f aca="false">IF(E154="","",D154-E154)</f>
        <v>18</v>
      </c>
      <c r="G154" s="21" t="n">
        <v>325</v>
      </c>
      <c r="H154" s="21" t="n">
        <v>314</v>
      </c>
      <c r="I154" s="51" t="n">
        <f aca="false">IF(H154="","",G154-H154)</f>
        <v>11</v>
      </c>
      <c r="J154" s="39" t="n">
        <f aca="false">IF(OR(D154="",D154+G154=0),"",D154/(D154+G154))</f>
        <v>0.336734693877551</v>
      </c>
      <c r="K154" s="39" t="n">
        <f aca="false">IF(E154="","",E154/(E154+H154))</f>
        <v>0.318872017353579</v>
      </c>
      <c r="L154" s="52" t="n">
        <f aca="false">IF(OR(K154="",J154=""),"",(J154-K154)*100)</f>
        <v>1.78626765239718</v>
      </c>
      <c r="M154" s="38"/>
    </row>
    <row r="155" customFormat="false" ht="15" hidden="false" customHeight="false" outlineLevel="0" collapsed="false">
      <c r="A155" s="38" t="s">
        <v>157</v>
      </c>
      <c r="B155" s="38" t="s">
        <v>266</v>
      </c>
      <c r="C155" s="38" t="s">
        <v>269</v>
      </c>
      <c r="D155" s="21" t="n">
        <v>592</v>
      </c>
      <c r="E155" s="21" t="n">
        <v>522</v>
      </c>
      <c r="F155" s="51" t="n">
        <f aca="false">IF(E155="","",D155-E155)</f>
        <v>70</v>
      </c>
      <c r="G155" s="21" t="n">
        <v>1088</v>
      </c>
      <c r="H155" s="21" t="n">
        <v>1060</v>
      </c>
      <c r="I155" s="51" t="n">
        <f aca="false">IF(H155="","",G155-H155)</f>
        <v>28</v>
      </c>
      <c r="J155" s="39" t="n">
        <f aca="false">IF(OR(D155="",D155+G155=0),"",D155/(D155+G155))</f>
        <v>0.352380952380952</v>
      </c>
      <c r="K155" s="39" t="n">
        <f aca="false">IF(E155="","",E155/(E155+H155))</f>
        <v>0.329962073324905</v>
      </c>
      <c r="L155" s="52" t="n">
        <f aca="false">IF(OR(K155="",J155=""),"",(J155-K155)*100)</f>
        <v>2.24188790560472</v>
      </c>
      <c r="M155" s="38"/>
    </row>
    <row r="156" customFormat="false" ht="15" hidden="false" customHeight="false" outlineLevel="0" collapsed="false">
      <c r="A156" s="38" t="s">
        <v>157</v>
      </c>
      <c r="B156" s="38" t="s">
        <v>270</v>
      </c>
      <c r="C156" s="38" t="s">
        <v>270</v>
      </c>
      <c r="D156" s="21" t="n">
        <v>1078</v>
      </c>
      <c r="E156" s="21" t="n">
        <v>980</v>
      </c>
      <c r="F156" s="51" t="n">
        <f aca="false">IF(E156="","",D156-E156)</f>
        <v>98</v>
      </c>
      <c r="G156" s="21" t="n">
        <v>870</v>
      </c>
      <c r="H156" s="21" t="n">
        <v>872</v>
      </c>
      <c r="I156" s="51" t="n">
        <f aca="false">IF(H156="","",G156-H156)</f>
        <v>-2</v>
      </c>
      <c r="J156" s="39" t="n">
        <f aca="false">IF(OR(D156="",D156+G156=0),"",D156/(D156+G156))</f>
        <v>0.553388090349076</v>
      </c>
      <c r="K156" s="39" t="n">
        <f aca="false">IF(E156="","",E156/(E156+H156))</f>
        <v>0.529157667386609</v>
      </c>
      <c r="L156" s="52" t="n">
        <f aca="false">IF(OR(K156="",J156=""),"",(J156-K156)*100)</f>
        <v>2.42304229624669</v>
      </c>
      <c r="M156" s="38"/>
    </row>
    <row r="157" customFormat="false" ht="15" hidden="false" customHeight="false" outlineLevel="0" collapsed="false">
      <c r="A157" s="38" t="s">
        <v>157</v>
      </c>
      <c r="B157" s="38" t="s">
        <v>271</v>
      </c>
      <c r="C157" s="38" t="s">
        <v>272</v>
      </c>
      <c r="D157" s="21" t="n">
        <v>1108</v>
      </c>
      <c r="E157" s="21" t="n">
        <v>1010</v>
      </c>
      <c r="F157" s="51" t="n">
        <f aca="false">IF(E157="","",D157-E157)</f>
        <v>98</v>
      </c>
      <c r="G157" s="21" t="n">
        <v>1396</v>
      </c>
      <c r="H157" s="21" t="n">
        <v>1334</v>
      </c>
      <c r="I157" s="51" t="n">
        <f aca="false">IF(H157="","",G157-H157)</f>
        <v>62</v>
      </c>
      <c r="J157" s="39" t="n">
        <f aca="false">IF(OR(D157="",D157+G157=0),"",D157/(D157+G157))</f>
        <v>0.442492012779553</v>
      </c>
      <c r="K157" s="39" t="n">
        <f aca="false">IF(E157="","",E157/(E157+H157))</f>
        <v>0.430887372013652</v>
      </c>
      <c r="L157" s="52" t="n">
        <f aca="false">IF(OR(K157="",J157=""),"",(J157-K157)*100)</f>
        <v>1.16046407659008</v>
      </c>
      <c r="M157" s="38"/>
    </row>
    <row r="158" customFormat="false" ht="15" hidden="false" customHeight="false" outlineLevel="0" collapsed="false">
      <c r="A158" s="38" t="s">
        <v>157</v>
      </c>
      <c r="B158" s="38" t="s">
        <v>271</v>
      </c>
      <c r="C158" s="38" t="s">
        <v>273</v>
      </c>
      <c r="D158" s="21" t="n">
        <v>948</v>
      </c>
      <c r="E158" s="21" t="n">
        <v>860</v>
      </c>
      <c r="F158" s="51" t="n">
        <f aca="false">IF(E158="","",D158-E158)</f>
        <v>88</v>
      </c>
      <c r="G158" s="21" t="n">
        <v>1351</v>
      </c>
      <c r="H158" s="21" t="n">
        <v>1332</v>
      </c>
      <c r="I158" s="51" t="n">
        <f aca="false">IF(H158="","",G158-H158)</f>
        <v>19</v>
      </c>
      <c r="J158" s="39" t="n">
        <f aca="false">IF(OR(D158="",D158+G158=0),"",D158/(D158+G158))</f>
        <v>0.412353197042192</v>
      </c>
      <c r="K158" s="39" t="n">
        <f aca="false">IF(E158="","",E158/(E158+H158))</f>
        <v>0.392335766423358</v>
      </c>
      <c r="L158" s="52" t="n">
        <f aca="false">IF(OR(K158="",J158=""),"",(J158-K158)*100)</f>
        <v>2.00174306188346</v>
      </c>
      <c r="M158" s="38"/>
    </row>
    <row r="159" customFormat="false" ht="15" hidden="false" customHeight="false" outlineLevel="0" collapsed="false">
      <c r="A159" s="38" t="s">
        <v>157</v>
      </c>
      <c r="B159" s="38" t="s">
        <v>271</v>
      </c>
      <c r="C159" s="38" t="s">
        <v>274</v>
      </c>
      <c r="D159" s="21" t="n">
        <v>518</v>
      </c>
      <c r="E159" s="21" t="n">
        <v>449</v>
      </c>
      <c r="F159" s="51" t="n">
        <f aca="false">IF(E159="","",D159-E159)</f>
        <v>69</v>
      </c>
      <c r="G159" s="21" t="n">
        <v>716</v>
      </c>
      <c r="H159" s="21" t="n">
        <v>705</v>
      </c>
      <c r="I159" s="51" t="n">
        <f aca="false">IF(H159="","",G159-H159)</f>
        <v>11</v>
      </c>
      <c r="J159" s="39" t="n">
        <f aca="false">IF(OR(D159="",D159+G159=0),"",D159/(D159+G159))</f>
        <v>0.419773095623987</v>
      </c>
      <c r="K159" s="39" t="n">
        <f aca="false">IF(E159="","",E159/(E159+H159))</f>
        <v>0.389081455805893</v>
      </c>
      <c r="L159" s="52" t="n">
        <f aca="false">IF(OR(K159="",J159=""),"",(J159-K159)*100)</f>
        <v>3.06916398180945</v>
      </c>
      <c r="M159" s="38"/>
    </row>
    <row r="160" customFormat="false" ht="15" hidden="false" customHeight="false" outlineLevel="0" collapsed="false">
      <c r="A160" s="38" t="s">
        <v>157</v>
      </c>
      <c r="B160" s="38" t="s">
        <v>271</v>
      </c>
      <c r="C160" s="38" t="s">
        <v>275</v>
      </c>
      <c r="D160" s="21" t="n">
        <v>722</v>
      </c>
      <c r="E160" s="21" t="n">
        <v>654</v>
      </c>
      <c r="F160" s="51" t="n">
        <f aca="false">IF(E160="","",D160-E160)</f>
        <v>68</v>
      </c>
      <c r="G160" s="21" t="n">
        <v>993</v>
      </c>
      <c r="H160" s="21" t="n">
        <v>979</v>
      </c>
      <c r="I160" s="51" t="n">
        <f aca="false">IF(H160="","",G160-H160)</f>
        <v>14</v>
      </c>
      <c r="J160" s="39" t="n">
        <f aca="false">IF(OR(D160="",D160+G160=0),"",D160/(D160+G160))</f>
        <v>0.420991253644315</v>
      </c>
      <c r="K160" s="39" t="n">
        <f aca="false">IF(E160="","",E160/(E160+H160))</f>
        <v>0.400489895897122</v>
      </c>
      <c r="L160" s="52" t="n">
        <f aca="false">IF(OR(K160="",J160=""),"",(J160-K160)*100)</f>
        <v>2.0501357747193</v>
      </c>
      <c r="M160" s="38"/>
    </row>
    <row r="161" customFormat="false" ht="15" hidden="false" customHeight="false" outlineLevel="0" collapsed="false">
      <c r="A161" s="38" t="s">
        <v>157</v>
      </c>
      <c r="B161" s="38" t="s">
        <v>271</v>
      </c>
      <c r="C161" s="38" t="s">
        <v>276</v>
      </c>
      <c r="D161" s="21" t="n">
        <v>643</v>
      </c>
      <c r="E161" s="21" t="n">
        <v>557</v>
      </c>
      <c r="F161" s="51" t="n">
        <f aca="false">IF(E161="","",D161-E161)</f>
        <v>86</v>
      </c>
      <c r="G161" s="21" t="n">
        <v>939</v>
      </c>
      <c r="H161" s="21" t="n">
        <v>890</v>
      </c>
      <c r="I161" s="51" t="n">
        <f aca="false">IF(H161="","",G161-H161)</f>
        <v>49</v>
      </c>
      <c r="J161" s="39" t="n">
        <f aca="false">IF(OR(D161="",D161+G161=0),"",D161/(D161+G161))</f>
        <v>0.406447534766119</v>
      </c>
      <c r="K161" s="39" t="n">
        <f aca="false">IF(E161="","",E161/(E161+H161))</f>
        <v>0.384934346924672</v>
      </c>
      <c r="L161" s="52" t="n">
        <f aca="false">IF(OR(K161="",J161=""),"",(J161-K161)*100)</f>
        <v>2.15131878414471</v>
      </c>
      <c r="M161" s="38"/>
    </row>
    <row r="162" customFormat="false" ht="15" hidden="false" customHeight="false" outlineLevel="0" collapsed="false">
      <c r="A162" s="38" t="s">
        <v>157</v>
      </c>
      <c r="B162" s="38" t="s">
        <v>271</v>
      </c>
      <c r="C162" s="38" t="s">
        <v>277</v>
      </c>
      <c r="D162" s="21" t="n">
        <v>558</v>
      </c>
      <c r="E162" s="21" t="n">
        <v>492</v>
      </c>
      <c r="F162" s="51" t="n">
        <f aca="false">IF(E162="","",D162-E162)</f>
        <v>66</v>
      </c>
      <c r="G162" s="21" t="n">
        <v>680</v>
      </c>
      <c r="H162" s="21" t="n">
        <v>675</v>
      </c>
      <c r="I162" s="51" t="n">
        <f aca="false">IF(H162="","",G162-H162)</f>
        <v>5</v>
      </c>
      <c r="J162" s="39" t="n">
        <f aca="false">IF(OR(D162="",D162+G162=0),"",D162/(D162+G162))</f>
        <v>0.450726978998385</v>
      </c>
      <c r="K162" s="39" t="n">
        <f aca="false">IF(E162="","",E162/(E162+H162))</f>
        <v>0.42159383033419</v>
      </c>
      <c r="L162" s="52" t="n">
        <f aca="false">IF(OR(K162="",J162=""),"",(J162-K162)*100)</f>
        <v>2.91331486641943</v>
      </c>
      <c r="M162" s="38"/>
    </row>
    <row r="163" customFormat="false" ht="15" hidden="false" customHeight="false" outlineLevel="0" collapsed="false">
      <c r="A163" s="38" t="s">
        <v>157</v>
      </c>
      <c r="B163" s="38" t="s">
        <v>278</v>
      </c>
      <c r="C163" s="38" t="s">
        <v>279</v>
      </c>
      <c r="D163" s="21" t="n">
        <v>738</v>
      </c>
      <c r="E163" s="21" t="n">
        <v>668</v>
      </c>
      <c r="F163" s="51" t="n">
        <f aca="false">IF(E163="","",D163-E163)</f>
        <v>70</v>
      </c>
      <c r="G163" s="21" t="n">
        <v>702</v>
      </c>
      <c r="H163" s="21" t="n">
        <v>693</v>
      </c>
      <c r="I163" s="51" t="n">
        <f aca="false">IF(H163="","",G163-H163)</f>
        <v>9</v>
      </c>
      <c r="J163" s="39" t="n">
        <f aca="false">IF(OR(D163="",D163+G163=0),"",D163/(D163+G163))</f>
        <v>0.5125</v>
      </c>
      <c r="K163" s="39" t="n">
        <f aca="false">IF(E163="","",E163/(E163+H163))</f>
        <v>0.490815576781778</v>
      </c>
      <c r="L163" s="52" t="n">
        <f aca="false">IF(OR(K163="",J163=""),"",(J163-K163)*100)</f>
        <v>2.16844232182218</v>
      </c>
      <c r="M163" s="38"/>
    </row>
    <row r="164" customFormat="false" ht="15" hidden="false" customHeight="false" outlineLevel="0" collapsed="false">
      <c r="A164" s="38" t="s">
        <v>157</v>
      </c>
      <c r="B164" s="38" t="s">
        <v>278</v>
      </c>
      <c r="C164" s="38" t="s">
        <v>280</v>
      </c>
      <c r="D164" s="21" t="n">
        <v>876</v>
      </c>
      <c r="E164" s="21" t="n">
        <v>803</v>
      </c>
      <c r="F164" s="51" t="n">
        <f aca="false">IF(E164="","",D164-E164)</f>
        <v>73</v>
      </c>
      <c r="G164" s="21" t="n">
        <v>777</v>
      </c>
      <c r="H164" s="21" t="n">
        <v>818</v>
      </c>
      <c r="I164" s="51" t="n">
        <f aca="false">IF(H164="","",G164-H164)</f>
        <v>-41</v>
      </c>
      <c r="J164" s="39" t="n">
        <f aca="false">IF(OR(D164="",D164+G164=0),"",D164/(D164+G164))</f>
        <v>0.52994555353902</v>
      </c>
      <c r="K164" s="39" t="n">
        <f aca="false">IF(E164="","",E164/(E164+H164))</f>
        <v>0.495373226403455</v>
      </c>
      <c r="L164" s="52" t="n">
        <f aca="false">IF(OR(K164="",J164=""),"",(J164-K164)*100)</f>
        <v>3.45723271355653</v>
      </c>
      <c r="M164" s="38"/>
    </row>
    <row r="165" customFormat="false" ht="15" hidden="false" customHeight="false" outlineLevel="0" collapsed="false">
      <c r="A165" s="38" t="s">
        <v>157</v>
      </c>
      <c r="B165" s="38" t="s">
        <v>278</v>
      </c>
      <c r="C165" s="38" t="s">
        <v>281</v>
      </c>
      <c r="D165" s="21" t="n">
        <v>415</v>
      </c>
      <c r="E165" s="21" t="n">
        <v>342</v>
      </c>
      <c r="F165" s="51" t="n">
        <f aca="false">IF(E165="","",D165-E165)</f>
        <v>73</v>
      </c>
      <c r="G165" s="21" t="n">
        <v>374</v>
      </c>
      <c r="H165" s="21" t="n">
        <v>358</v>
      </c>
      <c r="I165" s="51" t="n">
        <f aca="false">IF(H165="","",G165-H165)</f>
        <v>16</v>
      </c>
      <c r="J165" s="39" t="n">
        <f aca="false">IF(OR(D165="",D165+G165=0),"",D165/(D165+G165))</f>
        <v>0.525982256020279</v>
      </c>
      <c r="K165" s="39" t="n">
        <f aca="false">IF(E165="","",E165/(E165+H165))</f>
        <v>0.488571428571429</v>
      </c>
      <c r="L165" s="52" t="n">
        <f aca="false">IF(OR(K165="",J165=""),"",(J165-K165)*100)</f>
        <v>3.74108274488503</v>
      </c>
      <c r="M165" s="38"/>
    </row>
    <row r="166" customFormat="false" ht="15" hidden="false" customHeight="false" outlineLevel="0" collapsed="false">
      <c r="A166" s="38" t="s">
        <v>157</v>
      </c>
      <c r="B166" s="38" t="s">
        <v>278</v>
      </c>
      <c r="C166" s="38" t="s">
        <v>282</v>
      </c>
      <c r="D166" s="21" t="n">
        <v>447</v>
      </c>
      <c r="E166" s="21" t="n">
        <v>411</v>
      </c>
      <c r="F166" s="51" t="n">
        <f aca="false">IF(E166="","",D166-E166)</f>
        <v>36</v>
      </c>
      <c r="G166" s="21" t="n">
        <v>405</v>
      </c>
      <c r="H166" s="21" t="n">
        <v>417</v>
      </c>
      <c r="I166" s="51" t="n">
        <f aca="false">IF(H166="","",G166-H166)</f>
        <v>-12</v>
      </c>
      <c r="J166" s="39" t="n">
        <f aca="false">IF(OR(D166="",D166+G166=0),"",D166/(D166+G166))</f>
        <v>0.524647887323944</v>
      </c>
      <c r="K166" s="39" t="n">
        <f aca="false">IF(E166="","",E166/(E166+H166))</f>
        <v>0.496376811594203</v>
      </c>
      <c r="L166" s="52" t="n">
        <f aca="false">IF(OR(K166="",J166=""),"",(J166-K166)*100)</f>
        <v>2.82710757297407</v>
      </c>
      <c r="M166" s="38"/>
    </row>
    <row r="167" customFormat="false" ht="15" hidden="false" customHeight="false" outlineLevel="0" collapsed="false">
      <c r="A167" s="38" t="s">
        <v>157</v>
      </c>
      <c r="B167" s="38" t="s">
        <v>278</v>
      </c>
      <c r="C167" s="38" t="s">
        <v>283</v>
      </c>
      <c r="D167" s="21" t="n">
        <v>589</v>
      </c>
      <c r="E167" s="21" t="n">
        <v>525</v>
      </c>
      <c r="F167" s="51" t="n">
        <f aca="false">IF(E167="","",D167-E167)</f>
        <v>64</v>
      </c>
      <c r="G167" s="21" t="n">
        <v>588</v>
      </c>
      <c r="H167" s="21" t="n">
        <v>552</v>
      </c>
      <c r="I167" s="51" t="n">
        <f aca="false">IF(H167="","",G167-H167)</f>
        <v>36</v>
      </c>
      <c r="J167" s="39" t="n">
        <f aca="false">IF(OR(D167="",D167+G167=0),"",D167/(D167+G167))</f>
        <v>0.500424808836024</v>
      </c>
      <c r="K167" s="39" t="n">
        <f aca="false">IF(E167="","",E167/(E167+H167))</f>
        <v>0.487465181058496</v>
      </c>
      <c r="L167" s="52" t="n">
        <f aca="false">IF(OR(K167="",J167=""),"",(J167-K167)*100)</f>
        <v>1.2959627777528</v>
      </c>
      <c r="M167" s="38"/>
    </row>
    <row r="168" customFormat="false" ht="15" hidden="false" customHeight="false" outlineLevel="0" collapsed="false">
      <c r="A168" s="38" t="s">
        <v>157</v>
      </c>
      <c r="B168" s="38" t="s">
        <v>278</v>
      </c>
      <c r="C168" s="38" t="s">
        <v>284</v>
      </c>
      <c r="D168" s="21" t="n">
        <v>378</v>
      </c>
      <c r="E168" s="21" t="n">
        <v>313</v>
      </c>
      <c r="F168" s="51" t="n">
        <f aca="false">IF(E168="","",D168-E168)</f>
        <v>65</v>
      </c>
      <c r="G168" s="21" t="n">
        <v>373</v>
      </c>
      <c r="H168" s="21" t="n">
        <v>360</v>
      </c>
      <c r="I168" s="51" t="n">
        <f aca="false">IF(H168="","",G168-H168)</f>
        <v>13</v>
      </c>
      <c r="J168" s="39" t="n">
        <f aca="false">IF(OR(D168="",D168+G168=0),"",D168/(D168+G168))</f>
        <v>0.503328894806924</v>
      </c>
      <c r="K168" s="39" t="n">
        <f aca="false">IF(E168="","",E168/(E168+H168))</f>
        <v>0.465081723625557</v>
      </c>
      <c r="L168" s="52" t="n">
        <f aca="false">IF(OR(K168="",J168=""),"",(J168-K168)*100)</f>
        <v>3.82471711813669</v>
      </c>
      <c r="M168" s="38"/>
    </row>
    <row r="169" customFormat="false" ht="15" hidden="false" customHeight="false" outlineLevel="0" collapsed="false">
      <c r="A169" s="38" t="s">
        <v>157</v>
      </c>
      <c r="B169" s="38" t="s">
        <v>278</v>
      </c>
      <c r="C169" s="38" t="s">
        <v>285</v>
      </c>
      <c r="D169" s="21" t="n">
        <v>450</v>
      </c>
      <c r="E169" s="21" t="n">
        <v>415</v>
      </c>
      <c r="F169" s="51" t="n">
        <f aca="false">IF(E169="","",D169-E169)</f>
        <v>35</v>
      </c>
      <c r="G169" s="21" t="n">
        <v>382</v>
      </c>
      <c r="H169" s="21" t="n">
        <v>371</v>
      </c>
      <c r="I169" s="51" t="n">
        <f aca="false">IF(H169="","",G169-H169)</f>
        <v>11</v>
      </c>
      <c r="J169" s="39" t="n">
        <f aca="false">IF(OR(D169="",D169+G169=0),"",D169/(D169+G169))</f>
        <v>0.540865384615385</v>
      </c>
      <c r="K169" s="39" t="n">
        <f aca="false">IF(E169="","",E169/(E169+H169))</f>
        <v>0.527989821882952</v>
      </c>
      <c r="L169" s="52" t="n">
        <f aca="false">IF(OR(K169="",J169=""),"",(J169-K169)*100)</f>
        <v>1.2875562732433</v>
      </c>
      <c r="M169" s="38"/>
    </row>
    <row r="170" customFormat="false" ht="15" hidden="false" customHeight="false" outlineLevel="0" collapsed="false">
      <c r="A170" s="38" t="s">
        <v>157</v>
      </c>
      <c r="B170" s="38" t="s">
        <v>278</v>
      </c>
      <c r="C170" s="38" t="s">
        <v>286</v>
      </c>
      <c r="D170" s="21" t="n">
        <v>637</v>
      </c>
      <c r="E170" s="21" t="n">
        <v>533</v>
      </c>
      <c r="F170" s="51" t="n">
        <f aca="false">IF(E170="","",D170-E170)</f>
        <v>104</v>
      </c>
      <c r="G170" s="21" t="n">
        <v>579</v>
      </c>
      <c r="H170" s="21" t="n">
        <v>535</v>
      </c>
      <c r="I170" s="51" t="n">
        <f aca="false">IF(H170="","",G170-H170)</f>
        <v>44</v>
      </c>
      <c r="J170" s="39" t="n">
        <f aca="false">IF(OR(D170="",D170+G170=0),"",D170/(D170+G170))</f>
        <v>0.523848684210526</v>
      </c>
      <c r="K170" s="39" t="n">
        <f aca="false">IF(E170="","",E170/(E170+H170))</f>
        <v>0.499063670411985</v>
      </c>
      <c r="L170" s="52" t="n">
        <f aca="false">IF(OR(K170="",J170=""),"",(J170-K170)*100)</f>
        <v>2.47850137985413</v>
      </c>
      <c r="M170" s="38"/>
    </row>
    <row r="171" customFormat="false" ht="15" hidden="false" customHeight="false" outlineLevel="0" collapsed="false">
      <c r="A171" s="38" t="s">
        <v>157</v>
      </c>
      <c r="B171" s="38" t="s">
        <v>287</v>
      </c>
      <c r="C171" s="38" t="s">
        <v>288</v>
      </c>
      <c r="D171" s="21" t="n">
        <v>268</v>
      </c>
      <c r="E171" s="21" t="n">
        <v>242</v>
      </c>
      <c r="F171" s="51" t="n">
        <f aca="false">IF(E171="","",D171-E171)</f>
        <v>26</v>
      </c>
      <c r="G171" s="21" t="n">
        <v>306</v>
      </c>
      <c r="H171" s="21" t="n">
        <v>337</v>
      </c>
      <c r="I171" s="51" t="n">
        <f aca="false">IF(H171="","",G171-H171)</f>
        <v>-31</v>
      </c>
      <c r="J171" s="39" t="n">
        <f aca="false">IF(OR(D171="",D171+G171=0),"",D171/(D171+G171))</f>
        <v>0.466898954703833</v>
      </c>
      <c r="K171" s="39" t="n">
        <f aca="false">IF(E171="","",E171/(E171+H171))</f>
        <v>0.417962003454231</v>
      </c>
      <c r="L171" s="52" t="n">
        <f aca="false">IF(OR(K171="",J171=""),"",(J171-K171)*100)</f>
        <v>4.89369512496013</v>
      </c>
      <c r="M171" s="38"/>
    </row>
    <row r="172" customFormat="false" ht="15" hidden="false" customHeight="false" outlineLevel="0" collapsed="false">
      <c r="A172" s="38" t="s">
        <v>157</v>
      </c>
      <c r="B172" s="38" t="s">
        <v>287</v>
      </c>
      <c r="C172" s="38" t="s">
        <v>289</v>
      </c>
      <c r="D172" s="21" t="n">
        <v>214</v>
      </c>
      <c r="E172" s="21" t="n">
        <v>187</v>
      </c>
      <c r="F172" s="51" t="n">
        <f aca="false">IF(E172="","",D172-E172)</f>
        <v>27</v>
      </c>
      <c r="G172" s="21" t="n">
        <v>272</v>
      </c>
      <c r="H172" s="21" t="n">
        <v>292</v>
      </c>
      <c r="I172" s="51" t="n">
        <f aca="false">IF(H172="","",G172-H172)</f>
        <v>-20</v>
      </c>
      <c r="J172" s="39" t="n">
        <f aca="false">IF(OR(D172="",D172+G172=0),"",D172/(D172+G172))</f>
        <v>0.440329218106996</v>
      </c>
      <c r="K172" s="39" t="n">
        <f aca="false">IF(E172="","",E172/(E172+H172))</f>
        <v>0.390396659707724</v>
      </c>
      <c r="L172" s="52" t="n">
        <f aca="false">IF(OR(K172="",J172=""),"",(J172-K172)*100)</f>
        <v>4.99325583992715</v>
      </c>
      <c r="M172" s="38"/>
    </row>
    <row r="173" customFormat="false" ht="15" hidden="false" customHeight="false" outlineLevel="0" collapsed="false">
      <c r="A173" s="38" t="s">
        <v>157</v>
      </c>
      <c r="B173" s="38" t="s">
        <v>287</v>
      </c>
      <c r="C173" s="38" t="s">
        <v>290</v>
      </c>
      <c r="D173" s="21" t="n">
        <v>411</v>
      </c>
      <c r="E173" s="21" t="n">
        <v>371</v>
      </c>
      <c r="F173" s="51" t="n">
        <f aca="false">IF(E173="","",D173-E173)</f>
        <v>40</v>
      </c>
      <c r="G173" s="21" t="n">
        <v>516</v>
      </c>
      <c r="H173" s="21" t="n">
        <v>527</v>
      </c>
      <c r="I173" s="51" t="n">
        <f aca="false">IF(H173="","",G173-H173)</f>
        <v>-11</v>
      </c>
      <c r="J173" s="39" t="n">
        <f aca="false">IF(OR(D173="",D173+G173=0),"",D173/(D173+G173))</f>
        <v>0.44336569579288</v>
      </c>
      <c r="K173" s="39" t="n">
        <f aca="false">IF(E173="","",E173/(E173+H173))</f>
        <v>0.413140311804009</v>
      </c>
      <c r="L173" s="52" t="n">
        <f aca="false">IF(OR(K173="",J173=""),"",(J173-K173)*100)</f>
        <v>3.02253839888714</v>
      </c>
      <c r="M173" s="38"/>
    </row>
    <row r="174" customFormat="false" ht="15" hidden="false" customHeight="false" outlineLevel="0" collapsed="false">
      <c r="A174" s="38" t="s">
        <v>157</v>
      </c>
      <c r="B174" s="38" t="s">
        <v>291</v>
      </c>
      <c r="C174" s="38" t="s">
        <v>292</v>
      </c>
      <c r="D174" s="21" t="n">
        <v>1020</v>
      </c>
      <c r="E174" s="21" t="n">
        <v>912</v>
      </c>
      <c r="F174" s="51" t="n">
        <f aca="false">IF(E174="","",D174-E174)</f>
        <v>108</v>
      </c>
      <c r="G174" s="21" t="n">
        <v>927</v>
      </c>
      <c r="H174" s="21" t="n">
        <v>964</v>
      </c>
      <c r="I174" s="51" t="n">
        <f aca="false">IF(H174="","",G174-H174)</f>
        <v>-37</v>
      </c>
      <c r="J174" s="39" t="n">
        <f aca="false">IF(OR(D174="",D174+G174=0),"",D174/(D174+G174))</f>
        <v>0.523882896764253</v>
      </c>
      <c r="K174" s="39" t="n">
        <f aca="false">IF(E174="","",E174/(E174+H174))</f>
        <v>0.486140724946695</v>
      </c>
      <c r="L174" s="52" t="n">
        <f aca="false">IF(OR(K174="",J174=""),"",(J174-K174)*100)</f>
        <v>3.77421718175576</v>
      </c>
      <c r="M174" s="38"/>
    </row>
    <row r="175" customFormat="false" ht="15" hidden="false" customHeight="false" outlineLevel="0" collapsed="false">
      <c r="A175" s="38" t="s">
        <v>157</v>
      </c>
      <c r="B175" s="38" t="s">
        <v>291</v>
      </c>
      <c r="C175" s="38" t="s">
        <v>293</v>
      </c>
      <c r="D175" s="21" t="n">
        <v>492</v>
      </c>
      <c r="E175" s="21" t="n">
        <v>449</v>
      </c>
      <c r="F175" s="51" t="n">
        <f aca="false">IF(E175="","",D175-E175)</f>
        <v>43</v>
      </c>
      <c r="G175" s="21" t="n">
        <v>461</v>
      </c>
      <c r="H175" s="21" t="n">
        <v>448</v>
      </c>
      <c r="I175" s="51" t="n">
        <f aca="false">IF(H175="","",G175-H175)</f>
        <v>13</v>
      </c>
      <c r="J175" s="39" t="n">
        <f aca="false">IF(OR(D175="",D175+G175=0),"",D175/(D175+G175))</f>
        <v>0.516264428121721</v>
      </c>
      <c r="K175" s="39" t="n">
        <f aca="false">IF(E175="","",E175/(E175+H175))</f>
        <v>0.500557413600892</v>
      </c>
      <c r="L175" s="52" t="n">
        <f aca="false">IF(OR(K175="",J175=""),"",(J175-K175)*100)</f>
        <v>1.5707014520829</v>
      </c>
      <c r="M175" s="38"/>
    </row>
    <row r="176" customFormat="false" ht="15" hidden="false" customHeight="false" outlineLevel="0" collapsed="false">
      <c r="A176" s="38" t="s">
        <v>157</v>
      </c>
      <c r="B176" s="38" t="s">
        <v>291</v>
      </c>
      <c r="C176" s="38" t="s">
        <v>294</v>
      </c>
      <c r="D176" s="21" t="n">
        <v>1286</v>
      </c>
      <c r="E176" s="21" t="n">
        <v>1161</v>
      </c>
      <c r="F176" s="51" t="n">
        <f aca="false">IF(E176="","",D176-E176)</f>
        <v>125</v>
      </c>
      <c r="G176" s="21" t="n">
        <v>928</v>
      </c>
      <c r="H176" s="21" t="n">
        <v>915</v>
      </c>
      <c r="I176" s="51" t="n">
        <f aca="false">IF(H176="","",G176-H176)</f>
        <v>13</v>
      </c>
      <c r="J176" s="39" t="n">
        <f aca="false">IF(OR(D176="",D176+G176=0),"",D176/(D176+G176))</f>
        <v>0.580849141824752</v>
      </c>
      <c r="K176" s="39" t="n">
        <f aca="false">IF(E176="","",E176/(E176+H176))</f>
        <v>0.559248554913295</v>
      </c>
      <c r="L176" s="52" t="n">
        <f aca="false">IF(OR(K176="",J176=""),"",(J176-K176)*100)</f>
        <v>2.16005869114567</v>
      </c>
      <c r="M176" s="38"/>
    </row>
    <row r="177" customFormat="false" ht="15" hidden="false" customHeight="false" outlineLevel="0" collapsed="false">
      <c r="A177" s="38" t="s">
        <v>157</v>
      </c>
      <c r="B177" s="38" t="s">
        <v>291</v>
      </c>
      <c r="C177" s="38" t="s">
        <v>295</v>
      </c>
      <c r="D177" s="21" t="n">
        <v>607</v>
      </c>
      <c r="E177" s="21" t="n">
        <v>534</v>
      </c>
      <c r="F177" s="51" t="n">
        <f aca="false">IF(E177="","",D177-E177)</f>
        <v>73</v>
      </c>
      <c r="G177" s="21" t="n">
        <v>569</v>
      </c>
      <c r="H177" s="21" t="n">
        <v>577</v>
      </c>
      <c r="I177" s="51" t="n">
        <f aca="false">IF(H177="","",G177-H177)</f>
        <v>-8</v>
      </c>
      <c r="J177" s="39" t="n">
        <f aca="false">IF(OR(D177="",D177+G177=0),"",D177/(D177+G177))</f>
        <v>0.516156462585034</v>
      </c>
      <c r="K177" s="39" t="n">
        <f aca="false">IF(E177="","",E177/(E177+H177))</f>
        <v>0.480648064806481</v>
      </c>
      <c r="L177" s="52" t="n">
        <f aca="false">IF(OR(K177="",J177=""),"",(J177-K177)*100)</f>
        <v>3.55083977785534</v>
      </c>
      <c r="M177" s="38"/>
    </row>
    <row r="178" customFormat="false" ht="15" hidden="false" customHeight="false" outlineLevel="0" collapsed="false">
      <c r="A178" s="38" t="s">
        <v>157</v>
      </c>
      <c r="B178" s="38" t="s">
        <v>291</v>
      </c>
      <c r="C178" s="38" t="s">
        <v>296</v>
      </c>
      <c r="D178" s="21" t="n">
        <v>1194</v>
      </c>
      <c r="E178" s="21" t="n">
        <v>1123</v>
      </c>
      <c r="F178" s="51" t="n">
        <f aca="false">IF(E178="","",D178-E178)</f>
        <v>71</v>
      </c>
      <c r="G178" s="21" t="n">
        <v>777</v>
      </c>
      <c r="H178" s="21" t="n">
        <v>741</v>
      </c>
      <c r="I178" s="51" t="n">
        <f aca="false">IF(H178="","",G178-H178)</f>
        <v>36</v>
      </c>
      <c r="J178" s="39" t="n">
        <f aca="false">IF(OR(D178="",D178+G178=0),"",D178/(D178+G178))</f>
        <v>0.605783866057839</v>
      </c>
      <c r="K178" s="39" t="n">
        <f aca="false">IF(E178="","",E178/(E178+H178))</f>
        <v>0.602467811158798</v>
      </c>
      <c r="L178" s="52" t="n">
        <f aca="false">IF(OR(K178="",J178=""),"",(J178-K178)*100)</f>
        <v>0.33160548990403</v>
      </c>
      <c r="M178" s="38"/>
    </row>
    <row r="179" customFormat="false" ht="15" hidden="false" customHeight="false" outlineLevel="0" collapsed="false">
      <c r="A179" s="38" t="s">
        <v>157</v>
      </c>
      <c r="B179" s="38" t="s">
        <v>291</v>
      </c>
      <c r="C179" s="38" t="s">
        <v>297</v>
      </c>
      <c r="D179" s="21" t="n">
        <v>1101</v>
      </c>
      <c r="E179" s="21" t="n">
        <v>1054</v>
      </c>
      <c r="F179" s="51" t="n">
        <f aca="false">IF(E179="","",D179-E179)</f>
        <v>47</v>
      </c>
      <c r="G179" s="21" t="n">
        <v>727</v>
      </c>
      <c r="H179" s="21" t="n">
        <v>706</v>
      </c>
      <c r="I179" s="51" t="n">
        <f aca="false">IF(H179="","",G179-H179)</f>
        <v>21</v>
      </c>
      <c r="J179" s="39" t="n">
        <f aca="false">IF(OR(D179="",D179+G179=0),"",D179/(D179+G179))</f>
        <v>0.602297592997812</v>
      </c>
      <c r="K179" s="39" t="n">
        <f aca="false">IF(E179="","",E179/(E179+H179))</f>
        <v>0.598863636363636</v>
      </c>
      <c r="L179" s="52" t="n">
        <f aca="false">IF(OR(K179="",J179=""),"",(J179-K179)*100)</f>
        <v>0.343395663417545</v>
      </c>
      <c r="M179" s="38"/>
    </row>
    <row r="180" customFormat="false" ht="15" hidden="false" customHeight="false" outlineLevel="0" collapsed="false">
      <c r="A180" s="38" t="s">
        <v>157</v>
      </c>
      <c r="B180" s="38" t="s">
        <v>291</v>
      </c>
      <c r="C180" s="38" t="s">
        <v>298</v>
      </c>
      <c r="D180" s="21" t="n">
        <v>530</v>
      </c>
      <c r="E180" s="21" t="n">
        <v>469</v>
      </c>
      <c r="F180" s="51" t="n">
        <f aca="false">IF(E180="","",D180-E180)</f>
        <v>61</v>
      </c>
      <c r="G180" s="21" t="n">
        <v>436</v>
      </c>
      <c r="H180" s="21" t="n">
        <v>468</v>
      </c>
      <c r="I180" s="51" t="n">
        <f aca="false">IF(H180="","",G180-H180)</f>
        <v>-32</v>
      </c>
      <c r="J180" s="39" t="n">
        <f aca="false">IF(OR(D180="",D180+G180=0),"",D180/(D180+G180))</f>
        <v>0.548654244306418</v>
      </c>
      <c r="K180" s="39" t="n">
        <f aca="false">IF(E180="","",E180/(E180+H180))</f>
        <v>0.500533617929562</v>
      </c>
      <c r="L180" s="52" t="n">
        <f aca="false">IF(OR(K180="",J180=""),"",(J180-K180)*100)</f>
        <v>4.81206263768558</v>
      </c>
      <c r="M180" s="38"/>
    </row>
    <row r="181" customFormat="false" ht="15" hidden="false" customHeight="false" outlineLevel="0" collapsed="false">
      <c r="A181" s="38" t="s">
        <v>157</v>
      </c>
      <c r="B181" s="38" t="s">
        <v>291</v>
      </c>
      <c r="C181" s="38" t="s">
        <v>299</v>
      </c>
      <c r="D181" s="21" t="n">
        <v>1436</v>
      </c>
      <c r="E181" s="21" t="n">
        <v>1317</v>
      </c>
      <c r="F181" s="51" t="n">
        <f aca="false">IF(E181="","",D181-E181)</f>
        <v>119</v>
      </c>
      <c r="G181" s="21" t="n">
        <v>1298</v>
      </c>
      <c r="H181" s="21" t="n">
        <v>1291</v>
      </c>
      <c r="I181" s="51" t="n">
        <f aca="false">IF(H181="","",G181-H181)</f>
        <v>7</v>
      </c>
      <c r="J181" s="39" t="n">
        <f aca="false">IF(OR(D181="",D181+G181=0),"",D181/(D181+G181))</f>
        <v>0.525237746891002</v>
      </c>
      <c r="K181" s="39" t="n">
        <f aca="false">IF(E181="","",E181/(E181+H181))</f>
        <v>0.504984662576687</v>
      </c>
      <c r="L181" s="52" t="n">
        <f aca="false">IF(OR(K181="",J181=""),"",(J181-K181)*100)</f>
        <v>2.02530843143151</v>
      </c>
      <c r="M181" s="38"/>
    </row>
    <row r="182" customFormat="false" ht="15" hidden="false" customHeight="false" outlineLevel="0" collapsed="false">
      <c r="A182" s="38" t="s">
        <v>157</v>
      </c>
      <c r="B182" s="38" t="s">
        <v>300</v>
      </c>
      <c r="C182" s="38" t="s">
        <v>301</v>
      </c>
      <c r="D182" s="21" t="n">
        <v>1112</v>
      </c>
      <c r="E182" s="21" t="n">
        <v>992</v>
      </c>
      <c r="F182" s="51" t="n">
        <f aca="false">IF(E182="","",D182-E182)</f>
        <v>120</v>
      </c>
      <c r="G182" s="21" t="n">
        <v>989</v>
      </c>
      <c r="H182" s="21" t="n">
        <v>983</v>
      </c>
      <c r="I182" s="51" t="n">
        <f aca="false">IF(H182="","",G182-H182)</f>
        <v>6</v>
      </c>
      <c r="J182" s="39" t="n">
        <f aca="false">IF(OR(D182="",D182+G182=0),"",D182/(D182+G182))</f>
        <v>0.529271775345074</v>
      </c>
      <c r="K182" s="39" t="n">
        <f aca="false">IF(E182="","",E182/(E182+H182))</f>
        <v>0.502278481012658</v>
      </c>
      <c r="L182" s="52" t="n">
        <f aca="false">IF(OR(K182="",J182=""),"",(J182-K182)*100)</f>
        <v>2.69932943324155</v>
      </c>
      <c r="M182" s="38"/>
    </row>
    <row r="183" customFormat="false" ht="15" hidden="false" customHeight="false" outlineLevel="0" collapsed="false">
      <c r="A183" s="38" t="s">
        <v>157</v>
      </c>
      <c r="B183" s="38" t="s">
        <v>300</v>
      </c>
      <c r="C183" s="38" t="s">
        <v>302</v>
      </c>
      <c r="D183" s="21" t="n">
        <v>1460</v>
      </c>
      <c r="E183" s="21" t="n">
        <v>1311</v>
      </c>
      <c r="F183" s="51" t="n">
        <f aca="false">IF(E183="","",D183-E183)</f>
        <v>149</v>
      </c>
      <c r="G183" s="21" t="n">
        <v>1321</v>
      </c>
      <c r="H183" s="21" t="n">
        <v>1258</v>
      </c>
      <c r="I183" s="51" t="n">
        <f aca="false">IF(H183="","",G183-H183)</f>
        <v>63</v>
      </c>
      <c r="J183" s="39" t="n">
        <f aca="false">IF(OR(D183="",D183+G183=0),"",D183/(D183+G183))</f>
        <v>0.524991010427904</v>
      </c>
      <c r="K183" s="39" t="n">
        <f aca="false">IF(E183="","",E183/(E183+H183))</f>
        <v>0.510315297781238</v>
      </c>
      <c r="L183" s="52" t="n">
        <f aca="false">IF(OR(K183="",J183=""),"",(J183-K183)*100)</f>
        <v>1.46757126466658</v>
      </c>
      <c r="M183" s="38"/>
    </row>
    <row r="184" customFormat="false" ht="15" hidden="false" customHeight="false" outlineLevel="0" collapsed="false">
      <c r="A184" s="38" t="s">
        <v>157</v>
      </c>
      <c r="B184" s="38" t="s">
        <v>300</v>
      </c>
      <c r="C184" s="38" t="s">
        <v>303</v>
      </c>
      <c r="D184" s="21" t="n">
        <v>971</v>
      </c>
      <c r="E184" s="21" t="n">
        <v>914</v>
      </c>
      <c r="F184" s="51" t="n">
        <f aca="false">IF(E184="","",D184-E184)</f>
        <v>57</v>
      </c>
      <c r="G184" s="21" t="n">
        <v>989</v>
      </c>
      <c r="H184" s="21" t="n">
        <v>1075</v>
      </c>
      <c r="I184" s="51" t="n">
        <f aca="false">IF(H184="","",G184-H184)</f>
        <v>-86</v>
      </c>
      <c r="J184" s="39" t="n">
        <f aca="false">IF(OR(D184="",D184+G184=0),"",D184/(D184+G184))</f>
        <v>0.495408163265306</v>
      </c>
      <c r="K184" s="39" t="n">
        <f aca="false">IF(E184="","",E184/(E184+H184))</f>
        <v>0.459527400703871</v>
      </c>
      <c r="L184" s="52" t="n">
        <f aca="false">IF(OR(K184="",J184=""),"",(J184-K184)*100)</f>
        <v>3.58807625614349</v>
      </c>
      <c r="M184" s="38"/>
    </row>
    <row r="185" customFormat="false" ht="15" hidden="false" customHeight="false" outlineLevel="0" collapsed="false">
      <c r="A185" s="38" t="s">
        <v>157</v>
      </c>
      <c r="B185" s="38" t="s">
        <v>300</v>
      </c>
      <c r="C185" s="38" t="s">
        <v>304</v>
      </c>
      <c r="D185" s="21" t="n">
        <v>718</v>
      </c>
      <c r="E185" s="21" t="n">
        <v>735</v>
      </c>
      <c r="F185" s="51" t="n">
        <f aca="false">IF(E185="","",D185-E185)</f>
        <v>-17</v>
      </c>
      <c r="G185" s="21" t="n">
        <v>548</v>
      </c>
      <c r="H185" s="21" t="n">
        <v>653</v>
      </c>
      <c r="I185" s="51" t="n">
        <f aca="false">IF(H185="","",G185-H185)</f>
        <v>-105</v>
      </c>
      <c r="J185" s="39" t="n">
        <f aca="false">IF(OR(D185="",D185+G185=0),"",D185/(D185+G185))</f>
        <v>0.567140600315956</v>
      </c>
      <c r="K185" s="39" t="n">
        <f aca="false">IF(E185="","",E185/(E185+H185))</f>
        <v>0.529538904899136</v>
      </c>
      <c r="L185" s="52" t="n">
        <f aca="false">IF(OR(K185="",J185=""),"",(J185-K185)*100)</f>
        <v>3.76016954168203</v>
      </c>
      <c r="M185" s="38"/>
    </row>
    <row r="186" customFormat="false" ht="15" hidden="false" customHeight="false" outlineLevel="0" collapsed="false">
      <c r="A186" s="38" t="s">
        <v>157</v>
      </c>
      <c r="B186" s="38" t="s">
        <v>300</v>
      </c>
      <c r="C186" s="38" t="s">
        <v>305</v>
      </c>
      <c r="D186" s="21" t="n">
        <v>2105</v>
      </c>
      <c r="E186" s="21" t="n">
        <v>1929</v>
      </c>
      <c r="F186" s="51" t="n">
        <f aca="false">IF(E186="","",D186-E186)</f>
        <v>176</v>
      </c>
      <c r="G186" s="21" t="n">
        <v>1637</v>
      </c>
      <c r="H186" s="21" t="n">
        <v>1679</v>
      </c>
      <c r="I186" s="51" t="n">
        <f aca="false">IF(H186="","",G186-H186)</f>
        <v>-42</v>
      </c>
      <c r="J186" s="39" t="n">
        <f aca="false">IF(OR(D186="",D186+G186=0),"",D186/(D186+G186))</f>
        <v>0.562533404596473</v>
      </c>
      <c r="K186" s="39" t="n">
        <f aca="false">IF(E186="","",E186/(E186+H186))</f>
        <v>0.534645232815965</v>
      </c>
      <c r="L186" s="52" t="n">
        <f aca="false">IF(OR(K186="",J186=""),"",(J186-K186)*100)</f>
        <v>2.7888171780508</v>
      </c>
      <c r="M186" s="38"/>
    </row>
    <row r="187" customFormat="false" ht="15" hidden="false" customHeight="false" outlineLevel="0" collapsed="false">
      <c r="A187" s="38" t="s">
        <v>157</v>
      </c>
      <c r="B187" s="38" t="s">
        <v>300</v>
      </c>
      <c r="C187" s="38" t="s">
        <v>306</v>
      </c>
      <c r="D187" s="21" t="n">
        <v>752</v>
      </c>
      <c r="E187" s="21" t="n">
        <v>696</v>
      </c>
      <c r="F187" s="51" t="n">
        <f aca="false">IF(E187="","",D187-E187)</f>
        <v>56</v>
      </c>
      <c r="G187" s="21" t="n">
        <v>642</v>
      </c>
      <c r="H187" s="21" t="n">
        <v>666</v>
      </c>
      <c r="I187" s="51" t="n">
        <f aca="false">IF(H187="","",G187-H187)</f>
        <v>-24</v>
      </c>
      <c r="J187" s="39" t="n">
        <f aca="false">IF(OR(D187="",D187+G187=0),"",D187/(D187+G187))</f>
        <v>0.539454806312769</v>
      </c>
      <c r="K187" s="39" t="n">
        <f aca="false">IF(E187="","",E187/(E187+H187))</f>
        <v>0.511013215859031</v>
      </c>
      <c r="L187" s="52" t="n">
        <f aca="false">IF(OR(K187="",J187=""),"",(J187-K187)*100)</f>
        <v>2.84415904537382</v>
      </c>
      <c r="M187" s="38"/>
    </row>
    <row r="188" customFormat="false" ht="15" hidden="false" customHeight="false" outlineLevel="0" collapsed="false">
      <c r="A188" s="38" t="s">
        <v>157</v>
      </c>
      <c r="B188" s="38" t="s">
        <v>300</v>
      </c>
      <c r="C188" s="38" t="s">
        <v>307</v>
      </c>
      <c r="D188" s="21" t="n">
        <v>772</v>
      </c>
      <c r="E188" s="21" t="n">
        <v>715</v>
      </c>
      <c r="F188" s="51" t="n">
        <f aca="false">IF(E188="","",D188-E188)</f>
        <v>57</v>
      </c>
      <c r="G188" s="21" t="n">
        <v>589</v>
      </c>
      <c r="H188" s="21" t="n">
        <v>601</v>
      </c>
      <c r="I188" s="51" t="n">
        <f aca="false">IF(H188="","",G188-H188)</f>
        <v>-12</v>
      </c>
      <c r="J188" s="39" t="n">
        <f aca="false">IF(OR(D188="",D188+G188=0),"",D188/(D188+G188))</f>
        <v>0.567229977957384</v>
      </c>
      <c r="K188" s="39" t="n">
        <f aca="false">IF(E188="","",E188/(E188+H188))</f>
        <v>0.543313069908815</v>
      </c>
      <c r="L188" s="52" t="n">
        <f aca="false">IF(OR(K188="",J188=""),"",(J188-K188)*100)</f>
        <v>2.39169080485697</v>
      </c>
      <c r="M188" s="38"/>
    </row>
    <row r="189" customFormat="false" ht="15" hidden="false" customHeight="false" outlineLevel="0" collapsed="false">
      <c r="A189" s="38" t="s">
        <v>157</v>
      </c>
      <c r="B189" s="38" t="s">
        <v>300</v>
      </c>
      <c r="C189" s="38" t="s">
        <v>308</v>
      </c>
      <c r="D189" s="21" t="n">
        <v>809</v>
      </c>
      <c r="E189" s="21" t="n">
        <v>728</v>
      </c>
      <c r="F189" s="51" t="n">
        <f aca="false">IF(E189="","",D189-E189)</f>
        <v>81</v>
      </c>
      <c r="G189" s="21" t="n">
        <v>686</v>
      </c>
      <c r="H189" s="21" t="n">
        <v>692</v>
      </c>
      <c r="I189" s="51" t="n">
        <f aca="false">IF(H189="","",G189-H189)</f>
        <v>-6</v>
      </c>
      <c r="J189" s="39" t="n">
        <f aca="false">IF(OR(D189="",D189+G189=0),"",D189/(D189+G189))</f>
        <v>0.541137123745819</v>
      </c>
      <c r="K189" s="39" t="n">
        <f aca="false">IF(E189="","",E189/(E189+H189))</f>
        <v>0.512676056338028</v>
      </c>
      <c r="L189" s="52" t="n">
        <f aca="false">IF(OR(K189="",J189=""),"",(J189-K189)*100)</f>
        <v>2.84610674077912</v>
      </c>
      <c r="M189" s="38"/>
    </row>
    <row r="190" customFormat="false" ht="15" hidden="false" customHeight="false" outlineLevel="0" collapsed="false">
      <c r="A190" s="38" t="s">
        <v>157</v>
      </c>
      <c r="B190" s="38" t="s">
        <v>309</v>
      </c>
      <c r="C190" s="38" t="s">
        <v>310</v>
      </c>
      <c r="D190" s="21" t="n">
        <v>1628</v>
      </c>
      <c r="E190" s="21" t="n">
        <v>1473</v>
      </c>
      <c r="F190" s="51" t="n">
        <f aca="false">IF(E190="","",D190-E190)</f>
        <v>155</v>
      </c>
      <c r="G190" s="21" t="n">
        <v>1681</v>
      </c>
      <c r="H190" s="21" t="n">
        <v>1690</v>
      </c>
      <c r="I190" s="51" t="n">
        <f aca="false">IF(H190="","",G190-H190)</f>
        <v>-9</v>
      </c>
      <c r="J190" s="39" t="n">
        <f aca="false">IF(OR(D190="",D190+G190=0),"",D190/(D190+G190))</f>
        <v>0.491991538229072</v>
      </c>
      <c r="K190" s="39" t="n">
        <f aca="false">IF(E190="","",E190/(E190+H190))</f>
        <v>0.465697122984508</v>
      </c>
      <c r="L190" s="52" t="n">
        <f aca="false">IF(OR(K190="",J190=""),"",(J190-K190)*100)</f>
        <v>2.62944152445638</v>
      </c>
      <c r="M190" s="38"/>
    </row>
    <row r="191" customFormat="false" ht="15" hidden="false" customHeight="false" outlineLevel="0" collapsed="false">
      <c r="A191" s="38" t="s">
        <v>157</v>
      </c>
      <c r="B191" s="38" t="s">
        <v>309</v>
      </c>
      <c r="C191" s="38" t="s">
        <v>311</v>
      </c>
      <c r="D191" s="21" t="n">
        <v>1047</v>
      </c>
      <c r="E191" s="21" t="n">
        <v>907</v>
      </c>
      <c r="F191" s="51" t="n">
        <f aca="false">IF(E191="","",D191-E191)</f>
        <v>140</v>
      </c>
      <c r="G191" s="21" t="n">
        <v>1491</v>
      </c>
      <c r="H191" s="21" t="n">
        <v>1445</v>
      </c>
      <c r="I191" s="51" t="n">
        <f aca="false">IF(H191="","",G191-H191)</f>
        <v>46</v>
      </c>
      <c r="J191" s="39" t="n">
        <f aca="false">IF(OR(D191="",D191+G191=0),"",D191/(D191+G191))</f>
        <v>0.412529550827423</v>
      </c>
      <c r="K191" s="39" t="n">
        <f aca="false">IF(E191="","",E191/(E191+H191))</f>
        <v>0.38562925170068</v>
      </c>
      <c r="L191" s="52" t="n">
        <f aca="false">IF(OR(K191="",J191=""),"",(J191-K191)*100)</f>
        <v>2.69002991267429</v>
      </c>
      <c r="M191" s="38"/>
    </row>
    <row r="192" customFormat="false" ht="15" hidden="false" customHeight="false" outlineLevel="0" collapsed="false">
      <c r="A192" s="38" t="s">
        <v>157</v>
      </c>
      <c r="B192" s="38" t="s">
        <v>312</v>
      </c>
      <c r="C192" s="38" t="s">
        <v>313</v>
      </c>
      <c r="D192" s="21" t="n">
        <v>1164</v>
      </c>
      <c r="E192" s="21" t="n">
        <v>1017</v>
      </c>
      <c r="F192" s="51" t="n">
        <f aca="false">IF(E192="","",D192-E192)</f>
        <v>147</v>
      </c>
      <c r="G192" s="21" t="n">
        <v>1086</v>
      </c>
      <c r="H192" s="21" t="n">
        <v>1074</v>
      </c>
      <c r="I192" s="51" t="n">
        <f aca="false">IF(H192="","",G192-H192)</f>
        <v>12</v>
      </c>
      <c r="J192" s="39" t="n">
        <f aca="false">IF(OR(D192="",D192+G192=0),"",D192/(D192+G192))</f>
        <v>0.517333333333333</v>
      </c>
      <c r="K192" s="39" t="n">
        <f aca="false">IF(E192="","",E192/(E192+H192))</f>
        <v>0.486370157819225</v>
      </c>
      <c r="L192" s="52" t="n">
        <f aca="false">IF(OR(K192="",J192=""),"",(J192-K192)*100)</f>
        <v>3.0963175514108</v>
      </c>
      <c r="M192" s="38"/>
    </row>
    <row r="193" customFormat="false" ht="15" hidden="false" customHeight="false" outlineLevel="0" collapsed="false">
      <c r="A193" s="38" t="s">
        <v>157</v>
      </c>
      <c r="B193" s="38" t="s">
        <v>312</v>
      </c>
      <c r="C193" s="38" t="s">
        <v>314</v>
      </c>
      <c r="D193" s="21" t="n">
        <v>819</v>
      </c>
      <c r="E193" s="21" t="n">
        <v>753</v>
      </c>
      <c r="F193" s="51" t="n">
        <f aca="false">IF(E193="","",D193-E193)</f>
        <v>66</v>
      </c>
      <c r="G193" s="21" t="n">
        <v>842</v>
      </c>
      <c r="H193" s="21" t="n">
        <v>851</v>
      </c>
      <c r="I193" s="51" t="n">
        <f aca="false">IF(H193="","",G193-H193)</f>
        <v>-9</v>
      </c>
      <c r="J193" s="39" t="n">
        <f aca="false">IF(OR(D193="",D193+G193=0),"",D193/(D193+G193))</f>
        <v>0.493076459963877</v>
      </c>
      <c r="K193" s="39" t="n">
        <f aca="false">IF(E193="","",E193/(E193+H193))</f>
        <v>0.469451371571072</v>
      </c>
      <c r="L193" s="52" t="n">
        <f aca="false">IF(OR(K193="",J193=""),"",(J193-K193)*100)</f>
        <v>2.36250883928049</v>
      </c>
      <c r="M193" s="38"/>
    </row>
    <row r="194" customFormat="false" ht="15" hidden="false" customHeight="false" outlineLevel="0" collapsed="false">
      <c r="A194" s="38" t="s">
        <v>157</v>
      </c>
      <c r="B194" s="38" t="s">
        <v>312</v>
      </c>
      <c r="C194" s="38" t="s">
        <v>315</v>
      </c>
      <c r="D194" s="21" t="n">
        <v>657</v>
      </c>
      <c r="E194" s="21" t="n">
        <v>713</v>
      </c>
      <c r="F194" s="51" t="n">
        <f aca="false">IF(E194="","",D194-E194)</f>
        <v>-56</v>
      </c>
      <c r="G194" s="21" t="n">
        <v>656</v>
      </c>
      <c r="H194" s="21" t="n">
        <v>780</v>
      </c>
      <c r="I194" s="51" t="n">
        <f aca="false">IF(H194="","",G194-H194)</f>
        <v>-124</v>
      </c>
      <c r="J194" s="39" t="n">
        <f aca="false">IF(OR(D194="",D194+G194=0),"",D194/(D194+G194))</f>
        <v>0.5003808073115</v>
      </c>
      <c r="K194" s="39" t="n">
        <f aca="false">IF(E194="","",E194/(E194+H194))</f>
        <v>0.477561955793704</v>
      </c>
      <c r="L194" s="52" t="n">
        <f aca="false">IF(OR(K194="",J194=""),"",(J194-K194)*100)</f>
        <v>2.28188515177964</v>
      </c>
      <c r="M194" s="38"/>
    </row>
    <row r="195" customFormat="false" ht="15" hidden="false" customHeight="false" outlineLevel="0" collapsed="false">
      <c r="A195" s="38" t="s">
        <v>157</v>
      </c>
      <c r="B195" s="38" t="s">
        <v>312</v>
      </c>
      <c r="C195" s="38" t="s">
        <v>316</v>
      </c>
      <c r="D195" s="21" t="n">
        <v>1825</v>
      </c>
      <c r="E195" s="21" t="n">
        <v>1648</v>
      </c>
      <c r="F195" s="51" t="n">
        <f aca="false">IF(E195="","",D195-E195)</f>
        <v>177</v>
      </c>
      <c r="G195" s="21" t="n">
        <v>1824</v>
      </c>
      <c r="H195" s="21" t="n">
        <v>1789</v>
      </c>
      <c r="I195" s="51" t="n">
        <f aca="false">IF(H195="","",G195-H195)</f>
        <v>35</v>
      </c>
      <c r="J195" s="39" t="n">
        <f aca="false">IF(OR(D195="",D195+G195=0),"",D195/(D195+G195))</f>
        <v>0.500137023842149</v>
      </c>
      <c r="K195" s="39" t="n">
        <f aca="false">IF(E195="","",E195/(E195+H195))</f>
        <v>0.479487925516439</v>
      </c>
      <c r="L195" s="52" t="n">
        <f aca="false">IF(OR(K195="",J195=""),"",(J195-K195)*100)</f>
        <v>2.06490983257098</v>
      </c>
      <c r="M195" s="38"/>
    </row>
    <row r="196" customFormat="false" ht="15" hidden="false" customHeight="false" outlineLevel="0" collapsed="false">
      <c r="A196" s="38" t="s">
        <v>157</v>
      </c>
      <c r="B196" s="38" t="s">
        <v>312</v>
      </c>
      <c r="C196" s="38" t="s">
        <v>317</v>
      </c>
      <c r="D196" s="21" t="n">
        <v>750</v>
      </c>
      <c r="E196" s="21" t="n">
        <v>683</v>
      </c>
      <c r="F196" s="51" t="n">
        <f aca="false">IF(E196="","",D196-E196)</f>
        <v>67</v>
      </c>
      <c r="G196" s="21" t="n">
        <v>708</v>
      </c>
      <c r="H196" s="21" t="n">
        <v>663</v>
      </c>
      <c r="I196" s="51" t="n">
        <f aca="false">IF(H196="","",G196-H196)</f>
        <v>45</v>
      </c>
      <c r="J196" s="39" t="n">
        <f aca="false">IF(OR(D196="",D196+G196=0),"",D196/(D196+G196))</f>
        <v>0.51440329218107</v>
      </c>
      <c r="K196" s="39" t="n">
        <f aca="false">IF(E196="","",E196/(E196+H196))</f>
        <v>0.507429420505201</v>
      </c>
      <c r="L196" s="52" t="n">
        <f aca="false">IF(OR(K196="",J196=""),"",(J196-K196)*100)</f>
        <v>0.697387167586938</v>
      </c>
      <c r="M196" s="38"/>
    </row>
    <row r="197" customFormat="false" ht="15" hidden="false" customHeight="false" outlineLevel="0" collapsed="false">
      <c r="A197" s="38" t="s">
        <v>157</v>
      </c>
      <c r="B197" s="38" t="s">
        <v>312</v>
      </c>
      <c r="C197" s="38" t="s">
        <v>318</v>
      </c>
      <c r="D197" s="21" t="n">
        <v>705</v>
      </c>
      <c r="E197" s="21" t="n">
        <v>648</v>
      </c>
      <c r="F197" s="51" t="n">
        <f aca="false">IF(E197="","",D197-E197)</f>
        <v>57</v>
      </c>
      <c r="G197" s="21" t="n">
        <v>616</v>
      </c>
      <c r="H197" s="21" t="n">
        <v>583</v>
      </c>
      <c r="I197" s="51" t="n">
        <f aca="false">IF(H197="","",G197-H197)</f>
        <v>33</v>
      </c>
      <c r="J197" s="39" t="n">
        <f aca="false">IF(OR(D197="",D197+G197=0),"",D197/(D197+G197))</f>
        <v>0.533686601059803</v>
      </c>
      <c r="K197" s="39" t="n">
        <f aca="false">IF(E197="","",E197/(E197+H197))</f>
        <v>0.526401299756296</v>
      </c>
      <c r="L197" s="52" t="n">
        <f aca="false">IF(OR(K197="",J197=""),"",(J197-K197)*100)</f>
        <v>0.728530130350746</v>
      </c>
      <c r="M197" s="38"/>
    </row>
    <row r="198" customFormat="false" ht="15" hidden="false" customHeight="false" outlineLevel="0" collapsed="false">
      <c r="A198" s="38" t="s">
        <v>157</v>
      </c>
      <c r="B198" s="38" t="s">
        <v>319</v>
      </c>
      <c r="C198" s="38" t="s">
        <v>320</v>
      </c>
      <c r="D198" s="21" t="n">
        <v>276</v>
      </c>
      <c r="E198" s="21" t="n">
        <v>243</v>
      </c>
      <c r="F198" s="51" t="n">
        <f aca="false">IF(E198="","",D198-E198)</f>
        <v>33</v>
      </c>
      <c r="G198" s="21" t="n">
        <v>537</v>
      </c>
      <c r="H198" s="21" t="n">
        <v>532</v>
      </c>
      <c r="I198" s="51" t="n">
        <f aca="false">IF(H198="","",G198-H198)</f>
        <v>5</v>
      </c>
      <c r="J198" s="39" t="n">
        <f aca="false">IF(OR(D198="",D198+G198=0),"",D198/(D198+G198))</f>
        <v>0.339483394833948</v>
      </c>
      <c r="K198" s="39" t="n">
        <f aca="false">IF(E198="","",E198/(E198+H198))</f>
        <v>0.313548387096774</v>
      </c>
      <c r="L198" s="52" t="n">
        <f aca="false">IF(OR(K198="",J198=""),"",(J198-K198)*100)</f>
        <v>2.59350077371742</v>
      </c>
      <c r="M198" s="38"/>
    </row>
    <row r="199" customFormat="false" ht="15" hidden="false" customHeight="false" outlineLevel="0" collapsed="false">
      <c r="A199" s="38" t="s">
        <v>157</v>
      </c>
      <c r="B199" s="38" t="s">
        <v>319</v>
      </c>
      <c r="C199" s="38" t="s">
        <v>321</v>
      </c>
      <c r="D199" s="21" t="n">
        <v>942</v>
      </c>
      <c r="E199" s="21" t="n">
        <v>841</v>
      </c>
      <c r="F199" s="51" t="n">
        <f aca="false">IF(E199="","",D199-E199)</f>
        <v>101</v>
      </c>
      <c r="G199" s="21" t="n">
        <v>1677</v>
      </c>
      <c r="H199" s="21" t="n">
        <v>1653</v>
      </c>
      <c r="I199" s="51" t="n">
        <f aca="false">IF(H199="","",G199-H199)</f>
        <v>24</v>
      </c>
      <c r="J199" s="39" t="n">
        <f aca="false">IF(OR(D199="",D199+G199=0),"",D199/(D199+G199))</f>
        <v>0.359679266895762</v>
      </c>
      <c r="K199" s="39" t="n">
        <f aca="false">IF(E199="","",E199/(E199+H199))</f>
        <v>0.337209302325581</v>
      </c>
      <c r="L199" s="52" t="n">
        <f aca="false">IF(OR(K199="",J199=""),"",(J199-K199)*100)</f>
        <v>2.24699645701804</v>
      </c>
      <c r="M199" s="38"/>
    </row>
    <row r="200" customFormat="false" ht="15" hidden="false" customHeight="false" outlineLevel="0" collapsed="false">
      <c r="A200" s="38" t="s">
        <v>157</v>
      </c>
      <c r="B200" s="38" t="s">
        <v>319</v>
      </c>
      <c r="C200" s="38" t="s">
        <v>322</v>
      </c>
      <c r="D200" s="21" t="n">
        <v>233</v>
      </c>
      <c r="E200" s="21" t="n">
        <v>182</v>
      </c>
      <c r="F200" s="51" t="n">
        <f aca="false">IF(E200="","",D200-E200)</f>
        <v>51</v>
      </c>
      <c r="G200" s="21" t="n">
        <v>460</v>
      </c>
      <c r="H200" s="21" t="n">
        <v>484</v>
      </c>
      <c r="I200" s="51" t="n">
        <f aca="false">IF(H200="","",G200-H200)</f>
        <v>-24</v>
      </c>
      <c r="J200" s="39" t="n">
        <f aca="false">IF(OR(D200="",D200+G200=0),"",D200/(D200+G200))</f>
        <v>0.336219336219336</v>
      </c>
      <c r="K200" s="39" t="n">
        <f aca="false">IF(E200="","",E200/(E200+H200))</f>
        <v>0.273273273273273</v>
      </c>
      <c r="L200" s="52" t="n">
        <f aca="false">IF(OR(K200="",J200=""),"",(J200-K200)*100)</f>
        <v>6.29460629460629</v>
      </c>
      <c r="M200" s="38"/>
    </row>
    <row r="201" customFormat="false" ht="15" hidden="false" customHeight="false" outlineLevel="0" collapsed="false">
      <c r="A201" s="38" t="s">
        <v>157</v>
      </c>
      <c r="B201" s="38" t="s">
        <v>323</v>
      </c>
      <c r="C201" s="38" t="s">
        <v>323</v>
      </c>
      <c r="D201" s="21" t="n">
        <v>1314</v>
      </c>
      <c r="E201" s="21" t="n">
        <v>1172</v>
      </c>
      <c r="F201" s="51" t="n">
        <f aca="false">IF(E201="","",D201-E201)</f>
        <v>142</v>
      </c>
      <c r="G201" s="21" t="n">
        <v>2284</v>
      </c>
      <c r="H201" s="21" t="n">
        <v>2201</v>
      </c>
      <c r="I201" s="51" t="n">
        <f aca="false">IF(H201="","",G201-H201)</f>
        <v>83</v>
      </c>
      <c r="J201" s="39" t="n">
        <f aca="false">IF(OR(D201="",D201+G201=0),"",D201/(D201+G201))</f>
        <v>0.365202890494719</v>
      </c>
      <c r="K201" s="39" t="n">
        <f aca="false">IF(E201="","",E201/(E201+H201))</f>
        <v>0.347465164541951</v>
      </c>
      <c r="L201" s="52" t="n">
        <f aca="false">IF(OR(K201="",J201=""),"",(J201-K201)*100)</f>
        <v>1.77377259527685</v>
      </c>
      <c r="M201" s="38"/>
    </row>
    <row r="202" customFormat="false" ht="15" hidden="false" customHeight="false" outlineLevel="0" collapsed="false">
      <c r="A202" s="38" t="s">
        <v>157</v>
      </c>
      <c r="B202" s="38" t="s">
        <v>324</v>
      </c>
      <c r="C202" s="38" t="s">
        <v>325</v>
      </c>
      <c r="D202" s="21" t="n">
        <v>875</v>
      </c>
      <c r="E202" s="21" t="n">
        <v>811</v>
      </c>
      <c r="F202" s="51" t="n">
        <f aca="false">IF(E202="","",D202-E202)</f>
        <v>64</v>
      </c>
      <c r="G202" s="21" t="n">
        <v>913</v>
      </c>
      <c r="H202" s="21" t="n">
        <v>918</v>
      </c>
      <c r="I202" s="51" t="n">
        <f aca="false">IF(H202="","",G202-H202)</f>
        <v>-5</v>
      </c>
      <c r="J202" s="39" t="n">
        <f aca="false">IF(OR(D202="",D202+G202=0),"",D202/(D202+G202))</f>
        <v>0.489373601789709</v>
      </c>
      <c r="K202" s="39" t="n">
        <f aca="false">IF(E202="","",E202/(E202+H202))</f>
        <v>0.469057258530943</v>
      </c>
      <c r="L202" s="52" t="n">
        <f aca="false">IF(OR(K202="",J202=""),"",(J202-K202)*100)</f>
        <v>2.03163432587664</v>
      </c>
      <c r="M202" s="38"/>
    </row>
    <row r="203" customFormat="false" ht="15" hidden="false" customHeight="false" outlineLevel="0" collapsed="false">
      <c r="A203" s="38" t="s">
        <v>157</v>
      </c>
      <c r="B203" s="38" t="s">
        <v>324</v>
      </c>
      <c r="C203" s="38" t="s">
        <v>326</v>
      </c>
      <c r="D203" s="21" t="n">
        <v>671</v>
      </c>
      <c r="E203" s="21" t="n">
        <v>606</v>
      </c>
      <c r="F203" s="51" t="n">
        <f aca="false">IF(E203="","",D203-E203)</f>
        <v>65</v>
      </c>
      <c r="G203" s="21" t="n">
        <v>685</v>
      </c>
      <c r="H203" s="21" t="n">
        <v>669</v>
      </c>
      <c r="I203" s="51" t="n">
        <f aca="false">IF(H203="","",G203-H203)</f>
        <v>16</v>
      </c>
      <c r="J203" s="39" t="n">
        <f aca="false">IF(OR(D203="",D203+G203=0),"",D203/(D203+G203))</f>
        <v>0.494837758112094</v>
      </c>
      <c r="K203" s="39" t="n">
        <f aca="false">IF(E203="","",E203/(E203+H203))</f>
        <v>0.475294117647059</v>
      </c>
      <c r="L203" s="52" t="n">
        <f aca="false">IF(OR(K203="",J203=""),"",(J203-K203)*100)</f>
        <v>1.95436404650356</v>
      </c>
      <c r="M203" s="38"/>
    </row>
    <row r="204" customFormat="false" ht="15" hidden="false" customHeight="false" outlineLevel="0" collapsed="false">
      <c r="A204" s="38" t="s">
        <v>157</v>
      </c>
      <c r="B204" s="38" t="s">
        <v>324</v>
      </c>
      <c r="C204" s="38" t="s">
        <v>327</v>
      </c>
      <c r="D204" s="21" t="n">
        <v>803</v>
      </c>
      <c r="E204" s="21" t="n">
        <v>732</v>
      </c>
      <c r="F204" s="51" t="n">
        <f aca="false">IF(E204="","",D204-E204)</f>
        <v>71</v>
      </c>
      <c r="G204" s="21" t="n">
        <v>550</v>
      </c>
      <c r="H204" s="21" t="n">
        <v>616</v>
      </c>
      <c r="I204" s="51" t="n">
        <f aca="false">IF(H204="","",G204-H204)</f>
        <v>-66</v>
      </c>
      <c r="J204" s="39" t="n">
        <f aca="false">IF(OR(D204="",D204+G204=0),"",D204/(D204+G204))</f>
        <v>0.59349593495935</v>
      </c>
      <c r="K204" s="39" t="n">
        <f aca="false">IF(E204="","",E204/(E204+H204))</f>
        <v>0.543026706231454</v>
      </c>
      <c r="L204" s="52" t="n">
        <f aca="false">IF(OR(K204="",J204=""),"",(J204-K204)*100)</f>
        <v>5.04692287278956</v>
      </c>
      <c r="M204" s="38"/>
    </row>
    <row r="205" customFormat="false" ht="15" hidden="false" customHeight="false" outlineLevel="0" collapsed="false">
      <c r="A205" s="38" t="s">
        <v>157</v>
      </c>
      <c r="B205" s="38" t="s">
        <v>324</v>
      </c>
      <c r="C205" s="38" t="s">
        <v>328</v>
      </c>
      <c r="D205" s="21" t="n">
        <v>925</v>
      </c>
      <c r="E205" s="21" t="n">
        <v>871</v>
      </c>
      <c r="F205" s="51" t="n">
        <f aca="false">IF(E205="","",D205-E205)</f>
        <v>54</v>
      </c>
      <c r="G205" s="21" t="n">
        <v>567</v>
      </c>
      <c r="H205" s="21" t="n">
        <v>616</v>
      </c>
      <c r="I205" s="51" t="n">
        <f aca="false">IF(H205="","",G205-H205)</f>
        <v>-49</v>
      </c>
      <c r="J205" s="39" t="n">
        <f aca="false">IF(OR(D205="",D205+G205=0),"",D205/(D205+G205))</f>
        <v>0.619973190348526</v>
      </c>
      <c r="K205" s="39" t="n">
        <f aca="false">IF(E205="","",E205/(E205+H205))</f>
        <v>0.585743106926698</v>
      </c>
      <c r="L205" s="52" t="n">
        <f aca="false">IF(OR(K205="",J205=""),"",(J205-K205)*100)</f>
        <v>3.42300834218274</v>
      </c>
      <c r="M205" s="38"/>
    </row>
    <row r="206" customFormat="false" ht="15" hidden="false" customHeight="false" outlineLevel="0" collapsed="false">
      <c r="A206" s="38" t="s">
        <v>157</v>
      </c>
      <c r="B206" s="38" t="s">
        <v>324</v>
      </c>
      <c r="C206" s="38" t="s">
        <v>329</v>
      </c>
      <c r="D206" s="21" t="n">
        <v>326</v>
      </c>
      <c r="E206" s="21" t="n">
        <v>305</v>
      </c>
      <c r="F206" s="51" t="n">
        <f aca="false">IF(E206="","",D206-E206)</f>
        <v>21</v>
      </c>
      <c r="G206" s="21" t="n">
        <v>239</v>
      </c>
      <c r="H206" s="21" t="n">
        <v>262</v>
      </c>
      <c r="I206" s="51" t="n">
        <f aca="false">IF(H206="","",G206-H206)</f>
        <v>-23</v>
      </c>
      <c r="J206" s="39" t="n">
        <f aca="false">IF(OR(D206="",D206+G206=0),"",D206/(D206+G206))</f>
        <v>0.576991150442478</v>
      </c>
      <c r="K206" s="39" t="n">
        <f aca="false">IF(E206="","",E206/(E206+H206))</f>
        <v>0.537918871252205</v>
      </c>
      <c r="L206" s="52" t="n">
        <f aca="false">IF(OR(K206="",J206=""),"",(J206-K206)*100)</f>
        <v>3.90722791902732</v>
      </c>
      <c r="M206" s="38"/>
    </row>
    <row r="207" customFormat="false" ht="15" hidden="false" customHeight="false" outlineLevel="0" collapsed="false">
      <c r="A207" s="38" t="s">
        <v>157</v>
      </c>
      <c r="B207" s="38" t="s">
        <v>324</v>
      </c>
      <c r="C207" s="38" t="s">
        <v>330</v>
      </c>
      <c r="D207" s="21" t="n">
        <v>575</v>
      </c>
      <c r="E207" s="21" t="n">
        <v>535</v>
      </c>
      <c r="F207" s="51" t="n">
        <f aca="false">IF(E207="","",D207-E207)</f>
        <v>40</v>
      </c>
      <c r="G207" s="21" t="n">
        <v>280</v>
      </c>
      <c r="H207" s="21" t="n">
        <v>364</v>
      </c>
      <c r="I207" s="51" t="n">
        <f aca="false">IF(H207="","",G207-H207)</f>
        <v>-84</v>
      </c>
      <c r="J207" s="39" t="n">
        <f aca="false">IF(OR(D207="",D207+G207=0),"",D207/(D207+G207))</f>
        <v>0.672514619883041</v>
      </c>
      <c r="K207" s="39" t="n">
        <f aca="false">IF(E207="","",E207/(E207+H207))</f>
        <v>0.595105672969967</v>
      </c>
      <c r="L207" s="52" t="n">
        <f aca="false">IF(OR(K207="",J207=""),"",(J207-K207)*100)</f>
        <v>7.74089469130743</v>
      </c>
      <c r="M207" s="38"/>
    </row>
    <row r="208" customFormat="false" ht="15" hidden="false" customHeight="false" outlineLevel="0" collapsed="false">
      <c r="A208" s="38" t="s">
        <v>157</v>
      </c>
      <c r="B208" s="38" t="s">
        <v>324</v>
      </c>
      <c r="C208" s="38" t="s">
        <v>331</v>
      </c>
      <c r="D208" s="21" t="n">
        <v>556</v>
      </c>
      <c r="E208" s="21" t="n">
        <v>564</v>
      </c>
      <c r="F208" s="51" t="n">
        <f aca="false">IF(E208="","",D208-E208)</f>
        <v>-8</v>
      </c>
      <c r="G208" s="21" t="n">
        <v>405</v>
      </c>
      <c r="H208" s="21" t="n">
        <v>451</v>
      </c>
      <c r="I208" s="51" t="n">
        <f aca="false">IF(H208="","",G208-H208)</f>
        <v>-46</v>
      </c>
      <c r="J208" s="39" t="n">
        <f aca="false">IF(OR(D208="",D208+G208=0),"",D208/(D208+G208))</f>
        <v>0.578563995837669</v>
      </c>
      <c r="K208" s="39" t="n">
        <f aca="false">IF(E208="","",E208/(E208+H208))</f>
        <v>0.555665024630542</v>
      </c>
      <c r="L208" s="52" t="n">
        <f aca="false">IF(OR(K208="",J208=""),"",(J208-K208)*100)</f>
        <v>2.28989712071271</v>
      </c>
      <c r="M208" s="38"/>
    </row>
    <row r="209" customFormat="false" ht="15" hidden="false" customHeight="false" outlineLevel="0" collapsed="false">
      <c r="A209" s="38" t="s">
        <v>157</v>
      </c>
      <c r="B209" s="38" t="s">
        <v>324</v>
      </c>
      <c r="C209" s="38" t="s">
        <v>332</v>
      </c>
      <c r="D209" s="21" t="n">
        <v>291</v>
      </c>
      <c r="E209" s="21" t="n">
        <v>279</v>
      </c>
      <c r="F209" s="51" t="n">
        <f aca="false">IF(E209="","",D209-E209)</f>
        <v>12</v>
      </c>
      <c r="G209" s="21" t="n">
        <v>299</v>
      </c>
      <c r="H209" s="21" t="n">
        <v>318</v>
      </c>
      <c r="I209" s="51" t="n">
        <f aca="false">IF(H209="","",G209-H209)</f>
        <v>-19</v>
      </c>
      <c r="J209" s="39" t="n">
        <f aca="false">IF(OR(D209="",D209+G209=0),"",D209/(D209+G209))</f>
        <v>0.493220338983051</v>
      </c>
      <c r="K209" s="39" t="n">
        <f aca="false">IF(E209="","",E209/(E209+H209))</f>
        <v>0.467336683417085</v>
      </c>
      <c r="L209" s="52" t="n">
        <f aca="false">IF(OR(K209="",J209=""),"",(J209-K209)*100)</f>
        <v>2.58836555659654</v>
      </c>
      <c r="M209" s="38"/>
    </row>
    <row r="210" customFormat="false" ht="15" hidden="false" customHeight="false" outlineLevel="0" collapsed="false">
      <c r="A210" s="38" t="s">
        <v>157</v>
      </c>
      <c r="B210" s="38" t="s">
        <v>324</v>
      </c>
      <c r="C210" s="38" t="s">
        <v>333</v>
      </c>
      <c r="D210" s="21" t="n">
        <v>618</v>
      </c>
      <c r="E210" s="21" t="n">
        <v>571</v>
      </c>
      <c r="F210" s="51" t="n">
        <f aca="false">IF(E210="","",D210-E210)</f>
        <v>47</v>
      </c>
      <c r="G210" s="21" t="n">
        <v>508</v>
      </c>
      <c r="H210" s="21" t="n">
        <v>544</v>
      </c>
      <c r="I210" s="51" t="n">
        <f aca="false">IF(H210="","",G210-H210)</f>
        <v>-36</v>
      </c>
      <c r="J210" s="39" t="n">
        <f aca="false">IF(OR(D210="",D210+G210=0),"",D210/(D210+G210))</f>
        <v>0.548845470692718</v>
      </c>
      <c r="K210" s="39" t="n">
        <f aca="false">IF(E210="","",E210/(E210+H210))</f>
        <v>0.512107623318386</v>
      </c>
      <c r="L210" s="52" t="n">
        <f aca="false">IF(OR(K210="",J210=""),"",(J210-K210)*100)</f>
        <v>3.67378473743319</v>
      </c>
      <c r="M210" s="38"/>
    </row>
    <row r="211" customFormat="false" ht="15" hidden="false" customHeight="false" outlineLevel="0" collapsed="false">
      <c r="A211" s="38" t="s">
        <v>157</v>
      </c>
      <c r="B211" s="38" t="s">
        <v>324</v>
      </c>
      <c r="C211" s="38" t="s">
        <v>334</v>
      </c>
      <c r="D211" s="21" t="n">
        <v>951</v>
      </c>
      <c r="E211" s="21" t="n">
        <v>829</v>
      </c>
      <c r="F211" s="51" t="n">
        <f aca="false">IF(E211="","",D211-E211)</f>
        <v>122</v>
      </c>
      <c r="G211" s="21" t="n">
        <v>938</v>
      </c>
      <c r="H211" s="21" t="n">
        <v>968</v>
      </c>
      <c r="I211" s="51" t="n">
        <f aca="false">IF(H211="","",G211-H211)</f>
        <v>-30</v>
      </c>
      <c r="J211" s="39" t="n">
        <f aca="false">IF(OR(D211="",D211+G211=0),"",D211/(D211+G211))</f>
        <v>0.503440974060349</v>
      </c>
      <c r="K211" s="39" t="n">
        <f aca="false">IF(E211="","",E211/(E211+H211))</f>
        <v>0.461324429604897</v>
      </c>
      <c r="L211" s="52" t="n">
        <f aca="false">IF(OR(K211="",J211=""),"",(J211-K211)*100)</f>
        <v>4.21165444554523</v>
      </c>
      <c r="M211" s="38"/>
    </row>
    <row r="212" customFormat="false" ht="15" hidden="false" customHeight="false" outlineLevel="0" collapsed="false">
      <c r="A212" s="38" t="s">
        <v>157</v>
      </c>
      <c r="B212" s="38" t="s">
        <v>324</v>
      </c>
      <c r="C212" s="38" t="s">
        <v>335</v>
      </c>
      <c r="D212" s="21" t="n">
        <v>776</v>
      </c>
      <c r="E212" s="21" t="n">
        <v>698</v>
      </c>
      <c r="F212" s="51" t="n">
        <f aca="false">IF(E212="","",D212-E212)</f>
        <v>78</v>
      </c>
      <c r="G212" s="21" t="n">
        <v>735</v>
      </c>
      <c r="H212" s="21" t="n">
        <v>748</v>
      </c>
      <c r="I212" s="51" t="n">
        <f aca="false">IF(H212="","",G212-H212)</f>
        <v>-13</v>
      </c>
      <c r="J212" s="39" t="n">
        <f aca="false">IF(OR(D212="",D212+G212=0),"",D212/(D212+G212))</f>
        <v>0.513567174056916</v>
      </c>
      <c r="K212" s="39" t="n">
        <f aca="false">IF(E212="","",E212/(E212+H212))</f>
        <v>0.482710926694329</v>
      </c>
      <c r="L212" s="52" t="n">
        <f aca="false">IF(OR(K212="",J212=""),"",(J212-K212)*100)</f>
        <v>3.08562473625868</v>
      </c>
      <c r="M212" s="38"/>
    </row>
    <row r="213" customFormat="false" ht="15" hidden="false" customHeight="false" outlineLevel="0" collapsed="false">
      <c r="A213" s="38" t="s">
        <v>157</v>
      </c>
      <c r="B213" s="38" t="s">
        <v>324</v>
      </c>
      <c r="C213" s="38" t="s">
        <v>336</v>
      </c>
      <c r="D213" s="21" t="n">
        <v>652</v>
      </c>
      <c r="E213" s="21" t="n">
        <v>582</v>
      </c>
      <c r="F213" s="51" t="n">
        <f aca="false">IF(E213="","",D213-E213)</f>
        <v>70</v>
      </c>
      <c r="G213" s="21" t="n">
        <v>566</v>
      </c>
      <c r="H213" s="21" t="n">
        <v>562</v>
      </c>
      <c r="I213" s="51" t="n">
        <f aca="false">IF(H213="","",G213-H213)</f>
        <v>4</v>
      </c>
      <c r="J213" s="39" t="n">
        <f aca="false">IF(OR(D213="",D213+G213=0),"",D213/(D213+G213))</f>
        <v>0.535303776683087</v>
      </c>
      <c r="K213" s="39" t="n">
        <f aca="false">IF(E213="","",E213/(E213+H213))</f>
        <v>0.508741258741259</v>
      </c>
      <c r="L213" s="52" t="n">
        <f aca="false">IF(OR(K213="",J213=""),"",(J213-K213)*100)</f>
        <v>2.65625179418283</v>
      </c>
      <c r="M213" s="38"/>
    </row>
    <row r="214" customFormat="false" ht="15" hidden="false" customHeight="false" outlineLevel="0" collapsed="false">
      <c r="A214" s="38" t="s">
        <v>337</v>
      </c>
      <c r="B214" s="38" t="s">
        <v>338</v>
      </c>
      <c r="C214" s="38" t="s">
        <v>339</v>
      </c>
      <c r="D214" s="21" t="n">
        <v>527</v>
      </c>
      <c r="E214" s="21" t="n">
        <v>471</v>
      </c>
      <c r="F214" s="51" t="n">
        <f aca="false">IF(E214="","",D214-E214)</f>
        <v>56</v>
      </c>
      <c r="G214" s="21" t="n">
        <v>1074</v>
      </c>
      <c r="H214" s="21" t="n">
        <v>1124</v>
      </c>
      <c r="I214" s="51" t="n">
        <f aca="false">IF(H214="","",G214-H214)</f>
        <v>-50</v>
      </c>
      <c r="J214" s="39" t="n">
        <f aca="false">IF(OR(D214="",D214+G214=0),"",D214/(D214+G214))</f>
        <v>0.329169269206746</v>
      </c>
      <c r="K214" s="39" t="n">
        <f aca="false">IF(E214="","",E214/(E214+H214))</f>
        <v>0.295297805642633</v>
      </c>
      <c r="L214" s="52" t="n">
        <f aca="false">IF(OR(K214="",J214=""),"",(J214-K214)*100)</f>
        <v>3.38714635641125</v>
      </c>
      <c r="M214" s="38"/>
    </row>
    <row r="215" customFormat="false" ht="15" hidden="false" customHeight="false" outlineLevel="0" collapsed="false">
      <c r="A215" s="38" t="s">
        <v>337</v>
      </c>
      <c r="B215" s="38" t="s">
        <v>340</v>
      </c>
      <c r="C215" s="38" t="s">
        <v>341</v>
      </c>
      <c r="D215" s="21" t="n">
        <v>1456</v>
      </c>
      <c r="E215" s="21" t="n">
        <v>1414</v>
      </c>
      <c r="F215" s="51" t="n">
        <f aca="false">IF(E215="","",D215-E215)</f>
        <v>42</v>
      </c>
      <c r="G215" s="21" t="n">
        <v>2786</v>
      </c>
      <c r="H215" s="21" t="n">
        <v>2894</v>
      </c>
      <c r="I215" s="51" t="n">
        <f aca="false">IF(H215="","",G215-H215)</f>
        <v>-108</v>
      </c>
      <c r="J215" s="39" t="n">
        <f aca="false">IF(OR(D215="",D215+G215=0),"",D215/(D215+G215))</f>
        <v>0.343234323432343</v>
      </c>
      <c r="K215" s="39" t="n">
        <f aca="false">IF(E215="","",E215/(E215+H215))</f>
        <v>0.328226555246054</v>
      </c>
      <c r="L215" s="52" t="n">
        <f aca="false">IF(OR(K215="",J215=""),"",(J215-K215)*100)</f>
        <v>1.50077681862894</v>
      </c>
      <c r="M215" s="38"/>
    </row>
    <row r="216" customFormat="false" ht="15" hidden="false" customHeight="false" outlineLevel="0" collapsed="false">
      <c r="A216" s="38" t="s">
        <v>337</v>
      </c>
      <c r="B216" s="38" t="s">
        <v>342</v>
      </c>
      <c r="C216" s="38" t="s">
        <v>343</v>
      </c>
      <c r="D216" s="21" t="n">
        <v>1041</v>
      </c>
      <c r="E216" s="21" t="n">
        <v>521</v>
      </c>
      <c r="F216" s="51" t="n">
        <f aca="false">IF(E216="","",D216-E216)</f>
        <v>520</v>
      </c>
      <c r="G216" s="21" t="n">
        <v>2002</v>
      </c>
      <c r="H216" s="21" t="n">
        <v>997</v>
      </c>
      <c r="I216" s="51" t="n">
        <f aca="false">IF(H216="","",G216-H216)</f>
        <v>1005</v>
      </c>
      <c r="J216" s="39" t="n">
        <f aca="false">IF(OR(D216="",D216+G216=0),"",D216/(D216+G216))</f>
        <v>0.342096615182386</v>
      </c>
      <c r="K216" s="39" t="n">
        <f aca="false">IF(E216="","",E216/(E216+H216))</f>
        <v>0.343214756258235</v>
      </c>
      <c r="L216" s="52" t="n">
        <f aca="false">IF(OR(K216="",J216=""),"",(J216-K216)*100)</f>
        <v>-0.111814107584868</v>
      </c>
      <c r="M216" s="38"/>
    </row>
    <row r="217" customFormat="false" ht="15" hidden="false" customHeight="false" outlineLevel="0" collapsed="false">
      <c r="A217" s="38" t="s">
        <v>344</v>
      </c>
      <c r="B217" s="38" t="s">
        <v>345</v>
      </c>
      <c r="C217" s="38" t="s">
        <v>346</v>
      </c>
      <c r="D217" s="21" t="n">
        <v>760</v>
      </c>
      <c r="E217" s="21" t="n">
        <v>687</v>
      </c>
      <c r="F217" s="51" t="n">
        <f aca="false">IF(E217="","",D217-E217)</f>
        <v>73</v>
      </c>
      <c r="G217" s="21" t="n">
        <v>1024</v>
      </c>
      <c r="H217" s="21" t="n">
        <v>1009</v>
      </c>
      <c r="I217" s="51" t="n">
        <f aca="false">IF(H217="","",G217-H217)</f>
        <v>15</v>
      </c>
      <c r="J217" s="39" t="n">
        <f aca="false">IF(OR(D217="",D217+G217=0),"",D217/(D217+G217))</f>
        <v>0.426008968609866</v>
      </c>
      <c r="K217" s="39" t="n">
        <f aca="false">IF(E217="","",E217/(E217+H217))</f>
        <v>0.405070754716981</v>
      </c>
      <c r="L217" s="52" t="n">
        <f aca="false">IF(OR(K217="",J217=""),"",(J217-K217)*100)</f>
        <v>2.09382138928844</v>
      </c>
      <c r="M217" s="38"/>
    </row>
    <row r="218" customFormat="false" ht="15" hidden="false" customHeight="false" outlineLevel="0" collapsed="false">
      <c r="A218" s="38" t="s">
        <v>344</v>
      </c>
      <c r="B218" s="38" t="s">
        <v>345</v>
      </c>
      <c r="C218" s="38" t="s">
        <v>347</v>
      </c>
      <c r="D218" s="21" t="n">
        <v>907</v>
      </c>
      <c r="E218" s="21" t="n">
        <v>824</v>
      </c>
      <c r="F218" s="51" t="n">
        <f aca="false">IF(E218="","",D218-E218)</f>
        <v>83</v>
      </c>
      <c r="G218" s="21" t="n">
        <v>896</v>
      </c>
      <c r="H218" s="21" t="n">
        <v>1009</v>
      </c>
      <c r="I218" s="51" t="n">
        <f aca="false">IF(H218="","",G218-H218)</f>
        <v>-113</v>
      </c>
      <c r="J218" s="39" t="n">
        <f aca="false">IF(OR(D218="",D218+G218=0),"",D218/(D218+G218))</f>
        <v>0.503050471436495</v>
      </c>
      <c r="K218" s="39" t="n">
        <f aca="false">IF(E218="","",E218/(E218+H218))</f>
        <v>0.449536279323513</v>
      </c>
      <c r="L218" s="52" t="n">
        <f aca="false">IF(OR(K218="",J218=""),"",(J218-K218)*100)</f>
        <v>5.35141921129814</v>
      </c>
      <c r="M218" s="38"/>
    </row>
    <row r="219" customFormat="false" ht="15" hidden="false" customHeight="false" outlineLevel="0" collapsed="false">
      <c r="A219" s="38" t="s">
        <v>344</v>
      </c>
      <c r="B219" s="38" t="s">
        <v>348</v>
      </c>
      <c r="C219" s="38" t="s">
        <v>349</v>
      </c>
      <c r="D219" s="21" t="n">
        <v>493</v>
      </c>
      <c r="E219" s="21"/>
      <c r="F219" s="51" t="str">
        <f aca="false">IF(E219="","",D219-E219)</f>
        <v/>
      </c>
      <c r="G219" s="21" t="n">
        <v>645</v>
      </c>
      <c r="H219" s="21"/>
      <c r="I219" s="51" t="str">
        <f aca="false">IF(H219="","",G219-H219)</f>
        <v/>
      </c>
      <c r="J219" s="39" t="n">
        <f aca="false">IF(OR(D219="",D219+G219=0),"",D219/(D219+G219))</f>
        <v>0.433216168717047</v>
      </c>
      <c r="K219" s="39" t="str">
        <f aca="false">IF(E219="","",E219/(E219+H219))</f>
        <v/>
      </c>
      <c r="L219" s="52" t="str">
        <f aca="false">IF(OR(K219="",J219=""),"",(J219-K219)*100)</f>
        <v/>
      </c>
      <c r="M219" s="38" t="s">
        <v>691</v>
      </c>
    </row>
    <row r="220" customFormat="false" ht="15" hidden="false" customHeight="false" outlineLevel="0" collapsed="false">
      <c r="A220" s="38" t="s">
        <v>344</v>
      </c>
      <c r="B220" s="38" t="s">
        <v>348</v>
      </c>
      <c r="C220" s="38" t="s">
        <v>350</v>
      </c>
      <c r="D220" s="21" t="n">
        <v>520</v>
      </c>
      <c r="E220" s="21"/>
      <c r="F220" s="51" t="str">
        <f aca="false">IF(E220="","",D220-E220)</f>
        <v/>
      </c>
      <c r="G220" s="21" t="n">
        <v>674</v>
      </c>
      <c r="H220" s="21"/>
      <c r="I220" s="51" t="str">
        <f aca="false">IF(H220="","",G220-H220)</f>
        <v/>
      </c>
      <c r="J220" s="39" t="n">
        <f aca="false">IF(OR(D220="",D220+G220=0),"",D220/(D220+G220))</f>
        <v>0.435510887772194</v>
      </c>
      <c r="K220" s="39" t="str">
        <f aca="false">IF(E220="","",E220/(E220+H220))</f>
        <v/>
      </c>
      <c r="L220" s="52" t="str">
        <f aca="false">IF(OR(K220="",J220=""),"",(J220-K220)*100)</f>
        <v/>
      </c>
      <c r="M220" s="38" t="s">
        <v>691</v>
      </c>
    </row>
    <row r="221" customFormat="false" ht="15" hidden="false" customHeight="false" outlineLevel="0" collapsed="false">
      <c r="A221" s="38" t="s">
        <v>344</v>
      </c>
      <c r="B221" s="38" t="s">
        <v>351</v>
      </c>
      <c r="C221" s="38" t="s">
        <v>352</v>
      </c>
      <c r="D221" s="21" t="n">
        <v>654</v>
      </c>
      <c r="E221" s="21" t="n">
        <v>623</v>
      </c>
      <c r="F221" s="51" t="n">
        <f aca="false">IF(E221="","",D221-E221)</f>
        <v>31</v>
      </c>
      <c r="G221" s="21" t="n">
        <v>722</v>
      </c>
      <c r="H221" s="21" t="n">
        <v>726</v>
      </c>
      <c r="I221" s="51" t="n">
        <f aca="false">IF(H221="","",G221-H221)</f>
        <v>-4</v>
      </c>
      <c r="J221" s="39" t="n">
        <f aca="false">IF(OR(D221="",D221+G221=0),"",D221/(D221+G221))</f>
        <v>0.475290697674419</v>
      </c>
      <c r="K221" s="39" t="n">
        <f aca="false">IF(E221="","",E221/(E221+H221))</f>
        <v>0.46182357301705</v>
      </c>
      <c r="L221" s="52" t="n">
        <f aca="false">IF(OR(K221="",J221=""),"",(J221-K221)*100)</f>
        <v>1.34671246573689</v>
      </c>
      <c r="M221" s="38"/>
    </row>
    <row r="222" customFormat="false" ht="15" hidden="false" customHeight="false" outlineLevel="0" collapsed="false">
      <c r="A222" s="38" t="s">
        <v>344</v>
      </c>
      <c r="B222" s="38" t="s">
        <v>219</v>
      </c>
      <c r="C222" s="38" t="s">
        <v>353</v>
      </c>
      <c r="D222" s="21" t="n">
        <v>762</v>
      </c>
      <c r="E222" s="21" t="n">
        <v>775</v>
      </c>
      <c r="F222" s="51" t="n">
        <f aca="false">IF(E222="","",D222-E222)</f>
        <v>-13</v>
      </c>
      <c r="G222" s="21" t="n">
        <v>445</v>
      </c>
      <c r="H222" s="21" t="n">
        <v>447</v>
      </c>
      <c r="I222" s="51" t="n">
        <f aca="false">IF(H222="","",G222-H222)</f>
        <v>-2</v>
      </c>
      <c r="J222" s="39" t="n">
        <f aca="false">IF(OR(D222="",D222+G222=0),"",D222/(D222+G222))</f>
        <v>0.631317315658658</v>
      </c>
      <c r="K222" s="39" t="n">
        <f aca="false">IF(E222="","",E222/(E222+H222))</f>
        <v>0.634206219312602</v>
      </c>
      <c r="L222" s="52" t="n">
        <f aca="false">IF(OR(K222="",J222=""),"",(J222-K222)*100)</f>
        <v>-0.288890365394445</v>
      </c>
      <c r="M222" s="38"/>
    </row>
    <row r="223" customFormat="false" ht="15" hidden="false" customHeight="false" outlineLevel="0" collapsed="false">
      <c r="A223" s="38" t="s">
        <v>344</v>
      </c>
      <c r="B223" s="38" t="s">
        <v>219</v>
      </c>
      <c r="C223" s="38" t="s">
        <v>354</v>
      </c>
      <c r="D223" s="21" t="n">
        <v>1082</v>
      </c>
      <c r="E223" s="21" t="n">
        <v>982</v>
      </c>
      <c r="F223" s="51" t="n">
        <f aca="false">IF(E223="","",D223-E223)</f>
        <v>100</v>
      </c>
      <c r="G223" s="21" t="n">
        <v>676</v>
      </c>
      <c r="H223" s="21" t="n">
        <v>684</v>
      </c>
      <c r="I223" s="51" t="n">
        <f aca="false">IF(H223="","",G223-H223)</f>
        <v>-8</v>
      </c>
      <c r="J223" s="39" t="n">
        <f aca="false">IF(OR(D223="",D223+G223=0),"",D223/(D223+G223))</f>
        <v>0.61547212741752</v>
      </c>
      <c r="K223" s="39" t="n">
        <f aca="false">IF(E223="","",E223/(E223+H223))</f>
        <v>0.589435774309724</v>
      </c>
      <c r="L223" s="52" t="n">
        <f aca="false">IF(OR(K223="",J223=""),"",(J223-K223)*100)</f>
        <v>2.6036353107796</v>
      </c>
      <c r="M223" s="38"/>
    </row>
    <row r="224" customFormat="false" ht="15" hidden="false" customHeight="false" outlineLevel="0" collapsed="false">
      <c r="A224" s="38" t="s">
        <v>344</v>
      </c>
      <c r="B224" s="38" t="s">
        <v>219</v>
      </c>
      <c r="C224" s="38" t="s">
        <v>355</v>
      </c>
      <c r="D224" s="21" t="n">
        <v>806</v>
      </c>
      <c r="E224" s="21" t="n">
        <v>750</v>
      </c>
      <c r="F224" s="51" t="n">
        <f aca="false">IF(E224="","",D224-E224)</f>
        <v>56</v>
      </c>
      <c r="G224" s="21" t="n">
        <v>393</v>
      </c>
      <c r="H224" s="21" t="n">
        <v>421</v>
      </c>
      <c r="I224" s="51" t="n">
        <f aca="false">IF(H224="","",G224-H224)</f>
        <v>-28</v>
      </c>
      <c r="J224" s="39" t="n">
        <f aca="false">IF(OR(D224="",D224+G224=0),"",D224/(D224+G224))</f>
        <v>0.672226855713094</v>
      </c>
      <c r="K224" s="39" t="n">
        <f aca="false">IF(E224="","",E224/(E224+H224))</f>
        <v>0.640478223740393</v>
      </c>
      <c r="L224" s="52" t="n">
        <f aca="false">IF(OR(K224="",J224=""),"",(J224-K224)*100)</f>
        <v>3.17486319727014</v>
      </c>
      <c r="M224" s="38"/>
    </row>
    <row r="225" customFormat="false" ht="15" hidden="false" customHeight="false" outlineLevel="0" collapsed="false">
      <c r="A225" s="38" t="s">
        <v>344</v>
      </c>
      <c r="B225" s="38" t="s">
        <v>219</v>
      </c>
      <c r="C225" s="38" t="s">
        <v>356</v>
      </c>
      <c r="D225" s="21" t="n">
        <v>615</v>
      </c>
      <c r="E225" s="21" t="n">
        <v>592</v>
      </c>
      <c r="F225" s="51" t="n">
        <f aca="false">IF(E225="","",D225-E225)</f>
        <v>23</v>
      </c>
      <c r="G225" s="21" t="n">
        <v>334</v>
      </c>
      <c r="H225" s="21" t="n">
        <v>337</v>
      </c>
      <c r="I225" s="51" t="n">
        <f aca="false">IF(H225="","",G225-H225)</f>
        <v>-3</v>
      </c>
      <c r="J225" s="39" t="n">
        <f aca="false">IF(OR(D225="",D225+G225=0),"",D225/(D225+G225))</f>
        <v>0.648050579557429</v>
      </c>
      <c r="K225" s="39" t="n">
        <f aca="false">IF(E225="","",E225/(E225+H225))</f>
        <v>0.63724434876211</v>
      </c>
      <c r="L225" s="52" t="n">
        <f aca="false">IF(OR(K225="",J225=""),"",(J225-K225)*100)</f>
        <v>1.08062307953191</v>
      </c>
      <c r="M225" s="38"/>
    </row>
    <row r="226" customFormat="false" ht="15" hidden="false" customHeight="false" outlineLevel="0" collapsed="false">
      <c r="A226" s="38" t="s">
        <v>344</v>
      </c>
      <c r="B226" s="38" t="s">
        <v>219</v>
      </c>
      <c r="C226" s="38" t="s">
        <v>357</v>
      </c>
      <c r="D226" s="21" t="n">
        <v>822</v>
      </c>
      <c r="E226" s="21" t="n">
        <v>740</v>
      </c>
      <c r="F226" s="51" t="n">
        <f aca="false">IF(E226="","",D226-E226)</f>
        <v>82</v>
      </c>
      <c r="G226" s="21" t="n">
        <v>505</v>
      </c>
      <c r="H226" s="21" t="n">
        <v>506</v>
      </c>
      <c r="I226" s="51" t="n">
        <f aca="false">IF(H226="","",G226-H226)</f>
        <v>-1</v>
      </c>
      <c r="J226" s="39" t="n">
        <f aca="false">IF(OR(D226="",D226+G226=0),"",D226/(D226+G226))</f>
        <v>0.619442351168048</v>
      </c>
      <c r="K226" s="39" t="n">
        <f aca="false">IF(E226="","",E226/(E226+H226))</f>
        <v>0.593900481540931</v>
      </c>
      <c r="L226" s="52" t="n">
        <f aca="false">IF(OR(K226="",J226=""),"",(J226-K226)*100)</f>
        <v>2.55418696271172</v>
      </c>
      <c r="M226" s="38"/>
    </row>
    <row r="227" customFormat="false" ht="15" hidden="false" customHeight="false" outlineLevel="0" collapsed="false">
      <c r="A227" s="38" t="s">
        <v>344</v>
      </c>
      <c r="B227" s="38" t="s">
        <v>219</v>
      </c>
      <c r="C227" s="38" t="s">
        <v>358</v>
      </c>
      <c r="D227" s="21" t="n">
        <v>1100</v>
      </c>
      <c r="E227" s="21" t="n">
        <v>1037</v>
      </c>
      <c r="F227" s="51" t="n">
        <f aca="false">IF(E227="","",D227-E227)</f>
        <v>63</v>
      </c>
      <c r="G227" s="21" t="n">
        <v>590</v>
      </c>
      <c r="H227" s="21" t="n">
        <v>623</v>
      </c>
      <c r="I227" s="51" t="n">
        <f aca="false">IF(H227="","",G227-H227)</f>
        <v>-33</v>
      </c>
      <c r="J227" s="39" t="n">
        <f aca="false">IF(OR(D227="",D227+G227=0),"",D227/(D227+G227))</f>
        <v>0.650887573964497</v>
      </c>
      <c r="K227" s="39" t="n">
        <f aca="false">IF(E227="","",E227/(E227+H227))</f>
        <v>0.624698795180723</v>
      </c>
      <c r="L227" s="52" t="n">
        <f aca="false">IF(OR(K227="",J227=""),"",(J227-K227)*100)</f>
        <v>2.61887787837741</v>
      </c>
      <c r="M227" s="38"/>
    </row>
    <row r="228" customFormat="false" ht="15" hidden="false" customHeight="false" outlineLevel="0" collapsed="false">
      <c r="A228" s="38" t="s">
        <v>344</v>
      </c>
      <c r="B228" s="38" t="s">
        <v>219</v>
      </c>
      <c r="C228" s="38" t="s">
        <v>359</v>
      </c>
      <c r="D228" s="21" t="n">
        <v>770</v>
      </c>
      <c r="E228" s="21" t="n">
        <v>681</v>
      </c>
      <c r="F228" s="51" t="n">
        <f aca="false">IF(E228="","",D228-E228)</f>
        <v>89</v>
      </c>
      <c r="G228" s="21" t="n">
        <v>527</v>
      </c>
      <c r="H228" s="21" t="n">
        <v>513</v>
      </c>
      <c r="I228" s="51" t="n">
        <f aca="false">IF(H228="","",G228-H228)</f>
        <v>14</v>
      </c>
      <c r="J228" s="39" t="n">
        <f aca="false">IF(OR(D228="",D228+G228=0),"",D228/(D228+G228))</f>
        <v>0.593677717810332</v>
      </c>
      <c r="K228" s="39" t="n">
        <f aca="false">IF(E228="","",E228/(E228+H228))</f>
        <v>0.57035175879397</v>
      </c>
      <c r="L228" s="52" t="n">
        <f aca="false">IF(OR(K228="",J228=""),"",(J228-K228)*100)</f>
        <v>2.33259590163617</v>
      </c>
      <c r="M228" s="38"/>
    </row>
    <row r="229" customFormat="false" ht="15" hidden="false" customHeight="false" outlineLevel="0" collapsed="false">
      <c r="A229" s="38" t="s">
        <v>344</v>
      </c>
      <c r="B229" s="38" t="s">
        <v>219</v>
      </c>
      <c r="C229" s="38" t="s">
        <v>360</v>
      </c>
      <c r="D229" s="21" t="n">
        <v>583</v>
      </c>
      <c r="E229" s="21" t="n">
        <v>529</v>
      </c>
      <c r="F229" s="51" t="n">
        <f aca="false">IF(E229="","",D229-E229)</f>
        <v>54</v>
      </c>
      <c r="G229" s="21" t="n">
        <v>318</v>
      </c>
      <c r="H229" s="21" t="n">
        <v>293</v>
      </c>
      <c r="I229" s="51" t="n">
        <f aca="false">IF(H229="","",G229-H229)</f>
        <v>25</v>
      </c>
      <c r="J229" s="39" t="n">
        <f aca="false">IF(OR(D229="",D229+G229=0),"",D229/(D229+G229))</f>
        <v>0.647058823529412</v>
      </c>
      <c r="K229" s="39" t="n">
        <f aca="false">IF(E229="","",E229/(E229+H229))</f>
        <v>0.643552311435523</v>
      </c>
      <c r="L229" s="52" t="n">
        <f aca="false">IF(OR(K229="",J229=""),"",(J229-K229)*100)</f>
        <v>0.350651209388864</v>
      </c>
      <c r="M229" s="38"/>
    </row>
    <row r="230" customFormat="false" ht="15" hidden="false" customHeight="false" outlineLevel="0" collapsed="false">
      <c r="A230" s="38" t="s">
        <v>344</v>
      </c>
      <c r="B230" s="38" t="s">
        <v>219</v>
      </c>
      <c r="C230" s="38" t="s">
        <v>361</v>
      </c>
      <c r="D230" s="21" t="n">
        <v>751</v>
      </c>
      <c r="E230" s="21" t="n">
        <v>767</v>
      </c>
      <c r="F230" s="51" t="n">
        <f aca="false">IF(E230="","",D230-E230)</f>
        <v>-16</v>
      </c>
      <c r="G230" s="21" t="n">
        <v>331</v>
      </c>
      <c r="H230" s="21" t="n">
        <v>384</v>
      </c>
      <c r="I230" s="51" t="n">
        <f aca="false">IF(H230="","",G230-H230)</f>
        <v>-53</v>
      </c>
      <c r="J230" s="39" t="n">
        <f aca="false">IF(OR(D230="",D230+G230=0),"",D230/(D230+G230))</f>
        <v>0.694085027726433</v>
      </c>
      <c r="K230" s="39" t="n">
        <f aca="false">IF(E230="","",E230/(E230+H230))</f>
        <v>0.66637706342311</v>
      </c>
      <c r="L230" s="52" t="n">
        <f aca="false">IF(OR(K230="",J230=""),"",(J230-K230)*100)</f>
        <v>2.77079643033222</v>
      </c>
      <c r="M230" s="38"/>
    </row>
    <row r="231" customFormat="false" ht="15" hidden="false" customHeight="false" outlineLevel="0" collapsed="false">
      <c r="A231" s="38" t="s">
        <v>344</v>
      </c>
      <c r="B231" s="38" t="s">
        <v>219</v>
      </c>
      <c r="C231" s="38" t="s">
        <v>362</v>
      </c>
      <c r="D231" s="21" t="n">
        <v>958</v>
      </c>
      <c r="E231" s="21" t="n">
        <v>906</v>
      </c>
      <c r="F231" s="51" t="n">
        <f aca="false">IF(E231="","",D231-E231)</f>
        <v>52</v>
      </c>
      <c r="G231" s="21" t="n">
        <v>536</v>
      </c>
      <c r="H231" s="21" t="n">
        <v>586</v>
      </c>
      <c r="I231" s="51" t="n">
        <f aca="false">IF(H231="","",G231-H231)</f>
        <v>-50</v>
      </c>
      <c r="J231" s="39" t="n">
        <f aca="false">IF(OR(D231="",D231+G231=0),"",D231/(D231+G231))</f>
        <v>0.641231593038822</v>
      </c>
      <c r="K231" s="39" t="n">
        <f aca="false">IF(E231="","",E231/(E231+H231))</f>
        <v>0.607238605898123</v>
      </c>
      <c r="L231" s="52" t="n">
        <f aca="false">IF(OR(K231="",J231=""),"",(J231-K231)*100)</f>
        <v>3.39929871406987</v>
      </c>
      <c r="M231" s="38"/>
    </row>
    <row r="232" customFormat="false" ht="15" hidden="false" customHeight="false" outlineLevel="0" collapsed="false">
      <c r="A232" s="38" t="s">
        <v>344</v>
      </c>
      <c r="B232" s="38" t="s">
        <v>219</v>
      </c>
      <c r="C232" s="38" t="s">
        <v>363</v>
      </c>
      <c r="D232" s="21" t="n">
        <v>812</v>
      </c>
      <c r="E232" s="21" t="n">
        <v>954</v>
      </c>
      <c r="F232" s="51" t="n">
        <f aca="false">IF(E232="","",D232-E232)</f>
        <v>-142</v>
      </c>
      <c r="G232" s="21" t="n">
        <v>320</v>
      </c>
      <c r="H232" s="21" t="n">
        <v>416</v>
      </c>
      <c r="I232" s="51" t="n">
        <f aca="false">IF(H232="","",G232-H232)</f>
        <v>-96</v>
      </c>
      <c r="J232" s="39" t="n">
        <f aca="false">IF(OR(D232="",D232+G232=0),"",D232/(D232+G232))</f>
        <v>0.717314487632509</v>
      </c>
      <c r="K232" s="39" t="n">
        <f aca="false">IF(E232="","",E232/(E232+H232))</f>
        <v>0.696350364963504</v>
      </c>
      <c r="L232" s="52" t="n">
        <f aca="false">IF(OR(K232="",J232=""),"",(J232-K232)*100)</f>
        <v>2.09641226690052</v>
      </c>
      <c r="M232" s="38"/>
    </row>
    <row r="233" customFormat="false" ht="15" hidden="false" customHeight="false" outlineLevel="0" collapsed="false">
      <c r="A233" s="38" t="s">
        <v>344</v>
      </c>
      <c r="B233" s="38" t="s">
        <v>219</v>
      </c>
      <c r="C233" s="38" t="s">
        <v>364</v>
      </c>
      <c r="D233" s="21" t="n">
        <v>761</v>
      </c>
      <c r="E233" s="21" t="n">
        <v>821</v>
      </c>
      <c r="F233" s="51" t="n">
        <f aca="false">IF(E233="","",D233-E233)</f>
        <v>-60</v>
      </c>
      <c r="G233" s="21" t="n">
        <v>423</v>
      </c>
      <c r="H233" s="21" t="n">
        <v>474</v>
      </c>
      <c r="I233" s="51" t="n">
        <f aca="false">IF(H233="","",G233-H233)</f>
        <v>-51</v>
      </c>
      <c r="J233" s="39" t="n">
        <f aca="false">IF(OR(D233="",D233+G233=0),"",D233/(D233+G233))</f>
        <v>0.642736486486487</v>
      </c>
      <c r="K233" s="39" t="n">
        <f aca="false">IF(E233="","",E233/(E233+H233))</f>
        <v>0.633976833976834</v>
      </c>
      <c r="L233" s="52" t="n">
        <f aca="false">IF(OR(K233="",J233=""),"",(J233-K233)*100)</f>
        <v>0.875965250965249</v>
      </c>
      <c r="M233" s="38"/>
    </row>
    <row r="234" customFormat="false" ht="15" hidden="false" customHeight="false" outlineLevel="0" collapsed="false">
      <c r="A234" s="38" t="s">
        <v>344</v>
      </c>
      <c r="B234" s="38" t="s">
        <v>219</v>
      </c>
      <c r="C234" s="38" t="s">
        <v>365</v>
      </c>
      <c r="D234" s="21" t="n">
        <v>267</v>
      </c>
      <c r="E234" s="21" t="n">
        <v>283</v>
      </c>
      <c r="F234" s="51" t="n">
        <f aca="false">IF(E234="","",D234-E234)</f>
        <v>-16</v>
      </c>
      <c r="G234" s="21" t="n">
        <v>77</v>
      </c>
      <c r="H234" s="21" t="n">
        <v>110</v>
      </c>
      <c r="I234" s="51" t="n">
        <f aca="false">IF(H234="","",G234-H234)</f>
        <v>-33</v>
      </c>
      <c r="J234" s="39" t="n">
        <f aca="false">IF(OR(D234="",D234+G234=0),"",D234/(D234+G234))</f>
        <v>0.776162790697675</v>
      </c>
      <c r="K234" s="39" t="n">
        <f aca="false">IF(E234="","",E234/(E234+H234))</f>
        <v>0.720101781170484</v>
      </c>
      <c r="L234" s="52" t="n">
        <f aca="false">IF(OR(K234="",J234=""),"",(J234-K234)*100)</f>
        <v>5.6061009527191</v>
      </c>
      <c r="M234" s="38"/>
    </row>
    <row r="235" customFormat="false" ht="15" hidden="false" customHeight="false" outlineLevel="0" collapsed="false">
      <c r="A235" s="38" t="s">
        <v>344</v>
      </c>
      <c r="B235" s="38" t="s">
        <v>219</v>
      </c>
      <c r="C235" s="38" t="s">
        <v>366</v>
      </c>
      <c r="D235" s="21" t="n">
        <v>460</v>
      </c>
      <c r="E235" s="21" t="n">
        <v>450</v>
      </c>
      <c r="F235" s="51" t="n">
        <f aca="false">IF(E235="","",D235-E235)</f>
        <v>10</v>
      </c>
      <c r="G235" s="21" t="n">
        <v>126</v>
      </c>
      <c r="H235" s="21" t="n">
        <v>179</v>
      </c>
      <c r="I235" s="51" t="n">
        <f aca="false">IF(H235="","",G235-H235)</f>
        <v>-53</v>
      </c>
      <c r="J235" s="39" t="n">
        <f aca="false">IF(OR(D235="",D235+G235=0),"",D235/(D235+G235))</f>
        <v>0.784982935153584</v>
      </c>
      <c r="K235" s="39" t="n">
        <f aca="false">IF(E235="","",E235/(E235+H235))</f>
        <v>0.715421303656598</v>
      </c>
      <c r="L235" s="52" t="n">
        <f aca="false">IF(OR(K235="",J235=""),"",(J235-K235)*100)</f>
        <v>6.95616314969859</v>
      </c>
      <c r="M235" s="38"/>
    </row>
    <row r="236" customFormat="false" ht="15" hidden="false" customHeight="false" outlineLevel="0" collapsed="false">
      <c r="A236" s="38" t="s">
        <v>344</v>
      </c>
      <c r="B236" s="38" t="s">
        <v>219</v>
      </c>
      <c r="C236" s="38" t="s">
        <v>367</v>
      </c>
      <c r="D236" s="21" t="n">
        <v>463</v>
      </c>
      <c r="E236" s="21" t="n">
        <v>442</v>
      </c>
      <c r="F236" s="51" t="n">
        <f aca="false">IF(E236="","",D236-E236)</f>
        <v>21</v>
      </c>
      <c r="G236" s="21" t="n">
        <v>137</v>
      </c>
      <c r="H236" s="21" t="n">
        <v>161</v>
      </c>
      <c r="I236" s="51" t="n">
        <f aca="false">IF(H236="","",G236-H236)</f>
        <v>-24</v>
      </c>
      <c r="J236" s="39" t="n">
        <f aca="false">IF(OR(D236="",D236+G236=0),"",D236/(D236+G236))</f>
        <v>0.771666666666667</v>
      </c>
      <c r="K236" s="39" t="n">
        <f aca="false">IF(E236="","",E236/(E236+H236))</f>
        <v>0.733001658374793</v>
      </c>
      <c r="L236" s="52" t="n">
        <f aca="false">IF(OR(K236="",J236=""),"",(J236-K236)*100)</f>
        <v>3.86650082918739</v>
      </c>
      <c r="M236" s="38"/>
    </row>
    <row r="237" customFormat="false" ht="15" hidden="false" customHeight="false" outlineLevel="0" collapsed="false">
      <c r="A237" s="38" t="s">
        <v>344</v>
      </c>
      <c r="B237" s="38" t="s">
        <v>219</v>
      </c>
      <c r="C237" s="38" t="s">
        <v>368</v>
      </c>
      <c r="D237" s="21" t="n">
        <v>643</v>
      </c>
      <c r="E237" s="21" t="n">
        <v>599</v>
      </c>
      <c r="F237" s="51" t="n">
        <f aca="false">IF(E237="","",D237-E237)</f>
        <v>44</v>
      </c>
      <c r="G237" s="21" t="n">
        <v>142</v>
      </c>
      <c r="H237" s="21" t="n">
        <v>203</v>
      </c>
      <c r="I237" s="51" t="n">
        <f aca="false">IF(H237="","",G237-H237)</f>
        <v>-61</v>
      </c>
      <c r="J237" s="39" t="n">
        <f aca="false">IF(OR(D237="",D237+G237=0),"",D237/(D237+G237))</f>
        <v>0.819108280254777</v>
      </c>
      <c r="K237" s="39" t="n">
        <f aca="false">IF(E237="","",E237/(E237+H237))</f>
        <v>0.746882793017456</v>
      </c>
      <c r="L237" s="52" t="n">
        <f aca="false">IF(OR(K237="",J237=""),"",(J237-K237)*100)</f>
        <v>7.22254872373207</v>
      </c>
      <c r="M237" s="38"/>
    </row>
    <row r="238" customFormat="false" ht="15" hidden="false" customHeight="false" outlineLevel="0" collapsed="false">
      <c r="A238" s="38" t="s">
        <v>344</v>
      </c>
      <c r="B238" s="38" t="s">
        <v>219</v>
      </c>
      <c r="C238" s="38" t="s">
        <v>369</v>
      </c>
      <c r="D238" s="21" t="n">
        <v>776</v>
      </c>
      <c r="E238" s="21" t="n">
        <v>1506</v>
      </c>
      <c r="F238" s="51" t="n">
        <f aca="false">IF(E238="","",D238-E238)</f>
        <v>-730</v>
      </c>
      <c r="G238" s="21" t="n">
        <v>146</v>
      </c>
      <c r="H238" s="21" t="n">
        <v>338</v>
      </c>
      <c r="I238" s="51" t="n">
        <f aca="false">IF(H238="","",G238-H238)</f>
        <v>-192</v>
      </c>
      <c r="J238" s="39" t="n">
        <f aca="false">IF(OR(D238="",D238+G238=0),"",D238/(D238+G238))</f>
        <v>0.841648590021692</v>
      </c>
      <c r="K238" s="39" t="n">
        <f aca="false">IF(E238="","",E238/(E238+H238))</f>
        <v>0.816702819956616</v>
      </c>
      <c r="L238" s="52" t="n">
        <f aca="false">IF(OR(K238="",J238=""),"",(J238-K238)*100)</f>
        <v>2.49457700650759</v>
      </c>
      <c r="M238" s="38"/>
    </row>
    <row r="239" customFormat="false" ht="15" hidden="false" customHeight="false" outlineLevel="0" collapsed="false">
      <c r="A239" s="38" t="s">
        <v>344</v>
      </c>
      <c r="B239" s="38" t="s">
        <v>219</v>
      </c>
      <c r="C239" s="38" t="s">
        <v>370</v>
      </c>
      <c r="D239" s="21" t="n">
        <v>686</v>
      </c>
      <c r="E239" s="21" t="n">
        <v>645</v>
      </c>
      <c r="F239" s="51" t="n">
        <f aca="false">IF(E239="","",D239-E239)</f>
        <v>41</v>
      </c>
      <c r="G239" s="21" t="n">
        <v>168</v>
      </c>
      <c r="H239" s="21" t="n">
        <v>243</v>
      </c>
      <c r="I239" s="51" t="n">
        <f aca="false">IF(H239="","",G239-H239)</f>
        <v>-75</v>
      </c>
      <c r="J239" s="39" t="n">
        <f aca="false">IF(OR(D239="",D239+G239=0),"",D239/(D239+G239))</f>
        <v>0.80327868852459</v>
      </c>
      <c r="K239" s="39" t="n">
        <f aca="false">IF(E239="","",E239/(E239+H239))</f>
        <v>0.726351351351351</v>
      </c>
      <c r="L239" s="52" t="n">
        <f aca="false">IF(OR(K239="",J239=""),"",(J239-K239)*100)</f>
        <v>7.69273371732389</v>
      </c>
      <c r="M239" s="38"/>
    </row>
    <row r="240" customFormat="false" ht="15" hidden="false" customHeight="false" outlineLevel="0" collapsed="false">
      <c r="A240" s="38" t="s">
        <v>344</v>
      </c>
      <c r="B240" s="38" t="s">
        <v>219</v>
      </c>
      <c r="C240" s="38" t="s">
        <v>371</v>
      </c>
      <c r="D240" s="21" t="n">
        <v>649</v>
      </c>
      <c r="E240" s="21" t="n">
        <v>628</v>
      </c>
      <c r="F240" s="51" t="n">
        <f aca="false">IF(E240="","",D240-E240)</f>
        <v>21</v>
      </c>
      <c r="G240" s="21" t="n">
        <v>183</v>
      </c>
      <c r="H240" s="21" t="n">
        <v>267</v>
      </c>
      <c r="I240" s="51" t="n">
        <f aca="false">IF(H240="","",G240-H240)</f>
        <v>-84</v>
      </c>
      <c r="J240" s="39" t="n">
        <f aca="false">IF(OR(D240="",D240+G240=0),"",D240/(D240+G240))</f>
        <v>0.780048076923077</v>
      </c>
      <c r="K240" s="39" t="n">
        <f aca="false">IF(E240="","",E240/(E240+H240))</f>
        <v>0.701675977653631</v>
      </c>
      <c r="L240" s="52" t="n">
        <f aca="false">IF(OR(K240="",J240=""),"",(J240-K240)*100)</f>
        <v>7.83720992694455</v>
      </c>
      <c r="M240" s="38"/>
    </row>
    <row r="241" customFormat="false" ht="15" hidden="false" customHeight="false" outlineLevel="0" collapsed="false">
      <c r="A241" s="38" t="s">
        <v>344</v>
      </c>
      <c r="B241" s="38" t="s">
        <v>219</v>
      </c>
      <c r="C241" s="38" t="s">
        <v>372</v>
      </c>
      <c r="D241" s="21" t="n">
        <v>465</v>
      </c>
      <c r="E241" s="21" t="n">
        <v>473</v>
      </c>
      <c r="F241" s="51" t="n">
        <f aca="false">IF(E241="","",D241-E241)</f>
        <v>-8</v>
      </c>
      <c r="G241" s="21" t="n">
        <v>173</v>
      </c>
      <c r="H241" s="21" t="n">
        <v>153</v>
      </c>
      <c r="I241" s="51" t="n">
        <f aca="false">IF(H241="","",G241-H241)</f>
        <v>20</v>
      </c>
      <c r="J241" s="39" t="n">
        <f aca="false">IF(OR(D241="",D241+G241=0),"",D241/(D241+G241))</f>
        <v>0.72884012539185</v>
      </c>
      <c r="K241" s="39" t="n">
        <f aca="false">IF(E241="","",E241/(E241+H241))</f>
        <v>0.755591054313099</v>
      </c>
      <c r="L241" s="52" t="n">
        <f aca="false">IF(OR(K241="",J241=""),"",(J241-K241)*100)</f>
        <v>-2.67509289212495</v>
      </c>
      <c r="M241" s="38"/>
    </row>
    <row r="242" customFormat="false" ht="15" hidden="false" customHeight="false" outlineLevel="0" collapsed="false">
      <c r="A242" s="38" t="s">
        <v>344</v>
      </c>
      <c r="B242" s="38" t="s">
        <v>219</v>
      </c>
      <c r="C242" s="38" t="s">
        <v>373</v>
      </c>
      <c r="D242" s="21" t="n">
        <v>729</v>
      </c>
      <c r="E242" s="21" t="n">
        <v>745</v>
      </c>
      <c r="F242" s="51" t="n">
        <f aca="false">IF(E242="","",D242-E242)</f>
        <v>-16</v>
      </c>
      <c r="G242" s="21" t="n">
        <v>242</v>
      </c>
      <c r="H242" s="21" t="n">
        <v>301</v>
      </c>
      <c r="I242" s="51" t="n">
        <f aca="false">IF(H242="","",G242-H242)</f>
        <v>-59</v>
      </c>
      <c r="J242" s="39" t="n">
        <f aca="false">IF(OR(D242="",D242+G242=0),"",D242/(D242+G242))</f>
        <v>0.750772399588054</v>
      </c>
      <c r="K242" s="39" t="n">
        <f aca="false">IF(E242="","",E242/(E242+H242))</f>
        <v>0.712237093690249</v>
      </c>
      <c r="L242" s="52" t="n">
        <f aca="false">IF(OR(K242="",J242=""),"",(J242-K242)*100)</f>
        <v>3.8535305897805</v>
      </c>
      <c r="M242" s="38"/>
    </row>
    <row r="243" customFormat="false" ht="15" hidden="false" customHeight="false" outlineLevel="0" collapsed="false">
      <c r="A243" s="38" t="s">
        <v>344</v>
      </c>
      <c r="B243" s="38" t="s">
        <v>219</v>
      </c>
      <c r="C243" s="38" t="s">
        <v>374</v>
      </c>
      <c r="D243" s="21" t="n">
        <v>644</v>
      </c>
      <c r="E243" s="21" t="n">
        <v>682</v>
      </c>
      <c r="F243" s="51" t="n">
        <f aca="false">IF(E243="","",D243-E243)</f>
        <v>-38</v>
      </c>
      <c r="G243" s="21" t="n">
        <v>240</v>
      </c>
      <c r="H243" s="21" t="n">
        <v>313</v>
      </c>
      <c r="I243" s="51" t="n">
        <f aca="false">IF(H243="","",G243-H243)</f>
        <v>-73</v>
      </c>
      <c r="J243" s="39" t="n">
        <f aca="false">IF(OR(D243="",D243+G243=0),"",D243/(D243+G243))</f>
        <v>0.728506787330317</v>
      </c>
      <c r="K243" s="39" t="n">
        <f aca="false">IF(E243="","",E243/(E243+H243))</f>
        <v>0.685427135678392</v>
      </c>
      <c r="L243" s="52" t="n">
        <f aca="false">IF(OR(K243="",J243=""),"",(J243-K243)*100)</f>
        <v>4.30796516519247</v>
      </c>
      <c r="M243" s="38"/>
    </row>
    <row r="244" customFormat="false" ht="15" hidden="false" customHeight="false" outlineLevel="0" collapsed="false">
      <c r="A244" s="38" t="s">
        <v>344</v>
      </c>
      <c r="B244" s="38" t="s">
        <v>219</v>
      </c>
      <c r="C244" s="38" t="s">
        <v>375</v>
      </c>
      <c r="D244" s="21" t="n">
        <v>745</v>
      </c>
      <c r="E244" s="21" t="n">
        <v>711</v>
      </c>
      <c r="F244" s="51" t="n">
        <f aca="false">IF(E244="","",D244-E244)</f>
        <v>34</v>
      </c>
      <c r="G244" s="21" t="n">
        <v>279</v>
      </c>
      <c r="H244" s="21" t="n">
        <v>341</v>
      </c>
      <c r="I244" s="51" t="n">
        <f aca="false">IF(H244="","",G244-H244)</f>
        <v>-62</v>
      </c>
      <c r="J244" s="39" t="n">
        <f aca="false">IF(OR(D244="",D244+G244=0),"",D244/(D244+G244))</f>
        <v>0.7275390625</v>
      </c>
      <c r="K244" s="39" t="n">
        <f aca="false">IF(E244="","",E244/(E244+H244))</f>
        <v>0.675855513307985</v>
      </c>
      <c r="L244" s="52" t="n">
        <f aca="false">IF(OR(K244="",J244=""),"",(J244-K244)*100)</f>
        <v>5.16835491920152</v>
      </c>
      <c r="M244" s="38"/>
    </row>
    <row r="245" customFormat="false" ht="15" hidden="false" customHeight="false" outlineLevel="0" collapsed="false">
      <c r="A245" s="38" t="s">
        <v>344</v>
      </c>
      <c r="B245" s="38" t="s">
        <v>219</v>
      </c>
      <c r="C245" s="38" t="s">
        <v>376</v>
      </c>
      <c r="D245" s="21" t="n">
        <v>601</v>
      </c>
      <c r="E245" s="21"/>
      <c r="F245" s="51" t="str">
        <f aca="false">IF(E245="","",D245-E245)</f>
        <v/>
      </c>
      <c r="G245" s="21" t="n">
        <v>285</v>
      </c>
      <c r="H245" s="21"/>
      <c r="I245" s="51" t="str">
        <f aca="false">IF(H245="","",G245-H245)</f>
        <v/>
      </c>
      <c r="J245" s="39" t="n">
        <f aca="false">IF(OR(D245="",D245+G245=0),"",D245/(D245+G245))</f>
        <v>0.678329571106095</v>
      </c>
      <c r="K245" s="39" t="str">
        <f aca="false">IF(E245="","",E245/(E245+H245))</f>
        <v/>
      </c>
      <c r="L245" s="52" t="str">
        <f aca="false">IF(OR(K245="",J245=""),"",(J245-K245)*100)</f>
        <v/>
      </c>
      <c r="M245" s="38" t="s">
        <v>691</v>
      </c>
    </row>
    <row r="246" customFormat="false" ht="15" hidden="false" customHeight="false" outlineLevel="0" collapsed="false">
      <c r="A246" s="38" t="s">
        <v>344</v>
      </c>
      <c r="B246" s="38" t="s">
        <v>377</v>
      </c>
      <c r="C246" s="38" t="s">
        <v>378</v>
      </c>
      <c r="D246" s="21" t="n">
        <v>520</v>
      </c>
      <c r="E246" s="21" t="n">
        <v>466</v>
      </c>
      <c r="F246" s="51" t="n">
        <f aca="false">IF(E246="","",D246-E246)</f>
        <v>54</v>
      </c>
      <c r="G246" s="21" t="n">
        <v>433</v>
      </c>
      <c r="H246" s="21" t="n">
        <v>405</v>
      </c>
      <c r="I246" s="51" t="n">
        <f aca="false">IF(H246="","",G246-H246)</f>
        <v>28</v>
      </c>
      <c r="J246" s="39" t="n">
        <f aca="false">IF(OR(D246="",D246+G246=0),"",D246/(D246+G246))</f>
        <v>0.545645330535152</v>
      </c>
      <c r="K246" s="39" t="n">
        <f aca="false">IF(E246="","",E246/(E246+H246))</f>
        <v>0.535017221584386</v>
      </c>
      <c r="L246" s="52" t="n">
        <f aca="false">IF(OR(K246="",J246=""),"",(J246-K246)*100)</f>
        <v>1.06281089507664</v>
      </c>
      <c r="M246" s="38"/>
    </row>
    <row r="247" customFormat="false" ht="15" hidden="false" customHeight="false" outlineLevel="0" collapsed="false">
      <c r="A247" s="38" t="s">
        <v>344</v>
      </c>
      <c r="B247" s="38" t="s">
        <v>377</v>
      </c>
      <c r="C247" s="38" t="s">
        <v>379</v>
      </c>
      <c r="D247" s="21" t="n">
        <v>640</v>
      </c>
      <c r="E247" s="21" t="n">
        <v>552</v>
      </c>
      <c r="F247" s="51" t="n">
        <f aca="false">IF(E247="","",D247-E247)</f>
        <v>88</v>
      </c>
      <c r="G247" s="21" t="n">
        <v>533</v>
      </c>
      <c r="H247" s="21" t="n">
        <v>506</v>
      </c>
      <c r="I247" s="51" t="n">
        <f aca="false">IF(H247="","",G247-H247)</f>
        <v>27</v>
      </c>
      <c r="J247" s="39" t="n">
        <f aca="false">IF(OR(D247="",D247+G247=0),"",D247/(D247+G247))</f>
        <v>0.545609548167093</v>
      </c>
      <c r="K247" s="39" t="n">
        <f aca="false">IF(E247="","",E247/(E247+H247))</f>
        <v>0.521739130434783</v>
      </c>
      <c r="L247" s="52" t="n">
        <f aca="false">IF(OR(K247="",J247=""),"",(J247-K247)*100)</f>
        <v>2.38704177323104</v>
      </c>
      <c r="M247" s="38"/>
    </row>
    <row r="248" customFormat="false" ht="15" hidden="false" customHeight="false" outlineLevel="0" collapsed="false">
      <c r="A248" s="38" t="s">
        <v>344</v>
      </c>
      <c r="B248" s="38" t="s">
        <v>377</v>
      </c>
      <c r="C248" s="38" t="s">
        <v>380</v>
      </c>
      <c r="D248" s="21" t="n">
        <v>674</v>
      </c>
      <c r="E248" s="21" t="n">
        <v>722</v>
      </c>
      <c r="F248" s="51" t="n">
        <f aca="false">IF(E248="","",D248-E248)</f>
        <v>-48</v>
      </c>
      <c r="G248" s="21" t="n">
        <v>524</v>
      </c>
      <c r="H248" s="21" t="n">
        <v>596</v>
      </c>
      <c r="I248" s="51" t="n">
        <f aca="false">IF(H248="","",G248-H248)</f>
        <v>-72</v>
      </c>
      <c r="J248" s="39" t="n">
        <f aca="false">IF(OR(D248="",D248+G248=0),"",D248/(D248+G248))</f>
        <v>0.562604340567613</v>
      </c>
      <c r="K248" s="39" t="n">
        <f aca="false">IF(E248="","",E248/(E248+H248))</f>
        <v>0.547799696509863</v>
      </c>
      <c r="L248" s="52" t="n">
        <f aca="false">IF(OR(K248="",J248=""),"",(J248-K248)*100)</f>
        <v>1.48046440577493</v>
      </c>
      <c r="M248" s="38"/>
    </row>
    <row r="249" customFormat="false" ht="15" hidden="false" customHeight="false" outlineLevel="0" collapsed="false">
      <c r="A249" s="38" t="s">
        <v>344</v>
      </c>
      <c r="B249" s="38" t="s">
        <v>377</v>
      </c>
      <c r="C249" s="38" t="s">
        <v>381</v>
      </c>
      <c r="D249" s="21" t="n">
        <v>332</v>
      </c>
      <c r="E249" s="21" t="n">
        <v>339</v>
      </c>
      <c r="F249" s="51" t="n">
        <f aca="false">IF(E249="","",D249-E249)</f>
        <v>-7</v>
      </c>
      <c r="G249" s="21" t="n">
        <v>316</v>
      </c>
      <c r="H249" s="21" t="n">
        <v>338</v>
      </c>
      <c r="I249" s="51" t="n">
        <f aca="false">IF(H249="","",G249-H249)</f>
        <v>-22</v>
      </c>
      <c r="J249" s="39" t="n">
        <f aca="false">IF(OR(D249="",D249+G249=0),"",D249/(D249+G249))</f>
        <v>0.512345679012346</v>
      </c>
      <c r="K249" s="39" t="n">
        <f aca="false">IF(E249="","",E249/(E249+H249))</f>
        <v>0.500738552437223</v>
      </c>
      <c r="L249" s="52" t="n">
        <f aca="false">IF(OR(K249="",J249=""),"",(J249-K249)*100)</f>
        <v>1.16071265751226</v>
      </c>
      <c r="M249" s="38"/>
    </row>
    <row r="250" customFormat="false" ht="15" hidden="false" customHeight="false" outlineLevel="0" collapsed="false">
      <c r="A250" s="38" t="s">
        <v>344</v>
      </c>
      <c r="B250" s="38" t="s">
        <v>377</v>
      </c>
      <c r="C250" s="38" t="s">
        <v>382</v>
      </c>
      <c r="D250" s="21" t="n">
        <v>611</v>
      </c>
      <c r="E250" s="21" t="n">
        <v>579</v>
      </c>
      <c r="F250" s="51" t="n">
        <f aca="false">IF(E250="","",D250-E250)</f>
        <v>32</v>
      </c>
      <c r="G250" s="21" t="n">
        <v>478</v>
      </c>
      <c r="H250" s="21" t="n">
        <v>482</v>
      </c>
      <c r="I250" s="51" t="n">
        <f aca="false">IF(H250="","",G250-H250)</f>
        <v>-4</v>
      </c>
      <c r="J250" s="39" t="n">
        <f aca="false">IF(OR(D250="",D250+G250=0),"",D250/(D250+G250))</f>
        <v>0.561065197428834</v>
      </c>
      <c r="K250" s="39" t="n">
        <f aca="false">IF(E250="","",E250/(E250+H250))</f>
        <v>0.545711592836946</v>
      </c>
      <c r="L250" s="52" t="n">
        <f aca="false">IF(OR(K250="",J250=""),"",(J250-K250)*100)</f>
        <v>1.53536045918875</v>
      </c>
      <c r="M250" s="38"/>
    </row>
    <row r="251" customFormat="false" ht="15" hidden="false" customHeight="false" outlineLevel="0" collapsed="false">
      <c r="A251" s="38" t="s">
        <v>344</v>
      </c>
      <c r="B251" s="38" t="s">
        <v>377</v>
      </c>
      <c r="C251" s="38" t="s">
        <v>383</v>
      </c>
      <c r="D251" s="21" t="n">
        <v>593</v>
      </c>
      <c r="E251" s="21" t="n">
        <v>562</v>
      </c>
      <c r="F251" s="51" t="n">
        <f aca="false">IF(E251="","",D251-E251)</f>
        <v>31</v>
      </c>
      <c r="G251" s="21" t="n">
        <v>509</v>
      </c>
      <c r="H251" s="21" t="n">
        <v>525</v>
      </c>
      <c r="I251" s="51" t="n">
        <f aca="false">IF(H251="","",G251-H251)</f>
        <v>-16</v>
      </c>
      <c r="J251" s="39" t="n">
        <f aca="false">IF(OR(D251="",D251+G251=0),"",D251/(D251+G251))</f>
        <v>0.538112522686025</v>
      </c>
      <c r="K251" s="39" t="n">
        <f aca="false">IF(E251="","",E251/(E251+H251))</f>
        <v>0.517019319227231</v>
      </c>
      <c r="L251" s="52" t="n">
        <f aca="false">IF(OR(K251="",J251=""),"",(J251-K251)*100)</f>
        <v>2.10932034587945</v>
      </c>
      <c r="M251" s="38"/>
    </row>
    <row r="252" customFormat="false" ht="15" hidden="false" customHeight="false" outlineLevel="0" collapsed="false">
      <c r="A252" s="38" t="s">
        <v>344</v>
      </c>
      <c r="B252" s="38" t="s">
        <v>377</v>
      </c>
      <c r="C252" s="38" t="s">
        <v>384</v>
      </c>
      <c r="D252" s="21" t="n">
        <v>373</v>
      </c>
      <c r="E252" s="21" t="n">
        <v>337</v>
      </c>
      <c r="F252" s="51" t="n">
        <f aca="false">IF(E252="","",D252-E252)</f>
        <v>36</v>
      </c>
      <c r="G252" s="21" t="n">
        <v>291</v>
      </c>
      <c r="H252" s="21" t="n">
        <v>296</v>
      </c>
      <c r="I252" s="51" t="n">
        <f aca="false">IF(H252="","",G252-H252)</f>
        <v>-5</v>
      </c>
      <c r="J252" s="39" t="n">
        <f aca="false">IF(OR(D252="",D252+G252=0),"",D252/(D252+G252))</f>
        <v>0.561746987951807</v>
      </c>
      <c r="K252" s="39" t="n">
        <f aca="false">IF(E252="","",E252/(E252+H252))</f>
        <v>0.532385466034755</v>
      </c>
      <c r="L252" s="52" t="n">
        <f aca="false">IF(OR(K252="",J252=""),"",(J252-K252)*100)</f>
        <v>2.93615219170521</v>
      </c>
      <c r="M252" s="38"/>
    </row>
    <row r="253" customFormat="false" ht="15" hidden="false" customHeight="false" outlineLevel="0" collapsed="false">
      <c r="A253" s="38" t="s">
        <v>344</v>
      </c>
      <c r="B253" s="38" t="s">
        <v>377</v>
      </c>
      <c r="C253" s="38" t="s">
        <v>385</v>
      </c>
      <c r="D253" s="21" t="n">
        <v>523</v>
      </c>
      <c r="E253" s="21" t="n">
        <v>517</v>
      </c>
      <c r="F253" s="51" t="n">
        <f aca="false">IF(E253="","",D253-E253)</f>
        <v>6</v>
      </c>
      <c r="G253" s="21" t="n">
        <v>362</v>
      </c>
      <c r="H253" s="21" t="n">
        <v>388</v>
      </c>
      <c r="I253" s="51" t="n">
        <f aca="false">IF(H253="","",G253-H253)</f>
        <v>-26</v>
      </c>
      <c r="J253" s="39" t="n">
        <f aca="false">IF(OR(D253="",D253+G253=0),"",D253/(D253+G253))</f>
        <v>0.590960451977401</v>
      </c>
      <c r="K253" s="39" t="n">
        <f aca="false">IF(E253="","",E253/(E253+H253))</f>
        <v>0.571270718232044</v>
      </c>
      <c r="L253" s="52" t="n">
        <f aca="false">IF(OR(K253="",J253=""),"",(J253-K253)*100)</f>
        <v>1.96897337453569</v>
      </c>
      <c r="M253" s="38"/>
    </row>
    <row r="254" customFormat="false" ht="15" hidden="false" customHeight="false" outlineLevel="0" collapsed="false">
      <c r="A254" s="38" t="s">
        <v>344</v>
      </c>
      <c r="B254" s="38" t="s">
        <v>377</v>
      </c>
      <c r="C254" s="38" t="s">
        <v>386</v>
      </c>
      <c r="D254" s="21" t="n">
        <v>333</v>
      </c>
      <c r="E254" s="21" t="n">
        <v>329</v>
      </c>
      <c r="F254" s="51" t="n">
        <f aca="false">IF(E254="","",D254-E254)</f>
        <v>4</v>
      </c>
      <c r="G254" s="21" t="n">
        <v>222</v>
      </c>
      <c r="H254" s="21" t="n">
        <v>217</v>
      </c>
      <c r="I254" s="51" t="n">
        <f aca="false">IF(H254="","",G254-H254)</f>
        <v>5</v>
      </c>
      <c r="J254" s="39" t="n">
        <f aca="false">IF(OR(D254="",D254+G254=0),"",D254/(D254+G254))</f>
        <v>0.6</v>
      </c>
      <c r="K254" s="39" t="n">
        <f aca="false">IF(E254="","",E254/(E254+H254))</f>
        <v>0.602564102564103</v>
      </c>
      <c r="L254" s="52" t="n">
        <f aca="false">IF(OR(K254="",J254=""),"",(J254-K254)*100)</f>
        <v>-0.256410256410256</v>
      </c>
      <c r="M254" s="38"/>
    </row>
    <row r="255" customFormat="false" ht="15" hidden="false" customHeight="false" outlineLevel="0" collapsed="false">
      <c r="A255" s="38" t="s">
        <v>344</v>
      </c>
      <c r="B255" s="38" t="s">
        <v>377</v>
      </c>
      <c r="C255" s="38" t="s">
        <v>387</v>
      </c>
      <c r="D255" s="21" t="n">
        <v>390</v>
      </c>
      <c r="E255" s="21" t="n">
        <v>352</v>
      </c>
      <c r="F255" s="51" t="n">
        <f aca="false">IF(E255="","",D255-E255)</f>
        <v>38</v>
      </c>
      <c r="G255" s="21" t="n">
        <v>361</v>
      </c>
      <c r="H255" s="21" t="n">
        <v>326</v>
      </c>
      <c r="I255" s="51" t="n">
        <f aca="false">IF(H255="","",G255-H255)</f>
        <v>35</v>
      </c>
      <c r="J255" s="39" t="n">
        <f aca="false">IF(OR(D255="",D255+G255=0),"",D255/(D255+G255))</f>
        <v>0.51930758988016</v>
      </c>
      <c r="K255" s="39" t="n">
        <f aca="false">IF(E255="","",E255/(E255+H255))</f>
        <v>0.519174041297935</v>
      </c>
      <c r="L255" s="52" t="n">
        <f aca="false">IF(OR(K255="",J255=""),"",(J255-K255)*100)</f>
        <v>0.0133548582224696</v>
      </c>
      <c r="M255" s="38"/>
    </row>
    <row r="256" customFormat="false" ht="15" hidden="false" customHeight="false" outlineLevel="0" collapsed="false">
      <c r="A256" s="38" t="s">
        <v>344</v>
      </c>
      <c r="B256" s="38" t="s">
        <v>377</v>
      </c>
      <c r="C256" s="38" t="s">
        <v>388</v>
      </c>
      <c r="D256" s="21" t="n">
        <v>491</v>
      </c>
      <c r="E256" s="21" t="n">
        <v>420</v>
      </c>
      <c r="F256" s="51" t="n">
        <f aca="false">IF(E256="","",D256-E256)</f>
        <v>71</v>
      </c>
      <c r="G256" s="21" t="n">
        <v>396</v>
      </c>
      <c r="H256" s="21" t="n">
        <v>378</v>
      </c>
      <c r="I256" s="51" t="n">
        <f aca="false">IF(H256="","",G256-H256)</f>
        <v>18</v>
      </c>
      <c r="J256" s="39" t="n">
        <f aca="false">IF(OR(D256="",D256+G256=0),"",D256/(D256+G256))</f>
        <v>0.553551296505073</v>
      </c>
      <c r="K256" s="39" t="n">
        <f aca="false">IF(E256="","",E256/(E256+H256))</f>
        <v>0.526315789473684</v>
      </c>
      <c r="L256" s="52" t="n">
        <f aca="false">IF(OR(K256="",J256=""),"",(J256-K256)*100)</f>
        <v>2.72355070313891</v>
      </c>
      <c r="M256" s="38"/>
    </row>
    <row r="257" customFormat="false" ht="15" hidden="false" customHeight="false" outlineLevel="0" collapsed="false">
      <c r="A257" s="38" t="s">
        <v>344</v>
      </c>
      <c r="B257" s="38" t="s">
        <v>377</v>
      </c>
      <c r="C257" s="38" t="s">
        <v>389</v>
      </c>
      <c r="D257" s="21" t="n">
        <v>537</v>
      </c>
      <c r="E257" s="21" t="n">
        <v>522</v>
      </c>
      <c r="F257" s="51" t="n">
        <f aca="false">IF(E257="","",D257-E257)</f>
        <v>15</v>
      </c>
      <c r="G257" s="21" t="n">
        <v>382</v>
      </c>
      <c r="H257" s="21" t="n">
        <v>400</v>
      </c>
      <c r="I257" s="51" t="n">
        <f aca="false">IF(H257="","",G257-H257)</f>
        <v>-18</v>
      </c>
      <c r="J257" s="39" t="n">
        <f aca="false">IF(OR(D257="",D257+G257=0),"",D257/(D257+G257))</f>
        <v>0.584330794341676</v>
      </c>
      <c r="K257" s="39" t="n">
        <f aca="false">IF(E257="","",E257/(E257+H257))</f>
        <v>0.566160520607375</v>
      </c>
      <c r="L257" s="52" t="n">
        <f aca="false">IF(OR(K257="",J257=""),"",(J257-K257)*100)</f>
        <v>1.81702737343005</v>
      </c>
      <c r="M257" s="38"/>
    </row>
    <row r="258" customFormat="false" ht="15" hidden="false" customHeight="false" outlineLevel="0" collapsed="false">
      <c r="A258" s="38" t="s">
        <v>344</v>
      </c>
      <c r="B258" s="38" t="s">
        <v>377</v>
      </c>
      <c r="C258" s="38" t="s">
        <v>390</v>
      </c>
      <c r="D258" s="21" t="n">
        <v>484</v>
      </c>
      <c r="E258" s="21" t="n">
        <v>436</v>
      </c>
      <c r="F258" s="51" t="n">
        <f aca="false">IF(E258="","",D258-E258)</f>
        <v>48</v>
      </c>
      <c r="G258" s="21" t="n">
        <v>453</v>
      </c>
      <c r="H258" s="21" t="n">
        <v>423</v>
      </c>
      <c r="I258" s="51" t="n">
        <f aca="false">IF(H258="","",G258-H258)</f>
        <v>30</v>
      </c>
      <c r="J258" s="39" t="n">
        <f aca="false">IF(OR(D258="",D258+G258=0),"",D258/(D258+G258))</f>
        <v>0.516542155816436</v>
      </c>
      <c r="K258" s="39" t="n">
        <f aca="false">IF(E258="","",E258/(E258+H258))</f>
        <v>0.507566938300349</v>
      </c>
      <c r="L258" s="52" t="n">
        <f aca="false">IF(OR(K258="",J258=""),"",(J258-K258)*100)</f>
        <v>0.897521751608621</v>
      </c>
      <c r="M258" s="38"/>
    </row>
    <row r="259" customFormat="false" ht="15" hidden="false" customHeight="false" outlineLevel="0" collapsed="false">
      <c r="A259" s="38" t="s">
        <v>344</v>
      </c>
      <c r="B259" s="38" t="s">
        <v>377</v>
      </c>
      <c r="C259" s="38" t="s">
        <v>391</v>
      </c>
      <c r="D259" s="21" t="n">
        <v>1028</v>
      </c>
      <c r="E259" s="21" t="n">
        <v>925</v>
      </c>
      <c r="F259" s="51" t="n">
        <f aca="false">IF(E259="","",D259-E259)</f>
        <v>103</v>
      </c>
      <c r="G259" s="21" t="n">
        <v>750</v>
      </c>
      <c r="H259" s="21" t="n">
        <v>710</v>
      </c>
      <c r="I259" s="51" t="n">
        <f aca="false">IF(H259="","",G259-H259)</f>
        <v>40</v>
      </c>
      <c r="J259" s="39" t="n">
        <f aca="false">IF(OR(D259="",D259+G259=0),"",D259/(D259+G259))</f>
        <v>0.578177727784027</v>
      </c>
      <c r="K259" s="39" t="n">
        <f aca="false">IF(E259="","",E259/(E259+H259))</f>
        <v>0.565749235474006</v>
      </c>
      <c r="L259" s="52" t="n">
        <f aca="false">IF(OR(K259="",J259=""),"",(J259-K259)*100)</f>
        <v>1.24284923100209</v>
      </c>
      <c r="M259" s="38"/>
    </row>
    <row r="260" customFormat="false" ht="15" hidden="false" customHeight="false" outlineLevel="0" collapsed="false">
      <c r="A260" s="38" t="s">
        <v>344</v>
      </c>
      <c r="B260" s="38" t="s">
        <v>377</v>
      </c>
      <c r="C260" s="38" t="s">
        <v>392</v>
      </c>
      <c r="D260" s="21" t="n">
        <v>563</v>
      </c>
      <c r="E260" s="21" t="n">
        <v>535</v>
      </c>
      <c r="F260" s="51" t="n">
        <f aca="false">IF(E260="","",D260-E260)</f>
        <v>28</v>
      </c>
      <c r="G260" s="21" t="n">
        <v>524</v>
      </c>
      <c r="H260" s="21" t="n">
        <v>514</v>
      </c>
      <c r="I260" s="51" t="n">
        <f aca="false">IF(H260="","",G260-H260)</f>
        <v>10</v>
      </c>
      <c r="J260" s="39" t="n">
        <f aca="false">IF(OR(D260="",D260+G260=0),"",D260/(D260+G260))</f>
        <v>0.517939282428703</v>
      </c>
      <c r="K260" s="39" t="n">
        <f aca="false">IF(E260="","",E260/(E260+H260))</f>
        <v>0.510009532888465</v>
      </c>
      <c r="L260" s="52" t="n">
        <f aca="false">IF(OR(K260="",J260=""),"",(J260-K260)*100)</f>
        <v>0.792974954023773</v>
      </c>
      <c r="M260" s="38"/>
    </row>
    <row r="261" customFormat="false" ht="15" hidden="false" customHeight="false" outlineLevel="0" collapsed="false">
      <c r="A261" s="38" t="s">
        <v>344</v>
      </c>
      <c r="B261" s="38" t="s">
        <v>377</v>
      </c>
      <c r="C261" s="38" t="s">
        <v>393</v>
      </c>
      <c r="D261" s="21" t="n">
        <v>552</v>
      </c>
      <c r="E261" s="21" t="n">
        <v>499</v>
      </c>
      <c r="F261" s="51" t="n">
        <f aca="false">IF(E261="","",D261-E261)</f>
        <v>53</v>
      </c>
      <c r="G261" s="21" t="n">
        <v>495</v>
      </c>
      <c r="H261" s="21" t="n">
        <v>468</v>
      </c>
      <c r="I261" s="51" t="n">
        <f aca="false">IF(H261="","",G261-H261)</f>
        <v>27</v>
      </c>
      <c r="J261" s="39" t="n">
        <f aca="false">IF(OR(D261="",D261+G261=0),"",D261/(D261+G261))</f>
        <v>0.527220630372493</v>
      </c>
      <c r="K261" s="39" t="n">
        <f aca="false">IF(E261="","",E261/(E261+H261))</f>
        <v>0.516028955532575</v>
      </c>
      <c r="L261" s="52" t="n">
        <f aca="false">IF(OR(K261="",J261=""),"",(J261-K261)*100)</f>
        <v>1.11916748399178</v>
      </c>
      <c r="M261" s="38"/>
    </row>
    <row r="262" customFormat="false" ht="15" hidden="false" customHeight="false" outlineLevel="0" collapsed="false">
      <c r="A262" s="38" t="s">
        <v>344</v>
      </c>
      <c r="B262" s="38" t="s">
        <v>377</v>
      </c>
      <c r="C262" s="38" t="s">
        <v>394</v>
      </c>
      <c r="D262" s="21" t="n">
        <v>569</v>
      </c>
      <c r="E262" s="21" t="n">
        <v>503</v>
      </c>
      <c r="F262" s="51" t="n">
        <f aca="false">IF(E262="","",D262-E262)</f>
        <v>66</v>
      </c>
      <c r="G262" s="21" t="n">
        <v>490</v>
      </c>
      <c r="H262" s="21" t="n">
        <v>468</v>
      </c>
      <c r="I262" s="51" t="n">
        <f aca="false">IF(H262="","",G262-H262)</f>
        <v>22</v>
      </c>
      <c r="J262" s="39" t="n">
        <f aca="false">IF(OR(D262="",D262+G262=0),"",D262/(D262+G262))</f>
        <v>0.537299338999056</v>
      </c>
      <c r="K262" s="39" t="n">
        <f aca="false">IF(E262="","",E262/(E262+H262))</f>
        <v>0.518022657054583</v>
      </c>
      <c r="L262" s="52" t="n">
        <f aca="false">IF(OR(K262="",J262=""),"",(J262-K262)*100)</f>
        <v>1.92766819444727</v>
      </c>
      <c r="M262" s="38"/>
    </row>
    <row r="263" customFormat="false" ht="15" hidden="false" customHeight="false" outlineLevel="0" collapsed="false">
      <c r="A263" s="38" t="s">
        <v>344</v>
      </c>
      <c r="B263" s="38" t="s">
        <v>395</v>
      </c>
      <c r="C263" s="38" t="s">
        <v>396</v>
      </c>
      <c r="D263" s="21" t="n">
        <v>989</v>
      </c>
      <c r="E263" s="21" t="n">
        <v>939</v>
      </c>
      <c r="F263" s="51" t="n">
        <f aca="false">IF(E263="","",D263-E263)</f>
        <v>50</v>
      </c>
      <c r="G263" s="21" t="n">
        <v>1539</v>
      </c>
      <c r="H263" s="21" t="n">
        <v>1452</v>
      </c>
      <c r="I263" s="51" t="n">
        <f aca="false">IF(H263="","",G263-H263)</f>
        <v>87</v>
      </c>
      <c r="J263" s="39" t="n">
        <f aca="false">IF(OR(D263="",D263+G263=0),"",D263/(D263+G263))</f>
        <v>0.39121835443038</v>
      </c>
      <c r="K263" s="39" t="n">
        <f aca="false">IF(E263="","",E263/(E263+H263))</f>
        <v>0.392722710163112</v>
      </c>
      <c r="L263" s="52" t="n">
        <f aca="false">IF(OR(K263="",J263=""),"",(J263-K263)*100)</f>
        <v>-0.150435573273194</v>
      </c>
      <c r="M263" s="38"/>
    </row>
    <row r="264" customFormat="false" ht="15" hidden="false" customHeight="false" outlineLevel="0" collapsed="false">
      <c r="A264" s="38" t="s">
        <v>344</v>
      </c>
      <c r="B264" s="38" t="s">
        <v>395</v>
      </c>
      <c r="C264" s="38" t="s">
        <v>397</v>
      </c>
      <c r="D264" s="21" t="n">
        <v>920</v>
      </c>
      <c r="E264" s="21" t="n">
        <v>820</v>
      </c>
      <c r="F264" s="51" t="n">
        <f aca="false">IF(E264="","",D264-E264)</f>
        <v>100</v>
      </c>
      <c r="G264" s="21" t="n">
        <v>1232</v>
      </c>
      <c r="H264" s="21" t="n">
        <v>1185</v>
      </c>
      <c r="I264" s="51" t="n">
        <f aca="false">IF(H264="","",G264-H264)</f>
        <v>47</v>
      </c>
      <c r="J264" s="39" t="n">
        <f aca="false">IF(OR(D264="",D264+G264=0),"",D264/(D264+G264))</f>
        <v>0.427509293680297</v>
      </c>
      <c r="K264" s="39" t="n">
        <f aca="false">IF(E264="","",E264/(E264+H264))</f>
        <v>0.408977556109726</v>
      </c>
      <c r="L264" s="52" t="n">
        <f aca="false">IF(OR(K264="",J264=""),"",(J264-K264)*100)</f>
        <v>1.85317375705717</v>
      </c>
      <c r="M264" s="38"/>
    </row>
    <row r="265" customFormat="false" ht="15" hidden="false" customHeight="false" outlineLevel="0" collapsed="false">
      <c r="A265" s="38" t="s">
        <v>344</v>
      </c>
      <c r="B265" s="38" t="s">
        <v>395</v>
      </c>
      <c r="C265" s="38" t="s">
        <v>398</v>
      </c>
      <c r="D265" s="21" t="n">
        <v>446</v>
      </c>
      <c r="E265" s="21" t="n">
        <v>410</v>
      </c>
      <c r="F265" s="51" t="n">
        <f aca="false">IF(E265="","",D265-E265)</f>
        <v>36</v>
      </c>
      <c r="G265" s="21" t="n">
        <v>794</v>
      </c>
      <c r="H265" s="21" t="n">
        <v>822</v>
      </c>
      <c r="I265" s="51" t="n">
        <f aca="false">IF(H265="","",G265-H265)</f>
        <v>-28</v>
      </c>
      <c r="J265" s="39" t="n">
        <f aca="false">IF(OR(D265="",D265+G265=0),"",D265/(D265+G265))</f>
        <v>0.359677419354839</v>
      </c>
      <c r="K265" s="39" t="n">
        <f aca="false">IF(E265="","",E265/(E265+H265))</f>
        <v>0.332792207792208</v>
      </c>
      <c r="L265" s="52" t="n">
        <f aca="false">IF(OR(K265="",J265=""),"",(J265-K265)*100)</f>
        <v>2.68852115626309</v>
      </c>
      <c r="M265" s="38"/>
    </row>
    <row r="266" customFormat="false" ht="15" hidden="false" customHeight="false" outlineLevel="0" collapsed="false">
      <c r="A266" s="38" t="s">
        <v>344</v>
      </c>
      <c r="B266" s="38" t="s">
        <v>399</v>
      </c>
      <c r="C266" s="38" t="s">
        <v>399</v>
      </c>
      <c r="D266" s="21" t="n">
        <v>44</v>
      </c>
      <c r="E266" s="21" t="n">
        <v>40</v>
      </c>
      <c r="F266" s="51" t="n">
        <f aca="false">IF(E266="","",D266-E266)</f>
        <v>4</v>
      </c>
      <c r="G266" s="21" t="n">
        <v>81</v>
      </c>
      <c r="H266" s="21" t="n">
        <v>83</v>
      </c>
      <c r="I266" s="51" t="n">
        <f aca="false">IF(H266="","",G266-H266)</f>
        <v>-2</v>
      </c>
      <c r="J266" s="39" t="n">
        <f aca="false">IF(OR(D266="",D266+G266=0),"",D266/(D266+G266))</f>
        <v>0.352</v>
      </c>
      <c r="K266" s="39" t="n">
        <f aca="false">IF(E266="","",E266/(E266+H266))</f>
        <v>0.32520325203252</v>
      </c>
      <c r="L266" s="52" t="n">
        <f aca="false">IF(OR(K266="",J266=""),"",(J266-K266)*100)</f>
        <v>2.67967479674797</v>
      </c>
      <c r="M266" s="38"/>
    </row>
    <row r="267" customFormat="false" ht="15" hidden="false" customHeight="false" outlineLevel="0" collapsed="false">
      <c r="A267" s="38" t="s">
        <v>344</v>
      </c>
      <c r="B267" s="38" t="s">
        <v>400</v>
      </c>
      <c r="C267" s="38" t="s">
        <v>401</v>
      </c>
      <c r="D267" s="21" t="n">
        <v>733</v>
      </c>
      <c r="E267" s="21" t="n">
        <v>774</v>
      </c>
      <c r="F267" s="51" t="n">
        <f aca="false">IF(E267="","",D267-E267)</f>
        <v>-41</v>
      </c>
      <c r="G267" s="21" t="n">
        <v>928</v>
      </c>
      <c r="H267" s="21" t="n">
        <v>1032</v>
      </c>
      <c r="I267" s="51" t="n">
        <f aca="false">IF(H267="","",G267-H267)</f>
        <v>-104</v>
      </c>
      <c r="J267" s="39" t="n">
        <f aca="false">IF(OR(D267="",D267+G267=0),"",D267/(D267+G267))</f>
        <v>0.441300421432872</v>
      </c>
      <c r="K267" s="39" t="n">
        <f aca="false">IF(E267="","",E267/(E267+H267))</f>
        <v>0.428571428571429</v>
      </c>
      <c r="L267" s="52" t="n">
        <f aca="false">IF(OR(K267="",J267=""),"",(J267-K267)*100)</f>
        <v>1.27289928614432</v>
      </c>
      <c r="M267" s="38"/>
    </row>
    <row r="268" customFormat="false" ht="15" hidden="false" customHeight="false" outlineLevel="0" collapsed="false">
      <c r="A268" s="38" t="s">
        <v>344</v>
      </c>
      <c r="B268" s="38" t="s">
        <v>400</v>
      </c>
      <c r="C268" s="38" t="s">
        <v>402</v>
      </c>
      <c r="D268" s="21" t="n">
        <v>808</v>
      </c>
      <c r="E268" s="21" t="n">
        <v>710</v>
      </c>
      <c r="F268" s="51" t="n">
        <f aca="false">IF(E268="","",D268-E268)</f>
        <v>98</v>
      </c>
      <c r="G268" s="21" t="n">
        <v>916</v>
      </c>
      <c r="H268" s="21" t="n">
        <v>927</v>
      </c>
      <c r="I268" s="51" t="n">
        <f aca="false">IF(H268="","",G268-H268)</f>
        <v>-11</v>
      </c>
      <c r="J268" s="39" t="n">
        <f aca="false">IF(OR(D268="",D268+G268=0),"",D268/(D268+G268))</f>
        <v>0.468677494199536</v>
      </c>
      <c r="K268" s="39" t="n">
        <f aca="false">IF(E268="","",E268/(E268+H268))</f>
        <v>0.433720219914478</v>
      </c>
      <c r="L268" s="52" t="n">
        <f aca="false">IF(OR(K268="",J268=""),"",(J268-K268)*100)</f>
        <v>3.49572742850583</v>
      </c>
      <c r="M268" s="38"/>
    </row>
    <row r="269" customFormat="false" ht="15" hidden="false" customHeight="false" outlineLevel="0" collapsed="false">
      <c r="A269" s="38" t="s">
        <v>344</v>
      </c>
      <c r="B269" s="38" t="s">
        <v>403</v>
      </c>
      <c r="C269" s="38" t="s">
        <v>403</v>
      </c>
      <c r="D269" s="21" t="n">
        <v>207</v>
      </c>
      <c r="E269" s="21" t="n">
        <v>217</v>
      </c>
      <c r="F269" s="51" t="n">
        <f aca="false">IF(E269="","",D269-E269)</f>
        <v>-10</v>
      </c>
      <c r="G269" s="21" t="n">
        <v>304</v>
      </c>
      <c r="H269" s="21" t="n">
        <v>309</v>
      </c>
      <c r="I269" s="51" t="n">
        <f aca="false">IF(H269="","",G269-H269)</f>
        <v>-5</v>
      </c>
      <c r="J269" s="39" t="n">
        <f aca="false">IF(OR(D269="",D269+G269=0),"",D269/(D269+G269))</f>
        <v>0.405088062622309</v>
      </c>
      <c r="K269" s="39" t="n">
        <f aca="false">IF(E269="","",E269/(E269+H269))</f>
        <v>0.41254752851711</v>
      </c>
      <c r="L269" s="52" t="n">
        <f aca="false">IF(OR(K269="",J269=""),"",(J269-K269)*100)</f>
        <v>-0.745946589480107</v>
      </c>
      <c r="M269" s="38"/>
    </row>
    <row r="270" customFormat="false" ht="15" hidden="false" customHeight="false" outlineLevel="0" collapsed="false">
      <c r="A270" s="38" t="s">
        <v>344</v>
      </c>
      <c r="B270" s="38" t="s">
        <v>404</v>
      </c>
      <c r="C270" s="38" t="s">
        <v>405</v>
      </c>
      <c r="D270" s="21" t="n">
        <v>707</v>
      </c>
      <c r="E270" s="21"/>
      <c r="F270" s="51" t="str">
        <f aca="false">IF(E270="","",D270-E270)</f>
        <v/>
      </c>
      <c r="G270" s="21" t="n">
        <v>331</v>
      </c>
      <c r="H270" s="21"/>
      <c r="I270" s="51" t="str">
        <f aca="false">IF(H270="","",G270-H270)</f>
        <v/>
      </c>
      <c r="J270" s="39" t="n">
        <f aca="false">IF(OR(D270="",D270+G270=0),"",D270/(D270+G270))</f>
        <v>0.68111753371869</v>
      </c>
      <c r="K270" s="39" t="str">
        <f aca="false">IF(E270="","",E270/(E270+H270))</f>
        <v/>
      </c>
      <c r="L270" s="52" t="str">
        <f aca="false">IF(OR(K270="",J270=""),"",(J270-K270)*100)</f>
        <v/>
      </c>
      <c r="M270" s="38" t="s">
        <v>691</v>
      </c>
    </row>
    <row r="271" customFormat="false" ht="15" hidden="false" customHeight="false" outlineLevel="0" collapsed="false">
      <c r="A271" s="38" t="s">
        <v>344</v>
      </c>
      <c r="B271" s="38" t="s">
        <v>404</v>
      </c>
      <c r="C271" s="38" t="s">
        <v>406</v>
      </c>
      <c r="D271" s="21" t="n">
        <v>470</v>
      </c>
      <c r="E271" s="21"/>
      <c r="F271" s="51" t="str">
        <f aca="false">IF(E271="","",D271-E271)</f>
        <v/>
      </c>
      <c r="G271" s="21" t="n">
        <v>178</v>
      </c>
      <c r="H271" s="21"/>
      <c r="I271" s="51" t="str">
        <f aca="false">IF(H271="","",G271-H271)</f>
        <v/>
      </c>
      <c r="J271" s="39" t="n">
        <f aca="false">IF(OR(D271="",D271+G271=0),"",D271/(D271+G271))</f>
        <v>0.725308641975309</v>
      </c>
      <c r="K271" s="39" t="str">
        <f aca="false">IF(E271="","",E271/(E271+H271))</f>
        <v/>
      </c>
      <c r="L271" s="52" t="str">
        <f aca="false">IF(OR(K271="",J271=""),"",(J271-K271)*100)</f>
        <v/>
      </c>
      <c r="M271" s="38" t="s">
        <v>691</v>
      </c>
    </row>
    <row r="272" customFormat="false" ht="15" hidden="false" customHeight="false" outlineLevel="0" collapsed="false">
      <c r="A272" s="38" t="s">
        <v>344</v>
      </c>
      <c r="B272" s="38" t="s">
        <v>404</v>
      </c>
      <c r="C272" s="38" t="s">
        <v>407</v>
      </c>
      <c r="D272" s="21" t="n">
        <v>458</v>
      </c>
      <c r="E272" s="21" t="n">
        <v>492</v>
      </c>
      <c r="F272" s="51" t="n">
        <f aca="false">IF(E272="","",D272-E272)</f>
        <v>-34</v>
      </c>
      <c r="G272" s="21" t="n">
        <v>140</v>
      </c>
      <c r="H272" s="21" t="n">
        <v>197</v>
      </c>
      <c r="I272" s="51" t="n">
        <f aca="false">IF(H272="","",G272-H272)</f>
        <v>-57</v>
      </c>
      <c r="J272" s="39" t="n">
        <f aca="false">IF(OR(D272="",D272+G272=0),"",D272/(D272+G272))</f>
        <v>0.765886287625418</v>
      </c>
      <c r="K272" s="39" t="n">
        <f aca="false">IF(E272="","",E272/(E272+H272))</f>
        <v>0.714078374455733</v>
      </c>
      <c r="L272" s="52" t="n">
        <f aca="false">IF(OR(K272="",J272=""),"",(J272-K272)*100)</f>
        <v>5.18079131696851</v>
      </c>
      <c r="M272" s="38"/>
    </row>
    <row r="273" customFormat="false" ht="15" hidden="false" customHeight="false" outlineLevel="0" collapsed="false">
      <c r="A273" s="38" t="s">
        <v>344</v>
      </c>
      <c r="B273" s="38" t="s">
        <v>404</v>
      </c>
      <c r="C273" s="38" t="s">
        <v>408</v>
      </c>
      <c r="D273" s="21" t="n">
        <v>743</v>
      </c>
      <c r="E273" s="21" t="n">
        <v>743</v>
      </c>
      <c r="F273" s="51" t="n">
        <f aca="false">IF(E273="","",D273-E273)</f>
        <v>0</v>
      </c>
      <c r="G273" s="21" t="n">
        <v>250</v>
      </c>
      <c r="H273" s="21" t="n">
        <v>265</v>
      </c>
      <c r="I273" s="51" t="n">
        <f aca="false">IF(H273="","",G273-H273)</f>
        <v>-15</v>
      </c>
      <c r="J273" s="39" t="n">
        <f aca="false">IF(OR(D273="",D273+G273=0),"",D273/(D273+G273))</f>
        <v>0.748237663645519</v>
      </c>
      <c r="K273" s="39" t="n">
        <f aca="false">IF(E273="","",E273/(E273+H273))</f>
        <v>0.737103174603175</v>
      </c>
      <c r="L273" s="52" t="n">
        <f aca="false">IF(OR(K273="",J273=""),"",(J273-K273)*100)</f>
        <v>1.11344890423439</v>
      </c>
      <c r="M273" s="38"/>
    </row>
    <row r="274" customFormat="false" ht="15" hidden="false" customHeight="false" outlineLevel="0" collapsed="false">
      <c r="A274" s="38" t="s">
        <v>344</v>
      </c>
      <c r="B274" s="38" t="s">
        <v>404</v>
      </c>
      <c r="C274" s="38" t="s">
        <v>409</v>
      </c>
      <c r="D274" s="21" t="n">
        <v>456</v>
      </c>
      <c r="E274" s="21" t="n">
        <v>1109</v>
      </c>
      <c r="F274" s="51" t="n">
        <f aca="false">IF(E274="","",D274-E274)</f>
        <v>-653</v>
      </c>
      <c r="G274" s="21" t="n">
        <v>95</v>
      </c>
      <c r="H274" s="21" t="n">
        <v>290</v>
      </c>
      <c r="I274" s="51" t="n">
        <f aca="false">IF(H274="","",G274-H274)</f>
        <v>-195</v>
      </c>
      <c r="J274" s="39" t="n">
        <f aca="false">IF(OR(D274="",D274+G274=0),"",D274/(D274+G274))</f>
        <v>0.827586206896552</v>
      </c>
      <c r="K274" s="39" t="n">
        <f aca="false">IF(E274="","",E274/(E274+H274))</f>
        <v>0.792709077912795</v>
      </c>
      <c r="L274" s="52" t="n">
        <f aca="false">IF(OR(K274="",J274=""),"",(J274-K274)*100)</f>
        <v>3.48771289837568</v>
      </c>
      <c r="M274" s="38"/>
    </row>
    <row r="275" customFormat="false" ht="15" hidden="false" customHeight="false" outlineLevel="0" collapsed="false">
      <c r="A275" s="38" t="s">
        <v>344</v>
      </c>
      <c r="B275" s="38" t="s">
        <v>404</v>
      </c>
      <c r="C275" s="38" t="s">
        <v>410</v>
      </c>
      <c r="D275" s="21" t="n">
        <v>619</v>
      </c>
      <c r="E275" s="21" t="n">
        <v>566</v>
      </c>
      <c r="F275" s="51" t="n">
        <f aca="false">IF(E275="","",D275-E275)</f>
        <v>53</v>
      </c>
      <c r="G275" s="21" t="n">
        <v>218</v>
      </c>
      <c r="H275" s="21" t="n">
        <v>257</v>
      </c>
      <c r="I275" s="51" t="n">
        <f aca="false">IF(H275="","",G275-H275)</f>
        <v>-39</v>
      </c>
      <c r="J275" s="39" t="n">
        <f aca="false">IF(OR(D275="",D275+G275=0),"",D275/(D275+G275))</f>
        <v>0.739545997610514</v>
      </c>
      <c r="K275" s="39" t="n">
        <f aca="false">IF(E275="","",E275/(E275+H275))</f>
        <v>0.687727825030377</v>
      </c>
      <c r="L275" s="52" t="n">
        <f aca="false">IF(OR(K275="",J275=""),"",(J275-K275)*100)</f>
        <v>5.18181725801371</v>
      </c>
      <c r="M275" s="38"/>
    </row>
    <row r="276" customFormat="false" ht="15" hidden="false" customHeight="false" outlineLevel="0" collapsed="false">
      <c r="A276" s="38" t="s">
        <v>344</v>
      </c>
      <c r="B276" s="38" t="s">
        <v>404</v>
      </c>
      <c r="C276" s="38" t="s">
        <v>411</v>
      </c>
      <c r="D276" s="21" t="n">
        <v>524</v>
      </c>
      <c r="E276" s="21" t="n">
        <v>517</v>
      </c>
      <c r="F276" s="51" t="n">
        <f aca="false">IF(E276="","",D276-E276)</f>
        <v>7</v>
      </c>
      <c r="G276" s="21" t="n">
        <v>219</v>
      </c>
      <c r="H276" s="21" t="n">
        <v>265</v>
      </c>
      <c r="I276" s="51" t="n">
        <f aca="false">IF(H276="","",G276-H276)</f>
        <v>-46</v>
      </c>
      <c r="J276" s="39" t="n">
        <f aca="false">IF(OR(D276="",D276+G276=0),"",D276/(D276+G276))</f>
        <v>0.705248990578735</v>
      </c>
      <c r="K276" s="39" t="n">
        <f aca="false">IF(E276="","",E276/(E276+H276))</f>
        <v>0.661125319693095</v>
      </c>
      <c r="L276" s="52" t="n">
        <f aca="false">IF(OR(K276="",J276=""),"",(J276-K276)*100)</f>
        <v>4.41236708856403</v>
      </c>
      <c r="M276" s="38"/>
    </row>
    <row r="277" customFormat="false" ht="15" hidden="false" customHeight="false" outlineLevel="0" collapsed="false">
      <c r="A277" s="38" t="s">
        <v>344</v>
      </c>
      <c r="B277" s="38" t="s">
        <v>404</v>
      </c>
      <c r="C277" s="38" t="s">
        <v>412</v>
      </c>
      <c r="D277" s="21" t="n">
        <v>209</v>
      </c>
      <c r="E277" s="21" t="n">
        <v>233</v>
      </c>
      <c r="F277" s="51" t="n">
        <f aca="false">IF(E277="","",D277-E277)</f>
        <v>-24</v>
      </c>
      <c r="G277" s="21" t="n">
        <v>77</v>
      </c>
      <c r="H277" s="21" t="n">
        <v>84</v>
      </c>
      <c r="I277" s="51" t="n">
        <f aca="false">IF(H277="","",G277-H277)</f>
        <v>-7</v>
      </c>
      <c r="J277" s="39" t="n">
        <f aca="false">IF(OR(D277="",D277+G277=0),"",D277/(D277+G277))</f>
        <v>0.730769230769231</v>
      </c>
      <c r="K277" s="39" t="n">
        <f aca="false">IF(E277="","",E277/(E277+H277))</f>
        <v>0.735015772870662</v>
      </c>
      <c r="L277" s="52" t="n">
        <f aca="false">IF(OR(K277="",J277=""),"",(J277-K277)*100)</f>
        <v>-0.424654210143172</v>
      </c>
      <c r="M277" s="38"/>
    </row>
    <row r="278" customFormat="false" ht="15" hidden="false" customHeight="false" outlineLevel="0" collapsed="false">
      <c r="A278" s="38" t="s">
        <v>344</v>
      </c>
      <c r="B278" s="38" t="s">
        <v>404</v>
      </c>
      <c r="C278" s="38" t="s">
        <v>413</v>
      </c>
      <c r="D278" s="21" t="n">
        <v>350</v>
      </c>
      <c r="E278" s="21" t="n">
        <v>391</v>
      </c>
      <c r="F278" s="51" t="n">
        <f aca="false">IF(E278="","",D278-E278)</f>
        <v>-41</v>
      </c>
      <c r="G278" s="21" t="n">
        <v>102</v>
      </c>
      <c r="H278" s="21" t="n">
        <v>126</v>
      </c>
      <c r="I278" s="51" t="n">
        <f aca="false">IF(H278="","",G278-H278)</f>
        <v>-24</v>
      </c>
      <c r="J278" s="39" t="n">
        <f aca="false">IF(OR(D278="",D278+G278=0),"",D278/(D278+G278))</f>
        <v>0.774336283185841</v>
      </c>
      <c r="K278" s="39" t="n">
        <f aca="false">IF(E278="","",E278/(E278+H278))</f>
        <v>0.756286266924565</v>
      </c>
      <c r="L278" s="52" t="n">
        <f aca="false">IF(OR(K278="",J278=""),"",(J278-K278)*100)</f>
        <v>1.80500162612759</v>
      </c>
      <c r="M278" s="38"/>
    </row>
    <row r="279" customFormat="false" ht="15" hidden="false" customHeight="false" outlineLevel="0" collapsed="false">
      <c r="A279" s="38" t="s">
        <v>344</v>
      </c>
      <c r="B279" s="38" t="s">
        <v>404</v>
      </c>
      <c r="C279" s="38" t="s">
        <v>414</v>
      </c>
      <c r="D279" s="21" t="n">
        <v>405</v>
      </c>
      <c r="E279" s="21" t="n">
        <v>381</v>
      </c>
      <c r="F279" s="51" t="n">
        <f aca="false">IF(E279="","",D279-E279)</f>
        <v>24</v>
      </c>
      <c r="G279" s="21" t="n">
        <v>126</v>
      </c>
      <c r="H279" s="21" t="n">
        <v>184</v>
      </c>
      <c r="I279" s="51" t="n">
        <f aca="false">IF(H279="","",G279-H279)</f>
        <v>-58</v>
      </c>
      <c r="J279" s="39" t="n">
        <f aca="false">IF(OR(D279="",D279+G279=0),"",D279/(D279+G279))</f>
        <v>0.76271186440678</v>
      </c>
      <c r="K279" s="39" t="n">
        <f aca="false">IF(E279="","",E279/(E279+H279))</f>
        <v>0.674336283185841</v>
      </c>
      <c r="L279" s="52" t="n">
        <f aca="false">IF(OR(K279="",J279=""),"",(J279-K279)*100)</f>
        <v>8.83755812209389</v>
      </c>
      <c r="M279" s="38"/>
    </row>
    <row r="280" customFormat="false" ht="15" hidden="false" customHeight="false" outlineLevel="0" collapsed="false">
      <c r="A280" s="38" t="s">
        <v>344</v>
      </c>
      <c r="B280" s="38" t="s">
        <v>404</v>
      </c>
      <c r="C280" s="38" t="s">
        <v>415</v>
      </c>
      <c r="D280" s="21" t="n">
        <v>739</v>
      </c>
      <c r="E280" s="21"/>
      <c r="F280" s="51" t="str">
        <f aca="false">IF(E280="","",D280-E280)</f>
        <v/>
      </c>
      <c r="G280" s="21" t="n">
        <v>356</v>
      </c>
      <c r="H280" s="21"/>
      <c r="I280" s="51" t="str">
        <f aca="false">IF(H280="","",G280-H280)</f>
        <v/>
      </c>
      <c r="J280" s="39" t="n">
        <f aca="false">IF(OR(D280="",D280+G280=0),"",D280/(D280+G280))</f>
        <v>0.674885844748859</v>
      </c>
      <c r="K280" s="39" t="str">
        <f aca="false">IF(E280="","",E280/(E280+H280))</f>
        <v/>
      </c>
      <c r="L280" s="52" t="str">
        <f aca="false">IF(OR(K280="",J280=""),"",(J280-K280)*100)</f>
        <v/>
      </c>
      <c r="M280" s="38" t="s">
        <v>691</v>
      </c>
    </row>
    <row r="281" customFormat="false" ht="15" hidden="false" customHeight="false" outlineLevel="0" collapsed="false">
      <c r="A281" s="38" t="s">
        <v>344</v>
      </c>
      <c r="B281" s="38" t="s">
        <v>404</v>
      </c>
      <c r="C281" s="38" t="s">
        <v>416</v>
      </c>
      <c r="D281" s="21" t="n">
        <v>894</v>
      </c>
      <c r="E281" s="21" t="n">
        <v>912</v>
      </c>
      <c r="F281" s="51" t="n">
        <f aca="false">IF(E281="","",D281-E281)</f>
        <v>-18</v>
      </c>
      <c r="G281" s="21" t="n">
        <v>349</v>
      </c>
      <c r="H281" s="21" t="n">
        <v>445</v>
      </c>
      <c r="I281" s="51" t="n">
        <f aca="false">IF(H281="","",G281-H281)</f>
        <v>-96</v>
      </c>
      <c r="J281" s="39" t="n">
        <f aca="false">IF(OR(D281="",D281+G281=0),"",D281/(D281+G281))</f>
        <v>0.719227674979887</v>
      </c>
      <c r="K281" s="39" t="n">
        <f aca="false">IF(E281="","",E281/(E281+H281))</f>
        <v>0.672070744288873</v>
      </c>
      <c r="L281" s="52" t="n">
        <f aca="false">IF(OR(K281="",J281=""),"",(J281-K281)*100)</f>
        <v>4.71569306910149</v>
      </c>
      <c r="M281" s="38"/>
    </row>
    <row r="282" customFormat="false" ht="15" hidden="false" customHeight="false" outlineLevel="0" collapsed="false">
      <c r="A282" s="38" t="s">
        <v>344</v>
      </c>
      <c r="B282" s="38" t="s">
        <v>417</v>
      </c>
      <c r="C282" s="38" t="s">
        <v>418</v>
      </c>
      <c r="D282" s="21" t="n">
        <v>1527</v>
      </c>
      <c r="E282" s="21"/>
      <c r="F282" s="51" t="str">
        <f aca="false">IF(E282="","",D282-E282)</f>
        <v/>
      </c>
      <c r="G282" s="21" t="n">
        <v>1372</v>
      </c>
      <c r="H282" s="21"/>
      <c r="I282" s="51" t="str">
        <f aca="false">IF(H282="","",G282-H282)</f>
        <v/>
      </c>
      <c r="J282" s="39" t="n">
        <f aca="false">IF(OR(D282="",D282+G282=0),"",D282/(D282+G282))</f>
        <v>0.526733356329769</v>
      </c>
      <c r="K282" s="39" t="str">
        <f aca="false">IF(E282="","",E282/(E282+H282))</f>
        <v/>
      </c>
      <c r="L282" s="52" t="str">
        <f aca="false">IF(OR(K282="",J282=""),"",(J282-K282)*100)</f>
        <v/>
      </c>
      <c r="M282" s="38" t="s">
        <v>691</v>
      </c>
    </row>
    <row r="283" customFormat="false" ht="15" hidden="false" customHeight="false" outlineLevel="0" collapsed="false">
      <c r="A283" s="38" t="s">
        <v>344</v>
      </c>
      <c r="B283" s="38" t="s">
        <v>417</v>
      </c>
      <c r="C283" s="38" t="s">
        <v>419</v>
      </c>
      <c r="D283" s="21" t="n">
        <v>697</v>
      </c>
      <c r="E283" s="21"/>
      <c r="F283" s="51" t="str">
        <f aca="false">IF(E283="","",D283-E283)</f>
        <v/>
      </c>
      <c r="G283" s="21" t="n">
        <v>613</v>
      </c>
      <c r="H283" s="21"/>
      <c r="I283" s="51" t="str">
        <f aca="false">IF(H283="","",G283-H283)</f>
        <v/>
      </c>
      <c r="J283" s="39" t="n">
        <f aca="false">IF(OR(D283="",D283+G283=0),"",D283/(D283+G283))</f>
        <v>0.53206106870229</v>
      </c>
      <c r="K283" s="39" t="str">
        <f aca="false">IF(E283="","",E283/(E283+H283))</f>
        <v/>
      </c>
      <c r="L283" s="52" t="str">
        <f aca="false">IF(OR(K283="",J283=""),"",(J283-K283)*100)</f>
        <v/>
      </c>
      <c r="M283" s="38" t="s">
        <v>691</v>
      </c>
    </row>
    <row r="284" customFormat="false" ht="15" hidden="false" customHeight="false" outlineLevel="0" collapsed="false">
      <c r="A284" s="38" t="s">
        <v>344</v>
      </c>
      <c r="B284" s="38" t="s">
        <v>417</v>
      </c>
      <c r="C284" s="38" t="s">
        <v>420</v>
      </c>
      <c r="D284" s="21" t="n">
        <v>863</v>
      </c>
      <c r="E284" s="21"/>
      <c r="F284" s="51" t="str">
        <f aca="false">IF(E284="","",D284-E284)</f>
        <v/>
      </c>
      <c r="G284" s="21" t="n">
        <v>721</v>
      </c>
      <c r="H284" s="21"/>
      <c r="I284" s="51" t="str">
        <f aca="false">IF(H284="","",G284-H284)</f>
        <v/>
      </c>
      <c r="J284" s="39" t="n">
        <f aca="false">IF(OR(D284="",D284+G284=0),"",D284/(D284+G284))</f>
        <v>0.544823232323232</v>
      </c>
      <c r="K284" s="39" t="str">
        <f aca="false">IF(E284="","",E284/(E284+H284))</f>
        <v/>
      </c>
      <c r="L284" s="52" t="str">
        <f aca="false">IF(OR(K284="",J284=""),"",(J284-K284)*100)</f>
        <v/>
      </c>
      <c r="M284" s="38" t="s">
        <v>691</v>
      </c>
    </row>
    <row r="285" customFormat="false" ht="15" hidden="false" customHeight="false" outlineLevel="0" collapsed="false">
      <c r="A285" s="38" t="s">
        <v>344</v>
      </c>
      <c r="B285" s="38" t="s">
        <v>417</v>
      </c>
      <c r="C285" s="38" t="s">
        <v>421</v>
      </c>
      <c r="D285" s="21" t="n">
        <v>774</v>
      </c>
      <c r="E285" s="21"/>
      <c r="F285" s="51" t="str">
        <f aca="false">IF(E285="","",D285-E285)</f>
        <v/>
      </c>
      <c r="G285" s="21" t="n">
        <v>640</v>
      </c>
      <c r="H285" s="21"/>
      <c r="I285" s="51" t="str">
        <f aca="false">IF(H285="","",G285-H285)</f>
        <v/>
      </c>
      <c r="J285" s="39" t="n">
        <f aca="false">IF(OR(D285="",D285+G285=0),"",D285/(D285+G285))</f>
        <v>0.547383309759547</v>
      </c>
      <c r="K285" s="39" t="str">
        <f aca="false">IF(E285="","",E285/(E285+H285))</f>
        <v/>
      </c>
      <c r="L285" s="52" t="str">
        <f aca="false">IF(OR(K285="",J285=""),"",(J285-K285)*100)</f>
        <v/>
      </c>
      <c r="M285" s="38" t="s">
        <v>691</v>
      </c>
    </row>
    <row r="286" customFormat="false" ht="15" hidden="false" customHeight="false" outlineLevel="0" collapsed="false">
      <c r="A286" s="38" t="s">
        <v>344</v>
      </c>
      <c r="B286" s="38" t="s">
        <v>417</v>
      </c>
      <c r="C286" s="38" t="s">
        <v>422</v>
      </c>
      <c r="D286" s="21" t="n">
        <v>1084</v>
      </c>
      <c r="E286" s="21" t="n">
        <v>975</v>
      </c>
      <c r="F286" s="51" t="n">
        <f aca="false">IF(E286="","",D286-E286)</f>
        <v>109</v>
      </c>
      <c r="G286" s="21" t="n">
        <v>897</v>
      </c>
      <c r="H286" s="21" t="n">
        <v>935</v>
      </c>
      <c r="I286" s="51" t="n">
        <f aca="false">IF(H286="","",G286-H286)</f>
        <v>-38</v>
      </c>
      <c r="J286" s="39" t="n">
        <f aca="false">IF(OR(D286="",D286+G286=0),"",D286/(D286+G286))</f>
        <v>0.547198384654215</v>
      </c>
      <c r="K286" s="39" t="n">
        <f aca="false">IF(E286="","",E286/(E286+H286))</f>
        <v>0.510471204188482</v>
      </c>
      <c r="L286" s="52" t="n">
        <f aca="false">IF(OR(K286="",J286=""),"",(J286-K286)*100)</f>
        <v>3.67271804657333</v>
      </c>
      <c r="M286" s="38"/>
    </row>
    <row r="287" customFormat="false" ht="15" hidden="false" customHeight="false" outlineLevel="0" collapsed="false">
      <c r="A287" s="38" t="s">
        <v>344</v>
      </c>
      <c r="B287" s="38" t="s">
        <v>417</v>
      </c>
      <c r="C287" s="38" t="s">
        <v>423</v>
      </c>
      <c r="D287" s="21" t="n">
        <v>850</v>
      </c>
      <c r="E287" s="21"/>
      <c r="F287" s="51" t="str">
        <f aca="false">IF(E287="","",D287-E287)</f>
        <v/>
      </c>
      <c r="G287" s="21" t="n">
        <v>738</v>
      </c>
      <c r="H287" s="21"/>
      <c r="I287" s="51" t="str">
        <f aca="false">IF(H287="","",G287-H287)</f>
        <v/>
      </c>
      <c r="J287" s="39" t="n">
        <f aca="false">IF(OR(D287="",D287+G287=0),"",D287/(D287+G287))</f>
        <v>0.535264483627204</v>
      </c>
      <c r="K287" s="39" t="str">
        <f aca="false">IF(E287="","",E287/(E287+H287))</f>
        <v/>
      </c>
      <c r="L287" s="52" t="str">
        <f aca="false">IF(OR(K287="",J287=""),"",(J287-K287)*100)</f>
        <v/>
      </c>
      <c r="M287" s="38" t="s">
        <v>691</v>
      </c>
    </row>
    <row r="288" customFormat="false" ht="15" hidden="false" customHeight="false" outlineLevel="0" collapsed="false">
      <c r="A288" s="38" t="s">
        <v>344</v>
      </c>
      <c r="B288" s="38" t="s">
        <v>417</v>
      </c>
      <c r="C288" s="38" t="s">
        <v>424</v>
      </c>
      <c r="D288" s="21" t="n">
        <v>734</v>
      </c>
      <c r="E288" s="21"/>
      <c r="F288" s="51" t="str">
        <f aca="false">IF(E288="","",D288-E288)</f>
        <v/>
      </c>
      <c r="G288" s="21" t="n">
        <v>734</v>
      </c>
      <c r="H288" s="21"/>
      <c r="I288" s="51" t="str">
        <f aca="false">IF(H288="","",G288-H288)</f>
        <v/>
      </c>
      <c r="J288" s="39" t="n">
        <f aca="false">IF(OR(D288="",D288+G288=0),"",D288/(D288+G288))</f>
        <v>0.5</v>
      </c>
      <c r="K288" s="39" t="str">
        <f aca="false">IF(E288="","",E288/(E288+H288))</f>
        <v/>
      </c>
      <c r="L288" s="52" t="str">
        <f aca="false">IF(OR(K288="",J288=""),"",(J288-K288)*100)</f>
        <v/>
      </c>
      <c r="M288" s="38" t="s">
        <v>691</v>
      </c>
    </row>
    <row r="289" customFormat="false" ht="15" hidden="false" customHeight="false" outlineLevel="0" collapsed="false">
      <c r="A289" s="38" t="s">
        <v>344</v>
      </c>
      <c r="B289" s="38" t="s">
        <v>425</v>
      </c>
      <c r="C289" s="38" t="s">
        <v>425</v>
      </c>
      <c r="D289" s="21" t="n">
        <v>766</v>
      </c>
      <c r="E289" s="21" t="n">
        <v>714</v>
      </c>
      <c r="F289" s="51" t="n">
        <f aca="false">IF(E289="","",D289-E289)</f>
        <v>52</v>
      </c>
      <c r="G289" s="21" t="n">
        <v>464</v>
      </c>
      <c r="H289" s="21" t="n">
        <v>484</v>
      </c>
      <c r="I289" s="51" t="n">
        <f aca="false">IF(H289="","",G289-H289)</f>
        <v>-20</v>
      </c>
      <c r="J289" s="39" t="n">
        <f aca="false">IF(OR(D289="",D289+G289=0),"",D289/(D289+G289))</f>
        <v>0.622764227642277</v>
      </c>
      <c r="K289" s="39" t="n">
        <f aca="false">IF(E289="","",E289/(E289+H289))</f>
        <v>0.595993322203673</v>
      </c>
      <c r="L289" s="52" t="n">
        <f aca="false">IF(OR(K289="",J289=""),"",(J289-K289)*100)</f>
        <v>2.67709054386037</v>
      </c>
      <c r="M289" s="38"/>
    </row>
    <row r="290" customFormat="false" ht="15" hidden="false" customHeight="false" outlineLevel="0" collapsed="false">
      <c r="A290" s="38" t="s">
        <v>344</v>
      </c>
      <c r="B290" s="38" t="s">
        <v>426</v>
      </c>
      <c r="C290" s="38" t="s">
        <v>426</v>
      </c>
      <c r="D290" s="21" t="n">
        <v>106</v>
      </c>
      <c r="E290" s="21" t="n">
        <v>109</v>
      </c>
      <c r="F290" s="51" t="n">
        <f aca="false">IF(E290="","",D290-E290)</f>
        <v>-3</v>
      </c>
      <c r="G290" s="21" t="n">
        <v>102</v>
      </c>
      <c r="H290" s="21" t="n">
        <v>97</v>
      </c>
      <c r="I290" s="51" t="n">
        <f aca="false">IF(H290="","",G290-H290)</f>
        <v>5</v>
      </c>
      <c r="J290" s="39" t="n">
        <f aca="false">IF(OR(D290="",D290+G290=0),"",D290/(D290+G290))</f>
        <v>0.509615384615385</v>
      </c>
      <c r="K290" s="39" t="n">
        <f aca="false">IF(E290="","",E290/(E290+H290))</f>
        <v>0.529126213592233</v>
      </c>
      <c r="L290" s="52" t="n">
        <f aca="false">IF(OR(K290="",J290=""),"",(J290-K290)*100)</f>
        <v>-1.95108289768484</v>
      </c>
      <c r="M290" s="38"/>
    </row>
    <row r="291" customFormat="false" ht="15" hidden="false" customHeight="false" outlineLevel="0" collapsed="false">
      <c r="A291" s="38" t="s">
        <v>344</v>
      </c>
      <c r="B291" s="38" t="s">
        <v>251</v>
      </c>
      <c r="C291" s="38" t="s">
        <v>427</v>
      </c>
      <c r="D291" s="21" t="n">
        <v>1036</v>
      </c>
      <c r="E291" s="21" t="n">
        <v>955</v>
      </c>
      <c r="F291" s="51" t="n">
        <f aca="false">IF(E291="","",D291-E291)</f>
        <v>81</v>
      </c>
      <c r="G291" s="21" t="n">
        <v>738</v>
      </c>
      <c r="H291" s="21" t="n">
        <v>692</v>
      </c>
      <c r="I291" s="51" t="n">
        <f aca="false">IF(H291="","",G291-H291)</f>
        <v>46</v>
      </c>
      <c r="J291" s="39" t="n">
        <f aca="false">IF(OR(D291="",D291+G291=0),"",D291/(D291+G291))</f>
        <v>0.583990980834273</v>
      </c>
      <c r="K291" s="39" t="n">
        <f aca="false">IF(E291="","",E291/(E291+H291))</f>
        <v>0.579842137219186</v>
      </c>
      <c r="L291" s="52" t="n">
        <f aca="false">IF(OR(K291="",J291=""),"",(J291-K291)*100)</f>
        <v>0.414884361508638</v>
      </c>
      <c r="M291" s="38"/>
    </row>
    <row r="292" customFormat="false" ht="15" hidden="false" customHeight="false" outlineLevel="0" collapsed="false">
      <c r="A292" s="38" t="s">
        <v>344</v>
      </c>
      <c r="B292" s="38" t="s">
        <v>251</v>
      </c>
      <c r="C292" s="38" t="s">
        <v>428</v>
      </c>
      <c r="D292" s="21" t="n">
        <v>1005</v>
      </c>
      <c r="E292" s="21" t="n">
        <v>910</v>
      </c>
      <c r="F292" s="51" t="n">
        <f aca="false">IF(E292="","",D292-E292)</f>
        <v>95</v>
      </c>
      <c r="G292" s="21" t="n">
        <v>799</v>
      </c>
      <c r="H292" s="21" t="n">
        <v>742</v>
      </c>
      <c r="I292" s="51" t="n">
        <f aca="false">IF(H292="","",G292-H292)</f>
        <v>57</v>
      </c>
      <c r="J292" s="39" t="n">
        <f aca="false">IF(OR(D292="",D292+G292=0),"",D292/(D292+G292))</f>
        <v>0.55709534368071</v>
      </c>
      <c r="K292" s="39" t="n">
        <f aca="false">IF(E292="","",E292/(E292+H292))</f>
        <v>0.550847457627119</v>
      </c>
      <c r="L292" s="52" t="n">
        <f aca="false">IF(OR(K292="",J292=""),"",(J292-K292)*100)</f>
        <v>0.624788605359095</v>
      </c>
      <c r="M292" s="38"/>
    </row>
    <row r="293" customFormat="false" ht="15" hidden="false" customHeight="false" outlineLevel="0" collapsed="false">
      <c r="A293" s="38" t="s">
        <v>344</v>
      </c>
      <c r="B293" s="38" t="s">
        <v>251</v>
      </c>
      <c r="C293" s="38" t="s">
        <v>429</v>
      </c>
      <c r="D293" s="21" t="n">
        <v>492</v>
      </c>
      <c r="E293" s="21" t="n">
        <v>446</v>
      </c>
      <c r="F293" s="51" t="n">
        <f aca="false">IF(E293="","",D293-E293)</f>
        <v>46</v>
      </c>
      <c r="G293" s="21" t="n">
        <v>426</v>
      </c>
      <c r="H293" s="21" t="n">
        <v>410</v>
      </c>
      <c r="I293" s="51" t="n">
        <f aca="false">IF(H293="","",G293-H293)</f>
        <v>16</v>
      </c>
      <c r="J293" s="39" t="n">
        <f aca="false">IF(OR(D293="",D293+G293=0),"",D293/(D293+G293))</f>
        <v>0.535947712418301</v>
      </c>
      <c r="K293" s="39" t="n">
        <f aca="false">IF(E293="","",E293/(E293+H293))</f>
        <v>0.521028037383178</v>
      </c>
      <c r="L293" s="52" t="n">
        <f aca="false">IF(OR(K293="",J293=""),"",(J293-K293)*100)</f>
        <v>1.4919675035123</v>
      </c>
      <c r="M293" s="38"/>
    </row>
    <row r="294" customFormat="false" ht="15" hidden="false" customHeight="false" outlineLevel="0" collapsed="false">
      <c r="A294" s="38" t="s">
        <v>344</v>
      </c>
      <c r="B294" s="38" t="s">
        <v>251</v>
      </c>
      <c r="C294" s="38" t="s">
        <v>430</v>
      </c>
      <c r="D294" s="21" t="n">
        <v>834</v>
      </c>
      <c r="E294" s="21" t="n">
        <v>744</v>
      </c>
      <c r="F294" s="51" t="n">
        <f aca="false">IF(E294="","",D294-E294)</f>
        <v>90</v>
      </c>
      <c r="G294" s="21" t="n">
        <v>713</v>
      </c>
      <c r="H294" s="21" t="n">
        <v>678</v>
      </c>
      <c r="I294" s="51" t="n">
        <f aca="false">IF(H294="","",G294-H294)</f>
        <v>35</v>
      </c>
      <c r="J294" s="39" t="n">
        <f aca="false">IF(OR(D294="",D294+G294=0),"",D294/(D294+G294))</f>
        <v>0.539107950872657</v>
      </c>
      <c r="K294" s="39" t="n">
        <f aca="false">IF(E294="","",E294/(E294+H294))</f>
        <v>0.523206751054852</v>
      </c>
      <c r="L294" s="52" t="n">
        <f aca="false">IF(OR(K294="",J294=""),"",(J294-K294)*100)</f>
        <v>1.59011998178044</v>
      </c>
      <c r="M294" s="38"/>
    </row>
    <row r="295" customFormat="false" ht="15" hidden="false" customHeight="false" outlineLevel="0" collapsed="false">
      <c r="A295" s="38" t="s">
        <v>344</v>
      </c>
      <c r="B295" s="38" t="s">
        <v>251</v>
      </c>
      <c r="C295" s="38" t="s">
        <v>431</v>
      </c>
      <c r="D295" s="21" t="n">
        <v>850</v>
      </c>
      <c r="E295" s="21" t="n">
        <v>775</v>
      </c>
      <c r="F295" s="51" t="n">
        <f aca="false">IF(E295="","",D295-E295)</f>
        <v>75</v>
      </c>
      <c r="G295" s="21" t="n">
        <v>641</v>
      </c>
      <c r="H295" s="21" t="n">
        <v>645</v>
      </c>
      <c r="I295" s="51" t="n">
        <f aca="false">IF(H295="","",G295-H295)</f>
        <v>-4</v>
      </c>
      <c r="J295" s="39" t="n">
        <f aca="false">IF(OR(D295="",D295+G295=0),"",D295/(D295+G295))</f>
        <v>0.5700871898055</v>
      </c>
      <c r="K295" s="39" t="n">
        <f aca="false">IF(E295="","",E295/(E295+H295))</f>
        <v>0.545774647887324</v>
      </c>
      <c r="L295" s="52" t="n">
        <f aca="false">IF(OR(K295="",J295=""),"",(J295-K295)*100)</f>
        <v>2.43125419181757</v>
      </c>
      <c r="M295" s="38"/>
    </row>
    <row r="296" customFormat="false" ht="15" hidden="false" customHeight="false" outlineLevel="0" collapsed="false">
      <c r="A296" s="38" t="s">
        <v>344</v>
      </c>
      <c r="B296" s="38" t="s">
        <v>251</v>
      </c>
      <c r="C296" s="38" t="s">
        <v>432</v>
      </c>
      <c r="D296" s="21" t="n">
        <v>573</v>
      </c>
      <c r="E296" s="21" t="n">
        <v>511</v>
      </c>
      <c r="F296" s="51" t="n">
        <f aca="false">IF(E296="","",D296-E296)</f>
        <v>62</v>
      </c>
      <c r="G296" s="21" t="n">
        <v>480</v>
      </c>
      <c r="H296" s="21" t="n">
        <v>453</v>
      </c>
      <c r="I296" s="51" t="n">
        <f aca="false">IF(H296="","",G296-H296)</f>
        <v>27</v>
      </c>
      <c r="J296" s="39" t="n">
        <f aca="false">IF(OR(D296="",D296+G296=0),"",D296/(D296+G296))</f>
        <v>0.544159544159544</v>
      </c>
      <c r="K296" s="39" t="n">
        <f aca="false">IF(E296="","",E296/(E296+H296))</f>
        <v>0.530082987551867</v>
      </c>
      <c r="L296" s="52" t="n">
        <f aca="false">IF(OR(K296="",J296=""),"",(J296-K296)*100)</f>
        <v>1.40765566076769</v>
      </c>
      <c r="M296" s="38"/>
    </row>
    <row r="297" customFormat="false" ht="15" hidden="false" customHeight="false" outlineLevel="0" collapsed="false">
      <c r="A297" s="38" t="s">
        <v>344</v>
      </c>
      <c r="B297" s="38" t="s">
        <v>433</v>
      </c>
      <c r="C297" s="38" t="s">
        <v>434</v>
      </c>
      <c r="D297" s="21" t="n">
        <v>615</v>
      </c>
      <c r="E297" s="21" t="n">
        <v>553</v>
      </c>
      <c r="F297" s="51" t="n">
        <f aca="false">IF(E297="","",D297-E297)</f>
        <v>62</v>
      </c>
      <c r="G297" s="21" t="n">
        <v>587</v>
      </c>
      <c r="H297" s="21" t="n">
        <v>581</v>
      </c>
      <c r="I297" s="51" t="n">
        <f aca="false">IF(H297="","",G297-H297)</f>
        <v>6</v>
      </c>
      <c r="J297" s="39" t="n">
        <f aca="false">IF(OR(D297="",D297+G297=0),"",D297/(D297+G297))</f>
        <v>0.511647254575707</v>
      </c>
      <c r="K297" s="39" t="n">
        <f aca="false">IF(E297="","",E297/(E297+H297))</f>
        <v>0.487654320987654</v>
      </c>
      <c r="L297" s="52" t="n">
        <f aca="false">IF(OR(K297="",J297=""),"",(J297-K297)*100)</f>
        <v>2.39929335880528</v>
      </c>
      <c r="M297" s="38"/>
    </row>
    <row r="298" customFormat="false" ht="15" hidden="false" customHeight="false" outlineLevel="0" collapsed="false">
      <c r="A298" s="38" t="s">
        <v>344</v>
      </c>
      <c r="B298" s="38" t="s">
        <v>433</v>
      </c>
      <c r="C298" s="38" t="s">
        <v>435</v>
      </c>
      <c r="D298" s="21" t="n">
        <v>499</v>
      </c>
      <c r="E298" s="21" t="n">
        <v>473</v>
      </c>
      <c r="F298" s="51" t="n">
        <f aca="false">IF(E298="","",D298-E298)</f>
        <v>26</v>
      </c>
      <c r="G298" s="21" t="n">
        <v>422</v>
      </c>
      <c r="H298" s="21" t="n">
        <v>465</v>
      </c>
      <c r="I298" s="51" t="n">
        <f aca="false">IF(H298="","",G298-H298)</f>
        <v>-43</v>
      </c>
      <c r="J298" s="39" t="n">
        <f aca="false">IF(OR(D298="",D298+G298=0),"",D298/(D298+G298))</f>
        <v>0.541802388707926</v>
      </c>
      <c r="K298" s="39" t="n">
        <f aca="false">IF(E298="","",E298/(E298+H298))</f>
        <v>0.504264392324094</v>
      </c>
      <c r="L298" s="52" t="n">
        <f aca="false">IF(OR(K298="",J298=""),"",(J298-K298)*100)</f>
        <v>3.75379963838324</v>
      </c>
      <c r="M298" s="38"/>
    </row>
    <row r="299" customFormat="false" ht="15" hidden="false" customHeight="false" outlineLevel="0" collapsed="false">
      <c r="A299" s="38" t="s">
        <v>344</v>
      </c>
      <c r="B299" s="38" t="s">
        <v>433</v>
      </c>
      <c r="C299" s="38" t="s">
        <v>436</v>
      </c>
      <c r="D299" s="21" t="n">
        <v>728</v>
      </c>
      <c r="E299" s="21" t="n">
        <v>700</v>
      </c>
      <c r="F299" s="51" t="n">
        <f aca="false">IF(E299="","",D299-E299)</f>
        <v>28</v>
      </c>
      <c r="G299" s="21" t="n">
        <v>581</v>
      </c>
      <c r="H299" s="21" t="n">
        <v>639</v>
      </c>
      <c r="I299" s="51" t="n">
        <f aca="false">IF(H299="","",G299-H299)</f>
        <v>-58</v>
      </c>
      <c r="J299" s="39" t="n">
        <f aca="false">IF(OR(D299="",D299+G299=0),"",D299/(D299+G299))</f>
        <v>0.556149732620321</v>
      </c>
      <c r="K299" s="39" t="n">
        <f aca="false">IF(E299="","",E299/(E299+H299))</f>
        <v>0.522778192681105</v>
      </c>
      <c r="L299" s="52" t="n">
        <f aca="false">IF(OR(K299="",J299=""),"",(J299-K299)*100)</f>
        <v>3.33715399392156</v>
      </c>
      <c r="M299" s="38"/>
    </row>
    <row r="300" customFormat="false" ht="15" hidden="false" customHeight="false" outlineLevel="0" collapsed="false">
      <c r="A300" s="38" t="s">
        <v>344</v>
      </c>
      <c r="B300" s="38" t="s">
        <v>437</v>
      </c>
      <c r="C300" s="38" t="s">
        <v>438</v>
      </c>
      <c r="D300" s="21" t="n">
        <v>626</v>
      </c>
      <c r="E300" s="21" t="n">
        <v>546</v>
      </c>
      <c r="F300" s="51" t="n">
        <f aca="false">IF(E300="","",D300-E300)</f>
        <v>80</v>
      </c>
      <c r="G300" s="21" t="n">
        <v>1116</v>
      </c>
      <c r="H300" s="21" t="n">
        <v>1089</v>
      </c>
      <c r="I300" s="51" t="n">
        <f aca="false">IF(H300="","",G300-H300)</f>
        <v>27</v>
      </c>
      <c r="J300" s="39" t="n">
        <f aca="false">IF(OR(D300="",D300+G300=0),"",D300/(D300+G300))</f>
        <v>0.359357060849598</v>
      </c>
      <c r="K300" s="39" t="n">
        <f aca="false">IF(E300="","",E300/(E300+H300))</f>
        <v>0.33394495412844</v>
      </c>
      <c r="L300" s="52" t="n">
        <f aca="false">IF(OR(K300="",J300=""),"",(J300-K300)*100)</f>
        <v>2.54121067211578</v>
      </c>
      <c r="M300" s="38"/>
    </row>
    <row r="301" customFormat="false" ht="15" hidden="false" customHeight="false" outlineLevel="0" collapsed="false">
      <c r="A301" s="38" t="s">
        <v>344</v>
      </c>
      <c r="B301" s="38" t="s">
        <v>437</v>
      </c>
      <c r="C301" s="38" t="s">
        <v>439</v>
      </c>
      <c r="D301" s="21" t="n">
        <v>722</v>
      </c>
      <c r="E301" s="21" t="n">
        <v>636</v>
      </c>
      <c r="F301" s="51" t="n">
        <f aca="false">IF(E301="","",D301-E301)</f>
        <v>86</v>
      </c>
      <c r="G301" s="21" t="n">
        <v>1249</v>
      </c>
      <c r="H301" s="21" t="n">
        <v>1262</v>
      </c>
      <c r="I301" s="51" t="n">
        <f aca="false">IF(H301="","",G301-H301)</f>
        <v>-13</v>
      </c>
      <c r="J301" s="39" t="n">
        <f aca="false">IF(OR(D301="",D301+G301=0),"",D301/(D301+G301))</f>
        <v>0.366311516996449</v>
      </c>
      <c r="K301" s="39" t="n">
        <f aca="false">IF(E301="","",E301/(E301+H301))</f>
        <v>0.33508956796628</v>
      </c>
      <c r="L301" s="52" t="n">
        <f aca="false">IF(OR(K301="",J301=""),"",(J301-K301)*100)</f>
        <v>3.12219490301682</v>
      </c>
      <c r="M301" s="38"/>
    </row>
    <row r="302" customFormat="false" ht="15" hidden="false" customHeight="false" outlineLevel="0" collapsed="false">
      <c r="A302" s="38" t="s">
        <v>344</v>
      </c>
      <c r="B302" s="38" t="s">
        <v>437</v>
      </c>
      <c r="C302" s="38" t="s">
        <v>440</v>
      </c>
      <c r="D302" s="21" t="n">
        <v>236</v>
      </c>
      <c r="E302" s="21" t="n">
        <v>224</v>
      </c>
      <c r="F302" s="51" t="n">
        <f aca="false">IF(E302="","",D302-E302)</f>
        <v>12</v>
      </c>
      <c r="G302" s="21" t="n">
        <v>507</v>
      </c>
      <c r="H302" s="21" t="n">
        <v>495</v>
      </c>
      <c r="I302" s="51" t="n">
        <f aca="false">IF(H302="","",G302-H302)</f>
        <v>12</v>
      </c>
      <c r="J302" s="39" t="n">
        <f aca="false">IF(OR(D302="",D302+G302=0),"",D302/(D302+G302))</f>
        <v>0.317631224764468</v>
      </c>
      <c r="K302" s="39" t="n">
        <f aca="false">IF(E302="","",E302/(E302+H302))</f>
        <v>0.311543810848401</v>
      </c>
      <c r="L302" s="52" t="n">
        <f aca="false">IF(OR(K302="",J302=""),"",(J302-K302)*100)</f>
        <v>0.608741391606782</v>
      </c>
      <c r="M302" s="38"/>
    </row>
    <row r="303" customFormat="false" ht="15" hidden="false" customHeight="false" outlineLevel="0" collapsed="false">
      <c r="A303" s="38" t="s">
        <v>344</v>
      </c>
      <c r="B303" s="38" t="s">
        <v>437</v>
      </c>
      <c r="C303" s="38" t="s">
        <v>441</v>
      </c>
      <c r="D303" s="21" t="n">
        <v>571</v>
      </c>
      <c r="E303" s="21" t="n">
        <v>478</v>
      </c>
      <c r="F303" s="51" t="n">
        <f aca="false">IF(E303="","",D303-E303)</f>
        <v>93</v>
      </c>
      <c r="G303" s="21" t="n">
        <v>977</v>
      </c>
      <c r="H303" s="21" t="n">
        <v>948</v>
      </c>
      <c r="I303" s="51" t="n">
        <f aca="false">IF(H303="","",G303-H303)</f>
        <v>29</v>
      </c>
      <c r="J303" s="39" t="n">
        <f aca="false">IF(OR(D303="",D303+G303=0),"",D303/(D303+G303))</f>
        <v>0.368863049095607</v>
      </c>
      <c r="K303" s="39" t="n">
        <f aca="false">IF(E303="","",E303/(E303+H303))</f>
        <v>0.335203366058906</v>
      </c>
      <c r="L303" s="52" t="n">
        <f aca="false">IF(OR(K303="",J303=""),"",(J303-K303)*100)</f>
        <v>3.36596830367012</v>
      </c>
      <c r="M303" s="38"/>
    </row>
    <row r="304" customFormat="false" ht="15" hidden="false" customHeight="false" outlineLevel="0" collapsed="false">
      <c r="A304" s="38" t="s">
        <v>344</v>
      </c>
      <c r="B304" s="38" t="s">
        <v>437</v>
      </c>
      <c r="C304" s="38" t="s">
        <v>442</v>
      </c>
      <c r="D304" s="21" t="n">
        <v>376</v>
      </c>
      <c r="E304" s="21" t="n">
        <v>360</v>
      </c>
      <c r="F304" s="51" t="n">
        <f aca="false">IF(E304="","",D304-E304)</f>
        <v>16</v>
      </c>
      <c r="G304" s="21" t="n">
        <v>675</v>
      </c>
      <c r="H304" s="21" t="n">
        <v>645</v>
      </c>
      <c r="I304" s="51" t="n">
        <f aca="false">IF(H304="","",G304-H304)</f>
        <v>30</v>
      </c>
      <c r="J304" s="39" t="n">
        <f aca="false">IF(OR(D304="",D304+G304=0),"",D304/(D304+G304))</f>
        <v>0.357754519505233</v>
      </c>
      <c r="K304" s="39" t="n">
        <f aca="false">IF(E304="","",E304/(E304+H304))</f>
        <v>0.358208955223881</v>
      </c>
      <c r="L304" s="52" t="n">
        <f aca="false">IF(OR(K304="",J304=""),"",(J304-K304)*100)</f>
        <v>-0.045443571864745</v>
      </c>
      <c r="M304" s="38"/>
    </row>
    <row r="305" customFormat="false" ht="15" hidden="false" customHeight="false" outlineLevel="0" collapsed="false">
      <c r="A305" s="38" t="s">
        <v>344</v>
      </c>
      <c r="B305" s="38" t="s">
        <v>443</v>
      </c>
      <c r="C305" s="38" t="s">
        <v>444</v>
      </c>
      <c r="D305" s="21" t="n">
        <v>278</v>
      </c>
      <c r="E305" s="21" t="n">
        <v>264</v>
      </c>
      <c r="F305" s="51" t="n">
        <f aca="false">IF(E305="","",D305-E305)</f>
        <v>14</v>
      </c>
      <c r="G305" s="21" t="n">
        <v>443</v>
      </c>
      <c r="H305" s="21" t="n">
        <v>439</v>
      </c>
      <c r="I305" s="51" t="n">
        <f aca="false">IF(H305="","",G305-H305)</f>
        <v>4</v>
      </c>
      <c r="J305" s="39" t="n">
        <f aca="false">IF(OR(D305="",D305+G305=0),"",D305/(D305+G305))</f>
        <v>0.385575589459085</v>
      </c>
      <c r="K305" s="39" t="n">
        <f aca="false">IF(E305="","",E305/(E305+H305))</f>
        <v>0.375533428165007</v>
      </c>
      <c r="L305" s="52" t="n">
        <f aca="false">IF(OR(K305="",J305=""),"",(J305-K305)*100)</f>
        <v>1.00421612940775</v>
      </c>
      <c r="M305" s="38"/>
    </row>
    <row r="306" customFormat="false" ht="15" hidden="false" customHeight="false" outlineLevel="0" collapsed="false">
      <c r="A306" s="38" t="s">
        <v>344</v>
      </c>
      <c r="B306" s="38" t="s">
        <v>443</v>
      </c>
      <c r="C306" s="38" t="s">
        <v>445</v>
      </c>
      <c r="D306" s="21" t="n">
        <v>416</v>
      </c>
      <c r="E306" s="21" t="n">
        <v>361</v>
      </c>
      <c r="F306" s="51" t="n">
        <f aca="false">IF(E306="","",D306-E306)</f>
        <v>55</v>
      </c>
      <c r="G306" s="21" t="n">
        <v>762</v>
      </c>
      <c r="H306" s="21" t="n">
        <v>775</v>
      </c>
      <c r="I306" s="51" t="n">
        <f aca="false">IF(H306="","",G306-H306)</f>
        <v>-13</v>
      </c>
      <c r="J306" s="39" t="n">
        <f aca="false">IF(OR(D306="",D306+G306=0),"",D306/(D306+G306))</f>
        <v>0.353140916808149</v>
      </c>
      <c r="K306" s="39" t="n">
        <f aca="false">IF(E306="","",E306/(E306+H306))</f>
        <v>0.317781690140845</v>
      </c>
      <c r="L306" s="52" t="n">
        <f aca="false">IF(OR(K306="",J306=""),"",(J306-K306)*100)</f>
        <v>3.53592266673043</v>
      </c>
      <c r="M306" s="38"/>
    </row>
    <row r="307" customFormat="false" ht="15" hidden="false" customHeight="false" outlineLevel="0" collapsed="false">
      <c r="A307" s="38" t="s">
        <v>344</v>
      </c>
      <c r="B307" s="38" t="s">
        <v>446</v>
      </c>
      <c r="C307" s="38" t="s">
        <v>447</v>
      </c>
      <c r="D307" s="21" t="n">
        <v>285</v>
      </c>
      <c r="E307" s="21"/>
      <c r="F307" s="51" t="str">
        <f aca="false">IF(E307="","",D307-E307)</f>
        <v/>
      </c>
      <c r="G307" s="21" t="n">
        <v>362</v>
      </c>
      <c r="H307" s="21"/>
      <c r="I307" s="51" t="str">
        <f aca="false">IF(H307="","",G307-H307)</f>
        <v/>
      </c>
      <c r="J307" s="39" t="n">
        <f aca="false">IF(OR(D307="",D307+G307=0),"",D307/(D307+G307))</f>
        <v>0.440494590417311</v>
      </c>
      <c r="K307" s="39" t="str">
        <f aca="false">IF(E307="","",E307/(E307+H307))</f>
        <v/>
      </c>
      <c r="L307" s="52" t="str">
        <f aca="false">IF(OR(K307="",J307=""),"",(J307-K307)*100)</f>
        <v/>
      </c>
      <c r="M307" s="38" t="s">
        <v>691</v>
      </c>
    </row>
    <row r="308" customFormat="false" ht="15" hidden="false" customHeight="false" outlineLevel="0" collapsed="false">
      <c r="A308" s="38" t="s">
        <v>344</v>
      </c>
      <c r="B308" s="38" t="s">
        <v>446</v>
      </c>
      <c r="C308" s="38" t="s">
        <v>448</v>
      </c>
      <c r="D308" s="21" t="n">
        <v>715</v>
      </c>
      <c r="E308" s="21"/>
      <c r="F308" s="51" t="str">
        <f aca="false">IF(E308="","",D308-E308)</f>
        <v/>
      </c>
      <c r="G308" s="21" t="n">
        <v>666</v>
      </c>
      <c r="H308" s="21"/>
      <c r="I308" s="51" t="str">
        <f aca="false">IF(H308="","",G308-H308)</f>
        <v/>
      </c>
      <c r="J308" s="39" t="n">
        <f aca="false">IF(OR(D308="",D308+G308=0),"",D308/(D308+G308))</f>
        <v>0.517740767559739</v>
      </c>
      <c r="K308" s="39" t="str">
        <f aca="false">IF(E308="","",E308/(E308+H308))</f>
        <v/>
      </c>
      <c r="L308" s="52" t="str">
        <f aca="false">IF(OR(K308="",J308=""),"",(J308-K308)*100)</f>
        <v/>
      </c>
      <c r="M308" s="38" t="s">
        <v>691</v>
      </c>
    </row>
    <row r="309" customFormat="false" ht="15" hidden="false" customHeight="false" outlineLevel="0" collapsed="false">
      <c r="A309" s="38" t="s">
        <v>344</v>
      </c>
      <c r="B309" s="38" t="s">
        <v>446</v>
      </c>
      <c r="C309" s="38" t="s">
        <v>449</v>
      </c>
      <c r="D309" s="21" t="n">
        <v>696</v>
      </c>
      <c r="E309" s="21" t="n">
        <v>606</v>
      </c>
      <c r="F309" s="51" t="n">
        <f aca="false">IF(E309="","",D309-E309)</f>
        <v>90</v>
      </c>
      <c r="G309" s="21" t="n">
        <v>839</v>
      </c>
      <c r="H309" s="21" t="n">
        <v>825</v>
      </c>
      <c r="I309" s="51" t="n">
        <f aca="false">IF(H309="","",G309-H309)</f>
        <v>14</v>
      </c>
      <c r="J309" s="39" t="n">
        <f aca="false">IF(OR(D309="",D309+G309=0),"",D309/(D309+G309))</f>
        <v>0.453420195439739</v>
      </c>
      <c r="K309" s="39" t="n">
        <f aca="false">IF(E309="","",E309/(E309+H309))</f>
        <v>0.423480083857442</v>
      </c>
      <c r="L309" s="52" t="n">
        <f aca="false">IF(OR(K309="",J309=""),"",(J309-K309)*100)</f>
        <v>2.99401115822971</v>
      </c>
      <c r="M309" s="38"/>
    </row>
    <row r="310" customFormat="false" ht="15" hidden="false" customHeight="false" outlineLevel="0" collapsed="false">
      <c r="A310" s="38" t="s">
        <v>344</v>
      </c>
      <c r="B310" s="38" t="s">
        <v>446</v>
      </c>
      <c r="C310" s="38" t="s">
        <v>450</v>
      </c>
      <c r="D310" s="21" t="n">
        <v>686</v>
      </c>
      <c r="E310" s="21"/>
      <c r="F310" s="51" t="str">
        <f aca="false">IF(E310="","",D310-E310)</f>
        <v/>
      </c>
      <c r="G310" s="21" t="n">
        <v>713</v>
      </c>
      <c r="H310" s="21"/>
      <c r="I310" s="51" t="str">
        <f aca="false">IF(H310="","",G310-H310)</f>
        <v/>
      </c>
      <c r="J310" s="39" t="n">
        <f aca="false">IF(OR(D310="",D310+G310=0),"",D310/(D310+G310))</f>
        <v>0.490350250178699</v>
      </c>
      <c r="K310" s="39" t="str">
        <f aca="false">IF(E310="","",E310/(E310+H310))</f>
        <v/>
      </c>
      <c r="L310" s="52" t="str">
        <f aca="false">IF(OR(K310="",J310=""),"",(J310-K310)*100)</f>
        <v/>
      </c>
      <c r="M310" s="38" t="s">
        <v>691</v>
      </c>
    </row>
    <row r="311" customFormat="false" ht="15" hidden="false" customHeight="false" outlineLevel="0" collapsed="false">
      <c r="A311" s="38" t="s">
        <v>344</v>
      </c>
      <c r="B311" s="38" t="s">
        <v>451</v>
      </c>
      <c r="C311" s="38" t="s">
        <v>452</v>
      </c>
      <c r="D311" s="21" t="n">
        <v>655</v>
      </c>
      <c r="E311" s="21" t="n">
        <v>585</v>
      </c>
      <c r="F311" s="51" t="n">
        <f aca="false">IF(E311="","",D311-E311)</f>
        <v>70</v>
      </c>
      <c r="G311" s="21" t="n">
        <v>568</v>
      </c>
      <c r="H311" s="21" t="n">
        <v>527</v>
      </c>
      <c r="I311" s="51" t="n">
        <f aca="false">IF(H311="","",G311-H311)</f>
        <v>41</v>
      </c>
      <c r="J311" s="39" t="n">
        <f aca="false">IF(OR(D311="",D311+G311=0),"",D311/(D311+G311))</f>
        <v>0.53556827473426</v>
      </c>
      <c r="K311" s="39" t="n">
        <f aca="false">IF(E311="","",E311/(E311+H311))</f>
        <v>0.526079136690647</v>
      </c>
      <c r="L311" s="52" t="n">
        <f aca="false">IF(OR(K311="",J311=""),"",(J311-K311)*100)</f>
        <v>0.948913804361262</v>
      </c>
      <c r="M311" s="38"/>
    </row>
    <row r="312" customFormat="false" ht="15" hidden="false" customHeight="false" outlineLevel="0" collapsed="false">
      <c r="A312" s="38" t="s">
        <v>344</v>
      </c>
      <c r="B312" s="38" t="s">
        <v>451</v>
      </c>
      <c r="C312" s="38" t="s">
        <v>453</v>
      </c>
      <c r="D312" s="21" t="n">
        <v>740</v>
      </c>
      <c r="E312" s="21" t="n">
        <v>639</v>
      </c>
      <c r="F312" s="51" t="n">
        <f aca="false">IF(E312="","",D312-E312)</f>
        <v>101</v>
      </c>
      <c r="G312" s="21" t="n">
        <v>891</v>
      </c>
      <c r="H312" s="21" t="n">
        <v>886</v>
      </c>
      <c r="I312" s="51" t="n">
        <f aca="false">IF(H312="","",G312-H312)</f>
        <v>5</v>
      </c>
      <c r="J312" s="39" t="n">
        <f aca="false">IF(OR(D312="",D312+G312=0),"",D312/(D312+G312))</f>
        <v>0.453709380748007</v>
      </c>
      <c r="K312" s="39" t="n">
        <f aca="false">IF(E312="","",E312/(E312+H312))</f>
        <v>0.419016393442623</v>
      </c>
      <c r="L312" s="52" t="n">
        <f aca="false">IF(OR(K312="",J312=""),"",(J312-K312)*100)</f>
        <v>3.46929873053845</v>
      </c>
      <c r="M312" s="38"/>
    </row>
    <row r="313" customFormat="false" ht="15" hidden="false" customHeight="false" outlineLevel="0" collapsed="false">
      <c r="A313" s="38" t="s">
        <v>344</v>
      </c>
      <c r="B313" s="38" t="s">
        <v>451</v>
      </c>
      <c r="C313" s="38" t="s">
        <v>454</v>
      </c>
      <c r="D313" s="21" t="n">
        <v>446</v>
      </c>
      <c r="E313" s="21"/>
      <c r="F313" s="51" t="str">
        <f aca="false">IF(E313="","",D313-E313)</f>
        <v/>
      </c>
      <c r="G313" s="21" t="n">
        <v>600</v>
      </c>
      <c r="H313" s="21"/>
      <c r="I313" s="51" t="str">
        <f aca="false">IF(H313="","",G313-H313)</f>
        <v/>
      </c>
      <c r="J313" s="39" t="n">
        <f aca="false">IF(OR(D313="",D313+G313=0),"",D313/(D313+G313))</f>
        <v>0.426386233269598</v>
      </c>
      <c r="K313" s="39" t="str">
        <f aca="false">IF(E313="","",E313/(E313+H313))</f>
        <v/>
      </c>
      <c r="L313" s="52" t="str">
        <f aca="false">IF(OR(K313="",J313=""),"",(J313-K313)*100)</f>
        <v/>
      </c>
      <c r="M313" s="38" t="s">
        <v>691</v>
      </c>
    </row>
    <row r="314" customFormat="false" ht="15" hidden="false" customHeight="false" outlineLevel="0" collapsed="false">
      <c r="A314" s="38" t="s">
        <v>344</v>
      </c>
      <c r="B314" s="38" t="s">
        <v>451</v>
      </c>
      <c r="C314" s="38" t="s">
        <v>455</v>
      </c>
      <c r="D314" s="21" t="n">
        <v>546</v>
      </c>
      <c r="E314" s="21" t="n">
        <v>496</v>
      </c>
      <c r="F314" s="51" t="n">
        <f aca="false">IF(E314="","",D314-E314)</f>
        <v>50</v>
      </c>
      <c r="G314" s="21" t="n">
        <v>475</v>
      </c>
      <c r="H314" s="21" t="n">
        <v>458</v>
      </c>
      <c r="I314" s="51" t="n">
        <f aca="false">IF(H314="","",G314-H314)</f>
        <v>17</v>
      </c>
      <c r="J314" s="39" t="n">
        <f aca="false">IF(OR(D314="",D314+G314=0),"",D314/(D314+G314))</f>
        <v>0.534769833496572</v>
      </c>
      <c r="K314" s="39" t="n">
        <f aca="false">IF(E314="","",E314/(E314+H314))</f>
        <v>0.519916142557652</v>
      </c>
      <c r="L314" s="52" t="n">
        <f aca="false">IF(OR(K314="",J314=""),"",(J314-K314)*100)</f>
        <v>1.48536909389201</v>
      </c>
      <c r="M314" s="38"/>
    </row>
    <row r="315" customFormat="false" ht="15" hidden="false" customHeight="false" outlineLevel="0" collapsed="false">
      <c r="A315" s="38" t="s">
        <v>344</v>
      </c>
      <c r="B315" s="38" t="s">
        <v>451</v>
      </c>
      <c r="C315" s="38" t="s">
        <v>456</v>
      </c>
      <c r="D315" s="21" t="n">
        <v>456</v>
      </c>
      <c r="E315" s="21" t="n">
        <v>423</v>
      </c>
      <c r="F315" s="51" t="n">
        <f aca="false">IF(E315="","",D315-E315)</f>
        <v>33</v>
      </c>
      <c r="G315" s="21" t="n">
        <v>590</v>
      </c>
      <c r="H315" s="21" t="n">
        <v>592</v>
      </c>
      <c r="I315" s="51" t="n">
        <f aca="false">IF(H315="","",G315-H315)</f>
        <v>-2</v>
      </c>
      <c r="J315" s="39" t="n">
        <f aca="false">IF(OR(D315="",D315+G315=0),"",D315/(D315+G315))</f>
        <v>0.435946462715105</v>
      </c>
      <c r="K315" s="39" t="n">
        <f aca="false">IF(E315="","",E315/(E315+H315))</f>
        <v>0.416748768472906</v>
      </c>
      <c r="L315" s="52" t="n">
        <f aca="false">IF(OR(K315="",J315=""),"",(J315-K315)*100)</f>
        <v>1.91976942421987</v>
      </c>
      <c r="M315" s="38"/>
    </row>
    <row r="316" customFormat="false" ht="15" hidden="false" customHeight="false" outlineLevel="0" collapsed="false">
      <c r="A316" s="38" t="s">
        <v>344</v>
      </c>
      <c r="B316" s="38" t="s">
        <v>451</v>
      </c>
      <c r="C316" s="38" t="s">
        <v>457</v>
      </c>
      <c r="D316" s="21" t="n">
        <v>883</v>
      </c>
      <c r="E316" s="21"/>
      <c r="F316" s="51" t="str">
        <f aca="false">IF(E316="","",D316-E316)</f>
        <v/>
      </c>
      <c r="G316" s="21" t="n">
        <v>943</v>
      </c>
      <c r="H316" s="21"/>
      <c r="I316" s="51" t="str">
        <f aca="false">IF(H316="","",G316-H316)</f>
        <v/>
      </c>
      <c r="J316" s="39" t="n">
        <f aca="false">IF(OR(D316="",D316+G316=0),"",D316/(D316+G316))</f>
        <v>0.483570646221249</v>
      </c>
      <c r="K316" s="39" t="str">
        <f aca="false">IF(E316="","",E316/(E316+H316))</f>
        <v/>
      </c>
      <c r="L316" s="52" t="str">
        <f aca="false">IF(OR(K316="",J316=""),"",(J316-K316)*100)</f>
        <v/>
      </c>
      <c r="M316" s="38" t="s">
        <v>691</v>
      </c>
    </row>
    <row r="317" customFormat="false" ht="15" hidden="false" customHeight="false" outlineLevel="0" collapsed="false">
      <c r="A317" s="38" t="s">
        <v>344</v>
      </c>
      <c r="B317" s="38" t="s">
        <v>458</v>
      </c>
      <c r="C317" s="38" t="s">
        <v>459</v>
      </c>
      <c r="D317" s="21" t="n">
        <v>442</v>
      </c>
      <c r="E317" s="21" t="n">
        <v>409</v>
      </c>
      <c r="F317" s="51" t="n">
        <f aca="false">IF(E317="","",D317-E317)</f>
        <v>33</v>
      </c>
      <c r="G317" s="21" t="n">
        <v>814</v>
      </c>
      <c r="H317" s="21" t="n">
        <v>764</v>
      </c>
      <c r="I317" s="51" t="n">
        <f aca="false">IF(H317="","",G317-H317)</f>
        <v>50</v>
      </c>
      <c r="J317" s="39" t="n">
        <f aca="false">IF(OR(D317="",D317+G317=0),"",D317/(D317+G317))</f>
        <v>0.351910828025478</v>
      </c>
      <c r="K317" s="39" t="n">
        <f aca="false">IF(E317="","",E317/(E317+H317))</f>
        <v>0.348678601875533</v>
      </c>
      <c r="L317" s="52" t="n">
        <f aca="false">IF(OR(K317="",J317=""),"",(J317-K317)*100)</f>
        <v>0.323222614994484</v>
      </c>
      <c r="M317" s="38"/>
    </row>
    <row r="318" customFormat="false" ht="15" hidden="false" customHeight="false" outlineLevel="0" collapsed="false">
      <c r="A318" s="38" t="s">
        <v>344</v>
      </c>
      <c r="B318" s="38" t="s">
        <v>458</v>
      </c>
      <c r="C318" s="38" t="s">
        <v>460</v>
      </c>
      <c r="D318" s="21" t="n">
        <v>888</v>
      </c>
      <c r="E318" s="21" t="n">
        <v>805</v>
      </c>
      <c r="F318" s="51" t="n">
        <f aca="false">IF(E318="","",D318-E318)</f>
        <v>83</v>
      </c>
      <c r="G318" s="21" t="n">
        <v>1607</v>
      </c>
      <c r="H318" s="21" t="n">
        <v>1577</v>
      </c>
      <c r="I318" s="51" t="n">
        <f aca="false">IF(H318="","",G318-H318)</f>
        <v>30</v>
      </c>
      <c r="J318" s="39" t="n">
        <f aca="false">IF(OR(D318="",D318+G318=0),"",D318/(D318+G318))</f>
        <v>0.355911823647295</v>
      </c>
      <c r="K318" s="39" t="n">
        <f aca="false">IF(E318="","",E318/(E318+H318))</f>
        <v>0.337951301427372</v>
      </c>
      <c r="L318" s="52" t="n">
        <f aca="false">IF(OR(K318="",J318=""),"",(J318-K318)*100)</f>
        <v>1.79605222199226</v>
      </c>
      <c r="M318" s="38"/>
    </row>
    <row r="319" customFormat="false" ht="15" hidden="false" customHeight="false" outlineLevel="0" collapsed="false">
      <c r="A319" s="38" t="s">
        <v>344</v>
      </c>
      <c r="B319" s="38" t="s">
        <v>458</v>
      </c>
      <c r="C319" s="38" t="s">
        <v>461</v>
      </c>
      <c r="D319" s="21" t="n">
        <v>618</v>
      </c>
      <c r="E319" s="21" t="n">
        <v>547</v>
      </c>
      <c r="F319" s="51" t="n">
        <f aca="false">IF(E319="","",D319-E319)</f>
        <v>71</v>
      </c>
      <c r="G319" s="21" t="n">
        <v>1195</v>
      </c>
      <c r="H319" s="21" t="n">
        <v>1179</v>
      </c>
      <c r="I319" s="51" t="n">
        <f aca="false">IF(H319="","",G319-H319)</f>
        <v>16</v>
      </c>
      <c r="J319" s="39" t="n">
        <f aca="false">IF(OR(D319="",D319+G319=0),"",D319/(D319+G319))</f>
        <v>0.340871483728627</v>
      </c>
      <c r="K319" s="39" t="n">
        <f aca="false">IF(E319="","",E319/(E319+H319))</f>
        <v>0.316917728852839</v>
      </c>
      <c r="L319" s="52" t="n">
        <f aca="false">IF(OR(K319="",J319=""),"",(J319-K319)*100)</f>
        <v>2.39537548757877</v>
      </c>
      <c r="M319" s="38"/>
    </row>
    <row r="320" customFormat="false" ht="15" hidden="false" customHeight="false" outlineLevel="0" collapsed="false">
      <c r="A320" s="38" t="s">
        <v>344</v>
      </c>
      <c r="B320" s="38" t="s">
        <v>458</v>
      </c>
      <c r="C320" s="38" t="s">
        <v>462</v>
      </c>
      <c r="D320" s="21" t="n">
        <v>287</v>
      </c>
      <c r="E320" s="21" t="n">
        <v>245</v>
      </c>
      <c r="F320" s="51" t="n">
        <f aca="false">IF(E320="","",D320-E320)</f>
        <v>42</v>
      </c>
      <c r="G320" s="21" t="n">
        <v>523</v>
      </c>
      <c r="H320" s="21" t="n">
        <v>537</v>
      </c>
      <c r="I320" s="51" t="n">
        <f aca="false">IF(H320="","",G320-H320)</f>
        <v>-14</v>
      </c>
      <c r="J320" s="39" t="n">
        <f aca="false">IF(OR(D320="",D320+G320=0),"",D320/(D320+G320))</f>
        <v>0.354320987654321</v>
      </c>
      <c r="K320" s="39" t="n">
        <f aca="false">IF(E320="","",E320/(E320+H320))</f>
        <v>0.313299232736573</v>
      </c>
      <c r="L320" s="52" t="n">
        <f aca="false">IF(OR(K320="",J320=""),"",(J320-K320)*100)</f>
        <v>4.10217549177481</v>
      </c>
      <c r="M320" s="38"/>
    </row>
    <row r="321" customFormat="false" ht="15" hidden="false" customHeight="false" outlineLevel="0" collapsed="false">
      <c r="A321" s="38" t="s">
        <v>344</v>
      </c>
      <c r="B321" s="38" t="s">
        <v>463</v>
      </c>
      <c r="C321" s="38" t="s">
        <v>464</v>
      </c>
      <c r="D321" s="21" t="n">
        <v>645</v>
      </c>
      <c r="E321" s="21" t="n">
        <v>601</v>
      </c>
      <c r="F321" s="51" t="n">
        <f aca="false">IF(E321="","",D321-E321)</f>
        <v>44</v>
      </c>
      <c r="G321" s="21" t="n">
        <v>624</v>
      </c>
      <c r="H321" s="21" t="n">
        <v>605</v>
      </c>
      <c r="I321" s="51" t="n">
        <f aca="false">IF(H321="","",G321-H321)</f>
        <v>19</v>
      </c>
      <c r="J321" s="39" t="n">
        <f aca="false">IF(OR(D321="",D321+G321=0),"",D321/(D321+G321))</f>
        <v>0.508274231678487</v>
      </c>
      <c r="K321" s="39" t="n">
        <f aca="false">IF(E321="","",E321/(E321+H321))</f>
        <v>0.498341625207297</v>
      </c>
      <c r="L321" s="52" t="n">
        <f aca="false">IF(OR(K321="",J321=""),"",(J321-K321)*100)</f>
        <v>0.99326064711901</v>
      </c>
      <c r="M321" s="38"/>
    </row>
    <row r="322" customFormat="false" ht="15" hidden="false" customHeight="false" outlineLevel="0" collapsed="false">
      <c r="A322" s="38" t="s">
        <v>344</v>
      </c>
      <c r="B322" s="38" t="s">
        <v>463</v>
      </c>
      <c r="C322" s="38" t="s">
        <v>465</v>
      </c>
      <c r="D322" s="21" t="n">
        <v>544</v>
      </c>
      <c r="E322" s="21" t="n">
        <v>523</v>
      </c>
      <c r="F322" s="51" t="n">
        <f aca="false">IF(E322="","",D322-E322)</f>
        <v>21</v>
      </c>
      <c r="G322" s="21" t="n">
        <v>475</v>
      </c>
      <c r="H322" s="21" t="n">
        <v>542</v>
      </c>
      <c r="I322" s="51" t="n">
        <f aca="false">IF(H322="","",G322-H322)</f>
        <v>-67</v>
      </c>
      <c r="J322" s="39" t="n">
        <f aca="false">IF(OR(D322="",D322+G322=0),"",D322/(D322+G322))</f>
        <v>0.533856722276742</v>
      </c>
      <c r="K322" s="39" t="n">
        <f aca="false">IF(E322="","",E322/(E322+H322))</f>
        <v>0.491079812206573</v>
      </c>
      <c r="L322" s="52" t="n">
        <f aca="false">IF(OR(K322="",J322=""),"",(J322-K322)*100)</f>
        <v>4.27769100701691</v>
      </c>
      <c r="M322" s="38"/>
    </row>
    <row r="323" customFormat="false" ht="15" hidden="false" customHeight="false" outlineLevel="0" collapsed="false">
      <c r="A323" s="38" t="s">
        <v>344</v>
      </c>
      <c r="B323" s="38" t="s">
        <v>463</v>
      </c>
      <c r="C323" s="38" t="s">
        <v>466</v>
      </c>
      <c r="D323" s="21" t="n">
        <v>508</v>
      </c>
      <c r="E323" s="21" t="n">
        <v>472</v>
      </c>
      <c r="F323" s="51" t="n">
        <f aca="false">IF(E323="","",D323-E323)</f>
        <v>36</v>
      </c>
      <c r="G323" s="21" t="n">
        <v>490</v>
      </c>
      <c r="H323" s="21" t="n">
        <v>517</v>
      </c>
      <c r="I323" s="51" t="n">
        <f aca="false">IF(H323="","",G323-H323)</f>
        <v>-27</v>
      </c>
      <c r="J323" s="39" t="n">
        <f aca="false">IF(OR(D323="",D323+G323=0),"",D323/(D323+G323))</f>
        <v>0.509018036072144</v>
      </c>
      <c r="K323" s="39" t="n">
        <f aca="false">IF(E323="","",E323/(E323+H323))</f>
        <v>0.477249747219414</v>
      </c>
      <c r="L323" s="52" t="n">
        <f aca="false">IF(OR(K323="",J323=""),"",(J323-K323)*100)</f>
        <v>3.17682888527307</v>
      </c>
      <c r="M323" s="38"/>
    </row>
    <row r="324" customFormat="false" ht="15" hidden="false" customHeight="false" outlineLevel="0" collapsed="false">
      <c r="A324" s="38" t="s">
        <v>344</v>
      </c>
      <c r="B324" s="38" t="s">
        <v>467</v>
      </c>
      <c r="C324" s="38" t="s">
        <v>468</v>
      </c>
      <c r="D324" s="21" t="n">
        <v>255</v>
      </c>
      <c r="E324" s="21" t="n">
        <v>222</v>
      </c>
      <c r="F324" s="51" t="n">
        <f aca="false">IF(E324="","",D324-E324)</f>
        <v>33</v>
      </c>
      <c r="G324" s="21" t="n">
        <v>273</v>
      </c>
      <c r="H324" s="21" t="n">
        <v>276</v>
      </c>
      <c r="I324" s="51" t="n">
        <f aca="false">IF(H324="","",G324-H324)</f>
        <v>-3</v>
      </c>
      <c r="J324" s="39" t="n">
        <f aca="false">IF(OR(D324="",D324+G324=0),"",D324/(D324+G324))</f>
        <v>0.482954545454545</v>
      </c>
      <c r="K324" s="39" t="n">
        <f aca="false">IF(E324="","",E324/(E324+H324))</f>
        <v>0.445783132530121</v>
      </c>
      <c r="L324" s="52" t="n">
        <f aca="false">IF(OR(K324="",J324=""),"",(J324-K324)*100)</f>
        <v>3.7171412924425</v>
      </c>
      <c r="M324" s="38"/>
    </row>
    <row r="325" customFormat="false" ht="15" hidden="false" customHeight="false" outlineLevel="0" collapsed="false">
      <c r="A325" s="38" t="s">
        <v>344</v>
      </c>
      <c r="B325" s="38" t="s">
        <v>467</v>
      </c>
      <c r="C325" s="38" t="s">
        <v>469</v>
      </c>
      <c r="D325" s="21" t="n">
        <v>662</v>
      </c>
      <c r="E325" s="21" t="n">
        <v>625</v>
      </c>
      <c r="F325" s="51" t="n">
        <f aca="false">IF(E325="","",D325-E325)</f>
        <v>37</v>
      </c>
      <c r="G325" s="21" t="n">
        <v>610</v>
      </c>
      <c r="H325" s="21" t="n">
        <v>613</v>
      </c>
      <c r="I325" s="51" t="n">
        <f aca="false">IF(H325="","",G325-H325)</f>
        <v>-3</v>
      </c>
      <c r="J325" s="39" t="n">
        <f aca="false">IF(OR(D325="",D325+G325=0),"",D325/(D325+G325))</f>
        <v>0.520440251572327</v>
      </c>
      <c r="K325" s="39" t="n">
        <f aca="false">IF(E325="","",E325/(E325+H325))</f>
        <v>0.504846526655897</v>
      </c>
      <c r="L325" s="52" t="n">
        <f aca="false">IF(OR(K325="",J325=""),"",(J325-K325)*100)</f>
        <v>1.55937249164305</v>
      </c>
      <c r="M325" s="38"/>
    </row>
    <row r="326" customFormat="false" ht="15" hidden="false" customHeight="false" outlineLevel="0" collapsed="false">
      <c r="A326" s="38" t="s">
        <v>344</v>
      </c>
      <c r="B326" s="38" t="s">
        <v>470</v>
      </c>
      <c r="C326" s="38" t="s">
        <v>471</v>
      </c>
      <c r="D326" s="21" t="n">
        <v>706</v>
      </c>
      <c r="E326" s="21" t="n">
        <v>628</v>
      </c>
      <c r="F326" s="51" t="n">
        <f aca="false">IF(E326="","",D326-E326)</f>
        <v>78</v>
      </c>
      <c r="G326" s="21" t="n">
        <v>714</v>
      </c>
      <c r="H326" s="21" t="n">
        <v>719</v>
      </c>
      <c r="I326" s="51" t="n">
        <f aca="false">IF(H326="","",G326-H326)</f>
        <v>-5</v>
      </c>
      <c r="J326" s="39" t="n">
        <f aca="false">IF(OR(D326="",D326+G326=0),"",D326/(D326+G326))</f>
        <v>0.497183098591549</v>
      </c>
      <c r="K326" s="39" t="n">
        <f aca="false">IF(E326="","",E326/(E326+H326))</f>
        <v>0.466221232368226</v>
      </c>
      <c r="L326" s="52" t="n">
        <f aca="false">IF(OR(K326="",J326=""),"",(J326-K326)*100)</f>
        <v>3.09618662233236</v>
      </c>
      <c r="M326" s="38"/>
    </row>
    <row r="327" customFormat="false" ht="15" hidden="false" customHeight="false" outlineLevel="0" collapsed="false">
      <c r="A327" s="38" t="s">
        <v>344</v>
      </c>
      <c r="B327" s="38" t="s">
        <v>470</v>
      </c>
      <c r="C327" s="38" t="s">
        <v>472</v>
      </c>
      <c r="D327" s="21" t="n">
        <v>610</v>
      </c>
      <c r="E327" s="21" t="n">
        <v>588</v>
      </c>
      <c r="F327" s="51" t="n">
        <f aca="false">IF(E327="","",D327-E327)</f>
        <v>22</v>
      </c>
      <c r="G327" s="21" t="n">
        <v>592</v>
      </c>
      <c r="H327" s="21" t="n">
        <v>628</v>
      </c>
      <c r="I327" s="51" t="n">
        <f aca="false">IF(H327="","",G327-H327)</f>
        <v>-36</v>
      </c>
      <c r="J327" s="39" t="n">
        <f aca="false">IF(OR(D327="",D327+G327=0),"",D327/(D327+G327))</f>
        <v>0.507487520798669</v>
      </c>
      <c r="K327" s="39" t="n">
        <f aca="false">IF(E327="","",E327/(E327+H327))</f>
        <v>0.483552631578947</v>
      </c>
      <c r="L327" s="52" t="n">
        <f aca="false">IF(OR(K327="",J327=""),"",(J327-K327)*100)</f>
        <v>2.39348892197215</v>
      </c>
      <c r="M327" s="38"/>
    </row>
    <row r="328" customFormat="false" ht="15" hidden="false" customHeight="false" outlineLevel="0" collapsed="false">
      <c r="A328" s="38" t="s">
        <v>344</v>
      </c>
      <c r="B328" s="38" t="s">
        <v>470</v>
      </c>
      <c r="C328" s="38" t="s">
        <v>473</v>
      </c>
      <c r="D328" s="21" t="n">
        <v>1300</v>
      </c>
      <c r="E328" s="21" t="n">
        <v>1120</v>
      </c>
      <c r="F328" s="51" t="n">
        <f aca="false">IF(E328="","",D328-E328)</f>
        <v>180</v>
      </c>
      <c r="G328" s="21" t="n">
        <v>1291</v>
      </c>
      <c r="H328" s="21" t="n">
        <v>1352</v>
      </c>
      <c r="I328" s="51" t="n">
        <f aca="false">IF(H328="","",G328-H328)</f>
        <v>-61</v>
      </c>
      <c r="J328" s="39" t="n">
        <f aca="false">IF(OR(D328="",D328+G328=0),"",D328/(D328+G328))</f>
        <v>0.501736781165573</v>
      </c>
      <c r="K328" s="39" t="n">
        <f aca="false">IF(E328="","",E328/(E328+H328))</f>
        <v>0.453074433656958</v>
      </c>
      <c r="L328" s="52" t="n">
        <f aca="false">IF(OR(K328="",J328=""),"",(J328-K328)*100)</f>
        <v>4.86623475086153</v>
      </c>
      <c r="M328" s="38"/>
    </row>
    <row r="329" customFormat="false" ht="15" hidden="false" customHeight="false" outlineLevel="0" collapsed="false">
      <c r="A329" s="38" t="s">
        <v>344</v>
      </c>
      <c r="B329" s="38" t="s">
        <v>470</v>
      </c>
      <c r="C329" s="38" t="s">
        <v>474</v>
      </c>
      <c r="D329" s="21" t="n">
        <v>276</v>
      </c>
      <c r="E329" s="21" t="n">
        <v>237</v>
      </c>
      <c r="F329" s="51" t="n">
        <f aca="false">IF(E329="","",D329-E329)</f>
        <v>39</v>
      </c>
      <c r="G329" s="21" t="n">
        <v>291</v>
      </c>
      <c r="H329" s="21" t="n">
        <v>324</v>
      </c>
      <c r="I329" s="51" t="n">
        <f aca="false">IF(H329="","",G329-H329)</f>
        <v>-33</v>
      </c>
      <c r="J329" s="39" t="n">
        <f aca="false">IF(OR(D329="",D329+G329=0),"",D329/(D329+G329))</f>
        <v>0.486772486772487</v>
      </c>
      <c r="K329" s="39" t="n">
        <f aca="false">IF(E329="","",E329/(E329+H329))</f>
        <v>0.422459893048128</v>
      </c>
      <c r="L329" s="52" t="n">
        <f aca="false">IF(OR(K329="",J329=""),"",(J329-K329)*100)</f>
        <v>6.43125937243584</v>
      </c>
      <c r="M329" s="38"/>
    </row>
    <row r="330" customFormat="false" ht="15" hidden="false" customHeight="false" outlineLevel="0" collapsed="false">
      <c r="A330" s="38" t="s">
        <v>344</v>
      </c>
      <c r="B330" s="38" t="s">
        <v>475</v>
      </c>
      <c r="C330" s="38" t="s">
        <v>476</v>
      </c>
      <c r="D330" s="21" t="n">
        <v>721</v>
      </c>
      <c r="E330" s="21" t="n">
        <v>600</v>
      </c>
      <c r="F330" s="51" t="n">
        <f aca="false">IF(E330="","",D330-E330)</f>
        <v>121</v>
      </c>
      <c r="G330" s="21" t="n">
        <v>671</v>
      </c>
      <c r="H330" s="21" t="n">
        <v>681</v>
      </c>
      <c r="I330" s="51" t="n">
        <f aca="false">IF(H330="","",G330-H330)</f>
        <v>-10</v>
      </c>
      <c r="J330" s="39" t="n">
        <f aca="false">IF(OR(D330="",D330+G330=0),"",D330/(D330+G330))</f>
        <v>0.517959770114943</v>
      </c>
      <c r="K330" s="39" t="n">
        <f aca="false">IF(E330="","",E330/(E330+H330))</f>
        <v>0.468384074941452</v>
      </c>
      <c r="L330" s="52" t="n">
        <f aca="false">IF(OR(K330="",J330=""),"",(J330-K330)*100)</f>
        <v>4.95756951734905</v>
      </c>
      <c r="M330" s="38"/>
    </row>
    <row r="331" customFormat="false" ht="15" hidden="false" customHeight="false" outlineLevel="0" collapsed="false">
      <c r="A331" s="38" t="s">
        <v>344</v>
      </c>
      <c r="B331" s="38" t="s">
        <v>475</v>
      </c>
      <c r="C331" s="38" t="s">
        <v>477</v>
      </c>
      <c r="D331" s="21" t="n">
        <v>551</v>
      </c>
      <c r="E331" s="21"/>
      <c r="F331" s="51" t="str">
        <f aca="false">IF(E331="","",D331-E331)</f>
        <v/>
      </c>
      <c r="G331" s="21" t="n">
        <v>470</v>
      </c>
      <c r="H331" s="21"/>
      <c r="I331" s="51" t="str">
        <f aca="false">IF(H331="","",G331-H331)</f>
        <v/>
      </c>
      <c r="J331" s="39" t="n">
        <f aca="false">IF(OR(D331="",D331+G331=0),"",D331/(D331+G331))</f>
        <v>0.539666993143977</v>
      </c>
      <c r="K331" s="39" t="str">
        <f aca="false">IF(E331="","",E331/(E331+H331))</f>
        <v/>
      </c>
      <c r="L331" s="52" t="str">
        <f aca="false">IF(OR(K331="",J331=""),"",(J331-K331)*100)</f>
        <v/>
      </c>
      <c r="M331" s="38" t="s">
        <v>691</v>
      </c>
    </row>
    <row r="332" customFormat="false" ht="15" hidden="false" customHeight="false" outlineLevel="0" collapsed="false">
      <c r="A332" s="38" t="s">
        <v>344</v>
      </c>
      <c r="B332" s="38" t="s">
        <v>475</v>
      </c>
      <c r="C332" s="38" t="s">
        <v>478</v>
      </c>
      <c r="D332" s="21" t="n">
        <v>820</v>
      </c>
      <c r="E332" s="21"/>
      <c r="F332" s="51" t="str">
        <f aca="false">IF(E332="","",D332-E332)</f>
        <v/>
      </c>
      <c r="G332" s="21" t="n">
        <v>722</v>
      </c>
      <c r="H332" s="21"/>
      <c r="I332" s="51" t="str">
        <f aca="false">IF(H332="","",G332-H332)</f>
        <v/>
      </c>
      <c r="J332" s="39" t="n">
        <f aca="false">IF(OR(D332="",D332+G332=0),"",D332/(D332+G332))</f>
        <v>0.53177691309987</v>
      </c>
      <c r="K332" s="39" t="str">
        <f aca="false">IF(E332="","",E332/(E332+H332))</f>
        <v/>
      </c>
      <c r="L332" s="52" t="str">
        <f aca="false">IF(OR(K332="",J332=""),"",(J332-K332)*100)</f>
        <v/>
      </c>
      <c r="M332" s="38" t="s">
        <v>691</v>
      </c>
    </row>
    <row r="333" customFormat="false" ht="15" hidden="false" customHeight="false" outlineLevel="0" collapsed="false">
      <c r="A333" s="38" t="s">
        <v>344</v>
      </c>
      <c r="B333" s="38" t="s">
        <v>475</v>
      </c>
      <c r="C333" s="38" t="s">
        <v>479</v>
      </c>
      <c r="D333" s="21" t="n">
        <v>915</v>
      </c>
      <c r="E333" s="21" t="n">
        <v>824</v>
      </c>
      <c r="F333" s="51" t="n">
        <f aca="false">IF(E333="","",D333-E333)</f>
        <v>91</v>
      </c>
      <c r="G333" s="21" t="n">
        <v>768</v>
      </c>
      <c r="H333" s="21" t="n">
        <v>795</v>
      </c>
      <c r="I333" s="51" t="n">
        <f aca="false">IF(H333="","",G333-H333)</f>
        <v>-27</v>
      </c>
      <c r="J333" s="39" t="n">
        <f aca="false">IF(OR(D333="",D333+G333=0),"",D333/(D333+G333))</f>
        <v>0.54367201426025</v>
      </c>
      <c r="K333" s="39" t="n">
        <f aca="false">IF(E333="","",E333/(E333+H333))</f>
        <v>0.508956145768993</v>
      </c>
      <c r="L333" s="52" t="n">
        <f aca="false">IF(OR(K333="",J333=""),"",(J333-K333)*100)</f>
        <v>3.47158684912564</v>
      </c>
      <c r="M333" s="38"/>
    </row>
    <row r="334" customFormat="false" ht="15" hidden="false" customHeight="false" outlineLevel="0" collapsed="false">
      <c r="A334" s="38" t="s">
        <v>344</v>
      </c>
      <c r="B334" s="38" t="s">
        <v>475</v>
      </c>
      <c r="C334" s="38" t="s">
        <v>480</v>
      </c>
      <c r="D334" s="21" t="n">
        <v>1325</v>
      </c>
      <c r="E334" s="21" t="n">
        <v>1193</v>
      </c>
      <c r="F334" s="51" t="n">
        <f aca="false">IF(E334="","",D334-E334)</f>
        <v>132</v>
      </c>
      <c r="G334" s="21" t="n">
        <v>1254</v>
      </c>
      <c r="H334" s="21" t="n">
        <v>1334</v>
      </c>
      <c r="I334" s="51" t="n">
        <f aca="false">IF(H334="","",G334-H334)</f>
        <v>-80</v>
      </c>
      <c r="J334" s="39" t="n">
        <f aca="false">IF(OR(D334="",D334+G334=0),"",D334/(D334+G334))</f>
        <v>0.513765025203567</v>
      </c>
      <c r="K334" s="39" t="n">
        <f aca="false">IF(E334="","",E334/(E334+H334))</f>
        <v>0.47210130589632</v>
      </c>
      <c r="L334" s="52" t="n">
        <f aca="false">IF(OR(K334="",J334=""),"",(J334-K334)*100)</f>
        <v>4.16637193072475</v>
      </c>
      <c r="M334" s="38"/>
    </row>
    <row r="335" customFormat="false" ht="15" hidden="false" customHeight="false" outlineLevel="0" collapsed="false">
      <c r="A335" s="38" t="s">
        <v>344</v>
      </c>
      <c r="B335" s="38" t="s">
        <v>475</v>
      </c>
      <c r="C335" s="38" t="s">
        <v>481</v>
      </c>
      <c r="D335" s="21" t="n">
        <v>847</v>
      </c>
      <c r="E335" s="21" t="n">
        <v>755</v>
      </c>
      <c r="F335" s="51" t="n">
        <f aca="false">IF(E335="","",D335-E335)</f>
        <v>92</v>
      </c>
      <c r="G335" s="21" t="n">
        <v>824</v>
      </c>
      <c r="H335" s="21" t="n">
        <v>789</v>
      </c>
      <c r="I335" s="51" t="n">
        <f aca="false">IF(H335="","",G335-H335)</f>
        <v>35</v>
      </c>
      <c r="J335" s="39" t="n">
        <f aca="false">IF(OR(D335="",D335+G335=0),"",D335/(D335+G335))</f>
        <v>0.50688210652304</v>
      </c>
      <c r="K335" s="39" t="n">
        <f aca="false">IF(E335="","",E335/(E335+H335))</f>
        <v>0.4889896373057</v>
      </c>
      <c r="L335" s="52" t="n">
        <f aca="false">IF(OR(K335="",J335=""),"",(J335-K335)*100)</f>
        <v>1.78924692173406</v>
      </c>
      <c r="M335" s="38"/>
    </row>
    <row r="336" customFormat="false" ht="15" hidden="false" customHeight="false" outlineLevel="0" collapsed="false">
      <c r="A336" s="38" t="s">
        <v>344</v>
      </c>
      <c r="B336" s="38" t="s">
        <v>475</v>
      </c>
      <c r="C336" s="38" t="s">
        <v>482</v>
      </c>
      <c r="D336" s="21" t="n">
        <v>809</v>
      </c>
      <c r="E336" s="21"/>
      <c r="F336" s="51" t="str">
        <f aca="false">IF(E336="","",D336-E336)</f>
        <v/>
      </c>
      <c r="G336" s="21" t="n">
        <v>606</v>
      </c>
      <c r="H336" s="21"/>
      <c r="I336" s="51" t="str">
        <f aca="false">IF(H336="","",G336-H336)</f>
        <v/>
      </c>
      <c r="J336" s="39" t="n">
        <f aca="false">IF(OR(D336="",D336+G336=0),"",D336/(D336+G336))</f>
        <v>0.571731448763251</v>
      </c>
      <c r="K336" s="39" t="str">
        <f aca="false">IF(E336="","",E336/(E336+H336))</f>
        <v/>
      </c>
      <c r="L336" s="52" t="str">
        <f aca="false">IF(OR(K336="",J336=""),"",(J336-K336)*100)</f>
        <v/>
      </c>
      <c r="M336" s="38" t="s">
        <v>691</v>
      </c>
    </row>
    <row r="337" customFormat="false" ht="15" hidden="false" customHeight="false" outlineLevel="0" collapsed="false">
      <c r="A337" s="38" t="s">
        <v>344</v>
      </c>
      <c r="B337" s="38" t="s">
        <v>475</v>
      </c>
      <c r="C337" s="38" t="s">
        <v>483</v>
      </c>
      <c r="D337" s="21" t="n">
        <v>773</v>
      </c>
      <c r="E337" s="21"/>
      <c r="F337" s="51" t="str">
        <f aca="false">IF(E337="","",D337-E337)</f>
        <v/>
      </c>
      <c r="G337" s="21" t="n">
        <v>766</v>
      </c>
      <c r="H337" s="21"/>
      <c r="I337" s="51" t="str">
        <f aca="false">IF(H337="","",G337-H337)</f>
        <v/>
      </c>
      <c r="J337" s="39" t="n">
        <f aca="false">IF(OR(D337="",D337+G337=0),"",D337/(D337+G337))</f>
        <v>0.50227420402859</v>
      </c>
      <c r="K337" s="39" t="str">
        <f aca="false">IF(E337="","",E337/(E337+H337))</f>
        <v/>
      </c>
      <c r="L337" s="52" t="str">
        <f aca="false">IF(OR(K337="",J337=""),"",(J337-K337)*100)</f>
        <v/>
      </c>
      <c r="M337" s="38" t="s">
        <v>691</v>
      </c>
    </row>
    <row r="338" customFormat="false" ht="15" hidden="false" customHeight="false" outlineLevel="0" collapsed="false">
      <c r="A338" s="38" t="s">
        <v>344</v>
      </c>
      <c r="B338" s="38" t="s">
        <v>475</v>
      </c>
      <c r="C338" s="38" t="s">
        <v>484</v>
      </c>
      <c r="D338" s="21" t="n">
        <v>840</v>
      </c>
      <c r="E338" s="21"/>
      <c r="F338" s="51" t="str">
        <f aca="false">IF(E338="","",D338-E338)</f>
        <v/>
      </c>
      <c r="G338" s="21" t="n">
        <v>896</v>
      </c>
      <c r="H338" s="21"/>
      <c r="I338" s="51" t="str">
        <f aca="false">IF(H338="","",G338-H338)</f>
        <v/>
      </c>
      <c r="J338" s="39" t="n">
        <f aca="false">IF(OR(D338="",D338+G338=0),"",D338/(D338+G338))</f>
        <v>0.483870967741936</v>
      </c>
      <c r="K338" s="39" t="str">
        <f aca="false">IF(E338="","",E338/(E338+H338))</f>
        <v/>
      </c>
      <c r="L338" s="52" t="str">
        <f aca="false">IF(OR(K338="",J338=""),"",(J338-K338)*100)</f>
        <v/>
      </c>
      <c r="M338" s="38" t="s">
        <v>691</v>
      </c>
    </row>
    <row r="339" customFormat="false" ht="15" hidden="false" customHeight="false" outlineLevel="0" collapsed="false">
      <c r="A339" s="38" t="s">
        <v>344</v>
      </c>
      <c r="B339" s="38" t="s">
        <v>485</v>
      </c>
      <c r="C339" s="38" t="s">
        <v>486</v>
      </c>
      <c r="D339" s="21" t="n">
        <v>112</v>
      </c>
      <c r="E339" s="21" t="n">
        <v>112</v>
      </c>
      <c r="F339" s="51" t="n">
        <f aca="false">IF(E339="","",D339-E339)</f>
        <v>0</v>
      </c>
      <c r="G339" s="21" t="n">
        <v>180</v>
      </c>
      <c r="H339" s="21" t="n">
        <v>199</v>
      </c>
      <c r="I339" s="51" t="n">
        <f aca="false">IF(H339="","",G339-H339)</f>
        <v>-19</v>
      </c>
      <c r="J339" s="39" t="n">
        <f aca="false">IF(OR(D339="",D339+G339=0),"",D339/(D339+G339))</f>
        <v>0.383561643835616</v>
      </c>
      <c r="K339" s="39" t="n">
        <f aca="false">IF(E339="","",E339/(E339+H339))</f>
        <v>0.360128617363344</v>
      </c>
      <c r="L339" s="52" t="n">
        <f aca="false">IF(OR(K339="",J339=""),"",(J339-K339)*100)</f>
        <v>2.34330264722724</v>
      </c>
      <c r="M339" s="38"/>
    </row>
    <row r="340" customFormat="false" ht="15" hidden="false" customHeight="false" outlineLevel="0" collapsed="false">
      <c r="A340" s="38" t="s">
        <v>344</v>
      </c>
      <c r="B340" s="38" t="s">
        <v>485</v>
      </c>
      <c r="C340" s="38" t="s">
        <v>487</v>
      </c>
      <c r="D340" s="21" t="n">
        <v>278</v>
      </c>
      <c r="E340" s="21" t="n">
        <v>259</v>
      </c>
      <c r="F340" s="51" t="n">
        <f aca="false">IF(E340="","",D340-E340)</f>
        <v>19</v>
      </c>
      <c r="G340" s="21" t="n">
        <v>480</v>
      </c>
      <c r="H340" s="21" t="n">
        <v>480</v>
      </c>
      <c r="I340" s="51" t="n">
        <f aca="false">IF(H340="","",G340-H340)</f>
        <v>0</v>
      </c>
      <c r="J340" s="39" t="n">
        <f aca="false">IF(OR(D340="",D340+G340=0),"",D340/(D340+G340))</f>
        <v>0.366754617414248</v>
      </c>
      <c r="K340" s="39" t="n">
        <f aca="false">IF(E340="","",E340/(E340+H340))</f>
        <v>0.350473612990528</v>
      </c>
      <c r="L340" s="52" t="n">
        <f aca="false">IF(OR(K340="",J340=""),"",(J340-K340)*100)</f>
        <v>1.62810044237203</v>
      </c>
      <c r="M340" s="38"/>
    </row>
    <row r="341" customFormat="false" ht="15" hidden="false" customHeight="false" outlineLevel="0" collapsed="false">
      <c r="A341" s="38" t="s">
        <v>344</v>
      </c>
      <c r="B341" s="38" t="s">
        <v>485</v>
      </c>
      <c r="C341" s="38" t="s">
        <v>488</v>
      </c>
      <c r="D341" s="21" t="n">
        <v>217</v>
      </c>
      <c r="E341" s="21" t="n">
        <v>204</v>
      </c>
      <c r="F341" s="51" t="n">
        <f aca="false">IF(E341="","",D341-E341)</f>
        <v>13</v>
      </c>
      <c r="G341" s="21" t="n">
        <v>289</v>
      </c>
      <c r="H341" s="21" t="n">
        <v>301</v>
      </c>
      <c r="I341" s="51" t="n">
        <f aca="false">IF(H341="","",G341-H341)</f>
        <v>-12</v>
      </c>
      <c r="J341" s="39" t="n">
        <f aca="false">IF(OR(D341="",D341+G341=0),"",D341/(D341+G341))</f>
        <v>0.428853754940712</v>
      </c>
      <c r="K341" s="39" t="n">
        <f aca="false">IF(E341="","",E341/(E341+H341))</f>
        <v>0.403960396039604</v>
      </c>
      <c r="L341" s="52" t="n">
        <f aca="false">IF(OR(K341="",J341=""),"",(J341-K341)*100)</f>
        <v>2.48933589011075</v>
      </c>
      <c r="M341" s="38"/>
    </row>
    <row r="342" customFormat="false" ht="15" hidden="false" customHeight="false" outlineLevel="0" collapsed="false">
      <c r="A342" s="38" t="s">
        <v>344</v>
      </c>
      <c r="B342" s="38" t="s">
        <v>485</v>
      </c>
      <c r="C342" s="38" t="s">
        <v>489</v>
      </c>
      <c r="D342" s="21" t="n">
        <v>145</v>
      </c>
      <c r="E342" s="21" t="n">
        <v>128</v>
      </c>
      <c r="F342" s="51" t="n">
        <f aca="false">IF(E342="","",D342-E342)</f>
        <v>17</v>
      </c>
      <c r="G342" s="21" t="n">
        <v>184</v>
      </c>
      <c r="H342" s="21" t="n">
        <v>200</v>
      </c>
      <c r="I342" s="51" t="n">
        <f aca="false">IF(H342="","",G342-H342)</f>
        <v>-16</v>
      </c>
      <c r="J342" s="39" t="n">
        <f aca="false">IF(OR(D342="",D342+G342=0),"",D342/(D342+G342))</f>
        <v>0.440729483282675</v>
      </c>
      <c r="K342" s="39" t="n">
        <f aca="false">IF(E342="","",E342/(E342+H342))</f>
        <v>0.390243902439024</v>
      </c>
      <c r="L342" s="52" t="n">
        <f aca="false">IF(OR(K342="",J342=""),"",(J342-K342)*100)</f>
        <v>5.04855808436504</v>
      </c>
      <c r="M342" s="38"/>
    </row>
    <row r="343" customFormat="false" ht="15" hidden="false" customHeight="false" outlineLevel="0" collapsed="false">
      <c r="A343" s="38" t="s">
        <v>344</v>
      </c>
      <c r="B343" s="38" t="s">
        <v>490</v>
      </c>
      <c r="C343" s="38" t="s">
        <v>491</v>
      </c>
      <c r="D343" s="21" t="n">
        <v>446</v>
      </c>
      <c r="E343" s="21" t="n">
        <v>412</v>
      </c>
      <c r="F343" s="51" t="n">
        <f aca="false">IF(E343="","",D343-E343)</f>
        <v>34</v>
      </c>
      <c r="G343" s="21" t="n">
        <v>821</v>
      </c>
      <c r="H343" s="21" t="n">
        <v>767</v>
      </c>
      <c r="I343" s="51" t="n">
        <f aca="false">IF(H343="","",G343-H343)</f>
        <v>54</v>
      </c>
      <c r="J343" s="39" t="n">
        <f aca="false">IF(OR(D343="",D343+G343=0),"",D343/(D343+G343))</f>
        <v>0.352012628255722</v>
      </c>
      <c r="K343" s="39" t="n">
        <f aca="false">IF(E343="","",E343/(E343+H343))</f>
        <v>0.349448685326548</v>
      </c>
      <c r="L343" s="52" t="n">
        <f aca="false">IF(OR(K343="",J343=""),"",(J343-K343)*100)</f>
        <v>0.256394292917422</v>
      </c>
      <c r="M343" s="38"/>
    </row>
    <row r="344" customFormat="false" ht="15" hidden="false" customHeight="false" outlineLevel="0" collapsed="false">
      <c r="A344" s="38" t="s">
        <v>344</v>
      </c>
      <c r="B344" s="38" t="s">
        <v>490</v>
      </c>
      <c r="C344" s="38" t="s">
        <v>492</v>
      </c>
      <c r="D344" s="21" t="n">
        <v>367</v>
      </c>
      <c r="E344" s="21" t="n">
        <v>361</v>
      </c>
      <c r="F344" s="51" t="n">
        <f aca="false">IF(E344="","",D344-E344)</f>
        <v>6</v>
      </c>
      <c r="G344" s="21" t="n">
        <v>659</v>
      </c>
      <c r="H344" s="21" t="n">
        <v>633</v>
      </c>
      <c r="I344" s="51" t="n">
        <f aca="false">IF(H344="","",G344-H344)</f>
        <v>26</v>
      </c>
      <c r="J344" s="39" t="n">
        <f aca="false">IF(OR(D344="",D344+G344=0),"",D344/(D344+G344))</f>
        <v>0.357699805068226</v>
      </c>
      <c r="K344" s="39" t="n">
        <f aca="false">IF(E344="","",E344/(E344+H344))</f>
        <v>0.36317907444668</v>
      </c>
      <c r="L344" s="52" t="n">
        <f aca="false">IF(OR(K344="",J344=""),"",(J344-K344)*100)</f>
        <v>-0.547926937845394</v>
      </c>
      <c r="M344" s="38"/>
    </row>
    <row r="345" customFormat="false" ht="15" hidden="false" customHeight="false" outlineLevel="0" collapsed="false">
      <c r="A345" s="38" t="s">
        <v>344</v>
      </c>
      <c r="B345" s="38" t="s">
        <v>490</v>
      </c>
      <c r="C345" s="38" t="s">
        <v>493</v>
      </c>
      <c r="D345" s="21" t="n">
        <v>333</v>
      </c>
      <c r="E345" s="21" t="n">
        <v>286</v>
      </c>
      <c r="F345" s="51" t="n">
        <f aca="false">IF(E345="","",D345-E345)</f>
        <v>47</v>
      </c>
      <c r="G345" s="21" t="n">
        <v>620</v>
      </c>
      <c r="H345" s="21" t="n">
        <v>553</v>
      </c>
      <c r="I345" s="51" t="n">
        <f aca="false">IF(H345="","",G345-H345)</f>
        <v>67</v>
      </c>
      <c r="J345" s="39" t="n">
        <f aca="false">IF(OR(D345="",D345+G345=0),"",D345/(D345+G345))</f>
        <v>0.349422875131165</v>
      </c>
      <c r="K345" s="39" t="n">
        <f aca="false">IF(E345="","",E345/(E345+H345))</f>
        <v>0.34088200238379</v>
      </c>
      <c r="L345" s="52" t="n">
        <f aca="false">IF(OR(K345="",J345=""),"",(J345-K345)*100)</f>
        <v>0.854087274737453</v>
      </c>
      <c r="M345" s="38"/>
    </row>
    <row r="346" customFormat="false" ht="15" hidden="false" customHeight="false" outlineLevel="0" collapsed="false">
      <c r="A346" s="38" t="s">
        <v>344</v>
      </c>
      <c r="B346" s="38" t="s">
        <v>490</v>
      </c>
      <c r="C346" s="38" t="s">
        <v>494</v>
      </c>
      <c r="D346" s="21" t="n">
        <v>348</v>
      </c>
      <c r="E346" s="21" t="n">
        <v>302</v>
      </c>
      <c r="F346" s="51" t="n">
        <f aca="false">IF(E346="","",D346-E346)</f>
        <v>46</v>
      </c>
      <c r="G346" s="21" t="n">
        <v>650</v>
      </c>
      <c r="H346" s="21" t="n">
        <v>608</v>
      </c>
      <c r="I346" s="51" t="n">
        <f aca="false">IF(H346="","",G346-H346)</f>
        <v>42</v>
      </c>
      <c r="J346" s="39" t="n">
        <f aca="false">IF(OR(D346="",D346+G346=0),"",D346/(D346+G346))</f>
        <v>0.348697394789579</v>
      </c>
      <c r="K346" s="39" t="n">
        <f aca="false">IF(E346="","",E346/(E346+H346))</f>
        <v>0.331868131868132</v>
      </c>
      <c r="L346" s="52" t="n">
        <f aca="false">IF(OR(K346="",J346=""),"",(J346-K346)*100)</f>
        <v>1.68292629214473</v>
      </c>
      <c r="M346" s="38"/>
    </row>
    <row r="347" customFormat="false" ht="15" hidden="false" customHeight="false" outlineLevel="0" collapsed="false">
      <c r="A347" s="38" t="s">
        <v>344</v>
      </c>
      <c r="B347" s="38" t="s">
        <v>495</v>
      </c>
      <c r="C347" s="38" t="s">
        <v>496</v>
      </c>
      <c r="D347" s="21" t="n">
        <v>85</v>
      </c>
      <c r="E347" s="21" t="n">
        <v>92</v>
      </c>
      <c r="F347" s="51" t="n">
        <f aca="false">IF(E347="","",D347-E347)</f>
        <v>-7</v>
      </c>
      <c r="G347" s="21" t="n">
        <v>171</v>
      </c>
      <c r="H347" s="21" t="n">
        <v>167</v>
      </c>
      <c r="I347" s="51" t="n">
        <f aca="false">IF(H347="","",G347-H347)</f>
        <v>4</v>
      </c>
      <c r="J347" s="39" t="n">
        <f aca="false">IF(OR(D347="",D347+G347=0),"",D347/(D347+G347))</f>
        <v>0.33203125</v>
      </c>
      <c r="K347" s="39" t="n">
        <f aca="false">IF(E347="","",E347/(E347+H347))</f>
        <v>0.355212355212355</v>
      </c>
      <c r="L347" s="52" t="n">
        <f aca="false">IF(OR(K347="",J347=""),"",(J347-K347)*100)</f>
        <v>-2.31811052123552</v>
      </c>
      <c r="M347" s="38"/>
    </row>
    <row r="348" customFormat="false" ht="15" hidden="false" customHeight="false" outlineLevel="0" collapsed="false">
      <c r="A348" s="38" t="s">
        <v>344</v>
      </c>
      <c r="B348" s="38" t="s">
        <v>497</v>
      </c>
      <c r="C348" s="38" t="s">
        <v>498</v>
      </c>
      <c r="D348" s="21" t="n">
        <v>390</v>
      </c>
      <c r="E348" s="21" t="n">
        <v>335</v>
      </c>
      <c r="F348" s="51" t="n">
        <f aca="false">IF(E348="","",D348-E348)</f>
        <v>55</v>
      </c>
      <c r="G348" s="21" t="n">
        <v>565</v>
      </c>
      <c r="H348" s="21" t="n">
        <v>581</v>
      </c>
      <c r="I348" s="51" t="n">
        <f aca="false">IF(H348="","",G348-H348)</f>
        <v>-16</v>
      </c>
      <c r="J348" s="39" t="n">
        <f aca="false">IF(OR(D348="",D348+G348=0),"",D348/(D348+G348))</f>
        <v>0.408376963350785</v>
      </c>
      <c r="K348" s="39" t="n">
        <f aca="false">IF(E348="","",E348/(E348+H348))</f>
        <v>0.365720524017467</v>
      </c>
      <c r="L348" s="52" t="n">
        <f aca="false">IF(OR(K348="",J348=""),"",(J348-K348)*100)</f>
        <v>4.26564393333181</v>
      </c>
      <c r="M348" s="38"/>
    </row>
    <row r="349" customFormat="false" ht="15" hidden="false" customHeight="false" outlineLevel="0" collapsed="false">
      <c r="A349" s="38" t="s">
        <v>344</v>
      </c>
      <c r="B349" s="38" t="s">
        <v>499</v>
      </c>
      <c r="C349" s="38" t="s">
        <v>500</v>
      </c>
      <c r="D349" s="21" t="n">
        <v>232</v>
      </c>
      <c r="E349" s="21" t="n">
        <v>210</v>
      </c>
      <c r="F349" s="51" t="n">
        <f aca="false">IF(E349="","",D349-E349)</f>
        <v>22</v>
      </c>
      <c r="G349" s="21" t="n">
        <v>306</v>
      </c>
      <c r="H349" s="21" t="n">
        <v>309</v>
      </c>
      <c r="I349" s="51" t="n">
        <f aca="false">IF(H349="","",G349-H349)</f>
        <v>-3</v>
      </c>
      <c r="J349" s="39" t="n">
        <f aca="false">IF(OR(D349="",D349+G349=0),"",D349/(D349+G349))</f>
        <v>0.431226765799257</v>
      </c>
      <c r="K349" s="39" t="n">
        <f aca="false">IF(E349="","",E349/(E349+H349))</f>
        <v>0.404624277456647</v>
      </c>
      <c r="L349" s="52" t="n">
        <f aca="false">IF(OR(K349="",J349=""),"",(J349-K349)*100)</f>
        <v>2.66024883426091</v>
      </c>
      <c r="M349" s="38"/>
    </row>
    <row r="350" customFormat="false" ht="15" hidden="false" customHeight="false" outlineLevel="0" collapsed="false">
      <c r="A350" s="38" t="s">
        <v>344</v>
      </c>
      <c r="B350" s="38" t="s">
        <v>501</v>
      </c>
      <c r="C350" s="38" t="s">
        <v>502</v>
      </c>
      <c r="D350" s="21" t="n">
        <v>357</v>
      </c>
      <c r="E350" s="21" t="n">
        <v>331</v>
      </c>
      <c r="F350" s="51" t="n">
        <f aca="false">IF(E350="","",D350-E350)</f>
        <v>26</v>
      </c>
      <c r="G350" s="21" t="n">
        <v>414</v>
      </c>
      <c r="H350" s="21" t="n">
        <v>458</v>
      </c>
      <c r="I350" s="51" t="n">
        <f aca="false">IF(H350="","",G350-H350)</f>
        <v>-44</v>
      </c>
      <c r="J350" s="39" t="n">
        <f aca="false">IF(OR(D350="",D350+G350=0),"",D350/(D350+G350))</f>
        <v>0.463035019455253</v>
      </c>
      <c r="K350" s="39" t="n">
        <f aca="false">IF(E350="","",E350/(E350+H350))</f>
        <v>0.419518377693283</v>
      </c>
      <c r="L350" s="52" t="n">
        <f aca="false">IF(OR(K350="",J350=""),"",(J350-K350)*100)</f>
        <v>4.35166417619703</v>
      </c>
      <c r="M350" s="38"/>
    </row>
    <row r="351" customFormat="false" ht="15" hidden="false" customHeight="false" outlineLevel="0" collapsed="false">
      <c r="A351" s="38" t="s">
        <v>344</v>
      </c>
      <c r="B351" s="38" t="s">
        <v>503</v>
      </c>
      <c r="C351" s="38" t="s">
        <v>504</v>
      </c>
      <c r="D351" s="21" t="n">
        <v>339</v>
      </c>
      <c r="E351" s="21" t="n">
        <v>307</v>
      </c>
      <c r="F351" s="51" t="n">
        <f aca="false">IF(E351="","",D351-E351)</f>
        <v>32</v>
      </c>
      <c r="G351" s="21" t="n">
        <v>754</v>
      </c>
      <c r="H351" s="21" t="n">
        <v>746</v>
      </c>
      <c r="I351" s="51" t="n">
        <f aca="false">IF(H351="","",G351-H351)</f>
        <v>8</v>
      </c>
      <c r="J351" s="39" t="n">
        <f aca="false">IF(OR(D351="",D351+G351=0),"",D351/(D351+G351))</f>
        <v>0.310155535224154</v>
      </c>
      <c r="K351" s="39" t="n">
        <f aca="false">IF(E351="","",E351/(E351+H351))</f>
        <v>0.291547958214625</v>
      </c>
      <c r="L351" s="52" t="n">
        <f aca="false">IF(OR(K351="",J351=""),"",(J351-K351)*100)</f>
        <v>1.86075770095288</v>
      </c>
      <c r="M351" s="38"/>
    </row>
    <row r="352" customFormat="false" ht="15" hidden="false" customHeight="false" outlineLevel="0" collapsed="false">
      <c r="A352" s="38" t="s">
        <v>344</v>
      </c>
      <c r="B352" s="38" t="s">
        <v>503</v>
      </c>
      <c r="C352" s="38" t="s">
        <v>505</v>
      </c>
      <c r="D352" s="21" t="n">
        <v>260</v>
      </c>
      <c r="E352" s="21" t="n">
        <v>232</v>
      </c>
      <c r="F352" s="51" t="n">
        <f aca="false">IF(E352="","",D352-E352)</f>
        <v>28</v>
      </c>
      <c r="G352" s="21" t="n">
        <v>508</v>
      </c>
      <c r="H352" s="21" t="n">
        <v>487</v>
      </c>
      <c r="I352" s="51" t="n">
        <f aca="false">IF(H352="","",G352-H352)</f>
        <v>21</v>
      </c>
      <c r="J352" s="39" t="n">
        <f aca="false">IF(OR(D352="",D352+G352=0),"",D352/(D352+G352))</f>
        <v>0.338541666666667</v>
      </c>
      <c r="K352" s="39" t="n">
        <f aca="false">IF(E352="","",E352/(E352+H352))</f>
        <v>0.322670375521558</v>
      </c>
      <c r="L352" s="52" t="n">
        <f aca="false">IF(OR(K352="",J352=""),"",(J352-K352)*100)</f>
        <v>1.5871291145109</v>
      </c>
      <c r="M352" s="38"/>
    </row>
    <row r="353" customFormat="false" ht="15" hidden="false" customHeight="false" outlineLevel="0" collapsed="false">
      <c r="A353" s="38" t="s">
        <v>344</v>
      </c>
      <c r="B353" s="38" t="s">
        <v>503</v>
      </c>
      <c r="C353" s="38" t="s">
        <v>506</v>
      </c>
      <c r="D353" s="21" t="n">
        <v>209</v>
      </c>
      <c r="E353" s="21" t="n">
        <v>178</v>
      </c>
      <c r="F353" s="51" t="n">
        <f aca="false">IF(E353="","",D353-E353)</f>
        <v>31</v>
      </c>
      <c r="G353" s="21" t="n">
        <v>450</v>
      </c>
      <c r="H353" s="21" t="n">
        <v>480</v>
      </c>
      <c r="I353" s="51" t="n">
        <f aca="false">IF(H353="","",G353-H353)</f>
        <v>-30</v>
      </c>
      <c r="J353" s="39" t="n">
        <f aca="false">IF(OR(D353="",D353+G353=0),"",D353/(D353+G353))</f>
        <v>0.317147192716237</v>
      </c>
      <c r="K353" s="39" t="n">
        <f aca="false">IF(E353="","",E353/(E353+H353))</f>
        <v>0.270516717325228</v>
      </c>
      <c r="L353" s="52" t="n">
        <f aca="false">IF(OR(K353="",J353=""),"",(J353-K353)*100)</f>
        <v>4.66304753910087</v>
      </c>
      <c r="M353" s="38"/>
    </row>
    <row r="354" customFormat="false" ht="15" hidden="false" customHeight="false" outlineLevel="0" collapsed="false">
      <c r="A354" s="38" t="s">
        <v>344</v>
      </c>
      <c r="B354" s="38" t="s">
        <v>503</v>
      </c>
      <c r="C354" s="38" t="s">
        <v>507</v>
      </c>
      <c r="D354" s="21" t="n">
        <v>212</v>
      </c>
      <c r="E354" s="21" t="n">
        <v>180</v>
      </c>
      <c r="F354" s="51" t="n">
        <f aca="false">IF(E354="","",D354-E354)</f>
        <v>32</v>
      </c>
      <c r="G354" s="21" t="n">
        <v>430</v>
      </c>
      <c r="H354" s="21" t="n">
        <v>430</v>
      </c>
      <c r="I354" s="51" t="n">
        <f aca="false">IF(H354="","",G354-H354)</f>
        <v>0</v>
      </c>
      <c r="J354" s="39" t="n">
        <f aca="false">IF(OR(D354="",D354+G354=0),"",D354/(D354+G354))</f>
        <v>0.330218068535826</v>
      </c>
      <c r="K354" s="39" t="n">
        <f aca="false">IF(E354="","",E354/(E354+H354))</f>
        <v>0.295081967213115</v>
      </c>
      <c r="L354" s="52" t="n">
        <f aca="false">IF(OR(K354="",J354=""),"",(J354-K354)*100)</f>
        <v>3.51361013227108</v>
      </c>
      <c r="M354" s="38"/>
    </row>
    <row r="355" customFormat="false" ht="15" hidden="false" customHeight="false" outlineLevel="0" collapsed="false">
      <c r="A355" s="38" t="s">
        <v>344</v>
      </c>
      <c r="B355" s="38" t="s">
        <v>503</v>
      </c>
      <c r="C355" s="38" t="s">
        <v>508</v>
      </c>
      <c r="D355" s="21" t="n">
        <v>354</v>
      </c>
      <c r="E355" s="21" t="n">
        <v>345</v>
      </c>
      <c r="F355" s="51" t="n">
        <f aca="false">IF(E355="","",D355-E355)</f>
        <v>9</v>
      </c>
      <c r="G355" s="21" t="n">
        <v>596</v>
      </c>
      <c r="H355" s="21" t="n">
        <v>573</v>
      </c>
      <c r="I355" s="51" t="n">
        <f aca="false">IF(H355="","",G355-H355)</f>
        <v>23</v>
      </c>
      <c r="J355" s="39" t="n">
        <f aca="false">IF(OR(D355="",D355+G355=0),"",D355/(D355+G355))</f>
        <v>0.372631578947368</v>
      </c>
      <c r="K355" s="39" t="n">
        <f aca="false">IF(E355="","",E355/(E355+H355))</f>
        <v>0.375816993464052</v>
      </c>
      <c r="L355" s="52" t="n">
        <f aca="false">IF(OR(K355="",J355=""),"",(J355-K355)*100)</f>
        <v>-0.318541451668386</v>
      </c>
      <c r="M355" s="38"/>
    </row>
    <row r="356" customFormat="false" ht="15" hidden="false" customHeight="false" outlineLevel="0" collapsed="false">
      <c r="A356" s="38" t="s">
        <v>344</v>
      </c>
      <c r="B356" s="38" t="s">
        <v>509</v>
      </c>
      <c r="C356" s="38" t="s">
        <v>510</v>
      </c>
      <c r="D356" s="21" t="n">
        <v>1214</v>
      </c>
      <c r="E356" s="21" t="n">
        <v>1084</v>
      </c>
      <c r="F356" s="51" t="n">
        <f aca="false">IF(E356="","",D356-E356)</f>
        <v>130</v>
      </c>
      <c r="G356" s="21" t="n">
        <v>1151</v>
      </c>
      <c r="H356" s="21" t="n">
        <v>1187</v>
      </c>
      <c r="I356" s="51" t="n">
        <f aca="false">IF(H356="","",G356-H356)</f>
        <v>-36</v>
      </c>
      <c r="J356" s="39" t="n">
        <f aca="false">IF(OR(D356="",D356+G356=0),"",D356/(D356+G356))</f>
        <v>0.513319238900634</v>
      </c>
      <c r="K356" s="39" t="n">
        <f aca="false">IF(E356="","",E356/(E356+H356))</f>
        <v>0.477322765301629</v>
      </c>
      <c r="L356" s="52" t="n">
        <f aca="false">IF(OR(K356="",J356=""),"",(J356-K356)*100)</f>
        <v>3.5996473599005</v>
      </c>
      <c r="M356" s="38"/>
    </row>
    <row r="357" customFormat="false" ht="15" hidden="false" customHeight="false" outlineLevel="0" collapsed="false">
      <c r="A357" s="38" t="s">
        <v>344</v>
      </c>
      <c r="B357" s="38" t="s">
        <v>509</v>
      </c>
      <c r="C357" s="38" t="s">
        <v>511</v>
      </c>
      <c r="D357" s="21" t="n">
        <v>386</v>
      </c>
      <c r="E357" s="21"/>
      <c r="F357" s="51" t="str">
        <f aca="false">IF(E357="","",D357-E357)</f>
        <v/>
      </c>
      <c r="G357" s="21" t="n">
        <v>345</v>
      </c>
      <c r="H357" s="21"/>
      <c r="I357" s="51" t="str">
        <f aca="false">IF(H357="","",G357-H357)</f>
        <v/>
      </c>
      <c r="J357" s="39" t="n">
        <f aca="false">IF(OR(D357="",D357+G357=0),"",D357/(D357+G357))</f>
        <v>0.528043775649795</v>
      </c>
      <c r="K357" s="39" t="str">
        <f aca="false">IF(E357="","",E357/(E357+H357))</f>
        <v/>
      </c>
      <c r="L357" s="52" t="str">
        <f aca="false">IF(OR(K357="",J357=""),"",(J357-K357)*100)</f>
        <v/>
      </c>
      <c r="M357" s="38" t="s">
        <v>691</v>
      </c>
    </row>
    <row r="358" customFormat="false" ht="15" hidden="false" customHeight="false" outlineLevel="0" collapsed="false">
      <c r="A358" s="38" t="s">
        <v>344</v>
      </c>
      <c r="B358" s="38" t="s">
        <v>509</v>
      </c>
      <c r="C358" s="38" t="s">
        <v>512</v>
      </c>
      <c r="D358" s="21" t="n">
        <v>933</v>
      </c>
      <c r="E358" s="21" t="n">
        <v>880</v>
      </c>
      <c r="F358" s="51" t="n">
        <f aca="false">IF(E358="","",D358-E358)</f>
        <v>53</v>
      </c>
      <c r="G358" s="21" t="n">
        <v>956</v>
      </c>
      <c r="H358" s="21" t="n">
        <v>960</v>
      </c>
      <c r="I358" s="51" t="n">
        <f aca="false">IF(H358="","",G358-H358)</f>
        <v>-4</v>
      </c>
      <c r="J358" s="39" t="n">
        <f aca="false">IF(OR(D358="",D358+G358=0),"",D358/(D358+G358))</f>
        <v>0.493912122816305</v>
      </c>
      <c r="K358" s="39" t="n">
        <f aca="false">IF(E358="","",E358/(E358+H358))</f>
        <v>0.478260869565217</v>
      </c>
      <c r="L358" s="52" t="n">
        <f aca="false">IF(OR(K358="",J358=""),"",(J358-K358)*100)</f>
        <v>1.56512532510875</v>
      </c>
      <c r="M358" s="38"/>
    </row>
    <row r="359" customFormat="false" ht="15" hidden="false" customHeight="false" outlineLevel="0" collapsed="false">
      <c r="A359" s="38" t="s">
        <v>344</v>
      </c>
      <c r="B359" s="38" t="s">
        <v>509</v>
      </c>
      <c r="C359" s="38" t="s">
        <v>513</v>
      </c>
      <c r="D359" s="21" t="n">
        <v>302</v>
      </c>
      <c r="E359" s="21"/>
      <c r="F359" s="51" t="str">
        <f aca="false">IF(E359="","",D359-E359)</f>
        <v/>
      </c>
      <c r="G359" s="21" t="n">
        <v>255</v>
      </c>
      <c r="H359" s="21"/>
      <c r="I359" s="51" t="str">
        <f aca="false">IF(H359="","",G359-H359)</f>
        <v/>
      </c>
      <c r="J359" s="39" t="n">
        <f aca="false">IF(OR(D359="",D359+G359=0),"",D359/(D359+G359))</f>
        <v>0.542190305206463</v>
      </c>
      <c r="K359" s="39" t="str">
        <f aca="false">IF(E359="","",E359/(E359+H359))</f>
        <v/>
      </c>
      <c r="L359" s="52" t="str">
        <f aca="false">IF(OR(K359="",J359=""),"",(J359-K359)*100)</f>
        <v/>
      </c>
      <c r="M359" s="38" t="s">
        <v>691</v>
      </c>
    </row>
    <row r="360" customFormat="false" ht="15" hidden="false" customHeight="false" outlineLevel="0" collapsed="false">
      <c r="A360" s="38" t="s">
        <v>344</v>
      </c>
      <c r="B360" s="38" t="s">
        <v>514</v>
      </c>
      <c r="C360" s="38" t="s">
        <v>515</v>
      </c>
      <c r="D360" s="21" t="n">
        <v>445</v>
      </c>
      <c r="E360" s="21" t="n">
        <v>416</v>
      </c>
      <c r="F360" s="51" t="n">
        <f aca="false">IF(E360="","",D360-E360)</f>
        <v>29</v>
      </c>
      <c r="G360" s="21" t="n">
        <v>617</v>
      </c>
      <c r="H360" s="21" t="n">
        <v>658</v>
      </c>
      <c r="I360" s="51" t="n">
        <f aca="false">IF(H360="","",G360-H360)</f>
        <v>-41</v>
      </c>
      <c r="J360" s="39" t="n">
        <f aca="false">IF(OR(D360="",D360+G360=0),"",D360/(D360+G360))</f>
        <v>0.419020715630885</v>
      </c>
      <c r="K360" s="39" t="n">
        <f aca="false">IF(E360="","",E360/(E360+H360))</f>
        <v>0.387337057728119</v>
      </c>
      <c r="L360" s="52" t="n">
        <f aca="false">IF(OR(K360="",J360=""),"",(J360-K360)*100)</f>
        <v>3.1683657902766</v>
      </c>
      <c r="M360" s="38"/>
    </row>
    <row r="361" customFormat="false" ht="15" hidden="false" customHeight="false" outlineLevel="0" collapsed="false">
      <c r="A361" s="38" t="s">
        <v>344</v>
      </c>
      <c r="B361" s="38" t="s">
        <v>319</v>
      </c>
      <c r="C361" s="38" t="s">
        <v>516</v>
      </c>
      <c r="D361" s="21" t="n">
        <v>877</v>
      </c>
      <c r="E361" s="21" t="n">
        <v>541</v>
      </c>
      <c r="F361" s="51" t="n">
        <f aca="false">IF(E361="","",D361-E361)</f>
        <v>336</v>
      </c>
      <c r="G361" s="21" t="n">
        <v>1585</v>
      </c>
      <c r="H361" s="21" t="n">
        <v>1106</v>
      </c>
      <c r="I361" s="51" t="n">
        <f aca="false">IF(H361="","",G361-H361)</f>
        <v>479</v>
      </c>
      <c r="J361" s="39" t="n">
        <f aca="false">IF(OR(D361="",D361+G361=0),"",D361/(D361+G361))</f>
        <v>0.35621445978879</v>
      </c>
      <c r="K361" s="39" t="n">
        <f aca="false">IF(E361="","",E361/(E361+H361))</f>
        <v>0.328476017000607</v>
      </c>
      <c r="L361" s="52" t="n">
        <f aca="false">IF(OR(K361="",J361=""),"",(J361-K361)*100)</f>
        <v>2.77384427881824</v>
      </c>
      <c r="M361" s="38"/>
    </row>
    <row r="362" customFormat="false" ht="15" hidden="false" customHeight="false" outlineLevel="0" collapsed="false">
      <c r="A362" s="38" t="s">
        <v>344</v>
      </c>
      <c r="B362" s="38" t="s">
        <v>319</v>
      </c>
      <c r="C362" s="38" t="s">
        <v>517</v>
      </c>
      <c r="D362" s="21" t="n">
        <v>619</v>
      </c>
      <c r="E362" s="21" t="n">
        <v>500</v>
      </c>
      <c r="F362" s="51" t="n">
        <f aca="false">IF(E362="","",D362-E362)</f>
        <v>119</v>
      </c>
      <c r="G362" s="21" t="n">
        <v>1077</v>
      </c>
      <c r="H362" s="21" t="n">
        <v>982</v>
      </c>
      <c r="I362" s="51" t="n">
        <f aca="false">IF(H362="","",G362-H362)</f>
        <v>95</v>
      </c>
      <c r="J362" s="39" t="n">
        <f aca="false">IF(OR(D362="",D362+G362=0),"",D362/(D362+G362))</f>
        <v>0.36497641509434</v>
      </c>
      <c r="K362" s="39" t="n">
        <f aca="false">IF(E362="","",E362/(E362+H362))</f>
        <v>0.337381916329285</v>
      </c>
      <c r="L362" s="52" t="n">
        <f aca="false">IF(OR(K362="",J362=""),"",(J362-K362)*100)</f>
        <v>2.75944987650549</v>
      </c>
      <c r="M362" s="38"/>
    </row>
    <row r="363" customFormat="false" ht="15" hidden="false" customHeight="false" outlineLevel="0" collapsed="false">
      <c r="A363" s="38" t="s">
        <v>344</v>
      </c>
      <c r="B363" s="38" t="s">
        <v>519</v>
      </c>
      <c r="C363" s="38" t="s">
        <v>519</v>
      </c>
      <c r="D363" s="21" t="n">
        <v>296</v>
      </c>
      <c r="E363" s="21" t="n">
        <v>281</v>
      </c>
      <c r="F363" s="51" t="n">
        <f aca="false">IF(E363="","",D363-E363)</f>
        <v>15</v>
      </c>
      <c r="G363" s="21" t="n">
        <v>311</v>
      </c>
      <c r="H363" s="21" t="n">
        <v>310</v>
      </c>
      <c r="I363" s="51" t="n">
        <f aca="false">IF(H363="","",G363-H363)</f>
        <v>1</v>
      </c>
      <c r="J363" s="39" t="n">
        <f aca="false">IF(OR(D363="",D363+G363=0),"",D363/(D363+G363))</f>
        <v>0.487644151565074</v>
      </c>
      <c r="K363" s="39" t="n">
        <f aca="false">IF(E363="","",E363/(E363+H363))</f>
        <v>0.475465313028765</v>
      </c>
      <c r="L363" s="52" t="n">
        <f aca="false">IF(OR(K363="",J363=""),"",(J363-K363)*100)</f>
        <v>1.21788385363093</v>
      </c>
      <c r="M363" s="38"/>
    </row>
    <row r="364" customFormat="false" ht="15" hidden="false" customHeight="false" outlineLevel="0" collapsed="false">
      <c r="A364" s="38" t="s">
        <v>344</v>
      </c>
      <c r="B364" s="38" t="s">
        <v>520</v>
      </c>
      <c r="C364" s="38" t="s">
        <v>521</v>
      </c>
      <c r="D364" s="21" t="n">
        <v>563</v>
      </c>
      <c r="E364" s="21" t="n">
        <v>514</v>
      </c>
      <c r="F364" s="51" t="n">
        <f aca="false">IF(E364="","",D364-E364)</f>
        <v>49</v>
      </c>
      <c r="G364" s="21" t="n">
        <v>703</v>
      </c>
      <c r="H364" s="21" t="n">
        <v>713</v>
      </c>
      <c r="I364" s="51" t="n">
        <f aca="false">IF(H364="","",G364-H364)</f>
        <v>-10</v>
      </c>
      <c r="J364" s="39" t="n">
        <f aca="false">IF(OR(D364="",D364+G364=0),"",D364/(D364+G364))</f>
        <v>0.444707740916272</v>
      </c>
      <c r="K364" s="39" t="n">
        <f aca="false">IF(E364="","",E364/(E364+H364))</f>
        <v>0.418907905460473</v>
      </c>
      <c r="L364" s="52" t="n">
        <f aca="false">IF(OR(K364="",J364=""),"",(J364-K364)*100)</f>
        <v>2.57998354557991</v>
      </c>
      <c r="M364" s="38"/>
    </row>
    <row r="365" customFormat="false" ht="15" hidden="false" customHeight="false" outlineLevel="0" collapsed="false">
      <c r="A365" s="38" t="s">
        <v>344</v>
      </c>
      <c r="B365" s="38" t="s">
        <v>520</v>
      </c>
      <c r="C365" s="38" t="s">
        <v>522</v>
      </c>
      <c r="D365" s="21" t="n">
        <v>465</v>
      </c>
      <c r="E365" s="21" t="n">
        <v>425</v>
      </c>
      <c r="F365" s="51" t="n">
        <f aca="false">IF(E365="","",D365-E365)</f>
        <v>40</v>
      </c>
      <c r="G365" s="21" t="n">
        <v>681</v>
      </c>
      <c r="H365" s="21" t="n">
        <v>656</v>
      </c>
      <c r="I365" s="51" t="n">
        <f aca="false">IF(H365="","",G365-H365)</f>
        <v>25</v>
      </c>
      <c r="J365" s="39" t="n">
        <f aca="false">IF(OR(D365="",D365+G365=0),"",D365/(D365+G365))</f>
        <v>0.405759162303665</v>
      </c>
      <c r="K365" s="39" t="n">
        <f aca="false">IF(E365="","",E365/(E365+H365))</f>
        <v>0.393154486586494</v>
      </c>
      <c r="L365" s="52" t="n">
        <f aca="false">IF(OR(K365="",J365=""),"",(J365-K365)*100)</f>
        <v>1.26046757171709</v>
      </c>
      <c r="M365" s="38"/>
    </row>
    <row r="366" customFormat="false" ht="15" hidden="false" customHeight="false" outlineLevel="0" collapsed="false">
      <c r="A366" s="38" t="s">
        <v>344</v>
      </c>
      <c r="B366" s="38" t="s">
        <v>520</v>
      </c>
      <c r="C366" s="38" t="s">
        <v>523</v>
      </c>
      <c r="D366" s="21" t="n">
        <v>653</v>
      </c>
      <c r="E366" s="21" t="n">
        <v>624</v>
      </c>
      <c r="F366" s="51" t="n">
        <f aca="false">IF(E366="","",D366-E366)</f>
        <v>29</v>
      </c>
      <c r="G366" s="21" t="n">
        <v>636</v>
      </c>
      <c r="H366" s="21" t="n">
        <v>618</v>
      </c>
      <c r="I366" s="51" t="n">
        <f aca="false">IF(H366="","",G366-H366)</f>
        <v>18</v>
      </c>
      <c r="J366" s="39" t="n">
        <f aca="false">IF(OR(D366="",D366+G366=0),"",D366/(D366+G366))</f>
        <v>0.506594259115594</v>
      </c>
      <c r="K366" s="39" t="n">
        <f aca="false">IF(E366="","",E366/(E366+H366))</f>
        <v>0.502415458937198</v>
      </c>
      <c r="L366" s="52" t="n">
        <f aca="false">IF(OR(K366="",J366=""),"",(J366-K366)*100)</f>
        <v>0.417880017839545</v>
      </c>
      <c r="M366" s="38"/>
    </row>
    <row r="367" customFormat="false" ht="15" hidden="false" customHeight="false" outlineLevel="0" collapsed="false">
      <c r="A367" s="38" t="s">
        <v>344</v>
      </c>
      <c r="B367" s="38" t="s">
        <v>520</v>
      </c>
      <c r="C367" s="38" t="s">
        <v>524</v>
      </c>
      <c r="D367" s="21" t="n">
        <v>342</v>
      </c>
      <c r="E367" s="21" t="n">
        <v>284</v>
      </c>
      <c r="F367" s="51" t="n">
        <f aca="false">IF(E367="","",D367-E367)</f>
        <v>58</v>
      </c>
      <c r="G367" s="21" t="n">
        <v>417</v>
      </c>
      <c r="H367" s="21" t="n">
        <v>414</v>
      </c>
      <c r="I367" s="51" t="n">
        <f aca="false">IF(H367="","",G367-H367)</f>
        <v>3</v>
      </c>
      <c r="J367" s="39" t="n">
        <f aca="false">IF(OR(D367="",D367+G367=0),"",D367/(D367+G367))</f>
        <v>0.450592885375494</v>
      </c>
      <c r="K367" s="39" t="n">
        <f aca="false">IF(E367="","",E367/(E367+H367))</f>
        <v>0.406876790830946</v>
      </c>
      <c r="L367" s="52" t="n">
        <f aca="false">IF(OR(K367="",J367=""),"",(J367-K367)*100)</f>
        <v>4.37160945445485</v>
      </c>
      <c r="M367" s="38"/>
    </row>
    <row r="368" customFormat="false" ht="15" hidden="false" customHeight="false" outlineLevel="0" collapsed="false">
      <c r="A368" s="38" t="s">
        <v>344</v>
      </c>
      <c r="B368" s="38" t="s">
        <v>525</v>
      </c>
      <c r="C368" s="38" t="s">
        <v>526</v>
      </c>
      <c r="D368" s="21" t="n">
        <v>661</v>
      </c>
      <c r="E368" s="21" t="n">
        <v>648</v>
      </c>
      <c r="F368" s="51" t="n">
        <f aca="false">IF(E368="","",D368-E368)</f>
        <v>13</v>
      </c>
      <c r="G368" s="21" t="n">
        <v>401</v>
      </c>
      <c r="H368" s="21" t="n">
        <v>462</v>
      </c>
      <c r="I368" s="51" t="n">
        <f aca="false">IF(H368="","",G368-H368)</f>
        <v>-61</v>
      </c>
      <c r="J368" s="39" t="n">
        <f aca="false">IF(OR(D368="",D368+G368=0),"",D368/(D368+G368))</f>
        <v>0.62241054613936</v>
      </c>
      <c r="K368" s="39" t="n">
        <f aca="false">IF(E368="","",E368/(E368+H368))</f>
        <v>0.583783783783784</v>
      </c>
      <c r="L368" s="52" t="n">
        <f aca="false">IF(OR(K368="",J368=""),"",(J368-K368)*100)</f>
        <v>3.86267623555758</v>
      </c>
      <c r="M368" s="38"/>
    </row>
    <row r="369" customFormat="false" ht="15" hidden="false" customHeight="false" outlineLevel="0" collapsed="false">
      <c r="A369" s="38" t="s">
        <v>344</v>
      </c>
      <c r="B369" s="38" t="s">
        <v>525</v>
      </c>
      <c r="C369" s="38" t="s">
        <v>527</v>
      </c>
      <c r="D369" s="21" t="n">
        <v>527</v>
      </c>
      <c r="E369" s="21" t="n">
        <v>491</v>
      </c>
      <c r="F369" s="51" t="n">
        <f aca="false">IF(E369="","",D369-E369)</f>
        <v>36</v>
      </c>
      <c r="G369" s="21" t="n">
        <v>373</v>
      </c>
      <c r="H369" s="21" t="n">
        <v>402</v>
      </c>
      <c r="I369" s="51" t="n">
        <f aca="false">IF(H369="","",G369-H369)</f>
        <v>-29</v>
      </c>
      <c r="J369" s="39" t="n">
        <f aca="false">IF(OR(D369="",D369+G369=0),"",D369/(D369+G369))</f>
        <v>0.585555555555556</v>
      </c>
      <c r="K369" s="39" t="n">
        <f aca="false">IF(E369="","",E369/(E369+H369))</f>
        <v>0.5498320268757</v>
      </c>
      <c r="L369" s="52" t="n">
        <f aca="false">IF(OR(K369="",J369=""),"",(J369-K369)*100)</f>
        <v>3.57235286798557</v>
      </c>
      <c r="M369" s="38"/>
    </row>
    <row r="370" customFormat="false" ht="15" hidden="false" customHeight="false" outlineLevel="0" collapsed="false">
      <c r="A370" s="38" t="s">
        <v>344</v>
      </c>
      <c r="B370" s="38" t="s">
        <v>525</v>
      </c>
      <c r="C370" s="38" t="s">
        <v>528</v>
      </c>
      <c r="D370" s="21" t="n">
        <v>828</v>
      </c>
      <c r="E370" s="21" t="n">
        <v>758</v>
      </c>
      <c r="F370" s="51" t="n">
        <f aca="false">IF(E370="","",D370-E370)</f>
        <v>70</v>
      </c>
      <c r="G370" s="21" t="n">
        <v>628</v>
      </c>
      <c r="H370" s="21" t="n">
        <v>674</v>
      </c>
      <c r="I370" s="51" t="n">
        <f aca="false">IF(H370="","",G370-H370)</f>
        <v>-46</v>
      </c>
      <c r="J370" s="39" t="n">
        <f aca="false">IF(OR(D370="",D370+G370=0),"",D370/(D370+G370))</f>
        <v>0.568681318681319</v>
      </c>
      <c r="K370" s="39" t="n">
        <f aca="false">IF(E370="","",E370/(E370+H370))</f>
        <v>0.529329608938548</v>
      </c>
      <c r="L370" s="52" t="n">
        <f aca="false">IF(OR(K370="",J370=""),"",(J370-K370)*100)</f>
        <v>3.93517097427711</v>
      </c>
      <c r="M370" s="38"/>
    </row>
    <row r="371" customFormat="false" ht="15" hidden="false" customHeight="false" outlineLevel="0" collapsed="false">
      <c r="A371" s="38" t="s">
        <v>344</v>
      </c>
      <c r="B371" s="38" t="s">
        <v>529</v>
      </c>
      <c r="C371" s="38" t="s">
        <v>529</v>
      </c>
      <c r="D371" s="21" t="n">
        <v>669</v>
      </c>
      <c r="E371" s="21" t="n">
        <v>634</v>
      </c>
      <c r="F371" s="51" t="n">
        <f aca="false">IF(E371="","",D371-E371)</f>
        <v>35</v>
      </c>
      <c r="G371" s="21" t="n">
        <v>815</v>
      </c>
      <c r="H371" s="21" t="n">
        <v>856</v>
      </c>
      <c r="I371" s="51" t="n">
        <f aca="false">IF(H371="","",G371-H371)</f>
        <v>-41</v>
      </c>
      <c r="J371" s="39" t="n">
        <f aca="false">IF(OR(D371="",D371+G371=0),"",D371/(D371+G371))</f>
        <v>0.450808625336927</v>
      </c>
      <c r="K371" s="39" t="n">
        <f aca="false">IF(E371="","",E371/(E371+H371))</f>
        <v>0.425503355704698</v>
      </c>
      <c r="L371" s="52" t="n">
        <f aca="false">IF(OR(K371="",J371=""),"",(J371-K371)*100)</f>
        <v>2.53052696322292</v>
      </c>
      <c r="M371" s="38"/>
    </row>
    <row r="373" customFormat="false" ht="15" hidden="false" customHeight="false" outlineLevel="0" collapsed="false">
      <c r="A373" s="11" t="s">
        <v>692</v>
      </c>
      <c r="B373" s="53"/>
      <c r="C373" s="53"/>
      <c r="D373" s="54" t="n">
        <f aca="false">SUMIF(E2:E371,"&lt;&gt;",D2:D371)</f>
        <v>196253</v>
      </c>
      <c r="E373" s="54" t="n">
        <f aca="false">SUM(E2:E371)</f>
        <v>183378</v>
      </c>
      <c r="F373" s="55" t="n">
        <f aca="false">D373-E373</f>
        <v>12875</v>
      </c>
      <c r="G373" s="54" t="n">
        <f aca="false">SUMIF(H2:H371,"&lt;&gt;",G2:G371)</f>
        <v>185295</v>
      </c>
      <c r="H373" s="54" t="n">
        <f aca="false">SUM(H2:H371)</f>
        <v>189309</v>
      </c>
      <c r="I373" s="55" t="n">
        <f aca="false">G373-H373</f>
        <v>-4014</v>
      </c>
      <c r="J373" s="56" t="n">
        <f aca="false">D373/(D373+G373)</f>
        <v>0.514359923259983</v>
      </c>
      <c r="K373" s="56" t="n">
        <f aca="false">E373/(E373+H373)</f>
        <v>0.492042920735094</v>
      </c>
      <c r="L373" s="57" t="n">
        <f aca="false">(J373-K373)*100</f>
        <v>2.2317002524889</v>
      </c>
    </row>
    <row r="374" customFormat="false" ht="15" hidden="false" customHeight="false" outlineLevel="0" collapsed="false">
      <c r="A374" s="11" t="s">
        <v>693</v>
      </c>
      <c r="B374" s="53"/>
      <c r="C374" s="53"/>
      <c r="D374" s="54" t="n">
        <f aca="false">SUM(D2:D371)</f>
        <v>214087</v>
      </c>
      <c r="E374" s="54"/>
      <c r="F374" s="55"/>
      <c r="G374" s="54" t="n">
        <f aca="false">SUM(G2:G371)</f>
        <v>200842</v>
      </c>
      <c r="H374" s="54"/>
      <c r="I374" s="55"/>
      <c r="J374" s="56" t="n">
        <f aca="false">D374/(D374+G374)</f>
        <v>0.515960561927462</v>
      </c>
      <c r="K374" s="56"/>
      <c r="L374" s="57"/>
    </row>
    <row r="376" customFormat="false" ht="15" hidden="false" customHeight="false" outlineLevel="0" collapsed="false">
      <c r="A376" s="2" t="s">
        <v>694</v>
      </c>
      <c r="F376" s="58" t="n">
        <f aca="false">(SUMIF(F2:F371,"&gt;0")-SUMIF(F2:F371,"&lt;0"))/COUNT(F2:F371)</f>
        <v>53.3304093567252</v>
      </c>
    </row>
    <row r="377" customFormat="false" ht="15" hidden="false" customHeight="false" outlineLevel="0" collapsed="false">
      <c r="A377" s="2" t="s">
        <v>695</v>
      </c>
      <c r="F377" s="58" t="n">
        <f aca="false">(SUMIF(I2:I371,"&gt;0")-SUMIF(I2:I371,"&lt;0"))/COUNT(I2:I371)</f>
        <v>37.766081871345</v>
      </c>
    </row>
    <row r="378" customFormat="false" ht="15" hidden="false" customHeight="false" outlineLevel="0" collapsed="false">
      <c r="A378" s="2" t="s">
        <v>696</v>
      </c>
      <c r="F378" s="59" t="n">
        <f aca="false">(SUMIF(L2:L371,"&gt;0")-SUMIF(L2:L371,"&lt;0"))/COUNT(L2:L371)</f>
        <v>3.25234797009227</v>
      </c>
    </row>
    <row r="379" customFormat="false" ht="15" hidden="false" customHeight="false" outlineLevel="0" collapsed="false">
      <c r="A379" s="5" t="s">
        <v>697</v>
      </c>
      <c r="F379" s="60" t="n">
        <f aca="false">SQRT(SUMSQ(L2:L371)/COUNT(L2:L371))</f>
        <v>3.97021788433627</v>
      </c>
    </row>
    <row r="380" customFormat="false" ht="15" hidden="false" customHeight="false" outlineLevel="0" collapsed="false">
      <c r="A380" s="5" t="s">
        <v>698</v>
      </c>
      <c r="F380" s="61" t="n">
        <f aca="false">L373</f>
        <v>2.2317002524889</v>
      </c>
    </row>
    <row r="381" customFormat="false" ht="15" hidden="false" customHeight="false" outlineLevel="0" collapsed="false">
      <c r="A381" s="5" t="s">
        <v>699</v>
      </c>
      <c r="F381" s="60" t="n">
        <f aca="false">SQRT((SUMSQ(L2:L371)-2*L373*SUM(L2:L371)+COUNT(L2:L371)*L373^2)/COUNT(L2:L371))</f>
        <v>2.56914691260626</v>
      </c>
    </row>
    <row r="382" customFormat="false" ht="15" hidden="false" customHeight="false" outlineLevel="0" collapsed="false">
      <c r="A382" s="2" t="s">
        <v>700</v>
      </c>
      <c r="F382" s="62" t="n">
        <f aca="false">(D373+G373)/(E373+H373)-1</f>
        <v>0.0237759836001792</v>
      </c>
    </row>
    <row r="383" customFormat="false" ht="15" hidden="false" customHeight="false" outlineLevel="0" collapsed="false">
      <c r="A383" s="2" t="s">
        <v>701</v>
      </c>
      <c r="F383" s="63" t="n">
        <f aca="false">COUNTIFS(L2:L371,"&gt;=-3",L2:L371,"&lt;=3")/COUNT(L2:L371)</f>
        <v>0.546783625730994</v>
      </c>
    </row>
    <row r="384" customFormat="false" ht="15" hidden="false" customHeight="false" outlineLevel="0" collapsed="false">
      <c r="A384" s="2" t="s">
        <v>702</v>
      </c>
      <c r="F384" s="64" t="n">
        <f aca="false">COUNT(E2:E371)</f>
        <v>342</v>
      </c>
    </row>
    <row r="385" customFormat="false" ht="15" hidden="false" customHeight="false" outlineLevel="0" collapsed="false">
      <c r="A385" s="2" t="s">
        <v>703</v>
      </c>
      <c r="F385" s="64" t="n">
        <f aca="false">COUNTA(A2:A371)</f>
        <v>370</v>
      </c>
    </row>
    <row r="387" customFormat="false" ht="15" hidden="false" customHeight="false" outlineLevel="0" collapsed="false">
      <c r="M387" s="5" t="s">
        <v>69</v>
      </c>
    </row>
    <row r="388" customFormat="false" ht="28.35" hidden="false" customHeight="false" outlineLevel="0" collapsed="false">
      <c r="M388" s="50" t="s">
        <v>704</v>
      </c>
    </row>
    <row r="389" customFormat="false" ht="28.35" hidden="false" customHeight="false" outlineLevel="0" collapsed="false">
      <c r="M389" s="50" t="s">
        <v>705</v>
      </c>
    </row>
    <row r="390" customFormat="false" ht="41.75" hidden="false" customHeight="false" outlineLevel="0" collapsed="false">
      <c r="M390" s="50" t="s">
        <v>706</v>
      </c>
    </row>
    <row r="391" customFormat="false" ht="55.2" hidden="false" customHeight="false" outlineLevel="0" collapsed="false">
      <c r="M391" s="50" t="s">
        <v>707</v>
      </c>
    </row>
    <row r="392" customFormat="false" ht="55.2" hidden="false" customHeight="false" outlineLevel="0" collapsed="false">
      <c r="M392" s="50" t="s">
        <v>716</v>
      </c>
    </row>
    <row r="393" customFormat="false" ht="28.35" hidden="false" customHeight="false" outlineLevel="0" collapsed="false">
      <c r="M393" s="50" t="s">
        <v>709</v>
      </c>
    </row>
    <row r="394" customFormat="false" ht="28.35" hidden="false" customHeight="false" outlineLevel="0" collapsed="false">
      <c r="M394" s="50" t="s">
        <v>710</v>
      </c>
    </row>
    <row r="395" customFormat="false" ht="28.35" hidden="false" customHeight="false" outlineLevel="0" collapsed="false">
      <c r="M395" s="50" t="s">
        <v>711</v>
      </c>
    </row>
    <row r="396" customFormat="false" ht="15" hidden="false" customHeight="false" outlineLevel="0" collapsed="false">
      <c r="M396" s="50" t="s">
        <v>712</v>
      </c>
    </row>
    <row r="397" customFormat="false" ht="41.75" hidden="false" customHeight="false" outlineLevel="0" collapsed="false">
      <c r="M397" s="50" t="s">
        <v>713</v>
      </c>
    </row>
    <row r="398" customFormat="false" ht="28.35" hidden="false" customHeight="false" outlineLevel="0" collapsed="false">
      <c r="M398" s="50" t="s">
        <v>714</v>
      </c>
    </row>
  </sheetData>
  <conditionalFormatting sqref="L2:L371">
    <cfRule type="colorScale" priority="2">
      <colorScale>
        <cfvo type="num" val="-8"/>
        <cfvo type="num" val="0"/>
        <cfvo type="num" val="8"/>
        <color rgb="FFF4B6B6"/>
        <color rgb="FFFFFFFF"/>
        <color rgb="FFB4C7E7"/>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65" t="s">
        <v>717</v>
      </c>
    </row>
    <row r="2" customFormat="false" ht="28.35" hidden="false" customHeight="false" outlineLevel="0" collapsed="false">
      <c r="A2" s="50" t="s">
        <v>718</v>
      </c>
    </row>
    <row r="3" customFormat="false" ht="28.35" hidden="false" customHeight="false" outlineLevel="0" collapsed="false">
      <c r="A3" s="50" t="s">
        <v>719</v>
      </c>
    </row>
    <row r="4" customFormat="false" ht="41.75" hidden="false" customHeight="false" outlineLevel="0" collapsed="false">
      <c r="A4" s="50" t="s">
        <v>720</v>
      </c>
    </row>
    <row r="5" customFormat="false" ht="15" hidden="false" customHeight="false" outlineLevel="0" collapsed="false">
      <c r="A5" s="50" t="s">
        <v>721</v>
      </c>
    </row>
    <row r="6" customFormat="false" ht="15" hidden="false" customHeight="false" outlineLevel="0" collapsed="false">
      <c r="A6" s="50"/>
    </row>
    <row r="7" customFormat="false" ht="15" hidden="false" customHeight="false" outlineLevel="0" collapsed="false">
      <c r="A7" s="65" t="s">
        <v>722</v>
      </c>
    </row>
    <row r="8" customFormat="false" ht="28.35" hidden="false" customHeight="false" outlineLevel="0" collapsed="false">
      <c r="A8" s="50" t="s">
        <v>723</v>
      </c>
    </row>
    <row r="9" customFormat="false" ht="28.35" hidden="false" customHeight="false" outlineLevel="0" collapsed="false">
      <c r="A9" s="50" t="s">
        <v>724</v>
      </c>
    </row>
    <row r="10" customFormat="false" ht="15" hidden="false" customHeight="false" outlineLevel="0" collapsed="false">
      <c r="A10" s="50"/>
    </row>
    <row r="11" customFormat="false" ht="15" hidden="false" customHeight="false" outlineLevel="0" collapsed="false">
      <c r="A11" s="65" t="s">
        <v>725</v>
      </c>
    </row>
    <row r="12" customFormat="false" ht="28.35" hidden="false" customHeight="false" outlineLevel="0" collapsed="false">
      <c r="A12" s="50" t="s">
        <v>726</v>
      </c>
    </row>
    <row r="13" customFormat="false" ht="28.35" hidden="false" customHeight="false" outlineLevel="0" collapsed="false">
      <c r="A13" s="50" t="s">
        <v>727</v>
      </c>
    </row>
    <row r="14" customFormat="false" ht="15" hidden="false" customHeight="false" outlineLevel="0" collapsed="false">
      <c r="A14" s="50"/>
    </row>
    <row r="15" customFormat="false" ht="15" hidden="false" customHeight="false" outlineLevel="0" collapsed="false">
      <c r="A15" s="65" t="s">
        <v>728</v>
      </c>
    </row>
    <row r="16" customFormat="false" ht="15" hidden="false" customHeight="false" outlineLevel="0" collapsed="false">
      <c r="A16" s="50" t="s">
        <v>729</v>
      </c>
    </row>
    <row r="17" customFormat="false" ht="15" hidden="false" customHeight="false" outlineLevel="0" collapsed="false">
      <c r="A17" s="50" t="s">
        <v>730</v>
      </c>
    </row>
    <row r="18" customFormat="false" ht="15" hidden="false" customHeight="false" outlineLevel="0" collapsed="false">
      <c r="A18" s="50" t="s">
        <v>731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2026-10-05T19:41:18Z</dcterms:created>
  <dc:creator>openpyxl</dc:creator>
  <dc:description/>
  <dc:language>en-US</dc:language>
  <cp:lastModifiedBy/>
  <dcterms:modified xsi:type="dcterms:W3CDTF">2026-10-05T19:41:19Z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