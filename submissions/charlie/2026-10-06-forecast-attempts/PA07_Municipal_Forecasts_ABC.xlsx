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 average of the 2018 and 2022 midterm Democratic shares in today’s district (rows 10 and 12). Type any share to override.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backtest miss in total votes cast.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backtest miss in total votes cast.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backtest miss in total votes cast.</t>
        </r>
      </text>
    </comment>
  </commentList>
</comments>
</file>

<file path=xl/sharedStrings.xml><?xml version="1.0" encoding="utf-8"?>
<sst xmlns="http://schemas.openxmlformats.org/spreadsheetml/2006/main" count="3062" uniqueCount="369">
  <si>
    <t xml:space="preserve">PA-07 2026 House Forecast — Municipal Level: three forecasts compared</t>
  </si>
  <si>
    <t xml:space="preserve">Candidates: Brooks | Mackenzie   |   Change the yellow cell to set the district-wide Brooks share; all three forecasts and their district totals update.</t>
  </si>
  <si>
    <t xml:space="preserve">Forecasts A, B and C use different SHAP-based weightings of the same random-forest inputs (see How Forecasts Are Weighted). Error terms come from each forecast’s own 2024 backtest.</t>
  </si>
  <si>
    <t xml:space="preserve">SCENARIO</t>
  </si>
  <si>
    <t xml:space="preserve">District-wide Brooks share of the two-party vote (input)</t>
  </si>
  <si>
    <t xml:space="preserve">← default: average of the 2018 and 2022 midterms in today’s district</t>
  </si>
  <si>
    <t xml:space="preserve">Past House results in today’s district</t>
  </si>
  <si>
    <t xml:space="preserve">Democratic share</t>
  </si>
  <si>
    <t xml:space="preserve">Democratic votes</t>
  </si>
  <si>
    <t xml:space="preserve">Republican votes</t>
  </si>
  <si>
    <t xml:space="preserve">(certified precinct returns; Carbon and Polk 2018/2020 excluded — they voted in PA-09/PA-08)</t>
  </si>
  <si>
    <t xml:space="preserve">2018 General</t>
  </si>
  <si>
    <t xml:space="preserve">2020 General</t>
  </si>
  <si>
    <t xml:space="preserve">2022 General</t>
  </si>
  <si>
    <t xml:space="preserve">2024 General</t>
  </si>
  <si>
    <t xml:space="preserve">DISTRICT TOTALS BY FORECAST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</si>
  <si>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</si>
  <si>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</si>
  <si>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</si>
  <si>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</si>
  <si>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</si>
  <si>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</si>
  <si>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 pts)</t>
  </si>
  <si>
    <t xml:space="preserve">Brooks share range</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</si>
  <si>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</si>
  <si>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</si>
  <si>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</si>
  <si>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</si>
  <si>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</si>
  <si>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</si>
  <si>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</si>
  <si>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ERROR TERMS — 2024 BACKTEST OF EACH FORECAST</t>
  </si>
  <si>
    <t xml:space="preserve">Rows scored</t>
  </si>
  <si>
    <t xml:space="preserve">Avg miss per row, Dem share (pts)</t>
  </si>
  <si>
    <t xml:space="preserve">RMS miss per row, Dem share (pts)</t>
  </si>
  <si>
    <t xml:space="preserve">District-wide miss (pts)</t>
  </si>
  <si>
    <t xml:space="preserve">Pattern RMS miss (pts)</t>
  </si>
  <si>
    <t xml:space="preserve">Total votes cast miss</t>
  </si>
  <si>
    <t xml:space="preserve">Avg miss per row, Dem votes</t>
  </si>
  <si>
    <t xml:space="preserve">Rows within 3 pts</t>
  </si>
  <si>
    <t xml:space="preserve">District-wide miss is the same for all three because it comes from the level rule (last same-type election), not the forests. The pattern miss is what separates the forecasts; it sets each row’s error term.</t>
  </si>
  <si>
    <t xml:space="preserve">MUNICIPALITY COMPARISON (Brooks share by forecast, live)</t>
  </si>
  <si>
    <t xml:space="preserve">County</t>
  </si>
  <si>
    <t xml:space="preserve">Municipality</t>
  </si>
  <si>
    <t xml:space="preserve">Area</t>
  </si>
  <si>
    <t xml:space="preserve">Spread (max − min, pts)</t>
  </si>
  <si>
    <t xml:space="preserve">Error term A (± pts)</t>
  </si>
  <si>
    <t xml:space="preserve">Error term B (± pts)</t>
  </si>
  <si>
    <t xml:space="preserve">Error term C (± pts)</t>
  </si>
  <si>
    <t xml:space="preserve">Projected votes (A)</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</si>
  <si>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</si>
  <si>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</si>
  <si>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</si>
  <si>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Brooks and Mackenzie votes are formulas: projected votes cast × forecast Brooks share. Change the district scenario on the Scenario &amp; Comparison tab. Error terms come from this forecast’s 2024 backtest.</t>
  </si>
  <si>
    <t xml:space="preserve">Model / scenario</t>
  </si>
  <si>
    <t xml:space="preserve">Random forest — Forecast A (Full random forest), municipality model</t>
  </si>
  <si>
    <t xml:space="preserve">As-of date</t>
  </si>
  <si>
    <t xml:space="preserve">Prepared by</t>
  </si>
  <si>
    <t xml:space="preserve">Max</t>
  </si>
  <si>
    <t xml:space="preserve">Version</t>
  </si>
  <si>
    <t xml:space="preserve">v1.0</t>
  </si>
  <si>
    <t xml:space="preserve">District Brooks share (scenario)</t>
  </si>
  <si>
    <t xml:space="preserve">Uniform shift applied</t>
  </si>
  <si>
    <t xml:space="preserve">2024 backtest district miss (pts)</t>
  </si>
  <si>
    <t xml:space="preserve">DISTRICT TOTALS (auto-sum — do not type over)</t>
  </si>
  <si>
    <t xml:space="preserve">Geography</t>
  </si>
  <si>
    <t xml:space="preserve">(muni)</t>
  </si>
  <si>
    <t xml:space="preserve">(area)</t>
  </si>
  <si>
    <t xml:space="preserve">Mackenzie share</t>
  </si>
  <si>
    <t xml:space="preserve">Notes</t>
  </si>
  <si>
    <t xml:space="preserve">Error term: Brooks share (± pts)</t>
  </si>
  <si>
    <t xml:space="preserve">Brooks share, low</t>
  </si>
  <si>
    <t xml:space="preserve">Brooks share,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</si>
  <si>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</si>
  <si>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</si>
  <si>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</si>
  <si>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</si>
  <si>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</si>
  <si>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Discussion prompt: Municipal and precinct district totals use the same scenario share, so their Brooks share matches by design; vote totals differ because each level forecasts votes cast separately.</t>
  </si>
  <si>
    <t xml:space="preserve">MUNICIPALITY DETAIL</t>
  </si>
  <si>
    <t xml:space="preserve">MODEL INPUTS (from the random forests — do not edit)</t>
  </si>
  <si>
    <t xml:space="preserve">Notes / source method</t>
  </si>
  <si>
    <t xml:space="preserve">Model lean vs district (pts)</t>
  </si>
  <si>
    <t xml:space="preserve">Projected votes cast</t>
  </si>
  <si>
    <t xml:space="preserve">Forecast Brooks share (unrounded)</t>
  </si>
  <si>
    <t xml:space="preserve">Votes error term (% of votes)</t>
  </si>
  <si>
    <t xml:space="preserve">Size group (backtest error band)</t>
  </si>
  <si>
    <t xml:space="preserve">Carbon</t>
  </si>
  <si>
    <t xml:space="preserve">BANKS TOWNSHIP</t>
  </si>
  <si>
    <t xml:space="preserve">(whole municipality)</t>
  </si>
  <si>
    <t xml:space="preserve">random forest</t>
  </si>
  <si>
    <t xml:space="preserve">Small</t>
  </si>
  <si>
    <t xml:space="preserve">BEAVER MEADOWS BOROUGH</t>
  </si>
  <si>
    <t xml:space="preserve">BOWMANSTOWN BOROUGH</t>
  </si>
  <si>
    <t xml:space="preserve">EAST PENN TOWNSHIP</t>
  </si>
  <si>
    <t xml:space="preserve">EAST SIDE BOROUGH</t>
  </si>
  <si>
    <t xml:space="preserve">FRANKLIN TOWNSHIP</t>
  </si>
  <si>
    <t xml:space="preserve">Medium</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</si>
  <si>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</si>
  <si>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</si>
  <si>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</si>
  <si>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</si>
  <si>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</si>
  <si>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</si>
  <si>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</si>
  <si>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</si>
  <si>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</si>
  <si>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</si>
  <si>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</si>
  <si>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</si>
  <si>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</si>
  <si>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</si>
  <si>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</si>
  <si>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</si>
  <si>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</si>
  <si>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</si>
  <si>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</si>
  <si>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</si>
  <si>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</si>
  <si>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</si>
  <si>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</si>
  <si>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</si>
  <si>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</si>
  <si>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</si>
  <si>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</si>
  <si>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</si>
  <si>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</si>
  <si>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</si>
  <si>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</si>
  <si>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</si>
  <si>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</si>
  <si>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</si>
  <si>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</si>
  <si>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</si>
  <si>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</si>
  <si>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</si>
  <si>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</si>
  <si>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</si>
  <si>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</si>
  <si>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</si>
  <si>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</si>
  <si>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</si>
  <si>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</si>
  <si>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</si>
  <si>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</si>
  <si>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</si>
  <si>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</si>
  <si>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</si>
  <si>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</si>
  <si>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</si>
  <si>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</si>
  <si>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</si>
  <si>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</si>
  <si>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</si>
  <si>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</si>
  <si>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</si>
  <si>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</si>
  <si>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</si>
  <si>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</si>
  <si>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</si>
  <si>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</si>
  <si>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</si>
  <si>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</si>
  <si>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</si>
  <si>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</si>
  <si>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</si>
  <si>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</si>
  <si>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</si>
  <si>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</si>
  <si>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</si>
  <si>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</si>
  <si>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</si>
  <si>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</si>
  <si>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</si>
  <si>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</si>
  <si>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</si>
  <si>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</si>
  <si>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</si>
  <si>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</si>
  <si>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</si>
  <si>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</si>
  <si>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</si>
  <si>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</si>
  <si>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 Forecast B (SHAP-selected forest), municipality model</t>
  </si>
  <si>
    <t xml:space="preserve">PA-07 2026 House Forecast — Municipal-Level Predictions (Forecast C: shap family-reweighted forest)</t>
  </si>
  <si>
    <t xml:space="preserve">Random forest — Forecast C (SHAP family-reweighted forest), municipality model</t>
  </si>
  <si>
    <t xml:space="preserve">How the three municipality-level forecasts weigh their inputs (SHAP)</t>
  </si>
  <si>
    <t xml:space="preserve">Forecast A — Full random forest.</t>
  </si>
  <si>
    <t xml:space="preserve">Every candidate input goes into two forests (Democratic percent; votes cast). Nothing is weighted by hand: each input’s weight is whatever the forest learned, and SHAP measures it afterwards. This is the reference forecast.</t>
  </si>
  <si>
    <t xml:space="preserve">Forecast B — SHAP-selected forest.</t>
  </si>
  <si>
    <t xml:space="preserve">Uses SHAP to decide which inputs stay. An input is kept only if (1) its mean |SHAP| beat all 10 random columns in at least 18 of 20 refits and (2) it carried at least 2% of its forest’s SHAP total in Forecast A. The forests are refit on the survivors, so weight that was spread thinly over weak inputs is concentrated on the strong ones.</t>
  </si>
  <si>
    <t xml:space="preserve">Forecast C — SHAP family-reweighted forest.</t>
  </si>
  <si>
    <t xml:space="preserve">Uses SHAP to re-weight Forecast A. Each forecast = starting value + sum of SHAP values; Forecast C multiplies each input family’s SHAP sum by a family weight, chosen by how well it predicts elections the forest did not see (out-of-fold SHAP, leave-one-election-out, fitted within each election so cycle-level differences don’t drive it). Families under 3% of SHAP are held at ×1; others are limited to ×0.5–×2, a guard given only two or three training elections.</t>
  </si>
  <si>
    <t xml:space="preserve">Family weights in each forecast (share of SHAP value in votes, 2026 forecast rows)</t>
  </si>
  <si>
    <t xml:space="preserve">Input family</t>
  </si>
  <si>
    <t xml:space="preserve">A: Dem % forest</t>
  </si>
  <si>
    <t xml:space="preserve">B: Dem % forest</t>
  </si>
  <si>
    <t xml:space="preserve">C: Dem % forest</t>
  </si>
  <si>
    <t xml:space="preserve">A: votes cast forest</t>
  </si>
  <si>
    <t xml:space="preserve">B: votes cast forest</t>
  </si>
  <si>
    <t xml:space="preserve">C: votes cast forest</t>
  </si>
  <si>
    <t xml:space="preserve">A: whole model</t>
  </si>
  <si>
    <t xml:space="preserve">B: whole model</t>
  </si>
  <si>
    <t xml:space="preserve">C: whole model</t>
  </si>
  <si>
    <t xml:space="preserve">Election type</t>
  </si>
  <si>
    <t xml:space="preserve">Historical voter data</t>
  </si>
  <si>
    <t xml:space="preserve">Voter registration data</t>
  </si>
  <si>
    <t xml:space="preserve">Forecast C family weights (multiplier on each family’s SHAP values)</t>
  </si>
  <si>
    <t xml:space="preserve">Dem % forest weight</t>
  </si>
  <si>
    <t xml:space="preserve">Votes cast forest weight</t>
  </si>
  <si>
    <t xml:space="preserve">Dem % weight used in 2024 backtest</t>
  </si>
  <si>
    <t xml:space="preserve">Read</t>
  </si>
  <si>
    <t xml:space="preserve">Dem %: unchanged; votes: unchanged</t>
  </si>
  <si>
    <t xml:space="preserve">Dem %: damped; votes: damped</t>
  </si>
  <si>
    <t xml:space="preserve">Dem %: amplified; votes: amplified</t>
  </si>
  <si>
    <t xml:space="preserve">Out-of-fold fit: Dem % pattern error 2.35 → 2.15 pts after re-weighting; votes-cast multiple error 0.072 → 0.066.</t>
  </si>
  <si>
    <t xml:space="preserve">Forecast B — which inputs survived the SHAP selection</t>
  </si>
  <si>
    <t xml:space="preserve">Input</t>
  </si>
  <si>
    <t xml:space="preserve">Forest</t>
  </si>
  <si>
    <t xml:space="preserve">Beat random columns (of 20)</t>
  </si>
  <si>
    <t xml:space="preserve">Share of forest SHAP in A</t>
  </si>
  <si>
    <t xml:space="preserve">Kept in B?</t>
  </si>
  <si>
    <t xml:space="preserve">House lean, last election (t−2)</t>
  </si>
  <si>
    <t xml:space="preserve">Democratic percent</t>
  </si>
  <si>
    <t xml:space="preserve">Yes</t>
  </si>
  <si>
    <t xml:space="preserve">Top-of-ticket lean, last election (t−2)</t>
  </si>
  <si>
    <t xml:space="preserve">Senate lean, most recent Senate race</t>
  </si>
  <si>
    <t xml:space="preserve">Registration: R % (voter file)</t>
  </si>
  <si>
    <t xml:space="preserve">Electorate last election: R % of ballots</t>
  </si>
  <si>
    <t xml:space="preserve">Registration: D % (voter file)</t>
  </si>
  <si>
    <t xml:space="preserve">House lean, last same-type election (t−4)</t>
  </si>
  <si>
    <t xml:space="preserve">Turnout, last election (certified)</t>
  </si>
  <si>
    <t xml:space="preserve">No</t>
  </si>
  <si>
    <t xml:space="preserve">Turnout last election: R registrants</t>
  </si>
  <si>
    <t xml:space="preserve">Registrants: female % (known sex)</t>
  </si>
  <si>
    <t xml:space="preserve">Turnout last election: unaffiliated</t>
  </si>
  <si>
    <t xml:space="preserve">Mail use last election: D voters</t>
  </si>
  <si>
    <t xml:space="preserve">Lean trend (t−2 minus t−4)</t>
  </si>
  <si>
    <t xml:space="preserve">Registered voters (log)</t>
  </si>
  <si>
    <t xml:space="preserve">Ticket-splitting, last election (House − top of ticket)</t>
  </si>
  <si>
    <t xml:space="preserve">Registration: unaffiliated/other %</t>
  </si>
  <si>
    <t xml:space="preserve">Turnout last election: D registrants</t>
  </si>
  <si>
    <t xml:space="preserve">Registration: change in D−R margin since t−2</t>
  </si>
  <si>
    <t xml:space="preserve">Midterm year (1/0)</t>
  </si>
  <si>
    <t xml:space="preserve">Registrants: Boomer + Silent %</t>
  </si>
  <si>
    <t xml:space="preserve">Registrants: Millennial + Gen Z %</t>
  </si>
  <si>
    <t xml:space="preserve">Votes cast</t>
  </si>
  <si>
    <t xml:space="preserve">Votes cast last election ÷ votes cast in the same-type election before it</t>
  </si>
  <si>
    <t xml:space="preserve">State registration growth since the same-type election (ratio)</t>
  </si>
  <si>
    <t xml:space="preserve">Voter-file turnout, last election</t>
  </si>
  <si>
    <t xml:space="preserve">Voter-file turnout, same-type election</t>
  </si>
  <si>
    <t xml:space="preserve">Voter-file registration growth since the same-type election (ratio)</t>
  </si>
  <si>
    <t xml:space="preserve">Turnout, same-type election (certified)</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</si>
  <si>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</si>
  <si>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</si>
  <si>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</si>
  <si>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</si>
  <si>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</si>
  <si>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</si>
  <si>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</si>
  <si>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</si>
  <si>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Democratic percent of the two-party House vote, 2024 (certified municipal results), above or below the district average for that election</t>
  </si>
  <si>
    <t xml:space="preserve">Democratic percent of the two-party vote</t>
  </si>
  <si>
    <t xml:space="preserve">Beat all 10 random comparison columns in 20 of 20 refits in the Democratic percent forest.</t>
  </si>
  <si>
    <t xml:space="preserve">Democratic percent of the two-party vote for President, 2024 (the top race on the ballot), above or below the district average</t>
  </si>
  <si>
    <t xml:space="preserve">Democratic percent of the two-party U.S. Senate vote, 2024 (most recent Senate race), above or below the district average</t>
  </si>
  <si>
    <t xml:space="preserve">Registered Republicans as a percent of all registered voters, 2026 (voter file)</t>
  </si>
  <si>
    <t xml:space="preserve">Both</t>
  </si>
  <si>
    <t xml:space="preserve">Beat all 10 random comparison columns in 20 of 20 refits in the Democratic percent forest and in 20 of 20 refits in the votes cast forest.</t>
  </si>
  <si>
    <t xml:space="preserve">Registered Republicans as a percent of everyone who voted, 2024 (voter file)</t>
  </si>
  <si>
    <t xml:space="preserve">Registered Democrats as a percent of all registered voters, 2026 (voter file)</t>
  </si>
  <si>
    <t xml:space="preserve">Beat all 10 random comparison columns in 20 of 20 refits in the Democratic percent forest and in 19 of 20 refits in the votes cast forest.</t>
  </si>
  <si>
    <t xml:space="preserve">Percent of registered Republicans who voted, 2024 (voter file)</t>
  </si>
  <si>
    <t xml:space="preserve">Democratic percent of the two-party House vote, 2022 — the last midterm (certified municipal results), above or below the district average</t>
  </si>
  <si>
    <t xml:space="preserve">House votes cast in 2024 divided by House votes cast in 2022 (presidential-year surge over the midterm)</t>
  </si>
  <si>
    <t xml:space="preserve">Number of votes cast</t>
  </si>
  <si>
    <t xml:space="preserve">Beat all 10 random comparison columns in 20 of 20 refits in the votes cast forest.</t>
  </si>
  <si>
    <t xml:space="preserve">Ballots cast as a percent of registered voters, 2024 (certified municipal results)</t>
  </si>
  <si>
    <t xml:space="preserve">Percent of registered voters in neither major party who voted, 2024 (voter file)</t>
  </si>
  <si>
    <t xml:space="preserve">Registered voters on the 2026 rolls divided by registered voters at the 2022 election (Department of State)</t>
  </si>
  <si>
    <t xml:space="preserve">Percent of registered voters who voted, 2024 (voter file)</t>
  </si>
  <si>
    <t xml:space="preserve">Women as a percent of registered voters whose sex is recorded, 2026 (voter file)</t>
  </si>
  <si>
    <t xml:space="preserve">Beat all 10 random comparison columns in 18 of 20 refits in the Democratic percent forest and in 19 of 20 refits in the votes cast forest.</t>
  </si>
  <si>
    <t xml:space="preserve">Percent of registered Democrats who voted, 2024 (voter file)</t>
  </si>
  <si>
    <t xml:space="preserve">Number of registered voters, 2026, on a log scale (voter file)</t>
  </si>
  <si>
    <t xml:space="preserve">Beat all 10 random comparison columns in 20 of 20 refits in the Democratic percent forest and in 4 of 20 refits in the votes cast forest.</t>
  </si>
  <si>
    <t xml:space="preserve">Election type: 1 for a midterm year (2026), 0 for a presidential year</t>
  </si>
  <si>
    <t xml:space="preserve">Beat all 10 random comparison columns in 6 of 20 refits in the Democratic percent forest and in 20 of 20 refits in the votes cast forest.</t>
  </si>
  <si>
    <t xml:space="preserve">Registered voters born 1981 or later, as a percent of all registered voters, 2026 (voter file)</t>
  </si>
  <si>
    <t xml:space="preserve">Beat all 10 random comparison columns in 10 of 20 refits in the Democratic percent forest and in 16 of 20 refits in the votes cast forest.</t>
  </si>
  <si>
    <t xml:space="preserve">Percent of Democratic voters who voted by mail, 2024 (voter file)</t>
  </si>
  <si>
    <t xml:space="preserve">Beat all 10 random comparison columns in 20 of 20 refits in the Democratic percent forest and in 5 of 20 refits in the votes cast forest.</t>
  </si>
  <si>
    <t xml:space="preserve">Change in the place’s House lean from 2022 to 2024, in points</t>
  </si>
  <si>
    <t xml:space="preserve">Registered voters born 1964 or earlier, as a percent of all registered voters, 2026 (voter file)</t>
  </si>
  <si>
    <t xml:space="preserve">Beat all 10 random comparison columns in 5 of 20 refits in the Democratic percent forest and in 8 of 20 refits in the votes cast forest.</t>
  </si>
  <si>
    <t xml:space="preserve">Percent of registered voters who voted, 2022 — the last midterm (voter file)</t>
  </si>
  <si>
    <t xml:space="preserve">Beat all 10 random comparison columns in 12 of 20 refits in the votes cast forest.</t>
  </si>
  <si>
    <t xml:space="preserve">House Democratic percent minus presidential Democratic percent, 2024, in points (how much the place split its ticket)</t>
  </si>
  <si>
    <t xml:space="preserve">Voter-file registered voters in 2026 divided by those registered by the 2022 election</t>
  </si>
  <si>
    <t xml:space="preserve">Beat all 10 random comparison columns in 4 of 20 refits in the votes cast forest.</t>
  </si>
  <si>
    <t xml:space="preserve">Registered voters in neither major party, as a percent of all registered voters, 2026 (voter file)</t>
  </si>
  <si>
    <t xml:space="preserve">Beat all 10 random comparison columns in 19 of 20 refits in the Democratic percent forest.</t>
  </si>
  <si>
    <t xml:space="preserve">Change in registered Democrats minus registered Republicans (percent of registered) from 2024 to 2026 (voter file)</t>
  </si>
  <si>
    <t xml:space="preserve">Ballots cast as a percent of registered voters, 2022 — the last midterm (certified municipal results)</t>
  </si>
  <si>
    <t xml:space="preserve">Beat all 10 random comparison columns in 8 of 20 refits in the votes cast forest.</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</si>
  <si>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</si>
  <si>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</si>
  <si>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</si>
  <si>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</si>
  <si>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Rows are ranked by SHAP value in votes on the 2026 forecast rows.</t>
  </si>
  <si>
    <t xml:space="preserve">SHAP value: for one place, the number of votes that one input added to or took away from that place’s forecast, measured from the model’s starting value, which is the average forecast over the places and years it was trained on (SHAP stands for SHapley Additive exPlanations). Values are exact TreeSHAP over every tree.</t>
  </si>
  <si>
    <t xml:space="preserve">SHAP value in votes is the average, over the 89 municipalities, of the votes the input added to or took away from the forecast, ignoring whether it added or took away. For the Democratic percent forest, Brooks votes and Mackenzie votes are counted together (an input that moves 10 votes from Mackenzie to Brooks counts as 20). For the votes cast forest, it is the change in total votes cast.</t>
  </si>
  <si>
    <t xml:space="preserve">Share of model is the input’s SHAP value in votes divided by the total for all inputs. Share within its family divides by the total for its own family instead.</t>
  </si>
  <si>
    <t xml:space="preserve">What the model forecasts. One random forest forecasts each place’s Democratic percent of the two-party House vote, measured above or below the district average for that election (so it learns the pattern, not the year’s overall level). A second forest forecasts House votes cast as a multiple of the votes cast in the same place in 2022 (the last midterm). Votes cast = 2022 votes × that multiple. Brooks share = the forecast pattern plus one uniform shift that makes the district total equal the scenario on the Scenario &amp; Comparison tab.</t>
  </si>
  <si>
    <t xml:space="preserve">Forecast A weighting: none imposed. Each input’s weight is exactly what the full forest learned; the SHAP values show it after the fact.</t>
  </si>
  <si>
    <t xml:space="preserve">How the inputs were tested. Each forest of Forecast A was refit 20 times with a different random seed, each time with 10 extra columns of random numbers added (5 that change from row to row and 5 that keep one value for each place in every year). The significance column counts the refits in which the input’s average absolute SHAP value on the 2026 forecast rows was larger than that of every random column.</t>
  </si>
  <si>
    <t xml:space="preserve">Settings: Democratic percent forest max_features=0.33, min_samples_leaf=1, 500 trees, trained on 243 municipality-elections (2020–2024). Votes cast forest max_features=0.6, min_samples_leaf=1, 500 trees, trained on 2022 and 2024.</t>
  </si>
  <si>
    <t xml:space="preserve">Historical voter data: past election results (any race) and past turnout (how many voted, which registered parties voted, mail use). Voter registration data: who is on the roll and with which party, the number registered, age and sex make-up, and change in registration. Geography &amp; municipal context: county and the precinct’s municipality. Election type: midterm or presidential year.</t>
  </si>
  <si>
    <t xml:space="preserve">Beat all 10 random comparison columns in 19 of 20 refits in the votes cast forest.</t>
  </si>
  <si>
    <t xml:space="preserve">Forecast B weighting: SHAP-selected. Only inputs that beat all 10 random columns in at least 18 of 20 refits AND held at least 2% of their forest’s SHAP total in Forecast A were kept; the forests were then refit (settings re-tuned) on those inputs alone, so the SHAP weight that the dropped inputs carried is redistributed among the survivors.</t>
  </si>
  <si>
    <t xml:space="preserve">Forecast C weighting: SHAP family re-weighting. Forecast A’s forests are kept, but each input family’s SHAP contribution is multiplied by a family weight fitted to out-of-sample accuracy: Election type ×1.00; Historical voter data ×0.91; Voter registration data ×1.69 (Democratic percent forest); Election type ×1.00; Historical voter data ×0.50; Voter registration data ×1.74 (votes cast forest). The forecast is the forest’s starting value plus the re-weighted SHAP values, so the SHAP values in this table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</si>
  <si>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</si>
  <si>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</si>
  <si>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</si>
  <si>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</si>
  <si>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</si>
  <si>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</si>
  <si>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</si>
  <si>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</si>
  <si>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</si>
  <si>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</si>
  <si>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</si>
  <si>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</si>
  <si>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</si>
  <si>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</si>
  <si>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</si>
  <si>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</si>
  <si>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</si>
  <si>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</si>
  <si>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Total votes cast miss (percent)</t>
  </si>
  <si>
    <t xml:space="preserve">Rows within 3 points on Democratic share</t>
  </si>
  <si>
    <t xml:space="preserve">Rows with a comparable 2024 result</t>
  </si>
  <si>
    <t xml:space="preserve">Rows in the table</t>
  </si>
  <si>
    <t xml:space="preserve">What this tab is: the same forecast method, run as if it were the week before the 2024 general election, compared with the actual 2024 House results.</t>
  </si>
  <si>
    <t xml:space="preserve">Every 2024 election result and all 2024 turnout were removed from the training data before the backtest ran. Registration as of the 2024 election was kept.</t>
  </si>
  <si>
    <t xml:space="preserve">The backtest’s Democratic percent forest was trained on the 2020 and 2022 elections. Its votes cast forest was trained on 2022 only — the one earlier election with an election of the same type four years before it — so it learned a midterm-to-midterm change and applies it to a presidential year.</t>
  </si>
  <si>
    <t xml:space="preserve">District level: the backtest set the district Democratic share to the last election of the same type (2020: 51.4%), the same rule as the 2026 default scenario (average of the last two midterms). The actual 2024 share was 49.4%, so about 1.9 points of every row’s error is the district-wide miss, not the municipality pattern.</t>
  </si>
  <si>
    <t xml:space="preserve">Forecast A: no weighting imposed.</t>
  </si>
  <si>
    <t xml:space="preserve">The forecast of 2024 used 2022 and 2020 results as inputs: the same inputs as the 2026 forecast, taken two years earlier.</t>
  </si>
  <si>
    <t xml:space="preserve">Actual votes are the 2024 House results for the municipality exactly as given in the data. Error = predicted minus actual. Shares are of the two-party vote (Democratic plus Republican).</t>
  </si>
  <si>
    <t xml:space="preserve">The district row adds only the rows that have a comparable 2024 result. 'All rows (predicted only)' adds the predicted votes of every row.</t>
  </si>
  <si>
    <t xml:space="preserve">Wild was the 2024 Democratic candidate and Mackenzie the 2024 Republican candidate.</t>
  </si>
  <si>
    <t xml:space="preserve">Rows marked 'No comparable 2024 result' are left out of the district total row and the error figures.</t>
  </si>
  <si>
    <t xml:space="preserve">These backtest errors set the error terms on the 2026 forecast tab: each row gets the root-mean-square pattern miss of backtest rows of similar size (small / medium / large thirds by votes cast).</t>
  </si>
  <si>
    <t xml:space="preserve">Forecast B: inputs chosen with the same random-column test and 2% rule as the 2026 forecast, then refit.</t>
  </si>
  <si>
    <t xml:space="preserve">Forecast C: family weights for the backtest were fitted only on elections before 2024 (Election type ×1.00; Historical voter data ×1.03; Voter registration data ×1.37 for the Democratic percent forest). The votes cast forest could not be re-weighted in the backtest (only one earlier same-type pair), so its backtest votes cast equal Forecast A’s.</t>
  </si>
  <si>
    <t xml:space="preserve">Data</t>
  </si>
  <si>
    <t xml:space="preserve">Source: PA07_Municipal_Data_without_Demographics.xlsx (Master Data, Muni Consolidated), plus Department of State registration summed from PA07_Precinct_Data.xlsx Precinct Summary. No ACS/household data. The baseline forecast file supplied was used for layout only; none of its numbers are used.</t>
  </si>
  <si>
    <t xml:space="preserve">Training: 2020, 2022 and 2024 general elections for the Democratic percent forests (2018 provides history only); 2022 and 2024 for the votes cast forests (each needs the same-type election four years earlier). Rows where the House race was not PA-07 (Carbon and Polk in 2018/2020) are not used as targets.</t>
  </si>
  <si>
    <t xml:space="preserve">Forecasting</t>
  </si>
  <si>
    <t xml:space="preserve">Each forecast = two random forests (500 trees each, settings tuned by leave-one-election-out cross-validation). Democratic percent: forecast of each place’s Democratic share above/below the district average. Votes cast: forecast multiple of 2022 votes. Brooks votes = votes cast × (pattern + uniform shift to the scenario district share).</t>
  </si>
  <si>
    <t xml:space="preserve">SHAP: exact path-dependent TreeSHAP (Lundberg, Erion &amp; Lee 2018) over every tree — the algorithm behind shap.TreeExplainer. The shap package is blocked in this environment, so it was implemented in C; it matches brute-force Shapley values to ~1e-15, and base + ΣSHAP equals every forest prediction.</t>
  </si>
  <si>
    <t xml:space="preserve">Error terms</t>
  </si>
  <si>
    <t xml:space="preserve">Row error term (± pts) = root-mean-square miss of that forecast’s 2024 backtest for rows of similar size (thirds by votes cast), after removing the district-wide miss. Votes-cast error term uses the same bins. Brooks-votes error term combines the two. Low/high columns are ±1 error term (roughly a 68% range if errors are normal).</t>
  </si>
  <si>
    <t xml:space="preserve">District error term = the size of the district-wide miss in the backtest when the district share was set by the default rule (last same-type election). That miss was about 2 points in 2024. It is the main source of uncertainty and is driven by the national environment and candidates, which none of the forests model.</t>
  </si>
  <si>
    <t xml:space="preserve">Caveats</t>
  </si>
  <si>
    <t xml:space="preserve">• The votes cast forests have seen only one midterm-to-midterm change (2018→2022, a large rise). 2026 vote totals inherit that; treat them as a planning figure.</t>
  </si>
  <si>
    <t xml:space="preserve">• Forecast C’s family weights rest on two or three held-out elections; they are bounded (×0.5–×2) to stop them over-fitting.</t>
  </si>
  <si>
    <t xml:space="preserve">• Toss-up calls (where A, B and C disagree, or a row’s low–high range spans 50%) should be read as ranges, not calls.</t>
  </si>
</sst>
</file>

<file path=xl/styles.xml><?xml version="1.0" encoding="utf-8"?>
<styleSheet xmlns="http://schemas.openxmlformats.org/spreadsheetml/2006/main">
  <numFmts count="14">
    <numFmt numFmtId="164" formatCode="General"/>
    <numFmt numFmtId="165" formatCode="0.0%"/>
    <numFmt numFmtId="166" formatCode="#,##0"/>
    <numFmt numFmtId="167" formatCode="0.0"/>
    <numFmt numFmtId="168" formatCode="0"/>
    <numFmt numFmtId="169" formatCode="0.00"/>
    <numFmt numFmtId="170" formatCode="\+0.00;\-0.00"/>
    <numFmt numFmtId="171" formatCode="\+0.0%;\-0.0%"/>
    <numFmt numFmtId="172" formatCode="0%"/>
    <numFmt numFmtId="173" formatCode="yyyy\-mm\-dd"/>
    <numFmt numFmtId="174" formatCode="\+0.0;\-0.0"/>
    <numFmt numFmtId="175" formatCode="\+#,##0;\-#,##0;0"/>
    <numFmt numFmtId="176" formatCode="\+#,##0;\-#,##0"/>
    <numFmt numFmtId="17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0"/>
      <name val="Arial"/>
      <family val="2"/>
    </font>
    <font>
      <sz val="11"/>
      <color rgb="FF008000"/>
      <name val="Calibri"/>
      <family val="0"/>
      <charset val="1"/>
    </font>
    <font>
      <b val="true"/>
      <sz val="11"/>
      <color rgb="FF1F4E79"/>
      <name val="Calibri"/>
      <family val="0"/>
      <charset val="1"/>
    </font>
  </fonts>
  <fills count="8">
    <fill>
      <patternFill patternType="none"/>
    </fill>
    <fill>
      <patternFill patternType="gray125"/>
    </fill>
    <fill>
      <patternFill patternType="solid">
        <fgColor rgb="FFD6E3F0"/>
        <bgColor rgb="FFC6EFCE"/>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F2F2F2"/>
        <bgColor rgb="FFFFFFFF"/>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4" fontId="5" fillId="6"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xdr:row>
      <xdr:rowOff>160560</xdr:rowOff>
    </xdr:from>
    <xdr:to>
      <xdr:col>24</xdr:col>
      <xdr:colOff>222480</xdr:colOff>
      <xdr:row>9</xdr:row>
      <xdr:rowOff>139320</xdr:rowOff>
    </xdr:to>
    <xdr:pic>
      <xdr:nvPicPr>
        <xdr:cNvPr id="0" name="Image 1" descr="Picture"/>
        <xdr:cNvPicPr/>
      </xdr:nvPicPr>
      <xdr:blipFill>
        <a:blip r:embed="rId1"/>
        <a:stretch/>
      </xdr:blipFill>
      <xdr:spPr>
        <a:xfrm>
          <a:off x="12805560" y="380880"/>
          <a:ext cx="8172000" cy="2674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0"/>
    <col collapsed="false" customWidth="true" hidden="false" outlineLevel="0" max="6" min="4" style="0" width="15"/>
    <col collapsed="false" customWidth="true" hidden="false" outlineLevel="0" max="7" min="7" style="0" width="14"/>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AVERAGE(C10,C12)</f>
        <v>0.528169484134382</v>
      </c>
      <c r="D6" s="3" t="s">
        <v>5</v>
      </c>
    </row>
    <row r="8" customFormat="false" ht="31.5" hidden="false" customHeight="true" outlineLevel="0" collapsed="false">
      <c r="A8" s="7" t="s">
        <v>6</v>
      </c>
      <c r="B8" s="7"/>
      <c r="C8" s="7" t="s">
        <v>7</v>
      </c>
      <c r="D8" s="7" t="s">
        <v>8</v>
      </c>
      <c r="E8" s="7" t="s">
        <v>9</v>
      </c>
    </row>
    <row r="9" customFormat="false" ht="15" hidden="false" customHeight="false" outlineLevel="0" collapsed="false">
      <c r="A9" s="3" t="s">
        <v>10</v>
      </c>
    </row>
    <row r="10" customFormat="false" ht="15" hidden="false" customHeight="false" outlineLevel="0" collapsed="false">
      <c r="A10" s="8" t="s">
        <v>11</v>
      </c>
      <c r="B10" s="8"/>
      <c r="C10" s="9" t="n">
        <f aca="false">D10/(D10+E10)</f>
        <v>0.547373248760395</v>
      </c>
      <c r="D10" s="10" t="n">
        <v>126510</v>
      </c>
      <c r="E10" s="10" t="n">
        <v>104612</v>
      </c>
    </row>
    <row r="11" customFormat="false" ht="15" hidden="false" customHeight="false" outlineLevel="0" collapsed="false">
      <c r="A11" s="8" t="s">
        <v>12</v>
      </c>
      <c r="B11" s="8"/>
      <c r="C11" s="9" t="n">
        <f aca="false">D11/(D11+E11)</f>
        <v>0.514370811615786</v>
      </c>
      <c r="D11" s="10" t="n">
        <v>176154</v>
      </c>
      <c r="E11" s="10" t="n">
        <v>166311</v>
      </c>
    </row>
    <row r="12" customFormat="false" ht="15" hidden="false" customHeight="false" outlineLevel="0" collapsed="false">
      <c r="A12" s="8" t="s">
        <v>13</v>
      </c>
      <c r="B12" s="8"/>
      <c r="C12" s="9" t="n">
        <f aca="false">D12/(D12+E12)</f>
        <v>0.508965719508369</v>
      </c>
      <c r="D12" s="10" t="n">
        <v>149243</v>
      </c>
      <c r="E12" s="10" t="n">
        <v>143985</v>
      </c>
    </row>
    <row r="13" customFormat="false" ht="15" hidden="false" customHeight="false" outlineLevel="0" collapsed="false">
      <c r="A13" s="8" t="s">
        <v>14</v>
      </c>
      <c r="B13" s="8"/>
      <c r="C13" s="9" t="n">
        <f aca="false">D13/(D13+E13)</f>
        <v>0.494248133629371</v>
      </c>
      <c r="D13" s="10" t="n">
        <v>196561</v>
      </c>
      <c r="E13" s="10" t="n">
        <v>201136</v>
      </c>
    </row>
    <row r="15" customFormat="false" ht="15" hidden="false" customHeight="false" outlineLevel="0" collapsed="false">
      <c r="A15" s="4" t="s">
        <v>15</v>
      </c>
      <c r="B15" s="4"/>
      <c r="C15" s="4"/>
      <c r="D15" s="4"/>
      <c r="E15" s="4"/>
      <c r="F15" s="4"/>
      <c r="G15" s="4"/>
      <c r="H15" s="4"/>
      <c r="I15" s="4"/>
    </row>
    <row r="16" customFormat="false" ht="31.5" hidden="false" customHeight="true" outlineLevel="0" collapsed="false">
      <c r="A16" s="7" t="s">
        <v>16</v>
      </c>
      <c r="B16" s="7" t="s">
        <v>17</v>
      </c>
      <c r="C16" s="7" t="s">
        <v>18</v>
      </c>
      <c r="D16" s="7" t="s">
        <v>19</v>
      </c>
      <c r="E16" s="7" t="s">
        <v>20</v>
      </c>
      <c r="F16" s="7" t="s">
        <v>21</v>
      </c>
      <c r="G16" s="7" t="s">
        <v>22</v>
      </c>
      <c r="H16" s="7" t="s">
        <v>23</v>
      </c>
      <c r="I16" s="7" t="s">
        <v>24</v>
      </c>
    </row>
    <row r="17" customFormat="false" ht="15" hidden="false" customHeight="false" outlineLevel="0" collapsed="false">
      <c r="A17" s="11" t="s">
        <v>25</v>
      </c>
      <c r="B17" s="12" t="s">
        <v>26</v>
      </c>
      <c r="C17" s="13" t="n">
        <f aca="false">'2026 Forecast A'!D8</f>
        <v>174038</v>
      </c>
      <c r="D17" s="13" t="n">
        <f aca="false">'2026 Forecast A'!E8</f>
        <v>155482</v>
      </c>
      <c r="E17" s="13" t="n">
        <f aca="false">'2026 Forecast A'!F8</f>
        <v>329520</v>
      </c>
      <c r="F17" s="14" t="n">
        <f aca="false">'2026 Forecast A'!G8</f>
        <v>0.528156105850935</v>
      </c>
      <c r="G17" s="15" t="n">
        <f aca="false">'2026 Forecast A'!J8</f>
        <v>1.94220414566566</v>
      </c>
      <c r="H17" s="12" t="str">
        <f aca="false">TEXT('2026 Forecast A'!K8,"0.0%")&amp;" – "&amp;TEXT('2026 Forecast A'!L8,"0.0%")</f>
        <v>50.9% – 54.8%</v>
      </c>
      <c r="I17" s="13" t="n">
        <f aca="false">'2026 Forecast A'!N8</f>
        <v>8669</v>
      </c>
    </row>
    <row r="18" customFormat="false" ht="15" hidden="false" customHeight="false" outlineLevel="0" collapsed="false">
      <c r="A18" s="11" t="s">
        <v>27</v>
      </c>
      <c r="B18" s="12" t="s">
        <v>28</v>
      </c>
      <c r="C18" s="13" t="n">
        <f aca="false">'2026 Forecast B'!D8</f>
        <v>174770</v>
      </c>
      <c r="D18" s="13" t="n">
        <f aca="false">'2026 Forecast B'!E8</f>
        <v>156118</v>
      </c>
      <c r="E18" s="13" t="n">
        <f aca="false">'2026 Forecast B'!F8</f>
        <v>330888</v>
      </c>
      <c r="F18" s="14" t="n">
        <f aca="false">'2026 Forecast B'!G8</f>
        <v>0.528184763424482</v>
      </c>
      <c r="G18" s="15" t="n">
        <f aca="false">'2026 Forecast B'!J8</f>
        <v>1.94140448480328</v>
      </c>
      <c r="H18" s="12" t="str">
        <f aca="false">TEXT('2026 Forecast B'!K8,"0.0%")&amp;" – "&amp;TEXT('2026 Forecast B'!L8,"0.0%")</f>
        <v>50.9% – 54.8%</v>
      </c>
      <c r="I18" s="13" t="n">
        <f aca="false">'2026 Forecast B'!N8</f>
        <v>7615</v>
      </c>
    </row>
    <row r="19" customFormat="false" ht="15" hidden="false" customHeight="false" outlineLevel="0" collapsed="false">
      <c r="A19" s="11" t="s">
        <v>29</v>
      </c>
      <c r="B19" s="12" t="s">
        <v>30</v>
      </c>
      <c r="C19" s="13" t="n">
        <f aca="false">'2026 Forecast C'!D8</f>
        <v>170926</v>
      </c>
      <c r="D19" s="13" t="n">
        <f aca="false">'2026 Forecast C'!E8</f>
        <v>152693</v>
      </c>
      <c r="E19" s="13" t="n">
        <f aca="false">'2026 Forecast C'!F8</f>
        <v>323619</v>
      </c>
      <c r="F19" s="14" t="n">
        <f aca="false">'2026 Forecast C'!G8</f>
        <v>0.528170472067462</v>
      </c>
      <c r="G19" s="15" t="n">
        <f aca="false">'2026 Forecast C'!J8</f>
        <v>1.94004512672387</v>
      </c>
      <c r="H19" s="12" t="str">
        <f aca="false">TEXT('2026 Forecast C'!K8,"0.0%")&amp;" – "&amp;TEXT('2026 Forecast C'!L8,"0.0%")</f>
        <v>50.9% – 54.8%</v>
      </c>
      <c r="I19" s="13" t="n">
        <f aca="false">'2026 Forecast C'!N8</f>
        <v>8509</v>
      </c>
    </row>
    <row r="21" customFormat="false" ht="15" hidden="false" customHeight="false" outlineLevel="0" collapsed="false">
      <c r="A21" s="4" t="s">
        <v>31</v>
      </c>
      <c r="B21" s="4"/>
      <c r="C21" s="4"/>
      <c r="D21" s="4"/>
      <c r="E21" s="4"/>
      <c r="F21" s="4"/>
      <c r="G21" s="4"/>
      <c r="H21" s="4"/>
      <c r="I21" s="4"/>
    </row>
    <row r="22" customFormat="false" ht="45" hidden="false" customHeight="true" outlineLevel="0" collapsed="false">
      <c r="A22" s="7" t="s">
        <v>16</v>
      </c>
      <c r="B22" s="7" t="s">
        <v>32</v>
      </c>
      <c r="C22" s="7" t="s">
        <v>33</v>
      </c>
      <c r="D22" s="7" t="s">
        <v>34</v>
      </c>
      <c r="E22" s="7" t="s">
        <v>35</v>
      </c>
      <c r="F22" s="7" t="s">
        <v>36</v>
      </c>
      <c r="G22" s="7" t="s">
        <v>37</v>
      </c>
      <c r="H22" s="7" t="s">
        <v>38</v>
      </c>
      <c r="I22" s="7" t="s">
        <v>39</v>
      </c>
    </row>
    <row r="23" customFormat="false" ht="15" hidden="false" customHeight="false" outlineLevel="0" collapsed="false">
      <c r="A23" s="16" t="s">
        <v>25</v>
      </c>
      <c r="B23" s="17" t="n">
        <f aca="false">'2024 Backtest A'!F103</f>
        <v>89</v>
      </c>
      <c r="C23" s="18" t="n">
        <f aca="false">'2024 Backtest A'!F97</f>
        <v>2.77629237072266</v>
      </c>
      <c r="D23" s="18" t="n">
        <f aca="false">'2024 Backtest A'!F98</f>
        <v>3.23282523452204</v>
      </c>
      <c r="E23" s="19" t="n">
        <f aca="false">'2024 Backtest A'!F99</f>
        <v>1.94220414566566</v>
      </c>
      <c r="F23" s="18" t="n">
        <f aca="false">'2024 Backtest A'!F100</f>
        <v>1.94339086104386</v>
      </c>
      <c r="G23" s="20" t="n">
        <f aca="false">'2024 Backtest A'!F101</f>
        <v>0.0335768160787873</v>
      </c>
      <c r="H23" s="21" t="n">
        <f aca="false">'2024 Backtest A'!F95</f>
        <v>191.606741573034</v>
      </c>
      <c r="I23" s="22" t="n">
        <f aca="false">'2024 Backtest A'!F102</f>
        <v>0.629213483146067</v>
      </c>
    </row>
    <row r="24" customFormat="false" ht="15" hidden="false" customHeight="false" outlineLevel="0" collapsed="false">
      <c r="A24" s="16" t="s">
        <v>27</v>
      </c>
      <c r="B24" s="17" t="n">
        <f aca="false">'2024 Backtest B'!F103</f>
        <v>89</v>
      </c>
      <c r="C24" s="18" t="n">
        <f aca="false">'2024 Backtest B'!F97</f>
        <v>2.74628376563272</v>
      </c>
      <c r="D24" s="18" t="n">
        <f aca="false">'2024 Backtest B'!F98</f>
        <v>3.25923920884262</v>
      </c>
      <c r="E24" s="19" t="n">
        <f aca="false">'2024 Backtest B'!F99</f>
        <v>1.94140448480328</v>
      </c>
      <c r="F24" s="18" t="n">
        <f aca="false">'2024 Backtest B'!F100</f>
        <v>2.05488259583336</v>
      </c>
      <c r="G24" s="20" t="n">
        <f aca="false">'2024 Backtest B'!F101</f>
        <v>0.0233738476720371</v>
      </c>
      <c r="H24" s="21" t="n">
        <f aca="false">'2024 Backtest B'!F95</f>
        <v>169.134831460674</v>
      </c>
      <c r="I24" s="22" t="n">
        <f aca="false">'2024 Backtest B'!F102</f>
        <v>0.629213483146067</v>
      </c>
    </row>
    <row r="25" customFormat="false" ht="15" hidden="false" customHeight="false" outlineLevel="0" collapsed="false">
      <c r="A25" s="16" t="s">
        <v>29</v>
      </c>
      <c r="B25" s="17" t="n">
        <f aca="false">'2024 Backtest C'!F103</f>
        <v>89</v>
      </c>
      <c r="C25" s="18" t="n">
        <f aca="false">'2024 Backtest C'!F97</f>
        <v>2.14144594422439</v>
      </c>
      <c r="D25" s="18" t="n">
        <f aca="false">'2024 Backtest C'!F98</f>
        <v>2.62529308210903</v>
      </c>
      <c r="E25" s="19" t="n">
        <f aca="false">'2024 Backtest C'!F99</f>
        <v>1.94004512672387</v>
      </c>
      <c r="F25" s="18" t="n">
        <f aca="false">'2024 Backtest C'!F100</f>
        <v>1.8786634707146</v>
      </c>
      <c r="G25" s="20" t="n">
        <f aca="false">'2024 Backtest C'!F101</f>
        <v>0.0335768160787873</v>
      </c>
      <c r="H25" s="21" t="n">
        <f aca="false">'2024 Backtest C'!F95</f>
        <v>173.887640449438</v>
      </c>
      <c r="I25" s="22" t="n">
        <f aca="false">'2024 Backtest C'!F102</f>
        <v>0.741573033707865</v>
      </c>
    </row>
    <row r="26" customFormat="false" ht="15" hidden="false" customHeight="false" outlineLevel="0" collapsed="false">
      <c r="A26" s="23" t="s">
        <v>40</v>
      </c>
      <c r="B26" s="23"/>
      <c r="C26" s="23"/>
      <c r="D26" s="23"/>
      <c r="E26" s="23"/>
      <c r="F26" s="23"/>
      <c r="G26" s="23"/>
      <c r="H26" s="23"/>
      <c r="I26" s="23"/>
    </row>
    <row r="28" customFormat="false" ht="15" hidden="false" customHeight="false" outlineLevel="0" collapsed="false">
      <c r="A28" s="4" t="s">
        <v>41</v>
      </c>
      <c r="B28" s="4"/>
      <c r="C28" s="4"/>
      <c r="D28" s="4"/>
      <c r="E28" s="4"/>
      <c r="F28" s="4"/>
      <c r="G28" s="4"/>
      <c r="H28" s="4"/>
      <c r="I28" s="4"/>
      <c r="J28" s="4"/>
      <c r="K28" s="4"/>
      <c r="L28" s="4"/>
    </row>
    <row r="29" customFormat="false" ht="31.5" hidden="false" customHeight="true" outlineLevel="0" collapsed="false">
      <c r="A29" s="7" t="s">
        <v>42</v>
      </c>
      <c r="B29" s="7" t="s">
        <v>43</v>
      </c>
      <c r="C29" s="7" t="s">
        <v>44</v>
      </c>
      <c r="D29" s="7" t="s">
        <v>25</v>
      </c>
      <c r="E29" s="7" t="s">
        <v>27</v>
      </c>
      <c r="F29" s="7" t="s">
        <v>29</v>
      </c>
      <c r="G29" s="7" t="s">
        <v>45</v>
      </c>
      <c r="H29" s="7" t="s">
        <v>46</v>
      </c>
      <c r="I29" s="7" t="s">
        <v>47</v>
      </c>
      <c r="J29" s="7" t="s">
        <v>48</v>
      </c>
      <c r="K29" s="7" t="s">
        <v>49</v>
      </c>
      <c r="L29" s="7" t="s">
        <v>50</v>
      </c>
    </row>
    <row r="30" customFormat="false" ht="15" hidden="false" customHeight="false" outlineLevel="0" collapsed="false">
      <c r="A30" s="8" t="str">
        <f aca="false">'2026 Forecast A'!A12</f>
        <v>Carbon</v>
      </c>
      <c r="B30" s="8" t="str">
        <f aca="false">'2026 Forecast A'!B12</f>
        <v>BANKS TOWNSHIP</v>
      </c>
      <c r="C30" s="8" t="str">
        <f aca="false">'2026 Forecast A'!C12</f>
        <v>(whole municipality)</v>
      </c>
      <c r="D30" s="9" t="n">
        <f aca="false">'2026 Forecast A'!G12</f>
        <v>0.425061425061425</v>
      </c>
      <c r="E30" s="9" t="n">
        <f aca="false">'2026 Forecast B'!G12</f>
        <v>0.428921568627451</v>
      </c>
      <c r="F30" s="9" t="n">
        <f aca="false">'2026 Forecast C'!G12</f>
        <v>0.428927680798005</v>
      </c>
      <c r="G30" s="24" t="n">
        <f aca="false">(MAX(D30:F30)-MIN(D30:F30))*100</f>
        <v>0.386625573657989</v>
      </c>
      <c r="H30" s="24" t="n">
        <f aca="false">'2026 Forecast A'!J12</f>
        <v>2.62223349707705</v>
      </c>
      <c r="I30" s="24" t="n">
        <f aca="false">'2026 Forecast B'!J12</f>
        <v>2.77130020190375</v>
      </c>
      <c r="J30" s="24" t="n">
        <f aca="false">'2026 Forecast C'!J12</f>
        <v>2.46414572893645</v>
      </c>
      <c r="K30" s="25" t="n">
        <f aca="false">'2026 Forecast A'!F12</f>
        <v>407</v>
      </c>
      <c r="L30" s="26" t="str">
        <f aca="false">IF(OR(AND(D30&gt;0.5,E30&gt;0.5,F30&gt;0.5),AND(D30&lt;0.5,E30&lt;0.5,F30&lt;0.5)),"Yes","No — toss-up")</f>
        <v>Yes</v>
      </c>
    </row>
    <row r="31" customFormat="false" ht="15" hidden="false" customHeight="false" outlineLevel="0" collapsed="false">
      <c r="A31" s="8" t="str">
        <f aca="false">'2026 Forecast A'!A13</f>
        <v>Carbon</v>
      </c>
      <c r="B31" s="8" t="str">
        <f aca="false">'2026 Forecast A'!B13</f>
        <v>BEAVER MEADOWS BOROUGH</v>
      </c>
      <c r="C31" s="8" t="str">
        <f aca="false">'2026 Forecast A'!C13</f>
        <v>(whole municipality)</v>
      </c>
      <c r="D31" s="9" t="n">
        <f aca="false">'2026 Forecast A'!G13</f>
        <v>0.323615160349854</v>
      </c>
      <c r="E31" s="9" t="n">
        <f aca="false">'2026 Forecast B'!G13</f>
        <v>0.327536231884058</v>
      </c>
      <c r="F31" s="9" t="n">
        <f aca="false">'2026 Forecast C'!G13</f>
        <v>0.315942028985507</v>
      </c>
      <c r="G31" s="24" t="n">
        <f aca="false">(MAX(D31:F31)-MIN(D31:F31))*100</f>
        <v>1.15942028985507</v>
      </c>
      <c r="H31" s="24" t="n">
        <f aca="false">'2026 Forecast A'!J13</f>
        <v>2.62223349707705</v>
      </c>
      <c r="I31" s="24" t="n">
        <f aca="false">'2026 Forecast B'!J13</f>
        <v>2.77130020190375</v>
      </c>
      <c r="J31" s="24" t="n">
        <f aca="false">'2026 Forecast C'!J13</f>
        <v>2.46414572893645</v>
      </c>
      <c r="K31" s="25" t="n">
        <f aca="false">'2026 Forecast A'!F13</f>
        <v>343</v>
      </c>
      <c r="L31" s="26" t="str">
        <f aca="false">IF(OR(AND(D31&gt;0.5,E31&gt;0.5,F31&gt;0.5),AND(D31&lt;0.5,E31&lt;0.5,F31&lt;0.5)),"Yes","No — toss-up")</f>
        <v>Yes</v>
      </c>
    </row>
    <row r="32" customFormat="false" ht="15" hidden="false" customHeight="false" outlineLevel="0" collapsed="false">
      <c r="A32" s="8" t="str">
        <f aca="false">'2026 Forecast A'!A14</f>
        <v>Carbon</v>
      </c>
      <c r="B32" s="8" t="str">
        <f aca="false">'2026 Forecast A'!B14</f>
        <v>BOWMANSTOWN BOROUGH</v>
      </c>
      <c r="C32" s="8" t="str">
        <f aca="false">'2026 Forecast A'!C14</f>
        <v>(whole municipality)</v>
      </c>
      <c r="D32" s="9" t="n">
        <f aca="false">'2026 Forecast A'!G14</f>
        <v>0.367609254498715</v>
      </c>
      <c r="E32" s="9" t="n">
        <f aca="false">'2026 Forecast B'!G14</f>
        <v>0.370843989769821</v>
      </c>
      <c r="F32" s="9" t="n">
        <f aca="false">'2026 Forecast C'!G14</f>
        <v>0.354166666666667</v>
      </c>
      <c r="G32" s="24" t="n">
        <f aca="false">(MAX(D32:F32)-MIN(D32:F32))*100</f>
        <v>1.66773231031543</v>
      </c>
      <c r="H32" s="24" t="n">
        <f aca="false">'2026 Forecast A'!J14</f>
        <v>2.62223349707705</v>
      </c>
      <c r="I32" s="24" t="n">
        <f aca="false">'2026 Forecast B'!J14</f>
        <v>2.77130020190375</v>
      </c>
      <c r="J32" s="24" t="n">
        <f aca="false">'2026 Forecast C'!J14</f>
        <v>2.46414572893645</v>
      </c>
      <c r="K32" s="25" t="n">
        <f aca="false">'2026 Forecast A'!F14</f>
        <v>389</v>
      </c>
      <c r="L32" s="26" t="str">
        <f aca="false">IF(OR(AND(D32&gt;0.5,E32&gt;0.5,F32&gt;0.5),AND(D32&lt;0.5,E32&lt;0.5,F32&lt;0.5)),"Yes","No — toss-up")</f>
        <v>Yes</v>
      </c>
    </row>
    <row r="33" customFormat="false" ht="15" hidden="false" customHeight="false" outlineLevel="0" collapsed="false">
      <c r="A33" s="8" t="str">
        <f aca="false">'2026 Forecast A'!A15</f>
        <v>Carbon</v>
      </c>
      <c r="B33" s="8" t="str">
        <f aca="false">'2026 Forecast A'!B15</f>
        <v>EAST PENN TOWNSHIP</v>
      </c>
      <c r="C33" s="8" t="str">
        <f aca="false">'2026 Forecast A'!C15</f>
        <v>(whole municipality)</v>
      </c>
      <c r="D33" s="9" t="n">
        <f aca="false">'2026 Forecast A'!G15</f>
        <v>0.313873626373626</v>
      </c>
      <c r="E33" s="9" t="n">
        <f aca="false">'2026 Forecast B'!G15</f>
        <v>0.31740614334471</v>
      </c>
      <c r="F33" s="9" t="n">
        <f aca="false">'2026 Forecast C'!G15</f>
        <v>0.299033149171271</v>
      </c>
      <c r="G33" s="24" t="n">
        <f aca="false">(MAX(D33:F33)-MIN(D33:F33))*100</f>
        <v>1.83729941734392</v>
      </c>
      <c r="H33" s="24" t="n">
        <f aca="false">'2026 Forecast A'!J15</f>
        <v>2.62223349707705</v>
      </c>
      <c r="I33" s="24" t="n">
        <f aca="false">'2026 Forecast B'!J15</f>
        <v>2.77130020190375</v>
      </c>
      <c r="J33" s="24" t="n">
        <f aca="false">'2026 Forecast C'!J15</f>
        <v>2.46414572893645</v>
      </c>
      <c r="K33" s="25" t="n">
        <f aca="false">'2026 Forecast A'!F15</f>
        <v>1456</v>
      </c>
      <c r="L33" s="26" t="str">
        <f aca="false">IF(OR(AND(D33&gt;0.5,E33&gt;0.5,F33&gt;0.5),AND(D33&lt;0.5,E33&lt;0.5,F33&lt;0.5)),"Yes","No — toss-up")</f>
        <v>Yes</v>
      </c>
    </row>
    <row r="34" customFormat="false" ht="15" hidden="false" customHeight="false" outlineLevel="0" collapsed="false">
      <c r="A34" s="8" t="str">
        <f aca="false">'2026 Forecast A'!A16</f>
        <v>Carbon</v>
      </c>
      <c r="B34" s="8" t="str">
        <f aca="false">'2026 Forecast A'!B16</f>
        <v>EAST SIDE BOROUGH</v>
      </c>
      <c r="C34" s="8" t="str">
        <f aca="false">'2026 Forecast A'!C16</f>
        <v>(whole municipality)</v>
      </c>
      <c r="D34" s="9" t="n">
        <f aca="false">'2026 Forecast A'!G16</f>
        <v>0.384615384615385</v>
      </c>
      <c r="E34" s="9" t="n">
        <f aca="false">'2026 Forecast B'!G16</f>
        <v>0.388349514563107</v>
      </c>
      <c r="F34" s="9" t="n">
        <f aca="false">'2026 Forecast C'!G16</f>
        <v>0.375</v>
      </c>
      <c r="G34" s="24" t="n">
        <f aca="false">(MAX(D34:F34)-MIN(D34:F34))*100</f>
        <v>1.33495145631068</v>
      </c>
      <c r="H34" s="24" t="n">
        <f aca="false">'2026 Forecast A'!J16</f>
        <v>2.62223349707705</v>
      </c>
      <c r="I34" s="24" t="n">
        <f aca="false">'2026 Forecast B'!J16</f>
        <v>2.77130020190375</v>
      </c>
      <c r="J34" s="24" t="n">
        <f aca="false">'2026 Forecast C'!J16</f>
        <v>2.46414572893645</v>
      </c>
      <c r="K34" s="25" t="n">
        <f aca="false">'2026 Forecast A'!F16</f>
        <v>104</v>
      </c>
      <c r="L34" s="26" t="str">
        <f aca="false">IF(OR(AND(D34&gt;0.5,E34&gt;0.5,F34&gt;0.5),AND(D34&lt;0.5,E34&lt;0.5,F34&lt;0.5)),"Yes","No — toss-up")</f>
        <v>Yes</v>
      </c>
    </row>
    <row r="35" customFormat="false" ht="15" hidden="false" customHeight="false" outlineLevel="0" collapsed="false">
      <c r="A35" s="8" t="str">
        <f aca="false">'2026 Forecast A'!A17</f>
        <v>Carbon</v>
      </c>
      <c r="B35" s="8" t="str">
        <f aca="false">'2026 Forecast A'!B17</f>
        <v>FRANKLIN TOWNSHIP</v>
      </c>
      <c r="C35" s="8" t="str">
        <f aca="false">'2026 Forecast A'!C17</f>
        <v>(whole municipality)</v>
      </c>
      <c r="D35" s="9" t="n">
        <f aca="false">'2026 Forecast A'!G17</f>
        <v>0.324593128390597</v>
      </c>
      <c r="E35" s="9" t="n">
        <f aca="false">'2026 Forecast B'!G17</f>
        <v>0.321927059882936</v>
      </c>
      <c r="F35" s="9" t="n">
        <f aca="false">'2026 Forecast C'!G17</f>
        <v>0.311985361390668</v>
      </c>
      <c r="G35" s="24" t="n">
        <f aca="false">(MAX(D35:F35)-MIN(D35:F35))*100</f>
        <v>1.26077669999288</v>
      </c>
      <c r="H35" s="24" t="n">
        <f aca="false">'2026 Forecast A'!J17</f>
        <v>1.7411899431073</v>
      </c>
      <c r="I35" s="24" t="n">
        <f aca="false">'2026 Forecast B'!J17</f>
        <v>1.9629605122441</v>
      </c>
      <c r="J35" s="24" t="n">
        <f aca="false">'2026 Forecast C'!J17</f>
        <v>1.379737565379</v>
      </c>
      <c r="K35" s="25" t="n">
        <f aca="false">'2026 Forecast A'!F17</f>
        <v>2212</v>
      </c>
      <c r="L35" s="26" t="str">
        <f aca="false">IF(OR(AND(D35&gt;0.5,E35&gt;0.5,F35&gt;0.5),AND(D35&lt;0.5,E35&lt;0.5,F35&lt;0.5)),"Yes","No — toss-up")</f>
        <v>Yes</v>
      </c>
    </row>
    <row r="36" customFormat="false" ht="15" hidden="false" customHeight="false" outlineLevel="0" collapsed="false">
      <c r="A36" s="8" t="str">
        <f aca="false">'2026 Forecast A'!A18</f>
        <v>Carbon</v>
      </c>
      <c r="B36" s="8" t="str">
        <f aca="false">'2026 Forecast A'!B18</f>
        <v>JIM THORPE BOROUGH</v>
      </c>
      <c r="C36" s="8" t="str">
        <f aca="false">'2026 Forecast A'!C18</f>
        <v>(whole municipality)</v>
      </c>
      <c r="D36" s="9" t="n">
        <f aca="false">'2026 Forecast A'!G18</f>
        <v>0.483424255140579</v>
      </c>
      <c r="E36" s="9" t="n">
        <f aca="false">'2026 Forecast B'!G18</f>
        <v>0.483951646519383</v>
      </c>
      <c r="F36" s="9" t="n">
        <f aca="false">'2026 Forecast C'!G18</f>
        <v>0.479845626072041</v>
      </c>
      <c r="G36" s="24" t="n">
        <f aca="false">(MAX(D36:F36)-MIN(D36:F36))*100</f>
        <v>0.410602044734187</v>
      </c>
      <c r="H36" s="24" t="n">
        <f aca="false">'2026 Forecast A'!J18</f>
        <v>1.7411899431073</v>
      </c>
      <c r="I36" s="24" t="n">
        <f aca="false">'2026 Forecast B'!J18</f>
        <v>1.9629605122441</v>
      </c>
      <c r="J36" s="24" t="n">
        <f aca="false">'2026 Forecast C'!J18</f>
        <v>1.379737565379</v>
      </c>
      <c r="K36" s="25" t="n">
        <f aca="false">'2026 Forecast A'!F18</f>
        <v>2383</v>
      </c>
      <c r="L36" s="26" t="str">
        <f aca="false">IF(OR(AND(D36&gt;0.5,E36&gt;0.5,F36&gt;0.5),AND(D36&lt;0.5,E36&lt;0.5,F36&lt;0.5)),"Yes","No — toss-up")</f>
        <v>Yes</v>
      </c>
    </row>
    <row r="37" customFormat="false" ht="15" hidden="false" customHeight="false" outlineLevel="0" collapsed="false">
      <c r="A37" s="8" t="str">
        <f aca="false">'2026 Forecast A'!A19</f>
        <v>Carbon</v>
      </c>
      <c r="B37" s="8" t="str">
        <f aca="false">'2026 Forecast A'!B19</f>
        <v>KIDDER TOWNSHIP</v>
      </c>
      <c r="C37" s="8" t="str">
        <f aca="false">'2026 Forecast A'!C19</f>
        <v>(whole municipality)</v>
      </c>
      <c r="D37" s="9" t="n">
        <f aca="false">'2026 Forecast A'!G19</f>
        <v>0.373893805309735</v>
      </c>
      <c r="E37" s="9" t="n">
        <f aca="false">'2026 Forecast B'!G19</f>
        <v>0.376522702104097</v>
      </c>
      <c r="F37" s="9" t="n">
        <f aca="false">'2026 Forecast C'!G19</f>
        <v>0.358888888888889</v>
      </c>
      <c r="G37" s="24" t="n">
        <f aca="false">(MAX(D37:F37)-MIN(D37:F37))*100</f>
        <v>1.76338132152086</v>
      </c>
      <c r="H37" s="24" t="n">
        <f aca="false">'2026 Forecast A'!J19</f>
        <v>2.62223349707705</v>
      </c>
      <c r="I37" s="24" t="n">
        <f aca="false">'2026 Forecast B'!J19</f>
        <v>2.77130020190375</v>
      </c>
      <c r="J37" s="24" t="n">
        <f aca="false">'2026 Forecast C'!J19</f>
        <v>2.46414572893645</v>
      </c>
      <c r="K37" s="25" t="n">
        <f aca="false">'2026 Forecast A'!F19</f>
        <v>904</v>
      </c>
      <c r="L37" s="26" t="str">
        <f aca="false">IF(OR(AND(D37&gt;0.5,E37&gt;0.5,F37&gt;0.5),AND(D37&lt;0.5,E37&lt;0.5,F37&lt;0.5)),"Yes","No — toss-up")</f>
        <v>Yes</v>
      </c>
    </row>
    <row r="38" customFormat="false" ht="15" hidden="false" customHeight="false" outlineLevel="0" collapsed="false">
      <c r="A38" s="8" t="str">
        <f aca="false">'2026 Forecast A'!A20</f>
        <v>Carbon</v>
      </c>
      <c r="B38" s="8" t="str">
        <f aca="false">'2026 Forecast A'!B20</f>
        <v>LANSFORD BOROUGH</v>
      </c>
      <c r="C38" s="8" t="str">
        <f aca="false">'2026 Forecast A'!C20</f>
        <v>(whole municipality)</v>
      </c>
      <c r="D38" s="9" t="n">
        <f aca="false">'2026 Forecast A'!G20</f>
        <v>0.441039925719591</v>
      </c>
      <c r="E38" s="9" t="n">
        <f aca="false">'2026 Forecast B'!G20</f>
        <v>0.447296058661778</v>
      </c>
      <c r="F38" s="9" t="n">
        <f aca="false">'2026 Forecast C'!G20</f>
        <v>0.442934782608696</v>
      </c>
      <c r="G38" s="24" t="n">
        <f aca="false">(MAX(D38:F38)-MIN(D38:F38))*100</f>
        <v>0.625613294218674</v>
      </c>
      <c r="H38" s="24" t="n">
        <f aca="false">'2026 Forecast A'!J20</f>
        <v>2.62223349707705</v>
      </c>
      <c r="I38" s="24" t="n">
        <f aca="false">'2026 Forecast B'!J20</f>
        <v>2.77130020190375</v>
      </c>
      <c r="J38" s="24" t="n">
        <f aca="false">'2026 Forecast C'!J20</f>
        <v>2.46414572893645</v>
      </c>
      <c r="K38" s="25" t="n">
        <f aca="false">'2026 Forecast A'!F20</f>
        <v>1077</v>
      </c>
      <c r="L38" s="26" t="str">
        <f aca="false">IF(OR(AND(D38&gt;0.5,E38&gt;0.5,F38&gt;0.5),AND(D38&lt;0.5,E38&lt;0.5,F38&lt;0.5)),"Yes","No — toss-up")</f>
        <v>Yes</v>
      </c>
    </row>
    <row r="39" customFormat="false" ht="15" hidden="false" customHeight="false" outlineLevel="0" collapsed="false">
      <c r="A39" s="8" t="str">
        <f aca="false">'2026 Forecast A'!A21</f>
        <v>Carbon</v>
      </c>
      <c r="B39" s="8" t="str">
        <f aca="false">'2026 Forecast A'!B21</f>
        <v>LAUSANNE TOWNSHIP</v>
      </c>
      <c r="C39" s="8" t="str">
        <f aca="false">'2026 Forecast A'!C21</f>
        <v>(whole municipality)</v>
      </c>
      <c r="D39" s="9" t="n">
        <f aca="false">'2026 Forecast A'!G21</f>
        <v>0.325581395348837</v>
      </c>
      <c r="E39" s="9" t="n">
        <f aca="false">'2026 Forecast B'!G21</f>
        <v>0.325581395348837</v>
      </c>
      <c r="F39" s="9" t="n">
        <f aca="false">'2026 Forecast C'!G21</f>
        <v>0.310077519379845</v>
      </c>
      <c r="G39" s="24" t="n">
        <f aca="false">(MAX(D39:F39)-MIN(D39:F39))*100</f>
        <v>1.55038759689923</v>
      </c>
      <c r="H39" s="24" t="n">
        <f aca="false">'2026 Forecast A'!J21</f>
        <v>2.62223349707705</v>
      </c>
      <c r="I39" s="24" t="n">
        <f aca="false">'2026 Forecast B'!J21</f>
        <v>2.77130020190375</v>
      </c>
      <c r="J39" s="24" t="n">
        <f aca="false">'2026 Forecast C'!J21</f>
        <v>2.46414572893645</v>
      </c>
      <c r="K39" s="25" t="n">
        <f aca="false">'2026 Forecast A'!F21</f>
        <v>129</v>
      </c>
      <c r="L39" s="26" t="str">
        <f aca="false">IF(OR(AND(D39&gt;0.5,E39&gt;0.5,F39&gt;0.5),AND(D39&lt;0.5,E39&lt;0.5,F39&lt;0.5)),"Yes","No — toss-up")</f>
        <v>Yes</v>
      </c>
    </row>
    <row r="40" customFormat="false" ht="15" hidden="false" customHeight="false" outlineLevel="0" collapsed="false">
      <c r="A40" s="8" t="str">
        <f aca="false">'2026 Forecast A'!A22</f>
        <v>Carbon</v>
      </c>
      <c r="B40" s="8" t="str">
        <f aca="false">'2026 Forecast A'!B22</f>
        <v>LEHIGH TOWNSHIP</v>
      </c>
      <c r="C40" s="8" t="str">
        <f aca="false">'2026 Forecast A'!C22</f>
        <v>(whole municipality)</v>
      </c>
      <c r="D40" s="9" t="n">
        <f aca="false">'2026 Forecast A'!G22</f>
        <v>0.246268656716418</v>
      </c>
      <c r="E40" s="9" t="n">
        <f aca="false">'2026 Forecast B'!G22</f>
        <v>0.254612546125461</v>
      </c>
      <c r="F40" s="9" t="n">
        <f aca="false">'2026 Forecast C'!G22</f>
        <v>0.21969696969697</v>
      </c>
      <c r="G40" s="24" t="n">
        <f aca="false">(MAX(D40:F40)-MIN(D40:F40))*100</f>
        <v>3.49155764284916</v>
      </c>
      <c r="H40" s="24" t="n">
        <f aca="false">'2026 Forecast A'!J22</f>
        <v>2.62223349707705</v>
      </c>
      <c r="I40" s="24" t="n">
        <f aca="false">'2026 Forecast B'!J22</f>
        <v>2.77130020190375</v>
      </c>
      <c r="J40" s="24" t="n">
        <f aca="false">'2026 Forecast C'!J22</f>
        <v>2.46414572893645</v>
      </c>
      <c r="K40" s="25" t="n">
        <f aca="false">'2026 Forecast A'!F22</f>
        <v>268</v>
      </c>
      <c r="L40" s="26" t="str">
        <f aca="false">IF(OR(AND(D40&gt;0.5,E40&gt;0.5,F40&gt;0.5),AND(D40&lt;0.5,E40&lt;0.5,F40&lt;0.5)),"Yes","No — toss-up")</f>
        <v>Yes</v>
      </c>
    </row>
    <row r="41" customFormat="false" ht="15" hidden="false" customHeight="false" outlineLevel="0" collapsed="false">
      <c r="A41" s="8" t="str">
        <f aca="false">'2026 Forecast A'!A23</f>
        <v>Carbon</v>
      </c>
      <c r="B41" s="8" t="str">
        <f aca="false">'2026 Forecast A'!B23</f>
        <v>LEHIGHTON BOROUGH</v>
      </c>
      <c r="C41" s="8" t="str">
        <f aca="false">'2026 Forecast A'!C23</f>
        <v>(whole municipality)</v>
      </c>
      <c r="D41" s="9" t="n">
        <f aca="false">'2026 Forecast A'!G23</f>
        <v>0.439807383627608</v>
      </c>
      <c r="E41" s="9" t="n">
        <f aca="false">'2026 Forecast B'!G23</f>
        <v>0.44456289978678</v>
      </c>
      <c r="F41" s="9" t="n">
        <f aca="false">'2026 Forecast C'!G23</f>
        <v>0.432065217391304</v>
      </c>
      <c r="G41" s="24" t="n">
        <f aca="false">(MAX(D41:F41)-MIN(D41:F41))*100</f>
        <v>1.24976823954761</v>
      </c>
      <c r="H41" s="24" t="n">
        <f aca="false">'2026 Forecast A'!J23</f>
        <v>1.7411899431073</v>
      </c>
      <c r="I41" s="24" t="n">
        <f aca="false">'2026 Forecast B'!J23</f>
        <v>1.9629605122441</v>
      </c>
      <c r="J41" s="24" t="n">
        <f aca="false">'2026 Forecast C'!J23</f>
        <v>1.379737565379</v>
      </c>
      <c r="K41" s="25" t="n">
        <f aca="false">'2026 Forecast A'!F23</f>
        <v>1869</v>
      </c>
      <c r="L41" s="26" t="str">
        <f aca="false">IF(OR(AND(D41&gt;0.5,E41&gt;0.5,F41&gt;0.5),AND(D41&lt;0.5,E41&lt;0.5,F41&lt;0.5)),"Yes","No — toss-up")</f>
        <v>Yes</v>
      </c>
    </row>
    <row r="42" customFormat="false" ht="15" hidden="false" customHeight="false" outlineLevel="0" collapsed="false">
      <c r="A42" s="8" t="str">
        <f aca="false">'2026 Forecast A'!A24</f>
        <v>Carbon</v>
      </c>
      <c r="B42" s="8" t="str">
        <f aca="false">'2026 Forecast A'!B24</f>
        <v>LOWER TOWAMENSING TOWNSHIP</v>
      </c>
      <c r="C42" s="8" t="str">
        <f aca="false">'2026 Forecast A'!C24</f>
        <v>(whole municipality)</v>
      </c>
      <c r="D42" s="9" t="n">
        <f aca="false">'2026 Forecast A'!G24</f>
        <v>0.338073691014868</v>
      </c>
      <c r="E42" s="9" t="n">
        <f aca="false">'2026 Forecast B'!G24</f>
        <v>0.342088404868674</v>
      </c>
      <c r="F42" s="9" t="n">
        <f aca="false">'2026 Forecast C'!G24</f>
        <v>0.32587228439763</v>
      </c>
      <c r="G42" s="24" t="n">
        <f aca="false">(MAX(D42:F42)-MIN(D42:F42))*100</f>
        <v>1.62161204710439</v>
      </c>
      <c r="H42" s="24" t="n">
        <f aca="false">'2026 Forecast A'!J24</f>
        <v>2.62223349707705</v>
      </c>
      <c r="I42" s="24" t="n">
        <f aca="false">'2026 Forecast B'!J24</f>
        <v>2.77130020190375</v>
      </c>
      <c r="J42" s="24" t="n">
        <f aca="false">'2026 Forecast C'!J24</f>
        <v>2.46414572893645</v>
      </c>
      <c r="K42" s="25" t="n">
        <f aca="false">'2026 Forecast A'!F24</f>
        <v>1547</v>
      </c>
      <c r="L42" s="26" t="str">
        <f aca="false">IF(OR(AND(D42&gt;0.5,E42&gt;0.5,F42&gt;0.5),AND(D42&lt;0.5,E42&lt;0.5,F42&lt;0.5)),"Yes","No — toss-up")</f>
        <v>Yes</v>
      </c>
    </row>
    <row r="43" customFormat="false" ht="15" hidden="false" customHeight="false" outlineLevel="0" collapsed="false">
      <c r="A43" s="8" t="str">
        <f aca="false">'2026 Forecast A'!A25</f>
        <v>Carbon</v>
      </c>
      <c r="B43" s="8" t="str">
        <f aca="false">'2026 Forecast A'!B25</f>
        <v>MAHONING TOWNSHIP</v>
      </c>
      <c r="C43" s="8" t="str">
        <f aca="false">'2026 Forecast A'!C25</f>
        <v>(whole municipality)</v>
      </c>
      <c r="D43" s="9" t="n">
        <f aca="false">'2026 Forecast A'!G25</f>
        <v>0.338041889917194</v>
      </c>
      <c r="E43" s="9" t="n">
        <f aca="false">'2026 Forecast B'!G25</f>
        <v>0.340126152353227</v>
      </c>
      <c r="F43" s="9" t="n">
        <f aca="false">'2026 Forecast C'!G25</f>
        <v>0.325455440669621</v>
      </c>
      <c r="G43" s="24" t="n">
        <f aca="false">(MAX(D43:F43)-MIN(D43:F43))*100</f>
        <v>1.46707116836057</v>
      </c>
      <c r="H43" s="24" t="n">
        <f aca="false">'2026 Forecast A'!J25</f>
        <v>1.7411899431073</v>
      </c>
      <c r="I43" s="24" t="n">
        <f aca="false">'2026 Forecast B'!J25</f>
        <v>1.9629605122441</v>
      </c>
      <c r="J43" s="24" t="n">
        <f aca="false">'2026 Forecast C'!J25</f>
        <v>1.379737565379</v>
      </c>
      <c r="K43" s="25" t="n">
        <f aca="false">'2026 Forecast A'!F25</f>
        <v>2053</v>
      </c>
      <c r="L43" s="26" t="str">
        <f aca="false">IF(OR(AND(D43&gt;0.5,E43&gt;0.5,F43&gt;0.5),AND(D43&lt;0.5,E43&lt;0.5,F43&lt;0.5)),"Yes","No — toss-up")</f>
        <v>Yes</v>
      </c>
    </row>
    <row r="44" customFormat="false" ht="15" hidden="false" customHeight="false" outlineLevel="0" collapsed="false">
      <c r="A44" s="8" t="str">
        <f aca="false">'2026 Forecast A'!A26</f>
        <v>Carbon</v>
      </c>
      <c r="B44" s="8" t="str">
        <f aca="false">'2026 Forecast A'!B26</f>
        <v>NESQUEHONING BOROUGH</v>
      </c>
      <c r="C44" s="8" t="str">
        <f aca="false">'2026 Forecast A'!C26</f>
        <v>(whole municipality)</v>
      </c>
      <c r="D44" s="9" t="n">
        <f aca="false">'2026 Forecast A'!G26</f>
        <v>0.444275966641395</v>
      </c>
      <c r="E44" s="9" t="n">
        <f aca="false">'2026 Forecast B'!G26</f>
        <v>0.444108761329305</v>
      </c>
      <c r="F44" s="9" t="n">
        <f aca="false">'2026 Forecast C'!G26</f>
        <v>0.441469013006886</v>
      </c>
      <c r="G44" s="24" t="n">
        <f aca="false">(MAX(D44:F44)-MIN(D44:F44))*100</f>
        <v>0.2806953634509</v>
      </c>
      <c r="H44" s="24" t="n">
        <f aca="false">'2026 Forecast A'!J26</f>
        <v>2.62223349707705</v>
      </c>
      <c r="I44" s="24" t="n">
        <f aca="false">'2026 Forecast B'!J26</f>
        <v>2.77130020190375</v>
      </c>
      <c r="J44" s="24" t="n">
        <f aca="false">'2026 Forecast C'!J26</f>
        <v>2.46414572893645</v>
      </c>
      <c r="K44" s="25" t="n">
        <f aca="false">'2026 Forecast A'!F26</f>
        <v>1319</v>
      </c>
      <c r="L44" s="26" t="str">
        <f aca="false">IF(OR(AND(D44&gt;0.5,E44&gt;0.5,F44&gt;0.5),AND(D44&lt;0.5,E44&lt;0.5,F44&lt;0.5)),"Yes","No — toss-up")</f>
        <v>Yes</v>
      </c>
    </row>
    <row r="45" customFormat="false" ht="15" hidden="false" customHeight="false" outlineLevel="0" collapsed="false">
      <c r="A45" s="8" t="str">
        <f aca="false">'2026 Forecast A'!A27</f>
        <v>Carbon</v>
      </c>
      <c r="B45" s="8" t="str">
        <f aca="false">'2026 Forecast A'!B27</f>
        <v>PACKER TOWNSHIP</v>
      </c>
      <c r="C45" s="8" t="str">
        <f aca="false">'2026 Forecast A'!C27</f>
        <v>(whole municipality)</v>
      </c>
      <c r="D45" s="9" t="n">
        <f aca="false">'2026 Forecast A'!G27</f>
        <v>0.232830820770519</v>
      </c>
      <c r="E45" s="9" t="n">
        <f aca="false">'2026 Forecast B'!G27</f>
        <v>0.240066225165563</v>
      </c>
      <c r="F45" s="9" t="n">
        <f aca="false">'2026 Forecast C'!G27</f>
        <v>0.208828522920204</v>
      </c>
      <c r="G45" s="24" t="n">
        <f aca="false">(MAX(D45:F45)-MIN(D45:F45))*100</f>
        <v>3.12377022453592</v>
      </c>
      <c r="H45" s="24" t="n">
        <f aca="false">'2026 Forecast A'!J27</f>
        <v>2.62223349707705</v>
      </c>
      <c r="I45" s="24" t="n">
        <f aca="false">'2026 Forecast B'!J27</f>
        <v>2.77130020190375</v>
      </c>
      <c r="J45" s="24" t="n">
        <f aca="false">'2026 Forecast C'!J27</f>
        <v>2.46414572893645</v>
      </c>
      <c r="K45" s="25" t="n">
        <f aca="false">'2026 Forecast A'!F27</f>
        <v>597</v>
      </c>
      <c r="L45" s="26" t="str">
        <f aca="false">IF(OR(AND(D45&gt;0.5,E45&gt;0.5,F45&gt;0.5),AND(D45&lt;0.5,E45&lt;0.5,F45&lt;0.5)),"Yes","No — toss-up")</f>
        <v>Yes</v>
      </c>
    </row>
    <row r="46" customFormat="false" ht="15" hidden="false" customHeight="false" outlineLevel="0" collapsed="false">
      <c r="A46" s="8" t="str">
        <f aca="false">'2026 Forecast A'!A28</f>
        <v>Carbon</v>
      </c>
      <c r="B46" s="8" t="str">
        <f aca="false">'2026 Forecast A'!B28</f>
        <v>PALMERTON BOROUGH</v>
      </c>
      <c r="C46" s="8" t="str">
        <f aca="false">'2026 Forecast A'!C28</f>
        <v>(whole municipality)</v>
      </c>
      <c r="D46" s="9" t="n">
        <f aca="false">'2026 Forecast A'!G28</f>
        <v>0.421343146274149</v>
      </c>
      <c r="E46" s="9" t="n">
        <f aca="false">'2026 Forecast B'!G28</f>
        <v>0.417009602194787</v>
      </c>
      <c r="F46" s="9" t="n">
        <f aca="false">'2026 Forecast C'!G28</f>
        <v>0.414622641509434</v>
      </c>
      <c r="G46" s="24" t="n">
        <f aca="false">(MAX(D46:F46)-MIN(D46:F46))*100</f>
        <v>0.672050476471509</v>
      </c>
      <c r="H46" s="24" t="n">
        <f aca="false">'2026 Forecast A'!J28</f>
        <v>1.7411899431073</v>
      </c>
      <c r="I46" s="24" t="n">
        <f aca="false">'2026 Forecast B'!J28</f>
        <v>1.9629605122441</v>
      </c>
      <c r="J46" s="24" t="n">
        <f aca="false">'2026 Forecast C'!J28</f>
        <v>1.379737565379</v>
      </c>
      <c r="K46" s="25" t="n">
        <f aca="false">'2026 Forecast A'!F28</f>
        <v>2174</v>
      </c>
      <c r="L46" s="26" t="str">
        <f aca="false">IF(OR(AND(D46&gt;0.5,E46&gt;0.5,F46&gt;0.5),AND(D46&lt;0.5,E46&lt;0.5,F46&lt;0.5)),"Yes","No — toss-up")</f>
        <v>Yes</v>
      </c>
    </row>
    <row r="47" customFormat="false" ht="15" hidden="false" customHeight="false" outlineLevel="0" collapsed="false">
      <c r="A47" s="8" t="str">
        <f aca="false">'2026 Forecast A'!A29</f>
        <v>Carbon</v>
      </c>
      <c r="B47" s="8" t="str">
        <f aca="false">'2026 Forecast A'!B29</f>
        <v>PARRYVILLE BOROUGH</v>
      </c>
      <c r="C47" s="8" t="str">
        <f aca="false">'2026 Forecast A'!C29</f>
        <v>(whole municipality)</v>
      </c>
      <c r="D47" s="9" t="n">
        <f aca="false">'2026 Forecast A'!G29</f>
        <v>0.349282296650718</v>
      </c>
      <c r="E47" s="9" t="n">
        <f aca="false">'2026 Forecast B'!G29</f>
        <v>0.355450236966825</v>
      </c>
      <c r="F47" s="9" t="n">
        <f aca="false">'2026 Forecast C'!G29</f>
        <v>0.336585365853659</v>
      </c>
      <c r="G47" s="24" t="n">
        <f aca="false">(MAX(D47:F47)-MIN(D47:F47))*100</f>
        <v>1.88648711131661</v>
      </c>
      <c r="H47" s="24" t="n">
        <f aca="false">'2026 Forecast A'!J29</f>
        <v>2.62223349707705</v>
      </c>
      <c r="I47" s="24" t="n">
        <f aca="false">'2026 Forecast B'!J29</f>
        <v>2.77130020190375</v>
      </c>
      <c r="J47" s="24" t="n">
        <f aca="false">'2026 Forecast C'!J29</f>
        <v>2.46414572893645</v>
      </c>
      <c r="K47" s="25" t="n">
        <f aca="false">'2026 Forecast A'!F29</f>
        <v>209</v>
      </c>
      <c r="L47" s="26" t="str">
        <f aca="false">IF(OR(AND(D47&gt;0.5,E47&gt;0.5,F47&gt;0.5),AND(D47&lt;0.5,E47&lt;0.5,F47&lt;0.5)),"Yes","No — toss-up")</f>
        <v>Yes</v>
      </c>
    </row>
    <row r="48" customFormat="false" ht="15" hidden="false" customHeight="false" outlineLevel="0" collapsed="false">
      <c r="A48" s="8" t="str">
        <f aca="false">'2026 Forecast A'!A30</f>
        <v>Carbon</v>
      </c>
      <c r="B48" s="8" t="str">
        <f aca="false">'2026 Forecast A'!B30</f>
        <v>PENN FOREST TOWNSHIP</v>
      </c>
      <c r="C48" s="8" t="str">
        <f aca="false">'2026 Forecast A'!C30</f>
        <v>(whole municipality)</v>
      </c>
      <c r="D48" s="9" t="n">
        <f aca="false">'2026 Forecast A'!G30</f>
        <v>0.407437846722827</v>
      </c>
      <c r="E48" s="9" t="n">
        <f aca="false">'2026 Forecast B'!G30</f>
        <v>0.401027749229188</v>
      </c>
      <c r="F48" s="9" t="n">
        <f aca="false">'2026 Forecast C'!G30</f>
        <v>0.3979802143446</v>
      </c>
      <c r="G48" s="24" t="n">
        <f aca="false">(MAX(D48:F48)-MIN(D48:F48))*100</f>
        <v>0.9457632378227</v>
      </c>
      <c r="H48" s="24" t="n">
        <f aca="false">'2026 Forecast A'!J30</f>
        <v>1.10503324994843</v>
      </c>
      <c r="I48" s="24" t="n">
        <f aca="false">'2026 Forecast B'!J30</f>
        <v>1.18886476919636</v>
      </c>
      <c r="J48" s="24" t="n">
        <f aca="false">'2026 Forecast C'!J30</f>
        <v>1.54340705695521</v>
      </c>
      <c r="K48" s="25" t="n">
        <f aca="false">'2026 Forecast A'!F30</f>
        <v>4867</v>
      </c>
      <c r="L48" s="26" t="str">
        <f aca="false">IF(OR(AND(D48&gt;0.5,E48&gt;0.5,F48&gt;0.5),AND(D48&lt;0.5,E48&lt;0.5,F48&lt;0.5)),"Yes","No — toss-up")</f>
        <v>Yes</v>
      </c>
    </row>
    <row r="49" customFormat="false" ht="15" hidden="false" customHeight="false" outlineLevel="0" collapsed="false">
      <c r="A49" s="8" t="str">
        <f aca="false">'2026 Forecast A'!A31</f>
        <v>Carbon</v>
      </c>
      <c r="B49" s="8" t="str">
        <f aca="false">'2026 Forecast A'!B31</f>
        <v>SUMMIT HILL BOROUGH</v>
      </c>
      <c r="C49" s="8" t="str">
        <f aca="false">'2026 Forecast A'!C31</f>
        <v>(whole municipality)</v>
      </c>
      <c r="D49" s="9" t="n">
        <f aca="false">'2026 Forecast A'!G31</f>
        <v>0.475943745373797</v>
      </c>
      <c r="E49" s="9" t="n">
        <f aca="false">'2026 Forecast B'!G31</f>
        <v>0.477973568281938</v>
      </c>
      <c r="F49" s="9" t="n">
        <f aca="false">'2026 Forecast C'!G31</f>
        <v>0.475446428571429</v>
      </c>
      <c r="G49" s="24" t="n">
        <f aca="false">(MAX(D49:F49)-MIN(D49:F49))*100</f>
        <v>0.252713971050977</v>
      </c>
      <c r="H49" s="24" t="n">
        <f aca="false">'2026 Forecast A'!J31</f>
        <v>2.62223349707705</v>
      </c>
      <c r="I49" s="24" t="n">
        <f aca="false">'2026 Forecast B'!J31</f>
        <v>2.77130020190375</v>
      </c>
      <c r="J49" s="24" t="n">
        <f aca="false">'2026 Forecast C'!J31</f>
        <v>2.46414572893645</v>
      </c>
      <c r="K49" s="25" t="n">
        <f aca="false">'2026 Forecast A'!F31</f>
        <v>1351</v>
      </c>
      <c r="L49" s="26" t="str">
        <f aca="false">IF(OR(AND(D49&gt;0.5,E49&gt;0.5,F49&gt;0.5),AND(D49&lt;0.5,E49&lt;0.5,F49&lt;0.5)),"Yes","No — toss-up")</f>
        <v>Yes</v>
      </c>
    </row>
    <row r="50" customFormat="false" ht="15" hidden="false" customHeight="false" outlineLevel="0" collapsed="false">
      <c r="A50" s="8" t="str">
        <f aca="false">'2026 Forecast A'!A32</f>
        <v>Carbon</v>
      </c>
      <c r="B50" s="8" t="str">
        <f aca="false">'2026 Forecast A'!B32</f>
        <v>TOWAMENSING TOWNSHIP</v>
      </c>
      <c r="C50" s="8" t="str">
        <f aca="false">'2026 Forecast A'!C32</f>
        <v>(whole municipality)</v>
      </c>
      <c r="D50" s="9" t="n">
        <f aca="false">'2026 Forecast A'!G32</f>
        <v>0.337334437086093</v>
      </c>
      <c r="E50" s="9" t="n">
        <f aca="false">'2026 Forecast B'!G32</f>
        <v>0.332921810699589</v>
      </c>
      <c r="F50" s="9" t="n">
        <f aca="false">'2026 Forecast C'!G32</f>
        <v>0.325465838509317</v>
      </c>
      <c r="G50" s="24" t="n">
        <f aca="false">(MAX(D50:F50)-MIN(D50:F50))*100</f>
        <v>1.1868598576776</v>
      </c>
      <c r="H50" s="24" t="n">
        <f aca="false">'2026 Forecast A'!J32</f>
        <v>1.7411899431073</v>
      </c>
      <c r="I50" s="24" t="n">
        <f aca="false">'2026 Forecast B'!J32</f>
        <v>1.9629605122441</v>
      </c>
      <c r="J50" s="24" t="n">
        <f aca="false">'2026 Forecast C'!J32</f>
        <v>1.379737565379</v>
      </c>
      <c r="K50" s="25" t="n">
        <f aca="false">'2026 Forecast A'!F32</f>
        <v>2416</v>
      </c>
      <c r="L50" s="26" t="str">
        <f aca="false">IF(OR(AND(D50&gt;0.5,E50&gt;0.5,F50&gt;0.5),AND(D50&lt;0.5,E50&lt;0.5,F50&lt;0.5)),"Yes","No — toss-up")</f>
        <v>Yes</v>
      </c>
    </row>
    <row r="51" customFormat="false" ht="15" hidden="false" customHeight="false" outlineLevel="0" collapsed="false">
      <c r="A51" s="8" t="str">
        <f aca="false">'2026 Forecast A'!A33</f>
        <v>Carbon</v>
      </c>
      <c r="B51" s="8" t="str">
        <f aca="false">'2026 Forecast A'!B33</f>
        <v>WEATHERLY BOROUGH</v>
      </c>
      <c r="C51" s="8" t="str">
        <f aca="false">'2026 Forecast A'!C33</f>
        <v>(whole municipality)</v>
      </c>
      <c r="D51" s="9" t="n">
        <f aca="false">'2026 Forecast A'!G33</f>
        <v>0.32843137254902</v>
      </c>
      <c r="E51" s="9" t="n">
        <f aca="false">'2026 Forecast B'!G33</f>
        <v>0.329126213592233</v>
      </c>
      <c r="F51" s="9" t="n">
        <f aca="false">'2026 Forecast C'!G33</f>
        <v>0.32020202020202</v>
      </c>
      <c r="G51" s="24" t="n">
        <f aca="false">(MAX(D51:F51)-MIN(D51:F51))*100</f>
        <v>0.892419339021278</v>
      </c>
      <c r="H51" s="24" t="n">
        <f aca="false">'2026 Forecast A'!J33</f>
        <v>2.62223349707705</v>
      </c>
      <c r="I51" s="24" t="n">
        <f aca="false">'2026 Forecast B'!J33</f>
        <v>2.77130020190375</v>
      </c>
      <c r="J51" s="24" t="n">
        <f aca="false">'2026 Forecast C'!J33</f>
        <v>2.46414572893645</v>
      </c>
      <c r="K51" s="25" t="n">
        <f aca="false">'2026 Forecast A'!F33</f>
        <v>1020</v>
      </c>
      <c r="L51" s="26" t="str">
        <f aca="false">IF(OR(AND(D51&gt;0.5,E51&gt;0.5,F51&gt;0.5),AND(D51&lt;0.5,E51&lt;0.5,F51&lt;0.5)),"Yes","No — toss-up")</f>
        <v>Yes</v>
      </c>
    </row>
    <row r="52" customFormat="false" ht="15" hidden="false" customHeight="false" outlineLevel="0" collapsed="false">
      <c r="A52" s="8" t="str">
        <f aca="false">'2026 Forecast A'!A34</f>
        <v>Carbon</v>
      </c>
      <c r="B52" s="8" t="str">
        <f aca="false">'2026 Forecast A'!B34</f>
        <v>WEISSPORT BOROUGH</v>
      </c>
      <c r="C52" s="8" t="str">
        <f aca="false">'2026 Forecast A'!C34</f>
        <v>(whole municipality)</v>
      </c>
      <c r="D52" s="9" t="n">
        <f aca="false">'2026 Forecast A'!G34</f>
        <v>0.383928571428571</v>
      </c>
      <c r="E52" s="9" t="n">
        <f aca="false">'2026 Forecast B'!G34</f>
        <v>0.385964912280702</v>
      </c>
      <c r="F52" s="9" t="n">
        <f aca="false">'2026 Forecast C'!G34</f>
        <v>0.371681415929204</v>
      </c>
      <c r="G52" s="24" t="n">
        <f aca="false">(MAX(D52:F52)-MIN(D52:F52))*100</f>
        <v>1.42834963514982</v>
      </c>
      <c r="H52" s="24" t="n">
        <f aca="false">'2026 Forecast A'!J34</f>
        <v>2.62223349707705</v>
      </c>
      <c r="I52" s="24" t="n">
        <f aca="false">'2026 Forecast B'!J34</f>
        <v>2.77130020190375</v>
      </c>
      <c r="J52" s="24" t="n">
        <f aca="false">'2026 Forecast C'!J34</f>
        <v>2.46414572893645</v>
      </c>
      <c r="K52" s="25" t="n">
        <f aca="false">'2026 Forecast A'!F34</f>
        <v>112</v>
      </c>
      <c r="L52" s="26" t="str">
        <f aca="false">IF(OR(AND(D52&gt;0.5,E52&gt;0.5,F52&gt;0.5),AND(D52&lt;0.5,E52&lt;0.5,F52&lt;0.5)),"Yes","No — toss-up")</f>
        <v>Yes</v>
      </c>
    </row>
    <row r="53" customFormat="false" ht="15" hidden="false" customHeight="false" outlineLevel="0" collapsed="false">
      <c r="A53" s="8" t="str">
        <f aca="false">'2026 Forecast A'!A35</f>
        <v>Lehigh</v>
      </c>
      <c r="B53" s="8" t="str">
        <f aca="false">'2026 Forecast A'!B35</f>
        <v>ALBURTIS</v>
      </c>
      <c r="C53" s="8" t="str">
        <f aca="false">'2026 Forecast A'!C35</f>
        <v>(whole municipality)</v>
      </c>
      <c r="D53" s="9" t="n">
        <f aca="false">'2026 Forecast A'!G35</f>
        <v>0.510008703220191</v>
      </c>
      <c r="E53" s="9" t="n">
        <f aca="false">'2026 Forecast B'!G35</f>
        <v>0.512489233419466</v>
      </c>
      <c r="F53" s="9" t="n">
        <f aca="false">'2026 Forecast C'!G35</f>
        <v>0.502702702702703</v>
      </c>
      <c r="G53" s="24" t="n">
        <f aca="false">(MAX(D53:F53)-MIN(D53:F53))*100</f>
        <v>0.978653071676328</v>
      </c>
      <c r="H53" s="24" t="n">
        <f aca="false">'2026 Forecast A'!J35</f>
        <v>2.62223349707705</v>
      </c>
      <c r="I53" s="24" t="n">
        <f aca="false">'2026 Forecast B'!J35</f>
        <v>2.77130020190375</v>
      </c>
      <c r="J53" s="24" t="n">
        <f aca="false">'2026 Forecast C'!J35</f>
        <v>2.46414572893645</v>
      </c>
      <c r="K53" s="25" t="n">
        <f aca="false">'2026 Forecast A'!F35</f>
        <v>1149</v>
      </c>
      <c r="L53" s="26" t="str">
        <f aca="false">IF(OR(AND(D53&gt;0.5,E53&gt;0.5,F53&gt;0.5),AND(D53&lt;0.5,E53&lt;0.5,F53&lt;0.5)),"Yes","No — toss-up")</f>
        <v>Yes</v>
      </c>
    </row>
    <row r="54" customFormat="false" ht="15" hidden="false" customHeight="false" outlineLevel="0" collapsed="false">
      <c r="A54" s="8" t="str">
        <f aca="false">'2026 Forecast A'!A36</f>
        <v>Lehigh</v>
      </c>
      <c r="B54" s="8" t="str">
        <f aca="false">'2026 Forecast A'!B36</f>
        <v>ALLENTOWN</v>
      </c>
      <c r="C54" s="8" t="str">
        <f aca="false">'2026 Forecast A'!C36</f>
        <v>(whole municipality)</v>
      </c>
      <c r="D54" s="9" t="n">
        <f aca="false">'2026 Forecast A'!G36</f>
        <v>0.688423597301829</v>
      </c>
      <c r="E54" s="9" t="n">
        <f aca="false">'2026 Forecast B'!G36</f>
        <v>0.688890590893425</v>
      </c>
      <c r="F54" s="9" t="n">
        <f aca="false">'2026 Forecast C'!G36</f>
        <v>0.716020383788518</v>
      </c>
      <c r="G54" s="24" t="n">
        <f aca="false">(MAX(D54:F54)-MIN(D54:F54))*100</f>
        <v>2.75967864866895</v>
      </c>
      <c r="H54" s="24" t="n">
        <f aca="false">'2026 Forecast A'!J36</f>
        <v>1.10503324994843</v>
      </c>
      <c r="I54" s="24" t="n">
        <f aca="false">'2026 Forecast B'!J36</f>
        <v>1.18886476919636</v>
      </c>
      <c r="J54" s="24" t="n">
        <f aca="false">'2026 Forecast C'!J36</f>
        <v>1.54340705695521</v>
      </c>
      <c r="K54" s="25" t="n">
        <f aca="false">'2026 Forecast A'!F36</f>
        <v>25647</v>
      </c>
      <c r="L54" s="26" t="str">
        <f aca="false">IF(OR(AND(D54&gt;0.5,E54&gt;0.5,F54&gt;0.5),AND(D54&lt;0.5,E54&lt;0.5,F54&lt;0.5)),"Yes","No — toss-up")</f>
        <v>Yes</v>
      </c>
    </row>
    <row r="55" customFormat="false" ht="15" hidden="false" customHeight="false" outlineLevel="0" collapsed="false">
      <c r="A55" s="8" t="str">
        <f aca="false">'2026 Forecast A'!A37</f>
        <v>Lehigh</v>
      </c>
      <c r="B55" s="8" t="str">
        <f aca="false">'2026 Forecast A'!B37</f>
        <v>BETHLEHEM</v>
      </c>
      <c r="C55" s="8" t="str">
        <f aca="false">'2026 Forecast A'!C37</f>
        <v>(whole municipality)</v>
      </c>
      <c r="D55" s="9" t="n">
        <f aca="false">'2026 Forecast A'!G37</f>
        <v>0.673310928265152</v>
      </c>
      <c r="E55" s="9" t="n">
        <f aca="false">'2026 Forecast B'!G37</f>
        <v>0.670424171993027</v>
      </c>
      <c r="F55" s="9" t="n">
        <f aca="false">'2026 Forecast C'!G37</f>
        <v>0.695840346237076</v>
      </c>
      <c r="G55" s="24" t="n">
        <f aca="false">(MAX(D55:F55)-MIN(D55:F55))*100</f>
        <v>2.5416174244049</v>
      </c>
      <c r="H55" s="24" t="n">
        <f aca="false">'2026 Forecast A'!J37</f>
        <v>1.10503324994843</v>
      </c>
      <c r="I55" s="24" t="n">
        <f aca="false">'2026 Forecast B'!J37</f>
        <v>1.18886476919636</v>
      </c>
      <c r="J55" s="24" t="n">
        <f aca="false">'2026 Forecast C'!J37</f>
        <v>1.54340705695521</v>
      </c>
      <c r="K55" s="25" t="n">
        <f aca="false">'2026 Forecast A'!F37</f>
        <v>8629</v>
      </c>
      <c r="L55" s="26" t="str">
        <f aca="false">IF(OR(AND(D55&gt;0.5,E55&gt;0.5,F55&gt;0.5),AND(D55&lt;0.5,E55&lt;0.5,F55&lt;0.5)),"Yes","No — toss-up")</f>
        <v>Yes</v>
      </c>
    </row>
    <row r="56" customFormat="false" ht="15" hidden="false" customHeight="false" outlineLevel="0" collapsed="false">
      <c r="A56" s="8" t="str">
        <f aca="false">'2026 Forecast A'!A38</f>
        <v>Lehigh</v>
      </c>
      <c r="B56" s="8" t="str">
        <f aca="false">'2026 Forecast A'!B38</f>
        <v>CATASAUQUA</v>
      </c>
      <c r="C56" s="8" t="str">
        <f aca="false">'2026 Forecast A'!C38</f>
        <v>(whole municipality)</v>
      </c>
      <c r="D56" s="9" t="n">
        <f aca="false">'2026 Forecast A'!G38</f>
        <v>0.552859618717504</v>
      </c>
      <c r="E56" s="9" t="n">
        <f aca="false">'2026 Forecast B'!G38</f>
        <v>0.550755939524838</v>
      </c>
      <c r="F56" s="9" t="n">
        <f aca="false">'2026 Forecast C'!G38</f>
        <v>0.554464285714286</v>
      </c>
      <c r="G56" s="24" t="n">
        <f aca="false">(MAX(D56:F56)-MIN(D56:F56))*100</f>
        <v>0.370834618944771</v>
      </c>
      <c r="H56" s="24" t="n">
        <f aca="false">'2026 Forecast A'!J38</f>
        <v>1.7411899431073</v>
      </c>
      <c r="I56" s="24" t="n">
        <f aca="false">'2026 Forecast B'!J38</f>
        <v>1.9629605122441</v>
      </c>
      <c r="J56" s="24" t="n">
        <f aca="false">'2026 Forecast C'!J38</f>
        <v>1.379737565379</v>
      </c>
      <c r="K56" s="25" t="n">
        <f aca="false">'2026 Forecast A'!F38</f>
        <v>2308</v>
      </c>
      <c r="L56" s="26" t="str">
        <f aca="false">IF(OR(AND(D56&gt;0.5,E56&gt;0.5,F56&gt;0.5),AND(D56&lt;0.5,E56&lt;0.5,F56&lt;0.5)),"Yes","No — toss-up")</f>
        <v>Yes</v>
      </c>
    </row>
    <row r="57" customFormat="false" ht="15" hidden="false" customHeight="false" outlineLevel="0" collapsed="false">
      <c r="A57" s="8" t="str">
        <f aca="false">'2026 Forecast A'!A39</f>
        <v>Lehigh</v>
      </c>
      <c r="B57" s="8" t="str">
        <f aca="false">'2026 Forecast A'!B39</f>
        <v>COOPERSBURG</v>
      </c>
      <c r="C57" s="8" t="str">
        <f aca="false">'2026 Forecast A'!C39</f>
        <v>(whole municipality)</v>
      </c>
      <c r="D57" s="9" t="n">
        <f aca="false">'2026 Forecast A'!G39</f>
        <v>0.523009495982469</v>
      </c>
      <c r="E57" s="9" t="n">
        <f aca="false">'2026 Forecast B'!G39</f>
        <v>0.524709302325581</v>
      </c>
      <c r="F57" s="9" t="n">
        <f aca="false">'2026 Forecast C'!G39</f>
        <v>0.513412816691505</v>
      </c>
      <c r="G57" s="24" t="n">
        <f aca="false">(MAX(D57:F57)-MIN(D57:F57))*100</f>
        <v>1.12964856340763</v>
      </c>
      <c r="H57" s="24" t="n">
        <f aca="false">'2026 Forecast A'!J39</f>
        <v>2.62223349707705</v>
      </c>
      <c r="I57" s="24" t="n">
        <f aca="false">'2026 Forecast B'!J39</f>
        <v>2.77130020190375</v>
      </c>
      <c r="J57" s="24" t="n">
        <f aca="false">'2026 Forecast C'!J39</f>
        <v>2.46414572893645</v>
      </c>
      <c r="K57" s="25" t="n">
        <f aca="false">'2026 Forecast A'!F39</f>
        <v>1369</v>
      </c>
      <c r="L57" s="26" t="str">
        <f aca="false">IF(OR(AND(D57&gt;0.5,E57&gt;0.5,F57&gt;0.5),AND(D57&lt;0.5,E57&lt;0.5,F57&lt;0.5)),"Yes","No — toss-up")</f>
        <v>Yes</v>
      </c>
    </row>
    <row r="58" customFormat="false" ht="15" hidden="false" customHeight="false" outlineLevel="0" collapsed="false">
      <c r="A58" s="8" t="str">
        <f aca="false">'2026 Forecast A'!A40</f>
        <v>Lehigh</v>
      </c>
      <c r="B58" s="8" t="str">
        <f aca="false">'2026 Forecast A'!B40</f>
        <v>COPLAY</v>
      </c>
      <c r="C58" s="8" t="str">
        <f aca="false">'2026 Forecast A'!C40</f>
        <v>(whole municipality)</v>
      </c>
      <c r="D58" s="9" t="n">
        <f aca="false">'2026 Forecast A'!G40</f>
        <v>0.545454545454545</v>
      </c>
      <c r="E58" s="9" t="n">
        <f aca="false">'2026 Forecast B'!G40</f>
        <v>0.551961459050241</v>
      </c>
      <c r="F58" s="9" t="n">
        <f aca="false">'2026 Forecast C'!G40</f>
        <v>0.545714285714286</v>
      </c>
      <c r="G58" s="24" t="n">
        <f aca="false">(MAX(D58:F58)-MIN(D58:F58))*100</f>
        <v>0.650691359569544</v>
      </c>
      <c r="H58" s="24" t="n">
        <f aca="false">'2026 Forecast A'!J40</f>
        <v>2.62223349707705</v>
      </c>
      <c r="I58" s="24" t="n">
        <f aca="false">'2026 Forecast B'!J40</f>
        <v>2.77130020190375</v>
      </c>
      <c r="J58" s="24" t="n">
        <f aca="false">'2026 Forecast C'!J40</f>
        <v>2.46414572893645</v>
      </c>
      <c r="K58" s="25" t="n">
        <f aca="false">'2026 Forecast A'!F40</f>
        <v>1452</v>
      </c>
      <c r="L58" s="26" t="str">
        <f aca="false">IF(OR(AND(D58&gt;0.5,E58&gt;0.5,F58&gt;0.5),AND(D58&lt;0.5,E58&lt;0.5,F58&lt;0.5)),"Yes","No — toss-up")</f>
        <v>Yes</v>
      </c>
    </row>
    <row r="59" customFormat="false" ht="15" hidden="false" customHeight="false" outlineLevel="0" collapsed="false">
      <c r="A59" s="8" t="str">
        <f aca="false">'2026 Forecast A'!A41</f>
        <v>Lehigh</v>
      </c>
      <c r="B59" s="8" t="str">
        <f aca="false">'2026 Forecast A'!B41</f>
        <v>EMMAUS</v>
      </c>
      <c r="C59" s="8" t="str">
        <f aca="false">'2026 Forecast A'!C41</f>
        <v>(whole municipality)</v>
      </c>
      <c r="D59" s="9" t="n">
        <f aca="false">'2026 Forecast A'!G41</f>
        <v>0.564530137224249</v>
      </c>
      <c r="E59" s="9" t="n">
        <f aca="false">'2026 Forecast B'!G41</f>
        <v>0.569379644029722</v>
      </c>
      <c r="F59" s="9" t="n">
        <f aca="false">'2026 Forecast C'!G41</f>
        <v>0.566020810907786</v>
      </c>
      <c r="G59" s="24" t="n">
        <f aca="false">(MAX(D59:F59)-MIN(D59:F59))*100</f>
        <v>0.484950680547303</v>
      </c>
      <c r="H59" s="24" t="n">
        <f aca="false">'2026 Forecast A'!J41</f>
        <v>1.10503324994843</v>
      </c>
      <c r="I59" s="24" t="n">
        <f aca="false">'2026 Forecast B'!J41</f>
        <v>1.18886476919636</v>
      </c>
      <c r="J59" s="24" t="n">
        <f aca="false">'2026 Forecast C'!J41</f>
        <v>1.54340705695521</v>
      </c>
      <c r="K59" s="25" t="n">
        <f aca="false">'2026 Forecast A'!F41</f>
        <v>5757</v>
      </c>
      <c r="L59" s="26" t="str">
        <f aca="false">IF(OR(AND(D59&gt;0.5,E59&gt;0.5,F59&gt;0.5),AND(D59&lt;0.5,E59&lt;0.5,F59&lt;0.5)),"Yes","No — toss-up")</f>
        <v>Yes</v>
      </c>
    </row>
    <row r="60" customFormat="false" ht="15" hidden="false" customHeight="false" outlineLevel="0" collapsed="false">
      <c r="A60" s="8" t="str">
        <f aca="false">'2026 Forecast A'!A42</f>
        <v>Lehigh</v>
      </c>
      <c r="B60" s="8" t="str">
        <f aca="false">'2026 Forecast A'!B42</f>
        <v>FOUNTAIN HILL</v>
      </c>
      <c r="C60" s="8" t="str">
        <f aca="false">'2026 Forecast A'!C42</f>
        <v>(whole municipality)</v>
      </c>
      <c r="D60" s="9" t="n">
        <f aca="false">'2026 Forecast A'!G42</f>
        <v>0.692125518058023</v>
      </c>
      <c r="E60" s="9" t="n">
        <f aca="false">'2026 Forecast B'!G42</f>
        <v>0.690898345153664</v>
      </c>
      <c r="F60" s="9" t="n">
        <f aca="false">'2026 Forecast C'!G42</f>
        <v>0.715853658536585</v>
      </c>
      <c r="G60" s="24" t="n">
        <f aca="false">(MAX(D60:F60)-MIN(D60:F60))*100</f>
        <v>2.4955313382921</v>
      </c>
      <c r="H60" s="24" t="n">
        <f aca="false">'2026 Forecast A'!J42</f>
        <v>1.7411899431073</v>
      </c>
      <c r="I60" s="24" t="n">
        <f aca="false">'2026 Forecast B'!J42</f>
        <v>1.9629605122441</v>
      </c>
      <c r="J60" s="24" t="n">
        <f aca="false">'2026 Forecast C'!J42</f>
        <v>1.379737565379</v>
      </c>
      <c r="K60" s="25" t="n">
        <f aca="false">'2026 Forecast A'!F42</f>
        <v>1689</v>
      </c>
      <c r="L60" s="26" t="str">
        <f aca="false">IF(OR(AND(D60&gt;0.5,E60&gt;0.5,F60&gt;0.5),AND(D60&lt;0.5,E60&lt;0.5,F60&lt;0.5)),"Yes","No — toss-up")</f>
        <v>Yes</v>
      </c>
    </row>
    <row r="61" customFormat="false" ht="15" hidden="false" customHeight="false" outlineLevel="0" collapsed="false">
      <c r="A61" s="8" t="str">
        <f aca="false">'2026 Forecast A'!A43</f>
        <v>Lehigh</v>
      </c>
      <c r="B61" s="8" t="str">
        <f aca="false">'2026 Forecast A'!B43</f>
        <v>HANOVER</v>
      </c>
      <c r="C61" s="8" t="str">
        <f aca="false">'2026 Forecast A'!C43</f>
        <v>(whole municipality)</v>
      </c>
      <c r="D61" s="9" t="n">
        <f aca="false">'2026 Forecast A'!G43</f>
        <v>0.569744597249509</v>
      </c>
      <c r="E61" s="9" t="n">
        <f aca="false">'2026 Forecast B'!G43</f>
        <v>0.574757281553398</v>
      </c>
      <c r="F61" s="9" t="n">
        <f aca="false">'2026 Forecast C'!G43</f>
        <v>0.574642126789366</v>
      </c>
      <c r="G61" s="24" t="n">
        <f aca="false">(MAX(D61:F61)-MIN(D61:F61))*100</f>
        <v>0.501268430388913</v>
      </c>
      <c r="H61" s="24" t="n">
        <f aca="false">'2026 Forecast A'!J43</f>
        <v>2.62223349707705</v>
      </c>
      <c r="I61" s="24" t="n">
        <f aca="false">'2026 Forecast B'!J43</f>
        <v>2.77130020190375</v>
      </c>
      <c r="J61" s="24" t="n">
        <f aca="false">'2026 Forecast C'!J43</f>
        <v>2.46414572893645</v>
      </c>
      <c r="K61" s="25" t="n">
        <f aca="false">'2026 Forecast A'!F43</f>
        <v>509</v>
      </c>
      <c r="L61" s="26" t="str">
        <f aca="false">IF(OR(AND(D61&gt;0.5,E61&gt;0.5,F61&gt;0.5),AND(D61&lt;0.5,E61&lt;0.5,F61&lt;0.5)),"Yes","No — toss-up")</f>
        <v>Yes</v>
      </c>
    </row>
    <row r="62" customFormat="false" ht="15" hidden="false" customHeight="false" outlineLevel="0" collapsed="false">
      <c r="A62" s="8" t="str">
        <f aca="false">'2026 Forecast A'!A44</f>
        <v>Lehigh</v>
      </c>
      <c r="B62" s="8" t="str">
        <f aca="false">'2026 Forecast A'!B44</f>
        <v>HEIDELBERG</v>
      </c>
      <c r="C62" s="8" t="str">
        <f aca="false">'2026 Forecast A'!C44</f>
        <v>(whole municipality)</v>
      </c>
      <c r="D62" s="9" t="n">
        <f aca="false">'2026 Forecast A'!G44</f>
        <v>0.360380526021265</v>
      </c>
      <c r="E62" s="9" t="n">
        <f aca="false">'2026 Forecast B'!G44</f>
        <v>0.360601001669449</v>
      </c>
      <c r="F62" s="9" t="n">
        <f aca="false">'2026 Forecast C'!G44</f>
        <v>0.348536036036036</v>
      </c>
      <c r="G62" s="24" t="n">
        <f aca="false">(MAX(D62:F62)-MIN(D62:F62))*100</f>
        <v>1.2064965633413</v>
      </c>
      <c r="H62" s="24" t="n">
        <f aca="false">'2026 Forecast A'!J44</f>
        <v>1.7411899431073</v>
      </c>
      <c r="I62" s="24" t="n">
        <f aca="false">'2026 Forecast B'!J44</f>
        <v>1.9629605122441</v>
      </c>
      <c r="J62" s="24" t="n">
        <f aca="false">'2026 Forecast C'!J44</f>
        <v>1.379737565379</v>
      </c>
      <c r="K62" s="25" t="n">
        <f aca="false">'2026 Forecast A'!F44</f>
        <v>1787</v>
      </c>
      <c r="L62" s="26" t="str">
        <f aca="false">IF(OR(AND(D62&gt;0.5,E62&gt;0.5,F62&gt;0.5),AND(D62&lt;0.5,E62&lt;0.5,F62&lt;0.5)),"Yes","No — toss-up")</f>
        <v>Yes</v>
      </c>
    </row>
    <row r="63" customFormat="false" ht="15" hidden="false" customHeight="false" outlineLevel="0" collapsed="false">
      <c r="A63" s="8" t="str">
        <f aca="false">'2026 Forecast A'!A45</f>
        <v>Lehigh</v>
      </c>
      <c r="B63" s="8" t="str">
        <f aca="false">'2026 Forecast A'!B45</f>
        <v>LOWER MACUNGIE</v>
      </c>
      <c r="C63" s="8" t="str">
        <f aca="false">'2026 Forecast A'!C45</f>
        <v>(whole municipality)</v>
      </c>
      <c r="D63" s="9" t="n">
        <f aca="false">'2026 Forecast A'!G45</f>
        <v>0.536701888489209</v>
      </c>
      <c r="E63" s="9" t="n">
        <f aca="false">'2026 Forecast B'!G45</f>
        <v>0.536173317618005</v>
      </c>
      <c r="F63" s="9" t="n">
        <f aca="false">'2026 Forecast C'!G45</f>
        <v>0.528996730339012</v>
      </c>
      <c r="G63" s="24" t="n">
        <f aca="false">(MAX(D63:F63)-MIN(D63:F63))*100</f>
        <v>0.770515815019646</v>
      </c>
      <c r="H63" s="24" t="n">
        <f aca="false">'2026 Forecast A'!J45</f>
        <v>1.10503324994843</v>
      </c>
      <c r="I63" s="24" t="n">
        <f aca="false">'2026 Forecast B'!J45</f>
        <v>1.18886476919636</v>
      </c>
      <c r="J63" s="24" t="n">
        <f aca="false">'2026 Forecast C'!J45</f>
        <v>1.54340705695521</v>
      </c>
      <c r="K63" s="25" t="n">
        <f aca="false">'2026 Forecast A'!F45</f>
        <v>17792</v>
      </c>
      <c r="L63" s="26" t="str">
        <f aca="false">IF(OR(AND(D63&gt;0.5,E63&gt;0.5,F63&gt;0.5),AND(D63&lt;0.5,E63&lt;0.5,F63&lt;0.5)),"Yes","No — toss-up")</f>
        <v>Yes</v>
      </c>
    </row>
    <row r="64" customFormat="false" ht="15" hidden="false" customHeight="false" outlineLevel="0" collapsed="false">
      <c r="A64" s="8" t="str">
        <f aca="false">'2026 Forecast A'!A46</f>
        <v>Lehigh</v>
      </c>
      <c r="B64" s="8" t="str">
        <f aca="false">'2026 Forecast A'!B46</f>
        <v>LOWER MILFORD</v>
      </c>
      <c r="C64" s="8" t="str">
        <f aca="false">'2026 Forecast A'!C46</f>
        <v>(whole municipality)</v>
      </c>
      <c r="D64" s="9" t="n">
        <f aca="false">'2026 Forecast A'!G46</f>
        <v>0.419753086419753</v>
      </c>
      <c r="E64" s="9" t="n">
        <f aca="false">'2026 Forecast B'!G46</f>
        <v>0.413087934560327</v>
      </c>
      <c r="F64" s="9" t="n">
        <f aca="false">'2026 Forecast C'!G46</f>
        <v>0.402997502081599</v>
      </c>
      <c r="G64" s="24" t="n">
        <f aca="false">(MAX(D64:F64)-MIN(D64:F64))*100</f>
        <v>1.67555843381544</v>
      </c>
      <c r="H64" s="24" t="n">
        <f aca="false">'2026 Forecast A'!J46</f>
        <v>1.7411899431073</v>
      </c>
      <c r="I64" s="24" t="n">
        <f aca="false">'2026 Forecast B'!J46</f>
        <v>1.9629605122441</v>
      </c>
      <c r="J64" s="24" t="n">
        <f aca="false">'2026 Forecast C'!J46</f>
        <v>1.379737565379</v>
      </c>
      <c r="K64" s="25" t="n">
        <f aca="false">'2026 Forecast A'!F46</f>
        <v>2430</v>
      </c>
      <c r="L64" s="26" t="str">
        <f aca="false">IF(OR(AND(D64&gt;0.5,E64&gt;0.5,F64&gt;0.5),AND(D64&lt;0.5,E64&lt;0.5,F64&lt;0.5)),"Yes","No — toss-up")</f>
        <v>Yes</v>
      </c>
    </row>
    <row r="65" customFormat="false" ht="15" hidden="false" customHeight="false" outlineLevel="0" collapsed="false">
      <c r="A65" s="8" t="str">
        <f aca="false">'2026 Forecast A'!A47</f>
        <v>Lehigh</v>
      </c>
      <c r="B65" s="8" t="str">
        <f aca="false">'2026 Forecast A'!B47</f>
        <v>LOWHILL</v>
      </c>
      <c r="C65" s="8" t="str">
        <f aca="false">'2026 Forecast A'!C47</f>
        <v>(whole municipality)</v>
      </c>
      <c r="D65" s="9" t="n">
        <f aca="false">'2026 Forecast A'!G47</f>
        <v>0.40191036002939</v>
      </c>
      <c r="E65" s="9" t="n">
        <f aca="false">'2026 Forecast B'!G47</f>
        <v>0.398678414096916</v>
      </c>
      <c r="F65" s="9" t="n">
        <f aca="false">'2026 Forecast C'!G47</f>
        <v>0.386329866270431</v>
      </c>
      <c r="G65" s="24" t="n">
        <f aca="false">(MAX(D65:F65)-MIN(D65:F65))*100</f>
        <v>1.55804937589593</v>
      </c>
      <c r="H65" s="24" t="n">
        <f aca="false">'2026 Forecast A'!J47</f>
        <v>2.62223349707705</v>
      </c>
      <c r="I65" s="24" t="n">
        <f aca="false">'2026 Forecast B'!J47</f>
        <v>2.77130020190375</v>
      </c>
      <c r="J65" s="24" t="n">
        <f aca="false">'2026 Forecast C'!J47</f>
        <v>2.46414572893645</v>
      </c>
      <c r="K65" s="25" t="n">
        <f aca="false">'2026 Forecast A'!F47</f>
        <v>1361</v>
      </c>
      <c r="L65" s="26" t="str">
        <f aca="false">IF(OR(AND(D65&gt;0.5,E65&gt;0.5,F65&gt;0.5),AND(D65&lt;0.5,E65&lt;0.5,F65&lt;0.5)),"Yes","No — toss-up")</f>
        <v>Yes</v>
      </c>
    </row>
    <row r="66" customFormat="false" ht="15" hidden="false" customHeight="false" outlineLevel="0" collapsed="false">
      <c r="A66" s="8" t="str">
        <f aca="false">'2026 Forecast A'!A48</f>
        <v>Lehigh</v>
      </c>
      <c r="B66" s="8" t="str">
        <f aca="false">'2026 Forecast A'!B48</f>
        <v>LYNN</v>
      </c>
      <c r="C66" s="8" t="str">
        <f aca="false">'2026 Forecast A'!C48</f>
        <v>(whole municipality)</v>
      </c>
      <c r="D66" s="9" t="n">
        <f aca="false">'2026 Forecast A'!G48</f>
        <v>0.361560813615608</v>
      </c>
      <c r="E66" s="9" t="n">
        <f aca="false">'2026 Forecast B'!G48</f>
        <v>0.35643153526971</v>
      </c>
      <c r="F66" s="9" t="n">
        <f aca="false">'2026 Forecast C'!G48</f>
        <v>0.348846960167715</v>
      </c>
      <c r="G66" s="24" t="n">
        <f aca="false">(MAX(D66:F66)-MIN(D66:F66))*100</f>
        <v>1.27138534478933</v>
      </c>
      <c r="H66" s="24" t="n">
        <f aca="false">'2026 Forecast A'!J48</f>
        <v>1.7411899431073</v>
      </c>
      <c r="I66" s="24" t="n">
        <f aca="false">'2026 Forecast B'!J48</f>
        <v>1.9629605122441</v>
      </c>
      <c r="J66" s="24" t="n">
        <f aca="false">'2026 Forecast C'!J48</f>
        <v>1.379737565379</v>
      </c>
      <c r="K66" s="25" t="n">
        <f aca="false">'2026 Forecast A'!F48</f>
        <v>2409</v>
      </c>
      <c r="L66" s="26" t="str">
        <f aca="false">IF(OR(AND(D66&gt;0.5,E66&gt;0.5,F66&gt;0.5),AND(D66&lt;0.5,E66&lt;0.5,F66&lt;0.5)),"Yes","No — toss-up")</f>
        <v>Yes</v>
      </c>
    </row>
    <row r="67" customFormat="false" ht="15" hidden="false" customHeight="false" outlineLevel="0" collapsed="false">
      <c r="A67" s="8" t="str">
        <f aca="false">'2026 Forecast A'!A49</f>
        <v>Lehigh</v>
      </c>
      <c r="B67" s="8" t="str">
        <f aca="false">'2026 Forecast A'!B49</f>
        <v>MACUNGIE</v>
      </c>
      <c r="C67" s="8" t="str">
        <f aca="false">'2026 Forecast A'!C49</f>
        <v>(whole municipality)</v>
      </c>
      <c r="D67" s="9" t="n">
        <f aca="false">'2026 Forecast A'!G49</f>
        <v>0.558860759493671</v>
      </c>
      <c r="E67" s="9" t="n">
        <f aca="false">'2026 Forecast B'!G49</f>
        <v>0.560960202147821</v>
      </c>
      <c r="F67" s="9" t="n">
        <f aca="false">'2026 Forecast C'!G49</f>
        <v>0.556913183279743</v>
      </c>
      <c r="G67" s="24" t="n">
        <f aca="false">(MAX(D67:F67)-MIN(D67:F67))*100</f>
        <v>0.404701886807779</v>
      </c>
      <c r="H67" s="24" t="n">
        <f aca="false">'2026 Forecast A'!J49</f>
        <v>1.7411899431073</v>
      </c>
      <c r="I67" s="24" t="n">
        <f aca="false">'2026 Forecast B'!J49</f>
        <v>1.9629605122441</v>
      </c>
      <c r="J67" s="24" t="n">
        <f aca="false">'2026 Forecast C'!J49</f>
        <v>2.46414572893645</v>
      </c>
      <c r="K67" s="25" t="n">
        <f aca="false">'2026 Forecast A'!F49</f>
        <v>1580</v>
      </c>
      <c r="L67" s="26" t="str">
        <f aca="false">IF(OR(AND(D67&gt;0.5,E67&gt;0.5,F67&gt;0.5),AND(D67&lt;0.5,E67&lt;0.5,F67&lt;0.5)),"Yes","No — toss-up")</f>
        <v>Yes</v>
      </c>
    </row>
    <row r="68" customFormat="false" ht="15" hidden="false" customHeight="false" outlineLevel="0" collapsed="false">
      <c r="A68" s="8" t="str">
        <f aca="false">'2026 Forecast A'!A50</f>
        <v>Lehigh</v>
      </c>
      <c r="B68" s="8" t="str">
        <f aca="false">'2026 Forecast A'!B50</f>
        <v>NORTH WHITEHALL</v>
      </c>
      <c r="C68" s="8" t="str">
        <f aca="false">'2026 Forecast A'!C50</f>
        <v>(whole municipality)</v>
      </c>
      <c r="D68" s="9" t="n">
        <f aca="false">'2026 Forecast A'!G50</f>
        <v>0.4533702677747</v>
      </c>
      <c r="E68" s="9" t="n">
        <f aca="false">'2026 Forecast B'!G50</f>
        <v>0.447994483392713</v>
      </c>
      <c r="F68" s="9" t="n">
        <f aca="false">'2026 Forecast C'!G50</f>
        <v>0.444171348314607</v>
      </c>
      <c r="G68" s="24" t="n">
        <f aca="false">(MAX(D68:F68)-MIN(D68:F68))*100</f>
        <v>0.919891946009316</v>
      </c>
      <c r="H68" s="24" t="n">
        <f aca="false">'2026 Forecast A'!J50</f>
        <v>1.10503324994843</v>
      </c>
      <c r="I68" s="24" t="n">
        <f aca="false">'2026 Forecast B'!J50</f>
        <v>1.18886476919636</v>
      </c>
      <c r="J68" s="24" t="n">
        <f aca="false">'2026 Forecast C'!J50</f>
        <v>1.54340705695521</v>
      </c>
      <c r="K68" s="25" t="n">
        <f aca="false">'2026 Forecast A'!F50</f>
        <v>8664</v>
      </c>
      <c r="L68" s="26" t="str">
        <f aca="false">IF(OR(AND(D68&gt;0.5,E68&gt;0.5,F68&gt;0.5),AND(D68&lt;0.5,E68&lt;0.5,F68&lt;0.5)),"Yes","No — toss-up")</f>
        <v>Yes</v>
      </c>
    </row>
    <row r="69" customFormat="false" ht="15" hidden="false" customHeight="false" outlineLevel="0" collapsed="false">
      <c r="A69" s="8" t="str">
        <f aca="false">'2026 Forecast A'!A51</f>
        <v>Lehigh</v>
      </c>
      <c r="B69" s="8" t="str">
        <f aca="false">'2026 Forecast A'!B51</f>
        <v>SALISBURY</v>
      </c>
      <c r="C69" s="8" t="str">
        <f aca="false">'2026 Forecast A'!C51</f>
        <v>(whole municipality)</v>
      </c>
      <c r="D69" s="9" t="n">
        <f aca="false">'2026 Forecast A'!G51</f>
        <v>0.534485200396544</v>
      </c>
      <c r="E69" s="9" t="n">
        <f aca="false">'2026 Forecast B'!G51</f>
        <v>0.536851039751026</v>
      </c>
      <c r="F69" s="9" t="n">
        <f aca="false">'2026 Forecast C'!G51</f>
        <v>0.529164248403947</v>
      </c>
      <c r="G69" s="24" t="n">
        <f aca="false">(MAX(D69:F69)-MIN(D69:F69))*100</f>
        <v>0.768679134707895</v>
      </c>
      <c r="H69" s="24" t="n">
        <f aca="false">'2026 Forecast A'!J51</f>
        <v>1.10503324994843</v>
      </c>
      <c r="I69" s="24" t="n">
        <f aca="false">'2026 Forecast B'!J51</f>
        <v>1.18886476919636</v>
      </c>
      <c r="J69" s="24" t="n">
        <f aca="false">'2026 Forecast C'!J51</f>
        <v>1.54340705695521</v>
      </c>
      <c r="K69" s="25" t="n">
        <f aca="false">'2026 Forecast A'!F51</f>
        <v>7061</v>
      </c>
      <c r="L69" s="26" t="str">
        <f aca="false">IF(OR(AND(D69&gt;0.5,E69&gt;0.5,F69&gt;0.5),AND(D69&lt;0.5,E69&lt;0.5,F69&lt;0.5)),"Yes","No — toss-up")</f>
        <v>Yes</v>
      </c>
    </row>
    <row r="70" customFormat="false" ht="15" hidden="false" customHeight="false" outlineLevel="0" collapsed="false">
      <c r="A70" s="8" t="str">
        <f aca="false">'2026 Forecast A'!A52</f>
        <v>Lehigh</v>
      </c>
      <c r="B70" s="8" t="str">
        <f aca="false">'2026 Forecast A'!B52</f>
        <v>SLATINGTON</v>
      </c>
      <c r="C70" s="8" t="str">
        <f aca="false">'2026 Forecast A'!C52</f>
        <v>(whole municipality)</v>
      </c>
      <c r="D70" s="9" t="n">
        <f aca="false">'2026 Forecast A'!G52</f>
        <v>0.460053262316911</v>
      </c>
      <c r="E70" s="9" t="n">
        <f aca="false">'2026 Forecast B'!G52</f>
        <v>0.458581842279655</v>
      </c>
      <c r="F70" s="9" t="n">
        <f aca="false">'2026 Forecast C'!G52</f>
        <v>0.457417582417582</v>
      </c>
      <c r="G70" s="24" t="n">
        <f aca="false">(MAX(D70:F70)-MIN(D70:F70))*100</f>
        <v>0.263567989932839</v>
      </c>
      <c r="H70" s="24" t="n">
        <f aca="false">'2026 Forecast A'!J52</f>
        <v>2.62223349707705</v>
      </c>
      <c r="I70" s="24" t="n">
        <f aca="false">'2026 Forecast B'!J52</f>
        <v>2.77130020190375</v>
      </c>
      <c r="J70" s="24" t="n">
        <f aca="false">'2026 Forecast C'!J52</f>
        <v>2.46414572893645</v>
      </c>
      <c r="K70" s="25" t="n">
        <f aca="false">'2026 Forecast A'!F52</f>
        <v>1502</v>
      </c>
      <c r="L70" s="26" t="str">
        <f aca="false">IF(OR(AND(D70&gt;0.5,E70&gt;0.5,F70&gt;0.5),AND(D70&lt;0.5,E70&lt;0.5,F70&lt;0.5)),"Yes","No — toss-up")</f>
        <v>Yes</v>
      </c>
    </row>
    <row r="71" customFormat="false" ht="15" hidden="false" customHeight="false" outlineLevel="0" collapsed="false">
      <c r="A71" s="8" t="str">
        <f aca="false">'2026 Forecast A'!A53</f>
        <v>Lehigh</v>
      </c>
      <c r="B71" s="8" t="str">
        <f aca="false">'2026 Forecast A'!B53</f>
        <v>SOUTH WHITEHALL</v>
      </c>
      <c r="C71" s="8" t="str">
        <f aca="false">'2026 Forecast A'!C53</f>
        <v>(whole municipality)</v>
      </c>
      <c r="D71" s="9" t="n">
        <f aca="false">'2026 Forecast A'!G53</f>
        <v>0.563327704204071</v>
      </c>
      <c r="E71" s="9" t="n">
        <f aca="false">'2026 Forecast B'!G53</f>
        <v>0.566796944395097</v>
      </c>
      <c r="F71" s="9" t="n">
        <f aca="false">'2026 Forecast C'!G53</f>
        <v>0.564062926252614</v>
      </c>
      <c r="G71" s="24" t="n">
        <f aca="false">(MAX(D71:F71)-MIN(D71:F71))*100</f>
        <v>0.346924019102612</v>
      </c>
      <c r="H71" s="24" t="n">
        <f aca="false">'2026 Forecast A'!J53</f>
        <v>1.10503324994843</v>
      </c>
      <c r="I71" s="24" t="n">
        <f aca="false">'2026 Forecast B'!J53</f>
        <v>1.18886476919636</v>
      </c>
      <c r="J71" s="24" t="n">
        <f aca="false">'2026 Forecast C'!J53</f>
        <v>1.54340705695521</v>
      </c>
      <c r="K71" s="25" t="n">
        <f aca="false">'2026 Forecast A'!F53</f>
        <v>11251</v>
      </c>
      <c r="L71" s="26" t="str">
        <f aca="false">IF(OR(AND(D71&gt;0.5,E71&gt;0.5,F71&gt;0.5),AND(D71&lt;0.5,E71&lt;0.5,F71&lt;0.5)),"Yes","No — toss-up")</f>
        <v>Yes</v>
      </c>
    </row>
    <row r="72" customFormat="false" ht="15" hidden="false" customHeight="false" outlineLevel="0" collapsed="false">
      <c r="A72" s="8" t="str">
        <f aca="false">'2026 Forecast A'!A54</f>
        <v>Lehigh</v>
      </c>
      <c r="B72" s="8" t="str">
        <f aca="false">'2026 Forecast A'!B54</f>
        <v>UPPER MACUNGIE</v>
      </c>
      <c r="C72" s="8" t="str">
        <f aca="false">'2026 Forecast A'!C54</f>
        <v>(whole municipality)</v>
      </c>
      <c r="D72" s="9" t="n">
        <f aca="false">'2026 Forecast A'!G54</f>
        <v>0.554399316611012</v>
      </c>
      <c r="E72" s="9" t="n">
        <f aca="false">'2026 Forecast B'!G54</f>
        <v>0.551439376398858</v>
      </c>
      <c r="F72" s="9" t="n">
        <f aca="false">'2026 Forecast C'!G54</f>
        <v>0.553555785617584</v>
      </c>
      <c r="G72" s="24" t="n">
        <f aca="false">(MAX(D72:F72)-MIN(D72:F72))*100</f>
        <v>0.295994021215407</v>
      </c>
      <c r="H72" s="24" t="n">
        <f aca="false">'2026 Forecast A'!J54</f>
        <v>1.10503324994843</v>
      </c>
      <c r="I72" s="24" t="n">
        <f aca="false">'2026 Forecast B'!J54</f>
        <v>1.18886476919636</v>
      </c>
      <c r="J72" s="24" t="n">
        <f aca="false">'2026 Forecast C'!J54</f>
        <v>1.54340705695521</v>
      </c>
      <c r="K72" s="25" t="n">
        <f aca="false">'2026 Forecast A'!F54</f>
        <v>12877</v>
      </c>
      <c r="L72" s="26" t="str">
        <f aca="false">IF(OR(AND(D72&gt;0.5,E72&gt;0.5,F72&gt;0.5),AND(D72&lt;0.5,E72&lt;0.5,F72&lt;0.5)),"Yes","No — toss-up")</f>
        <v>Yes</v>
      </c>
    </row>
    <row r="73" customFormat="false" ht="15" hidden="false" customHeight="false" outlineLevel="0" collapsed="false">
      <c r="A73" s="8" t="str">
        <f aca="false">'2026 Forecast A'!A55</f>
        <v>Lehigh</v>
      </c>
      <c r="B73" s="8" t="str">
        <f aca="false">'2026 Forecast A'!B55</f>
        <v>UPPER MILFORD</v>
      </c>
      <c r="C73" s="8" t="str">
        <f aca="false">'2026 Forecast A'!C55</f>
        <v>(whole municipality)</v>
      </c>
      <c r="D73" s="9" t="n">
        <f aca="false">'2026 Forecast A'!G55</f>
        <v>0.486755626369249</v>
      </c>
      <c r="E73" s="9" t="n">
        <f aca="false">'2026 Forecast B'!G55</f>
        <v>0.476702508960574</v>
      </c>
      <c r="F73" s="9" t="n">
        <f aca="false">'2026 Forecast C'!G55</f>
        <v>0.469617706237425</v>
      </c>
      <c r="G73" s="24" t="n">
        <f aca="false">(MAX(D73:F73)-MIN(D73:F73))*100</f>
        <v>1.71379201318246</v>
      </c>
      <c r="H73" s="24" t="n">
        <f aca="false">'2026 Forecast A'!J55</f>
        <v>1.10503324994843</v>
      </c>
      <c r="I73" s="24" t="n">
        <f aca="false">'2026 Forecast B'!J55</f>
        <v>1.18886476919636</v>
      </c>
      <c r="J73" s="24" t="n">
        <f aca="false">'2026 Forecast C'!J55</f>
        <v>1.54340705695521</v>
      </c>
      <c r="K73" s="25" t="n">
        <f aca="false">'2026 Forecast A'!F55</f>
        <v>5021</v>
      </c>
      <c r="L73" s="26" t="str">
        <f aca="false">IF(OR(AND(D73&gt;0.5,E73&gt;0.5,F73&gt;0.5),AND(D73&lt;0.5,E73&lt;0.5,F73&lt;0.5)),"Yes","No — toss-up")</f>
        <v>Yes</v>
      </c>
    </row>
    <row r="74" customFormat="false" ht="15" hidden="false" customHeight="false" outlineLevel="0" collapsed="false">
      <c r="A74" s="8" t="str">
        <f aca="false">'2026 Forecast A'!A56</f>
        <v>Lehigh</v>
      </c>
      <c r="B74" s="8" t="str">
        <f aca="false">'2026 Forecast A'!B56</f>
        <v>UPPER SAUCON</v>
      </c>
      <c r="C74" s="8" t="str">
        <f aca="false">'2026 Forecast A'!C56</f>
        <v>(whole municipality)</v>
      </c>
      <c r="D74" s="9" t="n">
        <f aca="false">'2026 Forecast A'!G56</f>
        <v>0.530670181486363</v>
      </c>
      <c r="E74" s="9" t="n">
        <f aca="false">'2026 Forecast B'!G56</f>
        <v>0.529388002423753</v>
      </c>
      <c r="F74" s="9" t="n">
        <f aca="false">'2026 Forecast C'!G56</f>
        <v>0.522198516712385</v>
      </c>
      <c r="G74" s="24" t="n">
        <f aca="false">(MAX(D74:F74)-MIN(D74:F74))*100</f>
        <v>0.847166477397865</v>
      </c>
      <c r="H74" s="24" t="n">
        <f aca="false">'2026 Forecast A'!J56</f>
        <v>1.10503324994843</v>
      </c>
      <c r="I74" s="24" t="n">
        <f aca="false">'2026 Forecast B'!J56</f>
        <v>1.18886476919636</v>
      </c>
      <c r="J74" s="24" t="n">
        <f aca="false">'2026 Forecast C'!J56</f>
        <v>1.54340705695521</v>
      </c>
      <c r="K74" s="25" t="n">
        <f aca="false">'2026 Forecast A'!F56</f>
        <v>9863</v>
      </c>
      <c r="L74" s="26" t="str">
        <f aca="false">IF(OR(AND(D74&gt;0.5,E74&gt;0.5,F74&gt;0.5),AND(D74&lt;0.5,E74&lt;0.5,F74&lt;0.5)),"Yes","No — toss-up")</f>
        <v>Yes</v>
      </c>
    </row>
    <row r="75" customFormat="false" ht="15" hidden="false" customHeight="false" outlineLevel="0" collapsed="false">
      <c r="A75" s="8" t="str">
        <f aca="false">'2026 Forecast A'!A57</f>
        <v>Lehigh</v>
      </c>
      <c r="B75" s="8" t="str">
        <f aca="false">'2026 Forecast A'!B57</f>
        <v>WASHINGTON</v>
      </c>
      <c r="C75" s="8" t="str">
        <f aca="false">'2026 Forecast A'!C57</f>
        <v>(whole municipality)</v>
      </c>
      <c r="D75" s="9" t="n">
        <f aca="false">'2026 Forecast A'!G57</f>
        <v>0.373309817754262</v>
      </c>
      <c r="E75" s="9" t="n">
        <f aca="false">'2026 Forecast B'!G57</f>
        <v>0.373610298420129</v>
      </c>
      <c r="F75" s="9" t="n">
        <f aca="false">'2026 Forecast C'!G57</f>
        <v>0.361499553704255</v>
      </c>
      <c r="G75" s="24" t="n">
        <f aca="false">(MAX(D75:F75)-MIN(D75:F75))*100</f>
        <v>1.2110744715874</v>
      </c>
      <c r="H75" s="24" t="n">
        <f aca="false">'2026 Forecast A'!J57</f>
        <v>1.7411899431073</v>
      </c>
      <c r="I75" s="24" t="n">
        <f aca="false">'2026 Forecast B'!J57</f>
        <v>1.9629605122441</v>
      </c>
      <c r="J75" s="24" t="n">
        <f aca="false">'2026 Forecast C'!J57</f>
        <v>1.379737565379</v>
      </c>
      <c r="K75" s="25" t="n">
        <f aca="false">'2026 Forecast A'!F57</f>
        <v>3402</v>
      </c>
      <c r="L75" s="26" t="str">
        <f aca="false">IF(OR(AND(D75&gt;0.5,E75&gt;0.5,F75&gt;0.5),AND(D75&lt;0.5,E75&lt;0.5,F75&lt;0.5)),"Yes","No — toss-up")</f>
        <v>Yes</v>
      </c>
    </row>
    <row r="76" customFormat="false" ht="15" hidden="false" customHeight="false" outlineLevel="0" collapsed="false">
      <c r="A76" s="8" t="str">
        <f aca="false">'2026 Forecast A'!A58</f>
        <v>Lehigh</v>
      </c>
      <c r="B76" s="8" t="str">
        <f aca="false">'2026 Forecast A'!B58</f>
        <v>WEISENBERG</v>
      </c>
      <c r="C76" s="8" t="str">
        <f aca="false">'2026 Forecast A'!C58</f>
        <v>(whole municipality)</v>
      </c>
      <c r="D76" s="9" t="n">
        <f aca="false">'2026 Forecast A'!G58</f>
        <v>0.394160583941606</v>
      </c>
      <c r="E76" s="9" t="n">
        <f aca="false">'2026 Forecast B'!G58</f>
        <v>0.386197743861977</v>
      </c>
      <c r="F76" s="9" t="n">
        <f aca="false">'2026 Forecast C'!G58</f>
        <v>0.379725660756106</v>
      </c>
      <c r="G76" s="24" t="n">
        <f aca="false">(MAX(D76:F76)-MIN(D76:F76))*100</f>
        <v>1.44349231855002</v>
      </c>
      <c r="H76" s="24" t="n">
        <f aca="false">'2026 Forecast A'!J58</f>
        <v>1.7411899431073</v>
      </c>
      <c r="I76" s="24" t="n">
        <f aca="false">'2026 Forecast B'!J58</f>
        <v>1.9629605122441</v>
      </c>
      <c r="J76" s="24" t="n">
        <f aca="false">'2026 Forecast C'!J58</f>
        <v>1.379737565379</v>
      </c>
      <c r="K76" s="25" t="n">
        <f aca="false">'2026 Forecast A'!F58</f>
        <v>3014</v>
      </c>
      <c r="L76" s="26" t="str">
        <f aca="false">IF(OR(AND(D76&gt;0.5,E76&gt;0.5,F76&gt;0.5),AND(D76&lt;0.5,E76&lt;0.5,F76&lt;0.5)),"Yes","No — toss-up")</f>
        <v>Yes</v>
      </c>
    </row>
    <row r="77" customFormat="false" ht="15" hidden="false" customHeight="false" outlineLevel="0" collapsed="false">
      <c r="A77" s="8" t="str">
        <f aca="false">'2026 Forecast A'!A59</f>
        <v>Lehigh</v>
      </c>
      <c r="B77" s="8" t="str">
        <f aca="false">'2026 Forecast A'!B59</f>
        <v>WHITEHALL</v>
      </c>
      <c r="C77" s="8" t="str">
        <f aca="false">'2026 Forecast A'!C59</f>
        <v>(whole municipality)</v>
      </c>
      <c r="D77" s="9" t="n">
        <f aca="false">'2026 Forecast A'!G59</f>
        <v>0.551047235124003</v>
      </c>
      <c r="E77" s="9" t="n">
        <f aca="false">'2026 Forecast B'!G59</f>
        <v>0.54964104360007</v>
      </c>
      <c r="F77" s="9" t="n">
        <f aca="false">'2026 Forecast C'!G59</f>
        <v>0.552133345411722</v>
      </c>
      <c r="G77" s="24" t="n">
        <f aca="false">(MAX(D77:F77)-MIN(D77:F77))*100</f>
        <v>0.249230181165205</v>
      </c>
      <c r="H77" s="24" t="n">
        <f aca="false">'2026 Forecast A'!J59</f>
        <v>1.10503324994843</v>
      </c>
      <c r="I77" s="24" t="n">
        <f aca="false">'2026 Forecast B'!J59</f>
        <v>1.18886476919636</v>
      </c>
      <c r="J77" s="24" t="n">
        <f aca="false">'2026 Forecast C'!J59</f>
        <v>1.54340705695521</v>
      </c>
      <c r="K77" s="25" t="n">
        <f aca="false">'2026 Forecast A'!F59</f>
        <v>11411</v>
      </c>
      <c r="L77" s="26" t="str">
        <f aca="false">IF(OR(AND(D77&gt;0.5,E77&gt;0.5,F77&gt;0.5),AND(D77&lt;0.5,E77&lt;0.5,F77&lt;0.5)),"Yes","No — toss-up")</f>
        <v>Yes</v>
      </c>
    </row>
    <row r="78" customFormat="false" ht="15" hidden="false" customHeight="false" outlineLevel="0" collapsed="false">
      <c r="A78" s="8" t="str">
        <f aca="false">'2026 Forecast A'!A60</f>
        <v>Monroe</v>
      </c>
      <c r="B78" s="8" t="str">
        <f aca="false">'2026 Forecast A'!B60</f>
        <v>ELDRED TOWNSHIP</v>
      </c>
      <c r="C78" s="8" t="str">
        <f aca="false">'2026 Forecast A'!C60</f>
        <v>(whole municipality)</v>
      </c>
      <c r="D78" s="9" t="n">
        <f aca="false">'2026 Forecast A'!G60</f>
        <v>0.349008082292432</v>
      </c>
      <c r="E78" s="9" t="n">
        <f aca="false">'2026 Forecast B'!G60</f>
        <v>0.348905109489051</v>
      </c>
      <c r="F78" s="9" t="n">
        <f aca="false">'2026 Forecast C'!G60</f>
        <v>0.33808095952024</v>
      </c>
      <c r="G78" s="24" t="n">
        <f aca="false">(MAX(D78:F78)-MIN(D78:F78))*100</f>
        <v>1.09271227721922</v>
      </c>
      <c r="H78" s="24" t="n">
        <f aca="false">'2026 Forecast A'!J60</f>
        <v>2.62223349707705</v>
      </c>
      <c r="I78" s="24" t="n">
        <f aca="false">'2026 Forecast B'!J60</f>
        <v>2.77130020190375</v>
      </c>
      <c r="J78" s="24" t="n">
        <f aca="false">'2026 Forecast C'!J60</f>
        <v>2.46414572893645</v>
      </c>
      <c r="K78" s="25" t="n">
        <f aca="false">'2026 Forecast A'!F60</f>
        <v>1361</v>
      </c>
      <c r="L78" s="26" t="str">
        <f aca="false">IF(OR(AND(D78&gt;0.5,E78&gt;0.5,F78&gt;0.5),AND(D78&lt;0.5,E78&lt;0.5,F78&lt;0.5)),"Yes","No — toss-up")</f>
        <v>Yes</v>
      </c>
    </row>
    <row r="79" customFormat="false" ht="15" hidden="false" customHeight="false" outlineLevel="0" collapsed="false">
      <c r="A79" s="8" t="str">
        <f aca="false">'2026 Forecast A'!A61</f>
        <v>Monroe</v>
      </c>
      <c r="B79" s="8" t="str">
        <f aca="false">'2026 Forecast A'!B61</f>
        <v>POLK TOWNSHIP</v>
      </c>
      <c r="C79" s="8" t="str">
        <f aca="false">'2026 Forecast A'!C61</f>
        <v>(whole municipality)</v>
      </c>
      <c r="D79" s="9" t="n">
        <f aca="false">'2026 Forecast A'!G61</f>
        <v>0.375107051099058</v>
      </c>
      <c r="E79" s="9" t="n">
        <f aca="false">'2026 Forecast B'!G61</f>
        <v>0.376877302351941</v>
      </c>
      <c r="F79" s="9" t="n">
        <f aca="false">'2026 Forecast C'!G61</f>
        <v>0.365525314603453</v>
      </c>
      <c r="G79" s="24" t="n">
        <f aca="false">(MAX(D79:F79)-MIN(D79:F79))*100</f>
        <v>1.13519877484877</v>
      </c>
      <c r="H79" s="24" t="n">
        <f aca="false">'2026 Forecast A'!J61</f>
        <v>1.7411899431073</v>
      </c>
      <c r="I79" s="24" t="n">
        <f aca="false">'2026 Forecast B'!J61</f>
        <v>1.9629605122441</v>
      </c>
      <c r="J79" s="24" t="n">
        <f aca="false">'2026 Forecast C'!J61</f>
        <v>1.379737565379</v>
      </c>
      <c r="K79" s="25" t="n">
        <f aca="false">'2026 Forecast A'!F61</f>
        <v>3503</v>
      </c>
      <c r="L79" s="26" t="str">
        <f aca="false">IF(OR(AND(D79&gt;0.5,E79&gt;0.5,F79&gt;0.5),AND(D79&lt;0.5,E79&lt;0.5,F79&lt;0.5)),"Yes","No — toss-up")</f>
        <v>Yes</v>
      </c>
    </row>
    <row r="80" customFormat="false" ht="15" hidden="false" customHeight="false" outlineLevel="0" collapsed="false">
      <c r="A80" s="8" t="str">
        <f aca="false">'2026 Forecast A'!A62</f>
        <v>Monroe</v>
      </c>
      <c r="B80" s="8" t="str">
        <f aca="false">'2026 Forecast A'!B62</f>
        <v>ROSS TOWNSHIP</v>
      </c>
      <c r="C80" s="8" t="str">
        <f aca="false">'2026 Forecast A'!C62</f>
        <v>(whole municipality)</v>
      </c>
      <c r="D80" s="9" t="n">
        <f aca="false">'2026 Forecast A'!G62</f>
        <v>0.377535101404056</v>
      </c>
      <c r="E80" s="9" t="n">
        <f aca="false">'2026 Forecast B'!G62</f>
        <v>0.375677769171185</v>
      </c>
      <c r="F80" s="9" t="n">
        <f aca="false">'2026 Forecast C'!G62</f>
        <v>0.364649681528662</v>
      </c>
      <c r="G80" s="24" t="n">
        <f aca="false">(MAX(D80:F80)-MIN(D80:F80))*100</f>
        <v>1.28854198753938</v>
      </c>
      <c r="H80" s="24" t="n">
        <f aca="false">'2026 Forecast A'!J62</f>
        <v>2.62223349707705</v>
      </c>
      <c r="I80" s="24" t="n">
        <f aca="false">'2026 Forecast B'!J62</f>
        <v>2.77130020190375</v>
      </c>
      <c r="J80" s="24" t="n">
        <f aca="false">'2026 Forecast C'!J62</f>
        <v>2.46414572893645</v>
      </c>
      <c r="K80" s="25" t="n">
        <f aca="false">'2026 Forecast A'!F62</f>
        <v>1282</v>
      </c>
      <c r="L80" s="26" t="str">
        <f aca="false">IF(OR(AND(D80&gt;0.5,E80&gt;0.5,F80&gt;0.5),AND(D80&lt;0.5,E80&lt;0.5,F80&lt;0.5)),"Yes","No — toss-up")</f>
        <v>Yes</v>
      </c>
    </row>
    <row r="81" customFormat="false" ht="15" hidden="false" customHeight="false" outlineLevel="0" collapsed="false">
      <c r="A81" s="8" t="str">
        <f aca="false">'2026 Forecast A'!A63</f>
        <v>Northampton</v>
      </c>
      <c r="B81" s="8" t="str">
        <f aca="false">'2026 Forecast A'!B63</f>
        <v>ALLEN</v>
      </c>
      <c r="C81" s="8" t="str">
        <f aca="false">'2026 Forecast A'!C63</f>
        <v>(whole municipality)</v>
      </c>
      <c r="D81" s="9" t="n">
        <f aca="false">'2026 Forecast A'!G63</f>
        <v>0.480160053351117</v>
      </c>
      <c r="E81" s="9" t="n">
        <f aca="false">'2026 Forecast B'!G63</f>
        <v>0.474230254350736</v>
      </c>
      <c r="F81" s="9" t="n">
        <f aca="false">'2026 Forecast C'!G63</f>
        <v>0.476728268309377</v>
      </c>
      <c r="G81" s="24" t="n">
        <f aca="false">(MAX(D81:F81)-MIN(D81:F81))*100</f>
        <v>0.592979900038076</v>
      </c>
      <c r="H81" s="24" t="n">
        <f aca="false">'2026 Forecast A'!J63</f>
        <v>1.7411899431073</v>
      </c>
      <c r="I81" s="24" t="n">
        <f aca="false">'2026 Forecast B'!J63</f>
        <v>1.9629605122441</v>
      </c>
      <c r="J81" s="24" t="n">
        <f aca="false">'2026 Forecast C'!J63</f>
        <v>1.379737565379</v>
      </c>
      <c r="K81" s="25" t="n">
        <f aca="false">'2026 Forecast A'!F63</f>
        <v>2999</v>
      </c>
      <c r="L81" s="26" t="str">
        <f aca="false">IF(OR(AND(D81&gt;0.5,E81&gt;0.5,F81&gt;0.5),AND(D81&lt;0.5,E81&lt;0.5,F81&lt;0.5)),"Yes","No — toss-up")</f>
        <v>Yes</v>
      </c>
    </row>
    <row r="82" customFormat="false" ht="15" hidden="false" customHeight="false" outlineLevel="0" collapsed="false">
      <c r="A82" s="8" t="str">
        <f aca="false">'2026 Forecast A'!A64</f>
        <v>Northampton</v>
      </c>
      <c r="B82" s="8" t="str">
        <f aca="false">'2026 Forecast A'!B64</f>
        <v>BANGOR</v>
      </c>
      <c r="C82" s="8" t="str">
        <f aca="false">'2026 Forecast A'!C64</f>
        <v>(whole municipality)</v>
      </c>
      <c r="D82" s="9" t="n">
        <f aca="false">'2026 Forecast A'!G64</f>
        <v>0.4529262086514</v>
      </c>
      <c r="E82" s="9" t="n">
        <f aca="false">'2026 Forecast B'!G64</f>
        <v>0.451710261569417</v>
      </c>
      <c r="F82" s="9" t="n">
        <f aca="false">'2026 Forecast C'!G64</f>
        <v>0.447381546134663</v>
      </c>
      <c r="G82" s="24" t="n">
        <f aca="false">(MAX(D82:F82)-MIN(D82:F82))*100</f>
        <v>0.554466251673613</v>
      </c>
      <c r="H82" s="24" t="n">
        <f aca="false">'2026 Forecast A'!J64</f>
        <v>1.7411899431073</v>
      </c>
      <c r="I82" s="24" t="n">
        <f aca="false">'2026 Forecast B'!J64</f>
        <v>1.9629605122441</v>
      </c>
      <c r="J82" s="24" t="n">
        <f aca="false">'2026 Forecast C'!J64</f>
        <v>1.379737565379</v>
      </c>
      <c r="K82" s="25" t="n">
        <f aca="false">'2026 Forecast A'!F64</f>
        <v>1965</v>
      </c>
      <c r="L82" s="26" t="str">
        <f aca="false">IF(OR(AND(D82&gt;0.5,E82&gt;0.5,F82&gt;0.5),AND(D82&lt;0.5,E82&lt;0.5,F82&lt;0.5)),"Yes","No — toss-up")</f>
        <v>Yes</v>
      </c>
    </row>
    <row r="83" customFormat="false" ht="15" hidden="false" customHeight="false" outlineLevel="0" collapsed="false">
      <c r="A83" s="8" t="str">
        <f aca="false">'2026 Forecast A'!A65</f>
        <v>Northampton</v>
      </c>
      <c r="B83" s="8" t="str">
        <f aca="false">'2026 Forecast A'!B65</f>
        <v>BATH</v>
      </c>
      <c r="C83" s="8" t="str">
        <f aca="false">'2026 Forecast A'!C65</f>
        <v>(whole municipality)</v>
      </c>
      <c r="D83" s="9" t="n">
        <f aca="false">'2026 Forecast A'!G65</f>
        <v>0.506578947368421</v>
      </c>
      <c r="E83" s="9" t="n">
        <f aca="false">'2026 Forecast B'!G65</f>
        <v>0.51214953271028</v>
      </c>
      <c r="F83" s="9" t="n">
        <f aca="false">'2026 Forecast C'!G65</f>
        <v>0.501897533206831</v>
      </c>
      <c r="G83" s="24" t="n">
        <f aca="false">(MAX(D83:F83)-MIN(D83:F83))*100</f>
        <v>1.02519995034492</v>
      </c>
      <c r="H83" s="24" t="n">
        <f aca="false">'2026 Forecast A'!J65</f>
        <v>2.62223349707705</v>
      </c>
      <c r="I83" s="24" t="n">
        <f aca="false">'2026 Forecast B'!J65</f>
        <v>2.77130020190375</v>
      </c>
      <c r="J83" s="24" t="n">
        <f aca="false">'2026 Forecast C'!J65</f>
        <v>2.46414572893645</v>
      </c>
      <c r="K83" s="25" t="n">
        <f aca="false">'2026 Forecast A'!F65</f>
        <v>1064</v>
      </c>
      <c r="L83" s="26" t="str">
        <f aca="false">IF(OR(AND(D83&gt;0.5,E83&gt;0.5,F83&gt;0.5),AND(D83&lt;0.5,E83&lt;0.5,F83&lt;0.5)),"Yes","No — toss-up")</f>
        <v>Yes</v>
      </c>
    </row>
    <row r="84" customFormat="false" ht="15" hidden="false" customHeight="false" outlineLevel="0" collapsed="false">
      <c r="A84" s="8" t="str">
        <f aca="false">'2026 Forecast A'!A66</f>
        <v>Northampton</v>
      </c>
      <c r="B84" s="8" t="str">
        <f aca="false">'2026 Forecast A'!B66</f>
        <v>BETHLEHEM</v>
      </c>
      <c r="C84" s="8" t="str">
        <f aca="false">'2026 Forecast A'!C66</f>
        <v>(whole municipality)</v>
      </c>
      <c r="D84" s="9" t="n">
        <f aca="false">'2026 Forecast A'!G66</f>
        <v>0.701929125602852</v>
      </c>
      <c r="E84" s="9" t="n">
        <f aca="false">'2026 Forecast B'!G66</f>
        <v>0.702233640939597</v>
      </c>
      <c r="F84" s="9" t="n">
        <f aca="false">'2026 Forecast C'!G66</f>
        <v>0.730449074810455</v>
      </c>
      <c r="G84" s="24" t="n">
        <f aca="false">(MAX(D84:F84)-MIN(D84:F84))*100</f>
        <v>2.85199492076037</v>
      </c>
      <c r="H84" s="24" t="n">
        <f aca="false">'2026 Forecast A'!J66</f>
        <v>1.10503324994843</v>
      </c>
      <c r="I84" s="24" t="n">
        <f aca="false">'2026 Forecast B'!J66</f>
        <v>1.18886476919636</v>
      </c>
      <c r="J84" s="24" t="n">
        <f aca="false">'2026 Forecast C'!J66</f>
        <v>1.54340705695521</v>
      </c>
      <c r="K84" s="25" t="n">
        <f aca="false">'2026 Forecast A'!F66</f>
        <v>19076</v>
      </c>
      <c r="L84" s="26" t="str">
        <f aca="false">IF(OR(AND(D84&gt;0.5,E84&gt;0.5,F84&gt;0.5),AND(D84&lt;0.5,E84&lt;0.5,F84&lt;0.5)),"Yes","No — toss-up")</f>
        <v>Yes</v>
      </c>
    </row>
    <row r="85" customFormat="false" ht="15" hidden="false" customHeight="false" outlineLevel="0" collapsed="false">
      <c r="A85" s="8" t="str">
        <f aca="false">'2026 Forecast A'!A67</f>
        <v>Northampton</v>
      </c>
      <c r="B85" s="8" t="str">
        <f aca="false">'2026 Forecast A'!B67</f>
        <v>BETHLEHEM TOWNSHIP</v>
      </c>
      <c r="C85" s="8" t="str">
        <f aca="false">'2026 Forecast A'!C67</f>
        <v>(whole municipality)</v>
      </c>
      <c r="D85" s="9" t="n">
        <f aca="false">'2026 Forecast A'!G67</f>
        <v>0.561878291398479</v>
      </c>
      <c r="E85" s="9" t="n">
        <f aca="false">'2026 Forecast B'!G67</f>
        <v>0.567112866652037</v>
      </c>
      <c r="F85" s="9" t="n">
        <f aca="false">'2026 Forecast C'!G67</f>
        <v>0.562167826933154</v>
      </c>
      <c r="G85" s="24" t="n">
        <f aca="false">(MAX(D85:F85)-MIN(D85:F85))*100</f>
        <v>0.523457525355853</v>
      </c>
      <c r="H85" s="24" t="n">
        <f aca="false">'2026 Forecast A'!J67</f>
        <v>1.10503324994843</v>
      </c>
      <c r="I85" s="24" t="n">
        <f aca="false">'2026 Forecast B'!J67</f>
        <v>1.18886476919636</v>
      </c>
      <c r="J85" s="24" t="n">
        <f aca="false">'2026 Forecast C'!J67</f>
        <v>1.54340705695521</v>
      </c>
      <c r="K85" s="25" t="n">
        <f aca="false">'2026 Forecast A'!F67</f>
        <v>13672</v>
      </c>
      <c r="L85" s="26" t="str">
        <f aca="false">IF(OR(AND(D85&gt;0.5,E85&gt;0.5,F85&gt;0.5),AND(D85&lt;0.5,E85&lt;0.5,F85&lt;0.5)),"Yes","No — toss-up")</f>
        <v>Yes</v>
      </c>
    </row>
    <row r="86" customFormat="false" ht="15" hidden="false" customHeight="false" outlineLevel="0" collapsed="false">
      <c r="A86" s="8" t="str">
        <f aca="false">'2026 Forecast A'!A68</f>
        <v>Northampton</v>
      </c>
      <c r="B86" s="8" t="str">
        <f aca="false">'2026 Forecast A'!B68</f>
        <v>BUSHKILL</v>
      </c>
      <c r="C86" s="8" t="str">
        <f aca="false">'2026 Forecast A'!C68</f>
        <v>(whole municipality)</v>
      </c>
      <c r="D86" s="9" t="n">
        <f aca="false">'2026 Forecast A'!G68</f>
        <v>0.428339093311649</v>
      </c>
      <c r="E86" s="9" t="n">
        <f aca="false">'2026 Forecast B'!G68</f>
        <v>0.423941664978732</v>
      </c>
      <c r="F86" s="9" t="n">
        <f aca="false">'2026 Forecast C'!G68</f>
        <v>0.413821472645002</v>
      </c>
      <c r="G86" s="24" t="n">
        <f aca="false">(MAX(D86:F86)-MIN(D86:F86))*100</f>
        <v>1.45176206666466</v>
      </c>
      <c r="H86" s="24" t="n">
        <f aca="false">'2026 Forecast A'!J68</f>
        <v>1.10503324994843</v>
      </c>
      <c r="I86" s="24" t="n">
        <f aca="false">'2026 Forecast B'!J68</f>
        <v>1.18886476919636</v>
      </c>
      <c r="J86" s="24" t="n">
        <f aca="false">'2026 Forecast C'!J68</f>
        <v>1.54340705695521</v>
      </c>
      <c r="K86" s="25" t="n">
        <f aca="false">'2026 Forecast A'!F68</f>
        <v>4919</v>
      </c>
      <c r="L86" s="26" t="str">
        <f aca="false">IF(OR(AND(D86&gt;0.5,E86&gt;0.5,F86&gt;0.5),AND(D86&lt;0.5,E86&lt;0.5,F86&lt;0.5)),"Yes","No — toss-up")</f>
        <v>Yes</v>
      </c>
    </row>
    <row r="87" customFormat="false" ht="15" hidden="false" customHeight="false" outlineLevel="0" collapsed="false">
      <c r="A87" s="8" t="str">
        <f aca="false">'2026 Forecast A'!A69</f>
        <v>Northampton</v>
      </c>
      <c r="B87" s="8" t="str">
        <f aca="false">'2026 Forecast A'!B69</f>
        <v>CHAPMAN</v>
      </c>
      <c r="C87" s="8" t="str">
        <f aca="false">'2026 Forecast A'!C69</f>
        <v>(whole municipality)</v>
      </c>
      <c r="D87" s="9" t="n">
        <f aca="false">'2026 Forecast A'!G69</f>
        <v>0.386138613861386</v>
      </c>
      <c r="E87" s="9" t="n">
        <f aca="false">'2026 Forecast B'!G69</f>
        <v>0.382352941176471</v>
      </c>
      <c r="F87" s="9" t="n">
        <f aca="false">'2026 Forecast C'!G69</f>
        <v>0.376237623762376</v>
      </c>
      <c r="G87" s="24" t="n">
        <f aca="false">(MAX(D87:F87)-MIN(D87:F87))*100</f>
        <v>0.990099009900991</v>
      </c>
      <c r="H87" s="24" t="n">
        <f aca="false">'2026 Forecast A'!J69</f>
        <v>2.62223349707705</v>
      </c>
      <c r="I87" s="24" t="n">
        <f aca="false">'2026 Forecast B'!J69</f>
        <v>2.77130020190375</v>
      </c>
      <c r="J87" s="24" t="n">
        <f aca="false">'2026 Forecast C'!J69</f>
        <v>2.46414572893645</v>
      </c>
      <c r="K87" s="25" t="n">
        <f aca="false">'2026 Forecast A'!F69</f>
        <v>101</v>
      </c>
      <c r="L87" s="26" t="str">
        <f aca="false">IF(OR(AND(D87&gt;0.5,E87&gt;0.5,F87&gt;0.5),AND(D87&lt;0.5,E87&lt;0.5,F87&lt;0.5)),"Yes","No — toss-up")</f>
        <v>Yes</v>
      </c>
    </row>
    <row r="88" customFormat="false" ht="15" hidden="false" customHeight="false" outlineLevel="0" collapsed="false">
      <c r="A88" s="8" t="str">
        <f aca="false">'2026 Forecast A'!A70</f>
        <v>Northampton</v>
      </c>
      <c r="B88" s="8" t="str">
        <f aca="false">'2026 Forecast A'!B70</f>
        <v>EAST ALLEN</v>
      </c>
      <c r="C88" s="8" t="str">
        <f aca="false">'2026 Forecast A'!C70</f>
        <v>(whole municipality)</v>
      </c>
      <c r="D88" s="9" t="n">
        <f aca="false">'2026 Forecast A'!G70</f>
        <v>0.471925594212883</v>
      </c>
      <c r="E88" s="9" t="n">
        <f aca="false">'2026 Forecast B'!G70</f>
        <v>0.467380048325854</v>
      </c>
      <c r="F88" s="9" t="n">
        <f aca="false">'2026 Forecast C'!G70</f>
        <v>0.460674157303371</v>
      </c>
      <c r="G88" s="24" t="n">
        <f aca="false">(MAX(D88:F88)-MIN(D88:F88))*100</f>
        <v>1.12514369095124</v>
      </c>
      <c r="H88" s="24" t="n">
        <f aca="false">'2026 Forecast A'!J70</f>
        <v>1.7411899431073</v>
      </c>
      <c r="I88" s="24" t="n">
        <f aca="false">'2026 Forecast B'!J70</f>
        <v>1.9629605122441</v>
      </c>
      <c r="J88" s="24" t="n">
        <f aca="false">'2026 Forecast C'!J70</f>
        <v>1.379737565379</v>
      </c>
      <c r="K88" s="25" t="n">
        <f aca="false">'2026 Forecast A'!F70</f>
        <v>2903</v>
      </c>
      <c r="L88" s="26" t="str">
        <f aca="false">IF(OR(AND(D88&gt;0.5,E88&gt;0.5,F88&gt;0.5),AND(D88&lt;0.5,E88&lt;0.5,F88&lt;0.5)),"Yes","No — toss-up")</f>
        <v>Yes</v>
      </c>
    </row>
    <row r="89" customFormat="false" ht="15" hidden="false" customHeight="false" outlineLevel="0" collapsed="false">
      <c r="A89" s="8" t="str">
        <f aca="false">'2026 Forecast A'!A71</f>
        <v>Northampton</v>
      </c>
      <c r="B89" s="8" t="str">
        <f aca="false">'2026 Forecast A'!B71</f>
        <v>EAST BANGOR</v>
      </c>
      <c r="C89" s="8" t="str">
        <f aca="false">'2026 Forecast A'!C71</f>
        <v>(whole municipality)</v>
      </c>
      <c r="D89" s="9" t="n">
        <f aca="false">'2026 Forecast A'!G71</f>
        <v>0.44139650872818</v>
      </c>
      <c r="E89" s="9" t="n">
        <f aca="false">'2026 Forecast B'!G71</f>
        <v>0.440594059405941</v>
      </c>
      <c r="F89" s="9" t="n">
        <f aca="false">'2026 Forecast C'!G71</f>
        <v>0.427835051546392</v>
      </c>
      <c r="G89" s="24" t="n">
        <f aca="false">(MAX(D89:F89)-MIN(D89:F89))*100</f>
        <v>1.35614571817878</v>
      </c>
      <c r="H89" s="24" t="n">
        <f aca="false">'2026 Forecast A'!J71</f>
        <v>2.62223349707705</v>
      </c>
      <c r="I89" s="24" t="n">
        <f aca="false">'2026 Forecast B'!J71</f>
        <v>2.77130020190375</v>
      </c>
      <c r="J89" s="24" t="n">
        <f aca="false">'2026 Forecast C'!J71</f>
        <v>2.46414572893645</v>
      </c>
      <c r="K89" s="25" t="n">
        <f aca="false">'2026 Forecast A'!F71</f>
        <v>401</v>
      </c>
      <c r="L89" s="26" t="str">
        <f aca="false">IF(OR(AND(D89&gt;0.5,E89&gt;0.5,F89&gt;0.5),AND(D89&lt;0.5,E89&lt;0.5,F89&lt;0.5)),"Yes","No — toss-up")</f>
        <v>Yes</v>
      </c>
    </row>
    <row r="90" customFormat="false" ht="15" hidden="false" customHeight="false" outlineLevel="0" collapsed="false">
      <c r="A90" s="8" t="str">
        <f aca="false">'2026 Forecast A'!A72</f>
        <v>Northampton</v>
      </c>
      <c r="B90" s="8" t="str">
        <f aca="false">'2026 Forecast A'!B72</f>
        <v>EASTON</v>
      </c>
      <c r="C90" s="8" t="str">
        <f aca="false">'2026 Forecast A'!C72</f>
        <v>(whole municipality)</v>
      </c>
      <c r="D90" s="9" t="n">
        <f aca="false">'2026 Forecast A'!G72</f>
        <v>0.714815288252589</v>
      </c>
      <c r="E90" s="9" t="n">
        <f aca="false">'2026 Forecast B'!G72</f>
        <v>0.724718390077205</v>
      </c>
      <c r="F90" s="9" t="n">
        <f aca="false">'2026 Forecast C'!G72</f>
        <v>0.745630345853477</v>
      </c>
      <c r="G90" s="24" t="n">
        <f aca="false">(MAX(D90:F90)-MIN(D90:F90))*100</f>
        <v>3.08150576008885</v>
      </c>
      <c r="H90" s="24" t="n">
        <f aca="false">'2026 Forecast A'!J72</f>
        <v>1.10503324994843</v>
      </c>
      <c r="I90" s="24" t="n">
        <f aca="false">'2026 Forecast B'!J72</f>
        <v>1.18886476919636</v>
      </c>
      <c r="J90" s="24" t="n">
        <f aca="false">'2026 Forecast C'!J72</f>
        <v>1.54340705695521</v>
      </c>
      <c r="K90" s="25" t="n">
        <f aca="false">'2026 Forecast A'!F72</f>
        <v>7823</v>
      </c>
      <c r="L90" s="26" t="str">
        <f aca="false">IF(OR(AND(D90&gt;0.5,E90&gt;0.5,F90&gt;0.5),AND(D90&lt;0.5,E90&lt;0.5,F90&lt;0.5)),"Yes","No — toss-up")</f>
        <v>Yes</v>
      </c>
    </row>
    <row r="91" customFormat="false" ht="15" hidden="false" customHeight="false" outlineLevel="0" collapsed="false">
      <c r="A91" s="8" t="str">
        <f aca="false">'2026 Forecast A'!A73</f>
        <v>Northampton</v>
      </c>
      <c r="B91" s="8" t="str">
        <f aca="false">'2026 Forecast A'!B73</f>
        <v>FORKS</v>
      </c>
      <c r="C91" s="8" t="str">
        <f aca="false">'2026 Forecast A'!C73</f>
        <v>(whole municipality)</v>
      </c>
      <c r="D91" s="9" t="n">
        <f aca="false">'2026 Forecast A'!G73</f>
        <v>0.554370034052213</v>
      </c>
      <c r="E91" s="9" t="n">
        <f aca="false">'2026 Forecast B'!G73</f>
        <v>0.553630082682071</v>
      </c>
      <c r="F91" s="9" t="n">
        <f aca="false">'2026 Forecast C'!G73</f>
        <v>0.5531191369606</v>
      </c>
      <c r="G91" s="24" t="n">
        <f aca="false">(MAX(D91:F91)-MIN(D91:F91))*100</f>
        <v>0.125089709161308</v>
      </c>
      <c r="H91" s="24" t="n">
        <f aca="false">'2026 Forecast A'!J73</f>
        <v>1.10503324994843</v>
      </c>
      <c r="I91" s="24" t="n">
        <f aca="false">'2026 Forecast B'!J73</f>
        <v>1.18886476919636</v>
      </c>
      <c r="J91" s="24" t="n">
        <f aca="false">'2026 Forecast C'!J73</f>
        <v>1.54340705695521</v>
      </c>
      <c r="K91" s="25" t="n">
        <f aca="false">'2026 Forecast A'!F73</f>
        <v>8810</v>
      </c>
      <c r="L91" s="26" t="str">
        <f aca="false">IF(OR(AND(D91&gt;0.5,E91&gt;0.5,F91&gt;0.5),AND(D91&lt;0.5,E91&lt;0.5,F91&lt;0.5)),"Yes","No — toss-up")</f>
        <v>Yes</v>
      </c>
    </row>
    <row r="92" customFormat="false" ht="15" hidden="false" customHeight="false" outlineLevel="0" collapsed="false">
      <c r="A92" s="8" t="str">
        <f aca="false">'2026 Forecast A'!A74</f>
        <v>Northampton</v>
      </c>
      <c r="B92" s="8" t="str">
        <f aca="false">'2026 Forecast A'!B74</f>
        <v>FREEMANSBURG</v>
      </c>
      <c r="C92" s="8" t="str">
        <f aca="false">'2026 Forecast A'!C74</f>
        <v>(whole municipality)</v>
      </c>
      <c r="D92" s="9" t="n">
        <f aca="false">'2026 Forecast A'!G74</f>
        <v>0.627118644067797</v>
      </c>
      <c r="E92" s="9" t="n">
        <f aca="false">'2026 Forecast B'!G74</f>
        <v>0.629362214199759</v>
      </c>
      <c r="F92" s="9" t="n">
        <f aca="false">'2026 Forecast C'!G74</f>
        <v>0.637362637362637</v>
      </c>
      <c r="G92" s="24" t="n">
        <f aca="false">(MAX(D92:F92)-MIN(D92:F92))*100</f>
        <v>1.02439932948407</v>
      </c>
      <c r="H92" s="24" t="n">
        <f aca="false">'2026 Forecast A'!J74</f>
        <v>2.62223349707705</v>
      </c>
      <c r="I92" s="24" t="n">
        <f aca="false">'2026 Forecast B'!J74</f>
        <v>2.77130020190375</v>
      </c>
      <c r="J92" s="24" t="n">
        <f aca="false">'2026 Forecast C'!J74</f>
        <v>2.46414572893645</v>
      </c>
      <c r="K92" s="25" t="n">
        <f aca="false">'2026 Forecast A'!F74</f>
        <v>826</v>
      </c>
      <c r="L92" s="26" t="str">
        <f aca="false">IF(OR(AND(D92&gt;0.5,E92&gt;0.5,F92&gt;0.5),AND(D92&lt;0.5,E92&lt;0.5,F92&lt;0.5)),"Yes","No — toss-up")</f>
        <v>Yes</v>
      </c>
    </row>
    <row r="93" customFormat="false" ht="15" hidden="false" customHeight="false" outlineLevel="0" collapsed="false">
      <c r="A93" s="8" t="str">
        <f aca="false">'2026 Forecast A'!A75</f>
        <v>Northampton</v>
      </c>
      <c r="B93" s="8" t="str">
        <f aca="false">'2026 Forecast A'!B75</f>
        <v>GLENDON</v>
      </c>
      <c r="C93" s="8" t="str">
        <f aca="false">'2026 Forecast A'!C75</f>
        <v>(whole municipality)</v>
      </c>
      <c r="D93" s="9" t="n">
        <f aca="false">'2026 Forecast A'!G75</f>
        <v>0.547770700636943</v>
      </c>
      <c r="E93" s="9" t="n">
        <f aca="false">'2026 Forecast B'!G75</f>
        <v>0.557692307692308</v>
      </c>
      <c r="F93" s="9" t="n">
        <f aca="false">'2026 Forecast C'!G75</f>
        <v>0.552631578947369</v>
      </c>
      <c r="G93" s="24" t="n">
        <f aca="false">(MAX(D93:F93)-MIN(D93:F93))*100</f>
        <v>0.992160705536505</v>
      </c>
      <c r="H93" s="24" t="n">
        <f aca="false">'2026 Forecast A'!J75</f>
        <v>2.62223349707705</v>
      </c>
      <c r="I93" s="24" t="n">
        <f aca="false">'2026 Forecast B'!J75</f>
        <v>2.77130020190375</v>
      </c>
      <c r="J93" s="24" t="n">
        <f aca="false">'2026 Forecast C'!J75</f>
        <v>2.46414572893645</v>
      </c>
      <c r="K93" s="25" t="n">
        <f aca="false">'2026 Forecast A'!F75</f>
        <v>157</v>
      </c>
      <c r="L93" s="26" t="str">
        <f aca="false">IF(OR(AND(D93&gt;0.5,E93&gt;0.5,F93&gt;0.5),AND(D93&lt;0.5,E93&lt;0.5,F93&lt;0.5)),"Yes","No — toss-up")</f>
        <v>Yes</v>
      </c>
    </row>
    <row r="94" customFormat="false" ht="15" hidden="false" customHeight="false" outlineLevel="0" collapsed="false">
      <c r="A94" s="8" t="str">
        <f aca="false">'2026 Forecast A'!A76</f>
        <v>Northampton</v>
      </c>
      <c r="B94" s="8" t="str">
        <f aca="false">'2026 Forecast A'!B76</f>
        <v>HANOVER</v>
      </c>
      <c r="C94" s="8" t="str">
        <f aca="false">'2026 Forecast A'!C76</f>
        <v>(whole municipality)</v>
      </c>
      <c r="D94" s="9" t="n">
        <f aca="false">'2026 Forecast A'!G76</f>
        <v>0.565456081081081</v>
      </c>
      <c r="E94" s="9" t="n">
        <f aca="false">'2026 Forecast B'!G76</f>
        <v>0.567082573952054</v>
      </c>
      <c r="F94" s="9" t="n">
        <f aca="false">'2026 Forecast C'!G76</f>
        <v>0.566884531590414</v>
      </c>
      <c r="G94" s="24" t="n">
        <f aca="false">(MAX(D94:F94)-MIN(D94:F94))*100</f>
        <v>0.162649287097283</v>
      </c>
      <c r="H94" s="24" t="n">
        <f aca="false">'2026 Forecast A'!J76</f>
        <v>1.10503324994843</v>
      </c>
      <c r="I94" s="24" t="n">
        <f aca="false">'2026 Forecast B'!J76</f>
        <v>1.18886476919636</v>
      </c>
      <c r="J94" s="24" t="n">
        <f aca="false">'2026 Forecast C'!J76</f>
        <v>1.54340705695521</v>
      </c>
      <c r="K94" s="25" t="n">
        <f aca="false">'2026 Forecast A'!F76</f>
        <v>7104</v>
      </c>
      <c r="L94" s="26" t="str">
        <f aca="false">IF(OR(AND(D94&gt;0.5,E94&gt;0.5,F94&gt;0.5),AND(D94&lt;0.5,E94&lt;0.5,F94&lt;0.5)),"Yes","No — toss-up")</f>
        <v>Yes</v>
      </c>
    </row>
    <row r="95" customFormat="false" ht="15" hidden="false" customHeight="false" outlineLevel="0" collapsed="false">
      <c r="A95" s="8" t="str">
        <f aca="false">'2026 Forecast A'!A77</f>
        <v>Northampton</v>
      </c>
      <c r="B95" s="8" t="str">
        <f aca="false">'2026 Forecast A'!B77</f>
        <v>HELLERTOWN</v>
      </c>
      <c r="C95" s="8" t="str">
        <f aca="false">'2026 Forecast A'!C77</f>
        <v>(whole municipality)</v>
      </c>
      <c r="D95" s="9" t="n">
        <f aca="false">'2026 Forecast A'!G77</f>
        <v>0.55</v>
      </c>
      <c r="E95" s="9" t="n">
        <f aca="false">'2026 Forecast B'!G77</f>
        <v>0.552223371251293</v>
      </c>
      <c r="F95" s="9" t="n">
        <f aca="false">'2026 Forecast C'!G77</f>
        <v>0.549265496237908</v>
      </c>
      <c r="G95" s="24" t="n">
        <f aca="false">(MAX(D95:F95)-MIN(D95:F95))*100</f>
        <v>0.295787501338507</v>
      </c>
      <c r="H95" s="24" t="n">
        <f aca="false">'2026 Forecast A'!J77</f>
        <v>1.7411899431073</v>
      </c>
      <c r="I95" s="24" t="n">
        <f aca="false">'2026 Forecast B'!J77</f>
        <v>1.9629605122441</v>
      </c>
      <c r="J95" s="24" t="n">
        <f aca="false">'2026 Forecast C'!J77</f>
        <v>1.379737565379</v>
      </c>
      <c r="K95" s="25" t="n">
        <f aca="false">'2026 Forecast A'!F77</f>
        <v>2900</v>
      </c>
      <c r="L95" s="26" t="str">
        <f aca="false">IF(OR(AND(D95&gt;0.5,E95&gt;0.5,F95&gt;0.5),AND(D95&lt;0.5,E95&lt;0.5,F95&lt;0.5)),"Yes","No — toss-up")</f>
        <v>Yes</v>
      </c>
    </row>
    <row r="96" customFormat="false" ht="15" hidden="false" customHeight="false" outlineLevel="0" collapsed="false">
      <c r="A96" s="8" t="str">
        <f aca="false">'2026 Forecast A'!A78</f>
        <v>Northampton</v>
      </c>
      <c r="B96" s="8" t="str">
        <f aca="false">'2026 Forecast A'!B78</f>
        <v>LEHIGH</v>
      </c>
      <c r="C96" s="8" t="str">
        <f aca="false">'2026 Forecast A'!C78</f>
        <v>(whole municipality)</v>
      </c>
      <c r="D96" s="9" t="n">
        <f aca="false">'2026 Forecast A'!G78</f>
        <v>0.382036136205698</v>
      </c>
      <c r="E96" s="9" t="n">
        <f aca="false">'2026 Forecast B'!G78</f>
        <v>0.376688604087288</v>
      </c>
      <c r="F96" s="9" t="n">
        <f aca="false">'2026 Forecast C'!G78</f>
        <v>0.370487206449352</v>
      </c>
      <c r="G96" s="24" t="n">
        <f aca="false">(MAX(D96:F96)-MIN(D96:F96))*100</f>
        <v>1.15489297563469</v>
      </c>
      <c r="H96" s="24" t="n">
        <f aca="false">'2026 Forecast A'!J78</f>
        <v>1.10503324994843</v>
      </c>
      <c r="I96" s="24" t="n">
        <f aca="false">'2026 Forecast B'!J78</f>
        <v>1.18886476919636</v>
      </c>
      <c r="J96" s="24" t="n">
        <f aca="false">'2026 Forecast C'!J78</f>
        <v>1.54340705695521</v>
      </c>
      <c r="K96" s="25" t="n">
        <f aca="false">'2026 Forecast A'!F78</f>
        <v>5756</v>
      </c>
      <c r="L96" s="26" t="str">
        <f aca="false">IF(OR(AND(D96&gt;0.5,E96&gt;0.5,F96&gt;0.5),AND(D96&lt;0.5,E96&lt;0.5,F96&lt;0.5)),"Yes","No — toss-up")</f>
        <v>Yes</v>
      </c>
    </row>
    <row r="97" customFormat="false" ht="15" hidden="false" customHeight="false" outlineLevel="0" collapsed="false">
      <c r="A97" s="8" t="str">
        <f aca="false">'2026 Forecast A'!A79</f>
        <v>Northampton</v>
      </c>
      <c r="B97" s="8" t="str">
        <f aca="false">'2026 Forecast A'!B79</f>
        <v>LOWER MOUNT BETHEL</v>
      </c>
      <c r="C97" s="8" t="str">
        <f aca="false">'2026 Forecast A'!C79</f>
        <v>(whole municipality)</v>
      </c>
      <c r="D97" s="9" t="n">
        <f aca="false">'2026 Forecast A'!G79</f>
        <v>0.373968253968254</v>
      </c>
      <c r="E97" s="9" t="n">
        <f aca="false">'2026 Forecast B'!G79</f>
        <v>0.374763406940063</v>
      </c>
      <c r="F97" s="9" t="n">
        <f aca="false">'2026 Forecast C'!G79</f>
        <v>0.360950545921644</v>
      </c>
      <c r="G97" s="24" t="n">
        <f aca="false">(MAX(D97:F97)-MIN(D97:F97))*100</f>
        <v>1.38128610184189</v>
      </c>
      <c r="H97" s="24" t="n">
        <f aca="false">'2026 Forecast A'!J79</f>
        <v>1.7411899431073</v>
      </c>
      <c r="I97" s="24" t="n">
        <f aca="false">'2026 Forecast B'!J79</f>
        <v>1.9629605122441</v>
      </c>
      <c r="J97" s="24" t="n">
        <f aca="false">'2026 Forecast C'!J79</f>
        <v>2.46414572893645</v>
      </c>
      <c r="K97" s="25" t="n">
        <f aca="false">'2026 Forecast A'!F79</f>
        <v>1575</v>
      </c>
      <c r="L97" s="26" t="str">
        <f aca="false">IF(OR(AND(D97&gt;0.5,E97&gt;0.5,F97&gt;0.5),AND(D97&lt;0.5,E97&lt;0.5,F97&lt;0.5)),"Yes","No — toss-up")</f>
        <v>Yes</v>
      </c>
    </row>
    <row r="98" customFormat="false" ht="15" hidden="false" customHeight="false" outlineLevel="0" collapsed="false">
      <c r="A98" s="8" t="str">
        <f aca="false">'2026 Forecast A'!A80</f>
        <v>Northampton</v>
      </c>
      <c r="B98" s="8" t="str">
        <f aca="false">'2026 Forecast A'!B80</f>
        <v>LOWER NAZARETH</v>
      </c>
      <c r="C98" s="8" t="str">
        <f aca="false">'2026 Forecast A'!C80</f>
        <v>(whole municipality)</v>
      </c>
      <c r="D98" s="9" t="n">
        <f aca="false">'2026 Forecast A'!G80</f>
        <v>0.494636762554851</v>
      </c>
      <c r="E98" s="9" t="n">
        <f aca="false">'2026 Forecast B'!G80</f>
        <v>0.485150925024343</v>
      </c>
      <c r="F98" s="9" t="n">
        <f aca="false">'2026 Forecast C'!G80</f>
        <v>0.479969954932399</v>
      </c>
      <c r="G98" s="24" t="n">
        <f aca="false">(MAX(D98:F98)-MIN(D98:F98))*100</f>
        <v>1.46668076224527</v>
      </c>
      <c r="H98" s="24" t="n">
        <f aca="false">'2026 Forecast A'!J80</f>
        <v>1.10503324994843</v>
      </c>
      <c r="I98" s="24" t="n">
        <f aca="false">'2026 Forecast B'!J80</f>
        <v>1.18886476919636</v>
      </c>
      <c r="J98" s="24" t="n">
        <f aca="false">'2026 Forecast C'!J80</f>
        <v>1.54340705695521</v>
      </c>
      <c r="K98" s="25" t="n">
        <f aca="false">'2026 Forecast A'!F80</f>
        <v>4102</v>
      </c>
      <c r="L98" s="26" t="str">
        <f aca="false">IF(OR(AND(D98&gt;0.5,E98&gt;0.5,F98&gt;0.5),AND(D98&lt;0.5,E98&lt;0.5,F98&lt;0.5)),"Yes","No — toss-up")</f>
        <v>Yes</v>
      </c>
    </row>
    <row r="99" customFormat="false" ht="15" hidden="false" customHeight="false" outlineLevel="0" collapsed="false">
      <c r="A99" s="8" t="str">
        <f aca="false">'2026 Forecast A'!A81</f>
        <v>Northampton</v>
      </c>
      <c r="B99" s="8" t="str">
        <f aca="false">'2026 Forecast A'!B81</f>
        <v>LOWER SAUCON</v>
      </c>
      <c r="C99" s="8" t="str">
        <f aca="false">'2026 Forecast A'!C81</f>
        <v>(whole municipality)</v>
      </c>
      <c r="D99" s="9" t="n">
        <f aca="false">'2026 Forecast A'!G81</f>
        <v>0.523898378068035</v>
      </c>
      <c r="E99" s="9" t="n">
        <f aca="false">'2026 Forecast B'!G81</f>
        <v>0.523802756856615</v>
      </c>
      <c r="F99" s="9" t="n">
        <f aca="false">'2026 Forecast C'!G81</f>
        <v>0.51387331838565</v>
      </c>
      <c r="G99" s="24" t="n">
        <f aca="false">(MAX(D99:F99)-MIN(D99:F99))*100</f>
        <v>1.00250596823849</v>
      </c>
      <c r="H99" s="24" t="n">
        <f aca="false">'2026 Forecast A'!J81</f>
        <v>1.10503324994843</v>
      </c>
      <c r="I99" s="24" t="n">
        <f aca="false">'2026 Forecast B'!J81</f>
        <v>1.18886476919636</v>
      </c>
      <c r="J99" s="24" t="n">
        <f aca="false">'2026 Forecast C'!J81</f>
        <v>1.54340705695521</v>
      </c>
      <c r="K99" s="25" t="n">
        <f aca="false">'2026 Forecast A'!F81</f>
        <v>6967</v>
      </c>
      <c r="L99" s="26" t="str">
        <f aca="false">IF(OR(AND(D99&gt;0.5,E99&gt;0.5,F99&gt;0.5),AND(D99&lt;0.5,E99&lt;0.5,F99&lt;0.5)),"Yes","No — toss-up")</f>
        <v>Yes</v>
      </c>
    </row>
    <row r="100" customFormat="false" ht="15" hidden="false" customHeight="false" outlineLevel="0" collapsed="false">
      <c r="A100" s="8" t="str">
        <f aca="false">'2026 Forecast A'!A82</f>
        <v>Northampton</v>
      </c>
      <c r="B100" s="8" t="str">
        <f aca="false">'2026 Forecast A'!B82</f>
        <v>MOORE</v>
      </c>
      <c r="C100" s="8" t="str">
        <f aca="false">'2026 Forecast A'!C82</f>
        <v>(whole municipality)</v>
      </c>
      <c r="D100" s="9" t="n">
        <f aca="false">'2026 Forecast A'!G82</f>
        <v>0.377340823970037</v>
      </c>
      <c r="E100" s="9" t="n">
        <f aca="false">'2026 Forecast B'!G82</f>
        <v>0.375</v>
      </c>
      <c r="F100" s="9" t="n">
        <f aca="false">'2026 Forecast C'!G82</f>
        <v>0.365319229316207</v>
      </c>
      <c r="G100" s="24" t="n">
        <f aca="false">(MAX(D100:F100)-MIN(D100:F100))*100</f>
        <v>1.20215946538304</v>
      </c>
      <c r="H100" s="24" t="n">
        <f aca="false">'2026 Forecast A'!J82</f>
        <v>1.10503324994843</v>
      </c>
      <c r="I100" s="24" t="n">
        <f aca="false">'2026 Forecast B'!J82</f>
        <v>1.18886476919636</v>
      </c>
      <c r="J100" s="24" t="n">
        <f aca="false">'2026 Forecast C'!J82</f>
        <v>1.54340705695521</v>
      </c>
      <c r="K100" s="25" t="n">
        <f aca="false">'2026 Forecast A'!F82</f>
        <v>5340</v>
      </c>
      <c r="L100" s="26" t="str">
        <f aca="false">IF(OR(AND(D100&gt;0.5,E100&gt;0.5,F100&gt;0.5),AND(D100&lt;0.5,E100&lt;0.5,F100&lt;0.5)),"Yes","No — toss-up")</f>
        <v>Yes</v>
      </c>
    </row>
    <row r="101" customFormat="false" ht="15" hidden="false" customHeight="false" outlineLevel="0" collapsed="false">
      <c r="A101" s="8" t="str">
        <f aca="false">'2026 Forecast A'!A83</f>
        <v>Northampton</v>
      </c>
      <c r="B101" s="8" t="str">
        <f aca="false">'2026 Forecast A'!B83</f>
        <v>NAZARETH</v>
      </c>
      <c r="C101" s="8" t="str">
        <f aca="false">'2026 Forecast A'!C83</f>
        <v>(whole municipality)</v>
      </c>
      <c r="D101" s="9" t="n">
        <f aca="false">'2026 Forecast A'!G83</f>
        <v>0.531046931407942</v>
      </c>
      <c r="E101" s="9" t="n">
        <f aca="false">'2026 Forecast B'!G83</f>
        <v>0.531622696060716</v>
      </c>
      <c r="F101" s="9" t="n">
        <f aca="false">'2026 Forecast C'!G83</f>
        <v>0.524682124158564</v>
      </c>
      <c r="G101" s="24" t="n">
        <f aca="false">(MAX(D101:F101)-MIN(D101:F101))*100</f>
        <v>0.694057190215158</v>
      </c>
      <c r="H101" s="24" t="n">
        <f aca="false">'2026 Forecast A'!J83</f>
        <v>1.7411899431073</v>
      </c>
      <c r="I101" s="24" t="n">
        <f aca="false">'2026 Forecast B'!J83</f>
        <v>1.9629605122441</v>
      </c>
      <c r="J101" s="24" t="n">
        <f aca="false">'2026 Forecast C'!J83</f>
        <v>1.379737565379</v>
      </c>
      <c r="K101" s="25" t="n">
        <f aca="false">'2026 Forecast A'!F83</f>
        <v>2770</v>
      </c>
      <c r="L101" s="26" t="str">
        <f aca="false">IF(OR(AND(D101&gt;0.5,E101&gt;0.5,F101&gt;0.5),AND(D101&lt;0.5,E101&lt;0.5,F101&lt;0.5)),"Yes","No — toss-up")</f>
        <v>Yes</v>
      </c>
    </row>
    <row r="102" customFormat="false" ht="15" hidden="false" customHeight="false" outlineLevel="0" collapsed="false">
      <c r="A102" s="8" t="str">
        <f aca="false">'2026 Forecast A'!A84</f>
        <v>Northampton</v>
      </c>
      <c r="B102" s="8" t="str">
        <f aca="false">'2026 Forecast A'!B84</f>
        <v>NORTH CATASAUQUA</v>
      </c>
      <c r="C102" s="8" t="str">
        <f aca="false">'2026 Forecast A'!C84</f>
        <v>(whole municipality)</v>
      </c>
      <c r="D102" s="9" t="n">
        <f aca="false">'2026 Forecast A'!G84</f>
        <v>0.535305985205111</v>
      </c>
      <c r="E102" s="9" t="n">
        <f aca="false">'2026 Forecast B'!G84</f>
        <v>0.544910179640719</v>
      </c>
      <c r="F102" s="9" t="n">
        <f aca="false">'2026 Forecast C'!G84</f>
        <v>0.53211629479378</v>
      </c>
      <c r="G102" s="24" t="n">
        <f aca="false">(MAX(D102:F102)-MIN(D102:F102))*100</f>
        <v>1.2793884846939</v>
      </c>
      <c r="H102" s="24" t="n">
        <f aca="false">'2026 Forecast A'!J84</f>
        <v>2.62223349707705</v>
      </c>
      <c r="I102" s="24" t="n">
        <f aca="false">'2026 Forecast B'!J84</f>
        <v>2.77130020190375</v>
      </c>
      <c r="J102" s="24" t="n">
        <f aca="false">'2026 Forecast C'!J84</f>
        <v>2.46414572893645</v>
      </c>
      <c r="K102" s="25" t="n">
        <f aca="false">'2026 Forecast A'!F84</f>
        <v>1487</v>
      </c>
      <c r="L102" s="26" t="str">
        <f aca="false">IF(OR(AND(D102&gt;0.5,E102&gt;0.5,F102&gt;0.5),AND(D102&lt;0.5,E102&lt;0.5,F102&lt;0.5)),"Yes","No — toss-up")</f>
        <v>Yes</v>
      </c>
    </row>
    <row r="103" customFormat="false" ht="15" hidden="false" customHeight="false" outlineLevel="0" collapsed="false">
      <c r="A103" s="8" t="str">
        <f aca="false">'2026 Forecast A'!A85</f>
        <v>Northampton</v>
      </c>
      <c r="B103" s="8" t="str">
        <f aca="false">'2026 Forecast A'!B85</f>
        <v>NORTHAMPTON</v>
      </c>
      <c r="C103" s="8" t="str">
        <f aca="false">'2026 Forecast A'!C85</f>
        <v>(whole municipality)</v>
      </c>
      <c r="D103" s="9" t="n">
        <f aca="false">'2026 Forecast A'!G85</f>
        <v>0.516338406445837</v>
      </c>
      <c r="E103" s="9" t="n">
        <f aca="false">'2026 Forecast B'!G85</f>
        <v>0.520685053380783</v>
      </c>
      <c r="F103" s="9" t="n">
        <f aca="false">'2026 Forecast C'!G85</f>
        <v>0.512318673727838</v>
      </c>
      <c r="G103" s="24" t="n">
        <f aca="false">(MAX(D103:F103)-MIN(D103:F103))*100</f>
        <v>0.836637965294507</v>
      </c>
      <c r="H103" s="24" t="n">
        <f aca="false">'2026 Forecast A'!J85</f>
        <v>1.10503324994843</v>
      </c>
      <c r="I103" s="24" t="n">
        <f aca="false">'2026 Forecast B'!J85</f>
        <v>1.18886476919636</v>
      </c>
      <c r="J103" s="24" t="n">
        <f aca="false">'2026 Forecast C'!J85</f>
        <v>1.54340705695521</v>
      </c>
      <c r="K103" s="25" t="n">
        <f aca="false">'2026 Forecast A'!F85</f>
        <v>4468</v>
      </c>
      <c r="L103" s="26" t="str">
        <f aca="false">IF(OR(AND(D103&gt;0.5,E103&gt;0.5,F103&gt;0.5),AND(D103&lt;0.5,E103&lt;0.5,F103&lt;0.5)),"Yes","No — toss-up")</f>
        <v>Yes</v>
      </c>
    </row>
    <row r="104" customFormat="false" ht="15" hidden="false" customHeight="false" outlineLevel="0" collapsed="false">
      <c r="A104" s="8" t="str">
        <f aca="false">'2026 Forecast A'!A86</f>
        <v>Northampton</v>
      </c>
      <c r="B104" s="8" t="str">
        <f aca="false">'2026 Forecast A'!B86</f>
        <v>PALMER</v>
      </c>
      <c r="C104" s="8" t="str">
        <f aca="false">'2026 Forecast A'!C86</f>
        <v>(whole municipality)</v>
      </c>
      <c r="D104" s="9" t="n">
        <f aca="false">'2026 Forecast A'!G86</f>
        <v>0.546389984565255</v>
      </c>
      <c r="E104" s="9" t="n">
        <f aca="false">'2026 Forecast B'!G86</f>
        <v>0.550322303394929</v>
      </c>
      <c r="F104" s="9" t="n">
        <f aca="false">'2026 Forecast C'!G86</f>
        <v>0.543765630582351</v>
      </c>
      <c r="G104" s="24" t="n">
        <f aca="false">(MAX(D104:F104)-MIN(D104:F104))*100</f>
        <v>0.655667281257821</v>
      </c>
      <c r="H104" s="24" t="n">
        <f aca="false">'2026 Forecast A'!J86</f>
        <v>1.10503324994843</v>
      </c>
      <c r="I104" s="24" t="n">
        <f aca="false">'2026 Forecast B'!J86</f>
        <v>1.18886476919636</v>
      </c>
      <c r="J104" s="24" t="n">
        <f aca="false">'2026 Forecast C'!J86</f>
        <v>1.54340705695521</v>
      </c>
      <c r="K104" s="25" t="n">
        <f aca="false">'2026 Forecast A'!F86</f>
        <v>11662</v>
      </c>
      <c r="L104" s="26" t="str">
        <f aca="false">IF(OR(AND(D104&gt;0.5,E104&gt;0.5,F104&gt;0.5),AND(D104&lt;0.5,E104&lt;0.5,F104&lt;0.5)),"Yes","No — toss-up")</f>
        <v>Yes</v>
      </c>
    </row>
    <row r="105" customFormat="false" ht="15" hidden="false" customHeight="false" outlineLevel="0" collapsed="false">
      <c r="A105" s="8" t="str">
        <f aca="false">'2026 Forecast A'!A87</f>
        <v>Northampton</v>
      </c>
      <c r="B105" s="8" t="str">
        <f aca="false">'2026 Forecast A'!B87</f>
        <v>PEN ARGYL</v>
      </c>
      <c r="C105" s="8" t="str">
        <f aca="false">'2026 Forecast A'!C87</f>
        <v>(whole municipality)</v>
      </c>
      <c r="D105" s="9" t="n">
        <f aca="false">'2026 Forecast A'!G87</f>
        <v>0.425153793574846</v>
      </c>
      <c r="E105" s="9" t="n">
        <f aca="false">'2026 Forecast B'!G87</f>
        <v>0.423417290673928</v>
      </c>
      <c r="F105" s="9" t="n">
        <f aca="false">'2026 Forecast C'!G87</f>
        <v>0.414255469301341</v>
      </c>
      <c r="G105" s="24" t="n">
        <f aca="false">(MAX(D105:F105)-MIN(D105:F105))*100</f>
        <v>1.08983242735053</v>
      </c>
      <c r="H105" s="24" t="n">
        <f aca="false">'2026 Forecast A'!J87</f>
        <v>2.62223349707705</v>
      </c>
      <c r="I105" s="24" t="n">
        <f aca="false">'2026 Forecast B'!J87</f>
        <v>2.77130020190375</v>
      </c>
      <c r="J105" s="24" t="n">
        <f aca="false">'2026 Forecast C'!J87</f>
        <v>2.46414572893645</v>
      </c>
      <c r="K105" s="25" t="n">
        <f aca="false">'2026 Forecast A'!F87</f>
        <v>1463</v>
      </c>
      <c r="L105" s="26" t="str">
        <f aca="false">IF(OR(AND(D105&gt;0.5,E105&gt;0.5,F105&gt;0.5),AND(D105&lt;0.5,E105&lt;0.5,F105&lt;0.5)),"Yes","No — toss-up")</f>
        <v>Yes</v>
      </c>
    </row>
    <row r="106" customFormat="false" ht="15" hidden="false" customHeight="false" outlineLevel="0" collapsed="false">
      <c r="A106" s="8" t="str">
        <f aca="false">'2026 Forecast A'!A88</f>
        <v>Northampton</v>
      </c>
      <c r="B106" s="8" t="str">
        <f aca="false">'2026 Forecast A'!B88</f>
        <v>PLAINFIELD</v>
      </c>
      <c r="C106" s="8" t="str">
        <f aca="false">'2026 Forecast A'!C88</f>
        <v>(whole municipality)</v>
      </c>
      <c r="D106" s="9" t="n">
        <f aca="false">'2026 Forecast A'!G88</f>
        <v>0.37980908301996</v>
      </c>
      <c r="E106" s="9" t="n">
        <f aca="false">'2026 Forecast B'!G88</f>
        <v>0.377190462510773</v>
      </c>
      <c r="F106" s="9" t="n">
        <f aca="false">'2026 Forecast C'!G88</f>
        <v>0.366695932104185</v>
      </c>
      <c r="G106" s="24" t="n">
        <f aca="false">(MAX(D106:F106)-MIN(D106:F106))*100</f>
        <v>1.31131509157746</v>
      </c>
      <c r="H106" s="24" t="n">
        <f aca="false">'2026 Forecast A'!J88</f>
        <v>1.7411899431073</v>
      </c>
      <c r="I106" s="24" t="n">
        <f aca="false">'2026 Forecast B'!J88</f>
        <v>1.9629605122441</v>
      </c>
      <c r="J106" s="24" t="n">
        <f aca="false">'2026 Forecast C'!J88</f>
        <v>1.379737565379</v>
      </c>
      <c r="K106" s="25" t="n">
        <f aca="false">'2026 Forecast A'!F88</f>
        <v>3457</v>
      </c>
      <c r="L106" s="26" t="str">
        <f aca="false">IF(OR(AND(D106&gt;0.5,E106&gt;0.5,F106&gt;0.5),AND(D106&lt;0.5,E106&lt;0.5,F106&lt;0.5)),"Yes","No — toss-up")</f>
        <v>Yes</v>
      </c>
    </row>
    <row r="107" customFormat="false" ht="15" hidden="false" customHeight="false" outlineLevel="0" collapsed="false">
      <c r="A107" s="8" t="str">
        <f aca="false">'2026 Forecast A'!A89</f>
        <v>Northampton</v>
      </c>
      <c r="B107" s="8" t="str">
        <f aca="false">'2026 Forecast A'!B89</f>
        <v>PORTLAND</v>
      </c>
      <c r="C107" s="8" t="str">
        <f aca="false">'2026 Forecast A'!C89</f>
        <v>(whole municipality)</v>
      </c>
      <c r="D107" s="9" t="n">
        <f aca="false">'2026 Forecast A'!G89</f>
        <v>0.390697674418605</v>
      </c>
      <c r="E107" s="9" t="n">
        <f aca="false">'2026 Forecast B'!G89</f>
        <v>0.386046511627907</v>
      </c>
      <c r="F107" s="9" t="n">
        <f aca="false">'2026 Forecast C'!G89</f>
        <v>0.375586854460094</v>
      </c>
      <c r="G107" s="24" t="n">
        <f aca="false">(MAX(D107:F107)-MIN(D107:F107))*100</f>
        <v>1.51108199585108</v>
      </c>
      <c r="H107" s="24" t="n">
        <f aca="false">'2026 Forecast A'!J89</f>
        <v>2.62223349707705</v>
      </c>
      <c r="I107" s="24" t="n">
        <f aca="false">'2026 Forecast B'!J89</f>
        <v>2.77130020190375</v>
      </c>
      <c r="J107" s="24" t="n">
        <f aca="false">'2026 Forecast C'!J89</f>
        <v>2.46414572893645</v>
      </c>
      <c r="K107" s="25" t="n">
        <f aca="false">'2026 Forecast A'!F89</f>
        <v>215</v>
      </c>
      <c r="L107" s="26" t="str">
        <f aca="false">IF(OR(AND(D107&gt;0.5,E107&gt;0.5,F107&gt;0.5),AND(D107&lt;0.5,E107&lt;0.5,F107&lt;0.5)),"Yes","No — toss-up")</f>
        <v>Yes</v>
      </c>
    </row>
    <row r="108" customFormat="false" ht="15" hidden="false" customHeight="false" outlineLevel="0" collapsed="false">
      <c r="A108" s="8" t="str">
        <f aca="false">'2026 Forecast A'!A90</f>
        <v>Northampton</v>
      </c>
      <c r="B108" s="8" t="str">
        <f aca="false">'2026 Forecast A'!B90</f>
        <v>ROSETO</v>
      </c>
      <c r="C108" s="8" t="str">
        <f aca="false">'2026 Forecast A'!C90</f>
        <v>(whole municipality)</v>
      </c>
      <c r="D108" s="9" t="n">
        <f aca="false">'2026 Forecast A'!G90</f>
        <v>0.430989583333333</v>
      </c>
      <c r="E108" s="9" t="n">
        <f aca="false">'2026 Forecast B'!G90</f>
        <v>0.430591259640103</v>
      </c>
      <c r="F108" s="9" t="n">
        <f aca="false">'2026 Forecast C'!G90</f>
        <v>0.42741935483871</v>
      </c>
      <c r="G108" s="24" t="n">
        <f aca="false">(MAX(D108:F108)-MIN(D108:F108))*100</f>
        <v>0.357022849462363</v>
      </c>
      <c r="H108" s="24" t="n">
        <f aca="false">'2026 Forecast A'!J90</f>
        <v>2.62223349707705</v>
      </c>
      <c r="I108" s="24" t="n">
        <f aca="false">'2026 Forecast B'!J90</f>
        <v>2.77130020190375</v>
      </c>
      <c r="J108" s="24" t="n">
        <f aca="false">'2026 Forecast C'!J90</f>
        <v>2.46414572893645</v>
      </c>
      <c r="K108" s="25" t="n">
        <f aca="false">'2026 Forecast A'!F90</f>
        <v>768</v>
      </c>
      <c r="L108" s="26" t="str">
        <f aca="false">IF(OR(AND(D108&gt;0.5,E108&gt;0.5,F108&gt;0.5),AND(D108&lt;0.5,E108&lt;0.5,F108&lt;0.5)),"Yes","No — toss-up")</f>
        <v>Yes</v>
      </c>
    </row>
    <row r="109" customFormat="false" ht="15" hidden="false" customHeight="false" outlineLevel="0" collapsed="false">
      <c r="A109" s="8" t="str">
        <f aca="false">'2026 Forecast A'!A91</f>
        <v>Northampton</v>
      </c>
      <c r="B109" s="8" t="str">
        <f aca="false">'2026 Forecast A'!B91</f>
        <v>STOCKERTOWN</v>
      </c>
      <c r="C109" s="8" t="str">
        <f aca="false">'2026 Forecast A'!C91</f>
        <v>(whole municipality)</v>
      </c>
      <c r="D109" s="9" t="n">
        <f aca="false">'2026 Forecast A'!G91</f>
        <v>0.444700460829493</v>
      </c>
      <c r="E109" s="9" t="n">
        <f aca="false">'2026 Forecast B'!G91</f>
        <v>0.444191343963554</v>
      </c>
      <c r="F109" s="9" t="n">
        <f aca="false">'2026 Forecast C'!G91</f>
        <v>0.43436754176611</v>
      </c>
      <c r="G109" s="24" t="n">
        <f aca="false">(MAX(D109:F109)-MIN(D109:F109))*100</f>
        <v>1.03329190633833</v>
      </c>
      <c r="H109" s="24" t="n">
        <f aca="false">'2026 Forecast A'!J91</f>
        <v>2.62223349707705</v>
      </c>
      <c r="I109" s="24" t="n">
        <f aca="false">'2026 Forecast B'!J91</f>
        <v>2.77130020190375</v>
      </c>
      <c r="J109" s="24" t="n">
        <f aca="false">'2026 Forecast C'!J91</f>
        <v>2.46414572893645</v>
      </c>
      <c r="K109" s="25" t="n">
        <f aca="false">'2026 Forecast A'!F91</f>
        <v>434</v>
      </c>
      <c r="L109" s="26" t="str">
        <f aca="false">IF(OR(AND(D109&gt;0.5,E109&gt;0.5,F109&gt;0.5),AND(D109&lt;0.5,E109&lt;0.5,F109&lt;0.5)),"Yes","No — toss-up")</f>
        <v>Yes</v>
      </c>
    </row>
    <row r="110" customFormat="false" ht="15" hidden="false" customHeight="false" outlineLevel="0" collapsed="false">
      <c r="A110" s="8" t="str">
        <f aca="false">'2026 Forecast A'!A92</f>
        <v>Northampton</v>
      </c>
      <c r="B110" s="8" t="str">
        <f aca="false">'2026 Forecast A'!B92</f>
        <v>TATAMY</v>
      </c>
      <c r="C110" s="8" t="str">
        <f aca="false">'2026 Forecast A'!C92</f>
        <v>(whole municipality)</v>
      </c>
      <c r="D110" s="9" t="n">
        <f aca="false">'2026 Forecast A'!G92</f>
        <v>0.467084639498433</v>
      </c>
      <c r="E110" s="9" t="n">
        <f aca="false">'2026 Forecast B'!G92</f>
        <v>0.467391304347826</v>
      </c>
      <c r="F110" s="9" t="n">
        <f aca="false">'2026 Forecast C'!G92</f>
        <v>0.4592</v>
      </c>
      <c r="G110" s="24" t="n">
        <f aca="false">(MAX(D110:F110)-MIN(D110:F110))*100</f>
        <v>0.819130434782611</v>
      </c>
      <c r="H110" s="24" t="n">
        <f aca="false">'2026 Forecast A'!J92</f>
        <v>2.62223349707705</v>
      </c>
      <c r="I110" s="24" t="n">
        <f aca="false">'2026 Forecast B'!J92</f>
        <v>2.77130020190375</v>
      </c>
      <c r="J110" s="24" t="n">
        <f aca="false">'2026 Forecast C'!J92</f>
        <v>2.46414572893645</v>
      </c>
      <c r="K110" s="25" t="n">
        <f aca="false">'2026 Forecast A'!F92</f>
        <v>638</v>
      </c>
      <c r="L110" s="26" t="str">
        <f aca="false">IF(OR(AND(D110&gt;0.5,E110&gt;0.5,F110&gt;0.5),AND(D110&lt;0.5,E110&lt;0.5,F110&lt;0.5)),"Yes","No — toss-up")</f>
        <v>Yes</v>
      </c>
    </row>
    <row r="111" customFormat="false" ht="15" hidden="false" customHeight="false" outlineLevel="0" collapsed="false">
      <c r="A111" s="8" t="str">
        <f aca="false">'2026 Forecast A'!A93</f>
        <v>Northampton</v>
      </c>
      <c r="B111" s="8" t="str">
        <f aca="false">'2026 Forecast A'!B93</f>
        <v>UPPER MOUNT BETHEL</v>
      </c>
      <c r="C111" s="8" t="str">
        <f aca="false">'2026 Forecast A'!C93</f>
        <v>(whole municipality)</v>
      </c>
      <c r="D111" s="9" t="n">
        <f aca="false">'2026 Forecast A'!G93</f>
        <v>0.360716316088687</v>
      </c>
      <c r="E111" s="9" t="n">
        <f aca="false">'2026 Forecast B'!G93</f>
        <v>0.365640011302628</v>
      </c>
      <c r="F111" s="9" t="n">
        <f aca="false">'2026 Forecast C'!G93</f>
        <v>0.349051178838413</v>
      </c>
      <c r="G111" s="24" t="n">
        <f aca="false">(MAX(D111:F111)-MIN(D111:F111))*100</f>
        <v>1.6588832464215</v>
      </c>
      <c r="H111" s="24" t="n">
        <f aca="false">'2026 Forecast A'!J93</f>
        <v>1.7411899431073</v>
      </c>
      <c r="I111" s="24" t="n">
        <f aca="false">'2026 Forecast B'!J93</f>
        <v>1.9629605122441</v>
      </c>
      <c r="J111" s="24" t="n">
        <f aca="false">'2026 Forecast C'!J93</f>
        <v>1.379737565379</v>
      </c>
      <c r="K111" s="25" t="n">
        <f aca="false">'2026 Forecast A'!F93</f>
        <v>3518</v>
      </c>
      <c r="L111" s="26" t="str">
        <f aca="false">IF(OR(AND(D111&gt;0.5,E111&gt;0.5,F111&gt;0.5),AND(D111&lt;0.5,E111&lt;0.5,F111&lt;0.5)),"Yes","No — toss-up")</f>
        <v>Yes</v>
      </c>
    </row>
    <row r="112" customFormat="false" ht="15" hidden="false" customHeight="false" outlineLevel="0" collapsed="false">
      <c r="A112" s="8" t="str">
        <f aca="false">'2026 Forecast A'!A94</f>
        <v>Northampton</v>
      </c>
      <c r="B112" s="8" t="str">
        <f aca="false">'2026 Forecast A'!B94</f>
        <v>UPPER NAZARETH</v>
      </c>
      <c r="C112" s="8" t="str">
        <f aca="false">'2026 Forecast A'!C94</f>
        <v>(whole municipality)</v>
      </c>
      <c r="D112" s="9" t="n">
        <f aca="false">'2026 Forecast A'!G94</f>
        <v>0.52061415979528</v>
      </c>
      <c r="E112" s="9" t="n">
        <f aca="false">'2026 Forecast B'!G94</f>
        <v>0.523269012485812</v>
      </c>
      <c r="F112" s="9" t="n">
        <f aca="false">'2026 Forecast C'!G94</f>
        <v>0.507029876977153</v>
      </c>
      <c r="G112" s="24" t="n">
        <f aca="false">(MAX(D112:F112)-MIN(D112:F112))*100</f>
        <v>1.62391355086587</v>
      </c>
      <c r="H112" s="24" t="n">
        <f aca="false">'2026 Forecast A'!J94</f>
        <v>1.7411899431073</v>
      </c>
      <c r="I112" s="24" t="n">
        <f aca="false">'2026 Forecast B'!J94</f>
        <v>1.9629605122441</v>
      </c>
      <c r="J112" s="24" t="n">
        <f aca="false">'2026 Forecast C'!J94</f>
        <v>1.379737565379</v>
      </c>
      <c r="K112" s="25" t="n">
        <f aca="false">'2026 Forecast A'!F94</f>
        <v>3517</v>
      </c>
      <c r="L112" s="26" t="str">
        <f aca="false">IF(OR(AND(D112&gt;0.5,E112&gt;0.5,F112&gt;0.5),AND(D112&lt;0.5,E112&lt;0.5,F112&lt;0.5)),"Yes","No — toss-up")</f>
        <v>Yes</v>
      </c>
    </row>
    <row r="113" customFormat="false" ht="15" hidden="false" customHeight="false" outlineLevel="0" collapsed="false">
      <c r="A113" s="8" t="str">
        <f aca="false">'2026 Forecast A'!A95</f>
        <v>Northampton</v>
      </c>
      <c r="B113" s="8" t="str">
        <f aca="false">'2026 Forecast A'!B95</f>
        <v>WALNUTPORT</v>
      </c>
      <c r="C113" s="8" t="str">
        <f aca="false">'2026 Forecast A'!C95</f>
        <v>(whole municipality)</v>
      </c>
      <c r="D113" s="9" t="n">
        <f aca="false">'2026 Forecast A'!G95</f>
        <v>0.436964504283966</v>
      </c>
      <c r="E113" s="9" t="n">
        <f aca="false">'2026 Forecast B'!G95</f>
        <v>0.441463414634146</v>
      </c>
      <c r="F113" s="9" t="n">
        <f aca="false">'2026 Forecast C'!G95</f>
        <v>0.427318295739348</v>
      </c>
      <c r="G113" s="24" t="n">
        <f aca="false">(MAX(D113:F113)-MIN(D113:F113))*100</f>
        <v>1.4145118894798</v>
      </c>
      <c r="H113" s="24" t="n">
        <f aca="false">'2026 Forecast A'!J95</f>
        <v>2.62223349707705</v>
      </c>
      <c r="I113" s="24" t="n">
        <f aca="false">'2026 Forecast B'!J95</f>
        <v>2.77130020190375</v>
      </c>
      <c r="J113" s="24" t="n">
        <f aca="false">'2026 Forecast C'!J95</f>
        <v>2.46414572893645</v>
      </c>
      <c r="K113" s="25" t="n">
        <f aca="false">'2026 Forecast A'!F95</f>
        <v>817</v>
      </c>
      <c r="L113" s="26" t="str">
        <f aca="false">IF(OR(AND(D113&gt;0.5,E113&gt;0.5,F113&gt;0.5),AND(D113&lt;0.5,E113&lt;0.5,F113&lt;0.5)),"Yes","No — toss-up")</f>
        <v>Yes</v>
      </c>
    </row>
    <row r="114" customFormat="false" ht="15" hidden="false" customHeight="false" outlineLevel="0" collapsed="false">
      <c r="A114" s="8" t="str">
        <f aca="false">'2026 Forecast A'!A96</f>
        <v>Northampton</v>
      </c>
      <c r="B114" s="8" t="str">
        <f aca="false">'2026 Forecast A'!B96</f>
        <v>WASHINGTON</v>
      </c>
      <c r="C114" s="8" t="str">
        <f aca="false">'2026 Forecast A'!C96</f>
        <v>(whole municipality)</v>
      </c>
      <c r="D114" s="9" t="n">
        <f aca="false">'2026 Forecast A'!G96</f>
        <v>0.369409996242014</v>
      </c>
      <c r="E114" s="9" t="n">
        <f aca="false">'2026 Forecast B'!G96</f>
        <v>0.372292755787901</v>
      </c>
      <c r="F114" s="9" t="n">
        <f aca="false">'2026 Forecast C'!G96</f>
        <v>0.357822611343738</v>
      </c>
      <c r="G114" s="24" t="n">
        <f aca="false">(MAX(D114:F114)-MIN(D114:F114))*100</f>
        <v>1.44701444441633</v>
      </c>
      <c r="H114" s="24" t="n">
        <f aca="false">'2026 Forecast A'!J96</f>
        <v>1.7411899431073</v>
      </c>
      <c r="I114" s="24" t="n">
        <f aca="false">'2026 Forecast B'!J96</f>
        <v>1.9629605122441</v>
      </c>
      <c r="J114" s="24" t="n">
        <f aca="false">'2026 Forecast C'!J96</f>
        <v>1.379737565379</v>
      </c>
      <c r="K114" s="25" t="n">
        <f aca="false">'2026 Forecast A'!F96</f>
        <v>2661</v>
      </c>
      <c r="L114" s="26" t="str">
        <f aca="false">IF(OR(AND(D114&gt;0.5,E114&gt;0.5,F114&gt;0.5),AND(D114&lt;0.5,E114&lt;0.5,F114&lt;0.5)),"Yes","No — toss-up")</f>
        <v>Yes</v>
      </c>
    </row>
    <row r="115" customFormat="false" ht="15" hidden="false" customHeight="false" outlineLevel="0" collapsed="false">
      <c r="A115" s="8" t="str">
        <f aca="false">'2026 Forecast A'!A97</f>
        <v>Northampton</v>
      </c>
      <c r="B115" s="8" t="str">
        <f aca="false">'2026 Forecast A'!B97</f>
        <v>WEST EASTON</v>
      </c>
      <c r="C115" s="8" t="str">
        <f aca="false">'2026 Forecast A'!C97</f>
        <v>(whole municipality)</v>
      </c>
      <c r="D115" s="9" t="n">
        <f aca="false">'2026 Forecast A'!G97</f>
        <v>0.521551724137931</v>
      </c>
      <c r="E115" s="9" t="n">
        <f aca="false">'2026 Forecast B'!G97</f>
        <v>0.524625267665953</v>
      </c>
      <c r="F115" s="9" t="n">
        <f aca="false">'2026 Forecast C'!G97</f>
        <v>0.517467248908297</v>
      </c>
      <c r="G115" s="24" t="n">
        <f aca="false">(MAX(D115:F115)-MIN(D115:F115))*100</f>
        <v>0.715801875765587</v>
      </c>
      <c r="H115" s="24" t="n">
        <f aca="false">'2026 Forecast A'!J97</f>
        <v>2.62223349707705</v>
      </c>
      <c r="I115" s="24" t="n">
        <f aca="false">'2026 Forecast B'!J97</f>
        <v>2.77130020190375</v>
      </c>
      <c r="J115" s="24" t="n">
        <f aca="false">'2026 Forecast C'!J97</f>
        <v>2.46414572893645</v>
      </c>
      <c r="K115" s="25" t="n">
        <f aca="false">'2026 Forecast A'!F97</f>
        <v>464</v>
      </c>
      <c r="L115" s="26" t="str">
        <f aca="false">IF(OR(AND(D115&gt;0.5,E115&gt;0.5,F115&gt;0.5),AND(D115&lt;0.5,E115&lt;0.5,F115&lt;0.5)),"Yes","No — toss-up")</f>
        <v>Yes</v>
      </c>
    </row>
    <row r="116" customFormat="false" ht="15" hidden="false" customHeight="false" outlineLevel="0" collapsed="false">
      <c r="A116" s="8" t="str">
        <f aca="false">'2026 Forecast A'!A98</f>
        <v>Northampton</v>
      </c>
      <c r="B116" s="8" t="str">
        <f aca="false">'2026 Forecast A'!B98</f>
        <v>WILLIAMS TOWNSHIP</v>
      </c>
      <c r="C116" s="8" t="str">
        <f aca="false">'2026 Forecast A'!C98</f>
        <v>(whole municipality)</v>
      </c>
      <c r="D116" s="9" t="n">
        <f aca="false">'2026 Forecast A'!G98</f>
        <v>0.490748189863234</v>
      </c>
      <c r="E116" s="9" t="n">
        <f aca="false">'2026 Forecast B'!G98</f>
        <v>0.486768243785084</v>
      </c>
      <c r="F116" s="9" t="n">
        <f aca="false">'2026 Forecast C'!G98</f>
        <v>0.47888858621629</v>
      </c>
      <c r="G116" s="24" t="n">
        <f aca="false">(MAX(D116:F116)-MIN(D116:F116))*100</f>
        <v>1.18596036469443</v>
      </c>
      <c r="H116" s="24" t="n">
        <f aca="false">'2026 Forecast A'!J98</f>
        <v>1.7411899431073</v>
      </c>
      <c r="I116" s="24" t="n">
        <f aca="false">'2026 Forecast B'!J98</f>
        <v>1.9629605122441</v>
      </c>
      <c r="J116" s="24" t="n">
        <f aca="false">'2026 Forecast C'!J98</f>
        <v>1.379737565379</v>
      </c>
      <c r="K116" s="25" t="n">
        <f aca="false">'2026 Forecast A'!F98</f>
        <v>3729</v>
      </c>
      <c r="L116" s="26" t="str">
        <f aca="false">IF(OR(AND(D116&gt;0.5,E116&gt;0.5,F116&gt;0.5),AND(D116&lt;0.5,E116&lt;0.5,F116&lt;0.5)),"Yes","No — toss-up")</f>
        <v>Yes</v>
      </c>
    </row>
    <row r="117" customFormat="false" ht="15" hidden="false" customHeight="false" outlineLevel="0" collapsed="false">
      <c r="A117" s="8" t="str">
        <f aca="false">'2026 Forecast A'!A99</f>
        <v>Northampton</v>
      </c>
      <c r="B117" s="8" t="str">
        <f aca="false">'2026 Forecast A'!B99</f>
        <v>WILSON</v>
      </c>
      <c r="C117" s="8" t="str">
        <f aca="false">'2026 Forecast A'!C99</f>
        <v>(whole municipality)</v>
      </c>
      <c r="D117" s="9" t="n">
        <f aca="false">'2026 Forecast A'!G99</f>
        <v>0.580281690140845</v>
      </c>
      <c r="E117" s="9" t="n">
        <f aca="false">'2026 Forecast B'!G99</f>
        <v>0.580411124546554</v>
      </c>
      <c r="F117" s="9" t="n">
        <f aca="false">'2026 Forecast C'!G99</f>
        <v>0.589263420724095</v>
      </c>
      <c r="G117" s="24" t="n">
        <f aca="false">(MAX(D117:F117)-MIN(D117:F117))*100</f>
        <v>0.89817305832498</v>
      </c>
      <c r="H117" s="24" t="n">
        <f aca="false">'2026 Forecast A'!J99</f>
        <v>1.7411899431073</v>
      </c>
      <c r="I117" s="24" t="n">
        <f aca="false">'2026 Forecast B'!J99</f>
        <v>1.9629605122441</v>
      </c>
      <c r="J117" s="24" t="n">
        <f aca="false">'2026 Forecast C'!J99</f>
        <v>1.379737565379</v>
      </c>
      <c r="K117" s="25" t="n">
        <f aca="false">'2026 Forecast A'!F99</f>
        <v>2485</v>
      </c>
      <c r="L117" s="26" t="str">
        <f aca="false">IF(OR(AND(D117&gt;0.5,E117&gt;0.5,F117&gt;0.5),AND(D117&lt;0.5,E117&lt;0.5,F117&lt;0.5)),"Yes","No — toss-up")</f>
        <v>Yes</v>
      </c>
    </row>
    <row r="118" customFormat="false" ht="15" hidden="false" customHeight="false" outlineLevel="0" collapsed="false">
      <c r="A118" s="8" t="str">
        <f aca="false">'2026 Forecast A'!A100</f>
        <v>Northampton</v>
      </c>
      <c r="B118" s="8" t="str">
        <f aca="false">'2026 Forecast A'!B100</f>
        <v>WIND GAP</v>
      </c>
      <c r="C118" s="8" t="str">
        <f aca="false">'2026 Forecast A'!C100</f>
        <v>(whole municipality)</v>
      </c>
      <c r="D118" s="9" t="n">
        <f aca="false">'2026 Forecast A'!G100</f>
        <v>0.471744471744472</v>
      </c>
      <c r="E118" s="9" t="n">
        <f aca="false">'2026 Forecast B'!G100</f>
        <v>0.469337694194603</v>
      </c>
      <c r="F118" s="9" t="n">
        <f aca="false">'2026 Forecast C'!G100</f>
        <v>0.464019851116625</v>
      </c>
      <c r="G118" s="24" t="n">
        <f aca="false">(MAX(D118:F118)-MIN(D118:F118))*100</f>
        <v>0.772462062784646</v>
      </c>
      <c r="H118" s="24" t="n">
        <f aca="false">'2026 Forecast A'!J100</f>
        <v>2.62223349707705</v>
      </c>
      <c r="I118" s="24" t="n">
        <f aca="false">'2026 Forecast B'!J100</f>
        <v>2.77130020190375</v>
      </c>
      <c r="J118" s="24" t="n">
        <f aca="false">'2026 Forecast C'!J100</f>
        <v>2.46414572893645</v>
      </c>
      <c r="K118" s="25" t="n">
        <f aca="false">'2026 Forecast A'!F100</f>
        <v>1221</v>
      </c>
      <c r="L118" s="26" t="str">
        <f aca="false">IF(OR(AND(D118&gt;0.5,E118&gt;0.5,F118&gt;0.5),AND(D118&lt;0.5,E118&lt;0.5,F118&lt;0.5)),"Yes","No — toss-up")</f>
        <v>Yes</v>
      </c>
    </row>
  </sheetData>
  <mergeCells count="5">
    <mergeCell ref="A5:I5"/>
    <mergeCell ref="A15:I15"/>
    <mergeCell ref="A21:I21"/>
    <mergeCell ref="A26:I26"/>
    <mergeCell ref="A28:L28"/>
  </mergeCells>
  <conditionalFormatting sqref="F23:F25">
    <cfRule type="colorScale" priority="2">
      <colorScale>
        <cfvo type="min" val="0"/>
        <cfvo type="max" val="0"/>
        <color rgb="FF63BE7B"/>
        <color rgb="FFF8696B"/>
      </colorScale>
    </cfRule>
  </conditionalFormatting>
  <conditionalFormatting sqref="D30:F118">
    <cfRule type="colorScale" priority="3">
      <colorScale>
        <cfvo type="num" val="0.25"/>
        <cfvo type="num" val="0.5"/>
        <cfvo type="num" val="0.75"/>
        <color rgb="FFF4B6B6"/>
        <color rgb="FFFFFFFF"/>
        <color rgb="FFB4C7E7"/>
      </colorScale>
    </cfRule>
  </conditionalFormatting>
  <conditionalFormatting sqref="L30:L118">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51</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55</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B5-SUMPRODUCT(P12:P100,Q12:Q100)/SUM(Q12:Q100)/100</f>
        <v>0.443508771405804</v>
      </c>
      <c r="E5" s="2" t="s">
        <v>63</v>
      </c>
      <c r="F5" s="31" t="n">
        <v>1.94220414566566</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SUM(D12:D100)</f>
        <v>174038</v>
      </c>
      <c r="E8" s="32" t="n">
        <f aca="false">SUM(E12:E100)</f>
        <v>155482</v>
      </c>
      <c r="F8" s="32" t="n">
        <f aca="false">D8+E8</f>
        <v>329520</v>
      </c>
      <c r="G8" s="33" t="n">
        <f aca="false">IF(F8=0,"",D8/F8)</f>
        <v>0.528156105850935</v>
      </c>
      <c r="H8" s="33" t="n">
        <f aca="false">IF(F8=0,"",E8/F8)</f>
        <v>0.471843894149065</v>
      </c>
      <c r="I8" s="11" t="s">
        <v>77</v>
      </c>
      <c r="J8" s="34" t="n">
        <v>1.94220414566566</v>
      </c>
      <c r="K8" s="33" t="n">
        <f aca="false">G8-J8/100</f>
        <v>0.508734064394278</v>
      </c>
      <c r="L8" s="33" t="n">
        <f aca="false">G8+J8/100</f>
        <v>0.547578147307591</v>
      </c>
      <c r="M8" s="32" t="n">
        <f aca="false">ROUND(F8*0.0336,0)</f>
        <v>11072</v>
      </c>
      <c r="N8" s="32" t="n">
        <f aca="false">ROUND(SQRT((F8*J8/100)^2+(G8*M8)^2),0)</f>
        <v>8669</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89</v>
      </c>
      <c r="D12" s="21" t="n">
        <f aca="false">ROUND(Q12*R12,0)</f>
        <v>173</v>
      </c>
      <c r="E12" s="21" t="n">
        <f aca="false">ROUND(Q12,0)-D12</f>
        <v>234</v>
      </c>
      <c r="F12" s="21" t="n">
        <f aca="false">IF(COUNTA(D12:E12)=0,"",SUM(D12:E12))</f>
        <v>407</v>
      </c>
      <c r="G12" s="39" t="n">
        <f aca="false">IF(OR(F12="",F12=0),"",D12/F12)</f>
        <v>0.425061425061425</v>
      </c>
      <c r="H12" s="39" t="n">
        <f aca="false">IF(OR(F12="",F12=0),"",E12/F12)</f>
        <v>0.574938574938575</v>
      </c>
      <c r="I12" s="38" t="s">
        <v>90</v>
      </c>
      <c r="J12" s="40" t="n">
        <v>2.62223349707705</v>
      </c>
      <c r="K12" s="39" t="n">
        <f aca="false">IF(G12="","",MAX(0,G12-J12/100))</f>
        <v>0.398839090090655</v>
      </c>
      <c r="L12" s="39" t="n">
        <f aca="false">IF(G12="","",MIN(1,G12+J12/100))</f>
        <v>0.451283760032196</v>
      </c>
      <c r="M12" s="21" t="n">
        <f aca="false">ROUND(Q12*S12,0)</f>
        <v>57</v>
      </c>
      <c r="N12" s="21" t="n">
        <f aca="false">ROUND(SQRT((F12*J12/100)^2+(G12*M12)^2),0)</f>
        <v>26</v>
      </c>
      <c r="P12" s="41" t="n">
        <v>-1.94949896393325</v>
      </c>
      <c r="Q12" s="42" t="n">
        <v>407.203395262008</v>
      </c>
      <c r="R12" s="43" t="n">
        <f aca="false">MAX(0,MIN(1,P12/100+$D$5))</f>
        <v>0.424013781766472</v>
      </c>
      <c r="S12" s="43" t="n">
        <v>0.140730607711166</v>
      </c>
      <c r="T12" s="44" t="s">
        <v>91</v>
      </c>
    </row>
    <row r="13" customFormat="false" ht="15" hidden="false" customHeight="false" outlineLevel="0" collapsed="false">
      <c r="A13" s="38" t="s">
        <v>87</v>
      </c>
      <c r="B13" s="38" t="s">
        <v>92</v>
      </c>
      <c r="C13" s="38" t="s">
        <v>89</v>
      </c>
      <c r="D13" s="21" t="n">
        <f aca="false">ROUND(Q13*R13,0)</f>
        <v>111</v>
      </c>
      <c r="E13" s="21" t="n">
        <f aca="false">ROUND(Q13,0)-D13</f>
        <v>232</v>
      </c>
      <c r="F13" s="21" t="n">
        <f aca="false">IF(COUNTA(D13:E13)=0,"",SUM(D13:E13))</f>
        <v>343</v>
      </c>
      <c r="G13" s="39" t="n">
        <f aca="false">IF(OR(F13="",F13=0),"",D13/F13)</f>
        <v>0.323615160349854</v>
      </c>
      <c r="H13" s="39" t="n">
        <f aca="false">IF(OR(F13="",F13=0),"",E13/F13)</f>
        <v>0.676384839650146</v>
      </c>
      <c r="I13" s="38" t="s">
        <v>90</v>
      </c>
      <c r="J13" s="40" t="n">
        <v>2.62223349707705</v>
      </c>
      <c r="K13" s="39" t="n">
        <f aca="false">IF(G13="","",MAX(0,G13-J13/100))</f>
        <v>0.297392825379084</v>
      </c>
      <c r="L13" s="39" t="n">
        <f aca="false">IF(G13="","",MIN(1,G13+J13/100))</f>
        <v>0.349837495320625</v>
      </c>
      <c r="M13" s="21" t="n">
        <f aca="false">ROUND(Q13*S13,0)</f>
        <v>48</v>
      </c>
      <c r="N13" s="21" t="n">
        <f aca="false">ROUND(SQRT((F13*J13/100)^2+(G13*M13)^2),0)</f>
        <v>18</v>
      </c>
      <c r="P13" s="41" t="n">
        <v>-11.9049937131594</v>
      </c>
      <c r="Q13" s="42" t="n">
        <v>342.727327534253</v>
      </c>
      <c r="R13" s="43" t="n">
        <f aca="false">MAX(0,MIN(1,P13/100+$D$5))</f>
        <v>0.32445883427421</v>
      </c>
      <c r="S13" s="43" t="n">
        <v>0.140730607711166</v>
      </c>
      <c r="T13" s="44" t="s">
        <v>91</v>
      </c>
    </row>
    <row r="14" customFormat="false" ht="15" hidden="false" customHeight="false" outlineLevel="0" collapsed="false">
      <c r="A14" s="38" t="s">
        <v>87</v>
      </c>
      <c r="B14" s="38" t="s">
        <v>93</v>
      </c>
      <c r="C14" s="38" t="s">
        <v>89</v>
      </c>
      <c r="D14" s="21" t="n">
        <f aca="false">ROUND(Q14*R14,0)</f>
        <v>143</v>
      </c>
      <c r="E14" s="21" t="n">
        <f aca="false">ROUND(Q14,0)-D14</f>
        <v>246</v>
      </c>
      <c r="F14" s="21" t="n">
        <f aca="false">IF(COUNTA(D14:E14)=0,"",SUM(D14:E14))</f>
        <v>389</v>
      </c>
      <c r="G14" s="39" t="n">
        <f aca="false">IF(OR(F14="",F14=0),"",D14/F14)</f>
        <v>0.367609254498715</v>
      </c>
      <c r="H14" s="39" t="n">
        <f aca="false">IF(OR(F14="",F14=0),"",E14/F14)</f>
        <v>0.632390745501285</v>
      </c>
      <c r="I14" s="38" t="s">
        <v>90</v>
      </c>
      <c r="J14" s="40" t="n">
        <v>2.62223349707705</v>
      </c>
      <c r="K14" s="39" t="n">
        <f aca="false">IF(G14="","",MAX(0,G14-J14/100))</f>
        <v>0.341386919527944</v>
      </c>
      <c r="L14" s="39" t="n">
        <f aca="false">IF(G14="","",MIN(1,G14+J14/100))</f>
        <v>0.393831589469485</v>
      </c>
      <c r="M14" s="21" t="n">
        <f aca="false">ROUND(Q14*S14,0)</f>
        <v>55</v>
      </c>
      <c r="N14" s="21" t="n">
        <f aca="false">ROUND(SQRT((F14*J14/100)^2+(G14*M14)^2),0)</f>
        <v>23</v>
      </c>
      <c r="P14" s="41" t="n">
        <v>-7.58563828048723</v>
      </c>
      <c r="Q14" s="42" t="n">
        <v>388.7418201165</v>
      </c>
      <c r="R14" s="43" t="n">
        <f aca="false">MAX(0,MIN(1,P14/100+$D$5))</f>
        <v>0.367652388600932</v>
      </c>
      <c r="S14" s="43" t="n">
        <v>0.140730607711166</v>
      </c>
      <c r="T14" s="44" t="s">
        <v>91</v>
      </c>
    </row>
    <row r="15" customFormat="false" ht="15" hidden="false" customHeight="false" outlineLevel="0" collapsed="false">
      <c r="A15" s="38" t="s">
        <v>87</v>
      </c>
      <c r="B15" s="38" t="s">
        <v>94</v>
      </c>
      <c r="C15" s="38" t="s">
        <v>89</v>
      </c>
      <c r="D15" s="21" t="n">
        <f aca="false">ROUND(Q15*R15,0)</f>
        <v>457</v>
      </c>
      <c r="E15" s="21" t="n">
        <f aca="false">ROUND(Q15,0)-D15</f>
        <v>999</v>
      </c>
      <c r="F15" s="21" t="n">
        <f aca="false">IF(COUNTA(D15:E15)=0,"",SUM(D15:E15))</f>
        <v>1456</v>
      </c>
      <c r="G15" s="39" t="n">
        <f aca="false">IF(OR(F15="",F15=0),"",D15/F15)</f>
        <v>0.313873626373626</v>
      </c>
      <c r="H15" s="39" t="n">
        <f aca="false">IF(OR(F15="",F15=0),"",E15/F15)</f>
        <v>0.686126373626374</v>
      </c>
      <c r="I15" s="38" t="s">
        <v>90</v>
      </c>
      <c r="J15" s="40" t="n">
        <v>2.62223349707705</v>
      </c>
      <c r="K15" s="39" t="n">
        <f aca="false">IF(G15="","",MAX(0,G15-J15/100))</f>
        <v>0.287651291402856</v>
      </c>
      <c r="L15" s="39" t="n">
        <f aca="false">IF(G15="","",MIN(1,G15+J15/100))</f>
        <v>0.340095961344397</v>
      </c>
      <c r="M15" s="21" t="n">
        <f aca="false">ROUND(Q15*S15,0)</f>
        <v>205</v>
      </c>
      <c r="N15" s="21" t="n">
        <f aca="false">ROUND(SQRT((F15*J15/100)^2+(G15*M15)^2),0)</f>
        <v>75</v>
      </c>
      <c r="P15" s="41" t="n">
        <v>-12.9725550267221</v>
      </c>
      <c r="Q15" s="42" t="n">
        <v>1456.08240211786</v>
      </c>
      <c r="R15" s="43" t="n">
        <f aca="false">MAX(0,MIN(1,P15/100+$D$5))</f>
        <v>0.313783221138583</v>
      </c>
      <c r="S15" s="43" t="n">
        <v>0.140730607711166</v>
      </c>
      <c r="T15" s="44" t="s">
        <v>91</v>
      </c>
    </row>
    <row r="16" customFormat="false" ht="15" hidden="false" customHeight="false" outlineLevel="0" collapsed="false">
      <c r="A16" s="38" t="s">
        <v>87</v>
      </c>
      <c r="B16" s="38" t="s">
        <v>95</v>
      </c>
      <c r="C16" s="38" t="s">
        <v>89</v>
      </c>
      <c r="D16" s="21" t="n">
        <f aca="false">ROUND(Q16*R16,0)</f>
        <v>40</v>
      </c>
      <c r="E16" s="21" t="n">
        <f aca="false">ROUND(Q16,0)-D16</f>
        <v>64</v>
      </c>
      <c r="F16" s="21" t="n">
        <f aca="false">IF(COUNTA(D16:E16)=0,"",SUM(D16:E16))</f>
        <v>104</v>
      </c>
      <c r="G16" s="39" t="n">
        <f aca="false">IF(OR(F16="",F16=0),"",D16/F16)</f>
        <v>0.384615384615385</v>
      </c>
      <c r="H16" s="39" t="n">
        <f aca="false">IF(OR(F16="",F16=0),"",E16/F16)</f>
        <v>0.615384615384615</v>
      </c>
      <c r="I16" s="38" t="s">
        <v>90</v>
      </c>
      <c r="J16" s="40" t="n">
        <v>2.62223349707705</v>
      </c>
      <c r="K16" s="39" t="n">
        <f aca="false">IF(G16="","",MAX(0,G16-J16/100))</f>
        <v>0.358393049644614</v>
      </c>
      <c r="L16" s="39" t="n">
        <f aca="false">IF(G16="","",MIN(1,G16+J16/100))</f>
        <v>0.410837719586155</v>
      </c>
      <c r="M16" s="21" t="n">
        <f aca="false">ROUND(Q16*S16,0)</f>
        <v>15</v>
      </c>
      <c r="N16" s="21" t="n">
        <f aca="false">ROUND(SQRT((F16*J16/100)^2+(G16*M16)^2),0)</f>
        <v>6</v>
      </c>
      <c r="P16" s="41" t="n">
        <v>-5.67964334704866</v>
      </c>
      <c r="Q16" s="42" t="n">
        <v>104.095687612324</v>
      </c>
      <c r="R16" s="43" t="n">
        <f aca="false">MAX(0,MIN(1,P16/100+$D$5))</f>
        <v>0.386712337935318</v>
      </c>
      <c r="S16" s="43" t="n">
        <v>0.140730607711166</v>
      </c>
      <c r="T16" s="44" t="s">
        <v>91</v>
      </c>
    </row>
    <row r="17" customFormat="false" ht="15" hidden="false" customHeight="false" outlineLevel="0" collapsed="false">
      <c r="A17" s="38" t="s">
        <v>87</v>
      </c>
      <c r="B17" s="38" t="s">
        <v>96</v>
      </c>
      <c r="C17" s="38" t="s">
        <v>89</v>
      </c>
      <c r="D17" s="21" t="n">
        <f aca="false">ROUND(Q17*R17,0)</f>
        <v>718</v>
      </c>
      <c r="E17" s="21" t="n">
        <f aca="false">ROUND(Q17,0)-D17</f>
        <v>1494</v>
      </c>
      <c r="F17" s="21" t="n">
        <f aca="false">IF(COUNTA(D17:E17)=0,"",SUM(D17:E17))</f>
        <v>2212</v>
      </c>
      <c r="G17" s="39" t="n">
        <f aca="false">IF(OR(F17="",F17=0),"",D17/F17)</f>
        <v>0.324593128390597</v>
      </c>
      <c r="H17" s="39" t="n">
        <f aca="false">IF(OR(F17="",F17=0),"",E17/F17)</f>
        <v>0.675406871609403</v>
      </c>
      <c r="I17" s="38" t="s">
        <v>90</v>
      </c>
      <c r="J17" s="40" t="n">
        <v>1.7411899431073</v>
      </c>
      <c r="K17" s="39" t="n">
        <f aca="false">IF(G17="","",MAX(0,G17-J17/100))</f>
        <v>0.307181228959524</v>
      </c>
      <c r="L17" s="39" t="n">
        <f aca="false">IF(G17="","",MIN(1,G17+J17/100))</f>
        <v>0.34200502782167</v>
      </c>
      <c r="M17" s="21" t="n">
        <f aca="false">ROUND(Q17*S17,0)</f>
        <v>78</v>
      </c>
      <c r="N17" s="21" t="n">
        <f aca="false">ROUND(SQRT((F17*J17/100)^2+(G17*M17)^2),0)</f>
        <v>46</v>
      </c>
      <c r="P17" s="41" t="n">
        <v>-11.9024697006845</v>
      </c>
      <c r="Q17" s="42" t="n">
        <v>2212.098203508</v>
      </c>
      <c r="R17" s="43" t="n">
        <f aca="false">MAX(0,MIN(1,P17/100+$D$5))</f>
        <v>0.324484074398959</v>
      </c>
      <c r="S17" s="43" t="n">
        <v>0.0350597310944791</v>
      </c>
      <c r="T17" s="44" t="s">
        <v>97</v>
      </c>
    </row>
    <row r="18" customFormat="false" ht="15" hidden="false" customHeight="false" outlineLevel="0" collapsed="false">
      <c r="A18" s="38" t="s">
        <v>87</v>
      </c>
      <c r="B18" s="38" t="s">
        <v>98</v>
      </c>
      <c r="C18" s="38" t="s">
        <v>89</v>
      </c>
      <c r="D18" s="21" t="n">
        <f aca="false">ROUND(Q18*R18,0)</f>
        <v>1152</v>
      </c>
      <c r="E18" s="21" t="n">
        <f aca="false">ROUND(Q18,0)-D18</f>
        <v>1231</v>
      </c>
      <c r="F18" s="21" t="n">
        <f aca="false">IF(COUNTA(D18:E18)=0,"",SUM(D18:E18))</f>
        <v>2383</v>
      </c>
      <c r="G18" s="39" t="n">
        <f aca="false">IF(OR(F18="",F18=0),"",D18/F18)</f>
        <v>0.483424255140579</v>
      </c>
      <c r="H18" s="39" t="n">
        <f aca="false">IF(OR(F18="",F18=0),"",E18/F18)</f>
        <v>0.516575744859421</v>
      </c>
      <c r="I18" s="38" t="s">
        <v>90</v>
      </c>
      <c r="J18" s="40" t="n">
        <v>1.7411899431073</v>
      </c>
      <c r="K18" s="39" t="n">
        <f aca="false">IF(G18="","",MAX(0,G18-J18/100))</f>
        <v>0.466012355709506</v>
      </c>
      <c r="L18" s="39" t="n">
        <f aca="false">IF(G18="","",MIN(1,G18+J18/100))</f>
        <v>0.500836154571652</v>
      </c>
      <c r="M18" s="21" t="n">
        <f aca="false">ROUND(Q18*S18,0)</f>
        <v>84</v>
      </c>
      <c r="N18" s="21" t="n">
        <f aca="false">ROUND(SQRT((F18*J18/100)^2+(G18*M18)^2),0)</f>
        <v>58</v>
      </c>
      <c r="P18" s="41" t="n">
        <v>3.99474591273859</v>
      </c>
      <c r="Q18" s="42" t="n">
        <v>2383.34635165342</v>
      </c>
      <c r="R18" s="43" t="n">
        <f aca="false">MAX(0,MIN(1,P18/100+$D$5))</f>
        <v>0.48345623053319</v>
      </c>
      <c r="S18" s="43" t="n">
        <v>0.0350597310944791</v>
      </c>
      <c r="T18" s="44" t="s">
        <v>97</v>
      </c>
    </row>
    <row r="19" customFormat="false" ht="15" hidden="false" customHeight="false" outlineLevel="0" collapsed="false">
      <c r="A19" s="38" t="s">
        <v>87</v>
      </c>
      <c r="B19" s="38" t="s">
        <v>99</v>
      </c>
      <c r="C19" s="38" t="s">
        <v>89</v>
      </c>
      <c r="D19" s="21" t="n">
        <f aca="false">ROUND(Q19*R19,0)</f>
        <v>338</v>
      </c>
      <c r="E19" s="21" t="n">
        <f aca="false">ROUND(Q19,0)-D19</f>
        <v>566</v>
      </c>
      <c r="F19" s="21" t="n">
        <f aca="false">IF(COUNTA(D19:E19)=0,"",SUM(D19:E19))</f>
        <v>904</v>
      </c>
      <c r="G19" s="39" t="n">
        <f aca="false">IF(OR(F19="",F19=0),"",D19/F19)</f>
        <v>0.373893805309735</v>
      </c>
      <c r="H19" s="39" t="n">
        <f aca="false">IF(OR(F19="",F19=0),"",E19/F19)</f>
        <v>0.626106194690266</v>
      </c>
      <c r="I19" s="38" t="s">
        <v>90</v>
      </c>
      <c r="J19" s="40" t="n">
        <v>2.62223349707705</v>
      </c>
      <c r="K19" s="39" t="n">
        <f aca="false">IF(G19="","",MAX(0,G19-J19/100))</f>
        <v>0.347671470338964</v>
      </c>
      <c r="L19" s="39" t="n">
        <f aca="false">IF(G19="","",MIN(1,G19+J19/100))</f>
        <v>0.400116140280505</v>
      </c>
      <c r="M19" s="21" t="n">
        <f aca="false">ROUND(Q19*S19,0)</f>
        <v>127</v>
      </c>
      <c r="N19" s="21" t="n">
        <f aca="false">ROUND(SQRT((F19*J19/100)^2+(G19*M19)^2),0)</f>
        <v>53</v>
      </c>
      <c r="P19" s="41" t="n">
        <v>-6.98940184066776</v>
      </c>
      <c r="Q19" s="42" t="n">
        <v>903.76415118075</v>
      </c>
      <c r="R19" s="43" t="n">
        <f aca="false">MAX(0,MIN(1,P19/100+$D$5))</f>
        <v>0.373614752999127</v>
      </c>
      <c r="S19" s="43" t="n">
        <v>0.140730607711166</v>
      </c>
      <c r="T19" s="44" t="s">
        <v>91</v>
      </c>
    </row>
    <row r="20" customFormat="false" ht="15" hidden="false" customHeight="false" outlineLevel="0" collapsed="false">
      <c r="A20" s="38" t="s">
        <v>87</v>
      </c>
      <c r="B20" s="38" t="s">
        <v>100</v>
      </c>
      <c r="C20" s="38" t="s">
        <v>89</v>
      </c>
      <c r="D20" s="21" t="n">
        <f aca="false">ROUND(Q20*R20,0)</f>
        <v>475</v>
      </c>
      <c r="E20" s="21" t="n">
        <f aca="false">ROUND(Q20,0)-D20</f>
        <v>602</v>
      </c>
      <c r="F20" s="21" t="n">
        <f aca="false">IF(COUNTA(D20:E20)=0,"",SUM(D20:E20))</f>
        <v>1077</v>
      </c>
      <c r="G20" s="39" t="n">
        <f aca="false">IF(OR(F20="",F20=0),"",D20/F20)</f>
        <v>0.441039925719591</v>
      </c>
      <c r="H20" s="39" t="n">
        <f aca="false">IF(OR(F20="",F20=0),"",E20/F20)</f>
        <v>0.558960074280409</v>
      </c>
      <c r="I20" s="38" t="s">
        <v>90</v>
      </c>
      <c r="J20" s="40" t="n">
        <v>2.62223349707705</v>
      </c>
      <c r="K20" s="39" t="n">
        <f aca="false">IF(G20="","",MAX(0,G20-J20/100))</f>
        <v>0.414817590748821</v>
      </c>
      <c r="L20" s="39" t="n">
        <f aca="false">IF(G20="","",MIN(1,G20+J20/100))</f>
        <v>0.467262260690362</v>
      </c>
      <c r="M20" s="21" t="n">
        <f aca="false">ROUND(Q20*S20,0)</f>
        <v>152</v>
      </c>
      <c r="N20" s="21" t="n">
        <f aca="false">ROUND(SQRT((F20*J20/100)^2+(G20*M20)^2),0)</f>
        <v>73</v>
      </c>
      <c r="P20" s="41" t="n">
        <v>-0.280595313615893</v>
      </c>
      <c r="Q20" s="42" t="n">
        <v>1076.75062283407</v>
      </c>
      <c r="R20" s="43" t="n">
        <f aca="false">MAX(0,MIN(1,P20/100+$D$5))</f>
        <v>0.440702818269645</v>
      </c>
      <c r="S20" s="43" t="n">
        <v>0.140730607711166</v>
      </c>
      <c r="T20" s="44" t="s">
        <v>91</v>
      </c>
    </row>
    <row r="21" customFormat="false" ht="15" hidden="false" customHeight="false" outlineLevel="0" collapsed="false">
      <c r="A21" s="38" t="s">
        <v>87</v>
      </c>
      <c r="B21" s="38" t="s">
        <v>101</v>
      </c>
      <c r="C21" s="38" t="s">
        <v>89</v>
      </c>
      <c r="D21" s="21" t="n">
        <f aca="false">ROUND(Q21*R21,0)</f>
        <v>42</v>
      </c>
      <c r="E21" s="21" t="n">
        <f aca="false">ROUND(Q21,0)-D21</f>
        <v>87</v>
      </c>
      <c r="F21" s="21" t="n">
        <f aca="false">IF(COUNTA(D21:E21)=0,"",SUM(D21:E21))</f>
        <v>129</v>
      </c>
      <c r="G21" s="39" t="n">
        <f aca="false">IF(OR(F21="",F21=0),"",D21/F21)</f>
        <v>0.325581395348837</v>
      </c>
      <c r="H21" s="39" t="n">
        <f aca="false">IF(OR(F21="",F21=0),"",E21/F21)</f>
        <v>0.674418604651163</v>
      </c>
      <c r="I21" s="38" t="s">
        <v>90</v>
      </c>
      <c r="J21" s="40" t="n">
        <v>2.62223349707705</v>
      </c>
      <c r="K21" s="39" t="n">
        <f aca="false">IF(G21="","",MAX(0,G21-J21/100))</f>
        <v>0.299359060378067</v>
      </c>
      <c r="L21" s="39" t="n">
        <f aca="false">IF(G21="","",MIN(1,G21+J21/100))</f>
        <v>0.351803730319608</v>
      </c>
      <c r="M21" s="21" t="n">
        <f aca="false">ROUND(Q21*S21,0)</f>
        <v>18</v>
      </c>
      <c r="N21" s="21" t="n">
        <f aca="false">ROUND(SQRT((F21*J21/100)^2+(G21*M21)^2),0)</f>
        <v>7</v>
      </c>
      <c r="P21" s="41" t="n">
        <v>-11.9888027624821</v>
      </c>
      <c r="Q21" s="42" t="n">
        <v>129.023971310941</v>
      </c>
      <c r="R21" s="43" t="n">
        <f aca="false">MAX(0,MIN(1,P21/100+$D$5))</f>
        <v>0.323620743780983</v>
      </c>
      <c r="S21" s="43" t="n">
        <v>0.140730607711166</v>
      </c>
      <c r="T21" s="44" t="s">
        <v>91</v>
      </c>
    </row>
    <row r="22" customFormat="false" ht="15" hidden="false" customHeight="false" outlineLevel="0" collapsed="false">
      <c r="A22" s="38" t="s">
        <v>87</v>
      </c>
      <c r="B22" s="38" t="s">
        <v>102</v>
      </c>
      <c r="C22" s="38" t="s">
        <v>89</v>
      </c>
      <c r="D22" s="21" t="n">
        <f aca="false">ROUND(Q22*R22,0)</f>
        <v>66</v>
      </c>
      <c r="E22" s="21" t="n">
        <f aca="false">ROUND(Q22,0)-D22</f>
        <v>202</v>
      </c>
      <c r="F22" s="21" t="n">
        <f aca="false">IF(COUNTA(D22:E22)=0,"",SUM(D22:E22))</f>
        <v>268</v>
      </c>
      <c r="G22" s="39" t="n">
        <f aca="false">IF(OR(F22="",F22=0),"",D22/F22)</f>
        <v>0.246268656716418</v>
      </c>
      <c r="H22" s="39" t="n">
        <f aca="false">IF(OR(F22="",F22=0),"",E22/F22)</f>
        <v>0.753731343283582</v>
      </c>
      <c r="I22" s="38" t="s">
        <v>90</v>
      </c>
      <c r="J22" s="40" t="n">
        <v>2.62223349707705</v>
      </c>
      <c r="K22" s="39" t="n">
        <f aca="false">IF(G22="","",MAX(0,G22-J22/100))</f>
        <v>0.220046321745647</v>
      </c>
      <c r="L22" s="39" t="n">
        <f aca="false">IF(G22="","",MIN(1,G22+J22/100))</f>
        <v>0.272490991687188</v>
      </c>
      <c r="M22" s="21" t="n">
        <f aca="false">ROUND(Q22*S22,0)</f>
        <v>38</v>
      </c>
      <c r="N22" s="21" t="n">
        <f aca="false">ROUND(SQRT((F22*J22/100)^2+(G22*M22)^2),0)</f>
        <v>12</v>
      </c>
      <c r="P22" s="41" t="n">
        <v>-19.8046414303662</v>
      </c>
      <c r="Q22" s="42" t="n">
        <v>267.99653539734</v>
      </c>
      <c r="R22" s="43" t="n">
        <f aca="false">MAX(0,MIN(1,P22/100+$D$5))</f>
        <v>0.245462357102142</v>
      </c>
      <c r="S22" s="43" t="n">
        <v>0.140730607711166</v>
      </c>
      <c r="T22" s="44" t="s">
        <v>91</v>
      </c>
    </row>
    <row r="23" customFormat="false" ht="15" hidden="false" customHeight="false" outlineLevel="0" collapsed="false">
      <c r="A23" s="38" t="s">
        <v>87</v>
      </c>
      <c r="B23" s="38" t="s">
        <v>103</v>
      </c>
      <c r="C23" s="38" t="s">
        <v>89</v>
      </c>
      <c r="D23" s="21" t="n">
        <f aca="false">ROUND(Q23*R23,0)</f>
        <v>822</v>
      </c>
      <c r="E23" s="21" t="n">
        <f aca="false">ROUND(Q23,0)-D23</f>
        <v>1047</v>
      </c>
      <c r="F23" s="21" t="n">
        <f aca="false">IF(COUNTA(D23:E23)=0,"",SUM(D23:E23))</f>
        <v>1869</v>
      </c>
      <c r="G23" s="39" t="n">
        <f aca="false">IF(OR(F23="",F23=0),"",D23/F23)</f>
        <v>0.439807383627608</v>
      </c>
      <c r="H23" s="39" t="n">
        <f aca="false">IF(OR(F23="",F23=0),"",E23/F23)</f>
        <v>0.560192616372392</v>
      </c>
      <c r="I23" s="38" t="s">
        <v>90</v>
      </c>
      <c r="J23" s="40" t="n">
        <v>1.7411899431073</v>
      </c>
      <c r="K23" s="39" t="n">
        <f aca="false">IF(G23="","",MAX(0,G23-J23/100))</f>
        <v>0.422395484196535</v>
      </c>
      <c r="L23" s="39" t="n">
        <f aca="false">IF(G23="","",MIN(1,G23+J23/100))</f>
        <v>0.457219283058681</v>
      </c>
      <c r="M23" s="21" t="n">
        <f aca="false">ROUND(Q23*S23,0)</f>
        <v>66</v>
      </c>
      <c r="N23" s="21" t="n">
        <f aca="false">ROUND(SQRT((F23*J23/100)^2+(G23*M23)^2),0)</f>
        <v>44</v>
      </c>
      <c r="P23" s="41" t="n">
        <v>-0.385751021730289</v>
      </c>
      <c r="Q23" s="42" t="n">
        <v>1869.11451276475</v>
      </c>
      <c r="R23" s="43" t="n">
        <f aca="false">MAX(0,MIN(1,P23/100+$D$5))</f>
        <v>0.439651261188501</v>
      </c>
      <c r="S23" s="43" t="n">
        <v>0.0350597310944791</v>
      </c>
      <c r="T23" s="44" t="s">
        <v>97</v>
      </c>
    </row>
    <row r="24" customFormat="false" ht="15" hidden="false" customHeight="false" outlineLevel="0" collapsed="false">
      <c r="A24" s="38" t="s">
        <v>87</v>
      </c>
      <c r="B24" s="38" t="s">
        <v>104</v>
      </c>
      <c r="C24" s="38" t="s">
        <v>89</v>
      </c>
      <c r="D24" s="21" t="n">
        <f aca="false">ROUND(Q24*R24,0)</f>
        <v>523</v>
      </c>
      <c r="E24" s="21" t="n">
        <f aca="false">ROUND(Q24,0)-D24</f>
        <v>1024</v>
      </c>
      <c r="F24" s="21" t="n">
        <f aca="false">IF(COUNTA(D24:E24)=0,"",SUM(D24:E24))</f>
        <v>1547</v>
      </c>
      <c r="G24" s="39" t="n">
        <f aca="false">IF(OR(F24="",F24=0),"",D24/F24)</f>
        <v>0.338073691014868</v>
      </c>
      <c r="H24" s="39" t="n">
        <f aca="false">IF(OR(F24="",F24=0),"",E24/F24)</f>
        <v>0.661926308985133</v>
      </c>
      <c r="I24" s="38" t="s">
        <v>90</v>
      </c>
      <c r="J24" s="40" t="n">
        <v>2.62223349707705</v>
      </c>
      <c r="K24" s="39" t="n">
        <f aca="false">IF(G24="","",MAX(0,G24-J24/100))</f>
        <v>0.311851356044097</v>
      </c>
      <c r="L24" s="39" t="n">
        <f aca="false">IF(G24="","",MIN(1,G24+J24/100))</f>
        <v>0.364296025985638</v>
      </c>
      <c r="M24" s="21" t="n">
        <f aca="false">ROUND(Q24*S24,0)</f>
        <v>218</v>
      </c>
      <c r="N24" s="21" t="n">
        <f aca="false">ROUND(SQRT((F24*J24/100)^2+(G24*M24)^2),0)</f>
        <v>84</v>
      </c>
      <c r="P24" s="41" t="n">
        <v>-10.5642136561719</v>
      </c>
      <c r="Q24" s="42" t="n">
        <v>1546.96122570394</v>
      </c>
      <c r="R24" s="43" t="n">
        <f aca="false">MAX(0,MIN(1,P24/100+$D$5))</f>
        <v>0.337866634844085</v>
      </c>
      <c r="S24" s="43" t="n">
        <v>0.140730607711166</v>
      </c>
      <c r="T24" s="44" t="s">
        <v>91</v>
      </c>
    </row>
    <row r="25" customFormat="false" ht="15" hidden="false" customHeight="false" outlineLevel="0" collapsed="false">
      <c r="A25" s="38" t="s">
        <v>87</v>
      </c>
      <c r="B25" s="38" t="s">
        <v>105</v>
      </c>
      <c r="C25" s="38" t="s">
        <v>89</v>
      </c>
      <c r="D25" s="21" t="n">
        <f aca="false">ROUND(Q25*R25,0)</f>
        <v>694</v>
      </c>
      <c r="E25" s="21" t="n">
        <f aca="false">ROUND(Q25,0)-D25</f>
        <v>1359</v>
      </c>
      <c r="F25" s="21" t="n">
        <f aca="false">IF(COUNTA(D25:E25)=0,"",SUM(D25:E25))</f>
        <v>2053</v>
      </c>
      <c r="G25" s="39" t="n">
        <f aca="false">IF(OR(F25="",F25=0),"",D25/F25)</f>
        <v>0.338041889917194</v>
      </c>
      <c r="H25" s="39" t="n">
        <f aca="false">IF(OR(F25="",F25=0),"",E25/F25)</f>
        <v>0.661958110082806</v>
      </c>
      <c r="I25" s="38" t="s">
        <v>90</v>
      </c>
      <c r="J25" s="40" t="n">
        <v>1.7411899431073</v>
      </c>
      <c r="K25" s="39" t="n">
        <f aca="false">IF(G25="","",MAX(0,G25-J25/100))</f>
        <v>0.320629990486121</v>
      </c>
      <c r="L25" s="39" t="n">
        <f aca="false">IF(G25="","",MIN(1,G25+J25/100))</f>
        <v>0.355453789348267</v>
      </c>
      <c r="M25" s="21" t="n">
        <f aca="false">ROUND(Q25*S25,0)</f>
        <v>72</v>
      </c>
      <c r="N25" s="21" t="n">
        <f aca="false">ROUND(SQRT((F25*J25/100)^2+(G25*M25)^2),0)</f>
        <v>43</v>
      </c>
      <c r="P25" s="41" t="n">
        <v>-10.5577207367626</v>
      </c>
      <c r="Q25" s="42" t="n">
        <v>2053.36804131699</v>
      </c>
      <c r="R25" s="43" t="n">
        <f aca="false">MAX(0,MIN(1,P25/100+$D$5))</f>
        <v>0.337931564038178</v>
      </c>
      <c r="S25" s="43" t="n">
        <v>0.0350597310944791</v>
      </c>
      <c r="T25" s="44" t="s">
        <v>97</v>
      </c>
    </row>
    <row r="26" customFormat="false" ht="15" hidden="false" customHeight="false" outlineLevel="0" collapsed="false">
      <c r="A26" s="38" t="s">
        <v>87</v>
      </c>
      <c r="B26" s="38" t="s">
        <v>106</v>
      </c>
      <c r="C26" s="38" t="s">
        <v>89</v>
      </c>
      <c r="D26" s="21" t="n">
        <f aca="false">ROUND(Q26*R26,0)</f>
        <v>586</v>
      </c>
      <c r="E26" s="21" t="n">
        <f aca="false">ROUND(Q26,0)-D26</f>
        <v>733</v>
      </c>
      <c r="F26" s="21" t="n">
        <f aca="false">IF(COUNTA(D26:E26)=0,"",SUM(D26:E26))</f>
        <v>1319</v>
      </c>
      <c r="G26" s="39" t="n">
        <f aca="false">IF(OR(F26="",F26=0),"",D26/F26)</f>
        <v>0.444275966641395</v>
      </c>
      <c r="H26" s="39" t="n">
        <f aca="false">IF(OR(F26="",F26=0),"",E26/F26)</f>
        <v>0.555724033358605</v>
      </c>
      <c r="I26" s="38" t="s">
        <v>90</v>
      </c>
      <c r="J26" s="40" t="n">
        <v>2.62223349707705</v>
      </c>
      <c r="K26" s="39" t="n">
        <f aca="false">IF(G26="","",MAX(0,G26-J26/100))</f>
        <v>0.418053631670625</v>
      </c>
      <c r="L26" s="39" t="n">
        <f aca="false">IF(G26="","",MIN(1,G26+J26/100))</f>
        <v>0.470498301612166</v>
      </c>
      <c r="M26" s="21" t="n">
        <f aca="false">ROUND(Q26*S26,0)</f>
        <v>186</v>
      </c>
      <c r="N26" s="21" t="n">
        <f aca="false">ROUND(SQRT((F26*J26/100)^2+(G26*M26)^2),0)</f>
        <v>90</v>
      </c>
      <c r="P26" s="41" t="n">
        <v>0.054706812768582</v>
      </c>
      <c r="Q26" s="42" t="n">
        <v>1319.09685796056</v>
      </c>
      <c r="R26" s="43" t="n">
        <f aca="false">MAX(0,MIN(1,P26/100+$D$5))</f>
        <v>0.44405583953349</v>
      </c>
      <c r="S26" s="43" t="n">
        <v>0.140730607711166</v>
      </c>
      <c r="T26" s="44" t="s">
        <v>91</v>
      </c>
    </row>
    <row r="27" customFormat="false" ht="15" hidden="false" customHeight="false" outlineLevel="0" collapsed="false">
      <c r="A27" s="38" t="s">
        <v>87</v>
      </c>
      <c r="B27" s="38" t="s">
        <v>107</v>
      </c>
      <c r="C27" s="38" t="s">
        <v>89</v>
      </c>
      <c r="D27" s="21" t="n">
        <f aca="false">ROUND(Q27*R27,0)</f>
        <v>139</v>
      </c>
      <c r="E27" s="21" t="n">
        <f aca="false">ROUND(Q27,0)-D27</f>
        <v>458</v>
      </c>
      <c r="F27" s="21" t="n">
        <f aca="false">IF(COUNTA(D27:E27)=0,"",SUM(D27:E27))</f>
        <v>597</v>
      </c>
      <c r="G27" s="39" t="n">
        <f aca="false">IF(OR(F27="",F27=0),"",D27/F27)</f>
        <v>0.232830820770519</v>
      </c>
      <c r="H27" s="39" t="n">
        <f aca="false">IF(OR(F27="",F27=0),"",E27/F27)</f>
        <v>0.767169179229481</v>
      </c>
      <c r="I27" s="38" t="s">
        <v>90</v>
      </c>
      <c r="J27" s="40" t="n">
        <v>2.62223349707705</v>
      </c>
      <c r="K27" s="39" t="n">
        <f aca="false">IF(G27="","",MAX(0,G27-J27/100))</f>
        <v>0.206608485799749</v>
      </c>
      <c r="L27" s="39" t="n">
        <f aca="false">IF(G27="","",MIN(1,G27+J27/100))</f>
        <v>0.25905315574129</v>
      </c>
      <c r="M27" s="21" t="n">
        <f aca="false">ROUND(Q27*S27,0)</f>
        <v>84</v>
      </c>
      <c r="N27" s="21" t="n">
        <f aca="false">ROUND(SQRT((F27*J27/100)^2+(G27*M27)^2),0)</f>
        <v>25</v>
      </c>
      <c r="P27" s="41" t="n">
        <v>-21.0182760992073</v>
      </c>
      <c r="Q27" s="42" t="n">
        <v>597.286687866245</v>
      </c>
      <c r="R27" s="43" t="n">
        <f aca="false">MAX(0,MIN(1,P27/100+$D$5))</f>
        <v>0.233326010413732</v>
      </c>
      <c r="S27" s="43" t="n">
        <v>0.140730607711166</v>
      </c>
      <c r="T27" s="44" t="s">
        <v>91</v>
      </c>
    </row>
    <row r="28" customFormat="false" ht="15" hidden="false" customHeight="false" outlineLevel="0" collapsed="false">
      <c r="A28" s="38" t="s">
        <v>87</v>
      </c>
      <c r="B28" s="38" t="s">
        <v>108</v>
      </c>
      <c r="C28" s="38" t="s">
        <v>89</v>
      </c>
      <c r="D28" s="21" t="n">
        <f aca="false">ROUND(Q28*R28,0)</f>
        <v>916</v>
      </c>
      <c r="E28" s="21" t="n">
        <f aca="false">ROUND(Q28,0)-D28</f>
        <v>1258</v>
      </c>
      <c r="F28" s="21" t="n">
        <f aca="false">IF(COUNTA(D28:E28)=0,"",SUM(D28:E28))</f>
        <v>2174</v>
      </c>
      <c r="G28" s="39" t="n">
        <f aca="false">IF(OR(F28="",F28=0),"",D28/F28)</f>
        <v>0.421343146274149</v>
      </c>
      <c r="H28" s="39" t="n">
        <f aca="false">IF(OR(F28="",F28=0),"",E28/F28)</f>
        <v>0.578656853725851</v>
      </c>
      <c r="I28" s="38" t="s">
        <v>90</v>
      </c>
      <c r="J28" s="40" t="n">
        <v>1.7411899431073</v>
      </c>
      <c r="K28" s="39" t="n">
        <f aca="false">IF(G28="","",MAX(0,G28-J28/100))</f>
        <v>0.403931246843076</v>
      </c>
      <c r="L28" s="39" t="n">
        <f aca="false">IF(G28="","",MIN(1,G28+J28/100))</f>
        <v>0.438755045705222</v>
      </c>
      <c r="M28" s="21" t="n">
        <f aca="false">ROUND(Q28*S28,0)</f>
        <v>76</v>
      </c>
      <c r="N28" s="21" t="n">
        <f aca="false">ROUND(SQRT((F28*J28/100)^2+(G28*M28)^2),0)</f>
        <v>50</v>
      </c>
      <c r="P28" s="41" t="n">
        <v>-2.222793585667</v>
      </c>
      <c r="Q28" s="42" t="n">
        <v>2174.31404272236</v>
      </c>
      <c r="R28" s="43" t="n">
        <f aca="false">MAX(0,MIN(1,P28/100+$D$5))</f>
        <v>0.421280835549134</v>
      </c>
      <c r="S28" s="43" t="n">
        <v>0.0350597310944791</v>
      </c>
      <c r="T28" s="44" t="s">
        <v>97</v>
      </c>
    </row>
    <row r="29" customFormat="false" ht="15" hidden="false" customHeight="false" outlineLevel="0" collapsed="false">
      <c r="A29" s="38" t="s">
        <v>87</v>
      </c>
      <c r="B29" s="38" t="s">
        <v>109</v>
      </c>
      <c r="C29" s="38" t="s">
        <v>89</v>
      </c>
      <c r="D29" s="21" t="n">
        <f aca="false">ROUND(Q29*R29,0)</f>
        <v>73</v>
      </c>
      <c r="E29" s="21" t="n">
        <f aca="false">ROUND(Q29,0)-D29</f>
        <v>136</v>
      </c>
      <c r="F29" s="21" t="n">
        <f aca="false">IF(COUNTA(D29:E29)=0,"",SUM(D29:E29))</f>
        <v>209</v>
      </c>
      <c r="G29" s="39" t="n">
        <f aca="false">IF(OR(F29="",F29=0),"",D29/F29)</f>
        <v>0.349282296650718</v>
      </c>
      <c r="H29" s="39" t="n">
        <f aca="false">IF(OR(F29="",F29=0),"",E29/F29)</f>
        <v>0.650717703349282</v>
      </c>
      <c r="I29" s="38" t="s">
        <v>90</v>
      </c>
      <c r="J29" s="40" t="n">
        <v>2.62223349707705</v>
      </c>
      <c r="K29" s="39" t="n">
        <f aca="false">IF(G29="","",MAX(0,G29-J29/100))</f>
        <v>0.323059961679947</v>
      </c>
      <c r="L29" s="39" t="n">
        <f aca="false">IF(G29="","",MIN(1,G29+J29/100))</f>
        <v>0.375504631621488</v>
      </c>
      <c r="M29" s="21" t="n">
        <f aca="false">ROUND(Q29*S29,0)</f>
        <v>29</v>
      </c>
      <c r="N29" s="21" t="n">
        <f aca="false">ROUND(SQRT((F29*J29/100)^2+(G29*M29)^2),0)</f>
        <v>12</v>
      </c>
      <c r="P29" s="41" t="n">
        <v>-9.42580241653222</v>
      </c>
      <c r="Q29" s="42" t="n">
        <v>208.618544681742</v>
      </c>
      <c r="R29" s="43" t="n">
        <f aca="false">MAX(0,MIN(1,P29/100+$D$5))</f>
        <v>0.349250747240482</v>
      </c>
      <c r="S29" s="43" t="n">
        <v>0.140730607711166</v>
      </c>
      <c r="T29" s="44" t="s">
        <v>91</v>
      </c>
    </row>
    <row r="30" customFormat="false" ht="15" hidden="false" customHeight="false" outlineLevel="0" collapsed="false">
      <c r="A30" s="38" t="s">
        <v>87</v>
      </c>
      <c r="B30" s="38" t="s">
        <v>110</v>
      </c>
      <c r="C30" s="38" t="s">
        <v>89</v>
      </c>
      <c r="D30" s="21" t="n">
        <f aca="false">ROUND(Q30*R30,0)</f>
        <v>1983</v>
      </c>
      <c r="E30" s="21" t="n">
        <f aca="false">ROUND(Q30,0)-D30</f>
        <v>2884</v>
      </c>
      <c r="F30" s="21" t="n">
        <f aca="false">IF(COUNTA(D30:E30)=0,"",SUM(D30:E30))</f>
        <v>4867</v>
      </c>
      <c r="G30" s="39" t="n">
        <f aca="false">IF(OR(F30="",F30=0),"",D30/F30)</f>
        <v>0.407437846722827</v>
      </c>
      <c r="H30" s="39" t="n">
        <f aca="false">IF(OR(F30="",F30=0),"",E30/F30)</f>
        <v>0.592562153277173</v>
      </c>
      <c r="I30" s="38" t="s">
        <v>90</v>
      </c>
      <c r="J30" s="40" t="n">
        <v>1.10503324994843</v>
      </c>
      <c r="K30" s="39" t="n">
        <f aca="false">IF(G30="","",MAX(0,G30-J30/100))</f>
        <v>0.396387514223343</v>
      </c>
      <c r="L30" s="39" t="n">
        <f aca="false">IF(G30="","",MIN(1,G30+J30/100))</f>
        <v>0.418488179222311</v>
      </c>
      <c r="M30" s="21" t="n">
        <f aca="false">ROUND(Q30*S30,0)</f>
        <v>224</v>
      </c>
      <c r="N30" s="21" t="n">
        <f aca="false">ROUND(SQRT((F30*J30/100)^2+(G30*M30)^2),0)</f>
        <v>106</v>
      </c>
      <c r="P30" s="41" t="n">
        <v>-3.60313983328634</v>
      </c>
      <c r="Q30" s="42" t="n">
        <v>4867.1310611209</v>
      </c>
      <c r="R30" s="43" t="n">
        <f aca="false">MAX(0,MIN(1,P30/100+$D$5))</f>
        <v>0.407477373072941</v>
      </c>
      <c r="S30" s="43" t="n">
        <v>0.0460569330366088</v>
      </c>
      <c r="T30" s="44" t="s">
        <v>111</v>
      </c>
    </row>
    <row r="31" customFormat="false" ht="15" hidden="false" customHeight="false" outlineLevel="0" collapsed="false">
      <c r="A31" s="38" t="s">
        <v>87</v>
      </c>
      <c r="B31" s="38" t="s">
        <v>112</v>
      </c>
      <c r="C31" s="38" t="s">
        <v>89</v>
      </c>
      <c r="D31" s="21" t="n">
        <f aca="false">ROUND(Q31*R31,0)</f>
        <v>643</v>
      </c>
      <c r="E31" s="21" t="n">
        <f aca="false">ROUND(Q31,0)-D31</f>
        <v>708</v>
      </c>
      <c r="F31" s="21" t="n">
        <f aca="false">IF(COUNTA(D31:E31)=0,"",SUM(D31:E31))</f>
        <v>1351</v>
      </c>
      <c r="G31" s="39" t="n">
        <f aca="false">IF(OR(F31="",F31=0),"",D31/F31)</f>
        <v>0.475943745373797</v>
      </c>
      <c r="H31" s="39" t="n">
        <f aca="false">IF(OR(F31="",F31=0),"",E31/F31)</f>
        <v>0.524056254626203</v>
      </c>
      <c r="I31" s="38" t="s">
        <v>90</v>
      </c>
      <c r="J31" s="40" t="n">
        <v>2.62223349707705</v>
      </c>
      <c r="K31" s="39" t="n">
        <f aca="false">IF(G31="","",MAX(0,G31-J31/100))</f>
        <v>0.449721410403027</v>
      </c>
      <c r="L31" s="39" t="n">
        <f aca="false">IF(G31="","",MIN(1,G31+J31/100))</f>
        <v>0.502166080344568</v>
      </c>
      <c r="M31" s="21" t="n">
        <f aca="false">ROUND(Q31*S31,0)</f>
        <v>190</v>
      </c>
      <c r="N31" s="21" t="n">
        <f aca="false">ROUND(SQRT((F31*J31/100)^2+(G31*M31)^2),0)</f>
        <v>97</v>
      </c>
      <c r="P31" s="41" t="n">
        <v>3.2323548980958</v>
      </c>
      <c r="Q31" s="42" t="n">
        <v>1351.36778428666</v>
      </c>
      <c r="R31" s="43" t="n">
        <f aca="false">MAX(0,MIN(1,P31/100+$D$5))</f>
        <v>0.475832320386762</v>
      </c>
      <c r="S31" s="43" t="n">
        <v>0.140730607711166</v>
      </c>
      <c r="T31" s="44" t="s">
        <v>91</v>
      </c>
    </row>
    <row r="32" customFormat="false" ht="15" hidden="false" customHeight="false" outlineLevel="0" collapsed="false">
      <c r="A32" s="38" t="s">
        <v>87</v>
      </c>
      <c r="B32" s="38" t="s">
        <v>113</v>
      </c>
      <c r="C32" s="38" t="s">
        <v>89</v>
      </c>
      <c r="D32" s="21" t="n">
        <f aca="false">ROUND(Q32*R32,0)</f>
        <v>815</v>
      </c>
      <c r="E32" s="21" t="n">
        <f aca="false">ROUND(Q32,0)-D32</f>
        <v>1601</v>
      </c>
      <c r="F32" s="21" t="n">
        <f aca="false">IF(COUNTA(D32:E32)=0,"",SUM(D32:E32))</f>
        <v>2416</v>
      </c>
      <c r="G32" s="39" t="n">
        <f aca="false">IF(OR(F32="",F32=0),"",D32/F32)</f>
        <v>0.337334437086093</v>
      </c>
      <c r="H32" s="39" t="n">
        <f aca="false">IF(OR(F32="",F32=0),"",E32/F32)</f>
        <v>0.662665562913907</v>
      </c>
      <c r="I32" s="38" t="s">
        <v>90</v>
      </c>
      <c r="J32" s="40" t="n">
        <v>1.7411899431073</v>
      </c>
      <c r="K32" s="39" t="n">
        <f aca="false">IF(G32="","",MAX(0,G32-J32/100))</f>
        <v>0.31992253765502</v>
      </c>
      <c r="L32" s="39" t="n">
        <f aca="false">IF(G32="","",MIN(1,G32+J32/100))</f>
        <v>0.354746336517166</v>
      </c>
      <c r="M32" s="21" t="n">
        <f aca="false">ROUND(Q32*S32,0)</f>
        <v>85</v>
      </c>
      <c r="N32" s="21" t="n">
        <f aca="false">ROUND(SQRT((F32*J32/100)^2+(G32*M32)^2),0)</f>
        <v>51</v>
      </c>
      <c r="P32" s="41" t="n">
        <v>-10.6048351863839</v>
      </c>
      <c r="Q32" s="42" t="n">
        <v>2416.16416284839</v>
      </c>
      <c r="R32" s="43" t="n">
        <f aca="false">MAX(0,MIN(1,P32/100+$D$5))</f>
        <v>0.337460419541965</v>
      </c>
      <c r="S32" s="43" t="n">
        <v>0.0350597310944791</v>
      </c>
      <c r="T32" s="44" t="s">
        <v>97</v>
      </c>
    </row>
    <row r="33" customFormat="false" ht="15" hidden="false" customHeight="false" outlineLevel="0" collapsed="false">
      <c r="A33" s="38" t="s">
        <v>87</v>
      </c>
      <c r="B33" s="38" t="s">
        <v>114</v>
      </c>
      <c r="C33" s="38" t="s">
        <v>89</v>
      </c>
      <c r="D33" s="21" t="n">
        <f aca="false">ROUND(Q33*R33,0)</f>
        <v>335</v>
      </c>
      <c r="E33" s="21" t="n">
        <f aca="false">ROUND(Q33,0)-D33</f>
        <v>685</v>
      </c>
      <c r="F33" s="21" t="n">
        <f aca="false">IF(COUNTA(D33:E33)=0,"",SUM(D33:E33))</f>
        <v>1020</v>
      </c>
      <c r="G33" s="39" t="n">
        <f aca="false">IF(OR(F33="",F33=0),"",D33/F33)</f>
        <v>0.32843137254902</v>
      </c>
      <c r="H33" s="39" t="n">
        <f aca="false">IF(OR(F33="",F33=0),"",E33/F33)</f>
        <v>0.67156862745098</v>
      </c>
      <c r="I33" s="38" t="s">
        <v>90</v>
      </c>
      <c r="J33" s="40" t="n">
        <v>2.62223349707705</v>
      </c>
      <c r="K33" s="39" t="n">
        <f aca="false">IF(G33="","",MAX(0,G33-J33/100))</f>
        <v>0.302209037578249</v>
      </c>
      <c r="L33" s="39" t="n">
        <f aca="false">IF(G33="","",MIN(1,G33+J33/100))</f>
        <v>0.35465370751979</v>
      </c>
      <c r="M33" s="21" t="n">
        <f aca="false">ROUND(Q33*S33,0)</f>
        <v>144</v>
      </c>
      <c r="N33" s="21" t="n">
        <f aca="false">ROUND(SQRT((F33*J33/100)^2+(G33*M33)^2),0)</f>
        <v>54</v>
      </c>
      <c r="P33" s="41" t="n">
        <v>-11.478866674356</v>
      </c>
      <c r="Q33" s="42" t="n">
        <v>1020.08248241486</v>
      </c>
      <c r="R33" s="43" t="n">
        <f aca="false">MAX(0,MIN(1,P33/100+$D$5))</f>
        <v>0.328720104662244</v>
      </c>
      <c r="S33" s="43" t="n">
        <v>0.140730607711166</v>
      </c>
      <c r="T33" s="44" t="s">
        <v>91</v>
      </c>
    </row>
    <row r="34" customFormat="false" ht="15" hidden="false" customHeight="false" outlineLevel="0" collapsed="false">
      <c r="A34" s="38" t="s">
        <v>87</v>
      </c>
      <c r="B34" s="38" t="s">
        <v>115</v>
      </c>
      <c r="C34" s="38" t="s">
        <v>89</v>
      </c>
      <c r="D34" s="21" t="n">
        <f aca="false">ROUND(Q34*R34,0)</f>
        <v>43</v>
      </c>
      <c r="E34" s="21" t="n">
        <f aca="false">ROUND(Q34,0)-D34</f>
        <v>69</v>
      </c>
      <c r="F34" s="21" t="n">
        <f aca="false">IF(COUNTA(D34:E34)=0,"",SUM(D34:E34))</f>
        <v>112</v>
      </c>
      <c r="G34" s="39" t="n">
        <f aca="false">IF(OR(F34="",F34=0),"",D34/F34)</f>
        <v>0.383928571428571</v>
      </c>
      <c r="H34" s="39" t="n">
        <f aca="false">IF(OR(F34="",F34=0),"",E34/F34)</f>
        <v>0.616071428571429</v>
      </c>
      <c r="I34" s="38" t="s">
        <v>90</v>
      </c>
      <c r="J34" s="40" t="n">
        <v>2.62223349707705</v>
      </c>
      <c r="K34" s="39" t="n">
        <f aca="false">IF(G34="","",MAX(0,G34-J34/100))</f>
        <v>0.357706236457801</v>
      </c>
      <c r="L34" s="39" t="n">
        <f aca="false">IF(G34="","",MIN(1,G34+J34/100))</f>
        <v>0.410150906399342</v>
      </c>
      <c r="M34" s="21" t="n">
        <f aca="false">ROUND(Q34*S34,0)</f>
        <v>16</v>
      </c>
      <c r="N34" s="21" t="n">
        <f aca="false">ROUND(SQRT((F34*J34/100)^2+(G34*M34)^2),0)</f>
        <v>7</v>
      </c>
      <c r="P34" s="41" t="n">
        <v>-5.9155774997644</v>
      </c>
      <c r="Q34" s="42" t="n">
        <v>112.400445497634</v>
      </c>
      <c r="R34" s="43" t="n">
        <f aca="false">MAX(0,MIN(1,P34/100+$D$5))</f>
        <v>0.38435299640816</v>
      </c>
      <c r="S34" s="43" t="n">
        <v>0.140730607711166</v>
      </c>
      <c r="T34" s="44" t="s">
        <v>91</v>
      </c>
    </row>
    <row r="35" customFormat="false" ht="15" hidden="false" customHeight="false" outlineLevel="0" collapsed="false">
      <c r="A35" s="38" t="s">
        <v>116</v>
      </c>
      <c r="B35" s="38" t="s">
        <v>117</v>
      </c>
      <c r="C35" s="38" t="s">
        <v>89</v>
      </c>
      <c r="D35" s="21" t="n">
        <f aca="false">ROUND(Q35*R35,0)</f>
        <v>586</v>
      </c>
      <c r="E35" s="21" t="n">
        <f aca="false">ROUND(Q35,0)-D35</f>
        <v>563</v>
      </c>
      <c r="F35" s="21" t="n">
        <f aca="false">IF(COUNTA(D35:E35)=0,"",SUM(D35:E35))</f>
        <v>1149</v>
      </c>
      <c r="G35" s="39" t="n">
        <f aca="false">IF(OR(F35="",F35=0),"",D35/F35)</f>
        <v>0.510008703220191</v>
      </c>
      <c r="H35" s="39" t="n">
        <f aca="false">IF(OR(F35="",F35=0),"",E35/F35)</f>
        <v>0.489991296779809</v>
      </c>
      <c r="I35" s="38" t="s">
        <v>90</v>
      </c>
      <c r="J35" s="40" t="n">
        <v>2.62223349707705</v>
      </c>
      <c r="K35" s="39" t="n">
        <f aca="false">IF(G35="","",MAX(0,G35-J35/100))</f>
        <v>0.483786368249421</v>
      </c>
      <c r="L35" s="39" t="n">
        <f aca="false">IF(G35="","",MIN(1,G35+J35/100))</f>
        <v>0.536231038190962</v>
      </c>
      <c r="M35" s="21" t="n">
        <f aca="false">ROUND(Q35*S35,0)</f>
        <v>162</v>
      </c>
      <c r="N35" s="21" t="n">
        <f aca="false">ROUND(SQRT((F35*J35/100)^2+(G35*M35)^2),0)</f>
        <v>88</v>
      </c>
      <c r="P35" s="41" t="n">
        <v>6.63929430084309</v>
      </c>
      <c r="Q35" s="42" t="n">
        <v>1149.19608154864</v>
      </c>
      <c r="R35" s="43" t="n">
        <f aca="false">MAX(0,MIN(1,P35/100+$D$5))</f>
        <v>0.509901714414235</v>
      </c>
      <c r="S35" s="43" t="n">
        <v>0.140730607711166</v>
      </c>
      <c r="T35" s="44" t="s">
        <v>91</v>
      </c>
    </row>
    <row r="36" customFormat="false" ht="15" hidden="false" customHeight="false" outlineLevel="0" collapsed="false">
      <c r="A36" s="38" t="s">
        <v>116</v>
      </c>
      <c r="B36" s="38" t="s">
        <v>118</v>
      </c>
      <c r="C36" s="38" t="s">
        <v>89</v>
      </c>
      <c r="D36" s="21" t="n">
        <f aca="false">ROUND(Q36*R36,0)</f>
        <v>17656</v>
      </c>
      <c r="E36" s="21" t="n">
        <f aca="false">ROUND(Q36,0)-D36</f>
        <v>7991</v>
      </c>
      <c r="F36" s="21" t="n">
        <f aca="false">IF(COUNTA(D36:E36)=0,"",SUM(D36:E36))</f>
        <v>25647</v>
      </c>
      <c r="G36" s="39" t="n">
        <f aca="false">IF(OR(F36="",F36=0),"",D36/F36)</f>
        <v>0.688423597301829</v>
      </c>
      <c r="H36" s="39" t="n">
        <f aca="false">IF(OR(F36="",F36=0),"",E36/F36)</f>
        <v>0.311576402698171</v>
      </c>
      <c r="I36" s="38" t="s">
        <v>90</v>
      </c>
      <c r="J36" s="40" t="n">
        <v>1.10503324994843</v>
      </c>
      <c r="K36" s="39" t="n">
        <f aca="false">IF(G36="","",MAX(0,G36-J36/100))</f>
        <v>0.677373264802344</v>
      </c>
      <c r="L36" s="39" t="n">
        <f aca="false">IF(G36="","",MIN(1,G36+J36/100))</f>
        <v>0.699473929801313</v>
      </c>
      <c r="M36" s="21" t="n">
        <f aca="false">ROUND(Q36*S36,0)</f>
        <v>1181</v>
      </c>
      <c r="N36" s="21" t="n">
        <f aca="false">ROUND(SQRT((F36*J36/100)^2+(G36*M36)^2),0)</f>
        <v>861</v>
      </c>
      <c r="P36" s="41" t="n">
        <v>24.4918421768058</v>
      </c>
      <c r="Q36" s="42" t="n">
        <v>25646.8655272255</v>
      </c>
      <c r="R36" s="43" t="n">
        <f aca="false">MAX(0,MIN(1,P36/100+$D$5))</f>
        <v>0.688427193173862</v>
      </c>
      <c r="S36" s="43" t="n">
        <v>0.0460569330366088</v>
      </c>
      <c r="T36" s="44" t="s">
        <v>111</v>
      </c>
    </row>
    <row r="37" customFormat="false" ht="15" hidden="false" customHeight="false" outlineLevel="0" collapsed="false">
      <c r="A37" s="38" t="s">
        <v>116</v>
      </c>
      <c r="B37" s="38" t="s">
        <v>119</v>
      </c>
      <c r="C37" s="38" t="s">
        <v>89</v>
      </c>
      <c r="D37" s="21" t="n">
        <f aca="false">ROUND(Q37*R37,0)</f>
        <v>5810</v>
      </c>
      <c r="E37" s="21" t="n">
        <f aca="false">ROUND(Q37,0)-D37</f>
        <v>2819</v>
      </c>
      <c r="F37" s="21" t="n">
        <f aca="false">IF(COUNTA(D37:E37)=0,"",SUM(D37:E37))</f>
        <v>8629</v>
      </c>
      <c r="G37" s="39" t="n">
        <f aca="false">IF(OR(F37="",F37=0),"",D37/F37)</f>
        <v>0.673310928265152</v>
      </c>
      <c r="H37" s="39" t="n">
        <f aca="false">IF(OR(F37="",F37=0),"",E37/F37)</f>
        <v>0.326689071734848</v>
      </c>
      <c r="I37" s="38" t="s">
        <v>90</v>
      </c>
      <c r="J37" s="40" t="n">
        <v>1.10503324994843</v>
      </c>
      <c r="K37" s="39" t="n">
        <f aca="false">IF(G37="","",MAX(0,G37-J37/100))</f>
        <v>0.662260595765668</v>
      </c>
      <c r="L37" s="39" t="n">
        <f aca="false">IF(G37="","",MIN(1,G37+J37/100))</f>
        <v>0.684361260764637</v>
      </c>
      <c r="M37" s="21" t="n">
        <f aca="false">ROUND(Q37*S37,0)</f>
        <v>397</v>
      </c>
      <c r="N37" s="21" t="n">
        <f aca="false">ROUND(SQRT((F37*J37/100)^2+(G37*M37)^2),0)</f>
        <v>284</v>
      </c>
      <c r="P37" s="41" t="n">
        <v>22.9885547010676</v>
      </c>
      <c r="Q37" s="42" t="n">
        <v>8628.57844616264</v>
      </c>
      <c r="R37" s="43" t="n">
        <f aca="false">MAX(0,MIN(1,P37/100+$D$5))</f>
        <v>0.67339431841648</v>
      </c>
      <c r="S37" s="43" t="n">
        <v>0.0460569330366088</v>
      </c>
      <c r="T37" s="44" t="s">
        <v>111</v>
      </c>
    </row>
    <row r="38" customFormat="false" ht="15" hidden="false" customHeight="false" outlineLevel="0" collapsed="false">
      <c r="A38" s="38" t="s">
        <v>116</v>
      </c>
      <c r="B38" s="38" t="s">
        <v>120</v>
      </c>
      <c r="C38" s="38" t="s">
        <v>89</v>
      </c>
      <c r="D38" s="21" t="n">
        <f aca="false">ROUND(Q38*R38,0)</f>
        <v>1276</v>
      </c>
      <c r="E38" s="21" t="n">
        <f aca="false">ROUND(Q38,0)-D38</f>
        <v>1032</v>
      </c>
      <c r="F38" s="21" t="n">
        <f aca="false">IF(COUNTA(D38:E38)=0,"",SUM(D38:E38))</f>
        <v>2308</v>
      </c>
      <c r="G38" s="39" t="n">
        <f aca="false">IF(OR(F38="",F38=0),"",D38/F38)</f>
        <v>0.552859618717504</v>
      </c>
      <c r="H38" s="39" t="n">
        <f aca="false">IF(OR(F38="",F38=0),"",E38/F38)</f>
        <v>0.447140381282496</v>
      </c>
      <c r="I38" s="38" t="s">
        <v>90</v>
      </c>
      <c r="J38" s="40" t="n">
        <v>1.7411899431073</v>
      </c>
      <c r="K38" s="39" t="n">
        <f aca="false">IF(G38="","",MAX(0,G38-J38/100))</f>
        <v>0.535447719286431</v>
      </c>
      <c r="L38" s="39" t="n">
        <f aca="false">IF(G38="","",MIN(1,G38+J38/100))</f>
        <v>0.570271518148577</v>
      </c>
      <c r="M38" s="21" t="n">
        <f aca="false">ROUND(Q38*S38,0)</f>
        <v>81</v>
      </c>
      <c r="N38" s="21" t="n">
        <f aca="false">ROUND(SQRT((F38*J38/100)^2+(G38*M38)^2),0)</f>
        <v>60</v>
      </c>
      <c r="P38" s="41" t="n">
        <v>10.9663414736809</v>
      </c>
      <c r="Q38" s="42" t="n">
        <v>2307.58104147781</v>
      </c>
      <c r="R38" s="43" t="n">
        <f aca="false">MAX(0,MIN(1,P38/100+$D$5))</f>
        <v>0.553172186142613</v>
      </c>
      <c r="S38" s="43" t="n">
        <v>0.0350597310944791</v>
      </c>
      <c r="T38" s="44" t="s">
        <v>97</v>
      </c>
    </row>
    <row r="39" customFormat="false" ht="15" hidden="false" customHeight="false" outlineLevel="0" collapsed="false">
      <c r="A39" s="38" t="s">
        <v>116</v>
      </c>
      <c r="B39" s="38" t="s">
        <v>121</v>
      </c>
      <c r="C39" s="38" t="s">
        <v>89</v>
      </c>
      <c r="D39" s="21" t="n">
        <f aca="false">ROUND(Q39*R39,0)</f>
        <v>716</v>
      </c>
      <c r="E39" s="21" t="n">
        <f aca="false">ROUND(Q39,0)-D39</f>
        <v>653</v>
      </c>
      <c r="F39" s="21" t="n">
        <f aca="false">IF(COUNTA(D39:E39)=0,"",SUM(D39:E39))</f>
        <v>1369</v>
      </c>
      <c r="G39" s="39" t="n">
        <f aca="false">IF(OR(F39="",F39=0),"",D39/F39)</f>
        <v>0.523009495982469</v>
      </c>
      <c r="H39" s="39" t="n">
        <f aca="false">IF(OR(F39="",F39=0),"",E39/F39)</f>
        <v>0.476990504017531</v>
      </c>
      <c r="I39" s="38" t="s">
        <v>90</v>
      </c>
      <c r="J39" s="40" t="n">
        <v>2.62223349707705</v>
      </c>
      <c r="K39" s="39" t="n">
        <f aca="false">IF(G39="","",MAX(0,G39-J39/100))</f>
        <v>0.496787161011698</v>
      </c>
      <c r="L39" s="39" t="n">
        <f aca="false">IF(G39="","",MIN(1,G39+J39/100))</f>
        <v>0.54923183095324</v>
      </c>
      <c r="M39" s="21" t="n">
        <f aca="false">ROUND(Q39*S39,0)</f>
        <v>193</v>
      </c>
      <c r="N39" s="21" t="n">
        <f aca="false">ROUND(SQRT((F39*J39/100)^2+(G39*M39)^2),0)</f>
        <v>107</v>
      </c>
      <c r="P39" s="41" t="n">
        <v>7.96030635921993</v>
      </c>
      <c r="Q39" s="42" t="n">
        <v>1368.89311380487</v>
      </c>
      <c r="R39" s="43" t="n">
        <f aca="false">MAX(0,MIN(1,P39/100+$D$5))</f>
        <v>0.523111834998003</v>
      </c>
      <c r="S39" s="43" t="n">
        <v>0.140730607711166</v>
      </c>
      <c r="T39" s="44" t="s">
        <v>91</v>
      </c>
    </row>
    <row r="40" customFormat="false" ht="15" hidden="false" customHeight="false" outlineLevel="0" collapsed="false">
      <c r="A40" s="38" t="s">
        <v>116</v>
      </c>
      <c r="B40" s="38" t="s">
        <v>122</v>
      </c>
      <c r="C40" s="38" t="s">
        <v>89</v>
      </c>
      <c r="D40" s="21" t="n">
        <f aca="false">ROUND(Q40*R40,0)</f>
        <v>792</v>
      </c>
      <c r="E40" s="21" t="n">
        <f aca="false">ROUND(Q40,0)-D40</f>
        <v>660</v>
      </c>
      <c r="F40" s="21" t="n">
        <f aca="false">IF(COUNTA(D40:E40)=0,"",SUM(D40:E40))</f>
        <v>1452</v>
      </c>
      <c r="G40" s="39" t="n">
        <f aca="false">IF(OR(F40="",F40=0),"",D40/F40)</f>
        <v>0.545454545454545</v>
      </c>
      <c r="H40" s="39" t="n">
        <f aca="false">IF(OR(F40="",F40=0),"",E40/F40)</f>
        <v>0.454545454545455</v>
      </c>
      <c r="I40" s="38" t="s">
        <v>90</v>
      </c>
      <c r="J40" s="40" t="n">
        <v>2.62223349707705</v>
      </c>
      <c r="K40" s="39" t="n">
        <f aca="false">IF(G40="","",MAX(0,G40-J40/100))</f>
        <v>0.519232210483775</v>
      </c>
      <c r="L40" s="39" t="n">
        <f aca="false">IF(G40="","",MIN(1,G40+J40/100))</f>
        <v>0.571676880425316</v>
      </c>
      <c r="M40" s="21" t="n">
        <f aca="false">ROUND(Q40*S40,0)</f>
        <v>204</v>
      </c>
      <c r="N40" s="21" t="n">
        <f aca="false">ROUND(SQRT((F40*J40/100)^2+(G40*M40)^2),0)</f>
        <v>118</v>
      </c>
      <c r="P40" s="41" t="n">
        <v>10.2120203859512</v>
      </c>
      <c r="Q40" s="42" t="n">
        <v>1452.43170755927</v>
      </c>
      <c r="R40" s="43" t="n">
        <f aca="false">MAX(0,MIN(1,P40/100+$D$5))</f>
        <v>0.545628975265316</v>
      </c>
      <c r="S40" s="43" t="n">
        <v>0.140730607711166</v>
      </c>
      <c r="T40" s="44" t="s">
        <v>91</v>
      </c>
    </row>
    <row r="41" customFormat="false" ht="15" hidden="false" customHeight="false" outlineLevel="0" collapsed="false">
      <c r="A41" s="38" t="s">
        <v>116</v>
      </c>
      <c r="B41" s="38" t="s">
        <v>123</v>
      </c>
      <c r="C41" s="38" t="s">
        <v>89</v>
      </c>
      <c r="D41" s="21" t="n">
        <f aca="false">ROUND(Q41*R41,0)</f>
        <v>3250</v>
      </c>
      <c r="E41" s="21" t="n">
        <f aca="false">ROUND(Q41,0)-D41</f>
        <v>2507</v>
      </c>
      <c r="F41" s="21" t="n">
        <f aca="false">IF(COUNTA(D41:E41)=0,"",SUM(D41:E41))</f>
        <v>5757</v>
      </c>
      <c r="G41" s="39" t="n">
        <f aca="false">IF(OR(F41="",F41=0),"",D41/F41)</f>
        <v>0.564530137224249</v>
      </c>
      <c r="H41" s="39" t="n">
        <f aca="false">IF(OR(F41="",F41=0),"",E41/F41)</f>
        <v>0.435469862775751</v>
      </c>
      <c r="I41" s="38" t="s">
        <v>90</v>
      </c>
      <c r="J41" s="40" t="n">
        <v>1.10503324994843</v>
      </c>
      <c r="K41" s="39" t="n">
        <f aca="false">IF(G41="","",MAX(0,G41-J41/100))</f>
        <v>0.553479804724764</v>
      </c>
      <c r="L41" s="39" t="n">
        <f aca="false">IF(G41="","",MIN(1,G41+J41/100))</f>
        <v>0.575580469723733</v>
      </c>
      <c r="M41" s="21" t="n">
        <f aca="false">ROUND(Q41*S41,0)</f>
        <v>265</v>
      </c>
      <c r="N41" s="21" t="n">
        <f aca="false">ROUND(SQRT((F41*J41/100)^2+(G41*M41)^2),0)</f>
        <v>163</v>
      </c>
      <c r="P41" s="41" t="n">
        <v>12.1004364161245</v>
      </c>
      <c r="Q41" s="42" t="n">
        <v>5756.7341327075</v>
      </c>
      <c r="R41" s="43" t="n">
        <f aca="false">MAX(0,MIN(1,P41/100+$D$5))</f>
        <v>0.564513135567049</v>
      </c>
      <c r="S41" s="43" t="n">
        <v>0.0460569330366088</v>
      </c>
      <c r="T41" s="44" t="s">
        <v>111</v>
      </c>
    </row>
    <row r="42" customFormat="false" ht="15" hidden="false" customHeight="false" outlineLevel="0" collapsed="false">
      <c r="A42" s="38" t="s">
        <v>116</v>
      </c>
      <c r="B42" s="38" t="s">
        <v>124</v>
      </c>
      <c r="C42" s="38" t="s">
        <v>89</v>
      </c>
      <c r="D42" s="21" t="n">
        <f aca="false">ROUND(Q42*R42,0)</f>
        <v>1169</v>
      </c>
      <c r="E42" s="21" t="n">
        <f aca="false">ROUND(Q42,0)-D42</f>
        <v>520</v>
      </c>
      <c r="F42" s="21" t="n">
        <f aca="false">IF(COUNTA(D42:E42)=0,"",SUM(D42:E42))</f>
        <v>1689</v>
      </c>
      <c r="G42" s="39" t="n">
        <f aca="false">IF(OR(F42="",F42=0),"",D42/F42)</f>
        <v>0.692125518058023</v>
      </c>
      <c r="H42" s="39" t="n">
        <f aca="false">IF(OR(F42="",F42=0),"",E42/F42)</f>
        <v>0.307874481941978</v>
      </c>
      <c r="I42" s="38" t="s">
        <v>90</v>
      </c>
      <c r="J42" s="40" t="n">
        <v>1.7411899431073</v>
      </c>
      <c r="K42" s="39" t="n">
        <f aca="false">IF(G42="","",MAX(0,G42-J42/100))</f>
        <v>0.67471361862695</v>
      </c>
      <c r="L42" s="39" t="n">
        <f aca="false">IF(G42="","",MIN(1,G42+J42/100))</f>
        <v>0.709537417489096</v>
      </c>
      <c r="M42" s="21" t="n">
        <f aca="false">ROUND(Q42*S42,0)</f>
        <v>59</v>
      </c>
      <c r="N42" s="21" t="n">
        <f aca="false">ROUND(SQRT((F42*J42/100)^2+(G42*M42)^2),0)</f>
        <v>50</v>
      </c>
      <c r="P42" s="41" t="n">
        <v>24.8378193040051</v>
      </c>
      <c r="Q42" s="42" t="n">
        <v>1689.10490590674</v>
      </c>
      <c r="R42" s="43" t="n">
        <f aca="false">MAX(0,MIN(1,P42/100+$D$5))</f>
        <v>0.691886964445855</v>
      </c>
      <c r="S42" s="43" t="n">
        <v>0.0350597310944791</v>
      </c>
      <c r="T42" s="44" t="s">
        <v>97</v>
      </c>
    </row>
    <row r="43" customFormat="false" ht="15" hidden="false" customHeight="false" outlineLevel="0" collapsed="false">
      <c r="A43" s="38" t="s">
        <v>116</v>
      </c>
      <c r="B43" s="38" t="s">
        <v>125</v>
      </c>
      <c r="C43" s="38" t="s">
        <v>89</v>
      </c>
      <c r="D43" s="21" t="n">
        <f aca="false">ROUND(Q43*R43,0)</f>
        <v>290</v>
      </c>
      <c r="E43" s="21" t="n">
        <f aca="false">ROUND(Q43,0)-D43</f>
        <v>219</v>
      </c>
      <c r="F43" s="21" t="n">
        <f aca="false">IF(COUNTA(D43:E43)=0,"",SUM(D43:E43))</f>
        <v>509</v>
      </c>
      <c r="G43" s="39" t="n">
        <f aca="false">IF(OR(F43="",F43=0),"",D43/F43)</f>
        <v>0.569744597249509</v>
      </c>
      <c r="H43" s="39" t="n">
        <f aca="false">IF(OR(F43="",F43=0),"",E43/F43)</f>
        <v>0.430255402750491</v>
      </c>
      <c r="I43" s="38" t="s">
        <v>90</v>
      </c>
      <c r="J43" s="40" t="n">
        <v>2.62223349707705</v>
      </c>
      <c r="K43" s="39" t="n">
        <f aca="false">IF(G43="","",MAX(0,G43-J43/100))</f>
        <v>0.543522262278738</v>
      </c>
      <c r="L43" s="39" t="n">
        <f aca="false">IF(G43="","",MIN(1,G43+J43/100))</f>
        <v>0.595966932220279</v>
      </c>
      <c r="M43" s="21" t="n">
        <f aca="false">ROUND(Q43*S43,0)</f>
        <v>72</v>
      </c>
      <c r="N43" s="21" t="n">
        <f aca="false">ROUND(SQRT((F43*J43/100)^2+(G43*M43)^2),0)</f>
        <v>43</v>
      </c>
      <c r="P43" s="41" t="n">
        <v>12.5765837353238</v>
      </c>
      <c r="Q43" s="42" t="n">
        <v>509.448182617606</v>
      </c>
      <c r="R43" s="43" t="n">
        <f aca="false">MAX(0,MIN(1,P43/100+$D$5))</f>
        <v>0.569274608759042</v>
      </c>
      <c r="S43" s="43" t="n">
        <v>0.140730607711166</v>
      </c>
      <c r="T43" s="44" t="s">
        <v>91</v>
      </c>
    </row>
    <row r="44" customFormat="false" ht="15" hidden="false" customHeight="false" outlineLevel="0" collapsed="false">
      <c r="A44" s="38" t="s">
        <v>116</v>
      </c>
      <c r="B44" s="38" t="s">
        <v>126</v>
      </c>
      <c r="C44" s="38" t="s">
        <v>89</v>
      </c>
      <c r="D44" s="21" t="n">
        <f aca="false">ROUND(Q44*R44,0)</f>
        <v>644</v>
      </c>
      <c r="E44" s="21" t="n">
        <f aca="false">ROUND(Q44,0)-D44</f>
        <v>1143</v>
      </c>
      <c r="F44" s="21" t="n">
        <f aca="false">IF(COUNTA(D44:E44)=0,"",SUM(D44:E44))</f>
        <v>1787</v>
      </c>
      <c r="G44" s="39" t="n">
        <f aca="false">IF(OR(F44="",F44=0),"",D44/F44)</f>
        <v>0.360380526021265</v>
      </c>
      <c r="H44" s="39" t="n">
        <f aca="false">IF(OR(F44="",F44=0),"",E44/F44)</f>
        <v>0.639619473978735</v>
      </c>
      <c r="I44" s="38" t="s">
        <v>90</v>
      </c>
      <c r="J44" s="40" t="n">
        <v>1.7411899431073</v>
      </c>
      <c r="K44" s="39" t="n">
        <f aca="false">IF(G44="","",MAX(0,G44-J44/100))</f>
        <v>0.342968626590192</v>
      </c>
      <c r="L44" s="39" t="n">
        <f aca="false">IF(G44="","",MIN(1,G44+J44/100))</f>
        <v>0.377792425452338</v>
      </c>
      <c r="M44" s="21" t="n">
        <f aca="false">ROUND(Q44*S44,0)</f>
        <v>63</v>
      </c>
      <c r="N44" s="21" t="n">
        <f aca="false">ROUND(SQRT((F44*J44/100)^2+(G44*M44)^2),0)</f>
        <v>39</v>
      </c>
      <c r="P44" s="41" t="n">
        <v>-8.33779942171289</v>
      </c>
      <c r="Q44" s="42" t="n">
        <v>1787.02148642985</v>
      </c>
      <c r="R44" s="43" t="n">
        <f aca="false">MAX(0,MIN(1,P44/100+$D$5))</f>
        <v>0.360130777188675</v>
      </c>
      <c r="S44" s="43" t="n">
        <v>0.0350597310944791</v>
      </c>
      <c r="T44" s="44" t="s">
        <v>97</v>
      </c>
    </row>
    <row r="45" customFormat="false" ht="15" hidden="false" customHeight="false" outlineLevel="0" collapsed="false">
      <c r="A45" s="38" t="s">
        <v>116</v>
      </c>
      <c r="B45" s="38" t="s">
        <v>127</v>
      </c>
      <c r="C45" s="38" t="s">
        <v>89</v>
      </c>
      <c r="D45" s="21" t="n">
        <f aca="false">ROUND(Q45*R45,0)</f>
        <v>9549</v>
      </c>
      <c r="E45" s="21" t="n">
        <f aca="false">ROUND(Q45,0)-D45</f>
        <v>8243</v>
      </c>
      <c r="F45" s="21" t="n">
        <f aca="false">IF(COUNTA(D45:E45)=0,"",SUM(D45:E45))</f>
        <v>17792</v>
      </c>
      <c r="G45" s="39" t="n">
        <f aca="false">IF(OR(F45="",F45=0),"",D45/F45)</f>
        <v>0.536701888489209</v>
      </c>
      <c r="H45" s="39" t="n">
        <f aca="false">IF(OR(F45="",F45=0),"",E45/F45)</f>
        <v>0.463298111510791</v>
      </c>
      <c r="I45" s="38" t="s">
        <v>90</v>
      </c>
      <c r="J45" s="40" t="n">
        <v>1.10503324994843</v>
      </c>
      <c r="K45" s="39" t="n">
        <f aca="false">IF(G45="","",MAX(0,G45-J45/100))</f>
        <v>0.525651555989724</v>
      </c>
      <c r="L45" s="39" t="n">
        <f aca="false">IF(G45="","",MIN(1,G45+J45/100))</f>
        <v>0.547752220988693</v>
      </c>
      <c r="M45" s="21" t="n">
        <f aca="false">ROUND(Q45*S45,0)</f>
        <v>819</v>
      </c>
      <c r="N45" s="21" t="n">
        <f aca="false">ROUND(SQRT((F45*J45/100)^2+(G45*M45)^2),0)</f>
        <v>482</v>
      </c>
      <c r="P45" s="41" t="n">
        <v>9.32028183110676</v>
      </c>
      <c r="Q45" s="42" t="n">
        <v>17792.3986141507</v>
      </c>
      <c r="R45" s="43" t="n">
        <f aca="false">MAX(0,MIN(1,P45/100+$D$5))</f>
        <v>0.536711589716872</v>
      </c>
      <c r="S45" s="43" t="n">
        <v>0.0460569330366088</v>
      </c>
      <c r="T45" s="44" t="s">
        <v>111</v>
      </c>
    </row>
    <row r="46" customFormat="false" ht="15" hidden="false" customHeight="false" outlineLevel="0" collapsed="false">
      <c r="A46" s="38" t="s">
        <v>116</v>
      </c>
      <c r="B46" s="38" t="s">
        <v>128</v>
      </c>
      <c r="C46" s="38" t="s">
        <v>89</v>
      </c>
      <c r="D46" s="21" t="n">
        <f aca="false">ROUND(Q46*R46,0)</f>
        <v>1020</v>
      </c>
      <c r="E46" s="21" t="n">
        <f aca="false">ROUND(Q46,0)-D46</f>
        <v>1410</v>
      </c>
      <c r="F46" s="21" t="n">
        <f aca="false">IF(COUNTA(D46:E46)=0,"",SUM(D46:E46))</f>
        <v>2430</v>
      </c>
      <c r="G46" s="39" t="n">
        <f aca="false">IF(OR(F46="",F46=0),"",D46/F46)</f>
        <v>0.419753086419753</v>
      </c>
      <c r="H46" s="39" t="n">
        <f aca="false">IF(OR(F46="",F46=0),"",E46/F46)</f>
        <v>0.580246913580247</v>
      </c>
      <c r="I46" s="38" t="s">
        <v>90</v>
      </c>
      <c r="J46" s="40" t="n">
        <v>1.7411899431073</v>
      </c>
      <c r="K46" s="39" t="n">
        <f aca="false">IF(G46="","",MAX(0,G46-J46/100))</f>
        <v>0.40234118698868</v>
      </c>
      <c r="L46" s="39" t="n">
        <f aca="false">IF(G46="","",MIN(1,G46+J46/100))</f>
        <v>0.437164985850826</v>
      </c>
      <c r="M46" s="21" t="n">
        <f aca="false">ROUND(Q46*S46,0)</f>
        <v>85</v>
      </c>
      <c r="N46" s="21" t="n">
        <f aca="false">ROUND(SQRT((F46*J46/100)^2+(G46*M46)^2),0)</f>
        <v>55</v>
      </c>
      <c r="P46" s="41" t="n">
        <v>-2.39429155498353</v>
      </c>
      <c r="Q46" s="42" t="n">
        <v>2430.32191827011</v>
      </c>
      <c r="R46" s="43" t="n">
        <f aca="false">MAX(0,MIN(1,P46/100+$D$5))</f>
        <v>0.419565855855969</v>
      </c>
      <c r="S46" s="43" t="n">
        <v>0.0350597310944791</v>
      </c>
      <c r="T46" s="44" t="s">
        <v>97</v>
      </c>
    </row>
    <row r="47" customFormat="false" ht="15" hidden="false" customHeight="false" outlineLevel="0" collapsed="false">
      <c r="A47" s="38" t="s">
        <v>116</v>
      </c>
      <c r="B47" s="38" t="s">
        <v>129</v>
      </c>
      <c r="C47" s="38" t="s">
        <v>89</v>
      </c>
      <c r="D47" s="21" t="n">
        <f aca="false">ROUND(Q47*R47,0)</f>
        <v>547</v>
      </c>
      <c r="E47" s="21" t="n">
        <f aca="false">ROUND(Q47,0)-D47</f>
        <v>814</v>
      </c>
      <c r="F47" s="21" t="n">
        <f aca="false">IF(COUNTA(D47:E47)=0,"",SUM(D47:E47))</f>
        <v>1361</v>
      </c>
      <c r="G47" s="39" t="n">
        <f aca="false">IF(OR(F47="",F47=0),"",D47/F47)</f>
        <v>0.40191036002939</v>
      </c>
      <c r="H47" s="39" t="n">
        <f aca="false">IF(OR(F47="",F47=0),"",E47/F47)</f>
        <v>0.59808963997061</v>
      </c>
      <c r="I47" s="38" t="s">
        <v>90</v>
      </c>
      <c r="J47" s="40" t="n">
        <v>2.62223349707705</v>
      </c>
      <c r="K47" s="39" t="n">
        <f aca="false">IF(G47="","",MAX(0,G47-J47/100))</f>
        <v>0.37568802505862</v>
      </c>
      <c r="L47" s="39" t="n">
        <f aca="false">IF(G47="","",MIN(1,G47+J47/100))</f>
        <v>0.428132695000161</v>
      </c>
      <c r="M47" s="21" t="n">
        <f aca="false">ROUND(Q47*S47,0)</f>
        <v>192</v>
      </c>
      <c r="N47" s="21" t="n">
        <f aca="false">ROUND(SQRT((F47*J47/100)^2+(G47*M47)^2),0)</f>
        <v>85</v>
      </c>
      <c r="P47" s="41" t="n">
        <v>-4.15615855709222</v>
      </c>
      <c r="Q47" s="42" t="n">
        <v>1361.01429554654</v>
      </c>
      <c r="R47" s="43" t="n">
        <f aca="false">MAX(0,MIN(1,P47/100+$D$5))</f>
        <v>0.401947185834882</v>
      </c>
      <c r="S47" s="43" t="n">
        <v>0.140730607711166</v>
      </c>
      <c r="T47" s="44" t="s">
        <v>91</v>
      </c>
    </row>
    <row r="48" customFormat="false" ht="15" hidden="false" customHeight="false" outlineLevel="0" collapsed="false">
      <c r="A48" s="38" t="s">
        <v>116</v>
      </c>
      <c r="B48" s="38" t="s">
        <v>130</v>
      </c>
      <c r="C48" s="38" t="s">
        <v>89</v>
      </c>
      <c r="D48" s="21" t="n">
        <f aca="false">ROUND(Q48*R48,0)</f>
        <v>871</v>
      </c>
      <c r="E48" s="21" t="n">
        <f aca="false">ROUND(Q48,0)-D48</f>
        <v>1538</v>
      </c>
      <c r="F48" s="21" t="n">
        <f aca="false">IF(COUNTA(D48:E48)=0,"",SUM(D48:E48))</f>
        <v>2409</v>
      </c>
      <c r="G48" s="39" t="n">
        <f aca="false">IF(OR(F48="",F48=0),"",D48/F48)</f>
        <v>0.361560813615608</v>
      </c>
      <c r="H48" s="39" t="n">
        <f aca="false">IF(OR(F48="",F48=0),"",E48/F48)</f>
        <v>0.638439186384392</v>
      </c>
      <c r="I48" s="38" t="s">
        <v>90</v>
      </c>
      <c r="J48" s="40" t="n">
        <v>1.7411899431073</v>
      </c>
      <c r="K48" s="39" t="n">
        <f aca="false">IF(G48="","",MAX(0,G48-J48/100))</f>
        <v>0.344148914184535</v>
      </c>
      <c r="L48" s="39" t="n">
        <f aca="false">IF(G48="","",MIN(1,G48+J48/100))</f>
        <v>0.378972713046681</v>
      </c>
      <c r="M48" s="21" t="n">
        <f aca="false">ROUND(Q48*S48,0)</f>
        <v>84</v>
      </c>
      <c r="N48" s="21" t="n">
        <f aca="false">ROUND(SQRT((F48*J48/100)^2+(G48*M48)^2),0)</f>
        <v>52</v>
      </c>
      <c r="P48" s="41" t="n">
        <v>-8.20169028404295</v>
      </c>
      <c r="Q48" s="42" t="n">
        <v>2409.46158664497</v>
      </c>
      <c r="R48" s="43" t="n">
        <f aca="false">MAX(0,MIN(1,P48/100+$D$5))</f>
        <v>0.361491868565375</v>
      </c>
      <c r="S48" s="43" t="n">
        <v>0.0350597310944791</v>
      </c>
      <c r="T48" s="44" t="s">
        <v>97</v>
      </c>
    </row>
    <row r="49" customFormat="false" ht="15" hidden="false" customHeight="false" outlineLevel="0" collapsed="false">
      <c r="A49" s="38" t="s">
        <v>116</v>
      </c>
      <c r="B49" s="38" t="s">
        <v>131</v>
      </c>
      <c r="C49" s="38" t="s">
        <v>89</v>
      </c>
      <c r="D49" s="21" t="n">
        <f aca="false">ROUND(Q49*R49,0)</f>
        <v>883</v>
      </c>
      <c r="E49" s="21" t="n">
        <f aca="false">ROUND(Q49,0)-D49</f>
        <v>697</v>
      </c>
      <c r="F49" s="21" t="n">
        <f aca="false">IF(COUNTA(D49:E49)=0,"",SUM(D49:E49))</f>
        <v>1580</v>
      </c>
      <c r="G49" s="39" t="n">
        <f aca="false">IF(OR(F49="",F49=0),"",D49/F49)</f>
        <v>0.558860759493671</v>
      </c>
      <c r="H49" s="39" t="n">
        <f aca="false">IF(OR(F49="",F49=0),"",E49/F49)</f>
        <v>0.441139240506329</v>
      </c>
      <c r="I49" s="38" t="s">
        <v>90</v>
      </c>
      <c r="J49" s="40" t="n">
        <v>1.7411899431073</v>
      </c>
      <c r="K49" s="39" t="n">
        <f aca="false">IF(G49="","",MAX(0,G49-J49/100))</f>
        <v>0.541448860062598</v>
      </c>
      <c r="L49" s="39" t="n">
        <f aca="false">IF(G49="","",MIN(1,G49+J49/100))</f>
        <v>0.576272658924744</v>
      </c>
      <c r="M49" s="21" t="n">
        <f aca="false">ROUND(Q49*S49,0)</f>
        <v>55</v>
      </c>
      <c r="N49" s="21" t="n">
        <f aca="false">ROUND(SQRT((F49*J49/100)^2+(G49*M49)^2),0)</f>
        <v>41</v>
      </c>
      <c r="P49" s="41" t="n">
        <v>11.5275797218019</v>
      </c>
      <c r="Q49" s="42" t="n">
        <v>1580.21104869947</v>
      </c>
      <c r="R49" s="43" t="n">
        <f aca="false">MAX(0,MIN(1,P49/100+$D$5))</f>
        <v>0.558784568623823</v>
      </c>
      <c r="S49" s="43" t="n">
        <v>0.0350597310944791</v>
      </c>
      <c r="T49" s="44" t="s">
        <v>97</v>
      </c>
    </row>
    <row r="50" customFormat="false" ht="15" hidden="false" customHeight="false" outlineLevel="0" collapsed="false">
      <c r="A50" s="38" t="s">
        <v>116</v>
      </c>
      <c r="B50" s="38" t="s">
        <v>132</v>
      </c>
      <c r="C50" s="38" t="s">
        <v>89</v>
      </c>
      <c r="D50" s="21" t="n">
        <f aca="false">ROUND(Q50*R50,0)</f>
        <v>3928</v>
      </c>
      <c r="E50" s="21" t="n">
        <f aca="false">ROUND(Q50,0)-D50</f>
        <v>4736</v>
      </c>
      <c r="F50" s="21" t="n">
        <f aca="false">IF(COUNTA(D50:E50)=0,"",SUM(D50:E50))</f>
        <v>8664</v>
      </c>
      <c r="G50" s="39" t="n">
        <f aca="false">IF(OR(F50="",F50=0),"",D50/F50)</f>
        <v>0.4533702677747</v>
      </c>
      <c r="H50" s="39" t="n">
        <f aca="false">IF(OR(F50="",F50=0),"",E50/F50)</f>
        <v>0.5466297322253</v>
      </c>
      <c r="I50" s="38" t="s">
        <v>90</v>
      </c>
      <c r="J50" s="40" t="n">
        <v>1.10503324994843</v>
      </c>
      <c r="K50" s="39" t="n">
        <f aca="false">IF(G50="","",MAX(0,G50-J50/100))</f>
        <v>0.442319935275216</v>
      </c>
      <c r="L50" s="39" t="n">
        <f aca="false">IF(G50="","",MIN(1,G50+J50/100))</f>
        <v>0.464420600274184</v>
      </c>
      <c r="M50" s="21" t="n">
        <f aca="false">ROUND(Q50*S50,0)</f>
        <v>399</v>
      </c>
      <c r="N50" s="21" t="n">
        <f aca="false">ROUND(SQRT((F50*J50/100)^2+(G50*M50)^2),0)</f>
        <v>205</v>
      </c>
      <c r="P50" s="41" t="n">
        <v>0.98237929005631</v>
      </c>
      <c r="Q50" s="42" t="n">
        <v>8663.89991743116</v>
      </c>
      <c r="R50" s="43" t="n">
        <f aca="false">MAX(0,MIN(1,P50/100+$D$5))</f>
        <v>0.453332564306367</v>
      </c>
      <c r="S50" s="43" t="n">
        <v>0.0460569330366088</v>
      </c>
      <c r="T50" s="44" t="s">
        <v>111</v>
      </c>
    </row>
    <row r="51" customFormat="false" ht="15" hidden="false" customHeight="false" outlineLevel="0" collapsed="false">
      <c r="A51" s="38" t="s">
        <v>116</v>
      </c>
      <c r="B51" s="38" t="s">
        <v>133</v>
      </c>
      <c r="C51" s="38" t="s">
        <v>89</v>
      </c>
      <c r="D51" s="21" t="n">
        <f aca="false">ROUND(Q51*R51,0)</f>
        <v>3774</v>
      </c>
      <c r="E51" s="21" t="n">
        <f aca="false">ROUND(Q51,0)-D51</f>
        <v>3287</v>
      </c>
      <c r="F51" s="21" t="n">
        <f aca="false">IF(COUNTA(D51:E51)=0,"",SUM(D51:E51))</f>
        <v>7061</v>
      </c>
      <c r="G51" s="39" t="n">
        <f aca="false">IF(OR(F51="",F51=0),"",D51/F51)</f>
        <v>0.534485200396544</v>
      </c>
      <c r="H51" s="39" t="n">
        <f aca="false">IF(OR(F51="",F51=0),"",E51/F51)</f>
        <v>0.465514799603456</v>
      </c>
      <c r="I51" s="38" t="s">
        <v>90</v>
      </c>
      <c r="J51" s="40" t="n">
        <v>1.10503324994843</v>
      </c>
      <c r="K51" s="39" t="n">
        <f aca="false">IF(G51="","",MAX(0,G51-J51/100))</f>
        <v>0.52343486789706</v>
      </c>
      <c r="L51" s="39" t="n">
        <f aca="false">IF(G51="","",MIN(1,G51+J51/100))</f>
        <v>0.545535532896029</v>
      </c>
      <c r="M51" s="21" t="n">
        <f aca="false">ROUND(Q51*S51,0)</f>
        <v>325</v>
      </c>
      <c r="N51" s="21" t="n">
        <f aca="false">ROUND(SQRT((F51*J51/100)^2+(G51*M51)^2),0)</f>
        <v>190</v>
      </c>
      <c r="P51" s="41" t="n">
        <v>9.09651864844943</v>
      </c>
      <c r="Q51" s="42" t="n">
        <v>7061.01706516263</v>
      </c>
      <c r="R51" s="43" t="n">
        <f aca="false">MAX(0,MIN(1,P51/100+$D$5))</f>
        <v>0.534473957890298</v>
      </c>
      <c r="S51" s="43" t="n">
        <v>0.0460569330366088</v>
      </c>
      <c r="T51" s="44" t="s">
        <v>111</v>
      </c>
    </row>
    <row r="52" customFormat="false" ht="15" hidden="false" customHeight="false" outlineLevel="0" collapsed="false">
      <c r="A52" s="38" t="s">
        <v>116</v>
      </c>
      <c r="B52" s="38" t="s">
        <v>134</v>
      </c>
      <c r="C52" s="38" t="s">
        <v>89</v>
      </c>
      <c r="D52" s="21" t="n">
        <f aca="false">ROUND(Q52*R52,0)</f>
        <v>691</v>
      </c>
      <c r="E52" s="21" t="n">
        <f aca="false">ROUND(Q52,0)-D52</f>
        <v>811</v>
      </c>
      <c r="F52" s="21" t="n">
        <f aca="false">IF(COUNTA(D52:E52)=0,"",SUM(D52:E52))</f>
        <v>1502</v>
      </c>
      <c r="G52" s="39" t="n">
        <f aca="false">IF(OR(F52="",F52=0),"",D52/F52)</f>
        <v>0.460053262316911</v>
      </c>
      <c r="H52" s="39" t="n">
        <f aca="false">IF(OR(F52="",F52=0),"",E52/F52)</f>
        <v>0.539946737683089</v>
      </c>
      <c r="I52" s="38" t="s">
        <v>90</v>
      </c>
      <c r="J52" s="40" t="n">
        <v>2.62223349707705</v>
      </c>
      <c r="K52" s="39" t="n">
        <f aca="false">IF(G52="","",MAX(0,G52-J52/100))</f>
        <v>0.43383092734614</v>
      </c>
      <c r="L52" s="39" t="n">
        <f aca="false">IF(G52="","",MIN(1,G52+J52/100))</f>
        <v>0.486275597287681</v>
      </c>
      <c r="M52" s="21" t="n">
        <f aca="false">ROUND(Q52*S52,0)</f>
        <v>211</v>
      </c>
      <c r="N52" s="21" t="n">
        <f aca="false">ROUND(SQRT((F52*J52/100)^2+(G52*M52)^2),0)</f>
        <v>105</v>
      </c>
      <c r="P52" s="41" t="n">
        <v>1.65869562536131</v>
      </c>
      <c r="Q52" s="42" t="n">
        <v>1501.6252826112</v>
      </c>
      <c r="R52" s="43" t="n">
        <f aca="false">MAX(0,MIN(1,P52/100+$D$5))</f>
        <v>0.460095727659417</v>
      </c>
      <c r="S52" s="43" t="n">
        <v>0.140730607711166</v>
      </c>
      <c r="T52" s="44" t="s">
        <v>91</v>
      </c>
    </row>
    <row r="53" customFormat="false" ht="15" hidden="false" customHeight="false" outlineLevel="0" collapsed="false">
      <c r="A53" s="38" t="s">
        <v>116</v>
      </c>
      <c r="B53" s="38" t="s">
        <v>135</v>
      </c>
      <c r="C53" s="38" t="s">
        <v>89</v>
      </c>
      <c r="D53" s="21" t="n">
        <f aca="false">ROUND(Q53*R53,0)</f>
        <v>6338</v>
      </c>
      <c r="E53" s="21" t="n">
        <f aca="false">ROUND(Q53,0)-D53</f>
        <v>4913</v>
      </c>
      <c r="F53" s="21" t="n">
        <f aca="false">IF(COUNTA(D53:E53)=0,"",SUM(D53:E53))</f>
        <v>11251</v>
      </c>
      <c r="G53" s="39" t="n">
        <f aca="false">IF(OR(F53="",F53=0),"",D53/F53)</f>
        <v>0.563327704204071</v>
      </c>
      <c r="H53" s="39" t="n">
        <f aca="false">IF(OR(F53="",F53=0),"",E53/F53)</f>
        <v>0.436672295795929</v>
      </c>
      <c r="I53" s="38" t="s">
        <v>90</v>
      </c>
      <c r="J53" s="40" t="n">
        <v>1.10503324994843</v>
      </c>
      <c r="K53" s="39" t="n">
        <f aca="false">IF(G53="","",MAX(0,G53-J53/100))</f>
        <v>0.552277371704587</v>
      </c>
      <c r="L53" s="39" t="n">
        <f aca="false">IF(G53="","",MIN(1,G53+J53/100))</f>
        <v>0.574378036703555</v>
      </c>
      <c r="M53" s="21" t="n">
        <f aca="false">ROUND(Q53*S53,0)</f>
        <v>518</v>
      </c>
      <c r="N53" s="21" t="n">
        <f aca="false">ROUND(SQRT((F53*J53/100)^2+(G53*M53)^2),0)</f>
        <v>317</v>
      </c>
      <c r="P53" s="41" t="n">
        <v>11.9833988618109</v>
      </c>
      <c r="Q53" s="42" t="n">
        <v>11250.8282226981</v>
      </c>
      <c r="R53" s="43" t="n">
        <f aca="false">MAX(0,MIN(1,P53/100+$D$5))</f>
        <v>0.563342760023913</v>
      </c>
      <c r="S53" s="43" t="n">
        <v>0.0460569330366088</v>
      </c>
      <c r="T53" s="44" t="s">
        <v>111</v>
      </c>
    </row>
    <row r="54" customFormat="false" ht="15" hidden="false" customHeight="false" outlineLevel="0" collapsed="false">
      <c r="A54" s="38" t="s">
        <v>116</v>
      </c>
      <c r="B54" s="38" t="s">
        <v>136</v>
      </c>
      <c r="C54" s="38" t="s">
        <v>89</v>
      </c>
      <c r="D54" s="21" t="n">
        <f aca="false">ROUND(Q54*R54,0)</f>
        <v>7139</v>
      </c>
      <c r="E54" s="21" t="n">
        <f aca="false">ROUND(Q54,0)-D54</f>
        <v>5738</v>
      </c>
      <c r="F54" s="21" t="n">
        <f aca="false">IF(COUNTA(D54:E54)=0,"",SUM(D54:E54))</f>
        <v>12877</v>
      </c>
      <c r="G54" s="39" t="n">
        <f aca="false">IF(OR(F54="",F54=0),"",D54/F54)</f>
        <v>0.554399316611012</v>
      </c>
      <c r="H54" s="39" t="n">
        <f aca="false">IF(OR(F54="",F54=0),"",E54/F54)</f>
        <v>0.445600683388988</v>
      </c>
      <c r="I54" s="38" t="s">
        <v>90</v>
      </c>
      <c r="J54" s="40" t="n">
        <v>1.10503324994843</v>
      </c>
      <c r="K54" s="39" t="n">
        <f aca="false">IF(G54="","",MAX(0,G54-J54/100))</f>
        <v>0.543348984111528</v>
      </c>
      <c r="L54" s="39" t="n">
        <f aca="false">IF(G54="","",MIN(1,G54+J54/100))</f>
        <v>0.565449649110496</v>
      </c>
      <c r="M54" s="21" t="n">
        <f aca="false">ROUND(Q54*S54,0)</f>
        <v>593</v>
      </c>
      <c r="N54" s="21" t="n">
        <f aca="false">ROUND(SQRT((F54*J54/100)^2+(G54*M54)^2),0)</f>
        <v>358</v>
      </c>
      <c r="P54" s="41" t="n">
        <v>11.0864197979405</v>
      </c>
      <c r="Q54" s="42" t="n">
        <v>12877.1975854233</v>
      </c>
      <c r="R54" s="43" t="n">
        <f aca="false">MAX(0,MIN(1,P54/100+$D$5))</f>
        <v>0.554372969385209</v>
      </c>
      <c r="S54" s="43" t="n">
        <v>0.0460569330366088</v>
      </c>
      <c r="T54" s="44" t="s">
        <v>111</v>
      </c>
    </row>
    <row r="55" customFormat="false" ht="15" hidden="false" customHeight="false" outlineLevel="0" collapsed="false">
      <c r="A55" s="38" t="s">
        <v>116</v>
      </c>
      <c r="B55" s="38" t="s">
        <v>137</v>
      </c>
      <c r="C55" s="38" t="s">
        <v>89</v>
      </c>
      <c r="D55" s="21" t="n">
        <f aca="false">ROUND(Q55*R55,0)</f>
        <v>2444</v>
      </c>
      <c r="E55" s="21" t="n">
        <f aca="false">ROUND(Q55,0)-D55</f>
        <v>2577</v>
      </c>
      <c r="F55" s="21" t="n">
        <f aca="false">IF(COUNTA(D55:E55)=0,"",SUM(D55:E55))</f>
        <v>5021</v>
      </c>
      <c r="G55" s="39" t="n">
        <f aca="false">IF(OR(F55="",F55=0),"",D55/F55)</f>
        <v>0.486755626369249</v>
      </c>
      <c r="H55" s="39" t="n">
        <f aca="false">IF(OR(F55="",F55=0),"",E55/F55)</f>
        <v>0.513244373630751</v>
      </c>
      <c r="I55" s="38" t="s">
        <v>90</v>
      </c>
      <c r="J55" s="40" t="n">
        <v>1.10503324994843</v>
      </c>
      <c r="K55" s="39" t="n">
        <f aca="false">IF(G55="","",MAX(0,G55-J55/100))</f>
        <v>0.475705293869765</v>
      </c>
      <c r="L55" s="39" t="n">
        <f aca="false">IF(G55="","",MIN(1,G55+J55/100))</f>
        <v>0.497805958868733</v>
      </c>
      <c r="M55" s="21" t="n">
        <f aca="false">ROUND(Q55*S55,0)</f>
        <v>231</v>
      </c>
      <c r="N55" s="21" t="n">
        <f aca="false">ROUND(SQRT((F55*J55/100)^2+(G55*M55)^2),0)</f>
        <v>125</v>
      </c>
      <c r="P55" s="41" t="n">
        <v>4.32752638825304</v>
      </c>
      <c r="Q55" s="42" t="n">
        <v>5021.45814691387</v>
      </c>
      <c r="R55" s="43" t="n">
        <f aca="false">MAX(0,MIN(1,P55/100+$D$5))</f>
        <v>0.486784035288334</v>
      </c>
      <c r="S55" s="43" t="n">
        <v>0.0460569330366088</v>
      </c>
      <c r="T55" s="44" t="s">
        <v>111</v>
      </c>
    </row>
    <row r="56" customFormat="false" ht="15" hidden="false" customHeight="false" outlineLevel="0" collapsed="false">
      <c r="A56" s="38" t="s">
        <v>116</v>
      </c>
      <c r="B56" s="38" t="s">
        <v>138</v>
      </c>
      <c r="C56" s="38" t="s">
        <v>89</v>
      </c>
      <c r="D56" s="21" t="n">
        <f aca="false">ROUND(Q56*R56,0)</f>
        <v>5234</v>
      </c>
      <c r="E56" s="21" t="n">
        <f aca="false">ROUND(Q56,0)-D56</f>
        <v>4629</v>
      </c>
      <c r="F56" s="21" t="n">
        <f aca="false">IF(COUNTA(D56:E56)=0,"",SUM(D56:E56))</f>
        <v>9863</v>
      </c>
      <c r="G56" s="39" t="n">
        <f aca="false">IF(OR(F56="",F56=0),"",D56/F56)</f>
        <v>0.530670181486363</v>
      </c>
      <c r="H56" s="39" t="n">
        <f aca="false">IF(OR(F56="",F56=0),"",E56/F56)</f>
        <v>0.469329818513637</v>
      </c>
      <c r="I56" s="38" t="s">
        <v>90</v>
      </c>
      <c r="J56" s="40" t="n">
        <v>1.10503324994843</v>
      </c>
      <c r="K56" s="39" t="n">
        <f aca="false">IF(G56="","",MAX(0,G56-J56/100))</f>
        <v>0.519619848986879</v>
      </c>
      <c r="L56" s="39" t="n">
        <f aca="false">IF(G56="","",MIN(1,G56+J56/100))</f>
        <v>0.541720513985847</v>
      </c>
      <c r="M56" s="21" t="n">
        <f aca="false">ROUND(Q56*S56,0)</f>
        <v>454</v>
      </c>
      <c r="N56" s="21" t="n">
        <f aca="false">ROUND(SQRT((F56*J56/100)^2+(G56*M56)^2),0)</f>
        <v>264</v>
      </c>
      <c r="P56" s="41" t="n">
        <v>8.72042198930291</v>
      </c>
      <c r="Q56" s="42" t="n">
        <v>9862.68394283508</v>
      </c>
      <c r="R56" s="43" t="n">
        <f aca="false">MAX(0,MIN(1,P56/100+$D$5))</f>
        <v>0.530712991298833</v>
      </c>
      <c r="S56" s="43" t="n">
        <v>0.0460569330366088</v>
      </c>
      <c r="T56" s="44" t="s">
        <v>111</v>
      </c>
    </row>
    <row r="57" customFormat="false" ht="15" hidden="false" customHeight="false" outlineLevel="0" collapsed="false">
      <c r="A57" s="38" t="s">
        <v>116</v>
      </c>
      <c r="B57" s="38" t="s">
        <v>139</v>
      </c>
      <c r="C57" s="38" t="s">
        <v>89</v>
      </c>
      <c r="D57" s="21" t="n">
        <f aca="false">ROUND(Q57*R57,0)</f>
        <v>1270</v>
      </c>
      <c r="E57" s="21" t="n">
        <f aca="false">ROUND(Q57,0)-D57</f>
        <v>2132</v>
      </c>
      <c r="F57" s="21" t="n">
        <f aca="false">IF(COUNTA(D57:E57)=0,"",SUM(D57:E57))</f>
        <v>3402</v>
      </c>
      <c r="G57" s="39" t="n">
        <f aca="false">IF(OR(F57="",F57=0),"",D57/F57)</f>
        <v>0.373309817754262</v>
      </c>
      <c r="H57" s="39" t="n">
        <f aca="false">IF(OR(F57="",F57=0),"",E57/F57)</f>
        <v>0.626690182245738</v>
      </c>
      <c r="I57" s="38" t="s">
        <v>90</v>
      </c>
      <c r="J57" s="40" t="n">
        <v>1.7411899431073</v>
      </c>
      <c r="K57" s="39" t="n">
        <f aca="false">IF(G57="","",MAX(0,G57-J57/100))</f>
        <v>0.355897918323189</v>
      </c>
      <c r="L57" s="39" t="n">
        <f aca="false">IF(G57="","",MIN(1,G57+J57/100))</f>
        <v>0.390721717185335</v>
      </c>
      <c r="M57" s="21" t="n">
        <f aca="false">ROUND(Q57*S57,0)</f>
        <v>119</v>
      </c>
      <c r="N57" s="21" t="n">
        <f aca="false">ROUND(SQRT((F57*J57/100)^2+(G57*M57)^2),0)</f>
        <v>74</v>
      </c>
      <c r="P57" s="41" t="n">
        <v>-7.00972360291473</v>
      </c>
      <c r="Q57" s="42" t="n">
        <v>3401.55282552383</v>
      </c>
      <c r="R57" s="43" t="n">
        <f aca="false">MAX(0,MIN(1,P57/100+$D$5))</f>
        <v>0.373411535376657</v>
      </c>
      <c r="S57" s="43" t="n">
        <v>0.0350597310944791</v>
      </c>
      <c r="T57" s="44" t="s">
        <v>97</v>
      </c>
    </row>
    <row r="58" customFormat="false" ht="15" hidden="false" customHeight="false" outlineLevel="0" collapsed="false">
      <c r="A58" s="38" t="s">
        <v>116</v>
      </c>
      <c r="B58" s="38" t="s">
        <v>140</v>
      </c>
      <c r="C58" s="38" t="s">
        <v>89</v>
      </c>
      <c r="D58" s="21" t="n">
        <f aca="false">ROUND(Q58*R58,0)</f>
        <v>1188</v>
      </c>
      <c r="E58" s="21" t="n">
        <f aca="false">ROUND(Q58,0)-D58</f>
        <v>1826</v>
      </c>
      <c r="F58" s="21" t="n">
        <f aca="false">IF(COUNTA(D58:E58)=0,"",SUM(D58:E58))</f>
        <v>3014</v>
      </c>
      <c r="G58" s="39" t="n">
        <f aca="false">IF(OR(F58="",F58=0),"",D58/F58)</f>
        <v>0.394160583941606</v>
      </c>
      <c r="H58" s="39" t="n">
        <f aca="false">IF(OR(F58="",F58=0),"",E58/F58)</f>
        <v>0.605839416058394</v>
      </c>
      <c r="I58" s="38" t="s">
        <v>90</v>
      </c>
      <c r="J58" s="40" t="n">
        <v>1.7411899431073</v>
      </c>
      <c r="K58" s="39" t="n">
        <f aca="false">IF(G58="","",MAX(0,G58-J58/100))</f>
        <v>0.376748684510533</v>
      </c>
      <c r="L58" s="39" t="n">
        <f aca="false">IF(G58="","",MIN(1,G58+J58/100))</f>
        <v>0.411572483372679</v>
      </c>
      <c r="M58" s="21" t="n">
        <f aca="false">ROUND(Q58*S58,0)</f>
        <v>106</v>
      </c>
      <c r="N58" s="21" t="n">
        <f aca="false">ROUND(SQRT((F58*J58/100)^2+(G58*M58)^2),0)</f>
        <v>67</v>
      </c>
      <c r="P58" s="41" t="n">
        <v>-4.92582213207067</v>
      </c>
      <c r="Q58" s="42" t="n">
        <v>3014.43335370229</v>
      </c>
      <c r="R58" s="43" t="n">
        <f aca="false">MAX(0,MIN(1,P58/100+$D$5))</f>
        <v>0.394250550085097</v>
      </c>
      <c r="S58" s="43" t="n">
        <v>0.0350597310944791</v>
      </c>
      <c r="T58" s="44" t="s">
        <v>97</v>
      </c>
    </row>
    <row r="59" customFormat="false" ht="15" hidden="false" customHeight="false" outlineLevel="0" collapsed="false">
      <c r="A59" s="38" t="s">
        <v>116</v>
      </c>
      <c r="B59" s="38" t="s">
        <v>141</v>
      </c>
      <c r="C59" s="38" t="s">
        <v>89</v>
      </c>
      <c r="D59" s="21" t="n">
        <f aca="false">ROUND(Q59*R59,0)</f>
        <v>6288</v>
      </c>
      <c r="E59" s="21" t="n">
        <f aca="false">ROUND(Q59,0)-D59</f>
        <v>5123</v>
      </c>
      <c r="F59" s="21" t="n">
        <f aca="false">IF(COUNTA(D59:E59)=0,"",SUM(D59:E59))</f>
        <v>11411</v>
      </c>
      <c r="G59" s="39" t="n">
        <f aca="false">IF(OR(F59="",F59=0),"",D59/F59)</f>
        <v>0.551047235124003</v>
      </c>
      <c r="H59" s="39" t="n">
        <f aca="false">IF(OR(F59="",F59=0),"",E59/F59)</f>
        <v>0.448952764875997</v>
      </c>
      <c r="I59" s="38" t="s">
        <v>90</v>
      </c>
      <c r="J59" s="40" t="n">
        <v>1.10503324994843</v>
      </c>
      <c r="K59" s="39" t="n">
        <f aca="false">IF(G59="","",MAX(0,G59-J59/100))</f>
        <v>0.539996902624519</v>
      </c>
      <c r="L59" s="39" t="n">
        <f aca="false">IF(G59="","",MIN(1,G59+J59/100))</f>
        <v>0.562097567623487</v>
      </c>
      <c r="M59" s="21" t="n">
        <f aca="false">ROUND(Q59*S59,0)</f>
        <v>526</v>
      </c>
      <c r="N59" s="21" t="n">
        <f aca="false">ROUND(SQRT((F59*J59/100)^2+(G59*M59)^2),0)</f>
        <v>316</v>
      </c>
      <c r="P59" s="41" t="n">
        <v>10.7568567922539</v>
      </c>
      <c r="Q59" s="42" t="n">
        <v>11410.852647267</v>
      </c>
      <c r="R59" s="43" t="n">
        <f aca="false">MAX(0,MIN(1,P59/100+$D$5))</f>
        <v>0.551077339328343</v>
      </c>
      <c r="S59" s="43" t="n">
        <v>0.0460569330366088</v>
      </c>
      <c r="T59" s="44" t="s">
        <v>111</v>
      </c>
    </row>
    <row r="60" customFormat="false" ht="15" hidden="false" customHeight="false" outlineLevel="0" collapsed="false">
      <c r="A60" s="38" t="s">
        <v>142</v>
      </c>
      <c r="B60" s="38" t="s">
        <v>143</v>
      </c>
      <c r="C60" s="38" t="s">
        <v>89</v>
      </c>
      <c r="D60" s="21" t="n">
        <f aca="false">ROUND(Q60*R60,0)</f>
        <v>475</v>
      </c>
      <c r="E60" s="21" t="n">
        <f aca="false">ROUND(Q60,0)-D60</f>
        <v>886</v>
      </c>
      <c r="F60" s="21" t="n">
        <f aca="false">IF(COUNTA(D60:E60)=0,"",SUM(D60:E60))</f>
        <v>1361</v>
      </c>
      <c r="G60" s="39" t="n">
        <f aca="false">IF(OR(F60="",F60=0),"",D60/F60)</f>
        <v>0.349008082292432</v>
      </c>
      <c r="H60" s="39" t="n">
        <f aca="false">IF(OR(F60="",F60=0),"",E60/F60)</f>
        <v>0.650991917707568</v>
      </c>
      <c r="I60" s="38" t="s">
        <v>90</v>
      </c>
      <c r="J60" s="40" t="n">
        <v>2.62223349707705</v>
      </c>
      <c r="K60" s="39" t="n">
        <f aca="false">IF(G60="","",MAX(0,G60-J60/100))</f>
        <v>0.322785747321662</v>
      </c>
      <c r="L60" s="39" t="n">
        <f aca="false">IF(G60="","",MIN(1,G60+J60/100))</f>
        <v>0.375230417263203</v>
      </c>
      <c r="M60" s="21" t="n">
        <f aca="false">ROUND(Q60*S60,0)</f>
        <v>192</v>
      </c>
      <c r="N60" s="21" t="n">
        <f aca="false">ROUND(SQRT((F60*J60/100)^2+(G60*M60)^2),0)</f>
        <v>76</v>
      </c>
      <c r="P60" s="41" t="n">
        <v>-9.43130270698304</v>
      </c>
      <c r="Q60" s="42" t="n">
        <v>1360.77109418787</v>
      </c>
      <c r="R60" s="43" t="n">
        <f aca="false">MAX(0,MIN(1,P60/100+$D$5))</f>
        <v>0.349195744335974</v>
      </c>
      <c r="S60" s="43" t="n">
        <v>0.140730607711166</v>
      </c>
      <c r="T60" s="44" t="s">
        <v>91</v>
      </c>
    </row>
    <row r="61" customFormat="false" ht="15" hidden="false" customHeight="false" outlineLevel="0" collapsed="false">
      <c r="A61" s="38" t="s">
        <v>142</v>
      </c>
      <c r="B61" s="38" t="s">
        <v>144</v>
      </c>
      <c r="C61" s="38" t="s">
        <v>89</v>
      </c>
      <c r="D61" s="21" t="n">
        <f aca="false">ROUND(Q61*R61,0)</f>
        <v>1314</v>
      </c>
      <c r="E61" s="21" t="n">
        <f aca="false">ROUND(Q61,0)-D61</f>
        <v>2189</v>
      </c>
      <c r="F61" s="21" t="n">
        <f aca="false">IF(COUNTA(D61:E61)=0,"",SUM(D61:E61))</f>
        <v>3503</v>
      </c>
      <c r="G61" s="39" t="n">
        <f aca="false">IF(OR(F61="",F61=0),"",D61/F61)</f>
        <v>0.375107051099058</v>
      </c>
      <c r="H61" s="39" t="n">
        <f aca="false">IF(OR(F61="",F61=0),"",E61/F61)</f>
        <v>0.624892948900942</v>
      </c>
      <c r="I61" s="38" t="s">
        <v>90</v>
      </c>
      <c r="J61" s="40" t="n">
        <v>1.7411899431073</v>
      </c>
      <c r="K61" s="39" t="n">
        <f aca="false">IF(G61="","",MAX(0,G61-J61/100))</f>
        <v>0.357695151667985</v>
      </c>
      <c r="L61" s="39" t="n">
        <f aca="false">IF(G61="","",MIN(1,G61+J61/100))</f>
        <v>0.392518950530131</v>
      </c>
      <c r="M61" s="21" t="n">
        <f aca="false">ROUND(Q61*S61,0)</f>
        <v>123</v>
      </c>
      <c r="N61" s="21" t="n">
        <f aca="false">ROUND(SQRT((F61*J61/100)^2+(G61*M61)^2),0)</f>
        <v>76</v>
      </c>
      <c r="P61" s="41" t="n">
        <v>-6.83094079255657</v>
      </c>
      <c r="Q61" s="42" t="n">
        <v>3503.30141400125</v>
      </c>
      <c r="R61" s="43" t="n">
        <f aca="false">MAX(0,MIN(1,P61/100+$D$5))</f>
        <v>0.375199363480238</v>
      </c>
      <c r="S61" s="43" t="n">
        <v>0.0350597310944791</v>
      </c>
      <c r="T61" s="44" t="s">
        <v>97</v>
      </c>
    </row>
    <row r="62" customFormat="false" ht="15" hidden="false" customHeight="false" outlineLevel="0" collapsed="false">
      <c r="A62" s="38" t="s">
        <v>142</v>
      </c>
      <c r="B62" s="38" t="s">
        <v>145</v>
      </c>
      <c r="C62" s="38" t="s">
        <v>89</v>
      </c>
      <c r="D62" s="21" t="n">
        <f aca="false">ROUND(Q62*R62,0)</f>
        <v>484</v>
      </c>
      <c r="E62" s="21" t="n">
        <f aca="false">ROUND(Q62,0)-D62</f>
        <v>798</v>
      </c>
      <c r="F62" s="21" t="n">
        <f aca="false">IF(COUNTA(D62:E62)=0,"",SUM(D62:E62))</f>
        <v>1282</v>
      </c>
      <c r="G62" s="39" t="n">
        <f aca="false">IF(OR(F62="",F62=0),"",D62/F62)</f>
        <v>0.377535101404056</v>
      </c>
      <c r="H62" s="39" t="n">
        <f aca="false">IF(OR(F62="",F62=0),"",E62/F62)</f>
        <v>0.622464898595944</v>
      </c>
      <c r="I62" s="38" t="s">
        <v>90</v>
      </c>
      <c r="J62" s="40" t="n">
        <v>2.62223349707705</v>
      </c>
      <c r="K62" s="39" t="n">
        <f aca="false">IF(G62="","",MAX(0,G62-J62/100))</f>
        <v>0.351312766433286</v>
      </c>
      <c r="L62" s="39" t="n">
        <f aca="false">IF(G62="","",MIN(1,G62+J62/100))</f>
        <v>0.403757436374827</v>
      </c>
      <c r="M62" s="21" t="n">
        <f aca="false">ROUND(Q62*S62,0)</f>
        <v>180</v>
      </c>
      <c r="N62" s="21" t="n">
        <f aca="false">ROUND(SQRT((F62*J62/100)^2+(G62*M62)^2),0)</f>
        <v>76</v>
      </c>
      <c r="P62" s="41" t="n">
        <v>-6.60127786290231</v>
      </c>
      <c r="Q62" s="42" t="n">
        <v>1281.87197163283</v>
      </c>
      <c r="R62" s="43" t="n">
        <f aca="false">MAX(0,MIN(1,P62/100+$D$5))</f>
        <v>0.377495992776781</v>
      </c>
      <c r="S62" s="43" t="n">
        <v>0.140730607711166</v>
      </c>
      <c r="T62" s="44" t="s">
        <v>91</v>
      </c>
    </row>
    <row r="63" customFormat="false" ht="15" hidden="false" customHeight="false" outlineLevel="0" collapsed="false">
      <c r="A63" s="38" t="s">
        <v>146</v>
      </c>
      <c r="B63" s="38" t="s">
        <v>147</v>
      </c>
      <c r="C63" s="38" t="s">
        <v>89</v>
      </c>
      <c r="D63" s="21" t="n">
        <f aca="false">ROUND(Q63*R63,0)</f>
        <v>1440</v>
      </c>
      <c r="E63" s="21" t="n">
        <f aca="false">ROUND(Q63,0)-D63</f>
        <v>1559</v>
      </c>
      <c r="F63" s="21" t="n">
        <f aca="false">IF(COUNTA(D63:E63)=0,"",SUM(D63:E63))</f>
        <v>2999</v>
      </c>
      <c r="G63" s="39" t="n">
        <f aca="false">IF(OR(F63="",F63=0),"",D63/F63)</f>
        <v>0.480160053351117</v>
      </c>
      <c r="H63" s="39" t="n">
        <f aca="false">IF(OR(F63="",F63=0),"",E63/F63)</f>
        <v>0.519839946648883</v>
      </c>
      <c r="I63" s="38" t="s">
        <v>90</v>
      </c>
      <c r="J63" s="40" t="n">
        <v>1.7411899431073</v>
      </c>
      <c r="K63" s="39" t="n">
        <f aca="false">IF(G63="","",MAX(0,G63-J63/100))</f>
        <v>0.462748153920044</v>
      </c>
      <c r="L63" s="39" t="n">
        <f aca="false">IF(G63="","",MIN(1,G63+J63/100))</f>
        <v>0.49757195278219</v>
      </c>
      <c r="M63" s="21" t="n">
        <f aca="false">ROUND(Q63*S63,0)</f>
        <v>105</v>
      </c>
      <c r="N63" s="21" t="n">
        <f aca="false">ROUND(SQRT((F63*J63/100)^2+(G63*M63)^2),0)</f>
        <v>73</v>
      </c>
      <c r="P63" s="41" t="n">
        <v>3.66414055623079</v>
      </c>
      <c r="Q63" s="42" t="n">
        <v>2999.19776475569</v>
      </c>
      <c r="R63" s="43" t="n">
        <f aca="false">MAX(0,MIN(1,P63/100+$D$5))</f>
        <v>0.480150176968112</v>
      </c>
      <c r="S63" s="43" t="n">
        <v>0.0350597310944791</v>
      </c>
      <c r="T63" s="44" t="s">
        <v>97</v>
      </c>
    </row>
    <row r="64" customFormat="false" ht="15" hidden="false" customHeight="false" outlineLevel="0" collapsed="false">
      <c r="A64" s="38" t="s">
        <v>146</v>
      </c>
      <c r="B64" s="38" t="s">
        <v>148</v>
      </c>
      <c r="C64" s="38" t="s">
        <v>89</v>
      </c>
      <c r="D64" s="21" t="n">
        <f aca="false">ROUND(Q64*R64,0)</f>
        <v>890</v>
      </c>
      <c r="E64" s="21" t="n">
        <f aca="false">ROUND(Q64,0)-D64</f>
        <v>1075</v>
      </c>
      <c r="F64" s="21" t="n">
        <f aca="false">IF(COUNTA(D64:E64)=0,"",SUM(D64:E64))</f>
        <v>1965</v>
      </c>
      <c r="G64" s="39" t="n">
        <f aca="false">IF(OR(F64="",F64=0),"",D64/F64)</f>
        <v>0.4529262086514</v>
      </c>
      <c r="H64" s="39" t="n">
        <f aca="false">IF(OR(F64="",F64=0),"",E64/F64)</f>
        <v>0.547073791348601</v>
      </c>
      <c r="I64" s="38" t="s">
        <v>90</v>
      </c>
      <c r="J64" s="40" t="n">
        <v>1.7411899431073</v>
      </c>
      <c r="K64" s="39" t="n">
        <f aca="false">IF(G64="","",MAX(0,G64-J64/100))</f>
        <v>0.435514309220327</v>
      </c>
      <c r="L64" s="39" t="n">
        <f aca="false">IF(G64="","",MIN(1,G64+J64/100))</f>
        <v>0.470338108082472</v>
      </c>
      <c r="M64" s="21" t="n">
        <f aca="false">ROUND(Q64*S64,0)</f>
        <v>69</v>
      </c>
      <c r="N64" s="21" t="n">
        <f aca="false">ROUND(SQRT((F64*J64/100)^2+(G64*M64)^2),0)</f>
        <v>46</v>
      </c>
      <c r="P64" s="41" t="n">
        <v>0.928642348984009</v>
      </c>
      <c r="Q64" s="42" t="n">
        <v>1965.23850666114</v>
      </c>
      <c r="R64" s="43" t="n">
        <f aca="false">MAX(0,MIN(1,P64/100+$D$5))</f>
        <v>0.452795194895644</v>
      </c>
      <c r="S64" s="43" t="n">
        <v>0.0350597310944791</v>
      </c>
      <c r="T64" s="44" t="s">
        <v>97</v>
      </c>
    </row>
    <row r="65" customFormat="false" ht="15" hidden="false" customHeight="false" outlineLevel="0" collapsed="false">
      <c r="A65" s="38" t="s">
        <v>146</v>
      </c>
      <c r="B65" s="38" t="s">
        <v>149</v>
      </c>
      <c r="C65" s="38" t="s">
        <v>89</v>
      </c>
      <c r="D65" s="21" t="n">
        <f aca="false">ROUND(Q65*R65,0)</f>
        <v>539</v>
      </c>
      <c r="E65" s="21" t="n">
        <f aca="false">ROUND(Q65,0)-D65</f>
        <v>525</v>
      </c>
      <c r="F65" s="21" t="n">
        <f aca="false">IF(COUNTA(D65:E65)=0,"",SUM(D65:E65))</f>
        <v>1064</v>
      </c>
      <c r="G65" s="39" t="n">
        <f aca="false">IF(OR(F65="",F65=0),"",D65/F65)</f>
        <v>0.506578947368421</v>
      </c>
      <c r="H65" s="39" t="n">
        <f aca="false">IF(OR(F65="",F65=0),"",E65/F65)</f>
        <v>0.493421052631579</v>
      </c>
      <c r="I65" s="38" t="s">
        <v>90</v>
      </c>
      <c r="J65" s="40" t="n">
        <v>2.62223349707705</v>
      </c>
      <c r="K65" s="39" t="n">
        <f aca="false">IF(G65="","",MAX(0,G65-J65/100))</f>
        <v>0.480356612397651</v>
      </c>
      <c r="L65" s="39" t="n">
        <f aca="false">IF(G65="","",MIN(1,G65+J65/100))</f>
        <v>0.532801282339192</v>
      </c>
      <c r="M65" s="21" t="n">
        <f aca="false">ROUND(Q65*S65,0)</f>
        <v>150</v>
      </c>
      <c r="N65" s="21" t="n">
        <f aca="false">ROUND(SQRT((F65*J65/100)^2+(G65*M65)^2),0)</f>
        <v>81</v>
      </c>
      <c r="P65" s="41" t="n">
        <v>6.33406560905899</v>
      </c>
      <c r="Q65" s="42" t="n">
        <v>1064.09393423403</v>
      </c>
      <c r="R65" s="43" t="n">
        <f aca="false">MAX(0,MIN(1,P65/100+$D$5))</f>
        <v>0.506849427496394</v>
      </c>
      <c r="S65" s="43" t="n">
        <v>0.140730607711166</v>
      </c>
      <c r="T65" s="44" t="s">
        <v>91</v>
      </c>
    </row>
    <row r="66" customFormat="false" ht="15" hidden="false" customHeight="false" outlineLevel="0" collapsed="false">
      <c r="A66" s="38" t="s">
        <v>146</v>
      </c>
      <c r="B66" s="38" t="s">
        <v>119</v>
      </c>
      <c r="C66" s="38" t="s">
        <v>89</v>
      </c>
      <c r="D66" s="21" t="n">
        <f aca="false">ROUND(Q66*R66,0)</f>
        <v>13390</v>
      </c>
      <c r="E66" s="21" t="n">
        <f aca="false">ROUND(Q66,0)-D66</f>
        <v>5686</v>
      </c>
      <c r="F66" s="21" t="n">
        <f aca="false">IF(COUNTA(D66:E66)=0,"",SUM(D66:E66))</f>
        <v>19076</v>
      </c>
      <c r="G66" s="39" t="n">
        <f aca="false">IF(OR(F66="",F66=0),"",D66/F66)</f>
        <v>0.701929125602852</v>
      </c>
      <c r="H66" s="39" t="n">
        <f aca="false">IF(OR(F66="",F66=0),"",E66/F66)</f>
        <v>0.298070874397148</v>
      </c>
      <c r="I66" s="38" t="s">
        <v>90</v>
      </c>
      <c r="J66" s="40" t="n">
        <v>1.10503324994843</v>
      </c>
      <c r="K66" s="39" t="n">
        <f aca="false">IF(G66="","",MAX(0,G66-J66/100))</f>
        <v>0.690878793103367</v>
      </c>
      <c r="L66" s="39" t="n">
        <f aca="false">IF(G66="","",MIN(1,G66+J66/100))</f>
        <v>0.712979458102336</v>
      </c>
      <c r="M66" s="21" t="n">
        <f aca="false">ROUND(Q66*S66,0)</f>
        <v>879</v>
      </c>
      <c r="N66" s="21" t="n">
        <f aca="false">ROUND(SQRT((F66*J66/100)^2+(G66*M66)^2),0)</f>
        <v>652</v>
      </c>
      <c r="P66" s="41" t="n">
        <v>25.8412911276482</v>
      </c>
      <c r="Q66" s="42" t="n">
        <v>19075.6548355454</v>
      </c>
      <c r="R66" s="43" t="n">
        <f aca="false">MAX(0,MIN(1,P66/100+$D$5))</f>
        <v>0.701921682682286</v>
      </c>
      <c r="S66" s="43" t="n">
        <v>0.0460569330366088</v>
      </c>
      <c r="T66" s="44" t="s">
        <v>111</v>
      </c>
    </row>
    <row r="67" customFormat="false" ht="15" hidden="false" customHeight="false" outlineLevel="0" collapsed="false">
      <c r="A67" s="38" t="s">
        <v>146</v>
      </c>
      <c r="B67" s="38" t="s">
        <v>150</v>
      </c>
      <c r="C67" s="38" t="s">
        <v>89</v>
      </c>
      <c r="D67" s="21" t="n">
        <f aca="false">ROUND(Q67*R67,0)</f>
        <v>7682</v>
      </c>
      <c r="E67" s="21" t="n">
        <f aca="false">ROUND(Q67,0)-D67</f>
        <v>5990</v>
      </c>
      <c r="F67" s="21" t="n">
        <f aca="false">IF(COUNTA(D67:E67)=0,"",SUM(D67:E67))</f>
        <v>13672</v>
      </c>
      <c r="G67" s="39" t="n">
        <f aca="false">IF(OR(F67="",F67=0),"",D67/F67)</f>
        <v>0.561878291398479</v>
      </c>
      <c r="H67" s="39" t="n">
        <f aca="false">IF(OR(F67="",F67=0),"",E67/F67)</f>
        <v>0.438121708601521</v>
      </c>
      <c r="I67" s="38" t="s">
        <v>90</v>
      </c>
      <c r="J67" s="40" t="n">
        <v>1.10503324994843</v>
      </c>
      <c r="K67" s="39" t="n">
        <f aca="false">IF(G67="","",MAX(0,G67-J67/100))</f>
        <v>0.550827958898994</v>
      </c>
      <c r="L67" s="39" t="n">
        <f aca="false">IF(G67="","",MIN(1,G67+J67/100))</f>
        <v>0.572928623897963</v>
      </c>
      <c r="M67" s="21" t="n">
        <f aca="false">ROUND(Q67*S67,0)</f>
        <v>630</v>
      </c>
      <c r="N67" s="21" t="n">
        <f aca="false">ROUND(SQRT((F67*J67/100)^2+(G67*M67)^2),0)</f>
        <v>385</v>
      </c>
      <c r="P67" s="41" t="n">
        <v>11.8398644588889</v>
      </c>
      <c r="Q67" s="42" t="n">
        <v>13671.852378794</v>
      </c>
      <c r="R67" s="43" t="n">
        <f aca="false">MAX(0,MIN(1,P67/100+$D$5))</f>
        <v>0.561907415994693</v>
      </c>
      <c r="S67" s="43" t="n">
        <v>0.0460569330366088</v>
      </c>
      <c r="T67" s="44" t="s">
        <v>111</v>
      </c>
    </row>
    <row r="68" customFormat="false" ht="15" hidden="false" customHeight="false" outlineLevel="0" collapsed="false">
      <c r="A68" s="38" t="s">
        <v>146</v>
      </c>
      <c r="B68" s="38" t="s">
        <v>151</v>
      </c>
      <c r="C68" s="38" t="s">
        <v>89</v>
      </c>
      <c r="D68" s="21" t="n">
        <f aca="false">ROUND(Q68*R68,0)</f>
        <v>2107</v>
      </c>
      <c r="E68" s="21" t="n">
        <f aca="false">ROUND(Q68,0)-D68</f>
        <v>2812</v>
      </c>
      <c r="F68" s="21" t="n">
        <f aca="false">IF(COUNTA(D68:E68)=0,"",SUM(D68:E68))</f>
        <v>4919</v>
      </c>
      <c r="G68" s="39" t="n">
        <f aca="false">IF(OR(F68="",F68=0),"",D68/F68)</f>
        <v>0.428339093311649</v>
      </c>
      <c r="H68" s="39" t="n">
        <f aca="false">IF(OR(F68="",F68=0),"",E68/F68)</f>
        <v>0.571660906688351</v>
      </c>
      <c r="I68" s="38" t="s">
        <v>90</v>
      </c>
      <c r="J68" s="40" t="n">
        <v>1.10503324994843</v>
      </c>
      <c r="K68" s="39" t="n">
        <f aca="false">IF(G68="","",MAX(0,G68-J68/100))</f>
        <v>0.417288760812164</v>
      </c>
      <c r="L68" s="39" t="n">
        <f aca="false">IF(G68="","",MIN(1,G68+J68/100))</f>
        <v>0.439389425811133</v>
      </c>
      <c r="M68" s="21" t="n">
        <f aca="false">ROUND(Q68*S68,0)</f>
        <v>227</v>
      </c>
      <c r="N68" s="21" t="n">
        <f aca="false">ROUND(SQRT((F68*J68/100)^2+(G68*M68)^2),0)</f>
        <v>111</v>
      </c>
      <c r="P68" s="41" t="n">
        <v>-1.51408736946939</v>
      </c>
      <c r="Q68" s="42" t="n">
        <v>4918.92521549305</v>
      </c>
      <c r="R68" s="43" t="n">
        <f aca="false">MAX(0,MIN(1,P68/100+$D$5))</f>
        <v>0.42836789771111</v>
      </c>
      <c r="S68" s="43" t="n">
        <v>0.0460569330366088</v>
      </c>
      <c r="T68" s="44" t="s">
        <v>111</v>
      </c>
    </row>
    <row r="69" customFormat="false" ht="15" hidden="false" customHeight="false" outlineLevel="0" collapsed="false">
      <c r="A69" s="38" t="s">
        <v>146</v>
      </c>
      <c r="B69" s="38" t="s">
        <v>152</v>
      </c>
      <c r="C69" s="38" t="s">
        <v>89</v>
      </c>
      <c r="D69" s="21" t="n">
        <f aca="false">ROUND(Q69*R69,0)</f>
        <v>39</v>
      </c>
      <c r="E69" s="21" t="n">
        <f aca="false">ROUND(Q69,0)-D69</f>
        <v>62</v>
      </c>
      <c r="F69" s="21" t="n">
        <f aca="false">IF(COUNTA(D69:E69)=0,"",SUM(D69:E69))</f>
        <v>101</v>
      </c>
      <c r="G69" s="39" t="n">
        <f aca="false">IF(OR(F69="",F69=0),"",D69/F69)</f>
        <v>0.386138613861386</v>
      </c>
      <c r="H69" s="39" t="n">
        <f aca="false">IF(OR(F69="",F69=0),"",E69/F69)</f>
        <v>0.613861386138614</v>
      </c>
      <c r="I69" s="38" t="s">
        <v>90</v>
      </c>
      <c r="J69" s="40" t="n">
        <v>2.62223349707705</v>
      </c>
      <c r="K69" s="39" t="n">
        <f aca="false">IF(G69="","",MAX(0,G69-J69/100))</f>
        <v>0.359916278890616</v>
      </c>
      <c r="L69" s="39" t="n">
        <f aca="false">IF(G69="","",MIN(1,G69+J69/100))</f>
        <v>0.412360948832157</v>
      </c>
      <c r="M69" s="21" t="n">
        <f aca="false">ROUND(Q69*S69,0)</f>
        <v>14</v>
      </c>
      <c r="N69" s="21" t="n">
        <f aca="false">ROUND(SQRT((F69*J69/100)^2+(G69*M69)^2),0)</f>
        <v>6</v>
      </c>
      <c r="P69" s="41" t="n">
        <v>-5.35723724984915</v>
      </c>
      <c r="Q69" s="42" t="n">
        <v>100.70713021542</v>
      </c>
      <c r="R69" s="43" t="n">
        <f aca="false">MAX(0,MIN(1,P69/100+$D$5))</f>
        <v>0.389936398907313</v>
      </c>
      <c r="S69" s="43" t="n">
        <v>0.140730607711166</v>
      </c>
      <c r="T69" s="44" t="s">
        <v>91</v>
      </c>
    </row>
    <row r="70" customFormat="false" ht="15" hidden="false" customHeight="false" outlineLevel="0" collapsed="false">
      <c r="A70" s="38" t="s">
        <v>146</v>
      </c>
      <c r="B70" s="38" t="s">
        <v>153</v>
      </c>
      <c r="C70" s="38" t="s">
        <v>89</v>
      </c>
      <c r="D70" s="21" t="n">
        <f aca="false">ROUND(Q70*R70,0)</f>
        <v>1370</v>
      </c>
      <c r="E70" s="21" t="n">
        <f aca="false">ROUND(Q70,0)-D70</f>
        <v>1533</v>
      </c>
      <c r="F70" s="21" t="n">
        <f aca="false">IF(COUNTA(D70:E70)=0,"",SUM(D70:E70))</f>
        <v>2903</v>
      </c>
      <c r="G70" s="39" t="n">
        <f aca="false">IF(OR(F70="",F70=0),"",D70/F70)</f>
        <v>0.471925594212883</v>
      </c>
      <c r="H70" s="39" t="n">
        <f aca="false">IF(OR(F70="",F70=0),"",E70/F70)</f>
        <v>0.528074405787117</v>
      </c>
      <c r="I70" s="38" t="s">
        <v>90</v>
      </c>
      <c r="J70" s="40" t="n">
        <v>1.7411899431073</v>
      </c>
      <c r="K70" s="39" t="n">
        <f aca="false">IF(G70="","",MAX(0,G70-J70/100))</f>
        <v>0.45451369478181</v>
      </c>
      <c r="L70" s="39" t="n">
        <f aca="false">IF(G70="","",MIN(1,G70+J70/100))</f>
        <v>0.489337493643956</v>
      </c>
      <c r="M70" s="21" t="n">
        <f aca="false">ROUND(Q70*S70,0)</f>
        <v>102</v>
      </c>
      <c r="N70" s="21" t="n">
        <f aca="false">ROUND(SQRT((F70*J70/100)^2+(G70*M70)^2),0)</f>
        <v>70</v>
      </c>
      <c r="P70" s="41" t="n">
        <v>2.84353863089873</v>
      </c>
      <c r="Q70" s="42" t="n">
        <v>2903.3605046699</v>
      </c>
      <c r="R70" s="43" t="n">
        <f aca="false">MAX(0,MIN(1,P70/100+$D$5))</f>
        <v>0.471944157714791</v>
      </c>
      <c r="S70" s="43" t="n">
        <v>0.0350597310944791</v>
      </c>
      <c r="T70" s="44" t="s">
        <v>97</v>
      </c>
    </row>
    <row r="71" customFormat="false" ht="15" hidden="false" customHeight="false" outlineLevel="0" collapsed="false">
      <c r="A71" s="38" t="s">
        <v>146</v>
      </c>
      <c r="B71" s="38" t="s">
        <v>154</v>
      </c>
      <c r="C71" s="38" t="s">
        <v>89</v>
      </c>
      <c r="D71" s="21" t="n">
        <f aca="false">ROUND(Q71*R71,0)</f>
        <v>177</v>
      </c>
      <c r="E71" s="21" t="n">
        <f aca="false">ROUND(Q71,0)-D71</f>
        <v>224</v>
      </c>
      <c r="F71" s="21" t="n">
        <f aca="false">IF(COUNTA(D71:E71)=0,"",SUM(D71:E71))</f>
        <v>401</v>
      </c>
      <c r="G71" s="39" t="n">
        <f aca="false">IF(OR(F71="",F71=0),"",D71/F71)</f>
        <v>0.44139650872818</v>
      </c>
      <c r="H71" s="39" t="n">
        <f aca="false">IF(OR(F71="",F71=0),"",E71/F71)</f>
        <v>0.55860349127182</v>
      </c>
      <c r="I71" s="38" t="s">
        <v>90</v>
      </c>
      <c r="J71" s="40" t="n">
        <v>2.62223349707705</v>
      </c>
      <c r="K71" s="39" t="n">
        <f aca="false">IF(G71="","",MAX(0,G71-J71/100))</f>
        <v>0.415174173757409</v>
      </c>
      <c r="L71" s="39" t="n">
        <f aca="false">IF(G71="","",MIN(1,G71+J71/100))</f>
        <v>0.46761884369895</v>
      </c>
      <c r="M71" s="21" t="n">
        <f aca="false">ROUND(Q71*S71,0)</f>
        <v>56</v>
      </c>
      <c r="N71" s="21" t="n">
        <f aca="false">ROUND(SQRT((F71*J71/100)^2+(G71*M71)^2),0)</f>
        <v>27</v>
      </c>
      <c r="P71" s="41" t="n">
        <v>-0.208646432843695</v>
      </c>
      <c r="Q71" s="42" t="n">
        <v>400.611762753524</v>
      </c>
      <c r="R71" s="43" t="n">
        <f aca="false">MAX(0,MIN(1,P71/100+$D$5))</f>
        <v>0.441422307077367</v>
      </c>
      <c r="S71" s="43" t="n">
        <v>0.140730607711166</v>
      </c>
      <c r="T71" s="44" t="s">
        <v>91</v>
      </c>
    </row>
    <row r="72" customFormat="false" ht="15" hidden="false" customHeight="false" outlineLevel="0" collapsed="false">
      <c r="A72" s="38" t="s">
        <v>146</v>
      </c>
      <c r="B72" s="38" t="s">
        <v>155</v>
      </c>
      <c r="C72" s="38" t="s">
        <v>89</v>
      </c>
      <c r="D72" s="21" t="n">
        <f aca="false">ROUND(Q72*R72,0)</f>
        <v>5592</v>
      </c>
      <c r="E72" s="21" t="n">
        <f aca="false">ROUND(Q72,0)-D72</f>
        <v>2231</v>
      </c>
      <c r="F72" s="21" t="n">
        <f aca="false">IF(COUNTA(D72:E72)=0,"",SUM(D72:E72))</f>
        <v>7823</v>
      </c>
      <c r="G72" s="39" t="n">
        <f aca="false">IF(OR(F72="",F72=0),"",D72/F72)</f>
        <v>0.714815288252589</v>
      </c>
      <c r="H72" s="39" t="n">
        <f aca="false">IF(OR(F72="",F72=0),"",E72/F72)</f>
        <v>0.285184711747412</v>
      </c>
      <c r="I72" s="38" t="s">
        <v>90</v>
      </c>
      <c r="J72" s="40" t="n">
        <v>1.10503324994843</v>
      </c>
      <c r="K72" s="39" t="n">
        <f aca="false">IF(G72="","",MAX(0,G72-J72/100))</f>
        <v>0.703764955753104</v>
      </c>
      <c r="L72" s="39" t="n">
        <f aca="false">IF(G72="","",MIN(1,G72+J72/100))</f>
        <v>0.725865620752073</v>
      </c>
      <c r="M72" s="21" t="n">
        <f aca="false">ROUND(Q72*S72,0)</f>
        <v>360</v>
      </c>
      <c r="N72" s="21" t="n">
        <f aca="false">ROUND(SQRT((F72*J72/100)^2+(G72*M72)^2),0)</f>
        <v>271</v>
      </c>
      <c r="P72" s="41" t="n">
        <v>27.1323571494524</v>
      </c>
      <c r="Q72" s="42" t="n">
        <v>7823.37923872159</v>
      </c>
      <c r="R72" s="43" t="n">
        <f aca="false">MAX(0,MIN(1,P72/100+$D$5))</f>
        <v>0.714832342900329</v>
      </c>
      <c r="S72" s="43" t="n">
        <v>0.0460569330366088</v>
      </c>
      <c r="T72" s="44" t="s">
        <v>111</v>
      </c>
    </row>
    <row r="73" customFormat="false" ht="15" hidden="false" customHeight="false" outlineLevel="0" collapsed="false">
      <c r="A73" s="38" t="s">
        <v>146</v>
      </c>
      <c r="B73" s="38" t="s">
        <v>156</v>
      </c>
      <c r="C73" s="38" t="s">
        <v>89</v>
      </c>
      <c r="D73" s="21" t="n">
        <f aca="false">ROUND(Q73*R73,0)</f>
        <v>4884</v>
      </c>
      <c r="E73" s="21" t="n">
        <f aca="false">ROUND(Q73,0)-D73</f>
        <v>3926</v>
      </c>
      <c r="F73" s="21" t="n">
        <f aca="false">IF(COUNTA(D73:E73)=0,"",SUM(D73:E73))</f>
        <v>8810</v>
      </c>
      <c r="G73" s="39" t="n">
        <f aca="false">IF(OR(F73="",F73=0),"",D73/F73)</f>
        <v>0.554370034052213</v>
      </c>
      <c r="H73" s="39" t="n">
        <f aca="false">IF(OR(F73="",F73=0),"",E73/F73)</f>
        <v>0.445629965947787</v>
      </c>
      <c r="I73" s="38" t="s">
        <v>90</v>
      </c>
      <c r="J73" s="40" t="n">
        <v>1.10503324994843</v>
      </c>
      <c r="K73" s="39" t="n">
        <f aca="false">IF(G73="","",MAX(0,G73-J73/100))</f>
        <v>0.543319701552729</v>
      </c>
      <c r="L73" s="39" t="n">
        <f aca="false">IF(G73="","",MIN(1,G73+J73/100))</f>
        <v>0.565420366551698</v>
      </c>
      <c r="M73" s="21" t="n">
        <f aca="false">ROUND(Q73*S73,0)</f>
        <v>406</v>
      </c>
      <c r="N73" s="21" t="n">
        <f aca="false">ROUND(SQRT((F73*J73/100)^2+(G73*M73)^2),0)</f>
        <v>245</v>
      </c>
      <c r="P73" s="41" t="n">
        <v>11.0893205746994</v>
      </c>
      <c r="Q73" s="42" t="n">
        <v>8810.3011418425</v>
      </c>
      <c r="R73" s="43" t="n">
        <f aca="false">MAX(0,MIN(1,P73/100+$D$5))</f>
        <v>0.554401977152798</v>
      </c>
      <c r="S73" s="43" t="n">
        <v>0.0460569330366088</v>
      </c>
      <c r="T73" s="44" t="s">
        <v>111</v>
      </c>
    </row>
    <row r="74" customFormat="false" ht="15" hidden="false" customHeight="false" outlineLevel="0" collapsed="false">
      <c r="A74" s="38" t="s">
        <v>146</v>
      </c>
      <c r="B74" s="38" t="s">
        <v>157</v>
      </c>
      <c r="C74" s="38" t="s">
        <v>89</v>
      </c>
      <c r="D74" s="21" t="n">
        <f aca="false">ROUND(Q74*R74,0)</f>
        <v>518</v>
      </c>
      <c r="E74" s="21" t="n">
        <f aca="false">ROUND(Q74,0)-D74</f>
        <v>308</v>
      </c>
      <c r="F74" s="21" t="n">
        <f aca="false">IF(COUNTA(D74:E74)=0,"",SUM(D74:E74))</f>
        <v>826</v>
      </c>
      <c r="G74" s="39" t="n">
        <f aca="false">IF(OR(F74="",F74=0),"",D74/F74)</f>
        <v>0.627118644067797</v>
      </c>
      <c r="H74" s="39" t="n">
        <f aca="false">IF(OR(F74="",F74=0),"",E74/F74)</f>
        <v>0.372881355932203</v>
      </c>
      <c r="I74" s="38" t="s">
        <v>90</v>
      </c>
      <c r="J74" s="40" t="n">
        <v>2.62223349707705</v>
      </c>
      <c r="K74" s="39" t="n">
        <f aca="false">IF(G74="","",MAX(0,G74-J74/100))</f>
        <v>0.600896309097026</v>
      </c>
      <c r="L74" s="39" t="n">
        <f aca="false">IF(G74="","",MIN(1,G74+J74/100))</f>
        <v>0.653340979038567</v>
      </c>
      <c r="M74" s="21" t="n">
        <f aca="false">ROUND(Q74*S74,0)</f>
        <v>116</v>
      </c>
      <c r="N74" s="21" t="n">
        <f aca="false">ROUND(SQRT((F74*J74/100)^2+(G74*M74)^2),0)</f>
        <v>76</v>
      </c>
      <c r="P74" s="41" t="n">
        <v>18.4491978849235</v>
      </c>
      <c r="Q74" s="42" t="n">
        <v>825.504900134237</v>
      </c>
      <c r="R74" s="43" t="n">
        <f aca="false">MAX(0,MIN(1,P74/100+$D$5))</f>
        <v>0.628000750255039</v>
      </c>
      <c r="S74" s="43" t="n">
        <v>0.140730607711166</v>
      </c>
      <c r="T74" s="44" t="s">
        <v>91</v>
      </c>
    </row>
    <row r="75" customFormat="false" ht="15" hidden="false" customHeight="false" outlineLevel="0" collapsed="false">
      <c r="A75" s="38" t="s">
        <v>146</v>
      </c>
      <c r="B75" s="38" t="s">
        <v>158</v>
      </c>
      <c r="C75" s="38" t="s">
        <v>89</v>
      </c>
      <c r="D75" s="21" t="n">
        <f aca="false">ROUND(Q75*R75,0)</f>
        <v>86</v>
      </c>
      <c r="E75" s="21" t="n">
        <f aca="false">ROUND(Q75,0)-D75</f>
        <v>71</v>
      </c>
      <c r="F75" s="21" t="n">
        <f aca="false">IF(COUNTA(D75:E75)=0,"",SUM(D75:E75))</f>
        <v>157</v>
      </c>
      <c r="G75" s="39" t="n">
        <f aca="false">IF(OR(F75="",F75=0),"",D75/F75)</f>
        <v>0.547770700636943</v>
      </c>
      <c r="H75" s="39" t="n">
        <f aca="false">IF(OR(F75="",F75=0),"",E75/F75)</f>
        <v>0.452229299363057</v>
      </c>
      <c r="I75" s="38" t="s">
        <v>90</v>
      </c>
      <c r="J75" s="40" t="n">
        <v>2.62223349707705</v>
      </c>
      <c r="K75" s="39" t="n">
        <f aca="false">IF(G75="","",MAX(0,G75-J75/100))</f>
        <v>0.521548365666172</v>
      </c>
      <c r="L75" s="39" t="n">
        <f aca="false">IF(G75="","",MIN(1,G75+J75/100))</f>
        <v>0.573993035607713</v>
      </c>
      <c r="M75" s="21" t="n">
        <f aca="false">ROUND(Q75*S75,0)</f>
        <v>22</v>
      </c>
      <c r="N75" s="21" t="n">
        <f aca="false">ROUND(SQRT((F75*J75/100)^2+(G75*M75)^2),0)</f>
        <v>13</v>
      </c>
      <c r="P75" s="41" t="n">
        <v>10.7325100641195</v>
      </c>
      <c r="Q75" s="42" t="n">
        <v>156.702844834316</v>
      </c>
      <c r="R75" s="43" t="n">
        <f aca="false">MAX(0,MIN(1,P75/100+$D$5))</f>
        <v>0.550833872046999</v>
      </c>
      <c r="S75" s="43" t="n">
        <v>0.140730607711166</v>
      </c>
      <c r="T75" s="44" t="s">
        <v>91</v>
      </c>
    </row>
    <row r="76" customFormat="false" ht="15" hidden="false" customHeight="false" outlineLevel="0" collapsed="false">
      <c r="A76" s="38" t="s">
        <v>146</v>
      </c>
      <c r="B76" s="38" t="s">
        <v>125</v>
      </c>
      <c r="C76" s="38" t="s">
        <v>89</v>
      </c>
      <c r="D76" s="21" t="n">
        <f aca="false">ROUND(Q76*R76,0)</f>
        <v>4017</v>
      </c>
      <c r="E76" s="21" t="n">
        <f aca="false">ROUND(Q76,0)-D76</f>
        <v>3087</v>
      </c>
      <c r="F76" s="21" t="n">
        <f aca="false">IF(COUNTA(D76:E76)=0,"",SUM(D76:E76))</f>
        <v>7104</v>
      </c>
      <c r="G76" s="39" t="n">
        <f aca="false">IF(OR(F76="",F76=0),"",D76/F76)</f>
        <v>0.565456081081081</v>
      </c>
      <c r="H76" s="39" t="n">
        <f aca="false">IF(OR(F76="",F76=0),"",E76/F76)</f>
        <v>0.434543918918919</v>
      </c>
      <c r="I76" s="38" t="s">
        <v>90</v>
      </c>
      <c r="J76" s="40" t="n">
        <v>1.10503324994843</v>
      </c>
      <c r="K76" s="39" t="n">
        <f aca="false">IF(G76="","",MAX(0,G76-J76/100))</f>
        <v>0.554405748581597</v>
      </c>
      <c r="L76" s="39" t="n">
        <f aca="false">IF(G76="","",MIN(1,G76+J76/100))</f>
        <v>0.576506413580565</v>
      </c>
      <c r="M76" s="21" t="n">
        <f aca="false">ROUND(Q76*S76,0)</f>
        <v>327</v>
      </c>
      <c r="N76" s="21" t="n">
        <f aca="false">ROUND(SQRT((F76*J76/100)^2+(G76*M76)^2),0)</f>
        <v>201</v>
      </c>
      <c r="P76" s="41" t="n">
        <v>12.1984643962749</v>
      </c>
      <c r="Q76" s="42" t="n">
        <v>7103.71291627382</v>
      </c>
      <c r="R76" s="43" t="n">
        <f aca="false">MAX(0,MIN(1,P76/100+$D$5))</f>
        <v>0.565493415368553</v>
      </c>
      <c r="S76" s="43" t="n">
        <v>0.0460569330366088</v>
      </c>
      <c r="T76" s="44" t="s">
        <v>111</v>
      </c>
    </row>
    <row r="77" customFormat="false" ht="15" hidden="false" customHeight="false" outlineLevel="0" collapsed="false">
      <c r="A77" s="38" t="s">
        <v>146</v>
      </c>
      <c r="B77" s="38" t="s">
        <v>159</v>
      </c>
      <c r="C77" s="38" t="s">
        <v>89</v>
      </c>
      <c r="D77" s="21" t="n">
        <f aca="false">ROUND(Q77*R77,0)</f>
        <v>1595</v>
      </c>
      <c r="E77" s="21" t="n">
        <f aca="false">ROUND(Q77,0)-D77</f>
        <v>1305</v>
      </c>
      <c r="F77" s="21" t="n">
        <f aca="false">IF(COUNTA(D77:E77)=0,"",SUM(D77:E77))</f>
        <v>2900</v>
      </c>
      <c r="G77" s="39" t="n">
        <f aca="false">IF(OR(F77="",F77=0),"",D77/F77)</f>
        <v>0.55</v>
      </c>
      <c r="H77" s="39" t="n">
        <f aca="false">IF(OR(F77="",F77=0),"",E77/F77)</f>
        <v>0.45</v>
      </c>
      <c r="I77" s="38" t="s">
        <v>90</v>
      </c>
      <c r="J77" s="40" t="n">
        <v>1.7411899431073</v>
      </c>
      <c r="K77" s="39" t="n">
        <f aca="false">IF(G77="","",MAX(0,G77-J77/100))</f>
        <v>0.532588100568927</v>
      </c>
      <c r="L77" s="39" t="n">
        <f aca="false">IF(G77="","",MIN(1,G77+J77/100))</f>
        <v>0.567411899431073</v>
      </c>
      <c r="M77" s="21" t="n">
        <f aca="false">ROUND(Q77*S77,0)</f>
        <v>102</v>
      </c>
      <c r="N77" s="21" t="n">
        <f aca="false">ROUND(SQRT((F77*J77/100)^2+(G77*M77)^2),0)</f>
        <v>75</v>
      </c>
      <c r="P77" s="41" t="n">
        <v>10.6397699418177</v>
      </c>
      <c r="Q77" s="42" t="n">
        <v>2899.64242690561</v>
      </c>
      <c r="R77" s="43" t="n">
        <f aca="false">MAX(0,MIN(1,P77/100+$D$5))</f>
        <v>0.549906470823981</v>
      </c>
      <c r="S77" s="43" t="n">
        <v>0.0350597310944791</v>
      </c>
      <c r="T77" s="44" t="s">
        <v>97</v>
      </c>
    </row>
    <row r="78" customFormat="false" ht="15" hidden="false" customHeight="false" outlineLevel="0" collapsed="false">
      <c r="A78" s="38" t="s">
        <v>146</v>
      </c>
      <c r="B78" s="38" t="s">
        <v>160</v>
      </c>
      <c r="C78" s="38" t="s">
        <v>89</v>
      </c>
      <c r="D78" s="21" t="n">
        <f aca="false">ROUND(Q78*R78,0)</f>
        <v>2199</v>
      </c>
      <c r="E78" s="21" t="n">
        <f aca="false">ROUND(Q78,0)-D78</f>
        <v>3557</v>
      </c>
      <c r="F78" s="21" t="n">
        <f aca="false">IF(COUNTA(D78:E78)=0,"",SUM(D78:E78))</f>
        <v>5756</v>
      </c>
      <c r="G78" s="39" t="n">
        <f aca="false">IF(OR(F78="",F78=0),"",D78/F78)</f>
        <v>0.382036136205698</v>
      </c>
      <c r="H78" s="39" t="n">
        <f aca="false">IF(OR(F78="",F78=0),"",E78/F78)</f>
        <v>0.617963863794302</v>
      </c>
      <c r="I78" s="38" t="s">
        <v>90</v>
      </c>
      <c r="J78" s="40" t="n">
        <v>1.10503324994843</v>
      </c>
      <c r="K78" s="39" t="n">
        <f aca="false">IF(G78="","",MAX(0,G78-J78/100))</f>
        <v>0.370985803706214</v>
      </c>
      <c r="L78" s="39" t="n">
        <f aca="false">IF(G78="","",MIN(1,G78+J78/100))</f>
        <v>0.393086468705183</v>
      </c>
      <c r="M78" s="21" t="n">
        <f aca="false">ROUND(Q78*S78,0)</f>
        <v>265</v>
      </c>
      <c r="N78" s="21" t="n">
        <f aca="false">ROUND(SQRT((F78*J78/100)^2+(G78*M78)^2),0)</f>
        <v>120</v>
      </c>
      <c r="P78" s="41" t="n">
        <v>-6.14778166275024</v>
      </c>
      <c r="Q78" s="42" t="n">
        <v>5756.3936367192</v>
      </c>
      <c r="R78" s="43" t="n">
        <f aca="false">MAX(0,MIN(1,P78/100+$D$5))</f>
        <v>0.382030954778302</v>
      </c>
      <c r="S78" s="43" t="n">
        <v>0.0460569330366088</v>
      </c>
      <c r="T78" s="44" t="s">
        <v>111</v>
      </c>
    </row>
    <row r="79" customFormat="false" ht="15" hidden="false" customHeight="false" outlineLevel="0" collapsed="false">
      <c r="A79" s="38" t="s">
        <v>146</v>
      </c>
      <c r="B79" s="38" t="s">
        <v>161</v>
      </c>
      <c r="C79" s="38" t="s">
        <v>89</v>
      </c>
      <c r="D79" s="21" t="n">
        <f aca="false">ROUND(Q79*R79,0)</f>
        <v>589</v>
      </c>
      <c r="E79" s="21" t="n">
        <f aca="false">ROUND(Q79,0)-D79</f>
        <v>986</v>
      </c>
      <c r="F79" s="21" t="n">
        <f aca="false">IF(COUNTA(D79:E79)=0,"",SUM(D79:E79))</f>
        <v>1575</v>
      </c>
      <c r="G79" s="39" t="n">
        <f aca="false">IF(OR(F79="",F79=0),"",D79/F79)</f>
        <v>0.373968253968254</v>
      </c>
      <c r="H79" s="39" t="n">
        <f aca="false">IF(OR(F79="",F79=0),"",E79/F79)</f>
        <v>0.626031746031746</v>
      </c>
      <c r="I79" s="38" t="s">
        <v>90</v>
      </c>
      <c r="J79" s="40" t="n">
        <v>1.7411899431073</v>
      </c>
      <c r="K79" s="39" t="n">
        <f aca="false">IF(G79="","",MAX(0,G79-J79/100))</f>
        <v>0.356556354537181</v>
      </c>
      <c r="L79" s="39" t="n">
        <f aca="false">IF(G79="","",MIN(1,G79+J79/100))</f>
        <v>0.391380153399327</v>
      </c>
      <c r="M79" s="21" t="n">
        <f aca="false">ROUND(Q79*S79,0)</f>
        <v>55</v>
      </c>
      <c r="N79" s="21" t="n">
        <f aca="false">ROUND(SQRT((F79*J79/100)^2+(G79*M79)^2),0)</f>
        <v>34</v>
      </c>
      <c r="P79" s="41" t="n">
        <v>-6.9245648587279</v>
      </c>
      <c r="Q79" s="42" t="n">
        <v>1574.51317973</v>
      </c>
      <c r="R79" s="43" t="n">
        <f aca="false">MAX(0,MIN(1,P79/100+$D$5))</f>
        <v>0.374263122818525</v>
      </c>
      <c r="S79" s="43" t="n">
        <v>0.0350597310944791</v>
      </c>
      <c r="T79" s="44" t="s">
        <v>97</v>
      </c>
    </row>
    <row r="80" customFormat="false" ht="15" hidden="false" customHeight="false" outlineLevel="0" collapsed="false">
      <c r="A80" s="38" t="s">
        <v>146</v>
      </c>
      <c r="B80" s="38" t="s">
        <v>162</v>
      </c>
      <c r="C80" s="38" t="s">
        <v>89</v>
      </c>
      <c r="D80" s="21" t="n">
        <f aca="false">ROUND(Q80*R80,0)</f>
        <v>2029</v>
      </c>
      <c r="E80" s="21" t="n">
        <f aca="false">ROUND(Q80,0)-D80</f>
        <v>2073</v>
      </c>
      <c r="F80" s="21" t="n">
        <f aca="false">IF(COUNTA(D80:E80)=0,"",SUM(D80:E80))</f>
        <v>4102</v>
      </c>
      <c r="G80" s="39" t="n">
        <f aca="false">IF(OR(F80="",F80=0),"",D80/F80)</f>
        <v>0.494636762554851</v>
      </c>
      <c r="H80" s="39" t="n">
        <f aca="false">IF(OR(F80="",F80=0),"",E80/F80)</f>
        <v>0.505363237445149</v>
      </c>
      <c r="I80" s="38" t="s">
        <v>90</v>
      </c>
      <c r="J80" s="40" t="n">
        <v>1.10503324994843</v>
      </c>
      <c r="K80" s="39" t="n">
        <f aca="false">IF(G80="","",MAX(0,G80-J80/100))</f>
        <v>0.483586430055367</v>
      </c>
      <c r="L80" s="39" t="n">
        <f aca="false">IF(G80="","",MIN(1,G80+J80/100))</f>
        <v>0.505687095054336</v>
      </c>
      <c r="M80" s="21" t="n">
        <f aca="false">ROUND(Q80*S80,0)</f>
        <v>189</v>
      </c>
      <c r="N80" s="21" t="n">
        <f aca="false">ROUND(SQRT((F80*J80/100)^2+(G80*M80)^2),0)</f>
        <v>104</v>
      </c>
      <c r="P80" s="41" t="n">
        <v>5.12926277649835</v>
      </c>
      <c r="Q80" s="42" t="n">
        <v>4101.52756010063</v>
      </c>
      <c r="R80" s="43" t="n">
        <f aca="false">MAX(0,MIN(1,P80/100+$D$5))</f>
        <v>0.494801399170788</v>
      </c>
      <c r="S80" s="43" t="n">
        <v>0.0460569330366088</v>
      </c>
      <c r="T80" s="44" t="s">
        <v>111</v>
      </c>
    </row>
    <row r="81" customFormat="false" ht="15" hidden="false" customHeight="false" outlineLevel="0" collapsed="false">
      <c r="A81" s="38" t="s">
        <v>146</v>
      </c>
      <c r="B81" s="38" t="s">
        <v>163</v>
      </c>
      <c r="C81" s="38" t="s">
        <v>89</v>
      </c>
      <c r="D81" s="21" t="n">
        <f aca="false">ROUND(Q81*R81,0)</f>
        <v>3650</v>
      </c>
      <c r="E81" s="21" t="n">
        <f aca="false">ROUND(Q81,0)-D81</f>
        <v>3317</v>
      </c>
      <c r="F81" s="21" t="n">
        <f aca="false">IF(COUNTA(D81:E81)=0,"",SUM(D81:E81))</f>
        <v>6967</v>
      </c>
      <c r="G81" s="39" t="n">
        <f aca="false">IF(OR(F81="",F81=0),"",D81/F81)</f>
        <v>0.523898378068035</v>
      </c>
      <c r="H81" s="39" t="n">
        <f aca="false">IF(OR(F81="",F81=0),"",E81/F81)</f>
        <v>0.476101621931965</v>
      </c>
      <c r="I81" s="38" t="s">
        <v>90</v>
      </c>
      <c r="J81" s="40" t="n">
        <v>1.10503324994843</v>
      </c>
      <c r="K81" s="39" t="n">
        <f aca="false">IF(G81="","",MAX(0,G81-J81/100))</f>
        <v>0.512848045568551</v>
      </c>
      <c r="L81" s="39" t="n">
        <f aca="false">IF(G81="","",MIN(1,G81+J81/100))</f>
        <v>0.534948710567519</v>
      </c>
      <c r="M81" s="21" t="n">
        <f aca="false">ROUND(Q81*S81,0)</f>
        <v>321</v>
      </c>
      <c r="N81" s="21" t="n">
        <f aca="false">ROUND(SQRT((F81*J81/100)^2+(G81*M81)^2),0)</f>
        <v>185</v>
      </c>
      <c r="P81" s="41" t="n">
        <v>8.04719166518367</v>
      </c>
      <c r="Q81" s="42" t="n">
        <v>6966.66180868084</v>
      </c>
      <c r="R81" s="43" t="n">
        <f aca="false">MAX(0,MIN(1,P81/100+$D$5))</f>
        <v>0.523980688057641</v>
      </c>
      <c r="S81" s="43" t="n">
        <v>0.0460569330366088</v>
      </c>
      <c r="T81" s="44" t="s">
        <v>111</v>
      </c>
    </row>
    <row r="82" customFormat="false" ht="15" hidden="false" customHeight="false" outlineLevel="0" collapsed="false">
      <c r="A82" s="38" t="s">
        <v>146</v>
      </c>
      <c r="B82" s="38" t="s">
        <v>164</v>
      </c>
      <c r="C82" s="38" t="s">
        <v>89</v>
      </c>
      <c r="D82" s="21" t="n">
        <f aca="false">ROUND(Q82*R82,0)</f>
        <v>2015</v>
      </c>
      <c r="E82" s="21" t="n">
        <f aca="false">ROUND(Q82,0)-D82</f>
        <v>3325</v>
      </c>
      <c r="F82" s="21" t="n">
        <f aca="false">IF(COUNTA(D82:E82)=0,"",SUM(D82:E82))</f>
        <v>5340</v>
      </c>
      <c r="G82" s="39" t="n">
        <f aca="false">IF(OR(F82="",F82=0),"",D82/F82)</f>
        <v>0.377340823970037</v>
      </c>
      <c r="H82" s="39" t="n">
        <f aca="false">IF(OR(F82="",F82=0),"",E82/F82)</f>
        <v>0.622659176029963</v>
      </c>
      <c r="I82" s="38" t="s">
        <v>90</v>
      </c>
      <c r="J82" s="40" t="n">
        <v>1.10503324994843</v>
      </c>
      <c r="K82" s="39" t="n">
        <f aca="false">IF(G82="","",MAX(0,G82-J82/100))</f>
        <v>0.366290491470553</v>
      </c>
      <c r="L82" s="39" t="n">
        <f aca="false">IF(G82="","",MIN(1,G82+J82/100))</f>
        <v>0.388391156469522</v>
      </c>
      <c r="M82" s="21" t="n">
        <f aca="false">ROUND(Q82*S82,0)</f>
        <v>246</v>
      </c>
      <c r="N82" s="21" t="n">
        <f aca="false">ROUND(SQRT((F82*J82/100)^2+(G82*M82)^2),0)</f>
        <v>110</v>
      </c>
      <c r="P82" s="41" t="n">
        <v>-6.61149729571558</v>
      </c>
      <c r="Q82" s="42" t="n">
        <v>5340.00599175872</v>
      </c>
      <c r="R82" s="43" t="n">
        <f aca="false">MAX(0,MIN(1,P82/100+$D$5))</f>
        <v>0.377393798448648</v>
      </c>
      <c r="S82" s="43" t="n">
        <v>0.0460569330366088</v>
      </c>
      <c r="T82" s="44" t="s">
        <v>111</v>
      </c>
    </row>
    <row r="83" customFormat="false" ht="15" hidden="false" customHeight="false" outlineLevel="0" collapsed="false">
      <c r="A83" s="38" t="s">
        <v>146</v>
      </c>
      <c r="B83" s="38" t="s">
        <v>165</v>
      </c>
      <c r="C83" s="38" t="s">
        <v>89</v>
      </c>
      <c r="D83" s="21" t="n">
        <f aca="false">ROUND(Q83*R83,0)</f>
        <v>1471</v>
      </c>
      <c r="E83" s="21" t="n">
        <f aca="false">ROUND(Q83,0)-D83</f>
        <v>1299</v>
      </c>
      <c r="F83" s="21" t="n">
        <f aca="false">IF(COUNTA(D83:E83)=0,"",SUM(D83:E83))</f>
        <v>2770</v>
      </c>
      <c r="G83" s="39" t="n">
        <f aca="false">IF(OR(F83="",F83=0),"",D83/F83)</f>
        <v>0.531046931407942</v>
      </c>
      <c r="H83" s="39" t="n">
        <f aca="false">IF(OR(F83="",F83=0),"",E83/F83)</f>
        <v>0.468953068592058</v>
      </c>
      <c r="I83" s="38" t="s">
        <v>90</v>
      </c>
      <c r="J83" s="40" t="n">
        <v>1.7411899431073</v>
      </c>
      <c r="K83" s="39" t="n">
        <f aca="false">IF(G83="","",MAX(0,G83-J83/100))</f>
        <v>0.513635031976869</v>
      </c>
      <c r="L83" s="39" t="n">
        <f aca="false">IF(G83="","",MIN(1,G83+J83/100))</f>
        <v>0.548458830839015</v>
      </c>
      <c r="M83" s="21" t="n">
        <f aca="false">ROUND(Q83*S83,0)</f>
        <v>97</v>
      </c>
      <c r="N83" s="21" t="n">
        <f aca="false">ROUND(SQRT((F83*J83/100)^2+(G83*M83)^2),0)</f>
        <v>71</v>
      </c>
      <c r="P83" s="41" t="n">
        <v>8.76477239560834</v>
      </c>
      <c r="Q83" s="42" t="n">
        <v>2769.94879807154</v>
      </c>
      <c r="R83" s="43" t="n">
        <f aca="false">MAX(0,MIN(1,P83/100+$D$5))</f>
        <v>0.531156495361888</v>
      </c>
      <c r="S83" s="43" t="n">
        <v>0.0350597310944791</v>
      </c>
      <c r="T83" s="44" t="s">
        <v>97</v>
      </c>
    </row>
    <row r="84" customFormat="false" ht="15" hidden="false" customHeight="false" outlineLevel="0" collapsed="false">
      <c r="A84" s="38" t="s">
        <v>146</v>
      </c>
      <c r="B84" s="38" t="s">
        <v>166</v>
      </c>
      <c r="C84" s="38" t="s">
        <v>89</v>
      </c>
      <c r="D84" s="21" t="n">
        <f aca="false">ROUND(Q84*R84,0)</f>
        <v>796</v>
      </c>
      <c r="E84" s="21" t="n">
        <f aca="false">ROUND(Q84,0)-D84</f>
        <v>691</v>
      </c>
      <c r="F84" s="21" t="n">
        <f aca="false">IF(COUNTA(D84:E84)=0,"",SUM(D84:E84))</f>
        <v>1487</v>
      </c>
      <c r="G84" s="39" t="n">
        <f aca="false">IF(OR(F84="",F84=0),"",D84/F84)</f>
        <v>0.535305985205111</v>
      </c>
      <c r="H84" s="39" t="n">
        <f aca="false">IF(OR(F84="",F84=0),"",E84/F84)</f>
        <v>0.464694014794889</v>
      </c>
      <c r="I84" s="38" t="s">
        <v>90</v>
      </c>
      <c r="J84" s="40" t="n">
        <v>2.62223349707705</v>
      </c>
      <c r="K84" s="39" t="n">
        <f aca="false">IF(G84="","",MAX(0,G84-J84/100))</f>
        <v>0.50908365023434</v>
      </c>
      <c r="L84" s="39" t="n">
        <f aca="false">IF(G84="","",MIN(1,G84+J84/100))</f>
        <v>0.561528320175882</v>
      </c>
      <c r="M84" s="21" t="n">
        <f aca="false">ROUND(Q84*S84,0)</f>
        <v>209</v>
      </c>
      <c r="N84" s="21" t="n">
        <f aca="false">ROUND(SQRT((F84*J84/100)^2+(G84*M84)^2),0)</f>
        <v>118</v>
      </c>
      <c r="P84" s="41" t="n">
        <v>9.18782024903047</v>
      </c>
      <c r="Q84" s="42" t="n">
        <v>1487.49247824751</v>
      </c>
      <c r="R84" s="43" t="n">
        <f aca="false">MAX(0,MIN(1,P84/100+$D$5))</f>
        <v>0.535386973896109</v>
      </c>
      <c r="S84" s="43" t="n">
        <v>0.140730607711166</v>
      </c>
      <c r="T84" s="44" t="s">
        <v>91</v>
      </c>
    </row>
    <row r="85" customFormat="false" ht="15" hidden="false" customHeight="false" outlineLevel="0" collapsed="false">
      <c r="A85" s="38" t="s">
        <v>146</v>
      </c>
      <c r="B85" s="38" t="s">
        <v>167</v>
      </c>
      <c r="C85" s="38" t="s">
        <v>89</v>
      </c>
      <c r="D85" s="21" t="n">
        <f aca="false">ROUND(Q85*R85,0)</f>
        <v>2307</v>
      </c>
      <c r="E85" s="21" t="n">
        <f aca="false">ROUND(Q85,0)-D85</f>
        <v>2161</v>
      </c>
      <c r="F85" s="21" t="n">
        <f aca="false">IF(COUNTA(D85:E85)=0,"",SUM(D85:E85))</f>
        <v>4468</v>
      </c>
      <c r="G85" s="39" t="n">
        <f aca="false">IF(OR(F85="",F85=0),"",D85/F85)</f>
        <v>0.516338406445837</v>
      </c>
      <c r="H85" s="39" t="n">
        <f aca="false">IF(OR(F85="",F85=0),"",E85/F85)</f>
        <v>0.483661593554163</v>
      </c>
      <c r="I85" s="38" t="s">
        <v>90</v>
      </c>
      <c r="J85" s="40" t="n">
        <v>1.10503324994843</v>
      </c>
      <c r="K85" s="39" t="n">
        <f aca="false">IF(G85="","",MAX(0,G85-J85/100))</f>
        <v>0.505288073946353</v>
      </c>
      <c r="L85" s="39" t="n">
        <f aca="false">IF(G85="","",MIN(1,G85+J85/100))</f>
        <v>0.527388738945321</v>
      </c>
      <c r="M85" s="21" t="n">
        <f aca="false">ROUND(Q85*S85,0)</f>
        <v>206</v>
      </c>
      <c r="N85" s="21" t="n">
        <f aca="false">ROUND(SQRT((F85*J85/100)^2+(G85*M85)^2),0)</f>
        <v>117</v>
      </c>
      <c r="P85" s="41" t="n">
        <v>7.28414574426194</v>
      </c>
      <c r="Q85" s="42" t="n">
        <v>4468.3769370973</v>
      </c>
      <c r="R85" s="43" t="n">
        <f aca="false">MAX(0,MIN(1,P85/100+$D$5))</f>
        <v>0.516350228848424</v>
      </c>
      <c r="S85" s="43" t="n">
        <v>0.0460569330366088</v>
      </c>
      <c r="T85" s="44" t="s">
        <v>111</v>
      </c>
    </row>
    <row r="86" customFormat="false" ht="15" hidden="false" customHeight="false" outlineLevel="0" collapsed="false">
      <c r="A86" s="38" t="s">
        <v>146</v>
      </c>
      <c r="B86" s="38" t="s">
        <v>168</v>
      </c>
      <c r="C86" s="38" t="s">
        <v>89</v>
      </c>
      <c r="D86" s="21" t="n">
        <f aca="false">ROUND(Q86*R86,0)</f>
        <v>6372</v>
      </c>
      <c r="E86" s="21" t="n">
        <f aca="false">ROUND(Q86,0)-D86</f>
        <v>5290</v>
      </c>
      <c r="F86" s="21" t="n">
        <f aca="false">IF(COUNTA(D86:E86)=0,"",SUM(D86:E86))</f>
        <v>11662</v>
      </c>
      <c r="G86" s="39" t="n">
        <f aca="false">IF(OR(F86="",F86=0),"",D86/F86)</f>
        <v>0.546389984565255</v>
      </c>
      <c r="H86" s="39" t="n">
        <f aca="false">IF(OR(F86="",F86=0),"",E86/F86)</f>
        <v>0.453610015434745</v>
      </c>
      <c r="I86" s="38" t="s">
        <v>90</v>
      </c>
      <c r="J86" s="40" t="n">
        <v>1.10503324994843</v>
      </c>
      <c r="K86" s="39" t="n">
        <f aca="false">IF(G86="","",MAX(0,G86-J86/100))</f>
        <v>0.53533965206577</v>
      </c>
      <c r="L86" s="39" t="n">
        <f aca="false">IF(G86="","",MIN(1,G86+J86/100))</f>
        <v>0.557440317064739</v>
      </c>
      <c r="M86" s="21" t="n">
        <f aca="false">ROUND(Q86*S86,0)</f>
        <v>537</v>
      </c>
      <c r="N86" s="21" t="n">
        <f aca="false">ROUND(SQRT((F86*J86/100)^2+(G86*M86)^2),0)</f>
        <v>320</v>
      </c>
      <c r="P86" s="41" t="n">
        <v>10.291230168714</v>
      </c>
      <c r="Q86" s="42" t="n">
        <v>11661.6260030818</v>
      </c>
      <c r="R86" s="43" t="n">
        <f aca="false">MAX(0,MIN(1,P86/100+$D$5))</f>
        <v>0.546421073092944</v>
      </c>
      <c r="S86" s="43" t="n">
        <v>0.0460569330366088</v>
      </c>
      <c r="T86" s="44" t="s">
        <v>111</v>
      </c>
    </row>
    <row r="87" customFormat="false" ht="15" hidden="false" customHeight="false" outlineLevel="0" collapsed="false">
      <c r="A87" s="38" t="s">
        <v>146</v>
      </c>
      <c r="B87" s="38" t="s">
        <v>169</v>
      </c>
      <c r="C87" s="38" t="s">
        <v>89</v>
      </c>
      <c r="D87" s="21" t="n">
        <f aca="false">ROUND(Q87*R87,0)</f>
        <v>622</v>
      </c>
      <c r="E87" s="21" t="n">
        <f aca="false">ROUND(Q87,0)-D87</f>
        <v>841</v>
      </c>
      <c r="F87" s="21" t="n">
        <f aca="false">IF(COUNTA(D87:E87)=0,"",SUM(D87:E87))</f>
        <v>1463</v>
      </c>
      <c r="G87" s="39" t="n">
        <f aca="false">IF(OR(F87="",F87=0),"",D87/F87)</f>
        <v>0.425153793574846</v>
      </c>
      <c r="H87" s="39" t="n">
        <f aca="false">IF(OR(F87="",F87=0),"",E87/F87)</f>
        <v>0.574846206425154</v>
      </c>
      <c r="I87" s="38" t="s">
        <v>90</v>
      </c>
      <c r="J87" s="40" t="n">
        <v>2.62223349707705</v>
      </c>
      <c r="K87" s="39" t="n">
        <f aca="false">IF(G87="","",MAX(0,G87-J87/100))</f>
        <v>0.398931458604076</v>
      </c>
      <c r="L87" s="39" t="n">
        <f aca="false">IF(G87="","",MIN(1,G87+J87/100))</f>
        <v>0.451376128545617</v>
      </c>
      <c r="M87" s="21" t="n">
        <f aca="false">ROUND(Q87*S87,0)</f>
        <v>206</v>
      </c>
      <c r="N87" s="21" t="n">
        <f aca="false">ROUND(SQRT((F87*J87/100)^2+(G87*M87)^2),0)</f>
        <v>96</v>
      </c>
      <c r="P87" s="41" t="n">
        <v>-1.86205254287425</v>
      </c>
      <c r="Q87" s="42" t="n">
        <v>1462.76161631677</v>
      </c>
      <c r="R87" s="43" t="n">
        <f aca="false">MAX(0,MIN(1,P87/100+$D$5))</f>
        <v>0.424888245977062</v>
      </c>
      <c r="S87" s="43" t="n">
        <v>0.140730607711166</v>
      </c>
      <c r="T87" s="44" t="s">
        <v>91</v>
      </c>
    </row>
    <row r="88" customFormat="false" ht="15" hidden="false" customHeight="false" outlineLevel="0" collapsed="false">
      <c r="A88" s="38" t="s">
        <v>146</v>
      </c>
      <c r="B88" s="38" t="s">
        <v>170</v>
      </c>
      <c r="C88" s="38" t="s">
        <v>89</v>
      </c>
      <c r="D88" s="21" t="n">
        <f aca="false">ROUND(Q88*R88,0)</f>
        <v>1313</v>
      </c>
      <c r="E88" s="21" t="n">
        <f aca="false">ROUND(Q88,0)-D88</f>
        <v>2144</v>
      </c>
      <c r="F88" s="21" t="n">
        <f aca="false">IF(COUNTA(D88:E88)=0,"",SUM(D88:E88))</f>
        <v>3457</v>
      </c>
      <c r="G88" s="39" t="n">
        <f aca="false">IF(OR(F88="",F88=0),"",D88/F88)</f>
        <v>0.37980908301996</v>
      </c>
      <c r="H88" s="39" t="n">
        <f aca="false">IF(OR(F88="",F88=0),"",E88/F88)</f>
        <v>0.620190916980041</v>
      </c>
      <c r="I88" s="38" t="s">
        <v>90</v>
      </c>
      <c r="J88" s="40" t="n">
        <v>1.7411899431073</v>
      </c>
      <c r="K88" s="39" t="n">
        <f aca="false">IF(G88="","",MAX(0,G88-J88/100))</f>
        <v>0.362397183588887</v>
      </c>
      <c r="L88" s="39" t="n">
        <f aca="false">IF(G88="","",MIN(1,G88+J88/100))</f>
        <v>0.397220982451033</v>
      </c>
      <c r="M88" s="21" t="n">
        <f aca="false">ROUND(Q88*S88,0)</f>
        <v>121</v>
      </c>
      <c r="N88" s="21" t="n">
        <f aca="false">ROUND(SQRT((F88*J88/100)^2+(G88*M88)^2),0)</f>
        <v>76</v>
      </c>
      <c r="P88" s="41" t="n">
        <v>-6.38214260516376</v>
      </c>
      <c r="Q88" s="42" t="n">
        <v>3457.49445748012</v>
      </c>
      <c r="R88" s="43" t="n">
        <f aca="false">MAX(0,MIN(1,P88/100+$D$5))</f>
        <v>0.379687345354167</v>
      </c>
      <c r="S88" s="43" t="n">
        <v>0.0350597310944791</v>
      </c>
      <c r="T88" s="44" t="s">
        <v>97</v>
      </c>
    </row>
    <row r="89" customFormat="false" ht="15" hidden="false" customHeight="false" outlineLevel="0" collapsed="false">
      <c r="A89" s="38" t="s">
        <v>146</v>
      </c>
      <c r="B89" s="38" t="s">
        <v>171</v>
      </c>
      <c r="C89" s="38" t="s">
        <v>89</v>
      </c>
      <c r="D89" s="21" t="n">
        <f aca="false">ROUND(Q89*R89,0)</f>
        <v>84</v>
      </c>
      <c r="E89" s="21" t="n">
        <f aca="false">ROUND(Q89,0)-D89</f>
        <v>131</v>
      </c>
      <c r="F89" s="21" t="n">
        <f aca="false">IF(COUNTA(D89:E89)=0,"",SUM(D89:E89))</f>
        <v>215</v>
      </c>
      <c r="G89" s="39" t="n">
        <f aca="false">IF(OR(F89="",F89=0),"",D89/F89)</f>
        <v>0.390697674418605</v>
      </c>
      <c r="H89" s="39" t="n">
        <f aca="false">IF(OR(F89="",F89=0),"",E89/F89)</f>
        <v>0.609302325581395</v>
      </c>
      <c r="I89" s="38" t="s">
        <v>90</v>
      </c>
      <c r="J89" s="40" t="n">
        <v>2.62223349707705</v>
      </c>
      <c r="K89" s="39" t="n">
        <f aca="false">IF(G89="","",MAX(0,G89-J89/100))</f>
        <v>0.364475339447834</v>
      </c>
      <c r="L89" s="39" t="n">
        <f aca="false">IF(G89="","",MIN(1,G89+J89/100))</f>
        <v>0.416920009389375</v>
      </c>
      <c r="M89" s="21" t="n">
        <f aca="false">ROUND(Q89*S89,0)</f>
        <v>30</v>
      </c>
      <c r="N89" s="21" t="n">
        <f aca="false">ROUND(SQRT((F89*J89/100)^2+(G89*M89)^2),0)</f>
        <v>13</v>
      </c>
      <c r="P89" s="41" t="n">
        <v>-5.33048611310052</v>
      </c>
      <c r="Q89" s="42" t="n">
        <v>214.727370247356</v>
      </c>
      <c r="R89" s="43" t="n">
        <f aca="false">MAX(0,MIN(1,P89/100+$D$5))</f>
        <v>0.390203910274799</v>
      </c>
      <c r="S89" s="43" t="n">
        <v>0.140730607711166</v>
      </c>
      <c r="T89" s="44" t="s">
        <v>91</v>
      </c>
    </row>
    <row r="90" customFormat="false" ht="15" hidden="false" customHeight="false" outlineLevel="0" collapsed="false">
      <c r="A90" s="38" t="s">
        <v>146</v>
      </c>
      <c r="B90" s="38" t="s">
        <v>172</v>
      </c>
      <c r="C90" s="38" t="s">
        <v>89</v>
      </c>
      <c r="D90" s="21" t="n">
        <f aca="false">ROUND(Q90*R90,0)</f>
        <v>331</v>
      </c>
      <c r="E90" s="21" t="n">
        <f aca="false">ROUND(Q90,0)-D90</f>
        <v>437</v>
      </c>
      <c r="F90" s="21" t="n">
        <f aca="false">IF(COUNTA(D90:E90)=0,"",SUM(D90:E90))</f>
        <v>768</v>
      </c>
      <c r="G90" s="39" t="n">
        <f aca="false">IF(OR(F90="",F90=0),"",D90/F90)</f>
        <v>0.430989583333333</v>
      </c>
      <c r="H90" s="39" t="n">
        <f aca="false">IF(OR(F90="",F90=0),"",E90/F90)</f>
        <v>0.569010416666667</v>
      </c>
      <c r="I90" s="38" t="s">
        <v>90</v>
      </c>
      <c r="J90" s="40" t="n">
        <v>2.62223349707705</v>
      </c>
      <c r="K90" s="39" t="n">
        <f aca="false">IF(G90="","",MAX(0,G90-J90/100))</f>
        <v>0.404767248362563</v>
      </c>
      <c r="L90" s="39" t="n">
        <f aca="false">IF(G90="","",MIN(1,G90+J90/100))</f>
        <v>0.457211918304104</v>
      </c>
      <c r="M90" s="21" t="n">
        <f aca="false">ROUND(Q90*S90,0)</f>
        <v>108</v>
      </c>
      <c r="N90" s="21" t="n">
        <f aca="false">ROUND(SQRT((F90*J90/100)^2+(G90*M90)^2),0)</f>
        <v>51</v>
      </c>
      <c r="P90" s="41" t="n">
        <v>-1.20390558046518</v>
      </c>
      <c r="Q90" s="42" t="n">
        <v>767.693436309623</v>
      </c>
      <c r="R90" s="43" t="n">
        <f aca="false">MAX(0,MIN(1,P90/100+$D$5))</f>
        <v>0.431469715601152</v>
      </c>
      <c r="S90" s="43" t="n">
        <v>0.140730607711166</v>
      </c>
      <c r="T90" s="44" t="s">
        <v>91</v>
      </c>
    </row>
    <row r="91" customFormat="false" ht="15" hidden="false" customHeight="false" outlineLevel="0" collapsed="false">
      <c r="A91" s="38" t="s">
        <v>146</v>
      </c>
      <c r="B91" s="38" t="s">
        <v>173</v>
      </c>
      <c r="C91" s="38" t="s">
        <v>89</v>
      </c>
      <c r="D91" s="21" t="n">
        <f aca="false">ROUND(Q91*R91,0)</f>
        <v>193</v>
      </c>
      <c r="E91" s="21" t="n">
        <f aca="false">ROUND(Q91,0)-D91</f>
        <v>241</v>
      </c>
      <c r="F91" s="21" t="n">
        <f aca="false">IF(COUNTA(D91:E91)=0,"",SUM(D91:E91))</f>
        <v>434</v>
      </c>
      <c r="G91" s="39" t="n">
        <f aca="false">IF(OR(F91="",F91=0),"",D91/F91)</f>
        <v>0.444700460829493</v>
      </c>
      <c r="H91" s="39" t="n">
        <f aca="false">IF(OR(F91="",F91=0),"",E91/F91)</f>
        <v>0.555299539170507</v>
      </c>
      <c r="I91" s="38" t="s">
        <v>90</v>
      </c>
      <c r="J91" s="40" t="n">
        <v>2.62223349707705</v>
      </c>
      <c r="K91" s="39" t="n">
        <f aca="false">IF(G91="","",MAX(0,G91-J91/100))</f>
        <v>0.418478125858723</v>
      </c>
      <c r="L91" s="39" t="n">
        <f aca="false">IF(G91="","",MIN(1,G91+J91/100))</f>
        <v>0.470922795800264</v>
      </c>
      <c r="M91" s="21" t="n">
        <f aca="false">ROUND(Q91*S91,0)</f>
        <v>61</v>
      </c>
      <c r="N91" s="21" t="n">
        <f aca="false">ROUND(SQRT((F91*J91/100)^2+(G91*M91)^2),0)</f>
        <v>29</v>
      </c>
      <c r="P91" s="41" t="n">
        <v>0.0129885299389155</v>
      </c>
      <c r="Q91" s="42" t="n">
        <v>434.493949504166</v>
      </c>
      <c r="R91" s="43" t="n">
        <f aca="false">MAX(0,MIN(1,P91/100+$D$5))</f>
        <v>0.443638656705193</v>
      </c>
      <c r="S91" s="43" t="n">
        <v>0.140730607711166</v>
      </c>
      <c r="T91" s="44" t="s">
        <v>91</v>
      </c>
    </row>
    <row r="92" customFormat="false" ht="15" hidden="false" customHeight="false" outlineLevel="0" collapsed="false">
      <c r="A92" s="38" t="s">
        <v>146</v>
      </c>
      <c r="B92" s="38" t="s">
        <v>174</v>
      </c>
      <c r="C92" s="38" t="s">
        <v>89</v>
      </c>
      <c r="D92" s="21" t="n">
        <f aca="false">ROUND(Q92*R92,0)</f>
        <v>298</v>
      </c>
      <c r="E92" s="21" t="n">
        <f aca="false">ROUND(Q92,0)-D92</f>
        <v>340</v>
      </c>
      <c r="F92" s="21" t="n">
        <f aca="false">IF(COUNTA(D92:E92)=0,"",SUM(D92:E92))</f>
        <v>638</v>
      </c>
      <c r="G92" s="39" t="n">
        <f aca="false">IF(OR(F92="",F92=0),"",D92/F92)</f>
        <v>0.467084639498433</v>
      </c>
      <c r="H92" s="39" t="n">
        <f aca="false">IF(OR(F92="",F92=0),"",E92/F92)</f>
        <v>0.532915360501567</v>
      </c>
      <c r="I92" s="38" t="s">
        <v>90</v>
      </c>
      <c r="J92" s="40" t="n">
        <v>2.62223349707705</v>
      </c>
      <c r="K92" s="39" t="n">
        <f aca="false">IF(G92="","",MAX(0,G92-J92/100))</f>
        <v>0.440862304527662</v>
      </c>
      <c r="L92" s="39" t="n">
        <f aca="false">IF(G92="","",MIN(1,G92+J92/100))</f>
        <v>0.493306974469203</v>
      </c>
      <c r="M92" s="21" t="n">
        <f aca="false">ROUND(Q92*S92,0)</f>
        <v>90</v>
      </c>
      <c r="N92" s="21" t="n">
        <f aca="false">ROUND(SQRT((F92*J92/100)^2+(G92*M92)^2),0)</f>
        <v>45</v>
      </c>
      <c r="P92" s="41" t="n">
        <v>2.30372690471704</v>
      </c>
      <c r="Q92" s="42" t="n">
        <v>637.82729874055</v>
      </c>
      <c r="R92" s="43" t="n">
        <f aca="false">MAX(0,MIN(1,P92/100+$D$5))</f>
        <v>0.466546040452975</v>
      </c>
      <c r="S92" s="43" t="n">
        <v>0.140730607711166</v>
      </c>
      <c r="T92" s="44" t="s">
        <v>91</v>
      </c>
    </row>
    <row r="93" customFormat="false" ht="15" hidden="false" customHeight="false" outlineLevel="0" collapsed="false">
      <c r="A93" s="38" t="s">
        <v>146</v>
      </c>
      <c r="B93" s="38" t="s">
        <v>175</v>
      </c>
      <c r="C93" s="38" t="s">
        <v>89</v>
      </c>
      <c r="D93" s="21" t="n">
        <f aca="false">ROUND(Q93*R93,0)</f>
        <v>1269</v>
      </c>
      <c r="E93" s="21" t="n">
        <f aca="false">ROUND(Q93,0)-D93</f>
        <v>2249</v>
      </c>
      <c r="F93" s="21" t="n">
        <f aca="false">IF(COUNTA(D93:E93)=0,"",SUM(D93:E93))</f>
        <v>3518</v>
      </c>
      <c r="G93" s="39" t="n">
        <f aca="false">IF(OR(F93="",F93=0),"",D93/F93)</f>
        <v>0.360716316088687</v>
      </c>
      <c r="H93" s="39" t="n">
        <f aca="false">IF(OR(F93="",F93=0),"",E93/F93)</f>
        <v>0.639283683911313</v>
      </c>
      <c r="I93" s="38" t="s">
        <v>90</v>
      </c>
      <c r="J93" s="40" t="n">
        <v>1.7411899431073</v>
      </c>
      <c r="K93" s="39" t="n">
        <f aca="false">IF(G93="","",MAX(0,G93-J93/100))</f>
        <v>0.343304416657614</v>
      </c>
      <c r="L93" s="39" t="n">
        <f aca="false">IF(G93="","",MIN(1,G93+J93/100))</f>
        <v>0.37812821551976</v>
      </c>
      <c r="M93" s="21" t="n">
        <f aca="false">ROUND(Q93*S93,0)</f>
        <v>123</v>
      </c>
      <c r="N93" s="21" t="n">
        <f aca="false">ROUND(SQRT((F93*J93/100)^2+(G93*M93)^2),0)</f>
        <v>76</v>
      </c>
      <c r="P93" s="41" t="n">
        <v>-8.26194887632269</v>
      </c>
      <c r="Q93" s="42" t="n">
        <v>3517.5699404965</v>
      </c>
      <c r="R93" s="43" t="n">
        <f aca="false">MAX(0,MIN(1,P93/100+$D$5))</f>
        <v>0.360889282642577</v>
      </c>
      <c r="S93" s="43" t="n">
        <v>0.0350597310944791</v>
      </c>
      <c r="T93" s="44" t="s">
        <v>97</v>
      </c>
    </row>
    <row r="94" customFormat="false" ht="15" hidden="false" customHeight="false" outlineLevel="0" collapsed="false">
      <c r="A94" s="38" t="s">
        <v>146</v>
      </c>
      <c r="B94" s="38" t="s">
        <v>176</v>
      </c>
      <c r="C94" s="38" t="s">
        <v>89</v>
      </c>
      <c r="D94" s="21" t="n">
        <f aca="false">ROUND(Q94*R94,0)</f>
        <v>1831</v>
      </c>
      <c r="E94" s="21" t="n">
        <f aca="false">ROUND(Q94,0)-D94</f>
        <v>1686</v>
      </c>
      <c r="F94" s="21" t="n">
        <f aca="false">IF(COUNTA(D94:E94)=0,"",SUM(D94:E94))</f>
        <v>3517</v>
      </c>
      <c r="G94" s="39" t="n">
        <f aca="false">IF(OR(F94="",F94=0),"",D94/F94)</f>
        <v>0.52061415979528</v>
      </c>
      <c r="H94" s="39" t="n">
        <f aca="false">IF(OR(F94="",F94=0),"",E94/F94)</f>
        <v>0.47938584020472</v>
      </c>
      <c r="I94" s="38" t="s">
        <v>90</v>
      </c>
      <c r="J94" s="40" t="n">
        <v>1.7411899431073</v>
      </c>
      <c r="K94" s="39" t="n">
        <f aca="false">IF(G94="","",MAX(0,G94-J94/100))</f>
        <v>0.503202260364207</v>
      </c>
      <c r="L94" s="39" t="n">
        <f aca="false">IF(G94="","",MIN(1,G94+J94/100))</f>
        <v>0.538026059226353</v>
      </c>
      <c r="M94" s="21" t="n">
        <f aca="false">ROUND(Q94*S94,0)</f>
        <v>123</v>
      </c>
      <c r="N94" s="21" t="n">
        <f aca="false">ROUND(SQRT((F94*J94/100)^2+(G94*M94)^2),0)</f>
        <v>89</v>
      </c>
      <c r="P94" s="41" t="n">
        <v>7.7036493920073</v>
      </c>
      <c r="Q94" s="42" t="n">
        <v>3517.19350249219</v>
      </c>
      <c r="R94" s="43" t="n">
        <f aca="false">MAX(0,MIN(1,P94/100+$D$5))</f>
        <v>0.520545265325877</v>
      </c>
      <c r="S94" s="43" t="n">
        <v>0.0350597310944791</v>
      </c>
      <c r="T94" s="44" t="s">
        <v>97</v>
      </c>
    </row>
    <row r="95" customFormat="false" ht="15" hidden="false" customHeight="false" outlineLevel="0" collapsed="false">
      <c r="A95" s="38" t="s">
        <v>146</v>
      </c>
      <c r="B95" s="38" t="s">
        <v>177</v>
      </c>
      <c r="C95" s="38" t="s">
        <v>89</v>
      </c>
      <c r="D95" s="21" t="n">
        <f aca="false">ROUND(Q95*R95,0)</f>
        <v>357</v>
      </c>
      <c r="E95" s="21" t="n">
        <f aca="false">ROUND(Q95,0)-D95</f>
        <v>460</v>
      </c>
      <c r="F95" s="21" t="n">
        <f aca="false">IF(COUNTA(D95:E95)=0,"",SUM(D95:E95))</f>
        <v>817</v>
      </c>
      <c r="G95" s="39" t="n">
        <f aca="false">IF(OR(F95="",F95=0),"",D95/F95)</f>
        <v>0.436964504283966</v>
      </c>
      <c r="H95" s="39" t="n">
        <f aca="false">IF(OR(F95="",F95=0),"",E95/F95)</f>
        <v>0.563035495716034</v>
      </c>
      <c r="I95" s="38" t="s">
        <v>90</v>
      </c>
      <c r="J95" s="40" t="n">
        <v>2.62223349707705</v>
      </c>
      <c r="K95" s="39" t="n">
        <f aca="false">IF(G95="","",MAX(0,G95-J95/100))</f>
        <v>0.410742169313195</v>
      </c>
      <c r="L95" s="39" t="n">
        <f aca="false">IF(G95="","",MIN(1,G95+J95/100))</f>
        <v>0.463186839254736</v>
      </c>
      <c r="M95" s="21" t="n">
        <f aca="false">ROUND(Q95*S95,0)</f>
        <v>115</v>
      </c>
      <c r="N95" s="21" t="n">
        <f aca="false">ROUND(SQRT((F95*J95/100)^2+(G95*M95)^2),0)</f>
        <v>55</v>
      </c>
      <c r="P95" s="41" t="n">
        <v>-0.677314571830072</v>
      </c>
      <c r="Q95" s="42" t="n">
        <v>817.037166018518</v>
      </c>
      <c r="R95" s="43" t="n">
        <f aca="false">MAX(0,MIN(1,P95/100+$D$5))</f>
        <v>0.436735625687503</v>
      </c>
      <c r="S95" s="43" t="n">
        <v>0.140730607711166</v>
      </c>
      <c r="T95" s="44" t="s">
        <v>91</v>
      </c>
    </row>
    <row r="96" customFormat="false" ht="15" hidden="false" customHeight="false" outlineLevel="0" collapsed="false">
      <c r="A96" s="38" t="s">
        <v>146</v>
      </c>
      <c r="B96" s="38" t="s">
        <v>139</v>
      </c>
      <c r="C96" s="38" t="s">
        <v>89</v>
      </c>
      <c r="D96" s="21" t="n">
        <f aca="false">ROUND(Q96*R96,0)</f>
        <v>983</v>
      </c>
      <c r="E96" s="21" t="n">
        <f aca="false">ROUND(Q96,0)-D96</f>
        <v>1678</v>
      </c>
      <c r="F96" s="21" t="n">
        <f aca="false">IF(COUNTA(D96:E96)=0,"",SUM(D96:E96))</f>
        <v>2661</v>
      </c>
      <c r="G96" s="39" t="n">
        <f aca="false">IF(OR(F96="",F96=0),"",D96/F96)</f>
        <v>0.369409996242014</v>
      </c>
      <c r="H96" s="39" t="n">
        <f aca="false">IF(OR(F96="",F96=0),"",E96/F96)</f>
        <v>0.630590003757986</v>
      </c>
      <c r="I96" s="38" t="s">
        <v>90</v>
      </c>
      <c r="J96" s="40" t="n">
        <v>1.7411899431073</v>
      </c>
      <c r="K96" s="39" t="n">
        <f aca="false">IF(G96="","",MAX(0,G96-J96/100))</f>
        <v>0.351998096810941</v>
      </c>
      <c r="L96" s="39" t="n">
        <f aca="false">IF(G96="","",MIN(1,G96+J96/100))</f>
        <v>0.386821895673087</v>
      </c>
      <c r="M96" s="21" t="n">
        <f aca="false">ROUND(Q96*S96,0)</f>
        <v>93</v>
      </c>
      <c r="N96" s="21" t="n">
        <f aca="false">ROUND(SQRT((F96*J96/100)^2+(G96*M96)^2),0)</f>
        <v>58</v>
      </c>
      <c r="P96" s="41" t="n">
        <v>-7.42472240019365</v>
      </c>
      <c r="Q96" s="42" t="n">
        <v>2661.32549815149</v>
      </c>
      <c r="R96" s="43" t="n">
        <f aca="false">MAX(0,MIN(1,P96/100+$D$5))</f>
        <v>0.369261547403868</v>
      </c>
      <c r="S96" s="43" t="n">
        <v>0.0350597310944791</v>
      </c>
      <c r="T96" s="44" t="s">
        <v>97</v>
      </c>
    </row>
    <row r="97" customFormat="false" ht="15" hidden="false" customHeight="false" outlineLevel="0" collapsed="false">
      <c r="A97" s="38" t="s">
        <v>146</v>
      </c>
      <c r="B97" s="38" t="s">
        <v>178</v>
      </c>
      <c r="C97" s="38" t="s">
        <v>89</v>
      </c>
      <c r="D97" s="21" t="n">
        <f aca="false">ROUND(Q97*R97,0)</f>
        <v>242</v>
      </c>
      <c r="E97" s="21" t="n">
        <f aca="false">ROUND(Q97,0)-D97</f>
        <v>222</v>
      </c>
      <c r="F97" s="21" t="n">
        <f aca="false">IF(COUNTA(D97:E97)=0,"",SUM(D97:E97))</f>
        <v>464</v>
      </c>
      <c r="G97" s="39" t="n">
        <f aca="false">IF(OR(F97="",F97=0),"",D97/F97)</f>
        <v>0.521551724137931</v>
      </c>
      <c r="H97" s="39" t="n">
        <f aca="false">IF(OR(F97="",F97=0),"",E97/F97)</f>
        <v>0.478448275862069</v>
      </c>
      <c r="I97" s="38" t="s">
        <v>90</v>
      </c>
      <c r="J97" s="40" t="n">
        <v>2.62223349707705</v>
      </c>
      <c r="K97" s="39" t="n">
        <f aca="false">IF(G97="","",MAX(0,G97-J97/100))</f>
        <v>0.495329389167161</v>
      </c>
      <c r="L97" s="39" t="n">
        <f aca="false">IF(G97="","",MIN(1,G97+J97/100))</f>
        <v>0.547774059108702</v>
      </c>
      <c r="M97" s="21" t="n">
        <f aca="false">ROUND(Q97*S97,0)</f>
        <v>65</v>
      </c>
      <c r="N97" s="21" t="n">
        <f aca="false">ROUND(SQRT((F97*J97/100)^2+(G97*M97)^2),0)</f>
        <v>36</v>
      </c>
      <c r="P97" s="41" t="n">
        <v>7.71758923807404</v>
      </c>
      <c r="Q97" s="42" t="n">
        <v>464.253345614271</v>
      </c>
      <c r="R97" s="43" t="n">
        <f aca="false">MAX(0,MIN(1,P97/100+$D$5))</f>
        <v>0.520684663786544</v>
      </c>
      <c r="S97" s="43" t="n">
        <v>0.140730607711166</v>
      </c>
      <c r="T97" s="44" t="s">
        <v>91</v>
      </c>
    </row>
    <row r="98" customFormat="false" ht="15" hidden="false" customHeight="false" outlineLevel="0" collapsed="false">
      <c r="A98" s="38" t="s">
        <v>146</v>
      </c>
      <c r="B98" s="38" t="s">
        <v>179</v>
      </c>
      <c r="C98" s="38" t="s">
        <v>89</v>
      </c>
      <c r="D98" s="21" t="n">
        <f aca="false">ROUND(Q98*R98,0)</f>
        <v>1830</v>
      </c>
      <c r="E98" s="21" t="n">
        <f aca="false">ROUND(Q98,0)-D98</f>
        <v>1899</v>
      </c>
      <c r="F98" s="21" t="n">
        <f aca="false">IF(COUNTA(D98:E98)=0,"",SUM(D98:E98))</f>
        <v>3729</v>
      </c>
      <c r="G98" s="39" t="n">
        <f aca="false">IF(OR(F98="",F98=0),"",D98/F98)</f>
        <v>0.490748189863234</v>
      </c>
      <c r="H98" s="39" t="n">
        <f aca="false">IF(OR(F98="",F98=0),"",E98/F98)</f>
        <v>0.509251810136766</v>
      </c>
      <c r="I98" s="38" t="s">
        <v>90</v>
      </c>
      <c r="J98" s="40" t="n">
        <v>1.7411899431073</v>
      </c>
      <c r="K98" s="39" t="n">
        <f aca="false">IF(G98="","",MAX(0,G98-J98/100))</f>
        <v>0.473336290432161</v>
      </c>
      <c r="L98" s="39" t="n">
        <f aca="false">IF(G98="","",MIN(1,G98+J98/100))</f>
        <v>0.508160089294307</v>
      </c>
      <c r="M98" s="21" t="n">
        <f aca="false">ROUND(Q98*S98,0)</f>
        <v>131</v>
      </c>
      <c r="N98" s="21" t="n">
        <f aca="false">ROUND(SQRT((F98*J98/100)^2+(G98*M98)^2),0)</f>
        <v>91</v>
      </c>
      <c r="P98" s="41" t="n">
        <v>4.74084477959605</v>
      </c>
      <c r="Q98" s="42" t="n">
        <v>3728.65305999977</v>
      </c>
      <c r="R98" s="43" t="n">
        <f aca="false">MAX(0,MIN(1,P98/100+$D$5))</f>
        <v>0.490917219201765</v>
      </c>
      <c r="S98" s="43" t="n">
        <v>0.0350597310944791</v>
      </c>
      <c r="T98" s="44" t="s">
        <v>97</v>
      </c>
    </row>
    <row r="99" customFormat="false" ht="15" hidden="false" customHeight="false" outlineLevel="0" collapsed="false">
      <c r="A99" s="38" t="s">
        <v>146</v>
      </c>
      <c r="B99" s="38" t="s">
        <v>180</v>
      </c>
      <c r="C99" s="38" t="s">
        <v>89</v>
      </c>
      <c r="D99" s="21" t="n">
        <f aca="false">ROUND(Q99*R99,0)</f>
        <v>1442</v>
      </c>
      <c r="E99" s="21" t="n">
        <f aca="false">ROUND(Q99,0)-D99</f>
        <v>1043</v>
      </c>
      <c r="F99" s="21" t="n">
        <f aca="false">IF(COUNTA(D99:E99)=0,"",SUM(D99:E99))</f>
        <v>2485</v>
      </c>
      <c r="G99" s="39" t="n">
        <f aca="false">IF(OR(F99="",F99=0),"",D99/F99)</f>
        <v>0.580281690140845</v>
      </c>
      <c r="H99" s="39" t="n">
        <f aca="false">IF(OR(F99="",F99=0),"",E99/F99)</f>
        <v>0.419718309859155</v>
      </c>
      <c r="I99" s="38" t="s">
        <v>90</v>
      </c>
      <c r="J99" s="40" t="n">
        <v>1.7411899431073</v>
      </c>
      <c r="K99" s="39" t="n">
        <f aca="false">IF(G99="","",MAX(0,G99-J99/100))</f>
        <v>0.562869790709772</v>
      </c>
      <c r="L99" s="39" t="n">
        <f aca="false">IF(G99="","",MIN(1,G99+J99/100))</f>
        <v>0.597693589571918</v>
      </c>
      <c r="M99" s="21" t="n">
        <f aca="false">ROUND(Q99*S99,0)</f>
        <v>87</v>
      </c>
      <c r="N99" s="21" t="n">
        <f aca="false">ROUND(SQRT((F99*J99/100)^2+(G99*M99)^2),0)</f>
        <v>66</v>
      </c>
      <c r="P99" s="41" t="n">
        <v>13.6940002027982</v>
      </c>
      <c r="Q99" s="42" t="n">
        <v>2485.00525741985</v>
      </c>
      <c r="R99" s="43" t="n">
        <f aca="false">MAX(0,MIN(1,P99/100+$D$5))</f>
        <v>0.580448773433786</v>
      </c>
      <c r="S99" s="43" t="n">
        <v>0.0350597310944791</v>
      </c>
      <c r="T99" s="44" t="s">
        <v>97</v>
      </c>
    </row>
    <row r="100" customFormat="false" ht="15" hidden="false" customHeight="false" outlineLevel="0" collapsed="false">
      <c r="A100" s="38" t="s">
        <v>146</v>
      </c>
      <c r="B100" s="38" t="s">
        <v>181</v>
      </c>
      <c r="C100" s="38" t="s">
        <v>89</v>
      </c>
      <c r="D100" s="21" t="n">
        <f aca="false">ROUND(Q100*R100,0)</f>
        <v>576</v>
      </c>
      <c r="E100" s="21" t="n">
        <f aca="false">ROUND(Q100,0)-D100</f>
        <v>645</v>
      </c>
      <c r="F100" s="21" t="n">
        <f aca="false">IF(COUNTA(D100:E100)=0,"",SUM(D100:E100))</f>
        <v>1221</v>
      </c>
      <c r="G100" s="39" t="n">
        <f aca="false">IF(OR(F100="",F100=0),"",D100/F100)</f>
        <v>0.471744471744472</v>
      </c>
      <c r="H100" s="39" t="n">
        <f aca="false">IF(OR(F100="",F100=0),"",E100/F100)</f>
        <v>0.528255528255528</v>
      </c>
      <c r="I100" s="38" t="s">
        <v>90</v>
      </c>
      <c r="J100" s="40" t="n">
        <v>2.62223349707705</v>
      </c>
      <c r="K100" s="39" t="n">
        <f aca="false">IF(G100="","",MAX(0,G100-J100/100))</f>
        <v>0.445522136773701</v>
      </c>
      <c r="L100" s="39" t="n">
        <f aca="false">IF(G100="","",MIN(1,G100+J100/100))</f>
        <v>0.497966806715242</v>
      </c>
      <c r="M100" s="21" t="n">
        <f aca="false">ROUND(Q100*S100,0)</f>
        <v>172</v>
      </c>
      <c r="N100" s="21" t="n">
        <f aca="false">ROUND(SQRT((F100*J100/100)^2+(G100*M100)^2),0)</f>
        <v>87</v>
      </c>
      <c r="P100" s="41" t="n">
        <v>2.85036015140565</v>
      </c>
      <c r="Q100" s="42" t="n">
        <v>1221.05072464976</v>
      </c>
      <c r="R100" s="43" t="n">
        <f aca="false">MAX(0,MIN(1,P100/100+$D$5))</f>
        <v>0.472012372919861</v>
      </c>
      <c r="S100" s="43" t="n">
        <v>0.140730607711166</v>
      </c>
      <c r="T100" s="44" t="s">
        <v>91</v>
      </c>
    </row>
  </sheetData>
  <mergeCells count="4">
    <mergeCell ref="A3:I3"/>
    <mergeCell ref="A6:N6"/>
    <mergeCell ref="A9:N9"/>
    <mergeCell ref="A10:N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182</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183</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B5-SUMPRODUCT(P12:P100,Q12:Q100)/SUM(Q12:Q100)/100</f>
        <v>0.448402776330117</v>
      </c>
      <c r="E5" s="2" t="s">
        <v>63</v>
      </c>
      <c r="F5" s="31" t="n">
        <v>1.94140448480328</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SUM(D12:D100)</f>
        <v>174770</v>
      </c>
      <c r="E8" s="32" t="n">
        <f aca="false">SUM(E12:E100)</f>
        <v>156118</v>
      </c>
      <c r="F8" s="32" t="n">
        <f aca="false">D8+E8</f>
        <v>330888</v>
      </c>
      <c r="G8" s="33" t="n">
        <f aca="false">IF(F8=0,"",D8/F8)</f>
        <v>0.528184763424482</v>
      </c>
      <c r="H8" s="33" t="n">
        <f aca="false">IF(F8=0,"",E8/F8)</f>
        <v>0.471815236575518</v>
      </c>
      <c r="I8" s="11" t="s">
        <v>77</v>
      </c>
      <c r="J8" s="34" t="n">
        <v>1.94140448480328</v>
      </c>
      <c r="K8" s="33" t="n">
        <f aca="false">G8-J8/100</f>
        <v>0.508770718576449</v>
      </c>
      <c r="L8" s="33" t="n">
        <f aca="false">G8+J8/100</f>
        <v>0.547598808272515</v>
      </c>
      <c r="M8" s="32" t="n">
        <f aca="false">ROUND(F8*0.0234,0)</f>
        <v>7743</v>
      </c>
      <c r="N8" s="32" t="n">
        <f aca="false">ROUND(SQRT((F8*J8/100)^2+(G8*M8)^2),0)</f>
        <v>7615</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89</v>
      </c>
      <c r="D12" s="21" t="n">
        <f aca="false">ROUND(Q12*R12,0)</f>
        <v>175</v>
      </c>
      <c r="E12" s="21" t="n">
        <f aca="false">ROUND(Q12,0)-D12</f>
        <v>233</v>
      </c>
      <c r="F12" s="21" t="n">
        <f aca="false">IF(COUNTA(D12:E12)=0,"",SUM(D12:E12))</f>
        <v>408</v>
      </c>
      <c r="G12" s="39" t="n">
        <f aca="false">IF(OR(F12="",F12=0),"",D12/F12)</f>
        <v>0.428921568627451</v>
      </c>
      <c r="H12" s="39" t="n">
        <f aca="false">IF(OR(F12="",F12=0),"",E12/F12)</f>
        <v>0.571078431372549</v>
      </c>
      <c r="I12" s="38" t="s">
        <v>90</v>
      </c>
      <c r="J12" s="40" t="n">
        <v>2.77130020190375</v>
      </c>
      <c r="K12" s="39" t="n">
        <f aca="false">IF(G12="","",MAX(0,G12-J12/100))</f>
        <v>0.401208566608414</v>
      </c>
      <c r="L12" s="39" t="n">
        <f aca="false">IF(G12="","",MIN(1,G12+J12/100))</f>
        <v>0.456634570646488</v>
      </c>
      <c r="M12" s="21" t="n">
        <f aca="false">ROUND(Q12*S12,0)</f>
        <v>45</v>
      </c>
      <c r="N12" s="21" t="n">
        <f aca="false">ROUND(SQRT((F12*J12/100)^2+(G12*M12)^2),0)</f>
        <v>22</v>
      </c>
      <c r="P12" s="41" t="n">
        <v>-1.88604671356007</v>
      </c>
      <c r="Q12" s="42" t="n">
        <v>408.476846456477</v>
      </c>
      <c r="R12" s="43" t="n">
        <f aca="false">MAX(0,MIN(1,P12/100+$D$5))</f>
        <v>0.429542309194516</v>
      </c>
      <c r="S12" s="43" t="n">
        <v>0.109771802132738</v>
      </c>
      <c r="T12" s="44" t="s">
        <v>91</v>
      </c>
    </row>
    <row r="13" customFormat="false" ht="15" hidden="false" customHeight="false" outlineLevel="0" collapsed="false">
      <c r="A13" s="38" t="s">
        <v>87</v>
      </c>
      <c r="B13" s="38" t="s">
        <v>92</v>
      </c>
      <c r="C13" s="38" t="s">
        <v>89</v>
      </c>
      <c r="D13" s="21" t="n">
        <f aca="false">ROUND(Q13*R13,0)</f>
        <v>113</v>
      </c>
      <c r="E13" s="21" t="n">
        <f aca="false">ROUND(Q13,0)-D13</f>
        <v>232</v>
      </c>
      <c r="F13" s="21" t="n">
        <f aca="false">IF(COUNTA(D13:E13)=0,"",SUM(D13:E13))</f>
        <v>345</v>
      </c>
      <c r="G13" s="39" t="n">
        <f aca="false">IF(OR(F13="",F13=0),"",D13/F13)</f>
        <v>0.327536231884058</v>
      </c>
      <c r="H13" s="39" t="n">
        <f aca="false">IF(OR(F13="",F13=0),"",E13/F13)</f>
        <v>0.672463768115942</v>
      </c>
      <c r="I13" s="38" t="s">
        <v>90</v>
      </c>
      <c r="J13" s="40" t="n">
        <v>2.77130020190375</v>
      </c>
      <c r="K13" s="39" t="n">
        <f aca="false">IF(G13="","",MAX(0,G13-J13/100))</f>
        <v>0.29982322986502</v>
      </c>
      <c r="L13" s="39" t="n">
        <f aca="false">IF(G13="","",MIN(1,G13+J13/100))</f>
        <v>0.355249233903095</v>
      </c>
      <c r="M13" s="21" t="n">
        <f aca="false">ROUND(Q13*S13,0)</f>
        <v>38</v>
      </c>
      <c r="N13" s="21" t="n">
        <f aca="false">ROUND(SQRT((F13*J13/100)^2+(G13*M13)^2),0)</f>
        <v>16</v>
      </c>
      <c r="P13" s="41" t="n">
        <v>-12.1218513977511</v>
      </c>
      <c r="Q13" s="42" t="n">
        <v>344.939804121491</v>
      </c>
      <c r="R13" s="43" t="n">
        <f aca="false">MAX(0,MIN(1,P13/100+$D$5))</f>
        <v>0.327184262352606</v>
      </c>
      <c r="S13" s="43" t="n">
        <v>0.109771802132738</v>
      </c>
      <c r="T13" s="44" t="s">
        <v>91</v>
      </c>
    </row>
    <row r="14" customFormat="false" ht="15" hidden="false" customHeight="false" outlineLevel="0" collapsed="false">
      <c r="A14" s="38" t="s">
        <v>87</v>
      </c>
      <c r="B14" s="38" t="s">
        <v>93</v>
      </c>
      <c r="C14" s="38" t="s">
        <v>89</v>
      </c>
      <c r="D14" s="21" t="n">
        <f aca="false">ROUND(Q14*R14,0)</f>
        <v>145</v>
      </c>
      <c r="E14" s="21" t="n">
        <f aca="false">ROUND(Q14,0)-D14</f>
        <v>246</v>
      </c>
      <c r="F14" s="21" t="n">
        <f aca="false">IF(COUNTA(D14:E14)=0,"",SUM(D14:E14))</f>
        <v>391</v>
      </c>
      <c r="G14" s="39" t="n">
        <f aca="false">IF(OR(F14="",F14=0),"",D14/F14)</f>
        <v>0.370843989769821</v>
      </c>
      <c r="H14" s="39" t="n">
        <f aca="false">IF(OR(F14="",F14=0),"",E14/F14)</f>
        <v>0.629156010230179</v>
      </c>
      <c r="I14" s="38" t="s">
        <v>90</v>
      </c>
      <c r="J14" s="40" t="n">
        <v>2.77130020190375</v>
      </c>
      <c r="K14" s="39" t="n">
        <f aca="false">IF(G14="","",MAX(0,G14-J14/100))</f>
        <v>0.343130987750784</v>
      </c>
      <c r="L14" s="39" t="n">
        <f aca="false">IF(G14="","",MIN(1,G14+J14/100))</f>
        <v>0.398556991788858</v>
      </c>
      <c r="M14" s="21" t="n">
        <f aca="false">ROUND(Q14*S14,0)</f>
        <v>43</v>
      </c>
      <c r="N14" s="21" t="n">
        <f aca="false">ROUND(SQRT((F14*J14/100)^2+(G14*M14)^2),0)</f>
        <v>19</v>
      </c>
      <c r="P14" s="41" t="n">
        <v>-7.84019321884252</v>
      </c>
      <c r="Q14" s="42" t="n">
        <v>390.799167576798</v>
      </c>
      <c r="R14" s="43" t="n">
        <f aca="false">MAX(0,MIN(1,P14/100+$D$5))</f>
        <v>0.370000844141692</v>
      </c>
      <c r="S14" s="43" t="n">
        <v>0.109771802132738</v>
      </c>
      <c r="T14" s="44" t="s">
        <v>91</v>
      </c>
    </row>
    <row r="15" customFormat="false" ht="15" hidden="false" customHeight="false" outlineLevel="0" collapsed="false">
      <c r="A15" s="38" t="s">
        <v>87</v>
      </c>
      <c r="B15" s="38" t="s">
        <v>94</v>
      </c>
      <c r="C15" s="38" t="s">
        <v>89</v>
      </c>
      <c r="D15" s="21" t="n">
        <f aca="false">ROUND(Q15*R15,0)</f>
        <v>465</v>
      </c>
      <c r="E15" s="21" t="n">
        <f aca="false">ROUND(Q15,0)-D15</f>
        <v>1000</v>
      </c>
      <c r="F15" s="21" t="n">
        <f aca="false">IF(COUNTA(D15:E15)=0,"",SUM(D15:E15))</f>
        <v>1465</v>
      </c>
      <c r="G15" s="39" t="n">
        <f aca="false">IF(OR(F15="",F15=0),"",D15/F15)</f>
        <v>0.31740614334471</v>
      </c>
      <c r="H15" s="39" t="n">
        <f aca="false">IF(OR(F15="",F15=0),"",E15/F15)</f>
        <v>0.68259385665529</v>
      </c>
      <c r="I15" s="38" t="s">
        <v>90</v>
      </c>
      <c r="J15" s="40" t="n">
        <v>2.77130020190375</v>
      </c>
      <c r="K15" s="39" t="n">
        <f aca="false">IF(G15="","",MAX(0,G15-J15/100))</f>
        <v>0.289693141325672</v>
      </c>
      <c r="L15" s="39" t="n">
        <f aca="false">IF(G15="","",MIN(1,G15+J15/100))</f>
        <v>0.345119145363747</v>
      </c>
      <c r="M15" s="21" t="n">
        <f aca="false">ROUND(Q15*S15,0)</f>
        <v>161</v>
      </c>
      <c r="N15" s="21" t="n">
        <f aca="false">ROUND(SQRT((F15*J15/100)^2+(G15*M15)^2),0)</f>
        <v>65</v>
      </c>
      <c r="P15" s="41" t="n">
        <v>-13.1271699718296</v>
      </c>
      <c r="Q15" s="42" t="n">
        <v>1465.11345151669</v>
      </c>
      <c r="R15" s="43" t="n">
        <f aca="false">MAX(0,MIN(1,P15/100+$D$5))</f>
        <v>0.317131076611821</v>
      </c>
      <c r="S15" s="43" t="n">
        <v>0.109771802132738</v>
      </c>
      <c r="T15" s="44" t="s">
        <v>91</v>
      </c>
    </row>
    <row r="16" customFormat="false" ht="15" hidden="false" customHeight="false" outlineLevel="0" collapsed="false">
      <c r="A16" s="38" t="s">
        <v>87</v>
      </c>
      <c r="B16" s="38" t="s">
        <v>95</v>
      </c>
      <c r="C16" s="38" t="s">
        <v>89</v>
      </c>
      <c r="D16" s="21" t="n">
        <f aca="false">ROUND(Q16*R16,0)</f>
        <v>40</v>
      </c>
      <c r="E16" s="21" t="n">
        <f aca="false">ROUND(Q16,0)-D16</f>
        <v>63</v>
      </c>
      <c r="F16" s="21" t="n">
        <f aca="false">IF(COUNTA(D16:E16)=0,"",SUM(D16:E16))</f>
        <v>103</v>
      </c>
      <c r="G16" s="39" t="n">
        <f aca="false">IF(OR(F16="",F16=0),"",D16/F16)</f>
        <v>0.388349514563107</v>
      </c>
      <c r="H16" s="39" t="n">
        <f aca="false">IF(OR(F16="",F16=0),"",E16/F16)</f>
        <v>0.611650485436893</v>
      </c>
      <c r="I16" s="38" t="s">
        <v>90</v>
      </c>
      <c r="J16" s="40" t="n">
        <v>2.77130020190375</v>
      </c>
      <c r="K16" s="39" t="n">
        <f aca="false">IF(G16="","",MAX(0,G16-J16/100))</f>
        <v>0.360636512544069</v>
      </c>
      <c r="L16" s="39" t="n">
        <f aca="false">IF(G16="","",MIN(1,G16+J16/100))</f>
        <v>0.416062516582144</v>
      </c>
      <c r="M16" s="21" t="n">
        <f aca="false">ROUND(Q16*S16,0)</f>
        <v>11</v>
      </c>
      <c r="N16" s="21" t="n">
        <f aca="false">ROUND(SQRT((F16*J16/100)^2+(G16*M16)^2),0)</f>
        <v>5</v>
      </c>
      <c r="P16" s="41" t="n">
        <v>-5.80374603190229</v>
      </c>
      <c r="Q16" s="42" t="n">
        <v>103.297459128694</v>
      </c>
      <c r="R16" s="43" t="n">
        <f aca="false">MAX(0,MIN(1,P16/100+$D$5))</f>
        <v>0.390365316011094</v>
      </c>
      <c r="S16" s="43" t="n">
        <v>0.109771802132738</v>
      </c>
      <c r="T16" s="44" t="s">
        <v>91</v>
      </c>
    </row>
    <row r="17" customFormat="false" ht="15" hidden="false" customHeight="false" outlineLevel="0" collapsed="false">
      <c r="A17" s="38" t="s">
        <v>87</v>
      </c>
      <c r="B17" s="38" t="s">
        <v>96</v>
      </c>
      <c r="C17" s="38" t="s">
        <v>89</v>
      </c>
      <c r="D17" s="21" t="n">
        <f aca="false">ROUND(Q17*R17,0)</f>
        <v>715</v>
      </c>
      <c r="E17" s="21" t="n">
        <f aca="false">ROUND(Q17,0)-D17</f>
        <v>1506</v>
      </c>
      <c r="F17" s="21" t="n">
        <f aca="false">IF(COUNTA(D17:E17)=0,"",SUM(D17:E17))</f>
        <v>2221</v>
      </c>
      <c r="G17" s="39" t="n">
        <f aca="false">IF(OR(F17="",F17=0),"",D17/F17)</f>
        <v>0.321927059882936</v>
      </c>
      <c r="H17" s="39" t="n">
        <f aca="false">IF(OR(F17="",F17=0),"",E17/F17)</f>
        <v>0.678072940117064</v>
      </c>
      <c r="I17" s="38" t="s">
        <v>90</v>
      </c>
      <c r="J17" s="40" t="n">
        <v>1.9629605122441</v>
      </c>
      <c r="K17" s="39" t="n">
        <f aca="false">IF(G17="","",MAX(0,G17-J17/100))</f>
        <v>0.302297454760495</v>
      </c>
      <c r="L17" s="39" t="n">
        <f aca="false">IF(G17="","",MIN(1,G17+J17/100))</f>
        <v>0.341556665005377</v>
      </c>
      <c r="M17" s="21" t="n">
        <f aca="false">ROUND(Q17*S17,0)</f>
        <v>81</v>
      </c>
      <c r="N17" s="21" t="n">
        <f aca="false">ROUND(SQRT((F17*J17/100)^2+(G17*M17)^2),0)</f>
        <v>51</v>
      </c>
      <c r="P17" s="41" t="n">
        <v>-12.6490033276251</v>
      </c>
      <c r="Q17" s="42" t="n">
        <v>2221.49217655457</v>
      </c>
      <c r="R17" s="43" t="n">
        <f aca="false">MAX(0,MIN(1,P17/100+$D$5))</f>
        <v>0.321912743053867</v>
      </c>
      <c r="S17" s="43" t="n">
        <v>0.036545871650511</v>
      </c>
      <c r="T17" s="44" t="s">
        <v>97</v>
      </c>
    </row>
    <row r="18" customFormat="false" ht="15" hidden="false" customHeight="false" outlineLevel="0" collapsed="false">
      <c r="A18" s="38" t="s">
        <v>87</v>
      </c>
      <c r="B18" s="38" t="s">
        <v>98</v>
      </c>
      <c r="C18" s="38" t="s">
        <v>89</v>
      </c>
      <c r="D18" s="21" t="n">
        <f aca="false">ROUND(Q18*R18,0)</f>
        <v>1161</v>
      </c>
      <c r="E18" s="21" t="n">
        <f aca="false">ROUND(Q18,0)-D18</f>
        <v>1238</v>
      </c>
      <c r="F18" s="21" t="n">
        <f aca="false">IF(COUNTA(D18:E18)=0,"",SUM(D18:E18))</f>
        <v>2399</v>
      </c>
      <c r="G18" s="39" t="n">
        <f aca="false">IF(OR(F18="",F18=0),"",D18/F18)</f>
        <v>0.483951646519383</v>
      </c>
      <c r="H18" s="39" t="n">
        <f aca="false">IF(OR(F18="",F18=0),"",E18/F18)</f>
        <v>0.516048353480617</v>
      </c>
      <c r="I18" s="38" t="s">
        <v>90</v>
      </c>
      <c r="J18" s="40" t="n">
        <v>1.9629605122441</v>
      </c>
      <c r="K18" s="39" t="n">
        <f aca="false">IF(G18="","",MAX(0,G18-J18/100))</f>
        <v>0.464322041396942</v>
      </c>
      <c r="L18" s="39" t="n">
        <f aca="false">IF(G18="","",MIN(1,G18+J18/100))</f>
        <v>0.503581251641824</v>
      </c>
      <c r="M18" s="21" t="n">
        <f aca="false">ROUND(Q18*S18,0)</f>
        <v>88</v>
      </c>
      <c r="N18" s="21" t="n">
        <f aca="false">ROUND(SQRT((F18*J18/100)^2+(G18*M18)^2),0)</f>
        <v>63</v>
      </c>
      <c r="P18" s="41" t="n">
        <v>3.54097338730269</v>
      </c>
      <c r="Q18" s="42" t="n">
        <v>2399.07763040503</v>
      </c>
      <c r="R18" s="43" t="n">
        <f aca="false">MAX(0,MIN(1,P18/100+$D$5))</f>
        <v>0.483812510203144</v>
      </c>
      <c r="S18" s="43" t="n">
        <v>0.036545871650511</v>
      </c>
      <c r="T18" s="44" t="s">
        <v>97</v>
      </c>
    </row>
    <row r="19" customFormat="false" ht="15" hidden="false" customHeight="false" outlineLevel="0" collapsed="false">
      <c r="A19" s="38" t="s">
        <v>87</v>
      </c>
      <c r="B19" s="38" t="s">
        <v>99</v>
      </c>
      <c r="C19" s="38" t="s">
        <v>89</v>
      </c>
      <c r="D19" s="21" t="n">
        <f aca="false">ROUND(Q19*R19,0)</f>
        <v>340</v>
      </c>
      <c r="E19" s="21" t="n">
        <f aca="false">ROUND(Q19,0)-D19</f>
        <v>563</v>
      </c>
      <c r="F19" s="21" t="n">
        <f aca="false">IF(COUNTA(D19:E19)=0,"",SUM(D19:E19))</f>
        <v>903</v>
      </c>
      <c r="G19" s="39" t="n">
        <f aca="false">IF(OR(F19="",F19=0),"",D19/F19)</f>
        <v>0.376522702104097</v>
      </c>
      <c r="H19" s="39" t="n">
        <f aca="false">IF(OR(F19="",F19=0),"",E19/F19)</f>
        <v>0.623477297895903</v>
      </c>
      <c r="I19" s="38" t="s">
        <v>90</v>
      </c>
      <c r="J19" s="40" t="n">
        <v>2.77130020190375</v>
      </c>
      <c r="K19" s="39" t="n">
        <f aca="false">IF(G19="","",MAX(0,G19-J19/100))</f>
        <v>0.34880970008506</v>
      </c>
      <c r="L19" s="39" t="n">
        <f aca="false">IF(G19="","",MIN(1,G19+J19/100))</f>
        <v>0.404235704123135</v>
      </c>
      <c r="M19" s="21" t="n">
        <f aca="false">ROUND(Q19*S19,0)</f>
        <v>99</v>
      </c>
      <c r="N19" s="21" t="n">
        <f aca="false">ROUND(SQRT((F19*J19/100)^2+(G19*M19)^2),0)</f>
        <v>45</v>
      </c>
      <c r="P19" s="41" t="n">
        <v>-7.22021828281154</v>
      </c>
      <c r="Q19" s="42" t="n">
        <v>903.183788625387</v>
      </c>
      <c r="R19" s="43" t="n">
        <f aca="false">MAX(0,MIN(1,P19/100+$D$5))</f>
        <v>0.376200593502002</v>
      </c>
      <c r="S19" s="43" t="n">
        <v>0.109771802132738</v>
      </c>
      <c r="T19" s="44" t="s">
        <v>91</v>
      </c>
    </row>
    <row r="20" customFormat="false" ht="15" hidden="false" customHeight="false" outlineLevel="0" collapsed="false">
      <c r="A20" s="38" t="s">
        <v>87</v>
      </c>
      <c r="B20" s="38" t="s">
        <v>100</v>
      </c>
      <c r="C20" s="38" t="s">
        <v>89</v>
      </c>
      <c r="D20" s="21" t="n">
        <f aca="false">ROUND(Q20*R20,0)</f>
        <v>488</v>
      </c>
      <c r="E20" s="21" t="n">
        <f aca="false">ROUND(Q20,0)-D20</f>
        <v>603</v>
      </c>
      <c r="F20" s="21" t="n">
        <f aca="false">IF(COUNTA(D20:E20)=0,"",SUM(D20:E20))</f>
        <v>1091</v>
      </c>
      <c r="G20" s="39" t="n">
        <f aca="false">IF(OR(F20="",F20=0),"",D20/F20)</f>
        <v>0.447296058661778</v>
      </c>
      <c r="H20" s="39" t="n">
        <f aca="false">IF(OR(F20="",F20=0),"",E20/F20)</f>
        <v>0.552703941338222</v>
      </c>
      <c r="I20" s="38" t="s">
        <v>90</v>
      </c>
      <c r="J20" s="40" t="n">
        <v>2.77130020190375</v>
      </c>
      <c r="K20" s="39" t="n">
        <f aca="false">IF(G20="","",MAX(0,G20-J20/100))</f>
        <v>0.419583056642741</v>
      </c>
      <c r="L20" s="39" t="n">
        <f aca="false">IF(G20="","",MIN(1,G20+J20/100))</f>
        <v>0.475009060680816</v>
      </c>
      <c r="M20" s="21" t="n">
        <f aca="false">ROUND(Q20*S20,0)</f>
        <v>120</v>
      </c>
      <c r="N20" s="21" t="n">
        <f aca="false">ROUND(SQRT((F20*J20/100)^2+(G20*M20)^2),0)</f>
        <v>62</v>
      </c>
      <c r="P20" s="41" t="n">
        <v>-0.0757703892273123</v>
      </c>
      <c r="Q20" s="42" t="n">
        <v>1090.91694473159</v>
      </c>
      <c r="R20" s="43" t="n">
        <f aca="false">MAX(0,MIN(1,P20/100+$D$5))</f>
        <v>0.447645072437844</v>
      </c>
      <c r="S20" s="43" t="n">
        <v>0.109771802132738</v>
      </c>
      <c r="T20" s="44" t="s">
        <v>91</v>
      </c>
    </row>
    <row r="21" customFormat="false" ht="15" hidden="false" customHeight="false" outlineLevel="0" collapsed="false">
      <c r="A21" s="38" t="s">
        <v>87</v>
      </c>
      <c r="B21" s="38" t="s">
        <v>101</v>
      </c>
      <c r="C21" s="38" t="s">
        <v>89</v>
      </c>
      <c r="D21" s="21" t="n">
        <f aca="false">ROUND(Q21*R21,0)</f>
        <v>42</v>
      </c>
      <c r="E21" s="21" t="n">
        <f aca="false">ROUND(Q21,0)-D21</f>
        <v>87</v>
      </c>
      <c r="F21" s="21" t="n">
        <f aca="false">IF(COUNTA(D21:E21)=0,"",SUM(D21:E21))</f>
        <v>129</v>
      </c>
      <c r="G21" s="39" t="n">
        <f aca="false">IF(OR(F21="",F21=0),"",D21/F21)</f>
        <v>0.325581395348837</v>
      </c>
      <c r="H21" s="39" t="n">
        <f aca="false">IF(OR(F21="",F21=0),"",E21/F21)</f>
        <v>0.674418604651163</v>
      </c>
      <c r="I21" s="38" t="s">
        <v>90</v>
      </c>
      <c r="J21" s="40" t="n">
        <v>2.77130020190375</v>
      </c>
      <c r="K21" s="39" t="n">
        <f aca="false">IF(G21="","",MAX(0,G21-J21/100))</f>
        <v>0.2978683933298</v>
      </c>
      <c r="L21" s="39" t="n">
        <f aca="false">IF(G21="","",MIN(1,G21+J21/100))</f>
        <v>0.353294397367875</v>
      </c>
      <c r="M21" s="21" t="n">
        <f aca="false">ROUND(Q21*S21,0)</f>
        <v>14</v>
      </c>
      <c r="N21" s="21" t="n">
        <f aca="false">ROUND(SQRT((F21*J21/100)^2+(G21*M21)^2),0)</f>
        <v>6</v>
      </c>
      <c r="P21" s="41" t="n">
        <v>-12.5917130341237</v>
      </c>
      <c r="Q21" s="42" t="n">
        <v>129.114446759182</v>
      </c>
      <c r="R21" s="43" t="n">
        <f aca="false">MAX(0,MIN(1,P21/100+$D$5))</f>
        <v>0.32248564598888</v>
      </c>
      <c r="S21" s="43" t="n">
        <v>0.109771802132738</v>
      </c>
      <c r="T21" s="44" t="s">
        <v>91</v>
      </c>
    </row>
    <row r="22" customFormat="false" ht="15" hidden="false" customHeight="false" outlineLevel="0" collapsed="false">
      <c r="A22" s="38" t="s">
        <v>87</v>
      </c>
      <c r="B22" s="38" t="s">
        <v>102</v>
      </c>
      <c r="C22" s="38" t="s">
        <v>89</v>
      </c>
      <c r="D22" s="21" t="n">
        <f aca="false">ROUND(Q22*R22,0)</f>
        <v>69</v>
      </c>
      <c r="E22" s="21" t="n">
        <f aca="false">ROUND(Q22,0)-D22</f>
        <v>202</v>
      </c>
      <c r="F22" s="21" t="n">
        <f aca="false">IF(COUNTA(D22:E22)=0,"",SUM(D22:E22))</f>
        <v>271</v>
      </c>
      <c r="G22" s="39" t="n">
        <f aca="false">IF(OR(F22="",F22=0),"",D22/F22)</f>
        <v>0.254612546125461</v>
      </c>
      <c r="H22" s="39" t="n">
        <f aca="false">IF(OR(F22="",F22=0),"",E22/F22)</f>
        <v>0.745387453874539</v>
      </c>
      <c r="I22" s="38" t="s">
        <v>90</v>
      </c>
      <c r="J22" s="40" t="n">
        <v>2.77130020190375</v>
      </c>
      <c r="K22" s="39" t="n">
        <f aca="false">IF(G22="","",MAX(0,G22-J22/100))</f>
        <v>0.226899544106424</v>
      </c>
      <c r="L22" s="39" t="n">
        <f aca="false">IF(G22="","",MIN(1,G22+J22/100))</f>
        <v>0.282325548144499</v>
      </c>
      <c r="M22" s="21" t="n">
        <f aca="false">ROUND(Q22*S22,0)</f>
        <v>30</v>
      </c>
      <c r="N22" s="21" t="n">
        <f aca="false">ROUND(SQRT((F22*J22/100)^2+(G22*M22)^2),0)</f>
        <v>11</v>
      </c>
      <c r="P22" s="41" t="n">
        <v>-19.3243072058654</v>
      </c>
      <c r="Q22" s="42" t="n">
        <v>270.638174604689</v>
      </c>
      <c r="R22" s="43" t="n">
        <f aca="false">MAX(0,MIN(1,P22/100+$D$5))</f>
        <v>0.255159704271464</v>
      </c>
      <c r="S22" s="43" t="n">
        <v>0.109771802132738</v>
      </c>
      <c r="T22" s="44" t="s">
        <v>91</v>
      </c>
    </row>
    <row r="23" customFormat="false" ht="15" hidden="false" customHeight="false" outlineLevel="0" collapsed="false">
      <c r="A23" s="38" t="s">
        <v>87</v>
      </c>
      <c r="B23" s="38" t="s">
        <v>103</v>
      </c>
      <c r="C23" s="38" t="s">
        <v>89</v>
      </c>
      <c r="D23" s="21" t="n">
        <f aca="false">ROUND(Q23*R23,0)</f>
        <v>834</v>
      </c>
      <c r="E23" s="21" t="n">
        <f aca="false">ROUND(Q23,0)-D23</f>
        <v>1042</v>
      </c>
      <c r="F23" s="21" t="n">
        <f aca="false">IF(COUNTA(D23:E23)=0,"",SUM(D23:E23))</f>
        <v>1876</v>
      </c>
      <c r="G23" s="39" t="n">
        <f aca="false">IF(OR(F23="",F23=0),"",D23/F23)</f>
        <v>0.44456289978678</v>
      </c>
      <c r="H23" s="39" t="n">
        <f aca="false">IF(OR(F23="",F23=0),"",E23/F23)</f>
        <v>0.55543710021322</v>
      </c>
      <c r="I23" s="38" t="s">
        <v>90</v>
      </c>
      <c r="J23" s="40" t="n">
        <v>1.9629605122441</v>
      </c>
      <c r="K23" s="39" t="n">
        <f aca="false">IF(G23="","",MAX(0,G23-J23/100))</f>
        <v>0.424933294664339</v>
      </c>
      <c r="L23" s="39" t="n">
        <f aca="false">IF(G23="","",MIN(1,G23+J23/100))</f>
        <v>0.464192504909221</v>
      </c>
      <c r="M23" s="21" t="n">
        <f aca="false">ROUND(Q23*S23,0)</f>
        <v>69</v>
      </c>
      <c r="N23" s="21" t="n">
        <f aca="false">ROUND(SQRT((F23*J23/100)^2+(G23*M23)^2),0)</f>
        <v>48</v>
      </c>
      <c r="P23" s="41" t="n">
        <v>-0.388717372097225</v>
      </c>
      <c r="Q23" s="42" t="n">
        <v>1876.14838974623</v>
      </c>
      <c r="R23" s="43" t="n">
        <f aca="false">MAX(0,MIN(1,P23/100+$D$5))</f>
        <v>0.444515602609145</v>
      </c>
      <c r="S23" s="43" t="n">
        <v>0.036545871650511</v>
      </c>
      <c r="T23" s="44" t="s">
        <v>97</v>
      </c>
    </row>
    <row r="24" customFormat="false" ht="15" hidden="false" customHeight="false" outlineLevel="0" collapsed="false">
      <c r="A24" s="38" t="s">
        <v>87</v>
      </c>
      <c r="B24" s="38" t="s">
        <v>104</v>
      </c>
      <c r="C24" s="38" t="s">
        <v>89</v>
      </c>
      <c r="D24" s="21" t="n">
        <f aca="false">ROUND(Q24*R24,0)</f>
        <v>534</v>
      </c>
      <c r="E24" s="21" t="n">
        <f aca="false">ROUND(Q24,0)-D24</f>
        <v>1027</v>
      </c>
      <c r="F24" s="21" t="n">
        <f aca="false">IF(COUNTA(D24:E24)=0,"",SUM(D24:E24))</f>
        <v>1561</v>
      </c>
      <c r="G24" s="39" t="n">
        <f aca="false">IF(OR(F24="",F24=0),"",D24/F24)</f>
        <v>0.342088404868674</v>
      </c>
      <c r="H24" s="39" t="n">
        <f aca="false">IF(OR(F24="",F24=0),"",E24/F24)</f>
        <v>0.657911595131326</v>
      </c>
      <c r="I24" s="38" t="s">
        <v>90</v>
      </c>
      <c r="J24" s="40" t="n">
        <v>2.77130020190375</v>
      </c>
      <c r="K24" s="39" t="n">
        <f aca="false">IF(G24="","",MAX(0,G24-J24/100))</f>
        <v>0.314375402849636</v>
      </c>
      <c r="L24" s="39" t="n">
        <f aca="false">IF(G24="","",MIN(1,G24+J24/100))</f>
        <v>0.369801406887711</v>
      </c>
      <c r="M24" s="21" t="n">
        <f aca="false">ROUND(Q24*S24,0)</f>
        <v>171</v>
      </c>
      <c r="N24" s="21" t="n">
        <f aca="false">ROUND(SQRT((F24*J24/100)^2+(G24*M24)^2),0)</f>
        <v>73</v>
      </c>
      <c r="P24" s="41" t="n">
        <v>-10.6591720577008</v>
      </c>
      <c r="Q24" s="42" t="n">
        <v>1560.91916530494</v>
      </c>
      <c r="R24" s="43" t="n">
        <f aca="false">MAX(0,MIN(1,P24/100+$D$5))</f>
        <v>0.341811055753109</v>
      </c>
      <c r="S24" s="43" t="n">
        <v>0.109771802132738</v>
      </c>
      <c r="T24" s="44" t="s">
        <v>91</v>
      </c>
    </row>
    <row r="25" customFormat="false" ht="15" hidden="false" customHeight="false" outlineLevel="0" collapsed="false">
      <c r="A25" s="38" t="s">
        <v>87</v>
      </c>
      <c r="B25" s="38" t="s">
        <v>105</v>
      </c>
      <c r="C25" s="38" t="s">
        <v>89</v>
      </c>
      <c r="D25" s="21" t="n">
        <f aca="false">ROUND(Q25*R25,0)</f>
        <v>701</v>
      </c>
      <c r="E25" s="21" t="n">
        <f aca="false">ROUND(Q25,0)-D25</f>
        <v>1360</v>
      </c>
      <c r="F25" s="21" t="n">
        <f aca="false">IF(COUNTA(D25:E25)=0,"",SUM(D25:E25))</f>
        <v>2061</v>
      </c>
      <c r="G25" s="39" t="n">
        <f aca="false">IF(OR(F25="",F25=0),"",D25/F25)</f>
        <v>0.340126152353227</v>
      </c>
      <c r="H25" s="39" t="n">
        <f aca="false">IF(OR(F25="",F25=0),"",E25/F25)</f>
        <v>0.659873847646773</v>
      </c>
      <c r="I25" s="38" t="s">
        <v>90</v>
      </c>
      <c r="J25" s="40" t="n">
        <v>1.9629605122441</v>
      </c>
      <c r="K25" s="39" t="n">
        <f aca="false">IF(G25="","",MAX(0,G25-J25/100))</f>
        <v>0.320496547230786</v>
      </c>
      <c r="L25" s="39" t="n">
        <f aca="false">IF(G25="","",MIN(1,G25+J25/100))</f>
        <v>0.359755757475668</v>
      </c>
      <c r="M25" s="21" t="n">
        <f aca="false">ROUND(Q25*S25,0)</f>
        <v>75</v>
      </c>
      <c r="N25" s="21" t="n">
        <f aca="false">ROUND(SQRT((F25*J25/100)^2+(G25*M25)^2),0)</f>
        <v>48</v>
      </c>
      <c r="P25" s="41" t="n">
        <v>-10.8287334611054</v>
      </c>
      <c r="Q25" s="42" t="n">
        <v>2060.80900272157</v>
      </c>
      <c r="R25" s="43" t="n">
        <f aca="false">MAX(0,MIN(1,P25/100+$D$5))</f>
        <v>0.340115441719063</v>
      </c>
      <c r="S25" s="43" t="n">
        <v>0.036545871650511</v>
      </c>
      <c r="T25" s="44" t="s">
        <v>97</v>
      </c>
    </row>
    <row r="26" customFormat="false" ht="15" hidden="false" customHeight="false" outlineLevel="0" collapsed="false">
      <c r="A26" s="38" t="s">
        <v>87</v>
      </c>
      <c r="B26" s="38" t="s">
        <v>106</v>
      </c>
      <c r="C26" s="38" t="s">
        <v>89</v>
      </c>
      <c r="D26" s="21" t="n">
        <f aca="false">ROUND(Q26*R26,0)</f>
        <v>588</v>
      </c>
      <c r="E26" s="21" t="n">
        <f aca="false">ROUND(Q26,0)-D26</f>
        <v>736</v>
      </c>
      <c r="F26" s="21" t="n">
        <f aca="false">IF(COUNTA(D26:E26)=0,"",SUM(D26:E26))</f>
        <v>1324</v>
      </c>
      <c r="G26" s="39" t="n">
        <f aca="false">IF(OR(F26="",F26=0),"",D26/F26)</f>
        <v>0.444108761329305</v>
      </c>
      <c r="H26" s="39" t="n">
        <f aca="false">IF(OR(F26="",F26=0),"",E26/F26)</f>
        <v>0.555891238670695</v>
      </c>
      <c r="I26" s="38" t="s">
        <v>90</v>
      </c>
      <c r="J26" s="40" t="n">
        <v>2.77130020190375</v>
      </c>
      <c r="K26" s="39" t="n">
        <f aca="false">IF(G26="","",MAX(0,G26-J26/100))</f>
        <v>0.416395759310268</v>
      </c>
      <c r="L26" s="39" t="n">
        <f aca="false">IF(G26="","",MIN(1,G26+J26/100))</f>
        <v>0.471821763348343</v>
      </c>
      <c r="M26" s="21" t="n">
        <f aca="false">ROUND(Q26*S26,0)</f>
        <v>145</v>
      </c>
      <c r="N26" s="21" t="n">
        <f aca="false">ROUND(SQRT((F26*J26/100)^2+(G26*M26)^2),0)</f>
        <v>74</v>
      </c>
      <c r="P26" s="41" t="n">
        <v>-0.444041829712986</v>
      </c>
      <c r="Q26" s="42" t="n">
        <v>1323.78154797656</v>
      </c>
      <c r="R26" s="43" t="n">
        <f aca="false">MAX(0,MIN(1,P26/100+$D$5))</f>
        <v>0.443962358032987</v>
      </c>
      <c r="S26" s="43" t="n">
        <v>0.109771802132738</v>
      </c>
      <c r="T26" s="44" t="s">
        <v>91</v>
      </c>
    </row>
    <row r="27" customFormat="false" ht="15" hidden="false" customHeight="false" outlineLevel="0" collapsed="false">
      <c r="A27" s="38" t="s">
        <v>87</v>
      </c>
      <c r="B27" s="38" t="s">
        <v>107</v>
      </c>
      <c r="C27" s="38" t="s">
        <v>89</v>
      </c>
      <c r="D27" s="21" t="n">
        <f aca="false">ROUND(Q27*R27,0)</f>
        <v>145</v>
      </c>
      <c r="E27" s="21" t="n">
        <f aca="false">ROUND(Q27,0)-D27</f>
        <v>459</v>
      </c>
      <c r="F27" s="21" t="n">
        <f aca="false">IF(COUNTA(D27:E27)=0,"",SUM(D27:E27))</f>
        <v>604</v>
      </c>
      <c r="G27" s="39" t="n">
        <f aca="false">IF(OR(F27="",F27=0),"",D27/F27)</f>
        <v>0.240066225165563</v>
      </c>
      <c r="H27" s="39" t="n">
        <f aca="false">IF(OR(F27="",F27=0),"",E27/F27)</f>
        <v>0.759933774834437</v>
      </c>
      <c r="I27" s="38" t="s">
        <v>90</v>
      </c>
      <c r="J27" s="40" t="n">
        <v>2.77130020190375</v>
      </c>
      <c r="K27" s="39" t="n">
        <f aca="false">IF(G27="","",MAX(0,G27-J27/100))</f>
        <v>0.212353223146525</v>
      </c>
      <c r="L27" s="39" t="n">
        <f aca="false">IF(G27="","",MIN(1,G27+J27/100))</f>
        <v>0.2677792271846</v>
      </c>
      <c r="M27" s="21" t="n">
        <f aca="false">ROUND(Q27*S27,0)</f>
        <v>66</v>
      </c>
      <c r="N27" s="21" t="n">
        <f aca="false">ROUND(SQRT((F27*J27/100)^2+(G27*M27)^2),0)</f>
        <v>23</v>
      </c>
      <c r="P27" s="41" t="n">
        <v>-20.781893832131</v>
      </c>
      <c r="Q27" s="42" t="n">
        <v>604.408996045989</v>
      </c>
      <c r="R27" s="43" t="n">
        <f aca="false">MAX(0,MIN(1,P27/100+$D$5))</f>
        <v>0.240583838008807</v>
      </c>
      <c r="S27" s="43" t="n">
        <v>0.109771802132738</v>
      </c>
      <c r="T27" s="44" t="s">
        <v>91</v>
      </c>
    </row>
    <row r="28" customFormat="false" ht="15" hidden="false" customHeight="false" outlineLevel="0" collapsed="false">
      <c r="A28" s="38" t="s">
        <v>87</v>
      </c>
      <c r="B28" s="38" t="s">
        <v>108</v>
      </c>
      <c r="C28" s="38" t="s">
        <v>89</v>
      </c>
      <c r="D28" s="21" t="n">
        <f aca="false">ROUND(Q28*R28,0)</f>
        <v>912</v>
      </c>
      <c r="E28" s="21" t="n">
        <f aca="false">ROUND(Q28,0)-D28</f>
        <v>1275</v>
      </c>
      <c r="F28" s="21" t="n">
        <f aca="false">IF(COUNTA(D28:E28)=0,"",SUM(D28:E28))</f>
        <v>2187</v>
      </c>
      <c r="G28" s="39" t="n">
        <f aca="false">IF(OR(F28="",F28=0),"",D28/F28)</f>
        <v>0.417009602194787</v>
      </c>
      <c r="H28" s="39" t="n">
        <f aca="false">IF(OR(F28="",F28=0),"",E28/F28)</f>
        <v>0.582990397805213</v>
      </c>
      <c r="I28" s="38" t="s">
        <v>90</v>
      </c>
      <c r="J28" s="40" t="n">
        <v>1.9629605122441</v>
      </c>
      <c r="K28" s="39" t="n">
        <f aca="false">IF(G28="","",MAX(0,G28-J28/100))</f>
        <v>0.397379997072346</v>
      </c>
      <c r="L28" s="39" t="n">
        <f aca="false">IF(G28="","",MIN(1,G28+J28/100))</f>
        <v>0.436639207317228</v>
      </c>
      <c r="M28" s="21" t="n">
        <f aca="false">ROUND(Q28*S28,0)</f>
        <v>80</v>
      </c>
      <c r="N28" s="21" t="n">
        <f aca="false">ROUND(SQRT((F28*J28/100)^2+(G28*M28)^2),0)</f>
        <v>54</v>
      </c>
      <c r="P28" s="41" t="n">
        <v>-3.13048487119494</v>
      </c>
      <c r="Q28" s="42" t="n">
        <v>2187.05687718154</v>
      </c>
      <c r="R28" s="43" t="n">
        <f aca="false">MAX(0,MIN(1,P28/100+$D$5))</f>
        <v>0.417097927618168</v>
      </c>
      <c r="S28" s="43" t="n">
        <v>0.036545871650511</v>
      </c>
      <c r="T28" s="44" t="s">
        <v>97</v>
      </c>
    </row>
    <row r="29" customFormat="false" ht="15" hidden="false" customHeight="false" outlineLevel="0" collapsed="false">
      <c r="A29" s="38" t="s">
        <v>87</v>
      </c>
      <c r="B29" s="38" t="s">
        <v>109</v>
      </c>
      <c r="C29" s="38" t="s">
        <v>89</v>
      </c>
      <c r="D29" s="21" t="n">
        <f aca="false">ROUND(Q29*R29,0)</f>
        <v>75</v>
      </c>
      <c r="E29" s="21" t="n">
        <f aca="false">ROUND(Q29,0)-D29</f>
        <v>136</v>
      </c>
      <c r="F29" s="21" t="n">
        <f aca="false">IF(COUNTA(D29:E29)=0,"",SUM(D29:E29))</f>
        <v>211</v>
      </c>
      <c r="G29" s="39" t="n">
        <f aca="false">IF(OR(F29="",F29=0),"",D29/F29)</f>
        <v>0.355450236966825</v>
      </c>
      <c r="H29" s="39" t="n">
        <f aca="false">IF(OR(F29="",F29=0),"",E29/F29)</f>
        <v>0.644549763033175</v>
      </c>
      <c r="I29" s="38" t="s">
        <v>90</v>
      </c>
      <c r="J29" s="40" t="n">
        <v>2.77130020190375</v>
      </c>
      <c r="K29" s="39" t="n">
        <f aca="false">IF(G29="","",MAX(0,G29-J29/100))</f>
        <v>0.327737234947787</v>
      </c>
      <c r="L29" s="39" t="n">
        <f aca="false">IF(G29="","",MIN(1,G29+J29/100))</f>
        <v>0.383163238985862</v>
      </c>
      <c r="M29" s="21" t="n">
        <f aca="false">ROUND(Q29*S29,0)</f>
        <v>23</v>
      </c>
      <c r="N29" s="21" t="n">
        <f aca="false">ROUND(SQRT((F29*J29/100)^2+(G29*M29)^2),0)</f>
        <v>10</v>
      </c>
      <c r="P29" s="41" t="n">
        <v>-9.36938070554231</v>
      </c>
      <c r="Q29" s="42" t="n">
        <v>210.646388487604</v>
      </c>
      <c r="R29" s="43" t="n">
        <f aca="false">MAX(0,MIN(1,P29/100+$D$5))</f>
        <v>0.354708969274694</v>
      </c>
      <c r="S29" s="43" t="n">
        <v>0.109771802132738</v>
      </c>
      <c r="T29" s="44" t="s">
        <v>91</v>
      </c>
    </row>
    <row r="30" customFormat="false" ht="15" hidden="false" customHeight="false" outlineLevel="0" collapsed="false">
      <c r="A30" s="38" t="s">
        <v>87</v>
      </c>
      <c r="B30" s="38" t="s">
        <v>110</v>
      </c>
      <c r="C30" s="38" t="s">
        <v>89</v>
      </c>
      <c r="D30" s="21" t="n">
        <f aca="false">ROUND(Q30*R30,0)</f>
        <v>1951</v>
      </c>
      <c r="E30" s="21" t="n">
        <f aca="false">ROUND(Q30,0)-D30</f>
        <v>2914</v>
      </c>
      <c r="F30" s="21" t="n">
        <f aca="false">IF(COUNTA(D30:E30)=0,"",SUM(D30:E30))</f>
        <v>4865</v>
      </c>
      <c r="G30" s="39" t="n">
        <f aca="false">IF(OR(F30="",F30=0),"",D30/F30)</f>
        <v>0.401027749229188</v>
      </c>
      <c r="H30" s="39" t="n">
        <f aca="false">IF(OR(F30="",F30=0),"",E30/F30)</f>
        <v>0.598972250770812</v>
      </c>
      <c r="I30" s="38" t="s">
        <v>90</v>
      </c>
      <c r="J30" s="40" t="n">
        <v>1.18886476919636</v>
      </c>
      <c r="K30" s="39" t="n">
        <f aca="false">IF(G30="","",MAX(0,G30-J30/100))</f>
        <v>0.389139101537225</v>
      </c>
      <c r="L30" s="39" t="n">
        <f aca="false">IF(G30="","",MIN(1,G30+J30/100))</f>
        <v>0.412916396921152</v>
      </c>
      <c r="M30" s="21" t="n">
        <f aca="false">ROUND(Q30*S30,0)</f>
        <v>191</v>
      </c>
      <c r="N30" s="21" t="n">
        <f aca="false">ROUND(SQRT((F30*J30/100)^2+(G30*M30)^2),0)</f>
        <v>96</v>
      </c>
      <c r="P30" s="41" t="n">
        <v>-4.74712962886873</v>
      </c>
      <c r="Q30" s="42" t="n">
        <v>4865.45222969842</v>
      </c>
      <c r="R30" s="43" t="n">
        <f aca="false">MAX(0,MIN(1,P30/100+$D$5))</f>
        <v>0.40093148004143</v>
      </c>
      <c r="S30" s="43" t="n">
        <v>0.0393546993294084</v>
      </c>
      <c r="T30" s="44" t="s">
        <v>111</v>
      </c>
    </row>
    <row r="31" customFormat="false" ht="15" hidden="false" customHeight="false" outlineLevel="0" collapsed="false">
      <c r="A31" s="38" t="s">
        <v>87</v>
      </c>
      <c r="B31" s="38" t="s">
        <v>112</v>
      </c>
      <c r="C31" s="38" t="s">
        <v>89</v>
      </c>
      <c r="D31" s="21" t="n">
        <f aca="false">ROUND(Q31*R31,0)</f>
        <v>651</v>
      </c>
      <c r="E31" s="21" t="n">
        <f aca="false">ROUND(Q31,0)-D31</f>
        <v>711</v>
      </c>
      <c r="F31" s="21" t="n">
        <f aca="false">IF(COUNTA(D31:E31)=0,"",SUM(D31:E31))</f>
        <v>1362</v>
      </c>
      <c r="G31" s="39" t="n">
        <f aca="false">IF(OR(F31="",F31=0),"",D31/F31)</f>
        <v>0.477973568281938</v>
      </c>
      <c r="H31" s="39" t="n">
        <f aca="false">IF(OR(F31="",F31=0),"",E31/F31)</f>
        <v>0.522026431718062</v>
      </c>
      <c r="I31" s="38" t="s">
        <v>90</v>
      </c>
      <c r="J31" s="40" t="n">
        <v>2.77130020190375</v>
      </c>
      <c r="K31" s="39" t="n">
        <f aca="false">IF(G31="","",MAX(0,G31-J31/100))</f>
        <v>0.450260566262901</v>
      </c>
      <c r="L31" s="39" t="n">
        <f aca="false">IF(G31="","",MIN(1,G31+J31/100))</f>
        <v>0.505686570300976</v>
      </c>
      <c r="M31" s="21" t="n">
        <f aca="false">ROUND(Q31*S31,0)</f>
        <v>150</v>
      </c>
      <c r="N31" s="21" t="n">
        <f aca="false">ROUND(SQRT((F31*J31/100)^2+(G31*M31)^2),0)</f>
        <v>81</v>
      </c>
      <c r="P31" s="41" t="n">
        <v>2.98376312040032</v>
      </c>
      <c r="Q31" s="42" t="n">
        <v>1362.10675067362</v>
      </c>
      <c r="R31" s="43" t="n">
        <f aca="false">MAX(0,MIN(1,P31/100+$D$5))</f>
        <v>0.47824040753412</v>
      </c>
      <c r="S31" s="43" t="n">
        <v>0.109771802132738</v>
      </c>
      <c r="T31" s="44" t="s">
        <v>91</v>
      </c>
    </row>
    <row r="32" customFormat="false" ht="15" hidden="false" customHeight="false" outlineLevel="0" collapsed="false">
      <c r="A32" s="38" t="s">
        <v>87</v>
      </c>
      <c r="B32" s="38" t="s">
        <v>113</v>
      </c>
      <c r="C32" s="38" t="s">
        <v>89</v>
      </c>
      <c r="D32" s="21" t="n">
        <f aca="false">ROUND(Q32*R32,0)</f>
        <v>809</v>
      </c>
      <c r="E32" s="21" t="n">
        <f aca="false">ROUND(Q32,0)-D32</f>
        <v>1621</v>
      </c>
      <c r="F32" s="21" t="n">
        <f aca="false">IF(COUNTA(D32:E32)=0,"",SUM(D32:E32))</f>
        <v>2430</v>
      </c>
      <c r="G32" s="39" t="n">
        <f aca="false">IF(OR(F32="",F32=0),"",D32/F32)</f>
        <v>0.332921810699589</v>
      </c>
      <c r="H32" s="39" t="n">
        <f aca="false">IF(OR(F32="",F32=0),"",E32/F32)</f>
        <v>0.667078189300412</v>
      </c>
      <c r="I32" s="38" t="s">
        <v>90</v>
      </c>
      <c r="J32" s="40" t="n">
        <v>1.9629605122441</v>
      </c>
      <c r="K32" s="39" t="n">
        <f aca="false">IF(G32="","",MAX(0,G32-J32/100))</f>
        <v>0.313292205577148</v>
      </c>
      <c r="L32" s="39" t="n">
        <f aca="false">IF(G32="","",MIN(1,G32+J32/100))</f>
        <v>0.35255141582203</v>
      </c>
      <c r="M32" s="21" t="n">
        <f aca="false">ROUND(Q32*S32,0)</f>
        <v>89</v>
      </c>
      <c r="N32" s="21" t="n">
        <f aca="false">ROUND(SQRT((F32*J32/100)^2+(G32*M32)^2),0)</f>
        <v>56</v>
      </c>
      <c r="P32" s="41" t="n">
        <v>-11.5510581434275</v>
      </c>
      <c r="Q32" s="42" t="n">
        <v>2430.1204765855</v>
      </c>
      <c r="R32" s="43" t="n">
        <f aca="false">MAX(0,MIN(1,P32/100+$D$5))</f>
        <v>0.332892194895842</v>
      </c>
      <c r="S32" s="43" t="n">
        <v>0.036545871650511</v>
      </c>
      <c r="T32" s="44" t="s">
        <v>97</v>
      </c>
    </row>
    <row r="33" customFormat="false" ht="15" hidden="false" customHeight="false" outlineLevel="0" collapsed="false">
      <c r="A33" s="38" t="s">
        <v>87</v>
      </c>
      <c r="B33" s="38" t="s">
        <v>114</v>
      </c>
      <c r="C33" s="38" t="s">
        <v>89</v>
      </c>
      <c r="D33" s="21" t="n">
        <f aca="false">ROUND(Q33*R33,0)</f>
        <v>339</v>
      </c>
      <c r="E33" s="21" t="n">
        <f aca="false">ROUND(Q33,0)-D33</f>
        <v>691</v>
      </c>
      <c r="F33" s="21" t="n">
        <f aca="false">IF(COUNTA(D33:E33)=0,"",SUM(D33:E33))</f>
        <v>1030</v>
      </c>
      <c r="G33" s="39" t="n">
        <f aca="false">IF(OR(F33="",F33=0),"",D33/F33)</f>
        <v>0.329126213592233</v>
      </c>
      <c r="H33" s="39" t="n">
        <f aca="false">IF(OR(F33="",F33=0),"",E33/F33)</f>
        <v>0.670873786407767</v>
      </c>
      <c r="I33" s="38" t="s">
        <v>90</v>
      </c>
      <c r="J33" s="40" t="n">
        <v>2.77130020190375</v>
      </c>
      <c r="K33" s="39" t="n">
        <f aca="false">IF(G33="","",MAX(0,G33-J33/100))</f>
        <v>0.301413211573196</v>
      </c>
      <c r="L33" s="39" t="n">
        <f aca="false">IF(G33="","",MIN(1,G33+J33/100))</f>
        <v>0.35683921561127</v>
      </c>
      <c r="M33" s="21" t="n">
        <f aca="false">ROUND(Q33*S33,0)</f>
        <v>113</v>
      </c>
      <c r="N33" s="21" t="n">
        <f aca="false">ROUND(SQRT((F33*J33/100)^2+(G33*M33)^2),0)</f>
        <v>47</v>
      </c>
      <c r="P33" s="41" t="n">
        <v>-11.9203888940644</v>
      </c>
      <c r="Q33" s="42" t="n">
        <v>1030.35635450449</v>
      </c>
      <c r="R33" s="43" t="n">
        <f aca="false">MAX(0,MIN(1,P33/100+$D$5))</f>
        <v>0.329198887389473</v>
      </c>
      <c r="S33" s="43" t="n">
        <v>0.109771802132738</v>
      </c>
      <c r="T33" s="44" t="s">
        <v>91</v>
      </c>
    </row>
    <row r="34" customFormat="false" ht="15" hidden="false" customHeight="false" outlineLevel="0" collapsed="false">
      <c r="A34" s="38" t="s">
        <v>87</v>
      </c>
      <c r="B34" s="38" t="s">
        <v>115</v>
      </c>
      <c r="C34" s="38" t="s">
        <v>89</v>
      </c>
      <c r="D34" s="21" t="n">
        <f aca="false">ROUND(Q34*R34,0)</f>
        <v>44</v>
      </c>
      <c r="E34" s="21" t="n">
        <f aca="false">ROUND(Q34,0)-D34</f>
        <v>70</v>
      </c>
      <c r="F34" s="21" t="n">
        <f aca="false">IF(COUNTA(D34:E34)=0,"",SUM(D34:E34))</f>
        <v>114</v>
      </c>
      <c r="G34" s="39" t="n">
        <f aca="false">IF(OR(F34="",F34=0),"",D34/F34)</f>
        <v>0.385964912280702</v>
      </c>
      <c r="H34" s="39" t="n">
        <f aca="false">IF(OR(F34="",F34=0),"",E34/F34)</f>
        <v>0.614035087719298</v>
      </c>
      <c r="I34" s="38" t="s">
        <v>90</v>
      </c>
      <c r="J34" s="40" t="n">
        <v>2.77130020190375</v>
      </c>
      <c r="K34" s="39" t="n">
        <f aca="false">IF(G34="","",MAX(0,G34-J34/100))</f>
        <v>0.358251910261664</v>
      </c>
      <c r="L34" s="39" t="n">
        <f aca="false">IF(G34="","",MIN(1,G34+J34/100))</f>
        <v>0.413677914299739</v>
      </c>
      <c r="M34" s="21" t="n">
        <f aca="false">ROUND(Q34*S34,0)</f>
        <v>13</v>
      </c>
      <c r="N34" s="21" t="n">
        <f aca="false">ROUND(SQRT((F34*J34/100)^2+(G34*M34)^2),0)</f>
        <v>6</v>
      </c>
      <c r="P34" s="41" t="n">
        <v>-6.37255905699158</v>
      </c>
      <c r="Q34" s="42" t="n">
        <v>113.991119797946</v>
      </c>
      <c r="R34" s="43" t="n">
        <f aca="false">MAX(0,MIN(1,P34/100+$D$5))</f>
        <v>0.384677185760201</v>
      </c>
      <c r="S34" s="43" t="n">
        <v>0.109771802132738</v>
      </c>
      <c r="T34" s="44" t="s">
        <v>91</v>
      </c>
    </row>
    <row r="35" customFormat="false" ht="15" hidden="false" customHeight="false" outlineLevel="0" collapsed="false">
      <c r="A35" s="38" t="s">
        <v>116</v>
      </c>
      <c r="B35" s="38" t="s">
        <v>117</v>
      </c>
      <c r="C35" s="38" t="s">
        <v>89</v>
      </c>
      <c r="D35" s="21" t="n">
        <f aca="false">ROUND(Q35*R35,0)</f>
        <v>595</v>
      </c>
      <c r="E35" s="21" t="n">
        <f aca="false">ROUND(Q35,0)-D35</f>
        <v>566</v>
      </c>
      <c r="F35" s="21" t="n">
        <f aca="false">IF(COUNTA(D35:E35)=0,"",SUM(D35:E35))</f>
        <v>1161</v>
      </c>
      <c r="G35" s="39" t="n">
        <f aca="false">IF(OR(F35="",F35=0),"",D35/F35)</f>
        <v>0.512489233419466</v>
      </c>
      <c r="H35" s="39" t="n">
        <f aca="false">IF(OR(F35="",F35=0),"",E35/F35)</f>
        <v>0.487510766580534</v>
      </c>
      <c r="I35" s="38" t="s">
        <v>90</v>
      </c>
      <c r="J35" s="40" t="n">
        <v>2.77130020190375</v>
      </c>
      <c r="K35" s="39" t="n">
        <f aca="false">IF(G35="","",MAX(0,G35-J35/100))</f>
        <v>0.484776231400428</v>
      </c>
      <c r="L35" s="39" t="n">
        <f aca="false">IF(G35="","",MIN(1,G35+J35/100))</f>
        <v>0.540202235438503</v>
      </c>
      <c r="M35" s="21" t="n">
        <f aca="false">ROUND(Q35*S35,0)</f>
        <v>127</v>
      </c>
      <c r="N35" s="21" t="n">
        <f aca="false">ROUND(SQRT((F35*J35/100)^2+(G35*M35)^2),0)</f>
        <v>73</v>
      </c>
      <c r="P35" s="41" t="n">
        <v>6.41572283789779</v>
      </c>
      <c r="Q35" s="42" t="n">
        <v>1161.34169749922</v>
      </c>
      <c r="R35" s="43" t="n">
        <f aca="false">MAX(0,MIN(1,P35/100+$D$5))</f>
        <v>0.512560004709095</v>
      </c>
      <c r="S35" s="43" t="n">
        <v>0.109771802132738</v>
      </c>
      <c r="T35" s="44" t="s">
        <v>91</v>
      </c>
    </row>
    <row r="36" customFormat="false" ht="15" hidden="false" customHeight="false" outlineLevel="0" collapsed="false">
      <c r="A36" s="38" t="s">
        <v>116</v>
      </c>
      <c r="B36" s="38" t="s">
        <v>118</v>
      </c>
      <c r="C36" s="38" t="s">
        <v>89</v>
      </c>
      <c r="D36" s="21" t="n">
        <f aca="false">ROUND(Q36*R36,0)</f>
        <v>17989</v>
      </c>
      <c r="E36" s="21" t="n">
        <f aca="false">ROUND(Q36,0)-D36</f>
        <v>8124</v>
      </c>
      <c r="F36" s="21" t="n">
        <f aca="false">IF(COUNTA(D36:E36)=0,"",SUM(D36:E36))</f>
        <v>26113</v>
      </c>
      <c r="G36" s="39" t="n">
        <f aca="false">IF(OR(F36="",F36=0),"",D36/F36)</f>
        <v>0.688890590893425</v>
      </c>
      <c r="H36" s="39" t="n">
        <f aca="false">IF(OR(F36="",F36=0),"",E36/F36)</f>
        <v>0.311109409106575</v>
      </c>
      <c r="I36" s="38" t="s">
        <v>90</v>
      </c>
      <c r="J36" s="40" t="n">
        <v>1.18886476919636</v>
      </c>
      <c r="K36" s="39" t="n">
        <f aca="false">IF(G36="","",MAX(0,G36-J36/100))</f>
        <v>0.677001943201461</v>
      </c>
      <c r="L36" s="39" t="n">
        <f aca="false">IF(G36="","",MIN(1,G36+J36/100))</f>
        <v>0.700779238585388</v>
      </c>
      <c r="M36" s="21" t="n">
        <f aca="false">ROUND(Q36*S36,0)</f>
        <v>1028</v>
      </c>
      <c r="N36" s="21" t="n">
        <f aca="false">ROUND(SQRT((F36*J36/100)^2+(G36*M36)^2),0)</f>
        <v>773</v>
      </c>
      <c r="P36" s="41" t="n">
        <v>24.0496555482037</v>
      </c>
      <c r="Q36" s="42" t="n">
        <v>26112.9610984908</v>
      </c>
      <c r="R36" s="43" t="n">
        <f aca="false">MAX(0,MIN(1,P36/100+$D$5))</f>
        <v>0.688899331812154</v>
      </c>
      <c r="S36" s="43" t="n">
        <v>0.0393546993294084</v>
      </c>
      <c r="T36" s="44" t="s">
        <v>111</v>
      </c>
    </row>
    <row r="37" customFormat="false" ht="15" hidden="false" customHeight="false" outlineLevel="0" collapsed="false">
      <c r="A37" s="38" t="s">
        <v>116</v>
      </c>
      <c r="B37" s="38" t="s">
        <v>119</v>
      </c>
      <c r="C37" s="38" t="s">
        <v>89</v>
      </c>
      <c r="D37" s="21" t="n">
        <f aca="false">ROUND(Q37*R37,0)</f>
        <v>5769</v>
      </c>
      <c r="E37" s="21" t="n">
        <f aca="false">ROUND(Q37,0)-D37</f>
        <v>2836</v>
      </c>
      <c r="F37" s="21" t="n">
        <f aca="false">IF(COUNTA(D37:E37)=0,"",SUM(D37:E37))</f>
        <v>8605</v>
      </c>
      <c r="G37" s="39" t="n">
        <f aca="false">IF(OR(F37="",F37=0),"",D37/F37)</f>
        <v>0.670424171993027</v>
      </c>
      <c r="H37" s="39" t="n">
        <f aca="false">IF(OR(F37="",F37=0),"",E37/F37)</f>
        <v>0.329575828006973</v>
      </c>
      <c r="I37" s="38" t="s">
        <v>90</v>
      </c>
      <c r="J37" s="40" t="n">
        <v>1.18886476919636</v>
      </c>
      <c r="K37" s="39" t="n">
        <f aca="false">IF(G37="","",MAX(0,G37-J37/100))</f>
        <v>0.658535524301064</v>
      </c>
      <c r="L37" s="39" t="n">
        <f aca="false">IF(G37="","",MIN(1,G37+J37/100))</f>
        <v>0.682312819684991</v>
      </c>
      <c r="M37" s="21" t="n">
        <f aca="false">ROUND(Q37*S37,0)</f>
        <v>339</v>
      </c>
      <c r="N37" s="21" t="n">
        <f aca="false">ROUND(SQRT((F37*J37/100)^2+(G37*M37)^2),0)</f>
        <v>249</v>
      </c>
      <c r="P37" s="41" t="n">
        <v>22.2065157840265</v>
      </c>
      <c r="Q37" s="42" t="n">
        <v>8604.53167558881</v>
      </c>
      <c r="R37" s="43" t="n">
        <f aca="false">MAX(0,MIN(1,P37/100+$D$5))</f>
        <v>0.670467934170382</v>
      </c>
      <c r="S37" s="43" t="n">
        <v>0.0393546993294084</v>
      </c>
      <c r="T37" s="44" t="s">
        <v>111</v>
      </c>
    </row>
    <row r="38" customFormat="false" ht="15" hidden="false" customHeight="false" outlineLevel="0" collapsed="false">
      <c r="A38" s="38" t="s">
        <v>116</v>
      </c>
      <c r="B38" s="38" t="s">
        <v>120</v>
      </c>
      <c r="C38" s="38" t="s">
        <v>89</v>
      </c>
      <c r="D38" s="21" t="n">
        <f aca="false">ROUND(Q38*R38,0)</f>
        <v>1275</v>
      </c>
      <c r="E38" s="21" t="n">
        <f aca="false">ROUND(Q38,0)-D38</f>
        <v>1040</v>
      </c>
      <c r="F38" s="21" t="n">
        <f aca="false">IF(COUNTA(D38:E38)=0,"",SUM(D38:E38))</f>
        <v>2315</v>
      </c>
      <c r="G38" s="39" t="n">
        <f aca="false">IF(OR(F38="",F38=0),"",D38/F38)</f>
        <v>0.550755939524838</v>
      </c>
      <c r="H38" s="39" t="n">
        <f aca="false">IF(OR(F38="",F38=0),"",E38/F38)</f>
        <v>0.449244060475162</v>
      </c>
      <c r="I38" s="38" t="s">
        <v>90</v>
      </c>
      <c r="J38" s="40" t="n">
        <v>1.9629605122441</v>
      </c>
      <c r="K38" s="39" t="n">
        <f aca="false">IF(G38="","",MAX(0,G38-J38/100))</f>
        <v>0.531126334402397</v>
      </c>
      <c r="L38" s="39" t="n">
        <f aca="false">IF(G38="","",MIN(1,G38+J38/100))</f>
        <v>0.570385544647279</v>
      </c>
      <c r="M38" s="21" t="n">
        <f aca="false">ROUND(Q38*S38,0)</f>
        <v>85</v>
      </c>
      <c r="N38" s="21" t="n">
        <f aca="false">ROUND(SQRT((F38*J38/100)^2+(G38*M38)^2),0)</f>
        <v>65</v>
      </c>
      <c r="P38" s="41" t="n">
        <v>10.2404310293946</v>
      </c>
      <c r="Q38" s="42" t="n">
        <v>2315.24313088712</v>
      </c>
      <c r="R38" s="43" t="n">
        <f aca="false">MAX(0,MIN(1,P38/100+$D$5))</f>
        <v>0.550807086624063</v>
      </c>
      <c r="S38" s="43" t="n">
        <v>0.036545871650511</v>
      </c>
      <c r="T38" s="44" t="s">
        <v>97</v>
      </c>
    </row>
    <row r="39" customFormat="false" ht="15" hidden="false" customHeight="false" outlineLevel="0" collapsed="false">
      <c r="A39" s="38" t="s">
        <v>116</v>
      </c>
      <c r="B39" s="38" t="s">
        <v>121</v>
      </c>
      <c r="C39" s="38" t="s">
        <v>89</v>
      </c>
      <c r="D39" s="21" t="n">
        <f aca="false">ROUND(Q39*R39,0)</f>
        <v>722</v>
      </c>
      <c r="E39" s="21" t="n">
        <f aca="false">ROUND(Q39,0)-D39</f>
        <v>654</v>
      </c>
      <c r="F39" s="21" t="n">
        <f aca="false">IF(COUNTA(D39:E39)=0,"",SUM(D39:E39))</f>
        <v>1376</v>
      </c>
      <c r="G39" s="39" t="n">
        <f aca="false">IF(OR(F39="",F39=0),"",D39/F39)</f>
        <v>0.524709302325581</v>
      </c>
      <c r="H39" s="39" t="n">
        <f aca="false">IF(OR(F39="",F39=0),"",E39/F39)</f>
        <v>0.475290697674419</v>
      </c>
      <c r="I39" s="38" t="s">
        <v>90</v>
      </c>
      <c r="J39" s="40" t="n">
        <v>2.77130020190375</v>
      </c>
      <c r="K39" s="39" t="n">
        <f aca="false">IF(G39="","",MAX(0,G39-J39/100))</f>
        <v>0.496996300306544</v>
      </c>
      <c r="L39" s="39" t="n">
        <f aca="false">IF(G39="","",MIN(1,G39+J39/100))</f>
        <v>0.552422304344619</v>
      </c>
      <c r="M39" s="21" t="n">
        <f aca="false">ROUND(Q39*S39,0)</f>
        <v>151</v>
      </c>
      <c r="N39" s="21" t="n">
        <f aca="false">ROUND(SQRT((F39*J39/100)^2+(G39*M39)^2),0)</f>
        <v>88</v>
      </c>
      <c r="P39" s="41" t="n">
        <v>7.60145041004988</v>
      </c>
      <c r="Q39" s="42" t="n">
        <v>1375.8960502213</v>
      </c>
      <c r="R39" s="43" t="n">
        <f aca="false">MAX(0,MIN(1,P39/100+$D$5))</f>
        <v>0.524417280430616</v>
      </c>
      <c r="S39" s="43" t="n">
        <v>0.109771802132738</v>
      </c>
      <c r="T39" s="44" t="s">
        <v>91</v>
      </c>
    </row>
    <row r="40" customFormat="false" ht="15" hidden="false" customHeight="false" outlineLevel="0" collapsed="false">
      <c r="A40" s="38" t="s">
        <v>116</v>
      </c>
      <c r="B40" s="38" t="s">
        <v>122</v>
      </c>
      <c r="C40" s="38" t="s">
        <v>89</v>
      </c>
      <c r="D40" s="21" t="n">
        <f aca="false">ROUND(Q40*R40,0)</f>
        <v>802</v>
      </c>
      <c r="E40" s="21" t="n">
        <f aca="false">ROUND(Q40,0)-D40</f>
        <v>651</v>
      </c>
      <c r="F40" s="21" t="n">
        <f aca="false">IF(COUNTA(D40:E40)=0,"",SUM(D40:E40))</f>
        <v>1453</v>
      </c>
      <c r="G40" s="39" t="n">
        <f aca="false">IF(OR(F40="",F40=0),"",D40/F40)</f>
        <v>0.551961459050241</v>
      </c>
      <c r="H40" s="39" t="n">
        <f aca="false">IF(OR(F40="",F40=0),"",E40/F40)</f>
        <v>0.448038540949759</v>
      </c>
      <c r="I40" s="38" t="s">
        <v>90</v>
      </c>
      <c r="J40" s="40" t="n">
        <v>2.77130020190375</v>
      </c>
      <c r="K40" s="39" t="n">
        <f aca="false">IF(G40="","",MAX(0,G40-J40/100))</f>
        <v>0.524248457031203</v>
      </c>
      <c r="L40" s="39" t="n">
        <f aca="false">IF(G40="","",MIN(1,G40+J40/100))</f>
        <v>0.579674461069278</v>
      </c>
      <c r="M40" s="21" t="n">
        <f aca="false">ROUND(Q40*S40,0)</f>
        <v>160</v>
      </c>
      <c r="N40" s="21" t="n">
        <f aca="false">ROUND(SQRT((F40*J40/100)^2+(G40*M40)^2),0)</f>
        <v>97</v>
      </c>
      <c r="P40" s="41" t="n">
        <v>10.3153821997176</v>
      </c>
      <c r="Q40" s="42" t="n">
        <v>1453.34594695716</v>
      </c>
      <c r="R40" s="43" t="n">
        <f aca="false">MAX(0,MIN(1,P40/100+$D$5))</f>
        <v>0.551556598327293</v>
      </c>
      <c r="S40" s="43" t="n">
        <v>0.109771802132738</v>
      </c>
      <c r="T40" s="44" t="s">
        <v>91</v>
      </c>
    </row>
    <row r="41" customFormat="false" ht="15" hidden="false" customHeight="false" outlineLevel="0" collapsed="false">
      <c r="A41" s="38" t="s">
        <v>116</v>
      </c>
      <c r="B41" s="38" t="s">
        <v>123</v>
      </c>
      <c r="C41" s="38" t="s">
        <v>89</v>
      </c>
      <c r="D41" s="21" t="n">
        <f aca="false">ROUND(Q41*R41,0)</f>
        <v>3295</v>
      </c>
      <c r="E41" s="21" t="n">
        <f aca="false">ROUND(Q41,0)-D41</f>
        <v>2492</v>
      </c>
      <c r="F41" s="21" t="n">
        <f aca="false">IF(COUNTA(D41:E41)=0,"",SUM(D41:E41))</f>
        <v>5787</v>
      </c>
      <c r="G41" s="39" t="n">
        <f aca="false">IF(OR(F41="",F41=0),"",D41/F41)</f>
        <v>0.569379644029722</v>
      </c>
      <c r="H41" s="39" t="n">
        <f aca="false">IF(OR(F41="",F41=0),"",E41/F41)</f>
        <v>0.430620355970278</v>
      </c>
      <c r="I41" s="38" t="s">
        <v>90</v>
      </c>
      <c r="J41" s="40" t="n">
        <v>1.18886476919636</v>
      </c>
      <c r="K41" s="39" t="n">
        <f aca="false">IF(G41="","",MAX(0,G41-J41/100))</f>
        <v>0.557490996337758</v>
      </c>
      <c r="L41" s="39" t="n">
        <f aca="false">IF(G41="","",MIN(1,G41+J41/100))</f>
        <v>0.581268291721685</v>
      </c>
      <c r="M41" s="21" t="n">
        <f aca="false">ROUND(Q41*S41,0)</f>
        <v>228</v>
      </c>
      <c r="N41" s="21" t="n">
        <f aca="false">ROUND(SQRT((F41*J41/100)^2+(G41*M41)^2),0)</f>
        <v>147</v>
      </c>
      <c r="P41" s="41" t="n">
        <v>12.0923656276082</v>
      </c>
      <c r="Q41" s="42" t="n">
        <v>5787.04687722284</v>
      </c>
      <c r="R41" s="43" t="n">
        <f aca="false">MAX(0,MIN(1,P41/100+$D$5))</f>
        <v>0.569326432606199</v>
      </c>
      <c r="S41" s="43" t="n">
        <v>0.0393546993294084</v>
      </c>
      <c r="T41" s="44" t="s">
        <v>111</v>
      </c>
    </row>
    <row r="42" customFormat="false" ht="15" hidden="false" customHeight="false" outlineLevel="0" collapsed="false">
      <c r="A42" s="38" t="s">
        <v>116</v>
      </c>
      <c r="B42" s="38" t="s">
        <v>124</v>
      </c>
      <c r="C42" s="38" t="s">
        <v>89</v>
      </c>
      <c r="D42" s="21" t="n">
        <f aca="false">ROUND(Q42*R42,0)</f>
        <v>1169</v>
      </c>
      <c r="E42" s="21" t="n">
        <f aca="false">ROUND(Q42,0)-D42</f>
        <v>523</v>
      </c>
      <c r="F42" s="21" t="n">
        <f aca="false">IF(COUNTA(D42:E42)=0,"",SUM(D42:E42))</f>
        <v>1692</v>
      </c>
      <c r="G42" s="39" t="n">
        <f aca="false">IF(OR(F42="",F42=0),"",D42/F42)</f>
        <v>0.690898345153664</v>
      </c>
      <c r="H42" s="39" t="n">
        <f aca="false">IF(OR(F42="",F42=0),"",E42/F42)</f>
        <v>0.309101654846336</v>
      </c>
      <c r="I42" s="38" t="s">
        <v>90</v>
      </c>
      <c r="J42" s="40" t="n">
        <v>1.9629605122441</v>
      </c>
      <c r="K42" s="39" t="n">
        <f aca="false">IF(G42="","",MAX(0,G42-J42/100))</f>
        <v>0.671268740031223</v>
      </c>
      <c r="L42" s="39" t="n">
        <f aca="false">IF(G42="","",MIN(1,G42+J42/100))</f>
        <v>0.710527950276105</v>
      </c>
      <c r="M42" s="21" t="n">
        <f aca="false">ROUND(Q42*S42,0)</f>
        <v>62</v>
      </c>
      <c r="N42" s="21" t="n">
        <f aca="false">ROUND(SQRT((F42*J42/100)^2+(G42*M42)^2),0)</f>
        <v>54</v>
      </c>
      <c r="P42" s="41" t="n">
        <v>24.2793370623691</v>
      </c>
      <c r="Q42" s="42" t="n">
        <v>1691.6260807612</v>
      </c>
      <c r="R42" s="43" t="n">
        <f aca="false">MAX(0,MIN(1,P42/100+$D$5))</f>
        <v>0.691196146953808</v>
      </c>
      <c r="S42" s="43" t="n">
        <v>0.036545871650511</v>
      </c>
      <c r="T42" s="44" t="s">
        <v>97</v>
      </c>
    </row>
    <row r="43" customFormat="false" ht="15" hidden="false" customHeight="false" outlineLevel="0" collapsed="false">
      <c r="A43" s="38" t="s">
        <v>116</v>
      </c>
      <c r="B43" s="38" t="s">
        <v>125</v>
      </c>
      <c r="C43" s="38" t="s">
        <v>89</v>
      </c>
      <c r="D43" s="21" t="n">
        <f aca="false">ROUND(Q43*R43,0)</f>
        <v>296</v>
      </c>
      <c r="E43" s="21" t="n">
        <f aca="false">ROUND(Q43,0)-D43</f>
        <v>219</v>
      </c>
      <c r="F43" s="21" t="n">
        <f aca="false">IF(COUNTA(D43:E43)=0,"",SUM(D43:E43))</f>
        <v>515</v>
      </c>
      <c r="G43" s="39" t="n">
        <f aca="false">IF(OR(F43="",F43=0),"",D43/F43)</f>
        <v>0.574757281553398</v>
      </c>
      <c r="H43" s="39" t="n">
        <f aca="false">IF(OR(F43="",F43=0),"",E43/F43)</f>
        <v>0.425242718446602</v>
      </c>
      <c r="I43" s="38" t="s">
        <v>90</v>
      </c>
      <c r="J43" s="40" t="n">
        <v>2.77130020190375</v>
      </c>
      <c r="K43" s="39" t="n">
        <f aca="false">IF(G43="","",MAX(0,G43-J43/100))</f>
        <v>0.547044279534361</v>
      </c>
      <c r="L43" s="39" t="n">
        <f aca="false">IF(G43="","",MIN(1,G43+J43/100))</f>
        <v>0.602470283572436</v>
      </c>
      <c r="M43" s="21" t="n">
        <f aca="false">ROUND(Q43*S43,0)</f>
        <v>57</v>
      </c>
      <c r="N43" s="21" t="n">
        <f aca="false">ROUND(SQRT((F43*J43/100)^2+(G43*M43)^2),0)</f>
        <v>36</v>
      </c>
      <c r="P43" s="41" t="n">
        <v>12.5522211095448</v>
      </c>
      <c r="Q43" s="42" t="n">
        <v>515.254676938384</v>
      </c>
      <c r="R43" s="43" t="n">
        <f aca="false">MAX(0,MIN(1,P43/100+$D$5))</f>
        <v>0.573924987425565</v>
      </c>
      <c r="S43" s="43" t="n">
        <v>0.109771802132738</v>
      </c>
      <c r="T43" s="44" t="s">
        <v>91</v>
      </c>
    </row>
    <row r="44" customFormat="false" ht="15" hidden="false" customHeight="false" outlineLevel="0" collapsed="false">
      <c r="A44" s="38" t="s">
        <v>116</v>
      </c>
      <c r="B44" s="38" t="s">
        <v>126</v>
      </c>
      <c r="C44" s="38" t="s">
        <v>89</v>
      </c>
      <c r="D44" s="21" t="n">
        <f aca="false">ROUND(Q44*R44,0)</f>
        <v>648</v>
      </c>
      <c r="E44" s="21" t="n">
        <f aca="false">ROUND(Q44,0)-D44</f>
        <v>1149</v>
      </c>
      <c r="F44" s="21" t="n">
        <f aca="false">IF(COUNTA(D44:E44)=0,"",SUM(D44:E44))</f>
        <v>1797</v>
      </c>
      <c r="G44" s="39" t="n">
        <f aca="false">IF(OR(F44="",F44=0),"",D44/F44)</f>
        <v>0.360601001669449</v>
      </c>
      <c r="H44" s="39" t="n">
        <f aca="false">IF(OR(F44="",F44=0),"",E44/F44)</f>
        <v>0.639398998330551</v>
      </c>
      <c r="I44" s="38" t="s">
        <v>90</v>
      </c>
      <c r="J44" s="40" t="n">
        <v>1.9629605122441</v>
      </c>
      <c r="K44" s="39" t="n">
        <f aca="false">IF(G44="","",MAX(0,G44-J44/100))</f>
        <v>0.340971396547008</v>
      </c>
      <c r="L44" s="39" t="n">
        <f aca="false">IF(G44="","",MIN(1,G44+J44/100))</f>
        <v>0.38023060679189</v>
      </c>
      <c r="M44" s="21" t="n">
        <f aca="false">ROUND(Q44*S44,0)</f>
        <v>66</v>
      </c>
      <c r="N44" s="21" t="n">
        <f aca="false">ROUND(SQRT((F44*J44/100)^2+(G44*M44)^2),0)</f>
        <v>43</v>
      </c>
      <c r="P44" s="41" t="n">
        <v>-8.78433644446183</v>
      </c>
      <c r="Q44" s="42" t="n">
        <v>1796.7238870871</v>
      </c>
      <c r="R44" s="43" t="n">
        <f aca="false">MAX(0,MIN(1,P44/100+$D$5))</f>
        <v>0.360559411885499</v>
      </c>
      <c r="S44" s="43" t="n">
        <v>0.036545871650511</v>
      </c>
      <c r="T44" s="44" t="s">
        <v>97</v>
      </c>
    </row>
    <row r="45" customFormat="false" ht="15" hidden="false" customHeight="false" outlineLevel="0" collapsed="false">
      <c r="A45" s="38" t="s">
        <v>116</v>
      </c>
      <c r="B45" s="38" t="s">
        <v>127</v>
      </c>
      <c r="C45" s="38" t="s">
        <v>89</v>
      </c>
      <c r="D45" s="21" t="n">
        <f aca="false">ROUND(Q45*R45,0)</f>
        <v>9553</v>
      </c>
      <c r="E45" s="21" t="n">
        <f aca="false">ROUND(Q45,0)-D45</f>
        <v>8264</v>
      </c>
      <c r="F45" s="21" t="n">
        <f aca="false">IF(COUNTA(D45:E45)=0,"",SUM(D45:E45))</f>
        <v>17817</v>
      </c>
      <c r="G45" s="39" t="n">
        <f aca="false">IF(OR(F45="",F45=0),"",D45/F45)</f>
        <v>0.536173317618005</v>
      </c>
      <c r="H45" s="39" t="n">
        <f aca="false">IF(OR(F45="",F45=0),"",E45/F45)</f>
        <v>0.463826682381995</v>
      </c>
      <c r="I45" s="38" t="s">
        <v>90</v>
      </c>
      <c r="J45" s="40" t="n">
        <v>1.18886476919636</v>
      </c>
      <c r="K45" s="39" t="n">
        <f aca="false">IF(G45="","",MAX(0,G45-J45/100))</f>
        <v>0.524284669926042</v>
      </c>
      <c r="L45" s="39" t="n">
        <f aca="false">IF(G45="","",MIN(1,G45+J45/100))</f>
        <v>0.548061965309969</v>
      </c>
      <c r="M45" s="21" t="n">
        <f aca="false">ROUND(Q45*S45,0)</f>
        <v>701</v>
      </c>
      <c r="N45" s="21" t="n">
        <f aca="false">ROUND(SQRT((F45*J45/100)^2+(G45*M45)^2),0)</f>
        <v>431</v>
      </c>
      <c r="P45" s="41" t="n">
        <v>8.77947326165713</v>
      </c>
      <c r="Q45" s="42" t="n">
        <v>17816.7328752177</v>
      </c>
      <c r="R45" s="43" t="n">
        <f aca="false">MAX(0,MIN(1,P45/100+$D$5))</f>
        <v>0.536197508946688</v>
      </c>
      <c r="S45" s="43" t="n">
        <v>0.0393546993294084</v>
      </c>
      <c r="T45" s="44" t="s">
        <v>111</v>
      </c>
    </row>
    <row r="46" customFormat="false" ht="15" hidden="false" customHeight="false" outlineLevel="0" collapsed="false">
      <c r="A46" s="38" t="s">
        <v>116</v>
      </c>
      <c r="B46" s="38" t="s">
        <v>128</v>
      </c>
      <c r="C46" s="38" t="s">
        <v>89</v>
      </c>
      <c r="D46" s="21" t="n">
        <f aca="false">ROUND(Q46*R46,0)</f>
        <v>1010</v>
      </c>
      <c r="E46" s="21" t="n">
        <f aca="false">ROUND(Q46,0)-D46</f>
        <v>1435</v>
      </c>
      <c r="F46" s="21" t="n">
        <f aca="false">IF(COUNTA(D46:E46)=0,"",SUM(D46:E46))</f>
        <v>2445</v>
      </c>
      <c r="G46" s="39" t="n">
        <f aca="false">IF(OR(F46="",F46=0),"",D46/F46)</f>
        <v>0.413087934560327</v>
      </c>
      <c r="H46" s="39" t="n">
        <f aca="false">IF(OR(F46="",F46=0),"",E46/F46)</f>
        <v>0.586912065439673</v>
      </c>
      <c r="I46" s="38" t="s">
        <v>90</v>
      </c>
      <c r="J46" s="40" t="n">
        <v>1.9629605122441</v>
      </c>
      <c r="K46" s="39" t="n">
        <f aca="false">IF(G46="","",MAX(0,G46-J46/100))</f>
        <v>0.393458329437886</v>
      </c>
      <c r="L46" s="39" t="n">
        <f aca="false">IF(G46="","",MIN(1,G46+J46/100))</f>
        <v>0.432717539682768</v>
      </c>
      <c r="M46" s="21" t="n">
        <f aca="false">ROUND(Q46*S46,0)</f>
        <v>89</v>
      </c>
      <c r="N46" s="21" t="n">
        <f aca="false">ROUND(SQRT((F46*J46/100)^2+(G46*M46)^2),0)</f>
        <v>60</v>
      </c>
      <c r="P46" s="41" t="n">
        <v>-3.51982613840313</v>
      </c>
      <c r="Q46" s="42" t="n">
        <v>2445.07989790579</v>
      </c>
      <c r="R46" s="43" t="n">
        <f aca="false">MAX(0,MIN(1,P46/100+$D$5))</f>
        <v>0.413204514946086</v>
      </c>
      <c r="S46" s="43" t="n">
        <v>0.036545871650511</v>
      </c>
      <c r="T46" s="44" t="s">
        <v>97</v>
      </c>
    </row>
    <row r="47" customFormat="false" ht="15" hidden="false" customHeight="false" outlineLevel="0" collapsed="false">
      <c r="A47" s="38" t="s">
        <v>116</v>
      </c>
      <c r="B47" s="38" t="s">
        <v>129</v>
      </c>
      <c r="C47" s="38" t="s">
        <v>89</v>
      </c>
      <c r="D47" s="21" t="n">
        <f aca="false">ROUND(Q47*R47,0)</f>
        <v>543</v>
      </c>
      <c r="E47" s="21" t="n">
        <f aca="false">ROUND(Q47,0)-D47</f>
        <v>819</v>
      </c>
      <c r="F47" s="21" t="n">
        <f aca="false">IF(COUNTA(D47:E47)=0,"",SUM(D47:E47))</f>
        <v>1362</v>
      </c>
      <c r="G47" s="39" t="n">
        <f aca="false">IF(OR(F47="",F47=0),"",D47/F47)</f>
        <v>0.398678414096916</v>
      </c>
      <c r="H47" s="39" t="n">
        <f aca="false">IF(OR(F47="",F47=0),"",E47/F47)</f>
        <v>0.601321585903084</v>
      </c>
      <c r="I47" s="38" t="s">
        <v>90</v>
      </c>
      <c r="J47" s="40" t="n">
        <v>2.77130020190375</v>
      </c>
      <c r="K47" s="39" t="n">
        <f aca="false">IF(G47="","",MAX(0,G47-J47/100))</f>
        <v>0.370965412077879</v>
      </c>
      <c r="L47" s="39" t="n">
        <f aca="false">IF(G47="","",MIN(1,G47+J47/100))</f>
        <v>0.426391416115954</v>
      </c>
      <c r="M47" s="21" t="n">
        <f aca="false">ROUND(Q47*S47,0)</f>
        <v>150</v>
      </c>
      <c r="N47" s="21" t="n">
        <f aca="false">ROUND(SQRT((F47*J47/100)^2+(G47*M47)^2),0)</f>
        <v>71</v>
      </c>
      <c r="P47" s="41" t="n">
        <v>-5.00639936234726</v>
      </c>
      <c r="Q47" s="42" t="n">
        <v>1362.36147998666</v>
      </c>
      <c r="R47" s="43" t="n">
        <f aca="false">MAX(0,MIN(1,P47/100+$D$5))</f>
        <v>0.398338782706644</v>
      </c>
      <c r="S47" s="43" t="n">
        <v>0.109771802132738</v>
      </c>
      <c r="T47" s="44" t="s">
        <v>91</v>
      </c>
    </row>
    <row r="48" customFormat="false" ht="15" hidden="false" customHeight="false" outlineLevel="0" collapsed="false">
      <c r="A48" s="38" t="s">
        <v>116</v>
      </c>
      <c r="B48" s="38" t="s">
        <v>130</v>
      </c>
      <c r="C48" s="38" t="s">
        <v>89</v>
      </c>
      <c r="D48" s="21" t="n">
        <f aca="false">ROUND(Q48*R48,0)</f>
        <v>859</v>
      </c>
      <c r="E48" s="21" t="n">
        <f aca="false">ROUND(Q48,0)-D48</f>
        <v>1551</v>
      </c>
      <c r="F48" s="21" t="n">
        <f aca="false">IF(COUNTA(D48:E48)=0,"",SUM(D48:E48))</f>
        <v>2410</v>
      </c>
      <c r="G48" s="39" t="n">
        <f aca="false">IF(OR(F48="",F48=0),"",D48/F48)</f>
        <v>0.35643153526971</v>
      </c>
      <c r="H48" s="39" t="n">
        <f aca="false">IF(OR(F48="",F48=0),"",E48/F48)</f>
        <v>0.643568464730291</v>
      </c>
      <c r="I48" s="38" t="s">
        <v>90</v>
      </c>
      <c r="J48" s="40" t="n">
        <v>1.9629605122441</v>
      </c>
      <c r="K48" s="39" t="n">
        <f aca="false">IF(G48="","",MAX(0,G48-J48/100))</f>
        <v>0.336801930147269</v>
      </c>
      <c r="L48" s="39" t="n">
        <f aca="false">IF(G48="","",MIN(1,G48+J48/100))</f>
        <v>0.376061140392151</v>
      </c>
      <c r="M48" s="21" t="n">
        <f aca="false">ROUND(Q48*S48,0)</f>
        <v>88</v>
      </c>
      <c r="N48" s="21" t="n">
        <f aca="false">ROUND(SQRT((F48*J48/100)^2+(G48*M48)^2),0)</f>
        <v>57</v>
      </c>
      <c r="P48" s="41" t="n">
        <v>-9.20211787676653</v>
      </c>
      <c r="Q48" s="42" t="n">
        <v>2409.56643575041</v>
      </c>
      <c r="R48" s="43" t="n">
        <f aca="false">MAX(0,MIN(1,P48/100+$D$5))</f>
        <v>0.356381597562452</v>
      </c>
      <c r="S48" s="43" t="n">
        <v>0.036545871650511</v>
      </c>
      <c r="T48" s="44" t="s">
        <v>97</v>
      </c>
    </row>
    <row r="49" customFormat="false" ht="15" hidden="false" customHeight="false" outlineLevel="0" collapsed="false">
      <c r="A49" s="38" t="s">
        <v>116</v>
      </c>
      <c r="B49" s="38" t="s">
        <v>131</v>
      </c>
      <c r="C49" s="38" t="s">
        <v>89</v>
      </c>
      <c r="D49" s="21" t="n">
        <f aca="false">ROUND(Q49*R49,0)</f>
        <v>888</v>
      </c>
      <c r="E49" s="21" t="n">
        <f aca="false">ROUND(Q49,0)-D49</f>
        <v>695</v>
      </c>
      <c r="F49" s="21" t="n">
        <f aca="false">IF(COUNTA(D49:E49)=0,"",SUM(D49:E49))</f>
        <v>1583</v>
      </c>
      <c r="G49" s="39" t="n">
        <f aca="false">IF(OR(F49="",F49=0),"",D49/F49)</f>
        <v>0.560960202147821</v>
      </c>
      <c r="H49" s="39" t="n">
        <f aca="false">IF(OR(F49="",F49=0),"",E49/F49)</f>
        <v>0.439039797852179</v>
      </c>
      <c r="I49" s="38" t="s">
        <v>90</v>
      </c>
      <c r="J49" s="40" t="n">
        <v>1.9629605122441</v>
      </c>
      <c r="K49" s="39" t="n">
        <f aca="false">IF(G49="","",MAX(0,G49-J49/100))</f>
        <v>0.54133059702538</v>
      </c>
      <c r="L49" s="39" t="n">
        <f aca="false">IF(G49="","",MIN(1,G49+J49/100))</f>
        <v>0.580589807270262</v>
      </c>
      <c r="M49" s="21" t="n">
        <f aca="false">ROUND(Q49*S49,0)</f>
        <v>58</v>
      </c>
      <c r="N49" s="21" t="n">
        <f aca="false">ROUND(SQRT((F49*J49/100)^2+(G49*M49)^2),0)</f>
        <v>45</v>
      </c>
      <c r="P49" s="41" t="n">
        <v>11.239870868287</v>
      </c>
      <c r="Q49" s="42" t="n">
        <v>1583.29518361008</v>
      </c>
      <c r="R49" s="43" t="n">
        <f aca="false">MAX(0,MIN(1,P49/100+$D$5))</f>
        <v>0.560801485012987</v>
      </c>
      <c r="S49" s="43" t="n">
        <v>0.036545871650511</v>
      </c>
      <c r="T49" s="44" t="s">
        <v>97</v>
      </c>
    </row>
    <row r="50" customFormat="false" ht="15" hidden="false" customHeight="false" outlineLevel="0" collapsed="false">
      <c r="A50" s="38" t="s">
        <v>116</v>
      </c>
      <c r="B50" s="38" t="s">
        <v>132</v>
      </c>
      <c r="C50" s="38" t="s">
        <v>89</v>
      </c>
      <c r="D50" s="21" t="n">
        <f aca="false">ROUND(Q50*R50,0)</f>
        <v>3898</v>
      </c>
      <c r="E50" s="21" t="n">
        <f aca="false">ROUND(Q50,0)-D50</f>
        <v>4803</v>
      </c>
      <c r="F50" s="21" t="n">
        <f aca="false">IF(COUNTA(D50:E50)=0,"",SUM(D50:E50))</f>
        <v>8701</v>
      </c>
      <c r="G50" s="39" t="n">
        <f aca="false">IF(OR(F50="",F50=0),"",D50/F50)</f>
        <v>0.447994483392713</v>
      </c>
      <c r="H50" s="39" t="n">
        <f aca="false">IF(OR(F50="",F50=0),"",E50/F50)</f>
        <v>0.552005516607287</v>
      </c>
      <c r="I50" s="38" t="s">
        <v>90</v>
      </c>
      <c r="J50" s="40" t="n">
        <v>1.18886476919636</v>
      </c>
      <c r="K50" s="39" t="n">
        <f aca="false">IF(G50="","",MAX(0,G50-J50/100))</f>
        <v>0.43610583570075</v>
      </c>
      <c r="L50" s="39" t="n">
        <f aca="false">IF(G50="","",MIN(1,G50+J50/100))</f>
        <v>0.459883131084677</v>
      </c>
      <c r="M50" s="21" t="n">
        <f aca="false">ROUND(Q50*S50,0)</f>
        <v>342</v>
      </c>
      <c r="N50" s="21" t="n">
        <f aca="false">ROUND(SQRT((F50*J50/100)^2+(G50*M50)^2),0)</f>
        <v>185</v>
      </c>
      <c r="P50" s="41" t="n">
        <v>-0.0387363188759171</v>
      </c>
      <c r="Q50" s="42" t="n">
        <v>8700.91708216956</v>
      </c>
      <c r="R50" s="43" t="n">
        <f aca="false">MAX(0,MIN(1,P50/100+$D$5))</f>
        <v>0.448015413141358</v>
      </c>
      <c r="S50" s="43" t="n">
        <v>0.0393546993294084</v>
      </c>
      <c r="T50" s="44" t="s">
        <v>111</v>
      </c>
    </row>
    <row r="51" customFormat="false" ht="15" hidden="false" customHeight="false" outlineLevel="0" collapsed="false">
      <c r="A51" s="38" t="s">
        <v>116</v>
      </c>
      <c r="B51" s="38" t="s">
        <v>133</v>
      </c>
      <c r="C51" s="38" t="s">
        <v>89</v>
      </c>
      <c r="D51" s="21" t="n">
        <f aca="false">ROUND(Q51*R51,0)</f>
        <v>3795</v>
      </c>
      <c r="E51" s="21" t="n">
        <f aca="false">ROUND(Q51,0)-D51</f>
        <v>3274</v>
      </c>
      <c r="F51" s="21" t="n">
        <f aca="false">IF(COUNTA(D51:E51)=0,"",SUM(D51:E51))</f>
        <v>7069</v>
      </c>
      <c r="G51" s="39" t="n">
        <f aca="false">IF(OR(F51="",F51=0),"",D51/F51)</f>
        <v>0.536851039751026</v>
      </c>
      <c r="H51" s="39" t="n">
        <f aca="false">IF(OR(F51="",F51=0),"",E51/F51)</f>
        <v>0.463148960248974</v>
      </c>
      <c r="I51" s="38" t="s">
        <v>90</v>
      </c>
      <c r="J51" s="40" t="n">
        <v>1.18886476919636</v>
      </c>
      <c r="K51" s="39" t="n">
        <f aca="false">IF(G51="","",MAX(0,G51-J51/100))</f>
        <v>0.524962392059062</v>
      </c>
      <c r="L51" s="39" t="n">
        <f aca="false">IF(G51="","",MIN(1,G51+J51/100))</f>
        <v>0.548739687442989</v>
      </c>
      <c r="M51" s="21" t="n">
        <f aca="false">ROUND(Q51*S51,0)</f>
        <v>278</v>
      </c>
      <c r="N51" s="21" t="n">
        <f aca="false">ROUND(SQRT((F51*J51/100)^2+(G51*M51)^2),0)</f>
        <v>171</v>
      </c>
      <c r="P51" s="41" t="n">
        <v>8.84283667186255</v>
      </c>
      <c r="Q51" s="42" t="n">
        <v>7069.09204101626</v>
      </c>
      <c r="R51" s="43" t="n">
        <f aca="false">MAX(0,MIN(1,P51/100+$D$5))</f>
        <v>0.536831143048743</v>
      </c>
      <c r="S51" s="43" t="n">
        <v>0.0393546993294084</v>
      </c>
      <c r="T51" s="44" t="s">
        <v>111</v>
      </c>
    </row>
    <row r="52" customFormat="false" ht="15" hidden="false" customHeight="false" outlineLevel="0" collapsed="false">
      <c r="A52" s="38" t="s">
        <v>116</v>
      </c>
      <c r="B52" s="38" t="s">
        <v>134</v>
      </c>
      <c r="C52" s="38" t="s">
        <v>89</v>
      </c>
      <c r="D52" s="21" t="n">
        <f aca="false">ROUND(Q52*R52,0)</f>
        <v>692</v>
      </c>
      <c r="E52" s="21" t="n">
        <f aca="false">ROUND(Q52,0)-D52</f>
        <v>817</v>
      </c>
      <c r="F52" s="21" t="n">
        <f aca="false">IF(COUNTA(D52:E52)=0,"",SUM(D52:E52))</f>
        <v>1509</v>
      </c>
      <c r="G52" s="39" t="n">
        <f aca="false">IF(OR(F52="",F52=0),"",D52/F52)</f>
        <v>0.458581842279655</v>
      </c>
      <c r="H52" s="39" t="n">
        <f aca="false">IF(OR(F52="",F52=0),"",E52/F52)</f>
        <v>0.541418157720345</v>
      </c>
      <c r="I52" s="38" t="s">
        <v>90</v>
      </c>
      <c r="J52" s="40" t="n">
        <v>2.77130020190375</v>
      </c>
      <c r="K52" s="39" t="n">
        <f aca="false">IF(G52="","",MAX(0,G52-J52/100))</f>
        <v>0.430868840260618</v>
      </c>
      <c r="L52" s="39" t="n">
        <f aca="false">IF(G52="","",MIN(1,G52+J52/100))</f>
        <v>0.486294844298693</v>
      </c>
      <c r="M52" s="21" t="n">
        <f aca="false">ROUND(Q52*S52,0)</f>
        <v>166</v>
      </c>
      <c r="N52" s="21" t="n">
        <f aca="false">ROUND(SQRT((F52*J52/100)^2+(G52*M52)^2),0)</f>
        <v>87</v>
      </c>
      <c r="P52" s="41" t="n">
        <v>1.00709951653191</v>
      </c>
      <c r="Q52" s="42" t="n">
        <v>1508.93420329632</v>
      </c>
      <c r="R52" s="43" t="n">
        <f aca="false">MAX(0,MIN(1,P52/100+$D$5))</f>
        <v>0.458473771495436</v>
      </c>
      <c r="S52" s="43" t="n">
        <v>0.109771802132738</v>
      </c>
      <c r="T52" s="44" t="s">
        <v>91</v>
      </c>
    </row>
    <row r="53" customFormat="false" ht="15" hidden="false" customHeight="false" outlineLevel="0" collapsed="false">
      <c r="A53" s="38" t="s">
        <v>116</v>
      </c>
      <c r="B53" s="38" t="s">
        <v>135</v>
      </c>
      <c r="C53" s="38" t="s">
        <v>89</v>
      </c>
      <c r="D53" s="21" t="n">
        <f aca="false">ROUND(Q53*R53,0)</f>
        <v>6381</v>
      </c>
      <c r="E53" s="21" t="n">
        <f aca="false">ROUND(Q53,0)-D53</f>
        <v>4877</v>
      </c>
      <c r="F53" s="21" t="n">
        <f aca="false">IF(COUNTA(D53:E53)=0,"",SUM(D53:E53))</f>
        <v>11258</v>
      </c>
      <c r="G53" s="39" t="n">
        <f aca="false">IF(OR(F53="",F53=0),"",D53/F53)</f>
        <v>0.566796944395097</v>
      </c>
      <c r="H53" s="39" t="n">
        <f aca="false">IF(OR(F53="",F53=0),"",E53/F53)</f>
        <v>0.433203055604903</v>
      </c>
      <c r="I53" s="38" t="s">
        <v>90</v>
      </c>
      <c r="J53" s="40" t="n">
        <v>1.18886476919636</v>
      </c>
      <c r="K53" s="39" t="n">
        <f aca="false">IF(G53="","",MAX(0,G53-J53/100))</f>
        <v>0.554908296703133</v>
      </c>
      <c r="L53" s="39" t="n">
        <f aca="false">IF(G53="","",MIN(1,G53+J53/100))</f>
        <v>0.578685592087061</v>
      </c>
      <c r="M53" s="21" t="n">
        <f aca="false">ROUND(Q53*S53,0)</f>
        <v>443</v>
      </c>
      <c r="N53" s="21" t="n">
        <f aca="false">ROUND(SQRT((F53*J53/100)^2+(G53*M53)^2),0)</f>
        <v>285</v>
      </c>
      <c r="P53" s="41" t="n">
        <v>11.8349648392921</v>
      </c>
      <c r="Q53" s="42" t="n">
        <v>11258.1706632429</v>
      </c>
      <c r="R53" s="43" t="n">
        <f aca="false">MAX(0,MIN(1,P53/100+$D$5))</f>
        <v>0.566752424723038</v>
      </c>
      <c r="S53" s="43" t="n">
        <v>0.0393546993294084</v>
      </c>
      <c r="T53" s="44" t="s">
        <v>111</v>
      </c>
    </row>
    <row r="54" customFormat="false" ht="15" hidden="false" customHeight="false" outlineLevel="0" collapsed="false">
      <c r="A54" s="38" t="s">
        <v>116</v>
      </c>
      <c r="B54" s="38" t="s">
        <v>136</v>
      </c>
      <c r="C54" s="38" t="s">
        <v>89</v>
      </c>
      <c r="D54" s="21" t="n">
        <f aca="false">ROUND(Q54*R54,0)</f>
        <v>7145</v>
      </c>
      <c r="E54" s="21" t="n">
        <f aca="false">ROUND(Q54,0)-D54</f>
        <v>5812</v>
      </c>
      <c r="F54" s="21" t="n">
        <f aca="false">IF(COUNTA(D54:E54)=0,"",SUM(D54:E54))</f>
        <v>12957</v>
      </c>
      <c r="G54" s="39" t="n">
        <f aca="false">IF(OR(F54="",F54=0),"",D54/F54)</f>
        <v>0.551439376398858</v>
      </c>
      <c r="H54" s="39" t="n">
        <f aca="false">IF(OR(F54="",F54=0),"",E54/F54)</f>
        <v>0.448560623601142</v>
      </c>
      <c r="I54" s="38" t="s">
        <v>90</v>
      </c>
      <c r="J54" s="40" t="n">
        <v>1.18886476919636</v>
      </c>
      <c r="K54" s="39" t="n">
        <f aca="false">IF(G54="","",MAX(0,G54-J54/100))</f>
        <v>0.539550728706894</v>
      </c>
      <c r="L54" s="39" t="n">
        <f aca="false">IF(G54="","",MIN(1,G54+J54/100))</f>
        <v>0.563328024090821</v>
      </c>
      <c r="M54" s="21" t="n">
        <f aca="false">ROUND(Q54*S54,0)</f>
        <v>510</v>
      </c>
      <c r="N54" s="21" t="n">
        <f aca="false">ROUND(SQRT((F54*J54/100)^2+(G54*M54)^2),0)</f>
        <v>321</v>
      </c>
      <c r="P54" s="41" t="n">
        <v>10.3066961294022</v>
      </c>
      <c r="Q54" s="42" t="n">
        <v>12956.5569225521</v>
      </c>
      <c r="R54" s="43" t="n">
        <f aca="false">MAX(0,MIN(1,P54/100+$D$5))</f>
        <v>0.551469737624139</v>
      </c>
      <c r="S54" s="43" t="n">
        <v>0.0393546993294084</v>
      </c>
      <c r="T54" s="44" t="s">
        <v>111</v>
      </c>
    </row>
    <row r="55" customFormat="false" ht="15" hidden="false" customHeight="false" outlineLevel="0" collapsed="false">
      <c r="A55" s="38" t="s">
        <v>116</v>
      </c>
      <c r="B55" s="38" t="s">
        <v>137</v>
      </c>
      <c r="C55" s="38" t="s">
        <v>89</v>
      </c>
      <c r="D55" s="21" t="n">
        <f aca="false">ROUND(Q55*R55,0)</f>
        <v>2394</v>
      </c>
      <c r="E55" s="21" t="n">
        <f aca="false">ROUND(Q55,0)-D55</f>
        <v>2628</v>
      </c>
      <c r="F55" s="21" t="n">
        <f aca="false">IF(COUNTA(D55:E55)=0,"",SUM(D55:E55))</f>
        <v>5022</v>
      </c>
      <c r="G55" s="39" t="n">
        <f aca="false">IF(OR(F55="",F55=0),"",D55/F55)</f>
        <v>0.476702508960574</v>
      </c>
      <c r="H55" s="39" t="n">
        <f aca="false">IF(OR(F55="",F55=0),"",E55/F55)</f>
        <v>0.523297491039427</v>
      </c>
      <c r="I55" s="38" t="s">
        <v>90</v>
      </c>
      <c r="J55" s="40" t="n">
        <v>1.18886476919636</v>
      </c>
      <c r="K55" s="39" t="n">
        <f aca="false">IF(G55="","",MAX(0,G55-J55/100))</f>
        <v>0.46481386126861</v>
      </c>
      <c r="L55" s="39" t="n">
        <f aca="false">IF(G55="","",MIN(1,G55+J55/100))</f>
        <v>0.488591156652537</v>
      </c>
      <c r="M55" s="21" t="n">
        <f aca="false">ROUND(Q55*S55,0)</f>
        <v>198</v>
      </c>
      <c r="N55" s="21" t="n">
        <f aca="false">ROUND(SQRT((F55*J55/100)^2+(G55*M55)^2),0)</f>
        <v>112</v>
      </c>
      <c r="P55" s="41" t="n">
        <v>2.83552586597127</v>
      </c>
      <c r="Q55" s="42" t="n">
        <v>5022.14348161331</v>
      </c>
      <c r="R55" s="43" t="n">
        <f aca="false">MAX(0,MIN(1,P55/100+$D$5))</f>
        <v>0.47675803498983</v>
      </c>
      <c r="S55" s="43" t="n">
        <v>0.0393546993294084</v>
      </c>
      <c r="T55" s="44" t="s">
        <v>111</v>
      </c>
    </row>
    <row r="56" customFormat="false" ht="15" hidden="false" customHeight="false" outlineLevel="0" collapsed="false">
      <c r="A56" s="38" t="s">
        <v>116</v>
      </c>
      <c r="B56" s="38" t="s">
        <v>138</v>
      </c>
      <c r="C56" s="38" t="s">
        <v>89</v>
      </c>
      <c r="D56" s="21" t="n">
        <f aca="false">ROUND(Q56*R56,0)</f>
        <v>5242</v>
      </c>
      <c r="E56" s="21" t="n">
        <f aca="false">ROUND(Q56,0)-D56</f>
        <v>4660</v>
      </c>
      <c r="F56" s="21" t="n">
        <f aca="false">IF(COUNTA(D56:E56)=0,"",SUM(D56:E56))</f>
        <v>9902</v>
      </c>
      <c r="G56" s="39" t="n">
        <f aca="false">IF(OR(F56="",F56=0),"",D56/F56)</f>
        <v>0.529388002423753</v>
      </c>
      <c r="H56" s="39" t="n">
        <f aca="false">IF(OR(F56="",F56=0),"",E56/F56)</f>
        <v>0.470611997576247</v>
      </c>
      <c r="I56" s="38" t="s">
        <v>90</v>
      </c>
      <c r="J56" s="40" t="n">
        <v>1.18886476919636</v>
      </c>
      <c r="K56" s="39" t="n">
        <f aca="false">IF(G56="","",MAX(0,G56-J56/100))</f>
        <v>0.517499354731789</v>
      </c>
      <c r="L56" s="39" t="n">
        <f aca="false">IF(G56="","",MIN(1,G56+J56/100))</f>
        <v>0.541276650115716</v>
      </c>
      <c r="M56" s="21" t="n">
        <f aca="false">ROUND(Q56*S56,0)</f>
        <v>390</v>
      </c>
      <c r="N56" s="21" t="n">
        <f aca="false">ROUND(SQRT((F56*J56/100)^2+(G56*M56)^2),0)</f>
        <v>238</v>
      </c>
      <c r="P56" s="41" t="n">
        <v>8.10259942020351</v>
      </c>
      <c r="Q56" s="42" t="n">
        <v>9902.01722445904</v>
      </c>
      <c r="R56" s="43" t="n">
        <f aca="false">MAX(0,MIN(1,P56/100+$D$5))</f>
        <v>0.529428770532152</v>
      </c>
      <c r="S56" s="43" t="n">
        <v>0.0393546993294084</v>
      </c>
      <c r="T56" s="44" t="s">
        <v>111</v>
      </c>
    </row>
    <row r="57" customFormat="false" ht="15" hidden="false" customHeight="false" outlineLevel="0" collapsed="false">
      <c r="A57" s="38" t="s">
        <v>116</v>
      </c>
      <c r="B57" s="38" t="s">
        <v>139</v>
      </c>
      <c r="C57" s="38" t="s">
        <v>89</v>
      </c>
      <c r="D57" s="21" t="n">
        <f aca="false">ROUND(Q57*R57,0)</f>
        <v>1277</v>
      </c>
      <c r="E57" s="21" t="n">
        <f aca="false">ROUND(Q57,0)-D57</f>
        <v>2141</v>
      </c>
      <c r="F57" s="21" t="n">
        <f aca="false">IF(COUNTA(D57:E57)=0,"",SUM(D57:E57))</f>
        <v>3418</v>
      </c>
      <c r="G57" s="39" t="n">
        <f aca="false">IF(OR(F57="",F57=0),"",D57/F57)</f>
        <v>0.373610298420129</v>
      </c>
      <c r="H57" s="39" t="n">
        <f aca="false">IF(OR(F57="",F57=0),"",E57/F57)</f>
        <v>0.626389701579871</v>
      </c>
      <c r="I57" s="38" t="s">
        <v>90</v>
      </c>
      <c r="J57" s="40" t="n">
        <v>1.9629605122441</v>
      </c>
      <c r="K57" s="39" t="n">
        <f aca="false">IF(G57="","",MAX(0,G57-J57/100))</f>
        <v>0.353980693297688</v>
      </c>
      <c r="L57" s="39" t="n">
        <f aca="false">IF(G57="","",MIN(1,G57+J57/100))</f>
        <v>0.39323990354257</v>
      </c>
      <c r="M57" s="21" t="n">
        <f aca="false">ROUND(Q57*S57,0)</f>
        <v>125</v>
      </c>
      <c r="N57" s="21" t="n">
        <f aca="false">ROUND(SQRT((F57*J57/100)^2+(G57*M57)^2),0)</f>
        <v>82</v>
      </c>
      <c r="P57" s="41" t="n">
        <v>-7.48678646718646</v>
      </c>
      <c r="Q57" s="42" t="n">
        <v>3417.73842581337</v>
      </c>
      <c r="R57" s="43" t="n">
        <f aca="false">MAX(0,MIN(1,P57/100+$D$5))</f>
        <v>0.373534911658252</v>
      </c>
      <c r="S57" s="43" t="n">
        <v>0.036545871650511</v>
      </c>
      <c r="T57" s="44" t="s">
        <v>97</v>
      </c>
    </row>
    <row r="58" customFormat="false" ht="15" hidden="false" customHeight="false" outlineLevel="0" collapsed="false">
      <c r="A58" s="38" t="s">
        <v>116</v>
      </c>
      <c r="B58" s="38" t="s">
        <v>140</v>
      </c>
      <c r="C58" s="38" t="s">
        <v>89</v>
      </c>
      <c r="D58" s="21" t="n">
        <f aca="false">ROUND(Q58*R58,0)</f>
        <v>1164</v>
      </c>
      <c r="E58" s="21" t="n">
        <f aca="false">ROUND(Q58,0)-D58</f>
        <v>1850</v>
      </c>
      <c r="F58" s="21" t="n">
        <f aca="false">IF(COUNTA(D58:E58)=0,"",SUM(D58:E58))</f>
        <v>3014</v>
      </c>
      <c r="G58" s="39" t="n">
        <f aca="false">IF(OR(F58="",F58=0),"",D58/F58)</f>
        <v>0.386197743861977</v>
      </c>
      <c r="H58" s="39" t="n">
        <f aca="false">IF(OR(F58="",F58=0),"",E58/F58)</f>
        <v>0.613802256138023</v>
      </c>
      <c r="I58" s="38" t="s">
        <v>90</v>
      </c>
      <c r="J58" s="40" t="n">
        <v>1.9629605122441</v>
      </c>
      <c r="K58" s="39" t="n">
        <f aca="false">IF(G58="","",MAX(0,G58-J58/100))</f>
        <v>0.366568138739536</v>
      </c>
      <c r="L58" s="39" t="n">
        <f aca="false">IF(G58="","",MIN(1,G58+J58/100))</f>
        <v>0.405827348984418</v>
      </c>
      <c r="M58" s="21" t="n">
        <f aca="false">ROUND(Q58*S58,0)</f>
        <v>110</v>
      </c>
      <c r="N58" s="21" t="n">
        <f aca="false">ROUND(SQRT((F58*J58/100)^2+(G58*M58)^2),0)</f>
        <v>73</v>
      </c>
      <c r="P58" s="41" t="n">
        <v>-6.22481984395344</v>
      </c>
      <c r="Q58" s="42" t="n">
        <v>3013.86447671024</v>
      </c>
      <c r="R58" s="43" t="n">
        <f aca="false">MAX(0,MIN(1,P58/100+$D$5))</f>
        <v>0.386154577890583</v>
      </c>
      <c r="S58" s="43" t="n">
        <v>0.036545871650511</v>
      </c>
      <c r="T58" s="44" t="s">
        <v>97</v>
      </c>
    </row>
    <row r="59" customFormat="false" ht="15" hidden="false" customHeight="false" outlineLevel="0" collapsed="false">
      <c r="A59" s="38" t="s">
        <v>116</v>
      </c>
      <c r="B59" s="38" t="s">
        <v>141</v>
      </c>
      <c r="C59" s="38" t="s">
        <v>89</v>
      </c>
      <c r="D59" s="21" t="n">
        <f aca="false">ROUND(Q59*R59,0)</f>
        <v>6278</v>
      </c>
      <c r="E59" s="21" t="n">
        <f aca="false">ROUND(Q59,0)-D59</f>
        <v>5144</v>
      </c>
      <c r="F59" s="21" t="n">
        <f aca="false">IF(COUNTA(D59:E59)=0,"",SUM(D59:E59))</f>
        <v>11422</v>
      </c>
      <c r="G59" s="39" t="n">
        <f aca="false">IF(OR(F59="",F59=0),"",D59/F59)</f>
        <v>0.54964104360007</v>
      </c>
      <c r="H59" s="39" t="n">
        <f aca="false">IF(OR(F59="",F59=0),"",E59/F59)</f>
        <v>0.45035895639993</v>
      </c>
      <c r="I59" s="38" t="s">
        <v>90</v>
      </c>
      <c r="J59" s="40" t="n">
        <v>1.18886476919636</v>
      </c>
      <c r="K59" s="39" t="n">
        <f aca="false">IF(G59="","",MAX(0,G59-J59/100))</f>
        <v>0.537752395908106</v>
      </c>
      <c r="L59" s="39" t="n">
        <f aca="false">IF(G59="","",MIN(1,G59+J59/100))</f>
        <v>0.561529691292034</v>
      </c>
      <c r="M59" s="21" t="n">
        <f aca="false">ROUND(Q59*S59,0)</f>
        <v>449</v>
      </c>
      <c r="N59" s="21" t="n">
        <f aca="false">ROUND(SQRT((F59*J59/100)^2+(G59*M59)^2),0)</f>
        <v>282</v>
      </c>
      <c r="P59" s="41" t="n">
        <v>10.1240730847675</v>
      </c>
      <c r="Q59" s="42" t="n">
        <v>11421.5452180095</v>
      </c>
      <c r="R59" s="43" t="n">
        <f aca="false">MAX(0,MIN(1,P59/100+$D$5))</f>
        <v>0.549643507177792</v>
      </c>
      <c r="S59" s="43" t="n">
        <v>0.0393546993294084</v>
      </c>
      <c r="T59" s="44" t="s">
        <v>111</v>
      </c>
    </row>
    <row r="60" customFormat="false" ht="15" hidden="false" customHeight="false" outlineLevel="0" collapsed="false">
      <c r="A60" s="38" t="s">
        <v>142</v>
      </c>
      <c r="B60" s="38" t="s">
        <v>143</v>
      </c>
      <c r="C60" s="38" t="s">
        <v>89</v>
      </c>
      <c r="D60" s="21" t="n">
        <f aca="false">ROUND(Q60*R60,0)</f>
        <v>478</v>
      </c>
      <c r="E60" s="21" t="n">
        <f aca="false">ROUND(Q60,0)-D60</f>
        <v>892</v>
      </c>
      <c r="F60" s="21" t="n">
        <f aca="false">IF(COUNTA(D60:E60)=0,"",SUM(D60:E60))</f>
        <v>1370</v>
      </c>
      <c r="G60" s="39" t="n">
        <f aca="false">IF(OR(F60="",F60=0),"",D60/F60)</f>
        <v>0.348905109489051</v>
      </c>
      <c r="H60" s="39" t="n">
        <f aca="false">IF(OR(F60="",F60=0),"",E60/F60)</f>
        <v>0.651094890510949</v>
      </c>
      <c r="I60" s="38" t="s">
        <v>90</v>
      </c>
      <c r="J60" s="40" t="n">
        <v>2.77130020190375</v>
      </c>
      <c r="K60" s="39" t="n">
        <f aca="false">IF(G60="","",MAX(0,G60-J60/100))</f>
        <v>0.321192107470014</v>
      </c>
      <c r="L60" s="39" t="n">
        <f aca="false">IF(G60="","",MIN(1,G60+J60/100))</f>
        <v>0.376618111508089</v>
      </c>
      <c r="M60" s="21" t="n">
        <f aca="false">ROUND(Q60*S60,0)</f>
        <v>150</v>
      </c>
      <c r="N60" s="21" t="n">
        <f aca="false">ROUND(SQRT((F60*J60/100)^2+(G60*M60)^2),0)</f>
        <v>65</v>
      </c>
      <c r="P60" s="41" t="n">
        <v>-9.93828971202343</v>
      </c>
      <c r="Q60" s="42" t="n">
        <v>1369.85018166212</v>
      </c>
      <c r="R60" s="43" t="n">
        <f aca="false">MAX(0,MIN(1,P60/100+$D$5))</f>
        <v>0.349019879209883</v>
      </c>
      <c r="S60" s="43" t="n">
        <v>0.109771802132738</v>
      </c>
      <c r="T60" s="44" t="s">
        <v>91</v>
      </c>
    </row>
    <row r="61" customFormat="false" ht="15" hidden="false" customHeight="false" outlineLevel="0" collapsed="false">
      <c r="A61" s="38" t="s">
        <v>142</v>
      </c>
      <c r="B61" s="38" t="s">
        <v>144</v>
      </c>
      <c r="C61" s="38" t="s">
        <v>89</v>
      </c>
      <c r="D61" s="21" t="n">
        <f aca="false">ROUND(Q61*R61,0)</f>
        <v>1330</v>
      </c>
      <c r="E61" s="21" t="n">
        <f aca="false">ROUND(Q61,0)-D61</f>
        <v>2199</v>
      </c>
      <c r="F61" s="21" t="n">
        <f aca="false">IF(COUNTA(D61:E61)=0,"",SUM(D61:E61))</f>
        <v>3529</v>
      </c>
      <c r="G61" s="39" t="n">
        <f aca="false">IF(OR(F61="",F61=0),"",D61/F61)</f>
        <v>0.376877302351941</v>
      </c>
      <c r="H61" s="39" t="n">
        <f aca="false">IF(OR(F61="",F61=0),"",E61/F61)</f>
        <v>0.623122697648059</v>
      </c>
      <c r="I61" s="38" t="s">
        <v>90</v>
      </c>
      <c r="J61" s="40" t="n">
        <v>1.9629605122441</v>
      </c>
      <c r="K61" s="39" t="n">
        <f aca="false">IF(G61="","",MAX(0,G61-J61/100))</f>
        <v>0.3572476972295</v>
      </c>
      <c r="L61" s="39" t="n">
        <f aca="false">IF(G61="","",MIN(1,G61+J61/100))</f>
        <v>0.396506907474382</v>
      </c>
      <c r="M61" s="21" t="n">
        <f aca="false">ROUND(Q61*S61,0)</f>
        <v>129</v>
      </c>
      <c r="N61" s="21" t="n">
        <f aca="false">ROUND(SQRT((F61*J61/100)^2+(G61*M61)^2),0)</f>
        <v>85</v>
      </c>
      <c r="P61" s="41" t="n">
        <v>-7.1636327556437</v>
      </c>
      <c r="Q61" s="42" t="n">
        <v>3529.39157467109</v>
      </c>
      <c r="R61" s="43" t="n">
        <f aca="false">MAX(0,MIN(1,P61/100+$D$5))</f>
        <v>0.37676644877368</v>
      </c>
      <c r="S61" s="43" t="n">
        <v>0.036545871650511</v>
      </c>
      <c r="T61" s="44" t="s">
        <v>97</v>
      </c>
    </row>
    <row r="62" customFormat="false" ht="15" hidden="false" customHeight="false" outlineLevel="0" collapsed="false">
      <c r="A62" s="38" t="s">
        <v>142</v>
      </c>
      <c r="B62" s="38" t="s">
        <v>145</v>
      </c>
      <c r="C62" s="38" t="s">
        <v>89</v>
      </c>
      <c r="D62" s="21" t="n">
        <f aca="false">ROUND(Q62*R62,0)</f>
        <v>485</v>
      </c>
      <c r="E62" s="21" t="n">
        <f aca="false">ROUND(Q62,0)-D62</f>
        <v>806</v>
      </c>
      <c r="F62" s="21" t="n">
        <f aca="false">IF(COUNTA(D62:E62)=0,"",SUM(D62:E62))</f>
        <v>1291</v>
      </c>
      <c r="G62" s="39" t="n">
        <f aca="false">IF(OR(F62="",F62=0),"",D62/F62)</f>
        <v>0.375677769171185</v>
      </c>
      <c r="H62" s="39" t="n">
        <f aca="false">IF(OR(F62="",F62=0),"",E62/F62)</f>
        <v>0.624322230828815</v>
      </c>
      <c r="I62" s="38" t="s">
        <v>90</v>
      </c>
      <c r="J62" s="40" t="n">
        <v>2.77130020190375</v>
      </c>
      <c r="K62" s="39" t="n">
        <f aca="false">IF(G62="","",MAX(0,G62-J62/100))</f>
        <v>0.347964767152148</v>
      </c>
      <c r="L62" s="39" t="n">
        <f aca="false">IF(G62="","",MIN(1,G62+J62/100))</f>
        <v>0.403390771190223</v>
      </c>
      <c r="M62" s="21" t="n">
        <f aca="false">ROUND(Q62*S62,0)</f>
        <v>142</v>
      </c>
      <c r="N62" s="21" t="n">
        <f aca="false">ROUND(SQRT((F62*J62/100)^2+(G62*M62)^2),0)</f>
        <v>64</v>
      </c>
      <c r="P62" s="41" t="n">
        <v>-7.24868345688693</v>
      </c>
      <c r="Q62" s="42" t="n">
        <v>1290.88470203512</v>
      </c>
      <c r="R62" s="43" t="n">
        <f aca="false">MAX(0,MIN(1,P62/100+$D$5))</f>
        <v>0.375915941761248</v>
      </c>
      <c r="S62" s="43" t="n">
        <v>0.109771802132738</v>
      </c>
      <c r="T62" s="44" t="s">
        <v>91</v>
      </c>
    </row>
    <row r="63" customFormat="false" ht="15" hidden="false" customHeight="false" outlineLevel="0" collapsed="false">
      <c r="A63" s="38" t="s">
        <v>146</v>
      </c>
      <c r="B63" s="38" t="s">
        <v>147</v>
      </c>
      <c r="C63" s="38" t="s">
        <v>89</v>
      </c>
      <c r="D63" s="21" t="n">
        <f aca="false">ROUND(Q63*R63,0)</f>
        <v>1417</v>
      </c>
      <c r="E63" s="21" t="n">
        <f aca="false">ROUND(Q63,0)-D63</f>
        <v>1571</v>
      </c>
      <c r="F63" s="21" t="n">
        <f aca="false">IF(COUNTA(D63:E63)=0,"",SUM(D63:E63))</f>
        <v>2988</v>
      </c>
      <c r="G63" s="39" t="n">
        <f aca="false">IF(OR(F63="",F63=0),"",D63/F63)</f>
        <v>0.474230254350736</v>
      </c>
      <c r="H63" s="39" t="n">
        <f aca="false">IF(OR(F63="",F63=0),"",E63/F63)</f>
        <v>0.525769745649264</v>
      </c>
      <c r="I63" s="38" t="s">
        <v>90</v>
      </c>
      <c r="J63" s="40" t="n">
        <v>1.9629605122441</v>
      </c>
      <c r="K63" s="39" t="n">
        <f aca="false">IF(G63="","",MAX(0,G63-J63/100))</f>
        <v>0.454600649228295</v>
      </c>
      <c r="L63" s="39" t="n">
        <f aca="false">IF(G63="","",MIN(1,G63+J63/100))</f>
        <v>0.493859859473177</v>
      </c>
      <c r="M63" s="21" t="n">
        <f aca="false">ROUND(Q63*S63,0)</f>
        <v>109</v>
      </c>
      <c r="N63" s="21" t="n">
        <f aca="false">ROUND(SQRT((F63*J63/100)^2+(G63*M63)^2),0)</f>
        <v>78</v>
      </c>
      <c r="P63" s="41" t="n">
        <v>2.56959945870452</v>
      </c>
      <c r="Q63" s="42" t="n">
        <v>2988.23744719037</v>
      </c>
      <c r="R63" s="43" t="n">
        <f aca="false">MAX(0,MIN(1,P63/100+$D$5))</f>
        <v>0.474098770917162</v>
      </c>
      <c r="S63" s="43" t="n">
        <v>0.036545871650511</v>
      </c>
      <c r="T63" s="44" t="s">
        <v>97</v>
      </c>
    </row>
    <row r="64" customFormat="false" ht="15" hidden="false" customHeight="false" outlineLevel="0" collapsed="false">
      <c r="A64" s="38" t="s">
        <v>146</v>
      </c>
      <c r="B64" s="38" t="s">
        <v>148</v>
      </c>
      <c r="C64" s="38" t="s">
        <v>89</v>
      </c>
      <c r="D64" s="21" t="n">
        <f aca="false">ROUND(Q64*R64,0)</f>
        <v>898</v>
      </c>
      <c r="E64" s="21" t="n">
        <f aca="false">ROUND(Q64,0)-D64</f>
        <v>1090</v>
      </c>
      <c r="F64" s="21" t="n">
        <f aca="false">IF(COUNTA(D64:E64)=0,"",SUM(D64:E64))</f>
        <v>1988</v>
      </c>
      <c r="G64" s="39" t="n">
        <f aca="false">IF(OR(F64="",F64=0),"",D64/F64)</f>
        <v>0.451710261569417</v>
      </c>
      <c r="H64" s="39" t="n">
        <f aca="false">IF(OR(F64="",F64=0),"",E64/F64)</f>
        <v>0.548289738430584</v>
      </c>
      <c r="I64" s="38" t="s">
        <v>90</v>
      </c>
      <c r="J64" s="40" t="n">
        <v>1.9629605122441</v>
      </c>
      <c r="K64" s="39" t="n">
        <f aca="false">IF(G64="","",MAX(0,G64-J64/100))</f>
        <v>0.432080656446976</v>
      </c>
      <c r="L64" s="39" t="n">
        <f aca="false">IF(G64="","",MIN(1,G64+J64/100))</f>
        <v>0.471339866691858</v>
      </c>
      <c r="M64" s="21" t="n">
        <f aca="false">ROUND(Q64*S64,0)</f>
        <v>73</v>
      </c>
      <c r="N64" s="21" t="n">
        <f aca="false">ROUND(SQRT((F64*J64/100)^2+(G64*M64)^2),0)</f>
        <v>51</v>
      </c>
      <c r="P64" s="41" t="n">
        <v>0.33748618883341</v>
      </c>
      <c r="Q64" s="42" t="n">
        <v>1988.15917356609</v>
      </c>
      <c r="R64" s="43" t="n">
        <f aca="false">MAX(0,MIN(1,P64/100+$D$5))</f>
        <v>0.451777638218451</v>
      </c>
      <c r="S64" s="43" t="n">
        <v>0.036545871650511</v>
      </c>
      <c r="T64" s="44" t="s">
        <v>97</v>
      </c>
    </row>
    <row r="65" customFormat="false" ht="15" hidden="false" customHeight="false" outlineLevel="0" collapsed="false">
      <c r="A65" s="38" t="s">
        <v>146</v>
      </c>
      <c r="B65" s="38" t="s">
        <v>149</v>
      </c>
      <c r="C65" s="38" t="s">
        <v>89</v>
      </c>
      <c r="D65" s="21" t="n">
        <f aca="false">ROUND(Q65*R65,0)</f>
        <v>548</v>
      </c>
      <c r="E65" s="21" t="n">
        <f aca="false">ROUND(Q65,0)-D65</f>
        <v>522</v>
      </c>
      <c r="F65" s="21" t="n">
        <f aca="false">IF(COUNTA(D65:E65)=0,"",SUM(D65:E65))</f>
        <v>1070</v>
      </c>
      <c r="G65" s="39" t="n">
        <f aca="false">IF(OR(F65="",F65=0),"",D65/F65)</f>
        <v>0.51214953271028</v>
      </c>
      <c r="H65" s="39" t="n">
        <f aca="false">IF(OR(F65="",F65=0),"",E65/F65)</f>
        <v>0.48785046728972</v>
      </c>
      <c r="I65" s="38" t="s">
        <v>90</v>
      </c>
      <c r="J65" s="40" t="n">
        <v>2.77130020190375</v>
      </c>
      <c r="K65" s="39" t="n">
        <f aca="false">IF(G65="","",MAX(0,G65-J65/100))</f>
        <v>0.484436530691243</v>
      </c>
      <c r="L65" s="39" t="n">
        <f aca="false">IF(G65="","",MIN(1,G65+J65/100))</f>
        <v>0.539862534729318</v>
      </c>
      <c r="M65" s="21" t="n">
        <f aca="false">ROUND(Q65*S65,0)</f>
        <v>117</v>
      </c>
      <c r="N65" s="21" t="n">
        <f aca="false">ROUND(SQRT((F65*J65/100)^2+(G65*M65)^2),0)</f>
        <v>67</v>
      </c>
      <c r="P65" s="41" t="n">
        <v>6.35624555092846</v>
      </c>
      <c r="Q65" s="42" t="n">
        <v>1069.64204564419</v>
      </c>
      <c r="R65" s="43" t="n">
        <f aca="false">MAX(0,MIN(1,P65/100+$D$5))</f>
        <v>0.511965231839402</v>
      </c>
      <c r="S65" s="43" t="n">
        <v>0.109771802132738</v>
      </c>
      <c r="T65" s="44" t="s">
        <v>91</v>
      </c>
    </row>
    <row r="66" customFormat="false" ht="15" hidden="false" customHeight="false" outlineLevel="0" collapsed="false">
      <c r="A66" s="38" t="s">
        <v>146</v>
      </c>
      <c r="B66" s="38" t="s">
        <v>119</v>
      </c>
      <c r="C66" s="38" t="s">
        <v>89</v>
      </c>
      <c r="D66" s="21" t="n">
        <f aca="false">ROUND(Q66*R66,0)</f>
        <v>13393</v>
      </c>
      <c r="E66" s="21" t="n">
        <f aca="false">ROUND(Q66,0)-D66</f>
        <v>5679</v>
      </c>
      <c r="F66" s="21" t="n">
        <f aca="false">IF(COUNTA(D66:E66)=0,"",SUM(D66:E66))</f>
        <v>19072</v>
      </c>
      <c r="G66" s="39" t="n">
        <f aca="false">IF(OR(F66="",F66=0),"",D66/F66)</f>
        <v>0.702233640939597</v>
      </c>
      <c r="H66" s="39" t="n">
        <f aca="false">IF(OR(F66="",F66=0),"",E66/F66)</f>
        <v>0.297766359060403</v>
      </c>
      <c r="I66" s="38" t="s">
        <v>90</v>
      </c>
      <c r="J66" s="40" t="n">
        <v>1.18886476919636</v>
      </c>
      <c r="K66" s="39" t="n">
        <f aca="false">IF(G66="","",MAX(0,G66-J66/100))</f>
        <v>0.690344993247634</v>
      </c>
      <c r="L66" s="39" t="n">
        <f aca="false">IF(G66="","",MIN(1,G66+J66/100))</f>
        <v>0.714122288631561</v>
      </c>
      <c r="M66" s="21" t="n">
        <f aca="false">ROUND(Q66*S66,0)</f>
        <v>751</v>
      </c>
      <c r="N66" s="21" t="n">
        <f aca="false">ROUND(SQRT((F66*J66/100)^2+(G66*M66)^2),0)</f>
        <v>574</v>
      </c>
      <c r="P66" s="41" t="n">
        <v>25.3798787973898</v>
      </c>
      <c r="Q66" s="42" t="n">
        <v>19072.4823334004</v>
      </c>
      <c r="R66" s="43" t="n">
        <f aca="false">MAX(0,MIN(1,P66/100+$D$5))</f>
        <v>0.702201564304015</v>
      </c>
      <c r="S66" s="43" t="n">
        <v>0.0393546993294084</v>
      </c>
      <c r="T66" s="44" t="s">
        <v>111</v>
      </c>
    </row>
    <row r="67" customFormat="false" ht="15" hidden="false" customHeight="false" outlineLevel="0" collapsed="false">
      <c r="A67" s="38" t="s">
        <v>146</v>
      </c>
      <c r="B67" s="38" t="s">
        <v>150</v>
      </c>
      <c r="C67" s="38" t="s">
        <v>89</v>
      </c>
      <c r="D67" s="21" t="n">
        <f aca="false">ROUND(Q67*R67,0)</f>
        <v>7753</v>
      </c>
      <c r="E67" s="21" t="n">
        <f aca="false">ROUND(Q67,0)-D67</f>
        <v>5918</v>
      </c>
      <c r="F67" s="21" t="n">
        <f aca="false">IF(COUNTA(D67:E67)=0,"",SUM(D67:E67))</f>
        <v>13671</v>
      </c>
      <c r="G67" s="39" t="n">
        <f aca="false">IF(OR(F67="",F67=0),"",D67/F67)</f>
        <v>0.567112866652037</v>
      </c>
      <c r="H67" s="39" t="n">
        <f aca="false">IF(OR(F67="",F67=0),"",E67/F67)</f>
        <v>0.432887133347963</v>
      </c>
      <c r="I67" s="38" t="s">
        <v>90</v>
      </c>
      <c r="J67" s="40" t="n">
        <v>1.18886476919636</v>
      </c>
      <c r="K67" s="39" t="n">
        <f aca="false">IF(G67="","",MAX(0,G67-J67/100))</f>
        <v>0.555224218960074</v>
      </c>
      <c r="L67" s="39" t="n">
        <f aca="false">IF(G67="","",MIN(1,G67+J67/100))</f>
        <v>0.579001514344001</v>
      </c>
      <c r="M67" s="21" t="n">
        <f aca="false">ROUND(Q67*S67,0)</f>
        <v>538</v>
      </c>
      <c r="N67" s="21" t="n">
        <f aca="false">ROUND(SQRT((F67*J67/100)^2+(G67*M67)^2),0)</f>
        <v>346</v>
      </c>
      <c r="P67" s="41" t="n">
        <v>11.8699612333963</v>
      </c>
      <c r="Q67" s="42" t="n">
        <v>13671.0480269087</v>
      </c>
      <c r="R67" s="43" t="n">
        <f aca="false">MAX(0,MIN(1,P67/100+$D$5))</f>
        <v>0.56710238866408</v>
      </c>
      <c r="S67" s="43" t="n">
        <v>0.0393546993294084</v>
      </c>
      <c r="T67" s="44" t="s">
        <v>111</v>
      </c>
    </row>
    <row r="68" customFormat="false" ht="15" hidden="false" customHeight="false" outlineLevel="0" collapsed="false">
      <c r="A68" s="38" t="s">
        <v>146</v>
      </c>
      <c r="B68" s="38" t="s">
        <v>151</v>
      </c>
      <c r="C68" s="38" t="s">
        <v>89</v>
      </c>
      <c r="D68" s="21" t="n">
        <f aca="false">ROUND(Q68*R68,0)</f>
        <v>2093</v>
      </c>
      <c r="E68" s="21" t="n">
        <f aca="false">ROUND(Q68,0)-D68</f>
        <v>2844</v>
      </c>
      <c r="F68" s="21" t="n">
        <f aca="false">IF(COUNTA(D68:E68)=0,"",SUM(D68:E68))</f>
        <v>4937</v>
      </c>
      <c r="G68" s="39" t="n">
        <f aca="false">IF(OR(F68="",F68=0),"",D68/F68)</f>
        <v>0.423941664978732</v>
      </c>
      <c r="H68" s="39" t="n">
        <f aca="false">IF(OR(F68="",F68=0),"",E68/F68)</f>
        <v>0.576058335021268</v>
      </c>
      <c r="I68" s="38" t="s">
        <v>90</v>
      </c>
      <c r="J68" s="40" t="n">
        <v>1.18886476919636</v>
      </c>
      <c r="K68" s="39" t="n">
        <f aca="false">IF(G68="","",MAX(0,G68-J68/100))</f>
        <v>0.412053017286768</v>
      </c>
      <c r="L68" s="39" t="n">
        <f aca="false">IF(G68="","",MIN(1,G68+J68/100))</f>
        <v>0.435830312670696</v>
      </c>
      <c r="M68" s="21" t="n">
        <f aca="false">ROUND(Q68*S68,0)</f>
        <v>194</v>
      </c>
      <c r="N68" s="21" t="n">
        <f aca="false">ROUND(SQRT((F68*J68/100)^2+(G68*M68)^2),0)</f>
        <v>101</v>
      </c>
      <c r="P68" s="41" t="n">
        <v>-2.4326711960705</v>
      </c>
      <c r="Q68" s="42" t="n">
        <v>4936.60423758582</v>
      </c>
      <c r="R68" s="43" t="n">
        <f aca="false">MAX(0,MIN(1,P68/100+$D$5))</f>
        <v>0.424076064369412</v>
      </c>
      <c r="S68" s="43" t="n">
        <v>0.0393546993294084</v>
      </c>
      <c r="T68" s="44" t="s">
        <v>111</v>
      </c>
    </row>
    <row r="69" customFormat="false" ht="15" hidden="false" customHeight="false" outlineLevel="0" collapsed="false">
      <c r="A69" s="38" t="s">
        <v>146</v>
      </c>
      <c r="B69" s="38" t="s">
        <v>152</v>
      </c>
      <c r="C69" s="38" t="s">
        <v>89</v>
      </c>
      <c r="D69" s="21" t="n">
        <f aca="false">ROUND(Q69*R69,0)</f>
        <v>39</v>
      </c>
      <c r="E69" s="21" t="n">
        <f aca="false">ROUND(Q69,0)-D69</f>
        <v>63</v>
      </c>
      <c r="F69" s="21" t="n">
        <f aca="false">IF(COUNTA(D69:E69)=0,"",SUM(D69:E69))</f>
        <v>102</v>
      </c>
      <c r="G69" s="39" t="n">
        <f aca="false">IF(OR(F69="",F69=0),"",D69/F69)</f>
        <v>0.382352941176471</v>
      </c>
      <c r="H69" s="39" t="n">
        <f aca="false">IF(OR(F69="",F69=0),"",E69/F69)</f>
        <v>0.617647058823529</v>
      </c>
      <c r="I69" s="38" t="s">
        <v>90</v>
      </c>
      <c r="J69" s="40" t="n">
        <v>2.77130020190375</v>
      </c>
      <c r="K69" s="39" t="n">
        <f aca="false">IF(G69="","",MAX(0,G69-J69/100))</f>
        <v>0.354639939157433</v>
      </c>
      <c r="L69" s="39" t="n">
        <f aca="false">IF(G69="","",MIN(1,G69+J69/100))</f>
        <v>0.410065943195508</v>
      </c>
      <c r="M69" s="21" t="n">
        <f aca="false">ROUND(Q69*S69,0)</f>
        <v>11</v>
      </c>
      <c r="N69" s="21" t="n">
        <f aca="false">ROUND(SQRT((F69*J69/100)^2+(G69*M69)^2),0)</f>
        <v>5</v>
      </c>
      <c r="P69" s="41" t="n">
        <v>-6.26995489878686</v>
      </c>
      <c r="Q69" s="42" t="n">
        <v>102.028998079837</v>
      </c>
      <c r="R69" s="43" t="n">
        <f aca="false">MAX(0,MIN(1,P69/100+$D$5))</f>
        <v>0.385703227342248</v>
      </c>
      <c r="S69" s="43" t="n">
        <v>0.109771802132738</v>
      </c>
      <c r="T69" s="44" t="s">
        <v>91</v>
      </c>
    </row>
    <row r="70" customFormat="false" ht="15" hidden="false" customHeight="false" outlineLevel="0" collapsed="false">
      <c r="A70" s="38" t="s">
        <v>146</v>
      </c>
      <c r="B70" s="38" t="s">
        <v>153</v>
      </c>
      <c r="C70" s="38" t="s">
        <v>89</v>
      </c>
      <c r="D70" s="21" t="n">
        <f aca="false">ROUND(Q70*R70,0)</f>
        <v>1354</v>
      </c>
      <c r="E70" s="21" t="n">
        <f aca="false">ROUND(Q70,0)-D70</f>
        <v>1543</v>
      </c>
      <c r="F70" s="21" t="n">
        <f aca="false">IF(COUNTA(D70:E70)=0,"",SUM(D70:E70))</f>
        <v>2897</v>
      </c>
      <c r="G70" s="39" t="n">
        <f aca="false">IF(OR(F70="",F70=0),"",D70/F70)</f>
        <v>0.467380048325854</v>
      </c>
      <c r="H70" s="39" t="n">
        <f aca="false">IF(OR(F70="",F70=0),"",E70/F70)</f>
        <v>0.532619951674146</v>
      </c>
      <c r="I70" s="38" t="s">
        <v>90</v>
      </c>
      <c r="J70" s="40" t="n">
        <v>1.9629605122441</v>
      </c>
      <c r="K70" s="39" t="n">
        <f aca="false">IF(G70="","",MAX(0,G70-J70/100))</f>
        <v>0.447750443203413</v>
      </c>
      <c r="L70" s="39" t="n">
        <f aca="false">IF(G70="","",MIN(1,G70+J70/100))</f>
        <v>0.487009653448295</v>
      </c>
      <c r="M70" s="21" t="n">
        <f aca="false">ROUND(Q70*S70,0)</f>
        <v>106</v>
      </c>
      <c r="N70" s="21" t="n">
        <f aca="false">ROUND(SQRT((F70*J70/100)^2+(G70*M70)^2),0)</f>
        <v>75</v>
      </c>
      <c r="P70" s="41" t="n">
        <v>1.89708022648325</v>
      </c>
      <c r="Q70" s="42" t="n">
        <v>2896.57343027831</v>
      </c>
      <c r="R70" s="43" t="n">
        <f aca="false">MAX(0,MIN(1,P70/100+$D$5))</f>
        <v>0.46737357859495</v>
      </c>
      <c r="S70" s="43" t="n">
        <v>0.036545871650511</v>
      </c>
      <c r="T70" s="44" t="s">
        <v>97</v>
      </c>
    </row>
    <row r="71" customFormat="false" ht="15" hidden="false" customHeight="false" outlineLevel="0" collapsed="false">
      <c r="A71" s="38" t="s">
        <v>146</v>
      </c>
      <c r="B71" s="38" t="s">
        <v>154</v>
      </c>
      <c r="C71" s="38" t="s">
        <v>89</v>
      </c>
      <c r="D71" s="21" t="n">
        <f aca="false">ROUND(Q71*R71,0)</f>
        <v>178</v>
      </c>
      <c r="E71" s="21" t="n">
        <f aca="false">ROUND(Q71,0)-D71</f>
        <v>226</v>
      </c>
      <c r="F71" s="21" t="n">
        <f aca="false">IF(COUNTA(D71:E71)=0,"",SUM(D71:E71))</f>
        <v>404</v>
      </c>
      <c r="G71" s="39" t="n">
        <f aca="false">IF(OR(F71="",F71=0),"",D71/F71)</f>
        <v>0.440594059405941</v>
      </c>
      <c r="H71" s="39" t="n">
        <f aca="false">IF(OR(F71="",F71=0),"",E71/F71)</f>
        <v>0.55940594059406</v>
      </c>
      <c r="I71" s="38" t="s">
        <v>90</v>
      </c>
      <c r="J71" s="40" t="n">
        <v>2.77130020190375</v>
      </c>
      <c r="K71" s="39" t="n">
        <f aca="false">IF(G71="","",MAX(0,G71-J71/100))</f>
        <v>0.412881057386903</v>
      </c>
      <c r="L71" s="39" t="n">
        <f aca="false">IF(G71="","",MIN(1,G71+J71/100))</f>
        <v>0.468307061424978</v>
      </c>
      <c r="M71" s="21" t="n">
        <f aca="false">ROUND(Q71*S71,0)</f>
        <v>44</v>
      </c>
      <c r="N71" s="21" t="n">
        <f aca="false">ROUND(SQRT((F71*J71/100)^2+(G71*M71)^2),0)</f>
        <v>22</v>
      </c>
      <c r="P71" s="41" t="n">
        <v>-0.772781790685098</v>
      </c>
      <c r="Q71" s="42" t="n">
        <v>404.3823970707</v>
      </c>
      <c r="R71" s="43" t="n">
        <f aca="false">MAX(0,MIN(1,P71/100+$D$5))</f>
        <v>0.440674958423266</v>
      </c>
      <c r="S71" s="43" t="n">
        <v>0.109771802132738</v>
      </c>
      <c r="T71" s="44" t="s">
        <v>91</v>
      </c>
    </row>
    <row r="72" customFormat="false" ht="15" hidden="false" customHeight="false" outlineLevel="0" collapsed="false">
      <c r="A72" s="38" t="s">
        <v>146</v>
      </c>
      <c r="B72" s="38" t="s">
        <v>155</v>
      </c>
      <c r="C72" s="38" t="s">
        <v>89</v>
      </c>
      <c r="D72" s="21" t="n">
        <f aca="false">ROUND(Q72*R72,0)</f>
        <v>5726</v>
      </c>
      <c r="E72" s="21" t="n">
        <f aca="false">ROUND(Q72,0)-D72</f>
        <v>2175</v>
      </c>
      <c r="F72" s="21" t="n">
        <f aca="false">IF(COUNTA(D72:E72)=0,"",SUM(D72:E72))</f>
        <v>7901</v>
      </c>
      <c r="G72" s="39" t="n">
        <f aca="false">IF(OR(F72="",F72=0),"",D72/F72)</f>
        <v>0.724718390077205</v>
      </c>
      <c r="H72" s="39" t="n">
        <f aca="false">IF(OR(F72="",F72=0),"",E72/F72)</f>
        <v>0.275281609922795</v>
      </c>
      <c r="I72" s="38" t="s">
        <v>90</v>
      </c>
      <c r="J72" s="40" t="n">
        <v>1.18886476919636</v>
      </c>
      <c r="K72" s="39" t="n">
        <f aca="false">IF(G72="","",MAX(0,G72-J72/100))</f>
        <v>0.712829742385242</v>
      </c>
      <c r="L72" s="39" t="n">
        <f aca="false">IF(G72="","",MIN(1,G72+J72/100))</f>
        <v>0.736607037769169</v>
      </c>
      <c r="M72" s="21" t="n">
        <f aca="false">ROUND(Q72*S72,0)</f>
        <v>311</v>
      </c>
      <c r="N72" s="21" t="n">
        <f aca="false">ROUND(SQRT((F72*J72/100)^2+(G72*M72)^2),0)</f>
        <v>244</v>
      </c>
      <c r="P72" s="41" t="n">
        <v>27.6269738656667</v>
      </c>
      <c r="Q72" s="42" t="n">
        <v>7901.39627534052</v>
      </c>
      <c r="R72" s="43" t="n">
        <f aca="false">MAX(0,MIN(1,P72/100+$D$5))</f>
        <v>0.724672514986784</v>
      </c>
      <c r="S72" s="43" t="n">
        <v>0.0393546993294084</v>
      </c>
      <c r="T72" s="44" t="s">
        <v>111</v>
      </c>
    </row>
    <row r="73" customFormat="false" ht="15" hidden="false" customHeight="false" outlineLevel="0" collapsed="false">
      <c r="A73" s="38" t="s">
        <v>146</v>
      </c>
      <c r="B73" s="38" t="s">
        <v>156</v>
      </c>
      <c r="C73" s="38" t="s">
        <v>89</v>
      </c>
      <c r="D73" s="21" t="n">
        <f aca="false">ROUND(Q73*R73,0)</f>
        <v>4888</v>
      </c>
      <c r="E73" s="21" t="n">
        <f aca="false">ROUND(Q73,0)-D73</f>
        <v>3941</v>
      </c>
      <c r="F73" s="21" t="n">
        <f aca="false">IF(COUNTA(D73:E73)=0,"",SUM(D73:E73))</f>
        <v>8829</v>
      </c>
      <c r="G73" s="39" t="n">
        <f aca="false">IF(OR(F73="",F73=0),"",D73/F73)</f>
        <v>0.553630082682071</v>
      </c>
      <c r="H73" s="39" t="n">
        <f aca="false">IF(OR(F73="",F73=0),"",E73/F73)</f>
        <v>0.44636991731793</v>
      </c>
      <c r="I73" s="38" t="s">
        <v>90</v>
      </c>
      <c r="J73" s="40" t="n">
        <v>1.18886476919636</v>
      </c>
      <c r="K73" s="39" t="n">
        <f aca="false">IF(G73="","",MAX(0,G73-J73/100))</f>
        <v>0.541741434990107</v>
      </c>
      <c r="L73" s="39" t="n">
        <f aca="false">IF(G73="","",MIN(1,G73+J73/100))</f>
        <v>0.565518730374034</v>
      </c>
      <c r="M73" s="21" t="n">
        <f aca="false">ROUND(Q73*S73,0)</f>
        <v>347</v>
      </c>
      <c r="N73" s="21" t="n">
        <f aca="false">ROUND(SQRT((F73*J73/100)^2+(G73*M73)^2),0)</f>
        <v>219</v>
      </c>
      <c r="P73" s="41" t="n">
        <v>10.5254732242445</v>
      </c>
      <c r="Q73" s="42" t="n">
        <v>8829.07996677264</v>
      </c>
      <c r="R73" s="43" t="n">
        <f aca="false">MAX(0,MIN(1,P73/100+$D$5))</f>
        <v>0.553657508572562</v>
      </c>
      <c r="S73" s="43" t="n">
        <v>0.0393546993294084</v>
      </c>
      <c r="T73" s="44" t="s">
        <v>111</v>
      </c>
    </row>
    <row r="74" customFormat="false" ht="15" hidden="false" customHeight="false" outlineLevel="0" collapsed="false">
      <c r="A74" s="38" t="s">
        <v>146</v>
      </c>
      <c r="B74" s="38" t="s">
        <v>157</v>
      </c>
      <c r="C74" s="38" t="s">
        <v>89</v>
      </c>
      <c r="D74" s="21" t="n">
        <f aca="false">ROUND(Q74*R74,0)</f>
        <v>523</v>
      </c>
      <c r="E74" s="21" t="n">
        <f aca="false">ROUND(Q74,0)-D74</f>
        <v>308</v>
      </c>
      <c r="F74" s="21" t="n">
        <f aca="false">IF(COUNTA(D74:E74)=0,"",SUM(D74:E74))</f>
        <v>831</v>
      </c>
      <c r="G74" s="39" t="n">
        <f aca="false">IF(OR(F74="",F74=0),"",D74/F74)</f>
        <v>0.629362214199759</v>
      </c>
      <c r="H74" s="39" t="n">
        <f aca="false">IF(OR(F74="",F74=0),"",E74/F74)</f>
        <v>0.370637785800241</v>
      </c>
      <c r="I74" s="38" t="s">
        <v>90</v>
      </c>
      <c r="J74" s="40" t="n">
        <v>2.77130020190375</v>
      </c>
      <c r="K74" s="39" t="n">
        <f aca="false">IF(G74="","",MAX(0,G74-J74/100))</f>
        <v>0.601649212180722</v>
      </c>
      <c r="L74" s="39" t="n">
        <f aca="false">IF(G74="","",MIN(1,G74+J74/100))</f>
        <v>0.657075216218797</v>
      </c>
      <c r="M74" s="21" t="n">
        <f aca="false">ROUND(Q74*S74,0)</f>
        <v>91</v>
      </c>
      <c r="N74" s="21" t="n">
        <f aca="false">ROUND(SQRT((F74*J74/100)^2+(G74*M74)^2),0)</f>
        <v>62</v>
      </c>
      <c r="P74" s="41" t="n">
        <v>18.0472811668784</v>
      </c>
      <c r="Q74" s="42" t="n">
        <v>830.863547500256</v>
      </c>
      <c r="R74" s="43" t="n">
        <f aca="false">MAX(0,MIN(1,P74/100+$D$5))</f>
        <v>0.628875587998901</v>
      </c>
      <c r="S74" s="43" t="n">
        <v>0.109771802132738</v>
      </c>
      <c r="T74" s="44" t="s">
        <v>91</v>
      </c>
    </row>
    <row r="75" customFormat="false" ht="15" hidden="false" customHeight="false" outlineLevel="0" collapsed="false">
      <c r="A75" s="38" t="s">
        <v>146</v>
      </c>
      <c r="B75" s="38" t="s">
        <v>158</v>
      </c>
      <c r="C75" s="38" t="s">
        <v>89</v>
      </c>
      <c r="D75" s="21" t="n">
        <f aca="false">ROUND(Q75*R75,0)</f>
        <v>87</v>
      </c>
      <c r="E75" s="21" t="n">
        <f aca="false">ROUND(Q75,0)-D75</f>
        <v>69</v>
      </c>
      <c r="F75" s="21" t="n">
        <f aca="false">IF(COUNTA(D75:E75)=0,"",SUM(D75:E75))</f>
        <v>156</v>
      </c>
      <c r="G75" s="39" t="n">
        <f aca="false">IF(OR(F75="",F75=0),"",D75/F75)</f>
        <v>0.557692307692308</v>
      </c>
      <c r="H75" s="39" t="n">
        <f aca="false">IF(OR(F75="",F75=0),"",E75/F75)</f>
        <v>0.442307692307692</v>
      </c>
      <c r="I75" s="38" t="s">
        <v>90</v>
      </c>
      <c r="J75" s="40" t="n">
        <v>2.77130020190375</v>
      </c>
      <c r="K75" s="39" t="n">
        <f aca="false">IF(G75="","",MAX(0,G75-J75/100))</f>
        <v>0.52997930567327</v>
      </c>
      <c r="L75" s="39" t="n">
        <f aca="false">IF(G75="","",MIN(1,G75+J75/100))</f>
        <v>0.585405309711345</v>
      </c>
      <c r="M75" s="21" t="n">
        <f aca="false">ROUND(Q75*S75,0)</f>
        <v>17</v>
      </c>
      <c r="N75" s="21" t="n">
        <f aca="false">ROUND(SQRT((F75*J75/100)^2+(G75*M75)^2),0)</f>
        <v>10</v>
      </c>
      <c r="P75" s="41" t="n">
        <v>10.6185782336171</v>
      </c>
      <c r="Q75" s="42" t="n">
        <v>156.080270637387</v>
      </c>
      <c r="R75" s="43" t="n">
        <f aca="false">MAX(0,MIN(1,P75/100+$D$5))</f>
        <v>0.554588558666288</v>
      </c>
      <c r="S75" s="43" t="n">
        <v>0.109771802132738</v>
      </c>
      <c r="T75" s="44" t="s">
        <v>91</v>
      </c>
    </row>
    <row r="76" customFormat="false" ht="15" hidden="false" customHeight="false" outlineLevel="0" collapsed="false">
      <c r="A76" s="38" t="s">
        <v>146</v>
      </c>
      <c r="B76" s="38" t="s">
        <v>125</v>
      </c>
      <c r="C76" s="38" t="s">
        <v>89</v>
      </c>
      <c r="D76" s="21" t="n">
        <f aca="false">ROUND(Q76*R76,0)</f>
        <v>4045</v>
      </c>
      <c r="E76" s="21" t="n">
        <f aca="false">ROUND(Q76,0)-D76</f>
        <v>3088</v>
      </c>
      <c r="F76" s="21" t="n">
        <f aca="false">IF(COUNTA(D76:E76)=0,"",SUM(D76:E76))</f>
        <v>7133</v>
      </c>
      <c r="G76" s="39" t="n">
        <f aca="false">IF(OR(F76="",F76=0),"",D76/F76)</f>
        <v>0.567082573952054</v>
      </c>
      <c r="H76" s="39" t="n">
        <f aca="false">IF(OR(F76="",F76=0),"",E76/F76)</f>
        <v>0.432917426047946</v>
      </c>
      <c r="I76" s="38" t="s">
        <v>90</v>
      </c>
      <c r="J76" s="40" t="n">
        <v>1.18886476919636</v>
      </c>
      <c r="K76" s="39" t="n">
        <f aca="false">IF(G76="","",MAX(0,G76-J76/100))</f>
        <v>0.55519392626009</v>
      </c>
      <c r="L76" s="39" t="n">
        <f aca="false">IF(G76="","",MIN(1,G76+J76/100))</f>
        <v>0.578971221644018</v>
      </c>
      <c r="M76" s="21" t="n">
        <f aca="false">ROUND(Q76*S76,0)</f>
        <v>281</v>
      </c>
      <c r="N76" s="21" t="n">
        <f aca="false">ROUND(SQRT((F76*J76/100)^2+(G76*M76)^2),0)</f>
        <v>181</v>
      </c>
      <c r="P76" s="41" t="n">
        <v>11.8627320345673</v>
      </c>
      <c r="Q76" s="42" t="n">
        <v>7133.42303867484</v>
      </c>
      <c r="R76" s="43" t="n">
        <f aca="false">MAX(0,MIN(1,P76/100+$D$5))</f>
        <v>0.56703009667579</v>
      </c>
      <c r="S76" s="43" t="n">
        <v>0.0393546993294084</v>
      </c>
      <c r="T76" s="44" t="s">
        <v>111</v>
      </c>
    </row>
    <row r="77" customFormat="false" ht="15" hidden="false" customHeight="false" outlineLevel="0" collapsed="false">
      <c r="A77" s="38" t="s">
        <v>146</v>
      </c>
      <c r="B77" s="38" t="s">
        <v>159</v>
      </c>
      <c r="C77" s="38" t="s">
        <v>89</v>
      </c>
      <c r="D77" s="21" t="n">
        <f aca="false">ROUND(Q77*R77,0)</f>
        <v>1602</v>
      </c>
      <c r="E77" s="21" t="n">
        <f aca="false">ROUND(Q77,0)-D77</f>
        <v>1299</v>
      </c>
      <c r="F77" s="21" t="n">
        <f aca="false">IF(COUNTA(D77:E77)=0,"",SUM(D77:E77))</f>
        <v>2901</v>
      </c>
      <c r="G77" s="39" t="n">
        <f aca="false">IF(OR(F77="",F77=0),"",D77/F77)</f>
        <v>0.552223371251293</v>
      </c>
      <c r="H77" s="39" t="n">
        <f aca="false">IF(OR(F77="",F77=0),"",E77/F77)</f>
        <v>0.447776628748707</v>
      </c>
      <c r="I77" s="38" t="s">
        <v>90</v>
      </c>
      <c r="J77" s="40" t="n">
        <v>1.9629605122441</v>
      </c>
      <c r="K77" s="39" t="n">
        <f aca="false">IF(G77="","",MAX(0,G77-J77/100))</f>
        <v>0.532593766128852</v>
      </c>
      <c r="L77" s="39" t="n">
        <f aca="false">IF(G77="","",MIN(1,G77+J77/100))</f>
        <v>0.571852976373734</v>
      </c>
      <c r="M77" s="21" t="n">
        <f aca="false">ROUND(Q77*S77,0)</f>
        <v>106</v>
      </c>
      <c r="N77" s="21" t="n">
        <f aca="false">ROUND(SQRT((F77*J77/100)^2+(G77*M77)^2),0)</f>
        <v>82</v>
      </c>
      <c r="P77" s="41" t="n">
        <v>10.3789224093226</v>
      </c>
      <c r="Q77" s="42" t="n">
        <v>2901.22762891146</v>
      </c>
      <c r="R77" s="43" t="n">
        <f aca="false">MAX(0,MIN(1,P77/100+$D$5))</f>
        <v>0.552192000423343</v>
      </c>
      <c r="S77" s="43" t="n">
        <v>0.036545871650511</v>
      </c>
      <c r="T77" s="44" t="s">
        <v>97</v>
      </c>
    </row>
    <row r="78" customFormat="false" ht="15" hidden="false" customHeight="false" outlineLevel="0" collapsed="false">
      <c r="A78" s="38" t="s">
        <v>146</v>
      </c>
      <c r="B78" s="38" t="s">
        <v>160</v>
      </c>
      <c r="C78" s="38" t="s">
        <v>89</v>
      </c>
      <c r="D78" s="21" t="n">
        <f aca="false">ROUND(Q78*R78,0)</f>
        <v>2175</v>
      </c>
      <c r="E78" s="21" t="n">
        <f aca="false">ROUND(Q78,0)-D78</f>
        <v>3599</v>
      </c>
      <c r="F78" s="21" t="n">
        <f aca="false">IF(COUNTA(D78:E78)=0,"",SUM(D78:E78))</f>
        <v>5774</v>
      </c>
      <c r="G78" s="39" t="n">
        <f aca="false">IF(OR(F78="",F78=0),"",D78/F78)</f>
        <v>0.376688604087288</v>
      </c>
      <c r="H78" s="39" t="n">
        <f aca="false">IF(OR(F78="",F78=0),"",E78/F78)</f>
        <v>0.623311395912712</v>
      </c>
      <c r="I78" s="38" t="s">
        <v>90</v>
      </c>
      <c r="J78" s="40" t="n">
        <v>1.18886476919636</v>
      </c>
      <c r="K78" s="39" t="n">
        <f aca="false">IF(G78="","",MAX(0,G78-J78/100))</f>
        <v>0.364799956395324</v>
      </c>
      <c r="L78" s="39" t="n">
        <f aca="false">IF(G78="","",MIN(1,G78+J78/100))</f>
        <v>0.388577251779251</v>
      </c>
      <c r="M78" s="21" t="n">
        <f aca="false">ROUND(Q78*S78,0)</f>
        <v>227</v>
      </c>
      <c r="N78" s="21" t="n">
        <f aca="false">ROUND(SQRT((F78*J78/100)^2+(G78*M78)^2),0)</f>
        <v>110</v>
      </c>
      <c r="P78" s="41" t="n">
        <v>-7.16440445158038</v>
      </c>
      <c r="Q78" s="42" t="n">
        <v>5774.05922715574</v>
      </c>
      <c r="R78" s="43" t="n">
        <f aca="false">MAX(0,MIN(1,P78/100+$D$5))</f>
        <v>0.376758731814313</v>
      </c>
      <c r="S78" s="43" t="n">
        <v>0.0393546993294084</v>
      </c>
      <c r="T78" s="44" t="s">
        <v>111</v>
      </c>
    </row>
    <row r="79" customFormat="false" ht="15" hidden="false" customHeight="false" outlineLevel="0" collapsed="false">
      <c r="A79" s="38" t="s">
        <v>146</v>
      </c>
      <c r="B79" s="38" t="s">
        <v>161</v>
      </c>
      <c r="C79" s="38" t="s">
        <v>89</v>
      </c>
      <c r="D79" s="21" t="n">
        <f aca="false">ROUND(Q79*R79,0)</f>
        <v>594</v>
      </c>
      <c r="E79" s="21" t="n">
        <f aca="false">ROUND(Q79,0)-D79</f>
        <v>991</v>
      </c>
      <c r="F79" s="21" t="n">
        <f aca="false">IF(COUNTA(D79:E79)=0,"",SUM(D79:E79))</f>
        <v>1585</v>
      </c>
      <c r="G79" s="39" t="n">
        <f aca="false">IF(OR(F79="",F79=0),"",D79/F79)</f>
        <v>0.374763406940063</v>
      </c>
      <c r="H79" s="39" t="n">
        <f aca="false">IF(OR(F79="",F79=0),"",E79/F79)</f>
        <v>0.625236593059937</v>
      </c>
      <c r="I79" s="38" t="s">
        <v>90</v>
      </c>
      <c r="J79" s="40" t="n">
        <v>1.9629605122441</v>
      </c>
      <c r="K79" s="39" t="n">
        <f aca="false">IF(G79="","",MAX(0,G79-J79/100))</f>
        <v>0.355133801817622</v>
      </c>
      <c r="L79" s="39" t="n">
        <f aca="false">IF(G79="","",MIN(1,G79+J79/100))</f>
        <v>0.394393012062504</v>
      </c>
      <c r="M79" s="21" t="n">
        <f aca="false">ROUND(Q79*S79,0)</f>
        <v>58</v>
      </c>
      <c r="N79" s="21" t="n">
        <f aca="false">ROUND(SQRT((F79*J79/100)^2+(G79*M79)^2),0)</f>
        <v>38</v>
      </c>
      <c r="P79" s="41" t="n">
        <v>-7.38263826362472</v>
      </c>
      <c r="Q79" s="42" t="n">
        <v>1585.43468247289</v>
      </c>
      <c r="R79" s="43" t="n">
        <f aca="false">MAX(0,MIN(1,P79/100+$D$5))</f>
        <v>0.37457639369387</v>
      </c>
      <c r="S79" s="43" t="n">
        <v>0.036545871650511</v>
      </c>
      <c r="T79" s="44" t="s">
        <v>97</v>
      </c>
    </row>
    <row r="80" customFormat="false" ht="15" hidden="false" customHeight="false" outlineLevel="0" collapsed="false">
      <c r="A80" s="38" t="s">
        <v>146</v>
      </c>
      <c r="B80" s="38" t="s">
        <v>162</v>
      </c>
      <c r="C80" s="38" t="s">
        <v>89</v>
      </c>
      <c r="D80" s="21" t="n">
        <f aca="false">ROUND(Q80*R80,0)</f>
        <v>1993</v>
      </c>
      <c r="E80" s="21" t="n">
        <f aca="false">ROUND(Q80,0)-D80</f>
        <v>2115</v>
      </c>
      <c r="F80" s="21" t="n">
        <f aca="false">IF(COUNTA(D80:E80)=0,"",SUM(D80:E80))</f>
        <v>4108</v>
      </c>
      <c r="G80" s="39" t="n">
        <f aca="false">IF(OR(F80="",F80=0),"",D80/F80)</f>
        <v>0.485150925024343</v>
      </c>
      <c r="H80" s="39" t="n">
        <f aca="false">IF(OR(F80="",F80=0),"",E80/F80)</f>
        <v>0.514849074975657</v>
      </c>
      <c r="I80" s="38" t="s">
        <v>90</v>
      </c>
      <c r="J80" s="40" t="n">
        <v>1.18886476919636</v>
      </c>
      <c r="K80" s="39" t="n">
        <f aca="false">IF(G80="","",MAX(0,G80-J80/100))</f>
        <v>0.473262277332379</v>
      </c>
      <c r="L80" s="39" t="n">
        <f aca="false">IF(G80="","",MIN(1,G80+J80/100))</f>
        <v>0.497039572716306</v>
      </c>
      <c r="M80" s="21" t="n">
        <f aca="false">ROUND(Q80*S80,0)</f>
        <v>162</v>
      </c>
      <c r="N80" s="21" t="n">
        <f aca="false">ROUND(SQRT((F80*J80/100)^2+(G80*M80)^2),0)</f>
        <v>93</v>
      </c>
      <c r="P80" s="41" t="n">
        <v>3.6723327370613</v>
      </c>
      <c r="Q80" s="42" t="n">
        <v>4107.73266649331</v>
      </c>
      <c r="R80" s="43" t="n">
        <f aca="false">MAX(0,MIN(1,P80/100+$D$5))</f>
        <v>0.48512610370073</v>
      </c>
      <c r="S80" s="43" t="n">
        <v>0.0393546993294084</v>
      </c>
      <c r="T80" s="44" t="s">
        <v>111</v>
      </c>
    </row>
    <row r="81" customFormat="false" ht="15" hidden="false" customHeight="false" outlineLevel="0" collapsed="false">
      <c r="A81" s="38" t="s">
        <v>146</v>
      </c>
      <c r="B81" s="38" t="s">
        <v>163</v>
      </c>
      <c r="C81" s="38" t="s">
        <v>89</v>
      </c>
      <c r="D81" s="21" t="n">
        <f aca="false">ROUND(Q81*R81,0)</f>
        <v>3686</v>
      </c>
      <c r="E81" s="21" t="n">
        <f aca="false">ROUND(Q81,0)-D81</f>
        <v>3351</v>
      </c>
      <c r="F81" s="21" t="n">
        <f aca="false">IF(COUNTA(D81:E81)=0,"",SUM(D81:E81))</f>
        <v>7037</v>
      </c>
      <c r="G81" s="39" t="n">
        <f aca="false">IF(OR(F81="",F81=0),"",D81/F81)</f>
        <v>0.523802756856615</v>
      </c>
      <c r="H81" s="39" t="n">
        <f aca="false">IF(OR(F81="",F81=0),"",E81/F81)</f>
        <v>0.476197243143385</v>
      </c>
      <c r="I81" s="38" t="s">
        <v>90</v>
      </c>
      <c r="J81" s="40" t="n">
        <v>1.18886476919636</v>
      </c>
      <c r="K81" s="39" t="n">
        <f aca="false">IF(G81="","",MAX(0,G81-J81/100))</f>
        <v>0.511914109164651</v>
      </c>
      <c r="L81" s="39" t="n">
        <f aca="false">IF(G81="","",MIN(1,G81+J81/100))</f>
        <v>0.535691404548579</v>
      </c>
      <c r="M81" s="21" t="n">
        <f aca="false">ROUND(Q81*S81,0)</f>
        <v>277</v>
      </c>
      <c r="N81" s="21" t="n">
        <f aca="false">ROUND(SQRT((F81*J81/100)^2+(G81*M81)^2),0)</f>
        <v>167</v>
      </c>
      <c r="P81" s="41" t="n">
        <v>7.5441412740582</v>
      </c>
      <c r="Q81" s="42" t="n">
        <v>7036.86406916105</v>
      </c>
      <c r="R81" s="43" t="n">
        <f aca="false">MAX(0,MIN(1,P81/100+$D$5))</f>
        <v>0.523844189070699</v>
      </c>
      <c r="S81" s="43" t="n">
        <v>0.0393546993294084</v>
      </c>
      <c r="T81" s="44" t="s">
        <v>111</v>
      </c>
    </row>
    <row r="82" customFormat="false" ht="15" hidden="false" customHeight="false" outlineLevel="0" collapsed="false">
      <c r="A82" s="38" t="s">
        <v>146</v>
      </c>
      <c r="B82" s="38" t="s">
        <v>164</v>
      </c>
      <c r="C82" s="38" t="s">
        <v>89</v>
      </c>
      <c r="D82" s="21" t="n">
        <f aca="false">ROUND(Q82*R82,0)</f>
        <v>2010</v>
      </c>
      <c r="E82" s="21" t="n">
        <f aca="false">ROUND(Q82,0)-D82</f>
        <v>3350</v>
      </c>
      <c r="F82" s="21" t="n">
        <f aca="false">IF(COUNTA(D82:E82)=0,"",SUM(D82:E82))</f>
        <v>5360</v>
      </c>
      <c r="G82" s="39" t="n">
        <f aca="false">IF(OR(F82="",F82=0),"",D82/F82)</f>
        <v>0.375</v>
      </c>
      <c r="H82" s="39" t="n">
        <f aca="false">IF(OR(F82="",F82=0),"",E82/F82)</f>
        <v>0.625</v>
      </c>
      <c r="I82" s="38" t="s">
        <v>90</v>
      </c>
      <c r="J82" s="40" t="n">
        <v>1.18886476919636</v>
      </c>
      <c r="K82" s="39" t="n">
        <f aca="false">IF(G82="","",MAX(0,G82-J82/100))</f>
        <v>0.363111352308036</v>
      </c>
      <c r="L82" s="39" t="n">
        <f aca="false">IF(G82="","",MIN(1,G82+J82/100))</f>
        <v>0.386888647691964</v>
      </c>
      <c r="M82" s="21" t="n">
        <f aca="false">ROUND(Q82*S82,0)</f>
        <v>211</v>
      </c>
      <c r="N82" s="21" t="n">
        <f aca="false">ROUND(SQRT((F82*J82/100)^2+(G82*M82)^2),0)</f>
        <v>102</v>
      </c>
      <c r="P82" s="41" t="n">
        <v>-7.33460829289198</v>
      </c>
      <c r="Q82" s="42" t="n">
        <v>5359.62218354925</v>
      </c>
      <c r="R82" s="43" t="n">
        <f aca="false">MAX(0,MIN(1,P82/100+$D$5))</f>
        <v>0.375056693401197</v>
      </c>
      <c r="S82" s="43" t="n">
        <v>0.0393546993294084</v>
      </c>
      <c r="T82" s="44" t="s">
        <v>111</v>
      </c>
    </row>
    <row r="83" customFormat="false" ht="15" hidden="false" customHeight="false" outlineLevel="0" collapsed="false">
      <c r="A83" s="38" t="s">
        <v>146</v>
      </c>
      <c r="B83" s="38" t="s">
        <v>165</v>
      </c>
      <c r="C83" s="38" t="s">
        <v>89</v>
      </c>
      <c r="D83" s="21" t="n">
        <f aca="false">ROUND(Q83*R83,0)</f>
        <v>1471</v>
      </c>
      <c r="E83" s="21" t="n">
        <f aca="false">ROUND(Q83,0)-D83</f>
        <v>1296</v>
      </c>
      <c r="F83" s="21" t="n">
        <f aca="false">IF(COUNTA(D83:E83)=0,"",SUM(D83:E83))</f>
        <v>2767</v>
      </c>
      <c r="G83" s="39" t="n">
        <f aca="false">IF(OR(F83="",F83=0),"",D83/F83)</f>
        <v>0.531622696060716</v>
      </c>
      <c r="H83" s="39" t="n">
        <f aca="false">IF(OR(F83="",F83=0),"",E83/F83)</f>
        <v>0.468377303939284</v>
      </c>
      <c r="I83" s="38" t="s">
        <v>90</v>
      </c>
      <c r="J83" s="40" t="n">
        <v>1.9629605122441</v>
      </c>
      <c r="K83" s="39" t="n">
        <f aca="false">IF(G83="","",MAX(0,G83-J83/100))</f>
        <v>0.511993090938275</v>
      </c>
      <c r="L83" s="39" t="n">
        <f aca="false">IF(G83="","",MIN(1,G83+J83/100))</f>
        <v>0.551252301183157</v>
      </c>
      <c r="M83" s="21" t="n">
        <f aca="false">ROUND(Q83*S83,0)</f>
        <v>101</v>
      </c>
      <c r="N83" s="21" t="n">
        <f aca="false">ROUND(SQRT((F83*J83/100)^2+(G83*M83)^2),0)</f>
        <v>76</v>
      </c>
      <c r="P83" s="41" t="n">
        <v>8.31842958141443</v>
      </c>
      <c r="Q83" s="42" t="n">
        <v>2767.11835863042</v>
      </c>
      <c r="R83" s="43" t="n">
        <f aca="false">MAX(0,MIN(1,P83/100+$D$5))</f>
        <v>0.531587072144261</v>
      </c>
      <c r="S83" s="43" t="n">
        <v>0.036545871650511</v>
      </c>
      <c r="T83" s="44" t="s">
        <v>97</v>
      </c>
    </row>
    <row r="84" customFormat="false" ht="15" hidden="false" customHeight="false" outlineLevel="0" collapsed="false">
      <c r="A84" s="38" t="s">
        <v>146</v>
      </c>
      <c r="B84" s="38" t="s">
        <v>166</v>
      </c>
      <c r="C84" s="38" t="s">
        <v>89</v>
      </c>
      <c r="D84" s="21" t="n">
        <f aca="false">ROUND(Q84*R84,0)</f>
        <v>819</v>
      </c>
      <c r="E84" s="21" t="n">
        <f aca="false">ROUND(Q84,0)-D84</f>
        <v>684</v>
      </c>
      <c r="F84" s="21" t="n">
        <f aca="false">IF(COUNTA(D84:E84)=0,"",SUM(D84:E84))</f>
        <v>1503</v>
      </c>
      <c r="G84" s="39" t="n">
        <f aca="false">IF(OR(F84="",F84=0),"",D84/F84)</f>
        <v>0.544910179640719</v>
      </c>
      <c r="H84" s="39" t="n">
        <f aca="false">IF(OR(F84="",F84=0),"",E84/F84)</f>
        <v>0.455089820359281</v>
      </c>
      <c r="I84" s="38" t="s">
        <v>90</v>
      </c>
      <c r="J84" s="40" t="n">
        <v>2.77130020190375</v>
      </c>
      <c r="K84" s="39" t="n">
        <f aca="false">IF(G84="","",MAX(0,G84-J84/100))</f>
        <v>0.517197177621681</v>
      </c>
      <c r="L84" s="39" t="n">
        <f aca="false">IF(G84="","",MIN(1,G84+J84/100))</f>
        <v>0.572623181659756</v>
      </c>
      <c r="M84" s="21" t="n">
        <f aca="false">ROUND(Q84*S84,0)</f>
        <v>165</v>
      </c>
      <c r="N84" s="21" t="n">
        <f aca="false">ROUND(SQRT((F84*J84/100)^2+(G84*M84)^2),0)</f>
        <v>99</v>
      </c>
      <c r="P84" s="41" t="n">
        <v>9.61402875954639</v>
      </c>
      <c r="Q84" s="42" t="n">
        <v>1503.21373444649</v>
      </c>
      <c r="R84" s="43" t="n">
        <f aca="false">MAX(0,MIN(1,P84/100+$D$5))</f>
        <v>0.544543063925581</v>
      </c>
      <c r="S84" s="43" t="n">
        <v>0.109771802132738</v>
      </c>
      <c r="T84" s="44" t="s">
        <v>91</v>
      </c>
    </row>
    <row r="85" customFormat="false" ht="15" hidden="false" customHeight="false" outlineLevel="0" collapsed="false">
      <c r="A85" s="38" t="s">
        <v>146</v>
      </c>
      <c r="B85" s="38" t="s">
        <v>167</v>
      </c>
      <c r="C85" s="38" t="s">
        <v>89</v>
      </c>
      <c r="D85" s="21" t="n">
        <f aca="false">ROUND(Q85*R85,0)</f>
        <v>2341</v>
      </c>
      <c r="E85" s="21" t="n">
        <f aca="false">ROUND(Q85,0)-D85</f>
        <v>2155</v>
      </c>
      <c r="F85" s="21" t="n">
        <f aca="false">IF(COUNTA(D85:E85)=0,"",SUM(D85:E85))</f>
        <v>4496</v>
      </c>
      <c r="G85" s="39" t="n">
        <f aca="false">IF(OR(F85="",F85=0),"",D85/F85)</f>
        <v>0.520685053380783</v>
      </c>
      <c r="H85" s="39" t="n">
        <f aca="false">IF(OR(F85="",F85=0),"",E85/F85)</f>
        <v>0.479314946619217</v>
      </c>
      <c r="I85" s="38" t="s">
        <v>90</v>
      </c>
      <c r="J85" s="40" t="n">
        <v>1.18886476919636</v>
      </c>
      <c r="K85" s="39" t="n">
        <f aca="false">IF(G85="","",MAX(0,G85-J85/100))</f>
        <v>0.508796405688819</v>
      </c>
      <c r="L85" s="39" t="n">
        <f aca="false">IF(G85="","",MIN(1,G85+J85/100))</f>
        <v>0.532573701072747</v>
      </c>
      <c r="M85" s="21" t="n">
        <f aca="false">ROUND(Q85*S85,0)</f>
        <v>177</v>
      </c>
      <c r="N85" s="21" t="n">
        <f aca="false">ROUND(SQRT((F85*J85/100)^2+(G85*M85)^2),0)</f>
        <v>107</v>
      </c>
      <c r="P85" s="41" t="n">
        <v>7.2215208167098</v>
      </c>
      <c r="Q85" s="42" t="n">
        <v>4495.63790478176</v>
      </c>
      <c r="R85" s="43" t="n">
        <f aca="false">MAX(0,MIN(1,P85/100+$D$5))</f>
        <v>0.520617984497215</v>
      </c>
      <c r="S85" s="43" t="n">
        <v>0.0393546993294084</v>
      </c>
      <c r="T85" s="44" t="s">
        <v>111</v>
      </c>
    </row>
    <row r="86" customFormat="false" ht="15" hidden="false" customHeight="false" outlineLevel="0" collapsed="false">
      <c r="A86" s="38" t="s">
        <v>146</v>
      </c>
      <c r="B86" s="38" t="s">
        <v>168</v>
      </c>
      <c r="C86" s="38" t="s">
        <v>89</v>
      </c>
      <c r="D86" s="21" t="n">
        <f aca="false">ROUND(Q86*R86,0)</f>
        <v>6403</v>
      </c>
      <c r="E86" s="21" t="n">
        <f aca="false">ROUND(Q86,0)-D86</f>
        <v>5232</v>
      </c>
      <c r="F86" s="21" t="n">
        <f aca="false">IF(COUNTA(D86:E86)=0,"",SUM(D86:E86))</f>
        <v>11635</v>
      </c>
      <c r="G86" s="39" t="n">
        <f aca="false">IF(OR(F86="",F86=0),"",D86/F86)</f>
        <v>0.550322303394929</v>
      </c>
      <c r="H86" s="39" t="n">
        <f aca="false">IF(OR(F86="",F86=0),"",E86/F86)</f>
        <v>0.449677696605071</v>
      </c>
      <c r="I86" s="38" t="s">
        <v>90</v>
      </c>
      <c r="J86" s="40" t="n">
        <v>1.18886476919636</v>
      </c>
      <c r="K86" s="39" t="n">
        <f aca="false">IF(G86="","",MAX(0,G86-J86/100))</f>
        <v>0.538433655702965</v>
      </c>
      <c r="L86" s="39" t="n">
        <f aca="false">IF(G86="","",MIN(1,G86+J86/100))</f>
        <v>0.562210951086893</v>
      </c>
      <c r="M86" s="21" t="n">
        <f aca="false">ROUND(Q86*S86,0)</f>
        <v>458</v>
      </c>
      <c r="N86" s="21" t="n">
        <f aca="false">ROUND(SQRT((F86*J86/100)^2+(G86*M86)^2),0)</f>
        <v>288</v>
      </c>
      <c r="P86" s="41" t="n">
        <v>10.192073480522</v>
      </c>
      <c r="Q86" s="42" t="n">
        <v>11635.2460925346</v>
      </c>
      <c r="R86" s="43" t="n">
        <f aca="false">MAX(0,MIN(1,P86/100+$D$5))</f>
        <v>0.550323511135337</v>
      </c>
      <c r="S86" s="43" t="n">
        <v>0.0393546993294084</v>
      </c>
      <c r="T86" s="44" t="s">
        <v>111</v>
      </c>
    </row>
    <row r="87" customFormat="false" ht="15" hidden="false" customHeight="false" outlineLevel="0" collapsed="false">
      <c r="A87" s="38" t="s">
        <v>146</v>
      </c>
      <c r="B87" s="38" t="s">
        <v>169</v>
      </c>
      <c r="C87" s="38" t="s">
        <v>89</v>
      </c>
      <c r="D87" s="21" t="n">
        <f aca="false">ROUND(Q87*R87,0)</f>
        <v>622</v>
      </c>
      <c r="E87" s="21" t="n">
        <f aca="false">ROUND(Q87,0)-D87</f>
        <v>847</v>
      </c>
      <c r="F87" s="21" t="n">
        <f aca="false">IF(COUNTA(D87:E87)=0,"",SUM(D87:E87))</f>
        <v>1469</v>
      </c>
      <c r="G87" s="39" t="n">
        <f aca="false">IF(OR(F87="",F87=0),"",D87/F87)</f>
        <v>0.423417290673928</v>
      </c>
      <c r="H87" s="39" t="n">
        <f aca="false">IF(OR(F87="",F87=0),"",E87/F87)</f>
        <v>0.576582709326072</v>
      </c>
      <c r="I87" s="38" t="s">
        <v>90</v>
      </c>
      <c r="J87" s="40" t="n">
        <v>2.77130020190375</v>
      </c>
      <c r="K87" s="39" t="n">
        <f aca="false">IF(G87="","",MAX(0,G87-J87/100))</f>
        <v>0.39570428865489</v>
      </c>
      <c r="L87" s="39" t="n">
        <f aca="false">IF(G87="","",MIN(1,G87+J87/100))</f>
        <v>0.451130292692965</v>
      </c>
      <c r="M87" s="21" t="n">
        <f aca="false">ROUND(Q87*S87,0)</f>
        <v>161</v>
      </c>
      <c r="N87" s="21" t="n">
        <f aca="false">ROUND(SQRT((F87*J87/100)^2+(G87*M87)^2),0)</f>
        <v>79</v>
      </c>
      <c r="P87" s="41" t="n">
        <v>-2.49914214228445</v>
      </c>
      <c r="Q87" s="42" t="n">
        <v>1468.78706735641</v>
      </c>
      <c r="R87" s="43" t="n">
        <f aca="false">MAX(0,MIN(1,P87/100+$D$5))</f>
        <v>0.423411354907272</v>
      </c>
      <c r="S87" s="43" t="n">
        <v>0.109771802132738</v>
      </c>
      <c r="T87" s="44" t="s">
        <v>91</v>
      </c>
    </row>
    <row r="88" customFormat="false" ht="15" hidden="false" customHeight="false" outlineLevel="0" collapsed="false">
      <c r="A88" s="38" t="s">
        <v>146</v>
      </c>
      <c r="B88" s="38" t="s">
        <v>170</v>
      </c>
      <c r="C88" s="38" t="s">
        <v>89</v>
      </c>
      <c r="D88" s="21" t="n">
        <f aca="false">ROUND(Q88*R88,0)</f>
        <v>1313</v>
      </c>
      <c r="E88" s="21" t="n">
        <f aca="false">ROUND(Q88,0)-D88</f>
        <v>2168</v>
      </c>
      <c r="F88" s="21" t="n">
        <f aca="false">IF(COUNTA(D88:E88)=0,"",SUM(D88:E88))</f>
        <v>3481</v>
      </c>
      <c r="G88" s="39" t="n">
        <f aca="false">IF(OR(F88="",F88=0),"",D88/F88)</f>
        <v>0.377190462510773</v>
      </c>
      <c r="H88" s="39" t="n">
        <f aca="false">IF(OR(F88="",F88=0),"",E88/F88)</f>
        <v>0.622809537489227</v>
      </c>
      <c r="I88" s="38" t="s">
        <v>90</v>
      </c>
      <c r="J88" s="40" t="n">
        <v>1.9629605122441</v>
      </c>
      <c r="K88" s="39" t="n">
        <f aca="false">IF(G88="","",MAX(0,G88-J88/100))</f>
        <v>0.357560857388332</v>
      </c>
      <c r="L88" s="39" t="n">
        <f aca="false">IF(G88="","",MIN(1,G88+J88/100))</f>
        <v>0.396820067633214</v>
      </c>
      <c r="M88" s="21" t="n">
        <f aca="false">ROUND(Q88*S88,0)</f>
        <v>127</v>
      </c>
      <c r="N88" s="21" t="n">
        <f aca="false">ROUND(SQRT((F88*J88/100)^2+(G88*M88)^2),0)</f>
        <v>83</v>
      </c>
      <c r="P88" s="41" t="n">
        <v>-7.13682491790491</v>
      </c>
      <c r="Q88" s="42" t="n">
        <v>3481.43446528164</v>
      </c>
      <c r="R88" s="43" t="n">
        <f aca="false">MAX(0,MIN(1,P88/100+$D$5))</f>
        <v>0.377034527151068</v>
      </c>
      <c r="S88" s="43" t="n">
        <v>0.036545871650511</v>
      </c>
      <c r="T88" s="44" t="s">
        <v>97</v>
      </c>
    </row>
    <row r="89" customFormat="false" ht="15" hidden="false" customHeight="false" outlineLevel="0" collapsed="false">
      <c r="A89" s="38" t="s">
        <v>146</v>
      </c>
      <c r="B89" s="38" t="s">
        <v>171</v>
      </c>
      <c r="C89" s="38" t="s">
        <v>89</v>
      </c>
      <c r="D89" s="21" t="n">
        <f aca="false">ROUND(Q89*R89,0)</f>
        <v>83</v>
      </c>
      <c r="E89" s="21" t="n">
        <f aca="false">ROUND(Q89,0)-D89</f>
        <v>132</v>
      </c>
      <c r="F89" s="21" t="n">
        <f aca="false">IF(COUNTA(D89:E89)=0,"",SUM(D89:E89))</f>
        <v>215</v>
      </c>
      <c r="G89" s="39" t="n">
        <f aca="false">IF(OR(F89="",F89=0),"",D89/F89)</f>
        <v>0.386046511627907</v>
      </c>
      <c r="H89" s="39" t="n">
        <f aca="false">IF(OR(F89="",F89=0),"",E89/F89)</f>
        <v>0.613953488372093</v>
      </c>
      <c r="I89" s="38" t="s">
        <v>90</v>
      </c>
      <c r="J89" s="40" t="n">
        <v>2.77130020190375</v>
      </c>
      <c r="K89" s="39" t="n">
        <f aca="false">IF(G89="","",MAX(0,G89-J89/100))</f>
        <v>0.35833350960887</v>
      </c>
      <c r="L89" s="39" t="n">
        <f aca="false">IF(G89="","",MIN(1,G89+J89/100))</f>
        <v>0.413759513646944</v>
      </c>
      <c r="M89" s="21" t="n">
        <f aca="false">ROUND(Q89*S89,0)</f>
        <v>24</v>
      </c>
      <c r="N89" s="21" t="n">
        <f aca="false">ROUND(SQRT((F89*J89/100)^2+(G89*M89)^2),0)</f>
        <v>11</v>
      </c>
      <c r="P89" s="41" t="n">
        <v>-6.31561509272711</v>
      </c>
      <c r="Q89" s="42" t="n">
        <v>215.193465873287</v>
      </c>
      <c r="R89" s="43" t="n">
        <f aca="false">MAX(0,MIN(1,P89/100+$D$5))</f>
        <v>0.385246625402846</v>
      </c>
      <c r="S89" s="43" t="n">
        <v>0.109771802132738</v>
      </c>
      <c r="T89" s="44" t="s">
        <v>91</v>
      </c>
    </row>
    <row r="90" customFormat="false" ht="15" hidden="false" customHeight="false" outlineLevel="0" collapsed="false">
      <c r="A90" s="38" t="s">
        <v>146</v>
      </c>
      <c r="B90" s="38" t="s">
        <v>172</v>
      </c>
      <c r="C90" s="38" t="s">
        <v>89</v>
      </c>
      <c r="D90" s="21" t="n">
        <f aca="false">ROUND(Q90*R90,0)</f>
        <v>335</v>
      </c>
      <c r="E90" s="21" t="n">
        <f aca="false">ROUND(Q90,0)-D90</f>
        <v>443</v>
      </c>
      <c r="F90" s="21" t="n">
        <f aca="false">IF(COUNTA(D90:E90)=0,"",SUM(D90:E90))</f>
        <v>778</v>
      </c>
      <c r="G90" s="39" t="n">
        <f aca="false">IF(OR(F90="",F90=0),"",D90/F90)</f>
        <v>0.430591259640103</v>
      </c>
      <c r="H90" s="39" t="n">
        <f aca="false">IF(OR(F90="",F90=0),"",E90/F90)</f>
        <v>0.569408740359897</v>
      </c>
      <c r="I90" s="38" t="s">
        <v>90</v>
      </c>
      <c r="J90" s="40" t="n">
        <v>2.77130020190375</v>
      </c>
      <c r="K90" s="39" t="n">
        <f aca="false">IF(G90="","",MAX(0,G90-J90/100))</f>
        <v>0.402878257621065</v>
      </c>
      <c r="L90" s="39" t="n">
        <f aca="false">IF(G90="","",MIN(1,G90+J90/100))</f>
        <v>0.45830426165914</v>
      </c>
      <c r="M90" s="21" t="n">
        <f aca="false">ROUND(Q90*S90,0)</f>
        <v>85</v>
      </c>
      <c r="N90" s="21" t="n">
        <f aca="false">ROUND(SQRT((F90*J90/100)^2+(G90*M90)^2),0)</f>
        <v>42</v>
      </c>
      <c r="P90" s="41" t="n">
        <v>-1.80633953968545</v>
      </c>
      <c r="Q90" s="42" t="n">
        <v>777.696670404645</v>
      </c>
      <c r="R90" s="43" t="n">
        <f aca="false">MAX(0,MIN(1,P90/100+$D$5))</f>
        <v>0.430339380933262</v>
      </c>
      <c r="S90" s="43" t="n">
        <v>0.109771802132738</v>
      </c>
      <c r="T90" s="44" t="s">
        <v>91</v>
      </c>
    </row>
    <row r="91" customFormat="false" ht="15" hidden="false" customHeight="false" outlineLevel="0" collapsed="false">
      <c r="A91" s="38" t="s">
        <v>146</v>
      </c>
      <c r="B91" s="38" t="s">
        <v>173</v>
      </c>
      <c r="C91" s="38" t="s">
        <v>89</v>
      </c>
      <c r="D91" s="21" t="n">
        <f aca="false">ROUND(Q91*R91,0)</f>
        <v>195</v>
      </c>
      <c r="E91" s="21" t="n">
        <f aca="false">ROUND(Q91,0)-D91</f>
        <v>244</v>
      </c>
      <c r="F91" s="21" t="n">
        <f aca="false">IF(COUNTA(D91:E91)=0,"",SUM(D91:E91))</f>
        <v>439</v>
      </c>
      <c r="G91" s="39" t="n">
        <f aca="false">IF(OR(F91="",F91=0),"",D91/F91)</f>
        <v>0.444191343963554</v>
      </c>
      <c r="H91" s="39" t="n">
        <f aca="false">IF(OR(F91="",F91=0),"",E91/F91)</f>
        <v>0.555808656036447</v>
      </c>
      <c r="I91" s="38" t="s">
        <v>90</v>
      </c>
      <c r="J91" s="40" t="n">
        <v>2.77130020190375</v>
      </c>
      <c r="K91" s="39" t="n">
        <f aca="false">IF(G91="","",MAX(0,G91-J91/100))</f>
        <v>0.416478341944516</v>
      </c>
      <c r="L91" s="39" t="n">
        <f aca="false">IF(G91="","",MIN(1,G91+J91/100))</f>
        <v>0.471904345982591</v>
      </c>
      <c r="M91" s="21" t="n">
        <f aca="false">ROUND(Q91*S91,0)</f>
        <v>48</v>
      </c>
      <c r="N91" s="21" t="n">
        <f aca="false">ROUND(SQRT((F91*J91/100)^2+(G91*M91)^2),0)</f>
        <v>25</v>
      </c>
      <c r="P91" s="41" t="n">
        <v>-0.328139529968831</v>
      </c>
      <c r="Q91" s="42" t="n">
        <v>439.147159384588</v>
      </c>
      <c r="R91" s="43" t="n">
        <f aca="false">MAX(0,MIN(1,P91/100+$D$5))</f>
        <v>0.445121381030429</v>
      </c>
      <c r="S91" s="43" t="n">
        <v>0.109771802132738</v>
      </c>
      <c r="T91" s="44" t="s">
        <v>91</v>
      </c>
    </row>
    <row r="92" customFormat="false" ht="15" hidden="false" customHeight="false" outlineLevel="0" collapsed="false">
      <c r="A92" s="38" t="s">
        <v>146</v>
      </c>
      <c r="B92" s="38" t="s">
        <v>174</v>
      </c>
      <c r="C92" s="38" t="s">
        <v>89</v>
      </c>
      <c r="D92" s="21" t="n">
        <f aca="false">ROUND(Q92*R92,0)</f>
        <v>301</v>
      </c>
      <c r="E92" s="21" t="n">
        <f aca="false">ROUND(Q92,0)-D92</f>
        <v>343</v>
      </c>
      <c r="F92" s="21" t="n">
        <f aca="false">IF(COUNTA(D92:E92)=0,"",SUM(D92:E92))</f>
        <v>644</v>
      </c>
      <c r="G92" s="39" t="n">
        <f aca="false">IF(OR(F92="",F92=0),"",D92/F92)</f>
        <v>0.467391304347826</v>
      </c>
      <c r="H92" s="39" t="n">
        <f aca="false">IF(OR(F92="",F92=0),"",E92/F92)</f>
        <v>0.532608695652174</v>
      </c>
      <c r="I92" s="38" t="s">
        <v>90</v>
      </c>
      <c r="J92" s="40" t="n">
        <v>2.77130020190375</v>
      </c>
      <c r="K92" s="39" t="n">
        <f aca="false">IF(G92="","",MAX(0,G92-J92/100))</f>
        <v>0.439678302328789</v>
      </c>
      <c r="L92" s="39" t="n">
        <f aca="false">IF(G92="","",MIN(1,G92+J92/100))</f>
        <v>0.495104306366864</v>
      </c>
      <c r="M92" s="21" t="n">
        <f aca="false">ROUND(Q92*S92,0)</f>
        <v>71</v>
      </c>
      <c r="N92" s="21" t="n">
        <f aca="false">ROUND(SQRT((F92*J92/100)^2+(G92*M92)^2),0)</f>
        <v>38</v>
      </c>
      <c r="P92" s="41" t="n">
        <v>1.8997694807886</v>
      </c>
      <c r="Q92" s="42" t="n">
        <v>644.165280165485</v>
      </c>
      <c r="R92" s="43" t="n">
        <f aca="false">MAX(0,MIN(1,P92/100+$D$5))</f>
        <v>0.467400471138003</v>
      </c>
      <c r="S92" s="43" t="n">
        <v>0.109771802132738</v>
      </c>
      <c r="T92" s="44" t="s">
        <v>91</v>
      </c>
    </row>
    <row r="93" customFormat="false" ht="15" hidden="false" customHeight="false" outlineLevel="0" collapsed="false">
      <c r="A93" s="38" t="s">
        <v>146</v>
      </c>
      <c r="B93" s="38" t="s">
        <v>175</v>
      </c>
      <c r="C93" s="38" t="s">
        <v>89</v>
      </c>
      <c r="D93" s="21" t="n">
        <f aca="false">ROUND(Q93*R93,0)</f>
        <v>1294</v>
      </c>
      <c r="E93" s="21" t="n">
        <f aca="false">ROUND(Q93,0)-D93</f>
        <v>2245</v>
      </c>
      <c r="F93" s="21" t="n">
        <f aca="false">IF(COUNTA(D93:E93)=0,"",SUM(D93:E93))</f>
        <v>3539</v>
      </c>
      <c r="G93" s="39" t="n">
        <f aca="false">IF(OR(F93="",F93=0),"",D93/F93)</f>
        <v>0.365640011302628</v>
      </c>
      <c r="H93" s="39" t="n">
        <f aca="false">IF(OR(F93="",F93=0),"",E93/F93)</f>
        <v>0.634359988697372</v>
      </c>
      <c r="I93" s="38" t="s">
        <v>90</v>
      </c>
      <c r="J93" s="40" t="n">
        <v>1.9629605122441</v>
      </c>
      <c r="K93" s="39" t="n">
        <f aca="false">IF(G93="","",MAX(0,G93-J93/100))</f>
        <v>0.346010406180187</v>
      </c>
      <c r="L93" s="39" t="n">
        <f aca="false">IF(G93="","",MIN(1,G93+J93/100))</f>
        <v>0.385269616425069</v>
      </c>
      <c r="M93" s="21" t="n">
        <f aca="false">ROUND(Q93*S93,0)</f>
        <v>129</v>
      </c>
      <c r="N93" s="21" t="n">
        <f aca="false">ROUND(SQRT((F93*J93/100)^2+(G93*M93)^2),0)</f>
        <v>84</v>
      </c>
      <c r="P93" s="41" t="n">
        <v>-8.28754565907101</v>
      </c>
      <c r="Q93" s="42" t="n">
        <v>3539.01238159312</v>
      </c>
      <c r="R93" s="43" t="n">
        <f aca="false">MAX(0,MIN(1,P93/100+$D$5))</f>
        <v>0.365527319739407</v>
      </c>
      <c r="S93" s="43" t="n">
        <v>0.036545871650511</v>
      </c>
      <c r="T93" s="44" t="s">
        <v>97</v>
      </c>
    </row>
    <row r="94" customFormat="false" ht="15" hidden="false" customHeight="false" outlineLevel="0" collapsed="false">
      <c r="A94" s="38" t="s">
        <v>146</v>
      </c>
      <c r="B94" s="38" t="s">
        <v>176</v>
      </c>
      <c r="C94" s="38" t="s">
        <v>89</v>
      </c>
      <c r="D94" s="21" t="n">
        <f aca="false">ROUND(Q94*R94,0)</f>
        <v>1844</v>
      </c>
      <c r="E94" s="21" t="n">
        <f aca="false">ROUND(Q94,0)-D94</f>
        <v>1680</v>
      </c>
      <c r="F94" s="21" t="n">
        <f aca="false">IF(COUNTA(D94:E94)=0,"",SUM(D94:E94))</f>
        <v>3524</v>
      </c>
      <c r="G94" s="39" t="n">
        <f aca="false">IF(OR(F94="",F94=0),"",D94/F94)</f>
        <v>0.523269012485812</v>
      </c>
      <c r="H94" s="39" t="n">
        <f aca="false">IF(OR(F94="",F94=0),"",E94/F94)</f>
        <v>0.476730987514188</v>
      </c>
      <c r="I94" s="38" t="s">
        <v>90</v>
      </c>
      <c r="J94" s="40" t="n">
        <v>1.9629605122441</v>
      </c>
      <c r="K94" s="39" t="n">
        <f aca="false">IF(G94="","",MAX(0,G94-J94/100))</f>
        <v>0.503639407363371</v>
      </c>
      <c r="L94" s="39" t="n">
        <f aca="false">IF(G94="","",MIN(1,G94+J94/100))</f>
        <v>0.542898617608253</v>
      </c>
      <c r="M94" s="21" t="n">
        <f aca="false">ROUND(Q94*S94,0)</f>
        <v>129</v>
      </c>
      <c r="N94" s="21" t="n">
        <f aca="false">ROUND(SQRT((F94*J94/100)^2+(G94*M94)^2),0)</f>
        <v>97</v>
      </c>
      <c r="P94" s="41" t="n">
        <v>7.4806809678855</v>
      </c>
      <c r="Q94" s="42" t="n">
        <v>3523.89906829744</v>
      </c>
      <c r="R94" s="43" t="n">
        <f aca="false">MAX(0,MIN(1,P94/100+$D$5))</f>
        <v>0.523209586008972</v>
      </c>
      <c r="S94" s="43" t="n">
        <v>0.036545871650511</v>
      </c>
      <c r="T94" s="44" t="s">
        <v>97</v>
      </c>
    </row>
    <row r="95" customFormat="false" ht="15" hidden="false" customHeight="false" outlineLevel="0" collapsed="false">
      <c r="A95" s="38" t="s">
        <v>146</v>
      </c>
      <c r="B95" s="38" t="s">
        <v>177</v>
      </c>
      <c r="C95" s="38" t="s">
        <v>89</v>
      </c>
      <c r="D95" s="21" t="n">
        <f aca="false">ROUND(Q95*R95,0)</f>
        <v>362</v>
      </c>
      <c r="E95" s="21" t="n">
        <f aca="false">ROUND(Q95,0)-D95</f>
        <v>458</v>
      </c>
      <c r="F95" s="21" t="n">
        <f aca="false">IF(COUNTA(D95:E95)=0,"",SUM(D95:E95))</f>
        <v>820</v>
      </c>
      <c r="G95" s="39" t="n">
        <f aca="false">IF(OR(F95="",F95=0),"",D95/F95)</f>
        <v>0.441463414634146</v>
      </c>
      <c r="H95" s="39" t="n">
        <f aca="false">IF(OR(F95="",F95=0),"",E95/F95)</f>
        <v>0.558536585365854</v>
      </c>
      <c r="I95" s="38" t="s">
        <v>90</v>
      </c>
      <c r="J95" s="40" t="n">
        <v>2.77130020190375</v>
      </c>
      <c r="K95" s="39" t="n">
        <f aca="false">IF(G95="","",MAX(0,G95-J95/100))</f>
        <v>0.413750412615109</v>
      </c>
      <c r="L95" s="39" t="n">
        <f aca="false">IF(G95="","",MIN(1,G95+J95/100))</f>
        <v>0.469176416653184</v>
      </c>
      <c r="M95" s="21" t="n">
        <f aca="false">ROUND(Q95*S95,0)</f>
        <v>90</v>
      </c>
      <c r="N95" s="21" t="n">
        <f aca="false">ROUND(SQRT((F95*J95/100)^2+(G95*M95)^2),0)</f>
        <v>46</v>
      </c>
      <c r="P95" s="41" t="n">
        <v>-0.696497496747202</v>
      </c>
      <c r="Q95" s="42" t="n">
        <v>820.364721442719</v>
      </c>
      <c r="R95" s="43" t="n">
        <f aca="false">MAX(0,MIN(1,P95/100+$D$5))</f>
        <v>0.441437801362645</v>
      </c>
      <c r="S95" s="43" t="n">
        <v>0.109771802132738</v>
      </c>
      <c r="T95" s="44" t="s">
        <v>91</v>
      </c>
    </row>
    <row r="96" customFormat="false" ht="15" hidden="false" customHeight="false" outlineLevel="0" collapsed="false">
      <c r="A96" s="38" t="s">
        <v>146</v>
      </c>
      <c r="B96" s="38" t="s">
        <v>139</v>
      </c>
      <c r="C96" s="38" t="s">
        <v>89</v>
      </c>
      <c r="D96" s="21" t="n">
        <f aca="false">ROUND(Q96*R96,0)</f>
        <v>997</v>
      </c>
      <c r="E96" s="21" t="n">
        <f aca="false">ROUND(Q96,0)-D96</f>
        <v>1681</v>
      </c>
      <c r="F96" s="21" t="n">
        <f aca="false">IF(COUNTA(D96:E96)=0,"",SUM(D96:E96))</f>
        <v>2678</v>
      </c>
      <c r="G96" s="39" t="n">
        <f aca="false">IF(OR(F96="",F96=0),"",D96/F96)</f>
        <v>0.372292755787901</v>
      </c>
      <c r="H96" s="39" t="n">
        <f aca="false">IF(OR(F96="",F96=0),"",E96/F96)</f>
        <v>0.627707244212099</v>
      </c>
      <c r="I96" s="38" t="s">
        <v>90</v>
      </c>
      <c r="J96" s="40" t="n">
        <v>1.9629605122441</v>
      </c>
      <c r="K96" s="39" t="n">
        <f aca="false">IF(G96="","",MAX(0,G96-J96/100))</f>
        <v>0.35266315066546</v>
      </c>
      <c r="L96" s="39" t="n">
        <f aca="false">IF(G96="","",MIN(1,G96+J96/100))</f>
        <v>0.391922360910342</v>
      </c>
      <c r="M96" s="21" t="n">
        <f aca="false">ROUND(Q96*S96,0)</f>
        <v>98</v>
      </c>
      <c r="N96" s="21" t="n">
        <f aca="false">ROUND(SQRT((F96*J96/100)^2+(G96*M96)^2),0)</f>
        <v>64</v>
      </c>
      <c r="P96" s="41" t="n">
        <v>-7.59315251517204</v>
      </c>
      <c r="Q96" s="42" t="n">
        <v>2677.73867118913</v>
      </c>
      <c r="R96" s="43" t="n">
        <f aca="false">MAX(0,MIN(1,P96/100+$D$5))</f>
        <v>0.372471251178397</v>
      </c>
      <c r="S96" s="43" t="n">
        <v>0.036545871650511</v>
      </c>
      <c r="T96" s="44" t="s">
        <v>97</v>
      </c>
    </row>
    <row r="97" customFormat="false" ht="15" hidden="false" customHeight="false" outlineLevel="0" collapsed="false">
      <c r="A97" s="38" t="s">
        <v>146</v>
      </c>
      <c r="B97" s="38" t="s">
        <v>178</v>
      </c>
      <c r="C97" s="38" t="s">
        <v>89</v>
      </c>
      <c r="D97" s="21" t="n">
        <f aca="false">ROUND(Q97*R97,0)</f>
        <v>245</v>
      </c>
      <c r="E97" s="21" t="n">
        <f aca="false">ROUND(Q97,0)-D97</f>
        <v>222</v>
      </c>
      <c r="F97" s="21" t="n">
        <f aca="false">IF(COUNTA(D97:E97)=0,"",SUM(D97:E97))</f>
        <v>467</v>
      </c>
      <c r="G97" s="39" t="n">
        <f aca="false">IF(OR(F97="",F97=0),"",D97/F97)</f>
        <v>0.524625267665953</v>
      </c>
      <c r="H97" s="39" t="n">
        <f aca="false">IF(OR(F97="",F97=0),"",E97/F97)</f>
        <v>0.475374732334047</v>
      </c>
      <c r="I97" s="38" t="s">
        <v>90</v>
      </c>
      <c r="J97" s="40" t="n">
        <v>2.77130020190375</v>
      </c>
      <c r="K97" s="39" t="n">
        <f aca="false">IF(G97="","",MAX(0,G97-J97/100))</f>
        <v>0.496912265646915</v>
      </c>
      <c r="L97" s="39" t="n">
        <f aca="false">IF(G97="","",MIN(1,G97+J97/100))</f>
        <v>0.55233826968499</v>
      </c>
      <c r="M97" s="21" t="n">
        <f aca="false">ROUND(Q97*S97,0)</f>
        <v>51</v>
      </c>
      <c r="N97" s="21" t="n">
        <f aca="false">ROUND(SQRT((F97*J97/100)^2+(G97*M97)^2),0)</f>
        <v>30</v>
      </c>
      <c r="P97" s="41" t="n">
        <v>7.47522771566025</v>
      </c>
      <c r="Q97" s="42" t="n">
        <v>467.438642404493</v>
      </c>
      <c r="R97" s="43" t="n">
        <f aca="false">MAX(0,MIN(1,P97/100+$D$5))</f>
        <v>0.52315505348672</v>
      </c>
      <c r="S97" s="43" t="n">
        <v>0.109771802132738</v>
      </c>
      <c r="T97" s="44" t="s">
        <v>91</v>
      </c>
    </row>
    <row r="98" customFormat="false" ht="15" hidden="false" customHeight="false" outlineLevel="0" collapsed="false">
      <c r="A98" s="38" t="s">
        <v>146</v>
      </c>
      <c r="B98" s="38" t="s">
        <v>179</v>
      </c>
      <c r="C98" s="38" t="s">
        <v>89</v>
      </c>
      <c r="D98" s="21" t="n">
        <f aca="false">ROUND(Q98*R98,0)</f>
        <v>1821</v>
      </c>
      <c r="E98" s="21" t="n">
        <f aca="false">ROUND(Q98,0)-D98</f>
        <v>1920</v>
      </c>
      <c r="F98" s="21" t="n">
        <f aca="false">IF(COUNTA(D98:E98)=0,"",SUM(D98:E98))</f>
        <v>3741</v>
      </c>
      <c r="G98" s="39" t="n">
        <f aca="false">IF(OR(F98="",F98=0),"",D98/F98)</f>
        <v>0.486768243785084</v>
      </c>
      <c r="H98" s="39" t="n">
        <f aca="false">IF(OR(F98="",F98=0),"",E98/F98)</f>
        <v>0.513231756214916</v>
      </c>
      <c r="I98" s="38" t="s">
        <v>90</v>
      </c>
      <c r="J98" s="40" t="n">
        <v>1.9629605122441</v>
      </c>
      <c r="K98" s="39" t="n">
        <f aca="false">IF(G98="","",MAX(0,G98-J98/100))</f>
        <v>0.467138638662643</v>
      </c>
      <c r="L98" s="39" t="n">
        <f aca="false">IF(G98="","",MIN(1,G98+J98/100))</f>
        <v>0.506397848907525</v>
      </c>
      <c r="M98" s="21" t="n">
        <f aca="false">ROUND(Q98*S98,0)</f>
        <v>137</v>
      </c>
      <c r="N98" s="21" t="n">
        <f aca="false">ROUND(SQRT((F98*J98/100)^2+(G98*M98)^2),0)</f>
        <v>99</v>
      </c>
      <c r="P98" s="41" t="n">
        <v>3.84079475056747</v>
      </c>
      <c r="Q98" s="42" t="n">
        <v>3741.36602599602</v>
      </c>
      <c r="R98" s="43" t="n">
        <f aca="false">MAX(0,MIN(1,P98/100+$D$5))</f>
        <v>0.486810723835792</v>
      </c>
      <c r="S98" s="43" t="n">
        <v>0.036545871650511</v>
      </c>
      <c r="T98" s="44" t="s">
        <v>97</v>
      </c>
    </row>
    <row r="99" customFormat="false" ht="15" hidden="false" customHeight="false" outlineLevel="0" collapsed="false">
      <c r="A99" s="38" t="s">
        <v>146</v>
      </c>
      <c r="B99" s="38" t="s">
        <v>180</v>
      </c>
      <c r="C99" s="38" t="s">
        <v>89</v>
      </c>
      <c r="D99" s="21" t="n">
        <f aca="false">ROUND(Q99*R99,0)</f>
        <v>1440</v>
      </c>
      <c r="E99" s="21" t="n">
        <f aca="false">ROUND(Q99,0)-D99</f>
        <v>1041</v>
      </c>
      <c r="F99" s="21" t="n">
        <f aca="false">IF(COUNTA(D99:E99)=0,"",SUM(D99:E99))</f>
        <v>2481</v>
      </c>
      <c r="G99" s="39" t="n">
        <f aca="false">IF(OR(F99="",F99=0),"",D99/F99)</f>
        <v>0.580411124546554</v>
      </c>
      <c r="H99" s="39" t="n">
        <f aca="false">IF(OR(F99="",F99=0),"",E99/F99)</f>
        <v>0.419588875453446</v>
      </c>
      <c r="I99" s="38" t="s">
        <v>90</v>
      </c>
      <c r="J99" s="40" t="n">
        <v>1.9629605122441</v>
      </c>
      <c r="K99" s="39" t="n">
        <f aca="false">IF(G99="","",MAX(0,G99-J99/100))</f>
        <v>0.560781519424113</v>
      </c>
      <c r="L99" s="39" t="n">
        <f aca="false">IF(G99="","",MIN(1,G99+J99/100))</f>
        <v>0.600040729668995</v>
      </c>
      <c r="M99" s="21" t="n">
        <f aca="false">ROUND(Q99*S99,0)</f>
        <v>91</v>
      </c>
      <c r="N99" s="21" t="n">
        <f aca="false">ROUND(SQRT((F99*J99/100)^2+(G99*M99)^2),0)</f>
        <v>72</v>
      </c>
      <c r="P99" s="41" t="n">
        <v>13.2036304828809</v>
      </c>
      <c r="Q99" s="42" t="n">
        <v>2481.24900313216</v>
      </c>
      <c r="R99" s="43" t="n">
        <f aca="false">MAX(0,MIN(1,P99/100+$D$5))</f>
        <v>0.580439081158926</v>
      </c>
      <c r="S99" s="43" t="n">
        <v>0.036545871650511</v>
      </c>
      <c r="T99" s="44" t="s">
        <v>97</v>
      </c>
    </row>
    <row r="100" customFormat="false" ht="15" hidden="false" customHeight="false" outlineLevel="0" collapsed="false">
      <c r="A100" s="38" t="s">
        <v>146</v>
      </c>
      <c r="B100" s="38" t="s">
        <v>181</v>
      </c>
      <c r="C100" s="38" t="s">
        <v>89</v>
      </c>
      <c r="D100" s="21" t="n">
        <f aca="false">ROUND(Q100*R100,0)</f>
        <v>574</v>
      </c>
      <c r="E100" s="21" t="n">
        <f aca="false">ROUND(Q100,0)-D100</f>
        <v>649</v>
      </c>
      <c r="F100" s="21" t="n">
        <f aca="false">IF(COUNTA(D100:E100)=0,"",SUM(D100:E100))</f>
        <v>1223</v>
      </c>
      <c r="G100" s="39" t="n">
        <f aca="false">IF(OR(F100="",F100=0),"",D100/F100)</f>
        <v>0.469337694194603</v>
      </c>
      <c r="H100" s="39" t="n">
        <f aca="false">IF(OR(F100="",F100=0),"",E100/F100)</f>
        <v>0.530662305805397</v>
      </c>
      <c r="I100" s="38" t="s">
        <v>90</v>
      </c>
      <c r="J100" s="40" t="n">
        <v>2.77130020190375</v>
      </c>
      <c r="K100" s="39" t="n">
        <f aca="false">IF(G100="","",MAX(0,G100-J100/100))</f>
        <v>0.441624692175566</v>
      </c>
      <c r="L100" s="39" t="n">
        <f aca="false">IF(G100="","",MIN(1,G100+J100/100))</f>
        <v>0.497050696213641</v>
      </c>
      <c r="M100" s="21" t="n">
        <f aca="false">ROUND(Q100*S100,0)</f>
        <v>134</v>
      </c>
      <c r="N100" s="21" t="n">
        <f aca="false">ROUND(SQRT((F100*J100/100)^2+(G100*M100)^2),0)</f>
        <v>71</v>
      </c>
      <c r="P100" s="41" t="n">
        <v>2.1114011513789</v>
      </c>
      <c r="Q100" s="42" t="n">
        <v>1223.09841373732</v>
      </c>
      <c r="R100" s="43" t="n">
        <f aca="false">MAX(0,MIN(1,P100/100+$D$5))</f>
        <v>0.469516787843906</v>
      </c>
      <c r="S100" s="43" t="n">
        <v>0.109771802132738</v>
      </c>
      <c r="T100" s="44" t="s">
        <v>91</v>
      </c>
    </row>
  </sheetData>
  <mergeCells count="4">
    <mergeCell ref="A3:I3"/>
    <mergeCell ref="A6:N6"/>
    <mergeCell ref="A9:N9"/>
    <mergeCell ref="A10:N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184</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185</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B5-SUMPRODUCT(P12:P100,Q12:Q100)/SUM(Q12:Q100)/100</f>
        <v>0.439829139024568</v>
      </c>
      <c r="E5" s="2" t="s">
        <v>63</v>
      </c>
      <c r="F5" s="31" t="n">
        <v>1.94004512672387</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SUM(D12:D100)</f>
        <v>170926</v>
      </c>
      <c r="E8" s="32" t="n">
        <f aca="false">SUM(E12:E100)</f>
        <v>152693</v>
      </c>
      <c r="F8" s="32" t="n">
        <f aca="false">D8+E8</f>
        <v>323619</v>
      </c>
      <c r="G8" s="33" t="n">
        <f aca="false">IF(F8=0,"",D8/F8)</f>
        <v>0.528170472067462</v>
      </c>
      <c r="H8" s="33" t="n">
        <f aca="false">IF(F8=0,"",E8/F8)</f>
        <v>0.471829527932538</v>
      </c>
      <c r="I8" s="11" t="s">
        <v>77</v>
      </c>
      <c r="J8" s="34" t="n">
        <v>1.94004512672387</v>
      </c>
      <c r="K8" s="33" t="n">
        <f aca="false">G8-J8/100</f>
        <v>0.508770020800223</v>
      </c>
      <c r="L8" s="33" t="n">
        <f aca="false">G8+J8/100</f>
        <v>0.547570923334701</v>
      </c>
      <c r="M8" s="32" t="n">
        <f aca="false">ROUND(F8*0.0336,0)</f>
        <v>10874</v>
      </c>
      <c r="N8" s="32" t="n">
        <f aca="false">ROUND(SQRT((F8*J8/100)^2+(G8*M8)^2),0)</f>
        <v>8509</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89</v>
      </c>
      <c r="D12" s="21" t="n">
        <f aca="false">ROUND(Q12*R12,0)</f>
        <v>172</v>
      </c>
      <c r="E12" s="21" t="n">
        <f aca="false">ROUND(Q12,0)-D12</f>
        <v>229</v>
      </c>
      <c r="F12" s="21" t="n">
        <f aca="false">IF(COUNTA(D12:E12)=0,"",SUM(D12:E12))</f>
        <v>401</v>
      </c>
      <c r="G12" s="39" t="n">
        <f aca="false">IF(OR(F12="",F12=0),"",D12/F12)</f>
        <v>0.428927680798005</v>
      </c>
      <c r="H12" s="39" t="n">
        <f aca="false">IF(OR(F12="",F12=0),"",E12/F12)</f>
        <v>0.571072319201995</v>
      </c>
      <c r="I12" s="38" t="s">
        <v>90</v>
      </c>
      <c r="J12" s="40" t="n">
        <v>2.46414572893645</v>
      </c>
      <c r="K12" s="39" t="n">
        <f aca="false">IF(G12="","",MAX(0,G12-J12/100))</f>
        <v>0.404286223508641</v>
      </c>
      <c r="L12" s="39" t="n">
        <f aca="false">IF(G12="","",MIN(1,G12+J12/100))</f>
        <v>0.453569138087369</v>
      </c>
      <c r="M12" s="21" t="n">
        <f aca="false">ROUND(Q12*S12,0)</f>
        <v>56</v>
      </c>
      <c r="N12" s="21" t="n">
        <f aca="false">ROUND(SQRT((F12*J12/100)^2+(G12*M12)^2),0)</f>
        <v>26</v>
      </c>
      <c r="P12" s="41" t="n">
        <v>-1.02062125795249</v>
      </c>
      <c r="Q12" s="42" t="n">
        <v>400.664786102662</v>
      </c>
      <c r="R12" s="43" t="n">
        <f aca="false">MAX(0,MIN(1,P12/100+$D$5))</f>
        <v>0.429622926445043</v>
      </c>
      <c r="S12" s="43" t="n">
        <v>0.140730607711166</v>
      </c>
      <c r="T12" s="44" t="s">
        <v>91</v>
      </c>
    </row>
    <row r="13" customFormat="false" ht="15" hidden="false" customHeight="false" outlineLevel="0" collapsed="false">
      <c r="A13" s="38" t="s">
        <v>87</v>
      </c>
      <c r="B13" s="38" t="s">
        <v>92</v>
      </c>
      <c r="C13" s="38" t="s">
        <v>89</v>
      </c>
      <c r="D13" s="21" t="n">
        <f aca="false">ROUND(Q13*R13,0)</f>
        <v>109</v>
      </c>
      <c r="E13" s="21" t="n">
        <f aca="false">ROUND(Q13,0)-D13</f>
        <v>236</v>
      </c>
      <c r="F13" s="21" t="n">
        <f aca="false">IF(COUNTA(D13:E13)=0,"",SUM(D13:E13))</f>
        <v>345</v>
      </c>
      <c r="G13" s="39" t="n">
        <f aca="false">IF(OR(F13="",F13=0),"",D13/F13)</f>
        <v>0.315942028985507</v>
      </c>
      <c r="H13" s="39" t="n">
        <f aca="false">IF(OR(F13="",F13=0),"",E13/F13)</f>
        <v>0.684057971014493</v>
      </c>
      <c r="I13" s="38" t="s">
        <v>90</v>
      </c>
      <c r="J13" s="40" t="n">
        <v>2.46414572893645</v>
      </c>
      <c r="K13" s="39" t="n">
        <f aca="false">IF(G13="","",MAX(0,G13-J13/100))</f>
        <v>0.291300571696143</v>
      </c>
      <c r="L13" s="39" t="n">
        <f aca="false">IF(G13="","",MIN(1,G13+J13/100))</f>
        <v>0.340583486274872</v>
      </c>
      <c r="M13" s="21" t="n">
        <f aca="false">ROUND(Q13*S13,0)</f>
        <v>48</v>
      </c>
      <c r="N13" s="21" t="n">
        <f aca="false">ROUND(SQRT((F13*J13/100)^2+(G13*M13)^2),0)</f>
        <v>17</v>
      </c>
      <c r="P13" s="41" t="n">
        <v>-12.466719801476</v>
      </c>
      <c r="Q13" s="42" t="n">
        <v>344.562192149351</v>
      </c>
      <c r="R13" s="43" t="n">
        <f aca="false">MAX(0,MIN(1,P13/100+$D$5))</f>
        <v>0.315161941009808</v>
      </c>
      <c r="S13" s="43" t="n">
        <v>0.140730607711166</v>
      </c>
      <c r="T13" s="44" t="s">
        <v>91</v>
      </c>
    </row>
    <row r="14" customFormat="false" ht="15" hidden="false" customHeight="false" outlineLevel="0" collapsed="false">
      <c r="A14" s="38" t="s">
        <v>87</v>
      </c>
      <c r="B14" s="38" t="s">
        <v>93</v>
      </c>
      <c r="C14" s="38" t="s">
        <v>89</v>
      </c>
      <c r="D14" s="21" t="n">
        <f aca="false">ROUND(Q14*R14,0)</f>
        <v>136</v>
      </c>
      <c r="E14" s="21" t="n">
        <f aca="false">ROUND(Q14,0)-D14</f>
        <v>248</v>
      </c>
      <c r="F14" s="21" t="n">
        <f aca="false">IF(COUNTA(D14:E14)=0,"",SUM(D14:E14))</f>
        <v>384</v>
      </c>
      <c r="G14" s="39" t="n">
        <f aca="false">IF(OR(F14="",F14=0),"",D14/F14)</f>
        <v>0.354166666666667</v>
      </c>
      <c r="H14" s="39" t="n">
        <f aca="false">IF(OR(F14="",F14=0),"",E14/F14)</f>
        <v>0.645833333333333</v>
      </c>
      <c r="I14" s="38" t="s">
        <v>90</v>
      </c>
      <c r="J14" s="40" t="n">
        <v>2.46414572893645</v>
      </c>
      <c r="K14" s="39" t="n">
        <f aca="false">IF(G14="","",MAX(0,G14-J14/100))</f>
        <v>0.329525209377302</v>
      </c>
      <c r="L14" s="39" t="n">
        <f aca="false">IF(G14="","",MIN(1,G14+J14/100))</f>
        <v>0.378808123956031</v>
      </c>
      <c r="M14" s="21" t="n">
        <f aca="false">ROUND(Q14*S14,0)</f>
        <v>54</v>
      </c>
      <c r="N14" s="21" t="n">
        <f aca="false">ROUND(SQRT((F14*J14/100)^2+(G14*M14)^2),0)</f>
        <v>21</v>
      </c>
      <c r="P14" s="41" t="n">
        <v>-8.43515802500883</v>
      </c>
      <c r="Q14" s="42" t="n">
        <v>383.742401691869</v>
      </c>
      <c r="R14" s="43" t="n">
        <f aca="false">MAX(0,MIN(1,P14/100+$D$5))</f>
        <v>0.35547755877448</v>
      </c>
      <c r="S14" s="43" t="n">
        <v>0.140730607711166</v>
      </c>
      <c r="T14" s="44" t="s">
        <v>91</v>
      </c>
    </row>
    <row r="15" customFormat="false" ht="15" hidden="false" customHeight="false" outlineLevel="0" collapsed="false">
      <c r="A15" s="38" t="s">
        <v>87</v>
      </c>
      <c r="B15" s="38" t="s">
        <v>94</v>
      </c>
      <c r="C15" s="38" t="s">
        <v>89</v>
      </c>
      <c r="D15" s="21" t="n">
        <f aca="false">ROUND(Q15*R15,0)</f>
        <v>433</v>
      </c>
      <c r="E15" s="21" t="n">
        <f aca="false">ROUND(Q15,0)-D15</f>
        <v>1015</v>
      </c>
      <c r="F15" s="21" t="n">
        <f aca="false">IF(COUNTA(D15:E15)=0,"",SUM(D15:E15))</f>
        <v>1448</v>
      </c>
      <c r="G15" s="39" t="n">
        <f aca="false">IF(OR(F15="",F15=0),"",D15/F15)</f>
        <v>0.299033149171271</v>
      </c>
      <c r="H15" s="39" t="n">
        <f aca="false">IF(OR(F15="",F15=0),"",E15/F15)</f>
        <v>0.700966850828729</v>
      </c>
      <c r="I15" s="38" t="s">
        <v>90</v>
      </c>
      <c r="J15" s="40" t="n">
        <v>2.46414572893645</v>
      </c>
      <c r="K15" s="39" t="n">
        <f aca="false">IF(G15="","",MAX(0,G15-J15/100))</f>
        <v>0.274391691881906</v>
      </c>
      <c r="L15" s="39" t="n">
        <f aca="false">IF(G15="","",MIN(1,G15+J15/100))</f>
        <v>0.323674606460635</v>
      </c>
      <c r="M15" s="21" t="n">
        <f aca="false">ROUND(Q15*S15,0)</f>
        <v>204</v>
      </c>
      <c r="N15" s="21" t="n">
        <f aca="false">ROUND(SQRT((F15*J15/100)^2+(G15*M15)^2),0)</f>
        <v>71</v>
      </c>
      <c r="P15" s="41" t="n">
        <v>-14.0894048598347</v>
      </c>
      <c r="Q15" s="42" t="n">
        <v>1447.96142985447</v>
      </c>
      <c r="R15" s="43" t="n">
        <f aca="false">MAX(0,MIN(1,P15/100+$D$5))</f>
        <v>0.298935090426222</v>
      </c>
      <c r="S15" s="43" t="n">
        <v>0.140730607711166</v>
      </c>
      <c r="T15" s="44" t="s">
        <v>91</v>
      </c>
    </row>
    <row r="16" customFormat="false" ht="15" hidden="false" customHeight="false" outlineLevel="0" collapsed="false">
      <c r="A16" s="38" t="s">
        <v>87</v>
      </c>
      <c r="B16" s="38" t="s">
        <v>95</v>
      </c>
      <c r="C16" s="38" t="s">
        <v>89</v>
      </c>
      <c r="D16" s="21" t="n">
        <f aca="false">ROUND(Q16*R16,0)</f>
        <v>39</v>
      </c>
      <c r="E16" s="21" t="n">
        <f aca="false">ROUND(Q16,0)-D16</f>
        <v>65</v>
      </c>
      <c r="F16" s="21" t="n">
        <f aca="false">IF(COUNTA(D16:E16)=0,"",SUM(D16:E16))</f>
        <v>104</v>
      </c>
      <c r="G16" s="39" t="n">
        <f aca="false">IF(OR(F16="",F16=0),"",D16/F16)</f>
        <v>0.375</v>
      </c>
      <c r="H16" s="39" t="n">
        <f aca="false">IF(OR(F16="",F16=0),"",E16/F16)</f>
        <v>0.625</v>
      </c>
      <c r="I16" s="38" t="s">
        <v>90</v>
      </c>
      <c r="J16" s="40" t="n">
        <v>2.46414572893645</v>
      </c>
      <c r="K16" s="39" t="n">
        <f aca="false">IF(G16="","",MAX(0,G16-J16/100))</f>
        <v>0.350358542710636</v>
      </c>
      <c r="L16" s="39" t="n">
        <f aca="false">IF(G16="","",MIN(1,G16+J16/100))</f>
        <v>0.399641457289364</v>
      </c>
      <c r="M16" s="21" t="n">
        <f aca="false">ROUND(Q16*S16,0)</f>
        <v>15</v>
      </c>
      <c r="N16" s="21" t="n">
        <f aca="false">ROUND(SQRT((F16*J16/100)^2+(G16*M16)^2),0)</f>
        <v>6</v>
      </c>
      <c r="P16" s="41" t="n">
        <v>-6.2139641693908</v>
      </c>
      <c r="Q16" s="42" t="n">
        <v>103.82622471434</v>
      </c>
      <c r="R16" s="43" t="n">
        <f aca="false">MAX(0,MIN(1,P16/100+$D$5))</f>
        <v>0.37768949733066</v>
      </c>
      <c r="S16" s="43" t="n">
        <v>0.140730607711166</v>
      </c>
      <c r="T16" s="44" t="s">
        <v>91</v>
      </c>
    </row>
    <row r="17" customFormat="false" ht="15" hidden="false" customHeight="false" outlineLevel="0" collapsed="false">
      <c r="A17" s="38" t="s">
        <v>87</v>
      </c>
      <c r="B17" s="38" t="s">
        <v>96</v>
      </c>
      <c r="C17" s="38" t="s">
        <v>89</v>
      </c>
      <c r="D17" s="21" t="n">
        <f aca="false">ROUND(Q17*R17,0)</f>
        <v>682</v>
      </c>
      <c r="E17" s="21" t="n">
        <f aca="false">ROUND(Q17,0)-D17</f>
        <v>1504</v>
      </c>
      <c r="F17" s="21" t="n">
        <f aca="false">IF(COUNTA(D17:E17)=0,"",SUM(D17:E17))</f>
        <v>2186</v>
      </c>
      <c r="G17" s="39" t="n">
        <f aca="false">IF(OR(F17="",F17=0),"",D17/F17)</f>
        <v>0.311985361390668</v>
      </c>
      <c r="H17" s="39" t="n">
        <f aca="false">IF(OR(F17="",F17=0),"",E17/F17)</f>
        <v>0.688014638609332</v>
      </c>
      <c r="I17" s="38" t="s">
        <v>90</v>
      </c>
      <c r="J17" s="40" t="n">
        <v>1.379737565379</v>
      </c>
      <c r="K17" s="39" t="n">
        <f aca="false">IF(G17="","",MAX(0,G17-J17/100))</f>
        <v>0.298187985736878</v>
      </c>
      <c r="L17" s="39" t="n">
        <f aca="false">IF(G17="","",MIN(1,G17+J17/100))</f>
        <v>0.325782737044458</v>
      </c>
      <c r="M17" s="21" t="n">
        <f aca="false">ROUND(Q17*S17,0)</f>
        <v>77</v>
      </c>
      <c r="N17" s="21" t="n">
        <f aca="false">ROUND(SQRT((F17*J17/100)^2+(G17*M17)^2),0)</f>
        <v>39</v>
      </c>
      <c r="P17" s="41" t="n">
        <v>-12.7872899646898</v>
      </c>
      <c r="Q17" s="42" t="n">
        <v>2185.5273784611</v>
      </c>
      <c r="R17" s="43" t="n">
        <f aca="false">MAX(0,MIN(1,P17/100+$D$5))</f>
        <v>0.31195623937767</v>
      </c>
      <c r="S17" s="43" t="n">
        <v>0.0350597310944791</v>
      </c>
      <c r="T17" s="44" t="s">
        <v>97</v>
      </c>
    </row>
    <row r="18" customFormat="false" ht="15" hidden="false" customHeight="false" outlineLevel="0" collapsed="false">
      <c r="A18" s="38" t="s">
        <v>87</v>
      </c>
      <c r="B18" s="38" t="s">
        <v>98</v>
      </c>
      <c r="C18" s="38" t="s">
        <v>89</v>
      </c>
      <c r="D18" s="21" t="n">
        <f aca="false">ROUND(Q18*R18,0)</f>
        <v>1119</v>
      </c>
      <c r="E18" s="21" t="n">
        <f aca="false">ROUND(Q18,0)-D18</f>
        <v>1213</v>
      </c>
      <c r="F18" s="21" t="n">
        <f aca="false">IF(COUNTA(D18:E18)=0,"",SUM(D18:E18))</f>
        <v>2332</v>
      </c>
      <c r="G18" s="39" t="n">
        <f aca="false">IF(OR(F18="",F18=0),"",D18/F18)</f>
        <v>0.479845626072041</v>
      </c>
      <c r="H18" s="39" t="n">
        <f aca="false">IF(OR(F18="",F18=0),"",E18/F18)</f>
        <v>0.520154373927959</v>
      </c>
      <c r="I18" s="38" t="s">
        <v>90</v>
      </c>
      <c r="J18" s="40" t="n">
        <v>1.379737565379</v>
      </c>
      <c r="K18" s="39" t="n">
        <f aca="false">IF(G18="","",MAX(0,G18-J18/100))</f>
        <v>0.466048250418251</v>
      </c>
      <c r="L18" s="39" t="n">
        <f aca="false">IF(G18="","",MIN(1,G18+J18/100))</f>
        <v>0.493643001725831</v>
      </c>
      <c r="M18" s="21" t="n">
        <f aca="false">ROUND(Q18*S18,0)</f>
        <v>82</v>
      </c>
      <c r="N18" s="21" t="n">
        <f aca="false">ROUND(SQRT((F18*J18/100)^2+(G18*M18)^2),0)</f>
        <v>51</v>
      </c>
      <c r="P18" s="41" t="n">
        <v>3.98670014090458</v>
      </c>
      <c r="Q18" s="42" t="n">
        <v>2331.99691333755</v>
      </c>
      <c r="R18" s="43" t="n">
        <f aca="false">MAX(0,MIN(1,P18/100+$D$5))</f>
        <v>0.479696140433614</v>
      </c>
      <c r="S18" s="43" t="n">
        <v>0.0350597310944791</v>
      </c>
      <c r="T18" s="44" t="s">
        <v>97</v>
      </c>
    </row>
    <row r="19" customFormat="false" ht="15" hidden="false" customHeight="false" outlineLevel="0" collapsed="false">
      <c r="A19" s="38" t="s">
        <v>87</v>
      </c>
      <c r="B19" s="38" t="s">
        <v>99</v>
      </c>
      <c r="C19" s="38" t="s">
        <v>89</v>
      </c>
      <c r="D19" s="21" t="n">
        <f aca="false">ROUND(Q19*R19,0)</f>
        <v>323</v>
      </c>
      <c r="E19" s="21" t="n">
        <f aca="false">ROUND(Q19,0)-D19</f>
        <v>577</v>
      </c>
      <c r="F19" s="21" t="n">
        <f aca="false">IF(COUNTA(D19:E19)=0,"",SUM(D19:E19))</f>
        <v>900</v>
      </c>
      <c r="G19" s="39" t="n">
        <f aca="false">IF(OR(F19="",F19=0),"",D19/F19)</f>
        <v>0.358888888888889</v>
      </c>
      <c r="H19" s="39" t="n">
        <f aca="false">IF(OR(F19="",F19=0),"",E19/F19)</f>
        <v>0.641111111111111</v>
      </c>
      <c r="I19" s="38" t="s">
        <v>90</v>
      </c>
      <c r="J19" s="40" t="n">
        <v>2.46414572893645</v>
      </c>
      <c r="K19" s="39" t="n">
        <f aca="false">IF(G19="","",MAX(0,G19-J19/100))</f>
        <v>0.334247431599524</v>
      </c>
      <c r="L19" s="39" t="n">
        <f aca="false">IF(G19="","",MIN(1,G19+J19/100))</f>
        <v>0.383530346178253</v>
      </c>
      <c r="M19" s="21" t="n">
        <f aca="false">ROUND(Q19*S19,0)</f>
        <v>127</v>
      </c>
      <c r="N19" s="21" t="n">
        <f aca="false">ROUND(SQRT((F19*J19/100)^2+(G19*M19)^2),0)</f>
        <v>51</v>
      </c>
      <c r="P19" s="41" t="n">
        <v>-8.08718707935811</v>
      </c>
      <c r="Q19" s="42" t="n">
        <v>900.363537065874</v>
      </c>
      <c r="R19" s="43" t="n">
        <f aca="false">MAX(0,MIN(1,P19/100+$D$5))</f>
        <v>0.358957268230987</v>
      </c>
      <c r="S19" s="43" t="n">
        <v>0.140730607711166</v>
      </c>
      <c r="T19" s="44" t="s">
        <v>91</v>
      </c>
    </row>
    <row r="20" customFormat="false" ht="15" hidden="false" customHeight="false" outlineLevel="0" collapsed="false">
      <c r="A20" s="38" t="s">
        <v>87</v>
      </c>
      <c r="B20" s="38" t="s">
        <v>100</v>
      </c>
      <c r="C20" s="38" t="s">
        <v>89</v>
      </c>
      <c r="D20" s="21" t="n">
        <f aca="false">ROUND(Q20*R20,0)</f>
        <v>489</v>
      </c>
      <c r="E20" s="21" t="n">
        <f aca="false">ROUND(Q20,0)-D20</f>
        <v>615</v>
      </c>
      <c r="F20" s="21" t="n">
        <f aca="false">IF(COUNTA(D20:E20)=0,"",SUM(D20:E20))</f>
        <v>1104</v>
      </c>
      <c r="G20" s="39" t="n">
        <f aca="false">IF(OR(F20="",F20=0),"",D20/F20)</f>
        <v>0.442934782608696</v>
      </c>
      <c r="H20" s="39" t="n">
        <f aca="false">IF(OR(F20="",F20=0),"",E20/F20)</f>
        <v>0.557065217391304</v>
      </c>
      <c r="I20" s="38" t="s">
        <v>90</v>
      </c>
      <c r="J20" s="40" t="n">
        <v>2.46414572893645</v>
      </c>
      <c r="K20" s="39" t="n">
        <f aca="false">IF(G20="","",MAX(0,G20-J20/100))</f>
        <v>0.418293325319331</v>
      </c>
      <c r="L20" s="39" t="n">
        <f aca="false">IF(G20="","",MIN(1,G20+J20/100))</f>
        <v>0.46757623989806</v>
      </c>
      <c r="M20" s="21" t="n">
        <f aca="false">ROUND(Q20*S20,0)</f>
        <v>155</v>
      </c>
      <c r="N20" s="21" t="n">
        <f aca="false">ROUND(SQRT((F20*J20/100)^2+(G20*M20)^2),0)</f>
        <v>74</v>
      </c>
      <c r="P20" s="41" t="n">
        <v>0.306575322289085</v>
      </c>
      <c r="Q20" s="42" t="n">
        <v>1104.22427340543</v>
      </c>
      <c r="R20" s="43" t="n">
        <f aca="false">MAX(0,MIN(1,P20/100+$D$5))</f>
        <v>0.442894892247459</v>
      </c>
      <c r="S20" s="43" t="n">
        <v>0.140730607711166</v>
      </c>
      <c r="T20" s="44" t="s">
        <v>91</v>
      </c>
    </row>
    <row r="21" customFormat="false" ht="15" hidden="false" customHeight="false" outlineLevel="0" collapsed="false">
      <c r="A21" s="38" t="s">
        <v>87</v>
      </c>
      <c r="B21" s="38" t="s">
        <v>101</v>
      </c>
      <c r="C21" s="38" t="s">
        <v>89</v>
      </c>
      <c r="D21" s="21" t="n">
        <f aca="false">ROUND(Q21*R21,0)</f>
        <v>40</v>
      </c>
      <c r="E21" s="21" t="n">
        <f aca="false">ROUND(Q21,0)-D21</f>
        <v>89</v>
      </c>
      <c r="F21" s="21" t="n">
        <f aca="false">IF(COUNTA(D21:E21)=0,"",SUM(D21:E21))</f>
        <v>129</v>
      </c>
      <c r="G21" s="39" t="n">
        <f aca="false">IF(OR(F21="",F21=0),"",D21/F21)</f>
        <v>0.310077519379845</v>
      </c>
      <c r="H21" s="39" t="n">
        <f aca="false">IF(OR(F21="",F21=0),"",E21/F21)</f>
        <v>0.689922480620155</v>
      </c>
      <c r="I21" s="38" t="s">
        <v>90</v>
      </c>
      <c r="J21" s="40" t="n">
        <v>2.46414572893645</v>
      </c>
      <c r="K21" s="39" t="n">
        <f aca="false">IF(G21="","",MAX(0,G21-J21/100))</f>
        <v>0.285436062090481</v>
      </c>
      <c r="L21" s="39" t="n">
        <f aca="false">IF(G21="","",MIN(1,G21+J21/100))</f>
        <v>0.334718976669209</v>
      </c>
      <c r="M21" s="21" t="n">
        <f aca="false">ROUND(Q21*S21,0)</f>
        <v>18</v>
      </c>
      <c r="N21" s="21" t="n">
        <f aca="false">ROUND(SQRT((F21*J21/100)^2+(G21*M21)^2),0)</f>
        <v>6</v>
      </c>
      <c r="P21" s="41" t="n">
        <v>-13.196146442127</v>
      </c>
      <c r="Q21" s="42" t="n">
        <v>129.398933419433</v>
      </c>
      <c r="R21" s="43" t="n">
        <f aca="false">MAX(0,MIN(1,P21/100+$D$5))</f>
        <v>0.307867674603298</v>
      </c>
      <c r="S21" s="43" t="n">
        <v>0.140730607711166</v>
      </c>
      <c r="T21" s="44" t="s">
        <v>91</v>
      </c>
    </row>
    <row r="22" customFormat="false" ht="15" hidden="false" customHeight="false" outlineLevel="0" collapsed="false">
      <c r="A22" s="38" t="s">
        <v>87</v>
      </c>
      <c r="B22" s="38" t="s">
        <v>102</v>
      </c>
      <c r="C22" s="38" t="s">
        <v>89</v>
      </c>
      <c r="D22" s="21" t="n">
        <f aca="false">ROUND(Q22*R22,0)</f>
        <v>58</v>
      </c>
      <c r="E22" s="21" t="n">
        <f aca="false">ROUND(Q22,0)-D22</f>
        <v>206</v>
      </c>
      <c r="F22" s="21" t="n">
        <f aca="false">IF(COUNTA(D22:E22)=0,"",SUM(D22:E22))</f>
        <v>264</v>
      </c>
      <c r="G22" s="39" t="n">
        <f aca="false">IF(OR(F22="",F22=0),"",D22/F22)</f>
        <v>0.21969696969697</v>
      </c>
      <c r="H22" s="39" t="n">
        <f aca="false">IF(OR(F22="",F22=0),"",E22/F22)</f>
        <v>0.78030303030303</v>
      </c>
      <c r="I22" s="38" t="s">
        <v>90</v>
      </c>
      <c r="J22" s="40" t="n">
        <v>2.46414572893645</v>
      </c>
      <c r="K22" s="39" t="n">
        <f aca="false">IF(G22="","",MAX(0,G22-J22/100))</f>
        <v>0.195055512407605</v>
      </c>
      <c r="L22" s="39" t="n">
        <f aca="false">IF(G22="","",MIN(1,G22+J22/100))</f>
        <v>0.244338426986334</v>
      </c>
      <c r="M22" s="21" t="n">
        <f aca="false">ROUND(Q22*S22,0)</f>
        <v>37</v>
      </c>
      <c r="N22" s="21" t="n">
        <f aca="false">ROUND(SQRT((F22*J22/100)^2+(G22*M22)^2),0)</f>
        <v>10</v>
      </c>
      <c r="P22" s="41" t="n">
        <v>-21.9922306097889</v>
      </c>
      <c r="Q22" s="42" t="n">
        <v>264.062831964312</v>
      </c>
      <c r="R22" s="43" t="n">
        <f aca="false">MAX(0,MIN(1,P22/100+$D$5))</f>
        <v>0.219906832926679</v>
      </c>
      <c r="S22" s="43" t="n">
        <v>0.140730607711166</v>
      </c>
      <c r="T22" s="44" t="s">
        <v>91</v>
      </c>
    </row>
    <row r="23" customFormat="false" ht="15" hidden="false" customHeight="false" outlineLevel="0" collapsed="false">
      <c r="A23" s="38" t="s">
        <v>87</v>
      </c>
      <c r="B23" s="38" t="s">
        <v>103</v>
      </c>
      <c r="C23" s="38" t="s">
        <v>89</v>
      </c>
      <c r="D23" s="21" t="n">
        <f aca="false">ROUND(Q23*R23,0)</f>
        <v>795</v>
      </c>
      <c r="E23" s="21" t="n">
        <f aca="false">ROUND(Q23,0)-D23</f>
        <v>1045</v>
      </c>
      <c r="F23" s="21" t="n">
        <f aca="false">IF(COUNTA(D23:E23)=0,"",SUM(D23:E23))</f>
        <v>1840</v>
      </c>
      <c r="G23" s="39" t="n">
        <f aca="false">IF(OR(F23="",F23=0),"",D23/F23)</f>
        <v>0.432065217391304</v>
      </c>
      <c r="H23" s="39" t="n">
        <f aca="false">IF(OR(F23="",F23=0),"",E23/F23)</f>
        <v>0.567934782608696</v>
      </c>
      <c r="I23" s="38" t="s">
        <v>90</v>
      </c>
      <c r="J23" s="40" t="n">
        <v>1.379737565379</v>
      </c>
      <c r="K23" s="39" t="n">
        <f aca="false">IF(G23="","",MAX(0,G23-J23/100))</f>
        <v>0.418267841737514</v>
      </c>
      <c r="L23" s="39" t="n">
        <f aca="false">IF(G23="","",MIN(1,G23+J23/100))</f>
        <v>0.445862593045094</v>
      </c>
      <c r="M23" s="21" t="n">
        <f aca="false">ROUND(Q23*S23,0)</f>
        <v>65</v>
      </c>
      <c r="N23" s="21" t="n">
        <f aca="false">ROUND(SQRT((F23*J23/100)^2+(G23*M23)^2),0)</f>
        <v>38</v>
      </c>
      <c r="P23" s="41" t="n">
        <v>-0.799617731256549</v>
      </c>
      <c r="Q23" s="42" t="n">
        <v>1840.05111226406</v>
      </c>
      <c r="R23" s="43" t="n">
        <f aca="false">MAX(0,MIN(1,P23/100+$D$5))</f>
        <v>0.431832961712003</v>
      </c>
      <c r="S23" s="43" t="n">
        <v>0.0350597310944791</v>
      </c>
      <c r="T23" s="44" t="s">
        <v>97</v>
      </c>
    </row>
    <row r="24" customFormat="false" ht="15" hidden="false" customHeight="false" outlineLevel="0" collapsed="false">
      <c r="A24" s="38" t="s">
        <v>87</v>
      </c>
      <c r="B24" s="38" t="s">
        <v>104</v>
      </c>
      <c r="C24" s="38" t="s">
        <v>89</v>
      </c>
      <c r="D24" s="21" t="n">
        <f aca="false">ROUND(Q24*R24,0)</f>
        <v>495</v>
      </c>
      <c r="E24" s="21" t="n">
        <f aca="false">ROUND(Q24,0)-D24</f>
        <v>1024</v>
      </c>
      <c r="F24" s="21" t="n">
        <f aca="false">IF(COUNTA(D24:E24)=0,"",SUM(D24:E24))</f>
        <v>1519</v>
      </c>
      <c r="G24" s="39" t="n">
        <f aca="false">IF(OR(F24="",F24=0),"",D24/F24)</f>
        <v>0.32587228439763</v>
      </c>
      <c r="H24" s="39" t="n">
        <f aca="false">IF(OR(F24="",F24=0),"",E24/F24)</f>
        <v>0.67412771560237</v>
      </c>
      <c r="I24" s="38" t="s">
        <v>90</v>
      </c>
      <c r="J24" s="40" t="n">
        <v>2.46414572893645</v>
      </c>
      <c r="K24" s="39" t="n">
        <f aca="false">IF(G24="","",MAX(0,G24-J24/100))</f>
        <v>0.301230827108266</v>
      </c>
      <c r="L24" s="39" t="n">
        <f aca="false">IF(G24="","",MIN(1,G24+J24/100))</f>
        <v>0.350513741686994</v>
      </c>
      <c r="M24" s="21" t="n">
        <f aca="false">ROUND(Q24*S24,0)</f>
        <v>214</v>
      </c>
      <c r="N24" s="21" t="n">
        <f aca="false">ROUND(SQRT((F24*J24/100)^2+(G24*M24)^2),0)</f>
        <v>79</v>
      </c>
      <c r="P24" s="41" t="n">
        <v>-11.3638642109451</v>
      </c>
      <c r="Q24" s="42" t="n">
        <v>1518.89691897875</v>
      </c>
      <c r="R24" s="43" t="n">
        <f aca="false">MAX(0,MIN(1,P24/100+$D$5))</f>
        <v>0.326190496915117</v>
      </c>
      <c r="S24" s="43" t="n">
        <v>0.140730607711166</v>
      </c>
      <c r="T24" s="44" t="s">
        <v>91</v>
      </c>
    </row>
    <row r="25" customFormat="false" ht="15" hidden="false" customHeight="false" outlineLevel="0" collapsed="false">
      <c r="A25" s="38" t="s">
        <v>87</v>
      </c>
      <c r="B25" s="38" t="s">
        <v>105</v>
      </c>
      <c r="C25" s="38" t="s">
        <v>89</v>
      </c>
      <c r="D25" s="21" t="n">
        <f aca="false">ROUND(Q25*R25,0)</f>
        <v>661</v>
      </c>
      <c r="E25" s="21" t="n">
        <f aca="false">ROUND(Q25,0)-D25</f>
        <v>1370</v>
      </c>
      <c r="F25" s="21" t="n">
        <f aca="false">IF(COUNTA(D25:E25)=0,"",SUM(D25:E25))</f>
        <v>2031</v>
      </c>
      <c r="G25" s="39" t="n">
        <f aca="false">IF(OR(F25="",F25=0),"",D25/F25)</f>
        <v>0.325455440669621</v>
      </c>
      <c r="H25" s="39" t="n">
        <f aca="false">IF(OR(F25="",F25=0),"",E25/F25)</f>
        <v>0.674544559330379</v>
      </c>
      <c r="I25" s="38" t="s">
        <v>90</v>
      </c>
      <c r="J25" s="40" t="n">
        <v>1.379737565379</v>
      </c>
      <c r="K25" s="39" t="n">
        <f aca="false">IF(G25="","",MAX(0,G25-J25/100))</f>
        <v>0.311658065015831</v>
      </c>
      <c r="L25" s="39" t="n">
        <f aca="false">IF(G25="","",MIN(1,G25+J25/100))</f>
        <v>0.339252816323411</v>
      </c>
      <c r="M25" s="21" t="n">
        <f aca="false">ROUND(Q25*S25,0)</f>
        <v>71</v>
      </c>
      <c r="N25" s="21" t="n">
        <f aca="false">ROUND(SQRT((F25*J25/100)^2+(G25*M25)^2),0)</f>
        <v>36</v>
      </c>
      <c r="P25" s="41" t="n">
        <v>-11.4512478722785</v>
      </c>
      <c r="Q25" s="42" t="n">
        <v>2030.78360633605</v>
      </c>
      <c r="R25" s="43" t="n">
        <f aca="false">MAX(0,MIN(1,P25/100+$D$5))</f>
        <v>0.325316660301784</v>
      </c>
      <c r="S25" s="43" t="n">
        <v>0.0350597310944791</v>
      </c>
      <c r="T25" s="44" t="s">
        <v>97</v>
      </c>
    </row>
    <row r="26" customFormat="false" ht="15" hidden="false" customHeight="false" outlineLevel="0" collapsed="false">
      <c r="A26" s="38" t="s">
        <v>87</v>
      </c>
      <c r="B26" s="38" t="s">
        <v>106</v>
      </c>
      <c r="C26" s="38" t="s">
        <v>89</v>
      </c>
      <c r="D26" s="21" t="n">
        <f aca="false">ROUND(Q26*R26,0)</f>
        <v>577</v>
      </c>
      <c r="E26" s="21" t="n">
        <f aca="false">ROUND(Q26,0)-D26</f>
        <v>730</v>
      </c>
      <c r="F26" s="21" t="n">
        <f aca="false">IF(COUNTA(D26:E26)=0,"",SUM(D26:E26))</f>
        <v>1307</v>
      </c>
      <c r="G26" s="39" t="n">
        <f aca="false">IF(OR(F26="",F26=0),"",D26/F26)</f>
        <v>0.441469013006886</v>
      </c>
      <c r="H26" s="39" t="n">
        <f aca="false">IF(OR(F26="",F26=0),"",E26/F26)</f>
        <v>0.558530986993114</v>
      </c>
      <c r="I26" s="38" t="s">
        <v>90</v>
      </c>
      <c r="J26" s="40" t="n">
        <v>2.46414572893645</v>
      </c>
      <c r="K26" s="39" t="n">
        <f aca="false">IF(G26="","",MAX(0,G26-J26/100))</f>
        <v>0.416827555717522</v>
      </c>
      <c r="L26" s="39" t="n">
        <f aca="false">IF(G26="","",MIN(1,G26+J26/100))</f>
        <v>0.46611047029625</v>
      </c>
      <c r="M26" s="21" t="n">
        <f aca="false">ROUND(Q26*S26,0)</f>
        <v>184</v>
      </c>
      <c r="N26" s="21" t="n">
        <f aca="false">ROUND(SQRT((F26*J26/100)^2+(G26*M26)^2),0)</f>
        <v>87</v>
      </c>
      <c r="P26" s="41" t="n">
        <v>0.14723874057726</v>
      </c>
      <c r="Q26" s="42" t="n">
        <v>1306.55659373962</v>
      </c>
      <c r="R26" s="43" t="n">
        <f aca="false">MAX(0,MIN(1,P26/100+$D$5))</f>
        <v>0.441301526430341</v>
      </c>
      <c r="S26" s="43" t="n">
        <v>0.140730607711166</v>
      </c>
      <c r="T26" s="44" t="s">
        <v>91</v>
      </c>
    </row>
    <row r="27" customFormat="false" ht="15" hidden="false" customHeight="false" outlineLevel="0" collapsed="false">
      <c r="A27" s="38" t="s">
        <v>87</v>
      </c>
      <c r="B27" s="38" t="s">
        <v>107</v>
      </c>
      <c r="C27" s="38" t="s">
        <v>89</v>
      </c>
      <c r="D27" s="21" t="n">
        <f aca="false">ROUND(Q27*R27,0)</f>
        <v>123</v>
      </c>
      <c r="E27" s="21" t="n">
        <f aca="false">ROUND(Q27,0)-D27</f>
        <v>466</v>
      </c>
      <c r="F27" s="21" t="n">
        <f aca="false">IF(COUNTA(D27:E27)=0,"",SUM(D27:E27))</f>
        <v>589</v>
      </c>
      <c r="G27" s="39" t="n">
        <f aca="false">IF(OR(F27="",F27=0),"",D27/F27)</f>
        <v>0.208828522920204</v>
      </c>
      <c r="H27" s="39" t="n">
        <f aca="false">IF(OR(F27="",F27=0),"",E27/F27)</f>
        <v>0.791171477079796</v>
      </c>
      <c r="I27" s="38" t="s">
        <v>90</v>
      </c>
      <c r="J27" s="40" t="n">
        <v>2.46414572893645</v>
      </c>
      <c r="K27" s="39" t="n">
        <f aca="false">IF(G27="","",MAX(0,G27-J27/100))</f>
        <v>0.184187065630839</v>
      </c>
      <c r="L27" s="39" t="n">
        <f aca="false">IF(G27="","",MIN(1,G27+J27/100))</f>
        <v>0.233469980209568</v>
      </c>
      <c r="M27" s="21" t="n">
        <f aca="false">ROUND(Q27*S27,0)</f>
        <v>83</v>
      </c>
      <c r="N27" s="21" t="n">
        <f aca="false">ROUND(SQRT((F27*J27/100)^2+(G27*M27)^2),0)</f>
        <v>23</v>
      </c>
      <c r="P27" s="41" t="n">
        <v>-23.1206378394179</v>
      </c>
      <c r="Q27" s="42" t="n">
        <v>588.961070181671</v>
      </c>
      <c r="R27" s="43" t="n">
        <f aca="false">MAX(0,MIN(1,P27/100+$D$5))</f>
        <v>0.208622760630389</v>
      </c>
      <c r="S27" s="43" t="n">
        <v>0.140730607711166</v>
      </c>
      <c r="T27" s="44" t="s">
        <v>91</v>
      </c>
    </row>
    <row r="28" customFormat="false" ht="15" hidden="false" customHeight="false" outlineLevel="0" collapsed="false">
      <c r="A28" s="38" t="s">
        <v>87</v>
      </c>
      <c r="B28" s="38" t="s">
        <v>108</v>
      </c>
      <c r="C28" s="38" t="s">
        <v>89</v>
      </c>
      <c r="D28" s="21" t="n">
        <f aca="false">ROUND(Q28*R28,0)</f>
        <v>879</v>
      </c>
      <c r="E28" s="21" t="n">
        <f aca="false">ROUND(Q28,0)-D28</f>
        <v>1241</v>
      </c>
      <c r="F28" s="21" t="n">
        <f aca="false">IF(COUNTA(D28:E28)=0,"",SUM(D28:E28))</f>
        <v>2120</v>
      </c>
      <c r="G28" s="39" t="n">
        <f aca="false">IF(OR(F28="",F28=0),"",D28/F28)</f>
        <v>0.414622641509434</v>
      </c>
      <c r="H28" s="39" t="n">
        <f aca="false">IF(OR(F28="",F28=0),"",E28/F28)</f>
        <v>0.585377358490566</v>
      </c>
      <c r="I28" s="38" t="s">
        <v>90</v>
      </c>
      <c r="J28" s="40" t="n">
        <v>1.379737565379</v>
      </c>
      <c r="K28" s="39" t="n">
        <f aca="false">IF(G28="","",MAX(0,G28-J28/100))</f>
        <v>0.400825265855644</v>
      </c>
      <c r="L28" s="39" t="n">
        <f aca="false">IF(G28="","",MIN(1,G28+J28/100))</f>
        <v>0.428420017163224</v>
      </c>
      <c r="M28" s="21" t="n">
        <f aca="false">ROUND(Q28*S28,0)</f>
        <v>74</v>
      </c>
      <c r="N28" s="21" t="n">
        <f aca="false">ROUND(SQRT((F28*J28/100)^2+(G28*M28)^2),0)</f>
        <v>42</v>
      </c>
      <c r="P28" s="41" t="n">
        <v>-2.5003009401711</v>
      </c>
      <c r="Q28" s="42" t="n">
        <v>2119.78034508542</v>
      </c>
      <c r="R28" s="43" t="n">
        <f aca="false">MAX(0,MIN(1,P28/100+$D$5))</f>
        <v>0.414826129622857</v>
      </c>
      <c r="S28" s="43" t="n">
        <v>0.0350597310944791</v>
      </c>
      <c r="T28" s="44" t="s">
        <v>97</v>
      </c>
    </row>
    <row r="29" customFormat="false" ht="15" hidden="false" customHeight="false" outlineLevel="0" collapsed="false">
      <c r="A29" s="38" t="s">
        <v>87</v>
      </c>
      <c r="B29" s="38" t="s">
        <v>109</v>
      </c>
      <c r="C29" s="38" t="s">
        <v>89</v>
      </c>
      <c r="D29" s="21" t="n">
        <f aca="false">ROUND(Q29*R29,0)</f>
        <v>69</v>
      </c>
      <c r="E29" s="21" t="n">
        <f aca="false">ROUND(Q29,0)-D29</f>
        <v>136</v>
      </c>
      <c r="F29" s="21" t="n">
        <f aca="false">IF(COUNTA(D29:E29)=0,"",SUM(D29:E29))</f>
        <v>205</v>
      </c>
      <c r="G29" s="39" t="n">
        <f aca="false">IF(OR(F29="",F29=0),"",D29/F29)</f>
        <v>0.336585365853659</v>
      </c>
      <c r="H29" s="39" t="n">
        <f aca="false">IF(OR(F29="",F29=0),"",E29/F29)</f>
        <v>0.663414634146342</v>
      </c>
      <c r="I29" s="38" t="s">
        <v>90</v>
      </c>
      <c r="J29" s="40" t="n">
        <v>2.46414572893645</v>
      </c>
      <c r="K29" s="39" t="n">
        <f aca="false">IF(G29="","",MAX(0,G29-J29/100))</f>
        <v>0.311943908564294</v>
      </c>
      <c r="L29" s="39" t="n">
        <f aca="false">IF(G29="","",MIN(1,G29+J29/100))</f>
        <v>0.361226823143023</v>
      </c>
      <c r="M29" s="21" t="n">
        <f aca="false">ROUND(Q29*S29,0)</f>
        <v>29</v>
      </c>
      <c r="N29" s="21" t="n">
        <f aca="false">ROUND(SQRT((F29*J29/100)^2+(G29*M29)^2),0)</f>
        <v>11</v>
      </c>
      <c r="P29" s="41" t="n">
        <v>-10.2707410371076</v>
      </c>
      <c r="Q29" s="42" t="n">
        <v>205.454227831847</v>
      </c>
      <c r="R29" s="43" t="n">
        <f aca="false">MAX(0,MIN(1,P29/100+$D$5))</f>
        <v>0.337121728653492</v>
      </c>
      <c r="S29" s="43" t="n">
        <v>0.140730607711166</v>
      </c>
      <c r="T29" s="44" t="s">
        <v>91</v>
      </c>
    </row>
    <row r="30" customFormat="false" ht="15" hidden="false" customHeight="false" outlineLevel="0" collapsed="false">
      <c r="A30" s="38" t="s">
        <v>87</v>
      </c>
      <c r="B30" s="38" t="s">
        <v>110</v>
      </c>
      <c r="C30" s="38" t="s">
        <v>89</v>
      </c>
      <c r="D30" s="21" t="n">
        <f aca="false">ROUND(Q30*R30,0)</f>
        <v>1931</v>
      </c>
      <c r="E30" s="21" t="n">
        <f aca="false">ROUND(Q30,0)-D30</f>
        <v>2921</v>
      </c>
      <c r="F30" s="21" t="n">
        <f aca="false">IF(COUNTA(D30:E30)=0,"",SUM(D30:E30))</f>
        <v>4852</v>
      </c>
      <c r="G30" s="39" t="n">
        <f aca="false">IF(OR(F30="",F30=0),"",D30/F30)</f>
        <v>0.3979802143446</v>
      </c>
      <c r="H30" s="39" t="n">
        <f aca="false">IF(OR(F30="",F30=0),"",E30/F30)</f>
        <v>0.6020197856554</v>
      </c>
      <c r="I30" s="38" t="s">
        <v>90</v>
      </c>
      <c r="J30" s="40" t="n">
        <v>1.54340705695521</v>
      </c>
      <c r="K30" s="39" t="n">
        <f aca="false">IF(G30="","",MAX(0,G30-J30/100))</f>
        <v>0.382546143775048</v>
      </c>
      <c r="L30" s="39" t="n">
        <f aca="false">IF(G30="","",MIN(1,G30+J30/100))</f>
        <v>0.413414284914152</v>
      </c>
      <c r="M30" s="21" t="n">
        <f aca="false">ROUND(Q30*S30,0)</f>
        <v>223</v>
      </c>
      <c r="N30" s="21" t="n">
        <f aca="false">ROUND(SQRT((F30*J30/100)^2+(G30*M30)^2),0)</f>
        <v>116</v>
      </c>
      <c r="P30" s="41" t="n">
        <v>-4.18176353081318</v>
      </c>
      <c r="Q30" s="42" t="n">
        <v>4852.05149968673</v>
      </c>
      <c r="R30" s="43" t="n">
        <f aca="false">MAX(0,MIN(1,P30/100+$D$5))</f>
        <v>0.398011503716436</v>
      </c>
      <c r="S30" s="43" t="n">
        <v>0.0460569330366088</v>
      </c>
      <c r="T30" s="44" t="s">
        <v>111</v>
      </c>
    </row>
    <row r="31" customFormat="false" ht="15" hidden="false" customHeight="false" outlineLevel="0" collapsed="false">
      <c r="A31" s="38" t="s">
        <v>87</v>
      </c>
      <c r="B31" s="38" t="s">
        <v>112</v>
      </c>
      <c r="C31" s="38" t="s">
        <v>89</v>
      </c>
      <c r="D31" s="21" t="n">
        <f aca="false">ROUND(Q31*R31,0)</f>
        <v>639</v>
      </c>
      <c r="E31" s="21" t="n">
        <f aca="false">ROUND(Q31,0)-D31</f>
        <v>705</v>
      </c>
      <c r="F31" s="21" t="n">
        <f aca="false">IF(COUNTA(D31:E31)=0,"",SUM(D31:E31))</f>
        <v>1344</v>
      </c>
      <c r="G31" s="39" t="n">
        <f aca="false">IF(OR(F31="",F31=0),"",D31/F31)</f>
        <v>0.475446428571429</v>
      </c>
      <c r="H31" s="39" t="n">
        <f aca="false">IF(OR(F31="",F31=0),"",E31/F31)</f>
        <v>0.524553571428571</v>
      </c>
      <c r="I31" s="38" t="s">
        <v>90</v>
      </c>
      <c r="J31" s="40" t="n">
        <v>2.46414572893645</v>
      </c>
      <c r="K31" s="39" t="n">
        <f aca="false">IF(G31="","",MAX(0,G31-J31/100))</f>
        <v>0.450804971282064</v>
      </c>
      <c r="L31" s="39" t="n">
        <f aca="false">IF(G31="","",MIN(1,G31+J31/100))</f>
        <v>0.500087885860793</v>
      </c>
      <c r="M31" s="21" t="n">
        <f aca="false">ROUND(Q31*S31,0)</f>
        <v>189</v>
      </c>
      <c r="N31" s="21" t="n">
        <f aca="false">ROUND(SQRT((F31*J31/100)^2+(G31*M31)^2),0)</f>
        <v>96</v>
      </c>
      <c r="P31" s="41" t="n">
        <v>3.52967419651331</v>
      </c>
      <c r="Q31" s="42" t="n">
        <v>1344.49450001919</v>
      </c>
      <c r="R31" s="43" t="n">
        <f aca="false">MAX(0,MIN(1,P31/100+$D$5))</f>
        <v>0.475125880989701</v>
      </c>
      <c r="S31" s="43" t="n">
        <v>0.140730607711166</v>
      </c>
      <c r="T31" s="44" t="s">
        <v>91</v>
      </c>
    </row>
    <row r="32" customFormat="false" ht="15" hidden="false" customHeight="false" outlineLevel="0" collapsed="false">
      <c r="A32" s="38" t="s">
        <v>87</v>
      </c>
      <c r="B32" s="38" t="s">
        <v>113</v>
      </c>
      <c r="C32" s="38" t="s">
        <v>89</v>
      </c>
      <c r="D32" s="21" t="n">
        <f aca="false">ROUND(Q32*R32,0)</f>
        <v>786</v>
      </c>
      <c r="E32" s="21" t="n">
        <f aca="false">ROUND(Q32,0)-D32</f>
        <v>1629</v>
      </c>
      <c r="F32" s="21" t="n">
        <f aca="false">IF(COUNTA(D32:E32)=0,"",SUM(D32:E32))</f>
        <v>2415</v>
      </c>
      <c r="G32" s="39" t="n">
        <f aca="false">IF(OR(F32="",F32=0),"",D32/F32)</f>
        <v>0.325465838509317</v>
      </c>
      <c r="H32" s="39" t="n">
        <f aca="false">IF(OR(F32="",F32=0),"",E32/F32)</f>
        <v>0.674534161490683</v>
      </c>
      <c r="I32" s="38" t="s">
        <v>90</v>
      </c>
      <c r="J32" s="40" t="n">
        <v>1.379737565379</v>
      </c>
      <c r="K32" s="39" t="n">
        <f aca="false">IF(G32="","",MAX(0,G32-J32/100))</f>
        <v>0.311668462855527</v>
      </c>
      <c r="L32" s="39" t="n">
        <f aca="false">IF(G32="","",MIN(1,G32+J32/100))</f>
        <v>0.339263214163107</v>
      </c>
      <c r="M32" s="21" t="n">
        <f aca="false">ROUND(Q32*S32,0)</f>
        <v>85</v>
      </c>
      <c r="N32" s="21" t="n">
        <f aca="false">ROUND(SQRT((F32*J32/100)^2+(G32*M32)^2),0)</f>
        <v>43</v>
      </c>
      <c r="P32" s="41" t="n">
        <v>-11.4122568500556</v>
      </c>
      <c r="Q32" s="42" t="n">
        <v>2414.70403690888</v>
      </c>
      <c r="R32" s="43" t="n">
        <f aca="false">MAX(0,MIN(1,P32/100+$D$5))</f>
        <v>0.325706570524012</v>
      </c>
      <c r="S32" s="43" t="n">
        <v>0.0350597310944791</v>
      </c>
      <c r="T32" s="44" t="s">
        <v>97</v>
      </c>
    </row>
    <row r="33" customFormat="false" ht="15" hidden="false" customHeight="false" outlineLevel="0" collapsed="false">
      <c r="A33" s="38" t="s">
        <v>87</v>
      </c>
      <c r="B33" s="38" t="s">
        <v>114</v>
      </c>
      <c r="C33" s="38" t="s">
        <v>89</v>
      </c>
      <c r="D33" s="21" t="n">
        <f aca="false">ROUND(Q33*R33,0)</f>
        <v>317</v>
      </c>
      <c r="E33" s="21" t="n">
        <f aca="false">ROUND(Q33,0)-D33</f>
        <v>673</v>
      </c>
      <c r="F33" s="21" t="n">
        <f aca="false">IF(COUNTA(D33:E33)=0,"",SUM(D33:E33))</f>
        <v>990</v>
      </c>
      <c r="G33" s="39" t="n">
        <f aca="false">IF(OR(F33="",F33=0),"",D33/F33)</f>
        <v>0.32020202020202</v>
      </c>
      <c r="H33" s="39" t="n">
        <f aca="false">IF(OR(F33="",F33=0),"",E33/F33)</f>
        <v>0.67979797979798</v>
      </c>
      <c r="I33" s="38" t="s">
        <v>90</v>
      </c>
      <c r="J33" s="40" t="n">
        <v>2.46414572893645</v>
      </c>
      <c r="K33" s="39" t="n">
        <f aca="false">IF(G33="","",MAX(0,G33-J33/100))</f>
        <v>0.295560562912656</v>
      </c>
      <c r="L33" s="39" t="n">
        <f aca="false">IF(G33="","",MIN(1,G33+J33/100))</f>
        <v>0.344843477491385</v>
      </c>
      <c r="M33" s="21" t="n">
        <f aca="false">ROUND(Q33*S33,0)</f>
        <v>139</v>
      </c>
      <c r="N33" s="21" t="n">
        <f aca="false">ROUND(SQRT((F33*J33/100)^2+(G33*M33)^2),0)</f>
        <v>51</v>
      </c>
      <c r="P33" s="41" t="n">
        <v>-11.9927878213964</v>
      </c>
      <c r="Q33" s="42" t="n">
        <v>990.006390702616</v>
      </c>
      <c r="R33" s="43" t="n">
        <f aca="false">MAX(0,MIN(1,P33/100+$D$5))</f>
        <v>0.319901260810604</v>
      </c>
      <c r="S33" s="43" t="n">
        <v>0.140730607711166</v>
      </c>
      <c r="T33" s="44" t="s">
        <v>91</v>
      </c>
    </row>
    <row r="34" customFormat="false" ht="15" hidden="false" customHeight="false" outlineLevel="0" collapsed="false">
      <c r="A34" s="38" t="s">
        <v>87</v>
      </c>
      <c r="B34" s="38" t="s">
        <v>115</v>
      </c>
      <c r="C34" s="38" t="s">
        <v>89</v>
      </c>
      <c r="D34" s="21" t="n">
        <f aca="false">ROUND(Q34*R34,0)</f>
        <v>42</v>
      </c>
      <c r="E34" s="21" t="n">
        <f aca="false">ROUND(Q34,0)-D34</f>
        <v>71</v>
      </c>
      <c r="F34" s="21" t="n">
        <f aca="false">IF(COUNTA(D34:E34)=0,"",SUM(D34:E34))</f>
        <v>113</v>
      </c>
      <c r="G34" s="39" t="n">
        <f aca="false">IF(OR(F34="",F34=0),"",D34/F34)</f>
        <v>0.371681415929204</v>
      </c>
      <c r="H34" s="39" t="n">
        <f aca="false">IF(OR(F34="",F34=0),"",E34/F34)</f>
        <v>0.628318584070796</v>
      </c>
      <c r="I34" s="38" t="s">
        <v>90</v>
      </c>
      <c r="J34" s="40" t="n">
        <v>2.46414572893645</v>
      </c>
      <c r="K34" s="39" t="n">
        <f aca="false">IF(G34="","",MAX(0,G34-J34/100))</f>
        <v>0.347039958639839</v>
      </c>
      <c r="L34" s="39" t="n">
        <f aca="false">IF(G34="","",MIN(1,G34+J34/100))</f>
        <v>0.396322873218568</v>
      </c>
      <c r="M34" s="21" t="n">
        <f aca="false">ROUND(Q34*S34,0)</f>
        <v>16</v>
      </c>
      <c r="N34" s="21" t="n">
        <f aca="false">ROUND(SQRT((F34*J34/100)^2+(G34*M34)^2),0)</f>
        <v>7</v>
      </c>
      <c r="P34" s="41" t="n">
        <v>-6.40450914067639</v>
      </c>
      <c r="Q34" s="42" t="n">
        <v>112.664926952428</v>
      </c>
      <c r="R34" s="43" t="n">
        <f aca="false">MAX(0,MIN(1,P34/100+$D$5))</f>
        <v>0.375784047617804</v>
      </c>
      <c r="S34" s="43" t="n">
        <v>0.140730607711166</v>
      </c>
      <c r="T34" s="44" t="s">
        <v>91</v>
      </c>
    </row>
    <row r="35" customFormat="false" ht="15" hidden="false" customHeight="false" outlineLevel="0" collapsed="false">
      <c r="A35" s="38" t="s">
        <v>116</v>
      </c>
      <c r="B35" s="38" t="s">
        <v>117</v>
      </c>
      <c r="C35" s="38" t="s">
        <v>89</v>
      </c>
      <c r="D35" s="21" t="n">
        <f aca="false">ROUND(Q35*R35,0)</f>
        <v>558</v>
      </c>
      <c r="E35" s="21" t="n">
        <f aca="false">ROUND(Q35,0)-D35</f>
        <v>552</v>
      </c>
      <c r="F35" s="21" t="n">
        <f aca="false">IF(COUNTA(D35:E35)=0,"",SUM(D35:E35))</f>
        <v>1110</v>
      </c>
      <c r="G35" s="39" t="n">
        <f aca="false">IF(OR(F35="",F35=0),"",D35/F35)</f>
        <v>0.502702702702703</v>
      </c>
      <c r="H35" s="39" t="n">
        <f aca="false">IF(OR(F35="",F35=0),"",E35/F35)</f>
        <v>0.497297297297297</v>
      </c>
      <c r="I35" s="38" t="s">
        <v>90</v>
      </c>
      <c r="J35" s="40" t="n">
        <v>2.46414572893645</v>
      </c>
      <c r="K35" s="39" t="n">
        <f aca="false">IF(G35="","",MAX(0,G35-J35/100))</f>
        <v>0.478061245413338</v>
      </c>
      <c r="L35" s="39" t="n">
        <f aca="false">IF(G35="","",MIN(1,G35+J35/100))</f>
        <v>0.527344159992067</v>
      </c>
      <c r="M35" s="21" t="n">
        <f aca="false">ROUND(Q35*S35,0)</f>
        <v>156</v>
      </c>
      <c r="N35" s="21" t="n">
        <f aca="false">ROUND(SQRT((F35*J35/100)^2+(G35*M35)^2),0)</f>
        <v>83</v>
      </c>
      <c r="P35" s="41" t="n">
        <v>6.32707563188</v>
      </c>
      <c r="Q35" s="42" t="n">
        <v>1110.09539530067</v>
      </c>
      <c r="R35" s="43" t="n">
        <f aca="false">MAX(0,MIN(1,P35/100+$D$5))</f>
        <v>0.503099895343368</v>
      </c>
      <c r="S35" s="43" t="n">
        <v>0.140730607711166</v>
      </c>
      <c r="T35" s="44" t="s">
        <v>91</v>
      </c>
    </row>
    <row r="36" customFormat="false" ht="15" hidden="false" customHeight="false" outlineLevel="0" collapsed="false">
      <c r="A36" s="38" t="s">
        <v>116</v>
      </c>
      <c r="B36" s="38" t="s">
        <v>118</v>
      </c>
      <c r="C36" s="38" t="s">
        <v>89</v>
      </c>
      <c r="D36" s="21" t="n">
        <f aca="false">ROUND(Q36*R36,0)</f>
        <v>17985</v>
      </c>
      <c r="E36" s="21" t="n">
        <f aca="false">ROUND(Q36,0)-D36</f>
        <v>7133</v>
      </c>
      <c r="F36" s="21" t="n">
        <f aca="false">IF(COUNTA(D36:E36)=0,"",SUM(D36:E36))</f>
        <v>25118</v>
      </c>
      <c r="G36" s="39" t="n">
        <f aca="false">IF(OR(F36="",F36=0),"",D36/F36)</f>
        <v>0.716020383788518</v>
      </c>
      <c r="H36" s="39" t="n">
        <f aca="false">IF(OR(F36="",F36=0),"",E36/F36)</f>
        <v>0.283979616211482</v>
      </c>
      <c r="I36" s="38" t="s">
        <v>90</v>
      </c>
      <c r="J36" s="40" t="n">
        <v>1.54340705695521</v>
      </c>
      <c r="K36" s="39" t="n">
        <f aca="false">IF(G36="","",MAX(0,G36-J36/100))</f>
        <v>0.700586313218966</v>
      </c>
      <c r="L36" s="39" t="n">
        <f aca="false">IF(G36="","",MIN(1,G36+J36/100))</f>
        <v>0.73145445435807</v>
      </c>
      <c r="M36" s="21" t="n">
        <f aca="false">ROUND(Q36*S36,0)</f>
        <v>1157</v>
      </c>
      <c r="N36" s="21" t="n">
        <f aca="false">ROUND(SQRT((F36*J36/100)^2+(G36*M36)^2),0)</f>
        <v>915</v>
      </c>
      <c r="P36" s="41" t="n">
        <v>27.6190338910932</v>
      </c>
      <c r="Q36" s="42" t="n">
        <v>25118.228721457</v>
      </c>
      <c r="R36" s="43" t="n">
        <f aca="false">MAX(0,MIN(1,P36/100+$D$5))</f>
        <v>0.7160194779355</v>
      </c>
      <c r="S36" s="43" t="n">
        <v>0.0460569330366088</v>
      </c>
      <c r="T36" s="44" t="s">
        <v>111</v>
      </c>
    </row>
    <row r="37" customFormat="false" ht="15" hidden="false" customHeight="false" outlineLevel="0" collapsed="false">
      <c r="A37" s="38" t="s">
        <v>116</v>
      </c>
      <c r="B37" s="38" t="s">
        <v>119</v>
      </c>
      <c r="C37" s="38" t="s">
        <v>89</v>
      </c>
      <c r="D37" s="21" t="n">
        <f aca="false">ROUND(Q37*R37,0)</f>
        <v>5788</v>
      </c>
      <c r="E37" s="21" t="n">
        <f aca="false">ROUND(Q37,0)-D37</f>
        <v>2530</v>
      </c>
      <c r="F37" s="21" t="n">
        <f aca="false">IF(COUNTA(D37:E37)=0,"",SUM(D37:E37))</f>
        <v>8318</v>
      </c>
      <c r="G37" s="39" t="n">
        <f aca="false">IF(OR(F37="",F37=0),"",D37/F37)</f>
        <v>0.695840346237076</v>
      </c>
      <c r="H37" s="39" t="n">
        <f aca="false">IF(OR(F37="",F37=0),"",E37/F37)</f>
        <v>0.304159653762924</v>
      </c>
      <c r="I37" s="38" t="s">
        <v>90</v>
      </c>
      <c r="J37" s="40" t="n">
        <v>1.54340705695521</v>
      </c>
      <c r="K37" s="39" t="n">
        <f aca="false">IF(G37="","",MAX(0,G37-J37/100))</f>
        <v>0.680406275667524</v>
      </c>
      <c r="L37" s="39" t="n">
        <f aca="false">IF(G37="","",MIN(1,G37+J37/100))</f>
        <v>0.711274416806628</v>
      </c>
      <c r="M37" s="21" t="n">
        <f aca="false">ROUND(Q37*S37,0)</f>
        <v>383</v>
      </c>
      <c r="N37" s="21" t="n">
        <f aca="false">ROUND(SQRT((F37*J37/100)^2+(G37*M37)^2),0)</f>
        <v>296</v>
      </c>
      <c r="P37" s="41" t="n">
        <v>25.6026816045264</v>
      </c>
      <c r="Q37" s="42" t="n">
        <v>8317.63881713227</v>
      </c>
      <c r="R37" s="43" t="n">
        <f aca="false">MAX(0,MIN(1,P37/100+$D$5))</f>
        <v>0.695855955069832</v>
      </c>
      <c r="S37" s="43" t="n">
        <v>0.0460569330366088</v>
      </c>
      <c r="T37" s="44" t="s">
        <v>111</v>
      </c>
    </row>
    <row r="38" customFormat="false" ht="15" hidden="false" customHeight="false" outlineLevel="0" collapsed="false">
      <c r="A38" s="38" t="s">
        <v>116</v>
      </c>
      <c r="B38" s="38" t="s">
        <v>120</v>
      </c>
      <c r="C38" s="38" t="s">
        <v>89</v>
      </c>
      <c r="D38" s="21" t="n">
        <f aca="false">ROUND(Q38*R38,0)</f>
        <v>1242</v>
      </c>
      <c r="E38" s="21" t="n">
        <f aca="false">ROUND(Q38,0)-D38</f>
        <v>998</v>
      </c>
      <c r="F38" s="21" t="n">
        <f aca="false">IF(COUNTA(D38:E38)=0,"",SUM(D38:E38))</f>
        <v>2240</v>
      </c>
      <c r="G38" s="39" t="n">
        <f aca="false">IF(OR(F38="",F38=0),"",D38/F38)</f>
        <v>0.554464285714286</v>
      </c>
      <c r="H38" s="39" t="n">
        <f aca="false">IF(OR(F38="",F38=0),"",E38/F38)</f>
        <v>0.445535714285714</v>
      </c>
      <c r="I38" s="38" t="s">
        <v>90</v>
      </c>
      <c r="J38" s="40" t="n">
        <v>1.379737565379</v>
      </c>
      <c r="K38" s="39" t="n">
        <f aca="false">IF(G38="","",MAX(0,G38-J38/100))</f>
        <v>0.540666910060496</v>
      </c>
      <c r="L38" s="39" t="n">
        <f aca="false">IF(G38="","",MIN(1,G38+J38/100))</f>
        <v>0.568261661368076</v>
      </c>
      <c r="M38" s="21" t="n">
        <f aca="false">ROUND(Q38*S38,0)</f>
        <v>79</v>
      </c>
      <c r="N38" s="21" t="n">
        <f aca="false">ROUND(SQRT((F38*J38/100)^2+(G38*M38)^2),0)</f>
        <v>54</v>
      </c>
      <c r="P38" s="41" t="n">
        <v>11.4781240637544</v>
      </c>
      <c r="Q38" s="42" t="n">
        <v>2239.66288358387</v>
      </c>
      <c r="R38" s="43" t="n">
        <f aca="false">MAX(0,MIN(1,P38/100+$D$5))</f>
        <v>0.554610379662113</v>
      </c>
      <c r="S38" s="43" t="n">
        <v>0.0350597310944791</v>
      </c>
      <c r="T38" s="44" t="s">
        <v>97</v>
      </c>
    </row>
    <row r="39" customFormat="false" ht="15" hidden="false" customHeight="false" outlineLevel="0" collapsed="false">
      <c r="A39" s="38" t="s">
        <v>116</v>
      </c>
      <c r="B39" s="38" t="s">
        <v>121</v>
      </c>
      <c r="C39" s="38" t="s">
        <v>89</v>
      </c>
      <c r="D39" s="21" t="n">
        <f aca="false">ROUND(Q39*R39,0)</f>
        <v>689</v>
      </c>
      <c r="E39" s="21" t="n">
        <f aca="false">ROUND(Q39,0)-D39</f>
        <v>653</v>
      </c>
      <c r="F39" s="21" t="n">
        <f aca="false">IF(COUNTA(D39:E39)=0,"",SUM(D39:E39))</f>
        <v>1342</v>
      </c>
      <c r="G39" s="39" t="n">
        <f aca="false">IF(OR(F39="",F39=0),"",D39/F39)</f>
        <v>0.513412816691505</v>
      </c>
      <c r="H39" s="39" t="n">
        <f aca="false">IF(OR(F39="",F39=0),"",E39/F39)</f>
        <v>0.486587183308495</v>
      </c>
      <c r="I39" s="38" t="s">
        <v>90</v>
      </c>
      <c r="J39" s="40" t="n">
        <v>2.46414572893645</v>
      </c>
      <c r="K39" s="39" t="n">
        <f aca="false">IF(G39="","",MAX(0,G39-J39/100))</f>
        <v>0.488771359402141</v>
      </c>
      <c r="L39" s="39" t="n">
        <f aca="false">IF(G39="","",MIN(1,G39+J39/100))</f>
        <v>0.53805427398087</v>
      </c>
      <c r="M39" s="21" t="n">
        <f aca="false">ROUND(Q39*S39,0)</f>
        <v>189</v>
      </c>
      <c r="N39" s="21" t="n">
        <f aca="false">ROUND(SQRT((F39*J39/100)^2+(G39*M39)^2),0)</f>
        <v>103</v>
      </c>
      <c r="P39" s="41" t="n">
        <v>7.35652146669575</v>
      </c>
      <c r="Q39" s="42" t="n">
        <v>1342.23070934715</v>
      </c>
      <c r="R39" s="43" t="n">
        <f aca="false">MAX(0,MIN(1,P39/100+$D$5))</f>
        <v>0.513394353691526</v>
      </c>
      <c r="S39" s="43" t="n">
        <v>0.140730607711166</v>
      </c>
      <c r="T39" s="44" t="s">
        <v>91</v>
      </c>
    </row>
    <row r="40" customFormat="false" ht="15" hidden="false" customHeight="false" outlineLevel="0" collapsed="false">
      <c r="A40" s="38" t="s">
        <v>116</v>
      </c>
      <c r="B40" s="38" t="s">
        <v>122</v>
      </c>
      <c r="C40" s="38" t="s">
        <v>89</v>
      </c>
      <c r="D40" s="21" t="n">
        <f aca="false">ROUND(Q40*R40,0)</f>
        <v>764</v>
      </c>
      <c r="E40" s="21" t="n">
        <f aca="false">ROUND(Q40,0)-D40</f>
        <v>636</v>
      </c>
      <c r="F40" s="21" t="n">
        <f aca="false">IF(COUNTA(D40:E40)=0,"",SUM(D40:E40))</f>
        <v>1400</v>
      </c>
      <c r="G40" s="39" t="n">
        <f aca="false">IF(OR(F40="",F40=0),"",D40/F40)</f>
        <v>0.545714285714286</v>
      </c>
      <c r="H40" s="39" t="n">
        <f aca="false">IF(OR(F40="",F40=0),"",E40/F40)</f>
        <v>0.454285714285714</v>
      </c>
      <c r="I40" s="38" t="s">
        <v>90</v>
      </c>
      <c r="J40" s="40" t="n">
        <v>2.46414572893645</v>
      </c>
      <c r="K40" s="39" t="n">
        <f aca="false">IF(G40="","",MAX(0,G40-J40/100))</f>
        <v>0.521072828424921</v>
      </c>
      <c r="L40" s="39" t="n">
        <f aca="false">IF(G40="","",MIN(1,G40+J40/100))</f>
        <v>0.57035574300365</v>
      </c>
      <c r="M40" s="21" t="n">
        <f aca="false">ROUND(Q40*S40,0)</f>
        <v>197</v>
      </c>
      <c r="N40" s="21" t="n">
        <f aca="false">ROUND(SQRT((F40*J40/100)^2+(G40*M40)^2),0)</f>
        <v>113</v>
      </c>
      <c r="P40" s="41" t="n">
        <v>10.6202982389492</v>
      </c>
      <c r="Q40" s="42" t="n">
        <v>1399.59282638933</v>
      </c>
      <c r="R40" s="43" t="n">
        <f aca="false">MAX(0,MIN(1,P40/100+$D$5))</f>
        <v>0.54603212141406</v>
      </c>
      <c r="S40" s="43" t="n">
        <v>0.140730607711166</v>
      </c>
      <c r="T40" s="44" t="s">
        <v>91</v>
      </c>
    </row>
    <row r="41" customFormat="false" ht="15" hidden="false" customHeight="false" outlineLevel="0" collapsed="false">
      <c r="A41" s="38" t="s">
        <v>116</v>
      </c>
      <c r="B41" s="38" t="s">
        <v>123</v>
      </c>
      <c r="C41" s="38" t="s">
        <v>89</v>
      </c>
      <c r="D41" s="21" t="n">
        <f aca="false">ROUND(Q41*R41,0)</f>
        <v>3155</v>
      </c>
      <c r="E41" s="21" t="n">
        <f aca="false">ROUND(Q41,0)-D41</f>
        <v>2419</v>
      </c>
      <c r="F41" s="21" t="n">
        <f aca="false">IF(COUNTA(D41:E41)=0,"",SUM(D41:E41))</f>
        <v>5574</v>
      </c>
      <c r="G41" s="39" t="n">
        <f aca="false">IF(OR(F41="",F41=0),"",D41/F41)</f>
        <v>0.566020810907786</v>
      </c>
      <c r="H41" s="39" t="n">
        <f aca="false">IF(OR(F41="",F41=0),"",E41/F41)</f>
        <v>0.433979189092214</v>
      </c>
      <c r="I41" s="38" t="s">
        <v>90</v>
      </c>
      <c r="J41" s="40" t="n">
        <v>1.54340705695521</v>
      </c>
      <c r="K41" s="39" t="n">
        <f aca="false">IF(G41="","",MAX(0,G41-J41/100))</f>
        <v>0.550586740338234</v>
      </c>
      <c r="L41" s="39" t="n">
        <f aca="false">IF(G41="","",MIN(1,G41+J41/100))</f>
        <v>0.581454881477338</v>
      </c>
      <c r="M41" s="21" t="n">
        <f aca="false">ROUND(Q41*S41,0)</f>
        <v>257</v>
      </c>
      <c r="N41" s="21" t="n">
        <f aca="false">ROUND(SQRT((F41*J41/100)^2+(G41*M41)^2),0)</f>
        <v>169</v>
      </c>
      <c r="P41" s="41" t="n">
        <v>12.611031247229</v>
      </c>
      <c r="Q41" s="42" t="n">
        <v>5574.49353370687</v>
      </c>
      <c r="R41" s="43" t="n">
        <f aca="false">MAX(0,MIN(1,P41/100+$D$5))</f>
        <v>0.565939451496858</v>
      </c>
      <c r="S41" s="43" t="n">
        <v>0.0460569330366088</v>
      </c>
      <c r="T41" s="44" t="s">
        <v>111</v>
      </c>
    </row>
    <row r="42" customFormat="false" ht="15" hidden="false" customHeight="false" outlineLevel="0" collapsed="false">
      <c r="A42" s="38" t="s">
        <v>116</v>
      </c>
      <c r="B42" s="38" t="s">
        <v>124</v>
      </c>
      <c r="C42" s="38" t="s">
        <v>89</v>
      </c>
      <c r="D42" s="21" t="n">
        <f aca="false">ROUND(Q42*R42,0)</f>
        <v>1174</v>
      </c>
      <c r="E42" s="21" t="n">
        <f aca="false">ROUND(Q42,0)-D42</f>
        <v>466</v>
      </c>
      <c r="F42" s="21" t="n">
        <f aca="false">IF(COUNTA(D42:E42)=0,"",SUM(D42:E42))</f>
        <v>1640</v>
      </c>
      <c r="G42" s="39" t="n">
        <f aca="false">IF(OR(F42="",F42=0),"",D42/F42)</f>
        <v>0.715853658536585</v>
      </c>
      <c r="H42" s="39" t="n">
        <f aca="false">IF(OR(F42="",F42=0),"",E42/F42)</f>
        <v>0.284146341463415</v>
      </c>
      <c r="I42" s="38" t="s">
        <v>90</v>
      </c>
      <c r="J42" s="40" t="n">
        <v>1.379737565379</v>
      </c>
      <c r="K42" s="39" t="n">
        <f aca="false">IF(G42="","",MAX(0,G42-J42/100))</f>
        <v>0.702056282882795</v>
      </c>
      <c r="L42" s="39" t="n">
        <f aca="false">IF(G42="","",MIN(1,G42+J42/100))</f>
        <v>0.729651034190375</v>
      </c>
      <c r="M42" s="21" t="n">
        <f aca="false">ROUND(Q42*S42,0)</f>
        <v>58</v>
      </c>
      <c r="N42" s="21" t="n">
        <f aca="false">ROUND(SQRT((F42*J42/100)^2+(G42*M42)^2),0)</f>
        <v>47</v>
      </c>
      <c r="P42" s="41" t="n">
        <v>27.6220092463041</v>
      </c>
      <c r="Q42" s="42" t="n">
        <v>1640.06695918585</v>
      </c>
      <c r="R42" s="43" t="n">
        <f aca="false">MAX(0,MIN(1,P42/100+$D$5))</f>
        <v>0.716049231487609</v>
      </c>
      <c r="S42" s="43" t="n">
        <v>0.0350597310944791</v>
      </c>
      <c r="T42" s="44" t="s">
        <v>97</v>
      </c>
    </row>
    <row r="43" customFormat="false" ht="15" hidden="false" customHeight="false" outlineLevel="0" collapsed="false">
      <c r="A43" s="38" t="s">
        <v>116</v>
      </c>
      <c r="B43" s="38" t="s">
        <v>125</v>
      </c>
      <c r="C43" s="38" t="s">
        <v>89</v>
      </c>
      <c r="D43" s="21" t="n">
        <f aca="false">ROUND(Q43*R43,0)</f>
        <v>281</v>
      </c>
      <c r="E43" s="21" t="n">
        <f aca="false">ROUND(Q43,0)-D43</f>
        <v>208</v>
      </c>
      <c r="F43" s="21" t="n">
        <f aca="false">IF(COUNTA(D43:E43)=0,"",SUM(D43:E43))</f>
        <v>489</v>
      </c>
      <c r="G43" s="39" t="n">
        <f aca="false">IF(OR(F43="",F43=0),"",D43/F43)</f>
        <v>0.574642126789366</v>
      </c>
      <c r="H43" s="39" t="n">
        <f aca="false">IF(OR(F43="",F43=0),"",E43/F43)</f>
        <v>0.425357873210634</v>
      </c>
      <c r="I43" s="38" t="s">
        <v>90</v>
      </c>
      <c r="J43" s="40" t="n">
        <v>2.46414572893645</v>
      </c>
      <c r="K43" s="39" t="n">
        <f aca="false">IF(G43="","",MAX(0,G43-J43/100))</f>
        <v>0.550000669500002</v>
      </c>
      <c r="L43" s="39" t="n">
        <f aca="false">IF(G43="","",MIN(1,G43+J43/100))</f>
        <v>0.599283584078731</v>
      </c>
      <c r="M43" s="21" t="n">
        <f aca="false">ROUND(Q43*S43,0)</f>
        <v>69</v>
      </c>
      <c r="N43" s="21" t="n">
        <f aca="false">ROUND(SQRT((F43*J43/100)^2+(G43*M43)^2),0)</f>
        <v>41</v>
      </c>
      <c r="P43" s="41" t="n">
        <v>13.3829675995039</v>
      </c>
      <c r="Q43" s="42" t="n">
        <v>489.138699980329</v>
      </c>
      <c r="R43" s="43" t="n">
        <f aca="false">MAX(0,MIN(1,P43/100+$D$5))</f>
        <v>0.573658815019607</v>
      </c>
      <c r="S43" s="43" t="n">
        <v>0.140730607711166</v>
      </c>
      <c r="T43" s="44" t="s">
        <v>91</v>
      </c>
    </row>
    <row r="44" customFormat="false" ht="15" hidden="false" customHeight="false" outlineLevel="0" collapsed="false">
      <c r="A44" s="38" t="s">
        <v>116</v>
      </c>
      <c r="B44" s="38" t="s">
        <v>126</v>
      </c>
      <c r="C44" s="38" t="s">
        <v>89</v>
      </c>
      <c r="D44" s="21" t="n">
        <f aca="false">ROUND(Q44*R44,0)</f>
        <v>619</v>
      </c>
      <c r="E44" s="21" t="n">
        <f aca="false">ROUND(Q44,0)-D44</f>
        <v>1157</v>
      </c>
      <c r="F44" s="21" t="n">
        <f aca="false">IF(COUNTA(D44:E44)=0,"",SUM(D44:E44))</f>
        <v>1776</v>
      </c>
      <c r="G44" s="39" t="n">
        <f aca="false">IF(OR(F44="",F44=0),"",D44/F44)</f>
        <v>0.348536036036036</v>
      </c>
      <c r="H44" s="39" t="n">
        <f aca="false">IF(OR(F44="",F44=0),"",E44/F44)</f>
        <v>0.651463963963964</v>
      </c>
      <c r="I44" s="38" t="s">
        <v>90</v>
      </c>
      <c r="J44" s="40" t="n">
        <v>1.379737565379</v>
      </c>
      <c r="K44" s="39" t="n">
        <f aca="false">IF(G44="","",MAX(0,G44-J44/100))</f>
        <v>0.334738660382246</v>
      </c>
      <c r="L44" s="39" t="n">
        <f aca="false">IF(G44="","",MIN(1,G44+J44/100))</f>
        <v>0.362333411689826</v>
      </c>
      <c r="M44" s="21" t="n">
        <f aca="false">ROUND(Q44*S44,0)</f>
        <v>62</v>
      </c>
      <c r="N44" s="21" t="n">
        <f aca="false">ROUND(SQRT((F44*J44/100)^2+(G44*M44)^2),0)</f>
        <v>33</v>
      </c>
      <c r="P44" s="41" t="n">
        <v>-9.13319743269438</v>
      </c>
      <c r="Q44" s="42" t="n">
        <v>1775.53161399313</v>
      </c>
      <c r="R44" s="43" t="n">
        <f aca="false">MAX(0,MIN(1,P44/100+$D$5))</f>
        <v>0.348497164697624</v>
      </c>
      <c r="S44" s="43" t="n">
        <v>0.0350597310944791</v>
      </c>
      <c r="T44" s="44" t="s">
        <v>97</v>
      </c>
    </row>
    <row r="45" customFormat="false" ht="15" hidden="false" customHeight="false" outlineLevel="0" collapsed="false">
      <c r="A45" s="38" t="s">
        <v>116</v>
      </c>
      <c r="B45" s="38" t="s">
        <v>127</v>
      </c>
      <c r="C45" s="38" t="s">
        <v>89</v>
      </c>
      <c r="D45" s="21" t="n">
        <f aca="false">ROUND(Q45*R45,0)</f>
        <v>9222</v>
      </c>
      <c r="E45" s="21" t="n">
        <f aca="false">ROUND(Q45,0)-D45</f>
        <v>8211</v>
      </c>
      <c r="F45" s="21" t="n">
        <f aca="false">IF(COUNTA(D45:E45)=0,"",SUM(D45:E45))</f>
        <v>17433</v>
      </c>
      <c r="G45" s="39" t="n">
        <f aca="false">IF(OR(F45="",F45=0),"",D45/F45)</f>
        <v>0.528996730339012</v>
      </c>
      <c r="H45" s="39" t="n">
        <f aca="false">IF(OR(F45="",F45=0),"",E45/F45)</f>
        <v>0.471003269660988</v>
      </c>
      <c r="I45" s="38" t="s">
        <v>90</v>
      </c>
      <c r="J45" s="40" t="n">
        <v>1.54340705695521</v>
      </c>
      <c r="K45" s="39" t="n">
        <f aca="false">IF(G45="","",MAX(0,G45-J45/100))</f>
        <v>0.51356265976946</v>
      </c>
      <c r="L45" s="39" t="n">
        <f aca="false">IF(G45="","",MIN(1,G45+J45/100))</f>
        <v>0.544430800908564</v>
      </c>
      <c r="M45" s="21" t="n">
        <f aca="false">ROUND(Q45*S45,0)</f>
        <v>803</v>
      </c>
      <c r="N45" s="21" t="n">
        <f aca="false">ROUND(SQRT((F45*J45/100)^2+(G45*M45)^2),0)</f>
        <v>503</v>
      </c>
      <c r="P45" s="41" t="n">
        <v>8.92007547030964</v>
      </c>
      <c r="Q45" s="42" t="n">
        <v>17432.6896027336</v>
      </c>
      <c r="R45" s="43" t="n">
        <f aca="false">MAX(0,MIN(1,P45/100+$D$5))</f>
        <v>0.529029893727665</v>
      </c>
      <c r="S45" s="43" t="n">
        <v>0.0460569330366088</v>
      </c>
      <c r="T45" s="44" t="s">
        <v>111</v>
      </c>
    </row>
    <row r="46" customFormat="false" ht="15" hidden="false" customHeight="false" outlineLevel="0" collapsed="false">
      <c r="A46" s="38" t="s">
        <v>116</v>
      </c>
      <c r="B46" s="38" t="s">
        <v>128</v>
      </c>
      <c r="C46" s="38" t="s">
        <v>89</v>
      </c>
      <c r="D46" s="21" t="n">
        <f aca="false">ROUND(Q46*R46,0)</f>
        <v>968</v>
      </c>
      <c r="E46" s="21" t="n">
        <f aca="false">ROUND(Q46,0)-D46</f>
        <v>1434</v>
      </c>
      <c r="F46" s="21" t="n">
        <f aca="false">IF(COUNTA(D46:E46)=0,"",SUM(D46:E46))</f>
        <v>2402</v>
      </c>
      <c r="G46" s="39" t="n">
        <f aca="false">IF(OR(F46="",F46=0),"",D46/F46)</f>
        <v>0.402997502081599</v>
      </c>
      <c r="H46" s="39" t="n">
        <f aca="false">IF(OR(F46="",F46=0),"",E46/F46)</f>
        <v>0.597002497918401</v>
      </c>
      <c r="I46" s="38" t="s">
        <v>90</v>
      </c>
      <c r="J46" s="40" t="n">
        <v>1.379737565379</v>
      </c>
      <c r="K46" s="39" t="n">
        <f aca="false">IF(G46="","",MAX(0,G46-J46/100))</f>
        <v>0.389200126427809</v>
      </c>
      <c r="L46" s="39" t="n">
        <f aca="false">IF(G46="","",MIN(1,G46+J46/100))</f>
        <v>0.416794877735389</v>
      </c>
      <c r="M46" s="21" t="n">
        <f aca="false">ROUND(Q46*S46,0)</f>
        <v>84</v>
      </c>
      <c r="N46" s="21" t="n">
        <f aca="false">ROUND(SQRT((F46*J46/100)^2+(G46*M46)^2),0)</f>
        <v>47</v>
      </c>
      <c r="P46" s="41" t="n">
        <v>-3.66528659328381</v>
      </c>
      <c r="Q46" s="42" t="n">
        <v>2401.5443712147</v>
      </c>
      <c r="R46" s="43" t="n">
        <f aca="false">MAX(0,MIN(1,P46/100+$D$5))</f>
        <v>0.40317627309173</v>
      </c>
      <c r="S46" s="43" t="n">
        <v>0.0350597310944791</v>
      </c>
      <c r="T46" s="44" t="s">
        <v>97</v>
      </c>
    </row>
    <row r="47" customFormat="false" ht="15" hidden="false" customHeight="false" outlineLevel="0" collapsed="false">
      <c r="A47" s="38" t="s">
        <v>116</v>
      </c>
      <c r="B47" s="38" t="s">
        <v>129</v>
      </c>
      <c r="C47" s="38" t="s">
        <v>89</v>
      </c>
      <c r="D47" s="21" t="n">
        <f aca="false">ROUND(Q47*R47,0)</f>
        <v>520</v>
      </c>
      <c r="E47" s="21" t="n">
        <f aca="false">ROUND(Q47,0)-D47</f>
        <v>826</v>
      </c>
      <c r="F47" s="21" t="n">
        <f aca="false">IF(COUNTA(D47:E47)=0,"",SUM(D47:E47))</f>
        <v>1346</v>
      </c>
      <c r="G47" s="39" t="n">
        <f aca="false">IF(OR(F47="",F47=0),"",D47/F47)</f>
        <v>0.386329866270431</v>
      </c>
      <c r="H47" s="39" t="n">
        <f aca="false">IF(OR(F47="",F47=0),"",E47/F47)</f>
        <v>0.613670133729569</v>
      </c>
      <c r="I47" s="38" t="s">
        <v>90</v>
      </c>
      <c r="J47" s="40" t="n">
        <v>2.46414572893645</v>
      </c>
      <c r="K47" s="39" t="n">
        <f aca="false">IF(G47="","",MAX(0,G47-J47/100))</f>
        <v>0.361688408981066</v>
      </c>
      <c r="L47" s="39" t="n">
        <f aca="false">IF(G47="","",MIN(1,G47+J47/100))</f>
        <v>0.410971323559795</v>
      </c>
      <c r="M47" s="21" t="n">
        <f aca="false">ROUND(Q47*S47,0)</f>
        <v>189</v>
      </c>
      <c r="N47" s="21" t="n">
        <f aca="false">ROUND(SQRT((F47*J47/100)^2+(G47*M47)^2),0)</f>
        <v>80</v>
      </c>
      <c r="P47" s="41" t="n">
        <v>-5.35819604534783</v>
      </c>
      <c r="Q47" s="42" t="n">
        <v>1345.68059636491</v>
      </c>
      <c r="R47" s="43" t="n">
        <f aca="false">MAX(0,MIN(1,P47/100+$D$5))</f>
        <v>0.38624717857109</v>
      </c>
      <c r="S47" s="43" t="n">
        <v>0.140730607711166</v>
      </c>
      <c r="T47" s="44" t="s">
        <v>91</v>
      </c>
    </row>
    <row r="48" customFormat="false" ht="15" hidden="false" customHeight="false" outlineLevel="0" collapsed="false">
      <c r="A48" s="38" t="s">
        <v>116</v>
      </c>
      <c r="B48" s="38" t="s">
        <v>130</v>
      </c>
      <c r="C48" s="38" t="s">
        <v>89</v>
      </c>
      <c r="D48" s="21" t="n">
        <f aca="false">ROUND(Q48*R48,0)</f>
        <v>832</v>
      </c>
      <c r="E48" s="21" t="n">
        <f aca="false">ROUND(Q48,0)-D48</f>
        <v>1553</v>
      </c>
      <c r="F48" s="21" t="n">
        <f aca="false">IF(COUNTA(D48:E48)=0,"",SUM(D48:E48))</f>
        <v>2385</v>
      </c>
      <c r="G48" s="39" t="n">
        <f aca="false">IF(OR(F48="",F48=0),"",D48/F48)</f>
        <v>0.348846960167715</v>
      </c>
      <c r="H48" s="39" t="n">
        <f aca="false">IF(OR(F48="",F48=0),"",E48/F48)</f>
        <v>0.651153039832285</v>
      </c>
      <c r="I48" s="38" t="s">
        <v>90</v>
      </c>
      <c r="J48" s="40" t="n">
        <v>1.379737565379</v>
      </c>
      <c r="K48" s="39" t="n">
        <f aca="false">IF(G48="","",MAX(0,G48-J48/100))</f>
        <v>0.335049584513925</v>
      </c>
      <c r="L48" s="39" t="n">
        <f aca="false">IF(G48="","",MIN(1,G48+J48/100))</f>
        <v>0.362644335821505</v>
      </c>
      <c r="M48" s="21" t="n">
        <f aca="false">ROUND(Q48*S48,0)</f>
        <v>84</v>
      </c>
      <c r="N48" s="21" t="n">
        <f aca="false">ROUND(SQRT((F48*J48/100)^2+(G48*M48)^2),0)</f>
        <v>44</v>
      </c>
      <c r="P48" s="41" t="n">
        <v>-9.08674511248393</v>
      </c>
      <c r="Q48" s="42" t="n">
        <v>2384.50420363878</v>
      </c>
      <c r="R48" s="43" t="n">
        <f aca="false">MAX(0,MIN(1,P48/100+$D$5))</f>
        <v>0.348961687899729</v>
      </c>
      <c r="S48" s="43" t="n">
        <v>0.0350597310944791</v>
      </c>
      <c r="T48" s="44" t="s">
        <v>97</v>
      </c>
    </row>
    <row r="49" customFormat="false" ht="15" hidden="false" customHeight="false" outlineLevel="0" collapsed="false">
      <c r="A49" s="38" t="s">
        <v>116</v>
      </c>
      <c r="B49" s="38" t="s">
        <v>131</v>
      </c>
      <c r="C49" s="38" t="s">
        <v>89</v>
      </c>
      <c r="D49" s="21" t="n">
        <f aca="false">ROUND(Q49*R49,0)</f>
        <v>866</v>
      </c>
      <c r="E49" s="21" t="n">
        <f aca="false">ROUND(Q49,0)-D49</f>
        <v>689</v>
      </c>
      <c r="F49" s="21" t="n">
        <f aca="false">IF(COUNTA(D49:E49)=0,"",SUM(D49:E49))</f>
        <v>1555</v>
      </c>
      <c r="G49" s="39" t="n">
        <f aca="false">IF(OR(F49="",F49=0),"",D49/F49)</f>
        <v>0.556913183279743</v>
      </c>
      <c r="H49" s="39" t="n">
        <f aca="false">IF(OR(F49="",F49=0),"",E49/F49)</f>
        <v>0.443086816720257</v>
      </c>
      <c r="I49" s="38" t="s">
        <v>90</v>
      </c>
      <c r="J49" s="40" t="n">
        <v>2.46414572893645</v>
      </c>
      <c r="K49" s="39" t="n">
        <f aca="false">IF(G49="","",MAX(0,G49-J49/100))</f>
        <v>0.532271725990378</v>
      </c>
      <c r="L49" s="39" t="n">
        <f aca="false">IF(G49="","",MIN(1,G49+J49/100))</f>
        <v>0.581554640569107</v>
      </c>
      <c r="M49" s="21" t="n">
        <f aca="false">ROUND(Q49*S49,0)</f>
        <v>219</v>
      </c>
      <c r="N49" s="21" t="n">
        <f aca="false">ROUND(SQRT((F49*J49/100)^2+(G49*M49)^2),0)</f>
        <v>128</v>
      </c>
      <c r="P49" s="41" t="n">
        <v>11.731029223154</v>
      </c>
      <c r="Q49" s="42" t="n">
        <v>1554.53326175544</v>
      </c>
      <c r="R49" s="43" t="n">
        <f aca="false">MAX(0,MIN(1,P49/100+$D$5))</f>
        <v>0.557139431256109</v>
      </c>
      <c r="S49" s="43" t="n">
        <v>0.140730607711166</v>
      </c>
      <c r="T49" s="44" t="s">
        <v>91</v>
      </c>
    </row>
    <row r="50" customFormat="false" ht="15" hidden="false" customHeight="false" outlineLevel="0" collapsed="false">
      <c r="A50" s="38" t="s">
        <v>116</v>
      </c>
      <c r="B50" s="38" t="s">
        <v>132</v>
      </c>
      <c r="C50" s="38" t="s">
        <v>89</v>
      </c>
      <c r="D50" s="21" t="n">
        <f aca="false">ROUND(Q50*R50,0)</f>
        <v>3795</v>
      </c>
      <c r="E50" s="21" t="n">
        <f aca="false">ROUND(Q50,0)-D50</f>
        <v>4749</v>
      </c>
      <c r="F50" s="21" t="n">
        <f aca="false">IF(COUNTA(D50:E50)=0,"",SUM(D50:E50))</f>
        <v>8544</v>
      </c>
      <c r="G50" s="39" t="n">
        <f aca="false">IF(OR(F50="",F50=0),"",D50/F50)</f>
        <v>0.444171348314607</v>
      </c>
      <c r="H50" s="39" t="n">
        <f aca="false">IF(OR(F50="",F50=0),"",E50/F50)</f>
        <v>0.555828651685393</v>
      </c>
      <c r="I50" s="38" t="s">
        <v>90</v>
      </c>
      <c r="J50" s="40" t="n">
        <v>1.54340705695521</v>
      </c>
      <c r="K50" s="39" t="n">
        <f aca="false">IF(G50="","",MAX(0,G50-J50/100))</f>
        <v>0.428737277745055</v>
      </c>
      <c r="L50" s="39" t="n">
        <f aca="false">IF(G50="","",MIN(1,G50+J50/100))</f>
        <v>0.459605418884159</v>
      </c>
      <c r="M50" s="21" t="n">
        <f aca="false">ROUND(Q50*S50,0)</f>
        <v>394</v>
      </c>
      <c r="N50" s="21" t="n">
        <f aca="false">ROUND(SQRT((F50*J50/100)^2+(G50*M50)^2),0)</f>
        <v>219</v>
      </c>
      <c r="P50" s="41" t="n">
        <v>0.437247288894384</v>
      </c>
      <c r="Q50" s="42" t="n">
        <v>8543.79282626421</v>
      </c>
      <c r="R50" s="43" t="n">
        <f aca="false">MAX(0,MIN(1,P50/100+$D$5))</f>
        <v>0.444201611913512</v>
      </c>
      <c r="S50" s="43" t="n">
        <v>0.0460569330366088</v>
      </c>
      <c r="T50" s="44" t="s">
        <v>111</v>
      </c>
    </row>
    <row r="51" customFormat="false" ht="15" hidden="false" customHeight="false" outlineLevel="0" collapsed="false">
      <c r="A51" s="38" t="s">
        <v>116</v>
      </c>
      <c r="B51" s="38" t="s">
        <v>133</v>
      </c>
      <c r="C51" s="38" t="s">
        <v>89</v>
      </c>
      <c r="D51" s="21" t="n">
        <f aca="false">ROUND(Q51*R51,0)</f>
        <v>3647</v>
      </c>
      <c r="E51" s="21" t="n">
        <f aca="false">ROUND(Q51,0)-D51</f>
        <v>3245</v>
      </c>
      <c r="F51" s="21" t="n">
        <f aca="false">IF(COUNTA(D51:E51)=0,"",SUM(D51:E51))</f>
        <v>6892</v>
      </c>
      <c r="G51" s="39" t="n">
        <f aca="false">IF(OR(F51="",F51=0),"",D51/F51)</f>
        <v>0.529164248403947</v>
      </c>
      <c r="H51" s="39" t="n">
        <f aca="false">IF(OR(F51="",F51=0),"",E51/F51)</f>
        <v>0.470835751596053</v>
      </c>
      <c r="I51" s="38" t="s">
        <v>90</v>
      </c>
      <c r="J51" s="40" t="n">
        <v>1.54340705695521</v>
      </c>
      <c r="K51" s="39" t="n">
        <f aca="false">IF(G51="","",MAX(0,G51-J51/100))</f>
        <v>0.513730177834395</v>
      </c>
      <c r="L51" s="39" t="n">
        <f aca="false">IF(G51="","",MIN(1,G51+J51/100))</f>
        <v>0.544598318973499</v>
      </c>
      <c r="M51" s="21" t="n">
        <f aca="false">ROUND(Q51*S51,0)</f>
        <v>317</v>
      </c>
      <c r="N51" s="21" t="n">
        <f aca="false">ROUND(SQRT((F51*J51/100)^2+(G51*M51)^2),0)</f>
        <v>199</v>
      </c>
      <c r="P51" s="41" t="n">
        <v>8.9403647051058</v>
      </c>
      <c r="Q51" s="42" t="n">
        <v>6892.02617637239</v>
      </c>
      <c r="R51" s="43" t="n">
        <f aca="false">MAX(0,MIN(1,P51/100+$D$5))</f>
        <v>0.529232786075626</v>
      </c>
      <c r="S51" s="43" t="n">
        <v>0.0460569330366088</v>
      </c>
      <c r="T51" s="44" t="s">
        <v>111</v>
      </c>
    </row>
    <row r="52" customFormat="false" ht="15" hidden="false" customHeight="false" outlineLevel="0" collapsed="false">
      <c r="A52" s="38" t="s">
        <v>116</v>
      </c>
      <c r="B52" s="38" t="s">
        <v>134</v>
      </c>
      <c r="C52" s="38" t="s">
        <v>89</v>
      </c>
      <c r="D52" s="21" t="n">
        <f aca="false">ROUND(Q52*R52,0)</f>
        <v>666</v>
      </c>
      <c r="E52" s="21" t="n">
        <f aca="false">ROUND(Q52,0)-D52</f>
        <v>790</v>
      </c>
      <c r="F52" s="21" t="n">
        <f aca="false">IF(COUNTA(D52:E52)=0,"",SUM(D52:E52))</f>
        <v>1456</v>
      </c>
      <c r="G52" s="39" t="n">
        <f aca="false">IF(OR(F52="",F52=0),"",D52/F52)</f>
        <v>0.457417582417582</v>
      </c>
      <c r="H52" s="39" t="n">
        <f aca="false">IF(OR(F52="",F52=0),"",E52/F52)</f>
        <v>0.542582417582418</v>
      </c>
      <c r="I52" s="38" t="s">
        <v>90</v>
      </c>
      <c r="J52" s="40" t="n">
        <v>2.46414572893645</v>
      </c>
      <c r="K52" s="39" t="n">
        <f aca="false">IF(G52="","",MAX(0,G52-J52/100))</f>
        <v>0.432776125128218</v>
      </c>
      <c r="L52" s="39" t="n">
        <f aca="false">IF(G52="","",MIN(1,G52+J52/100))</f>
        <v>0.482059039706947</v>
      </c>
      <c r="M52" s="21" t="n">
        <f aca="false">ROUND(Q52*S52,0)</f>
        <v>205</v>
      </c>
      <c r="N52" s="21" t="n">
        <f aca="false">ROUND(SQRT((F52*J52/100)^2+(G52*M52)^2),0)</f>
        <v>100</v>
      </c>
      <c r="P52" s="41" t="n">
        <v>1.71603451773743</v>
      </c>
      <c r="Q52" s="42" t="n">
        <v>1456.40312069024</v>
      </c>
      <c r="R52" s="43" t="n">
        <f aca="false">MAX(0,MIN(1,P52/100+$D$5))</f>
        <v>0.456989484201942</v>
      </c>
      <c r="S52" s="43" t="n">
        <v>0.140730607711166</v>
      </c>
      <c r="T52" s="44" t="s">
        <v>91</v>
      </c>
    </row>
    <row r="53" customFormat="false" ht="15" hidden="false" customHeight="false" outlineLevel="0" collapsed="false">
      <c r="A53" s="38" t="s">
        <v>116</v>
      </c>
      <c r="B53" s="38" t="s">
        <v>135</v>
      </c>
      <c r="C53" s="38" t="s">
        <v>89</v>
      </c>
      <c r="D53" s="21" t="n">
        <f aca="false">ROUND(Q53*R53,0)</f>
        <v>6203</v>
      </c>
      <c r="E53" s="21" t="n">
        <f aca="false">ROUND(Q53,0)-D53</f>
        <v>4794</v>
      </c>
      <c r="F53" s="21" t="n">
        <f aca="false">IF(COUNTA(D53:E53)=0,"",SUM(D53:E53))</f>
        <v>10997</v>
      </c>
      <c r="G53" s="39" t="n">
        <f aca="false">IF(OR(F53="",F53=0),"",D53/F53)</f>
        <v>0.564062926252614</v>
      </c>
      <c r="H53" s="39" t="n">
        <f aca="false">IF(OR(F53="",F53=0),"",E53/F53)</f>
        <v>0.435937073747386</v>
      </c>
      <c r="I53" s="38" t="s">
        <v>90</v>
      </c>
      <c r="J53" s="40" t="n">
        <v>1.54340705695521</v>
      </c>
      <c r="K53" s="39" t="n">
        <f aca="false">IF(G53="","",MAX(0,G53-J53/100))</f>
        <v>0.548628855683062</v>
      </c>
      <c r="L53" s="39" t="n">
        <f aca="false">IF(G53="","",MIN(1,G53+J53/100))</f>
        <v>0.579496996822167</v>
      </c>
      <c r="M53" s="21" t="n">
        <f aca="false">ROUND(Q53*S53,0)</f>
        <v>506</v>
      </c>
      <c r="N53" s="21" t="n">
        <f aca="false">ROUND(SQRT((F53*J53/100)^2+(G53*M53)^2),0)</f>
        <v>332</v>
      </c>
      <c r="P53" s="41" t="n">
        <v>12.4197701631263</v>
      </c>
      <c r="Q53" s="42" t="n">
        <v>10997.2555416386</v>
      </c>
      <c r="R53" s="43" t="n">
        <f aca="false">MAX(0,MIN(1,P53/100+$D$5))</f>
        <v>0.564026840655831</v>
      </c>
      <c r="S53" s="43" t="n">
        <v>0.0460569330366088</v>
      </c>
      <c r="T53" s="44" t="s">
        <v>111</v>
      </c>
    </row>
    <row r="54" customFormat="false" ht="15" hidden="false" customHeight="false" outlineLevel="0" collapsed="false">
      <c r="A54" s="38" t="s">
        <v>116</v>
      </c>
      <c r="B54" s="38" t="s">
        <v>136</v>
      </c>
      <c r="C54" s="38" t="s">
        <v>89</v>
      </c>
      <c r="D54" s="21" t="n">
        <f aca="false">ROUND(Q54*R54,0)</f>
        <v>6951</v>
      </c>
      <c r="E54" s="21" t="n">
        <f aca="false">ROUND(Q54,0)-D54</f>
        <v>5606</v>
      </c>
      <c r="F54" s="21" t="n">
        <f aca="false">IF(COUNTA(D54:E54)=0,"",SUM(D54:E54))</f>
        <v>12557</v>
      </c>
      <c r="G54" s="39" t="n">
        <f aca="false">IF(OR(F54="",F54=0),"",D54/F54)</f>
        <v>0.553555785617584</v>
      </c>
      <c r="H54" s="39" t="n">
        <f aca="false">IF(OR(F54="",F54=0),"",E54/F54)</f>
        <v>0.446444214382416</v>
      </c>
      <c r="I54" s="38" t="s">
        <v>90</v>
      </c>
      <c r="J54" s="40" t="n">
        <v>1.54340705695521</v>
      </c>
      <c r="K54" s="39" t="n">
        <f aca="false">IF(G54="","",MAX(0,G54-J54/100))</f>
        <v>0.538121715048032</v>
      </c>
      <c r="L54" s="39" t="n">
        <f aca="false">IF(G54="","",MIN(1,G54+J54/100))</f>
        <v>0.568989856187136</v>
      </c>
      <c r="M54" s="21" t="n">
        <f aca="false">ROUND(Q54*S54,0)</f>
        <v>578</v>
      </c>
      <c r="N54" s="21" t="n">
        <f aca="false">ROUND(SQRT((F54*J54/100)^2+(G54*M54)^2),0)</f>
        <v>374</v>
      </c>
      <c r="P54" s="41" t="n">
        <v>11.3704794898515</v>
      </c>
      <c r="Q54" s="42" t="n">
        <v>12556.7657890104</v>
      </c>
      <c r="R54" s="43" t="n">
        <f aca="false">MAX(0,MIN(1,P54/100+$D$5))</f>
        <v>0.553533933923083</v>
      </c>
      <c r="S54" s="43" t="n">
        <v>0.0460569330366088</v>
      </c>
      <c r="T54" s="44" t="s">
        <v>111</v>
      </c>
    </row>
    <row r="55" customFormat="false" ht="15" hidden="false" customHeight="false" outlineLevel="0" collapsed="false">
      <c r="A55" s="38" t="s">
        <v>116</v>
      </c>
      <c r="B55" s="38" t="s">
        <v>137</v>
      </c>
      <c r="C55" s="38" t="s">
        <v>89</v>
      </c>
      <c r="D55" s="21" t="n">
        <f aca="false">ROUND(Q55*R55,0)</f>
        <v>2334</v>
      </c>
      <c r="E55" s="21" t="n">
        <f aca="false">ROUND(Q55,0)-D55</f>
        <v>2636</v>
      </c>
      <c r="F55" s="21" t="n">
        <f aca="false">IF(COUNTA(D55:E55)=0,"",SUM(D55:E55))</f>
        <v>4970</v>
      </c>
      <c r="G55" s="39" t="n">
        <f aca="false">IF(OR(F55="",F55=0),"",D55/F55)</f>
        <v>0.469617706237425</v>
      </c>
      <c r="H55" s="39" t="n">
        <f aca="false">IF(OR(F55="",F55=0),"",E55/F55)</f>
        <v>0.530382293762576</v>
      </c>
      <c r="I55" s="38" t="s">
        <v>90</v>
      </c>
      <c r="J55" s="40" t="n">
        <v>1.54340705695521</v>
      </c>
      <c r="K55" s="39" t="n">
        <f aca="false">IF(G55="","",MAX(0,G55-J55/100))</f>
        <v>0.454183635667872</v>
      </c>
      <c r="L55" s="39" t="n">
        <f aca="false">IF(G55="","",MIN(1,G55+J55/100))</f>
        <v>0.485051776806977</v>
      </c>
      <c r="M55" s="21" t="n">
        <f aca="false">ROUND(Q55*S55,0)</f>
        <v>229</v>
      </c>
      <c r="N55" s="21" t="n">
        <f aca="false">ROUND(SQRT((F55*J55/100)^2+(G55*M55)^2),0)</f>
        <v>132</v>
      </c>
      <c r="P55" s="41" t="n">
        <v>2.97906478016407</v>
      </c>
      <c r="Q55" s="42" t="n">
        <v>4970.48037412184</v>
      </c>
      <c r="R55" s="43" t="n">
        <f aca="false">MAX(0,MIN(1,P55/100+$D$5))</f>
        <v>0.469619786826209</v>
      </c>
      <c r="S55" s="43" t="n">
        <v>0.0460569330366088</v>
      </c>
      <c r="T55" s="44" t="s">
        <v>111</v>
      </c>
    </row>
    <row r="56" customFormat="false" ht="15" hidden="false" customHeight="false" outlineLevel="0" collapsed="false">
      <c r="A56" s="38" t="s">
        <v>116</v>
      </c>
      <c r="B56" s="38" t="s">
        <v>138</v>
      </c>
      <c r="C56" s="38" t="s">
        <v>89</v>
      </c>
      <c r="D56" s="21" t="n">
        <f aca="false">ROUND(Q56*R56,0)</f>
        <v>5140</v>
      </c>
      <c r="E56" s="21" t="n">
        <f aca="false">ROUND(Q56,0)-D56</f>
        <v>4703</v>
      </c>
      <c r="F56" s="21" t="n">
        <f aca="false">IF(COUNTA(D56:E56)=0,"",SUM(D56:E56))</f>
        <v>9843</v>
      </c>
      <c r="G56" s="39" t="n">
        <f aca="false">IF(OR(F56="",F56=0),"",D56/F56)</f>
        <v>0.522198516712385</v>
      </c>
      <c r="H56" s="39" t="n">
        <f aca="false">IF(OR(F56="",F56=0),"",E56/F56)</f>
        <v>0.477801483287616</v>
      </c>
      <c r="I56" s="38" t="s">
        <v>90</v>
      </c>
      <c r="J56" s="40" t="n">
        <v>1.54340705695521</v>
      </c>
      <c r="K56" s="39" t="n">
        <f aca="false">IF(G56="","",MAX(0,G56-J56/100))</f>
        <v>0.506764446142832</v>
      </c>
      <c r="L56" s="39" t="n">
        <f aca="false">IF(G56="","",MIN(1,G56+J56/100))</f>
        <v>0.537632587281937</v>
      </c>
      <c r="M56" s="21" t="n">
        <f aca="false">ROUND(Q56*S56,0)</f>
        <v>453</v>
      </c>
      <c r="N56" s="21" t="n">
        <f aca="false">ROUND(SQRT((F56*J56/100)^2+(G56*M56)^2),0)</f>
        <v>281</v>
      </c>
      <c r="P56" s="41" t="n">
        <v>8.23531455629215</v>
      </c>
      <c r="Q56" s="42" t="n">
        <v>9843.12852513037</v>
      </c>
      <c r="R56" s="43" t="n">
        <f aca="false">MAX(0,MIN(1,P56/100+$D$5))</f>
        <v>0.52218228458749</v>
      </c>
      <c r="S56" s="43" t="n">
        <v>0.0460569330366088</v>
      </c>
      <c r="T56" s="44" t="s">
        <v>111</v>
      </c>
    </row>
    <row r="57" customFormat="false" ht="15" hidden="false" customHeight="false" outlineLevel="0" collapsed="false">
      <c r="A57" s="38" t="s">
        <v>116</v>
      </c>
      <c r="B57" s="38" t="s">
        <v>139</v>
      </c>
      <c r="C57" s="38" t="s">
        <v>89</v>
      </c>
      <c r="D57" s="21" t="n">
        <f aca="false">ROUND(Q57*R57,0)</f>
        <v>1215</v>
      </c>
      <c r="E57" s="21" t="n">
        <f aca="false">ROUND(Q57,0)-D57</f>
        <v>2146</v>
      </c>
      <c r="F57" s="21" t="n">
        <f aca="false">IF(COUNTA(D57:E57)=0,"",SUM(D57:E57))</f>
        <v>3361</v>
      </c>
      <c r="G57" s="39" t="n">
        <f aca="false">IF(OR(F57="",F57=0),"",D57/F57)</f>
        <v>0.361499553704255</v>
      </c>
      <c r="H57" s="39" t="n">
        <f aca="false">IF(OR(F57="",F57=0),"",E57/F57)</f>
        <v>0.638500446295745</v>
      </c>
      <c r="I57" s="38" t="s">
        <v>90</v>
      </c>
      <c r="J57" s="40" t="n">
        <v>1.379737565379</v>
      </c>
      <c r="K57" s="39" t="n">
        <f aca="false">IF(G57="","",MAX(0,G57-J57/100))</f>
        <v>0.347702178050465</v>
      </c>
      <c r="L57" s="39" t="n">
        <f aca="false">IF(G57="","",MIN(1,G57+J57/100))</f>
        <v>0.375296929358045</v>
      </c>
      <c r="M57" s="21" t="n">
        <f aca="false">ROUND(Q57*S57,0)</f>
        <v>118</v>
      </c>
      <c r="N57" s="21" t="n">
        <f aca="false">ROUND(SQRT((F57*J57/100)^2+(G57*M57)^2),0)</f>
        <v>63</v>
      </c>
      <c r="P57" s="41" t="n">
        <v>-7.81900976695442</v>
      </c>
      <c r="Q57" s="42" t="n">
        <v>3360.71693313204</v>
      </c>
      <c r="R57" s="43" t="n">
        <f aca="false">MAX(0,MIN(1,P57/100+$D$5))</f>
        <v>0.361639041355024</v>
      </c>
      <c r="S57" s="43" t="n">
        <v>0.0350597310944791</v>
      </c>
      <c r="T57" s="44" t="s">
        <v>97</v>
      </c>
    </row>
    <row r="58" customFormat="false" ht="15" hidden="false" customHeight="false" outlineLevel="0" collapsed="false">
      <c r="A58" s="38" t="s">
        <v>116</v>
      </c>
      <c r="B58" s="38" t="s">
        <v>140</v>
      </c>
      <c r="C58" s="38" t="s">
        <v>89</v>
      </c>
      <c r="D58" s="21" t="n">
        <f aca="false">ROUND(Q58*R58,0)</f>
        <v>1135</v>
      </c>
      <c r="E58" s="21" t="n">
        <f aca="false">ROUND(Q58,0)-D58</f>
        <v>1854</v>
      </c>
      <c r="F58" s="21" t="n">
        <f aca="false">IF(COUNTA(D58:E58)=0,"",SUM(D58:E58))</f>
        <v>2989</v>
      </c>
      <c r="G58" s="39" t="n">
        <f aca="false">IF(OR(F58="",F58=0),"",D58/F58)</f>
        <v>0.379725660756106</v>
      </c>
      <c r="H58" s="39" t="n">
        <f aca="false">IF(OR(F58="",F58=0),"",E58/F58)</f>
        <v>0.620274339243894</v>
      </c>
      <c r="I58" s="38" t="s">
        <v>90</v>
      </c>
      <c r="J58" s="40" t="n">
        <v>1.379737565379</v>
      </c>
      <c r="K58" s="39" t="n">
        <f aca="false">IF(G58="","",MAX(0,G58-J58/100))</f>
        <v>0.365928285102316</v>
      </c>
      <c r="L58" s="39" t="n">
        <f aca="false">IF(G58="","",MIN(1,G58+J58/100))</f>
        <v>0.393523036409896</v>
      </c>
      <c r="M58" s="21" t="n">
        <f aca="false">ROUND(Q58*S58,0)</f>
        <v>105</v>
      </c>
      <c r="N58" s="21" t="n">
        <f aca="false">ROUND(SQRT((F58*J58/100)^2+(G58*M58)^2),0)</f>
        <v>57</v>
      </c>
      <c r="P58" s="41" t="n">
        <v>-6.0145598178844</v>
      </c>
      <c r="Q58" s="42" t="n">
        <v>2989.04509455079</v>
      </c>
      <c r="R58" s="43" t="n">
        <f aca="false">MAX(0,MIN(1,P58/100+$D$5))</f>
        <v>0.379683540845724</v>
      </c>
      <c r="S58" s="43" t="n">
        <v>0.0350597310944791</v>
      </c>
      <c r="T58" s="44" t="s">
        <v>97</v>
      </c>
    </row>
    <row r="59" customFormat="false" ht="15" hidden="false" customHeight="false" outlineLevel="0" collapsed="false">
      <c r="A59" s="38" t="s">
        <v>116</v>
      </c>
      <c r="B59" s="38" t="s">
        <v>141</v>
      </c>
      <c r="C59" s="38" t="s">
        <v>89</v>
      </c>
      <c r="D59" s="21" t="n">
        <f aca="false">ROUND(Q59*R59,0)</f>
        <v>6095</v>
      </c>
      <c r="E59" s="21" t="n">
        <f aca="false">ROUND(Q59,0)-D59</f>
        <v>4944</v>
      </c>
      <c r="F59" s="21" t="n">
        <f aca="false">IF(COUNTA(D59:E59)=0,"",SUM(D59:E59))</f>
        <v>11039</v>
      </c>
      <c r="G59" s="39" t="n">
        <f aca="false">IF(OR(F59="",F59=0),"",D59/F59)</f>
        <v>0.552133345411722</v>
      </c>
      <c r="H59" s="39" t="n">
        <f aca="false">IF(OR(F59="",F59=0),"",E59/F59)</f>
        <v>0.447866654588278</v>
      </c>
      <c r="I59" s="38" t="s">
        <v>90</v>
      </c>
      <c r="J59" s="40" t="n">
        <v>1.54340705695521</v>
      </c>
      <c r="K59" s="39" t="n">
        <f aca="false">IF(G59="","",MAX(0,G59-J59/100))</f>
        <v>0.53669927484217</v>
      </c>
      <c r="L59" s="39" t="n">
        <f aca="false">IF(G59="","",MIN(1,G59+J59/100))</f>
        <v>0.567567415981274</v>
      </c>
      <c r="M59" s="21" t="n">
        <f aca="false">ROUND(Q59*S59,0)</f>
        <v>508</v>
      </c>
      <c r="N59" s="21" t="n">
        <f aca="false">ROUND(SQRT((F59*J59/100)^2+(G59*M59)^2),0)</f>
        <v>328</v>
      </c>
      <c r="P59" s="41" t="n">
        <v>11.2285819000652</v>
      </c>
      <c r="Q59" s="42" t="n">
        <v>11039.3816703413</v>
      </c>
      <c r="R59" s="43" t="n">
        <f aca="false">MAX(0,MIN(1,P59/100+$D$5))</f>
        <v>0.55211495802522</v>
      </c>
      <c r="S59" s="43" t="n">
        <v>0.0460569330366088</v>
      </c>
      <c r="T59" s="44" t="s">
        <v>111</v>
      </c>
    </row>
    <row r="60" customFormat="false" ht="15" hidden="false" customHeight="false" outlineLevel="0" collapsed="false">
      <c r="A60" s="38" t="s">
        <v>142</v>
      </c>
      <c r="B60" s="38" t="s">
        <v>143</v>
      </c>
      <c r="C60" s="38" t="s">
        <v>89</v>
      </c>
      <c r="D60" s="21" t="n">
        <f aca="false">ROUND(Q60*R60,0)</f>
        <v>451</v>
      </c>
      <c r="E60" s="21" t="n">
        <f aca="false">ROUND(Q60,0)-D60</f>
        <v>883</v>
      </c>
      <c r="F60" s="21" t="n">
        <f aca="false">IF(COUNTA(D60:E60)=0,"",SUM(D60:E60))</f>
        <v>1334</v>
      </c>
      <c r="G60" s="39" t="n">
        <f aca="false">IF(OR(F60="",F60=0),"",D60/F60)</f>
        <v>0.33808095952024</v>
      </c>
      <c r="H60" s="39" t="n">
        <f aca="false">IF(OR(F60="",F60=0),"",E60/F60)</f>
        <v>0.66191904047976</v>
      </c>
      <c r="I60" s="38" t="s">
        <v>90</v>
      </c>
      <c r="J60" s="40" t="n">
        <v>2.46414572893645</v>
      </c>
      <c r="K60" s="39" t="n">
        <f aca="false">IF(G60="","",MAX(0,G60-J60/100))</f>
        <v>0.313439502230875</v>
      </c>
      <c r="L60" s="39" t="n">
        <f aca="false">IF(G60="","",MIN(1,G60+J60/100))</f>
        <v>0.362722416809604</v>
      </c>
      <c r="M60" s="21" t="n">
        <f aca="false">ROUND(Q60*S60,0)</f>
        <v>188</v>
      </c>
      <c r="N60" s="21" t="n">
        <f aca="false">ROUND(SQRT((F60*J60/100)^2+(G60*M60)^2),0)</f>
        <v>72</v>
      </c>
      <c r="P60" s="41" t="n">
        <v>-10.1657239781327</v>
      </c>
      <c r="Q60" s="42" t="n">
        <v>1333.86153942294</v>
      </c>
      <c r="R60" s="43" t="n">
        <f aca="false">MAX(0,MIN(1,P60/100+$D$5))</f>
        <v>0.338171899243242</v>
      </c>
      <c r="S60" s="43" t="n">
        <v>0.140730607711166</v>
      </c>
      <c r="T60" s="44" t="s">
        <v>91</v>
      </c>
    </row>
    <row r="61" customFormat="false" ht="15" hidden="false" customHeight="false" outlineLevel="0" collapsed="false">
      <c r="A61" s="38" t="s">
        <v>142</v>
      </c>
      <c r="B61" s="38" t="s">
        <v>144</v>
      </c>
      <c r="C61" s="38" t="s">
        <v>89</v>
      </c>
      <c r="D61" s="21" t="n">
        <f aca="false">ROUND(Q61*R61,0)</f>
        <v>1249</v>
      </c>
      <c r="E61" s="21" t="n">
        <f aca="false">ROUND(Q61,0)-D61</f>
        <v>2168</v>
      </c>
      <c r="F61" s="21" t="n">
        <f aca="false">IF(COUNTA(D61:E61)=0,"",SUM(D61:E61))</f>
        <v>3417</v>
      </c>
      <c r="G61" s="39" t="n">
        <f aca="false">IF(OR(F61="",F61=0),"",D61/F61)</f>
        <v>0.365525314603453</v>
      </c>
      <c r="H61" s="39" t="n">
        <f aca="false">IF(OR(F61="",F61=0),"",E61/F61)</f>
        <v>0.634474685396547</v>
      </c>
      <c r="I61" s="38" t="s">
        <v>90</v>
      </c>
      <c r="J61" s="40" t="n">
        <v>1.379737565379</v>
      </c>
      <c r="K61" s="39" t="n">
        <f aca="false">IF(G61="","",MAX(0,G61-J61/100))</f>
        <v>0.351727938949663</v>
      </c>
      <c r="L61" s="39" t="n">
        <f aca="false">IF(G61="","",MIN(1,G61+J61/100))</f>
        <v>0.379322690257243</v>
      </c>
      <c r="M61" s="21" t="n">
        <f aca="false">ROUND(Q61*S61,0)</f>
        <v>120</v>
      </c>
      <c r="N61" s="21" t="n">
        <f aca="false">ROUND(SQRT((F61*J61/100)^2+(G61*M61)^2),0)</f>
        <v>64</v>
      </c>
      <c r="P61" s="41" t="n">
        <v>-7.43911608759325</v>
      </c>
      <c r="Q61" s="42" t="n">
        <v>3416.87627360714</v>
      </c>
      <c r="R61" s="43" t="n">
        <f aca="false">MAX(0,MIN(1,P61/100+$D$5))</f>
        <v>0.365437978148636</v>
      </c>
      <c r="S61" s="43" t="n">
        <v>0.0350597310944791</v>
      </c>
      <c r="T61" s="44" t="s">
        <v>97</v>
      </c>
    </row>
    <row r="62" customFormat="false" ht="15" hidden="false" customHeight="false" outlineLevel="0" collapsed="false">
      <c r="A62" s="38" t="s">
        <v>142</v>
      </c>
      <c r="B62" s="38" t="s">
        <v>145</v>
      </c>
      <c r="C62" s="38" t="s">
        <v>89</v>
      </c>
      <c r="D62" s="21" t="n">
        <f aca="false">ROUND(Q62*R62,0)</f>
        <v>458</v>
      </c>
      <c r="E62" s="21" t="n">
        <f aca="false">ROUND(Q62,0)-D62</f>
        <v>798</v>
      </c>
      <c r="F62" s="21" t="n">
        <f aca="false">IF(COUNTA(D62:E62)=0,"",SUM(D62:E62))</f>
        <v>1256</v>
      </c>
      <c r="G62" s="39" t="n">
        <f aca="false">IF(OR(F62="",F62=0),"",D62/F62)</f>
        <v>0.364649681528662</v>
      </c>
      <c r="H62" s="39" t="n">
        <f aca="false">IF(OR(F62="",F62=0),"",E62/F62)</f>
        <v>0.635350318471338</v>
      </c>
      <c r="I62" s="38" t="s">
        <v>90</v>
      </c>
      <c r="J62" s="40" t="n">
        <v>2.46414572893645</v>
      </c>
      <c r="K62" s="39" t="n">
        <f aca="false">IF(G62="","",MAX(0,G62-J62/100))</f>
        <v>0.340008224239298</v>
      </c>
      <c r="L62" s="39" t="n">
        <f aca="false">IF(G62="","",MIN(1,G62+J62/100))</f>
        <v>0.389291138818027</v>
      </c>
      <c r="M62" s="21" t="n">
        <f aca="false">ROUND(Q62*S62,0)</f>
        <v>177</v>
      </c>
      <c r="N62" s="21" t="n">
        <f aca="false">ROUND(SQRT((F62*J62/100)^2+(G62*M62)^2),0)</f>
        <v>72</v>
      </c>
      <c r="P62" s="41" t="n">
        <v>-7.5376583121992</v>
      </c>
      <c r="Q62" s="42" t="n">
        <v>1256.1473193282</v>
      </c>
      <c r="R62" s="43" t="n">
        <f aca="false">MAX(0,MIN(1,P62/100+$D$5))</f>
        <v>0.364452555902576</v>
      </c>
      <c r="S62" s="43" t="n">
        <v>0.140730607711166</v>
      </c>
      <c r="T62" s="44" t="s">
        <v>91</v>
      </c>
    </row>
    <row r="63" customFormat="false" ht="15" hidden="false" customHeight="false" outlineLevel="0" collapsed="false">
      <c r="A63" s="38" t="s">
        <v>146</v>
      </c>
      <c r="B63" s="38" t="s">
        <v>147</v>
      </c>
      <c r="C63" s="38" t="s">
        <v>89</v>
      </c>
      <c r="D63" s="21" t="n">
        <f aca="false">ROUND(Q63*R63,0)</f>
        <v>1393</v>
      </c>
      <c r="E63" s="21" t="n">
        <f aca="false">ROUND(Q63,0)-D63</f>
        <v>1529</v>
      </c>
      <c r="F63" s="21" t="n">
        <f aca="false">IF(COUNTA(D63:E63)=0,"",SUM(D63:E63))</f>
        <v>2922</v>
      </c>
      <c r="G63" s="39" t="n">
        <f aca="false">IF(OR(F63="",F63=0),"",D63/F63)</f>
        <v>0.476728268309377</v>
      </c>
      <c r="H63" s="39" t="n">
        <f aca="false">IF(OR(F63="",F63=0),"",E63/F63)</f>
        <v>0.523271731690623</v>
      </c>
      <c r="I63" s="38" t="s">
        <v>90</v>
      </c>
      <c r="J63" s="40" t="n">
        <v>1.379737565379</v>
      </c>
      <c r="K63" s="39" t="n">
        <f aca="false">IF(G63="","",MAX(0,G63-J63/100))</f>
        <v>0.462930892655587</v>
      </c>
      <c r="L63" s="39" t="n">
        <f aca="false">IF(G63="","",MIN(1,G63+J63/100))</f>
        <v>0.490525643963167</v>
      </c>
      <c r="M63" s="21" t="n">
        <f aca="false">ROUND(Q63*S63,0)</f>
        <v>102</v>
      </c>
      <c r="N63" s="21" t="n">
        <f aca="false">ROUND(SQRT((F63*J63/100)^2+(G63*M63)^2),0)</f>
        <v>63</v>
      </c>
      <c r="P63" s="41" t="n">
        <v>3.67225561918503</v>
      </c>
      <c r="Q63" s="42" t="n">
        <v>2922.40749254227</v>
      </c>
      <c r="R63" s="43" t="n">
        <f aca="false">MAX(0,MIN(1,P63/100+$D$5))</f>
        <v>0.476551695216418</v>
      </c>
      <c r="S63" s="43" t="n">
        <v>0.0350597310944791</v>
      </c>
      <c r="T63" s="44" t="s">
        <v>97</v>
      </c>
    </row>
    <row r="64" customFormat="false" ht="15" hidden="false" customHeight="false" outlineLevel="0" collapsed="false">
      <c r="A64" s="38" t="s">
        <v>146</v>
      </c>
      <c r="B64" s="38" t="s">
        <v>148</v>
      </c>
      <c r="C64" s="38" t="s">
        <v>89</v>
      </c>
      <c r="D64" s="21" t="n">
        <f aca="false">ROUND(Q64*R64,0)</f>
        <v>897</v>
      </c>
      <c r="E64" s="21" t="n">
        <f aca="false">ROUND(Q64,0)-D64</f>
        <v>1108</v>
      </c>
      <c r="F64" s="21" t="n">
        <f aca="false">IF(COUNTA(D64:E64)=0,"",SUM(D64:E64))</f>
        <v>2005</v>
      </c>
      <c r="G64" s="39" t="n">
        <f aca="false">IF(OR(F64="",F64=0),"",D64/F64)</f>
        <v>0.447381546134663</v>
      </c>
      <c r="H64" s="39" t="n">
        <f aca="false">IF(OR(F64="",F64=0),"",E64/F64)</f>
        <v>0.552618453865337</v>
      </c>
      <c r="I64" s="38" t="s">
        <v>90</v>
      </c>
      <c r="J64" s="40" t="n">
        <v>1.379737565379</v>
      </c>
      <c r="K64" s="39" t="n">
        <f aca="false">IF(G64="","",MAX(0,G64-J64/100))</f>
        <v>0.433584170480873</v>
      </c>
      <c r="L64" s="39" t="n">
        <f aca="false">IF(G64="","",MIN(1,G64+J64/100))</f>
        <v>0.461178921788453</v>
      </c>
      <c r="M64" s="21" t="n">
        <f aca="false">ROUND(Q64*S64,0)</f>
        <v>70</v>
      </c>
      <c r="N64" s="21" t="n">
        <f aca="false">ROUND(SQRT((F64*J64/100)^2+(G64*M64)^2),0)</f>
        <v>42</v>
      </c>
      <c r="P64" s="41" t="n">
        <v>0.734533616234618</v>
      </c>
      <c r="Q64" s="42" t="n">
        <v>2005.34164298527</v>
      </c>
      <c r="R64" s="43" t="n">
        <f aca="false">MAX(0,MIN(1,P64/100+$D$5))</f>
        <v>0.447174475186914</v>
      </c>
      <c r="S64" s="43" t="n">
        <v>0.0350597310944791</v>
      </c>
      <c r="T64" s="44" t="s">
        <v>97</v>
      </c>
    </row>
    <row r="65" customFormat="false" ht="15" hidden="false" customHeight="false" outlineLevel="0" collapsed="false">
      <c r="A65" s="38" t="s">
        <v>146</v>
      </c>
      <c r="B65" s="38" t="s">
        <v>149</v>
      </c>
      <c r="C65" s="38" t="s">
        <v>89</v>
      </c>
      <c r="D65" s="21" t="n">
        <f aca="false">ROUND(Q65*R65,0)</f>
        <v>529</v>
      </c>
      <c r="E65" s="21" t="n">
        <f aca="false">ROUND(Q65,0)-D65</f>
        <v>525</v>
      </c>
      <c r="F65" s="21" t="n">
        <f aca="false">IF(COUNTA(D65:E65)=0,"",SUM(D65:E65))</f>
        <v>1054</v>
      </c>
      <c r="G65" s="39" t="n">
        <f aca="false">IF(OR(F65="",F65=0),"",D65/F65)</f>
        <v>0.501897533206831</v>
      </c>
      <c r="H65" s="39" t="n">
        <f aca="false">IF(OR(F65="",F65=0),"",E65/F65)</f>
        <v>0.498102466793169</v>
      </c>
      <c r="I65" s="38" t="s">
        <v>90</v>
      </c>
      <c r="J65" s="40" t="n">
        <v>2.46414572893645</v>
      </c>
      <c r="K65" s="39" t="n">
        <f aca="false">IF(G65="","",MAX(0,G65-J65/100))</f>
        <v>0.477256075917467</v>
      </c>
      <c r="L65" s="39" t="n">
        <f aca="false">IF(G65="","",MIN(1,G65+J65/100))</f>
        <v>0.526538990496196</v>
      </c>
      <c r="M65" s="21" t="n">
        <f aca="false">ROUND(Q65*S65,0)</f>
        <v>148</v>
      </c>
      <c r="N65" s="21" t="n">
        <f aca="false">ROUND(SQRT((F65*J65/100)^2+(G65*M65)^2),0)</f>
        <v>79</v>
      </c>
      <c r="P65" s="41" t="n">
        <v>6.19537193790134</v>
      </c>
      <c r="Q65" s="42" t="n">
        <v>1053.79262281662</v>
      </c>
      <c r="R65" s="43" t="n">
        <f aca="false">MAX(0,MIN(1,P65/100+$D$5))</f>
        <v>0.501782858403582</v>
      </c>
      <c r="S65" s="43" t="n">
        <v>0.140730607711166</v>
      </c>
      <c r="T65" s="44" t="s">
        <v>91</v>
      </c>
    </row>
    <row r="66" customFormat="false" ht="15" hidden="false" customHeight="false" outlineLevel="0" collapsed="false">
      <c r="A66" s="38" t="s">
        <v>146</v>
      </c>
      <c r="B66" s="38" t="s">
        <v>119</v>
      </c>
      <c r="C66" s="38" t="s">
        <v>89</v>
      </c>
      <c r="D66" s="21" t="n">
        <f aca="false">ROUND(Q66*R66,0)</f>
        <v>13777</v>
      </c>
      <c r="E66" s="21" t="n">
        <f aca="false">ROUND(Q66,0)-D66</f>
        <v>5084</v>
      </c>
      <c r="F66" s="21" t="n">
        <f aca="false">IF(COUNTA(D66:E66)=0,"",SUM(D66:E66))</f>
        <v>18861</v>
      </c>
      <c r="G66" s="39" t="n">
        <f aca="false">IF(OR(F66="",F66=0),"",D66/F66)</f>
        <v>0.730449074810455</v>
      </c>
      <c r="H66" s="39" t="n">
        <f aca="false">IF(OR(F66="",F66=0),"",E66/F66)</f>
        <v>0.269550925189545</v>
      </c>
      <c r="I66" s="38" t="s">
        <v>90</v>
      </c>
      <c r="J66" s="40" t="n">
        <v>1.54340705695521</v>
      </c>
      <c r="K66" s="39" t="n">
        <f aca="false">IF(G66="","",MAX(0,G66-J66/100))</f>
        <v>0.715015004240903</v>
      </c>
      <c r="L66" s="39" t="n">
        <f aca="false">IF(G66="","",MIN(1,G66+J66/100))</f>
        <v>0.745883145380008</v>
      </c>
      <c r="M66" s="21" t="n">
        <f aca="false">ROUND(Q66*S66,0)</f>
        <v>869</v>
      </c>
      <c r="N66" s="21" t="n">
        <f aca="false">ROUND(SQRT((F66*J66/100)^2+(G66*M66)^2),0)</f>
        <v>698</v>
      </c>
      <c r="P66" s="41" t="n">
        <v>29.0614087033459</v>
      </c>
      <c r="Q66" s="42" t="n">
        <v>18860.529571746</v>
      </c>
      <c r="R66" s="43" t="n">
        <f aca="false">MAX(0,MIN(1,P66/100+$D$5))</f>
        <v>0.730443226058027</v>
      </c>
      <c r="S66" s="43" t="n">
        <v>0.0460569330366088</v>
      </c>
      <c r="T66" s="44" t="s">
        <v>111</v>
      </c>
    </row>
    <row r="67" customFormat="false" ht="15" hidden="false" customHeight="false" outlineLevel="0" collapsed="false">
      <c r="A67" s="38" t="s">
        <v>146</v>
      </c>
      <c r="B67" s="38" t="s">
        <v>150</v>
      </c>
      <c r="C67" s="38" t="s">
        <v>89</v>
      </c>
      <c r="D67" s="21" t="n">
        <f aca="false">ROUND(Q67*R67,0)</f>
        <v>7510</v>
      </c>
      <c r="E67" s="21" t="n">
        <f aca="false">ROUND(Q67,0)-D67</f>
        <v>5849</v>
      </c>
      <c r="F67" s="21" t="n">
        <f aca="false">IF(COUNTA(D67:E67)=0,"",SUM(D67:E67))</f>
        <v>13359</v>
      </c>
      <c r="G67" s="39" t="n">
        <f aca="false">IF(OR(F67="",F67=0),"",D67/F67)</f>
        <v>0.562167826933154</v>
      </c>
      <c r="H67" s="39" t="n">
        <f aca="false">IF(OR(F67="",F67=0),"",E67/F67)</f>
        <v>0.437832173066846</v>
      </c>
      <c r="I67" s="38" t="s">
        <v>90</v>
      </c>
      <c r="J67" s="40" t="n">
        <v>1.54340705695521</v>
      </c>
      <c r="K67" s="39" t="n">
        <f aca="false">IF(G67="","",MAX(0,G67-J67/100))</f>
        <v>0.546733756363602</v>
      </c>
      <c r="L67" s="39" t="n">
        <f aca="false">IF(G67="","",MIN(1,G67+J67/100))</f>
        <v>0.577601897502706</v>
      </c>
      <c r="M67" s="21" t="n">
        <f aca="false">ROUND(Q67*S67,0)</f>
        <v>615</v>
      </c>
      <c r="N67" s="21" t="n">
        <f aca="false">ROUND(SQRT((F67*J67/100)^2+(G67*M67)^2),0)</f>
        <v>403</v>
      </c>
      <c r="P67" s="41" t="n">
        <v>12.2337309636198</v>
      </c>
      <c r="Q67" s="42" t="n">
        <v>13358.564403744</v>
      </c>
      <c r="R67" s="43" t="n">
        <f aca="false">MAX(0,MIN(1,P67/100+$D$5))</f>
        <v>0.562166448660766</v>
      </c>
      <c r="S67" s="43" t="n">
        <v>0.0460569330366088</v>
      </c>
      <c r="T67" s="44" t="s">
        <v>111</v>
      </c>
    </row>
    <row r="68" customFormat="false" ht="15" hidden="false" customHeight="false" outlineLevel="0" collapsed="false">
      <c r="A68" s="38" t="s">
        <v>146</v>
      </c>
      <c r="B68" s="38" t="s">
        <v>151</v>
      </c>
      <c r="C68" s="38" t="s">
        <v>89</v>
      </c>
      <c r="D68" s="21" t="n">
        <f aca="false">ROUND(Q68*R68,0)</f>
        <v>2012</v>
      </c>
      <c r="E68" s="21" t="n">
        <f aca="false">ROUND(Q68,0)-D68</f>
        <v>2850</v>
      </c>
      <c r="F68" s="21" t="n">
        <f aca="false">IF(COUNTA(D68:E68)=0,"",SUM(D68:E68))</f>
        <v>4862</v>
      </c>
      <c r="G68" s="39" t="n">
        <f aca="false">IF(OR(F68="",F68=0),"",D68/F68)</f>
        <v>0.413821472645002</v>
      </c>
      <c r="H68" s="39" t="n">
        <f aca="false">IF(OR(F68="",F68=0),"",E68/F68)</f>
        <v>0.586178527354998</v>
      </c>
      <c r="I68" s="38" t="s">
        <v>90</v>
      </c>
      <c r="J68" s="40" t="n">
        <v>1.54340705695521</v>
      </c>
      <c r="K68" s="39" t="n">
        <f aca="false">IF(G68="","",MAX(0,G68-J68/100))</f>
        <v>0.39838740207545</v>
      </c>
      <c r="L68" s="39" t="n">
        <f aca="false">IF(G68="","",MIN(1,G68+J68/100))</f>
        <v>0.429255543214554</v>
      </c>
      <c r="M68" s="21" t="n">
        <f aca="false">ROUND(Q68*S68,0)</f>
        <v>224</v>
      </c>
      <c r="N68" s="21" t="n">
        <f aca="false">ROUND(SQRT((F68*J68/100)^2+(G68*M68)^2),0)</f>
        <v>119</v>
      </c>
      <c r="P68" s="41" t="n">
        <v>-2.59951689503037</v>
      </c>
      <c r="Q68" s="42" t="n">
        <v>4862.09401233674</v>
      </c>
      <c r="R68" s="43" t="n">
        <f aca="false">MAX(0,MIN(1,P68/100+$D$5))</f>
        <v>0.413833970074264</v>
      </c>
      <c r="S68" s="43" t="n">
        <v>0.0460569330366088</v>
      </c>
      <c r="T68" s="44" t="s">
        <v>111</v>
      </c>
    </row>
    <row r="69" customFormat="false" ht="15" hidden="false" customHeight="false" outlineLevel="0" collapsed="false">
      <c r="A69" s="38" t="s">
        <v>146</v>
      </c>
      <c r="B69" s="38" t="s">
        <v>152</v>
      </c>
      <c r="C69" s="38" t="s">
        <v>89</v>
      </c>
      <c r="D69" s="21" t="n">
        <f aca="false">ROUND(Q69*R69,0)</f>
        <v>38</v>
      </c>
      <c r="E69" s="21" t="n">
        <f aca="false">ROUND(Q69,0)-D69</f>
        <v>63</v>
      </c>
      <c r="F69" s="21" t="n">
        <f aca="false">IF(COUNTA(D69:E69)=0,"",SUM(D69:E69))</f>
        <v>101</v>
      </c>
      <c r="G69" s="39" t="n">
        <f aca="false">IF(OR(F69="",F69=0),"",D69/F69)</f>
        <v>0.376237623762376</v>
      </c>
      <c r="H69" s="39" t="n">
        <f aca="false">IF(OR(F69="",F69=0),"",E69/F69)</f>
        <v>0.623762376237624</v>
      </c>
      <c r="I69" s="38" t="s">
        <v>90</v>
      </c>
      <c r="J69" s="40" t="n">
        <v>2.46414572893645</v>
      </c>
      <c r="K69" s="39" t="n">
        <f aca="false">IF(G69="","",MAX(0,G69-J69/100))</f>
        <v>0.351596166473012</v>
      </c>
      <c r="L69" s="39" t="n">
        <f aca="false">IF(G69="","",MIN(1,G69+J69/100))</f>
        <v>0.400879081051741</v>
      </c>
      <c r="M69" s="21" t="n">
        <f aca="false">ROUND(Q69*S69,0)</f>
        <v>14</v>
      </c>
      <c r="N69" s="21" t="n">
        <f aca="false">ROUND(SQRT((F69*J69/100)^2+(G69*M69)^2),0)</f>
        <v>6</v>
      </c>
      <c r="P69" s="41" t="n">
        <v>-6.1842403899122</v>
      </c>
      <c r="Q69" s="42" t="n">
        <v>100.514430133339</v>
      </c>
      <c r="R69" s="43" t="n">
        <f aca="false">MAX(0,MIN(1,P69/100+$D$5))</f>
        <v>0.377986735125446</v>
      </c>
      <c r="S69" s="43" t="n">
        <v>0.140730607711166</v>
      </c>
      <c r="T69" s="44" t="s">
        <v>91</v>
      </c>
    </row>
    <row r="70" customFormat="false" ht="15" hidden="false" customHeight="false" outlineLevel="0" collapsed="false">
      <c r="A70" s="38" t="s">
        <v>146</v>
      </c>
      <c r="B70" s="38" t="s">
        <v>153</v>
      </c>
      <c r="C70" s="38" t="s">
        <v>89</v>
      </c>
      <c r="D70" s="21" t="n">
        <f aca="false">ROUND(Q70*R70,0)</f>
        <v>1312</v>
      </c>
      <c r="E70" s="21" t="n">
        <f aca="false">ROUND(Q70,0)-D70</f>
        <v>1536</v>
      </c>
      <c r="F70" s="21" t="n">
        <f aca="false">IF(COUNTA(D70:E70)=0,"",SUM(D70:E70))</f>
        <v>2848</v>
      </c>
      <c r="G70" s="39" t="n">
        <f aca="false">IF(OR(F70="",F70=0),"",D70/F70)</f>
        <v>0.460674157303371</v>
      </c>
      <c r="H70" s="39" t="n">
        <f aca="false">IF(OR(F70="",F70=0),"",E70/F70)</f>
        <v>0.539325842696629</v>
      </c>
      <c r="I70" s="38" t="s">
        <v>90</v>
      </c>
      <c r="J70" s="40" t="n">
        <v>1.379737565379</v>
      </c>
      <c r="K70" s="39" t="n">
        <f aca="false">IF(G70="","",MAX(0,G70-J70/100))</f>
        <v>0.446876781649581</v>
      </c>
      <c r="L70" s="39" t="n">
        <f aca="false">IF(G70="","",MIN(1,G70+J70/100))</f>
        <v>0.474471532957161</v>
      </c>
      <c r="M70" s="21" t="n">
        <f aca="false">ROUND(Q70*S70,0)</f>
        <v>100</v>
      </c>
      <c r="N70" s="21" t="n">
        <f aca="false">ROUND(SQRT((F70*J70/100)^2+(G70*M70)^2),0)</f>
        <v>61</v>
      </c>
      <c r="P70" s="41" t="n">
        <v>2.07641701776665</v>
      </c>
      <c r="Q70" s="42" t="n">
        <v>2848.26234348041</v>
      </c>
      <c r="R70" s="43" t="n">
        <f aca="false">MAX(0,MIN(1,P70/100+$D$5))</f>
        <v>0.460593309202235</v>
      </c>
      <c r="S70" s="43" t="n">
        <v>0.0350597310944791</v>
      </c>
      <c r="T70" s="44" t="s">
        <v>97</v>
      </c>
    </row>
    <row r="71" customFormat="false" ht="15" hidden="false" customHeight="false" outlineLevel="0" collapsed="false">
      <c r="A71" s="38" t="s">
        <v>146</v>
      </c>
      <c r="B71" s="38" t="s">
        <v>154</v>
      </c>
      <c r="C71" s="38" t="s">
        <v>89</v>
      </c>
      <c r="D71" s="21" t="n">
        <f aca="false">ROUND(Q71*R71,0)</f>
        <v>166</v>
      </c>
      <c r="E71" s="21" t="n">
        <f aca="false">ROUND(Q71,0)-D71</f>
        <v>222</v>
      </c>
      <c r="F71" s="21" t="n">
        <f aca="false">IF(COUNTA(D71:E71)=0,"",SUM(D71:E71))</f>
        <v>388</v>
      </c>
      <c r="G71" s="39" t="n">
        <f aca="false">IF(OR(F71="",F71=0),"",D71/F71)</f>
        <v>0.427835051546392</v>
      </c>
      <c r="H71" s="39" t="n">
        <f aca="false">IF(OR(F71="",F71=0),"",E71/F71)</f>
        <v>0.572164948453608</v>
      </c>
      <c r="I71" s="38" t="s">
        <v>90</v>
      </c>
      <c r="J71" s="40" t="n">
        <v>2.46414572893645</v>
      </c>
      <c r="K71" s="39" t="n">
        <f aca="false">IF(G71="","",MAX(0,G71-J71/100))</f>
        <v>0.403193594257027</v>
      </c>
      <c r="L71" s="39" t="n">
        <f aca="false">IF(G71="","",MIN(1,G71+J71/100))</f>
        <v>0.452476508835756</v>
      </c>
      <c r="M71" s="21" t="n">
        <f aca="false">ROUND(Q71*S71,0)</f>
        <v>55</v>
      </c>
      <c r="N71" s="21" t="n">
        <f aca="false">ROUND(SQRT((F71*J71/100)^2+(G71*M71)^2),0)</f>
        <v>25</v>
      </c>
      <c r="P71" s="41" t="n">
        <v>-1.35055860191255</v>
      </c>
      <c r="Q71" s="42" t="n">
        <v>388.490101355888</v>
      </c>
      <c r="R71" s="43" t="n">
        <f aca="false">MAX(0,MIN(1,P71/100+$D$5))</f>
        <v>0.426323553005443</v>
      </c>
      <c r="S71" s="43" t="n">
        <v>0.140730607711166</v>
      </c>
      <c r="T71" s="44" t="s">
        <v>91</v>
      </c>
    </row>
    <row r="72" customFormat="false" ht="15" hidden="false" customHeight="false" outlineLevel="0" collapsed="false">
      <c r="A72" s="38" t="s">
        <v>146</v>
      </c>
      <c r="B72" s="38" t="s">
        <v>155</v>
      </c>
      <c r="C72" s="38" t="s">
        <v>89</v>
      </c>
      <c r="D72" s="21" t="n">
        <f aca="false">ROUND(Q72*R72,0)</f>
        <v>6015</v>
      </c>
      <c r="E72" s="21" t="n">
        <f aca="false">ROUND(Q72,0)-D72</f>
        <v>2052</v>
      </c>
      <c r="F72" s="21" t="n">
        <f aca="false">IF(COUNTA(D72:E72)=0,"",SUM(D72:E72))</f>
        <v>8067</v>
      </c>
      <c r="G72" s="39" t="n">
        <f aca="false">IF(OR(F72="",F72=0),"",D72/F72)</f>
        <v>0.745630345853477</v>
      </c>
      <c r="H72" s="39" t="n">
        <f aca="false">IF(OR(F72="",F72=0),"",E72/F72)</f>
        <v>0.254369654146523</v>
      </c>
      <c r="I72" s="38" t="s">
        <v>90</v>
      </c>
      <c r="J72" s="40" t="n">
        <v>1.54340705695521</v>
      </c>
      <c r="K72" s="39" t="n">
        <f aca="false">IF(G72="","",MAX(0,G72-J72/100))</f>
        <v>0.730196275283925</v>
      </c>
      <c r="L72" s="39" t="n">
        <f aca="false">IF(G72="","",MIN(1,G72+J72/100))</f>
        <v>0.761064416423029</v>
      </c>
      <c r="M72" s="21" t="n">
        <f aca="false">ROUND(Q72*S72,0)</f>
        <v>372</v>
      </c>
      <c r="N72" s="21" t="n">
        <f aca="false">ROUND(SQRT((F72*J72/100)^2+(G72*M72)^2),0)</f>
        <v>304</v>
      </c>
      <c r="P72" s="41" t="n">
        <v>30.5759185239968</v>
      </c>
      <c r="Q72" s="42" t="n">
        <v>8067.41381010197</v>
      </c>
      <c r="R72" s="43" t="n">
        <f aca="false">MAX(0,MIN(1,P72/100+$D$5))</f>
        <v>0.745588324264536</v>
      </c>
      <c r="S72" s="43" t="n">
        <v>0.0460569330366088</v>
      </c>
      <c r="T72" s="44" t="s">
        <v>111</v>
      </c>
    </row>
    <row r="73" customFormat="false" ht="15" hidden="false" customHeight="false" outlineLevel="0" collapsed="false">
      <c r="A73" s="38" t="s">
        <v>146</v>
      </c>
      <c r="B73" s="38" t="s">
        <v>156</v>
      </c>
      <c r="C73" s="38" t="s">
        <v>89</v>
      </c>
      <c r="D73" s="21" t="n">
        <f aca="false">ROUND(Q73*R73,0)</f>
        <v>4717</v>
      </c>
      <c r="E73" s="21" t="n">
        <f aca="false">ROUND(Q73,0)-D73</f>
        <v>3811</v>
      </c>
      <c r="F73" s="21" t="n">
        <f aca="false">IF(COUNTA(D73:E73)=0,"",SUM(D73:E73))</f>
        <v>8528</v>
      </c>
      <c r="G73" s="39" t="n">
        <f aca="false">IF(OR(F73="",F73=0),"",D73/F73)</f>
        <v>0.5531191369606</v>
      </c>
      <c r="H73" s="39" t="n">
        <f aca="false">IF(OR(F73="",F73=0),"",E73/F73)</f>
        <v>0.4468808630394</v>
      </c>
      <c r="I73" s="38" t="s">
        <v>90</v>
      </c>
      <c r="J73" s="40" t="n">
        <v>1.54340705695521</v>
      </c>
      <c r="K73" s="39" t="n">
        <f aca="false">IF(G73="","",MAX(0,G73-J73/100))</f>
        <v>0.537685066391048</v>
      </c>
      <c r="L73" s="39" t="n">
        <f aca="false">IF(G73="","",MIN(1,G73+J73/100))</f>
        <v>0.568553207530153</v>
      </c>
      <c r="M73" s="21" t="n">
        <f aca="false">ROUND(Q73*S73,0)</f>
        <v>393</v>
      </c>
      <c r="N73" s="21" t="n">
        <f aca="false">ROUND(SQRT((F73*J73/100)^2+(G73*M73)^2),0)</f>
        <v>254</v>
      </c>
      <c r="P73" s="41" t="n">
        <v>11.3376891941974</v>
      </c>
      <c r="Q73" s="42" t="n">
        <v>8527.55538569851</v>
      </c>
      <c r="R73" s="43" t="n">
        <f aca="false">MAX(0,MIN(1,P73/100+$D$5))</f>
        <v>0.553206030966542</v>
      </c>
      <c r="S73" s="43" t="n">
        <v>0.0460569330366088</v>
      </c>
      <c r="T73" s="44" t="s">
        <v>111</v>
      </c>
    </row>
    <row r="74" customFormat="false" ht="15" hidden="false" customHeight="false" outlineLevel="0" collapsed="false">
      <c r="A74" s="38" t="s">
        <v>146</v>
      </c>
      <c r="B74" s="38" t="s">
        <v>157</v>
      </c>
      <c r="C74" s="38" t="s">
        <v>89</v>
      </c>
      <c r="D74" s="21" t="n">
        <f aca="false">ROUND(Q74*R74,0)</f>
        <v>522</v>
      </c>
      <c r="E74" s="21" t="n">
        <f aca="false">ROUND(Q74,0)-D74</f>
        <v>297</v>
      </c>
      <c r="F74" s="21" t="n">
        <f aca="false">IF(COUNTA(D74:E74)=0,"",SUM(D74:E74))</f>
        <v>819</v>
      </c>
      <c r="G74" s="39" t="n">
        <f aca="false">IF(OR(F74="",F74=0),"",D74/F74)</f>
        <v>0.637362637362637</v>
      </c>
      <c r="H74" s="39" t="n">
        <f aca="false">IF(OR(F74="",F74=0),"",E74/F74)</f>
        <v>0.362637362637363</v>
      </c>
      <c r="I74" s="38" t="s">
        <v>90</v>
      </c>
      <c r="J74" s="40" t="n">
        <v>2.46414572893645</v>
      </c>
      <c r="K74" s="39" t="n">
        <f aca="false">IF(G74="","",MAX(0,G74-J74/100))</f>
        <v>0.612721180073273</v>
      </c>
      <c r="L74" s="39" t="n">
        <f aca="false">IF(G74="","",MIN(1,G74+J74/100))</f>
        <v>0.662004094652002</v>
      </c>
      <c r="M74" s="21" t="n">
        <f aca="false">ROUND(Q74*S74,0)</f>
        <v>115</v>
      </c>
      <c r="N74" s="21" t="n">
        <f aca="false">ROUND(SQRT((F74*J74/100)^2+(G74*M74)^2),0)</f>
        <v>76</v>
      </c>
      <c r="P74" s="41" t="n">
        <v>19.6893921140015</v>
      </c>
      <c r="Q74" s="42" t="n">
        <v>819.401009386613</v>
      </c>
      <c r="R74" s="43" t="n">
        <f aca="false">MAX(0,MIN(1,P74/100+$D$5))</f>
        <v>0.636723060164583</v>
      </c>
      <c r="S74" s="43" t="n">
        <v>0.140730607711166</v>
      </c>
      <c r="T74" s="44" t="s">
        <v>91</v>
      </c>
    </row>
    <row r="75" customFormat="false" ht="15" hidden="false" customHeight="false" outlineLevel="0" collapsed="false">
      <c r="A75" s="38" t="s">
        <v>146</v>
      </c>
      <c r="B75" s="38" t="s">
        <v>158</v>
      </c>
      <c r="C75" s="38" t="s">
        <v>89</v>
      </c>
      <c r="D75" s="21" t="n">
        <f aca="false">ROUND(Q75*R75,0)</f>
        <v>84</v>
      </c>
      <c r="E75" s="21" t="n">
        <f aca="false">ROUND(Q75,0)-D75</f>
        <v>68</v>
      </c>
      <c r="F75" s="21" t="n">
        <f aca="false">IF(COUNTA(D75:E75)=0,"",SUM(D75:E75))</f>
        <v>152</v>
      </c>
      <c r="G75" s="39" t="n">
        <f aca="false">IF(OR(F75="",F75=0),"",D75/F75)</f>
        <v>0.552631578947369</v>
      </c>
      <c r="H75" s="39" t="n">
        <f aca="false">IF(OR(F75="",F75=0),"",E75/F75)</f>
        <v>0.447368421052632</v>
      </c>
      <c r="I75" s="38" t="s">
        <v>90</v>
      </c>
      <c r="J75" s="40" t="n">
        <v>2.46414572893645</v>
      </c>
      <c r="K75" s="39" t="n">
        <f aca="false">IF(G75="","",MAX(0,G75-J75/100))</f>
        <v>0.527990121658004</v>
      </c>
      <c r="L75" s="39" t="n">
        <f aca="false">IF(G75="","",MIN(1,G75+J75/100))</f>
        <v>0.577273036236733</v>
      </c>
      <c r="M75" s="21" t="n">
        <f aca="false">ROUND(Q75*S75,0)</f>
        <v>21</v>
      </c>
      <c r="N75" s="21" t="n">
        <f aca="false">ROUND(SQRT((F75*J75/100)^2+(G75*M75)^2),0)</f>
        <v>12</v>
      </c>
      <c r="P75" s="41" t="n">
        <v>10.9116351831094</v>
      </c>
      <c r="Q75" s="42" t="n">
        <v>152.446377864121</v>
      </c>
      <c r="R75" s="43" t="n">
        <f aca="false">MAX(0,MIN(1,P75/100+$D$5))</f>
        <v>0.548945490855663</v>
      </c>
      <c r="S75" s="43" t="n">
        <v>0.140730607711166</v>
      </c>
      <c r="T75" s="44" t="s">
        <v>91</v>
      </c>
    </row>
    <row r="76" customFormat="false" ht="15" hidden="false" customHeight="false" outlineLevel="0" collapsed="false">
      <c r="A76" s="38" t="s">
        <v>146</v>
      </c>
      <c r="B76" s="38" t="s">
        <v>125</v>
      </c>
      <c r="C76" s="38" t="s">
        <v>89</v>
      </c>
      <c r="D76" s="21" t="n">
        <f aca="false">ROUND(Q76*R76,0)</f>
        <v>3903</v>
      </c>
      <c r="E76" s="21" t="n">
        <f aca="false">ROUND(Q76,0)-D76</f>
        <v>2982</v>
      </c>
      <c r="F76" s="21" t="n">
        <f aca="false">IF(COUNTA(D76:E76)=0,"",SUM(D76:E76))</f>
        <v>6885</v>
      </c>
      <c r="G76" s="39" t="n">
        <f aca="false">IF(OR(F76="",F76=0),"",D76/F76)</f>
        <v>0.566884531590414</v>
      </c>
      <c r="H76" s="39" t="n">
        <f aca="false">IF(OR(F76="",F76=0),"",E76/F76)</f>
        <v>0.433115468409586</v>
      </c>
      <c r="I76" s="38" t="s">
        <v>90</v>
      </c>
      <c r="J76" s="40" t="n">
        <v>1.54340705695521</v>
      </c>
      <c r="K76" s="39" t="n">
        <f aca="false">IF(G76="","",MAX(0,G76-J76/100))</f>
        <v>0.551450461020862</v>
      </c>
      <c r="L76" s="39" t="n">
        <f aca="false">IF(G76="","",MIN(1,G76+J76/100))</f>
        <v>0.582318602159966</v>
      </c>
      <c r="M76" s="21" t="n">
        <f aca="false">ROUND(Q76*S76,0)</f>
        <v>317</v>
      </c>
      <c r="N76" s="21" t="n">
        <f aca="false">ROUND(SQRT((F76*J76/100)^2+(G76*M76)^2),0)</f>
        <v>209</v>
      </c>
      <c r="P76" s="41" t="n">
        <v>12.7001655092111</v>
      </c>
      <c r="Q76" s="42" t="n">
        <v>6885.09758552835</v>
      </c>
      <c r="R76" s="43" t="n">
        <f aca="false">MAX(0,MIN(1,P76/100+$D$5))</f>
        <v>0.566830794116679</v>
      </c>
      <c r="S76" s="43" t="n">
        <v>0.0460569330366088</v>
      </c>
      <c r="T76" s="44" t="s">
        <v>111</v>
      </c>
    </row>
    <row r="77" customFormat="false" ht="15" hidden="false" customHeight="false" outlineLevel="0" collapsed="false">
      <c r="A77" s="38" t="s">
        <v>146</v>
      </c>
      <c r="B77" s="38" t="s">
        <v>159</v>
      </c>
      <c r="C77" s="38" t="s">
        <v>89</v>
      </c>
      <c r="D77" s="21" t="n">
        <f aca="false">ROUND(Q77*R77,0)</f>
        <v>1533</v>
      </c>
      <c r="E77" s="21" t="n">
        <f aca="false">ROUND(Q77,0)-D77</f>
        <v>1258</v>
      </c>
      <c r="F77" s="21" t="n">
        <f aca="false">IF(COUNTA(D77:E77)=0,"",SUM(D77:E77))</f>
        <v>2791</v>
      </c>
      <c r="G77" s="39" t="n">
        <f aca="false">IF(OR(F77="",F77=0),"",D77/F77)</f>
        <v>0.549265496237908</v>
      </c>
      <c r="H77" s="39" t="n">
        <f aca="false">IF(OR(F77="",F77=0),"",E77/F77)</f>
        <v>0.450734503762092</v>
      </c>
      <c r="I77" s="38" t="s">
        <v>90</v>
      </c>
      <c r="J77" s="40" t="n">
        <v>1.379737565379</v>
      </c>
      <c r="K77" s="39" t="n">
        <f aca="false">IF(G77="","",MAX(0,G77-J77/100))</f>
        <v>0.535468120584118</v>
      </c>
      <c r="L77" s="39" t="n">
        <f aca="false">IF(G77="","",MIN(1,G77+J77/100))</f>
        <v>0.563062871891698</v>
      </c>
      <c r="M77" s="21" t="n">
        <f aca="false">ROUND(Q77*S77,0)</f>
        <v>98</v>
      </c>
      <c r="N77" s="21" t="n">
        <f aca="false">ROUND(SQRT((F77*J77/100)^2+(G77*M77)^2),0)</f>
        <v>66</v>
      </c>
      <c r="P77" s="41" t="n">
        <v>10.942646384398</v>
      </c>
      <c r="Q77" s="42" t="n">
        <v>2790.67260553873</v>
      </c>
      <c r="R77" s="43" t="n">
        <f aca="false">MAX(0,MIN(1,P77/100+$D$5))</f>
        <v>0.549255602868548</v>
      </c>
      <c r="S77" s="43" t="n">
        <v>0.0350597310944791</v>
      </c>
      <c r="T77" s="44" t="s">
        <v>97</v>
      </c>
    </row>
    <row r="78" customFormat="false" ht="15" hidden="false" customHeight="false" outlineLevel="0" collapsed="false">
      <c r="A78" s="38" t="s">
        <v>146</v>
      </c>
      <c r="B78" s="38" t="s">
        <v>160</v>
      </c>
      <c r="C78" s="38" t="s">
        <v>89</v>
      </c>
      <c r="D78" s="21" t="n">
        <f aca="false">ROUND(Q78*R78,0)</f>
        <v>2114</v>
      </c>
      <c r="E78" s="21" t="n">
        <f aca="false">ROUND(Q78,0)-D78</f>
        <v>3592</v>
      </c>
      <c r="F78" s="21" t="n">
        <f aca="false">IF(COUNTA(D78:E78)=0,"",SUM(D78:E78))</f>
        <v>5706</v>
      </c>
      <c r="G78" s="39" t="n">
        <f aca="false">IF(OR(F78="",F78=0),"",D78/F78)</f>
        <v>0.370487206449352</v>
      </c>
      <c r="H78" s="39" t="n">
        <f aca="false">IF(OR(F78="",F78=0),"",E78/F78)</f>
        <v>0.629512793550649</v>
      </c>
      <c r="I78" s="38" t="s">
        <v>90</v>
      </c>
      <c r="J78" s="40" t="n">
        <v>1.54340705695521</v>
      </c>
      <c r="K78" s="39" t="n">
        <f aca="false">IF(G78="","",MAX(0,G78-J78/100))</f>
        <v>0.3550531358798</v>
      </c>
      <c r="L78" s="39" t="n">
        <f aca="false">IF(G78="","",MIN(1,G78+J78/100))</f>
        <v>0.385921277018904</v>
      </c>
      <c r="M78" s="21" t="n">
        <f aca="false">ROUND(Q78*S78,0)</f>
        <v>263</v>
      </c>
      <c r="N78" s="21" t="n">
        <f aca="false">ROUND(SQRT((F78*J78/100)^2+(G78*M78)^2),0)</f>
        <v>131</v>
      </c>
      <c r="P78" s="41" t="n">
        <v>-6.93640752739933</v>
      </c>
      <c r="Q78" s="42" t="n">
        <v>5706.43368819785</v>
      </c>
      <c r="R78" s="43" t="n">
        <f aca="false">MAX(0,MIN(1,P78/100+$D$5))</f>
        <v>0.370465063750575</v>
      </c>
      <c r="S78" s="43" t="n">
        <v>0.0460569330366088</v>
      </c>
      <c r="T78" s="44" t="s">
        <v>111</v>
      </c>
    </row>
    <row r="79" customFormat="false" ht="15" hidden="false" customHeight="false" outlineLevel="0" collapsed="false">
      <c r="A79" s="38" t="s">
        <v>146</v>
      </c>
      <c r="B79" s="38" t="s">
        <v>161</v>
      </c>
      <c r="C79" s="38" t="s">
        <v>89</v>
      </c>
      <c r="D79" s="21" t="n">
        <f aca="false">ROUND(Q79*R79,0)</f>
        <v>562</v>
      </c>
      <c r="E79" s="21" t="n">
        <f aca="false">ROUND(Q79,0)-D79</f>
        <v>995</v>
      </c>
      <c r="F79" s="21" t="n">
        <f aca="false">IF(COUNTA(D79:E79)=0,"",SUM(D79:E79))</f>
        <v>1557</v>
      </c>
      <c r="G79" s="39" t="n">
        <f aca="false">IF(OR(F79="",F79=0),"",D79/F79)</f>
        <v>0.360950545921644</v>
      </c>
      <c r="H79" s="39" t="n">
        <f aca="false">IF(OR(F79="",F79=0),"",E79/F79)</f>
        <v>0.639049454078356</v>
      </c>
      <c r="I79" s="38" t="s">
        <v>90</v>
      </c>
      <c r="J79" s="40" t="n">
        <v>2.46414572893645</v>
      </c>
      <c r="K79" s="39" t="n">
        <f aca="false">IF(G79="","",MAX(0,G79-J79/100))</f>
        <v>0.33630908863228</v>
      </c>
      <c r="L79" s="39" t="n">
        <f aca="false">IF(G79="","",MIN(1,G79+J79/100))</f>
        <v>0.385592003211009</v>
      </c>
      <c r="M79" s="21" t="n">
        <f aca="false">ROUND(Q79*S79,0)</f>
        <v>219</v>
      </c>
      <c r="N79" s="21" t="n">
        <f aca="false">ROUND(SQRT((F79*J79/100)^2+(G79*M79)^2),0)</f>
        <v>88</v>
      </c>
      <c r="P79" s="41" t="n">
        <v>-7.88030463526672</v>
      </c>
      <c r="Q79" s="42" t="n">
        <v>1557.05702194441</v>
      </c>
      <c r="R79" s="43" t="n">
        <f aca="false">MAX(0,MIN(1,P79/100+$D$5))</f>
        <v>0.361026092671901</v>
      </c>
      <c r="S79" s="43" t="n">
        <v>0.140730607711166</v>
      </c>
      <c r="T79" s="44" t="s">
        <v>91</v>
      </c>
    </row>
    <row r="80" customFormat="false" ht="15" hidden="false" customHeight="false" outlineLevel="0" collapsed="false">
      <c r="A80" s="38" t="s">
        <v>146</v>
      </c>
      <c r="B80" s="38" t="s">
        <v>162</v>
      </c>
      <c r="C80" s="38" t="s">
        <v>89</v>
      </c>
      <c r="D80" s="21" t="n">
        <f aca="false">ROUND(Q80*R80,0)</f>
        <v>1917</v>
      </c>
      <c r="E80" s="21" t="n">
        <f aca="false">ROUND(Q80,0)-D80</f>
        <v>2077</v>
      </c>
      <c r="F80" s="21" t="n">
        <f aca="false">IF(COUNTA(D80:E80)=0,"",SUM(D80:E80))</f>
        <v>3994</v>
      </c>
      <c r="G80" s="39" t="n">
        <f aca="false">IF(OR(F80="",F80=0),"",D80/F80)</f>
        <v>0.479969954932399</v>
      </c>
      <c r="H80" s="39" t="n">
        <f aca="false">IF(OR(F80="",F80=0),"",E80/F80)</f>
        <v>0.520030045067601</v>
      </c>
      <c r="I80" s="38" t="s">
        <v>90</v>
      </c>
      <c r="J80" s="40" t="n">
        <v>1.54340705695521</v>
      </c>
      <c r="K80" s="39" t="n">
        <f aca="false">IF(G80="","",MAX(0,G80-J80/100))</f>
        <v>0.464535884362847</v>
      </c>
      <c r="L80" s="39" t="n">
        <f aca="false">IF(G80="","",MIN(1,G80+J80/100))</f>
        <v>0.495404025501951</v>
      </c>
      <c r="M80" s="21" t="n">
        <f aca="false">ROUND(Q80*S80,0)</f>
        <v>184</v>
      </c>
      <c r="N80" s="21" t="n">
        <f aca="false">ROUND(SQRT((F80*J80/100)^2+(G80*M80)^2),0)</f>
        <v>108</v>
      </c>
      <c r="P80" s="41" t="n">
        <v>4.00106395065495</v>
      </c>
      <c r="Q80" s="42" t="n">
        <v>3994.32106389786</v>
      </c>
      <c r="R80" s="43" t="n">
        <f aca="false">MAX(0,MIN(1,P80/100+$D$5))</f>
        <v>0.479839778531118</v>
      </c>
      <c r="S80" s="43" t="n">
        <v>0.0460569330366088</v>
      </c>
      <c r="T80" s="44" t="s">
        <v>111</v>
      </c>
    </row>
    <row r="81" customFormat="false" ht="15" hidden="false" customHeight="false" outlineLevel="0" collapsed="false">
      <c r="A81" s="38" t="s">
        <v>146</v>
      </c>
      <c r="B81" s="38" t="s">
        <v>163</v>
      </c>
      <c r="C81" s="38" t="s">
        <v>89</v>
      </c>
      <c r="D81" s="21" t="n">
        <f aca="false">ROUND(Q81*R81,0)</f>
        <v>3667</v>
      </c>
      <c r="E81" s="21" t="n">
        <f aca="false">ROUND(Q81,0)-D81</f>
        <v>3469</v>
      </c>
      <c r="F81" s="21" t="n">
        <f aca="false">IF(COUNTA(D81:E81)=0,"",SUM(D81:E81))</f>
        <v>7136</v>
      </c>
      <c r="G81" s="39" t="n">
        <f aca="false">IF(OR(F81="",F81=0),"",D81/F81)</f>
        <v>0.51387331838565</v>
      </c>
      <c r="H81" s="39" t="n">
        <f aca="false">IF(OR(F81="",F81=0),"",E81/F81)</f>
        <v>0.48612668161435</v>
      </c>
      <c r="I81" s="38" t="s">
        <v>90</v>
      </c>
      <c r="J81" s="40" t="n">
        <v>1.54340705695521</v>
      </c>
      <c r="K81" s="39" t="n">
        <f aca="false">IF(G81="","",MAX(0,G81-J81/100))</f>
        <v>0.498439247816098</v>
      </c>
      <c r="L81" s="39" t="n">
        <f aca="false">IF(G81="","",MIN(1,G81+J81/100))</f>
        <v>0.529307388955202</v>
      </c>
      <c r="M81" s="21" t="n">
        <f aca="false">ROUND(Q81*S81,0)</f>
        <v>329</v>
      </c>
      <c r="N81" s="21" t="n">
        <f aca="false">ROUND(SQRT((F81*J81/100)^2+(G81*M81)^2),0)</f>
        <v>202</v>
      </c>
      <c r="P81" s="41" t="n">
        <v>7.41166492492561</v>
      </c>
      <c r="Q81" s="42" t="n">
        <v>7135.74258031404</v>
      </c>
      <c r="R81" s="43" t="n">
        <f aca="false">MAX(0,MIN(1,P81/100+$D$5))</f>
        <v>0.513945788273824</v>
      </c>
      <c r="S81" s="43" t="n">
        <v>0.0460569330366088</v>
      </c>
      <c r="T81" s="44" t="s">
        <v>111</v>
      </c>
    </row>
    <row r="82" customFormat="false" ht="15" hidden="false" customHeight="false" outlineLevel="0" collapsed="false">
      <c r="A82" s="38" t="s">
        <v>146</v>
      </c>
      <c r="B82" s="38" t="s">
        <v>164</v>
      </c>
      <c r="C82" s="38" t="s">
        <v>89</v>
      </c>
      <c r="D82" s="21" t="n">
        <f aca="false">ROUND(Q82*R82,0)</f>
        <v>1934</v>
      </c>
      <c r="E82" s="21" t="n">
        <f aca="false">ROUND(Q82,0)-D82</f>
        <v>3360</v>
      </c>
      <c r="F82" s="21" t="n">
        <f aca="false">IF(COUNTA(D82:E82)=0,"",SUM(D82:E82))</f>
        <v>5294</v>
      </c>
      <c r="G82" s="39" t="n">
        <f aca="false">IF(OR(F82="",F82=0),"",D82/F82)</f>
        <v>0.365319229316207</v>
      </c>
      <c r="H82" s="39" t="n">
        <f aca="false">IF(OR(F82="",F82=0),"",E82/F82)</f>
        <v>0.634680770683793</v>
      </c>
      <c r="I82" s="38" t="s">
        <v>90</v>
      </c>
      <c r="J82" s="40" t="n">
        <v>1.54340705695521</v>
      </c>
      <c r="K82" s="39" t="n">
        <f aca="false">IF(G82="","",MAX(0,G82-J82/100))</f>
        <v>0.349885158746655</v>
      </c>
      <c r="L82" s="39" t="n">
        <f aca="false">IF(G82="","",MIN(1,G82+J82/100))</f>
        <v>0.380753299885759</v>
      </c>
      <c r="M82" s="21" t="n">
        <f aca="false">ROUND(Q82*S82,0)</f>
        <v>244</v>
      </c>
      <c r="N82" s="21" t="n">
        <f aca="false">ROUND(SQRT((F82*J82/100)^2+(G82*M82)^2),0)</f>
        <v>121</v>
      </c>
      <c r="P82" s="41" t="n">
        <v>-7.44657929737762</v>
      </c>
      <c r="Q82" s="42" t="n">
        <v>5293.60713836903</v>
      </c>
      <c r="R82" s="43" t="n">
        <f aca="false">MAX(0,MIN(1,P82/100+$D$5))</f>
        <v>0.365363346050792</v>
      </c>
      <c r="S82" s="43" t="n">
        <v>0.0460569330366088</v>
      </c>
      <c r="T82" s="44" t="s">
        <v>111</v>
      </c>
    </row>
    <row r="83" customFormat="false" ht="15" hidden="false" customHeight="false" outlineLevel="0" collapsed="false">
      <c r="A83" s="38" t="s">
        <v>146</v>
      </c>
      <c r="B83" s="38" t="s">
        <v>165</v>
      </c>
      <c r="C83" s="38" t="s">
        <v>89</v>
      </c>
      <c r="D83" s="21" t="n">
        <f aca="false">ROUND(Q83*R83,0)</f>
        <v>1403</v>
      </c>
      <c r="E83" s="21" t="n">
        <f aca="false">ROUND(Q83,0)-D83</f>
        <v>1271</v>
      </c>
      <c r="F83" s="21" t="n">
        <f aca="false">IF(COUNTA(D83:E83)=0,"",SUM(D83:E83))</f>
        <v>2674</v>
      </c>
      <c r="G83" s="39" t="n">
        <f aca="false">IF(OR(F83="",F83=0),"",D83/F83)</f>
        <v>0.524682124158564</v>
      </c>
      <c r="H83" s="39" t="n">
        <f aca="false">IF(OR(F83="",F83=0),"",E83/F83)</f>
        <v>0.475317875841436</v>
      </c>
      <c r="I83" s="38" t="s">
        <v>90</v>
      </c>
      <c r="J83" s="40" t="n">
        <v>1.379737565379</v>
      </c>
      <c r="K83" s="39" t="n">
        <f aca="false">IF(G83="","",MAX(0,G83-J83/100))</f>
        <v>0.510884748504774</v>
      </c>
      <c r="L83" s="39" t="n">
        <f aca="false">IF(G83="","",MIN(1,G83+J83/100))</f>
        <v>0.538479499812354</v>
      </c>
      <c r="M83" s="21" t="n">
        <f aca="false">ROUND(Q83*S83,0)</f>
        <v>94</v>
      </c>
      <c r="N83" s="21" t="n">
        <f aca="false">ROUND(SQRT((F83*J83/100)^2+(G83*M83)^2),0)</f>
        <v>62</v>
      </c>
      <c r="P83" s="41" t="n">
        <v>8.48806157691493</v>
      </c>
      <c r="Q83" s="42" t="n">
        <v>2674.13876978312</v>
      </c>
      <c r="R83" s="43" t="n">
        <f aca="false">MAX(0,MIN(1,P83/100+$D$5))</f>
        <v>0.524709754793717</v>
      </c>
      <c r="S83" s="43" t="n">
        <v>0.0350597310944791</v>
      </c>
      <c r="T83" s="44" t="s">
        <v>97</v>
      </c>
    </row>
    <row r="84" customFormat="false" ht="15" hidden="false" customHeight="false" outlineLevel="0" collapsed="false">
      <c r="A84" s="38" t="s">
        <v>146</v>
      </c>
      <c r="B84" s="38" t="s">
        <v>166</v>
      </c>
      <c r="C84" s="38" t="s">
        <v>89</v>
      </c>
      <c r="D84" s="21" t="n">
        <f aca="false">ROUND(Q84*R84,0)</f>
        <v>787</v>
      </c>
      <c r="E84" s="21" t="n">
        <f aca="false">ROUND(Q84,0)-D84</f>
        <v>692</v>
      </c>
      <c r="F84" s="21" t="n">
        <f aca="false">IF(COUNTA(D84:E84)=0,"",SUM(D84:E84))</f>
        <v>1479</v>
      </c>
      <c r="G84" s="39" t="n">
        <f aca="false">IF(OR(F84="",F84=0),"",D84/F84)</f>
        <v>0.53211629479378</v>
      </c>
      <c r="H84" s="39" t="n">
        <f aca="false">IF(OR(F84="",F84=0),"",E84/F84)</f>
        <v>0.46788370520622</v>
      </c>
      <c r="I84" s="38" t="s">
        <v>90</v>
      </c>
      <c r="J84" s="40" t="n">
        <v>2.46414572893645</v>
      </c>
      <c r="K84" s="39" t="n">
        <f aca="false">IF(G84="","",MAX(0,G84-J84/100))</f>
        <v>0.507474837504415</v>
      </c>
      <c r="L84" s="39" t="n">
        <f aca="false">IF(G84="","",MIN(1,G84+J84/100))</f>
        <v>0.556757752083144</v>
      </c>
      <c r="M84" s="21" t="n">
        <f aca="false">ROUND(Q84*S84,0)</f>
        <v>208</v>
      </c>
      <c r="N84" s="21" t="n">
        <f aca="false">ROUND(SQRT((F84*J84/100)^2+(G84*M84)^2),0)</f>
        <v>117</v>
      </c>
      <c r="P84" s="41" t="n">
        <v>9.20414258178239</v>
      </c>
      <c r="Q84" s="42" t="n">
        <v>1479.45180902924</v>
      </c>
      <c r="R84" s="43" t="n">
        <f aca="false">MAX(0,MIN(1,P84/100+$D$5))</f>
        <v>0.531870564842392</v>
      </c>
      <c r="S84" s="43" t="n">
        <v>0.140730607711166</v>
      </c>
      <c r="T84" s="44" t="s">
        <v>91</v>
      </c>
    </row>
    <row r="85" customFormat="false" ht="15" hidden="false" customHeight="false" outlineLevel="0" collapsed="false">
      <c r="A85" s="38" t="s">
        <v>146</v>
      </c>
      <c r="B85" s="38" t="s">
        <v>167</v>
      </c>
      <c r="C85" s="38" t="s">
        <v>89</v>
      </c>
      <c r="D85" s="21" t="n">
        <f aca="false">ROUND(Q85*R85,0)</f>
        <v>2225</v>
      </c>
      <c r="E85" s="21" t="n">
        <f aca="false">ROUND(Q85,0)-D85</f>
        <v>2118</v>
      </c>
      <c r="F85" s="21" t="n">
        <f aca="false">IF(COUNTA(D85:E85)=0,"",SUM(D85:E85))</f>
        <v>4343</v>
      </c>
      <c r="G85" s="39" t="n">
        <f aca="false">IF(OR(F85="",F85=0),"",D85/F85)</f>
        <v>0.512318673727838</v>
      </c>
      <c r="H85" s="39" t="n">
        <f aca="false">IF(OR(F85="",F85=0),"",E85/F85)</f>
        <v>0.487681326272162</v>
      </c>
      <c r="I85" s="38" t="s">
        <v>90</v>
      </c>
      <c r="J85" s="40" t="n">
        <v>1.54340705695521</v>
      </c>
      <c r="K85" s="39" t="n">
        <f aca="false">IF(G85="","",MAX(0,G85-J85/100))</f>
        <v>0.496884603158286</v>
      </c>
      <c r="L85" s="39" t="n">
        <f aca="false">IF(G85="","",MIN(1,G85+J85/100))</f>
        <v>0.52775274429739</v>
      </c>
      <c r="M85" s="21" t="n">
        <f aca="false">ROUND(Q85*S85,0)</f>
        <v>200</v>
      </c>
      <c r="N85" s="21" t="n">
        <f aca="false">ROUND(SQRT((F85*J85/100)^2+(G85*M85)^2),0)</f>
        <v>122</v>
      </c>
      <c r="P85" s="41" t="n">
        <v>7.246868247156</v>
      </c>
      <c r="Q85" s="42" t="n">
        <v>4342.8178016777</v>
      </c>
      <c r="R85" s="43" t="n">
        <f aca="false">MAX(0,MIN(1,P85/100+$D$5))</f>
        <v>0.512297821496128</v>
      </c>
      <c r="S85" s="43" t="n">
        <v>0.0460569330366088</v>
      </c>
      <c r="T85" s="44" t="s">
        <v>111</v>
      </c>
    </row>
    <row r="86" customFormat="false" ht="15" hidden="false" customHeight="false" outlineLevel="0" collapsed="false">
      <c r="A86" s="38" t="s">
        <v>146</v>
      </c>
      <c r="B86" s="38" t="s">
        <v>168</v>
      </c>
      <c r="C86" s="38" t="s">
        <v>89</v>
      </c>
      <c r="D86" s="21" t="n">
        <f aca="false">ROUND(Q86*R86,0)</f>
        <v>6088</v>
      </c>
      <c r="E86" s="21" t="n">
        <f aca="false">ROUND(Q86,0)-D86</f>
        <v>5108</v>
      </c>
      <c r="F86" s="21" t="n">
        <f aca="false">IF(COUNTA(D86:E86)=0,"",SUM(D86:E86))</f>
        <v>11196</v>
      </c>
      <c r="G86" s="39" t="n">
        <f aca="false">IF(OR(F86="",F86=0),"",D86/F86)</f>
        <v>0.543765630582351</v>
      </c>
      <c r="H86" s="39" t="n">
        <f aca="false">IF(OR(F86="",F86=0),"",E86/F86)</f>
        <v>0.456234369417649</v>
      </c>
      <c r="I86" s="38" t="s">
        <v>90</v>
      </c>
      <c r="J86" s="40" t="n">
        <v>1.54340705695521</v>
      </c>
      <c r="K86" s="39" t="n">
        <f aca="false">IF(G86="","",MAX(0,G86-J86/100))</f>
        <v>0.528331560012799</v>
      </c>
      <c r="L86" s="39" t="n">
        <f aca="false">IF(G86="","",MIN(1,G86+J86/100))</f>
        <v>0.559199701151903</v>
      </c>
      <c r="M86" s="21" t="n">
        <f aca="false">ROUND(Q86*S86,0)</f>
        <v>516</v>
      </c>
      <c r="N86" s="21" t="n">
        <f aca="false">ROUND(SQRT((F86*J86/100)^2+(G86*M86)^2),0)</f>
        <v>330</v>
      </c>
      <c r="P86" s="41" t="n">
        <v>10.3964550220325</v>
      </c>
      <c r="Q86" s="42" t="n">
        <v>11195.849745111</v>
      </c>
      <c r="R86" s="43" t="n">
        <f aca="false">MAX(0,MIN(1,P86/100+$D$5))</f>
        <v>0.543793689244894</v>
      </c>
      <c r="S86" s="43" t="n">
        <v>0.0460569330366088</v>
      </c>
      <c r="T86" s="44" t="s">
        <v>111</v>
      </c>
    </row>
    <row r="87" customFormat="false" ht="15" hidden="false" customHeight="false" outlineLevel="0" collapsed="false">
      <c r="A87" s="38" t="s">
        <v>146</v>
      </c>
      <c r="B87" s="38" t="s">
        <v>169</v>
      </c>
      <c r="C87" s="38" t="s">
        <v>89</v>
      </c>
      <c r="D87" s="21" t="n">
        <f aca="false">ROUND(Q87*R87,0)</f>
        <v>587</v>
      </c>
      <c r="E87" s="21" t="n">
        <f aca="false">ROUND(Q87,0)-D87</f>
        <v>830</v>
      </c>
      <c r="F87" s="21" t="n">
        <f aca="false">IF(COUNTA(D87:E87)=0,"",SUM(D87:E87))</f>
        <v>1417</v>
      </c>
      <c r="G87" s="39" t="n">
        <f aca="false">IF(OR(F87="",F87=0),"",D87/F87)</f>
        <v>0.414255469301341</v>
      </c>
      <c r="H87" s="39" t="n">
        <f aca="false">IF(OR(F87="",F87=0),"",E87/F87)</f>
        <v>0.585744530698659</v>
      </c>
      <c r="I87" s="38" t="s">
        <v>90</v>
      </c>
      <c r="J87" s="40" t="n">
        <v>2.46414572893645</v>
      </c>
      <c r="K87" s="39" t="n">
        <f aca="false">IF(G87="","",MAX(0,G87-J87/100))</f>
        <v>0.389614012011976</v>
      </c>
      <c r="L87" s="39" t="n">
        <f aca="false">IF(G87="","",MIN(1,G87+J87/100))</f>
        <v>0.438896926590705</v>
      </c>
      <c r="M87" s="21" t="n">
        <f aca="false">ROUND(Q87*S87,0)</f>
        <v>199</v>
      </c>
      <c r="N87" s="21" t="n">
        <f aca="false">ROUND(SQRT((F87*J87/100)^2+(G87*M87)^2),0)</f>
        <v>90</v>
      </c>
      <c r="P87" s="41" t="n">
        <v>-2.54704891993593</v>
      </c>
      <c r="Q87" s="42" t="n">
        <v>1416.80590960737</v>
      </c>
      <c r="R87" s="43" t="n">
        <f aca="false">MAX(0,MIN(1,P87/100+$D$5))</f>
        <v>0.414358649825209</v>
      </c>
      <c r="S87" s="43" t="n">
        <v>0.140730607711166</v>
      </c>
      <c r="T87" s="44" t="s">
        <v>91</v>
      </c>
    </row>
    <row r="88" customFormat="false" ht="15" hidden="false" customHeight="false" outlineLevel="0" collapsed="false">
      <c r="A88" s="38" t="s">
        <v>146</v>
      </c>
      <c r="B88" s="38" t="s">
        <v>170</v>
      </c>
      <c r="C88" s="38" t="s">
        <v>89</v>
      </c>
      <c r="D88" s="21" t="n">
        <f aca="false">ROUND(Q88*R88,0)</f>
        <v>1253</v>
      </c>
      <c r="E88" s="21" t="n">
        <f aca="false">ROUND(Q88,0)-D88</f>
        <v>2164</v>
      </c>
      <c r="F88" s="21" t="n">
        <f aca="false">IF(COUNTA(D88:E88)=0,"",SUM(D88:E88))</f>
        <v>3417</v>
      </c>
      <c r="G88" s="39" t="n">
        <f aca="false">IF(OR(F88="",F88=0),"",D88/F88)</f>
        <v>0.366695932104185</v>
      </c>
      <c r="H88" s="39" t="n">
        <f aca="false">IF(OR(F88="",F88=0),"",E88/F88)</f>
        <v>0.633304067895815</v>
      </c>
      <c r="I88" s="38" t="s">
        <v>90</v>
      </c>
      <c r="J88" s="40" t="n">
        <v>1.379737565379</v>
      </c>
      <c r="K88" s="39" t="n">
        <f aca="false">IF(G88="","",MAX(0,G88-J88/100))</f>
        <v>0.352898556450395</v>
      </c>
      <c r="L88" s="39" t="n">
        <f aca="false">IF(G88="","",MIN(1,G88+J88/100))</f>
        <v>0.380493307757975</v>
      </c>
      <c r="M88" s="21" t="n">
        <f aca="false">ROUND(Q88*S88,0)</f>
        <v>120</v>
      </c>
      <c r="N88" s="21" t="n">
        <f aca="false">ROUND(SQRT((F88*J88/100)^2+(G88*M88)^2),0)</f>
        <v>64</v>
      </c>
      <c r="P88" s="41" t="n">
        <v>-7.31125173940434</v>
      </c>
      <c r="Q88" s="42" t="n">
        <v>3417.19715172405</v>
      </c>
      <c r="R88" s="43" t="n">
        <f aca="false">MAX(0,MIN(1,P88/100+$D$5))</f>
        <v>0.366716621630525</v>
      </c>
      <c r="S88" s="43" t="n">
        <v>0.0350597310944791</v>
      </c>
      <c r="T88" s="44" t="s">
        <v>97</v>
      </c>
    </row>
    <row r="89" customFormat="false" ht="15" hidden="false" customHeight="false" outlineLevel="0" collapsed="false">
      <c r="A89" s="38" t="s">
        <v>146</v>
      </c>
      <c r="B89" s="38" t="s">
        <v>171</v>
      </c>
      <c r="C89" s="38" t="s">
        <v>89</v>
      </c>
      <c r="D89" s="21" t="n">
        <f aca="false">ROUND(Q89*R89,0)</f>
        <v>80</v>
      </c>
      <c r="E89" s="21" t="n">
        <f aca="false">ROUND(Q89,0)-D89</f>
        <v>133</v>
      </c>
      <c r="F89" s="21" t="n">
        <f aca="false">IF(COUNTA(D89:E89)=0,"",SUM(D89:E89))</f>
        <v>213</v>
      </c>
      <c r="G89" s="39" t="n">
        <f aca="false">IF(OR(F89="",F89=0),"",D89/F89)</f>
        <v>0.375586854460094</v>
      </c>
      <c r="H89" s="39" t="n">
        <f aca="false">IF(OR(F89="",F89=0),"",E89/F89)</f>
        <v>0.624413145539906</v>
      </c>
      <c r="I89" s="38" t="s">
        <v>90</v>
      </c>
      <c r="J89" s="40" t="n">
        <v>2.46414572893645</v>
      </c>
      <c r="K89" s="39" t="n">
        <f aca="false">IF(G89="","",MAX(0,G89-J89/100))</f>
        <v>0.350945397170729</v>
      </c>
      <c r="L89" s="39" t="n">
        <f aca="false">IF(G89="","",MIN(1,G89+J89/100))</f>
        <v>0.400228311749458</v>
      </c>
      <c r="M89" s="21" t="n">
        <f aca="false">ROUND(Q89*S89,0)</f>
        <v>30</v>
      </c>
      <c r="N89" s="21" t="n">
        <f aca="false">ROUND(SQRT((F89*J89/100)^2+(G89*M89)^2),0)</f>
        <v>12</v>
      </c>
      <c r="P89" s="41" t="n">
        <v>-6.27394132818181</v>
      </c>
      <c r="Q89" s="42" t="n">
        <v>213.311220261312</v>
      </c>
      <c r="R89" s="43" t="n">
        <f aca="false">MAX(0,MIN(1,P89/100+$D$5))</f>
        <v>0.37708972574275</v>
      </c>
      <c r="S89" s="43" t="n">
        <v>0.140730607711166</v>
      </c>
      <c r="T89" s="44" t="s">
        <v>91</v>
      </c>
    </row>
    <row r="90" customFormat="false" ht="15" hidden="false" customHeight="false" outlineLevel="0" collapsed="false">
      <c r="A90" s="38" t="s">
        <v>146</v>
      </c>
      <c r="B90" s="38" t="s">
        <v>172</v>
      </c>
      <c r="C90" s="38" t="s">
        <v>89</v>
      </c>
      <c r="D90" s="21" t="n">
        <f aca="false">ROUND(Q90*R90,0)</f>
        <v>318</v>
      </c>
      <c r="E90" s="21" t="n">
        <f aca="false">ROUND(Q90,0)-D90</f>
        <v>426</v>
      </c>
      <c r="F90" s="21" t="n">
        <f aca="false">IF(COUNTA(D90:E90)=0,"",SUM(D90:E90))</f>
        <v>744</v>
      </c>
      <c r="G90" s="39" t="n">
        <f aca="false">IF(OR(F90="",F90=0),"",D90/F90)</f>
        <v>0.42741935483871</v>
      </c>
      <c r="H90" s="39" t="n">
        <f aca="false">IF(OR(F90="",F90=0),"",E90/F90)</f>
        <v>0.57258064516129</v>
      </c>
      <c r="I90" s="38" t="s">
        <v>90</v>
      </c>
      <c r="J90" s="40" t="n">
        <v>2.46414572893645</v>
      </c>
      <c r="K90" s="39" t="n">
        <f aca="false">IF(G90="","",MAX(0,G90-J90/100))</f>
        <v>0.402777897549345</v>
      </c>
      <c r="L90" s="39" t="n">
        <f aca="false">IF(G90="","",MIN(1,G90+J90/100))</f>
        <v>0.452060812128074</v>
      </c>
      <c r="M90" s="21" t="n">
        <f aca="false">ROUND(Q90*S90,0)</f>
        <v>105</v>
      </c>
      <c r="N90" s="21" t="n">
        <f aca="false">ROUND(SQRT((F90*J90/100)^2+(G90*M90)^2),0)</f>
        <v>48</v>
      </c>
      <c r="P90" s="41" t="n">
        <v>-1.20511336671013</v>
      </c>
      <c r="Q90" s="42" t="n">
        <v>743.536410466817</v>
      </c>
      <c r="R90" s="43" t="n">
        <f aca="false">MAX(0,MIN(1,P90/100+$D$5))</f>
        <v>0.427778005357467</v>
      </c>
      <c r="S90" s="43" t="n">
        <v>0.140730607711166</v>
      </c>
      <c r="T90" s="44" t="s">
        <v>91</v>
      </c>
    </row>
    <row r="91" customFormat="false" ht="15" hidden="false" customHeight="false" outlineLevel="0" collapsed="false">
      <c r="A91" s="38" t="s">
        <v>146</v>
      </c>
      <c r="B91" s="38" t="s">
        <v>173</v>
      </c>
      <c r="C91" s="38" t="s">
        <v>89</v>
      </c>
      <c r="D91" s="21" t="n">
        <f aca="false">ROUND(Q91*R91,0)</f>
        <v>182</v>
      </c>
      <c r="E91" s="21" t="n">
        <f aca="false">ROUND(Q91,0)-D91</f>
        <v>237</v>
      </c>
      <c r="F91" s="21" t="n">
        <f aca="false">IF(COUNTA(D91:E91)=0,"",SUM(D91:E91))</f>
        <v>419</v>
      </c>
      <c r="G91" s="39" t="n">
        <f aca="false">IF(OR(F91="",F91=0),"",D91/F91)</f>
        <v>0.43436754176611</v>
      </c>
      <c r="H91" s="39" t="n">
        <f aca="false">IF(OR(F91="",F91=0),"",E91/F91)</f>
        <v>0.56563245823389</v>
      </c>
      <c r="I91" s="38" t="s">
        <v>90</v>
      </c>
      <c r="J91" s="40" t="n">
        <v>2.46414572893645</v>
      </c>
      <c r="K91" s="39" t="n">
        <f aca="false">IF(G91="","",MAX(0,G91-J91/100))</f>
        <v>0.409726084476745</v>
      </c>
      <c r="L91" s="39" t="n">
        <f aca="false">IF(G91="","",MIN(1,G91+J91/100))</f>
        <v>0.459008999055474</v>
      </c>
      <c r="M91" s="21" t="n">
        <f aca="false">ROUND(Q91*S91,0)</f>
        <v>59</v>
      </c>
      <c r="N91" s="21" t="n">
        <f aca="false">ROUND(SQRT((F91*J91/100)^2+(G91*M91)^2),0)</f>
        <v>28</v>
      </c>
      <c r="P91" s="41" t="n">
        <v>-0.644735943543113</v>
      </c>
      <c r="Q91" s="42" t="n">
        <v>419.425443466805</v>
      </c>
      <c r="R91" s="43" t="n">
        <f aca="false">MAX(0,MIN(1,P91/100+$D$5))</f>
        <v>0.433381779589137</v>
      </c>
      <c r="S91" s="43" t="n">
        <v>0.140730607711166</v>
      </c>
      <c r="T91" s="44" t="s">
        <v>91</v>
      </c>
    </row>
    <row r="92" customFormat="false" ht="15" hidden="false" customHeight="false" outlineLevel="0" collapsed="false">
      <c r="A92" s="38" t="s">
        <v>146</v>
      </c>
      <c r="B92" s="38" t="s">
        <v>174</v>
      </c>
      <c r="C92" s="38" t="s">
        <v>89</v>
      </c>
      <c r="D92" s="21" t="n">
        <f aca="false">ROUND(Q92*R92,0)</f>
        <v>287</v>
      </c>
      <c r="E92" s="21" t="n">
        <f aca="false">ROUND(Q92,0)-D92</f>
        <v>338</v>
      </c>
      <c r="F92" s="21" t="n">
        <f aca="false">IF(COUNTA(D92:E92)=0,"",SUM(D92:E92))</f>
        <v>625</v>
      </c>
      <c r="G92" s="39" t="n">
        <f aca="false">IF(OR(F92="",F92=0),"",D92/F92)</f>
        <v>0.4592</v>
      </c>
      <c r="H92" s="39" t="n">
        <f aca="false">IF(OR(F92="",F92=0),"",E92/F92)</f>
        <v>0.5408</v>
      </c>
      <c r="I92" s="38" t="s">
        <v>90</v>
      </c>
      <c r="J92" s="40" t="n">
        <v>2.46414572893645</v>
      </c>
      <c r="K92" s="39" t="n">
        <f aca="false">IF(G92="","",MAX(0,G92-J92/100))</f>
        <v>0.434558542710636</v>
      </c>
      <c r="L92" s="39" t="n">
        <f aca="false">IF(G92="","",MIN(1,G92+J92/100))</f>
        <v>0.483841457289364</v>
      </c>
      <c r="M92" s="21" t="n">
        <f aca="false">ROUND(Q92*S92,0)</f>
        <v>88</v>
      </c>
      <c r="N92" s="21" t="n">
        <f aca="false">ROUND(SQRT((F92*J92/100)^2+(G92*M92)^2),0)</f>
        <v>43</v>
      </c>
      <c r="P92" s="41" t="n">
        <v>1.93967332986846</v>
      </c>
      <c r="Q92" s="42" t="n">
        <v>624.917806368162</v>
      </c>
      <c r="R92" s="43" t="n">
        <f aca="false">MAX(0,MIN(1,P92/100+$D$5))</f>
        <v>0.459225872323253</v>
      </c>
      <c r="S92" s="43" t="n">
        <v>0.140730607711166</v>
      </c>
      <c r="T92" s="44" t="s">
        <v>91</v>
      </c>
    </row>
    <row r="93" customFormat="false" ht="15" hidden="false" customHeight="false" outlineLevel="0" collapsed="false">
      <c r="A93" s="38" t="s">
        <v>146</v>
      </c>
      <c r="B93" s="38" t="s">
        <v>175</v>
      </c>
      <c r="C93" s="38" t="s">
        <v>89</v>
      </c>
      <c r="D93" s="21" t="n">
        <f aca="false">ROUND(Q93*R93,0)</f>
        <v>1214</v>
      </c>
      <c r="E93" s="21" t="n">
        <f aca="false">ROUND(Q93,0)-D93</f>
        <v>2264</v>
      </c>
      <c r="F93" s="21" t="n">
        <f aca="false">IF(COUNTA(D93:E93)=0,"",SUM(D93:E93))</f>
        <v>3478</v>
      </c>
      <c r="G93" s="39" t="n">
        <f aca="false">IF(OR(F93="",F93=0),"",D93/F93)</f>
        <v>0.349051178838413</v>
      </c>
      <c r="H93" s="39" t="n">
        <f aca="false">IF(OR(F93="",F93=0),"",E93/F93)</f>
        <v>0.650948821161587</v>
      </c>
      <c r="I93" s="38" t="s">
        <v>90</v>
      </c>
      <c r="J93" s="40" t="n">
        <v>1.379737565379</v>
      </c>
      <c r="K93" s="39" t="n">
        <f aca="false">IF(G93="","",MAX(0,G93-J93/100))</f>
        <v>0.335253803184623</v>
      </c>
      <c r="L93" s="39" t="n">
        <f aca="false">IF(G93="","",MIN(1,G93+J93/100))</f>
        <v>0.362848554492203</v>
      </c>
      <c r="M93" s="21" t="n">
        <f aca="false">ROUND(Q93*S93,0)</f>
        <v>122</v>
      </c>
      <c r="N93" s="21" t="n">
        <f aca="false">ROUND(SQRT((F93*J93/100)^2+(G93*M93)^2),0)</f>
        <v>64</v>
      </c>
      <c r="P93" s="41" t="n">
        <v>-9.07736912210726</v>
      </c>
      <c r="Q93" s="42" t="n">
        <v>3477.73016894605</v>
      </c>
      <c r="R93" s="43" t="n">
        <f aca="false">MAX(0,MIN(1,P93/100+$D$5))</f>
        <v>0.349055447803496</v>
      </c>
      <c r="S93" s="43" t="n">
        <v>0.0350597310944791</v>
      </c>
      <c r="T93" s="44" t="s">
        <v>97</v>
      </c>
    </row>
    <row r="94" customFormat="false" ht="15" hidden="false" customHeight="false" outlineLevel="0" collapsed="false">
      <c r="A94" s="38" t="s">
        <v>146</v>
      </c>
      <c r="B94" s="38" t="s">
        <v>176</v>
      </c>
      <c r="C94" s="38" t="s">
        <v>89</v>
      </c>
      <c r="D94" s="21" t="n">
        <f aca="false">ROUND(Q94*R94,0)</f>
        <v>1731</v>
      </c>
      <c r="E94" s="21" t="n">
        <f aca="false">ROUND(Q94,0)-D94</f>
        <v>1683</v>
      </c>
      <c r="F94" s="21" t="n">
        <f aca="false">IF(COUNTA(D94:E94)=0,"",SUM(D94:E94))</f>
        <v>3414</v>
      </c>
      <c r="G94" s="39" t="n">
        <f aca="false">IF(OR(F94="",F94=0),"",D94/F94)</f>
        <v>0.507029876977153</v>
      </c>
      <c r="H94" s="39" t="n">
        <f aca="false">IF(OR(F94="",F94=0),"",E94/F94)</f>
        <v>0.492970123022847</v>
      </c>
      <c r="I94" s="38" t="s">
        <v>90</v>
      </c>
      <c r="J94" s="40" t="n">
        <v>1.379737565379</v>
      </c>
      <c r="K94" s="39" t="n">
        <f aca="false">IF(G94="","",MAX(0,G94-J94/100))</f>
        <v>0.493232501323363</v>
      </c>
      <c r="L94" s="39" t="n">
        <f aca="false">IF(G94="","",MIN(1,G94+J94/100))</f>
        <v>0.520827252630943</v>
      </c>
      <c r="M94" s="21" t="n">
        <f aca="false">ROUND(Q94*S94,0)</f>
        <v>120</v>
      </c>
      <c r="N94" s="21" t="n">
        <f aca="false">ROUND(SQRT((F94*J94/100)^2+(G94*M94)^2),0)</f>
        <v>77</v>
      </c>
      <c r="P94" s="41" t="n">
        <v>6.73040427117306</v>
      </c>
      <c r="Q94" s="42" t="n">
        <v>3413.69815669699</v>
      </c>
      <c r="R94" s="43" t="n">
        <f aca="false">MAX(0,MIN(1,P94/100+$D$5))</f>
        <v>0.507133181736299</v>
      </c>
      <c r="S94" s="43" t="n">
        <v>0.0350597310944791</v>
      </c>
      <c r="T94" s="44" t="s">
        <v>97</v>
      </c>
    </row>
    <row r="95" customFormat="false" ht="15" hidden="false" customHeight="false" outlineLevel="0" collapsed="false">
      <c r="A95" s="38" t="s">
        <v>146</v>
      </c>
      <c r="B95" s="38" t="s">
        <v>177</v>
      </c>
      <c r="C95" s="38" t="s">
        <v>89</v>
      </c>
      <c r="D95" s="21" t="n">
        <f aca="false">ROUND(Q95*R95,0)</f>
        <v>341</v>
      </c>
      <c r="E95" s="21" t="n">
        <f aca="false">ROUND(Q95,0)-D95</f>
        <v>457</v>
      </c>
      <c r="F95" s="21" t="n">
        <f aca="false">IF(COUNTA(D95:E95)=0,"",SUM(D95:E95))</f>
        <v>798</v>
      </c>
      <c r="G95" s="39" t="n">
        <f aca="false">IF(OR(F95="",F95=0),"",D95/F95)</f>
        <v>0.427318295739348</v>
      </c>
      <c r="H95" s="39" t="n">
        <f aca="false">IF(OR(F95="",F95=0),"",E95/F95)</f>
        <v>0.572681704260652</v>
      </c>
      <c r="I95" s="38" t="s">
        <v>90</v>
      </c>
      <c r="J95" s="40" t="n">
        <v>2.46414572893645</v>
      </c>
      <c r="K95" s="39" t="n">
        <f aca="false">IF(G95="","",MAX(0,G95-J95/100))</f>
        <v>0.402676838449984</v>
      </c>
      <c r="L95" s="39" t="n">
        <f aca="false">IF(G95="","",MIN(1,G95+J95/100))</f>
        <v>0.451959753028713</v>
      </c>
      <c r="M95" s="21" t="n">
        <f aca="false">ROUND(Q95*S95,0)</f>
        <v>112</v>
      </c>
      <c r="N95" s="21" t="n">
        <f aca="false">ROUND(SQRT((F95*J95/100)^2+(G95*M95)^2),0)</f>
        <v>52</v>
      </c>
      <c r="P95" s="41" t="n">
        <v>-1.28210993573592</v>
      </c>
      <c r="Q95" s="42" t="n">
        <v>797.994906070492</v>
      </c>
      <c r="R95" s="43" t="n">
        <f aca="false">MAX(0,MIN(1,P95/100+$D$5))</f>
        <v>0.427008039667209</v>
      </c>
      <c r="S95" s="43" t="n">
        <v>0.140730607711166</v>
      </c>
      <c r="T95" s="44" t="s">
        <v>91</v>
      </c>
    </row>
    <row r="96" customFormat="false" ht="15" hidden="false" customHeight="false" outlineLevel="0" collapsed="false">
      <c r="A96" s="38" t="s">
        <v>146</v>
      </c>
      <c r="B96" s="38" t="s">
        <v>139</v>
      </c>
      <c r="C96" s="38" t="s">
        <v>89</v>
      </c>
      <c r="D96" s="21" t="n">
        <f aca="false">ROUND(Q96*R96,0)</f>
        <v>940</v>
      </c>
      <c r="E96" s="21" t="n">
        <f aca="false">ROUND(Q96,0)-D96</f>
        <v>1687</v>
      </c>
      <c r="F96" s="21" t="n">
        <f aca="false">IF(COUNTA(D96:E96)=0,"",SUM(D96:E96))</f>
        <v>2627</v>
      </c>
      <c r="G96" s="39" t="n">
        <f aca="false">IF(OR(F96="",F96=0),"",D96/F96)</f>
        <v>0.357822611343738</v>
      </c>
      <c r="H96" s="39" t="n">
        <f aca="false">IF(OR(F96="",F96=0),"",E96/F96)</f>
        <v>0.642177388656262</v>
      </c>
      <c r="I96" s="38" t="s">
        <v>90</v>
      </c>
      <c r="J96" s="40" t="n">
        <v>1.379737565379</v>
      </c>
      <c r="K96" s="39" t="n">
        <f aca="false">IF(G96="","",MAX(0,G96-J96/100))</f>
        <v>0.344025235689948</v>
      </c>
      <c r="L96" s="39" t="n">
        <f aca="false">IF(G96="","",MIN(1,G96+J96/100))</f>
        <v>0.371619986997528</v>
      </c>
      <c r="M96" s="21" t="n">
        <f aca="false">ROUND(Q96*S96,0)</f>
        <v>92</v>
      </c>
      <c r="N96" s="21" t="n">
        <f aca="false">ROUND(SQRT((F96*J96/100)^2+(G96*M96)^2),0)</f>
        <v>49</v>
      </c>
      <c r="P96" s="41" t="n">
        <v>-8.20411263427561</v>
      </c>
      <c r="Q96" s="42" t="n">
        <v>2627.48726210574</v>
      </c>
      <c r="R96" s="43" t="n">
        <f aca="false">MAX(0,MIN(1,P96/100+$D$5))</f>
        <v>0.357788012681812</v>
      </c>
      <c r="S96" s="43" t="n">
        <v>0.0350597310944791</v>
      </c>
      <c r="T96" s="44" t="s">
        <v>97</v>
      </c>
    </row>
    <row r="97" customFormat="false" ht="15" hidden="false" customHeight="false" outlineLevel="0" collapsed="false">
      <c r="A97" s="38" t="s">
        <v>146</v>
      </c>
      <c r="B97" s="38" t="s">
        <v>178</v>
      </c>
      <c r="C97" s="38" t="s">
        <v>89</v>
      </c>
      <c r="D97" s="21" t="n">
        <f aca="false">ROUND(Q97*R97,0)</f>
        <v>237</v>
      </c>
      <c r="E97" s="21" t="n">
        <f aca="false">ROUND(Q97,0)-D97</f>
        <v>221</v>
      </c>
      <c r="F97" s="21" t="n">
        <f aca="false">IF(COUNTA(D97:E97)=0,"",SUM(D97:E97))</f>
        <v>458</v>
      </c>
      <c r="G97" s="39" t="n">
        <f aca="false">IF(OR(F97="",F97=0),"",D97/F97)</f>
        <v>0.517467248908297</v>
      </c>
      <c r="H97" s="39" t="n">
        <f aca="false">IF(OR(F97="",F97=0),"",E97/F97)</f>
        <v>0.482532751091703</v>
      </c>
      <c r="I97" s="38" t="s">
        <v>90</v>
      </c>
      <c r="J97" s="40" t="n">
        <v>2.46414572893645</v>
      </c>
      <c r="K97" s="39" t="n">
        <f aca="false">IF(G97="","",MAX(0,G97-J97/100))</f>
        <v>0.492825791618933</v>
      </c>
      <c r="L97" s="39" t="n">
        <f aca="false">IF(G97="","",MIN(1,G97+J97/100))</f>
        <v>0.542108706197661</v>
      </c>
      <c r="M97" s="21" t="n">
        <f aca="false">ROUND(Q97*S97,0)</f>
        <v>64</v>
      </c>
      <c r="N97" s="21" t="n">
        <f aca="false">ROUND(SQRT((F97*J97/100)^2+(G97*M97)^2),0)</f>
        <v>35</v>
      </c>
      <c r="P97" s="41" t="n">
        <v>7.77853938832551</v>
      </c>
      <c r="Q97" s="42" t="n">
        <v>457.987993423734</v>
      </c>
      <c r="R97" s="43" t="n">
        <f aca="false">MAX(0,MIN(1,P97/100+$D$5))</f>
        <v>0.517614532907823</v>
      </c>
      <c r="S97" s="43" t="n">
        <v>0.140730607711166</v>
      </c>
      <c r="T97" s="44" t="s">
        <v>91</v>
      </c>
    </row>
    <row r="98" customFormat="false" ht="15" hidden="false" customHeight="false" outlineLevel="0" collapsed="false">
      <c r="A98" s="38" t="s">
        <v>146</v>
      </c>
      <c r="B98" s="38" t="s">
        <v>179</v>
      </c>
      <c r="C98" s="38" t="s">
        <v>89</v>
      </c>
      <c r="D98" s="21" t="n">
        <f aca="false">ROUND(Q98*R98,0)</f>
        <v>1758</v>
      </c>
      <c r="E98" s="21" t="n">
        <f aca="false">ROUND(Q98,0)-D98</f>
        <v>1913</v>
      </c>
      <c r="F98" s="21" t="n">
        <f aca="false">IF(COUNTA(D98:E98)=0,"",SUM(D98:E98))</f>
        <v>3671</v>
      </c>
      <c r="G98" s="39" t="n">
        <f aca="false">IF(OR(F98="",F98=0),"",D98/F98)</f>
        <v>0.47888858621629</v>
      </c>
      <c r="H98" s="39" t="n">
        <f aca="false">IF(OR(F98="",F98=0),"",E98/F98)</f>
        <v>0.52111141378371</v>
      </c>
      <c r="I98" s="38" t="s">
        <v>90</v>
      </c>
      <c r="J98" s="40" t="n">
        <v>1.379737565379</v>
      </c>
      <c r="K98" s="39" t="n">
        <f aca="false">IF(G98="","",MAX(0,G98-J98/100))</f>
        <v>0.4650912105625</v>
      </c>
      <c r="L98" s="39" t="n">
        <f aca="false">IF(G98="","",MIN(1,G98+J98/100))</f>
        <v>0.49268596187008</v>
      </c>
      <c r="M98" s="21" t="n">
        <f aca="false">ROUND(Q98*S98,0)</f>
        <v>129</v>
      </c>
      <c r="N98" s="21" t="n">
        <f aca="false">ROUND(SQRT((F98*J98/100)^2+(G98*M98)^2),0)</f>
        <v>80</v>
      </c>
      <c r="P98" s="41" t="n">
        <v>3.90416799226974</v>
      </c>
      <c r="Q98" s="42" t="n">
        <v>3671.4552609066</v>
      </c>
      <c r="R98" s="43" t="n">
        <f aca="false">MAX(0,MIN(1,P98/100+$D$5))</f>
        <v>0.478870818947265</v>
      </c>
      <c r="S98" s="43" t="n">
        <v>0.0350597310944791</v>
      </c>
      <c r="T98" s="44" t="s">
        <v>97</v>
      </c>
    </row>
    <row r="99" customFormat="false" ht="15" hidden="false" customHeight="false" outlineLevel="0" collapsed="false">
      <c r="A99" s="38" t="s">
        <v>146</v>
      </c>
      <c r="B99" s="38" t="s">
        <v>180</v>
      </c>
      <c r="C99" s="38" t="s">
        <v>89</v>
      </c>
      <c r="D99" s="21" t="n">
        <f aca="false">ROUND(Q99*R99,0)</f>
        <v>1416</v>
      </c>
      <c r="E99" s="21" t="n">
        <f aca="false">ROUND(Q99,0)-D99</f>
        <v>987</v>
      </c>
      <c r="F99" s="21" t="n">
        <f aca="false">IF(COUNTA(D99:E99)=0,"",SUM(D99:E99))</f>
        <v>2403</v>
      </c>
      <c r="G99" s="39" t="n">
        <f aca="false">IF(OR(F99="",F99=0),"",D99/F99)</f>
        <v>0.589263420724095</v>
      </c>
      <c r="H99" s="39" t="n">
        <f aca="false">IF(OR(F99="",F99=0),"",E99/F99)</f>
        <v>0.410736579275905</v>
      </c>
      <c r="I99" s="38" t="s">
        <v>90</v>
      </c>
      <c r="J99" s="40" t="n">
        <v>1.379737565379</v>
      </c>
      <c r="K99" s="39" t="n">
        <f aca="false">IF(G99="","",MAX(0,G99-J99/100))</f>
        <v>0.575466045070305</v>
      </c>
      <c r="L99" s="39" t="n">
        <f aca="false">IF(G99="","",MIN(1,G99+J99/100))</f>
        <v>0.603060796377885</v>
      </c>
      <c r="M99" s="21" t="n">
        <f aca="false">ROUND(Q99*S99,0)</f>
        <v>84</v>
      </c>
      <c r="N99" s="21" t="n">
        <f aca="false">ROUND(SQRT((F99*J99/100)^2+(G99*M99)^2),0)</f>
        <v>60</v>
      </c>
      <c r="P99" s="41" t="n">
        <v>14.9236981182269</v>
      </c>
      <c r="Q99" s="42" t="n">
        <v>2403.08526924577</v>
      </c>
      <c r="R99" s="43" t="n">
        <f aca="false">MAX(0,MIN(1,P99/100+$D$5))</f>
        <v>0.589066120206837</v>
      </c>
      <c r="S99" s="43" t="n">
        <v>0.0350597310944791</v>
      </c>
      <c r="T99" s="44" t="s">
        <v>97</v>
      </c>
    </row>
    <row r="100" customFormat="false" ht="15" hidden="false" customHeight="false" outlineLevel="0" collapsed="false">
      <c r="A100" s="38" t="s">
        <v>146</v>
      </c>
      <c r="B100" s="38" t="s">
        <v>181</v>
      </c>
      <c r="C100" s="38" t="s">
        <v>89</v>
      </c>
      <c r="D100" s="21" t="n">
        <f aca="false">ROUND(Q100*R100,0)</f>
        <v>561</v>
      </c>
      <c r="E100" s="21" t="n">
        <f aca="false">ROUND(Q100,0)-D100</f>
        <v>648</v>
      </c>
      <c r="F100" s="21" t="n">
        <f aca="false">IF(COUNTA(D100:E100)=0,"",SUM(D100:E100))</f>
        <v>1209</v>
      </c>
      <c r="G100" s="39" t="n">
        <f aca="false">IF(OR(F100="",F100=0),"",D100/F100)</f>
        <v>0.464019851116625</v>
      </c>
      <c r="H100" s="39" t="n">
        <f aca="false">IF(OR(F100="",F100=0),"",E100/F100)</f>
        <v>0.535980148883375</v>
      </c>
      <c r="I100" s="38" t="s">
        <v>90</v>
      </c>
      <c r="J100" s="40" t="n">
        <v>2.46414572893645</v>
      </c>
      <c r="K100" s="39" t="n">
        <f aca="false">IF(G100="","",MAX(0,G100-J100/100))</f>
        <v>0.439378393827261</v>
      </c>
      <c r="L100" s="39" t="n">
        <f aca="false">IF(G100="","",MIN(1,G100+J100/100))</f>
        <v>0.48866130840599</v>
      </c>
      <c r="M100" s="21" t="n">
        <f aca="false">ROUND(Q100*S100,0)</f>
        <v>170</v>
      </c>
      <c r="N100" s="21" t="n">
        <f aca="false">ROUND(SQRT((F100*J100/100)^2+(G100*M100)^2),0)</f>
        <v>84</v>
      </c>
      <c r="P100" s="41" t="n">
        <v>2.4519248015627</v>
      </c>
      <c r="Q100" s="42" t="n">
        <v>1209.00402265252</v>
      </c>
      <c r="R100" s="43" t="n">
        <f aca="false">MAX(0,MIN(1,P100/100+$D$5))</f>
        <v>0.464348387040195</v>
      </c>
      <c r="S100" s="43" t="n">
        <v>0.140730607711166</v>
      </c>
      <c r="T100" s="44" t="s">
        <v>91</v>
      </c>
    </row>
  </sheetData>
  <mergeCells count="4">
    <mergeCell ref="A3:I3"/>
    <mergeCell ref="A6:N6"/>
    <mergeCell ref="A9:N9"/>
    <mergeCell ref="A10:N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7" min="5" style="0" width="16"/>
    <col collapsed="false" customWidth="true" hidden="false" outlineLevel="0" max="10" min="8" style="0" width="13"/>
  </cols>
  <sheetData>
    <row r="1" customFormat="false" ht="17.35" hidden="false" customHeight="false" outlineLevel="0" collapsed="false">
      <c r="A1" s="1" t="s">
        <v>186</v>
      </c>
    </row>
    <row r="3" customFormat="false" ht="15" hidden="false" customHeight="false" outlineLevel="0" collapsed="false">
      <c r="A3" s="5" t="s">
        <v>187</v>
      </c>
    </row>
    <row r="4" customFormat="false" ht="45.75" hidden="false" customHeight="true" outlineLevel="0" collapsed="false">
      <c r="A4" s="45" t="s">
        <v>188</v>
      </c>
      <c r="B4" s="45"/>
      <c r="C4" s="45"/>
      <c r="D4" s="45"/>
      <c r="E4" s="45"/>
      <c r="F4" s="45"/>
      <c r="G4" s="45"/>
      <c r="H4" s="45"/>
      <c r="I4" s="45"/>
    </row>
    <row r="5" customFormat="false" ht="15" hidden="false" customHeight="false" outlineLevel="0" collapsed="false">
      <c r="A5" s="5" t="s">
        <v>189</v>
      </c>
    </row>
    <row r="6" customFormat="false" ht="45.75" hidden="false" customHeight="true" outlineLevel="0" collapsed="false">
      <c r="A6" s="45" t="s">
        <v>190</v>
      </c>
      <c r="B6" s="45"/>
      <c r="C6" s="45"/>
      <c r="D6" s="45"/>
      <c r="E6" s="45"/>
      <c r="F6" s="45"/>
      <c r="G6" s="45"/>
      <c r="H6" s="45"/>
      <c r="I6" s="45"/>
    </row>
    <row r="7" customFormat="false" ht="15" hidden="false" customHeight="false" outlineLevel="0" collapsed="false">
      <c r="A7" s="5" t="s">
        <v>191</v>
      </c>
    </row>
    <row r="8" customFormat="false" ht="45.75" hidden="false" customHeight="true" outlineLevel="0" collapsed="false">
      <c r="A8" s="45" t="s">
        <v>192</v>
      </c>
      <c r="B8" s="45"/>
      <c r="C8" s="45"/>
      <c r="D8" s="45"/>
      <c r="E8" s="45"/>
      <c r="F8" s="45"/>
      <c r="G8" s="45"/>
      <c r="H8" s="45"/>
      <c r="I8" s="45"/>
    </row>
    <row r="10" customFormat="false" ht="15" hidden="false" customHeight="false" outlineLevel="0" collapsed="false">
      <c r="A10" s="4" t="s">
        <v>193</v>
      </c>
      <c r="B10" s="4"/>
      <c r="C10" s="4"/>
      <c r="D10" s="4"/>
      <c r="E10" s="4"/>
      <c r="F10" s="4"/>
      <c r="G10" s="4"/>
      <c r="H10" s="4"/>
      <c r="I10" s="4"/>
    </row>
    <row r="11" customFormat="false" ht="31.5" hidden="false" customHeight="true" outlineLevel="0" collapsed="false">
      <c r="A11" s="7" t="s">
        <v>194</v>
      </c>
      <c r="B11" s="7" t="s">
        <v>195</v>
      </c>
      <c r="C11" s="7" t="s">
        <v>196</v>
      </c>
      <c r="D11" s="7" t="s">
        <v>197</v>
      </c>
      <c r="E11" s="7" t="s">
        <v>198</v>
      </c>
      <c r="F11" s="7" t="s">
        <v>199</v>
      </c>
      <c r="G11" s="7" t="s">
        <v>200</v>
      </c>
      <c r="H11" s="7" t="s">
        <v>201</v>
      </c>
      <c r="I11" s="7" t="s">
        <v>202</v>
      </c>
      <c r="J11" s="7" t="s">
        <v>203</v>
      </c>
    </row>
    <row r="12" customFormat="false" ht="15" hidden="false" customHeight="false" outlineLevel="0" collapsed="false">
      <c r="A12" s="16" t="s">
        <v>204</v>
      </c>
      <c r="B12" s="9" t="n">
        <v>0.00223426127040546</v>
      </c>
      <c r="C12" s="9" t="n">
        <v>0</v>
      </c>
      <c r="D12" s="9" t="n">
        <v>0.00207420856141274</v>
      </c>
      <c r="E12" s="9" t="n">
        <v>0.0283757737687136</v>
      </c>
      <c r="F12" s="9" t="n">
        <v>0.0499641032869432</v>
      </c>
      <c r="G12" s="9" t="n">
        <v>0.0337217966368491</v>
      </c>
      <c r="H12" s="9" t="n">
        <v>0.00941902493729637</v>
      </c>
      <c r="I12" s="9" t="n">
        <v>0.0149614386797408</v>
      </c>
      <c r="J12" s="9" t="n">
        <v>0.00940055886707879</v>
      </c>
    </row>
    <row r="13" customFormat="false" ht="15" hidden="false" customHeight="false" outlineLevel="0" collapsed="false">
      <c r="A13" s="16" t="s">
        <v>205</v>
      </c>
      <c r="B13" s="9" t="n">
        <v>0.781472021586208</v>
      </c>
      <c r="C13" s="9" t="n">
        <v>0.786299218780145</v>
      </c>
      <c r="D13" s="9" t="n">
        <v>0.658991516123794</v>
      </c>
      <c r="E13" s="9" t="n">
        <v>0.706919743471106</v>
      </c>
      <c r="F13" s="9" t="n">
        <v>0.72325602438794</v>
      </c>
      <c r="G13" s="9" t="n">
        <v>0.420052049016227</v>
      </c>
      <c r="H13" s="9" t="n">
        <v>0.760981986852372</v>
      </c>
      <c r="I13" s="9" t="n">
        <v>0.767421327954064</v>
      </c>
      <c r="J13" s="9" t="n">
        <v>0.603677530308934</v>
      </c>
    </row>
    <row r="14" customFormat="false" ht="15" hidden="false" customHeight="false" outlineLevel="0" collapsed="false">
      <c r="A14" s="16" t="s">
        <v>206</v>
      </c>
      <c r="B14" s="9" t="n">
        <v>0.216293717143387</v>
      </c>
      <c r="C14" s="9" t="n">
        <v>0.213700781219855</v>
      </c>
      <c r="D14" s="9" t="n">
        <v>0.338934275314794</v>
      </c>
      <c r="E14" s="9" t="n">
        <v>0.264704482760181</v>
      </c>
      <c r="F14" s="9" t="n">
        <v>0.226779872325117</v>
      </c>
      <c r="G14" s="9" t="n">
        <v>0.546226154346924</v>
      </c>
      <c r="H14" s="9" t="n">
        <v>0.229598988210332</v>
      </c>
      <c r="I14" s="9" t="n">
        <v>0.217617233366196</v>
      </c>
      <c r="J14" s="9" t="n">
        <v>0.386921910823987</v>
      </c>
    </row>
    <row r="16" customFormat="false" ht="15" hidden="false" customHeight="false" outlineLevel="0" collapsed="false">
      <c r="A16" s="4" t="s">
        <v>207</v>
      </c>
      <c r="B16" s="4"/>
      <c r="C16" s="4"/>
      <c r="D16" s="4"/>
      <c r="E16" s="4"/>
      <c r="F16" s="4"/>
      <c r="G16" s="4"/>
      <c r="H16" s="4"/>
      <c r="I16" s="4"/>
    </row>
    <row r="17" customFormat="false" ht="31.5" hidden="false" customHeight="true" outlineLevel="0" collapsed="false">
      <c r="A17" s="7" t="s">
        <v>194</v>
      </c>
      <c r="B17" s="7" t="s">
        <v>208</v>
      </c>
      <c r="C17" s="7" t="s">
        <v>209</v>
      </c>
      <c r="D17" s="7" t="s">
        <v>210</v>
      </c>
      <c r="E17" s="7" t="s">
        <v>211</v>
      </c>
    </row>
    <row r="18" customFormat="false" ht="15" hidden="false" customHeight="false" outlineLevel="0" collapsed="false">
      <c r="A18" s="5" t="s">
        <v>204</v>
      </c>
      <c r="B18" s="46" t="n">
        <v>1</v>
      </c>
      <c r="C18" s="46" t="n">
        <v>1</v>
      </c>
      <c r="D18" s="46" t="n">
        <v>1</v>
      </c>
      <c r="E18" s="3" t="s">
        <v>212</v>
      </c>
    </row>
    <row r="19" customFormat="false" ht="15" hidden="false" customHeight="false" outlineLevel="0" collapsed="false">
      <c r="A19" s="5" t="s">
        <v>205</v>
      </c>
      <c r="B19" s="46" t="n">
        <v>0.9087993842659</v>
      </c>
      <c r="C19" s="46" t="n">
        <v>0.50000000000067</v>
      </c>
      <c r="D19" s="46" t="n">
        <v>1.02784901716105</v>
      </c>
      <c r="E19" s="3" t="s">
        <v>213</v>
      </c>
    </row>
    <row r="20" customFormat="false" ht="15" hidden="false" customHeight="false" outlineLevel="0" collapsed="false">
      <c r="A20" s="5" t="s">
        <v>206</v>
      </c>
      <c r="B20" s="46" t="n">
        <v>1.68605143892932</v>
      </c>
      <c r="C20" s="46" t="n">
        <v>1.73639370618394</v>
      </c>
      <c r="D20" s="46" t="n">
        <v>1.37459185646933</v>
      </c>
      <c r="E20" s="3" t="s">
        <v>214</v>
      </c>
    </row>
    <row r="21" customFormat="false" ht="15" hidden="false" customHeight="false" outlineLevel="0" collapsed="false">
      <c r="A21" s="3" t="s">
        <v>215</v>
      </c>
    </row>
    <row r="23" customFormat="false" ht="15" hidden="false" customHeight="false" outlineLevel="0" collapsed="false">
      <c r="A23" s="4" t="s">
        <v>216</v>
      </c>
      <c r="B23" s="4"/>
      <c r="C23" s="4"/>
      <c r="D23" s="4"/>
      <c r="E23" s="4"/>
      <c r="F23" s="4"/>
      <c r="G23" s="4"/>
      <c r="H23" s="4"/>
      <c r="I23" s="4"/>
    </row>
    <row r="24" customFormat="false" ht="31.5" hidden="false" customHeight="true" outlineLevel="0" collapsed="false">
      <c r="A24" s="7" t="s">
        <v>217</v>
      </c>
      <c r="B24" s="7" t="s">
        <v>218</v>
      </c>
      <c r="C24" s="7" t="s">
        <v>219</v>
      </c>
      <c r="D24" s="7" t="s">
        <v>220</v>
      </c>
      <c r="E24" s="7" t="s">
        <v>221</v>
      </c>
    </row>
    <row r="25" customFormat="false" ht="15" hidden="false" customHeight="false" outlineLevel="0" collapsed="false">
      <c r="A25" s="38" t="s">
        <v>222</v>
      </c>
      <c r="B25" s="38" t="s">
        <v>223</v>
      </c>
      <c r="C25" s="38" t="n">
        <v>20</v>
      </c>
      <c r="D25" s="39" t="n">
        <v>0.205738956169815</v>
      </c>
      <c r="E25" s="16" t="s">
        <v>224</v>
      </c>
    </row>
    <row r="26" customFormat="false" ht="15" hidden="false" customHeight="false" outlineLevel="0" collapsed="false">
      <c r="A26" s="38" t="s">
        <v>225</v>
      </c>
      <c r="B26" s="38" t="s">
        <v>223</v>
      </c>
      <c r="C26" s="38" t="n">
        <v>20</v>
      </c>
      <c r="D26" s="39" t="n">
        <v>0.176790463291517</v>
      </c>
      <c r="E26" s="16" t="s">
        <v>224</v>
      </c>
    </row>
    <row r="27" customFormat="false" ht="15" hidden="false" customHeight="false" outlineLevel="0" collapsed="false">
      <c r="A27" s="38" t="s">
        <v>226</v>
      </c>
      <c r="B27" s="38" t="s">
        <v>223</v>
      </c>
      <c r="C27" s="38" t="n">
        <v>20</v>
      </c>
      <c r="D27" s="39" t="n">
        <v>0.154670138686392</v>
      </c>
      <c r="E27" s="16" t="s">
        <v>224</v>
      </c>
    </row>
    <row r="28" customFormat="false" ht="15" hidden="false" customHeight="false" outlineLevel="0" collapsed="false">
      <c r="A28" s="38" t="s">
        <v>227</v>
      </c>
      <c r="B28" s="38" t="s">
        <v>223</v>
      </c>
      <c r="C28" s="38" t="n">
        <v>20</v>
      </c>
      <c r="D28" s="39" t="n">
        <v>0.0970768642628434</v>
      </c>
      <c r="E28" s="16" t="s">
        <v>224</v>
      </c>
    </row>
    <row r="29" customFormat="false" ht="15" hidden="false" customHeight="false" outlineLevel="0" collapsed="false">
      <c r="A29" s="38" t="s">
        <v>228</v>
      </c>
      <c r="B29" s="38" t="s">
        <v>223</v>
      </c>
      <c r="C29" s="38" t="n">
        <v>20</v>
      </c>
      <c r="D29" s="39" t="n">
        <v>0.0923827920028706</v>
      </c>
      <c r="E29" s="16" t="s">
        <v>224</v>
      </c>
    </row>
    <row r="30" customFormat="false" ht="15" hidden="false" customHeight="false" outlineLevel="0" collapsed="false">
      <c r="A30" s="38" t="s">
        <v>229</v>
      </c>
      <c r="B30" s="38" t="s">
        <v>223</v>
      </c>
      <c r="C30" s="38" t="n">
        <v>20</v>
      </c>
      <c r="D30" s="39" t="n">
        <v>0.0785631908810124</v>
      </c>
      <c r="E30" s="16" t="s">
        <v>224</v>
      </c>
    </row>
    <row r="31" customFormat="false" ht="15" hidden="false" customHeight="false" outlineLevel="0" collapsed="false">
      <c r="A31" s="38" t="s">
        <v>230</v>
      </c>
      <c r="B31" s="38" t="s">
        <v>223</v>
      </c>
      <c r="C31" s="38" t="n">
        <v>20</v>
      </c>
      <c r="D31" s="39" t="n">
        <v>0.0702216656345184</v>
      </c>
      <c r="E31" s="16" t="s">
        <v>224</v>
      </c>
    </row>
    <row r="32" customFormat="false" ht="15" hidden="false" customHeight="false" outlineLevel="0" collapsed="false">
      <c r="A32" s="38" t="s">
        <v>231</v>
      </c>
      <c r="B32" s="38" t="s">
        <v>223</v>
      </c>
      <c r="C32" s="38" t="n">
        <v>20</v>
      </c>
      <c r="D32" s="39" t="n">
        <v>0.0160268502692119</v>
      </c>
      <c r="E32" s="38" t="s">
        <v>232</v>
      </c>
    </row>
    <row r="33" customFormat="false" ht="15" hidden="false" customHeight="false" outlineLevel="0" collapsed="false">
      <c r="A33" s="38" t="s">
        <v>233</v>
      </c>
      <c r="B33" s="38" t="s">
        <v>223</v>
      </c>
      <c r="C33" s="38" t="n">
        <v>20</v>
      </c>
      <c r="D33" s="39" t="n">
        <v>0.0139220627249178</v>
      </c>
      <c r="E33" s="38" t="s">
        <v>232</v>
      </c>
    </row>
    <row r="34" customFormat="false" ht="15" hidden="false" customHeight="false" outlineLevel="0" collapsed="false">
      <c r="A34" s="38" t="s">
        <v>234</v>
      </c>
      <c r="B34" s="38" t="s">
        <v>223</v>
      </c>
      <c r="C34" s="38" t="n">
        <v>18</v>
      </c>
      <c r="D34" s="39" t="n">
        <v>0.0131017249995886</v>
      </c>
      <c r="E34" s="38" t="s">
        <v>232</v>
      </c>
    </row>
    <row r="35" customFormat="false" ht="15" hidden="false" customHeight="false" outlineLevel="0" collapsed="false">
      <c r="A35" s="38" t="s">
        <v>235</v>
      </c>
      <c r="B35" s="38" t="s">
        <v>223</v>
      </c>
      <c r="C35" s="38" t="n">
        <v>20</v>
      </c>
      <c r="D35" s="39" t="n">
        <v>0.0125221134643199</v>
      </c>
      <c r="E35" s="38" t="s">
        <v>232</v>
      </c>
    </row>
    <row r="36" customFormat="false" ht="15" hidden="false" customHeight="false" outlineLevel="0" collapsed="false">
      <c r="A36" s="38" t="s">
        <v>236</v>
      </c>
      <c r="B36" s="38" t="s">
        <v>223</v>
      </c>
      <c r="C36" s="38" t="n">
        <v>20</v>
      </c>
      <c r="D36" s="39" t="n">
        <v>0.00951752326537287</v>
      </c>
      <c r="E36" s="38" t="s">
        <v>232</v>
      </c>
    </row>
    <row r="37" customFormat="false" ht="15" hidden="false" customHeight="false" outlineLevel="0" collapsed="false">
      <c r="A37" s="38" t="s">
        <v>237</v>
      </c>
      <c r="B37" s="38" t="s">
        <v>223</v>
      </c>
      <c r="C37" s="38" t="n">
        <v>20</v>
      </c>
      <c r="D37" s="39" t="n">
        <v>0.00935191456869984</v>
      </c>
      <c r="E37" s="38" t="s">
        <v>232</v>
      </c>
    </row>
    <row r="38" customFormat="false" ht="15" hidden="false" customHeight="false" outlineLevel="0" collapsed="false">
      <c r="A38" s="38" t="s">
        <v>238</v>
      </c>
      <c r="B38" s="38" t="s">
        <v>223</v>
      </c>
      <c r="C38" s="38" t="n">
        <v>20</v>
      </c>
      <c r="D38" s="39" t="n">
        <v>0.00931192690101068</v>
      </c>
      <c r="E38" s="38" t="s">
        <v>232</v>
      </c>
    </row>
    <row r="39" customFormat="false" ht="15" hidden="false" customHeight="false" outlineLevel="0" collapsed="false">
      <c r="A39" s="38" t="s">
        <v>239</v>
      </c>
      <c r="B39" s="38" t="s">
        <v>223</v>
      </c>
      <c r="C39" s="38" t="n">
        <v>20</v>
      </c>
      <c r="D39" s="39" t="n">
        <v>0.00850194164957362</v>
      </c>
      <c r="E39" s="38" t="s">
        <v>232</v>
      </c>
    </row>
    <row r="40" customFormat="false" ht="15" hidden="false" customHeight="false" outlineLevel="0" collapsed="false">
      <c r="A40" s="38" t="s">
        <v>240</v>
      </c>
      <c r="B40" s="38" t="s">
        <v>223</v>
      </c>
      <c r="C40" s="38" t="n">
        <v>19</v>
      </c>
      <c r="D40" s="39" t="n">
        <v>0.00849106249755241</v>
      </c>
      <c r="E40" s="38" t="s">
        <v>232</v>
      </c>
    </row>
    <row r="41" customFormat="false" ht="15" hidden="false" customHeight="false" outlineLevel="0" collapsed="false">
      <c r="A41" s="38" t="s">
        <v>241</v>
      </c>
      <c r="B41" s="38" t="s">
        <v>223</v>
      </c>
      <c r="C41" s="38" t="n">
        <v>20</v>
      </c>
      <c r="D41" s="39" t="n">
        <v>0.00778333998260967</v>
      </c>
      <c r="E41" s="38" t="s">
        <v>232</v>
      </c>
    </row>
    <row r="42" customFormat="false" ht="15" hidden="false" customHeight="false" outlineLevel="0" collapsed="false">
      <c r="A42" s="38" t="s">
        <v>242</v>
      </c>
      <c r="B42" s="38" t="s">
        <v>223</v>
      </c>
      <c r="C42" s="38" t="n">
        <v>20</v>
      </c>
      <c r="D42" s="39" t="n">
        <v>0.007387600614757</v>
      </c>
      <c r="E42" s="38" t="s">
        <v>232</v>
      </c>
    </row>
    <row r="43" customFormat="false" ht="15" hidden="false" customHeight="false" outlineLevel="0" collapsed="false">
      <c r="A43" s="38" t="s">
        <v>243</v>
      </c>
      <c r="B43" s="38" t="s">
        <v>223</v>
      </c>
      <c r="C43" s="38" t="n">
        <v>6</v>
      </c>
      <c r="D43" s="39" t="n">
        <v>0.00316673193582269</v>
      </c>
      <c r="E43" s="38" t="s">
        <v>232</v>
      </c>
    </row>
    <row r="44" customFormat="false" ht="15" hidden="false" customHeight="false" outlineLevel="0" collapsed="false">
      <c r="A44" s="38" t="s">
        <v>244</v>
      </c>
      <c r="B44" s="38" t="s">
        <v>223</v>
      </c>
      <c r="C44" s="38" t="n">
        <v>5</v>
      </c>
      <c r="D44" s="39" t="n">
        <v>0.00294752799831983</v>
      </c>
      <c r="E44" s="38" t="s">
        <v>232</v>
      </c>
    </row>
    <row r="45" customFormat="false" ht="15" hidden="false" customHeight="false" outlineLevel="0" collapsed="false">
      <c r="A45" s="38" t="s">
        <v>245</v>
      </c>
      <c r="B45" s="38" t="s">
        <v>223</v>
      </c>
      <c r="C45" s="38" t="n">
        <v>10</v>
      </c>
      <c r="D45" s="39" t="n">
        <v>0.00252360819927522</v>
      </c>
      <c r="E45" s="38" t="s">
        <v>232</v>
      </c>
    </row>
    <row r="46" customFormat="false" ht="15" hidden="false" customHeight="false" outlineLevel="0" collapsed="false">
      <c r="A46" s="38" t="s">
        <v>233</v>
      </c>
      <c r="B46" s="38" t="s">
        <v>246</v>
      </c>
      <c r="C46" s="38" t="n">
        <v>20</v>
      </c>
      <c r="D46" s="39" t="n">
        <v>0.183730473859097</v>
      </c>
      <c r="E46" s="16" t="s">
        <v>224</v>
      </c>
    </row>
    <row r="47" customFormat="false" ht="15" hidden="false" customHeight="false" outlineLevel="0" collapsed="false">
      <c r="A47" s="38" t="s">
        <v>247</v>
      </c>
      <c r="B47" s="38" t="s">
        <v>246</v>
      </c>
      <c r="C47" s="38" t="n">
        <v>20</v>
      </c>
      <c r="D47" s="39" t="n">
        <v>0.157711849353772</v>
      </c>
      <c r="E47" s="16" t="s">
        <v>224</v>
      </c>
    </row>
    <row r="48" customFormat="false" ht="15" hidden="false" customHeight="false" outlineLevel="0" collapsed="false">
      <c r="A48" s="38" t="s">
        <v>235</v>
      </c>
      <c r="B48" s="38" t="s">
        <v>246</v>
      </c>
      <c r="C48" s="38" t="n">
        <v>20</v>
      </c>
      <c r="D48" s="39" t="n">
        <v>0.120982612308639</v>
      </c>
      <c r="E48" s="16" t="s">
        <v>224</v>
      </c>
    </row>
    <row r="49" customFormat="false" ht="15" hidden="false" customHeight="false" outlineLevel="0" collapsed="false">
      <c r="A49" s="38" t="s">
        <v>231</v>
      </c>
      <c r="B49" s="38" t="s">
        <v>246</v>
      </c>
      <c r="C49" s="38" t="n">
        <v>20</v>
      </c>
      <c r="D49" s="39" t="n">
        <v>0.119644972227419</v>
      </c>
      <c r="E49" s="16" t="s">
        <v>224</v>
      </c>
    </row>
    <row r="50" customFormat="false" ht="15" hidden="false" customHeight="false" outlineLevel="0" collapsed="false">
      <c r="A50" s="38" t="s">
        <v>248</v>
      </c>
      <c r="B50" s="38" t="s">
        <v>246</v>
      </c>
      <c r="C50" s="38" t="n">
        <v>20</v>
      </c>
      <c r="D50" s="39" t="n">
        <v>0.0990719233556831</v>
      </c>
      <c r="E50" s="16" t="s">
        <v>224</v>
      </c>
    </row>
    <row r="51" customFormat="false" ht="15" hidden="false" customHeight="false" outlineLevel="0" collapsed="false">
      <c r="A51" s="38" t="s">
        <v>249</v>
      </c>
      <c r="B51" s="38" t="s">
        <v>246</v>
      </c>
      <c r="C51" s="38" t="n">
        <v>20</v>
      </c>
      <c r="D51" s="39" t="n">
        <v>0.0553580267219931</v>
      </c>
      <c r="E51" s="16" t="s">
        <v>224</v>
      </c>
    </row>
    <row r="52" customFormat="false" ht="15" hidden="false" customHeight="false" outlineLevel="0" collapsed="false">
      <c r="A52" s="38" t="s">
        <v>229</v>
      </c>
      <c r="B52" s="38" t="s">
        <v>246</v>
      </c>
      <c r="C52" s="38" t="n">
        <v>19</v>
      </c>
      <c r="D52" s="39" t="n">
        <v>0.0334759305352711</v>
      </c>
      <c r="E52" s="16" t="s">
        <v>224</v>
      </c>
    </row>
    <row r="53" customFormat="false" ht="15" hidden="false" customHeight="false" outlineLevel="0" collapsed="false">
      <c r="A53" s="38" t="s">
        <v>234</v>
      </c>
      <c r="B53" s="38" t="s">
        <v>246</v>
      </c>
      <c r="C53" s="38" t="n">
        <v>19</v>
      </c>
      <c r="D53" s="39" t="n">
        <v>0.0316142285436911</v>
      </c>
      <c r="E53" s="16" t="s">
        <v>224</v>
      </c>
    </row>
    <row r="54" customFormat="false" ht="15" hidden="false" customHeight="false" outlineLevel="0" collapsed="false">
      <c r="A54" s="38" t="s">
        <v>243</v>
      </c>
      <c r="B54" s="38" t="s">
        <v>246</v>
      </c>
      <c r="C54" s="38" t="n">
        <v>20</v>
      </c>
      <c r="D54" s="39" t="n">
        <v>0.0312043883396871</v>
      </c>
      <c r="E54" s="16" t="s">
        <v>224</v>
      </c>
    </row>
    <row r="55" customFormat="false" ht="15" hidden="false" customHeight="false" outlineLevel="0" collapsed="false">
      <c r="A55" s="38" t="s">
        <v>227</v>
      </c>
      <c r="B55" s="38" t="s">
        <v>246</v>
      </c>
      <c r="C55" s="38" t="n">
        <v>20</v>
      </c>
      <c r="D55" s="39" t="n">
        <v>0.0306310955580682</v>
      </c>
      <c r="E55" s="16" t="s">
        <v>224</v>
      </c>
    </row>
    <row r="56" customFormat="false" ht="15" hidden="false" customHeight="false" outlineLevel="0" collapsed="false">
      <c r="A56" s="38" t="s">
        <v>241</v>
      </c>
      <c r="B56" s="38" t="s">
        <v>246</v>
      </c>
      <c r="C56" s="38" t="n">
        <v>20</v>
      </c>
      <c r="D56" s="39" t="n">
        <v>0.0264436125560945</v>
      </c>
      <c r="E56" s="16" t="s">
        <v>224</v>
      </c>
    </row>
    <row r="57" customFormat="false" ht="15" hidden="false" customHeight="false" outlineLevel="0" collapsed="false">
      <c r="A57" s="38" t="s">
        <v>245</v>
      </c>
      <c r="B57" s="38" t="s">
        <v>246</v>
      </c>
      <c r="C57" s="38" t="n">
        <v>16</v>
      </c>
      <c r="D57" s="39" t="n">
        <v>0.0217529171728942</v>
      </c>
      <c r="E57" s="38" t="s">
        <v>232</v>
      </c>
    </row>
    <row r="58" customFormat="false" ht="15" hidden="false" customHeight="false" outlineLevel="0" collapsed="false">
      <c r="A58" s="38" t="s">
        <v>250</v>
      </c>
      <c r="B58" s="38" t="s">
        <v>246</v>
      </c>
      <c r="C58" s="38" t="n">
        <v>12</v>
      </c>
      <c r="D58" s="39" t="n">
        <v>0.0199068210932008</v>
      </c>
      <c r="E58" s="38" t="s">
        <v>232</v>
      </c>
    </row>
    <row r="59" customFormat="false" ht="15" hidden="false" customHeight="false" outlineLevel="0" collapsed="false">
      <c r="A59" s="38" t="s">
        <v>251</v>
      </c>
      <c r="B59" s="38" t="s">
        <v>246</v>
      </c>
      <c r="C59" s="38" t="n">
        <v>4</v>
      </c>
      <c r="D59" s="39" t="n">
        <v>0.0173565486030863</v>
      </c>
      <c r="E59" s="38" t="s">
        <v>232</v>
      </c>
    </row>
    <row r="60" customFormat="false" ht="15" hidden="false" customHeight="false" outlineLevel="0" collapsed="false">
      <c r="A60" s="38" t="s">
        <v>244</v>
      </c>
      <c r="B60" s="38" t="s">
        <v>246</v>
      </c>
      <c r="C60" s="38" t="n">
        <v>8</v>
      </c>
      <c r="D60" s="39" t="n">
        <v>0.0146235584568077</v>
      </c>
      <c r="E60" s="38" t="s">
        <v>232</v>
      </c>
    </row>
    <row r="61" customFormat="false" ht="15" hidden="false" customHeight="false" outlineLevel="0" collapsed="false">
      <c r="A61" s="38" t="s">
        <v>252</v>
      </c>
      <c r="B61" s="38" t="s">
        <v>246</v>
      </c>
      <c r="C61" s="38" t="n">
        <v>8</v>
      </c>
      <c r="D61" s="39" t="n">
        <v>0.0128496795703947</v>
      </c>
      <c r="E61" s="38" t="s">
        <v>232</v>
      </c>
    </row>
    <row r="62" customFormat="false" ht="15" hidden="false" customHeight="false" outlineLevel="0" collapsed="false">
      <c r="A62" s="38" t="s">
        <v>238</v>
      </c>
      <c r="B62" s="38" t="s">
        <v>246</v>
      </c>
      <c r="C62" s="38" t="n">
        <v>4</v>
      </c>
      <c r="D62" s="39" t="n">
        <v>0.0128467941896677</v>
      </c>
      <c r="E62" s="38" t="s">
        <v>232</v>
      </c>
    </row>
    <row r="63" customFormat="false" ht="15" hidden="false" customHeight="false" outlineLevel="0" collapsed="false">
      <c r="A63" s="38" t="s">
        <v>236</v>
      </c>
      <c r="B63" s="38" t="s">
        <v>246</v>
      </c>
      <c r="C63" s="38" t="n">
        <v>5</v>
      </c>
      <c r="D63" s="39" t="n">
        <v>0.0107945675545342</v>
      </c>
      <c r="E63" s="38" t="s">
        <v>232</v>
      </c>
    </row>
  </sheetData>
  <mergeCells count="6">
    <mergeCell ref="A4:I4"/>
    <mergeCell ref="A6:I6"/>
    <mergeCell ref="A8:I8"/>
    <mergeCell ref="A10:I10"/>
    <mergeCell ref="A16:I16"/>
    <mergeCell ref="A23:I23"/>
  </mergeCells>
  <conditionalFormatting sqref="B12:J14">
    <cfRule type="dataBar" priority="2">
      <dataBar showValue="1" minLength="10" maxLength="90">
        <cfvo type="num" val="0"/>
        <cfvo type="num" val="1"/>
        <color rgb="FF5B9BD5"/>
      </dataBar>
      <extLst>
        <ext xmlns:x14="http://schemas.microsoft.com/office/spreadsheetml/2009/9/main" uri="{B025F937-C7B1-47D3-B67F-A62EFF666E3E}">
          <x14:id>{8D216FB3-BDD9-4790-B540-A7715660B0B0}</x14:id>
        </ext>
      </extLst>
    </cfRule>
  </conditionalFormatting>
  <conditionalFormatting sqref="E25:E63">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D216FB3-BDD9-4790-B540-A7715660B0B0}">
            <x14:dataBar minLength="10" maxLength="90" axisPosition="none" gradient="true">
              <x14:cfvo type="num">
                <xm:f>0</xm:f>
              </x14:cfvo>
              <x14:cfvo type="num">
                <xm:f>1</xm:f>
              </x14:cfvo>
              <x14:negativeFillColor rgb="FF5B9BD5"/>
              <x14:axisColor rgb="FF000000"/>
            </x14:dataBar>
          </x14:cfRule>
          <xm:sqref>B12:J14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253</v>
      </c>
      <c r="B1" s="7" t="s">
        <v>254</v>
      </c>
      <c r="C1" s="7" t="s">
        <v>194</v>
      </c>
      <c r="D1" s="7" t="s">
        <v>255</v>
      </c>
      <c r="E1" s="7" t="s">
        <v>256</v>
      </c>
      <c r="F1" s="7" t="s">
        <v>257</v>
      </c>
      <c r="G1" s="7" t="s">
        <v>258</v>
      </c>
      <c r="H1" s="7" t="s">
        <v>259</v>
      </c>
      <c r="I1" s="7" t="s">
        <v>260</v>
      </c>
    </row>
    <row r="2" customFormat="false" ht="28.35" hidden="false" customHeight="false" outlineLevel="0" collapsed="false">
      <c r="A2" s="38" t="n">
        <v>1</v>
      </c>
      <c r="B2" s="47" t="s">
        <v>261</v>
      </c>
      <c r="C2" s="38" t="s">
        <v>205</v>
      </c>
      <c r="D2" s="39" t="n">
        <v>0.152776609764843</v>
      </c>
      <c r="E2" s="39" t="n">
        <v>0.200762452205694</v>
      </c>
      <c r="F2" s="21" t="n">
        <v>190.137007690375</v>
      </c>
      <c r="G2" s="38" t="s">
        <v>262</v>
      </c>
      <c r="H2" s="47" t="s">
        <v>263</v>
      </c>
      <c r="I2" s="38" t="s">
        <v>222</v>
      </c>
    </row>
    <row r="3" customFormat="false" ht="28.35" hidden="false" customHeight="false" outlineLevel="0" collapsed="false">
      <c r="A3" s="38" t="n">
        <v>2</v>
      </c>
      <c r="B3" s="47" t="s">
        <v>264</v>
      </c>
      <c r="C3" s="38" t="s">
        <v>205</v>
      </c>
      <c r="D3" s="39" t="n">
        <v>0.131659428517914</v>
      </c>
      <c r="E3" s="39" t="n">
        <v>0.173012542731127</v>
      </c>
      <c r="F3" s="21" t="n">
        <v>163.855774854231</v>
      </c>
      <c r="G3" s="38" t="s">
        <v>262</v>
      </c>
      <c r="H3" s="47" t="s">
        <v>263</v>
      </c>
      <c r="I3" s="38" t="s">
        <v>225</v>
      </c>
    </row>
    <row r="4" customFormat="false" ht="28.35" hidden="false" customHeight="false" outlineLevel="0" collapsed="false">
      <c r="A4" s="38" t="n">
        <v>3</v>
      </c>
      <c r="B4" s="47" t="s">
        <v>265</v>
      </c>
      <c r="C4" s="38" t="s">
        <v>205</v>
      </c>
      <c r="D4" s="39" t="n">
        <v>0.113784749614047</v>
      </c>
      <c r="E4" s="39" t="n">
        <v>0.149523578192293</v>
      </c>
      <c r="F4" s="21" t="n">
        <v>141.609974496188</v>
      </c>
      <c r="G4" s="38" t="s">
        <v>262</v>
      </c>
      <c r="H4" s="47" t="s">
        <v>263</v>
      </c>
      <c r="I4" s="38" t="s">
        <v>226</v>
      </c>
    </row>
    <row r="5" customFormat="false" ht="41.75" hidden="false" customHeight="false" outlineLevel="0" collapsed="false">
      <c r="A5" s="38" t="n">
        <v>4</v>
      </c>
      <c r="B5" s="47" t="s">
        <v>266</v>
      </c>
      <c r="C5" s="38" t="s">
        <v>206</v>
      </c>
      <c r="D5" s="39" t="n">
        <v>0.0830525178924955</v>
      </c>
      <c r="E5" s="39" t="n">
        <v>0.361728588352543</v>
      </c>
      <c r="F5" s="21" t="n">
        <v>103.362401204849</v>
      </c>
      <c r="G5" s="38" t="s">
        <v>267</v>
      </c>
      <c r="H5" s="47" t="s">
        <v>268</v>
      </c>
      <c r="I5" s="38" t="s">
        <v>227</v>
      </c>
    </row>
    <row r="6" customFormat="false" ht="28.35" hidden="false" customHeight="false" outlineLevel="0" collapsed="false">
      <c r="A6" s="38" t="n">
        <v>5</v>
      </c>
      <c r="B6" s="47" t="s">
        <v>269</v>
      </c>
      <c r="C6" s="38" t="s">
        <v>205</v>
      </c>
      <c r="D6" s="39" t="n">
        <v>0.0706450326786162</v>
      </c>
      <c r="E6" s="39" t="n">
        <v>0.0928340406200982</v>
      </c>
      <c r="F6" s="21" t="n">
        <v>87.9207566025715</v>
      </c>
      <c r="G6" s="38" t="s">
        <v>262</v>
      </c>
      <c r="H6" s="47" t="s">
        <v>263</v>
      </c>
      <c r="I6" s="38" t="s">
        <v>228</v>
      </c>
    </row>
    <row r="7" customFormat="false" ht="41.75" hidden="false" customHeight="false" outlineLevel="0" collapsed="false">
      <c r="A7" s="38" t="n">
        <v>6</v>
      </c>
      <c r="B7" s="47" t="s">
        <v>270</v>
      </c>
      <c r="C7" s="38" t="s">
        <v>206</v>
      </c>
      <c r="D7" s="39" t="n">
        <v>0.0680497294770344</v>
      </c>
      <c r="E7" s="39" t="n">
        <v>0.296385145280759</v>
      </c>
      <c r="F7" s="21" t="n">
        <v>84.6907910629673</v>
      </c>
      <c r="G7" s="38" t="s">
        <v>267</v>
      </c>
      <c r="H7" s="47" t="s">
        <v>271</v>
      </c>
      <c r="I7" s="38" t="s">
        <v>229</v>
      </c>
    </row>
    <row r="8" customFormat="false" ht="41.75" hidden="false" customHeight="false" outlineLevel="0" collapsed="false">
      <c r="A8" s="38" t="n">
        <v>7</v>
      </c>
      <c r="B8" s="47" t="s">
        <v>272</v>
      </c>
      <c r="C8" s="38" t="s">
        <v>205</v>
      </c>
      <c r="D8" s="39" t="n">
        <v>0.0548151763620098</v>
      </c>
      <c r="E8" s="39" t="n">
        <v>0.0720321601681273</v>
      </c>
      <c r="F8" s="21" t="n">
        <v>68.2198251783114</v>
      </c>
      <c r="G8" s="38" t="s">
        <v>267</v>
      </c>
      <c r="H8" s="47" t="s">
        <v>268</v>
      </c>
      <c r="I8" s="38" t="s">
        <v>233</v>
      </c>
    </row>
    <row r="9" customFormat="false" ht="28.35" hidden="false" customHeight="false" outlineLevel="0" collapsed="false">
      <c r="A9" s="38" t="n">
        <v>8</v>
      </c>
      <c r="B9" s="47" t="s">
        <v>273</v>
      </c>
      <c r="C9" s="38" t="s">
        <v>205</v>
      </c>
      <c r="D9" s="39" t="n">
        <v>0.0525049927593474</v>
      </c>
      <c r="E9" s="39" t="n">
        <v>0.0689963674127456</v>
      </c>
      <c r="F9" s="21" t="n">
        <v>65.344703141622</v>
      </c>
      <c r="G9" s="38" t="s">
        <v>262</v>
      </c>
      <c r="H9" s="47" t="s">
        <v>263</v>
      </c>
      <c r="I9" s="38" t="s">
        <v>230</v>
      </c>
    </row>
    <row r="10" customFormat="false" ht="28.35" hidden="false" customHeight="false" outlineLevel="0" collapsed="false">
      <c r="A10" s="38" t="n">
        <v>9</v>
      </c>
      <c r="B10" s="47" t="s">
        <v>274</v>
      </c>
      <c r="C10" s="38" t="s">
        <v>205</v>
      </c>
      <c r="D10" s="39" t="n">
        <v>0.0464853583685701</v>
      </c>
      <c r="E10" s="39" t="n">
        <v>0.0610860167148584</v>
      </c>
      <c r="F10" s="21" t="n">
        <v>57.8530113688161</v>
      </c>
      <c r="G10" s="38" t="s">
        <v>275</v>
      </c>
      <c r="H10" s="47" t="s">
        <v>276</v>
      </c>
      <c r="I10" s="38" t="s">
        <v>247</v>
      </c>
    </row>
    <row r="11" customFormat="false" ht="41.75" hidden="false" customHeight="false" outlineLevel="0" collapsed="false">
      <c r="A11" s="38" t="n">
        <v>10</v>
      </c>
      <c r="B11" s="47" t="s">
        <v>277</v>
      </c>
      <c r="C11" s="38" t="s">
        <v>205</v>
      </c>
      <c r="D11" s="39" t="n">
        <v>0.0416246563961208</v>
      </c>
      <c r="E11" s="39" t="n">
        <v>0.0546986093170111</v>
      </c>
      <c r="F11" s="21" t="n">
        <v>51.8036604260325</v>
      </c>
      <c r="G11" s="38" t="s">
        <v>267</v>
      </c>
      <c r="H11" s="47" t="s">
        <v>268</v>
      </c>
      <c r="I11" s="38" t="s">
        <v>231</v>
      </c>
    </row>
    <row r="12" customFormat="false" ht="41.75" hidden="false" customHeight="false" outlineLevel="0" collapsed="false">
      <c r="A12" s="38" t="n">
        <v>11</v>
      </c>
      <c r="B12" s="47" t="s">
        <v>278</v>
      </c>
      <c r="C12" s="38" t="s">
        <v>205</v>
      </c>
      <c r="D12" s="39" t="n">
        <v>0.0397036955819636</v>
      </c>
      <c r="E12" s="39" t="n">
        <v>0.0521742909397748</v>
      </c>
      <c r="F12" s="21" t="n">
        <v>49.4129427523225</v>
      </c>
      <c r="G12" s="38" t="s">
        <v>267</v>
      </c>
      <c r="H12" s="47" t="s">
        <v>268</v>
      </c>
      <c r="I12" s="38" t="s">
        <v>235</v>
      </c>
    </row>
    <row r="13" customFormat="false" ht="28.35" hidden="false" customHeight="false" outlineLevel="0" collapsed="false">
      <c r="A13" s="38" t="n">
        <v>12</v>
      </c>
      <c r="B13" s="47" t="s">
        <v>279</v>
      </c>
      <c r="C13" s="38" t="s">
        <v>206</v>
      </c>
      <c r="D13" s="39" t="n">
        <v>0.0262663856246951</v>
      </c>
      <c r="E13" s="39" t="n">
        <v>0.11440113839105</v>
      </c>
      <c r="F13" s="21" t="n">
        <v>32.6896373286997</v>
      </c>
      <c r="G13" s="38" t="s">
        <v>275</v>
      </c>
      <c r="H13" s="47" t="s">
        <v>276</v>
      </c>
      <c r="I13" s="38" t="s">
        <v>248</v>
      </c>
    </row>
    <row r="14" customFormat="false" ht="28.35" hidden="false" customHeight="false" outlineLevel="0" collapsed="false">
      <c r="A14" s="38" t="n">
        <v>13</v>
      </c>
      <c r="B14" s="47" t="s">
        <v>280</v>
      </c>
      <c r="C14" s="38" t="s">
        <v>205</v>
      </c>
      <c r="D14" s="39" t="n">
        <v>0.0178865826229515</v>
      </c>
      <c r="E14" s="39" t="n">
        <v>0.0235046071155183</v>
      </c>
      <c r="F14" s="21" t="n">
        <v>22.2606150442099</v>
      </c>
      <c r="G14" s="38" t="s">
        <v>275</v>
      </c>
      <c r="H14" s="47" t="s">
        <v>276</v>
      </c>
      <c r="I14" s="38" t="s">
        <v>249</v>
      </c>
    </row>
    <row r="15" customFormat="false" ht="41.75" hidden="false" customHeight="false" outlineLevel="0" collapsed="false">
      <c r="A15" s="38" t="n">
        <v>14</v>
      </c>
      <c r="B15" s="47" t="s">
        <v>281</v>
      </c>
      <c r="C15" s="38" t="s">
        <v>206</v>
      </c>
      <c r="D15" s="39" t="n">
        <v>0.0149658724610796</v>
      </c>
      <c r="E15" s="39" t="n">
        <v>0.0651826585898088</v>
      </c>
      <c r="F15" s="21" t="n">
        <v>18.6256666619675</v>
      </c>
      <c r="G15" s="38" t="s">
        <v>267</v>
      </c>
      <c r="H15" s="47" t="s">
        <v>282</v>
      </c>
      <c r="I15" s="38" t="s">
        <v>234</v>
      </c>
    </row>
    <row r="16" customFormat="false" ht="41.75" hidden="false" customHeight="false" outlineLevel="0" collapsed="false">
      <c r="A16" s="38" t="n">
        <v>15</v>
      </c>
      <c r="B16" s="47" t="s">
        <v>283</v>
      </c>
      <c r="C16" s="38" t="s">
        <v>205</v>
      </c>
      <c r="D16" s="39" t="n">
        <v>0.0113454405578178</v>
      </c>
      <c r="E16" s="39" t="n">
        <v>0.0149089475885567</v>
      </c>
      <c r="F16" s="21" t="n">
        <v>14.1198847252395</v>
      </c>
      <c r="G16" s="38" t="s">
        <v>267</v>
      </c>
      <c r="H16" s="47" t="s">
        <v>268</v>
      </c>
      <c r="I16" s="38" t="s">
        <v>241</v>
      </c>
    </row>
    <row r="17" customFormat="false" ht="28.35" hidden="false" customHeight="false" outlineLevel="0" collapsed="false">
      <c r="A17" s="38" t="n">
        <v>16</v>
      </c>
      <c r="B17" s="47" t="s">
        <v>284</v>
      </c>
      <c r="C17" s="38" t="s">
        <v>206</v>
      </c>
      <c r="D17" s="39" t="n">
        <v>0.0104481263122439</v>
      </c>
      <c r="E17" s="39" t="n">
        <v>0.0455059771547101</v>
      </c>
      <c r="F17" s="21" t="n">
        <v>13.0031388707925</v>
      </c>
      <c r="G17" s="38" t="s">
        <v>267</v>
      </c>
      <c r="H17" s="47" t="s">
        <v>285</v>
      </c>
      <c r="I17" s="38" t="s">
        <v>238</v>
      </c>
    </row>
    <row r="18" customFormat="false" ht="41.75" hidden="false" customHeight="false" outlineLevel="0" collapsed="false">
      <c r="A18" s="38" t="n">
        <v>17</v>
      </c>
      <c r="B18" s="47" t="s">
        <v>286</v>
      </c>
      <c r="C18" s="38" t="s">
        <v>204</v>
      </c>
      <c r="D18" s="39" t="n">
        <v>0.00941902493729637</v>
      </c>
      <c r="E18" s="39" t="n">
        <v>1</v>
      </c>
      <c r="F18" s="21" t="n">
        <v>11.722378312329</v>
      </c>
      <c r="G18" s="38" t="s">
        <v>267</v>
      </c>
      <c r="H18" s="47" t="s">
        <v>287</v>
      </c>
      <c r="I18" s="38" t="s">
        <v>243</v>
      </c>
    </row>
    <row r="19" customFormat="false" ht="41.75" hidden="false" customHeight="false" outlineLevel="0" collapsed="false">
      <c r="A19" s="38" t="n">
        <v>18</v>
      </c>
      <c r="B19" s="47" t="s">
        <v>288</v>
      </c>
      <c r="C19" s="38" t="s">
        <v>206</v>
      </c>
      <c r="D19" s="39" t="n">
        <v>0.00800328086454978</v>
      </c>
      <c r="E19" s="39" t="n">
        <v>0.0348576486635826</v>
      </c>
      <c r="F19" s="21" t="n">
        <v>9.96042442382635</v>
      </c>
      <c r="G19" s="38" t="s">
        <v>267</v>
      </c>
      <c r="H19" s="47" t="s">
        <v>289</v>
      </c>
      <c r="I19" s="38" t="s">
        <v>245</v>
      </c>
    </row>
    <row r="20" customFormat="false" ht="28.35" hidden="false" customHeight="false" outlineLevel="0" collapsed="false">
      <c r="A20" s="38" t="n">
        <v>19</v>
      </c>
      <c r="B20" s="47" t="s">
        <v>290</v>
      </c>
      <c r="C20" s="38" t="s">
        <v>205</v>
      </c>
      <c r="D20" s="39" t="n">
        <v>0.00759739275442491</v>
      </c>
      <c r="E20" s="39" t="n">
        <v>0.00998366963434941</v>
      </c>
      <c r="F20" s="21" t="n">
        <v>9.45527935721548</v>
      </c>
      <c r="G20" s="38" t="s">
        <v>267</v>
      </c>
      <c r="H20" s="47" t="s">
        <v>291</v>
      </c>
      <c r="I20" s="38" t="s">
        <v>236</v>
      </c>
    </row>
    <row r="21" customFormat="false" ht="28.35" hidden="false" customHeight="false" outlineLevel="0" collapsed="false">
      <c r="A21" s="38" t="n">
        <v>20</v>
      </c>
      <c r="B21" s="47" t="s">
        <v>292</v>
      </c>
      <c r="C21" s="38" t="s">
        <v>205</v>
      </c>
      <c r="D21" s="39" t="n">
        <v>0.00652724775332133</v>
      </c>
      <c r="E21" s="39" t="n">
        <v>0.00857740112919072</v>
      </c>
      <c r="F21" s="21" t="n">
        <v>8.12343825524419</v>
      </c>
      <c r="G21" s="38" t="s">
        <v>262</v>
      </c>
      <c r="H21" s="47" t="s">
        <v>263</v>
      </c>
      <c r="I21" s="38" t="s">
        <v>237</v>
      </c>
    </row>
    <row r="22" customFormat="false" ht="28.35" hidden="false" customHeight="false" outlineLevel="0" collapsed="false">
      <c r="A22" s="38" t="n">
        <v>21</v>
      </c>
      <c r="B22" s="47" t="s">
        <v>293</v>
      </c>
      <c r="C22" s="38" t="s">
        <v>206</v>
      </c>
      <c r="D22" s="39" t="n">
        <v>0.00626640499111005</v>
      </c>
      <c r="E22" s="39" t="n">
        <v>0.0272928249377541</v>
      </c>
      <c r="F22" s="21" t="n">
        <v>7.79880831116515</v>
      </c>
      <c r="G22" s="38" t="s">
        <v>267</v>
      </c>
      <c r="H22" s="47" t="s">
        <v>294</v>
      </c>
      <c r="I22" s="38" t="s">
        <v>244</v>
      </c>
    </row>
    <row r="23" customFormat="false" ht="28.35" hidden="false" customHeight="false" outlineLevel="0" collapsed="false">
      <c r="A23" s="38" t="n">
        <v>22</v>
      </c>
      <c r="B23" s="47" t="s">
        <v>295</v>
      </c>
      <c r="C23" s="38" t="s">
        <v>205</v>
      </c>
      <c r="D23" s="39" t="n">
        <v>0.00528747148685905</v>
      </c>
      <c r="E23" s="39" t="n">
        <v>0.00694822161130182</v>
      </c>
      <c r="F23" s="21" t="n">
        <v>6.58048380774388</v>
      </c>
      <c r="G23" s="38" t="s">
        <v>275</v>
      </c>
      <c r="H23" s="47" t="s">
        <v>296</v>
      </c>
      <c r="I23" s="38" t="s">
        <v>250</v>
      </c>
    </row>
    <row r="24" customFormat="false" ht="28.35" hidden="false" customHeight="false" outlineLevel="0" collapsed="false">
      <c r="A24" s="38" t="n">
        <v>23</v>
      </c>
      <c r="B24" s="47" t="s">
        <v>297</v>
      </c>
      <c r="C24" s="38" t="s">
        <v>205</v>
      </c>
      <c r="D24" s="39" t="n">
        <v>0.00519917250833263</v>
      </c>
      <c r="E24" s="39" t="n">
        <v>0.00683218866958707</v>
      </c>
      <c r="F24" s="21" t="n">
        <v>6.47059196248713</v>
      </c>
      <c r="G24" s="38" t="s">
        <v>262</v>
      </c>
      <c r="H24" s="47" t="s">
        <v>263</v>
      </c>
      <c r="I24" s="38" t="s">
        <v>239</v>
      </c>
    </row>
    <row r="25" customFormat="false" ht="28.35" hidden="false" customHeight="false" outlineLevel="0" collapsed="false">
      <c r="A25" s="38" t="n">
        <v>24</v>
      </c>
      <c r="B25" s="47" t="s">
        <v>298</v>
      </c>
      <c r="C25" s="38" t="s">
        <v>206</v>
      </c>
      <c r="D25" s="39" t="n">
        <v>0.00451986860196053</v>
      </c>
      <c r="E25" s="39" t="n">
        <v>0.0196859256096545</v>
      </c>
      <c r="F25" s="21" t="n">
        <v>5.62516927462423</v>
      </c>
      <c r="G25" s="38" t="s">
        <v>275</v>
      </c>
      <c r="H25" s="47" t="s">
        <v>299</v>
      </c>
      <c r="I25" s="38" t="s">
        <v>251</v>
      </c>
    </row>
    <row r="26" customFormat="false" ht="28.35" hidden="false" customHeight="false" outlineLevel="0" collapsed="false">
      <c r="A26" s="38" t="n">
        <v>25</v>
      </c>
      <c r="B26" s="47" t="s">
        <v>300</v>
      </c>
      <c r="C26" s="38" t="s">
        <v>206</v>
      </c>
      <c r="D26" s="39" t="n">
        <v>0.00431048881040859</v>
      </c>
      <c r="E26" s="39" t="n">
        <v>0.0187739887009425</v>
      </c>
      <c r="F26" s="21" t="n">
        <v>5.36458719273487</v>
      </c>
      <c r="G26" s="38" t="s">
        <v>262</v>
      </c>
      <c r="H26" s="47" t="s">
        <v>301</v>
      </c>
      <c r="I26" s="38" t="s">
        <v>240</v>
      </c>
    </row>
    <row r="27" customFormat="false" ht="28.35" hidden="false" customHeight="false" outlineLevel="0" collapsed="false">
      <c r="A27" s="38" t="n">
        <v>26</v>
      </c>
      <c r="B27" s="47" t="s">
        <v>302</v>
      </c>
      <c r="C27" s="38" t="s">
        <v>206</v>
      </c>
      <c r="D27" s="39" t="n">
        <v>0.00371631317475422</v>
      </c>
      <c r="E27" s="39" t="n">
        <v>0.0161861043191957</v>
      </c>
      <c r="F27" s="21" t="n">
        <v>4.62511026901114</v>
      </c>
      <c r="G27" s="38" t="s">
        <v>262</v>
      </c>
      <c r="H27" s="47" t="s">
        <v>263</v>
      </c>
      <c r="I27" s="38" t="s">
        <v>242</v>
      </c>
    </row>
    <row r="28" customFormat="false" ht="28.35" hidden="false" customHeight="false" outlineLevel="0" collapsed="false">
      <c r="A28" s="38" t="n">
        <v>27</v>
      </c>
      <c r="B28" s="47" t="s">
        <v>303</v>
      </c>
      <c r="C28" s="38" t="s">
        <v>205</v>
      </c>
      <c r="D28" s="39" t="n">
        <v>0.00313897912523295</v>
      </c>
      <c r="E28" s="39" t="n">
        <v>0.00412490594976712</v>
      </c>
      <c r="F28" s="21" t="n">
        <v>3.90659341762463</v>
      </c>
      <c r="G28" s="38" t="s">
        <v>275</v>
      </c>
      <c r="H28" s="47" t="s">
        <v>304</v>
      </c>
      <c r="I28" s="38" t="s">
        <v>252</v>
      </c>
    </row>
    <row r="30" customFormat="false" ht="15" hidden="false" customHeight="false" outlineLevel="0" collapsed="false">
      <c r="B30" s="5" t="s">
        <v>305</v>
      </c>
      <c r="C30" s="5" t="s">
        <v>205</v>
      </c>
      <c r="D30" s="48" t="n">
        <f aca="false">SUMIF(C2:C28,"Historical voter data",D2:D28)</f>
        <v>0.760981986852372</v>
      </c>
      <c r="F30" s="49" t="n">
        <f aca="false">SUMIF(C2:C28,"Historical voter data",F2:F28)</f>
        <v>947.074543080234</v>
      </c>
    </row>
    <row r="31" customFormat="false" ht="15" hidden="false" customHeight="false" outlineLevel="0" collapsed="false">
      <c r="B31" s="5" t="s">
        <v>306</v>
      </c>
      <c r="C31" s="5" t="s">
        <v>206</v>
      </c>
      <c r="D31" s="48" t="n">
        <f aca="false">SUMIF(C2:C28,"Voter registration data",D2:D28)</f>
        <v>0.229598988210332</v>
      </c>
      <c r="F31" s="49" t="n">
        <f aca="false">SUMIF(C2:C28,"Voter registration data",F2:F28)</f>
        <v>285.745734600638</v>
      </c>
    </row>
    <row r="32" customFormat="false" ht="15" hidden="false" customHeight="false" outlineLevel="0" collapsed="false">
      <c r="B32" s="5" t="s">
        <v>307</v>
      </c>
      <c r="C32" s="5" t="s">
        <v>204</v>
      </c>
      <c r="D32" s="48" t="n">
        <f aca="false">SUMIF(C2:C28,"Election type",D2:D28)</f>
        <v>0.00941902493729637</v>
      </c>
      <c r="F32" s="49" t="n">
        <f aca="false">SUMIF(C2:C28,"Election type",F2:F28)</f>
        <v>11.722378312329</v>
      </c>
    </row>
    <row r="33" customFormat="false" ht="15" hidden="false" customHeight="false" outlineLevel="0" collapsed="false">
      <c r="B33" s="5" t="s">
        <v>308</v>
      </c>
      <c r="D33" s="48" t="n">
        <f aca="false">SUM(D2:D28)</f>
        <v>1</v>
      </c>
      <c r="F33" s="49" t="n">
        <f aca="false">SUM(F2:F28)</f>
        <v>1244.5426559932</v>
      </c>
    </row>
    <row r="35" customFormat="false" ht="15" hidden="false" customHeight="false" outlineLevel="0" collapsed="false">
      <c r="B35" s="5" t="s">
        <v>69</v>
      </c>
    </row>
    <row r="36" customFormat="false" ht="30" hidden="false" customHeight="true" outlineLevel="0" collapsed="false">
      <c r="B36" s="50" t="s">
        <v>309</v>
      </c>
    </row>
    <row r="37" customFormat="false" ht="60" hidden="false" customHeight="true" outlineLevel="0" collapsed="false">
      <c r="B37" s="50" t="s">
        <v>310</v>
      </c>
    </row>
    <row r="38" customFormat="false" ht="60" hidden="false" customHeight="true" outlineLevel="0" collapsed="false">
      <c r="B38" s="50" t="s">
        <v>311</v>
      </c>
    </row>
    <row r="39" customFormat="false" ht="30" hidden="false" customHeight="true" outlineLevel="0" collapsed="false">
      <c r="B39" s="50" t="s">
        <v>312</v>
      </c>
    </row>
    <row r="40" customFormat="false" ht="90" hidden="false" customHeight="true" outlineLevel="0" collapsed="false">
      <c r="B40" s="50" t="s">
        <v>313</v>
      </c>
    </row>
    <row r="41" customFormat="false" ht="30" hidden="false" customHeight="true" outlineLevel="0" collapsed="false">
      <c r="B41" s="50" t="s">
        <v>314</v>
      </c>
    </row>
    <row r="42" customFormat="false" ht="75" hidden="false" customHeight="true" outlineLevel="0" collapsed="false">
      <c r="B42" s="50" t="s">
        <v>315</v>
      </c>
    </row>
    <row r="43" customFormat="false" ht="45" hidden="false" customHeight="true" outlineLevel="0" collapsed="false">
      <c r="B43" s="50" t="s">
        <v>316</v>
      </c>
    </row>
    <row r="44" customFormat="false" ht="60" hidden="false" customHeight="true" outlineLevel="0" collapsed="false">
      <c r="B44" s="50" t="s">
        <v>317</v>
      </c>
    </row>
  </sheetData>
  <conditionalFormatting sqref="D2:D28">
    <cfRule type="dataBar" priority="2">
      <dataBar showValue="1" minLength="10" maxLength="90">
        <cfvo type="num" val="0"/>
        <cfvo type="max" val="0"/>
        <color rgb="FF5B9BD5"/>
      </dataBar>
      <extLst>
        <ext xmlns:x14="http://schemas.microsoft.com/office/spreadsheetml/2009/9/main" uri="{B025F937-C7B1-47D3-B67F-A62EFF666E3E}">
          <x14:id>{C7715FE1-20B9-4141-85CB-21A63811C0EE}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7715FE1-20B9-4141-85CB-21A63811C0EE}">
            <x14:dataBar minLength="10" maxLength="90" axisPosition="none" gradient="true">
              <x14:cfvo type="num">
                <xm:f>0</xm:f>
              </x14:cfvo>
              <x14:cfvo type="max"/>
              <x14:negativeFillColor rgb="FF5B9BD5"/>
              <x14:axisColor rgb="FF000000"/>
            </x14:dataBar>
          </x14:cfRule>
          <xm:sqref>D2:D28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253</v>
      </c>
      <c r="B1" s="7" t="s">
        <v>254</v>
      </c>
      <c r="C1" s="7" t="s">
        <v>194</v>
      </c>
      <c r="D1" s="7" t="s">
        <v>255</v>
      </c>
      <c r="E1" s="7" t="s">
        <v>256</v>
      </c>
      <c r="F1" s="7" t="s">
        <v>257</v>
      </c>
      <c r="G1" s="7" t="s">
        <v>258</v>
      </c>
      <c r="H1" s="7" t="s">
        <v>259</v>
      </c>
      <c r="I1" s="7" t="s">
        <v>260</v>
      </c>
    </row>
    <row r="2" customFormat="false" ht="28.35" hidden="false" customHeight="false" outlineLevel="0" collapsed="false">
      <c r="A2" s="38" t="n">
        <v>1</v>
      </c>
      <c r="B2" s="47" t="s">
        <v>261</v>
      </c>
      <c r="C2" s="38" t="s">
        <v>205</v>
      </c>
      <c r="D2" s="39" t="n">
        <v>0.157332917987261</v>
      </c>
      <c r="E2" s="39" t="n">
        <v>0.205015044873341</v>
      </c>
      <c r="F2" s="21" t="n">
        <v>192.75400508572</v>
      </c>
      <c r="G2" s="38" t="s">
        <v>262</v>
      </c>
      <c r="H2" s="47" t="s">
        <v>263</v>
      </c>
      <c r="I2" s="38" t="s">
        <v>222</v>
      </c>
    </row>
    <row r="3" customFormat="false" ht="28.35" hidden="false" customHeight="false" outlineLevel="0" collapsed="false">
      <c r="A3" s="38" t="n">
        <v>2</v>
      </c>
      <c r="B3" s="47" t="s">
        <v>264</v>
      </c>
      <c r="C3" s="38" t="s">
        <v>205</v>
      </c>
      <c r="D3" s="39" t="n">
        <v>0.147618026583566</v>
      </c>
      <c r="E3" s="39" t="n">
        <v>0.192355908295009</v>
      </c>
      <c r="F3" s="21" t="n">
        <v>180.85195527319</v>
      </c>
      <c r="G3" s="38" t="s">
        <v>262</v>
      </c>
      <c r="H3" s="47" t="s">
        <v>263</v>
      </c>
      <c r="I3" s="38" t="s">
        <v>225</v>
      </c>
    </row>
    <row r="4" customFormat="false" ht="28.35" hidden="false" customHeight="false" outlineLevel="0" collapsed="false">
      <c r="A4" s="38" t="n">
        <v>3</v>
      </c>
      <c r="B4" s="47" t="s">
        <v>265</v>
      </c>
      <c r="C4" s="38" t="s">
        <v>205</v>
      </c>
      <c r="D4" s="39" t="n">
        <v>0.11710984889416</v>
      </c>
      <c r="E4" s="39" t="n">
        <v>0.152601764673876</v>
      </c>
      <c r="F4" s="21" t="n">
        <v>143.475330516405</v>
      </c>
      <c r="G4" s="38" t="s">
        <v>262</v>
      </c>
      <c r="H4" s="47" t="s">
        <v>263</v>
      </c>
      <c r="I4" s="38" t="s">
        <v>226</v>
      </c>
    </row>
    <row r="5" customFormat="false" ht="41.75" hidden="false" customHeight="false" outlineLevel="0" collapsed="false">
      <c r="A5" s="38" t="n">
        <v>4</v>
      </c>
      <c r="B5" s="47" t="s">
        <v>266</v>
      </c>
      <c r="C5" s="38" t="s">
        <v>206</v>
      </c>
      <c r="D5" s="39" t="n">
        <v>0.110129683606535</v>
      </c>
      <c r="E5" s="39" t="n">
        <v>0.506070598835406</v>
      </c>
      <c r="F5" s="21" t="n">
        <v>134.923688351738</v>
      </c>
      <c r="G5" s="38" t="s">
        <v>267</v>
      </c>
      <c r="H5" s="47" t="s">
        <v>268</v>
      </c>
      <c r="I5" s="38" t="s">
        <v>227</v>
      </c>
    </row>
    <row r="6" customFormat="false" ht="28.35" hidden="false" customHeight="false" outlineLevel="0" collapsed="false">
      <c r="A6" s="38" t="n">
        <v>5</v>
      </c>
      <c r="B6" s="47" t="s">
        <v>269</v>
      </c>
      <c r="C6" s="38" t="s">
        <v>205</v>
      </c>
      <c r="D6" s="39" t="n">
        <v>0.0701159551750391</v>
      </c>
      <c r="E6" s="39" t="n">
        <v>0.0913656587600548</v>
      </c>
      <c r="F6" s="21" t="n">
        <v>85.9014842748539</v>
      </c>
      <c r="G6" s="38" t="s">
        <v>262</v>
      </c>
      <c r="H6" s="47" t="s">
        <v>263</v>
      </c>
      <c r="I6" s="38" t="s">
        <v>228</v>
      </c>
    </row>
    <row r="7" customFormat="false" ht="41.75" hidden="false" customHeight="false" outlineLevel="0" collapsed="false">
      <c r="A7" s="38" t="n">
        <v>6</v>
      </c>
      <c r="B7" s="47" t="s">
        <v>270</v>
      </c>
      <c r="C7" s="38" t="s">
        <v>206</v>
      </c>
      <c r="D7" s="39" t="n">
        <v>0.0694932010194095</v>
      </c>
      <c r="E7" s="39" t="n">
        <v>0.319336846372225</v>
      </c>
      <c r="F7" s="21" t="n">
        <v>85.138526597484</v>
      </c>
      <c r="G7" s="38" t="s">
        <v>267</v>
      </c>
      <c r="H7" s="47" t="s">
        <v>271</v>
      </c>
      <c r="I7" s="38" t="s">
        <v>229</v>
      </c>
    </row>
    <row r="8" customFormat="false" ht="28.35" hidden="false" customHeight="false" outlineLevel="0" collapsed="false">
      <c r="A8" s="38" t="n">
        <v>7</v>
      </c>
      <c r="B8" s="47" t="s">
        <v>272</v>
      </c>
      <c r="C8" s="38" t="s">
        <v>205</v>
      </c>
      <c r="D8" s="39" t="n">
        <v>0.0606784061346103</v>
      </c>
      <c r="E8" s="39" t="n">
        <v>0.0790679173543147</v>
      </c>
      <c r="F8" s="21" t="n">
        <v>74.3392161938486</v>
      </c>
      <c r="G8" s="38" t="s">
        <v>275</v>
      </c>
      <c r="H8" s="47" t="s">
        <v>276</v>
      </c>
      <c r="I8" s="38" t="s">
        <v>233</v>
      </c>
    </row>
    <row r="9" customFormat="false" ht="28.35" hidden="false" customHeight="false" outlineLevel="0" collapsed="false">
      <c r="A9" s="38" t="n">
        <v>8</v>
      </c>
      <c r="B9" s="47" t="s">
        <v>273</v>
      </c>
      <c r="C9" s="38" t="s">
        <v>205</v>
      </c>
      <c r="D9" s="39" t="n">
        <v>0.0586700798881459</v>
      </c>
      <c r="E9" s="39" t="n">
        <v>0.0764509373808513</v>
      </c>
      <c r="F9" s="21" t="n">
        <v>71.8787461760222</v>
      </c>
      <c r="G9" s="38" t="s">
        <v>262</v>
      </c>
      <c r="H9" s="47" t="s">
        <v>263</v>
      </c>
      <c r="I9" s="38" t="s">
        <v>230</v>
      </c>
    </row>
    <row r="10" customFormat="false" ht="28.35" hidden="false" customHeight="false" outlineLevel="0" collapsed="false">
      <c r="A10" s="38" t="n">
        <v>9</v>
      </c>
      <c r="B10" s="47" t="s">
        <v>274</v>
      </c>
      <c r="C10" s="38" t="s">
        <v>205</v>
      </c>
      <c r="D10" s="39" t="n">
        <v>0.0562369618219898</v>
      </c>
      <c r="E10" s="39" t="n">
        <v>0.0732804259844027</v>
      </c>
      <c r="F10" s="21" t="n">
        <v>68.8978489925352</v>
      </c>
      <c r="G10" s="38" t="s">
        <v>275</v>
      </c>
      <c r="H10" s="47" t="s">
        <v>276</v>
      </c>
      <c r="I10" s="38" t="s">
        <v>247</v>
      </c>
    </row>
    <row r="11" customFormat="false" ht="28.35" hidden="false" customHeight="false" outlineLevel="0" collapsed="false">
      <c r="A11" s="38" t="n">
        <v>10</v>
      </c>
      <c r="B11" s="47" t="s">
        <v>277</v>
      </c>
      <c r="C11" s="38" t="s">
        <v>205</v>
      </c>
      <c r="D11" s="39" t="n">
        <v>0.0385050163714703</v>
      </c>
      <c r="E11" s="39" t="n">
        <v>0.0501745455447847</v>
      </c>
      <c r="F11" s="21" t="n">
        <v>47.1738286967579</v>
      </c>
      <c r="G11" s="38" t="s">
        <v>275</v>
      </c>
      <c r="H11" s="47" t="s">
        <v>276</v>
      </c>
      <c r="I11" s="38" t="s">
        <v>231</v>
      </c>
    </row>
    <row r="12" customFormat="false" ht="28.35" hidden="false" customHeight="false" outlineLevel="0" collapsed="false">
      <c r="A12" s="38" t="n">
        <v>11</v>
      </c>
      <c r="B12" s="47" t="s">
        <v>278</v>
      </c>
      <c r="C12" s="38" t="s">
        <v>205</v>
      </c>
      <c r="D12" s="39" t="n">
        <v>0.0306192028430652</v>
      </c>
      <c r="E12" s="39" t="n">
        <v>0.0398988166314007</v>
      </c>
      <c r="F12" s="21" t="n">
        <v>37.5126455165012</v>
      </c>
      <c r="G12" s="38" t="s">
        <v>275</v>
      </c>
      <c r="H12" s="47" t="s">
        <v>276</v>
      </c>
      <c r="I12" s="38" t="s">
        <v>235</v>
      </c>
    </row>
    <row r="13" customFormat="false" ht="28.35" hidden="false" customHeight="false" outlineLevel="0" collapsed="false">
      <c r="A13" s="38" t="n">
        <v>12</v>
      </c>
      <c r="B13" s="47" t="s">
        <v>279</v>
      </c>
      <c r="C13" s="38" t="s">
        <v>206</v>
      </c>
      <c r="D13" s="39" t="n">
        <v>0.0296847824267819</v>
      </c>
      <c r="E13" s="39" t="n">
        <v>0.136408233702842</v>
      </c>
      <c r="F13" s="21" t="n">
        <v>36.3678547125383</v>
      </c>
      <c r="G13" s="38" t="s">
        <v>275</v>
      </c>
      <c r="H13" s="47" t="s">
        <v>276</v>
      </c>
      <c r="I13" s="38" t="s">
        <v>248</v>
      </c>
    </row>
    <row r="14" customFormat="false" ht="28.35" hidden="false" customHeight="false" outlineLevel="0" collapsed="false">
      <c r="A14" s="38" t="n">
        <v>13</v>
      </c>
      <c r="B14" s="47" t="s">
        <v>280</v>
      </c>
      <c r="C14" s="38" t="s">
        <v>205</v>
      </c>
      <c r="D14" s="39" t="n">
        <v>0.0175573261772642</v>
      </c>
      <c r="E14" s="39" t="n">
        <v>0.0228783401473501</v>
      </c>
      <c r="F14" s="21" t="n">
        <v>21.5100881783559</v>
      </c>
      <c r="G14" s="38" t="s">
        <v>275</v>
      </c>
      <c r="H14" s="47" t="s">
        <v>276</v>
      </c>
      <c r="I14" s="38" t="s">
        <v>249</v>
      </c>
    </row>
    <row r="15" customFormat="false" ht="28.35" hidden="false" customHeight="false" outlineLevel="0" collapsed="false">
      <c r="A15" s="38" t="n">
        <v>14</v>
      </c>
      <c r="B15" s="47" t="s">
        <v>286</v>
      </c>
      <c r="C15" s="38" t="s">
        <v>204</v>
      </c>
      <c r="D15" s="39" t="n">
        <v>0.0149614386797408</v>
      </c>
      <c r="E15" s="39" t="n">
        <v>1</v>
      </c>
      <c r="F15" s="21" t="n">
        <v>18.3297765290157</v>
      </c>
      <c r="G15" s="38" t="s">
        <v>275</v>
      </c>
      <c r="H15" s="47" t="s">
        <v>276</v>
      </c>
      <c r="I15" s="38" t="s">
        <v>243</v>
      </c>
    </row>
    <row r="16" customFormat="false" ht="28.35" hidden="false" customHeight="false" outlineLevel="0" collapsed="false">
      <c r="A16" s="38" t="n">
        <v>15</v>
      </c>
      <c r="B16" s="47" t="s">
        <v>283</v>
      </c>
      <c r="C16" s="38" t="s">
        <v>205</v>
      </c>
      <c r="D16" s="39" t="n">
        <v>0.0129775860774921</v>
      </c>
      <c r="E16" s="39" t="n">
        <v>0.0169106403546149</v>
      </c>
      <c r="F16" s="21" t="n">
        <v>15.8992900200568</v>
      </c>
      <c r="G16" s="38" t="s">
        <v>275</v>
      </c>
      <c r="H16" s="47" t="s">
        <v>276</v>
      </c>
      <c r="I16" s="38" t="s">
        <v>241</v>
      </c>
    </row>
    <row r="17" customFormat="false" ht="28.35" hidden="false" customHeight="false" outlineLevel="0" collapsed="false">
      <c r="A17" s="38" t="n">
        <v>16</v>
      </c>
      <c r="B17" s="47" t="s">
        <v>281</v>
      </c>
      <c r="C17" s="38" t="s">
        <v>206</v>
      </c>
      <c r="D17" s="39" t="n">
        <v>0.00830956631346923</v>
      </c>
      <c r="E17" s="39" t="n">
        <v>0.0381843210895265</v>
      </c>
      <c r="F17" s="21" t="n">
        <v>10.1803373886211</v>
      </c>
      <c r="G17" s="38" t="s">
        <v>275</v>
      </c>
      <c r="H17" s="47" t="s">
        <v>318</v>
      </c>
      <c r="I17" s="38" t="s">
        <v>234</v>
      </c>
    </row>
    <row r="19" customFormat="false" ht="15" hidden="false" customHeight="false" outlineLevel="0" collapsed="false">
      <c r="B19" s="5" t="s">
        <v>305</v>
      </c>
      <c r="C19" s="5" t="s">
        <v>205</v>
      </c>
      <c r="D19" s="48" t="n">
        <f aca="false">SUMIF(C2:C17,"Historical voter data",D2:D17)</f>
        <v>0.767421327954064</v>
      </c>
      <c r="F19" s="49" t="n">
        <f aca="false">SUMIF(C2:C17,"Historical voter data",F2:F17)</f>
        <v>940.194438924246</v>
      </c>
    </row>
    <row r="20" customFormat="false" ht="15" hidden="false" customHeight="false" outlineLevel="0" collapsed="false">
      <c r="B20" s="5" t="s">
        <v>306</v>
      </c>
      <c r="C20" s="5" t="s">
        <v>206</v>
      </c>
      <c r="D20" s="48" t="n">
        <f aca="false">SUMIF(C2:C17,"Voter registration data",D2:D17)</f>
        <v>0.217617233366196</v>
      </c>
      <c r="F20" s="49" t="n">
        <f aca="false">SUMIF(C2:C17,"Voter registration data",F2:F17)</f>
        <v>266.610407050381</v>
      </c>
    </row>
    <row r="21" customFormat="false" ht="15" hidden="false" customHeight="false" outlineLevel="0" collapsed="false">
      <c r="B21" s="5" t="s">
        <v>307</v>
      </c>
      <c r="C21" s="5" t="s">
        <v>204</v>
      </c>
      <c r="D21" s="48" t="n">
        <f aca="false">SUMIF(C2:C17,"Election type",D2:D17)</f>
        <v>0.0149614386797408</v>
      </c>
      <c r="F21" s="49" t="n">
        <f aca="false">SUMIF(C2:C17,"Election type",F2:F17)</f>
        <v>18.3297765290157</v>
      </c>
    </row>
    <row r="22" customFormat="false" ht="15" hidden="false" customHeight="false" outlineLevel="0" collapsed="false">
      <c r="B22" s="5" t="s">
        <v>308</v>
      </c>
      <c r="D22" s="48" t="n">
        <f aca="false">SUM(D2:D17)</f>
        <v>1</v>
      </c>
      <c r="F22" s="49" t="n">
        <f aca="false">SUM(F2:F17)</f>
        <v>1225.13462250364</v>
      </c>
    </row>
    <row r="24" customFormat="false" ht="15" hidden="false" customHeight="false" outlineLevel="0" collapsed="false">
      <c r="B24" s="5" t="s">
        <v>69</v>
      </c>
    </row>
    <row r="25" customFormat="false" ht="30" hidden="false" customHeight="true" outlineLevel="0" collapsed="false">
      <c r="B25" s="50" t="s">
        <v>309</v>
      </c>
    </row>
    <row r="26" customFormat="false" ht="60" hidden="false" customHeight="true" outlineLevel="0" collapsed="false">
      <c r="B26" s="50" t="s">
        <v>310</v>
      </c>
    </row>
    <row r="27" customFormat="false" ht="60" hidden="false" customHeight="true" outlineLevel="0" collapsed="false">
      <c r="B27" s="50" t="s">
        <v>311</v>
      </c>
    </row>
    <row r="28" customFormat="false" ht="30" hidden="false" customHeight="true" outlineLevel="0" collapsed="false">
      <c r="B28" s="50" t="s">
        <v>312</v>
      </c>
    </row>
    <row r="29" customFormat="false" ht="90" hidden="false" customHeight="true" outlineLevel="0" collapsed="false">
      <c r="B29" s="50" t="s">
        <v>313</v>
      </c>
    </row>
    <row r="30" customFormat="false" ht="60" hidden="false" customHeight="true" outlineLevel="0" collapsed="false">
      <c r="B30" s="50" t="s">
        <v>319</v>
      </c>
    </row>
    <row r="31" customFormat="false" ht="75" hidden="false" customHeight="true" outlineLevel="0" collapsed="false">
      <c r="B31" s="50" t="s">
        <v>315</v>
      </c>
    </row>
    <row r="32" customFormat="false" ht="45" hidden="false" customHeight="true" outlineLevel="0" collapsed="false">
      <c r="B32" s="50" t="s">
        <v>316</v>
      </c>
    </row>
    <row r="33" customFormat="false" ht="60" hidden="false" customHeight="true" outlineLevel="0" collapsed="false">
      <c r="B33" s="50" t="s">
        <v>317</v>
      </c>
    </row>
  </sheetData>
  <conditionalFormatting sqref="D2:D17">
    <cfRule type="dataBar" priority="2">
      <dataBar showValue="1" minLength="10" maxLength="90">
        <cfvo type="num" val="0"/>
        <cfvo type="max" val="0"/>
        <color rgb="FF5B9BD5"/>
      </dataBar>
      <extLst>
        <ext xmlns:x14="http://schemas.microsoft.com/office/spreadsheetml/2009/9/main" uri="{B025F937-C7B1-47D3-B67F-A62EFF666E3E}">
          <x14:id>{73A174EF-9EA1-4F4F-81D4-499CC7BD6956}</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3A174EF-9EA1-4F4F-81D4-499CC7BD6956}">
            <x14:dataBar minLength="10" maxLength="90" axisPosition="none" gradient="true">
              <x14:cfvo type="num">
                <xm:f>0</xm:f>
              </x14:cfvo>
              <x14:cfvo type="max"/>
              <x14:negativeFillColor rgb="FF5B9BD5"/>
              <x14:axisColor rgb="FF000000"/>
            </x14:dataBar>
          </x14:cfRule>
          <xm:sqref>D2:D17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253</v>
      </c>
      <c r="B1" s="7" t="s">
        <v>254</v>
      </c>
      <c r="C1" s="7" t="s">
        <v>194</v>
      </c>
      <c r="D1" s="7" t="s">
        <v>255</v>
      </c>
      <c r="E1" s="7" t="s">
        <v>256</v>
      </c>
      <c r="F1" s="7" t="s">
        <v>257</v>
      </c>
      <c r="G1" s="7" t="s">
        <v>258</v>
      </c>
      <c r="H1" s="7" t="s">
        <v>259</v>
      </c>
      <c r="I1" s="7" t="s">
        <v>260</v>
      </c>
    </row>
    <row r="2" customFormat="false" ht="41.75" hidden="false" customHeight="false" outlineLevel="0" collapsed="false">
      <c r="A2" s="38" t="n">
        <v>1</v>
      </c>
      <c r="B2" s="47" t="s">
        <v>266</v>
      </c>
      <c r="C2" s="38" t="s">
        <v>206</v>
      </c>
      <c r="D2" s="39" t="n">
        <v>0.13870951742904</v>
      </c>
      <c r="E2" s="39" t="n">
        <v>0.358494863042634</v>
      </c>
      <c r="F2" s="21" t="n">
        <v>172.459756168196</v>
      </c>
      <c r="G2" s="38" t="s">
        <v>267</v>
      </c>
      <c r="H2" s="47" t="s">
        <v>268</v>
      </c>
      <c r="I2" s="38" t="s">
        <v>227</v>
      </c>
    </row>
    <row r="3" customFormat="false" ht="28.35" hidden="false" customHeight="false" outlineLevel="0" collapsed="false">
      <c r="A3" s="38" t="n">
        <v>2</v>
      </c>
      <c r="B3" s="47" t="s">
        <v>261</v>
      </c>
      <c r="C3" s="38" t="s">
        <v>205</v>
      </c>
      <c r="D3" s="39" t="n">
        <v>0.136492150709992</v>
      </c>
      <c r="E3" s="39" t="n">
        <v>0.226101095132929</v>
      </c>
      <c r="F3" s="21" t="n">
        <v>169.702868747706</v>
      </c>
      <c r="G3" s="38" t="s">
        <v>262</v>
      </c>
      <c r="H3" s="47" t="s">
        <v>263</v>
      </c>
      <c r="I3" s="38" t="s">
        <v>222</v>
      </c>
    </row>
    <row r="4" customFormat="false" ht="28.35" hidden="false" customHeight="false" outlineLevel="0" collapsed="false">
      <c r="A4" s="38" t="n">
        <v>3</v>
      </c>
      <c r="B4" s="47" t="s">
        <v>264</v>
      </c>
      <c r="C4" s="38" t="s">
        <v>205</v>
      </c>
      <c r="D4" s="39" t="n">
        <v>0.117656512769852</v>
      </c>
      <c r="E4" s="39" t="n">
        <v>0.194899605936369</v>
      </c>
      <c r="F4" s="21" t="n">
        <v>146.284219568922</v>
      </c>
      <c r="G4" s="38" t="s">
        <v>262</v>
      </c>
      <c r="H4" s="47" t="s">
        <v>263</v>
      </c>
      <c r="I4" s="38" t="s">
        <v>225</v>
      </c>
    </row>
    <row r="5" customFormat="false" ht="41.75" hidden="false" customHeight="false" outlineLevel="0" collapsed="false">
      <c r="A5" s="38" t="n">
        <v>4</v>
      </c>
      <c r="B5" s="47" t="s">
        <v>270</v>
      </c>
      <c r="C5" s="38" t="s">
        <v>206</v>
      </c>
      <c r="D5" s="39" t="n">
        <v>0.113932488178024</v>
      </c>
      <c r="E5" s="39" t="n">
        <v>0.294458610357304</v>
      </c>
      <c r="F5" s="21" t="n">
        <v>141.654080376062</v>
      </c>
      <c r="G5" s="38" t="s">
        <v>267</v>
      </c>
      <c r="H5" s="47" t="s">
        <v>271</v>
      </c>
      <c r="I5" s="38" t="s">
        <v>229</v>
      </c>
    </row>
    <row r="6" customFormat="false" ht="28.35" hidden="false" customHeight="false" outlineLevel="0" collapsed="false">
      <c r="A6" s="38" t="n">
        <v>5</v>
      </c>
      <c r="B6" s="47" t="s">
        <v>265</v>
      </c>
      <c r="C6" s="38" t="s">
        <v>205</v>
      </c>
      <c r="D6" s="39" t="n">
        <v>0.101714162228838</v>
      </c>
      <c r="E6" s="39" t="n">
        <v>0.168490886478391</v>
      </c>
      <c r="F6" s="21" t="n">
        <v>126.462840776673</v>
      </c>
      <c r="G6" s="38" t="s">
        <v>262</v>
      </c>
      <c r="H6" s="47" t="s">
        <v>263</v>
      </c>
      <c r="I6" s="38" t="s">
        <v>226</v>
      </c>
    </row>
    <row r="7" customFormat="false" ht="28.35" hidden="false" customHeight="false" outlineLevel="0" collapsed="false">
      <c r="A7" s="38" t="n">
        <v>6</v>
      </c>
      <c r="B7" s="47" t="s">
        <v>269</v>
      </c>
      <c r="C7" s="38" t="s">
        <v>205</v>
      </c>
      <c r="D7" s="39" t="n">
        <v>0.0632599340091972</v>
      </c>
      <c r="E7" s="39" t="n">
        <v>0.104790936937513</v>
      </c>
      <c r="F7" s="21" t="n">
        <v>78.6520852833586</v>
      </c>
      <c r="G7" s="38" t="s">
        <v>262</v>
      </c>
      <c r="H7" s="47" t="s">
        <v>263</v>
      </c>
      <c r="I7" s="38" t="s">
        <v>228</v>
      </c>
    </row>
    <row r="8" customFormat="false" ht="28.35" hidden="false" customHeight="false" outlineLevel="0" collapsed="false">
      <c r="A8" s="38" t="n">
        <v>7</v>
      </c>
      <c r="B8" s="47" t="s">
        <v>273</v>
      </c>
      <c r="C8" s="38" t="s">
        <v>205</v>
      </c>
      <c r="D8" s="39" t="n">
        <v>0.0468362404353679</v>
      </c>
      <c r="E8" s="39" t="n">
        <v>0.0775848662304844</v>
      </c>
      <c r="F8" s="21" t="n">
        <v>58.2322450184483</v>
      </c>
      <c r="G8" s="38" t="s">
        <v>262</v>
      </c>
      <c r="H8" s="47" t="s">
        <v>263</v>
      </c>
      <c r="I8" s="38" t="s">
        <v>230</v>
      </c>
    </row>
    <row r="9" customFormat="false" ht="28.35" hidden="false" customHeight="false" outlineLevel="0" collapsed="false">
      <c r="A9" s="38" t="n">
        <v>8</v>
      </c>
      <c r="B9" s="47" t="s">
        <v>279</v>
      </c>
      <c r="C9" s="38" t="s">
        <v>206</v>
      </c>
      <c r="D9" s="39" t="n">
        <v>0.0456537859697756</v>
      </c>
      <c r="E9" s="39" t="n">
        <v>0.117992247770491</v>
      </c>
      <c r="F9" s="21" t="n">
        <v>56.7620805149898</v>
      </c>
      <c r="G9" s="38" t="s">
        <v>275</v>
      </c>
      <c r="H9" s="47" t="s">
        <v>276</v>
      </c>
      <c r="I9" s="38" t="s">
        <v>248</v>
      </c>
    </row>
    <row r="10" customFormat="false" ht="41.75" hidden="false" customHeight="false" outlineLevel="0" collapsed="false">
      <c r="A10" s="38" t="n">
        <v>9</v>
      </c>
      <c r="B10" s="47" t="s">
        <v>272</v>
      </c>
      <c r="C10" s="38" t="s">
        <v>205</v>
      </c>
      <c r="D10" s="39" t="n">
        <v>0.0302729659798228</v>
      </c>
      <c r="E10" s="39" t="n">
        <v>0.0501475779036044</v>
      </c>
      <c r="F10" s="21" t="n">
        <v>37.6388616162493</v>
      </c>
      <c r="G10" s="38" t="s">
        <v>267</v>
      </c>
      <c r="H10" s="47" t="s">
        <v>268</v>
      </c>
      <c r="I10" s="38" t="s">
        <v>233</v>
      </c>
    </row>
    <row r="11" customFormat="false" ht="41.75" hidden="false" customHeight="false" outlineLevel="0" collapsed="false">
      <c r="A11" s="38" t="n">
        <v>10</v>
      </c>
      <c r="B11" s="47" t="s">
        <v>281</v>
      </c>
      <c r="C11" s="38" t="s">
        <v>206</v>
      </c>
      <c r="D11" s="39" t="n">
        <v>0.0254129114129945</v>
      </c>
      <c r="E11" s="39" t="n">
        <v>0.0656796906612896</v>
      </c>
      <c r="F11" s="21" t="n">
        <v>31.5962782297984</v>
      </c>
      <c r="G11" s="38" t="s">
        <v>267</v>
      </c>
      <c r="H11" s="47" t="s">
        <v>282</v>
      </c>
      <c r="I11" s="38" t="s">
        <v>234</v>
      </c>
    </row>
    <row r="12" customFormat="false" ht="41.75" hidden="false" customHeight="false" outlineLevel="0" collapsed="false">
      <c r="A12" s="38" t="n">
        <v>11</v>
      </c>
      <c r="B12" s="47" t="s">
        <v>277</v>
      </c>
      <c r="C12" s="38" t="s">
        <v>205</v>
      </c>
      <c r="D12" s="39" t="n">
        <v>0.0246115538554961</v>
      </c>
      <c r="E12" s="39" t="n">
        <v>0.0407693720899319</v>
      </c>
      <c r="F12" s="21" t="n">
        <v>30.5999375926794</v>
      </c>
      <c r="G12" s="38" t="s">
        <v>267</v>
      </c>
      <c r="H12" s="47" t="s">
        <v>268</v>
      </c>
      <c r="I12" s="38" t="s">
        <v>231</v>
      </c>
    </row>
    <row r="13" customFormat="false" ht="28.35" hidden="false" customHeight="false" outlineLevel="0" collapsed="false">
      <c r="A13" s="38" t="n">
        <v>12</v>
      </c>
      <c r="B13" s="47" t="s">
        <v>274</v>
      </c>
      <c r="C13" s="38" t="s">
        <v>205</v>
      </c>
      <c r="D13" s="39" t="n">
        <v>0.0232656112564881</v>
      </c>
      <c r="E13" s="39" t="n">
        <v>0.0385397999567449</v>
      </c>
      <c r="F13" s="21" t="n">
        <v>28.9265056844468</v>
      </c>
      <c r="G13" s="38" t="s">
        <v>275</v>
      </c>
      <c r="H13" s="47" t="s">
        <v>276</v>
      </c>
      <c r="I13" s="38" t="s">
        <v>247</v>
      </c>
    </row>
    <row r="14" customFormat="false" ht="41.75" hidden="false" customHeight="false" outlineLevel="0" collapsed="false">
      <c r="A14" s="38" t="n">
        <v>13</v>
      </c>
      <c r="B14" s="47" t="s">
        <v>278</v>
      </c>
      <c r="C14" s="38" t="s">
        <v>205</v>
      </c>
      <c r="D14" s="39" t="n">
        <v>0.0225686130957263</v>
      </c>
      <c r="E14" s="39" t="n">
        <v>0.0373852130692636</v>
      </c>
      <c r="F14" s="21" t="n">
        <v>28.0599167503735</v>
      </c>
      <c r="G14" s="38" t="s">
        <v>267</v>
      </c>
      <c r="H14" s="47" t="s">
        <v>268</v>
      </c>
      <c r="I14" s="38" t="s">
        <v>235</v>
      </c>
    </row>
    <row r="15" customFormat="false" ht="28.35" hidden="false" customHeight="false" outlineLevel="0" collapsed="false">
      <c r="A15" s="38" t="n">
        <v>14</v>
      </c>
      <c r="B15" s="47" t="s">
        <v>284</v>
      </c>
      <c r="C15" s="38" t="s">
        <v>206</v>
      </c>
      <c r="D15" s="39" t="n">
        <v>0.017567267401598</v>
      </c>
      <c r="E15" s="39" t="n">
        <v>0.0454026171952548</v>
      </c>
      <c r="F15" s="21" t="n">
        <v>21.8416638510114</v>
      </c>
      <c r="G15" s="38" t="s">
        <v>267</v>
      </c>
      <c r="H15" s="47" t="s">
        <v>285</v>
      </c>
      <c r="I15" s="38" t="s">
        <v>238</v>
      </c>
    </row>
    <row r="16" customFormat="false" ht="41.75" hidden="false" customHeight="false" outlineLevel="0" collapsed="false">
      <c r="A16" s="38" t="n">
        <v>15</v>
      </c>
      <c r="B16" s="47" t="s">
        <v>288</v>
      </c>
      <c r="C16" s="38" t="s">
        <v>206</v>
      </c>
      <c r="D16" s="39" t="n">
        <v>0.013747670695622</v>
      </c>
      <c r="E16" s="39" t="n">
        <v>0.0355308663351348</v>
      </c>
      <c r="F16" s="21" t="n">
        <v>17.0926983237508</v>
      </c>
      <c r="G16" s="38" t="s">
        <v>267</v>
      </c>
      <c r="H16" s="47" t="s">
        <v>289</v>
      </c>
      <c r="I16" s="38" t="s">
        <v>245</v>
      </c>
    </row>
    <row r="17" customFormat="false" ht="28.35" hidden="false" customHeight="false" outlineLevel="0" collapsed="false">
      <c r="A17" s="38" t="n">
        <v>16</v>
      </c>
      <c r="B17" s="47" t="s">
        <v>293</v>
      </c>
      <c r="C17" s="38" t="s">
        <v>206</v>
      </c>
      <c r="D17" s="39" t="n">
        <v>0.0107210346976883</v>
      </c>
      <c r="E17" s="39" t="n">
        <v>0.0277085230837841</v>
      </c>
      <c r="F17" s="21" t="n">
        <v>13.3296334967063</v>
      </c>
      <c r="G17" s="38" t="s">
        <v>267</v>
      </c>
      <c r="H17" s="47" t="s">
        <v>294</v>
      </c>
      <c r="I17" s="38" t="s">
        <v>244</v>
      </c>
    </row>
    <row r="18" customFormat="false" ht="41.75" hidden="false" customHeight="false" outlineLevel="0" collapsed="false">
      <c r="A18" s="38" t="n">
        <v>17</v>
      </c>
      <c r="B18" s="47" t="s">
        <v>286</v>
      </c>
      <c r="C18" s="38" t="s">
        <v>204</v>
      </c>
      <c r="D18" s="39" t="n">
        <v>0.00940055886707879</v>
      </c>
      <c r="E18" s="39" t="n">
        <v>1</v>
      </c>
      <c r="F18" s="21" t="n">
        <v>11.6878648279528</v>
      </c>
      <c r="G18" s="38" t="s">
        <v>267</v>
      </c>
      <c r="H18" s="47" t="s">
        <v>287</v>
      </c>
      <c r="I18" s="38" t="s">
        <v>243</v>
      </c>
    </row>
    <row r="19" customFormat="false" ht="28.35" hidden="false" customHeight="false" outlineLevel="0" collapsed="false">
      <c r="A19" s="38" t="n">
        <v>18</v>
      </c>
      <c r="B19" s="47" t="s">
        <v>280</v>
      </c>
      <c r="C19" s="38" t="s">
        <v>205</v>
      </c>
      <c r="D19" s="39" t="n">
        <v>0.00895211508779094</v>
      </c>
      <c r="E19" s="39" t="n">
        <v>0.0148292998137758</v>
      </c>
      <c r="F19" s="21" t="n">
        <v>11.1303075221199</v>
      </c>
      <c r="G19" s="38" t="s">
        <v>275</v>
      </c>
      <c r="H19" s="47" t="s">
        <v>276</v>
      </c>
      <c r="I19" s="38" t="s">
        <v>249</v>
      </c>
    </row>
    <row r="20" customFormat="false" ht="28.35" hidden="false" customHeight="false" outlineLevel="0" collapsed="false">
      <c r="A20" s="38" t="n">
        <v>19</v>
      </c>
      <c r="B20" s="47" t="s">
        <v>298</v>
      </c>
      <c r="C20" s="38" t="s">
        <v>206</v>
      </c>
      <c r="D20" s="39" t="n">
        <v>0.00785601478306973</v>
      </c>
      <c r="E20" s="39" t="n">
        <v>0.0203038767340407</v>
      </c>
      <c r="F20" s="21" t="n">
        <v>9.76750852467682</v>
      </c>
      <c r="G20" s="38" t="s">
        <v>275</v>
      </c>
      <c r="H20" s="47" t="s">
        <v>299</v>
      </c>
      <c r="I20" s="38" t="s">
        <v>251</v>
      </c>
    </row>
    <row r="21" customFormat="false" ht="41.75" hidden="false" customHeight="false" outlineLevel="0" collapsed="false">
      <c r="A21" s="38" t="n">
        <v>20</v>
      </c>
      <c r="B21" s="47" t="s">
        <v>283</v>
      </c>
      <c r="C21" s="38" t="s">
        <v>205</v>
      </c>
      <c r="D21" s="39" t="n">
        <v>0.00737468947985588</v>
      </c>
      <c r="E21" s="39" t="n">
        <v>0.0122162729430758</v>
      </c>
      <c r="F21" s="21" t="n">
        <v>9.16906909551284</v>
      </c>
      <c r="G21" s="38" t="s">
        <v>267</v>
      </c>
      <c r="H21" s="47" t="s">
        <v>268</v>
      </c>
      <c r="I21" s="38" t="s">
        <v>241</v>
      </c>
    </row>
    <row r="22" customFormat="false" ht="28.35" hidden="false" customHeight="false" outlineLevel="0" collapsed="false">
      <c r="A22" s="38" t="n">
        <v>21</v>
      </c>
      <c r="B22" s="47" t="s">
        <v>300</v>
      </c>
      <c r="C22" s="38" t="s">
        <v>206</v>
      </c>
      <c r="D22" s="39" t="n">
        <v>0.00715632976364412</v>
      </c>
      <c r="E22" s="39" t="n">
        <v>0.0184955402199995</v>
      </c>
      <c r="F22" s="21" t="n">
        <v>8.89757897635716</v>
      </c>
      <c r="G22" s="38" t="s">
        <v>262</v>
      </c>
      <c r="H22" s="47" t="s">
        <v>301</v>
      </c>
      <c r="I22" s="38" t="s">
        <v>240</v>
      </c>
    </row>
    <row r="23" customFormat="false" ht="28.35" hidden="false" customHeight="false" outlineLevel="0" collapsed="false">
      <c r="A23" s="38" t="n">
        <v>22</v>
      </c>
      <c r="B23" s="47" t="s">
        <v>302</v>
      </c>
      <c r="C23" s="38" t="s">
        <v>206</v>
      </c>
      <c r="D23" s="39" t="n">
        <v>0.00616489049253109</v>
      </c>
      <c r="E23" s="39" t="n">
        <v>0.0159331646000672</v>
      </c>
      <c r="F23" s="21" t="n">
        <v>7.66490671189487</v>
      </c>
      <c r="G23" s="38" t="s">
        <v>262</v>
      </c>
      <c r="H23" s="47" t="s">
        <v>263</v>
      </c>
      <c r="I23" s="38" t="s">
        <v>242</v>
      </c>
    </row>
    <row r="24" customFormat="false" ht="28.35" hidden="false" customHeight="false" outlineLevel="0" collapsed="false">
      <c r="A24" s="38" t="n">
        <v>23</v>
      </c>
      <c r="B24" s="47" t="s">
        <v>290</v>
      </c>
      <c r="C24" s="38" t="s">
        <v>205</v>
      </c>
      <c r="D24" s="39" t="n">
        <v>0.00597951337823449</v>
      </c>
      <c r="E24" s="39" t="n">
        <v>0.00990514484641237</v>
      </c>
      <c r="F24" s="21" t="n">
        <v>7.43442438794683</v>
      </c>
      <c r="G24" s="38" t="s">
        <v>267</v>
      </c>
      <c r="H24" s="47" t="s">
        <v>291</v>
      </c>
      <c r="I24" s="38" t="s">
        <v>236</v>
      </c>
    </row>
    <row r="25" customFormat="false" ht="28.35" hidden="false" customHeight="false" outlineLevel="0" collapsed="false">
      <c r="A25" s="38" t="n">
        <v>24</v>
      </c>
      <c r="B25" s="47" t="s">
        <v>292</v>
      </c>
      <c r="C25" s="38" t="s">
        <v>205</v>
      </c>
      <c r="D25" s="39" t="n">
        <v>0.00582266731861383</v>
      </c>
      <c r="E25" s="39" t="n">
        <v>0.00964532722566974</v>
      </c>
      <c r="F25" s="21" t="n">
        <v>7.23941517949826</v>
      </c>
      <c r="G25" s="38" t="s">
        <v>262</v>
      </c>
      <c r="H25" s="47" t="s">
        <v>263</v>
      </c>
      <c r="I25" s="38" t="s">
        <v>237</v>
      </c>
    </row>
    <row r="26" customFormat="false" ht="28.35" hidden="false" customHeight="false" outlineLevel="0" collapsed="false">
      <c r="A26" s="38" t="n">
        <v>25</v>
      </c>
      <c r="B26" s="47" t="s">
        <v>297</v>
      </c>
      <c r="C26" s="38" t="s">
        <v>205</v>
      </c>
      <c r="D26" s="39" t="n">
        <v>0.00465341847636652</v>
      </c>
      <c r="E26" s="39" t="n">
        <v>0.00770845069218513</v>
      </c>
      <c r="F26" s="21" t="n">
        <v>5.78566943824386</v>
      </c>
      <c r="G26" s="38" t="s">
        <v>262</v>
      </c>
      <c r="H26" s="47" t="s">
        <v>263</v>
      </c>
      <c r="I26" s="38" t="s">
        <v>239</v>
      </c>
    </row>
    <row r="27" customFormat="false" ht="28.35" hidden="false" customHeight="false" outlineLevel="0" collapsed="false">
      <c r="A27" s="38" t="n">
        <v>26</v>
      </c>
      <c r="B27" s="47" t="s">
        <v>295</v>
      </c>
      <c r="C27" s="38" t="s">
        <v>205</v>
      </c>
      <c r="D27" s="39" t="n">
        <v>0.0026463441492193</v>
      </c>
      <c r="E27" s="39" t="n">
        <v>0.00438370490262412</v>
      </c>
      <c r="F27" s="21" t="n">
        <v>3.29024190387635</v>
      </c>
      <c r="G27" s="38" t="s">
        <v>275</v>
      </c>
      <c r="H27" s="47" t="s">
        <v>296</v>
      </c>
      <c r="I27" s="38" t="s">
        <v>250</v>
      </c>
    </row>
    <row r="28" customFormat="false" ht="28.35" hidden="false" customHeight="false" outlineLevel="0" collapsed="false">
      <c r="A28" s="38" t="n">
        <v>27</v>
      </c>
      <c r="B28" s="47" t="s">
        <v>303</v>
      </c>
      <c r="C28" s="38" t="s">
        <v>205</v>
      </c>
      <c r="D28" s="39" t="n">
        <v>0.00157103807807317</v>
      </c>
      <c r="E28" s="39" t="n">
        <v>0.00260244584102573</v>
      </c>
      <c r="F28" s="21" t="n">
        <v>1.95329670881493</v>
      </c>
      <c r="G28" s="38" t="s">
        <v>275</v>
      </c>
      <c r="H28" s="47" t="s">
        <v>304</v>
      </c>
      <c r="I28" s="38" t="s">
        <v>252</v>
      </c>
    </row>
    <row r="30" customFormat="false" ht="15" hidden="false" customHeight="false" outlineLevel="0" collapsed="false">
      <c r="B30" s="5" t="s">
        <v>306</v>
      </c>
      <c r="C30" s="5" t="s">
        <v>206</v>
      </c>
      <c r="D30" s="48" t="n">
        <f aca="false">SUMIF(C2:C28,"Voter registration data",D2:D28)</f>
        <v>0.386921910823987</v>
      </c>
      <c r="F30" s="49" t="n">
        <f aca="false">SUMIF(C2:C28,"Voter registration data",F2:F28)</f>
        <v>481.066185173444</v>
      </c>
    </row>
    <row r="31" customFormat="false" ht="15" hidden="false" customHeight="false" outlineLevel="0" collapsed="false">
      <c r="B31" s="5" t="s">
        <v>305</v>
      </c>
      <c r="C31" s="5" t="s">
        <v>205</v>
      </c>
      <c r="D31" s="48" t="n">
        <f aca="false">SUMIF(C2:C28,"Historical voter data",D2:D28)</f>
        <v>0.603677530308934</v>
      </c>
      <c r="F31" s="49" t="n">
        <f aca="false">SUMIF(C2:C28,"Historical voter data",F2:F28)</f>
        <v>750.56190527487</v>
      </c>
    </row>
    <row r="32" customFormat="false" ht="15" hidden="false" customHeight="false" outlineLevel="0" collapsed="false">
      <c r="B32" s="5" t="s">
        <v>307</v>
      </c>
      <c r="C32" s="5" t="s">
        <v>204</v>
      </c>
      <c r="D32" s="48" t="n">
        <f aca="false">SUMIF(C2:C28,"Election type",D2:D28)</f>
        <v>0.00940055886707879</v>
      </c>
      <c r="F32" s="49" t="n">
        <f aca="false">SUMIF(C2:C28,"Election type",F2:F28)</f>
        <v>11.6878648279528</v>
      </c>
    </row>
    <row r="33" customFormat="false" ht="15" hidden="false" customHeight="false" outlineLevel="0" collapsed="false">
      <c r="B33" s="5" t="s">
        <v>308</v>
      </c>
      <c r="D33" s="48" t="n">
        <f aca="false">SUM(D2:D28)</f>
        <v>1</v>
      </c>
      <c r="F33" s="49" t="n">
        <f aca="false">SUM(F2:F28)</f>
        <v>1243.31595527627</v>
      </c>
    </row>
    <row r="35" customFormat="false" ht="15" hidden="false" customHeight="false" outlineLevel="0" collapsed="false">
      <c r="B35" s="5" t="s">
        <v>69</v>
      </c>
    </row>
    <row r="36" customFormat="false" ht="30" hidden="false" customHeight="true" outlineLevel="0" collapsed="false">
      <c r="B36" s="50" t="s">
        <v>309</v>
      </c>
    </row>
    <row r="37" customFormat="false" ht="60" hidden="false" customHeight="true" outlineLevel="0" collapsed="false">
      <c r="B37" s="50" t="s">
        <v>310</v>
      </c>
    </row>
    <row r="38" customFormat="false" ht="60" hidden="false" customHeight="true" outlineLevel="0" collapsed="false">
      <c r="B38" s="50" t="s">
        <v>311</v>
      </c>
    </row>
    <row r="39" customFormat="false" ht="30" hidden="false" customHeight="true" outlineLevel="0" collapsed="false">
      <c r="B39" s="50" t="s">
        <v>312</v>
      </c>
    </row>
    <row r="40" customFormat="false" ht="90" hidden="false" customHeight="true" outlineLevel="0" collapsed="false">
      <c r="B40" s="50" t="s">
        <v>313</v>
      </c>
    </row>
    <row r="41" customFormat="false" ht="90" hidden="false" customHeight="true" outlineLevel="0" collapsed="false">
      <c r="B41" s="50" t="s">
        <v>320</v>
      </c>
    </row>
    <row r="42" customFormat="false" ht="75" hidden="false" customHeight="true" outlineLevel="0" collapsed="false">
      <c r="B42" s="50" t="s">
        <v>315</v>
      </c>
    </row>
    <row r="43" customFormat="false" ht="45" hidden="false" customHeight="true" outlineLevel="0" collapsed="false">
      <c r="B43" s="50" t="s">
        <v>316</v>
      </c>
    </row>
    <row r="44" customFormat="false" ht="60" hidden="false" customHeight="true" outlineLevel="0" collapsed="false">
      <c r="B44" s="50" t="s">
        <v>317</v>
      </c>
    </row>
  </sheetData>
  <conditionalFormatting sqref="D2:D28">
    <cfRule type="dataBar" priority="2">
      <dataBar showValue="1" minLength="10" maxLength="90">
        <cfvo type="num" val="0"/>
        <cfvo type="max" val="0"/>
        <color rgb="FF5B9BD5"/>
      </dataBar>
      <extLst>
        <ext xmlns:x14="http://schemas.microsoft.com/office/spreadsheetml/2009/9/main" uri="{B025F937-C7B1-47D3-B67F-A62EFF666E3E}">
          <x14:id>{857140C6-886E-4526-82AA-8EC9D88DF213}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57140C6-886E-4526-82AA-8EC9D88DF213}">
            <x14:dataBar minLength="10" maxLength="90" axisPosition="none" gradient="true">
              <x14:cfvo type="num">
                <xm:f>0</xm:f>
              </x14:cfvo>
              <x14:cfvo type="max"/>
              <x14:negativeFillColor rgb="FF5B9BD5"/>
              <x14:axisColor rgb="FF000000"/>
            </x14:dataBar>
          </x14:cfRule>
          <xm:sqref>D2:D28</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321</v>
      </c>
      <c r="E1" s="7" t="s">
        <v>322</v>
      </c>
      <c r="F1" s="7" t="s">
        <v>323</v>
      </c>
      <c r="G1" s="7" t="s">
        <v>324</v>
      </c>
      <c r="H1" s="7" t="s">
        <v>325</v>
      </c>
      <c r="I1" s="7" t="s">
        <v>326</v>
      </c>
      <c r="J1" s="7" t="s">
        <v>327</v>
      </c>
      <c r="K1" s="7" t="s">
        <v>328</v>
      </c>
      <c r="L1" s="7" t="s">
        <v>329</v>
      </c>
      <c r="M1" s="7" t="s">
        <v>330</v>
      </c>
    </row>
    <row r="2" customFormat="false" ht="15" hidden="false" customHeight="false" outlineLevel="0" collapsed="false">
      <c r="A2" s="38" t="s">
        <v>87</v>
      </c>
      <c r="B2" s="38" t="s">
        <v>88</v>
      </c>
      <c r="C2" s="38" t="s">
        <v>89</v>
      </c>
      <c r="D2" s="21" t="n">
        <v>206</v>
      </c>
      <c r="E2" s="21" t="n">
        <v>181</v>
      </c>
      <c r="F2" s="51" t="n">
        <f aca="false">IF(E2="","",D2-E2)</f>
        <v>25</v>
      </c>
      <c r="G2" s="21" t="n">
        <v>319</v>
      </c>
      <c r="H2" s="21" t="n">
        <v>285</v>
      </c>
      <c r="I2" s="51" t="n">
        <f aca="false">IF(H2="","",G2-H2)</f>
        <v>34</v>
      </c>
      <c r="J2" s="39" t="n">
        <f aca="false">IF(OR(D2="",D2+G2=0),"",D2/(D2+G2))</f>
        <v>0.392380952380952</v>
      </c>
      <c r="K2" s="39" t="n">
        <f aca="false">IF(E2="","",E2/(E2+H2))</f>
        <v>0.388412017167382</v>
      </c>
      <c r="L2" s="52" t="n">
        <f aca="false">IF(OR(K2="",J2=""),"",(J2-K2)*100)</f>
        <v>0.396893521357039</v>
      </c>
      <c r="M2" s="38"/>
    </row>
    <row r="3" customFormat="false" ht="15" hidden="false" customHeight="false" outlineLevel="0" collapsed="false">
      <c r="A3" s="38" t="s">
        <v>87</v>
      </c>
      <c r="B3" s="38" t="s">
        <v>92</v>
      </c>
      <c r="C3" s="38" t="s">
        <v>89</v>
      </c>
      <c r="D3" s="21" t="n">
        <v>132</v>
      </c>
      <c r="E3" s="21" t="n">
        <v>118</v>
      </c>
      <c r="F3" s="51" t="n">
        <f aca="false">IF(E3="","",D3-E3)</f>
        <v>14</v>
      </c>
      <c r="G3" s="21" t="n">
        <v>295</v>
      </c>
      <c r="H3" s="21" t="n">
        <v>300</v>
      </c>
      <c r="I3" s="51" t="n">
        <f aca="false">IF(H3="","",G3-H3)</f>
        <v>-5</v>
      </c>
      <c r="J3" s="39" t="n">
        <f aca="false">IF(OR(D3="",D3+G3=0),"",D3/(D3+G3))</f>
        <v>0.309133489461358</v>
      </c>
      <c r="K3" s="39" t="n">
        <f aca="false">IF(E3="","",E3/(E3+H3))</f>
        <v>0.282296650717703</v>
      </c>
      <c r="L3" s="52" t="n">
        <f aca="false">IF(OR(K3="",J3=""),"",(J3-K3)*100)</f>
        <v>2.6836838743655</v>
      </c>
      <c r="M3" s="38"/>
    </row>
    <row r="4" customFormat="false" ht="15" hidden="false" customHeight="false" outlineLevel="0" collapsed="false">
      <c r="A4" s="38" t="s">
        <v>87</v>
      </c>
      <c r="B4" s="38" t="s">
        <v>93</v>
      </c>
      <c r="C4" s="38" t="s">
        <v>89</v>
      </c>
      <c r="D4" s="21" t="n">
        <v>169</v>
      </c>
      <c r="E4" s="21" t="n">
        <v>144</v>
      </c>
      <c r="F4" s="51" t="n">
        <f aca="false">IF(E4="","",D4-E4)</f>
        <v>25</v>
      </c>
      <c r="G4" s="21" t="n">
        <v>295</v>
      </c>
      <c r="H4" s="21" t="n">
        <v>310</v>
      </c>
      <c r="I4" s="51" t="n">
        <f aca="false">IF(H4="","",G4-H4)</f>
        <v>-15</v>
      </c>
      <c r="J4" s="39" t="n">
        <f aca="false">IF(OR(D4="",D4+G4=0),"",D4/(D4+G4))</f>
        <v>0.364224137931035</v>
      </c>
      <c r="K4" s="39" t="n">
        <f aca="false">IF(E4="","",E4/(E4+H4))</f>
        <v>0.317180616740088</v>
      </c>
      <c r="L4" s="52" t="n">
        <f aca="false">IF(OR(K4="",J4=""),"",(J4-K4)*100)</f>
        <v>4.70435211909464</v>
      </c>
      <c r="M4" s="38"/>
    </row>
    <row r="5" customFormat="false" ht="15" hidden="false" customHeight="false" outlineLevel="0" collapsed="false">
      <c r="A5" s="38" t="s">
        <v>87</v>
      </c>
      <c r="B5" s="38" t="s">
        <v>94</v>
      </c>
      <c r="C5" s="38" t="s">
        <v>89</v>
      </c>
      <c r="D5" s="21" t="n">
        <v>535</v>
      </c>
      <c r="E5" s="21" t="n">
        <v>438</v>
      </c>
      <c r="F5" s="51" t="n">
        <f aca="false">IF(E5="","",D5-E5)</f>
        <v>97</v>
      </c>
      <c r="G5" s="21" t="n">
        <v>1187</v>
      </c>
      <c r="H5" s="21" t="n">
        <v>1253</v>
      </c>
      <c r="I5" s="51" t="n">
        <f aca="false">IF(H5="","",G5-H5)</f>
        <v>-66</v>
      </c>
      <c r="J5" s="39" t="n">
        <f aca="false">IF(OR(D5="",D5+G5=0),"",D5/(D5+G5))</f>
        <v>0.31068524970964</v>
      </c>
      <c r="K5" s="39" t="n">
        <f aca="false">IF(E5="","",E5/(E5+H5))</f>
        <v>0.259018332347723</v>
      </c>
      <c r="L5" s="52" t="n">
        <f aca="false">IF(OR(K5="",J5=""),"",(J5-K5)*100)</f>
        <v>5.16669173619167</v>
      </c>
      <c r="M5" s="38"/>
    </row>
    <row r="6" customFormat="false" ht="15" hidden="false" customHeight="false" outlineLevel="0" collapsed="false">
      <c r="A6" s="38" t="s">
        <v>87</v>
      </c>
      <c r="B6" s="38" t="s">
        <v>95</v>
      </c>
      <c r="C6" s="38" t="s">
        <v>89</v>
      </c>
      <c r="D6" s="21" t="n">
        <v>51</v>
      </c>
      <c r="E6" s="21" t="n">
        <v>38</v>
      </c>
      <c r="F6" s="51" t="n">
        <f aca="false">IF(E6="","",D6-E6)</f>
        <v>13</v>
      </c>
      <c r="G6" s="21" t="n">
        <v>80</v>
      </c>
      <c r="H6" s="21" t="n">
        <v>78</v>
      </c>
      <c r="I6" s="51" t="n">
        <f aca="false">IF(H6="","",G6-H6)</f>
        <v>2</v>
      </c>
      <c r="J6" s="39" t="n">
        <f aca="false">IF(OR(D6="",D6+G6=0),"",D6/(D6+G6))</f>
        <v>0.389312977099237</v>
      </c>
      <c r="K6" s="39" t="n">
        <f aca="false">IF(E6="","",E6/(E6+H6))</f>
        <v>0.327586206896552</v>
      </c>
      <c r="L6" s="52" t="n">
        <f aca="false">IF(OR(K6="",J6=""),"",(J6-K6)*100)</f>
        <v>6.17267702026849</v>
      </c>
      <c r="M6" s="38"/>
    </row>
    <row r="7" customFormat="false" ht="15" hidden="false" customHeight="false" outlineLevel="0" collapsed="false">
      <c r="A7" s="38" t="s">
        <v>87</v>
      </c>
      <c r="B7" s="38" t="s">
        <v>96</v>
      </c>
      <c r="C7" s="38" t="s">
        <v>89</v>
      </c>
      <c r="D7" s="21" t="n">
        <v>839</v>
      </c>
      <c r="E7" s="21" t="n">
        <v>708</v>
      </c>
      <c r="F7" s="51" t="n">
        <f aca="false">IF(E7="","",D7-E7)</f>
        <v>131</v>
      </c>
      <c r="G7" s="21" t="n">
        <v>1847</v>
      </c>
      <c r="H7" s="21" t="n">
        <v>1846</v>
      </c>
      <c r="I7" s="51" t="n">
        <f aca="false">IF(H7="","",G7-H7)</f>
        <v>1</v>
      </c>
      <c r="J7" s="39" t="n">
        <f aca="false">IF(OR(D7="",D7+G7=0),"",D7/(D7+G7))</f>
        <v>0.312360387192852</v>
      </c>
      <c r="K7" s="39" t="n">
        <f aca="false">IF(E7="","",E7/(E7+H7))</f>
        <v>0.277212216131558</v>
      </c>
      <c r="L7" s="52" t="n">
        <f aca="false">IF(OR(K7="",J7=""),"",(J7-K7)*100)</f>
        <v>3.51481710612935</v>
      </c>
      <c r="M7" s="38"/>
    </row>
    <row r="8" customFormat="false" ht="15" hidden="false" customHeight="false" outlineLevel="0" collapsed="false">
      <c r="A8" s="38" t="s">
        <v>87</v>
      </c>
      <c r="B8" s="38" t="s">
        <v>98</v>
      </c>
      <c r="C8" s="38" t="s">
        <v>89</v>
      </c>
      <c r="D8" s="21" t="n">
        <v>1336</v>
      </c>
      <c r="E8" s="21" t="n">
        <v>1104</v>
      </c>
      <c r="F8" s="51" t="n">
        <f aca="false">IF(E8="","",D8-E8)</f>
        <v>232</v>
      </c>
      <c r="G8" s="21" t="n">
        <v>1468</v>
      </c>
      <c r="H8" s="21" t="n">
        <v>1481</v>
      </c>
      <c r="I8" s="51" t="n">
        <f aca="false">IF(H8="","",G8-H8)</f>
        <v>-13</v>
      </c>
      <c r="J8" s="39" t="n">
        <f aca="false">IF(OR(D8="",D8+G8=0),"",D8/(D8+G8))</f>
        <v>0.476462196861626</v>
      </c>
      <c r="K8" s="39" t="n">
        <f aca="false">IF(E8="","",E8/(E8+H8))</f>
        <v>0.427079303675048</v>
      </c>
      <c r="L8" s="52" t="n">
        <f aca="false">IF(OR(K8="",J8=""),"",(J8-K8)*100)</f>
        <v>4.93828931865779</v>
      </c>
      <c r="M8" s="38"/>
    </row>
    <row r="9" customFormat="false" ht="15" hidden="false" customHeight="false" outlineLevel="0" collapsed="false">
      <c r="A9" s="38" t="s">
        <v>87</v>
      </c>
      <c r="B9" s="38" t="s">
        <v>99</v>
      </c>
      <c r="C9" s="38" t="s">
        <v>89</v>
      </c>
      <c r="D9" s="21" t="n">
        <v>411</v>
      </c>
      <c r="E9" s="21" t="n">
        <v>351</v>
      </c>
      <c r="F9" s="51" t="n">
        <f aca="false">IF(E9="","",D9-E9)</f>
        <v>60</v>
      </c>
      <c r="G9" s="21" t="n">
        <v>771</v>
      </c>
      <c r="H9" s="21" t="n">
        <v>697</v>
      </c>
      <c r="I9" s="51" t="n">
        <f aca="false">IF(H9="","",G9-H9)</f>
        <v>74</v>
      </c>
      <c r="J9" s="39" t="n">
        <f aca="false">IF(OR(D9="",D9+G9=0),"",D9/(D9+G9))</f>
        <v>0.347715736040609</v>
      </c>
      <c r="K9" s="39" t="n">
        <f aca="false">IF(E9="","",E9/(E9+H9))</f>
        <v>0.334923664122137</v>
      </c>
      <c r="L9" s="52" t="n">
        <f aca="false">IF(OR(K9="",J9=""),"",(J9-K9)*100)</f>
        <v>1.27920719184717</v>
      </c>
      <c r="M9" s="38"/>
    </row>
    <row r="10" customFormat="false" ht="15" hidden="false" customHeight="false" outlineLevel="0" collapsed="false">
      <c r="A10" s="38" t="s">
        <v>87</v>
      </c>
      <c r="B10" s="38" t="s">
        <v>100</v>
      </c>
      <c r="C10" s="38" t="s">
        <v>89</v>
      </c>
      <c r="D10" s="21" t="n">
        <v>683</v>
      </c>
      <c r="E10" s="21" t="n">
        <v>575</v>
      </c>
      <c r="F10" s="51" t="n">
        <f aca="false">IF(E10="","",D10-E10)</f>
        <v>108</v>
      </c>
      <c r="G10" s="21" t="n">
        <v>857</v>
      </c>
      <c r="H10" s="21" t="n">
        <v>880</v>
      </c>
      <c r="I10" s="51" t="n">
        <f aca="false">IF(H10="","",G10-H10)</f>
        <v>-23</v>
      </c>
      <c r="J10" s="39" t="n">
        <f aca="false">IF(OR(D10="",D10+G10=0),"",D10/(D10+G10))</f>
        <v>0.443506493506494</v>
      </c>
      <c r="K10" s="39" t="n">
        <f aca="false">IF(E10="","",E10/(E10+H10))</f>
        <v>0.395189003436426</v>
      </c>
      <c r="L10" s="52" t="n">
        <f aca="false">IF(OR(K10="",J10=""),"",(J10-K10)*100)</f>
        <v>4.83174900700674</v>
      </c>
      <c r="M10" s="38"/>
    </row>
    <row r="11" customFormat="false" ht="15" hidden="false" customHeight="false" outlineLevel="0" collapsed="false">
      <c r="A11" s="38" t="s">
        <v>87</v>
      </c>
      <c r="B11" s="38" t="s">
        <v>101</v>
      </c>
      <c r="C11" s="38" t="s">
        <v>89</v>
      </c>
      <c r="D11" s="21" t="n">
        <v>51</v>
      </c>
      <c r="E11" s="21" t="n">
        <v>38</v>
      </c>
      <c r="F11" s="51" t="n">
        <f aca="false">IF(E11="","",D11-E11)</f>
        <v>13</v>
      </c>
      <c r="G11" s="21" t="n">
        <v>101</v>
      </c>
      <c r="H11" s="21" t="n">
        <v>107</v>
      </c>
      <c r="I11" s="51" t="n">
        <f aca="false">IF(H11="","",G11-H11)</f>
        <v>-6</v>
      </c>
      <c r="J11" s="39" t="n">
        <f aca="false">IF(OR(D11="",D11+G11=0),"",D11/(D11+G11))</f>
        <v>0.335526315789474</v>
      </c>
      <c r="K11" s="39" t="n">
        <f aca="false">IF(E11="","",E11/(E11+H11))</f>
        <v>0.262068965517241</v>
      </c>
      <c r="L11" s="52" t="n">
        <f aca="false">IF(OR(K11="",J11=""),"",(J11-K11)*100)</f>
        <v>7.34573502722323</v>
      </c>
      <c r="M11" s="38"/>
    </row>
    <row r="12" customFormat="false" ht="15" hidden="false" customHeight="false" outlineLevel="0" collapsed="false">
      <c r="A12" s="38" t="s">
        <v>87</v>
      </c>
      <c r="B12" s="38" t="s">
        <v>102</v>
      </c>
      <c r="C12" s="38" t="s">
        <v>89</v>
      </c>
      <c r="D12" s="21" t="n">
        <v>77</v>
      </c>
      <c r="E12" s="21" t="n">
        <v>58</v>
      </c>
      <c r="F12" s="51" t="n">
        <f aca="false">IF(E12="","",D12-E12)</f>
        <v>19</v>
      </c>
      <c r="G12" s="21" t="n">
        <v>231</v>
      </c>
      <c r="H12" s="21" t="n">
        <v>216</v>
      </c>
      <c r="I12" s="51" t="n">
        <f aca="false">IF(H12="","",G12-H12)</f>
        <v>15</v>
      </c>
      <c r="J12" s="39" t="n">
        <f aca="false">IF(OR(D12="",D12+G12=0),"",D12/(D12+G12))</f>
        <v>0.25</v>
      </c>
      <c r="K12" s="39" t="n">
        <f aca="false">IF(E12="","",E12/(E12+H12))</f>
        <v>0.211678832116788</v>
      </c>
      <c r="L12" s="52" t="n">
        <f aca="false">IF(OR(K12="",J12=""),"",(J12-K12)*100)</f>
        <v>3.83211678832117</v>
      </c>
      <c r="M12" s="38"/>
    </row>
    <row r="13" customFormat="false" ht="15" hidden="false" customHeight="false" outlineLevel="0" collapsed="false">
      <c r="A13" s="38" t="s">
        <v>87</v>
      </c>
      <c r="B13" s="38" t="s">
        <v>103</v>
      </c>
      <c r="C13" s="38" t="s">
        <v>89</v>
      </c>
      <c r="D13" s="21" t="n">
        <v>1049</v>
      </c>
      <c r="E13" s="21" t="n">
        <v>944</v>
      </c>
      <c r="F13" s="51" t="n">
        <f aca="false">IF(E13="","",D13-E13)</f>
        <v>105</v>
      </c>
      <c r="G13" s="21" t="n">
        <v>1377</v>
      </c>
      <c r="H13" s="21" t="n">
        <v>1486</v>
      </c>
      <c r="I13" s="51" t="n">
        <f aca="false">IF(H13="","",G13-H13)</f>
        <v>-109</v>
      </c>
      <c r="J13" s="39" t="n">
        <f aca="false">IF(OR(D13="",D13+G13=0),"",D13/(D13+G13))</f>
        <v>0.43239901071723</v>
      </c>
      <c r="K13" s="39" t="n">
        <f aca="false">IF(E13="","",E13/(E13+H13))</f>
        <v>0.388477366255144</v>
      </c>
      <c r="L13" s="52" t="n">
        <f aca="false">IF(OR(K13="",J13=""),"",(J13-K13)*100)</f>
        <v>4.3921644462086</v>
      </c>
      <c r="M13" s="38"/>
    </row>
    <row r="14" customFormat="false" ht="15" hidden="false" customHeight="false" outlineLevel="0" collapsed="false">
      <c r="A14" s="38" t="s">
        <v>87</v>
      </c>
      <c r="B14" s="38" t="s">
        <v>104</v>
      </c>
      <c r="C14" s="38" t="s">
        <v>89</v>
      </c>
      <c r="D14" s="21" t="n">
        <v>611</v>
      </c>
      <c r="E14" s="21" t="n">
        <v>515</v>
      </c>
      <c r="F14" s="51" t="n">
        <f aca="false">IF(E14="","",D14-E14)</f>
        <v>96</v>
      </c>
      <c r="G14" s="21" t="n">
        <v>1202</v>
      </c>
      <c r="H14" s="21" t="n">
        <v>1293</v>
      </c>
      <c r="I14" s="51" t="n">
        <f aca="false">IF(H14="","",G14-H14)</f>
        <v>-91</v>
      </c>
      <c r="J14" s="39" t="n">
        <f aca="false">IF(OR(D14="",D14+G14=0),"",D14/(D14+G14))</f>
        <v>0.337010479867623</v>
      </c>
      <c r="K14" s="39" t="n">
        <f aca="false">IF(E14="","",E14/(E14+H14))</f>
        <v>0.284845132743363</v>
      </c>
      <c r="L14" s="52" t="n">
        <f aca="false">IF(OR(K14="",J14=""),"",(J14-K14)*100)</f>
        <v>5.21653471242599</v>
      </c>
      <c r="M14" s="38"/>
    </row>
    <row r="15" customFormat="false" ht="15" hidden="false" customHeight="false" outlineLevel="0" collapsed="false">
      <c r="A15" s="38" t="s">
        <v>87</v>
      </c>
      <c r="B15" s="38" t="s">
        <v>105</v>
      </c>
      <c r="C15" s="38" t="s">
        <v>89</v>
      </c>
      <c r="D15" s="21" t="n">
        <v>743</v>
      </c>
      <c r="E15" s="21" t="n">
        <v>694</v>
      </c>
      <c r="F15" s="51" t="n">
        <f aca="false">IF(E15="","",D15-E15)</f>
        <v>49</v>
      </c>
      <c r="G15" s="21" t="n">
        <v>1588</v>
      </c>
      <c r="H15" s="21" t="n">
        <v>1695</v>
      </c>
      <c r="I15" s="51" t="n">
        <f aca="false">IF(H15="","",G15-H15)</f>
        <v>-107</v>
      </c>
      <c r="J15" s="39" t="n">
        <f aca="false">IF(OR(D15="",D15+G15=0),"",D15/(D15+G15))</f>
        <v>0.318747318747319</v>
      </c>
      <c r="K15" s="39" t="n">
        <f aca="false">IF(E15="","",E15/(E15+H15))</f>
        <v>0.290498116366681</v>
      </c>
      <c r="L15" s="52" t="n">
        <f aca="false">IF(OR(K15="",J15=""),"",(J15-K15)*100)</f>
        <v>2.82492023806382</v>
      </c>
      <c r="M15" s="38"/>
    </row>
    <row r="16" customFormat="false" ht="15" hidden="false" customHeight="false" outlineLevel="0" collapsed="false">
      <c r="A16" s="38" t="s">
        <v>87</v>
      </c>
      <c r="B16" s="38" t="s">
        <v>106</v>
      </c>
      <c r="C16" s="38" t="s">
        <v>89</v>
      </c>
      <c r="D16" s="21" t="n">
        <v>694</v>
      </c>
      <c r="E16" s="21" t="n">
        <v>601</v>
      </c>
      <c r="F16" s="51" t="n">
        <f aca="false">IF(E16="","",D16-E16)</f>
        <v>93</v>
      </c>
      <c r="G16" s="21" t="n">
        <v>963</v>
      </c>
      <c r="H16" s="21" t="n">
        <v>955</v>
      </c>
      <c r="I16" s="51" t="n">
        <f aca="false">IF(H16="","",G16-H16)</f>
        <v>8</v>
      </c>
      <c r="J16" s="39" t="n">
        <f aca="false">IF(OR(D16="",D16+G16=0),"",D16/(D16+G16))</f>
        <v>0.418829209414605</v>
      </c>
      <c r="K16" s="39" t="n">
        <f aca="false">IF(E16="","",E16/(E16+H16))</f>
        <v>0.386246786632391</v>
      </c>
      <c r="L16" s="52" t="n">
        <f aca="false">IF(OR(K16="",J16=""),"",(J16-K16)*100)</f>
        <v>3.2582422782214</v>
      </c>
      <c r="M16" s="38"/>
    </row>
    <row r="17" customFormat="false" ht="15" hidden="false" customHeight="false" outlineLevel="0" collapsed="false">
      <c r="A17" s="38" t="s">
        <v>87</v>
      </c>
      <c r="B17" s="38" t="s">
        <v>107</v>
      </c>
      <c r="C17" s="38" t="s">
        <v>89</v>
      </c>
      <c r="D17" s="21" t="n">
        <v>171</v>
      </c>
      <c r="E17" s="21" t="n">
        <v>134</v>
      </c>
      <c r="F17" s="51" t="n">
        <f aca="false">IF(E17="","",D17-E17)</f>
        <v>37</v>
      </c>
      <c r="G17" s="21" t="n">
        <v>546</v>
      </c>
      <c r="H17" s="21" t="n">
        <v>505</v>
      </c>
      <c r="I17" s="51" t="n">
        <f aca="false">IF(H17="","",G17-H17)</f>
        <v>41</v>
      </c>
      <c r="J17" s="39" t="n">
        <f aca="false">IF(OR(D17="",D17+G17=0),"",D17/(D17+G17))</f>
        <v>0.238493723849372</v>
      </c>
      <c r="K17" s="39" t="n">
        <f aca="false">IF(E17="","",E17/(E17+H17))</f>
        <v>0.209702660406886</v>
      </c>
      <c r="L17" s="52" t="n">
        <f aca="false">IF(OR(K17="",J17=""),"",(J17-K17)*100)</f>
        <v>2.87910634424866</v>
      </c>
      <c r="M17" s="38"/>
    </row>
    <row r="18" customFormat="false" ht="15" hidden="false" customHeight="false" outlineLevel="0" collapsed="false">
      <c r="A18" s="38" t="s">
        <v>87</v>
      </c>
      <c r="B18" s="38" t="s">
        <v>108</v>
      </c>
      <c r="C18" s="38" t="s">
        <v>89</v>
      </c>
      <c r="D18" s="21" t="n">
        <v>1101</v>
      </c>
      <c r="E18" s="21" t="n">
        <v>981</v>
      </c>
      <c r="F18" s="51" t="n">
        <f aca="false">IF(E18="","",D18-E18)</f>
        <v>120</v>
      </c>
      <c r="G18" s="21" t="n">
        <v>1619</v>
      </c>
      <c r="H18" s="21" t="n">
        <v>1740</v>
      </c>
      <c r="I18" s="51" t="n">
        <f aca="false">IF(H18="","",G18-H18)</f>
        <v>-121</v>
      </c>
      <c r="J18" s="39" t="n">
        <f aca="false">IF(OR(D18="",D18+G18=0),"",D18/(D18+G18))</f>
        <v>0.404779411764706</v>
      </c>
      <c r="K18" s="39" t="n">
        <f aca="false">IF(E18="","",E18/(E18+H18))</f>
        <v>0.360529217199559</v>
      </c>
      <c r="L18" s="52" t="n">
        <f aca="false">IF(OR(K18="",J18=""),"",(J18-K18)*100)</f>
        <v>4.42501945651469</v>
      </c>
      <c r="M18" s="38"/>
    </row>
    <row r="19" customFormat="false" ht="15" hidden="false" customHeight="false" outlineLevel="0" collapsed="false">
      <c r="A19" s="38" t="s">
        <v>87</v>
      </c>
      <c r="B19" s="38" t="s">
        <v>109</v>
      </c>
      <c r="C19" s="38" t="s">
        <v>89</v>
      </c>
      <c r="D19" s="21" t="n">
        <v>73</v>
      </c>
      <c r="E19" s="21" t="n">
        <v>74</v>
      </c>
      <c r="F19" s="51" t="n">
        <f aca="false">IF(E19="","",D19-E19)</f>
        <v>-1</v>
      </c>
      <c r="G19" s="21" t="n">
        <v>163</v>
      </c>
      <c r="H19" s="21" t="n">
        <v>162</v>
      </c>
      <c r="I19" s="51" t="n">
        <f aca="false">IF(H19="","",G19-H19)</f>
        <v>1</v>
      </c>
      <c r="J19" s="39" t="n">
        <f aca="false">IF(OR(D19="",D19+G19=0),"",D19/(D19+G19))</f>
        <v>0.309322033898305</v>
      </c>
      <c r="K19" s="39" t="n">
        <f aca="false">IF(E19="","",E19/(E19+H19))</f>
        <v>0.313559322033898</v>
      </c>
      <c r="L19" s="52" t="n">
        <f aca="false">IF(OR(K19="",J19=""),"",(J19-K19)*100)</f>
        <v>-0.423728813559321</v>
      </c>
      <c r="M19" s="38"/>
    </row>
    <row r="20" customFormat="false" ht="15" hidden="false" customHeight="false" outlineLevel="0" collapsed="false">
      <c r="A20" s="38" t="s">
        <v>87</v>
      </c>
      <c r="B20" s="38" t="s">
        <v>110</v>
      </c>
      <c r="C20" s="38" t="s">
        <v>89</v>
      </c>
      <c r="D20" s="21" t="n">
        <v>2227</v>
      </c>
      <c r="E20" s="21" t="n">
        <v>2047</v>
      </c>
      <c r="F20" s="51" t="n">
        <f aca="false">IF(E20="","",D20-E20)</f>
        <v>180</v>
      </c>
      <c r="G20" s="21" t="n">
        <v>3733</v>
      </c>
      <c r="H20" s="21" t="n">
        <v>3702</v>
      </c>
      <c r="I20" s="51" t="n">
        <f aca="false">IF(H20="","",G20-H20)</f>
        <v>31</v>
      </c>
      <c r="J20" s="39" t="n">
        <f aca="false">IF(OR(D20="",D20+G20=0),"",D20/(D20+G20))</f>
        <v>0.373657718120805</v>
      </c>
      <c r="K20" s="39" t="n">
        <f aca="false">IF(E20="","",E20/(E20+H20))</f>
        <v>0.356061923812837</v>
      </c>
      <c r="L20" s="52" t="n">
        <f aca="false">IF(OR(K20="",J20=""),"",(J20-K20)*100)</f>
        <v>1.75957943079684</v>
      </c>
      <c r="M20" s="38"/>
    </row>
    <row r="21" customFormat="false" ht="15" hidden="false" customHeight="false" outlineLevel="0" collapsed="false">
      <c r="A21" s="38" t="s">
        <v>87</v>
      </c>
      <c r="B21" s="38" t="s">
        <v>112</v>
      </c>
      <c r="C21" s="38" t="s">
        <v>89</v>
      </c>
      <c r="D21" s="21" t="n">
        <v>790</v>
      </c>
      <c r="E21" s="21" t="n">
        <v>660</v>
      </c>
      <c r="F21" s="51" t="n">
        <f aca="false">IF(E21="","",D21-E21)</f>
        <v>130</v>
      </c>
      <c r="G21" s="21" t="n">
        <v>881</v>
      </c>
      <c r="H21" s="21" t="n">
        <v>913</v>
      </c>
      <c r="I21" s="51" t="n">
        <f aca="false">IF(H21="","",G21-H21)</f>
        <v>-32</v>
      </c>
      <c r="J21" s="39" t="n">
        <f aca="false">IF(OR(D21="",D21+G21=0),"",D21/(D21+G21))</f>
        <v>0.47277079593058</v>
      </c>
      <c r="K21" s="39" t="n">
        <f aca="false">IF(E21="","",E21/(E21+H21))</f>
        <v>0.41958041958042</v>
      </c>
      <c r="L21" s="52" t="n">
        <f aca="false">IF(OR(K21="",J21=""),"",(J21-K21)*100)</f>
        <v>5.31903763501609</v>
      </c>
      <c r="M21" s="38"/>
    </row>
    <row r="22" customFormat="false" ht="15" hidden="false" customHeight="false" outlineLevel="0" collapsed="false">
      <c r="A22" s="38" t="s">
        <v>87</v>
      </c>
      <c r="B22" s="38" t="s">
        <v>113</v>
      </c>
      <c r="C22" s="38" t="s">
        <v>89</v>
      </c>
      <c r="D22" s="21" t="n">
        <v>900</v>
      </c>
      <c r="E22" s="21" t="n">
        <v>802</v>
      </c>
      <c r="F22" s="51" t="n">
        <f aca="false">IF(E22="","",D22-E22)</f>
        <v>98</v>
      </c>
      <c r="G22" s="21" t="n">
        <v>1977</v>
      </c>
      <c r="H22" s="21" t="n">
        <v>1955</v>
      </c>
      <c r="I22" s="51" t="n">
        <f aca="false">IF(H22="","",G22-H22)</f>
        <v>22</v>
      </c>
      <c r="J22" s="39" t="n">
        <f aca="false">IF(OR(D22="",D22+G22=0),"",D22/(D22+G22))</f>
        <v>0.312825860271116</v>
      </c>
      <c r="K22" s="39" t="n">
        <f aca="false">IF(E22="","",E22/(E22+H22))</f>
        <v>0.290895901342038</v>
      </c>
      <c r="L22" s="52" t="n">
        <f aca="false">IF(OR(K22="",J22=""),"",(J22-K22)*100)</f>
        <v>2.19299589290773</v>
      </c>
      <c r="M22" s="38"/>
    </row>
    <row r="23" customFormat="false" ht="15" hidden="false" customHeight="false" outlineLevel="0" collapsed="false">
      <c r="A23" s="38" t="s">
        <v>87</v>
      </c>
      <c r="B23" s="38" t="s">
        <v>114</v>
      </c>
      <c r="C23" s="38" t="s">
        <v>89</v>
      </c>
      <c r="D23" s="21" t="n">
        <v>416</v>
      </c>
      <c r="E23" s="21" t="n">
        <v>351</v>
      </c>
      <c r="F23" s="51" t="n">
        <f aca="false">IF(E23="","",D23-E23)</f>
        <v>65</v>
      </c>
      <c r="G23" s="21" t="n">
        <v>893</v>
      </c>
      <c r="H23" s="21" t="n">
        <v>849</v>
      </c>
      <c r="I23" s="51" t="n">
        <f aca="false">IF(H23="","",G23-H23)</f>
        <v>44</v>
      </c>
      <c r="J23" s="39" t="n">
        <f aca="false">IF(OR(D23="",D23+G23=0),"",D23/(D23+G23))</f>
        <v>0.317799847211612</v>
      </c>
      <c r="K23" s="39" t="n">
        <f aca="false">IF(E23="","",E23/(E23+H23))</f>
        <v>0.2925</v>
      </c>
      <c r="L23" s="52" t="n">
        <f aca="false">IF(OR(K23="",J23=""),"",(J23-K23)*100)</f>
        <v>2.52998472116119</v>
      </c>
      <c r="M23" s="38"/>
    </row>
    <row r="24" customFormat="false" ht="15" hidden="false" customHeight="false" outlineLevel="0" collapsed="false">
      <c r="A24" s="38" t="s">
        <v>87</v>
      </c>
      <c r="B24" s="38" t="s">
        <v>115</v>
      </c>
      <c r="C24" s="38" t="s">
        <v>89</v>
      </c>
      <c r="D24" s="21" t="n">
        <v>73</v>
      </c>
      <c r="E24" s="21" t="n">
        <v>58</v>
      </c>
      <c r="F24" s="51" t="n">
        <f aca="false">IF(E24="","",D24-E24)</f>
        <v>15</v>
      </c>
      <c r="G24" s="21" t="n">
        <v>89</v>
      </c>
      <c r="H24" s="21" t="n">
        <v>105</v>
      </c>
      <c r="I24" s="51" t="n">
        <f aca="false">IF(H24="","",G24-H24)</f>
        <v>-16</v>
      </c>
      <c r="J24" s="39" t="n">
        <f aca="false">IF(OR(D24="",D24+G24=0),"",D24/(D24+G24))</f>
        <v>0.450617283950617</v>
      </c>
      <c r="K24" s="39" t="n">
        <f aca="false">IF(E24="","",E24/(E24+H24))</f>
        <v>0.355828220858896</v>
      </c>
      <c r="L24" s="52" t="n">
        <f aca="false">IF(OR(K24="",J24=""),"",(J24-K24)*100)</f>
        <v>9.47890630917216</v>
      </c>
      <c r="M24" s="38"/>
    </row>
    <row r="25" customFormat="false" ht="15" hidden="false" customHeight="false" outlineLevel="0" collapsed="false">
      <c r="A25" s="38" t="s">
        <v>116</v>
      </c>
      <c r="B25" s="38" t="s">
        <v>117</v>
      </c>
      <c r="C25" s="38" t="s">
        <v>89</v>
      </c>
      <c r="D25" s="21" t="n">
        <v>727</v>
      </c>
      <c r="E25" s="21" t="n">
        <v>601</v>
      </c>
      <c r="F25" s="51" t="n">
        <f aca="false">IF(E25="","",D25-E25)</f>
        <v>126</v>
      </c>
      <c r="G25" s="21" t="n">
        <v>743</v>
      </c>
      <c r="H25" s="21" t="n">
        <v>766</v>
      </c>
      <c r="I25" s="51" t="n">
        <f aca="false">IF(H25="","",G25-H25)</f>
        <v>-23</v>
      </c>
      <c r="J25" s="39" t="n">
        <f aca="false">IF(OR(D25="",D25+G25=0),"",D25/(D25+G25))</f>
        <v>0.494557823129252</v>
      </c>
      <c r="K25" s="39" t="n">
        <f aca="false">IF(E25="","",E25/(E25+H25))</f>
        <v>0.439648866130212</v>
      </c>
      <c r="L25" s="52" t="n">
        <f aca="false">IF(OR(K25="",J25=""),"",(J25-K25)*100)</f>
        <v>5.49089569990396</v>
      </c>
      <c r="M25" s="38"/>
    </row>
    <row r="26" customFormat="false" ht="15" hidden="false" customHeight="false" outlineLevel="0" collapsed="false">
      <c r="A26" s="38" t="s">
        <v>116</v>
      </c>
      <c r="B26" s="38" t="s">
        <v>118</v>
      </c>
      <c r="C26" s="38" t="s">
        <v>89</v>
      </c>
      <c r="D26" s="21" t="n">
        <v>27545</v>
      </c>
      <c r="E26" s="21" t="n">
        <v>26568</v>
      </c>
      <c r="F26" s="51" t="n">
        <f aca="false">IF(E26="","",D26-E26)</f>
        <v>977</v>
      </c>
      <c r="G26" s="21" t="n">
        <v>12922</v>
      </c>
      <c r="H26" s="21" t="n">
        <v>14583</v>
      </c>
      <c r="I26" s="51" t="n">
        <f aca="false">IF(H26="","",G26-H26)</f>
        <v>-1661</v>
      </c>
      <c r="J26" s="39" t="n">
        <f aca="false">IF(OR(D26="",D26+G26=0),"",D26/(D26+G26))</f>
        <v>0.680678083376578</v>
      </c>
      <c r="K26" s="39" t="n">
        <f aca="false">IF(E26="","",E26/(E26+H26))</f>
        <v>0.645622220602172</v>
      </c>
      <c r="L26" s="52" t="n">
        <f aca="false">IF(OR(K26="",J26=""),"",(J26-K26)*100)</f>
        <v>3.5055862774406</v>
      </c>
      <c r="M26" s="38"/>
    </row>
    <row r="27" customFormat="false" ht="15" hidden="false" customHeight="false" outlineLevel="0" collapsed="false">
      <c r="A27" s="38" t="s">
        <v>116</v>
      </c>
      <c r="B27" s="38" t="s">
        <v>119</v>
      </c>
      <c r="C27" s="38" t="s">
        <v>89</v>
      </c>
      <c r="D27" s="21" t="n">
        <v>6829</v>
      </c>
      <c r="E27" s="21" t="n">
        <v>6612</v>
      </c>
      <c r="F27" s="51" t="n">
        <f aca="false">IF(E27="","",D27-E27)</f>
        <v>217</v>
      </c>
      <c r="G27" s="21" t="n">
        <v>3548</v>
      </c>
      <c r="H27" s="21" t="n">
        <v>3834</v>
      </c>
      <c r="I27" s="51" t="n">
        <f aca="false">IF(H27="","",G27-H27)</f>
        <v>-286</v>
      </c>
      <c r="J27" s="39" t="n">
        <f aca="false">IF(OR(D27="",D27+G27=0),"",D27/(D27+G27))</f>
        <v>0.658090006745688</v>
      </c>
      <c r="K27" s="39" t="n">
        <f aca="false">IF(E27="","",E27/(E27+H27))</f>
        <v>0.632969557725445</v>
      </c>
      <c r="L27" s="52" t="n">
        <f aca="false">IF(OR(K27="",J27=""),"",(J27-K27)*100)</f>
        <v>2.51204490202425</v>
      </c>
      <c r="M27" s="38"/>
    </row>
    <row r="28" customFormat="false" ht="15" hidden="false" customHeight="false" outlineLevel="0" collapsed="false">
      <c r="A28" s="38" t="s">
        <v>116</v>
      </c>
      <c r="B28" s="38" t="s">
        <v>120</v>
      </c>
      <c r="C28" s="38" t="s">
        <v>89</v>
      </c>
      <c r="D28" s="21" t="n">
        <v>1724</v>
      </c>
      <c r="E28" s="21" t="n">
        <v>1560</v>
      </c>
      <c r="F28" s="51" t="n">
        <f aca="false">IF(E28="","",D28-E28)</f>
        <v>164</v>
      </c>
      <c r="G28" s="21" t="n">
        <v>1481</v>
      </c>
      <c r="H28" s="21" t="n">
        <v>1491</v>
      </c>
      <c r="I28" s="51" t="n">
        <f aca="false">IF(H28="","",G28-H28)</f>
        <v>-10</v>
      </c>
      <c r="J28" s="39" t="n">
        <f aca="false">IF(OR(D28="",D28+G28=0),"",D28/(D28+G28))</f>
        <v>0.537909516380655</v>
      </c>
      <c r="K28" s="39" t="n">
        <f aca="false">IF(E28="","",E28/(E28+H28))</f>
        <v>0.511307767944936</v>
      </c>
      <c r="L28" s="52" t="n">
        <f aca="false">IF(OR(K28="",J28=""),"",(J28-K28)*100)</f>
        <v>2.66017484357192</v>
      </c>
      <c r="M28" s="38"/>
    </row>
    <row r="29" customFormat="false" ht="15" hidden="false" customHeight="false" outlineLevel="0" collapsed="false">
      <c r="A29" s="38" t="s">
        <v>116</v>
      </c>
      <c r="B29" s="38" t="s">
        <v>121</v>
      </c>
      <c r="C29" s="38" t="s">
        <v>89</v>
      </c>
      <c r="D29" s="21" t="n">
        <v>810</v>
      </c>
      <c r="E29" s="21" t="n">
        <v>735</v>
      </c>
      <c r="F29" s="51" t="n">
        <f aca="false">IF(E29="","",D29-E29)</f>
        <v>75</v>
      </c>
      <c r="G29" s="21" t="n">
        <v>809</v>
      </c>
      <c r="H29" s="21" t="n">
        <v>804</v>
      </c>
      <c r="I29" s="51" t="n">
        <f aca="false">IF(H29="","",G29-H29)</f>
        <v>5</v>
      </c>
      <c r="J29" s="39" t="n">
        <f aca="false">IF(OR(D29="",D29+G29=0),"",D29/(D29+G29))</f>
        <v>0.500308832612724</v>
      </c>
      <c r="K29" s="39" t="n">
        <f aca="false">IF(E29="","",E29/(E29+H29))</f>
        <v>0.477582846003899</v>
      </c>
      <c r="L29" s="52" t="n">
        <f aca="false">IF(OR(K29="",J29=""),"",(J29-K29)*100)</f>
        <v>2.27259866088252</v>
      </c>
      <c r="M29" s="38"/>
    </row>
    <row r="30" customFormat="false" ht="15" hidden="false" customHeight="false" outlineLevel="0" collapsed="false">
      <c r="A30" s="38" t="s">
        <v>116</v>
      </c>
      <c r="B30" s="38" t="s">
        <v>122</v>
      </c>
      <c r="C30" s="38" t="s">
        <v>89</v>
      </c>
      <c r="D30" s="21" t="n">
        <v>974</v>
      </c>
      <c r="E30" s="21" t="n">
        <v>899</v>
      </c>
      <c r="F30" s="51" t="n">
        <f aca="false">IF(E30="","",D30-E30)</f>
        <v>75</v>
      </c>
      <c r="G30" s="21" t="n">
        <v>852</v>
      </c>
      <c r="H30" s="21" t="n">
        <v>898</v>
      </c>
      <c r="I30" s="51" t="n">
        <f aca="false">IF(H30="","",G30-H30)</f>
        <v>-46</v>
      </c>
      <c r="J30" s="39" t="n">
        <f aca="false">IF(OR(D30="",D30+G30=0),"",D30/(D30+G30))</f>
        <v>0.533406352683461</v>
      </c>
      <c r="K30" s="39" t="n">
        <f aca="false">IF(E30="","",E30/(E30+H30))</f>
        <v>0.500278241513634</v>
      </c>
      <c r="L30" s="52" t="n">
        <f aca="false">IF(OR(K30="",J30=""),"",(J30-K30)*100)</f>
        <v>3.31281111698273</v>
      </c>
      <c r="M30" s="38"/>
    </row>
    <row r="31" customFormat="false" ht="15" hidden="false" customHeight="false" outlineLevel="0" collapsed="false">
      <c r="A31" s="38" t="s">
        <v>116</v>
      </c>
      <c r="B31" s="38" t="s">
        <v>123</v>
      </c>
      <c r="C31" s="38" t="s">
        <v>89</v>
      </c>
      <c r="D31" s="21" t="n">
        <v>3711</v>
      </c>
      <c r="E31" s="21" t="n">
        <v>3663</v>
      </c>
      <c r="F31" s="51" t="n">
        <f aca="false">IF(E31="","",D31-E31)</f>
        <v>48</v>
      </c>
      <c r="G31" s="21" t="n">
        <v>3149</v>
      </c>
      <c r="H31" s="21" t="n">
        <v>3236</v>
      </c>
      <c r="I31" s="51" t="n">
        <f aca="false">IF(H31="","",G31-H31)</f>
        <v>-87</v>
      </c>
      <c r="J31" s="39" t="n">
        <f aca="false">IF(OR(D31="",D31+G31=0),"",D31/(D31+G31))</f>
        <v>0.540962099125364</v>
      </c>
      <c r="K31" s="39" t="n">
        <f aca="false">IF(E31="","",E31/(E31+H31))</f>
        <v>0.530946513987535</v>
      </c>
      <c r="L31" s="52" t="n">
        <f aca="false">IF(OR(K31="",J31=""),"",(J31-K31)*100)</f>
        <v>1.001558513783</v>
      </c>
      <c r="M31" s="38"/>
    </row>
    <row r="32" customFormat="false" ht="15" hidden="false" customHeight="false" outlineLevel="0" collapsed="false">
      <c r="A32" s="38" t="s">
        <v>116</v>
      </c>
      <c r="B32" s="38" t="s">
        <v>124</v>
      </c>
      <c r="C32" s="38" t="s">
        <v>89</v>
      </c>
      <c r="D32" s="21" t="n">
        <v>1517</v>
      </c>
      <c r="E32" s="21" t="n">
        <v>1433</v>
      </c>
      <c r="F32" s="51" t="n">
        <f aca="false">IF(E32="","",D32-E32)</f>
        <v>84</v>
      </c>
      <c r="G32" s="21" t="n">
        <v>723</v>
      </c>
      <c r="H32" s="21" t="n">
        <v>793</v>
      </c>
      <c r="I32" s="51" t="n">
        <f aca="false">IF(H32="","",G32-H32)</f>
        <v>-70</v>
      </c>
      <c r="J32" s="39" t="n">
        <f aca="false">IF(OR(D32="",D32+G32=0),"",D32/(D32+G32))</f>
        <v>0.677232142857143</v>
      </c>
      <c r="K32" s="39" t="n">
        <f aca="false">IF(E32="","",E32/(E32+H32))</f>
        <v>0.643755615453729</v>
      </c>
      <c r="L32" s="52" t="n">
        <f aca="false">IF(OR(K32="",J32=""),"",(J32-K32)*100)</f>
        <v>3.34765274034142</v>
      </c>
      <c r="M32" s="38"/>
    </row>
    <row r="33" customFormat="false" ht="15" hidden="false" customHeight="false" outlineLevel="0" collapsed="false">
      <c r="A33" s="38" t="s">
        <v>116</v>
      </c>
      <c r="B33" s="38" t="s">
        <v>125</v>
      </c>
      <c r="C33" s="38" t="s">
        <v>89</v>
      </c>
      <c r="D33" s="21" t="n">
        <v>390</v>
      </c>
      <c r="E33" s="21" t="n">
        <v>379</v>
      </c>
      <c r="F33" s="51" t="n">
        <f aca="false">IF(E33="","",D33-E33)</f>
        <v>11</v>
      </c>
      <c r="G33" s="21" t="n">
        <v>324</v>
      </c>
      <c r="H33" s="21" t="n">
        <v>330</v>
      </c>
      <c r="I33" s="51" t="n">
        <f aca="false">IF(H33="","",G33-H33)</f>
        <v>-6</v>
      </c>
      <c r="J33" s="39" t="n">
        <f aca="false">IF(OR(D33="",D33+G33=0),"",D33/(D33+G33))</f>
        <v>0.546218487394958</v>
      </c>
      <c r="K33" s="39" t="n">
        <f aca="false">IF(E33="","",E33/(E33+H33))</f>
        <v>0.534555712270804</v>
      </c>
      <c r="L33" s="52" t="n">
        <f aca="false">IF(OR(K33="",J33=""),"",(J33-K33)*100)</f>
        <v>1.1662775124154</v>
      </c>
      <c r="M33" s="38"/>
    </row>
    <row r="34" customFormat="false" ht="15" hidden="false" customHeight="false" outlineLevel="0" collapsed="false">
      <c r="A34" s="38" t="s">
        <v>116</v>
      </c>
      <c r="B34" s="38" t="s">
        <v>126</v>
      </c>
      <c r="C34" s="38" t="s">
        <v>89</v>
      </c>
      <c r="D34" s="21" t="n">
        <v>739</v>
      </c>
      <c r="E34" s="21" t="n">
        <v>654</v>
      </c>
      <c r="F34" s="51" t="n">
        <f aca="false">IF(E34="","",D34-E34)</f>
        <v>85</v>
      </c>
      <c r="G34" s="21" t="n">
        <v>1428</v>
      </c>
      <c r="H34" s="21" t="n">
        <v>1439</v>
      </c>
      <c r="I34" s="51" t="n">
        <f aca="false">IF(H34="","",G34-H34)</f>
        <v>-11</v>
      </c>
      <c r="J34" s="39" t="n">
        <f aca="false">IF(OR(D34="",D34+G34=0),"",D34/(D34+G34))</f>
        <v>0.341024457775727</v>
      </c>
      <c r="K34" s="39" t="n">
        <f aca="false">IF(E34="","",E34/(E34+H34))</f>
        <v>0.312470138557095</v>
      </c>
      <c r="L34" s="52" t="n">
        <f aca="false">IF(OR(K34="",J34=""),"",(J34-K34)*100)</f>
        <v>2.85543192186317</v>
      </c>
      <c r="M34" s="38"/>
    </row>
    <row r="35" customFormat="false" ht="15" hidden="false" customHeight="false" outlineLevel="0" collapsed="false">
      <c r="A35" s="38" t="s">
        <v>116</v>
      </c>
      <c r="B35" s="38" t="s">
        <v>127</v>
      </c>
      <c r="C35" s="38" t="s">
        <v>89</v>
      </c>
      <c r="D35" s="21" t="n">
        <v>11288</v>
      </c>
      <c r="E35" s="21" t="n">
        <v>10021</v>
      </c>
      <c r="F35" s="51" t="n">
        <f aca="false">IF(E35="","",D35-E35)</f>
        <v>1267</v>
      </c>
      <c r="G35" s="21" t="n">
        <v>10442</v>
      </c>
      <c r="H35" s="21" t="n">
        <v>10199</v>
      </c>
      <c r="I35" s="51" t="n">
        <f aca="false">IF(H35="","",G35-H35)</f>
        <v>243</v>
      </c>
      <c r="J35" s="39" t="n">
        <f aca="false">IF(OR(D35="",D35+G35=0),"",D35/(D35+G35))</f>
        <v>0.519466175793833</v>
      </c>
      <c r="K35" s="39" t="n">
        <f aca="false">IF(E35="","",E35/(E35+H35))</f>
        <v>0.495598417408506</v>
      </c>
      <c r="L35" s="52" t="n">
        <f aca="false">IF(OR(K35="",J35=""),"",(J35-K35)*100)</f>
        <v>2.3867758385327</v>
      </c>
      <c r="M35" s="38"/>
    </row>
    <row r="36" customFormat="false" ht="15" hidden="false" customHeight="false" outlineLevel="0" collapsed="false">
      <c r="A36" s="38" t="s">
        <v>116</v>
      </c>
      <c r="B36" s="38" t="s">
        <v>128</v>
      </c>
      <c r="C36" s="38" t="s">
        <v>89</v>
      </c>
      <c r="D36" s="21" t="n">
        <v>1122</v>
      </c>
      <c r="E36" s="21" t="n">
        <v>985</v>
      </c>
      <c r="F36" s="51" t="n">
        <f aca="false">IF(E36="","",D36-E36)</f>
        <v>137</v>
      </c>
      <c r="G36" s="21" t="n">
        <v>1733</v>
      </c>
      <c r="H36" s="21" t="n">
        <v>1586</v>
      </c>
      <c r="I36" s="51" t="n">
        <f aca="false">IF(H36="","",G36-H36)</f>
        <v>147</v>
      </c>
      <c r="J36" s="39" t="n">
        <f aca="false">IF(OR(D36="",D36+G36=0),"",D36/(D36+G36))</f>
        <v>0.392994746059545</v>
      </c>
      <c r="K36" s="39" t="n">
        <f aca="false">IF(E36="","",E36/(E36+H36))</f>
        <v>0.383119408790354</v>
      </c>
      <c r="L36" s="52" t="n">
        <f aca="false">IF(OR(K36="",J36=""),"",(J36-K36)*100)</f>
        <v>0.987533726919071</v>
      </c>
      <c r="M36" s="38"/>
    </row>
    <row r="37" customFormat="false" ht="15" hidden="false" customHeight="false" outlineLevel="0" collapsed="false">
      <c r="A37" s="38" t="s">
        <v>116</v>
      </c>
      <c r="B37" s="38" t="s">
        <v>129</v>
      </c>
      <c r="C37" s="38" t="s">
        <v>89</v>
      </c>
      <c r="D37" s="21" t="n">
        <v>628</v>
      </c>
      <c r="E37" s="21" t="n">
        <v>543</v>
      </c>
      <c r="F37" s="51" t="n">
        <f aca="false">IF(E37="","",D37-E37)</f>
        <v>85</v>
      </c>
      <c r="G37" s="21" t="n">
        <v>1040</v>
      </c>
      <c r="H37" s="21" t="n">
        <v>990</v>
      </c>
      <c r="I37" s="51" t="n">
        <f aca="false">IF(H37="","",G37-H37)</f>
        <v>50</v>
      </c>
      <c r="J37" s="39" t="n">
        <f aca="false">IF(OR(D37="",D37+G37=0),"",D37/(D37+G37))</f>
        <v>0.376498800959233</v>
      </c>
      <c r="K37" s="39" t="n">
        <f aca="false">IF(E37="","",E37/(E37+H37))</f>
        <v>0.354207436399217</v>
      </c>
      <c r="L37" s="52" t="n">
        <f aca="false">IF(OR(K37="",J37=""),"",(J37-K37)*100)</f>
        <v>2.22913645600154</v>
      </c>
      <c r="M37" s="38"/>
    </row>
    <row r="38" customFormat="false" ht="15" hidden="false" customHeight="false" outlineLevel="0" collapsed="false">
      <c r="A38" s="38" t="s">
        <v>116</v>
      </c>
      <c r="B38" s="38" t="s">
        <v>130</v>
      </c>
      <c r="C38" s="38" t="s">
        <v>89</v>
      </c>
      <c r="D38" s="21" t="n">
        <v>1031</v>
      </c>
      <c r="E38" s="21" t="n">
        <v>850</v>
      </c>
      <c r="F38" s="51" t="n">
        <f aca="false">IF(E38="","",D38-E38)</f>
        <v>181</v>
      </c>
      <c r="G38" s="21" t="n">
        <v>1947</v>
      </c>
      <c r="H38" s="21" t="n">
        <v>1856</v>
      </c>
      <c r="I38" s="51" t="n">
        <f aca="false">IF(H38="","",G38-H38)</f>
        <v>91</v>
      </c>
      <c r="J38" s="39" t="n">
        <f aca="false">IF(OR(D38="",D38+G38=0),"",D38/(D38+G38))</f>
        <v>0.346205507051713</v>
      </c>
      <c r="K38" s="39" t="n">
        <f aca="false">IF(E38="","",E38/(E38+H38))</f>
        <v>0.314116777531412</v>
      </c>
      <c r="L38" s="52" t="n">
        <f aca="false">IF(OR(K38="",J38=""),"",(J38-K38)*100)</f>
        <v>3.20887295203009</v>
      </c>
      <c r="M38" s="38"/>
    </row>
    <row r="39" customFormat="false" ht="15" hidden="false" customHeight="false" outlineLevel="0" collapsed="false">
      <c r="A39" s="38" t="s">
        <v>116</v>
      </c>
      <c r="B39" s="38" t="s">
        <v>131</v>
      </c>
      <c r="C39" s="38" t="s">
        <v>89</v>
      </c>
      <c r="D39" s="21" t="n">
        <v>1063</v>
      </c>
      <c r="E39" s="21" t="n">
        <v>980</v>
      </c>
      <c r="F39" s="51" t="n">
        <f aca="false">IF(E39="","",D39-E39)</f>
        <v>83</v>
      </c>
      <c r="G39" s="21" t="n">
        <v>904</v>
      </c>
      <c r="H39" s="21" t="n">
        <v>872</v>
      </c>
      <c r="I39" s="51" t="n">
        <f aca="false">IF(H39="","",G39-H39)</f>
        <v>32</v>
      </c>
      <c r="J39" s="39" t="n">
        <f aca="false">IF(OR(D39="",D39+G39=0),"",D39/(D39+G39))</f>
        <v>0.54041687849517</v>
      </c>
      <c r="K39" s="39" t="n">
        <f aca="false">IF(E39="","",E39/(E39+H39))</f>
        <v>0.529157667386609</v>
      </c>
      <c r="L39" s="52" t="n">
        <f aca="false">IF(OR(K39="",J39=""),"",(J39-K39)*100)</f>
        <v>1.12592111085612</v>
      </c>
      <c r="M39" s="38"/>
    </row>
    <row r="40" customFormat="false" ht="15" hidden="false" customHeight="false" outlineLevel="0" collapsed="false">
      <c r="A40" s="38" t="s">
        <v>116</v>
      </c>
      <c r="B40" s="38" t="s">
        <v>132</v>
      </c>
      <c r="C40" s="38" t="s">
        <v>89</v>
      </c>
      <c r="D40" s="21" t="n">
        <v>4701</v>
      </c>
      <c r="E40" s="21" t="n">
        <v>4022</v>
      </c>
      <c r="F40" s="51" t="n">
        <f aca="false">IF(E40="","",D40-E40)</f>
        <v>679</v>
      </c>
      <c r="G40" s="21" t="n">
        <v>6097</v>
      </c>
      <c r="H40" s="21" t="n">
        <v>5915</v>
      </c>
      <c r="I40" s="51" t="n">
        <f aca="false">IF(H40="","",G40-H40)</f>
        <v>182</v>
      </c>
      <c r="J40" s="39" t="n">
        <f aca="false">IF(OR(D40="",D40+G40=0),"",D40/(D40+G40))</f>
        <v>0.435358399703649</v>
      </c>
      <c r="K40" s="39" t="n">
        <f aca="false">IF(E40="","",E40/(E40+H40))</f>
        <v>0.404749924524504</v>
      </c>
      <c r="L40" s="52" t="n">
        <f aca="false">IF(OR(K40="",J40=""),"",(J40-K40)*100)</f>
        <v>3.06084751791444</v>
      </c>
      <c r="M40" s="38"/>
    </row>
    <row r="41" customFormat="false" ht="15" hidden="false" customHeight="false" outlineLevel="0" collapsed="false">
      <c r="A41" s="38" t="s">
        <v>116</v>
      </c>
      <c r="B41" s="38" t="s">
        <v>133</v>
      </c>
      <c r="C41" s="38" t="s">
        <v>89</v>
      </c>
      <c r="D41" s="21" t="n">
        <v>4559</v>
      </c>
      <c r="E41" s="21" t="n">
        <v>4010</v>
      </c>
      <c r="F41" s="51" t="n">
        <f aca="false">IF(E41="","",D41-E41)</f>
        <v>549</v>
      </c>
      <c r="G41" s="21" t="n">
        <v>4305</v>
      </c>
      <c r="H41" s="21" t="n">
        <v>4104</v>
      </c>
      <c r="I41" s="51" t="n">
        <f aca="false">IF(H41="","",G41-H41)</f>
        <v>201</v>
      </c>
      <c r="J41" s="39" t="n">
        <f aca="false">IF(OR(D41="",D41+G41=0),"",D41/(D41+G41))</f>
        <v>0.51432761732852</v>
      </c>
      <c r="K41" s="39" t="n">
        <f aca="false">IF(E41="","",E41/(E41+H41))</f>
        <v>0.494207542519103</v>
      </c>
      <c r="L41" s="52" t="n">
        <f aca="false">IF(OR(K41="",J41=""),"",(J41-K41)*100)</f>
        <v>2.01200748094171</v>
      </c>
      <c r="M41" s="38"/>
    </row>
    <row r="42" customFormat="false" ht="15" hidden="false" customHeight="false" outlineLevel="0" collapsed="false">
      <c r="A42" s="38" t="s">
        <v>116</v>
      </c>
      <c r="B42" s="38" t="s">
        <v>134</v>
      </c>
      <c r="C42" s="38" t="s">
        <v>89</v>
      </c>
      <c r="D42" s="21" t="n">
        <v>920</v>
      </c>
      <c r="E42" s="21" t="n">
        <v>800</v>
      </c>
      <c r="F42" s="51" t="n">
        <f aca="false">IF(E42="","",D42-E42)</f>
        <v>120</v>
      </c>
      <c r="G42" s="21" t="n">
        <v>1104</v>
      </c>
      <c r="H42" s="21" t="n">
        <v>1156</v>
      </c>
      <c r="I42" s="51" t="n">
        <f aca="false">IF(H42="","",G42-H42)</f>
        <v>-52</v>
      </c>
      <c r="J42" s="39" t="n">
        <f aca="false">IF(OR(D42="",D42+G42=0),"",D42/(D42+G42))</f>
        <v>0.454545454545455</v>
      </c>
      <c r="K42" s="39" t="n">
        <f aca="false">IF(E42="","",E42/(E42+H42))</f>
        <v>0.408997955010225</v>
      </c>
      <c r="L42" s="52" t="n">
        <f aca="false">IF(OR(K42="",J42=""),"",(J42-K42)*100)</f>
        <v>4.55474995352296</v>
      </c>
      <c r="M42" s="38"/>
    </row>
    <row r="43" customFormat="false" ht="15" hidden="false" customHeight="false" outlineLevel="0" collapsed="false">
      <c r="A43" s="38" t="s">
        <v>116</v>
      </c>
      <c r="B43" s="38" t="s">
        <v>135</v>
      </c>
      <c r="C43" s="38" t="s">
        <v>89</v>
      </c>
      <c r="D43" s="21" t="n">
        <v>7369</v>
      </c>
      <c r="E43" s="21" t="n">
        <v>7019</v>
      </c>
      <c r="F43" s="51" t="n">
        <f aca="false">IF(E43="","",D43-E43)</f>
        <v>350</v>
      </c>
      <c r="G43" s="21" t="n">
        <v>6253</v>
      </c>
      <c r="H43" s="21" t="n">
        <v>6110</v>
      </c>
      <c r="I43" s="51" t="n">
        <f aca="false">IF(H43="","",G43-H43)</f>
        <v>143</v>
      </c>
      <c r="J43" s="39" t="n">
        <f aca="false">IF(OR(D43="",D43+G43=0),"",D43/(D43+G43))</f>
        <v>0.540963147849068</v>
      </c>
      <c r="K43" s="39" t="n">
        <f aca="false">IF(E43="","",E43/(E43+H43))</f>
        <v>0.534618021174499</v>
      </c>
      <c r="L43" s="52" t="n">
        <f aca="false">IF(OR(K43="",J43=""),"",(J43-K43)*100)</f>
        <v>0.634512667456855</v>
      </c>
      <c r="M43" s="38"/>
    </row>
    <row r="44" customFormat="false" ht="15" hidden="false" customHeight="false" outlineLevel="0" collapsed="false">
      <c r="A44" s="38" t="s">
        <v>116</v>
      </c>
      <c r="B44" s="38" t="s">
        <v>136</v>
      </c>
      <c r="C44" s="38" t="s">
        <v>89</v>
      </c>
      <c r="D44" s="21" t="n">
        <v>8531</v>
      </c>
      <c r="E44" s="21" t="n">
        <v>8020</v>
      </c>
      <c r="F44" s="51" t="n">
        <f aca="false">IF(E44="","",D44-E44)</f>
        <v>511</v>
      </c>
      <c r="G44" s="21" t="n">
        <v>7340</v>
      </c>
      <c r="H44" s="21" t="n">
        <v>7607</v>
      </c>
      <c r="I44" s="51" t="n">
        <f aca="false">IF(H44="","",G44-H44)</f>
        <v>-267</v>
      </c>
      <c r="J44" s="39" t="n">
        <f aca="false">IF(OR(D44="",D44+G44=0),"",D44/(D44+G44))</f>
        <v>0.53752126520068</v>
      </c>
      <c r="K44" s="39" t="n">
        <f aca="false">IF(E44="","",E44/(E44+H44))</f>
        <v>0.513214308568503</v>
      </c>
      <c r="L44" s="52" t="n">
        <f aca="false">IF(OR(K44="",J44=""),"",(J44-K44)*100)</f>
        <v>2.43069566321772</v>
      </c>
      <c r="M44" s="38"/>
    </row>
    <row r="45" customFormat="false" ht="15" hidden="false" customHeight="false" outlineLevel="0" collapsed="false">
      <c r="A45" s="38" t="s">
        <v>116</v>
      </c>
      <c r="B45" s="38" t="s">
        <v>137</v>
      </c>
      <c r="C45" s="38" t="s">
        <v>89</v>
      </c>
      <c r="D45" s="21" t="n">
        <v>2751</v>
      </c>
      <c r="E45" s="21" t="n">
        <v>2380</v>
      </c>
      <c r="F45" s="51" t="n">
        <f aca="false">IF(E45="","",D45-E45)</f>
        <v>371</v>
      </c>
      <c r="G45" s="21" t="n">
        <v>3154</v>
      </c>
      <c r="H45" s="21" t="n">
        <v>3135</v>
      </c>
      <c r="I45" s="51" t="n">
        <f aca="false">IF(H45="","",G45-H45)</f>
        <v>19</v>
      </c>
      <c r="J45" s="39" t="n">
        <f aca="false">IF(OR(D45="",D45+G45=0),"",D45/(D45+G45))</f>
        <v>0.465876375952583</v>
      </c>
      <c r="K45" s="39" t="n">
        <f aca="false">IF(E45="","",E45/(E45+H45))</f>
        <v>0.43155031731641</v>
      </c>
      <c r="L45" s="52" t="n">
        <f aca="false">IF(OR(K45="",J45=""),"",(J45-K45)*100)</f>
        <v>3.43260586361728</v>
      </c>
      <c r="M45" s="38"/>
    </row>
    <row r="46" customFormat="false" ht="15" hidden="false" customHeight="false" outlineLevel="0" collapsed="false">
      <c r="A46" s="38" t="s">
        <v>116</v>
      </c>
      <c r="B46" s="38" t="s">
        <v>138</v>
      </c>
      <c r="C46" s="38" t="s">
        <v>89</v>
      </c>
      <c r="D46" s="21" t="n">
        <v>5891</v>
      </c>
      <c r="E46" s="21" t="n">
        <v>5462</v>
      </c>
      <c r="F46" s="51" t="n">
        <f aca="false">IF(E46="","",D46-E46)</f>
        <v>429</v>
      </c>
      <c r="G46" s="21" t="n">
        <v>5703</v>
      </c>
      <c r="H46" s="21" t="n">
        <v>5740</v>
      </c>
      <c r="I46" s="51" t="n">
        <f aca="false">IF(H46="","",G46-H46)</f>
        <v>-37</v>
      </c>
      <c r="J46" s="39" t="n">
        <f aca="false">IF(OR(D46="",D46+G46=0),"",D46/(D46+G46))</f>
        <v>0.508107641883733</v>
      </c>
      <c r="K46" s="39" t="n">
        <f aca="false">IF(E46="","",E46/(E46+H46))</f>
        <v>0.487591501517586</v>
      </c>
      <c r="L46" s="52" t="n">
        <f aca="false">IF(OR(K46="",J46=""),"",(J46-K46)*100)</f>
        <v>2.05161403661468</v>
      </c>
      <c r="M46" s="38"/>
    </row>
    <row r="47" customFormat="false" ht="15" hidden="false" customHeight="false" outlineLevel="0" collapsed="false">
      <c r="A47" s="38" t="s">
        <v>116</v>
      </c>
      <c r="B47" s="38" t="s">
        <v>139</v>
      </c>
      <c r="C47" s="38" t="s">
        <v>89</v>
      </c>
      <c r="D47" s="21" t="n">
        <v>1503</v>
      </c>
      <c r="E47" s="21" t="n">
        <v>1266</v>
      </c>
      <c r="F47" s="51" t="n">
        <f aca="false">IF(E47="","",D47-E47)</f>
        <v>237</v>
      </c>
      <c r="G47" s="21" t="n">
        <v>2684</v>
      </c>
      <c r="H47" s="21" t="n">
        <v>2669</v>
      </c>
      <c r="I47" s="51" t="n">
        <f aca="false">IF(H47="","",G47-H47)</f>
        <v>15</v>
      </c>
      <c r="J47" s="39" t="n">
        <f aca="false">IF(OR(D47="",D47+G47=0),"",D47/(D47+G47))</f>
        <v>0.358968235013136</v>
      </c>
      <c r="K47" s="39" t="n">
        <f aca="false">IF(E47="","",E47/(E47+H47))</f>
        <v>0.321728081321474</v>
      </c>
      <c r="L47" s="52" t="n">
        <f aca="false">IF(OR(K47="",J47=""),"",(J47-K47)*100)</f>
        <v>3.7240153691662</v>
      </c>
      <c r="M47" s="38"/>
    </row>
    <row r="48" customFormat="false" ht="15" hidden="false" customHeight="false" outlineLevel="0" collapsed="false">
      <c r="A48" s="38" t="s">
        <v>116</v>
      </c>
      <c r="B48" s="38" t="s">
        <v>140</v>
      </c>
      <c r="C48" s="38" t="s">
        <v>89</v>
      </c>
      <c r="D48" s="21" t="n">
        <v>1377</v>
      </c>
      <c r="E48" s="21" t="n">
        <v>1172</v>
      </c>
      <c r="F48" s="51" t="n">
        <f aca="false">IF(E48="","",D48-E48)</f>
        <v>205</v>
      </c>
      <c r="G48" s="21" t="n">
        <v>2315</v>
      </c>
      <c r="H48" s="21" t="n">
        <v>2201</v>
      </c>
      <c r="I48" s="51" t="n">
        <f aca="false">IF(H48="","",G48-H48)</f>
        <v>114</v>
      </c>
      <c r="J48" s="39" t="n">
        <f aca="false">IF(OR(D48="",D48+G48=0),"",D48/(D48+G48))</f>
        <v>0.37296858071506</v>
      </c>
      <c r="K48" s="39" t="n">
        <f aca="false">IF(E48="","",E48/(E48+H48))</f>
        <v>0.347465164541951</v>
      </c>
      <c r="L48" s="52" t="n">
        <f aca="false">IF(OR(K48="",J48=""),"",(J48-K48)*100)</f>
        <v>2.55034161731088</v>
      </c>
      <c r="M48" s="38"/>
    </row>
    <row r="49" customFormat="false" ht="15" hidden="false" customHeight="false" outlineLevel="0" collapsed="false">
      <c r="A49" s="38" t="s">
        <v>116</v>
      </c>
      <c r="B49" s="38" t="s">
        <v>141</v>
      </c>
      <c r="C49" s="38" t="s">
        <v>89</v>
      </c>
      <c r="D49" s="21" t="n">
        <v>7868</v>
      </c>
      <c r="E49" s="21" t="n">
        <v>7383</v>
      </c>
      <c r="F49" s="51" t="n">
        <f aca="false">IF(E49="","",D49-E49)</f>
        <v>485</v>
      </c>
      <c r="G49" s="21" t="n">
        <v>6903</v>
      </c>
      <c r="H49" s="21" t="n">
        <v>7036</v>
      </c>
      <c r="I49" s="51" t="n">
        <f aca="false">IF(H49="","",G49-H49)</f>
        <v>-133</v>
      </c>
      <c r="J49" s="39" t="n">
        <f aca="false">IF(OR(D49="",D49+G49=0),"",D49/(D49+G49))</f>
        <v>0.532665357795681</v>
      </c>
      <c r="K49" s="39" t="n">
        <f aca="false">IF(E49="","",E49/(E49+H49))</f>
        <v>0.51203273458631</v>
      </c>
      <c r="L49" s="52" t="n">
        <f aca="false">IF(OR(K49="",J49=""),"",(J49-K49)*100)</f>
        <v>2.0632623209371</v>
      </c>
      <c r="M49" s="38"/>
    </row>
    <row r="50" customFormat="false" ht="15" hidden="false" customHeight="false" outlineLevel="0" collapsed="false">
      <c r="A50" s="38" t="s">
        <v>142</v>
      </c>
      <c r="B50" s="38" t="s">
        <v>143</v>
      </c>
      <c r="C50" s="38" t="s">
        <v>89</v>
      </c>
      <c r="D50" s="21" t="n">
        <v>539</v>
      </c>
      <c r="E50" s="21" t="n">
        <v>471</v>
      </c>
      <c r="F50" s="51" t="n">
        <f aca="false">IF(E50="","",D50-E50)</f>
        <v>68</v>
      </c>
      <c r="G50" s="21" t="n">
        <v>1070</v>
      </c>
      <c r="H50" s="21" t="n">
        <v>1124</v>
      </c>
      <c r="I50" s="51" t="n">
        <f aca="false">IF(H50="","",G50-H50)</f>
        <v>-54</v>
      </c>
      <c r="J50" s="39" t="n">
        <f aca="false">IF(OR(D50="",D50+G50=0),"",D50/(D50+G50))</f>
        <v>0.334990677439403</v>
      </c>
      <c r="K50" s="39" t="n">
        <f aca="false">IF(E50="","",E50/(E50+H50))</f>
        <v>0.295297805642633</v>
      </c>
      <c r="L50" s="52" t="n">
        <f aca="false">IF(OR(K50="",J50=""),"",(J50-K50)*100)</f>
        <v>3.96928717967701</v>
      </c>
      <c r="M50" s="38"/>
    </row>
    <row r="51" customFormat="false" ht="15" hidden="false" customHeight="false" outlineLevel="0" collapsed="false">
      <c r="A51" s="38" t="s">
        <v>142</v>
      </c>
      <c r="B51" s="38" t="s">
        <v>144</v>
      </c>
      <c r="C51" s="38" t="s">
        <v>89</v>
      </c>
      <c r="D51" s="21" t="n">
        <v>1502</v>
      </c>
      <c r="E51" s="21" t="n">
        <v>1414</v>
      </c>
      <c r="F51" s="51" t="n">
        <f aca="false">IF(E51="","",D51-E51)</f>
        <v>88</v>
      </c>
      <c r="G51" s="21" t="n">
        <v>2779</v>
      </c>
      <c r="H51" s="21" t="n">
        <v>2894</v>
      </c>
      <c r="I51" s="51" t="n">
        <f aca="false">IF(H51="","",G51-H51)</f>
        <v>-115</v>
      </c>
      <c r="J51" s="39" t="n">
        <f aca="false">IF(OR(D51="",D51+G51=0),"",D51/(D51+G51))</f>
        <v>0.350852604531651</v>
      </c>
      <c r="K51" s="39" t="n">
        <f aca="false">IF(E51="","",E51/(E51+H51))</f>
        <v>0.328226555246054</v>
      </c>
      <c r="L51" s="52" t="n">
        <f aca="false">IF(OR(K51="",J51=""),"",(J51-K51)*100)</f>
        <v>2.26260492855976</v>
      </c>
      <c r="M51" s="38"/>
    </row>
    <row r="52" customFormat="false" ht="15" hidden="false" customHeight="false" outlineLevel="0" collapsed="false">
      <c r="A52" s="38" t="s">
        <v>142</v>
      </c>
      <c r="B52" s="38" t="s">
        <v>145</v>
      </c>
      <c r="C52" s="38" t="s">
        <v>89</v>
      </c>
      <c r="D52" s="21" t="n">
        <v>992</v>
      </c>
      <c r="E52" s="21" t="n">
        <v>521</v>
      </c>
      <c r="F52" s="51" t="n">
        <f aca="false">IF(E52="","",D52-E52)</f>
        <v>471</v>
      </c>
      <c r="G52" s="21" t="n">
        <v>1672</v>
      </c>
      <c r="H52" s="21" t="n">
        <v>997</v>
      </c>
      <c r="I52" s="51" t="n">
        <f aca="false">IF(H52="","",G52-H52)</f>
        <v>675</v>
      </c>
      <c r="J52" s="39" t="n">
        <f aca="false">IF(OR(D52="",D52+G52=0),"",D52/(D52+G52))</f>
        <v>0.372372372372372</v>
      </c>
      <c r="K52" s="39" t="n">
        <f aca="false">IF(E52="","",E52/(E52+H52))</f>
        <v>0.343214756258235</v>
      </c>
      <c r="L52" s="52" t="n">
        <f aca="false">IF(OR(K52="",J52=""),"",(J52-K52)*100)</f>
        <v>2.91576161141379</v>
      </c>
      <c r="M52" s="38"/>
    </row>
    <row r="53" customFormat="false" ht="15" hidden="false" customHeight="false" outlineLevel="0" collapsed="false">
      <c r="A53" s="38" t="s">
        <v>146</v>
      </c>
      <c r="B53" s="38" t="s">
        <v>147</v>
      </c>
      <c r="C53" s="38" t="s">
        <v>89</v>
      </c>
      <c r="D53" s="21" t="n">
        <v>1694</v>
      </c>
      <c r="E53" s="21" t="n">
        <v>1511</v>
      </c>
      <c r="F53" s="51" t="n">
        <f aca="false">IF(E53="","",D53-E53)</f>
        <v>183</v>
      </c>
      <c r="G53" s="21" t="n">
        <v>1944</v>
      </c>
      <c r="H53" s="21" t="n">
        <v>2018</v>
      </c>
      <c r="I53" s="51" t="n">
        <f aca="false">IF(H53="","",G53-H53)</f>
        <v>-74</v>
      </c>
      <c r="J53" s="39" t="n">
        <f aca="false">IF(OR(D53="",D53+G53=0),"",D53/(D53+G53))</f>
        <v>0.465640461792194</v>
      </c>
      <c r="K53" s="39" t="n">
        <f aca="false">IF(E53="","",E53/(E53+H53))</f>
        <v>0.428166619438935</v>
      </c>
      <c r="L53" s="52" t="n">
        <f aca="false">IF(OR(K53="",J53=""),"",(J53-K53)*100)</f>
        <v>3.7473842353259</v>
      </c>
      <c r="M53" s="38"/>
    </row>
    <row r="54" customFormat="false" ht="15" hidden="false" customHeight="false" outlineLevel="0" collapsed="false">
      <c r="A54" s="38" t="s">
        <v>146</v>
      </c>
      <c r="B54" s="38" t="s">
        <v>148</v>
      </c>
      <c r="C54" s="38" t="s">
        <v>89</v>
      </c>
      <c r="D54" s="21" t="n">
        <v>1104</v>
      </c>
      <c r="E54" s="21" t="n">
        <v>959</v>
      </c>
      <c r="F54" s="51" t="n">
        <f aca="false">IF(E54="","",D54-E54)</f>
        <v>145</v>
      </c>
      <c r="G54" s="21" t="n">
        <v>1356</v>
      </c>
      <c r="H54" s="21" t="n">
        <v>1364</v>
      </c>
      <c r="I54" s="51" t="n">
        <f aca="false">IF(H54="","",G54-H54)</f>
        <v>-8</v>
      </c>
      <c r="J54" s="39" t="n">
        <f aca="false">IF(OR(D54="",D54+G54=0),"",D54/(D54+G54))</f>
        <v>0.448780487804878</v>
      </c>
      <c r="K54" s="39" t="n">
        <f aca="false">IF(E54="","",E54/(E54+H54))</f>
        <v>0.412828239345674</v>
      </c>
      <c r="L54" s="52" t="n">
        <f aca="false">IF(OR(K54="",J54=""),"",(J54-K54)*100)</f>
        <v>3.59522484592044</v>
      </c>
      <c r="M54" s="38"/>
    </row>
    <row r="55" customFormat="false" ht="15" hidden="false" customHeight="false" outlineLevel="0" collapsed="false">
      <c r="A55" s="38" t="s">
        <v>146</v>
      </c>
      <c r="B55" s="38" t="s">
        <v>149</v>
      </c>
      <c r="C55" s="38" t="s">
        <v>89</v>
      </c>
      <c r="D55" s="21" t="n">
        <v>658</v>
      </c>
      <c r="E55" s="21" t="n">
        <v>623</v>
      </c>
      <c r="F55" s="51" t="n">
        <f aca="false">IF(E55="","",D55-E55)</f>
        <v>35</v>
      </c>
      <c r="G55" s="21" t="n">
        <v>702</v>
      </c>
      <c r="H55" s="21" t="n">
        <v>726</v>
      </c>
      <c r="I55" s="51" t="n">
        <f aca="false">IF(H55="","",G55-H55)</f>
        <v>-24</v>
      </c>
      <c r="J55" s="39" t="n">
        <f aca="false">IF(OR(D55="",D55+G55=0),"",D55/(D55+G55))</f>
        <v>0.483823529411765</v>
      </c>
      <c r="K55" s="39" t="n">
        <f aca="false">IF(E55="","",E55/(E55+H55))</f>
        <v>0.46182357301705</v>
      </c>
      <c r="L55" s="52" t="n">
        <f aca="false">IF(OR(K55="",J55=""),"",(J55-K55)*100)</f>
        <v>2.1999956394715</v>
      </c>
      <c r="M55" s="38"/>
    </row>
    <row r="56" customFormat="false" ht="15" hidden="false" customHeight="false" outlineLevel="0" collapsed="false">
      <c r="A56" s="38" t="s">
        <v>146</v>
      </c>
      <c r="B56" s="38" t="s">
        <v>119</v>
      </c>
      <c r="C56" s="38" t="s">
        <v>89</v>
      </c>
      <c r="D56" s="21" t="n">
        <v>16887</v>
      </c>
      <c r="E56" s="21" t="n">
        <v>17416</v>
      </c>
      <c r="F56" s="51" t="n">
        <f aca="false">IF(E56="","",D56-E56)</f>
        <v>-529</v>
      </c>
      <c r="G56" s="21" t="n">
        <v>7902</v>
      </c>
      <c r="H56" s="21" t="n">
        <v>8640</v>
      </c>
      <c r="I56" s="51" t="n">
        <f aca="false">IF(H56="","",G56-H56)</f>
        <v>-738</v>
      </c>
      <c r="J56" s="39" t="n">
        <f aca="false">IF(OR(D56="",D56+G56=0),"",D56/(D56+G56))</f>
        <v>0.681229577635241</v>
      </c>
      <c r="K56" s="39" t="n">
        <f aca="false">IF(E56="","",E56/(E56+H56))</f>
        <v>0.668406509057415</v>
      </c>
      <c r="L56" s="52" t="n">
        <f aca="false">IF(OR(K56="",J56=""),"",(J56-K56)*100)</f>
        <v>1.28230685778266</v>
      </c>
      <c r="M56" s="38"/>
    </row>
    <row r="57" customFormat="false" ht="15" hidden="false" customHeight="false" outlineLevel="0" collapsed="false">
      <c r="A57" s="38" t="s">
        <v>146</v>
      </c>
      <c r="B57" s="38" t="s">
        <v>150</v>
      </c>
      <c r="C57" s="38" t="s">
        <v>89</v>
      </c>
      <c r="D57" s="21" t="n">
        <v>8964</v>
      </c>
      <c r="E57" s="21" t="n">
        <v>8595</v>
      </c>
      <c r="F57" s="51" t="n">
        <f aca="false">IF(E57="","",D57-E57)</f>
        <v>369</v>
      </c>
      <c r="G57" s="21" t="n">
        <v>7702</v>
      </c>
      <c r="H57" s="21" t="n">
        <v>7440</v>
      </c>
      <c r="I57" s="51" t="n">
        <f aca="false">IF(H57="","",G57-H57)</f>
        <v>262</v>
      </c>
      <c r="J57" s="39" t="n">
        <f aca="false">IF(OR(D57="",D57+G57=0),"",D57/(D57+G57))</f>
        <v>0.537861514460578</v>
      </c>
      <c r="K57" s="39" t="n">
        <f aca="false">IF(E57="","",E57/(E57+H57))</f>
        <v>0.536014967259121</v>
      </c>
      <c r="L57" s="52" t="n">
        <f aca="false">IF(OR(K57="",J57=""),"",(J57-K57)*100)</f>
        <v>0.184654720145772</v>
      </c>
      <c r="M57" s="38"/>
    </row>
    <row r="58" customFormat="false" ht="15" hidden="false" customHeight="false" outlineLevel="0" collapsed="false">
      <c r="A58" s="38" t="s">
        <v>146</v>
      </c>
      <c r="B58" s="38" t="s">
        <v>151</v>
      </c>
      <c r="C58" s="38" t="s">
        <v>89</v>
      </c>
      <c r="D58" s="21" t="n">
        <v>2367</v>
      </c>
      <c r="E58" s="21" t="n">
        <v>2169</v>
      </c>
      <c r="F58" s="51" t="n">
        <f aca="false">IF(E58="","",D58-E58)</f>
        <v>198</v>
      </c>
      <c r="G58" s="21" t="n">
        <v>3656</v>
      </c>
      <c r="H58" s="21" t="n">
        <v>3459</v>
      </c>
      <c r="I58" s="51" t="n">
        <f aca="false">IF(H58="","",G58-H58)</f>
        <v>197</v>
      </c>
      <c r="J58" s="39" t="n">
        <f aca="false">IF(OR(D58="",D58+G58=0),"",D58/(D58+G58))</f>
        <v>0.392993524821518</v>
      </c>
      <c r="K58" s="39" t="n">
        <f aca="false">IF(E58="","",E58/(E58+H58))</f>
        <v>0.385394456289979</v>
      </c>
      <c r="L58" s="52" t="n">
        <f aca="false">IF(OR(K58="",J58=""),"",(J58-K58)*100)</f>
        <v>0.75990685315388</v>
      </c>
      <c r="M58" s="38"/>
    </row>
    <row r="59" customFormat="false" ht="15" hidden="false" customHeight="false" outlineLevel="0" collapsed="false">
      <c r="A59" s="38" t="s">
        <v>146</v>
      </c>
      <c r="B59" s="38" t="s">
        <v>152</v>
      </c>
      <c r="C59" s="38" t="s">
        <v>89</v>
      </c>
      <c r="D59" s="21" t="n">
        <v>48</v>
      </c>
      <c r="E59" s="21" t="n">
        <v>40</v>
      </c>
      <c r="F59" s="51" t="n">
        <f aca="false">IF(E59="","",D59-E59)</f>
        <v>8</v>
      </c>
      <c r="G59" s="21" t="n">
        <v>78</v>
      </c>
      <c r="H59" s="21" t="n">
        <v>83</v>
      </c>
      <c r="I59" s="51" t="n">
        <f aca="false">IF(H59="","",G59-H59)</f>
        <v>-5</v>
      </c>
      <c r="J59" s="39" t="n">
        <f aca="false">IF(OR(D59="",D59+G59=0),"",D59/(D59+G59))</f>
        <v>0.380952380952381</v>
      </c>
      <c r="K59" s="39" t="n">
        <f aca="false">IF(E59="","",E59/(E59+H59))</f>
        <v>0.32520325203252</v>
      </c>
      <c r="L59" s="52" t="n">
        <f aca="false">IF(OR(K59="",J59=""),"",(J59-K59)*100)</f>
        <v>5.57491289198606</v>
      </c>
      <c r="M59" s="38"/>
    </row>
    <row r="60" customFormat="false" ht="15" hidden="false" customHeight="false" outlineLevel="0" collapsed="false">
      <c r="A60" s="38" t="s">
        <v>146</v>
      </c>
      <c r="B60" s="38" t="s">
        <v>153</v>
      </c>
      <c r="C60" s="38" t="s">
        <v>89</v>
      </c>
      <c r="D60" s="21" t="n">
        <v>1542</v>
      </c>
      <c r="E60" s="21" t="n">
        <v>1484</v>
      </c>
      <c r="F60" s="51" t="n">
        <f aca="false">IF(E60="","",D60-E60)</f>
        <v>58</v>
      </c>
      <c r="G60" s="21" t="n">
        <v>1860</v>
      </c>
      <c r="H60" s="21" t="n">
        <v>1959</v>
      </c>
      <c r="I60" s="51" t="n">
        <f aca="false">IF(H60="","",G60-H60)</f>
        <v>-99</v>
      </c>
      <c r="J60" s="39" t="n">
        <f aca="false">IF(OR(D60="",D60+G60=0),"",D60/(D60+G60))</f>
        <v>0.45326278659612</v>
      </c>
      <c r="K60" s="39" t="n">
        <f aca="false">IF(E60="","",E60/(E60+H60))</f>
        <v>0.431019459773453</v>
      </c>
      <c r="L60" s="52" t="n">
        <f aca="false">IF(OR(K60="",J60=""),"",(J60-K60)*100)</f>
        <v>2.22433268226665</v>
      </c>
      <c r="M60" s="38"/>
    </row>
    <row r="61" customFormat="false" ht="15" hidden="false" customHeight="false" outlineLevel="0" collapsed="false">
      <c r="A61" s="38" t="s">
        <v>146</v>
      </c>
      <c r="B61" s="38" t="s">
        <v>154</v>
      </c>
      <c r="C61" s="38" t="s">
        <v>89</v>
      </c>
      <c r="D61" s="21" t="n">
        <v>206</v>
      </c>
      <c r="E61" s="21" t="n">
        <v>217</v>
      </c>
      <c r="F61" s="51" t="n">
        <f aca="false">IF(E61="","",D61-E61)</f>
        <v>-11</v>
      </c>
      <c r="G61" s="21" t="n">
        <v>319</v>
      </c>
      <c r="H61" s="21" t="n">
        <v>309</v>
      </c>
      <c r="I61" s="51" t="n">
        <f aca="false">IF(H61="","",G61-H61)</f>
        <v>10</v>
      </c>
      <c r="J61" s="39" t="n">
        <f aca="false">IF(OR(D61="",D61+G61=0),"",D61/(D61+G61))</f>
        <v>0.392380952380952</v>
      </c>
      <c r="K61" s="39" t="n">
        <f aca="false">IF(E61="","",E61/(E61+H61))</f>
        <v>0.41254752851711</v>
      </c>
      <c r="L61" s="52" t="n">
        <f aca="false">IF(OR(K61="",J61=""),"",(J61-K61)*100)</f>
        <v>-2.01665761361579</v>
      </c>
      <c r="M61" s="38"/>
    </row>
    <row r="62" customFormat="false" ht="15" hidden="false" customHeight="false" outlineLevel="0" collapsed="false">
      <c r="A62" s="38" t="s">
        <v>146</v>
      </c>
      <c r="B62" s="38" t="s">
        <v>155</v>
      </c>
      <c r="C62" s="38" t="s">
        <v>89</v>
      </c>
      <c r="D62" s="21" t="n">
        <v>7018</v>
      </c>
      <c r="E62" s="21" t="n">
        <v>7604</v>
      </c>
      <c r="F62" s="51" t="n">
        <f aca="false">IF(E62="","",D62-E62)</f>
        <v>-586</v>
      </c>
      <c r="G62" s="21" t="n">
        <v>3013</v>
      </c>
      <c r="H62" s="21" t="n">
        <v>3303</v>
      </c>
      <c r="I62" s="51" t="n">
        <f aca="false">IF(H62="","",G62-H62)</f>
        <v>-290</v>
      </c>
      <c r="J62" s="39" t="n">
        <f aca="false">IF(OR(D62="",D62+G62=0),"",D62/(D62+G62))</f>
        <v>0.699631143455289</v>
      </c>
      <c r="K62" s="39" t="n">
        <f aca="false">IF(E62="","",E62/(E62+H62))</f>
        <v>0.697166957000092</v>
      </c>
      <c r="L62" s="52" t="n">
        <f aca="false">IF(OR(K62="",J62=""),"",(J62-K62)*100)</f>
        <v>0.246418645519697</v>
      </c>
      <c r="M62" s="38"/>
    </row>
    <row r="63" customFormat="false" ht="15" hidden="false" customHeight="false" outlineLevel="0" collapsed="false">
      <c r="A63" s="38" t="s">
        <v>146</v>
      </c>
      <c r="B63" s="38" t="s">
        <v>156</v>
      </c>
      <c r="C63" s="38" t="s">
        <v>89</v>
      </c>
      <c r="D63" s="21" t="n">
        <v>5786</v>
      </c>
      <c r="E63" s="21" t="n">
        <v>5358</v>
      </c>
      <c r="F63" s="51" t="n">
        <f aca="false">IF(E63="","",D63-E63)</f>
        <v>428</v>
      </c>
      <c r="G63" s="21" t="n">
        <v>4984</v>
      </c>
      <c r="H63" s="21" t="n">
        <v>5027</v>
      </c>
      <c r="I63" s="51" t="n">
        <f aca="false">IF(H63="","",G63-H63)</f>
        <v>-43</v>
      </c>
      <c r="J63" s="39" t="n">
        <f aca="false">IF(OR(D63="",D63+G63=0),"",D63/(D63+G63))</f>
        <v>0.537233054781801</v>
      </c>
      <c r="K63" s="39" t="n">
        <f aca="false">IF(E63="","",E63/(E63+H63))</f>
        <v>0.515936446798267</v>
      </c>
      <c r="L63" s="52" t="n">
        <f aca="false">IF(OR(K63="",J63=""),"",(J63-K63)*100)</f>
        <v>2.12966079835345</v>
      </c>
      <c r="M63" s="38"/>
    </row>
    <row r="64" customFormat="false" ht="15" hidden="false" customHeight="false" outlineLevel="0" collapsed="false">
      <c r="A64" s="38" t="s">
        <v>146</v>
      </c>
      <c r="B64" s="38" t="s">
        <v>157</v>
      </c>
      <c r="C64" s="38" t="s">
        <v>89</v>
      </c>
      <c r="D64" s="21" t="n">
        <v>743</v>
      </c>
      <c r="E64" s="21" t="n">
        <v>714</v>
      </c>
      <c r="F64" s="51" t="n">
        <f aca="false">IF(E64="","",D64-E64)</f>
        <v>29</v>
      </c>
      <c r="G64" s="21" t="n">
        <v>490</v>
      </c>
      <c r="H64" s="21" t="n">
        <v>484</v>
      </c>
      <c r="I64" s="51" t="n">
        <f aca="false">IF(H64="","",G64-H64)</f>
        <v>6</v>
      </c>
      <c r="J64" s="39" t="n">
        <f aca="false">IF(OR(D64="",D64+G64=0),"",D64/(D64+G64))</f>
        <v>0.602595296025953</v>
      </c>
      <c r="K64" s="39" t="n">
        <f aca="false">IF(E64="","",E64/(E64+H64))</f>
        <v>0.595993322203673</v>
      </c>
      <c r="L64" s="52" t="n">
        <f aca="false">IF(OR(K64="",J64=""),"",(J64-K64)*100)</f>
        <v>0.660197382228023</v>
      </c>
      <c r="M64" s="38"/>
    </row>
    <row r="65" customFormat="false" ht="15" hidden="false" customHeight="false" outlineLevel="0" collapsed="false">
      <c r="A65" s="38" t="s">
        <v>146</v>
      </c>
      <c r="B65" s="38" t="s">
        <v>158</v>
      </c>
      <c r="C65" s="38" t="s">
        <v>89</v>
      </c>
      <c r="D65" s="21" t="n">
        <v>114</v>
      </c>
      <c r="E65" s="21" t="n">
        <v>109</v>
      </c>
      <c r="F65" s="51" t="n">
        <f aca="false">IF(E65="","",D65-E65)</f>
        <v>5</v>
      </c>
      <c r="G65" s="21" t="n">
        <v>102</v>
      </c>
      <c r="H65" s="21" t="n">
        <v>97</v>
      </c>
      <c r="I65" s="51" t="n">
        <f aca="false">IF(H65="","",G65-H65)</f>
        <v>5</v>
      </c>
      <c r="J65" s="39" t="n">
        <f aca="false">IF(OR(D65="",D65+G65=0),"",D65/(D65+G65))</f>
        <v>0.527777777777778</v>
      </c>
      <c r="K65" s="39" t="n">
        <f aca="false">IF(E65="","",E65/(E65+H65))</f>
        <v>0.529126213592233</v>
      </c>
      <c r="L65" s="52" t="n">
        <f aca="false">IF(OR(K65="",J65=""),"",(J65-K65)*100)</f>
        <v>-0.134843581445521</v>
      </c>
      <c r="M65" s="38"/>
    </row>
    <row r="66" customFormat="false" ht="15" hidden="false" customHeight="false" outlineLevel="0" collapsed="false">
      <c r="A66" s="38" t="s">
        <v>146</v>
      </c>
      <c r="B66" s="38" t="s">
        <v>125</v>
      </c>
      <c r="C66" s="38" t="s">
        <v>89</v>
      </c>
      <c r="D66" s="21" t="n">
        <v>4749</v>
      </c>
      <c r="E66" s="21" t="n">
        <v>4341</v>
      </c>
      <c r="F66" s="51" t="n">
        <f aca="false">IF(E66="","",D66-E66)</f>
        <v>408</v>
      </c>
      <c r="G66" s="21" t="n">
        <v>3963</v>
      </c>
      <c r="H66" s="21" t="n">
        <v>3620</v>
      </c>
      <c r="I66" s="51" t="n">
        <f aca="false">IF(H66="","",G66-H66)</f>
        <v>343</v>
      </c>
      <c r="J66" s="39" t="n">
        <f aca="false">IF(OR(D66="",D66+G66=0),"",D66/(D66+G66))</f>
        <v>0.545110192837466</v>
      </c>
      <c r="K66" s="39" t="n">
        <f aca="false">IF(E66="","",E66/(E66+H66))</f>
        <v>0.545283255872378</v>
      </c>
      <c r="L66" s="52" t="n">
        <f aca="false">IF(OR(K66="",J66=""),"",(J66-K66)*100)</f>
        <v>-0.0173063034912269</v>
      </c>
      <c r="M66" s="38"/>
    </row>
    <row r="67" customFormat="false" ht="15" hidden="false" customHeight="false" outlineLevel="0" collapsed="false">
      <c r="A67" s="38" t="s">
        <v>146</v>
      </c>
      <c r="B67" s="38" t="s">
        <v>159</v>
      </c>
      <c r="C67" s="38" t="s">
        <v>89</v>
      </c>
      <c r="D67" s="21" t="n">
        <v>1855</v>
      </c>
      <c r="E67" s="21" t="n">
        <v>1726</v>
      </c>
      <c r="F67" s="51" t="n">
        <f aca="false">IF(E67="","",D67-E67)</f>
        <v>129</v>
      </c>
      <c r="G67" s="21" t="n">
        <v>1622</v>
      </c>
      <c r="H67" s="21" t="n">
        <v>1685</v>
      </c>
      <c r="I67" s="51" t="n">
        <f aca="false">IF(H67="","",G67-H67)</f>
        <v>-63</v>
      </c>
      <c r="J67" s="39" t="n">
        <f aca="false">IF(OR(D67="",D67+G67=0),"",D67/(D67+G67))</f>
        <v>0.533505895887259</v>
      </c>
      <c r="K67" s="39" t="n">
        <f aca="false">IF(E67="","",E67/(E67+H67))</f>
        <v>0.506009967751393</v>
      </c>
      <c r="L67" s="52" t="n">
        <f aca="false">IF(OR(K67="",J67=""),"",(J67-K67)*100)</f>
        <v>2.74959281358667</v>
      </c>
      <c r="M67" s="38"/>
    </row>
    <row r="68" customFormat="false" ht="15" hidden="false" customHeight="false" outlineLevel="0" collapsed="false">
      <c r="A68" s="38" t="s">
        <v>146</v>
      </c>
      <c r="B68" s="38" t="s">
        <v>160</v>
      </c>
      <c r="C68" s="38" t="s">
        <v>89</v>
      </c>
      <c r="D68" s="21" t="n">
        <v>2555</v>
      </c>
      <c r="E68" s="21" t="n">
        <v>2244</v>
      </c>
      <c r="F68" s="51" t="n">
        <f aca="false">IF(E68="","",D68-E68)</f>
        <v>311</v>
      </c>
      <c r="G68" s="21" t="n">
        <v>4518</v>
      </c>
      <c r="H68" s="21" t="n">
        <v>4439</v>
      </c>
      <c r="I68" s="51" t="n">
        <f aca="false">IF(H68="","",G68-H68)</f>
        <v>79</v>
      </c>
      <c r="J68" s="39" t="n">
        <f aca="false">IF(OR(D68="",D68+G68=0),"",D68/(D68+G68))</f>
        <v>0.361232857344832</v>
      </c>
      <c r="K68" s="39" t="n">
        <f aca="false">IF(E68="","",E68/(E68+H68))</f>
        <v>0.335777345503516</v>
      </c>
      <c r="L68" s="52" t="n">
        <f aca="false">IF(OR(K68="",J68=""),"",(J68-K68)*100)</f>
        <v>2.54555118413161</v>
      </c>
      <c r="M68" s="38"/>
    </row>
    <row r="69" customFormat="false" ht="15" hidden="false" customHeight="false" outlineLevel="0" collapsed="false">
      <c r="A69" s="38" t="s">
        <v>146</v>
      </c>
      <c r="B69" s="38" t="s">
        <v>161</v>
      </c>
      <c r="C69" s="38" t="s">
        <v>89</v>
      </c>
      <c r="D69" s="21" t="n">
        <v>705</v>
      </c>
      <c r="E69" s="21" t="n">
        <v>625</v>
      </c>
      <c r="F69" s="51" t="n">
        <f aca="false">IF(E69="","",D69-E69)</f>
        <v>80</v>
      </c>
      <c r="G69" s="21" t="n">
        <v>1211</v>
      </c>
      <c r="H69" s="21" t="n">
        <v>1214</v>
      </c>
      <c r="I69" s="51" t="n">
        <f aca="false">IF(H69="","",G69-H69)</f>
        <v>-3</v>
      </c>
      <c r="J69" s="39" t="n">
        <f aca="false">IF(OR(D69="",D69+G69=0),"",D69/(D69+G69))</f>
        <v>0.367954070981211</v>
      </c>
      <c r="K69" s="39" t="n">
        <f aca="false">IF(E69="","",E69/(E69+H69))</f>
        <v>0.339858618814573</v>
      </c>
      <c r="L69" s="52" t="n">
        <f aca="false">IF(OR(K69="",J69=""),"",(J69-K69)*100)</f>
        <v>2.80954521666377</v>
      </c>
      <c r="M69" s="38"/>
    </row>
    <row r="70" customFormat="false" ht="15" hidden="false" customHeight="false" outlineLevel="0" collapsed="false">
      <c r="A70" s="38" t="s">
        <v>146</v>
      </c>
      <c r="B70" s="38" t="s">
        <v>162</v>
      </c>
      <c r="C70" s="38" t="s">
        <v>89</v>
      </c>
      <c r="D70" s="21" t="n">
        <v>2283</v>
      </c>
      <c r="E70" s="21" t="n">
        <v>2047</v>
      </c>
      <c r="F70" s="51" t="n">
        <f aca="false">IF(E70="","",D70-E70)</f>
        <v>236</v>
      </c>
      <c r="G70" s="21" t="n">
        <v>2761</v>
      </c>
      <c r="H70" s="21" t="n">
        <v>2499</v>
      </c>
      <c r="I70" s="51" t="n">
        <f aca="false">IF(H70="","",G70-H70)</f>
        <v>262</v>
      </c>
      <c r="J70" s="39" t="n">
        <f aca="false">IF(OR(D70="",D70+G70=0),"",D70/(D70+G70))</f>
        <v>0.452616970658208</v>
      </c>
      <c r="K70" s="39" t="n">
        <f aca="false">IF(E70="","",E70/(E70+H70))</f>
        <v>0.450285965684118</v>
      </c>
      <c r="L70" s="52" t="n">
        <f aca="false">IF(OR(K70="",J70=""),"",(J70-K70)*100)</f>
        <v>0.233100497408989</v>
      </c>
      <c r="M70" s="38"/>
    </row>
    <row r="71" customFormat="false" ht="15" hidden="false" customHeight="false" outlineLevel="0" collapsed="false">
      <c r="A71" s="38" t="s">
        <v>146</v>
      </c>
      <c r="B71" s="38" t="s">
        <v>163</v>
      </c>
      <c r="C71" s="38" t="s">
        <v>89</v>
      </c>
      <c r="D71" s="21" t="n">
        <v>4064</v>
      </c>
      <c r="E71" s="21" t="n">
        <v>3457</v>
      </c>
      <c r="F71" s="51" t="n">
        <f aca="false">IF(E71="","",D71-E71)</f>
        <v>607</v>
      </c>
      <c r="G71" s="21" t="n">
        <v>3947</v>
      </c>
      <c r="H71" s="21" t="n">
        <v>3805</v>
      </c>
      <c r="I71" s="51" t="n">
        <f aca="false">IF(H71="","",G71-H71)</f>
        <v>142</v>
      </c>
      <c r="J71" s="39" t="n">
        <f aca="false">IF(OR(D71="",D71+G71=0),"",D71/(D71+G71))</f>
        <v>0.507302459118712</v>
      </c>
      <c r="K71" s="39" t="n">
        <f aca="false">IF(E71="","",E71/(E71+H71))</f>
        <v>0.476039658496282</v>
      </c>
      <c r="L71" s="52" t="n">
        <f aca="false">IF(OR(K71="",J71=""),"",(J71-K71)*100)</f>
        <v>3.12628006224298</v>
      </c>
      <c r="M71" s="38"/>
    </row>
    <row r="72" customFormat="false" ht="15" hidden="false" customHeight="false" outlineLevel="0" collapsed="false">
      <c r="A72" s="38" t="s">
        <v>146</v>
      </c>
      <c r="B72" s="38" t="s">
        <v>164</v>
      </c>
      <c r="C72" s="38" t="s">
        <v>89</v>
      </c>
      <c r="D72" s="21" t="n">
        <v>2328</v>
      </c>
      <c r="E72" s="21" t="n">
        <v>2006</v>
      </c>
      <c r="F72" s="51" t="n">
        <f aca="false">IF(E72="","",D72-E72)</f>
        <v>322</v>
      </c>
      <c r="G72" s="21" t="n">
        <v>4198</v>
      </c>
      <c r="H72" s="21" t="n">
        <v>4057</v>
      </c>
      <c r="I72" s="51" t="n">
        <f aca="false">IF(H72="","",G72-H72)</f>
        <v>141</v>
      </c>
      <c r="J72" s="39" t="n">
        <f aca="false">IF(OR(D72="",D72+G72=0),"",D72/(D72+G72))</f>
        <v>0.356726938400245</v>
      </c>
      <c r="K72" s="39" t="n">
        <f aca="false">IF(E72="","",E72/(E72+H72))</f>
        <v>0.330859310572324</v>
      </c>
      <c r="L72" s="52" t="n">
        <f aca="false">IF(OR(K72="",J72=""),"",(J72-K72)*100)</f>
        <v>2.58676278279212</v>
      </c>
      <c r="M72" s="38"/>
    </row>
    <row r="73" customFormat="false" ht="15" hidden="false" customHeight="false" outlineLevel="0" collapsed="false">
      <c r="A73" s="38" t="s">
        <v>146</v>
      </c>
      <c r="B73" s="38" t="s">
        <v>165</v>
      </c>
      <c r="C73" s="38" t="s">
        <v>89</v>
      </c>
      <c r="D73" s="21" t="n">
        <v>1707</v>
      </c>
      <c r="E73" s="21" t="n">
        <v>1596</v>
      </c>
      <c r="F73" s="51" t="n">
        <f aca="false">IF(E73="","",D73-E73)</f>
        <v>111</v>
      </c>
      <c r="G73" s="21" t="n">
        <v>1621</v>
      </c>
      <c r="H73" s="21" t="n">
        <v>1664</v>
      </c>
      <c r="I73" s="51" t="n">
        <f aca="false">IF(H73="","",G73-H73)</f>
        <v>-43</v>
      </c>
      <c r="J73" s="39" t="n">
        <f aca="false">IF(OR(D73="",D73+G73=0),"",D73/(D73+G73))</f>
        <v>0.512920673076923</v>
      </c>
      <c r="K73" s="39" t="n">
        <f aca="false">IF(E73="","",E73/(E73+H73))</f>
        <v>0.489570552147239</v>
      </c>
      <c r="L73" s="52" t="n">
        <f aca="false">IF(OR(K73="",J73=""),"",(J73-K73)*100)</f>
        <v>2.33501209296839</v>
      </c>
      <c r="M73" s="38"/>
    </row>
    <row r="74" customFormat="false" ht="15" hidden="false" customHeight="false" outlineLevel="0" collapsed="false">
      <c r="A74" s="38" t="s">
        <v>146</v>
      </c>
      <c r="B74" s="38" t="s">
        <v>166</v>
      </c>
      <c r="C74" s="38" t="s">
        <v>89</v>
      </c>
      <c r="D74" s="21" t="n">
        <v>880</v>
      </c>
      <c r="E74" s="21" t="n">
        <v>847</v>
      </c>
      <c r="F74" s="51" t="n">
        <f aca="false">IF(E74="","",D74-E74)</f>
        <v>33</v>
      </c>
      <c r="G74" s="21" t="n">
        <v>847</v>
      </c>
      <c r="H74" s="21" t="n">
        <v>889</v>
      </c>
      <c r="I74" s="51" t="n">
        <f aca="false">IF(H74="","",G74-H74)</f>
        <v>-42</v>
      </c>
      <c r="J74" s="39" t="n">
        <f aca="false">IF(OR(D74="",D74+G74=0),"",D74/(D74+G74))</f>
        <v>0.509554140127389</v>
      </c>
      <c r="K74" s="39" t="n">
        <f aca="false">IF(E74="","",E74/(E74+H74))</f>
        <v>0.487903225806452</v>
      </c>
      <c r="L74" s="52" t="n">
        <f aca="false">IF(OR(K74="",J74=""),"",(J74-K74)*100)</f>
        <v>2.16509143209369</v>
      </c>
      <c r="M74" s="38"/>
    </row>
    <row r="75" customFormat="false" ht="15" hidden="false" customHeight="false" outlineLevel="0" collapsed="false">
      <c r="A75" s="38" t="s">
        <v>146</v>
      </c>
      <c r="B75" s="38" t="s">
        <v>167</v>
      </c>
      <c r="C75" s="38" t="s">
        <v>89</v>
      </c>
      <c r="D75" s="21" t="n">
        <v>2857</v>
      </c>
      <c r="E75" s="21" t="n">
        <v>2573</v>
      </c>
      <c r="F75" s="51" t="n">
        <f aca="false">IF(E75="","",D75-E75)</f>
        <v>284</v>
      </c>
      <c r="G75" s="21" t="n">
        <v>2838</v>
      </c>
      <c r="H75" s="21" t="n">
        <v>3023</v>
      </c>
      <c r="I75" s="51" t="n">
        <f aca="false">IF(H75="","",G75-H75)</f>
        <v>-185</v>
      </c>
      <c r="J75" s="39" t="n">
        <f aca="false">IF(OR(D75="",D75+G75=0),"",D75/(D75+G75))</f>
        <v>0.501668129938543</v>
      </c>
      <c r="K75" s="39" t="n">
        <f aca="false">IF(E75="","",E75/(E75+H75))</f>
        <v>0.459792709077913</v>
      </c>
      <c r="L75" s="52" t="n">
        <f aca="false">IF(OR(K75="",J75=""),"",(J75-K75)*100)</f>
        <v>4.18754208606298</v>
      </c>
      <c r="M75" s="38"/>
    </row>
    <row r="76" customFormat="false" ht="15" hidden="false" customHeight="false" outlineLevel="0" collapsed="false">
      <c r="A76" s="38" t="s">
        <v>146</v>
      </c>
      <c r="B76" s="38" t="s">
        <v>168</v>
      </c>
      <c r="C76" s="38" t="s">
        <v>89</v>
      </c>
      <c r="D76" s="21" t="n">
        <v>7746</v>
      </c>
      <c r="E76" s="21" t="n">
        <v>6974</v>
      </c>
      <c r="F76" s="51" t="n">
        <f aca="false">IF(E76="","",D76-E76)</f>
        <v>772</v>
      </c>
      <c r="G76" s="21" t="n">
        <v>6802</v>
      </c>
      <c r="H76" s="21" t="n">
        <v>6736</v>
      </c>
      <c r="I76" s="51" t="n">
        <f aca="false">IF(H76="","",G76-H76)</f>
        <v>66</v>
      </c>
      <c r="J76" s="39" t="n">
        <f aca="false">IF(OR(D76="",D76+G76=0),"",D76/(D76+G76))</f>
        <v>0.532444322243607</v>
      </c>
      <c r="K76" s="39" t="n">
        <f aca="false">IF(E76="","",E76/(E76+H76))</f>
        <v>0.508679795769511</v>
      </c>
      <c r="L76" s="52" t="n">
        <f aca="false">IF(OR(K76="",J76=""),"",(J76-K76)*100)</f>
        <v>2.37645264740961</v>
      </c>
      <c r="M76" s="38"/>
    </row>
    <row r="77" customFormat="false" ht="15" hidden="false" customHeight="false" outlineLevel="0" collapsed="false">
      <c r="A77" s="38" t="s">
        <v>146</v>
      </c>
      <c r="B77" s="38" t="s">
        <v>169</v>
      </c>
      <c r="C77" s="38" t="s">
        <v>89</v>
      </c>
      <c r="D77" s="21" t="n">
        <v>756</v>
      </c>
      <c r="E77" s="21" t="n">
        <v>703</v>
      </c>
      <c r="F77" s="51" t="n">
        <f aca="false">IF(E77="","",D77-E77)</f>
        <v>53</v>
      </c>
      <c r="G77" s="21" t="n">
        <v>1125</v>
      </c>
      <c r="H77" s="21" t="n">
        <v>1180</v>
      </c>
      <c r="I77" s="51" t="n">
        <f aca="false">IF(H77="","",G77-H77)</f>
        <v>-55</v>
      </c>
      <c r="J77" s="39" t="n">
        <f aca="false">IF(OR(D77="",D77+G77=0),"",D77/(D77+G77))</f>
        <v>0.401913875598086</v>
      </c>
      <c r="K77" s="39" t="n">
        <f aca="false">IF(E77="","",E77/(E77+H77))</f>
        <v>0.373340414232608</v>
      </c>
      <c r="L77" s="52" t="n">
        <f aca="false">IF(OR(K77="",J77=""),"",(J77-K77)*100)</f>
        <v>2.85734613654786</v>
      </c>
      <c r="M77" s="38"/>
    </row>
    <row r="78" customFormat="false" ht="15" hidden="false" customHeight="false" outlineLevel="0" collapsed="false">
      <c r="A78" s="38" t="s">
        <v>146</v>
      </c>
      <c r="B78" s="38" t="s">
        <v>170</v>
      </c>
      <c r="C78" s="38" t="s">
        <v>89</v>
      </c>
      <c r="D78" s="21" t="n">
        <v>1541</v>
      </c>
      <c r="E78" s="21" t="n">
        <v>1361</v>
      </c>
      <c r="F78" s="51" t="n">
        <f aca="false">IF(E78="","",D78-E78)</f>
        <v>180</v>
      </c>
      <c r="G78" s="21" t="n">
        <v>2749</v>
      </c>
      <c r="H78" s="21" t="n">
        <v>2561</v>
      </c>
      <c r="I78" s="51" t="n">
        <f aca="false">IF(H78="","",G78-H78)</f>
        <v>188</v>
      </c>
      <c r="J78" s="39" t="n">
        <f aca="false">IF(OR(D78="",D78+G78=0),"",D78/(D78+G78))</f>
        <v>0.359207459207459</v>
      </c>
      <c r="K78" s="39" t="n">
        <f aca="false">IF(E78="","",E78/(E78+H78))</f>
        <v>0.347016828148904</v>
      </c>
      <c r="L78" s="52" t="n">
        <f aca="false">IF(OR(K78="",J78=""),"",(J78-K78)*100)</f>
        <v>1.21906310585556</v>
      </c>
      <c r="M78" s="38"/>
    </row>
    <row r="79" customFormat="false" ht="15" hidden="false" customHeight="false" outlineLevel="0" collapsed="false">
      <c r="A79" s="38" t="s">
        <v>146</v>
      </c>
      <c r="B79" s="38" t="s">
        <v>171</v>
      </c>
      <c r="C79" s="38" t="s">
        <v>89</v>
      </c>
      <c r="D79" s="21" t="n">
        <v>92</v>
      </c>
      <c r="E79" s="21" t="n">
        <v>92</v>
      </c>
      <c r="F79" s="51" t="n">
        <f aca="false">IF(E79="","",D79-E79)</f>
        <v>0</v>
      </c>
      <c r="G79" s="21" t="n">
        <v>176</v>
      </c>
      <c r="H79" s="21" t="n">
        <v>167</v>
      </c>
      <c r="I79" s="51" t="n">
        <f aca="false">IF(H79="","",G79-H79)</f>
        <v>9</v>
      </c>
      <c r="J79" s="39" t="n">
        <f aca="false">IF(OR(D79="",D79+G79=0),"",D79/(D79+G79))</f>
        <v>0.343283582089552</v>
      </c>
      <c r="K79" s="39" t="n">
        <f aca="false">IF(E79="","",E79/(E79+H79))</f>
        <v>0.355212355212355</v>
      </c>
      <c r="L79" s="52" t="n">
        <f aca="false">IF(OR(K79="",J79=""),"",(J79-K79)*100)</f>
        <v>-1.1928773122803</v>
      </c>
      <c r="M79" s="38"/>
    </row>
    <row r="80" customFormat="false" ht="15" hidden="false" customHeight="false" outlineLevel="0" collapsed="false">
      <c r="A80" s="38" t="s">
        <v>146</v>
      </c>
      <c r="B80" s="38" t="s">
        <v>172</v>
      </c>
      <c r="C80" s="38" t="s">
        <v>89</v>
      </c>
      <c r="D80" s="21" t="n">
        <v>393</v>
      </c>
      <c r="E80" s="21" t="n">
        <v>335</v>
      </c>
      <c r="F80" s="51" t="n">
        <f aca="false">IF(E80="","",D80-E80)</f>
        <v>58</v>
      </c>
      <c r="G80" s="21" t="n">
        <v>576</v>
      </c>
      <c r="H80" s="21" t="n">
        <v>581</v>
      </c>
      <c r="I80" s="51" t="n">
        <f aca="false">IF(H80="","",G80-H80)</f>
        <v>-5</v>
      </c>
      <c r="J80" s="39" t="n">
        <f aca="false">IF(OR(D80="",D80+G80=0),"",D80/(D80+G80))</f>
        <v>0.405572755417957</v>
      </c>
      <c r="K80" s="39" t="n">
        <f aca="false">IF(E80="","",E80/(E80+H80))</f>
        <v>0.365720524017467</v>
      </c>
      <c r="L80" s="52" t="n">
        <f aca="false">IF(OR(K80="",J80=""),"",(J80-K80)*100)</f>
        <v>3.98522314004894</v>
      </c>
      <c r="M80" s="38"/>
    </row>
    <row r="81" customFormat="false" ht="15" hidden="false" customHeight="false" outlineLevel="0" collapsed="false">
      <c r="A81" s="38" t="s">
        <v>146</v>
      </c>
      <c r="B81" s="38" t="s">
        <v>173</v>
      </c>
      <c r="C81" s="38" t="s">
        <v>89</v>
      </c>
      <c r="D81" s="21" t="n">
        <v>239</v>
      </c>
      <c r="E81" s="21" t="n">
        <v>210</v>
      </c>
      <c r="F81" s="51" t="n">
        <f aca="false">IF(E81="","",D81-E81)</f>
        <v>29</v>
      </c>
      <c r="G81" s="21" t="n">
        <v>318</v>
      </c>
      <c r="H81" s="21" t="n">
        <v>309</v>
      </c>
      <c r="I81" s="51" t="n">
        <f aca="false">IF(H81="","",G81-H81)</f>
        <v>9</v>
      </c>
      <c r="J81" s="39" t="n">
        <f aca="false">IF(OR(D81="",D81+G81=0),"",D81/(D81+G81))</f>
        <v>0.429084380610413</v>
      </c>
      <c r="K81" s="39" t="n">
        <f aca="false">IF(E81="","",E81/(E81+H81))</f>
        <v>0.404624277456647</v>
      </c>
      <c r="L81" s="52" t="n">
        <f aca="false">IF(OR(K81="",J81=""),"",(J81-K81)*100)</f>
        <v>2.44601031537655</v>
      </c>
      <c r="M81" s="38"/>
    </row>
    <row r="82" customFormat="false" ht="15" hidden="false" customHeight="false" outlineLevel="0" collapsed="false">
      <c r="A82" s="38" t="s">
        <v>146</v>
      </c>
      <c r="B82" s="38" t="s">
        <v>174</v>
      </c>
      <c r="C82" s="38" t="s">
        <v>89</v>
      </c>
      <c r="D82" s="21" t="n">
        <v>331</v>
      </c>
      <c r="E82" s="21" t="n">
        <v>331</v>
      </c>
      <c r="F82" s="51" t="n">
        <f aca="false">IF(E82="","",D82-E82)</f>
        <v>0</v>
      </c>
      <c r="G82" s="21" t="n">
        <v>412</v>
      </c>
      <c r="H82" s="21" t="n">
        <v>458</v>
      </c>
      <c r="I82" s="51" t="n">
        <f aca="false">IF(H82="","",G82-H82)</f>
        <v>-46</v>
      </c>
      <c r="J82" s="39" t="n">
        <f aca="false">IF(OR(D82="",D82+G82=0),"",D82/(D82+G82))</f>
        <v>0.445491251682369</v>
      </c>
      <c r="K82" s="39" t="n">
        <f aca="false">IF(E82="","",E82/(E82+H82))</f>
        <v>0.419518377693283</v>
      </c>
      <c r="L82" s="52" t="n">
        <f aca="false">IF(OR(K82="",J82=""),"",(J82-K82)*100)</f>
        <v>2.59728739890861</v>
      </c>
      <c r="M82" s="38"/>
    </row>
    <row r="83" customFormat="false" ht="15" hidden="false" customHeight="false" outlineLevel="0" collapsed="false">
      <c r="A83" s="38" t="s">
        <v>146</v>
      </c>
      <c r="B83" s="38" t="s">
        <v>175</v>
      </c>
      <c r="C83" s="38" t="s">
        <v>89</v>
      </c>
      <c r="D83" s="21" t="n">
        <v>1453</v>
      </c>
      <c r="E83" s="21" t="n">
        <v>1242</v>
      </c>
      <c r="F83" s="51" t="n">
        <f aca="false">IF(E83="","",D83-E83)</f>
        <v>211</v>
      </c>
      <c r="G83" s="21" t="n">
        <v>2765</v>
      </c>
      <c r="H83" s="21" t="n">
        <v>2716</v>
      </c>
      <c r="I83" s="51" t="n">
        <f aca="false">IF(H83="","",G83-H83)</f>
        <v>49</v>
      </c>
      <c r="J83" s="39" t="n">
        <f aca="false">IF(OR(D83="",D83+G83=0),"",D83/(D83+G83))</f>
        <v>0.344476055002371</v>
      </c>
      <c r="K83" s="39" t="n">
        <f aca="false">IF(E83="","",E83/(E83+H83))</f>
        <v>0.313794845881759</v>
      </c>
      <c r="L83" s="52" t="n">
        <f aca="false">IF(OR(K83="",J83=""),"",(J83-K83)*100)</f>
        <v>3.06812091206123</v>
      </c>
      <c r="M83" s="38"/>
    </row>
    <row r="84" customFormat="false" ht="15" hidden="false" customHeight="false" outlineLevel="0" collapsed="false">
      <c r="A84" s="38" t="s">
        <v>146</v>
      </c>
      <c r="B84" s="38" t="s">
        <v>176</v>
      </c>
      <c r="C84" s="38" t="s">
        <v>89</v>
      </c>
      <c r="D84" s="21" t="n">
        <v>2163</v>
      </c>
      <c r="E84" s="21" t="n">
        <v>1964</v>
      </c>
      <c r="F84" s="51" t="n">
        <f aca="false">IF(E84="","",D84-E84)</f>
        <v>199</v>
      </c>
      <c r="G84" s="21" t="n">
        <v>2175</v>
      </c>
      <c r="H84" s="21" t="n">
        <v>2147</v>
      </c>
      <c r="I84" s="51" t="n">
        <f aca="false">IF(H84="","",G84-H84)</f>
        <v>28</v>
      </c>
      <c r="J84" s="39" t="n">
        <f aca="false">IF(OR(D84="",D84+G84=0),"",D84/(D84+G84))</f>
        <v>0.498616874135546</v>
      </c>
      <c r="K84" s="39" t="n">
        <f aca="false">IF(E84="","",E84/(E84+H84))</f>
        <v>0.477742641693019</v>
      </c>
      <c r="L84" s="52" t="n">
        <f aca="false">IF(OR(K84="",J84=""),"",(J84-K84)*100)</f>
        <v>2.08742324425276</v>
      </c>
      <c r="M84" s="38"/>
    </row>
    <row r="85" customFormat="false" ht="15" hidden="false" customHeight="false" outlineLevel="0" collapsed="false">
      <c r="A85" s="38" t="s">
        <v>146</v>
      </c>
      <c r="B85" s="38" t="s">
        <v>177</v>
      </c>
      <c r="C85" s="38" t="s">
        <v>89</v>
      </c>
      <c r="D85" s="21" t="n">
        <v>462</v>
      </c>
      <c r="E85" s="21" t="n">
        <v>416</v>
      </c>
      <c r="F85" s="51" t="n">
        <f aca="false">IF(E85="","",D85-E85)</f>
        <v>46</v>
      </c>
      <c r="G85" s="21" t="n">
        <v>602</v>
      </c>
      <c r="H85" s="21" t="n">
        <v>658</v>
      </c>
      <c r="I85" s="51" t="n">
        <f aca="false">IF(H85="","",G85-H85)</f>
        <v>-56</v>
      </c>
      <c r="J85" s="39" t="n">
        <f aca="false">IF(OR(D85="",D85+G85=0),"",D85/(D85+G85))</f>
        <v>0.43421052631579</v>
      </c>
      <c r="K85" s="39" t="n">
        <f aca="false">IF(E85="","",E85/(E85+H85))</f>
        <v>0.387337057728119</v>
      </c>
      <c r="L85" s="52" t="n">
        <f aca="false">IF(OR(K85="",J85=""),"",(J85-K85)*100)</f>
        <v>4.68734685876703</v>
      </c>
      <c r="M85" s="38"/>
    </row>
    <row r="86" customFormat="false" ht="15" hidden="false" customHeight="false" outlineLevel="0" collapsed="false">
      <c r="A86" s="38" t="s">
        <v>146</v>
      </c>
      <c r="B86" s="38" t="s">
        <v>139</v>
      </c>
      <c r="C86" s="38" t="s">
        <v>89</v>
      </c>
      <c r="D86" s="21" t="n">
        <v>1218</v>
      </c>
      <c r="E86" s="21" t="n">
        <v>1041</v>
      </c>
      <c r="F86" s="51" t="n">
        <f aca="false">IF(E86="","",D86-E86)</f>
        <v>177</v>
      </c>
      <c r="G86" s="21" t="n">
        <v>2101</v>
      </c>
      <c r="H86" s="21" t="n">
        <v>2088</v>
      </c>
      <c r="I86" s="51" t="n">
        <f aca="false">IF(H86="","",G86-H86)</f>
        <v>13</v>
      </c>
      <c r="J86" s="39" t="n">
        <f aca="false">IF(OR(D86="",D86+G86=0),"",D86/(D86+G86))</f>
        <v>0.36697800542332</v>
      </c>
      <c r="K86" s="39" t="n">
        <f aca="false">IF(E86="","",E86/(E86+H86))</f>
        <v>0.332694151486098</v>
      </c>
      <c r="L86" s="52" t="n">
        <f aca="false">IF(OR(K86="",J86=""),"",(J86-K86)*100)</f>
        <v>3.42838539372224</v>
      </c>
      <c r="M86" s="38"/>
    </row>
    <row r="87" customFormat="false" ht="15" hidden="false" customHeight="false" outlineLevel="0" collapsed="false">
      <c r="A87" s="38" t="s">
        <v>146</v>
      </c>
      <c r="B87" s="38" t="s">
        <v>178</v>
      </c>
      <c r="C87" s="38" t="s">
        <v>89</v>
      </c>
      <c r="D87" s="21" t="n">
        <v>290</v>
      </c>
      <c r="E87" s="21" t="n">
        <v>281</v>
      </c>
      <c r="F87" s="51" t="n">
        <f aca="false">IF(E87="","",D87-E87)</f>
        <v>9</v>
      </c>
      <c r="G87" s="21" t="n">
        <v>321</v>
      </c>
      <c r="H87" s="21" t="n">
        <v>310</v>
      </c>
      <c r="I87" s="51" t="n">
        <f aca="false">IF(H87="","",G87-H87)</f>
        <v>11</v>
      </c>
      <c r="J87" s="39" t="n">
        <f aca="false">IF(OR(D87="",D87+G87=0),"",D87/(D87+G87))</f>
        <v>0.474631751227496</v>
      </c>
      <c r="K87" s="39" t="n">
        <f aca="false">IF(E87="","",E87/(E87+H87))</f>
        <v>0.475465313028765</v>
      </c>
      <c r="L87" s="52" t="n">
        <f aca="false">IF(OR(K87="",J87=""),"",(J87-K87)*100)</f>
        <v>-0.0833561801268923</v>
      </c>
      <c r="M87" s="38"/>
    </row>
    <row r="88" customFormat="false" ht="15" hidden="false" customHeight="false" outlineLevel="0" collapsed="false">
      <c r="A88" s="38" t="s">
        <v>146</v>
      </c>
      <c r="B88" s="38" t="s">
        <v>179</v>
      </c>
      <c r="C88" s="38" t="s">
        <v>89</v>
      </c>
      <c r="D88" s="21" t="n">
        <v>2092</v>
      </c>
      <c r="E88" s="21" t="n">
        <v>1847</v>
      </c>
      <c r="F88" s="51" t="n">
        <f aca="false">IF(E88="","",D88-E88)</f>
        <v>245</v>
      </c>
      <c r="G88" s="21" t="n">
        <v>2472</v>
      </c>
      <c r="H88" s="21" t="n">
        <v>2401</v>
      </c>
      <c r="I88" s="51" t="n">
        <f aca="false">IF(H88="","",G88-H88)</f>
        <v>71</v>
      </c>
      <c r="J88" s="39" t="n">
        <f aca="false">IF(OR(D88="",D88+G88=0),"",D88/(D88+G88))</f>
        <v>0.458369851007888</v>
      </c>
      <c r="K88" s="39" t="n">
        <f aca="false">IF(E88="","",E88/(E88+H88))</f>
        <v>0.434792843691149</v>
      </c>
      <c r="L88" s="52" t="n">
        <f aca="false">IF(OR(K88="",J88=""),"",(J88-K88)*100)</f>
        <v>2.3577007316739</v>
      </c>
      <c r="M88" s="38"/>
    </row>
    <row r="89" customFormat="false" ht="15" hidden="false" customHeight="false" outlineLevel="0" collapsed="false">
      <c r="A89" s="38" t="s">
        <v>146</v>
      </c>
      <c r="B89" s="38" t="s">
        <v>180</v>
      </c>
      <c r="C89" s="38" t="s">
        <v>89</v>
      </c>
      <c r="D89" s="21" t="n">
        <v>1930</v>
      </c>
      <c r="E89" s="21" t="n">
        <v>1897</v>
      </c>
      <c r="F89" s="51" t="n">
        <f aca="false">IF(E89="","",D89-E89)</f>
        <v>33</v>
      </c>
      <c r="G89" s="21" t="n">
        <v>1492</v>
      </c>
      <c r="H89" s="21" t="n">
        <v>1538</v>
      </c>
      <c r="I89" s="51" t="n">
        <f aca="false">IF(H89="","",G89-H89)</f>
        <v>-46</v>
      </c>
      <c r="J89" s="39" t="n">
        <f aca="false">IF(OR(D89="",D89+G89=0),"",D89/(D89+G89))</f>
        <v>0.563997662185856</v>
      </c>
      <c r="K89" s="39" t="n">
        <f aca="false">IF(E89="","",E89/(E89+H89))</f>
        <v>0.552256186317322</v>
      </c>
      <c r="L89" s="52" t="n">
        <f aca="false">IF(OR(K89="",J89=""),"",(J89-K89)*100)</f>
        <v>1.17414758685346</v>
      </c>
      <c r="M89" s="38"/>
    </row>
    <row r="90" customFormat="false" ht="15" hidden="false" customHeight="false" outlineLevel="0" collapsed="false">
      <c r="A90" s="38" t="s">
        <v>146</v>
      </c>
      <c r="B90" s="38" t="s">
        <v>181</v>
      </c>
      <c r="C90" s="38" t="s">
        <v>89</v>
      </c>
      <c r="D90" s="21" t="n">
        <v>666</v>
      </c>
      <c r="E90" s="21" t="n">
        <v>634</v>
      </c>
      <c r="F90" s="51" t="n">
        <f aca="false">IF(E90="","",D90-E90)</f>
        <v>32</v>
      </c>
      <c r="G90" s="21" t="n">
        <v>805</v>
      </c>
      <c r="H90" s="21" t="n">
        <v>856</v>
      </c>
      <c r="I90" s="51" t="n">
        <f aca="false">IF(H90="","",G90-H90)</f>
        <v>-51</v>
      </c>
      <c r="J90" s="39" t="n">
        <f aca="false">IF(OR(D90="",D90+G90=0),"",D90/(D90+G90))</f>
        <v>0.452753229095853</v>
      </c>
      <c r="K90" s="39" t="n">
        <f aca="false">IF(E90="","",E90/(E90+H90))</f>
        <v>0.425503355704698</v>
      </c>
      <c r="L90" s="52" t="n">
        <f aca="false">IF(OR(K90="",J90=""),"",(J90-K90)*100)</f>
        <v>2.72498733911551</v>
      </c>
      <c r="M90" s="38"/>
    </row>
    <row r="92" customFormat="false" ht="15" hidden="false" customHeight="false" outlineLevel="0" collapsed="false">
      <c r="A92" s="11" t="s">
        <v>331</v>
      </c>
      <c r="B92" s="53"/>
      <c r="C92" s="53"/>
      <c r="D92" s="54" t="n">
        <f aca="false">SUMIF(E2:E90,"&lt;&gt;",D2:D90)</f>
        <v>214425</v>
      </c>
      <c r="E92" s="54" t="n">
        <f aca="false">SUM(E2:E90)</f>
        <v>199626</v>
      </c>
      <c r="F92" s="55" t="n">
        <f aca="false">D92-E92</f>
        <v>14799</v>
      </c>
      <c r="G92" s="54" t="n">
        <f aca="false">SUMIF(H2:H90,"&lt;&gt;",G2:G90)</f>
        <v>202431</v>
      </c>
      <c r="H92" s="54" t="n">
        <f aca="false">SUM(H2:H90)</f>
        <v>203688</v>
      </c>
      <c r="I92" s="55" t="n">
        <f aca="false">G92-H92</f>
        <v>-1257</v>
      </c>
      <c r="J92" s="56" t="n">
        <f aca="false">D92/(D92+G92)</f>
        <v>0.514386262882146</v>
      </c>
      <c r="K92" s="56" t="n">
        <f aca="false">E92/(E92+H92)</f>
        <v>0.49496422142549</v>
      </c>
      <c r="L92" s="57" t="n">
        <f aca="false">(J92-K92)*100</f>
        <v>1.94220414566566</v>
      </c>
    </row>
    <row r="93" customFormat="false" ht="15" hidden="false" customHeight="false" outlineLevel="0" collapsed="false">
      <c r="A93" s="11" t="s">
        <v>332</v>
      </c>
      <c r="B93" s="53"/>
      <c r="C93" s="53"/>
      <c r="D93" s="54" t="n">
        <f aca="false">SUM(D2:D90)</f>
        <v>214425</v>
      </c>
      <c r="E93" s="54"/>
      <c r="F93" s="55"/>
      <c r="G93" s="54" t="n">
        <f aca="false">SUM(G2:G90)</f>
        <v>202431</v>
      </c>
      <c r="H93" s="54"/>
      <c r="I93" s="55"/>
      <c r="J93" s="56" t="n">
        <f aca="false">D93/(D93+G93)</f>
        <v>0.514386262882146</v>
      </c>
      <c r="K93" s="56"/>
      <c r="L93" s="57"/>
    </row>
    <row r="95" customFormat="false" ht="15" hidden="false" customHeight="false" outlineLevel="0" collapsed="false">
      <c r="A95" s="2" t="s">
        <v>333</v>
      </c>
      <c r="F95" s="58" t="n">
        <f aca="false">(SUMIF(F2:F90,"&gt;0")-SUMIF(F2:F90,"&lt;0"))/COUNT(F2:F90)</f>
        <v>191.606741573034</v>
      </c>
    </row>
    <row r="96" customFormat="false" ht="15" hidden="false" customHeight="false" outlineLevel="0" collapsed="false">
      <c r="A96" s="2" t="s">
        <v>334</v>
      </c>
      <c r="F96" s="58" t="n">
        <f aca="false">(SUMIF(I2:I90,"&gt;0")-SUMIF(I2:I90,"&lt;0"))/COUNT(I2:I90)</f>
        <v>105.831460674157</v>
      </c>
    </row>
    <row r="97" customFormat="false" ht="15" hidden="false" customHeight="false" outlineLevel="0" collapsed="false">
      <c r="A97" s="2" t="s">
        <v>335</v>
      </c>
      <c r="F97" s="59" t="n">
        <f aca="false">(SUMIF(L2:L90,"&gt;0")-SUMIF(L2:L90,"&lt;0"))/COUNT(L2:L90)</f>
        <v>2.77629237072266</v>
      </c>
    </row>
    <row r="98" customFormat="false" ht="15" hidden="false" customHeight="false" outlineLevel="0" collapsed="false">
      <c r="A98" s="5" t="s">
        <v>336</v>
      </c>
      <c r="F98" s="60" t="n">
        <f aca="false">SQRT(SUMSQ(L2:L90)/COUNT(L2:L90))</f>
        <v>3.23282523452204</v>
      </c>
    </row>
    <row r="99" customFormat="false" ht="15" hidden="false" customHeight="false" outlineLevel="0" collapsed="false">
      <c r="A99" s="5" t="s">
        <v>337</v>
      </c>
      <c r="F99" s="61" t="n">
        <f aca="false">L92</f>
        <v>1.94220414566566</v>
      </c>
    </row>
    <row r="100" customFormat="false" ht="15" hidden="false" customHeight="false" outlineLevel="0" collapsed="false">
      <c r="A100" s="5" t="s">
        <v>338</v>
      </c>
      <c r="F100" s="60" t="n">
        <f aca="false">SQRT((SUMSQ(L2:L90)-2*L92*SUM(L2:L90)+COUNT(L2:L90)*L92^2)/COUNT(L2:L90))</f>
        <v>1.94339086104386</v>
      </c>
    </row>
    <row r="101" customFormat="false" ht="15" hidden="false" customHeight="false" outlineLevel="0" collapsed="false">
      <c r="A101" s="2" t="s">
        <v>339</v>
      </c>
      <c r="F101" s="62" t="n">
        <f aca="false">(D92+G92)/(E92+H92)-1</f>
        <v>0.0335768160787873</v>
      </c>
    </row>
    <row r="102" customFormat="false" ht="15" hidden="false" customHeight="false" outlineLevel="0" collapsed="false">
      <c r="A102" s="2" t="s">
        <v>340</v>
      </c>
      <c r="F102" s="63" t="n">
        <f aca="false">COUNTIFS(L2:L90,"&gt;=-3",L2:L90,"&lt;=3")/COUNT(L2:L90)</f>
        <v>0.629213483146067</v>
      </c>
    </row>
    <row r="103" customFormat="false" ht="15" hidden="false" customHeight="false" outlineLevel="0" collapsed="false">
      <c r="A103" s="2" t="s">
        <v>341</v>
      </c>
      <c r="F103" s="64" t="n">
        <f aca="false">COUNT(E2:E90)</f>
        <v>89</v>
      </c>
    </row>
    <row r="104" customFormat="false" ht="15" hidden="false" customHeight="false" outlineLevel="0" collapsed="false">
      <c r="A104" s="2" t="s">
        <v>342</v>
      </c>
      <c r="F104" s="64" t="n">
        <f aca="false">COUNTA(A2:A90)</f>
        <v>89</v>
      </c>
    </row>
    <row r="106" customFormat="false" ht="15" hidden="false" customHeight="false" outlineLevel="0" collapsed="false">
      <c r="M106" s="5" t="s">
        <v>69</v>
      </c>
    </row>
    <row r="107" customFormat="false" ht="28.35" hidden="false" customHeight="false" outlineLevel="0" collapsed="false">
      <c r="M107" s="50" t="s">
        <v>343</v>
      </c>
    </row>
    <row r="108" customFormat="false" ht="28.35" hidden="false" customHeight="false" outlineLevel="0" collapsed="false">
      <c r="M108" s="50" t="s">
        <v>344</v>
      </c>
    </row>
    <row r="109" customFormat="false" ht="41.75" hidden="false" customHeight="false" outlineLevel="0" collapsed="false">
      <c r="M109" s="50" t="s">
        <v>345</v>
      </c>
    </row>
    <row r="110" customFormat="false" ht="55.2" hidden="false" customHeight="false" outlineLevel="0" collapsed="false">
      <c r="M110" s="50" t="s">
        <v>346</v>
      </c>
    </row>
    <row r="111" customFormat="false" ht="15" hidden="false" customHeight="false" outlineLevel="0" collapsed="false">
      <c r="M111" s="50" t="s">
        <v>347</v>
      </c>
    </row>
    <row r="112" customFormat="false" ht="28.35" hidden="false" customHeight="false" outlineLevel="0" collapsed="false">
      <c r="M112" s="50" t="s">
        <v>348</v>
      </c>
    </row>
    <row r="113" customFormat="false" ht="28.35" hidden="false" customHeight="false" outlineLevel="0" collapsed="false">
      <c r="M113" s="50" t="s">
        <v>349</v>
      </c>
    </row>
    <row r="114" customFormat="false" ht="28.35" hidden="false" customHeight="false" outlineLevel="0" collapsed="false">
      <c r="M114" s="50" t="s">
        <v>350</v>
      </c>
    </row>
    <row r="115" customFormat="false" ht="15" hidden="false" customHeight="false" outlineLevel="0" collapsed="false">
      <c r="M115" s="50" t="s">
        <v>351</v>
      </c>
    </row>
    <row r="116" customFormat="false" ht="15" hidden="false" customHeight="false" outlineLevel="0" collapsed="false">
      <c r="M116" s="50" t="s">
        <v>352</v>
      </c>
    </row>
    <row r="117" customFormat="false" ht="28.35" hidden="false" customHeight="false" outlineLevel="0" collapsed="false">
      <c r="M117" s="50" t="s">
        <v>353</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321</v>
      </c>
      <c r="E1" s="7" t="s">
        <v>322</v>
      </c>
      <c r="F1" s="7" t="s">
        <v>323</v>
      </c>
      <c r="G1" s="7" t="s">
        <v>324</v>
      </c>
      <c r="H1" s="7" t="s">
        <v>325</v>
      </c>
      <c r="I1" s="7" t="s">
        <v>326</v>
      </c>
      <c r="J1" s="7" t="s">
        <v>327</v>
      </c>
      <c r="K1" s="7" t="s">
        <v>328</v>
      </c>
      <c r="L1" s="7" t="s">
        <v>329</v>
      </c>
      <c r="M1" s="7" t="s">
        <v>330</v>
      </c>
    </row>
    <row r="2" customFormat="false" ht="15" hidden="false" customHeight="false" outlineLevel="0" collapsed="false">
      <c r="A2" s="38" t="s">
        <v>87</v>
      </c>
      <c r="B2" s="38" t="s">
        <v>88</v>
      </c>
      <c r="C2" s="38" t="s">
        <v>89</v>
      </c>
      <c r="D2" s="21" t="n">
        <v>202</v>
      </c>
      <c r="E2" s="21" t="n">
        <v>181</v>
      </c>
      <c r="F2" s="51" t="n">
        <f aca="false">IF(E2="","",D2-E2)</f>
        <v>21</v>
      </c>
      <c r="G2" s="21" t="n">
        <v>314</v>
      </c>
      <c r="H2" s="21" t="n">
        <v>285</v>
      </c>
      <c r="I2" s="51" t="n">
        <f aca="false">IF(H2="","",G2-H2)</f>
        <v>29</v>
      </c>
      <c r="J2" s="39" t="n">
        <f aca="false">IF(OR(D2="",D2+G2=0),"",D2/(D2+G2))</f>
        <v>0.391472868217054</v>
      </c>
      <c r="K2" s="39" t="n">
        <f aca="false">IF(E2="","",E2/(E2+H2))</f>
        <v>0.388412017167382</v>
      </c>
      <c r="L2" s="52" t="n">
        <f aca="false">IF(OR(K2="",J2=""),"",(J2-K2)*100)</f>
        <v>0.306085104967224</v>
      </c>
      <c r="M2" s="38"/>
    </row>
    <row r="3" customFormat="false" ht="15" hidden="false" customHeight="false" outlineLevel="0" collapsed="false">
      <c r="A3" s="38" t="s">
        <v>87</v>
      </c>
      <c r="B3" s="38" t="s">
        <v>92</v>
      </c>
      <c r="C3" s="38" t="s">
        <v>89</v>
      </c>
      <c r="D3" s="21" t="n">
        <v>128</v>
      </c>
      <c r="E3" s="21" t="n">
        <v>118</v>
      </c>
      <c r="F3" s="51" t="n">
        <f aca="false">IF(E3="","",D3-E3)</f>
        <v>10</v>
      </c>
      <c r="G3" s="21" t="n">
        <v>297</v>
      </c>
      <c r="H3" s="21" t="n">
        <v>300</v>
      </c>
      <c r="I3" s="51" t="n">
        <f aca="false">IF(H3="","",G3-H3)</f>
        <v>-3</v>
      </c>
      <c r="J3" s="39" t="n">
        <f aca="false">IF(OR(D3="",D3+G3=0),"",D3/(D3+G3))</f>
        <v>0.301176470588235</v>
      </c>
      <c r="K3" s="39" t="n">
        <f aca="false">IF(E3="","",E3/(E3+H3))</f>
        <v>0.282296650717703</v>
      </c>
      <c r="L3" s="52" t="n">
        <f aca="false">IF(OR(K3="",J3=""),"",(J3-K3)*100)</f>
        <v>1.88798198705319</v>
      </c>
      <c r="M3" s="38"/>
    </row>
    <row r="4" customFormat="false" ht="15" hidden="false" customHeight="false" outlineLevel="0" collapsed="false">
      <c r="A4" s="38" t="s">
        <v>87</v>
      </c>
      <c r="B4" s="38" t="s">
        <v>93</v>
      </c>
      <c r="C4" s="38" t="s">
        <v>89</v>
      </c>
      <c r="D4" s="21" t="n">
        <v>168</v>
      </c>
      <c r="E4" s="21" t="n">
        <v>144</v>
      </c>
      <c r="F4" s="51" t="n">
        <f aca="false">IF(E4="","",D4-E4)</f>
        <v>24</v>
      </c>
      <c r="G4" s="21" t="n">
        <v>289</v>
      </c>
      <c r="H4" s="21" t="n">
        <v>310</v>
      </c>
      <c r="I4" s="51" t="n">
        <f aca="false">IF(H4="","",G4-H4)</f>
        <v>-21</v>
      </c>
      <c r="J4" s="39" t="n">
        <f aca="false">IF(OR(D4="",D4+G4=0),"",D4/(D4+G4))</f>
        <v>0.367614879649891</v>
      </c>
      <c r="K4" s="39" t="n">
        <f aca="false">IF(E4="","",E4/(E4+H4))</f>
        <v>0.317180616740088</v>
      </c>
      <c r="L4" s="52" t="n">
        <f aca="false">IF(OR(K4="",J4=""),"",(J4-K4)*100)</f>
        <v>5.04342629098025</v>
      </c>
      <c r="M4" s="38"/>
    </row>
    <row r="5" customFormat="false" ht="15" hidden="false" customHeight="false" outlineLevel="0" collapsed="false">
      <c r="A5" s="38" t="s">
        <v>87</v>
      </c>
      <c r="B5" s="38" t="s">
        <v>94</v>
      </c>
      <c r="C5" s="38" t="s">
        <v>89</v>
      </c>
      <c r="D5" s="21" t="n">
        <v>513</v>
      </c>
      <c r="E5" s="21" t="n">
        <v>438</v>
      </c>
      <c r="F5" s="51" t="n">
        <f aca="false">IF(E5="","",D5-E5)</f>
        <v>75</v>
      </c>
      <c r="G5" s="21" t="n">
        <v>1169</v>
      </c>
      <c r="H5" s="21" t="n">
        <v>1253</v>
      </c>
      <c r="I5" s="51" t="n">
        <f aca="false">IF(H5="","",G5-H5)</f>
        <v>-84</v>
      </c>
      <c r="J5" s="39" t="n">
        <f aca="false">IF(OR(D5="",D5+G5=0),"",D5/(D5+G5))</f>
        <v>0.30499405469679</v>
      </c>
      <c r="K5" s="39" t="n">
        <f aca="false">IF(E5="","",E5/(E5+H5))</f>
        <v>0.259018332347723</v>
      </c>
      <c r="L5" s="52" t="n">
        <f aca="false">IF(OR(K5="",J5=""),"",(J5-K5)*100)</f>
        <v>4.59757223490663</v>
      </c>
      <c r="M5" s="38"/>
    </row>
    <row r="6" customFormat="false" ht="15" hidden="false" customHeight="false" outlineLevel="0" collapsed="false">
      <c r="A6" s="38" t="s">
        <v>87</v>
      </c>
      <c r="B6" s="38" t="s">
        <v>95</v>
      </c>
      <c r="C6" s="38" t="s">
        <v>89</v>
      </c>
      <c r="D6" s="21" t="n">
        <v>50</v>
      </c>
      <c r="E6" s="21" t="n">
        <v>38</v>
      </c>
      <c r="F6" s="51" t="n">
        <f aca="false">IF(E6="","",D6-E6)</f>
        <v>12</v>
      </c>
      <c r="G6" s="21" t="n">
        <v>78</v>
      </c>
      <c r="H6" s="21" t="n">
        <v>78</v>
      </c>
      <c r="I6" s="51" t="n">
        <f aca="false">IF(H6="","",G6-H6)</f>
        <v>0</v>
      </c>
      <c r="J6" s="39" t="n">
        <f aca="false">IF(OR(D6="",D6+G6=0),"",D6/(D6+G6))</f>
        <v>0.390625</v>
      </c>
      <c r="K6" s="39" t="n">
        <f aca="false">IF(E6="","",E6/(E6+H6))</f>
        <v>0.327586206896552</v>
      </c>
      <c r="L6" s="52" t="n">
        <f aca="false">IF(OR(K6="",J6=""),"",(J6-K6)*100)</f>
        <v>6.30387931034483</v>
      </c>
      <c r="M6" s="38"/>
    </row>
    <row r="7" customFormat="false" ht="15" hidden="false" customHeight="false" outlineLevel="0" collapsed="false">
      <c r="A7" s="38" t="s">
        <v>87</v>
      </c>
      <c r="B7" s="38" t="s">
        <v>96</v>
      </c>
      <c r="C7" s="38" t="s">
        <v>89</v>
      </c>
      <c r="D7" s="21" t="n">
        <v>795</v>
      </c>
      <c r="E7" s="21" t="n">
        <v>708</v>
      </c>
      <c r="F7" s="51" t="n">
        <f aca="false">IF(E7="","",D7-E7)</f>
        <v>87</v>
      </c>
      <c r="G7" s="21" t="n">
        <v>1831</v>
      </c>
      <c r="H7" s="21" t="n">
        <v>1846</v>
      </c>
      <c r="I7" s="51" t="n">
        <f aca="false">IF(H7="","",G7-H7)</f>
        <v>-15</v>
      </c>
      <c r="J7" s="39" t="n">
        <f aca="false">IF(OR(D7="",D7+G7=0),"",D7/(D7+G7))</f>
        <v>0.302741812642803</v>
      </c>
      <c r="K7" s="39" t="n">
        <f aca="false">IF(E7="","",E7/(E7+H7))</f>
        <v>0.277212216131558</v>
      </c>
      <c r="L7" s="52" t="n">
        <f aca="false">IF(OR(K7="",J7=""),"",(J7-K7)*100)</f>
        <v>2.55295965112444</v>
      </c>
      <c r="M7" s="38"/>
    </row>
    <row r="8" customFormat="false" ht="15" hidden="false" customHeight="false" outlineLevel="0" collapsed="false">
      <c r="A8" s="38" t="s">
        <v>87</v>
      </c>
      <c r="B8" s="38" t="s">
        <v>98</v>
      </c>
      <c r="C8" s="38" t="s">
        <v>89</v>
      </c>
      <c r="D8" s="21" t="n">
        <v>1327</v>
      </c>
      <c r="E8" s="21" t="n">
        <v>1104</v>
      </c>
      <c r="F8" s="51" t="n">
        <f aca="false">IF(E8="","",D8-E8)</f>
        <v>223</v>
      </c>
      <c r="G8" s="21" t="n">
        <v>1435</v>
      </c>
      <c r="H8" s="21" t="n">
        <v>1481</v>
      </c>
      <c r="I8" s="51" t="n">
        <f aca="false">IF(H8="","",G8-H8)</f>
        <v>-46</v>
      </c>
      <c r="J8" s="39" t="n">
        <f aca="false">IF(OR(D8="",D8+G8=0),"",D8/(D8+G8))</f>
        <v>0.480448950036206</v>
      </c>
      <c r="K8" s="39" t="n">
        <f aca="false">IF(E8="","",E8/(E8+H8))</f>
        <v>0.427079303675048</v>
      </c>
      <c r="L8" s="52" t="n">
        <f aca="false">IF(OR(K8="",J8=""),"",(J8-K8)*100)</f>
        <v>5.33696463611573</v>
      </c>
      <c r="M8" s="38"/>
    </row>
    <row r="9" customFormat="false" ht="15" hidden="false" customHeight="false" outlineLevel="0" collapsed="false">
      <c r="A9" s="38" t="s">
        <v>87</v>
      </c>
      <c r="B9" s="38" t="s">
        <v>99</v>
      </c>
      <c r="C9" s="38" t="s">
        <v>89</v>
      </c>
      <c r="D9" s="21" t="n">
        <v>409</v>
      </c>
      <c r="E9" s="21" t="n">
        <v>351</v>
      </c>
      <c r="F9" s="51" t="n">
        <f aca="false">IF(E9="","",D9-E9)</f>
        <v>58</v>
      </c>
      <c r="G9" s="21" t="n">
        <v>741</v>
      </c>
      <c r="H9" s="21" t="n">
        <v>697</v>
      </c>
      <c r="I9" s="51" t="n">
        <f aca="false">IF(H9="","",G9-H9)</f>
        <v>44</v>
      </c>
      <c r="J9" s="39" t="n">
        <f aca="false">IF(OR(D9="",D9+G9=0),"",D9/(D9+G9))</f>
        <v>0.355652173913044</v>
      </c>
      <c r="K9" s="39" t="n">
        <f aca="false">IF(E9="","",E9/(E9+H9))</f>
        <v>0.334923664122137</v>
      </c>
      <c r="L9" s="52" t="n">
        <f aca="false">IF(OR(K9="",J9=""),"",(J9-K9)*100)</f>
        <v>2.07285097909061</v>
      </c>
      <c r="M9" s="38"/>
    </row>
    <row r="10" customFormat="false" ht="15" hidden="false" customHeight="false" outlineLevel="0" collapsed="false">
      <c r="A10" s="38" t="s">
        <v>87</v>
      </c>
      <c r="B10" s="38" t="s">
        <v>100</v>
      </c>
      <c r="C10" s="38" t="s">
        <v>89</v>
      </c>
      <c r="D10" s="21" t="n">
        <v>690</v>
      </c>
      <c r="E10" s="21" t="n">
        <v>575</v>
      </c>
      <c r="F10" s="51" t="n">
        <f aca="false">IF(E10="","",D10-E10)</f>
        <v>115</v>
      </c>
      <c r="G10" s="21" t="n">
        <v>850</v>
      </c>
      <c r="H10" s="21" t="n">
        <v>880</v>
      </c>
      <c r="I10" s="51" t="n">
        <f aca="false">IF(H10="","",G10-H10)</f>
        <v>-30</v>
      </c>
      <c r="J10" s="39" t="n">
        <f aca="false">IF(OR(D10="",D10+G10=0),"",D10/(D10+G10))</f>
        <v>0.448051948051948</v>
      </c>
      <c r="K10" s="39" t="n">
        <f aca="false">IF(E10="","",E10/(E10+H10))</f>
        <v>0.395189003436426</v>
      </c>
      <c r="L10" s="52" t="n">
        <f aca="false">IF(OR(K10="",J10=""),"",(J10-K10)*100)</f>
        <v>5.28629446155219</v>
      </c>
      <c r="M10" s="38"/>
    </row>
    <row r="11" customFormat="false" ht="15" hidden="false" customHeight="false" outlineLevel="0" collapsed="false">
      <c r="A11" s="38" t="s">
        <v>87</v>
      </c>
      <c r="B11" s="38" t="s">
        <v>101</v>
      </c>
      <c r="C11" s="38" t="s">
        <v>89</v>
      </c>
      <c r="D11" s="21" t="n">
        <v>50</v>
      </c>
      <c r="E11" s="21" t="n">
        <v>38</v>
      </c>
      <c r="F11" s="51" t="n">
        <f aca="false">IF(E11="","",D11-E11)</f>
        <v>12</v>
      </c>
      <c r="G11" s="21" t="n">
        <v>99</v>
      </c>
      <c r="H11" s="21" t="n">
        <v>107</v>
      </c>
      <c r="I11" s="51" t="n">
        <f aca="false">IF(H11="","",G11-H11)</f>
        <v>-8</v>
      </c>
      <c r="J11" s="39" t="n">
        <f aca="false">IF(OR(D11="",D11+G11=0),"",D11/(D11+G11))</f>
        <v>0.335570469798658</v>
      </c>
      <c r="K11" s="39" t="n">
        <f aca="false">IF(E11="","",E11/(E11+H11))</f>
        <v>0.262068965517241</v>
      </c>
      <c r="L11" s="52" t="n">
        <f aca="false">IF(OR(K11="",J11=""),"",(J11-K11)*100)</f>
        <v>7.35015042814163</v>
      </c>
      <c r="M11" s="38"/>
    </row>
    <row r="12" customFormat="false" ht="15" hidden="false" customHeight="false" outlineLevel="0" collapsed="false">
      <c r="A12" s="38" t="s">
        <v>87</v>
      </c>
      <c r="B12" s="38" t="s">
        <v>102</v>
      </c>
      <c r="C12" s="38" t="s">
        <v>89</v>
      </c>
      <c r="D12" s="21" t="n">
        <v>71</v>
      </c>
      <c r="E12" s="21" t="n">
        <v>58</v>
      </c>
      <c r="F12" s="51" t="n">
        <f aca="false">IF(E12="","",D12-E12)</f>
        <v>13</v>
      </c>
      <c r="G12" s="21" t="n">
        <v>235</v>
      </c>
      <c r="H12" s="21" t="n">
        <v>216</v>
      </c>
      <c r="I12" s="51" t="n">
        <f aca="false">IF(H12="","",G12-H12)</f>
        <v>19</v>
      </c>
      <c r="J12" s="39" t="n">
        <f aca="false">IF(OR(D12="",D12+G12=0),"",D12/(D12+G12))</f>
        <v>0.23202614379085</v>
      </c>
      <c r="K12" s="39" t="n">
        <f aca="false">IF(E12="","",E12/(E12+H12))</f>
        <v>0.211678832116788</v>
      </c>
      <c r="L12" s="52" t="n">
        <f aca="false">IF(OR(K12="",J12=""),"",(J12-K12)*100)</f>
        <v>2.03473116740614</v>
      </c>
      <c r="M12" s="38"/>
    </row>
    <row r="13" customFormat="false" ht="15" hidden="false" customHeight="false" outlineLevel="0" collapsed="false">
      <c r="A13" s="38" t="s">
        <v>87</v>
      </c>
      <c r="B13" s="38" t="s">
        <v>103</v>
      </c>
      <c r="C13" s="38" t="s">
        <v>89</v>
      </c>
      <c r="D13" s="21" t="n">
        <v>1057</v>
      </c>
      <c r="E13" s="21" t="n">
        <v>944</v>
      </c>
      <c r="F13" s="51" t="n">
        <f aca="false">IF(E13="","",D13-E13)</f>
        <v>113</v>
      </c>
      <c r="G13" s="21" t="n">
        <v>1345</v>
      </c>
      <c r="H13" s="21" t="n">
        <v>1486</v>
      </c>
      <c r="I13" s="51" t="n">
        <f aca="false">IF(H13="","",G13-H13)</f>
        <v>-141</v>
      </c>
      <c r="J13" s="39" t="n">
        <f aca="false">IF(OR(D13="",D13+G13=0),"",D13/(D13+G13))</f>
        <v>0.440049958368027</v>
      </c>
      <c r="K13" s="39" t="n">
        <f aca="false">IF(E13="","",E13/(E13+H13))</f>
        <v>0.388477366255144</v>
      </c>
      <c r="L13" s="52" t="n">
        <f aca="false">IF(OR(K13="",J13=""),"",(J13-K13)*100)</f>
        <v>5.15725921128826</v>
      </c>
      <c r="M13" s="38"/>
    </row>
    <row r="14" customFormat="false" ht="15" hidden="false" customHeight="false" outlineLevel="0" collapsed="false">
      <c r="A14" s="38" t="s">
        <v>87</v>
      </c>
      <c r="B14" s="38" t="s">
        <v>104</v>
      </c>
      <c r="C14" s="38" t="s">
        <v>89</v>
      </c>
      <c r="D14" s="21" t="n">
        <v>602</v>
      </c>
      <c r="E14" s="21" t="n">
        <v>515</v>
      </c>
      <c r="F14" s="51" t="n">
        <f aca="false">IF(E14="","",D14-E14)</f>
        <v>87</v>
      </c>
      <c r="G14" s="21" t="n">
        <v>1173</v>
      </c>
      <c r="H14" s="21" t="n">
        <v>1293</v>
      </c>
      <c r="I14" s="51" t="n">
        <f aca="false">IF(H14="","",G14-H14)</f>
        <v>-120</v>
      </c>
      <c r="J14" s="39" t="n">
        <f aca="false">IF(OR(D14="",D14+G14=0),"",D14/(D14+G14))</f>
        <v>0.339154929577465</v>
      </c>
      <c r="K14" s="39" t="n">
        <f aca="false">IF(E14="","",E14/(E14+H14))</f>
        <v>0.284845132743363</v>
      </c>
      <c r="L14" s="52" t="n">
        <f aca="false">IF(OR(K14="",J14=""),"",(J14-K14)*100)</f>
        <v>5.4309796834102</v>
      </c>
      <c r="M14" s="38"/>
    </row>
    <row r="15" customFormat="false" ht="15" hidden="false" customHeight="false" outlineLevel="0" collapsed="false">
      <c r="A15" s="38" t="s">
        <v>87</v>
      </c>
      <c r="B15" s="38" t="s">
        <v>105</v>
      </c>
      <c r="C15" s="38" t="s">
        <v>89</v>
      </c>
      <c r="D15" s="21" t="n">
        <v>719</v>
      </c>
      <c r="E15" s="21" t="n">
        <v>694</v>
      </c>
      <c r="F15" s="51" t="n">
        <f aca="false">IF(E15="","",D15-E15)</f>
        <v>25</v>
      </c>
      <c r="G15" s="21" t="n">
        <v>1560</v>
      </c>
      <c r="H15" s="21" t="n">
        <v>1695</v>
      </c>
      <c r="I15" s="51" t="n">
        <f aca="false">IF(H15="","",G15-H15)</f>
        <v>-135</v>
      </c>
      <c r="J15" s="39" t="n">
        <f aca="false">IF(OR(D15="",D15+G15=0),"",D15/(D15+G15))</f>
        <v>0.315489249670908</v>
      </c>
      <c r="K15" s="39" t="n">
        <f aca="false">IF(E15="","",E15/(E15+H15))</f>
        <v>0.290498116366681</v>
      </c>
      <c r="L15" s="52" t="n">
        <f aca="false">IF(OR(K15="",J15=""),"",(J15-K15)*100)</f>
        <v>2.49911333042277</v>
      </c>
      <c r="M15" s="38"/>
    </row>
    <row r="16" customFormat="false" ht="15" hidden="false" customHeight="false" outlineLevel="0" collapsed="false">
      <c r="A16" s="38" t="s">
        <v>87</v>
      </c>
      <c r="B16" s="38" t="s">
        <v>106</v>
      </c>
      <c r="C16" s="38" t="s">
        <v>89</v>
      </c>
      <c r="D16" s="21" t="n">
        <v>683</v>
      </c>
      <c r="E16" s="21" t="n">
        <v>601</v>
      </c>
      <c r="F16" s="51" t="n">
        <f aca="false">IF(E16="","",D16-E16)</f>
        <v>82</v>
      </c>
      <c r="G16" s="21" t="n">
        <v>945</v>
      </c>
      <c r="H16" s="21" t="n">
        <v>955</v>
      </c>
      <c r="I16" s="51" t="n">
        <f aca="false">IF(H16="","",G16-H16)</f>
        <v>-10</v>
      </c>
      <c r="J16" s="39" t="n">
        <f aca="false">IF(OR(D16="",D16+G16=0),"",D16/(D16+G16))</f>
        <v>0.41953316953317</v>
      </c>
      <c r="K16" s="39" t="n">
        <f aca="false">IF(E16="","",E16/(E16+H16))</f>
        <v>0.386246786632391</v>
      </c>
      <c r="L16" s="52" t="n">
        <f aca="false">IF(OR(K16="",J16=""),"",(J16-K16)*100)</f>
        <v>3.32863829007788</v>
      </c>
      <c r="M16" s="38"/>
    </row>
    <row r="17" customFormat="false" ht="15" hidden="false" customHeight="false" outlineLevel="0" collapsed="false">
      <c r="A17" s="38" t="s">
        <v>87</v>
      </c>
      <c r="B17" s="38" t="s">
        <v>107</v>
      </c>
      <c r="C17" s="38" t="s">
        <v>89</v>
      </c>
      <c r="D17" s="21" t="n">
        <v>151</v>
      </c>
      <c r="E17" s="21" t="n">
        <v>134</v>
      </c>
      <c r="F17" s="51" t="n">
        <f aca="false">IF(E17="","",D17-E17)</f>
        <v>17</v>
      </c>
      <c r="G17" s="21" t="n">
        <v>567</v>
      </c>
      <c r="H17" s="21" t="n">
        <v>505</v>
      </c>
      <c r="I17" s="51" t="n">
        <f aca="false">IF(H17="","",G17-H17)</f>
        <v>62</v>
      </c>
      <c r="J17" s="39" t="n">
        <f aca="false">IF(OR(D17="",D17+G17=0),"",D17/(D17+G17))</f>
        <v>0.210306406685237</v>
      </c>
      <c r="K17" s="39" t="n">
        <f aca="false">IF(E17="","",E17/(E17+H17))</f>
        <v>0.209702660406886</v>
      </c>
      <c r="L17" s="52" t="n">
        <f aca="false">IF(OR(K17="",J17=""),"",(J17-K17)*100)</f>
        <v>0.0603746278350997</v>
      </c>
      <c r="M17" s="38"/>
    </row>
    <row r="18" customFormat="false" ht="15" hidden="false" customHeight="false" outlineLevel="0" collapsed="false">
      <c r="A18" s="38" t="s">
        <v>87</v>
      </c>
      <c r="B18" s="38" t="s">
        <v>108</v>
      </c>
      <c r="C18" s="38" t="s">
        <v>89</v>
      </c>
      <c r="D18" s="21" t="n">
        <v>1121</v>
      </c>
      <c r="E18" s="21" t="n">
        <v>981</v>
      </c>
      <c r="F18" s="51" t="n">
        <f aca="false">IF(E18="","",D18-E18)</f>
        <v>140</v>
      </c>
      <c r="G18" s="21" t="n">
        <v>1595</v>
      </c>
      <c r="H18" s="21" t="n">
        <v>1740</v>
      </c>
      <c r="I18" s="51" t="n">
        <f aca="false">IF(H18="","",G18-H18)</f>
        <v>-145</v>
      </c>
      <c r="J18" s="39" t="n">
        <f aca="false">IF(OR(D18="",D18+G18=0),"",D18/(D18+G18))</f>
        <v>0.412739322533137</v>
      </c>
      <c r="K18" s="39" t="n">
        <f aca="false">IF(E18="","",E18/(E18+H18))</f>
        <v>0.360529217199559</v>
      </c>
      <c r="L18" s="52" t="n">
        <f aca="false">IF(OR(K18="",J18=""),"",(J18-K18)*100)</f>
        <v>5.2210105333578</v>
      </c>
      <c r="M18" s="38"/>
    </row>
    <row r="19" customFormat="false" ht="15" hidden="false" customHeight="false" outlineLevel="0" collapsed="false">
      <c r="A19" s="38" t="s">
        <v>87</v>
      </c>
      <c r="B19" s="38" t="s">
        <v>109</v>
      </c>
      <c r="C19" s="38" t="s">
        <v>89</v>
      </c>
      <c r="D19" s="21" t="n">
        <v>69</v>
      </c>
      <c r="E19" s="21" t="n">
        <v>74</v>
      </c>
      <c r="F19" s="51" t="n">
        <f aca="false">IF(E19="","",D19-E19)</f>
        <v>-5</v>
      </c>
      <c r="G19" s="21" t="n">
        <v>162</v>
      </c>
      <c r="H19" s="21" t="n">
        <v>162</v>
      </c>
      <c r="I19" s="51" t="n">
        <f aca="false">IF(H19="","",G19-H19)</f>
        <v>0</v>
      </c>
      <c r="J19" s="39" t="n">
        <f aca="false">IF(OR(D19="",D19+G19=0),"",D19/(D19+G19))</f>
        <v>0.298701298701299</v>
      </c>
      <c r="K19" s="39" t="n">
        <f aca="false">IF(E19="","",E19/(E19+H19))</f>
        <v>0.313559322033898</v>
      </c>
      <c r="L19" s="52" t="n">
        <f aca="false">IF(OR(K19="",J19=""),"",(J19-K19)*100)</f>
        <v>-1.48580233325996</v>
      </c>
      <c r="M19" s="38"/>
    </row>
    <row r="20" customFormat="false" ht="15" hidden="false" customHeight="false" outlineLevel="0" collapsed="false">
      <c r="A20" s="38" t="s">
        <v>87</v>
      </c>
      <c r="B20" s="38" t="s">
        <v>110</v>
      </c>
      <c r="C20" s="38" t="s">
        <v>89</v>
      </c>
      <c r="D20" s="21" t="n">
        <v>2131</v>
      </c>
      <c r="E20" s="21" t="n">
        <v>2047</v>
      </c>
      <c r="F20" s="51" t="n">
        <f aca="false">IF(E20="","",D20-E20)</f>
        <v>84</v>
      </c>
      <c r="G20" s="21" t="n">
        <v>3668</v>
      </c>
      <c r="H20" s="21" t="n">
        <v>3702</v>
      </c>
      <c r="I20" s="51" t="n">
        <f aca="false">IF(H20="","",G20-H20)</f>
        <v>-34</v>
      </c>
      <c r="J20" s="39" t="n">
        <f aca="false">IF(OR(D20="",D20+G20=0),"",D20/(D20+G20))</f>
        <v>0.367477151232971</v>
      </c>
      <c r="K20" s="39" t="n">
        <f aca="false">IF(E20="","",E20/(E20+H20))</f>
        <v>0.356061923812837</v>
      </c>
      <c r="L20" s="52" t="n">
        <f aca="false">IF(OR(K20="",J20=""),"",(J20-K20)*100)</f>
        <v>1.14152274201342</v>
      </c>
      <c r="M20" s="38"/>
    </row>
    <row r="21" customFormat="false" ht="15" hidden="false" customHeight="false" outlineLevel="0" collapsed="false">
      <c r="A21" s="38" t="s">
        <v>87</v>
      </c>
      <c r="B21" s="38" t="s">
        <v>112</v>
      </c>
      <c r="C21" s="38" t="s">
        <v>89</v>
      </c>
      <c r="D21" s="21" t="n">
        <v>790</v>
      </c>
      <c r="E21" s="21" t="n">
        <v>660</v>
      </c>
      <c r="F21" s="51" t="n">
        <f aca="false">IF(E21="","",D21-E21)</f>
        <v>130</v>
      </c>
      <c r="G21" s="21" t="n">
        <v>860</v>
      </c>
      <c r="H21" s="21" t="n">
        <v>913</v>
      </c>
      <c r="I21" s="51" t="n">
        <f aca="false">IF(H21="","",G21-H21)</f>
        <v>-53</v>
      </c>
      <c r="J21" s="39" t="n">
        <f aca="false">IF(OR(D21="",D21+G21=0),"",D21/(D21+G21))</f>
        <v>0.478787878787879</v>
      </c>
      <c r="K21" s="39" t="n">
        <f aca="false">IF(E21="","",E21/(E21+H21))</f>
        <v>0.41958041958042</v>
      </c>
      <c r="L21" s="52" t="n">
        <f aca="false">IF(OR(K21="",J21=""),"",(J21-K21)*100)</f>
        <v>5.92074592074592</v>
      </c>
      <c r="M21" s="38"/>
    </row>
    <row r="22" customFormat="false" ht="15" hidden="false" customHeight="false" outlineLevel="0" collapsed="false">
      <c r="A22" s="38" t="s">
        <v>87</v>
      </c>
      <c r="B22" s="38" t="s">
        <v>113</v>
      </c>
      <c r="C22" s="38" t="s">
        <v>89</v>
      </c>
      <c r="D22" s="21" t="n">
        <v>854</v>
      </c>
      <c r="E22" s="21" t="n">
        <v>802</v>
      </c>
      <c r="F22" s="51" t="n">
        <f aca="false">IF(E22="","",D22-E22)</f>
        <v>52</v>
      </c>
      <c r="G22" s="21" t="n">
        <v>1946</v>
      </c>
      <c r="H22" s="21" t="n">
        <v>1955</v>
      </c>
      <c r="I22" s="51" t="n">
        <f aca="false">IF(H22="","",G22-H22)</f>
        <v>-9</v>
      </c>
      <c r="J22" s="39" t="n">
        <f aca="false">IF(OR(D22="",D22+G22=0),"",D22/(D22+G22))</f>
        <v>0.305</v>
      </c>
      <c r="K22" s="39" t="n">
        <f aca="false">IF(E22="","",E22/(E22+H22))</f>
        <v>0.290895901342038</v>
      </c>
      <c r="L22" s="52" t="n">
        <f aca="false">IF(OR(K22="",J22=""),"",(J22-K22)*100)</f>
        <v>1.41040986579615</v>
      </c>
      <c r="M22" s="38"/>
    </row>
    <row r="23" customFormat="false" ht="15" hidden="false" customHeight="false" outlineLevel="0" collapsed="false">
      <c r="A23" s="38" t="s">
        <v>87</v>
      </c>
      <c r="B23" s="38" t="s">
        <v>114</v>
      </c>
      <c r="C23" s="38" t="s">
        <v>89</v>
      </c>
      <c r="D23" s="21" t="n">
        <v>396</v>
      </c>
      <c r="E23" s="21" t="n">
        <v>351</v>
      </c>
      <c r="F23" s="51" t="n">
        <f aca="false">IF(E23="","",D23-E23)</f>
        <v>45</v>
      </c>
      <c r="G23" s="21" t="n">
        <v>886</v>
      </c>
      <c r="H23" s="21" t="n">
        <v>849</v>
      </c>
      <c r="I23" s="51" t="n">
        <f aca="false">IF(H23="","",G23-H23)</f>
        <v>37</v>
      </c>
      <c r="J23" s="39" t="n">
        <f aca="false">IF(OR(D23="",D23+G23=0),"",D23/(D23+G23))</f>
        <v>0.308892355694228</v>
      </c>
      <c r="K23" s="39" t="n">
        <f aca="false">IF(E23="","",E23/(E23+H23))</f>
        <v>0.2925</v>
      </c>
      <c r="L23" s="52" t="n">
        <f aca="false">IF(OR(K23="",J23=""),"",(J23-K23)*100)</f>
        <v>1.63923556942278</v>
      </c>
      <c r="M23" s="38"/>
    </row>
    <row r="24" customFormat="false" ht="15" hidden="false" customHeight="false" outlineLevel="0" collapsed="false">
      <c r="A24" s="38" t="s">
        <v>87</v>
      </c>
      <c r="B24" s="38" t="s">
        <v>115</v>
      </c>
      <c r="C24" s="38" t="s">
        <v>89</v>
      </c>
      <c r="D24" s="21" t="n">
        <v>72</v>
      </c>
      <c r="E24" s="21" t="n">
        <v>58</v>
      </c>
      <c r="F24" s="51" t="n">
        <f aca="false">IF(E24="","",D24-E24)</f>
        <v>14</v>
      </c>
      <c r="G24" s="21" t="n">
        <v>89</v>
      </c>
      <c r="H24" s="21" t="n">
        <v>105</v>
      </c>
      <c r="I24" s="51" t="n">
        <f aca="false">IF(H24="","",G24-H24)</f>
        <v>-16</v>
      </c>
      <c r="J24" s="39" t="n">
        <f aca="false">IF(OR(D24="",D24+G24=0),"",D24/(D24+G24))</f>
        <v>0.447204968944099</v>
      </c>
      <c r="K24" s="39" t="n">
        <f aca="false">IF(E24="","",E24/(E24+H24))</f>
        <v>0.355828220858896</v>
      </c>
      <c r="L24" s="52" t="n">
        <f aca="false">IF(OR(K24="",J24=""),"",(J24-K24)*100)</f>
        <v>9.13767480852037</v>
      </c>
      <c r="M24" s="38"/>
    </row>
    <row r="25" customFormat="false" ht="15" hidden="false" customHeight="false" outlineLevel="0" collapsed="false">
      <c r="A25" s="38" t="s">
        <v>116</v>
      </c>
      <c r="B25" s="38" t="s">
        <v>117</v>
      </c>
      <c r="C25" s="38" t="s">
        <v>89</v>
      </c>
      <c r="D25" s="21" t="n">
        <v>738</v>
      </c>
      <c r="E25" s="21" t="n">
        <v>601</v>
      </c>
      <c r="F25" s="51" t="n">
        <f aca="false">IF(E25="","",D25-E25)</f>
        <v>137</v>
      </c>
      <c r="G25" s="21" t="n">
        <v>738</v>
      </c>
      <c r="H25" s="21" t="n">
        <v>766</v>
      </c>
      <c r="I25" s="51" t="n">
        <f aca="false">IF(H25="","",G25-H25)</f>
        <v>-28</v>
      </c>
      <c r="J25" s="39" t="n">
        <f aca="false">IF(OR(D25="",D25+G25=0),"",D25/(D25+G25))</f>
        <v>0.5</v>
      </c>
      <c r="K25" s="39" t="n">
        <f aca="false">IF(E25="","",E25/(E25+H25))</f>
        <v>0.439648866130212</v>
      </c>
      <c r="L25" s="52" t="n">
        <f aca="false">IF(OR(K25="",J25=""),"",(J25-K25)*100)</f>
        <v>6.03511338697879</v>
      </c>
      <c r="M25" s="38"/>
    </row>
    <row r="26" customFormat="false" ht="15" hidden="false" customHeight="false" outlineLevel="0" collapsed="false">
      <c r="A26" s="38" t="s">
        <v>116</v>
      </c>
      <c r="B26" s="38" t="s">
        <v>118</v>
      </c>
      <c r="C26" s="38" t="s">
        <v>89</v>
      </c>
      <c r="D26" s="21" t="n">
        <v>27383</v>
      </c>
      <c r="E26" s="21" t="n">
        <v>26568</v>
      </c>
      <c r="F26" s="51" t="n">
        <f aca="false">IF(E26="","",D26-E26)</f>
        <v>815</v>
      </c>
      <c r="G26" s="21" t="n">
        <v>13530</v>
      </c>
      <c r="H26" s="21" t="n">
        <v>14583</v>
      </c>
      <c r="I26" s="51" t="n">
        <f aca="false">IF(H26="","",G26-H26)</f>
        <v>-1053</v>
      </c>
      <c r="J26" s="39" t="n">
        <f aca="false">IF(OR(D26="",D26+G26=0),"",D26/(D26+G26))</f>
        <v>0.669298267054482</v>
      </c>
      <c r="K26" s="39" t="n">
        <f aca="false">IF(E26="","",E26/(E26+H26))</f>
        <v>0.645622220602172</v>
      </c>
      <c r="L26" s="52" t="n">
        <f aca="false">IF(OR(K26="",J26=""),"",(J26-K26)*100)</f>
        <v>2.3676046452309</v>
      </c>
      <c r="M26" s="38"/>
    </row>
    <row r="27" customFormat="false" ht="15" hidden="false" customHeight="false" outlineLevel="0" collapsed="false">
      <c r="A27" s="38" t="s">
        <v>116</v>
      </c>
      <c r="B27" s="38" t="s">
        <v>119</v>
      </c>
      <c r="C27" s="38" t="s">
        <v>89</v>
      </c>
      <c r="D27" s="21" t="n">
        <v>6668</v>
      </c>
      <c r="E27" s="21" t="n">
        <v>6612</v>
      </c>
      <c r="F27" s="51" t="n">
        <f aca="false">IF(E27="","",D27-E27)</f>
        <v>56</v>
      </c>
      <c r="G27" s="21" t="n">
        <v>3629</v>
      </c>
      <c r="H27" s="21" t="n">
        <v>3834</v>
      </c>
      <c r="I27" s="51" t="n">
        <f aca="false">IF(H27="","",G27-H27)</f>
        <v>-205</v>
      </c>
      <c r="J27" s="39" t="n">
        <f aca="false">IF(OR(D27="",D27+G27=0),"",D27/(D27+G27))</f>
        <v>0.647567252597844</v>
      </c>
      <c r="K27" s="39" t="n">
        <f aca="false">IF(E27="","",E27/(E27+H27))</f>
        <v>0.632969557725445</v>
      </c>
      <c r="L27" s="52" t="n">
        <f aca="false">IF(OR(K27="",J27=""),"",(J27-K27)*100)</f>
        <v>1.45976948723988</v>
      </c>
      <c r="M27" s="38"/>
    </row>
    <row r="28" customFormat="false" ht="15" hidden="false" customHeight="false" outlineLevel="0" collapsed="false">
      <c r="A28" s="38" t="s">
        <v>116</v>
      </c>
      <c r="B28" s="38" t="s">
        <v>120</v>
      </c>
      <c r="C28" s="38" t="s">
        <v>89</v>
      </c>
      <c r="D28" s="21" t="n">
        <v>1745</v>
      </c>
      <c r="E28" s="21" t="n">
        <v>1560</v>
      </c>
      <c r="F28" s="51" t="n">
        <f aca="false">IF(E28="","",D28-E28)</f>
        <v>185</v>
      </c>
      <c r="G28" s="21" t="n">
        <v>1445</v>
      </c>
      <c r="H28" s="21" t="n">
        <v>1491</v>
      </c>
      <c r="I28" s="51" t="n">
        <f aca="false">IF(H28="","",G28-H28)</f>
        <v>-46</v>
      </c>
      <c r="J28" s="39" t="n">
        <f aca="false">IF(OR(D28="",D28+G28=0),"",D28/(D28+G28))</f>
        <v>0.547021943573668</v>
      </c>
      <c r="K28" s="39" t="n">
        <f aca="false">IF(E28="","",E28/(E28+H28))</f>
        <v>0.511307767944936</v>
      </c>
      <c r="L28" s="52" t="n">
        <f aca="false">IF(OR(K28="",J28=""),"",(J28-K28)*100)</f>
        <v>3.57141756287317</v>
      </c>
      <c r="M28" s="38"/>
    </row>
    <row r="29" customFormat="false" ht="15" hidden="false" customHeight="false" outlineLevel="0" collapsed="false">
      <c r="A29" s="38" t="s">
        <v>116</v>
      </c>
      <c r="B29" s="38" t="s">
        <v>121</v>
      </c>
      <c r="C29" s="38" t="s">
        <v>89</v>
      </c>
      <c r="D29" s="21" t="n">
        <v>829</v>
      </c>
      <c r="E29" s="21" t="n">
        <v>735</v>
      </c>
      <c r="F29" s="51" t="n">
        <f aca="false">IF(E29="","",D29-E29)</f>
        <v>94</v>
      </c>
      <c r="G29" s="21" t="n">
        <v>799</v>
      </c>
      <c r="H29" s="21" t="n">
        <v>804</v>
      </c>
      <c r="I29" s="51" t="n">
        <f aca="false">IF(H29="","",G29-H29)</f>
        <v>-5</v>
      </c>
      <c r="J29" s="39" t="n">
        <f aca="false">IF(OR(D29="",D29+G29=0),"",D29/(D29+G29))</f>
        <v>0.509213759213759</v>
      </c>
      <c r="K29" s="39" t="n">
        <f aca="false">IF(E29="","",E29/(E29+H29))</f>
        <v>0.477582846003899</v>
      </c>
      <c r="L29" s="52" t="n">
        <f aca="false">IF(OR(K29="",J29=""),"",(J29-K29)*100)</f>
        <v>3.16309132098606</v>
      </c>
      <c r="M29" s="38"/>
    </row>
    <row r="30" customFormat="false" ht="15" hidden="false" customHeight="false" outlineLevel="0" collapsed="false">
      <c r="A30" s="38" t="s">
        <v>116</v>
      </c>
      <c r="B30" s="38" t="s">
        <v>122</v>
      </c>
      <c r="C30" s="38" t="s">
        <v>89</v>
      </c>
      <c r="D30" s="21" t="n">
        <v>955</v>
      </c>
      <c r="E30" s="21" t="n">
        <v>899</v>
      </c>
      <c r="F30" s="51" t="n">
        <f aca="false">IF(E30="","",D30-E30)</f>
        <v>56</v>
      </c>
      <c r="G30" s="21" t="n">
        <v>826</v>
      </c>
      <c r="H30" s="21" t="n">
        <v>898</v>
      </c>
      <c r="I30" s="51" t="n">
        <f aca="false">IF(H30="","",G30-H30)</f>
        <v>-72</v>
      </c>
      <c r="J30" s="39" t="n">
        <f aca="false">IF(OR(D30="",D30+G30=0),"",D30/(D30+G30))</f>
        <v>0.53621560920831</v>
      </c>
      <c r="K30" s="39" t="n">
        <f aca="false">IF(E30="","",E30/(E30+H30))</f>
        <v>0.500278241513634</v>
      </c>
      <c r="L30" s="52" t="n">
        <f aca="false">IF(OR(K30="",J30=""),"",(J30-K30)*100)</f>
        <v>3.5937367694676</v>
      </c>
      <c r="M30" s="38"/>
    </row>
    <row r="31" customFormat="false" ht="15" hidden="false" customHeight="false" outlineLevel="0" collapsed="false">
      <c r="A31" s="38" t="s">
        <v>116</v>
      </c>
      <c r="B31" s="38" t="s">
        <v>123</v>
      </c>
      <c r="C31" s="38" t="s">
        <v>89</v>
      </c>
      <c r="D31" s="21" t="n">
        <v>3779</v>
      </c>
      <c r="E31" s="21" t="n">
        <v>3663</v>
      </c>
      <c r="F31" s="51" t="n">
        <f aca="false">IF(E31="","",D31-E31)</f>
        <v>116</v>
      </c>
      <c r="G31" s="21" t="n">
        <v>3087</v>
      </c>
      <c r="H31" s="21" t="n">
        <v>3236</v>
      </c>
      <c r="I31" s="51" t="n">
        <f aca="false">IF(H31="","",G31-H31)</f>
        <v>-149</v>
      </c>
      <c r="J31" s="39" t="n">
        <f aca="false">IF(OR(D31="",D31+G31=0),"",D31/(D31+G31))</f>
        <v>0.550393242062336</v>
      </c>
      <c r="K31" s="39" t="n">
        <f aca="false">IF(E31="","",E31/(E31+H31))</f>
        <v>0.530946513987535</v>
      </c>
      <c r="L31" s="52" t="n">
        <f aca="false">IF(OR(K31="",J31=""),"",(J31-K31)*100)</f>
        <v>1.94467280748017</v>
      </c>
      <c r="M31" s="38"/>
    </row>
    <row r="32" customFormat="false" ht="15" hidden="false" customHeight="false" outlineLevel="0" collapsed="false">
      <c r="A32" s="38" t="s">
        <v>116</v>
      </c>
      <c r="B32" s="38" t="s">
        <v>124</v>
      </c>
      <c r="C32" s="38" t="s">
        <v>89</v>
      </c>
      <c r="D32" s="21" t="n">
        <v>1513</v>
      </c>
      <c r="E32" s="21" t="n">
        <v>1433</v>
      </c>
      <c r="F32" s="51" t="n">
        <f aca="false">IF(E32="","",D32-E32)</f>
        <v>80</v>
      </c>
      <c r="G32" s="21" t="n">
        <v>727</v>
      </c>
      <c r="H32" s="21" t="n">
        <v>793</v>
      </c>
      <c r="I32" s="51" t="n">
        <f aca="false">IF(H32="","",G32-H32)</f>
        <v>-66</v>
      </c>
      <c r="J32" s="39" t="n">
        <f aca="false">IF(OR(D32="",D32+G32=0),"",D32/(D32+G32))</f>
        <v>0.675446428571429</v>
      </c>
      <c r="K32" s="39" t="n">
        <f aca="false">IF(E32="","",E32/(E32+H32))</f>
        <v>0.643755615453729</v>
      </c>
      <c r="L32" s="52" t="n">
        <f aca="false">IF(OR(K32="",J32=""),"",(J32-K32)*100)</f>
        <v>3.16908131176999</v>
      </c>
      <c r="M32" s="38"/>
    </row>
    <row r="33" customFormat="false" ht="15" hidden="false" customHeight="false" outlineLevel="0" collapsed="false">
      <c r="A33" s="38" t="s">
        <v>116</v>
      </c>
      <c r="B33" s="38" t="s">
        <v>125</v>
      </c>
      <c r="C33" s="38" t="s">
        <v>89</v>
      </c>
      <c r="D33" s="21" t="n">
        <v>395</v>
      </c>
      <c r="E33" s="21" t="n">
        <v>379</v>
      </c>
      <c r="F33" s="51" t="n">
        <f aca="false">IF(E33="","",D33-E33)</f>
        <v>16</v>
      </c>
      <c r="G33" s="21" t="n">
        <v>323</v>
      </c>
      <c r="H33" s="21" t="n">
        <v>330</v>
      </c>
      <c r="I33" s="51" t="n">
        <f aca="false">IF(H33="","",G33-H33)</f>
        <v>-7</v>
      </c>
      <c r="J33" s="39" t="n">
        <f aca="false">IF(OR(D33="",D33+G33=0),"",D33/(D33+G33))</f>
        <v>0.550139275766017</v>
      </c>
      <c r="K33" s="39" t="n">
        <f aca="false">IF(E33="","",E33/(E33+H33))</f>
        <v>0.534555712270804</v>
      </c>
      <c r="L33" s="52" t="n">
        <f aca="false">IF(OR(K33="",J33=""),"",(J33-K33)*100)</f>
        <v>1.55835634952128</v>
      </c>
      <c r="M33" s="38"/>
    </row>
    <row r="34" customFormat="false" ht="15" hidden="false" customHeight="false" outlineLevel="0" collapsed="false">
      <c r="A34" s="38" t="s">
        <v>116</v>
      </c>
      <c r="B34" s="38" t="s">
        <v>126</v>
      </c>
      <c r="C34" s="38" t="s">
        <v>89</v>
      </c>
      <c r="D34" s="21" t="n">
        <v>724</v>
      </c>
      <c r="E34" s="21" t="n">
        <v>654</v>
      </c>
      <c r="F34" s="51" t="n">
        <f aca="false">IF(E34="","",D34-E34)</f>
        <v>70</v>
      </c>
      <c r="G34" s="21" t="n">
        <v>1419</v>
      </c>
      <c r="H34" s="21" t="n">
        <v>1439</v>
      </c>
      <c r="I34" s="51" t="n">
        <f aca="false">IF(H34="","",G34-H34)</f>
        <v>-20</v>
      </c>
      <c r="J34" s="39" t="n">
        <f aca="false">IF(OR(D34="",D34+G34=0),"",D34/(D34+G34))</f>
        <v>0.337844143723752</v>
      </c>
      <c r="K34" s="39" t="n">
        <f aca="false">IF(E34="","",E34/(E34+H34))</f>
        <v>0.312470138557095</v>
      </c>
      <c r="L34" s="52" t="n">
        <f aca="false">IF(OR(K34="",J34=""),"",(J34-K34)*100)</f>
        <v>2.53740051666567</v>
      </c>
      <c r="M34" s="38"/>
    </row>
    <row r="35" customFormat="false" ht="15" hidden="false" customHeight="false" outlineLevel="0" collapsed="false">
      <c r="A35" s="38" t="s">
        <v>116</v>
      </c>
      <c r="B35" s="38" t="s">
        <v>127</v>
      </c>
      <c r="C35" s="38" t="s">
        <v>89</v>
      </c>
      <c r="D35" s="21" t="n">
        <v>11102</v>
      </c>
      <c r="E35" s="21" t="n">
        <v>10021</v>
      </c>
      <c r="F35" s="51" t="n">
        <f aca="false">IF(E35="","",D35-E35)</f>
        <v>1081</v>
      </c>
      <c r="G35" s="21" t="n">
        <v>10220</v>
      </c>
      <c r="H35" s="21" t="n">
        <v>10199</v>
      </c>
      <c r="I35" s="51" t="n">
        <f aca="false">IF(H35="","",G35-H35)</f>
        <v>21</v>
      </c>
      <c r="J35" s="39" t="n">
        <f aca="false">IF(OR(D35="",D35+G35=0),"",D35/(D35+G35))</f>
        <v>0.520682862770847</v>
      </c>
      <c r="K35" s="39" t="n">
        <f aca="false">IF(E35="","",E35/(E35+H35))</f>
        <v>0.495598417408506</v>
      </c>
      <c r="L35" s="52" t="n">
        <f aca="false">IF(OR(K35="",J35=""),"",(J35-K35)*100)</f>
        <v>2.50844453623406</v>
      </c>
      <c r="M35" s="38"/>
    </row>
    <row r="36" customFormat="false" ht="15" hidden="false" customHeight="false" outlineLevel="0" collapsed="false">
      <c r="A36" s="38" t="s">
        <v>116</v>
      </c>
      <c r="B36" s="38" t="s">
        <v>128</v>
      </c>
      <c r="C36" s="38" t="s">
        <v>89</v>
      </c>
      <c r="D36" s="21" t="n">
        <v>1093</v>
      </c>
      <c r="E36" s="21" t="n">
        <v>985</v>
      </c>
      <c r="F36" s="51" t="n">
        <f aca="false">IF(E36="","",D36-E36)</f>
        <v>108</v>
      </c>
      <c r="G36" s="21" t="n">
        <v>1759</v>
      </c>
      <c r="H36" s="21" t="n">
        <v>1586</v>
      </c>
      <c r="I36" s="51" t="n">
        <f aca="false">IF(H36="","",G36-H36)</f>
        <v>173</v>
      </c>
      <c r="J36" s="39" t="n">
        <f aca="false">IF(OR(D36="",D36+G36=0),"",D36/(D36+G36))</f>
        <v>0.383239831697055</v>
      </c>
      <c r="K36" s="39" t="n">
        <f aca="false">IF(E36="","",E36/(E36+H36))</f>
        <v>0.383119408790354</v>
      </c>
      <c r="L36" s="52" t="n">
        <f aca="false">IF(OR(K36="",J36=""),"",(J36-K36)*100)</f>
        <v>0.0120422906700779</v>
      </c>
      <c r="M36" s="38"/>
    </row>
    <row r="37" customFormat="false" ht="15" hidden="false" customHeight="false" outlineLevel="0" collapsed="false">
      <c r="A37" s="38" t="s">
        <v>116</v>
      </c>
      <c r="B37" s="38" t="s">
        <v>129</v>
      </c>
      <c r="C37" s="38" t="s">
        <v>89</v>
      </c>
      <c r="D37" s="21" t="n">
        <v>620</v>
      </c>
      <c r="E37" s="21" t="n">
        <v>543</v>
      </c>
      <c r="F37" s="51" t="n">
        <f aca="false">IF(E37="","",D37-E37)</f>
        <v>77</v>
      </c>
      <c r="G37" s="21" t="n">
        <v>1040</v>
      </c>
      <c r="H37" s="21" t="n">
        <v>990</v>
      </c>
      <c r="I37" s="51" t="n">
        <f aca="false">IF(H37="","",G37-H37)</f>
        <v>50</v>
      </c>
      <c r="J37" s="39" t="n">
        <f aca="false">IF(OR(D37="",D37+G37=0),"",D37/(D37+G37))</f>
        <v>0.373493975903614</v>
      </c>
      <c r="K37" s="39" t="n">
        <f aca="false">IF(E37="","",E37/(E37+H37))</f>
        <v>0.354207436399217</v>
      </c>
      <c r="L37" s="52" t="n">
        <f aca="false">IF(OR(K37="",J37=""),"",(J37-K37)*100)</f>
        <v>1.92865395043972</v>
      </c>
      <c r="M37" s="38"/>
    </row>
    <row r="38" customFormat="false" ht="15" hidden="false" customHeight="false" outlineLevel="0" collapsed="false">
      <c r="A38" s="38" t="s">
        <v>116</v>
      </c>
      <c r="B38" s="38" t="s">
        <v>130</v>
      </c>
      <c r="C38" s="38" t="s">
        <v>89</v>
      </c>
      <c r="D38" s="21" t="n">
        <v>1007</v>
      </c>
      <c r="E38" s="21" t="n">
        <v>850</v>
      </c>
      <c r="F38" s="51" t="n">
        <f aca="false">IF(E38="","",D38-E38)</f>
        <v>157</v>
      </c>
      <c r="G38" s="21" t="n">
        <v>1948</v>
      </c>
      <c r="H38" s="21" t="n">
        <v>1856</v>
      </c>
      <c r="I38" s="51" t="n">
        <f aca="false">IF(H38="","",G38-H38)</f>
        <v>92</v>
      </c>
      <c r="J38" s="39" t="n">
        <f aca="false">IF(OR(D38="",D38+G38=0),"",D38/(D38+G38))</f>
        <v>0.34077834179357</v>
      </c>
      <c r="K38" s="39" t="n">
        <f aca="false">IF(E38="","",E38/(E38+H38))</f>
        <v>0.314116777531412</v>
      </c>
      <c r="L38" s="52" t="n">
        <f aca="false">IF(OR(K38="",J38=""),"",(J38-K38)*100)</f>
        <v>2.66615642621585</v>
      </c>
      <c r="M38" s="38"/>
    </row>
    <row r="39" customFormat="false" ht="15" hidden="false" customHeight="false" outlineLevel="0" collapsed="false">
      <c r="A39" s="38" t="s">
        <v>116</v>
      </c>
      <c r="B39" s="38" t="s">
        <v>131</v>
      </c>
      <c r="C39" s="38" t="s">
        <v>89</v>
      </c>
      <c r="D39" s="21" t="n">
        <v>1061</v>
      </c>
      <c r="E39" s="21" t="n">
        <v>980</v>
      </c>
      <c r="F39" s="51" t="n">
        <f aca="false">IF(E39="","",D39-E39)</f>
        <v>81</v>
      </c>
      <c r="G39" s="21" t="n">
        <v>897</v>
      </c>
      <c r="H39" s="21" t="n">
        <v>872</v>
      </c>
      <c r="I39" s="51" t="n">
        <f aca="false">IF(H39="","",G39-H39)</f>
        <v>25</v>
      </c>
      <c r="J39" s="39" t="n">
        <f aca="false">IF(OR(D39="",D39+G39=0),"",D39/(D39+G39))</f>
        <v>0.541879468845761</v>
      </c>
      <c r="K39" s="39" t="n">
        <f aca="false">IF(E39="","",E39/(E39+H39))</f>
        <v>0.529157667386609</v>
      </c>
      <c r="L39" s="52" t="n">
        <f aca="false">IF(OR(K39="",J39=""),"",(J39-K39)*100)</f>
        <v>1.27218014591519</v>
      </c>
      <c r="M39" s="38"/>
    </row>
    <row r="40" customFormat="false" ht="15" hidden="false" customHeight="false" outlineLevel="0" collapsed="false">
      <c r="A40" s="38" t="s">
        <v>116</v>
      </c>
      <c r="B40" s="38" t="s">
        <v>132</v>
      </c>
      <c r="C40" s="38" t="s">
        <v>89</v>
      </c>
      <c r="D40" s="21" t="n">
        <v>4515</v>
      </c>
      <c r="E40" s="21" t="n">
        <v>4022</v>
      </c>
      <c r="F40" s="51" t="n">
        <f aca="false">IF(E40="","",D40-E40)</f>
        <v>493</v>
      </c>
      <c r="G40" s="21" t="n">
        <v>6098</v>
      </c>
      <c r="H40" s="21" t="n">
        <v>5915</v>
      </c>
      <c r="I40" s="51" t="n">
        <f aca="false">IF(H40="","",G40-H40)</f>
        <v>183</v>
      </c>
      <c r="J40" s="39" t="n">
        <f aca="false">IF(OR(D40="",D40+G40=0),"",D40/(D40+G40))</f>
        <v>0.425421652690097</v>
      </c>
      <c r="K40" s="39" t="n">
        <f aca="false">IF(E40="","",E40/(E40+H40))</f>
        <v>0.404749924524504</v>
      </c>
      <c r="L40" s="52" t="n">
        <f aca="false">IF(OR(K40="",J40=""),"",(J40-K40)*100)</f>
        <v>2.06717281655927</v>
      </c>
      <c r="M40" s="38"/>
    </row>
    <row r="41" customFormat="false" ht="15" hidden="false" customHeight="false" outlineLevel="0" collapsed="false">
      <c r="A41" s="38" t="s">
        <v>116</v>
      </c>
      <c r="B41" s="38" t="s">
        <v>133</v>
      </c>
      <c r="C41" s="38" t="s">
        <v>89</v>
      </c>
      <c r="D41" s="21" t="n">
        <v>4487</v>
      </c>
      <c r="E41" s="21" t="n">
        <v>4010</v>
      </c>
      <c r="F41" s="51" t="n">
        <f aca="false">IF(E41="","",D41-E41)</f>
        <v>477</v>
      </c>
      <c r="G41" s="21" t="n">
        <v>4186</v>
      </c>
      <c r="H41" s="21" t="n">
        <v>4104</v>
      </c>
      <c r="I41" s="51" t="n">
        <f aca="false">IF(H41="","",G41-H41)</f>
        <v>82</v>
      </c>
      <c r="J41" s="39" t="n">
        <f aca="false">IF(OR(D41="",D41+G41=0),"",D41/(D41+G41))</f>
        <v>0.517352703793382</v>
      </c>
      <c r="K41" s="39" t="n">
        <f aca="false">IF(E41="","",E41/(E41+H41))</f>
        <v>0.494207542519103</v>
      </c>
      <c r="L41" s="52" t="n">
        <f aca="false">IF(OR(K41="",J41=""),"",(J41-K41)*100)</f>
        <v>2.3145161274279</v>
      </c>
      <c r="M41" s="38"/>
    </row>
    <row r="42" customFormat="false" ht="15" hidden="false" customHeight="false" outlineLevel="0" collapsed="false">
      <c r="A42" s="38" t="s">
        <v>116</v>
      </c>
      <c r="B42" s="38" t="s">
        <v>134</v>
      </c>
      <c r="C42" s="38" t="s">
        <v>89</v>
      </c>
      <c r="D42" s="21" t="n">
        <v>938</v>
      </c>
      <c r="E42" s="21" t="n">
        <v>800</v>
      </c>
      <c r="F42" s="51" t="n">
        <f aca="false">IF(E42="","",D42-E42)</f>
        <v>138</v>
      </c>
      <c r="G42" s="21" t="n">
        <v>1076</v>
      </c>
      <c r="H42" s="21" t="n">
        <v>1156</v>
      </c>
      <c r="I42" s="51" t="n">
        <f aca="false">IF(H42="","",G42-H42)</f>
        <v>-80</v>
      </c>
      <c r="J42" s="39" t="n">
        <f aca="false">IF(OR(D42="",D42+G42=0),"",D42/(D42+G42))</f>
        <v>0.465739821251241</v>
      </c>
      <c r="K42" s="39" t="n">
        <f aca="false">IF(E42="","",E42/(E42+H42))</f>
        <v>0.408997955010225</v>
      </c>
      <c r="L42" s="52" t="n">
        <f aca="false">IF(OR(K42="",J42=""),"",(J42-K42)*100)</f>
        <v>5.67418662410164</v>
      </c>
      <c r="M42" s="38"/>
    </row>
    <row r="43" customFormat="false" ht="15" hidden="false" customHeight="false" outlineLevel="0" collapsed="false">
      <c r="A43" s="38" t="s">
        <v>116</v>
      </c>
      <c r="B43" s="38" t="s">
        <v>135</v>
      </c>
      <c r="C43" s="38" t="s">
        <v>89</v>
      </c>
      <c r="D43" s="21" t="n">
        <v>7366</v>
      </c>
      <c r="E43" s="21" t="n">
        <v>7019</v>
      </c>
      <c r="F43" s="51" t="n">
        <f aca="false">IF(E43="","",D43-E43)</f>
        <v>347</v>
      </c>
      <c r="G43" s="21" t="n">
        <v>6058</v>
      </c>
      <c r="H43" s="21" t="n">
        <v>6110</v>
      </c>
      <c r="I43" s="51" t="n">
        <f aca="false">IF(H43="","",G43-H43)</f>
        <v>-52</v>
      </c>
      <c r="J43" s="39" t="n">
        <f aca="false">IF(OR(D43="",D43+G43=0),"",D43/(D43+G43))</f>
        <v>0.548718712753278</v>
      </c>
      <c r="K43" s="39" t="n">
        <f aca="false">IF(E43="","",E43/(E43+H43))</f>
        <v>0.534618021174499</v>
      </c>
      <c r="L43" s="52" t="n">
        <f aca="false">IF(OR(K43="",J43=""),"",(J43-K43)*100)</f>
        <v>1.41006915787785</v>
      </c>
      <c r="M43" s="38"/>
    </row>
    <row r="44" customFormat="false" ht="15" hidden="false" customHeight="false" outlineLevel="0" collapsed="false">
      <c r="A44" s="38" t="s">
        <v>116</v>
      </c>
      <c r="B44" s="38" t="s">
        <v>136</v>
      </c>
      <c r="C44" s="38" t="s">
        <v>89</v>
      </c>
      <c r="D44" s="21" t="n">
        <v>8591</v>
      </c>
      <c r="E44" s="21" t="n">
        <v>8020</v>
      </c>
      <c r="F44" s="51" t="n">
        <f aca="false">IF(E44="","",D44-E44)</f>
        <v>571</v>
      </c>
      <c r="G44" s="21" t="n">
        <v>7297</v>
      </c>
      <c r="H44" s="21" t="n">
        <v>7607</v>
      </c>
      <c r="I44" s="51" t="n">
        <f aca="false">IF(H44="","",G44-H44)</f>
        <v>-310</v>
      </c>
      <c r="J44" s="39" t="n">
        <f aca="false">IF(OR(D44="",D44+G44=0),"",D44/(D44+G44))</f>
        <v>0.540722557905337</v>
      </c>
      <c r="K44" s="39" t="n">
        <f aca="false">IF(E44="","",E44/(E44+H44))</f>
        <v>0.513214308568503</v>
      </c>
      <c r="L44" s="52" t="n">
        <f aca="false">IF(OR(K44="",J44=""),"",(J44-K44)*100)</f>
        <v>2.75082493368342</v>
      </c>
      <c r="M44" s="38"/>
    </row>
    <row r="45" customFormat="false" ht="15" hidden="false" customHeight="false" outlineLevel="0" collapsed="false">
      <c r="A45" s="38" t="s">
        <v>116</v>
      </c>
      <c r="B45" s="38" t="s">
        <v>137</v>
      </c>
      <c r="C45" s="38" t="s">
        <v>89</v>
      </c>
      <c r="D45" s="21" t="n">
        <v>2698</v>
      </c>
      <c r="E45" s="21" t="n">
        <v>2380</v>
      </c>
      <c r="F45" s="51" t="n">
        <f aca="false">IF(E45="","",D45-E45)</f>
        <v>318</v>
      </c>
      <c r="G45" s="21" t="n">
        <v>3186</v>
      </c>
      <c r="H45" s="21" t="n">
        <v>3135</v>
      </c>
      <c r="I45" s="51" t="n">
        <f aca="false">IF(H45="","",G45-H45)</f>
        <v>51</v>
      </c>
      <c r="J45" s="39" t="n">
        <f aca="false">IF(OR(D45="",D45+G45=0),"",D45/(D45+G45))</f>
        <v>0.458531611148878</v>
      </c>
      <c r="K45" s="39" t="n">
        <f aca="false">IF(E45="","",E45/(E45+H45))</f>
        <v>0.43155031731641</v>
      </c>
      <c r="L45" s="52" t="n">
        <f aca="false">IF(OR(K45="",J45=""),"",(J45-K45)*100)</f>
        <v>2.69812938324685</v>
      </c>
      <c r="M45" s="38"/>
    </row>
    <row r="46" customFormat="false" ht="15" hidden="false" customHeight="false" outlineLevel="0" collapsed="false">
      <c r="A46" s="38" t="s">
        <v>116</v>
      </c>
      <c r="B46" s="38" t="s">
        <v>138</v>
      </c>
      <c r="C46" s="38" t="s">
        <v>89</v>
      </c>
      <c r="D46" s="21" t="n">
        <v>5822</v>
      </c>
      <c r="E46" s="21" t="n">
        <v>5462</v>
      </c>
      <c r="F46" s="51" t="n">
        <f aca="false">IF(E46="","",D46-E46)</f>
        <v>360</v>
      </c>
      <c r="G46" s="21" t="n">
        <v>5697</v>
      </c>
      <c r="H46" s="21" t="n">
        <v>5740</v>
      </c>
      <c r="I46" s="51" t="n">
        <f aca="false">IF(H46="","",G46-H46)</f>
        <v>-43</v>
      </c>
      <c r="J46" s="39" t="n">
        <f aca="false">IF(OR(D46="",D46+G46=0),"",D46/(D46+G46))</f>
        <v>0.505425818213387</v>
      </c>
      <c r="K46" s="39" t="n">
        <f aca="false">IF(E46="","",E46/(E46+H46))</f>
        <v>0.487591501517586</v>
      </c>
      <c r="L46" s="52" t="n">
        <f aca="false">IF(OR(K46="",J46=""),"",(J46-K46)*100)</f>
        <v>1.78343166958005</v>
      </c>
      <c r="M46" s="38"/>
    </row>
    <row r="47" customFormat="false" ht="15" hidden="false" customHeight="false" outlineLevel="0" collapsed="false">
      <c r="A47" s="38" t="s">
        <v>116</v>
      </c>
      <c r="B47" s="38" t="s">
        <v>139</v>
      </c>
      <c r="C47" s="38" t="s">
        <v>89</v>
      </c>
      <c r="D47" s="21" t="n">
        <v>1457</v>
      </c>
      <c r="E47" s="21" t="n">
        <v>1266</v>
      </c>
      <c r="F47" s="51" t="n">
        <f aca="false">IF(E47="","",D47-E47)</f>
        <v>191</v>
      </c>
      <c r="G47" s="21" t="n">
        <v>2636</v>
      </c>
      <c r="H47" s="21" t="n">
        <v>2669</v>
      </c>
      <c r="I47" s="51" t="n">
        <f aca="false">IF(H47="","",G47-H47)</f>
        <v>-33</v>
      </c>
      <c r="J47" s="39" t="n">
        <f aca="false">IF(OR(D47="",D47+G47=0),"",D47/(D47+G47))</f>
        <v>0.35597361348644</v>
      </c>
      <c r="K47" s="39" t="n">
        <f aca="false">IF(E47="","",E47/(E47+H47))</f>
        <v>0.321728081321474</v>
      </c>
      <c r="L47" s="52" t="n">
        <f aca="false">IF(OR(K47="",J47=""),"",(J47-K47)*100)</f>
        <v>3.42455321649663</v>
      </c>
      <c r="M47" s="38"/>
    </row>
    <row r="48" customFormat="false" ht="15" hidden="false" customHeight="false" outlineLevel="0" collapsed="false">
      <c r="A48" s="38" t="s">
        <v>116</v>
      </c>
      <c r="B48" s="38" t="s">
        <v>140</v>
      </c>
      <c r="C48" s="38" t="s">
        <v>89</v>
      </c>
      <c r="D48" s="21" t="n">
        <v>1338</v>
      </c>
      <c r="E48" s="21" t="n">
        <v>1172</v>
      </c>
      <c r="F48" s="51" t="n">
        <f aca="false">IF(E48="","",D48-E48)</f>
        <v>166</v>
      </c>
      <c r="G48" s="21" t="n">
        <v>2323</v>
      </c>
      <c r="H48" s="21" t="n">
        <v>2201</v>
      </c>
      <c r="I48" s="51" t="n">
        <f aca="false">IF(H48="","",G48-H48)</f>
        <v>122</v>
      </c>
      <c r="J48" s="39" t="n">
        <f aca="false">IF(OR(D48="",D48+G48=0),"",D48/(D48+G48))</f>
        <v>0.365473914231084</v>
      </c>
      <c r="K48" s="39" t="n">
        <f aca="false">IF(E48="","",E48/(E48+H48))</f>
        <v>0.347465164541951</v>
      </c>
      <c r="L48" s="52" t="n">
        <f aca="false">IF(OR(K48="",J48=""),"",(J48-K48)*100)</f>
        <v>1.80087496891336</v>
      </c>
      <c r="M48" s="38"/>
    </row>
    <row r="49" customFormat="false" ht="15" hidden="false" customHeight="false" outlineLevel="0" collapsed="false">
      <c r="A49" s="38" t="s">
        <v>116</v>
      </c>
      <c r="B49" s="38" t="s">
        <v>141</v>
      </c>
      <c r="C49" s="38" t="s">
        <v>89</v>
      </c>
      <c r="D49" s="21" t="n">
        <v>7903</v>
      </c>
      <c r="E49" s="21" t="n">
        <v>7383</v>
      </c>
      <c r="F49" s="51" t="n">
        <f aca="false">IF(E49="","",D49-E49)</f>
        <v>520</v>
      </c>
      <c r="G49" s="21" t="n">
        <v>6623</v>
      </c>
      <c r="H49" s="21" t="n">
        <v>7036</v>
      </c>
      <c r="I49" s="51" t="n">
        <f aca="false">IF(H49="","",G49-H49)</f>
        <v>-413</v>
      </c>
      <c r="J49" s="39" t="n">
        <f aca="false">IF(OR(D49="",D49+G49=0),"",D49/(D49+G49))</f>
        <v>0.544058928817293</v>
      </c>
      <c r="K49" s="39" t="n">
        <f aca="false">IF(E49="","",E49/(E49+H49))</f>
        <v>0.51203273458631</v>
      </c>
      <c r="L49" s="52" t="n">
        <f aca="false">IF(OR(K49="",J49=""),"",(J49-K49)*100)</f>
        <v>3.20261942309834</v>
      </c>
      <c r="M49" s="38"/>
    </row>
    <row r="50" customFormat="false" ht="15" hidden="false" customHeight="false" outlineLevel="0" collapsed="false">
      <c r="A50" s="38" t="s">
        <v>142</v>
      </c>
      <c r="B50" s="38" t="s">
        <v>143</v>
      </c>
      <c r="C50" s="38" t="s">
        <v>89</v>
      </c>
      <c r="D50" s="21" t="n">
        <v>520</v>
      </c>
      <c r="E50" s="21" t="n">
        <v>471</v>
      </c>
      <c r="F50" s="51" t="n">
        <f aca="false">IF(E50="","",D50-E50)</f>
        <v>49</v>
      </c>
      <c r="G50" s="21" t="n">
        <v>1057</v>
      </c>
      <c r="H50" s="21" t="n">
        <v>1124</v>
      </c>
      <c r="I50" s="51" t="n">
        <f aca="false">IF(H50="","",G50-H50)</f>
        <v>-67</v>
      </c>
      <c r="J50" s="39" t="n">
        <f aca="false">IF(OR(D50="",D50+G50=0),"",D50/(D50+G50))</f>
        <v>0.329740012682308</v>
      </c>
      <c r="K50" s="39" t="n">
        <f aca="false">IF(E50="","",E50/(E50+H50))</f>
        <v>0.295297805642633</v>
      </c>
      <c r="L50" s="52" t="n">
        <f aca="false">IF(OR(K50="",J50=""),"",(J50-K50)*100)</f>
        <v>3.44422070396749</v>
      </c>
      <c r="M50" s="38"/>
    </row>
    <row r="51" customFormat="false" ht="15" hidden="false" customHeight="false" outlineLevel="0" collapsed="false">
      <c r="A51" s="38" t="s">
        <v>142</v>
      </c>
      <c r="B51" s="38" t="s">
        <v>144</v>
      </c>
      <c r="C51" s="38" t="s">
        <v>89</v>
      </c>
      <c r="D51" s="21" t="n">
        <v>1459</v>
      </c>
      <c r="E51" s="21" t="n">
        <v>1414</v>
      </c>
      <c r="F51" s="51" t="n">
        <f aca="false">IF(E51="","",D51-E51)</f>
        <v>45</v>
      </c>
      <c r="G51" s="21" t="n">
        <v>2721</v>
      </c>
      <c r="H51" s="21" t="n">
        <v>2894</v>
      </c>
      <c r="I51" s="51" t="n">
        <f aca="false">IF(H51="","",G51-H51)</f>
        <v>-173</v>
      </c>
      <c r="J51" s="39" t="n">
        <f aca="false">IF(OR(D51="",D51+G51=0),"",D51/(D51+G51))</f>
        <v>0.349043062200957</v>
      </c>
      <c r="K51" s="39" t="n">
        <f aca="false">IF(E51="","",E51/(E51+H51))</f>
        <v>0.328226555246054</v>
      </c>
      <c r="L51" s="52" t="n">
        <f aca="false">IF(OR(K51="",J51=""),"",(J51-K51)*100)</f>
        <v>2.08165069549031</v>
      </c>
      <c r="M51" s="38"/>
    </row>
    <row r="52" customFormat="false" ht="15" hidden="false" customHeight="false" outlineLevel="0" collapsed="false">
      <c r="A52" s="38" t="s">
        <v>142</v>
      </c>
      <c r="B52" s="38" t="s">
        <v>145</v>
      </c>
      <c r="C52" s="38" t="s">
        <v>89</v>
      </c>
      <c r="D52" s="21" t="n">
        <v>869</v>
      </c>
      <c r="E52" s="21" t="n">
        <v>521</v>
      </c>
      <c r="F52" s="51" t="n">
        <f aca="false">IF(E52="","",D52-E52)</f>
        <v>348</v>
      </c>
      <c r="G52" s="21" t="n">
        <v>1511</v>
      </c>
      <c r="H52" s="21" t="n">
        <v>997</v>
      </c>
      <c r="I52" s="51" t="n">
        <f aca="false">IF(H52="","",G52-H52)</f>
        <v>514</v>
      </c>
      <c r="J52" s="39" t="n">
        <f aca="false">IF(OR(D52="",D52+G52=0),"",D52/(D52+G52))</f>
        <v>0.365126050420168</v>
      </c>
      <c r="K52" s="39" t="n">
        <f aca="false">IF(E52="","",E52/(E52+H52))</f>
        <v>0.343214756258235</v>
      </c>
      <c r="L52" s="52" t="n">
        <f aca="false">IF(OR(K52="",J52=""),"",(J52-K52)*100)</f>
        <v>2.19112941619335</v>
      </c>
      <c r="M52" s="38"/>
    </row>
    <row r="53" customFormat="false" ht="15" hidden="false" customHeight="false" outlineLevel="0" collapsed="false">
      <c r="A53" s="38" t="s">
        <v>146</v>
      </c>
      <c r="B53" s="38" t="s">
        <v>147</v>
      </c>
      <c r="C53" s="38" t="s">
        <v>89</v>
      </c>
      <c r="D53" s="21" t="n">
        <v>1662</v>
      </c>
      <c r="E53" s="21" t="n">
        <v>1511</v>
      </c>
      <c r="F53" s="51" t="n">
        <f aca="false">IF(E53="","",D53-E53)</f>
        <v>151</v>
      </c>
      <c r="G53" s="21" t="n">
        <v>1918</v>
      </c>
      <c r="H53" s="21" t="n">
        <v>2018</v>
      </c>
      <c r="I53" s="51" t="n">
        <f aca="false">IF(H53="","",G53-H53)</f>
        <v>-100</v>
      </c>
      <c r="J53" s="39" t="n">
        <f aca="false">IF(OR(D53="",D53+G53=0),"",D53/(D53+G53))</f>
        <v>0.464245810055866</v>
      </c>
      <c r="K53" s="39" t="n">
        <f aca="false">IF(E53="","",E53/(E53+H53))</f>
        <v>0.428166619438935</v>
      </c>
      <c r="L53" s="52" t="n">
        <f aca="false">IF(OR(K53="",J53=""),"",(J53-K53)*100)</f>
        <v>3.60791906169314</v>
      </c>
      <c r="M53" s="38"/>
    </row>
    <row r="54" customFormat="false" ht="15" hidden="false" customHeight="false" outlineLevel="0" collapsed="false">
      <c r="A54" s="38" t="s">
        <v>146</v>
      </c>
      <c r="B54" s="38" t="s">
        <v>148</v>
      </c>
      <c r="C54" s="38" t="s">
        <v>89</v>
      </c>
      <c r="D54" s="21" t="n">
        <v>1100</v>
      </c>
      <c r="E54" s="21" t="n">
        <v>959</v>
      </c>
      <c r="F54" s="51" t="n">
        <f aca="false">IF(E54="","",D54-E54)</f>
        <v>141</v>
      </c>
      <c r="G54" s="21" t="n">
        <v>1357</v>
      </c>
      <c r="H54" s="21" t="n">
        <v>1364</v>
      </c>
      <c r="I54" s="51" t="n">
        <f aca="false">IF(H54="","",G54-H54)</f>
        <v>-7</v>
      </c>
      <c r="J54" s="39" t="n">
        <f aca="false">IF(OR(D54="",D54+G54=0),"",D54/(D54+G54))</f>
        <v>0.447700447700448</v>
      </c>
      <c r="K54" s="39" t="n">
        <f aca="false">IF(E54="","",E54/(E54+H54))</f>
        <v>0.412828239345674</v>
      </c>
      <c r="L54" s="52" t="n">
        <f aca="false">IF(OR(K54="",J54=""),"",(J54-K54)*100)</f>
        <v>3.4872208354774</v>
      </c>
      <c r="M54" s="38"/>
    </row>
    <row r="55" customFormat="false" ht="15" hidden="false" customHeight="false" outlineLevel="0" collapsed="false">
      <c r="A55" s="38" t="s">
        <v>146</v>
      </c>
      <c r="B55" s="38" t="s">
        <v>149</v>
      </c>
      <c r="C55" s="38" t="s">
        <v>89</v>
      </c>
      <c r="D55" s="21" t="n">
        <v>667</v>
      </c>
      <c r="E55" s="21" t="n">
        <v>623</v>
      </c>
      <c r="F55" s="51" t="n">
        <f aca="false">IF(E55="","",D55-E55)</f>
        <v>44</v>
      </c>
      <c r="G55" s="21" t="n">
        <v>691</v>
      </c>
      <c r="H55" s="21" t="n">
        <v>726</v>
      </c>
      <c r="I55" s="51" t="n">
        <f aca="false">IF(H55="","",G55-H55)</f>
        <v>-35</v>
      </c>
      <c r="J55" s="39" t="n">
        <f aca="false">IF(OR(D55="",D55+G55=0),"",D55/(D55+G55))</f>
        <v>0.491163475699558</v>
      </c>
      <c r="K55" s="39" t="n">
        <f aca="false">IF(E55="","",E55/(E55+H55))</f>
        <v>0.46182357301705</v>
      </c>
      <c r="L55" s="52" t="n">
        <f aca="false">IF(OR(K55="",J55=""),"",(J55-K55)*100)</f>
        <v>2.93399026825085</v>
      </c>
      <c r="M55" s="38"/>
    </row>
    <row r="56" customFormat="false" ht="15" hidden="false" customHeight="false" outlineLevel="0" collapsed="false">
      <c r="A56" s="38" t="s">
        <v>146</v>
      </c>
      <c r="B56" s="38" t="s">
        <v>119</v>
      </c>
      <c r="C56" s="38" t="s">
        <v>89</v>
      </c>
      <c r="D56" s="21" t="n">
        <v>16725</v>
      </c>
      <c r="E56" s="21" t="n">
        <v>17416</v>
      </c>
      <c r="F56" s="51" t="n">
        <f aca="false">IF(E56="","",D56-E56)</f>
        <v>-691</v>
      </c>
      <c r="G56" s="21" t="n">
        <v>8226</v>
      </c>
      <c r="H56" s="21" t="n">
        <v>8640</v>
      </c>
      <c r="I56" s="51" t="n">
        <f aca="false">IF(H56="","",G56-H56)</f>
        <v>-414</v>
      </c>
      <c r="J56" s="39" t="n">
        <f aca="false">IF(OR(D56="",D56+G56=0),"",D56/(D56+G56))</f>
        <v>0.670313815077552</v>
      </c>
      <c r="K56" s="39" t="n">
        <f aca="false">IF(E56="","",E56/(E56+H56))</f>
        <v>0.668406509057415</v>
      </c>
      <c r="L56" s="52" t="n">
        <f aca="false">IF(OR(K56="",J56=""),"",(J56-K56)*100)</f>
        <v>0.190730602013722</v>
      </c>
      <c r="M56" s="38"/>
    </row>
    <row r="57" customFormat="false" ht="15" hidden="false" customHeight="false" outlineLevel="0" collapsed="false">
      <c r="A57" s="38" t="s">
        <v>146</v>
      </c>
      <c r="B57" s="38" t="s">
        <v>150</v>
      </c>
      <c r="C57" s="38" t="s">
        <v>89</v>
      </c>
      <c r="D57" s="21" t="n">
        <v>9002</v>
      </c>
      <c r="E57" s="21" t="n">
        <v>8595</v>
      </c>
      <c r="F57" s="51" t="n">
        <f aca="false">IF(E57="","",D57-E57)</f>
        <v>407</v>
      </c>
      <c r="G57" s="21" t="n">
        <v>7441</v>
      </c>
      <c r="H57" s="21" t="n">
        <v>7440</v>
      </c>
      <c r="I57" s="51" t="n">
        <f aca="false">IF(H57="","",G57-H57)</f>
        <v>1</v>
      </c>
      <c r="J57" s="39" t="n">
        <f aca="false">IF(OR(D57="",D57+G57=0),"",D57/(D57+G57))</f>
        <v>0.547467007237122</v>
      </c>
      <c r="K57" s="39" t="n">
        <f aca="false">IF(E57="","",E57/(E57+H57))</f>
        <v>0.536014967259121</v>
      </c>
      <c r="L57" s="52" t="n">
        <f aca="false">IF(OR(K57="",J57=""),"",(J57-K57)*100)</f>
        <v>1.14520399780015</v>
      </c>
      <c r="M57" s="38"/>
    </row>
    <row r="58" customFormat="false" ht="15" hidden="false" customHeight="false" outlineLevel="0" collapsed="false">
      <c r="A58" s="38" t="s">
        <v>146</v>
      </c>
      <c r="B58" s="38" t="s">
        <v>151</v>
      </c>
      <c r="C58" s="38" t="s">
        <v>89</v>
      </c>
      <c r="D58" s="21" t="n">
        <v>2238</v>
      </c>
      <c r="E58" s="21" t="n">
        <v>2169</v>
      </c>
      <c r="F58" s="51" t="n">
        <f aca="false">IF(E58="","",D58-E58)</f>
        <v>69</v>
      </c>
      <c r="G58" s="21" t="n">
        <v>3684</v>
      </c>
      <c r="H58" s="21" t="n">
        <v>3459</v>
      </c>
      <c r="I58" s="51" t="n">
        <f aca="false">IF(H58="","",G58-H58)</f>
        <v>225</v>
      </c>
      <c r="J58" s="39" t="n">
        <f aca="false">IF(OR(D58="",D58+G58=0),"",D58/(D58+G58))</f>
        <v>0.377912867274569</v>
      </c>
      <c r="K58" s="39" t="n">
        <f aca="false">IF(E58="","",E58/(E58+H58))</f>
        <v>0.385394456289979</v>
      </c>
      <c r="L58" s="52" t="n">
        <f aca="false">IF(OR(K58="",J58=""),"",(J58-K58)*100)</f>
        <v>-0.74815890154093</v>
      </c>
      <c r="M58" s="38"/>
    </row>
    <row r="59" customFormat="false" ht="15" hidden="false" customHeight="false" outlineLevel="0" collapsed="false">
      <c r="A59" s="38" t="s">
        <v>146</v>
      </c>
      <c r="B59" s="38" t="s">
        <v>152</v>
      </c>
      <c r="C59" s="38" t="s">
        <v>89</v>
      </c>
      <c r="D59" s="21" t="n">
        <v>47</v>
      </c>
      <c r="E59" s="21" t="n">
        <v>40</v>
      </c>
      <c r="F59" s="51" t="n">
        <f aca="false">IF(E59="","",D59-E59)</f>
        <v>7</v>
      </c>
      <c r="G59" s="21" t="n">
        <v>79</v>
      </c>
      <c r="H59" s="21" t="n">
        <v>83</v>
      </c>
      <c r="I59" s="51" t="n">
        <f aca="false">IF(H59="","",G59-H59)</f>
        <v>-4</v>
      </c>
      <c r="J59" s="39" t="n">
        <f aca="false">IF(OR(D59="",D59+G59=0),"",D59/(D59+G59))</f>
        <v>0.373015873015873</v>
      </c>
      <c r="K59" s="39" t="n">
        <f aca="false">IF(E59="","",E59/(E59+H59))</f>
        <v>0.32520325203252</v>
      </c>
      <c r="L59" s="52" t="n">
        <f aca="false">IF(OR(K59="",J59=""),"",(J59-K59)*100)</f>
        <v>4.78126209833527</v>
      </c>
      <c r="M59" s="38"/>
    </row>
    <row r="60" customFormat="false" ht="15" hidden="false" customHeight="false" outlineLevel="0" collapsed="false">
      <c r="A60" s="38" t="s">
        <v>146</v>
      </c>
      <c r="B60" s="38" t="s">
        <v>153</v>
      </c>
      <c r="C60" s="38" t="s">
        <v>89</v>
      </c>
      <c r="D60" s="21" t="n">
        <v>1486</v>
      </c>
      <c r="E60" s="21" t="n">
        <v>1484</v>
      </c>
      <c r="F60" s="51" t="n">
        <f aca="false">IF(E60="","",D60-E60)</f>
        <v>2</v>
      </c>
      <c r="G60" s="21" t="n">
        <v>1861</v>
      </c>
      <c r="H60" s="21" t="n">
        <v>1959</v>
      </c>
      <c r="I60" s="51" t="n">
        <f aca="false">IF(H60="","",G60-H60)</f>
        <v>-98</v>
      </c>
      <c r="J60" s="39" t="n">
        <f aca="false">IF(OR(D60="",D60+G60=0),"",D60/(D60+G60))</f>
        <v>0.443979683298476</v>
      </c>
      <c r="K60" s="39" t="n">
        <f aca="false">IF(E60="","",E60/(E60+H60))</f>
        <v>0.431019459773453</v>
      </c>
      <c r="L60" s="52" t="n">
        <f aca="false">IF(OR(K60="",J60=""),"",(J60-K60)*100)</f>
        <v>1.29602235250229</v>
      </c>
      <c r="M60" s="38"/>
    </row>
    <row r="61" customFormat="false" ht="15" hidden="false" customHeight="false" outlineLevel="0" collapsed="false">
      <c r="A61" s="38" t="s">
        <v>146</v>
      </c>
      <c r="B61" s="38" t="s">
        <v>154</v>
      </c>
      <c r="C61" s="38" t="s">
        <v>89</v>
      </c>
      <c r="D61" s="21" t="n">
        <v>213</v>
      </c>
      <c r="E61" s="21" t="n">
        <v>217</v>
      </c>
      <c r="F61" s="51" t="n">
        <f aca="false">IF(E61="","",D61-E61)</f>
        <v>-4</v>
      </c>
      <c r="G61" s="21" t="n">
        <v>318</v>
      </c>
      <c r="H61" s="21" t="n">
        <v>309</v>
      </c>
      <c r="I61" s="51" t="n">
        <f aca="false">IF(H61="","",G61-H61)</f>
        <v>9</v>
      </c>
      <c r="J61" s="39" t="n">
        <f aca="false">IF(OR(D61="",D61+G61=0),"",D61/(D61+G61))</f>
        <v>0.401129943502825</v>
      </c>
      <c r="K61" s="39" t="n">
        <f aca="false">IF(E61="","",E61/(E61+H61))</f>
        <v>0.41254752851711</v>
      </c>
      <c r="L61" s="52" t="n">
        <f aca="false">IF(OR(K61="",J61=""),"",(J61-K61)*100)</f>
        <v>-1.14175850142854</v>
      </c>
      <c r="M61" s="38"/>
    </row>
    <row r="62" customFormat="false" ht="15" hidden="false" customHeight="false" outlineLevel="0" collapsed="false">
      <c r="A62" s="38" t="s">
        <v>146</v>
      </c>
      <c r="B62" s="38" t="s">
        <v>155</v>
      </c>
      <c r="C62" s="38" t="s">
        <v>89</v>
      </c>
      <c r="D62" s="21" t="n">
        <v>7119</v>
      </c>
      <c r="E62" s="21" t="n">
        <v>7604</v>
      </c>
      <c r="F62" s="51" t="n">
        <f aca="false">IF(E62="","",D62-E62)</f>
        <v>-485</v>
      </c>
      <c r="G62" s="21" t="n">
        <v>2940</v>
      </c>
      <c r="H62" s="21" t="n">
        <v>3303</v>
      </c>
      <c r="I62" s="51" t="n">
        <f aca="false">IF(H62="","",G62-H62)</f>
        <v>-363</v>
      </c>
      <c r="J62" s="39" t="n">
        <f aca="false">IF(OR(D62="",D62+G62=0),"",D62/(D62+G62))</f>
        <v>0.707724425887265</v>
      </c>
      <c r="K62" s="39" t="n">
        <f aca="false">IF(E62="","",E62/(E62+H62))</f>
        <v>0.697166957000092</v>
      </c>
      <c r="L62" s="52" t="n">
        <f aca="false">IF(OR(K62="",J62=""),"",(J62-K62)*100)</f>
        <v>1.05574688871735</v>
      </c>
      <c r="M62" s="38"/>
    </row>
    <row r="63" customFormat="false" ht="15" hidden="false" customHeight="false" outlineLevel="0" collapsed="false">
      <c r="A63" s="38" t="s">
        <v>146</v>
      </c>
      <c r="B63" s="38" t="s">
        <v>156</v>
      </c>
      <c r="C63" s="38" t="s">
        <v>89</v>
      </c>
      <c r="D63" s="21" t="n">
        <v>5744</v>
      </c>
      <c r="E63" s="21" t="n">
        <v>5358</v>
      </c>
      <c r="F63" s="51" t="n">
        <f aca="false">IF(E63="","",D63-E63)</f>
        <v>386</v>
      </c>
      <c r="G63" s="21" t="n">
        <v>4815</v>
      </c>
      <c r="H63" s="21" t="n">
        <v>5027</v>
      </c>
      <c r="I63" s="51" t="n">
        <f aca="false">IF(H63="","",G63-H63)</f>
        <v>-212</v>
      </c>
      <c r="J63" s="39" t="n">
        <f aca="false">IF(OR(D63="",D63+G63=0),"",D63/(D63+G63))</f>
        <v>0.543990908229946</v>
      </c>
      <c r="K63" s="39" t="n">
        <f aca="false">IF(E63="","",E63/(E63+H63))</f>
        <v>0.515936446798267</v>
      </c>
      <c r="L63" s="52" t="n">
        <f aca="false">IF(OR(K63="",J63=""),"",(J63-K63)*100)</f>
        <v>2.80544614316792</v>
      </c>
      <c r="M63" s="38"/>
    </row>
    <row r="64" customFormat="false" ht="15" hidden="false" customHeight="false" outlineLevel="0" collapsed="false">
      <c r="A64" s="38" t="s">
        <v>146</v>
      </c>
      <c r="B64" s="38" t="s">
        <v>157</v>
      </c>
      <c r="C64" s="38" t="s">
        <v>89</v>
      </c>
      <c r="D64" s="21" t="n">
        <v>737</v>
      </c>
      <c r="E64" s="21" t="n">
        <v>714</v>
      </c>
      <c r="F64" s="51" t="n">
        <f aca="false">IF(E64="","",D64-E64)</f>
        <v>23</v>
      </c>
      <c r="G64" s="21" t="n">
        <v>509</v>
      </c>
      <c r="H64" s="21" t="n">
        <v>484</v>
      </c>
      <c r="I64" s="51" t="n">
        <f aca="false">IF(H64="","",G64-H64)</f>
        <v>25</v>
      </c>
      <c r="J64" s="39" t="n">
        <f aca="false">IF(OR(D64="",D64+G64=0),"",D64/(D64+G64))</f>
        <v>0.591492776886035</v>
      </c>
      <c r="K64" s="39" t="n">
        <f aca="false">IF(E64="","",E64/(E64+H64))</f>
        <v>0.595993322203673</v>
      </c>
      <c r="L64" s="52" t="n">
        <f aca="false">IF(OR(K64="",J64=""),"",(J64-K64)*100)</f>
        <v>-0.450054531763744</v>
      </c>
      <c r="M64" s="38"/>
    </row>
    <row r="65" customFormat="false" ht="15" hidden="false" customHeight="false" outlineLevel="0" collapsed="false">
      <c r="A65" s="38" t="s">
        <v>146</v>
      </c>
      <c r="B65" s="38" t="s">
        <v>158</v>
      </c>
      <c r="C65" s="38" t="s">
        <v>89</v>
      </c>
      <c r="D65" s="21" t="n">
        <v>112</v>
      </c>
      <c r="E65" s="21" t="n">
        <v>109</v>
      </c>
      <c r="F65" s="51" t="n">
        <f aca="false">IF(E65="","",D65-E65)</f>
        <v>3</v>
      </c>
      <c r="G65" s="21" t="n">
        <v>100</v>
      </c>
      <c r="H65" s="21" t="n">
        <v>97</v>
      </c>
      <c r="I65" s="51" t="n">
        <f aca="false">IF(H65="","",G65-H65)</f>
        <v>3</v>
      </c>
      <c r="J65" s="39" t="n">
        <f aca="false">IF(OR(D65="",D65+G65=0),"",D65/(D65+G65))</f>
        <v>0.528301886792453</v>
      </c>
      <c r="K65" s="39" t="n">
        <f aca="false">IF(E65="","",E65/(E65+H65))</f>
        <v>0.529126213592233</v>
      </c>
      <c r="L65" s="52" t="n">
        <f aca="false">IF(OR(K65="",J65=""),"",(J65-K65)*100)</f>
        <v>-0.0824326799780173</v>
      </c>
      <c r="M65" s="38"/>
    </row>
    <row r="66" customFormat="false" ht="15" hidden="false" customHeight="false" outlineLevel="0" collapsed="false">
      <c r="A66" s="38" t="s">
        <v>146</v>
      </c>
      <c r="B66" s="38" t="s">
        <v>125</v>
      </c>
      <c r="C66" s="38" t="s">
        <v>89</v>
      </c>
      <c r="D66" s="21" t="n">
        <v>4687</v>
      </c>
      <c r="E66" s="21" t="n">
        <v>4341</v>
      </c>
      <c r="F66" s="51" t="n">
        <f aca="false">IF(E66="","",D66-E66)</f>
        <v>346</v>
      </c>
      <c r="G66" s="21" t="n">
        <v>3849</v>
      </c>
      <c r="H66" s="21" t="n">
        <v>3620</v>
      </c>
      <c r="I66" s="51" t="n">
        <f aca="false">IF(H66="","",G66-H66)</f>
        <v>229</v>
      </c>
      <c r="J66" s="39" t="n">
        <f aca="false">IF(OR(D66="",D66+G66=0),"",D66/(D66+G66))</f>
        <v>0.549086223055295</v>
      </c>
      <c r="K66" s="39" t="n">
        <f aca="false">IF(E66="","",E66/(E66+H66))</f>
        <v>0.545283255872378</v>
      </c>
      <c r="L66" s="52" t="n">
        <f aca="false">IF(OR(K66="",J66=""),"",(J66-K66)*100)</f>
        <v>0.380296718291739</v>
      </c>
      <c r="M66" s="38"/>
    </row>
    <row r="67" customFormat="false" ht="15" hidden="false" customHeight="false" outlineLevel="0" collapsed="false">
      <c r="A67" s="38" t="s">
        <v>146</v>
      </c>
      <c r="B67" s="38" t="s">
        <v>159</v>
      </c>
      <c r="C67" s="38" t="s">
        <v>89</v>
      </c>
      <c r="D67" s="21" t="n">
        <v>1883</v>
      </c>
      <c r="E67" s="21" t="n">
        <v>1726</v>
      </c>
      <c r="F67" s="51" t="n">
        <f aca="false">IF(E67="","",D67-E67)</f>
        <v>157</v>
      </c>
      <c r="G67" s="21" t="n">
        <v>1594</v>
      </c>
      <c r="H67" s="21" t="n">
        <v>1685</v>
      </c>
      <c r="I67" s="51" t="n">
        <f aca="false">IF(H67="","",G67-H67)</f>
        <v>-91</v>
      </c>
      <c r="J67" s="39" t="n">
        <f aca="false">IF(OR(D67="",D67+G67=0),"",D67/(D67+G67))</f>
        <v>0.541558815070463</v>
      </c>
      <c r="K67" s="39" t="n">
        <f aca="false">IF(E67="","",E67/(E67+H67))</f>
        <v>0.506009967751393</v>
      </c>
      <c r="L67" s="52" t="n">
        <f aca="false">IF(OR(K67="",J67=""),"",(J67-K67)*100)</f>
        <v>3.55488473190705</v>
      </c>
      <c r="M67" s="38"/>
    </row>
    <row r="68" customFormat="false" ht="15" hidden="false" customHeight="false" outlineLevel="0" collapsed="false">
      <c r="A68" s="38" t="s">
        <v>146</v>
      </c>
      <c r="B68" s="38" t="s">
        <v>160</v>
      </c>
      <c r="C68" s="38" t="s">
        <v>89</v>
      </c>
      <c r="D68" s="21" t="n">
        <v>2456</v>
      </c>
      <c r="E68" s="21" t="n">
        <v>2244</v>
      </c>
      <c r="F68" s="51" t="n">
        <f aca="false">IF(E68="","",D68-E68)</f>
        <v>212</v>
      </c>
      <c r="G68" s="21" t="n">
        <v>4465</v>
      </c>
      <c r="H68" s="21" t="n">
        <v>4439</v>
      </c>
      <c r="I68" s="51" t="n">
        <f aca="false">IF(H68="","",G68-H68)</f>
        <v>26</v>
      </c>
      <c r="J68" s="39" t="n">
        <f aca="false">IF(OR(D68="",D68+G68=0),"",D68/(D68+G68))</f>
        <v>0.354862014159804</v>
      </c>
      <c r="K68" s="39" t="n">
        <f aca="false">IF(E68="","",E68/(E68+H68))</f>
        <v>0.335777345503516</v>
      </c>
      <c r="L68" s="52" t="n">
        <f aca="false">IF(OR(K68="",J68=""),"",(J68-K68)*100)</f>
        <v>1.90846686562871</v>
      </c>
      <c r="M68" s="38"/>
    </row>
    <row r="69" customFormat="false" ht="15" hidden="false" customHeight="false" outlineLevel="0" collapsed="false">
      <c r="A69" s="38" t="s">
        <v>146</v>
      </c>
      <c r="B69" s="38" t="s">
        <v>161</v>
      </c>
      <c r="C69" s="38" t="s">
        <v>89</v>
      </c>
      <c r="D69" s="21" t="n">
        <v>682</v>
      </c>
      <c r="E69" s="21" t="n">
        <v>625</v>
      </c>
      <c r="F69" s="51" t="n">
        <f aca="false">IF(E69="","",D69-E69)</f>
        <v>57</v>
      </c>
      <c r="G69" s="21" t="n">
        <v>1177</v>
      </c>
      <c r="H69" s="21" t="n">
        <v>1214</v>
      </c>
      <c r="I69" s="51" t="n">
        <f aca="false">IF(H69="","",G69-H69)</f>
        <v>-37</v>
      </c>
      <c r="J69" s="39" t="n">
        <f aca="false">IF(OR(D69="",D69+G69=0),"",D69/(D69+G69))</f>
        <v>0.366863905325444</v>
      </c>
      <c r="K69" s="39" t="n">
        <f aca="false">IF(E69="","",E69/(E69+H69))</f>
        <v>0.339858618814573</v>
      </c>
      <c r="L69" s="52" t="n">
        <f aca="false">IF(OR(K69="",J69=""),"",(J69-K69)*100)</f>
        <v>2.70052865108706</v>
      </c>
      <c r="M69" s="38"/>
    </row>
    <row r="70" customFormat="false" ht="15" hidden="false" customHeight="false" outlineLevel="0" collapsed="false">
      <c r="A70" s="38" t="s">
        <v>146</v>
      </c>
      <c r="B70" s="38" t="s">
        <v>162</v>
      </c>
      <c r="C70" s="38" t="s">
        <v>89</v>
      </c>
      <c r="D70" s="21" t="n">
        <v>2203</v>
      </c>
      <c r="E70" s="21" t="n">
        <v>2047</v>
      </c>
      <c r="F70" s="51" t="n">
        <f aca="false">IF(E70="","",D70-E70)</f>
        <v>156</v>
      </c>
      <c r="G70" s="21" t="n">
        <v>2808</v>
      </c>
      <c r="H70" s="21" t="n">
        <v>2499</v>
      </c>
      <c r="I70" s="51" t="n">
        <f aca="false">IF(H70="","",G70-H70)</f>
        <v>309</v>
      </c>
      <c r="J70" s="39" t="n">
        <f aca="false">IF(OR(D70="",D70+G70=0),"",D70/(D70+G70))</f>
        <v>0.43963280782279</v>
      </c>
      <c r="K70" s="39" t="n">
        <f aca="false">IF(E70="","",E70/(E70+H70))</f>
        <v>0.450285965684118</v>
      </c>
      <c r="L70" s="52" t="n">
        <f aca="false">IF(OR(K70="",J70=""),"",(J70-K70)*100)</f>
        <v>-1.0653157861328</v>
      </c>
      <c r="M70" s="38"/>
    </row>
    <row r="71" customFormat="false" ht="15" hidden="false" customHeight="false" outlineLevel="0" collapsed="false">
      <c r="A71" s="38" t="s">
        <v>146</v>
      </c>
      <c r="B71" s="38" t="s">
        <v>163</v>
      </c>
      <c r="C71" s="38" t="s">
        <v>89</v>
      </c>
      <c r="D71" s="21" t="n">
        <v>4013</v>
      </c>
      <c r="E71" s="21" t="n">
        <v>3457</v>
      </c>
      <c r="F71" s="51" t="n">
        <f aca="false">IF(E71="","",D71-E71)</f>
        <v>556</v>
      </c>
      <c r="G71" s="21" t="n">
        <v>3912</v>
      </c>
      <c r="H71" s="21" t="n">
        <v>3805</v>
      </c>
      <c r="I71" s="51" t="n">
        <f aca="false">IF(H71="","",G71-H71)</f>
        <v>107</v>
      </c>
      <c r="J71" s="39" t="n">
        <f aca="false">IF(OR(D71="",D71+G71=0),"",D71/(D71+G71))</f>
        <v>0.506372239747634</v>
      </c>
      <c r="K71" s="39" t="n">
        <f aca="false">IF(E71="","",E71/(E71+H71))</f>
        <v>0.476039658496282</v>
      </c>
      <c r="L71" s="52" t="n">
        <f aca="false">IF(OR(K71="",J71=""),"",(J71-K71)*100)</f>
        <v>3.03325812513521</v>
      </c>
      <c r="M71" s="38"/>
    </row>
    <row r="72" customFormat="false" ht="15" hidden="false" customHeight="false" outlineLevel="0" collapsed="false">
      <c r="A72" s="38" t="s">
        <v>146</v>
      </c>
      <c r="B72" s="38" t="s">
        <v>164</v>
      </c>
      <c r="C72" s="38" t="s">
        <v>89</v>
      </c>
      <c r="D72" s="21" t="n">
        <v>2280</v>
      </c>
      <c r="E72" s="21" t="n">
        <v>2006</v>
      </c>
      <c r="F72" s="51" t="n">
        <f aca="false">IF(E72="","",D72-E72)</f>
        <v>274</v>
      </c>
      <c r="G72" s="21" t="n">
        <v>4119</v>
      </c>
      <c r="H72" s="21" t="n">
        <v>4057</v>
      </c>
      <c r="I72" s="51" t="n">
        <f aca="false">IF(H72="","",G72-H72)</f>
        <v>62</v>
      </c>
      <c r="J72" s="39" t="n">
        <f aca="false">IF(OR(D72="",D72+G72=0),"",D72/(D72+G72))</f>
        <v>0.356305672761369</v>
      </c>
      <c r="K72" s="39" t="n">
        <f aca="false">IF(E72="","",E72/(E72+H72))</f>
        <v>0.330859310572324</v>
      </c>
      <c r="L72" s="52" t="n">
        <f aca="false">IF(OR(K72="",J72=""),"",(J72-K72)*100)</f>
        <v>2.54463621890451</v>
      </c>
      <c r="M72" s="38"/>
    </row>
    <row r="73" customFormat="false" ht="15" hidden="false" customHeight="false" outlineLevel="0" collapsed="false">
      <c r="A73" s="38" t="s">
        <v>146</v>
      </c>
      <c r="B73" s="38" t="s">
        <v>165</v>
      </c>
      <c r="C73" s="38" t="s">
        <v>89</v>
      </c>
      <c r="D73" s="21" t="n">
        <v>1713</v>
      </c>
      <c r="E73" s="21" t="n">
        <v>1596</v>
      </c>
      <c r="F73" s="51" t="n">
        <f aca="false">IF(E73="","",D73-E73)</f>
        <v>117</v>
      </c>
      <c r="G73" s="21" t="n">
        <v>1589</v>
      </c>
      <c r="H73" s="21" t="n">
        <v>1664</v>
      </c>
      <c r="I73" s="51" t="n">
        <f aca="false">IF(H73="","",G73-H73)</f>
        <v>-75</v>
      </c>
      <c r="J73" s="39" t="n">
        <f aca="false">IF(OR(D73="",D73+G73=0),"",D73/(D73+G73))</f>
        <v>0.51877649909146</v>
      </c>
      <c r="K73" s="39" t="n">
        <f aca="false">IF(E73="","",E73/(E73+H73))</f>
        <v>0.489570552147239</v>
      </c>
      <c r="L73" s="52" t="n">
        <f aca="false">IF(OR(K73="",J73=""),"",(J73-K73)*100)</f>
        <v>2.92059469442205</v>
      </c>
      <c r="M73" s="38"/>
    </row>
    <row r="74" customFormat="false" ht="15" hidden="false" customHeight="false" outlineLevel="0" collapsed="false">
      <c r="A74" s="38" t="s">
        <v>146</v>
      </c>
      <c r="B74" s="38" t="s">
        <v>166</v>
      </c>
      <c r="C74" s="38" t="s">
        <v>89</v>
      </c>
      <c r="D74" s="21" t="n">
        <v>891</v>
      </c>
      <c r="E74" s="21" t="n">
        <v>847</v>
      </c>
      <c r="F74" s="51" t="n">
        <f aca="false">IF(E74="","",D74-E74)</f>
        <v>44</v>
      </c>
      <c r="G74" s="21" t="n">
        <v>837</v>
      </c>
      <c r="H74" s="21" t="n">
        <v>889</v>
      </c>
      <c r="I74" s="51" t="n">
        <f aca="false">IF(H74="","",G74-H74)</f>
        <v>-52</v>
      </c>
      <c r="J74" s="39" t="n">
        <f aca="false">IF(OR(D74="",D74+G74=0),"",D74/(D74+G74))</f>
        <v>0.515625</v>
      </c>
      <c r="K74" s="39" t="n">
        <f aca="false">IF(E74="","",E74/(E74+H74))</f>
        <v>0.487903225806452</v>
      </c>
      <c r="L74" s="52" t="n">
        <f aca="false">IF(OR(K74="",J74=""),"",(J74-K74)*100)</f>
        <v>2.77217741935484</v>
      </c>
      <c r="M74" s="38"/>
    </row>
    <row r="75" customFormat="false" ht="15" hidden="false" customHeight="false" outlineLevel="0" collapsed="false">
      <c r="A75" s="38" t="s">
        <v>146</v>
      </c>
      <c r="B75" s="38" t="s">
        <v>167</v>
      </c>
      <c r="C75" s="38" t="s">
        <v>89</v>
      </c>
      <c r="D75" s="21" t="n">
        <v>2856</v>
      </c>
      <c r="E75" s="21" t="n">
        <v>2573</v>
      </c>
      <c r="F75" s="51" t="n">
        <f aca="false">IF(E75="","",D75-E75)</f>
        <v>283</v>
      </c>
      <c r="G75" s="21" t="n">
        <v>2833</v>
      </c>
      <c r="H75" s="21" t="n">
        <v>3023</v>
      </c>
      <c r="I75" s="51" t="n">
        <f aca="false">IF(H75="","",G75-H75)</f>
        <v>-190</v>
      </c>
      <c r="J75" s="39" t="n">
        <f aca="false">IF(OR(D75="",D75+G75=0),"",D75/(D75+G75))</f>
        <v>0.502021444893654</v>
      </c>
      <c r="K75" s="39" t="n">
        <f aca="false">IF(E75="","",E75/(E75+H75))</f>
        <v>0.459792709077913</v>
      </c>
      <c r="L75" s="52" t="n">
        <f aca="false">IF(OR(K75="",J75=""),"",(J75-K75)*100)</f>
        <v>4.22287358157416</v>
      </c>
      <c r="M75" s="38"/>
    </row>
    <row r="76" customFormat="false" ht="15" hidden="false" customHeight="false" outlineLevel="0" collapsed="false">
      <c r="A76" s="38" t="s">
        <v>146</v>
      </c>
      <c r="B76" s="38" t="s">
        <v>168</v>
      </c>
      <c r="C76" s="38" t="s">
        <v>89</v>
      </c>
      <c r="D76" s="21" t="n">
        <v>7759</v>
      </c>
      <c r="E76" s="21" t="n">
        <v>6974</v>
      </c>
      <c r="F76" s="51" t="n">
        <f aca="false">IF(E76="","",D76-E76)</f>
        <v>785</v>
      </c>
      <c r="G76" s="21" t="n">
        <v>6523</v>
      </c>
      <c r="H76" s="21" t="n">
        <v>6736</v>
      </c>
      <c r="I76" s="51" t="n">
        <f aca="false">IF(H76="","",G76-H76)</f>
        <v>-213</v>
      </c>
      <c r="J76" s="39" t="n">
        <f aca="false">IF(OR(D76="",D76+G76=0),"",D76/(D76+G76))</f>
        <v>0.543271250525137</v>
      </c>
      <c r="K76" s="39" t="n">
        <f aca="false">IF(E76="","",E76/(E76+H76))</f>
        <v>0.508679795769511</v>
      </c>
      <c r="L76" s="52" t="n">
        <f aca="false">IF(OR(K76="",J76=""),"",(J76-K76)*100)</f>
        <v>3.45914547556253</v>
      </c>
      <c r="M76" s="38"/>
    </row>
    <row r="77" customFormat="false" ht="15" hidden="false" customHeight="false" outlineLevel="0" collapsed="false">
      <c r="A77" s="38" t="s">
        <v>146</v>
      </c>
      <c r="B77" s="38" t="s">
        <v>169</v>
      </c>
      <c r="C77" s="38" t="s">
        <v>89</v>
      </c>
      <c r="D77" s="21" t="n">
        <v>753</v>
      </c>
      <c r="E77" s="21" t="n">
        <v>703</v>
      </c>
      <c r="F77" s="51" t="n">
        <f aca="false">IF(E77="","",D77-E77)</f>
        <v>50</v>
      </c>
      <c r="G77" s="21" t="n">
        <v>1121</v>
      </c>
      <c r="H77" s="21" t="n">
        <v>1180</v>
      </c>
      <c r="I77" s="51" t="n">
        <f aca="false">IF(H77="","",G77-H77)</f>
        <v>-59</v>
      </c>
      <c r="J77" s="39" t="n">
        <f aca="false">IF(OR(D77="",D77+G77=0),"",D77/(D77+G77))</f>
        <v>0.401814300960512</v>
      </c>
      <c r="K77" s="39" t="n">
        <f aca="false">IF(E77="","",E77/(E77+H77))</f>
        <v>0.373340414232608</v>
      </c>
      <c r="L77" s="52" t="n">
        <f aca="false">IF(OR(K77="",J77=""),"",(J77-K77)*100)</f>
        <v>2.84738867279047</v>
      </c>
      <c r="M77" s="38"/>
    </row>
    <row r="78" customFormat="false" ht="15" hidden="false" customHeight="false" outlineLevel="0" collapsed="false">
      <c r="A78" s="38" t="s">
        <v>146</v>
      </c>
      <c r="B78" s="38" t="s">
        <v>170</v>
      </c>
      <c r="C78" s="38" t="s">
        <v>89</v>
      </c>
      <c r="D78" s="21" t="n">
        <v>1494</v>
      </c>
      <c r="E78" s="21" t="n">
        <v>1361</v>
      </c>
      <c r="F78" s="51" t="n">
        <f aca="false">IF(E78="","",D78-E78)</f>
        <v>133</v>
      </c>
      <c r="G78" s="21" t="n">
        <v>2651</v>
      </c>
      <c r="H78" s="21" t="n">
        <v>2561</v>
      </c>
      <c r="I78" s="51" t="n">
        <f aca="false">IF(H78="","",G78-H78)</f>
        <v>90</v>
      </c>
      <c r="J78" s="39" t="n">
        <f aca="false">IF(OR(D78="",D78+G78=0),"",D78/(D78+G78))</f>
        <v>0.36043425814234</v>
      </c>
      <c r="K78" s="39" t="n">
        <f aca="false">IF(E78="","",E78/(E78+H78))</f>
        <v>0.347016828148904</v>
      </c>
      <c r="L78" s="52" t="n">
        <f aca="false">IF(OR(K78="",J78=""),"",(J78-K78)*100)</f>
        <v>1.34174299934365</v>
      </c>
      <c r="M78" s="38"/>
    </row>
    <row r="79" customFormat="false" ht="15" hidden="false" customHeight="false" outlineLevel="0" collapsed="false">
      <c r="A79" s="38" t="s">
        <v>146</v>
      </c>
      <c r="B79" s="38" t="s">
        <v>171</v>
      </c>
      <c r="C79" s="38" t="s">
        <v>89</v>
      </c>
      <c r="D79" s="21" t="n">
        <v>93</v>
      </c>
      <c r="E79" s="21" t="n">
        <v>92</v>
      </c>
      <c r="F79" s="51" t="n">
        <f aca="false">IF(E79="","",D79-E79)</f>
        <v>1</v>
      </c>
      <c r="G79" s="21" t="n">
        <v>174</v>
      </c>
      <c r="H79" s="21" t="n">
        <v>167</v>
      </c>
      <c r="I79" s="51" t="n">
        <f aca="false">IF(H79="","",G79-H79)</f>
        <v>7</v>
      </c>
      <c r="J79" s="39" t="n">
        <f aca="false">IF(OR(D79="",D79+G79=0),"",D79/(D79+G79))</f>
        <v>0.348314606741573</v>
      </c>
      <c r="K79" s="39" t="n">
        <f aca="false">IF(E79="","",E79/(E79+H79))</f>
        <v>0.355212355212355</v>
      </c>
      <c r="L79" s="52" t="n">
        <f aca="false">IF(OR(K79="",J79=""),"",(J79-K79)*100)</f>
        <v>-0.689774847078217</v>
      </c>
      <c r="M79" s="38"/>
    </row>
    <row r="80" customFormat="false" ht="15" hidden="false" customHeight="false" outlineLevel="0" collapsed="false">
      <c r="A80" s="38" t="s">
        <v>146</v>
      </c>
      <c r="B80" s="38" t="s">
        <v>172</v>
      </c>
      <c r="C80" s="38" t="s">
        <v>89</v>
      </c>
      <c r="D80" s="21" t="n">
        <v>403</v>
      </c>
      <c r="E80" s="21" t="n">
        <v>335</v>
      </c>
      <c r="F80" s="51" t="n">
        <f aca="false">IF(E80="","",D80-E80)</f>
        <v>68</v>
      </c>
      <c r="G80" s="21" t="n">
        <v>566</v>
      </c>
      <c r="H80" s="21" t="n">
        <v>581</v>
      </c>
      <c r="I80" s="51" t="n">
        <f aca="false">IF(H80="","",G80-H80)</f>
        <v>-15</v>
      </c>
      <c r="J80" s="39" t="n">
        <f aca="false">IF(OR(D80="",D80+G80=0),"",D80/(D80+G80))</f>
        <v>0.415892672858617</v>
      </c>
      <c r="K80" s="39" t="n">
        <f aca="false">IF(E80="","",E80/(E80+H80))</f>
        <v>0.365720524017467</v>
      </c>
      <c r="L80" s="52" t="n">
        <f aca="false">IF(OR(K80="",J80=""),"",(J80-K80)*100)</f>
        <v>5.01721488411499</v>
      </c>
      <c r="M80" s="38"/>
    </row>
    <row r="81" customFormat="false" ht="15" hidden="false" customHeight="false" outlineLevel="0" collapsed="false">
      <c r="A81" s="38" t="s">
        <v>146</v>
      </c>
      <c r="B81" s="38" t="s">
        <v>173</v>
      </c>
      <c r="C81" s="38" t="s">
        <v>89</v>
      </c>
      <c r="D81" s="21" t="n">
        <v>241</v>
      </c>
      <c r="E81" s="21" t="n">
        <v>210</v>
      </c>
      <c r="F81" s="51" t="n">
        <f aca="false">IF(E81="","",D81-E81)</f>
        <v>31</v>
      </c>
      <c r="G81" s="21" t="n">
        <v>316</v>
      </c>
      <c r="H81" s="21" t="n">
        <v>309</v>
      </c>
      <c r="I81" s="51" t="n">
        <f aca="false">IF(H81="","",G81-H81)</f>
        <v>7</v>
      </c>
      <c r="J81" s="39" t="n">
        <f aca="false">IF(OR(D81="",D81+G81=0),"",D81/(D81+G81))</f>
        <v>0.432675044883303</v>
      </c>
      <c r="K81" s="39" t="n">
        <f aca="false">IF(E81="","",E81/(E81+H81))</f>
        <v>0.404624277456647</v>
      </c>
      <c r="L81" s="52" t="n">
        <f aca="false">IF(OR(K81="",J81=""),"",(J81-K81)*100)</f>
        <v>2.8050767426656</v>
      </c>
      <c r="M81" s="38"/>
    </row>
    <row r="82" customFormat="false" ht="15" hidden="false" customHeight="false" outlineLevel="0" collapsed="false">
      <c r="A82" s="38" t="s">
        <v>146</v>
      </c>
      <c r="B82" s="38" t="s">
        <v>174</v>
      </c>
      <c r="C82" s="38" t="s">
        <v>89</v>
      </c>
      <c r="D82" s="21" t="n">
        <v>329</v>
      </c>
      <c r="E82" s="21" t="n">
        <v>331</v>
      </c>
      <c r="F82" s="51" t="n">
        <f aca="false">IF(E82="","",D82-E82)</f>
        <v>-2</v>
      </c>
      <c r="G82" s="21" t="n">
        <v>426</v>
      </c>
      <c r="H82" s="21" t="n">
        <v>458</v>
      </c>
      <c r="I82" s="51" t="n">
        <f aca="false">IF(H82="","",G82-H82)</f>
        <v>-32</v>
      </c>
      <c r="J82" s="39" t="n">
        <f aca="false">IF(OR(D82="",D82+G82=0),"",D82/(D82+G82))</f>
        <v>0.435761589403974</v>
      </c>
      <c r="K82" s="39" t="n">
        <f aca="false">IF(E82="","",E82/(E82+H82))</f>
        <v>0.419518377693283</v>
      </c>
      <c r="L82" s="52" t="n">
        <f aca="false">IF(OR(K82="",J82=""),"",(J82-K82)*100)</f>
        <v>1.62432117106909</v>
      </c>
      <c r="M82" s="38"/>
    </row>
    <row r="83" customFormat="false" ht="15" hidden="false" customHeight="false" outlineLevel="0" collapsed="false">
      <c r="A83" s="38" t="s">
        <v>146</v>
      </c>
      <c r="B83" s="38" t="s">
        <v>175</v>
      </c>
      <c r="C83" s="38" t="s">
        <v>89</v>
      </c>
      <c r="D83" s="21" t="n">
        <v>1412</v>
      </c>
      <c r="E83" s="21" t="n">
        <v>1242</v>
      </c>
      <c r="F83" s="51" t="n">
        <f aca="false">IF(E83="","",D83-E83)</f>
        <v>170</v>
      </c>
      <c r="G83" s="21" t="n">
        <v>2690</v>
      </c>
      <c r="H83" s="21" t="n">
        <v>2716</v>
      </c>
      <c r="I83" s="51" t="n">
        <f aca="false">IF(H83="","",G83-H83)</f>
        <v>-26</v>
      </c>
      <c r="J83" s="39" t="n">
        <f aca="false">IF(OR(D83="",D83+G83=0),"",D83/(D83+G83))</f>
        <v>0.344222330570453</v>
      </c>
      <c r="K83" s="39" t="n">
        <f aca="false">IF(E83="","",E83/(E83+H83))</f>
        <v>0.313794845881759</v>
      </c>
      <c r="L83" s="52" t="n">
        <f aca="false">IF(OR(K83="",J83=""),"",(J83-K83)*100)</f>
        <v>3.04274846886949</v>
      </c>
      <c r="M83" s="38"/>
    </row>
    <row r="84" customFormat="false" ht="15" hidden="false" customHeight="false" outlineLevel="0" collapsed="false">
      <c r="A84" s="38" t="s">
        <v>146</v>
      </c>
      <c r="B84" s="38" t="s">
        <v>176</v>
      </c>
      <c r="C84" s="38" t="s">
        <v>89</v>
      </c>
      <c r="D84" s="21" t="n">
        <v>2149</v>
      </c>
      <c r="E84" s="21" t="n">
        <v>1964</v>
      </c>
      <c r="F84" s="51" t="n">
        <f aca="false">IF(E84="","",D84-E84)</f>
        <v>185</v>
      </c>
      <c r="G84" s="21" t="n">
        <v>2125</v>
      </c>
      <c r="H84" s="21" t="n">
        <v>2147</v>
      </c>
      <c r="I84" s="51" t="n">
        <f aca="false">IF(H84="","",G84-H84)</f>
        <v>-22</v>
      </c>
      <c r="J84" s="39" t="n">
        <f aca="false">IF(OR(D84="",D84+G84=0),"",D84/(D84+G84))</f>
        <v>0.50280767430978</v>
      </c>
      <c r="K84" s="39" t="n">
        <f aca="false">IF(E84="","",E84/(E84+H84))</f>
        <v>0.477742641693019</v>
      </c>
      <c r="L84" s="52" t="n">
        <f aca="false">IF(OR(K84="",J84=""),"",(J84-K84)*100)</f>
        <v>2.50650326167613</v>
      </c>
      <c r="M84" s="38"/>
    </row>
    <row r="85" customFormat="false" ht="15" hidden="false" customHeight="false" outlineLevel="0" collapsed="false">
      <c r="A85" s="38" t="s">
        <v>146</v>
      </c>
      <c r="B85" s="38" t="s">
        <v>177</v>
      </c>
      <c r="C85" s="38" t="s">
        <v>89</v>
      </c>
      <c r="D85" s="21" t="n">
        <v>468</v>
      </c>
      <c r="E85" s="21" t="n">
        <v>416</v>
      </c>
      <c r="F85" s="51" t="n">
        <f aca="false">IF(E85="","",D85-E85)</f>
        <v>52</v>
      </c>
      <c r="G85" s="21" t="n">
        <v>594</v>
      </c>
      <c r="H85" s="21" t="n">
        <v>658</v>
      </c>
      <c r="I85" s="51" t="n">
        <f aca="false">IF(H85="","",G85-H85)</f>
        <v>-64</v>
      </c>
      <c r="J85" s="39" t="n">
        <f aca="false">IF(OR(D85="",D85+G85=0),"",D85/(D85+G85))</f>
        <v>0.440677966101695</v>
      </c>
      <c r="K85" s="39" t="n">
        <f aca="false">IF(E85="","",E85/(E85+H85))</f>
        <v>0.387337057728119</v>
      </c>
      <c r="L85" s="52" t="n">
        <f aca="false">IF(OR(K85="",J85=""),"",(J85-K85)*100)</f>
        <v>5.33409083735758</v>
      </c>
      <c r="M85" s="38"/>
    </row>
    <row r="86" customFormat="false" ht="15" hidden="false" customHeight="false" outlineLevel="0" collapsed="false">
      <c r="A86" s="38" t="s">
        <v>146</v>
      </c>
      <c r="B86" s="38" t="s">
        <v>139</v>
      </c>
      <c r="C86" s="38" t="s">
        <v>89</v>
      </c>
      <c r="D86" s="21" t="n">
        <v>1188</v>
      </c>
      <c r="E86" s="21" t="n">
        <v>1041</v>
      </c>
      <c r="F86" s="51" t="n">
        <f aca="false">IF(E86="","",D86-E86)</f>
        <v>147</v>
      </c>
      <c r="G86" s="21" t="n">
        <v>2040</v>
      </c>
      <c r="H86" s="21" t="n">
        <v>2088</v>
      </c>
      <c r="I86" s="51" t="n">
        <f aca="false">IF(H86="","",G86-H86)</f>
        <v>-48</v>
      </c>
      <c r="J86" s="39" t="n">
        <f aca="false">IF(OR(D86="",D86+G86=0),"",D86/(D86+G86))</f>
        <v>0.368029739776952</v>
      </c>
      <c r="K86" s="39" t="n">
        <f aca="false">IF(E86="","",E86/(E86+H86))</f>
        <v>0.332694151486098</v>
      </c>
      <c r="L86" s="52" t="n">
        <f aca="false">IF(OR(K86="",J86=""),"",(J86-K86)*100)</f>
        <v>3.53355882908539</v>
      </c>
      <c r="M86" s="38"/>
    </row>
    <row r="87" customFormat="false" ht="15" hidden="false" customHeight="false" outlineLevel="0" collapsed="false">
      <c r="A87" s="38" t="s">
        <v>146</v>
      </c>
      <c r="B87" s="38" t="s">
        <v>178</v>
      </c>
      <c r="C87" s="38" t="s">
        <v>89</v>
      </c>
      <c r="D87" s="21" t="n">
        <v>295</v>
      </c>
      <c r="E87" s="21" t="n">
        <v>281</v>
      </c>
      <c r="F87" s="51" t="n">
        <f aca="false">IF(E87="","",D87-E87)</f>
        <v>14</v>
      </c>
      <c r="G87" s="21" t="n">
        <v>322</v>
      </c>
      <c r="H87" s="21" t="n">
        <v>310</v>
      </c>
      <c r="I87" s="51" t="n">
        <f aca="false">IF(H87="","",G87-H87)</f>
        <v>12</v>
      </c>
      <c r="J87" s="39" t="n">
        <f aca="false">IF(OR(D87="",D87+G87=0),"",D87/(D87+G87))</f>
        <v>0.478119935170178</v>
      </c>
      <c r="K87" s="39" t="n">
        <f aca="false">IF(E87="","",E87/(E87+H87))</f>
        <v>0.475465313028765</v>
      </c>
      <c r="L87" s="52" t="n">
        <f aca="false">IF(OR(K87="",J87=""),"",(J87-K87)*100)</f>
        <v>0.265462214141343</v>
      </c>
      <c r="M87" s="38"/>
    </row>
    <row r="88" customFormat="false" ht="15" hidden="false" customHeight="false" outlineLevel="0" collapsed="false">
      <c r="A88" s="38" t="s">
        <v>146</v>
      </c>
      <c r="B88" s="38" t="s">
        <v>179</v>
      </c>
      <c r="C88" s="38" t="s">
        <v>89</v>
      </c>
      <c r="D88" s="21" t="n">
        <v>1999</v>
      </c>
      <c r="E88" s="21" t="n">
        <v>1847</v>
      </c>
      <c r="F88" s="51" t="n">
        <f aca="false">IF(E88="","",D88-E88)</f>
        <v>152</v>
      </c>
      <c r="G88" s="21" t="n">
        <v>2486</v>
      </c>
      <c r="H88" s="21" t="n">
        <v>2401</v>
      </c>
      <c r="I88" s="51" t="n">
        <f aca="false">IF(H88="","",G88-H88)</f>
        <v>85</v>
      </c>
      <c r="J88" s="39" t="n">
        <f aca="false">IF(OR(D88="",D88+G88=0),"",D88/(D88+G88))</f>
        <v>0.445707915273133</v>
      </c>
      <c r="K88" s="39" t="n">
        <f aca="false">IF(E88="","",E88/(E88+H88))</f>
        <v>0.434792843691149</v>
      </c>
      <c r="L88" s="52" t="n">
        <f aca="false">IF(OR(K88="",J88=""),"",(J88-K88)*100)</f>
        <v>1.09150715819838</v>
      </c>
      <c r="M88" s="38"/>
    </row>
    <row r="89" customFormat="false" ht="15" hidden="false" customHeight="false" outlineLevel="0" collapsed="false">
      <c r="A89" s="38" t="s">
        <v>146</v>
      </c>
      <c r="B89" s="38" t="s">
        <v>180</v>
      </c>
      <c r="C89" s="38" t="s">
        <v>89</v>
      </c>
      <c r="D89" s="21" t="n">
        <v>1913</v>
      </c>
      <c r="E89" s="21" t="n">
        <v>1897</v>
      </c>
      <c r="F89" s="51" t="n">
        <f aca="false">IF(E89="","",D89-E89)</f>
        <v>16</v>
      </c>
      <c r="G89" s="21" t="n">
        <v>1502</v>
      </c>
      <c r="H89" s="21" t="n">
        <v>1538</v>
      </c>
      <c r="I89" s="51" t="n">
        <f aca="false">IF(H89="","",G89-H89)</f>
        <v>-36</v>
      </c>
      <c r="J89" s="39" t="n">
        <f aca="false">IF(OR(D89="",D89+G89=0),"",D89/(D89+G89))</f>
        <v>0.560175695461201</v>
      </c>
      <c r="K89" s="39" t="n">
        <f aca="false">IF(E89="","",E89/(E89+H89))</f>
        <v>0.552256186317322</v>
      </c>
      <c r="L89" s="52" t="n">
        <f aca="false">IF(OR(K89="",J89=""),"",(J89-K89)*100)</f>
        <v>0.791950914387896</v>
      </c>
      <c r="M89" s="38"/>
    </row>
    <row r="90" customFormat="false" ht="15" hidden="false" customHeight="false" outlineLevel="0" collapsed="false">
      <c r="A90" s="38" t="s">
        <v>146</v>
      </c>
      <c r="B90" s="38" t="s">
        <v>181</v>
      </c>
      <c r="C90" s="38" t="s">
        <v>89</v>
      </c>
      <c r="D90" s="21" t="n">
        <v>670</v>
      </c>
      <c r="E90" s="21" t="n">
        <v>634</v>
      </c>
      <c r="F90" s="51" t="n">
        <f aca="false">IF(E90="","",D90-E90)</f>
        <v>36</v>
      </c>
      <c r="G90" s="21" t="n">
        <v>788</v>
      </c>
      <c r="H90" s="21" t="n">
        <v>856</v>
      </c>
      <c r="I90" s="51" t="n">
        <f aca="false">IF(H90="","",G90-H90)</f>
        <v>-68</v>
      </c>
      <c r="J90" s="39" t="n">
        <f aca="false">IF(OR(D90="",D90+G90=0),"",D90/(D90+G90))</f>
        <v>0.459533607681756</v>
      </c>
      <c r="K90" s="39" t="n">
        <f aca="false">IF(E90="","",E90/(E90+H90))</f>
        <v>0.425503355704698</v>
      </c>
      <c r="L90" s="52" t="n">
        <f aca="false">IF(OR(K90="",J90=""),"",(J90-K90)*100)</f>
        <v>3.40302519770578</v>
      </c>
      <c r="M90" s="38"/>
    </row>
    <row r="92" customFormat="false" ht="15" hidden="false" customHeight="false" outlineLevel="0" collapsed="false">
      <c r="A92" s="11" t="s">
        <v>331</v>
      </c>
      <c r="B92" s="53"/>
      <c r="C92" s="53"/>
      <c r="D92" s="54" t="n">
        <f aca="false">SUMIF(E2:E90,"&lt;&gt;",D2:D90)</f>
        <v>212305</v>
      </c>
      <c r="E92" s="54" t="n">
        <f aca="false">SUM(E2:E90)</f>
        <v>199626</v>
      </c>
      <c r="F92" s="55" t="n">
        <f aca="false">D92-E92</f>
        <v>12679</v>
      </c>
      <c r="G92" s="54" t="n">
        <f aca="false">SUMIF(H2:H90,"&lt;&gt;",G2:G90)</f>
        <v>200436</v>
      </c>
      <c r="H92" s="54" t="n">
        <f aca="false">SUM(H2:H90)</f>
        <v>203688</v>
      </c>
      <c r="I92" s="55" t="n">
        <f aca="false">G92-H92</f>
        <v>-3252</v>
      </c>
      <c r="J92" s="56" t="n">
        <f aca="false">D92/(D92+G92)</f>
        <v>0.514378266273523</v>
      </c>
      <c r="K92" s="56" t="n">
        <f aca="false">E92/(E92+H92)</f>
        <v>0.49496422142549</v>
      </c>
      <c r="L92" s="57" t="n">
        <f aca="false">(J92-K92)*100</f>
        <v>1.94140448480328</v>
      </c>
    </row>
    <row r="93" customFormat="false" ht="15" hidden="false" customHeight="false" outlineLevel="0" collapsed="false">
      <c r="A93" s="11" t="s">
        <v>332</v>
      </c>
      <c r="B93" s="53"/>
      <c r="C93" s="53"/>
      <c r="D93" s="54" t="n">
        <f aca="false">SUM(D2:D90)</f>
        <v>212305</v>
      </c>
      <c r="E93" s="54"/>
      <c r="F93" s="55"/>
      <c r="G93" s="54" t="n">
        <f aca="false">SUM(G2:G90)</f>
        <v>200436</v>
      </c>
      <c r="H93" s="54"/>
      <c r="I93" s="55"/>
      <c r="J93" s="56" t="n">
        <f aca="false">D93/(D93+G93)</f>
        <v>0.514378266273523</v>
      </c>
      <c r="K93" s="56"/>
      <c r="L93" s="57"/>
    </row>
    <row r="95" customFormat="false" ht="15" hidden="false" customHeight="false" outlineLevel="0" collapsed="false">
      <c r="A95" s="2" t="s">
        <v>333</v>
      </c>
      <c r="F95" s="58" t="n">
        <f aca="false">(SUMIF(F2:F90,"&gt;0")-SUMIF(F2:F90,"&lt;0"))/COUNT(F2:F90)</f>
        <v>169.134831460674</v>
      </c>
    </row>
    <row r="96" customFormat="false" ht="15" hidden="false" customHeight="false" outlineLevel="0" collapsed="false">
      <c r="A96" s="2" t="s">
        <v>334</v>
      </c>
      <c r="F96" s="58" t="n">
        <f aca="false">(SUMIF(I2:I90,"&gt;0")-SUMIF(I2:I90,"&lt;0"))/COUNT(I2:I90)</f>
        <v>97.2359550561798</v>
      </c>
    </row>
    <row r="97" customFormat="false" ht="15" hidden="false" customHeight="false" outlineLevel="0" collapsed="false">
      <c r="A97" s="2" t="s">
        <v>335</v>
      </c>
      <c r="F97" s="59" t="n">
        <f aca="false">(SUMIF(L2:L90,"&gt;0")-SUMIF(L2:L90,"&lt;0"))/COUNT(L2:L90)</f>
        <v>2.74628376563272</v>
      </c>
    </row>
    <row r="98" customFormat="false" ht="15" hidden="false" customHeight="false" outlineLevel="0" collapsed="false">
      <c r="A98" s="5" t="s">
        <v>336</v>
      </c>
      <c r="F98" s="60" t="n">
        <f aca="false">SQRT(SUMSQ(L2:L90)/COUNT(L2:L90))</f>
        <v>3.25923920884262</v>
      </c>
    </row>
    <row r="99" customFormat="false" ht="15" hidden="false" customHeight="false" outlineLevel="0" collapsed="false">
      <c r="A99" s="5" t="s">
        <v>337</v>
      </c>
      <c r="F99" s="61" t="n">
        <f aca="false">L92</f>
        <v>1.94140448480328</v>
      </c>
    </row>
    <row r="100" customFormat="false" ht="15" hidden="false" customHeight="false" outlineLevel="0" collapsed="false">
      <c r="A100" s="5" t="s">
        <v>338</v>
      </c>
      <c r="F100" s="60" t="n">
        <f aca="false">SQRT((SUMSQ(L2:L90)-2*L92*SUM(L2:L90)+COUNT(L2:L90)*L92^2)/COUNT(L2:L90))</f>
        <v>2.05488259583336</v>
      </c>
    </row>
    <row r="101" customFormat="false" ht="15" hidden="false" customHeight="false" outlineLevel="0" collapsed="false">
      <c r="A101" s="2" t="s">
        <v>339</v>
      </c>
      <c r="F101" s="62" t="n">
        <f aca="false">(D92+G92)/(E92+H92)-1</f>
        <v>0.0233738476720371</v>
      </c>
    </row>
    <row r="102" customFormat="false" ht="15" hidden="false" customHeight="false" outlineLevel="0" collapsed="false">
      <c r="A102" s="2" t="s">
        <v>340</v>
      </c>
      <c r="F102" s="63" t="n">
        <f aca="false">COUNTIFS(L2:L90,"&gt;=-3",L2:L90,"&lt;=3")/COUNT(L2:L90)</f>
        <v>0.629213483146067</v>
      </c>
    </row>
    <row r="103" customFormat="false" ht="15" hidden="false" customHeight="false" outlineLevel="0" collapsed="false">
      <c r="A103" s="2" t="s">
        <v>341</v>
      </c>
      <c r="F103" s="64" t="n">
        <f aca="false">COUNT(E2:E90)</f>
        <v>89</v>
      </c>
    </row>
    <row r="104" customFormat="false" ht="15" hidden="false" customHeight="false" outlineLevel="0" collapsed="false">
      <c r="A104" s="2" t="s">
        <v>342</v>
      </c>
      <c r="F104" s="64" t="n">
        <f aca="false">COUNTA(A2:A90)</f>
        <v>89</v>
      </c>
    </row>
    <row r="106" customFormat="false" ht="15" hidden="false" customHeight="false" outlineLevel="0" collapsed="false">
      <c r="M106" s="5" t="s">
        <v>69</v>
      </c>
    </row>
    <row r="107" customFormat="false" ht="28.35" hidden="false" customHeight="false" outlineLevel="0" collapsed="false">
      <c r="M107" s="50" t="s">
        <v>343</v>
      </c>
    </row>
    <row r="108" customFormat="false" ht="28.35" hidden="false" customHeight="false" outlineLevel="0" collapsed="false">
      <c r="M108" s="50" t="s">
        <v>344</v>
      </c>
    </row>
    <row r="109" customFormat="false" ht="41.75" hidden="false" customHeight="false" outlineLevel="0" collapsed="false">
      <c r="M109" s="50" t="s">
        <v>345</v>
      </c>
    </row>
    <row r="110" customFormat="false" ht="55.2" hidden="false" customHeight="false" outlineLevel="0" collapsed="false">
      <c r="M110" s="50" t="s">
        <v>346</v>
      </c>
    </row>
    <row r="111" customFormat="false" ht="28.35" hidden="false" customHeight="false" outlineLevel="0" collapsed="false">
      <c r="M111" s="50" t="s">
        <v>354</v>
      </c>
    </row>
    <row r="112" customFormat="false" ht="28.35" hidden="false" customHeight="false" outlineLevel="0" collapsed="false">
      <c r="M112" s="50" t="s">
        <v>348</v>
      </c>
    </row>
    <row r="113" customFormat="false" ht="28.35" hidden="false" customHeight="false" outlineLevel="0" collapsed="false">
      <c r="M113" s="50" t="s">
        <v>349</v>
      </c>
    </row>
    <row r="114" customFormat="false" ht="28.35" hidden="false" customHeight="false" outlineLevel="0" collapsed="false">
      <c r="M114" s="50" t="s">
        <v>350</v>
      </c>
    </row>
    <row r="115" customFormat="false" ht="15" hidden="false" customHeight="false" outlineLevel="0" collapsed="false">
      <c r="M115" s="50" t="s">
        <v>351</v>
      </c>
    </row>
    <row r="116" customFormat="false" ht="15" hidden="false" customHeight="false" outlineLevel="0" collapsed="false">
      <c r="M116" s="50" t="s">
        <v>352</v>
      </c>
    </row>
    <row r="117" customFormat="false" ht="28.35" hidden="false" customHeight="false" outlineLevel="0" collapsed="false">
      <c r="M117" s="50" t="s">
        <v>353</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321</v>
      </c>
      <c r="E1" s="7" t="s">
        <v>322</v>
      </c>
      <c r="F1" s="7" t="s">
        <v>323</v>
      </c>
      <c r="G1" s="7" t="s">
        <v>324</v>
      </c>
      <c r="H1" s="7" t="s">
        <v>325</v>
      </c>
      <c r="I1" s="7" t="s">
        <v>326</v>
      </c>
      <c r="J1" s="7" t="s">
        <v>327</v>
      </c>
      <c r="K1" s="7" t="s">
        <v>328</v>
      </c>
      <c r="L1" s="7" t="s">
        <v>329</v>
      </c>
      <c r="M1" s="7" t="s">
        <v>330</v>
      </c>
    </row>
    <row r="2" customFormat="false" ht="15" hidden="false" customHeight="false" outlineLevel="0" collapsed="false">
      <c r="A2" s="38" t="s">
        <v>87</v>
      </c>
      <c r="B2" s="38" t="s">
        <v>88</v>
      </c>
      <c r="C2" s="38" t="s">
        <v>89</v>
      </c>
      <c r="D2" s="21" t="n">
        <v>202</v>
      </c>
      <c r="E2" s="21" t="n">
        <v>181</v>
      </c>
      <c r="F2" s="51" t="n">
        <f aca="false">IF(E2="","",D2-E2)</f>
        <v>21</v>
      </c>
      <c r="G2" s="21" t="n">
        <v>323</v>
      </c>
      <c r="H2" s="21" t="n">
        <v>285</v>
      </c>
      <c r="I2" s="51" t="n">
        <f aca="false">IF(H2="","",G2-H2)</f>
        <v>38</v>
      </c>
      <c r="J2" s="39" t="n">
        <f aca="false">IF(OR(D2="",D2+G2=0),"",D2/(D2+G2))</f>
        <v>0.384761904761905</v>
      </c>
      <c r="K2" s="39" t="n">
        <f aca="false">IF(E2="","",E2/(E2+H2))</f>
        <v>0.388412017167382</v>
      </c>
      <c r="L2" s="52" t="n">
        <f aca="false">IF(OR(K2="",J2=""),"",(J2-K2)*100)</f>
        <v>-0.365011240547725</v>
      </c>
      <c r="M2" s="38"/>
    </row>
    <row r="3" customFormat="false" ht="15" hidden="false" customHeight="false" outlineLevel="0" collapsed="false">
      <c r="A3" s="38" t="s">
        <v>87</v>
      </c>
      <c r="B3" s="38" t="s">
        <v>92</v>
      </c>
      <c r="C3" s="38" t="s">
        <v>89</v>
      </c>
      <c r="D3" s="21" t="n">
        <v>124</v>
      </c>
      <c r="E3" s="21" t="n">
        <v>118</v>
      </c>
      <c r="F3" s="51" t="n">
        <f aca="false">IF(E3="","",D3-E3)</f>
        <v>6</v>
      </c>
      <c r="G3" s="21" t="n">
        <v>303</v>
      </c>
      <c r="H3" s="21" t="n">
        <v>300</v>
      </c>
      <c r="I3" s="51" t="n">
        <f aca="false">IF(H3="","",G3-H3)</f>
        <v>3</v>
      </c>
      <c r="J3" s="39" t="n">
        <f aca="false">IF(OR(D3="",D3+G3=0),"",D3/(D3+G3))</f>
        <v>0.2903981264637</v>
      </c>
      <c r="K3" s="39" t="n">
        <f aca="false">IF(E3="","",E3/(E3+H3))</f>
        <v>0.282296650717703</v>
      </c>
      <c r="L3" s="52" t="n">
        <f aca="false">IF(OR(K3="",J3=""),"",(J3-K3)*100)</f>
        <v>0.81014757459969</v>
      </c>
      <c r="M3" s="38"/>
    </row>
    <row r="4" customFormat="false" ht="15" hidden="false" customHeight="false" outlineLevel="0" collapsed="false">
      <c r="A4" s="38" t="s">
        <v>87</v>
      </c>
      <c r="B4" s="38" t="s">
        <v>93</v>
      </c>
      <c r="C4" s="38" t="s">
        <v>89</v>
      </c>
      <c r="D4" s="21" t="n">
        <v>160</v>
      </c>
      <c r="E4" s="21" t="n">
        <v>144</v>
      </c>
      <c r="F4" s="51" t="n">
        <f aca="false">IF(E4="","",D4-E4)</f>
        <v>16</v>
      </c>
      <c r="G4" s="21" t="n">
        <v>304</v>
      </c>
      <c r="H4" s="21" t="n">
        <v>310</v>
      </c>
      <c r="I4" s="51" t="n">
        <f aca="false">IF(H4="","",G4-H4)</f>
        <v>-6</v>
      </c>
      <c r="J4" s="39" t="n">
        <f aca="false">IF(OR(D4="",D4+G4=0),"",D4/(D4+G4))</f>
        <v>0.344827586206897</v>
      </c>
      <c r="K4" s="39" t="n">
        <f aca="false">IF(E4="","",E4/(E4+H4))</f>
        <v>0.317180616740088</v>
      </c>
      <c r="L4" s="52" t="n">
        <f aca="false">IF(OR(K4="",J4=""),"",(J4-K4)*100)</f>
        <v>2.76469694668084</v>
      </c>
      <c r="M4" s="38"/>
    </row>
    <row r="5" customFormat="false" ht="15" hidden="false" customHeight="false" outlineLevel="0" collapsed="false">
      <c r="A5" s="38" t="s">
        <v>87</v>
      </c>
      <c r="B5" s="38" t="s">
        <v>94</v>
      </c>
      <c r="C5" s="38" t="s">
        <v>89</v>
      </c>
      <c r="D5" s="21" t="n">
        <v>499</v>
      </c>
      <c r="E5" s="21" t="n">
        <v>438</v>
      </c>
      <c r="F5" s="51" t="n">
        <f aca="false">IF(E5="","",D5-E5)</f>
        <v>61</v>
      </c>
      <c r="G5" s="21" t="n">
        <v>1223</v>
      </c>
      <c r="H5" s="21" t="n">
        <v>1253</v>
      </c>
      <c r="I5" s="51" t="n">
        <f aca="false">IF(H5="","",G5-H5)</f>
        <v>-30</v>
      </c>
      <c r="J5" s="39" t="n">
        <f aca="false">IF(OR(D5="",D5+G5=0),"",D5/(D5+G5))</f>
        <v>0.289779326364692</v>
      </c>
      <c r="K5" s="39" t="n">
        <f aca="false">IF(E5="","",E5/(E5+H5))</f>
        <v>0.259018332347723</v>
      </c>
      <c r="L5" s="52" t="n">
        <f aca="false">IF(OR(K5="",J5=""),"",(J5-K5)*100)</f>
        <v>3.0760994016969</v>
      </c>
      <c r="M5" s="38"/>
    </row>
    <row r="6" customFormat="false" ht="15" hidden="false" customHeight="false" outlineLevel="0" collapsed="false">
      <c r="A6" s="38" t="s">
        <v>87</v>
      </c>
      <c r="B6" s="38" t="s">
        <v>95</v>
      </c>
      <c r="C6" s="38" t="s">
        <v>89</v>
      </c>
      <c r="D6" s="21" t="n">
        <v>49</v>
      </c>
      <c r="E6" s="21" t="n">
        <v>38</v>
      </c>
      <c r="F6" s="51" t="n">
        <f aca="false">IF(E6="","",D6-E6)</f>
        <v>11</v>
      </c>
      <c r="G6" s="21" t="n">
        <v>82</v>
      </c>
      <c r="H6" s="21" t="n">
        <v>78</v>
      </c>
      <c r="I6" s="51" t="n">
        <f aca="false">IF(H6="","",G6-H6)</f>
        <v>4</v>
      </c>
      <c r="J6" s="39" t="n">
        <f aca="false">IF(OR(D6="",D6+G6=0),"",D6/(D6+G6))</f>
        <v>0.374045801526718</v>
      </c>
      <c r="K6" s="39" t="n">
        <f aca="false">IF(E6="","",E6/(E6+H6))</f>
        <v>0.327586206896552</v>
      </c>
      <c r="L6" s="52" t="n">
        <f aca="false">IF(OR(K6="",J6=""),"",(J6-K6)*100)</f>
        <v>4.64595946301659</v>
      </c>
      <c r="M6" s="38"/>
    </row>
    <row r="7" customFormat="false" ht="15" hidden="false" customHeight="false" outlineLevel="0" collapsed="false">
      <c r="A7" s="38" t="s">
        <v>87</v>
      </c>
      <c r="B7" s="38" t="s">
        <v>96</v>
      </c>
      <c r="C7" s="38" t="s">
        <v>89</v>
      </c>
      <c r="D7" s="21" t="n">
        <v>785</v>
      </c>
      <c r="E7" s="21" t="n">
        <v>708</v>
      </c>
      <c r="F7" s="51" t="n">
        <f aca="false">IF(E7="","",D7-E7)</f>
        <v>77</v>
      </c>
      <c r="G7" s="21" t="n">
        <v>1901</v>
      </c>
      <c r="H7" s="21" t="n">
        <v>1846</v>
      </c>
      <c r="I7" s="51" t="n">
        <f aca="false">IF(H7="","",G7-H7)</f>
        <v>55</v>
      </c>
      <c r="J7" s="39" t="n">
        <f aca="false">IF(OR(D7="",D7+G7=0),"",D7/(D7+G7))</f>
        <v>0.292256142963515</v>
      </c>
      <c r="K7" s="39" t="n">
        <f aca="false">IF(E7="","",E7/(E7+H7))</f>
        <v>0.277212216131558</v>
      </c>
      <c r="L7" s="52" t="n">
        <f aca="false">IF(OR(K7="",J7=""),"",(J7-K7)*100)</f>
        <v>1.50439268319562</v>
      </c>
      <c r="M7" s="38"/>
    </row>
    <row r="8" customFormat="false" ht="15" hidden="false" customHeight="false" outlineLevel="0" collapsed="false">
      <c r="A8" s="38" t="s">
        <v>87</v>
      </c>
      <c r="B8" s="38" t="s">
        <v>98</v>
      </c>
      <c r="C8" s="38" t="s">
        <v>89</v>
      </c>
      <c r="D8" s="21" t="n">
        <v>1313</v>
      </c>
      <c r="E8" s="21" t="n">
        <v>1104</v>
      </c>
      <c r="F8" s="51" t="n">
        <f aca="false">IF(E8="","",D8-E8)</f>
        <v>209</v>
      </c>
      <c r="G8" s="21" t="n">
        <v>1491</v>
      </c>
      <c r="H8" s="21" t="n">
        <v>1481</v>
      </c>
      <c r="I8" s="51" t="n">
        <f aca="false">IF(H8="","",G8-H8)</f>
        <v>10</v>
      </c>
      <c r="J8" s="39" t="n">
        <f aca="false">IF(OR(D8="",D8+G8=0),"",D8/(D8+G8))</f>
        <v>0.468259629101284</v>
      </c>
      <c r="K8" s="39" t="n">
        <f aca="false">IF(E8="","",E8/(E8+H8))</f>
        <v>0.427079303675048</v>
      </c>
      <c r="L8" s="52" t="n">
        <f aca="false">IF(OR(K8="",J8=""),"",(J8-K8)*100)</f>
        <v>4.11803254262355</v>
      </c>
      <c r="M8" s="38"/>
    </row>
    <row r="9" customFormat="false" ht="15" hidden="false" customHeight="false" outlineLevel="0" collapsed="false">
      <c r="A9" s="38" t="s">
        <v>87</v>
      </c>
      <c r="B9" s="38" t="s">
        <v>99</v>
      </c>
      <c r="C9" s="38" t="s">
        <v>89</v>
      </c>
      <c r="D9" s="21" t="n">
        <v>388</v>
      </c>
      <c r="E9" s="21" t="n">
        <v>351</v>
      </c>
      <c r="F9" s="51" t="n">
        <f aca="false">IF(E9="","",D9-E9)</f>
        <v>37</v>
      </c>
      <c r="G9" s="21" t="n">
        <v>794</v>
      </c>
      <c r="H9" s="21" t="n">
        <v>697</v>
      </c>
      <c r="I9" s="51" t="n">
        <f aca="false">IF(H9="","",G9-H9)</f>
        <v>97</v>
      </c>
      <c r="J9" s="39" t="n">
        <f aca="false">IF(OR(D9="",D9+G9=0),"",D9/(D9+G9))</f>
        <v>0.328257191201354</v>
      </c>
      <c r="K9" s="39" t="n">
        <f aca="false">IF(E9="","",E9/(E9+H9))</f>
        <v>0.334923664122137</v>
      </c>
      <c r="L9" s="52" t="n">
        <f aca="false">IF(OR(K9="",J9=""),"",(J9-K9)*100)</f>
        <v>-0.666647292078376</v>
      </c>
      <c r="M9" s="38"/>
    </row>
    <row r="10" customFormat="false" ht="15" hidden="false" customHeight="false" outlineLevel="0" collapsed="false">
      <c r="A10" s="38" t="s">
        <v>87</v>
      </c>
      <c r="B10" s="38" t="s">
        <v>100</v>
      </c>
      <c r="C10" s="38" t="s">
        <v>89</v>
      </c>
      <c r="D10" s="21" t="n">
        <v>673</v>
      </c>
      <c r="E10" s="21" t="n">
        <v>575</v>
      </c>
      <c r="F10" s="51" t="n">
        <f aca="false">IF(E10="","",D10-E10)</f>
        <v>98</v>
      </c>
      <c r="G10" s="21" t="n">
        <v>867</v>
      </c>
      <c r="H10" s="21" t="n">
        <v>880</v>
      </c>
      <c r="I10" s="51" t="n">
        <f aca="false">IF(H10="","",G10-H10)</f>
        <v>-13</v>
      </c>
      <c r="J10" s="39" t="n">
        <f aca="false">IF(OR(D10="",D10+G10=0),"",D10/(D10+G10))</f>
        <v>0.437012987012987</v>
      </c>
      <c r="K10" s="39" t="n">
        <f aca="false">IF(E10="","",E10/(E10+H10))</f>
        <v>0.395189003436426</v>
      </c>
      <c r="L10" s="52" t="n">
        <f aca="false">IF(OR(K10="",J10=""),"",(J10-K10)*100)</f>
        <v>4.18239835765609</v>
      </c>
      <c r="M10" s="38"/>
    </row>
    <row r="11" customFormat="false" ht="15" hidden="false" customHeight="false" outlineLevel="0" collapsed="false">
      <c r="A11" s="38" t="s">
        <v>87</v>
      </c>
      <c r="B11" s="38" t="s">
        <v>101</v>
      </c>
      <c r="C11" s="38" t="s">
        <v>89</v>
      </c>
      <c r="D11" s="21" t="n">
        <v>48</v>
      </c>
      <c r="E11" s="21" t="n">
        <v>38</v>
      </c>
      <c r="F11" s="51" t="n">
        <f aca="false">IF(E11="","",D11-E11)</f>
        <v>10</v>
      </c>
      <c r="G11" s="21" t="n">
        <v>104</v>
      </c>
      <c r="H11" s="21" t="n">
        <v>107</v>
      </c>
      <c r="I11" s="51" t="n">
        <f aca="false">IF(H11="","",G11-H11)</f>
        <v>-3</v>
      </c>
      <c r="J11" s="39" t="n">
        <f aca="false">IF(OR(D11="",D11+G11=0),"",D11/(D11+G11))</f>
        <v>0.315789473684211</v>
      </c>
      <c r="K11" s="39" t="n">
        <f aca="false">IF(E11="","",E11/(E11+H11))</f>
        <v>0.262068965517241</v>
      </c>
      <c r="L11" s="52" t="n">
        <f aca="false">IF(OR(K11="",J11=""),"",(J11-K11)*100)</f>
        <v>5.37205081669691</v>
      </c>
      <c r="M11" s="38"/>
    </row>
    <row r="12" customFormat="false" ht="15" hidden="false" customHeight="false" outlineLevel="0" collapsed="false">
      <c r="A12" s="38" t="s">
        <v>87</v>
      </c>
      <c r="B12" s="38" t="s">
        <v>102</v>
      </c>
      <c r="C12" s="38" t="s">
        <v>89</v>
      </c>
      <c r="D12" s="21" t="n">
        <v>68</v>
      </c>
      <c r="E12" s="21" t="n">
        <v>58</v>
      </c>
      <c r="F12" s="51" t="n">
        <f aca="false">IF(E12="","",D12-E12)</f>
        <v>10</v>
      </c>
      <c r="G12" s="21" t="n">
        <v>240</v>
      </c>
      <c r="H12" s="21" t="n">
        <v>216</v>
      </c>
      <c r="I12" s="51" t="n">
        <f aca="false">IF(H12="","",G12-H12)</f>
        <v>24</v>
      </c>
      <c r="J12" s="39" t="n">
        <f aca="false">IF(OR(D12="",D12+G12=0),"",D12/(D12+G12))</f>
        <v>0.220779220779221</v>
      </c>
      <c r="K12" s="39" t="n">
        <f aca="false">IF(E12="","",E12/(E12+H12))</f>
        <v>0.211678832116788</v>
      </c>
      <c r="L12" s="52" t="n">
        <f aca="false">IF(OR(K12="",J12=""),"",(J12-K12)*100)</f>
        <v>0.910038866243246</v>
      </c>
      <c r="M12" s="38"/>
    </row>
    <row r="13" customFormat="false" ht="15" hidden="false" customHeight="false" outlineLevel="0" collapsed="false">
      <c r="A13" s="38" t="s">
        <v>87</v>
      </c>
      <c r="B13" s="38" t="s">
        <v>103</v>
      </c>
      <c r="C13" s="38" t="s">
        <v>89</v>
      </c>
      <c r="D13" s="21" t="n">
        <v>1018</v>
      </c>
      <c r="E13" s="21" t="n">
        <v>944</v>
      </c>
      <c r="F13" s="51" t="n">
        <f aca="false">IF(E13="","",D13-E13)</f>
        <v>74</v>
      </c>
      <c r="G13" s="21" t="n">
        <v>1408</v>
      </c>
      <c r="H13" s="21" t="n">
        <v>1486</v>
      </c>
      <c r="I13" s="51" t="n">
        <f aca="false">IF(H13="","",G13-H13)</f>
        <v>-78</v>
      </c>
      <c r="J13" s="39" t="n">
        <f aca="false">IF(OR(D13="",D13+G13=0),"",D13/(D13+G13))</f>
        <v>0.41962077493817</v>
      </c>
      <c r="K13" s="39" t="n">
        <f aca="false">IF(E13="","",E13/(E13+H13))</f>
        <v>0.388477366255144</v>
      </c>
      <c r="L13" s="52" t="n">
        <f aca="false">IF(OR(K13="",J13=""),"",(J13-K13)*100)</f>
        <v>3.11434086830258</v>
      </c>
      <c r="M13" s="38"/>
    </row>
    <row r="14" customFormat="false" ht="15" hidden="false" customHeight="false" outlineLevel="0" collapsed="false">
      <c r="A14" s="38" t="s">
        <v>87</v>
      </c>
      <c r="B14" s="38" t="s">
        <v>104</v>
      </c>
      <c r="C14" s="38" t="s">
        <v>89</v>
      </c>
      <c r="D14" s="21" t="n">
        <v>576</v>
      </c>
      <c r="E14" s="21" t="n">
        <v>515</v>
      </c>
      <c r="F14" s="51" t="n">
        <f aca="false">IF(E14="","",D14-E14)</f>
        <v>61</v>
      </c>
      <c r="G14" s="21" t="n">
        <v>1237</v>
      </c>
      <c r="H14" s="21" t="n">
        <v>1293</v>
      </c>
      <c r="I14" s="51" t="n">
        <f aca="false">IF(H14="","",G14-H14)</f>
        <v>-56</v>
      </c>
      <c r="J14" s="39" t="n">
        <f aca="false">IF(OR(D14="",D14+G14=0),"",D14/(D14+G14))</f>
        <v>0.317705460562603</v>
      </c>
      <c r="K14" s="39" t="n">
        <f aca="false">IF(E14="","",E14/(E14+H14))</f>
        <v>0.284845132743363</v>
      </c>
      <c r="L14" s="52" t="n">
        <f aca="false">IF(OR(K14="",J14=""),"",(J14-K14)*100)</f>
        <v>3.28603278192406</v>
      </c>
      <c r="M14" s="38"/>
    </row>
    <row r="15" customFormat="false" ht="15" hidden="false" customHeight="false" outlineLevel="0" collapsed="false">
      <c r="A15" s="38" t="s">
        <v>87</v>
      </c>
      <c r="B15" s="38" t="s">
        <v>105</v>
      </c>
      <c r="C15" s="38" t="s">
        <v>89</v>
      </c>
      <c r="D15" s="21" t="n">
        <v>697</v>
      </c>
      <c r="E15" s="21" t="n">
        <v>694</v>
      </c>
      <c r="F15" s="51" t="n">
        <f aca="false">IF(E15="","",D15-E15)</f>
        <v>3</v>
      </c>
      <c r="G15" s="21" t="n">
        <v>1634</v>
      </c>
      <c r="H15" s="21" t="n">
        <v>1695</v>
      </c>
      <c r="I15" s="51" t="n">
        <f aca="false">IF(H15="","",G15-H15)</f>
        <v>-61</v>
      </c>
      <c r="J15" s="39" t="n">
        <f aca="false">IF(OR(D15="",D15+G15=0),"",D15/(D15+G15))</f>
        <v>0.299013299013299</v>
      </c>
      <c r="K15" s="39" t="n">
        <f aca="false">IF(E15="","",E15/(E15+H15))</f>
        <v>0.290498116366681</v>
      </c>
      <c r="L15" s="52" t="n">
        <f aca="false">IF(OR(K15="",J15=""),"",(J15-K15)*100)</f>
        <v>0.851518264661844</v>
      </c>
      <c r="M15" s="38"/>
    </row>
    <row r="16" customFormat="false" ht="15" hidden="false" customHeight="false" outlineLevel="0" collapsed="false">
      <c r="A16" s="38" t="s">
        <v>87</v>
      </c>
      <c r="B16" s="38" t="s">
        <v>106</v>
      </c>
      <c r="C16" s="38" t="s">
        <v>89</v>
      </c>
      <c r="D16" s="21" t="n">
        <v>678</v>
      </c>
      <c r="E16" s="21" t="n">
        <v>601</v>
      </c>
      <c r="F16" s="51" t="n">
        <f aca="false">IF(E16="","",D16-E16)</f>
        <v>77</v>
      </c>
      <c r="G16" s="21" t="n">
        <v>979</v>
      </c>
      <c r="H16" s="21" t="n">
        <v>955</v>
      </c>
      <c r="I16" s="51" t="n">
        <f aca="false">IF(H16="","",G16-H16)</f>
        <v>24</v>
      </c>
      <c r="J16" s="39" t="n">
        <f aca="false">IF(OR(D16="",D16+G16=0),"",D16/(D16+G16))</f>
        <v>0.409173204586602</v>
      </c>
      <c r="K16" s="39" t="n">
        <f aca="false">IF(E16="","",E16/(E16+H16))</f>
        <v>0.386246786632391</v>
      </c>
      <c r="L16" s="52" t="n">
        <f aca="false">IF(OR(K16="",J16=""),"",(J16-K16)*100)</f>
        <v>2.29264179542115</v>
      </c>
      <c r="M16" s="38"/>
    </row>
    <row r="17" customFormat="false" ht="15" hidden="false" customHeight="false" outlineLevel="0" collapsed="false">
      <c r="A17" s="38" t="s">
        <v>87</v>
      </c>
      <c r="B17" s="38" t="s">
        <v>107</v>
      </c>
      <c r="C17" s="38" t="s">
        <v>89</v>
      </c>
      <c r="D17" s="21" t="n">
        <v>149</v>
      </c>
      <c r="E17" s="21" t="n">
        <v>134</v>
      </c>
      <c r="F17" s="51" t="n">
        <f aca="false">IF(E17="","",D17-E17)</f>
        <v>15</v>
      </c>
      <c r="G17" s="21" t="n">
        <v>568</v>
      </c>
      <c r="H17" s="21" t="n">
        <v>505</v>
      </c>
      <c r="I17" s="51" t="n">
        <f aca="false">IF(H17="","",G17-H17)</f>
        <v>63</v>
      </c>
      <c r="J17" s="39" t="n">
        <f aca="false">IF(OR(D17="",D17+G17=0),"",D17/(D17+G17))</f>
        <v>0.207810320781032</v>
      </c>
      <c r="K17" s="39" t="n">
        <f aca="false">IF(E17="","",E17/(E17+H17))</f>
        <v>0.209702660406886</v>
      </c>
      <c r="L17" s="52" t="n">
        <f aca="false">IF(OR(K17="",J17=""),"",(J17-K17)*100)</f>
        <v>-0.18923396258537</v>
      </c>
      <c r="M17" s="38"/>
    </row>
    <row r="18" customFormat="false" ht="15" hidden="false" customHeight="false" outlineLevel="0" collapsed="false">
      <c r="A18" s="38" t="s">
        <v>87</v>
      </c>
      <c r="B18" s="38" t="s">
        <v>108</v>
      </c>
      <c r="C18" s="38" t="s">
        <v>89</v>
      </c>
      <c r="D18" s="21" t="n">
        <v>1071</v>
      </c>
      <c r="E18" s="21" t="n">
        <v>981</v>
      </c>
      <c r="F18" s="51" t="n">
        <f aca="false">IF(E18="","",D18-E18)</f>
        <v>90</v>
      </c>
      <c r="G18" s="21" t="n">
        <v>1649</v>
      </c>
      <c r="H18" s="21" t="n">
        <v>1740</v>
      </c>
      <c r="I18" s="51" t="n">
        <f aca="false">IF(H18="","",G18-H18)</f>
        <v>-91</v>
      </c>
      <c r="J18" s="39" t="n">
        <f aca="false">IF(OR(D18="",D18+G18=0),"",D18/(D18+G18))</f>
        <v>0.39375</v>
      </c>
      <c r="K18" s="39" t="n">
        <f aca="false">IF(E18="","",E18/(E18+H18))</f>
        <v>0.360529217199559</v>
      </c>
      <c r="L18" s="52" t="n">
        <f aca="false">IF(OR(K18="",J18=""),"",(J18-K18)*100)</f>
        <v>3.3220782800441</v>
      </c>
      <c r="M18" s="38"/>
    </row>
    <row r="19" customFormat="false" ht="15" hidden="false" customHeight="false" outlineLevel="0" collapsed="false">
      <c r="A19" s="38" t="s">
        <v>87</v>
      </c>
      <c r="B19" s="38" t="s">
        <v>109</v>
      </c>
      <c r="C19" s="38" t="s">
        <v>89</v>
      </c>
      <c r="D19" s="21" t="n">
        <v>69</v>
      </c>
      <c r="E19" s="21" t="n">
        <v>74</v>
      </c>
      <c r="F19" s="51" t="n">
        <f aca="false">IF(E19="","",D19-E19)</f>
        <v>-5</v>
      </c>
      <c r="G19" s="21" t="n">
        <v>167</v>
      </c>
      <c r="H19" s="21" t="n">
        <v>162</v>
      </c>
      <c r="I19" s="51" t="n">
        <f aca="false">IF(H19="","",G19-H19)</f>
        <v>5</v>
      </c>
      <c r="J19" s="39" t="n">
        <f aca="false">IF(OR(D19="",D19+G19=0),"",D19/(D19+G19))</f>
        <v>0.292372881355932</v>
      </c>
      <c r="K19" s="39" t="n">
        <f aca="false">IF(E19="","",E19/(E19+H19))</f>
        <v>0.313559322033898</v>
      </c>
      <c r="L19" s="52" t="n">
        <f aca="false">IF(OR(K19="",J19=""),"",(J19-K19)*100)</f>
        <v>-2.11864406779661</v>
      </c>
      <c r="M19" s="38"/>
    </row>
    <row r="20" customFormat="false" ht="15" hidden="false" customHeight="false" outlineLevel="0" collapsed="false">
      <c r="A20" s="38" t="s">
        <v>87</v>
      </c>
      <c r="B20" s="38" t="s">
        <v>110</v>
      </c>
      <c r="C20" s="38" t="s">
        <v>89</v>
      </c>
      <c r="D20" s="21" t="n">
        <v>2136</v>
      </c>
      <c r="E20" s="21" t="n">
        <v>2047</v>
      </c>
      <c r="F20" s="51" t="n">
        <f aca="false">IF(E20="","",D20-E20)</f>
        <v>89</v>
      </c>
      <c r="G20" s="21" t="n">
        <v>3824</v>
      </c>
      <c r="H20" s="21" t="n">
        <v>3702</v>
      </c>
      <c r="I20" s="51" t="n">
        <f aca="false">IF(H20="","",G20-H20)</f>
        <v>122</v>
      </c>
      <c r="J20" s="39" t="n">
        <f aca="false">IF(OR(D20="",D20+G20=0),"",D20/(D20+G20))</f>
        <v>0.358389261744966</v>
      </c>
      <c r="K20" s="39" t="n">
        <f aca="false">IF(E20="","",E20/(E20+H20))</f>
        <v>0.356061923812837</v>
      </c>
      <c r="L20" s="52" t="n">
        <f aca="false">IF(OR(K20="",J20=""),"",(J20-K20)*100)</f>
        <v>0.232733793212941</v>
      </c>
      <c r="M20" s="38"/>
    </row>
    <row r="21" customFormat="false" ht="15" hidden="false" customHeight="false" outlineLevel="0" collapsed="false">
      <c r="A21" s="38" t="s">
        <v>87</v>
      </c>
      <c r="B21" s="38" t="s">
        <v>112</v>
      </c>
      <c r="C21" s="38" t="s">
        <v>89</v>
      </c>
      <c r="D21" s="21" t="n">
        <v>776</v>
      </c>
      <c r="E21" s="21" t="n">
        <v>660</v>
      </c>
      <c r="F21" s="51" t="n">
        <f aca="false">IF(E21="","",D21-E21)</f>
        <v>116</v>
      </c>
      <c r="G21" s="21" t="n">
        <v>895</v>
      </c>
      <c r="H21" s="21" t="n">
        <v>913</v>
      </c>
      <c r="I21" s="51" t="n">
        <f aca="false">IF(H21="","",G21-H21)</f>
        <v>-18</v>
      </c>
      <c r="J21" s="39" t="n">
        <f aca="false">IF(OR(D21="",D21+G21=0),"",D21/(D21+G21))</f>
        <v>0.464392579293836</v>
      </c>
      <c r="K21" s="39" t="n">
        <f aca="false">IF(E21="","",E21/(E21+H21))</f>
        <v>0.41958041958042</v>
      </c>
      <c r="L21" s="52" t="n">
        <f aca="false">IF(OR(K21="",J21=""),"",(J21-K21)*100)</f>
        <v>4.48121597134165</v>
      </c>
      <c r="M21" s="38"/>
    </row>
    <row r="22" customFormat="false" ht="15" hidden="false" customHeight="false" outlineLevel="0" collapsed="false">
      <c r="A22" s="38" t="s">
        <v>87</v>
      </c>
      <c r="B22" s="38" t="s">
        <v>113</v>
      </c>
      <c r="C22" s="38" t="s">
        <v>89</v>
      </c>
      <c r="D22" s="21" t="n">
        <v>841</v>
      </c>
      <c r="E22" s="21" t="n">
        <v>802</v>
      </c>
      <c r="F22" s="51" t="n">
        <f aca="false">IF(E22="","",D22-E22)</f>
        <v>39</v>
      </c>
      <c r="G22" s="21" t="n">
        <v>2036</v>
      </c>
      <c r="H22" s="21" t="n">
        <v>1955</v>
      </c>
      <c r="I22" s="51" t="n">
        <f aca="false">IF(H22="","",G22-H22)</f>
        <v>81</v>
      </c>
      <c r="J22" s="39" t="n">
        <f aca="false">IF(OR(D22="",D22+G22=0),"",D22/(D22+G22))</f>
        <v>0.292318387208898</v>
      </c>
      <c r="K22" s="39" t="n">
        <f aca="false">IF(E22="","",E22/(E22+H22))</f>
        <v>0.290895901342038</v>
      </c>
      <c r="L22" s="52" t="n">
        <f aca="false">IF(OR(K22="",J22=""),"",(J22-K22)*100)</f>
        <v>0.142248586685967</v>
      </c>
      <c r="M22" s="38"/>
    </row>
    <row r="23" customFormat="false" ht="15" hidden="false" customHeight="false" outlineLevel="0" collapsed="false">
      <c r="A23" s="38" t="s">
        <v>87</v>
      </c>
      <c r="B23" s="38" t="s">
        <v>114</v>
      </c>
      <c r="C23" s="38" t="s">
        <v>89</v>
      </c>
      <c r="D23" s="21" t="n">
        <v>392</v>
      </c>
      <c r="E23" s="21" t="n">
        <v>351</v>
      </c>
      <c r="F23" s="51" t="n">
        <f aca="false">IF(E23="","",D23-E23)</f>
        <v>41</v>
      </c>
      <c r="G23" s="21" t="n">
        <v>917</v>
      </c>
      <c r="H23" s="21" t="n">
        <v>849</v>
      </c>
      <c r="I23" s="51" t="n">
        <f aca="false">IF(H23="","",G23-H23)</f>
        <v>68</v>
      </c>
      <c r="J23" s="39" t="n">
        <f aca="false">IF(OR(D23="",D23+G23=0),"",D23/(D23+G23))</f>
        <v>0.299465240641711</v>
      </c>
      <c r="K23" s="39" t="n">
        <f aca="false">IF(E23="","",E23/(E23+H23))</f>
        <v>0.2925</v>
      </c>
      <c r="L23" s="52" t="n">
        <f aca="false">IF(OR(K23="",J23=""),"",(J23-K23)*100)</f>
        <v>0.696524064171122</v>
      </c>
      <c r="M23" s="38"/>
    </row>
    <row r="24" customFormat="false" ht="15" hidden="false" customHeight="false" outlineLevel="0" collapsed="false">
      <c r="A24" s="38" t="s">
        <v>87</v>
      </c>
      <c r="B24" s="38" t="s">
        <v>115</v>
      </c>
      <c r="C24" s="38" t="s">
        <v>89</v>
      </c>
      <c r="D24" s="21" t="n">
        <v>71</v>
      </c>
      <c r="E24" s="21" t="n">
        <v>58</v>
      </c>
      <c r="F24" s="51" t="n">
        <f aca="false">IF(E24="","",D24-E24)</f>
        <v>13</v>
      </c>
      <c r="G24" s="21" t="n">
        <v>91</v>
      </c>
      <c r="H24" s="21" t="n">
        <v>105</v>
      </c>
      <c r="I24" s="51" t="n">
        <f aca="false">IF(H24="","",G24-H24)</f>
        <v>-14</v>
      </c>
      <c r="J24" s="39" t="n">
        <f aca="false">IF(OR(D24="",D24+G24=0),"",D24/(D24+G24))</f>
        <v>0.438271604938272</v>
      </c>
      <c r="K24" s="39" t="n">
        <f aca="false">IF(E24="","",E24/(E24+H24))</f>
        <v>0.355828220858896</v>
      </c>
      <c r="L24" s="52" t="n">
        <f aca="false">IF(OR(K24="",J24=""),"",(J24-K24)*100)</f>
        <v>8.24433840793759</v>
      </c>
      <c r="M24" s="38"/>
    </row>
    <row r="25" customFormat="false" ht="15" hidden="false" customHeight="false" outlineLevel="0" collapsed="false">
      <c r="A25" s="38" t="s">
        <v>116</v>
      </c>
      <c r="B25" s="38" t="s">
        <v>117</v>
      </c>
      <c r="C25" s="38" t="s">
        <v>89</v>
      </c>
      <c r="D25" s="21" t="n">
        <v>718</v>
      </c>
      <c r="E25" s="21" t="n">
        <v>601</v>
      </c>
      <c r="F25" s="51" t="n">
        <f aca="false">IF(E25="","",D25-E25)</f>
        <v>117</v>
      </c>
      <c r="G25" s="21" t="n">
        <v>752</v>
      </c>
      <c r="H25" s="21" t="n">
        <v>766</v>
      </c>
      <c r="I25" s="51" t="n">
        <f aca="false">IF(H25="","",G25-H25)</f>
        <v>-14</v>
      </c>
      <c r="J25" s="39" t="n">
        <f aca="false">IF(OR(D25="",D25+G25=0),"",D25/(D25+G25))</f>
        <v>0.48843537414966</v>
      </c>
      <c r="K25" s="39" t="n">
        <f aca="false">IF(E25="","",E25/(E25+H25))</f>
        <v>0.439648866130212</v>
      </c>
      <c r="L25" s="52" t="n">
        <f aca="false">IF(OR(K25="",J25=""),"",(J25-K25)*100)</f>
        <v>4.87865080194477</v>
      </c>
      <c r="M25" s="38"/>
    </row>
    <row r="26" customFormat="false" ht="15" hidden="false" customHeight="false" outlineLevel="0" collapsed="false">
      <c r="A26" s="38" t="s">
        <v>116</v>
      </c>
      <c r="B26" s="38" t="s">
        <v>118</v>
      </c>
      <c r="C26" s="38" t="s">
        <v>89</v>
      </c>
      <c r="D26" s="21" t="n">
        <v>28576</v>
      </c>
      <c r="E26" s="21" t="n">
        <v>26568</v>
      </c>
      <c r="F26" s="51" t="n">
        <f aca="false">IF(E26="","",D26-E26)</f>
        <v>2008</v>
      </c>
      <c r="G26" s="21" t="n">
        <v>11891</v>
      </c>
      <c r="H26" s="21" t="n">
        <v>14583</v>
      </c>
      <c r="I26" s="51" t="n">
        <f aca="false">IF(H26="","",G26-H26)</f>
        <v>-2692</v>
      </c>
      <c r="J26" s="39" t="n">
        <f aca="false">IF(OR(D26="",D26+G26=0),"",D26/(D26+G26))</f>
        <v>0.706155632984901</v>
      </c>
      <c r="K26" s="39" t="n">
        <f aca="false">IF(E26="","",E26/(E26+H26))</f>
        <v>0.645622220602172</v>
      </c>
      <c r="L26" s="52" t="n">
        <f aca="false">IF(OR(K26="",J26=""),"",(J26-K26)*100)</f>
        <v>6.05334123827288</v>
      </c>
      <c r="M26" s="38"/>
    </row>
    <row r="27" customFormat="false" ht="15" hidden="false" customHeight="false" outlineLevel="0" collapsed="false">
      <c r="A27" s="38" t="s">
        <v>116</v>
      </c>
      <c r="B27" s="38" t="s">
        <v>119</v>
      </c>
      <c r="C27" s="38" t="s">
        <v>89</v>
      </c>
      <c r="D27" s="21" t="n">
        <v>7042</v>
      </c>
      <c r="E27" s="21" t="n">
        <v>6612</v>
      </c>
      <c r="F27" s="51" t="n">
        <f aca="false">IF(E27="","",D27-E27)</f>
        <v>430</v>
      </c>
      <c r="G27" s="21" t="n">
        <v>3335</v>
      </c>
      <c r="H27" s="21" t="n">
        <v>3834</v>
      </c>
      <c r="I27" s="51" t="n">
        <f aca="false">IF(H27="","",G27-H27)</f>
        <v>-499</v>
      </c>
      <c r="J27" s="39" t="n">
        <f aca="false">IF(OR(D27="",D27+G27=0),"",D27/(D27+G27))</f>
        <v>0.678616170376795</v>
      </c>
      <c r="K27" s="39" t="n">
        <f aca="false">IF(E27="","",E27/(E27+H27))</f>
        <v>0.632969557725445</v>
      </c>
      <c r="L27" s="52" t="n">
        <f aca="false">IF(OR(K27="",J27=""),"",(J27-K27)*100)</f>
        <v>4.56466126513496</v>
      </c>
      <c r="M27" s="38"/>
    </row>
    <row r="28" customFormat="false" ht="15" hidden="false" customHeight="false" outlineLevel="0" collapsed="false">
      <c r="A28" s="38" t="s">
        <v>116</v>
      </c>
      <c r="B28" s="38" t="s">
        <v>120</v>
      </c>
      <c r="C28" s="38" t="s">
        <v>89</v>
      </c>
      <c r="D28" s="21" t="n">
        <v>1731</v>
      </c>
      <c r="E28" s="21" t="n">
        <v>1560</v>
      </c>
      <c r="F28" s="51" t="n">
        <f aca="false">IF(E28="","",D28-E28)</f>
        <v>171</v>
      </c>
      <c r="G28" s="21" t="n">
        <v>1474</v>
      </c>
      <c r="H28" s="21" t="n">
        <v>1491</v>
      </c>
      <c r="I28" s="51" t="n">
        <f aca="false">IF(H28="","",G28-H28)</f>
        <v>-17</v>
      </c>
      <c r="J28" s="39" t="n">
        <f aca="false">IF(OR(D28="",D28+G28=0),"",D28/(D28+G28))</f>
        <v>0.54009360374415</v>
      </c>
      <c r="K28" s="39" t="n">
        <f aca="false">IF(E28="","",E28/(E28+H28))</f>
        <v>0.511307767944936</v>
      </c>
      <c r="L28" s="52" t="n">
        <f aca="false">IF(OR(K28="",J28=""),"",(J28-K28)*100)</f>
        <v>2.87858357992137</v>
      </c>
      <c r="M28" s="38"/>
    </row>
    <row r="29" customFormat="false" ht="15" hidden="false" customHeight="false" outlineLevel="0" collapsed="false">
      <c r="A29" s="38" t="s">
        <v>116</v>
      </c>
      <c r="B29" s="38" t="s">
        <v>121</v>
      </c>
      <c r="C29" s="38" t="s">
        <v>89</v>
      </c>
      <c r="D29" s="21" t="n">
        <v>800</v>
      </c>
      <c r="E29" s="21" t="n">
        <v>735</v>
      </c>
      <c r="F29" s="51" t="n">
        <f aca="false">IF(E29="","",D29-E29)</f>
        <v>65</v>
      </c>
      <c r="G29" s="21" t="n">
        <v>819</v>
      </c>
      <c r="H29" s="21" t="n">
        <v>804</v>
      </c>
      <c r="I29" s="51" t="n">
        <f aca="false">IF(H29="","",G29-H29)</f>
        <v>15</v>
      </c>
      <c r="J29" s="39" t="n">
        <f aca="false">IF(OR(D29="",D29+G29=0),"",D29/(D29+G29))</f>
        <v>0.494132180358246</v>
      </c>
      <c r="K29" s="39" t="n">
        <f aca="false">IF(E29="","",E29/(E29+H29))</f>
        <v>0.477582846003899</v>
      </c>
      <c r="L29" s="52" t="n">
        <f aca="false">IF(OR(K29="",J29=""),"",(J29-K29)*100)</f>
        <v>1.65493343543472</v>
      </c>
      <c r="M29" s="38"/>
    </row>
    <row r="30" customFormat="false" ht="15" hidden="false" customHeight="false" outlineLevel="0" collapsed="false">
      <c r="A30" s="38" t="s">
        <v>116</v>
      </c>
      <c r="B30" s="38" t="s">
        <v>122</v>
      </c>
      <c r="C30" s="38" t="s">
        <v>89</v>
      </c>
      <c r="D30" s="21" t="n">
        <v>974</v>
      </c>
      <c r="E30" s="21" t="n">
        <v>899</v>
      </c>
      <c r="F30" s="51" t="n">
        <f aca="false">IF(E30="","",D30-E30)</f>
        <v>75</v>
      </c>
      <c r="G30" s="21" t="n">
        <v>852</v>
      </c>
      <c r="H30" s="21" t="n">
        <v>898</v>
      </c>
      <c r="I30" s="51" t="n">
        <f aca="false">IF(H30="","",G30-H30)</f>
        <v>-46</v>
      </c>
      <c r="J30" s="39" t="n">
        <f aca="false">IF(OR(D30="",D30+G30=0),"",D30/(D30+G30))</f>
        <v>0.533406352683461</v>
      </c>
      <c r="K30" s="39" t="n">
        <f aca="false">IF(E30="","",E30/(E30+H30))</f>
        <v>0.500278241513634</v>
      </c>
      <c r="L30" s="52" t="n">
        <f aca="false">IF(OR(K30="",J30=""),"",(J30-K30)*100)</f>
        <v>3.31281111698273</v>
      </c>
      <c r="M30" s="38"/>
    </row>
    <row r="31" customFormat="false" ht="15" hidden="false" customHeight="false" outlineLevel="0" collapsed="false">
      <c r="A31" s="38" t="s">
        <v>116</v>
      </c>
      <c r="B31" s="38" t="s">
        <v>123</v>
      </c>
      <c r="C31" s="38" t="s">
        <v>89</v>
      </c>
      <c r="D31" s="21" t="n">
        <v>3724</v>
      </c>
      <c r="E31" s="21" t="n">
        <v>3663</v>
      </c>
      <c r="F31" s="51" t="n">
        <f aca="false">IF(E31="","",D31-E31)</f>
        <v>61</v>
      </c>
      <c r="G31" s="21" t="n">
        <v>3136</v>
      </c>
      <c r="H31" s="21" t="n">
        <v>3236</v>
      </c>
      <c r="I31" s="51" t="n">
        <f aca="false">IF(H31="","",G31-H31)</f>
        <v>-100</v>
      </c>
      <c r="J31" s="39" t="n">
        <f aca="false">IF(OR(D31="",D31+G31=0),"",D31/(D31+G31))</f>
        <v>0.542857142857143</v>
      </c>
      <c r="K31" s="39" t="n">
        <f aca="false">IF(E31="","",E31/(E31+H31))</f>
        <v>0.530946513987535</v>
      </c>
      <c r="L31" s="52" t="n">
        <f aca="false">IF(OR(K31="",J31=""),"",(J31-K31)*100)</f>
        <v>1.19106288696084</v>
      </c>
      <c r="M31" s="38"/>
    </row>
    <row r="32" customFormat="false" ht="15" hidden="false" customHeight="false" outlineLevel="0" collapsed="false">
      <c r="A32" s="38" t="s">
        <v>116</v>
      </c>
      <c r="B32" s="38" t="s">
        <v>124</v>
      </c>
      <c r="C32" s="38" t="s">
        <v>89</v>
      </c>
      <c r="D32" s="21" t="n">
        <v>1569</v>
      </c>
      <c r="E32" s="21" t="n">
        <v>1433</v>
      </c>
      <c r="F32" s="51" t="n">
        <f aca="false">IF(E32="","",D32-E32)</f>
        <v>136</v>
      </c>
      <c r="G32" s="21" t="n">
        <v>671</v>
      </c>
      <c r="H32" s="21" t="n">
        <v>793</v>
      </c>
      <c r="I32" s="51" t="n">
        <f aca="false">IF(H32="","",G32-H32)</f>
        <v>-122</v>
      </c>
      <c r="J32" s="39" t="n">
        <f aca="false">IF(OR(D32="",D32+G32=0),"",D32/(D32+G32))</f>
        <v>0.700446428571429</v>
      </c>
      <c r="K32" s="39" t="n">
        <f aca="false">IF(E32="","",E32/(E32+H32))</f>
        <v>0.643755615453729</v>
      </c>
      <c r="L32" s="52" t="n">
        <f aca="false">IF(OR(K32="",J32=""),"",(J32-K32)*100)</f>
        <v>5.66908131177</v>
      </c>
      <c r="M32" s="38"/>
    </row>
    <row r="33" customFormat="false" ht="15" hidden="false" customHeight="false" outlineLevel="0" collapsed="false">
      <c r="A33" s="38" t="s">
        <v>116</v>
      </c>
      <c r="B33" s="38" t="s">
        <v>125</v>
      </c>
      <c r="C33" s="38" t="s">
        <v>89</v>
      </c>
      <c r="D33" s="21" t="n">
        <v>392</v>
      </c>
      <c r="E33" s="21" t="n">
        <v>379</v>
      </c>
      <c r="F33" s="51" t="n">
        <f aca="false">IF(E33="","",D33-E33)</f>
        <v>13</v>
      </c>
      <c r="G33" s="21" t="n">
        <v>322</v>
      </c>
      <c r="H33" s="21" t="n">
        <v>330</v>
      </c>
      <c r="I33" s="51" t="n">
        <f aca="false">IF(H33="","",G33-H33)</f>
        <v>-8</v>
      </c>
      <c r="J33" s="39" t="n">
        <f aca="false">IF(OR(D33="",D33+G33=0),"",D33/(D33+G33))</f>
        <v>0.549019607843137</v>
      </c>
      <c r="K33" s="39" t="n">
        <f aca="false">IF(E33="","",E33/(E33+H33))</f>
        <v>0.534555712270804</v>
      </c>
      <c r="L33" s="52" t="n">
        <f aca="false">IF(OR(K33="",J33=""),"",(J33-K33)*100)</f>
        <v>1.44638955723334</v>
      </c>
      <c r="M33" s="38"/>
    </row>
    <row r="34" customFormat="false" ht="15" hidden="false" customHeight="false" outlineLevel="0" collapsed="false">
      <c r="A34" s="38" t="s">
        <v>116</v>
      </c>
      <c r="B34" s="38" t="s">
        <v>126</v>
      </c>
      <c r="C34" s="38" t="s">
        <v>89</v>
      </c>
      <c r="D34" s="21" t="n">
        <v>700</v>
      </c>
      <c r="E34" s="21" t="n">
        <v>654</v>
      </c>
      <c r="F34" s="51" t="n">
        <f aca="false">IF(E34="","",D34-E34)</f>
        <v>46</v>
      </c>
      <c r="G34" s="21" t="n">
        <v>1467</v>
      </c>
      <c r="H34" s="21" t="n">
        <v>1439</v>
      </c>
      <c r="I34" s="51" t="n">
        <f aca="false">IF(H34="","",G34-H34)</f>
        <v>28</v>
      </c>
      <c r="J34" s="39" t="n">
        <f aca="false">IF(OR(D34="",D34+G34=0),"",D34/(D34+G34))</f>
        <v>0.323027226580526</v>
      </c>
      <c r="K34" s="39" t="n">
        <f aca="false">IF(E34="","",E34/(E34+H34))</f>
        <v>0.312470138557095</v>
      </c>
      <c r="L34" s="52" t="n">
        <f aca="false">IF(OR(K34="",J34=""),"",(J34-K34)*100)</f>
        <v>1.0557088023431</v>
      </c>
      <c r="M34" s="38"/>
    </row>
    <row r="35" customFormat="false" ht="15" hidden="false" customHeight="false" outlineLevel="0" collapsed="false">
      <c r="A35" s="38" t="s">
        <v>116</v>
      </c>
      <c r="B35" s="38" t="s">
        <v>127</v>
      </c>
      <c r="C35" s="38" t="s">
        <v>89</v>
      </c>
      <c r="D35" s="21" t="n">
        <v>11220</v>
      </c>
      <c r="E35" s="21" t="n">
        <v>10021</v>
      </c>
      <c r="F35" s="51" t="n">
        <f aca="false">IF(E35="","",D35-E35)</f>
        <v>1199</v>
      </c>
      <c r="G35" s="21" t="n">
        <v>10510</v>
      </c>
      <c r="H35" s="21" t="n">
        <v>10199</v>
      </c>
      <c r="I35" s="51" t="n">
        <f aca="false">IF(H35="","",G35-H35)</f>
        <v>311</v>
      </c>
      <c r="J35" s="39" t="n">
        <f aca="false">IF(OR(D35="",D35+G35=0),"",D35/(D35+G35))</f>
        <v>0.516336861481822</v>
      </c>
      <c r="K35" s="39" t="n">
        <f aca="false">IF(E35="","",E35/(E35+H35))</f>
        <v>0.495598417408506</v>
      </c>
      <c r="L35" s="52" t="n">
        <f aca="false">IF(OR(K35="",J35=""),"",(J35-K35)*100)</f>
        <v>2.07384440733159</v>
      </c>
      <c r="M35" s="38"/>
    </row>
    <row r="36" customFormat="false" ht="15" hidden="false" customHeight="false" outlineLevel="0" collapsed="false">
      <c r="A36" s="38" t="s">
        <v>116</v>
      </c>
      <c r="B36" s="38" t="s">
        <v>128</v>
      </c>
      <c r="C36" s="38" t="s">
        <v>89</v>
      </c>
      <c r="D36" s="21" t="n">
        <v>1075</v>
      </c>
      <c r="E36" s="21" t="n">
        <v>985</v>
      </c>
      <c r="F36" s="51" t="n">
        <f aca="false">IF(E36="","",D36-E36)</f>
        <v>90</v>
      </c>
      <c r="G36" s="21" t="n">
        <v>1780</v>
      </c>
      <c r="H36" s="21" t="n">
        <v>1586</v>
      </c>
      <c r="I36" s="51" t="n">
        <f aca="false">IF(H36="","",G36-H36)</f>
        <v>194</v>
      </c>
      <c r="J36" s="39" t="n">
        <f aca="false">IF(OR(D36="",D36+G36=0),"",D36/(D36+G36))</f>
        <v>0.376532399299475</v>
      </c>
      <c r="K36" s="39" t="n">
        <f aca="false">IF(E36="","",E36/(E36+H36))</f>
        <v>0.383119408790354</v>
      </c>
      <c r="L36" s="52" t="n">
        <f aca="false">IF(OR(K36="",J36=""),"",(J36-K36)*100)</f>
        <v>-0.658700949087931</v>
      </c>
      <c r="M36" s="38"/>
    </row>
    <row r="37" customFormat="false" ht="15" hidden="false" customHeight="false" outlineLevel="0" collapsed="false">
      <c r="A37" s="38" t="s">
        <v>116</v>
      </c>
      <c r="B37" s="38" t="s">
        <v>129</v>
      </c>
      <c r="C37" s="38" t="s">
        <v>89</v>
      </c>
      <c r="D37" s="21" t="n">
        <v>600</v>
      </c>
      <c r="E37" s="21" t="n">
        <v>543</v>
      </c>
      <c r="F37" s="51" t="n">
        <f aca="false">IF(E37="","",D37-E37)</f>
        <v>57</v>
      </c>
      <c r="G37" s="21" t="n">
        <v>1068</v>
      </c>
      <c r="H37" s="21" t="n">
        <v>990</v>
      </c>
      <c r="I37" s="51" t="n">
        <f aca="false">IF(H37="","",G37-H37)</f>
        <v>78</v>
      </c>
      <c r="J37" s="39" t="n">
        <f aca="false">IF(OR(D37="",D37+G37=0),"",D37/(D37+G37))</f>
        <v>0.359712230215827</v>
      </c>
      <c r="K37" s="39" t="n">
        <f aca="false">IF(E37="","",E37/(E37+H37))</f>
        <v>0.354207436399217</v>
      </c>
      <c r="L37" s="52" t="n">
        <f aca="false">IF(OR(K37="",J37=""),"",(J37-K37)*100)</f>
        <v>0.550479381661012</v>
      </c>
      <c r="M37" s="38"/>
    </row>
    <row r="38" customFormat="false" ht="15" hidden="false" customHeight="false" outlineLevel="0" collapsed="false">
      <c r="A38" s="38" t="s">
        <v>116</v>
      </c>
      <c r="B38" s="38" t="s">
        <v>130</v>
      </c>
      <c r="C38" s="38" t="s">
        <v>89</v>
      </c>
      <c r="D38" s="21" t="n">
        <v>978</v>
      </c>
      <c r="E38" s="21" t="n">
        <v>850</v>
      </c>
      <c r="F38" s="51" t="n">
        <f aca="false">IF(E38="","",D38-E38)</f>
        <v>128</v>
      </c>
      <c r="G38" s="21" t="n">
        <v>2000</v>
      </c>
      <c r="H38" s="21" t="n">
        <v>1856</v>
      </c>
      <c r="I38" s="51" t="n">
        <f aca="false">IF(H38="","",G38-H38)</f>
        <v>144</v>
      </c>
      <c r="J38" s="39" t="n">
        <f aca="false">IF(OR(D38="",D38+G38=0),"",D38/(D38+G38))</f>
        <v>0.328408327736736</v>
      </c>
      <c r="K38" s="39" t="n">
        <f aca="false">IF(E38="","",E38/(E38+H38))</f>
        <v>0.314116777531412</v>
      </c>
      <c r="L38" s="52" t="n">
        <f aca="false">IF(OR(K38="",J38=""),"",(J38-K38)*100)</f>
        <v>1.42915502053244</v>
      </c>
      <c r="M38" s="38"/>
    </row>
    <row r="39" customFormat="false" ht="15" hidden="false" customHeight="false" outlineLevel="0" collapsed="false">
      <c r="A39" s="38" t="s">
        <v>116</v>
      </c>
      <c r="B39" s="38" t="s">
        <v>131</v>
      </c>
      <c r="C39" s="38" t="s">
        <v>89</v>
      </c>
      <c r="D39" s="21" t="n">
        <v>1064</v>
      </c>
      <c r="E39" s="21" t="n">
        <v>980</v>
      </c>
      <c r="F39" s="51" t="n">
        <f aca="false">IF(E39="","",D39-E39)</f>
        <v>84</v>
      </c>
      <c r="G39" s="21" t="n">
        <v>903</v>
      </c>
      <c r="H39" s="21" t="n">
        <v>872</v>
      </c>
      <c r="I39" s="51" t="n">
        <f aca="false">IF(H39="","",G39-H39)</f>
        <v>31</v>
      </c>
      <c r="J39" s="39" t="n">
        <f aca="false">IF(OR(D39="",D39+G39=0),"",D39/(D39+G39))</f>
        <v>0.540925266903915</v>
      </c>
      <c r="K39" s="39" t="n">
        <f aca="false">IF(E39="","",E39/(E39+H39))</f>
        <v>0.529157667386609</v>
      </c>
      <c r="L39" s="52" t="n">
        <f aca="false">IF(OR(K39="",J39=""),"",(J39-K39)*100)</f>
        <v>1.17675995173056</v>
      </c>
      <c r="M39" s="38"/>
    </row>
    <row r="40" customFormat="false" ht="15" hidden="false" customHeight="false" outlineLevel="0" collapsed="false">
      <c r="A40" s="38" t="s">
        <v>116</v>
      </c>
      <c r="B40" s="38" t="s">
        <v>132</v>
      </c>
      <c r="C40" s="38" t="s">
        <v>89</v>
      </c>
      <c r="D40" s="21" t="n">
        <v>4591</v>
      </c>
      <c r="E40" s="21" t="n">
        <v>4022</v>
      </c>
      <c r="F40" s="51" t="n">
        <f aca="false">IF(E40="","",D40-E40)</f>
        <v>569</v>
      </c>
      <c r="G40" s="21" t="n">
        <v>6207</v>
      </c>
      <c r="H40" s="21" t="n">
        <v>5915</v>
      </c>
      <c r="I40" s="51" t="n">
        <f aca="false">IF(H40="","",G40-H40)</f>
        <v>292</v>
      </c>
      <c r="J40" s="39" t="n">
        <f aca="false">IF(OR(D40="",D40+G40=0),"",D40/(D40+G40))</f>
        <v>0.425171328023708</v>
      </c>
      <c r="K40" s="39" t="n">
        <f aca="false">IF(E40="","",E40/(E40+H40))</f>
        <v>0.404749924524504</v>
      </c>
      <c r="L40" s="52" t="n">
        <f aca="false">IF(OR(K40="",J40=""),"",(J40-K40)*100)</f>
        <v>2.04214034992037</v>
      </c>
      <c r="M40" s="38"/>
    </row>
    <row r="41" customFormat="false" ht="15" hidden="false" customHeight="false" outlineLevel="0" collapsed="false">
      <c r="A41" s="38" t="s">
        <v>116</v>
      </c>
      <c r="B41" s="38" t="s">
        <v>133</v>
      </c>
      <c r="C41" s="38" t="s">
        <v>89</v>
      </c>
      <c r="D41" s="21" t="n">
        <v>4526</v>
      </c>
      <c r="E41" s="21" t="n">
        <v>4010</v>
      </c>
      <c r="F41" s="51" t="n">
        <f aca="false">IF(E41="","",D41-E41)</f>
        <v>516</v>
      </c>
      <c r="G41" s="21" t="n">
        <v>4338</v>
      </c>
      <c r="H41" s="21" t="n">
        <v>4104</v>
      </c>
      <c r="I41" s="51" t="n">
        <f aca="false">IF(H41="","",G41-H41)</f>
        <v>234</v>
      </c>
      <c r="J41" s="39" t="n">
        <f aca="false">IF(OR(D41="",D41+G41=0),"",D41/(D41+G41))</f>
        <v>0.510604693140794</v>
      </c>
      <c r="K41" s="39" t="n">
        <f aca="false">IF(E41="","",E41/(E41+H41))</f>
        <v>0.494207542519103</v>
      </c>
      <c r="L41" s="52" t="n">
        <f aca="false">IF(OR(K41="",J41=""),"",(J41-K41)*100)</f>
        <v>1.63971506216915</v>
      </c>
      <c r="M41" s="38"/>
    </row>
    <row r="42" customFormat="false" ht="15" hidden="false" customHeight="false" outlineLevel="0" collapsed="false">
      <c r="A42" s="38" t="s">
        <v>116</v>
      </c>
      <c r="B42" s="38" t="s">
        <v>134</v>
      </c>
      <c r="C42" s="38" t="s">
        <v>89</v>
      </c>
      <c r="D42" s="21" t="n">
        <v>901</v>
      </c>
      <c r="E42" s="21" t="n">
        <v>800</v>
      </c>
      <c r="F42" s="51" t="n">
        <f aca="false">IF(E42="","",D42-E42)</f>
        <v>101</v>
      </c>
      <c r="G42" s="21" t="n">
        <v>1123</v>
      </c>
      <c r="H42" s="21" t="n">
        <v>1156</v>
      </c>
      <c r="I42" s="51" t="n">
        <f aca="false">IF(H42="","",G42-H42)</f>
        <v>-33</v>
      </c>
      <c r="J42" s="39" t="n">
        <f aca="false">IF(OR(D42="",D42+G42=0),"",D42/(D42+G42))</f>
        <v>0.445158102766798</v>
      </c>
      <c r="K42" s="39" t="n">
        <f aca="false">IF(E42="","",E42/(E42+H42))</f>
        <v>0.408997955010225</v>
      </c>
      <c r="L42" s="52" t="n">
        <f aca="false">IF(OR(K42="",J42=""),"",(J42-K42)*100)</f>
        <v>3.61601477565734</v>
      </c>
      <c r="M42" s="38"/>
    </row>
    <row r="43" customFormat="false" ht="15" hidden="false" customHeight="false" outlineLevel="0" collapsed="false">
      <c r="A43" s="38" t="s">
        <v>116</v>
      </c>
      <c r="B43" s="38" t="s">
        <v>135</v>
      </c>
      <c r="C43" s="38" t="s">
        <v>89</v>
      </c>
      <c r="D43" s="21" t="n">
        <v>7381</v>
      </c>
      <c r="E43" s="21" t="n">
        <v>7019</v>
      </c>
      <c r="F43" s="51" t="n">
        <f aca="false">IF(E43="","",D43-E43)</f>
        <v>362</v>
      </c>
      <c r="G43" s="21" t="n">
        <v>6241</v>
      </c>
      <c r="H43" s="21" t="n">
        <v>6110</v>
      </c>
      <c r="I43" s="51" t="n">
        <f aca="false">IF(H43="","",G43-H43)</f>
        <v>131</v>
      </c>
      <c r="J43" s="39" t="n">
        <f aca="false">IF(OR(D43="",D43+G43=0),"",D43/(D43+G43))</f>
        <v>0.5418440757598</v>
      </c>
      <c r="K43" s="39" t="n">
        <f aca="false">IF(E43="","",E43/(E43+H43))</f>
        <v>0.534618021174499</v>
      </c>
      <c r="L43" s="52" t="n">
        <f aca="false">IF(OR(K43="",J43=""),"",(J43-K43)*100)</f>
        <v>0.722605458530112</v>
      </c>
      <c r="M43" s="38"/>
    </row>
    <row r="44" customFormat="false" ht="15" hidden="false" customHeight="false" outlineLevel="0" collapsed="false">
      <c r="A44" s="38" t="s">
        <v>116</v>
      </c>
      <c r="B44" s="38" t="s">
        <v>136</v>
      </c>
      <c r="C44" s="38" t="s">
        <v>89</v>
      </c>
      <c r="D44" s="21" t="n">
        <v>8558</v>
      </c>
      <c r="E44" s="21" t="n">
        <v>8020</v>
      </c>
      <c r="F44" s="51" t="n">
        <f aca="false">IF(E44="","",D44-E44)</f>
        <v>538</v>
      </c>
      <c r="G44" s="21" t="n">
        <v>7313</v>
      </c>
      <c r="H44" s="21" t="n">
        <v>7607</v>
      </c>
      <c r="I44" s="51" t="n">
        <f aca="false">IF(H44="","",G44-H44)</f>
        <v>-294</v>
      </c>
      <c r="J44" s="39" t="n">
        <f aca="false">IF(OR(D44="",D44+G44=0),"",D44/(D44+G44))</f>
        <v>0.539222481255119</v>
      </c>
      <c r="K44" s="39" t="n">
        <f aca="false">IF(E44="","",E44/(E44+H44))</f>
        <v>0.513214308568503</v>
      </c>
      <c r="L44" s="52" t="n">
        <f aca="false">IF(OR(K44="",J44=""),"",(J44-K44)*100)</f>
        <v>2.60081726866162</v>
      </c>
      <c r="M44" s="38"/>
    </row>
    <row r="45" customFormat="false" ht="15" hidden="false" customHeight="false" outlineLevel="0" collapsed="false">
      <c r="A45" s="38" t="s">
        <v>116</v>
      </c>
      <c r="B45" s="38" t="s">
        <v>137</v>
      </c>
      <c r="C45" s="38" t="s">
        <v>89</v>
      </c>
      <c r="D45" s="21" t="n">
        <v>2680</v>
      </c>
      <c r="E45" s="21" t="n">
        <v>2380</v>
      </c>
      <c r="F45" s="51" t="n">
        <f aca="false">IF(E45="","",D45-E45)</f>
        <v>300</v>
      </c>
      <c r="G45" s="21" t="n">
        <v>3225</v>
      </c>
      <c r="H45" s="21" t="n">
        <v>3135</v>
      </c>
      <c r="I45" s="51" t="n">
        <f aca="false">IF(H45="","",G45-H45)</f>
        <v>90</v>
      </c>
      <c r="J45" s="39" t="n">
        <f aca="false">IF(OR(D45="",D45+G45=0),"",D45/(D45+G45))</f>
        <v>0.45385266723116</v>
      </c>
      <c r="K45" s="39" t="n">
        <f aca="false">IF(E45="","",E45/(E45+H45))</f>
        <v>0.43155031731641</v>
      </c>
      <c r="L45" s="52" t="n">
        <f aca="false">IF(OR(K45="",J45=""),"",(J45-K45)*100)</f>
        <v>2.23023499147502</v>
      </c>
      <c r="M45" s="38"/>
    </row>
    <row r="46" customFormat="false" ht="15" hidden="false" customHeight="false" outlineLevel="0" collapsed="false">
      <c r="A46" s="38" t="s">
        <v>116</v>
      </c>
      <c r="B46" s="38" t="s">
        <v>138</v>
      </c>
      <c r="C46" s="38" t="s">
        <v>89</v>
      </c>
      <c r="D46" s="21" t="n">
        <v>5841</v>
      </c>
      <c r="E46" s="21" t="n">
        <v>5462</v>
      </c>
      <c r="F46" s="51" t="n">
        <f aca="false">IF(E46="","",D46-E46)</f>
        <v>379</v>
      </c>
      <c r="G46" s="21" t="n">
        <v>5753</v>
      </c>
      <c r="H46" s="21" t="n">
        <v>5740</v>
      </c>
      <c r="I46" s="51" t="n">
        <f aca="false">IF(H46="","",G46-H46)</f>
        <v>13</v>
      </c>
      <c r="J46" s="39" t="n">
        <f aca="false">IF(OR(D46="",D46+G46=0),"",D46/(D46+G46))</f>
        <v>0.503795066413662</v>
      </c>
      <c r="K46" s="39" t="n">
        <f aca="false">IF(E46="","",E46/(E46+H46))</f>
        <v>0.487591501517586</v>
      </c>
      <c r="L46" s="52" t="n">
        <f aca="false">IF(OR(K46="",J46=""),"",(J46-K46)*100)</f>
        <v>1.62035648960761</v>
      </c>
      <c r="M46" s="38"/>
    </row>
    <row r="47" customFormat="false" ht="15" hidden="false" customHeight="false" outlineLevel="0" collapsed="false">
      <c r="A47" s="38" t="s">
        <v>116</v>
      </c>
      <c r="B47" s="38" t="s">
        <v>139</v>
      </c>
      <c r="C47" s="38" t="s">
        <v>89</v>
      </c>
      <c r="D47" s="21" t="n">
        <v>1430</v>
      </c>
      <c r="E47" s="21" t="n">
        <v>1266</v>
      </c>
      <c r="F47" s="51" t="n">
        <f aca="false">IF(E47="","",D47-E47)</f>
        <v>164</v>
      </c>
      <c r="G47" s="21" t="n">
        <v>2757</v>
      </c>
      <c r="H47" s="21" t="n">
        <v>2669</v>
      </c>
      <c r="I47" s="51" t="n">
        <f aca="false">IF(H47="","",G47-H47)</f>
        <v>88</v>
      </c>
      <c r="J47" s="39" t="n">
        <f aca="false">IF(OR(D47="",D47+G47=0),"",D47/(D47+G47))</f>
        <v>0.341533317411034</v>
      </c>
      <c r="K47" s="39" t="n">
        <f aca="false">IF(E47="","",E47/(E47+H47))</f>
        <v>0.321728081321474</v>
      </c>
      <c r="L47" s="52" t="n">
        <f aca="false">IF(OR(K47="",J47=""),"",(J47-K47)*100)</f>
        <v>1.98052360895602</v>
      </c>
      <c r="M47" s="38"/>
    </row>
    <row r="48" customFormat="false" ht="15" hidden="false" customHeight="false" outlineLevel="0" collapsed="false">
      <c r="A48" s="38" t="s">
        <v>116</v>
      </c>
      <c r="B48" s="38" t="s">
        <v>140</v>
      </c>
      <c r="C48" s="38" t="s">
        <v>89</v>
      </c>
      <c r="D48" s="21" t="n">
        <v>1316</v>
      </c>
      <c r="E48" s="21" t="n">
        <v>1172</v>
      </c>
      <c r="F48" s="51" t="n">
        <f aca="false">IF(E48="","",D48-E48)</f>
        <v>144</v>
      </c>
      <c r="G48" s="21" t="n">
        <v>2376</v>
      </c>
      <c r="H48" s="21" t="n">
        <v>2201</v>
      </c>
      <c r="I48" s="51" t="n">
        <f aca="false">IF(H48="","",G48-H48)</f>
        <v>175</v>
      </c>
      <c r="J48" s="39" t="n">
        <f aca="false">IF(OR(D48="",D48+G48=0),"",D48/(D48+G48))</f>
        <v>0.356446370530878</v>
      </c>
      <c r="K48" s="39" t="n">
        <f aca="false">IF(E48="","",E48/(E48+H48))</f>
        <v>0.347465164541951</v>
      </c>
      <c r="L48" s="52" t="n">
        <f aca="false">IF(OR(K48="",J48=""),"",(J48-K48)*100)</f>
        <v>0.898120598892677</v>
      </c>
      <c r="M48" s="38"/>
    </row>
    <row r="49" customFormat="false" ht="15" hidden="false" customHeight="false" outlineLevel="0" collapsed="false">
      <c r="A49" s="38" t="s">
        <v>116</v>
      </c>
      <c r="B49" s="38" t="s">
        <v>141</v>
      </c>
      <c r="C49" s="38" t="s">
        <v>89</v>
      </c>
      <c r="D49" s="21" t="n">
        <v>7880</v>
      </c>
      <c r="E49" s="21" t="n">
        <v>7383</v>
      </c>
      <c r="F49" s="51" t="n">
        <f aca="false">IF(E49="","",D49-E49)</f>
        <v>497</v>
      </c>
      <c r="G49" s="21" t="n">
        <v>6891</v>
      </c>
      <c r="H49" s="21" t="n">
        <v>7036</v>
      </c>
      <c r="I49" s="51" t="n">
        <f aca="false">IF(H49="","",G49-H49)</f>
        <v>-145</v>
      </c>
      <c r="J49" s="39" t="n">
        <f aca="false">IF(OR(D49="",D49+G49=0),"",D49/(D49+G49))</f>
        <v>0.53347776047661</v>
      </c>
      <c r="K49" s="39" t="n">
        <f aca="false">IF(E49="","",E49/(E49+H49))</f>
        <v>0.51203273458631</v>
      </c>
      <c r="L49" s="52" t="n">
        <f aca="false">IF(OR(K49="",J49=""),"",(J49-K49)*100)</f>
        <v>2.14450258902998</v>
      </c>
      <c r="M49" s="38"/>
    </row>
    <row r="50" customFormat="false" ht="15" hidden="false" customHeight="false" outlineLevel="0" collapsed="false">
      <c r="A50" s="38" t="s">
        <v>142</v>
      </c>
      <c r="B50" s="38" t="s">
        <v>143</v>
      </c>
      <c r="C50" s="38" t="s">
        <v>89</v>
      </c>
      <c r="D50" s="21" t="n">
        <v>509</v>
      </c>
      <c r="E50" s="21" t="n">
        <v>471</v>
      </c>
      <c r="F50" s="51" t="n">
        <f aca="false">IF(E50="","",D50-E50)</f>
        <v>38</v>
      </c>
      <c r="G50" s="21" t="n">
        <v>1100</v>
      </c>
      <c r="H50" s="21" t="n">
        <v>1124</v>
      </c>
      <c r="I50" s="51" t="n">
        <f aca="false">IF(H50="","",G50-H50)</f>
        <v>-24</v>
      </c>
      <c r="J50" s="39" t="n">
        <f aca="false">IF(OR(D50="",D50+G50=0),"",D50/(D50+G50))</f>
        <v>0.316345556246116</v>
      </c>
      <c r="K50" s="39" t="n">
        <f aca="false">IF(E50="","",E50/(E50+H50))</f>
        <v>0.295297805642633</v>
      </c>
      <c r="L50" s="52" t="n">
        <f aca="false">IF(OR(K50="",J50=""),"",(J50-K50)*100)</f>
        <v>2.10477506034824</v>
      </c>
      <c r="M50" s="38"/>
    </row>
    <row r="51" customFormat="false" ht="15" hidden="false" customHeight="false" outlineLevel="0" collapsed="false">
      <c r="A51" s="38" t="s">
        <v>142</v>
      </c>
      <c r="B51" s="38" t="s">
        <v>144</v>
      </c>
      <c r="C51" s="38" t="s">
        <v>89</v>
      </c>
      <c r="D51" s="21" t="n">
        <v>1430</v>
      </c>
      <c r="E51" s="21" t="n">
        <v>1414</v>
      </c>
      <c r="F51" s="51" t="n">
        <f aca="false">IF(E51="","",D51-E51)</f>
        <v>16</v>
      </c>
      <c r="G51" s="21" t="n">
        <v>2851</v>
      </c>
      <c r="H51" s="21" t="n">
        <v>2894</v>
      </c>
      <c r="I51" s="51" t="n">
        <f aca="false">IF(H51="","",G51-H51)</f>
        <v>-43</v>
      </c>
      <c r="J51" s="39" t="n">
        <f aca="false">IF(OR(D51="",D51+G51=0),"",D51/(D51+G51))</f>
        <v>0.334034104181266</v>
      </c>
      <c r="K51" s="39" t="n">
        <f aca="false">IF(E51="","",E51/(E51+H51))</f>
        <v>0.328226555246054</v>
      </c>
      <c r="L51" s="52" t="n">
        <f aca="false">IF(OR(K51="",J51=""),"",(J51-K51)*100)</f>
        <v>0.580754893521218</v>
      </c>
      <c r="M51" s="38"/>
    </row>
    <row r="52" customFormat="false" ht="15" hidden="false" customHeight="false" outlineLevel="0" collapsed="false">
      <c r="A52" s="38" t="s">
        <v>142</v>
      </c>
      <c r="B52" s="38" t="s">
        <v>145</v>
      </c>
      <c r="C52" s="38" t="s">
        <v>89</v>
      </c>
      <c r="D52" s="21" t="n">
        <v>946</v>
      </c>
      <c r="E52" s="21" t="n">
        <v>521</v>
      </c>
      <c r="F52" s="51" t="n">
        <f aca="false">IF(E52="","",D52-E52)</f>
        <v>425</v>
      </c>
      <c r="G52" s="21" t="n">
        <v>1718</v>
      </c>
      <c r="H52" s="21" t="n">
        <v>997</v>
      </c>
      <c r="I52" s="51" t="n">
        <f aca="false">IF(H52="","",G52-H52)</f>
        <v>721</v>
      </c>
      <c r="J52" s="39" t="n">
        <f aca="false">IF(OR(D52="",D52+G52=0),"",D52/(D52+G52))</f>
        <v>0.355105105105105</v>
      </c>
      <c r="K52" s="39" t="n">
        <f aca="false">IF(E52="","",E52/(E52+H52))</f>
        <v>0.343214756258235</v>
      </c>
      <c r="L52" s="52" t="n">
        <f aca="false">IF(OR(K52="",J52=""),"",(J52-K52)*100)</f>
        <v>1.18903488468706</v>
      </c>
      <c r="M52" s="38"/>
    </row>
    <row r="53" customFormat="false" ht="15" hidden="false" customHeight="false" outlineLevel="0" collapsed="false">
      <c r="A53" s="38" t="s">
        <v>146</v>
      </c>
      <c r="B53" s="38" t="s">
        <v>147</v>
      </c>
      <c r="C53" s="38" t="s">
        <v>89</v>
      </c>
      <c r="D53" s="21" t="n">
        <v>1663</v>
      </c>
      <c r="E53" s="21" t="n">
        <v>1511</v>
      </c>
      <c r="F53" s="51" t="n">
        <f aca="false">IF(E53="","",D53-E53)</f>
        <v>152</v>
      </c>
      <c r="G53" s="21" t="n">
        <v>1975</v>
      </c>
      <c r="H53" s="21" t="n">
        <v>2018</v>
      </c>
      <c r="I53" s="51" t="n">
        <f aca="false">IF(H53="","",G53-H53)</f>
        <v>-43</v>
      </c>
      <c r="J53" s="39" t="n">
        <f aca="false">IF(OR(D53="",D53+G53=0),"",D53/(D53+G53))</f>
        <v>0.457119296316658</v>
      </c>
      <c r="K53" s="39" t="n">
        <f aca="false">IF(E53="","",E53/(E53+H53))</f>
        <v>0.428166619438935</v>
      </c>
      <c r="L53" s="52" t="n">
        <f aca="false">IF(OR(K53="",J53=""),"",(J53-K53)*100)</f>
        <v>2.8952676877723</v>
      </c>
      <c r="M53" s="38"/>
    </row>
    <row r="54" customFormat="false" ht="15" hidden="false" customHeight="false" outlineLevel="0" collapsed="false">
      <c r="A54" s="38" t="s">
        <v>146</v>
      </c>
      <c r="B54" s="38" t="s">
        <v>148</v>
      </c>
      <c r="C54" s="38" t="s">
        <v>89</v>
      </c>
      <c r="D54" s="21" t="n">
        <v>1081</v>
      </c>
      <c r="E54" s="21" t="n">
        <v>959</v>
      </c>
      <c r="F54" s="51" t="n">
        <f aca="false">IF(E54="","",D54-E54)</f>
        <v>122</v>
      </c>
      <c r="G54" s="21" t="n">
        <v>1379</v>
      </c>
      <c r="H54" s="21" t="n">
        <v>1364</v>
      </c>
      <c r="I54" s="51" t="n">
        <f aca="false">IF(H54="","",G54-H54)</f>
        <v>15</v>
      </c>
      <c r="J54" s="39" t="n">
        <f aca="false">IF(OR(D54="",D54+G54=0),"",D54/(D54+G54))</f>
        <v>0.439430894308943</v>
      </c>
      <c r="K54" s="39" t="n">
        <f aca="false">IF(E54="","",E54/(E54+H54))</f>
        <v>0.412828239345674</v>
      </c>
      <c r="L54" s="52" t="n">
        <f aca="false">IF(OR(K54="",J54=""),"",(J54-K54)*100)</f>
        <v>2.66026549632694</v>
      </c>
      <c r="M54" s="38"/>
    </row>
    <row r="55" customFormat="false" ht="15" hidden="false" customHeight="false" outlineLevel="0" collapsed="false">
      <c r="A55" s="38" t="s">
        <v>146</v>
      </c>
      <c r="B55" s="38" t="s">
        <v>149</v>
      </c>
      <c r="C55" s="38" t="s">
        <v>89</v>
      </c>
      <c r="D55" s="21" t="n">
        <v>653</v>
      </c>
      <c r="E55" s="21" t="n">
        <v>623</v>
      </c>
      <c r="F55" s="51" t="n">
        <f aca="false">IF(E55="","",D55-E55)</f>
        <v>30</v>
      </c>
      <c r="G55" s="21" t="n">
        <v>707</v>
      </c>
      <c r="H55" s="21" t="n">
        <v>726</v>
      </c>
      <c r="I55" s="51" t="n">
        <f aca="false">IF(H55="","",G55-H55)</f>
        <v>-19</v>
      </c>
      <c r="J55" s="39" t="n">
        <f aca="false">IF(OR(D55="",D55+G55=0),"",D55/(D55+G55))</f>
        <v>0.480147058823529</v>
      </c>
      <c r="K55" s="39" t="n">
        <f aca="false">IF(E55="","",E55/(E55+H55))</f>
        <v>0.46182357301705</v>
      </c>
      <c r="L55" s="52" t="n">
        <f aca="false">IF(OR(K55="",J55=""),"",(J55-K55)*100)</f>
        <v>1.83234858064797</v>
      </c>
      <c r="M55" s="38"/>
    </row>
    <row r="56" customFormat="false" ht="15" hidden="false" customHeight="false" outlineLevel="0" collapsed="false">
      <c r="A56" s="38" t="s">
        <v>146</v>
      </c>
      <c r="B56" s="38" t="s">
        <v>119</v>
      </c>
      <c r="C56" s="38" t="s">
        <v>89</v>
      </c>
      <c r="D56" s="21" t="n">
        <v>17518</v>
      </c>
      <c r="E56" s="21" t="n">
        <v>17416</v>
      </c>
      <c r="F56" s="51" t="n">
        <f aca="false">IF(E56="","",D56-E56)</f>
        <v>102</v>
      </c>
      <c r="G56" s="21" t="n">
        <v>7271</v>
      </c>
      <c r="H56" s="21" t="n">
        <v>8640</v>
      </c>
      <c r="I56" s="51" t="n">
        <f aca="false">IF(H56="","",G56-H56)</f>
        <v>-1369</v>
      </c>
      <c r="J56" s="39" t="n">
        <f aca="false">IF(OR(D56="",D56+G56=0),"",D56/(D56+G56))</f>
        <v>0.706684416475049</v>
      </c>
      <c r="K56" s="39" t="n">
        <f aca="false">IF(E56="","",E56/(E56+H56))</f>
        <v>0.668406509057415</v>
      </c>
      <c r="L56" s="52" t="n">
        <f aca="false">IF(OR(K56="",J56=""),"",(J56-K56)*100)</f>
        <v>3.82779074176346</v>
      </c>
      <c r="M56" s="38"/>
    </row>
    <row r="57" customFormat="false" ht="15" hidden="false" customHeight="false" outlineLevel="0" collapsed="false">
      <c r="A57" s="38" t="s">
        <v>146</v>
      </c>
      <c r="B57" s="38" t="s">
        <v>150</v>
      </c>
      <c r="C57" s="38" t="s">
        <v>89</v>
      </c>
      <c r="D57" s="21" t="n">
        <v>8968</v>
      </c>
      <c r="E57" s="21" t="n">
        <v>8595</v>
      </c>
      <c r="F57" s="51" t="n">
        <f aca="false">IF(E57="","",D57-E57)</f>
        <v>373</v>
      </c>
      <c r="G57" s="21" t="n">
        <v>7698</v>
      </c>
      <c r="H57" s="21" t="n">
        <v>7440</v>
      </c>
      <c r="I57" s="51" t="n">
        <f aca="false">IF(H57="","",G57-H57)</f>
        <v>258</v>
      </c>
      <c r="J57" s="39" t="n">
        <f aca="false">IF(OR(D57="",D57+G57=0),"",D57/(D57+G57))</f>
        <v>0.538101524060963</v>
      </c>
      <c r="K57" s="39" t="n">
        <f aca="false">IF(E57="","",E57/(E57+H57))</f>
        <v>0.536014967259121</v>
      </c>
      <c r="L57" s="52" t="n">
        <f aca="false">IF(OR(K57="",J57=""),"",(J57-K57)*100)</f>
        <v>0.208655680184178</v>
      </c>
      <c r="M57" s="38"/>
    </row>
    <row r="58" customFormat="false" ht="15" hidden="false" customHeight="false" outlineLevel="0" collapsed="false">
      <c r="A58" s="38" t="s">
        <v>146</v>
      </c>
      <c r="B58" s="38" t="s">
        <v>151</v>
      </c>
      <c r="C58" s="38" t="s">
        <v>89</v>
      </c>
      <c r="D58" s="21" t="n">
        <v>2271</v>
      </c>
      <c r="E58" s="21" t="n">
        <v>2169</v>
      </c>
      <c r="F58" s="51" t="n">
        <f aca="false">IF(E58="","",D58-E58)</f>
        <v>102</v>
      </c>
      <c r="G58" s="21" t="n">
        <v>3752</v>
      </c>
      <c r="H58" s="21" t="n">
        <v>3459</v>
      </c>
      <c r="I58" s="51" t="n">
        <f aca="false">IF(H58="","",G58-H58)</f>
        <v>293</v>
      </c>
      <c r="J58" s="39" t="n">
        <f aca="false">IF(OR(D58="",D58+G58=0),"",D58/(D58+G58))</f>
        <v>0.377054623941557</v>
      </c>
      <c r="K58" s="39" t="n">
        <f aca="false">IF(E58="","",E58/(E58+H58))</f>
        <v>0.385394456289979</v>
      </c>
      <c r="L58" s="52" t="n">
        <f aca="false">IF(OR(K58="",J58=""),"",(J58-K58)*100)</f>
        <v>-0.833983234842134</v>
      </c>
      <c r="M58" s="38"/>
    </row>
    <row r="59" customFormat="false" ht="15" hidden="false" customHeight="false" outlineLevel="0" collapsed="false">
      <c r="A59" s="38" t="s">
        <v>146</v>
      </c>
      <c r="B59" s="38" t="s">
        <v>152</v>
      </c>
      <c r="C59" s="38" t="s">
        <v>89</v>
      </c>
      <c r="D59" s="21" t="n">
        <v>46</v>
      </c>
      <c r="E59" s="21" t="n">
        <v>40</v>
      </c>
      <c r="F59" s="51" t="n">
        <f aca="false">IF(E59="","",D59-E59)</f>
        <v>6</v>
      </c>
      <c r="G59" s="21" t="n">
        <v>80</v>
      </c>
      <c r="H59" s="21" t="n">
        <v>83</v>
      </c>
      <c r="I59" s="51" t="n">
        <f aca="false">IF(H59="","",G59-H59)</f>
        <v>-3</v>
      </c>
      <c r="J59" s="39" t="n">
        <f aca="false">IF(OR(D59="",D59+G59=0),"",D59/(D59+G59))</f>
        <v>0.365079365079365</v>
      </c>
      <c r="K59" s="39" t="n">
        <f aca="false">IF(E59="","",E59/(E59+H59))</f>
        <v>0.32520325203252</v>
      </c>
      <c r="L59" s="52" t="n">
        <f aca="false">IF(OR(K59="",J59=""),"",(J59-K59)*100)</f>
        <v>3.98761130468447</v>
      </c>
      <c r="M59" s="38"/>
    </row>
    <row r="60" customFormat="false" ht="15" hidden="false" customHeight="false" outlineLevel="0" collapsed="false">
      <c r="A60" s="38" t="s">
        <v>146</v>
      </c>
      <c r="B60" s="38" t="s">
        <v>153</v>
      </c>
      <c r="C60" s="38" t="s">
        <v>89</v>
      </c>
      <c r="D60" s="21" t="n">
        <v>1503</v>
      </c>
      <c r="E60" s="21" t="n">
        <v>1484</v>
      </c>
      <c r="F60" s="51" t="n">
        <f aca="false">IF(E60="","",D60-E60)</f>
        <v>19</v>
      </c>
      <c r="G60" s="21" t="n">
        <v>1899</v>
      </c>
      <c r="H60" s="21" t="n">
        <v>1959</v>
      </c>
      <c r="I60" s="51" t="n">
        <f aca="false">IF(H60="","",G60-H60)</f>
        <v>-60</v>
      </c>
      <c r="J60" s="39" t="n">
        <f aca="false">IF(OR(D60="",D60+G60=0),"",D60/(D60+G60))</f>
        <v>0.441798941798942</v>
      </c>
      <c r="K60" s="39" t="n">
        <f aca="false">IF(E60="","",E60/(E60+H60))</f>
        <v>0.431019459773453</v>
      </c>
      <c r="L60" s="52" t="n">
        <f aca="false">IF(OR(K60="",J60=""),"",(J60-K60)*100)</f>
        <v>1.07794820254884</v>
      </c>
      <c r="M60" s="38"/>
    </row>
    <row r="61" customFormat="false" ht="15" hidden="false" customHeight="false" outlineLevel="0" collapsed="false">
      <c r="A61" s="38" t="s">
        <v>146</v>
      </c>
      <c r="B61" s="38" t="s">
        <v>154</v>
      </c>
      <c r="C61" s="38" t="s">
        <v>89</v>
      </c>
      <c r="D61" s="21" t="n">
        <v>198</v>
      </c>
      <c r="E61" s="21" t="n">
        <v>217</v>
      </c>
      <c r="F61" s="51" t="n">
        <f aca="false">IF(E61="","",D61-E61)</f>
        <v>-19</v>
      </c>
      <c r="G61" s="21" t="n">
        <v>327</v>
      </c>
      <c r="H61" s="21" t="n">
        <v>309</v>
      </c>
      <c r="I61" s="51" t="n">
        <f aca="false">IF(H61="","",G61-H61)</f>
        <v>18</v>
      </c>
      <c r="J61" s="39" t="n">
        <f aca="false">IF(OR(D61="",D61+G61=0),"",D61/(D61+G61))</f>
        <v>0.377142857142857</v>
      </c>
      <c r="K61" s="39" t="n">
        <f aca="false">IF(E61="","",E61/(E61+H61))</f>
        <v>0.41254752851711</v>
      </c>
      <c r="L61" s="52" t="n">
        <f aca="false">IF(OR(K61="",J61=""),"",(J61-K61)*100)</f>
        <v>-3.54046713742531</v>
      </c>
      <c r="M61" s="38"/>
    </row>
    <row r="62" customFormat="false" ht="15" hidden="false" customHeight="false" outlineLevel="0" collapsed="false">
      <c r="A62" s="38" t="s">
        <v>146</v>
      </c>
      <c r="B62" s="38" t="s">
        <v>155</v>
      </c>
      <c r="C62" s="38" t="s">
        <v>89</v>
      </c>
      <c r="D62" s="21" t="n">
        <v>7297</v>
      </c>
      <c r="E62" s="21" t="n">
        <v>7604</v>
      </c>
      <c r="F62" s="51" t="n">
        <f aca="false">IF(E62="","",D62-E62)</f>
        <v>-307</v>
      </c>
      <c r="G62" s="21" t="n">
        <v>2734</v>
      </c>
      <c r="H62" s="21" t="n">
        <v>3303</v>
      </c>
      <c r="I62" s="51" t="n">
        <f aca="false">IF(H62="","",G62-H62)</f>
        <v>-569</v>
      </c>
      <c r="J62" s="39" t="n">
        <f aca="false">IF(OR(D62="",D62+G62=0),"",D62/(D62+G62))</f>
        <v>0.727444920745688</v>
      </c>
      <c r="K62" s="39" t="n">
        <f aca="false">IF(E62="","",E62/(E62+H62))</f>
        <v>0.697166957000092</v>
      </c>
      <c r="L62" s="52" t="n">
        <f aca="false">IF(OR(K62="",J62=""),"",(J62-K62)*100)</f>
        <v>3.02779637455967</v>
      </c>
      <c r="M62" s="38"/>
    </row>
    <row r="63" customFormat="false" ht="15" hidden="false" customHeight="false" outlineLevel="0" collapsed="false">
      <c r="A63" s="38" t="s">
        <v>146</v>
      </c>
      <c r="B63" s="38" t="s">
        <v>156</v>
      </c>
      <c r="C63" s="38" t="s">
        <v>89</v>
      </c>
      <c r="D63" s="21" t="n">
        <v>5794</v>
      </c>
      <c r="E63" s="21" t="n">
        <v>5358</v>
      </c>
      <c r="F63" s="51" t="n">
        <f aca="false">IF(E63="","",D63-E63)</f>
        <v>436</v>
      </c>
      <c r="G63" s="21" t="n">
        <v>4976</v>
      </c>
      <c r="H63" s="21" t="n">
        <v>5027</v>
      </c>
      <c r="I63" s="51" t="n">
        <f aca="false">IF(H63="","",G63-H63)</f>
        <v>-51</v>
      </c>
      <c r="J63" s="39" t="n">
        <f aca="false">IF(OR(D63="",D63+G63=0),"",D63/(D63+G63))</f>
        <v>0.537975858867224</v>
      </c>
      <c r="K63" s="39" t="n">
        <f aca="false">IF(E63="","",E63/(E63+H63))</f>
        <v>0.515936446798267</v>
      </c>
      <c r="L63" s="52" t="n">
        <f aca="false">IF(OR(K63="",J63=""),"",(J63-K63)*100)</f>
        <v>2.2039412068957</v>
      </c>
      <c r="M63" s="38"/>
    </row>
    <row r="64" customFormat="false" ht="15" hidden="false" customHeight="false" outlineLevel="0" collapsed="false">
      <c r="A64" s="38" t="s">
        <v>146</v>
      </c>
      <c r="B64" s="38" t="s">
        <v>157</v>
      </c>
      <c r="C64" s="38" t="s">
        <v>89</v>
      </c>
      <c r="D64" s="21" t="n">
        <v>758</v>
      </c>
      <c r="E64" s="21" t="n">
        <v>714</v>
      </c>
      <c r="F64" s="51" t="n">
        <f aca="false">IF(E64="","",D64-E64)</f>
        <v>44</v>
      </c>
      <c r="G64" s="21" t="n">
        <v>475</v>
      </c>
      <c r="H64" s="21" t="n">
        <v>484</v>
      </c>
      <c r="I64" s="51" t="n">
        <f aca="false">IF(H64="","",G64-H64)</f>
        <v>-9</v>
      </c>
      <c r="J64" s="39" t="n">
        <f aca="false">IF(OR(D64="",D64+G64=0),"",D64/(D64+G64))</f>
        <v>0.614760746147608</v>
      </c>
      <c r="K64" s="39" t="n">
        <f aca="false">IF(E64="","",E64/(E64+H64))</f>
        <v>0.595993322203673</v>
      </c>
      <c r="L64" s="52" t="n">
        <f aca="false">IF(OR(K64="",J64=""),"",(J64-K64)*100)</f>
        <v>1.87674239439347</v>
      </c>
      <c r="M64" s="38"/>
    </row>
    <row r="65" customFormat="false" ht="15" hidden="false" customHeight="false" outlineLevel="0" collapsed="false">
      <c r="A65" s="38" t="s">
        <v>146</v>
      </c>
      <c r="B65" s="38" t="s">
        <v>158</v>
      </c>
      <c r="C65" s="38" t="s">
        <v>89</v>
      </c>
      <c r="D65" s="21" t="n">
        <v>114</v>
      </c>
      <c r="E65" s="21" t="n">
        <v>109</v>
      </c>
      <c r="F65" s="51" t="n">
        <f aca="false">IF(E65="","",D65-E65)</f>
        <v>5</v>
      </c>
      <c r="G65" s="21" t="n">
        <v>102</v>
      </c>
      <c r="H65" s="21" t="n">
        <v>97</v>
      </c>
      <c r="I65" s="51" t="n">
        <f aca="false">IF(H65="","",G65-H65)</f>
        <v>5</v>
      </c>
      <c r="J65" s="39" t="n">
        <f aca="false">IF(OR(D65="",D65+G65=0),"",D65/(D65+G65))</f>
        <v>0.527777777777778</v>
      </c>
      <c r="K65" s="39" t="n">
        <f aca="false">IF(E65="","",E65/(E65+H65))</f>
        <v>0.529126213592233</v>
      </c>
      <c r="L65" s="52" t="n">
        <f aca="false">IF(OR(K65="",J65=""),"",(J65-K65)*100)</f>
        <v>-0.134843581445521</v>
      </c>
      <c r="M65" s="38"/>
    </row>
    <row r="66" customFormat="false" ht="15" hidden="false" customHeight="false" outlineLevel="0" collapsed="false">
      <c r="A66" s="38" t="s">
        <v>146</v>
      </c>
      <c r="B66" s="38" t="s">
        <v>125</v>
      </c>
      <c r="C66" s="38" t="s">
        <v>89</v>
      </c>
      <c r="D66" s="21" t="n">
        <v>4758</v>
      </c>
      <c r="E66" s="21" t="n">
        <v>4341</v>
      </c>
      <c r="F66" s="51" t="n">
        <f aca="false">IF(E66="","",D66-E66)</f>
        <v>417</v>
      </c>
      <c r="G66" s="21" t="n">
        <v>3954</v>
      </c>
      <c r="H66" s="21" t="n">
        <v>3620</v>
      </c>
      <c r="I66" s="51" t="n">
        <f aca="false">IF(H66="","",G66-H66)</f>
        <v>334</v>
      </c>
      <c r="J66" s="39" t="n">
        <f aca="false">IF(OR(D66="",D66+G66=0),"",D66/(D66+G66))</f>
        <v>0.546143250688705</v>
      </c>
      <c r="K66" s="39" t="n">
        <f aca="false">IF(E66="","",E66/(E66+H66))</f>
        <v>0.545283255872378</v>
      </c>
      <c r="L66" s="52" t="n">
        <f aca="false">IF(OR(K66="",J66=""),"",(J66-K66)*100)</f>
        <v>0.0859994816327481</v>
      </c>
      <c r="M66" s="38"/>
    </row>
    <row r="67" customFormat="false" ht="15" hidden="false" customHeight="false" outlineLevel="0" collapsed="false">
      <c r="A67" s="38" t="s">
        <v>146</v>
      </c>
      <c r="B67" s="38" t="s">
        <v>159</v>
      </c>
      <c r="C67" s="38" t="s">
        <v>89</v>
      </c>
      <c r="D67" s="21" t="n">
        <v>1856</v>
      </c>
      <c r="E67" s="21" t="n">
        <v>1726</v>
      </c>
      <c r="F67" s="51" t="n">
        <f aca="false">IF(E67="","",D67-E67)</f>
        <v>130</v>
      </c>
      <c r="G67" s="21" t="n">
        <v>1621</v>
      </c>
      <c r="H67" s="21" t="n">
        <v>1685</v>
      </c>
      <c r="I67" s="51" t="n">
        <f aca="false">IF(H67="","",G67-H67)</f>
        <v>-64</v>
      </c>
      <c r="J67" s="39" t="n">
        <f aca="false">IF(OR(D67="",D67+G67=0),"",D67/(D67+G67))</f>
        <v>0.533793500143802</v>
      </c>
      <c r="K67" s="39" t="n">
        <f aca="false">IF(E67="","",E67/(E67+H67))</f>
        <v>0.506009967751393</v>
      </c>
      <c r="L67" s="52" t="n">
        <f aca="false">IF(OR(K67="",J67=""),"",(J67-K67)*100)</f>
        <v>2.77835323924096</v>
      </c>
      <c r="M67" s="38"/>
    </row>
    <row r="68" customFormat="false" ht="15" hidden="false" customHeight="false" outlineLevel="0" collapsed="false">
      <c r="A68" s="38" t="s">
        <v>146</v>
      </c>
      <c r="B68" s="38" t="s">
        <v>160</v>
      </c>
      <c r="C68" s="38" t="s">
        <v>89</v>
      </c>
      <c r="D68" s="21" t="n">
        <v>2434</v>
      </c>
      <c r="E68" s="21" t="n">
        <v>2244</v>
      </c>
      <c r="F68" s="51" t="n">
        <f aca="false">IF(E68="","",D68-E68)</f>
        <v>190</v>
      </c>
      <c r="G68" s="21" t="n">
        <v>4639</v>
      </c>
      <c r="H68" s="21" t="n">
        <v>4439</v>
      </c>
      <c r="I68" s="51" t="n">
        <f aca="false">IF(H68="","",G68-H68)</f>
        <v>200</v>
      </c>
      <c r="J68" s="39" t="n">
        <f aca="false">IF(OR(D68="",D68+G68=0),"",D68/(D68+G68))</f>
        <v>0.344125547858052</v>
      </c>
      <c r="K68" s="39" t="n">
        <f aca="false">IF(E68="","",E68/(E68+H68))</f>
        <v>0.335777345503516</v>
      </c>
      <c r="L68" s="52" t="n">
        <f aca="false">IF(OR(K68="",J68=""),"",(J68-K68)*100)</f>
        <v>0.834820235453537</v>
      </c>
      <c r="M68" s="38"/>
    </row>
    <row r="69" customFormat="false" ht="15" hidden="false" customHeight="false" outlineLevel="0" collapsed="false">
      <c r="A69" s="38" t="s">
        <v>146</v>
      </c>
      <c r="B69" s="38" t="s">
        <v>161</v>
      </c>
      <c r="C69" s="38" t="s">
        <v>89</v>
      </c>
      <c r="D69" s="21" t="n">
        <v>671</v>
      </c>
      <c r="E69" s="21" t="n">
        <v>625</v>
      </c>
      <c r="F69" s="51" t="n">
        <f aca="false">IF(E69="","",D69-E69)</f>
        <v>46</v>
      </c>
      <c r="G69" s="21" t="n">
        <v>1245</v>
      </c>
      <c r="H69" s="21" t="n">
        <v>1214</v>
      </c>
      <c r="I69" s="51" t="n">
        <f aca="false">IF(H69="","",G69-H69)</f>
        <v>31</v>
      </c>
      <c r="J69" s="39" t="n">
        <f aca="false">IF(OR(D69="",D69+G69=0),"",D69/(D69+G69))</f>
        <v>0.350208768267223</v>
      </c>
      <c r="K69" s="39" t="n">
        <f aca="false">IF(E69="","",E69/(E69+H69))</f>
        <v>0.339858618814573</v>
      </c>
      <c r="L69" s="52" t="n">
        <f aca="false">IF(OR(K69="",J69=""),"",(J69-K69)*100)</f>
        <v>1.03501494526502</v>
      </c>
      <c r="M69" s="38"/>
    </row>
    <row r="70" customFormat="false" ht="15" hidden="false" customHeight="false" outlineLevel="0" collapsed="false">
      <c r="A70" s="38" t="s">
        <v>146</v>
      </c>
      <c r="B70" s="38" t="s">
        <v>162</v>
      </c>
      <c r="C70" s="38" t="s">
        <v>89</v>
      </c>
      <c r="D70" s="21" t="n">
        <v>2231</v>
      </c>
      <c r="E70" s="21" t="n">
        <v>2047</v>
      </c>
      <c r="F70" s="51" t="n">
        <f aca="false">IF(E70="","",D70-E70)</f>
        <v>184</v>
      </c>
      <c r="G70" s="21" t="n">
        <v>2813</v>
      </c>
      <c r="H70" s="21" t="n">
        <v>2499</v>
      </c>
      <c r="I70" s="51" t="n">
        <f aca="false">IF(H70="","",G70-H70)</f>
        <v>314</v>
      </c>
      <c r="J70" s="39" t="n">
        <f aca="false">IF(OR(D70="",D70+G70=0),"",D70/(D70+G70))</f>
        <v>0.442307692307692</v>
      </c>
      <c r="K70" s="39" t="n">
        <f aca="false">IF(E70="","",E70/(E70+H70))</f>
        <v>0.450285965684118</v>
      </c>
      <c r="L70" s="52" t="n">
        <f aca="false">IF(OR(K70="",J70=""),"",(J70-K70)*100)</f>
        <v>-0.797827337642559</v>
      </c>
      <c r="M70" s="38"/>
    </row>
    <row r="71" customFormat="false" ht="15" hidden="false" customHeight="false" outlineLevel="0" collapsed="false">
      <c r="A71" s="38" t="s">
        <v>146</v>
      </c>
      <c r="B71" s="38" t="s">
        <v>163</v>
      </c>
      <c r="C71" s="38" t="s">
        <v>89</v>
      </c>
      <c r="D71" s="21" t="n">
        <v>4022</v>
      </c>
      <c r="E71" s="21" t="n">
        <v>3457</v>
      </c>
      <c r="F71" s="51" t="n">
        <f aca="false">IF(E71="","",D71-E71)</f>
        <v>565</v>
      </c>
      <c r="G71" s="21" t="n">
        <v>3989</v>
      </c>
      <c r="H71" s="21" t="n">
        <v>3805</v>
      </c>
      <c r="I71" s="51" t="n">
        <f aca="false">IF(H71="","",G71-H71)</f>
        <v>184</v>
      </c>
      <c r="J71" s="39" t="n">
        <f aca="false">IF(OR(D71="",D71+G71=0),"",D71/(D71+G71))</f>
        <v>0.50205966795656</v>
      </c>
      <c r="K71" s="39" t="n">
        <f aca="false">IF(E71="","",E71/(E71+H71))</f>
        <v>0.476039658496282</v>
      </c>
      <c r="L71" s="52" t="n">
        <f aca="false">IF(OR(K71="",J71=""),"",(J71-K71)*100)</f>
        <v>2.60200094602778</v>
      </c>
      <c r="M71" s="38"/>
    </row>
    <row r="72" customFormat="false" ht="15" hidden="false" customHeight="false" outlineLevel="0" collapsed="false">
      <c r="A72" s="38" t="s">
        <v>146</v>
      </c>
      <c r="B72" s="38" t="s">
        <v>164</v>
      </c>
      <c r="C72" s="38" t="s">
        <v>89</v>
      </c>
      <c r="D72" s="21" t="n">
        <v>2213</v>
      </c>
      <c r="E72" s="21" t="n">
        <v>2006</v>
      </c>
      <c r="F72" s="51" t="n">
        <f aca="false">IF(E72="","",D72-E72)</f>
        <v>207</v>
      </c>
      <c r="G72" s="21" t="n">
        <v>4313</v>
      </c>
      <c r="H72" s="21" t="n">
        <v>4057</v>
      </c>
      <c r="I72" s="51" t="n">
        <f aca="false">IF(H72="","",G72-H72)</f>
        <v>256</v>
      </c>
      <c r="J72" s="39" t="n">
        <f aca="false">IF(OR(D72="",D72+G72=0),"",D72/(D72+G72))</f>
        <v>0.33910511798958</v>
      </c>
      <c r="K72" s="39" t="n">
        <f aca="false">IF(E72="","",E72/(E72+H72))</f>
        <v>0.330859310572324</v>
      </c>
      <c r="L72" s="52" t="n">
        <f aca="false">IF(OR(K72="",J72=""),"",(J72-K72)*100)</f>
        <v>0.824580741725622</v>
      </c>
      <c r="M72" s="38"/>
    </row>
    <row r="73" customFormat="false" ht="15" hidden="false" customHeight="false" outlineLevel="0" collapsed="false">
      <c r="A73" s="38" t="s">
        <v>146</v>
      </c>
      <c r="B73" s="38" t="s">
        <v>165</v>
      </c>
      <c r="C73" s="38" t="s">
        <v>89</v>
      </c>
      <c r="D73" s="21" t="n">
        <v>1694</v>
      </c>
      <c r="E73" s="21" t="n">
        <v>1596</v>
      </c>
      <c r="F73" s="51" t="n">
        <f aca="false">IF(E73="","",D73-E73)</f>
        <v>98</v>
      </c>
      <c r="G73" s="21" t="n">
        <v>1634</v>
      </c>
      <c r="H73" s="21" t="n">
        <v>1664</v>
      </c>
      <c r="I73" s="51" t="n">
        <f aca="false">IF(H73="","",G73-H73)</f>
        <v>-30</v>
      </c>
      <c r="J73" s="39" t="n">
        <f aca="false">IF(OR(D73="",D73+G73=0),"",D73/(D73+G73))</f>
        <v>0.509014423076923</v>
      </c>
      <c r="K73" s="39" t="n">
        <f aca="false">IF(E73="","",E73/(E73+H73))</f>
        <v>0.489570552147239</v>
      </c>
      <c r="L73" s="52" t="n">
        <f aca="false">IF(OR(K73="",J73=""),"",(J73-K73)*100)</f>
        <v>1.94438709296839</v>
      </c>
      <c r="M73" s="38"/>
    </row>
    <row r="74" customFormat="false" ht="15" hidden="false" customHeight="false" outlineLevel="0" collapsed="false">
      <c r="A74" s="38" t="s">
        <v>146</v>
      </c>
      <c r="B74" s="38" t="s">
        <v>166</v>
      </c>
      <c r="C74" s="38" t="s">
        <v>89</v>
      </c>
      <c r="D74" s="21" t="n">
        <v>875</v>
      </c>
      <c r="E74" s="21" t="n">
        <v>847</v>
      </c>
      <c r="F74" s="51" t="n">
        <f aca="false">IF(E74="","",D74-E74)</f>
        <v>28</v>
      </c>
      <c r="G74" s="21" t="n">
        <v>852</v>
      </c>
      <c r="H74" s="21" t="n">
        <v>889</v>
      </c>
      <c r="I74" s="51" t="n">
        <f aca="false">IF(H74="","",G74-H74)</f>
        <v>-37</v>
      </c>
      <c r="J74" s="39" t="n">
        <f aca="false">IF(OR(D74="",D74+G74=0),"",D74/(D74+G74))</f>
        <v>0.506658946149392</v>
      </c>
      <c r="K74" s="39" t="n">
        <f aca="false">IF(E74="","",E74/(E74+H74))</f>
        <v>0.487903225806452</v>
      </c>
      <c r="L74" s="52" t="n">
        <f aca="false">IF(OR(K74="",J74=""),"",(J74-K74)*100)</f>
        <v>1.87557203429404</v>
      </c>
      <c r="M74" s="38"/>
    </row>
    <row r="75" customFormat="false" ht="15" hidden="false" customHeight="false" outlineLevel="0" collapsed="false">
      <c r="A75" s="38" t="s">
        <v>146</v>
      </c>
      <c r="B75" s="38" t="s">
        <v>167</v>
      </c>
      <c r="C75" s="38" t="s">
        <v>89</v>
      </c>
      <c r="D75" s="21" t="n">
        <v>2837</v>
      </c>
      <c r="E75" s="21" t="n">
        <v>2573</v>
      </c>
      <c r="F75" s="51" t="n">
        <f aca="false">IF(E75="","",D75-E75)</f>
        <v>264</v>
      </c>
      <c r="G75" s="21" t="n">
        <v>2858</v>
      </c>
      <c r="H75" s="21" t="n">
        <v>3023</v>
      </c>
      <c r="I75" s="51" t="n">
        <f aca="false">IF(H75="","",G75-H75)</f>
        <v>-165</v>
      </c>
      <c r="J75" s="39" t="n">
        <f aca="false">IF(OR(D75="",D75+G75=0),"",D75/(D75+G75))</f>
        <v>0.498156277436348</v>
      </c>
      <c r="K75" s="39" t="n">
        <f aca="false">IF(E75="","",E75/(E75+H75))</f>
        <v>0.459792709077913</v>
      </c>
      <c r="L75" s="52" t="n">
        <f aca="false">IF(OR(K75="",J75=""),"",(J75-K75)*100)</f>
        <v>3.83635683584349</v>
      </c>
      <c r="M75" s="38"/>
    </row>
    <row r="76" customFormat="false" ht="15" hidden="false" customHeight="false" outlineLevel="0" collapsed="false">
      <c r="A76" s="38" t="s">
        <v>146</v>
      </c>
      <c r="B76" s="38" t="s">
        <v>168</v>
      </c>
      <c r="C76" s="38" t="s">
        <v>89</v>
      </c>
      <c r="D76" s="21" t="n">
        <v>7743</v>
      </c>
      <c r="E76" s="21" t="n">
        <v>6974</v>
      </c>
      <c r="F76" s="51" t="n">
        <f aca="false">IF(E76="","",D76-E76)</f>
        <v>769</v>
      </c>
      <c r="G76" s="21" t="n">
        <v>6805</v>
      </c>
      <c r="H76" s="21" t="n">
        <v>6736</v>
      </c>
      <c r="I76" s="51" t="n">
        <f aca="false">IF(H76="","",G76-H76)</f>
        <v>69</v>
      </c>
      <c r="J76" s="39" t="n">
        <f aca="false">IF(OR(D76="",D76+G76=0),"",D76/(D76+G76))</f>
        <v>0.532238108331042</v>
      </c>
      <c r="K76" s="39" t="n">
        <f aca="false">IF(E76="","",E76/(E76+H76))</f>
        <v>0.508679795769511</v>
      </c>
      <c r="L76" s="52" t="n">
        <f aca="false">IF(OR(K76="",J76=""),"",(J76-K76)*100)</f>
        <v>2.35583125615307</v>
      </c>
      <c r="M76" s="38"/>
    </row>
    <row r="77" customFormat="false" ht="15" hidden="false" customHeight="false" outlineLevel="0" collapsed="false">
      <c r="A77" s="38" t="s">
        <v>146</v>
      </c>
      <c r="B77" s="38" t="s">
        <v>169</v>
      </c>
      <c r="C77" s="38" t="s">
        <v>89</v>
      </c>
      <c r="D77" s="21" t="n">
        <v>734</v>
      </c>
      <c r="E77" s="21" t="n">
        <v>703</v>
      </c>
      <c r="F77" s="51" t="n">
        <f aca="false">IF(E77="","",D77-E77)</f>
        <v>31</v>
      </c>
      <c r="G77" s="21" t="n">
        <v>1147</v>
      </c>
      <c r="H77" s="21" t="n">
        <v>1180</v>
      </c>
      <c r="I77" s="51" t="n">
        <f aca="false">IF(H77="","",G77-H77)</f>
        <v>-33</v>
      </c>
      <c r="J77" s="39" t="n">
        <f aca="false">IF(OR(D77="",D77+G77=0),"",D77/(D77+G77))</f>
        <v>0.390217969165338</v>
      </c>
      <c r="K77" s="39" t="n">
        <f aca="false">IF(E77="","",E77/(E77+H77))</f>
        <v>0.373340414232608</v>
      </c>
      <c r="L77" s="52" t="n">
        <f aca="false">IF(OR(K77="",J77=""),"",(J77-K77)*100)</f>
        <v>1.687755493273</v>
      </c>
      <c r="M77" s="38"/>
    </row>
    <row r="78" customFormat="false" ht="15" hidden="false" customHeight="false" outlineLevel="0" collapsed="false">
      <c r="A78" s="38" t="s">
        <v>146</v>
      </c>
      <c r="B78" s="38" t="s">
        <v>170</v>
      </c>
      <c r="C78" s="38" t="s">
        <v>89</v>
      </c>
      <c r="D78" s="21" t="n">
        <v>1469</v>
      </c>
      <c r="E78" s="21" t="n">
        <v>1361</v>
      </c>
      <c r="F78" s="51" t="n">
        <f aca="false">IF(E78="","",D78-E78)</f>
        <v>108</v>
      </c>
      <c r="G78" s="21" t="n">
        <v>2821</v>
      </c>
      <c r="H78" s="21" t="n">
        <v>2561</v>
      </c>
      <c r="I78" s="51" t="n">
        <f aca="false">IF(H78="","",G78-H78)</f>
        <v>260</v>
      </c>
      <c r="J78" s="39" t="n">
        <f aca="false">IF(OR(D78="",D78+G78=0),"",D78/(D78+G78))</f>
        <v>0.342424242424242</v>
      </c>
      <c r="K78" s="39" t="n">
        <f aca="false">IF(E78="","",E78/(E78+H78))</f>
        <v>0.347016828148904</v>
      </c>
      <c r="L78" s="52" t="n">
        <f aca="false">IF(OR(K78="",J78=""),"",(J78-K78)*100)</f>
        <v>-0.45925857246612</v>
      </c>
      <c r="M78" s="38"/>
    </row>
    <row r="79" customFormat="false" ht="15" hidden="false" customHeight="false" outlineLevel="0" collapsed="false">
      <c r="A79" s="38" t="s">
        <v>146</v>
      </c>
      <c r="B79" s="38" t="s">
        <v>171</v>
      </c>
      <c r="C79" s="38" t="s">
        <v>89</v>
      </c>
      <c r="D79" s="21" t="n">
        <v>87</v>
      </c>
      <c r="E79" s="21" t="n">
        <v>92</v>
      </c>
      <c r="F79" s="51" t="n">
        <f aca="false">IF(E79="","",D79-E79)</f>
        <v>-5</v>
      </c>
      <c r="G79" s="21" t="n">
        <v>181</v>
      </c>
      <c r="H79" s="21" t="n">
        <v>167</v>
      </c>
      <c r="I79" s="51" t="n">
        <f aca="false">IF(H79="","",G79-H79)</f>
        <v>14</v>
      </c>
      <c r="J79" s="39" t="n">
        <f aca="false">IF(OR(D79="",D79+G79=0),"",D79/(D79+G79))</f>
        <v>0.324626865671642</v>
      </c>
      <c r="K79" s="39" t="n">
        <f aca="false">IF(E79="","",E79/(E79+H79))</f>
        <v>0.355212355212355</v>
      </c>
      <c r="L79" s="52" t="n">
        <f aca="false">IF(OR(K79="",J79=""),"",(J79-K79)*100)</f>
        <v>-3.05854895407134</v>
      </c>
      <c r="M79" s="38"/>
    </row>
    <row r="80" customFormat="false" ht="15" hidden="false" customHeight="false" outlineLevel="0" collapsed="false">
      <c r="A80" s="38" t="s">
        <v>146</v>
      </c>
      <c r="B80" s="38" t="s">
        <v>172</v>
      </c>
      <c r="C80" s="38" t="s">
        <v>89</v>
      </c>
      <c r="D80" s="21" t="n">
        <v>382</v>
      </c>
      <c r="E80" s="21" t="n">
        <v>335</v>
      </c>
      <c r="F80" s="51" t="n">
        <f aca="false">IF(E80="","",D80-E80)</f>
        <v>47</v>
      </c>
      <c r="G80" s="21" t="n">
        <v>587</v>
      </c>
      <c r="H80" s="21" t="n">
        <v>581</v>
      </c>
      <c r="I80" s="51" t="n">
        <f aca="false">IF(H80="","",G80-H80)</f>
        <v>6</v>
      </c>
      <c r="J80" s="39" t="n">
        <f aca="false">IF(OR(D80="",D80+G80=0),"",D80/(D80+G80))</f>
        <v>0.39422084623323</v>
      </c>
      <c r="K80" s="39" t="n">
        <f aca="false">IF(E80="","",E80/(E80+H80))</f>
        <v>0.365720524017467</v>
      </c>
      <c r="L80" s="52" t="n">
        <f aca="false">IF(OR(K80="",J80=""),"",(J80-K80)*100)</f>
        <v>2.85003222157629</v>
      </c>
      <c r="M80" s="38"/>
    </row>
    <row r="81" customFormat="false" ht="15" hidden="false" customHeight="false" outlineLevel="0" collapsed="false">
      <c r="A81" s="38" t="s">
        <v>146</v>
      </c>
      <c r="B81" s="38" t="s">
        <v>173</v>
      </c>
      <c r="C81" s="38" t="s">
        <v>89</v>
      </c>
      <c r="D81" s="21" t="n">
        <v>232</v>
      </c>
      <c r="E81" s="21" t="n">
        <v>210</v>
      </c>
      <c r="F81" s="51" t="n">
        <f aca="false">IF(E81="","",D81-E81)</f>
        <v>22</v>
      </c>
      <c r="G81" s="21" t="n">
        <v>325</v>
      </c>
      <c r="H81" s="21" t="n">
        <v>309</v>
      </c>
      <c r="I81" s="51" t="n">
        <f aca="false">IF(H81="","",G81-H81)</f>
        <v>16</v>
      </c>
      <c r="J81" s="39" t="n">
        <f aca="false">IF(OR(D81="",D81+G81=0),"",D81/(D81+G81))</f>
        <v>0.416517055655296</v>
      </c>
      <c r="K81" s="39" t="n">
        <f aca="false">IF(E81="","",E81/(E81+H81))</f>
        <v>0.404624277456647</v>
      </c>
      <c r="L81" s="52" t="n">
        <f aca="false">IF(OR(K81="",J81=""),"",(J81-K81)*100)</f>
        <v>1.18927781986488</v>
      </c>
      <c r="M81" s="38"/>
    </row>
    <row r="82" customFormat="false" ht="15" hidden="false" customHeight="false" outlineLevel="0" collapsed="false">
      <c r="A82" s="38" t="s">
        <v>146</v>
      </c>
      <c r="B82" s="38" t="s">
        <v>174</v>
      </c>
      <c r="C82" s="38" t="s">
        <v>89</v>
      </c>
      <c r="D82" s="21" t="n">
        <v>324</v>
      </c>
      <c r="E82" s="21" t="n">
        <v>331</v>
      </c>
      <c r="F82" s="51" t="n">
        <f aca="false">IF(E82="","",D82-E82)</f>
        <v>-7</v>
      </c>
      <c r="G82" s="21" t="n">
        <v>419</v>
      </c>
      <c r="H82" s="21" t="n">
        <v>458</v>
      </c>
      <c r="I82" s="51" t="n">
        <f aca="false">IF(H82="","",G82-H82)</f>
        <v>-39</v>
      </c>
      <c r="J82" s="39" t="n">
        <f aca="false">IF(OR(D82="",D82+G82=0),"",D82/(D82+G82))</f>
        <v>0.43606998654105</v>
      </c>
      <c r="K82" s="39" t="n">
        <f aca="false">IF(E82="","",E82/(E82+H82))</f>
        <v>0.419518377693283</v>
      </c>
      <c r="L82" s="52" t="n">
        <f aca="false">IF(OR(K82="",J82=""),"",(J82-K82)*100)</f>
        <v>1.65516088477671</v>
      </c>
      <c r="M82" s="38"/>
    </row>
    <row r="83" customFormat="false" ht="15" hidden="false" customHeight="false" outlineLevel="0" collapsed="false">
      <c r="A83" s="38" t="s">
        <v>146</v>
      </c>
      <c r="B83" s="38" t="s">
        <v>175</v>
      </c>
      <c r="C83" s="38" t="s">
        <v>89</v>
      </c>
      <c r="D83" s="21" t="n">
        <v>1377</v>
      </c>
      <c r="E83" s="21" t="n">
        <v>1242</v>
      </c>
      <c r="F83" s="51" t="n">
        <f aca="false">IF(E83="","",D83-E83)</f>
        <v>135</v>
      </c>
      <c r="G83" s="21" t="n">
        <v>2841</v>
      </c>
      <c r="H83" s="21" t="n">
        <v>2716</v>
      </c>
      <c r="I83" s="51" t="n">
        <f aca="false">IF(H83="","",G83-H83)</f>
        <v>125</v>
      </c>
      <c r="J83" s="39" t="n">
        <f aca="false">IF(OR(D83="",D83+G83=0),"",D83/(D83+G83))</f>
        <v>0.326458036984353</v>
      </c>
      <c r="K83" s="39" t="n">
        <f aca="false">IF(E83="","",E83/(E83+H83))</f>
        <v>0.313794845881759</v>
      </c>
      <c r="L83" s="52" t="n">
        <f aca="false">IF(OR(K83="",J83=""),"",(J83-K83)*100)</f>
        <v>1.26631911025943</v>
      </c>
      <c r="M83" s="38"/>
    </row>
    <row r="84" customFormat="false" ht="15" hidden="false" customHeight="false" outlineLevel="0" collapsed="false">
      <c r="A84" s="38" t="s">
        <v>146</v>
      </c>
      <c r="B84" s="38" t="s">
        <v>176</v>
      </c>
      <c r="C84" s="38" t="s">
        <v>89</v>
      </c>
      <c r="D84" s="21" t="n">
        <v>2126</v>
      </c>
      <c r="E84" s="21" t="n">
        <v>1964</v>
      </c>
      <c r="F84" s="51" t="n">
        <f aca="false">IF(E84="","",D84-E84)</f>
        <v>162</v>
      </c>
      <c r="G84" s="21" t="n">
        <v>2212</v>
      </c>
      <c r="H84" s="21" t="n">
        <v>2147</v>
      </c>
      <c r="I84" s="51" t="n">
        <f aca="false">IF(H84="","",G84-H84)</f>
        <v>65</v>
      </c>
      <c r="J84" s="39" t="n">
        <f aca="false">IF(OR(D84="",D84+G84=0),"",D84/(D84+G84))</f>
        <v>0.490087597971415</v>
      </c>
      <c r="K84" s="39" t="n">
        <f aca="false">IF(E84="","",E84/(E84+H84))</f>
        <v>0.477742641693019</v>
      </c>
      <c r="L84" s="52" t="n">
        <f aca="false">IF(OR(K84="",J84=""),"",(J84-K84)*100)</f>
        <v>1.23449562783967</v>
      </c>
      <c r="M84" s="38"/>
    </row>
    <row r="85" customFormat="false" ht="15" hidden="false" customHeight="false" outlineLevel="0" collapsed="false">
      <c r="A85" s="38" t="s">
        <v>146</v>
      </c>
      <c r="B85" s="38" t="s">
        <v>177</v>
      </c>
      <c r="C85" s="38" t="s">
        <v>89</v>
      </c>
      <c r="D85" s="21" t="n">
        <v>448</v>
      </c>
      <c r="E85" s="21" t="n">
        <v>416</v>
      </c>
      <c r="F85" s="51" t="n">
        <f aca="false">IF(E85="","",D85-E85)</f>
        <v>32</v>
      </c>
      <c r="G85" s="21" t="n">
        <v>616</v>
      </c>
      <c r="H85" s="21" t="n">
        <v>658</v>
      </c>
      <c r="I85" s="51" t="n">
        <f aca="false">IF(H85="","",G85-H85)</f>
        <v>-42</v>
      </c>
      <c r="J85" s="39" t="n">
        <f aca="false">IF(OR(D85="",D85+G85=0),"",D85/(D85+G85))</f>
        <v>0.421052631578947</v>
      </c>
      <c r="K85" s="39" t="n">
        <f aca="false">IF(E85="","",E85/(E85+H85))</f>
        <v>0.387337057728119</v>
      </c>
      <c r="L85" s="52" t="n">
        <f aca="false">IF(OR(K85="",J85=""),"",(J85-K85)*100)</f>
        <v>3.37155738508282</v>
      </c>
      <c r="M85" s="38"/>
    </row>
    <row r="86" customFormat="false" ht="15" hidden="false" customHeight="false" outlineLevel="0" collapsed="false">
      <c r="A86" s="38" t="s">
        <v>146</v>
      </c>
      <c r="B86" s="38" t="s">
        <v>139</v>
      </c>
      <c r="C86" s="38" t="s">
        <v>89</v>
      </c>
      <c r="D86" s="21" t="n">
        <v>1163</v>
      </c>
      <c r="E86" s="21" t="n">
        <v>1041</v>
      </c>
      <c r="F86" s="51" t="n">
        <f aca="false">IF(E86="","",D86-E86)</f>
        <v>122</v>
      </c>
      <c r="G86" s="21" t="n">
        <v>2156</v>
      </c>
      <c r="H86" s="21" t="n">
        <v>2088</v>
      </c>
      <c r="I86" s="51" t="n">
        <f aca="false">IF(H86="","",G86-H86)</f>
        <v>68</v>
      </c>
      <c r="J86" s="39" t="n">
        <f aca="false">IF(OR(D86="",D86+G86=0),"",D86/(D86+G86))</f>
        <v>0.350406749020789</v>
      </c>
      <c r="K86" s="39" t="n">
        <f aca="false">IF(E86="","",E86/(E86+H86))</f>
        <v>0.332694151486098</v>
      </c>
      <c r="L86" s="52" t="n">
        <f aca="false">IF(OR(K86="",J86=""),"",(J86-K86)*100)</f>
        <v>1.77125975346916</v>
      </c>
      <c r="M86" s="38"/>
    </row>
    <row r="87" customFormat="false" ht="15" hidden="false" customHeight="false" outlineLevel="0" collapsed="false">
      <c r="A87" s="38" t="s">
        <v>146</v>
      </c>
      <c r="B87" s="38" t="s">
        <v>178</v>
      </c>
      <c r="C87" s="38" t="s">
        <v>89</v>
      </c>
      <c r="D87" s="21" t="n">
        <v>286</v>
      </c>
      <c r="E87" s="21" t="n">
        <v>281</v>
      </c>
      <c r="F87" s="51" t="n">
        <f aca="false">IF(E87="","",D87-E87)</f>
        <v>5</v>
      </c>
      <c r="G87" s="21" t="n">
        <v>325</v>
      </c>
      <c r="H87" s="21" t="n">
        <v>310</v>
      </c>
      <c r="I87" s="51" t="n">
        <f aca="false">IF(H87="","",G87-H87)</f>
        <v>15</v>
      </c>
      <c r="J87" s="39" t="n">
        <f aca="false">IF(OR(D87="",D87+G87=0),"",D87/(D87+G87))</f>
        <v>0.468085106382979</v>
      </c>
      <c r="K87" s="39" t="n">
        <f aca="false">IF(E87="","",E87/(E87+H87))</f>
        <v>0.475465313028765</v>
      </c>
      <c r="L87" s="52" t="n">
        <f aca="false">IF(OR(K87="",J87=""),"",(J87-K87)*100)</f>
        <v>-0.738020664578609</v>
      </c>
      <c r="M87" s="38"/>
    </row>
    <row r="88" customFormat="false" ht="15" hidden="false" customHeight="false" outlineLevel="0" collapsed="false">
      <c r="A88" s="38" t="s">
        <v>146</v>
      </c>
      <c r="B88" s="38" t="s">
        <v>179</v>
      </c>
      <c r="C88" s="38" t="s">
        <v>89</v>
      </c>
      <c r="D88" s="21" t="n">
        <v>2048</v>
      </c>
      <c r="E88" s="21" t="n">
        <v>1847</v>
      </c>
      <c r="F88" s="51" t="n">
        <f aca="false">IF(E88="","",D88-E88)</f>
        <v>201</v>
      </c>
      <c r="G88" s="21" t="n">
        <v>2516</v>
      </c>
      <c r="H88" s="21" t="n">
        <v>2401</v>
      </c>
      <c r="I88" s="51" t="n">
        <f aca="false">IF(H88="","",G88-H88)</f>
        <v>115</v>
      </c>
      <c r="J88" s="39" t="n">
        <f aca="false">IF(OR(D88="",D88+G88=0),"",D88/(D88+G88))</f>
        <v>0.448729184925504</v>
      </c>
      <c r="K88" s="39" t="n">
        <f aca="false">IF(E88="","",E88/(E88+H88))</f>
        <v>0.434792843691149</v>
      </c>
      <c r="L88" s="52" t="n">
        <f aca="false">IF(OR(K88="",J88=""),"",(J88-K88)*100)</f>
        <v>1.39363412343552</v>
      </c>
      <c r="M88" s="38"/>
    </row>
    <row r="89" customFormat="false" ht="15" hidden="false" customHeight="false" outlineLevel="0" collapsed="false">
      <c r="A89" s="38" t="s">
        <v>146</v>
      </c>
      <c r="B89" s="38" t="s">
        <v>180</v>
      </c>
      <c r="C89" s="38" t="s">
        <v>89</v>
      </c>
      <c r="D89" s="21" t="n">
        <v>1960</v>
      </c>
      <c r="E89" s="21" t="n">
        <v>1897</v>
      </c>
      <c r="F89" s="51" t="n">
        <f aca="false">IF(E89="","",D89-E89)</f>
        <v>63</v>
      </c>
      <c r="G89" s="21" t="n">
        <v>1462</v>
      </c>
      <c r="H89" s="21" t="n">
        <v>1538</v>
      </c>
      <c r="I89" s="51" t="n">
        <f aca="false">IF(H89="","",G89-H89)</f>
        <v>-76</v>
      </c>
      <c r="J89" s="39" t="n">
        <f aca="false">IF(OR(D89="",D89+G89=0),"",D89/(D89+G89))</f>
        <v>0.572764465225015</v>
      </c>
      <c r="K89" s="39" t="n">
        <f aca="false">IF(E89="","",E89/(E89+H89))</f>
        <v>0.552256186317322</v>
      </c>
      <c r="L89" s="52" t="n">
        <f aca="false">IF(OR(K89="",J89=""),"",(J89-K89)*100)</f>
        <v>2.05082789076929</v>
      </c>
      <c r="M89" s="38"/>
    </row>
    <row r="90" customFormat="false" ht="15" hidden="false" customHeight="false" outlineLevel="0" collapsed="false">
      <c r="A90" s="38" t="s">
        <v>146</v>
      </c>
      <c r="B90" s="38" t="s">
        <v>181</v>
      </c>
      <c r="C90" s="38" t="s">
        <v>89</v>
      </c>
      <c r="D90" s="21" t="n">
        <v>647</v>
      </c>
      <c r="E90" s="21" t="n">
        <v>634</v>
      </c>
      <c r="F90" s="51" t="n">
        <f aca="false">IF(E90="","",D90-E90)</f>
        <v>13</v>
      </c>
      <c r="G90" s="21" t="n">
        <v>824</v>
      </c>
      <c r="H90" s="21" t="n">
        <v>856</v>
      </c>
      <c r="I90" s="51" t="n">
        <f aca="false">IF(H90="","",G90-H90)</f>
        <v>-32</v>
      </c>
      <c r="J90" s="39" t="n">
        <f aca="false">IF(OR(D90="",D90+G90=0),"",D90/(D90+G90))</f>
        <v>0.439836845683209</v>
      </c>
      <c r="K90" s="39" t="n">
        <f aca="false">IF(E90="","",E90/(E90+H90))</f>
        <v>0.425503355704698</v>
      </c>
      <c r="L90" s="52" t="n">
        <f aca="false">IF(OR(K90="",J90=""),"",(J90-K90)*100)</f>
        <v>1.43334899785107</v>
      </c>
      <c r="M90" s="38"/>
    </row>
    <row r="92" customFormat="false" ht="15" hidden="false" customHeight="false" outlineLevel="0" collapsed="false">
      <c r="A92" s="11" t="s">
        <v>331</v>
      </c>
      <c r="B92" s="53"/>
      <c r="C92" s="53"/>
      <c r="D92" s="54" t="n">
        <f aca="false">SUMIF(E2:E90,"&lt;&gt;",D2:D90)</f>
        <v>214416</v>
      </c>
      <c r="E92" s="54" t="n">
        <f aca="false">SUM(E2:E90)</f>
        <v>199626</v>
      </c>
      <c r="F92" s="55" t="n">
        <f aca="false">D92-E92</f>
        <v>14790</v>
      </c>
      <c r="G92" s="54" t="n">
        <f aca="false">SUMIF(H2:H90,"&lt;&gt;",G2:G90)</f>
        <v>202440</v>
      </c>
      <c r="H92" s="54" t="n">
        <f aca="false">SUM(H2:H90)</f>
        <v>203688</v>
      </c>
      <c r="I92" s="55" t="n">
        <f aca="false">G92-H92</f>
        <v>-1248</v>
      </c>
      <c r="J92" s="56" t="n">
        <f aca="false">D92/(D92+G92)</f>
        <v>0.514364672692729</v>
      </c>
      <c r="K92" s="56" t="n">
        <f aca="false">E92/(E92+H92)</f>
        <v>0.49496422142549</v>
      </c>
      <c r="L92" s="57" t="n">
        <f aca="false">(J92-K92)*100</f>
        <v>1.94004512672387</v>
      </c>
    </row>
    <row r="93" customFormat="false" ht="15" hidden="false" customHeight="false" outlineLevel="0" collapsed="false">
      <c r="A93" s="11" t="s">
        <v>332</v>
      </c>
      <c r="B93" s="53"/>
      <c r="C93" s="53"/>
      <c r="D93" s="54" t="n">
        <f aca="false">SUM(D2:D90)</f>
        <v>214416</v>
      </c>
      <c r="E93" s="54"/>
      <c r="F93" s="55"/>
      <c r="G93" s="54" t="n">
        <f aca="false">SUM(G2:G90)</f>
        <v>202440</v>
      </c>
      <c r="H93" s="54"/>
      <c r="I93" s="55"/>
      <c r="J93" s="56" t="n">
        <f aca="false">D93/(D93+G93)</f>
        <v>0.514364672692729</v>
      </c>
      <c r="K93" s="56"/>
      <c r="L93" s="57"/>
    </row>
    <row r="95" customFormat="false" ht="15" hidden="false" customHeight="false" outlineLevel="0" collapsed="false">
      <c r="A95" s="2" t="s">
        <v>333</v>
      </c>
      <c r="F95" s="58" t="n">
        <f aca="false">(SUMIF(F2:F90,"&gt;0")-SUMIF(F2:F90,"&lt;0"))/COUNT(F2:F90)</f>
        <v>173.887640449438</v>
      </c>
    </row>
    <row r="96" customFormat="false" ht="15" hidden="false" customHeight="false" outlineLevel="0" collapsed="false">
      <c r="A96" s="2" t="s">
        <v>334</v>
      </c>
      <c r="F96" s="58" t="n">
        <f aca="false">(SUMIF(I2:I90,"&gt;0")-SUMIF(I2:I90,"&lt;0"))/COUNT(I2:I90)</f>
        <v>144.359550561798</v>
      </c>
    </row>
    <row r="97" customFormat="false" ht="15" hidden="false" customHeight="false" outlineLevel="0" collapsed="false">
      <c r="A97" s="2" t="s">
        <v>335</v>
      </c>
      <c r="F97" s="59" t="n">
        <f aca="false">(SUMIF(L2:L90,"&gt;0")-SUMIF(L2:L90,"&lt;0"))/COUNT(L2:L90)</f>
        <v>2.14144594422439</v>
      </c>
    </row>
    <row r="98" customFormat="false" ht="15" hidden="false" customHeight="false" outlineLevel="0" collapsed="false">
      <c r="A98" s="5" t="s">
        <v>336</v>
      </c>
      <c r="F98" s="60" t="n">
        <f aca="false">SQRT(SUMSQ(L2:L90)/COUNT(L2:L90))</f>
        <v>2.62529308210903</v>
      </c>
    </row>
    <row r="99" customFormat="false" ht="15" hidden="false" customHeight="false" outlineLevel="0" collapsed="false">
      <c r="A99" s="5" t="s">
        <v>337</v>
      </c>
      <c r="F99" s="61" t="n">
        <f aca="false">L92</f>
        <v>1.94004512672387</v>
      </c>
    </row>
    <row r="100" customFormat="false" ht="15" hidden="false" customHeight="false" outlineLevel="0" collapsed="false">
      <c r="A100" s="5" t="s">
        <v>338</v>
      </c>
      <c r="F100" s="60" t="n">
        <f aca="false">SQRT((SUMSQ(L2:L90)-2*L92*SUM(L2:L90)+COUNT(L2:L90)*L92^2)/COUNT(L2:L90))</f>
        <v>1.8786634707146</v>
      </c>
    </row>
    <row r="101" customFormat="false" ht="15" hidden="false" customHeight="false" outlineLevel="0" collapsed="false">
      <c r="A101" s="2" t="s">
        <v>339</v>
      </c>
      <c r="F101" s="62" t="n">
        <f aca="false">(D92+G92)/(E92+H92)-1</f>
        <v>0.0335768160787873</v>
      </c>
    </row>
    <row r="102" customFormat="false" ht="15" hidden="false" customHeight="false" outlineLevel="0" collapsed="false">
      <c r="A102" s="2" t="s">
        <v>340</v>
      </c>
      <c r="F102" s="63" t="n">
        <f aca="false">COUNTIFS(L2:L90,"&gt;=-3",L2:L90,"&lt;=3")/COUNT(L2:L90)</f>
        <v>0.741573033707865</v>
      </c>
    </row>
    <row r="103" customFormat="false" ht="15" hidden="false" customHeight="false" outlineLevel="0" collapsed="false">
      <c r="A103" s="2" t="s">
        <v>341</v>
      </c>
      <c r="F103" s="64" t="n">
        <f aca="false">COUNT(E2:E90)</f>
        <v>89</v>
      </c>
    </row>
    <row r="104" customFormat="false" ht="15" hidden="false" customHeight="false" outlineLevel="0" collapsed="false">
      <c r="A104" s="2" t="s">
        <v>342</v>
      </c>
      <c r="F104" s="64" t="n">
        <f aca="false">COUNTA(A2:A90)</f>
        <v>89</v>
      </c>
    </row>
    <row r="106" customFormat="false" ht="15" hidden="false" customHeight="false" outlineLevel="0" collapsed="false">
      <c r="M106" s="5" t="s">
        <v>69</v>
      </c>
    </row>
    <row r="107" customFormat="false" ht="28.35" hidden="false" customHeight="false" outlineLevel="0" collapsed="false">
      <c r="M107" s="50" t="s">
        <v>343</v>
      </c>
    </row>
    <row r="108" customFormat="false" ht="28.35" hidden="false" customHeight="false" outlineLevel="0" collapsed="false">
      <c r="M108" s="50" t="s">
        <v>344</v>
      </c>
    </row>
    <row r="109" customFormat="false" ht="41.75" hidden="false" customHeight="false" outlineLevel="0" collapsed="false">
      <c r="M109" s="50" t="s">
        <v>345</v>
      </c>
    </row>
    <row r="110" customFormat="false" ht="55.2" hidden="false" customHeight="false" outlineLevel="0" collapsed="false">
      <c r="M110" s="50" t="s">
        <v>346</v>
      </c>
    </row>
    <row r="111" customFormat="false" ht="55.2" hidden="false" customHeight="false" outlineLevel="0" collapsed="false">
      <c r="M111" s="50" t="s">
        <v>355</v>
      </c>
    </row>
    <row r="112" customFormat="false" ht="28.35" hidden="false" customHeight="false" outlineLevel="0" collapsed="false">
      <c r="M112" s="50" t="s">
        <v>348</v>
      </c>
    </row>
    <row r="113" customFormat="false" ht="28.35" hidden="false" customHeight="false" outlineLevel="0" collapsed="false">
      <c r="M113" s="50" t="s">
        <v>349</v>
      </c>
    </row>
    <row r="114" customFormat="false" ht="28.35" hidden="false" customHeight="false" outlineLevel="0" collapsed="false">
      <c r="M114" s="50" t="s">
        <v>350</v>
      </c>
    </row>
    <row r="115" customFormat="false" ht="15" hidden="false" customHeight="false" outlineLevel="0" collapsed="false">
      <c r="M115" s="50" t="s">
        <v>351</v>
      </c>
    </row>
    <row r="116" customFormat="false" ht="15" hidden="false" customHeight="false" outlineLevel="0" collapsed="false">
      <c r="M116" s="50" t="s">
        <v>352</v>
      </c>
    </row>
    <row r="117" customFormat="false" ht="28.35" hidden="false" customHeight="false" outlineLevel="0" collapsed="false">
      <c r="M117" s="50" t="s">
        <v>353</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65" t="s">
        <v>356</v>
      </c>
    </row>
    <row r="2" customFormat="false" ht="28.35" hidden="false" customHeight="false" outlineLevel="0" collapsed="false">
      <c r="A2" s="50" t="s">
        <v>357</v>
      </c>
    </row>
    <row r="3" customFormat="false" ht="28.35" hidden="false" customHeight="false" outlineLevel="0" collapsed="false">
      <c r="A3" s="50" t="s">
        <v>358</v>
      </c>
    </row>
    <row r="4" customFormat="false" ht="15" hidden="false" customHeight="false" outlineLevel="0" collapsed="false">
      <c r="A4" s="50"/>
    </row>
    <row r="5" customFormat="false" ht="15" hidden="false" customHeight="false" outlineLevel="0" collapsed="false">
      <c r="A5" s="65" t="s">
        <v>359</v>
      </c>
    </row>
    <row r="6" customFormat="false" ht="28.35" hidden="false" customHeight="false" outlineLevel="0" collapsed="false">
      <c r="A6" s="50" t="s">
        <v>360</v>
      </c>
    </row>
    <row r="7" customFormat="false" ht="28.35" hidden="false" customHeight="false" outlineLevel="0" collapsed="false">
      <c r="A7" s="50" t="s">
        <v>361</v>
      </c>
    </row>
    <row r="8" customFormat="false" ht="15" hidden="false" customHeight="false" outlineLevel="0" collapsed="false">
      <c r="A8" s="50"/>
    </row>
    <row r="9" customFormat="false" ht="15" hidden="false" customHeight="false" outlineLevel="0" collapsed="false">
      <c r="A9" s="65" t="s">
        <v>362</v>
      </c>
    </row>
    <row r="10" customFormat="false" ht="28.35" hidden="false" customHeight="false" outlineLevel="0" collapsed="false">
      <c r="A10" s="50" t="s">
        <v>363</v>
      </c>
    </row>
    <row r="11" customFormat="false" ht="28.35" hidden="false" customHeight="false" outlineLevel="0" collapsed="false">
      <c r="A11" s="50" t="s">
        <v>364</v>
      </c>
    </row>
    <row r="12" customFormat="false" ht="15" hidden="false" customHeight="false" outlineLevel="0" collapsed="false">
      <c r="A12" s="50"/>
    </row>
    <row r="13" customFormat="false" ht="15" hidden="false" customHeight="false" outlineLevel="0" collapsed="false">
      <c r="A13" s="65" t="s">
        <v>365</v>
      </c>
    </row>
    <row r="14" customFormat="false" ht="15" hidden="false" customHeight="false" outlineLevel="0" collapsed="false">
      <c r="A14" s="50" t="s">
        <v>366</v>
      </c>
    </row>
    <row r="15" customFormat="false" ht="15" hidden="false" customHeight="false" outlineLevel="0" collapsed="false">
      <c r="A15" s="50" t="s">
        <v>367</v>
      </c>
    </row>
    <row r="16" customFormat="false" ht="15" hidden="false" customHeight="false" outlineLevel="0" collapsed="false">
      <c r="A16" s="50"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2026-10-05T19:41:16Z</dcterms:created>
  <dc:creator>openpyxl</dc:creator>
  <dc:description/>
  <dc:language>en-US</dc:language>
  <cp:lastModifiedBy/>
  <dcterms:modified xsi:type="dcterms:W3CDTF">2026-10-05T19:41:17Z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