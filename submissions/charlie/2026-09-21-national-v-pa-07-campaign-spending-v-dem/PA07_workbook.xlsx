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charlieweinstein/Desktop/"/>
    </mc:Choice>
  </mc:AlternateContent>
  <xr:revisionPtr revIDLastSave="0" documentId="13_ncr:1_{728597B4-C6DC-1F46-AAC0-0DDA5903E87E}" xr6:coauthVersionLast="47" xr6:coauthVersionMax="47" xr10:uidLastSave="{00000000-0000-0000-0000-000000000000}"/>
  <bookViews>
    <workbookView xWindow="0" yWindow="680" windowWidth="16380" windowHeight="8200" tabRatio="500" activeTab="1" xr2:uid="{00000000-000D-0000-FFFF-FFFF00000000}"/>
  </bookViews>
  <sheets>
    <sheet name="Beta Coefficient" sheetId="5" r:id="rId1"/>
    <sheet name="Municipal Master Data" sheetId="1" r:id="rId2"/>
    <sheet name="District Rollup" sheetId="2" r:id="rId3"/>
    <sheet name="Registration &amp; Turnout" sheetId="3" r:id="rId4"/>
    <sheet name="National Races Data" sheetId="4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4" i="5" l="1"/>
  <c r="D34" i="5"/>
  <c r="C34" i="5"/>
  <c r="B34" i="5"/>
  <c r="D19" i="5"/>
  <c r="E19" i="5" s="1"/>
  <c r="B33" i="5" s="1"/>
  <c r="D18" i="5"/>
  <c r="E18" i="5" s="1"/>
  <c r="D17" i="5"/>
  <c r="E17" i="5" s="1"/>
  <c r="D16" i="5"/>
  <c r="E16" i="5" s="1"/>
  <c r="B6" i="5"/>
  <c r="B5" i="5"/>
  <c r="B4" i="5"/>
  <c r="Q1117" i="4"/>
  <c r="Q1116" i="4"/>
  <c r="Q1115" i="4"/>
  <c r="Q1114" i="4"/>
  <c r="Q1113" i="4"/>
  <c r="Q1112" i="4"/>
  <c r="Q1111" i="4"/>
  <c r="Q1110" i="4"/>
  <c r="Q1109" i="4"/>
  <c r="Q1108" i="4"/>
  <c r="Q1107" i="4"/>
  <c r="Q1106" i="4"/>
  <c r="Q1105" i="4"/>
  <c r="Q1104" i="4"/>
  <c r="Q1103" i="4"/>
  <c r="Q1102" i="4"/>
  <c r="Q1101" i="4"/>
  <c r="Q1100" i="4"/>
  <c r="Q1099" i="4"/>
  <c r="Q1098" i="4"/>
  <c r="Q1097" i="4"/>
  <c r="Q1096" i="4"/>
  <c r="Q1095" i="4"/>
  <c r="Q1094" i="4"/>
  <c r="Q1093" i="4"/>
  <c r="Q1092" i="4"/>
  <c r="Q1091" i="4"/>
  <c r="Q1090" i="4"/>
  <c r="Q1089" i="4"/>
  <c r="Q1088" i="4"/>
  <c r="Q1087" i="4"/>
  <c r="Q1086" i="4"/>
  <c r="Q1085" i="4"/>
  <c r="Q1084" i="4"/>
  <c r="Q1083" i="4"/>
  <c r="Q1082" i="4"/>
  <c r="Q1081" i="4"/>
  <c r="Q1080" i="4"/>
  <c r="Q1079" i="4"/>
  <c r="Q1078" i="4"/>
  <c r="Q1077" i="4"/>
  <c r="Q1076" i="4"/>
  <c r="Q1075" i="4"/>
  <c r="Q1074" i="4"/>
  <c r="Q1073" i="4"/>
  <c r="Q1072" i="4"/>
  <c r="Q1071" i="4"/>
  <c r="Q1070" i="4"/>
  <c r="Q1069" i="4"/>
  <c r="Q1068" i="4"/>
  <c r="Q1067" i="4"/>
  <c r="Q1066" i="4"/>
  <c r="Q1065" i="4"/>
  <c r="Q1064" i="4"/>
  <c r="Q1063" i="4"/>
  <c r="Q1062" i="4"/>
  <c r="Q1061" i="4"/>
  <c r="Q1060" i="4"/>
  <c r="Q1059" i="4"/>
  <c r="Q1058" i="4"/>
  <c r="Q1057" i="4"/>
  <c r="Q1056" i="4"/>
  <c r="Q1055" i="4"/>
  <c r="Q1054" i="4"/>
  <c r="Q1053" i="4"/>
  <c r="Q1052" i="4"/>
  <c r="Q1051" i="4"/>
  <c r="Q1050" i="4"/>
  <c r="Q1049" i="4"/>
  <c r="Q1048" i="4"/>
  <c r="Q1047" i="4"/>
  <c r="Q1046" i="4"/>
  <c r="Q1045" i="4"/>
  <c r="Q1044" i="4"/>
  <c r="Q1043" i="4"/>
  <c r="Q1042" i="4"/>
  <c r="Q1041" i="4"/>
  <c r="Q1040" i="4"/>
  <c r="Q1039" i="4"/>
  <c r="Q1038" i="4"/>
  <c r="Q1037" i="4"/>
  <c r="Q1036" i="4"/>
  <c r="Q1035" i="4"/>
  <c r="Q1034" i="4"/>
  <c r="Q1033" i="4"/>
  <c r="Q1032" i="4"/>
  <c r="Q1031" i="4"/>
  <c r="Q1030" i="4"/>
  <c r="Q1029" i="4"/>
  <c r="Q1028" i="4"/>
  <c r="Q1027" i="4"/>
  <c r="Q1026" i="4"/>
  <c r="Q1025" i="4"/>
  <c r="Q1024" i="4"/>
  <c r="Q1023" i="4"/>
  <c r="Q1022" i="4"/>
  <c r="Q1021" i="4"/>
  <c r="Q1020" i="4"/>
  <c r="Q1019" i="4"/>
  <c r="Q1018" i="4"/>
  <c r="Q1017" i="4"/>
  <c r="Q1016" i="4"/>
  <c r="Q1015" i="4"/>
  <c r="Q1014" i="4"/>
  <c r="Q1013" i="4"/>
  <c r="Q1012" i="4"/>
  <c r="Q1011" i="4"/>
  <c r="Q1010" i="4"/>
  <c r="Q1009" i="4"/>
  <c r="Q1008" i="4"/>
  <c r="Q1007" i="4"/>
  <c r="Q1006" i="4"/>
  <c r="Q1005" i="4"/>
  <c r="Q1004" i="4"/>
  <c r="Q1003" i="4"/>
  <c r="Q1002" i="4"/>
  <c r="Q1001" i="4"/>
  <c r="Q1000" i="4"/>
  <c r="Q999" i="4"/>
  <c r="Q998" i="4"/>
  <c r="Q997" i="4"/>
  <c r="Q996" i="4"/>
  <c r="Q995" i="4"/>
  <c r="Q994" i="4"/>
  <c r="Q993" i="4"/>
  <c r="Q992" i="4"/>
  <c r="Q991" i="4"/>
  <c r="Q990" i="4"/>
  <c r="Q989" i="4"/>
  <c r="Q988" i="4"/>
  <c r="Q987" i="4"/>
  <c r="Q986" i="4"/>
  <c r="Q985" i="4"/>
  <c r="Q984" i="4"/>
  <c r="Q983" i="4"/>
  <c r="Q982" i="4"/>
  <c r="Q981" i="4"/>
  <c r="Q980" i="4"/>
  <c r="Q979" i="4"/>
  <c r="Q978" i="4"/>
  <c r="Q977" i="4"/>
  <c r="Q976" i="4"/>
  <c r="Q975" i="4"/>
  <c r="Q974" i="4"/>
  <c r="Q973" i="4"/>
  <c r="Q972" i="4"/>
  <c r="Q971" i="4"/>
  <c r="Q970" i="4"/>
  <c r="Q969" i="4"/>
  <c r="Q968" i="4"/>
  <c r="Q967" i="4"/>
  <c r="Q966" i="4"/>
  <c r="Q965" i="4"/>
  <c r="Q964" i="4"/>
  <c r="Q963" i="4"/>
  <c r="Q962" i="4"/>
  <c r="Q961" i="4"/>
  <c r="Q960" i="4"/>
  <c r="Q959" i="4"/>
  <c r="Q958" i="4"/>
  <c r="Q957" i="4"/>
  <c r="Q956" i="4"/>
  <c r="Q955" i="4"/>
  <c r="Q954" i="4"/>
  <c r="Q953" i="4"/>
  <c r="Q952" i="4"/>
  <c r="Q951" i="4"/>
  <c r="Q950" i="4"/>
  <c r="Q949" i="4"/>
  <c r="Q948" i="4"/>
  <c r="Q947" i="4"/>
  <c r="Q946" i="4"/>
  <c r="Q945" i="4"/>
  <c r="Q944" i="4"/>
  <c r="Q943" i="4"/>
  <c r="Q942" i="4"/>
  <c r="Q941" i="4"/>
  <c r="Q940" i="4"/>
  <c r="Q939" i="4"/>
  <c r="Q938" i="4"/>
  <c r="Q937" i="4"/>
  <c r="Q936" i="4"/>
  <c r="Q935" i="4"/>
  <c r="Q934" i="4"/>
  <c r="Q933" i="4"/>
  <c r="Q932" i="4"/>
  <c r="Q931" i="4"/>
  <c r="Q930" i="4"/>
  <c r="Q929" i="4"/>
  <c r="Q928" i="4"/>
  <c r="Q927" i="4"/>
  <c r="Q926" i="4"/>
  <c r="Q925" i="4"/>
  <c r="Q924" i="4"/>
  <c r="Q923" i="4"/>
  <c r="Q922" i="4"/>
  <c r="Q921" i="4"/>
  <c r="Q920" i="4"/>
  <c r="Q919" i="4"/>
  <c r="Q918" i="4"/>
  <c r="Q917" i="4"/>
  <c r="Q916" i="4"/>
  <c r="Q915" i="4"/>
  <c r="Q914" i="4"/>
  <c r="Q913" i="4"/>
  <c r="Q912" i="4"/>
  <c r="Q911" i="4"/>
  <c r="Q910" i="4"/>
  <c r="Q909" i="4"/>
  <c r="Q908" i="4"/>
  <c r="Q907" i="4"/>
  <c r="Q906" i="4"/>
  <c r="Q905" i="4"/>
  <c r="Q904" i="4"/>
  <c r="Q903" i="4"/>
  <c r="Q902" i="4"/>
  <c r="Q901" i="4"/>
  <c r="Q900" i="4"/>
  <c r="Q899" i="4"/>
  <c r="Q898" i="4"/>
  <c r="Q897" i="4"/>
  <c r="Q896" i="4"/>
  <c r="Q895" i="4"/>
  <c r="Q894" i="4"/>
  <c r="Q893" i="4"/>
  <c r="Q892" i="4"/>
  <c r="Q891" i="4"/>
  <c r="Q890" i="4"/>
  <c r="Q889" i="4"/>
  <c r="Q888" i="4"/>
  <c r="Q887" i="4"/>
  <c r="Q886" i="4"/>
  <c r="Q885" i="4"/>
  <c r="Q884" i="4"/>
  <c r="Q883" i="4"/>
  <c r="Q882" i="4"/>
  <c r="Q881" i="4"/>
  <c r="Q880" i="4"/>
  <c r="Q879" i="4"/>
  <c r="Q878" i="4"/>
  <c r="Q877" i="4"/>
  <c r="Q876" i="4"/>
  <c r="Q875" i="4"/>
  <c r="Q874" i="4"/>
  <c r="Q873" i="4"/>
  <c r="Q872" i="4"/>
  <c r="Q871" i="4"/>
  <c r="Q870" i="4"/>
  <c r="Q869" i="4"/>
  <c r="Q868" i="4"/>
  <c r="Q867" i="4"/>
  <c r="Q866" i="4"/>
  <c r="Q865" i="4"/>
  <c r="Q864" i="4"/>
  <c r="Q863" i="4"/>
  <c r="Q862" i="4"/>
  <c r="Q861" i="4"/>
  <c r="Q860" i="4"/>
  <c r="Q859" i="4"/>
  <c r="Q858" i="4"/>
  <c r="Q857" i="4"/>
  <c r="Q856" i="4"/>
  <c r="Q855" i="4"/>
  <c r="Q854" i="4"/>
  <c r="Q853" i="4"/>
  <c r="Q852" i="4"/>
  <c r="Q851" i="4"/>
  <c r="Q850" i="4"/>
  <c r="Q849" i="4"/>
  <c r="Q848" i="4"/>
  <c r="Q847" i="4"/>
  <c r="Q846" i="4"/>
  <c r="Q845" i="4"/>
  <c r="Q844" i="4"/>
  <c r="Q843" i="4"/>
  <c r="Q842" i="4"/>
  <c r="Q841" i="4"/>
  <c r="Q840" i="4"/>
  <c r="Q839" i="4"/>
  <c r="Q838" i="4"/>
  <c r="Q837" i="4"/>
  <c r="Q836" i="4"/>
  <c r="Q835" i="4"/>
  <c r="Q834" i="4"/>
  <c r="Q833" i="4"/>
  <c r="Q832" i="4"/>
  <c r="Q831" i="4"/>
  <c r="Q830" i="4"/>
  <c r="Q829" i="4"/>
  <c r="Q828" i="4"/>
  <c r="Q827" i="4"/>
  <c r="Q826" i="4"/>
  <c r="Q825" i="4"/>
  <c r="Q824" i="4"/>
  <c r="Q823" i="4"/>
  <c r="Q822" i="4"/>
  <c r="Q821" i="4"/>
  <c r="Q820" i="4"/>
  <c r="Q819" i="4"/>
  <c r="Q818" i="4"/>
  <c r="Q817" i="4"/>
  <c r="Q816" i="4"/>
  <c r="Q815" i="4"/>
  <c r="Q814" i="4"/>
  <c r="Q813" i="4"/>
  <c r="Q812" i="4"/>
  <c r="Q811" i="4"/>
  <c r="Q810" i="4"/>
  <c r="Q809" i="4"/>
  <c r="Q808" i="4"/>
  <c r="Q807" i="4"/>
  <c r="Q806" i="4"/>
  <c r="Q805" i="4"/>
  <c r="Q804" i="4"/>
  <c r="Q803" i="4"/>
  <c r="Q802" i="4"/>
  <c r="Q801" i="4"/>
  <c r="Q800" i="4"/>
  <c r="Q799" i="4"/>
  <c r="Q798" i="4"/>
  <c r="Q797" i="4"/>
  <c r="Q796" i="4"/>
  <c r="Q795" i="4"/>
  <c r="Q794" i="4"/>
  <c r="Q793" i="4"/>
  <c r="Q792" i="4"/>
  <c r="Q791" i="4"/>
  <c r="Q790" i="4"/>
  <c r="Q789" i="4"/>
  <c r="Q788" i="4"/>
  <c r="Q787" i="4"/>
  <c r="Q786" i="4"/>
  <c r="Q785" i="4"/>
  <c r="Q784" i="4"/>
  <c r="Q783" i="4"/>
  <c r="Q782" i="4"/>
  <c r="Q781" i="4"/>
  <c r="Q780" i="4"/>
  <c r="Q779" i="4"/>
  <c r="Q778" i="4"/>
  <c r="Q777" i="4"/>
  <c r="Q776" i="4"/>
  <c r="Q775" i="4"/>
  <c r="Q774" i="4"/>
  <c r="Q773" i="4"/>
  <c r="Q772" i="4"/>
  <c r="Q771" i="4"/>
  <c r="Q770" i="4"/>
  <c r="Q769" i="4"/>
  <c r="Q768" i="4"/>
  <c r="Q767" i="4"/>
  <c r="Q766" i="4"/>
  <c r="Q765" i="4"/>
  <c r="Q764" i="4"/>
  <c r="Q763" i="4"/>
  <c r="Q762" i="4"/>
  <c r="Q761" i="4"/>
  <c r="Q760" i="4"/>
  <c r="Q759" i="4"/>
  <c r="Q758" i="4"/>
  <c r="Q757" i="4"/>
  <c r="Q756" i="4"/>
  <c r="Q755" i="4"/>
  <c r="Q754" i="4"/>
  <c r="Q753" i="4"/>
  <c r="Q752" i="4"/>
  <c r="Q751" i="4"/>
  <c r="Q750" i="4"/>
  <c r="Q749" i="4"/>
  <c r="Q748" i="4"/>
  <c r="Q747" i="4"/>
  <c r="Q746" i="4"/>
  <c r="Q745" i="4"/>
  <c r="Q744" i="4"/>
  <c r="Q743" i="4"/>
  <c r="Q742" i="4"/>
  <c r="Q741" i="4"/>
  <c r="Q740" i="4"/>
  <c r="Q739" i="4"/>
  <c r="Q738" i="4"/>
  <c r="Q737" i="4"/>
  <c r="Q736" i="4"/>
  <c r="Q735" i="4"/>
  <c r="Q734" i="4"/>
  <c r="Q733" i="4"/>
  <c r="Q732" i="4"/>
  <c r="Q731" i="4"/>
  <c r="Q730" i="4"/>
  <c r="Q729" i="4"/>
  <c r="Q728" i="4"/>
  <c r="Q727" i="4"/>
  <c r="Q726" i="4"/>
  <c r="Q725" i="4"/>
  <c r="Q724" i="4"/>
  <c r="Q723" i="4"/>
  <c r="Q722" i="4"/>
  <c r="Q721" i="4"/>
  <c r="Q720" i="4"/>
  <c r="Q719" i="4"/>
  <c r="Q718" i="4"/>
  <c r="Q717" i="4"/>
  <c r="Q716" i="4"/>
  <c r="Q715" i="4"/>
  <c r="Q714" i="4"/>
  <c r="Q713" i="4"/>
  <c r="Q712" i="4"/>
  <c r="Q711" i="4"/>
  <c r="Q710" i="4"/>
  <c r="Q709" i="4"/>
  <c r="Q708" i="4"/>
  <c r="Q707" i="4"/>
  <c r="Q706" i="4"/>
  <c r="Q705" i="4"/>
  <c r="Q704" i="4"/>
  <c r="Q703" i="4"/>
  <c r="Q702" i="4"/>
  <c r="Q701" i="4"/>
  <c r="Q700" i="4"/>
  <c r="Q699" i="4"/>
  <c r="Q698" i="4"/>
  <c r="Q697" i="4"/>
  <c r="Q696" i="4"/>
  <c r="Q695" i="4"/>
  <c r="Q694" i="4"/>
  <c r="Q693" i="4"/>
  <c r="Q692" i="4"/>
  <c r="Q691" i="4"/>
  <c r="Q690" i="4"/>
  <c r="Q689" i="4"/>
  <c r="Q688" i="4"/>
  <c r="Q687" i="4"/>
  <c r="Q686" i="4"/>
  <c r="Q685" i="4"/>
  <c r="Q684" i="4"/>
  <c r="Q683" i="4"/>
  <c r="Q682" i="4"/>
  <c r="Q681" i="4"/>
  <c r="Q680" i="4"/>
  <c r="Q679" i="4"/>
  <c r="Q678" i="4"/>
  <c r="Q677" i="4"/>
  <c r="Q676" i="4"/>
  <c r="Q675" i="4"/>
  <c r="Q674" i="4"/>
  <c r="Q673" i="4"/>
  <c r="Q672" i="4"/>
  <c r="Q671" i="4"/>
  <c r="Q670" i="4"/>
  <c r="Q669" i="4"/>
  <c r="Q668" i="4"/>
  <c r="Q667" i="4"/>
  <c r="Q666" i="4"/>
  <c r="Q665" i="4"/>
  <c r="Q664" i="4"/>
  <c r="Q663" i="4"/>
  <c r="Q662" i="4"/>
  <c r="Q661" i="4"/>
  <c r="Q660" i="4"/>
  <c r="Q659" i="4"/>
  <c r="Q658" i="4"/>
  <c r="Q657" i="4"/>
  <c r="Q656" i="4"/>
  <c r="Q655" i="4"/>
  <c r="Q654" i="4"/>
  <c r="Q653" i="4"/>
  <c r="Q652" i="4"/>
  <c r="Q651" i="4"/>
  <c r="Q650" i="4"/>
  <c r="Q649" i="4"/>
  <c r="Q648" i="4"/>
  <c r="Q647" i="4"/>
  <c r="Q646" i="4"/>
  <c r="Q645" i="4"/>
  <c r="Q644" i="4"/>
  <c r="Q643" i="4"/>
  <c r="Q642" i="4"/>
  <c r="Q641" i="4"/>
  <c r="Q640" i="4"/>
  <c r="Q639" i="4"/>
  <c r="Q638" i="4"/>
  <c r="Q637" i="4"/>
  <c r="Q636" i="4"/>
  <c r="Q635" i="4"/>
  <c r="Q634" i="4"/>
  <c r="Q633" i="4"/>
  <c r="Q632" i="4"/>
  <c r="Q631" i="4"/>
  <c r="Q630" i="4"/>
  <c r="Q629" i="4"/>
  <c r="Q628" i="4"/>
  <c r="Q627" i="4"/>
  <c r="Q626" i="4"/>
  <c r="Q625" i="4"/>
  <c r="Q624" i="4"/>
  <c r="Q623" i="4"/>
  <c r="Q622" i="4"/>
  <c r="Q621" i="4"/>
  <c r="Q620" i="4"/>
  <c r="Q619" i="4"/>
  <c r="Q618" i="4"/>
  <c r="Q617" i="4"/>
  <c r="Q616" i="4"/>
  <c r="Q615" i="4"/>
  <c r="Q614" i="4"/>
  <c r="Q613" i="4"/>
  <c r="Q612" i="4"/>
  <c r="Q611" i="4"/>
  <c r="Q610" i="4"/>
  <c r="Q609" i="4"/>
  <c r="Q608" i="4"/>
  <c r="Q607" i="4"/>
  <c r="Q606" i="4"/>
  <c r="Q605" i="4"/>
  <c r="Q604" i="4"/>
  <c r="Q603" i="4"/>
  <c r="Q602" i="4"/>
  <c r="Q601" i="4"/>
  <c r="Q600" i="4"/>
  <c r="Q599" i="4"/>
  <c r="Q598" i="4"/>
  <c r="Q597" i="4"/>
  <c r="Q596" i="4"/>
  <c r="Q595" i="4"/>
  <c r="Q594" i="4"/>
  <c r="Q593" i="4"/>
  <c r="Q592" i="4"/>
  <c r="Q591" i="4"/>
  <c r="Q590" i="4"/>
  <c r="Q589" i="4"/>
  <c r="Q588" i="4"/>
  <c r="Q587" i="4"/>
  <c r="Q586" i="4"/>
  <c r="Q585" i="4"/>
  <c r="Q584" i="4"/>
  <c r="Q583" i="4"/>
  <c r="Q582" i="4"/>
  <c r="Q581" i="4"/>
  <c r="Q580" i="4"/>
  <c r="Q579" i="4"/>
  <c r="Q578" i="4"/>
  <c r="Q577" i="4"/>
  <c r="Q576" i="4"/>
  <c r="Q575" i="4"/>
  <c r="Q574" i="4"/>
  <c r="Q573" i="4"/>
  <c r="Q572" i="4"/>
  <c r="Q571" i="4"/>
  <c r="Q570" i="4"/>
  <c r="Q569" i="4"/>
  <c r="Q568" i="4"/>
  <c r="Q567" i="4"/>
  <c r="Q566" i="4"/>
  <c r="Q565" i="4"/>
  <c r="Q564" i="4"/>
  <c r="Q563" i="4"/>
  <c r="Q562" i="4"/>
  <c r="Q561" i="4"/>
  <c r="Q560" i="4"/>
  <c r="Q559" i="4"/>
  <c r="Q558" i="4"/>
  <c r="Q557" i="4"/>
  <c r="Q556" i="4"/>
  <c r="Q555" i="4"/>
  <c r="Q554" i="4"/>
  <c r="Q553" i="4"/>
  <c r="Q552" i="4"/>
  <c r="Q551" i="4"/>
  <c r="Q550" i="4"/>
  <c r="Q549" i="4"/>
  <c r="Q548" i="4"/>
  <c r="Q547" i="4"/>
  <c r="Q546" i="4"/>
  <c r="Q545" i="4"/>
  <c r="Q544" i="4"/>
  <c r="Q543" i="4"/>
  <c r="Q542" i="4"/>
  <c r="Q541" i="4"/>
  <c r="Q540" i="4"/>
  <c r="Q539" i="4"/>
  <c r="Q538" i="4"/>
  <c r="Q537" i="4"/>
  <c r="Q536" i="4"/>
  <c r="Q535" i="4"/>
  <c r="Q534" i="4"/>
  <c r="Q533" i="4"/>
  <c r="Q532" i="4"/>
  <c r="Q531" i="4"/>
  <c r="Q530" i="4"/>
  <c r="Q529" i="4"/>
  <c r="Q528" i="4"/>
  <c r="Q527" i="4"/>
  <c r="Q526" i="4"/>
  <c r="Q525" i="4"/>
  <c r="Q524" i="4"/>
  <c r="Q523" i="4"/>
  <c r="Q522" i="4"/>
  <c r="Q521" i="4"/>
  <c r="Q520" i="4"/>
  <c r="Q519" i="4"/>
  <c r="Q518" i="4"/>
  <c r="Q517" i="4"/>
  <c r="Q516" i="4"/>
  <c r="Q515" i="4"/>
  <c r="Q514" i="4"/>
  <c r="Q513" i="4"/>
  <c r="Q512" i="4"/>
  <c r="Q511" i="4"/>
  <c r="Q510" i="4"/>
  <c r="Q509" i="4"/>
  <c r="Q508" i="4"/>
  <c r="Q507" i="4"/>
  <c r="Q506" i="4"/>
  <c r="Q505" i="4"/>
  <c r="Q504" i="4"/>
  <c r="Q503" i="4"/>
  <c r="Q502" i="4"/>
  <c r="Q501" i="4"/>
  <c r="Q500" i="4"/>
  <c r="Q499" i="4"/>
  <c r="Q498" i="4"/>
  <c r="Q497" i="4"/>
  <c r="Q496" i="4"/>
  <c r="Q495" i="4"/>
  <c r="Q494" i="4"/>
  <c r="Q493" i="4"/>
  <c r="Q492" i="4"/>
  <c r="Q491" i="4"/>
  <c r="Q490" i="4"/>
  <c r="Q489" i="4"/>
  <c r="Q488" i="4"/>
  <c r="Q487" i="4"/>
  <c r="Q486" i="4"/>
  <c r="Q485" i="4"/>
  <c r="Q484" i="4"/>
  <c r="Q483" i="4"/>
  <c r="Q482" i="4"/>
  <c r="Q481" i="4"/>
  <c r="Q480" i="4"/>
  <c r="Q479" i="4"/>
  <c r="Q478" i="4"/>
  <c r="Q477" i="4"/>
  <c r="Q476" i="4"/>
  <c r="Q475" i="4"/>
  <c r="Q474" i="4"/>
  <c r="Q473" i="4"/>
  <c r="Q472" i="4"/>
  <c r="Q471" i="4"/>
  <c r="Q470" i="4"/>
  <c r="Q469" i="4"/>
  <c r="Q468" i="4"/>
  <c r="Q467" i="4"/>
  <c r="Q466" i="4"/>
  <c r="Q465" i="4"/>
  <c r="Q464" i="4"/>
  <c r="Q463" i="4"/>
  <c r="Q462" i="4"/>
  <c r="Q461" i="4"/>
  <c r="Q460" i="4"/>
  <c r="Q459" i="4"/>
  <c r="Q458" i="4"/>
  <c r="Q457" i="4"/>
  <c r="Q456" i="4"/>
  <c r="Q455" i="4"/>
  <c r="Q454" i="4"/>
  <c r="Q453" i="4"/>
  <c r="Q452" i="4"/>
  <c r="Q451" i="4"/>
  <c r="Q450" i="4"/>
  <c r="Q449" i="4"/>
  <c r="Q448" i="4"/>
  <c r="Q447" i="4"/>
  <c r="Q446" i="4"/>
  <c r="Q445" i="4"/>
  <c r="Q444" i="4"/>
  <c r="Q443" i="4"/>
  <c r="Q442" i="4"/>
  <c r="Q441" i="4"/>
  <c r="Q440" i="4"/>
  <c r="Q439" i="4"/>
  <c r="Q438" i="4"/>
  <c r="Q437" i="4"/>
  <c r="Q436" i="4"/>
  <c r="Q435" i="4"/>
  <c r="Q434" i="4"/>
  <c r="Q433" i="4"/>
  <c r="Q432" i="4"/>
  <c r="Q431" i="4"/>
  <c r="Q430" i="4"/>
  <c r="Q429" i="4"/>
  <c r="Q428" i="4"/>
  <c r="Q427" i="4"/>
  <c r="Q426" i="4"/>
  <c r="Q425" i="4"/>
  <c r="Q424" i="4"/>
  <c r="Q423" i="4"/>
  <c r="Q422" i="4"/>
  <c r="Q421" i="4"/>
  <c r="Q420" i="4"/>
  <c r="Q419" i="4"/>
  <c r="Q418" i="4"/>
  <c r="Q417" i="4"/>
  <c r="Q416" i="4"/>
  <c r="Q415" i="4"/>
  <c r="Q414" i="4"/>
  <c r="Q413" i="4"/>
  <c r="Q412" i="4"/>
  <c r="Q411" i="4"/>
  <c r="Q410" i="4"/>
  <c r="Q409" i="4"/>
  <c r="Q408" i="4"/>
  <c r="Q407" i="4"/>
  <c r="Q406" i="4"/>
  <c r="Q405" i="4"/>
  <c r="Q404" i="4"/>
  <c r="Q403" i="4"/>
  <c r="Q402" i="4"/>
  <c r="Q401" i="4"/>
  <c r="Q400" i="4"/>
  <c r="Q399" i="4"/>
  <c r="Q398" i="4"/>
  <c r="Q397" i="4"/>
  <c r="Q396" i="4"/>
  <c r="Q395" i="4"/>
  <c r="Q394" i="4"/>
  <c r="Q393" i="4"/>
  <c r="Q392" i="4"/>
  <c r="Q391" i="4"/>
  <c r="Q390" i="4"/>
  <c r="Q389" i="4"/>
  <c r="Q388" i="4"/>
  <c r="Q387" i="4"/>
  <c r="Q386" i="4"/>
  <c r="Q385" i="4"/>
  <c r="Q384" i="4"/>
  <c r="Q383" i="4"/>
  <c r="Q382" i="4"/>
  <c r="Q381" i="4"/>
  <c r="Q380" i="4"/>
  <c r="Q379" i="4"/>
  <c r="Q378" i="4"/>
  <c r="Q377" i="4"/>
  <c r="Q376" i="4"/>
  <c r="Q375" i="4"/>
  <c r="Q374" i="4"/>
  <c r="Q373" i="4"/>
  <c r="Q372" i="4"/>
  <c r="Q371" i="4"/>
  <c r="Q370" i="4"/>
  <c r="Q369" i="4"/>
  <c r="Q368" i="4"/>
  <c r="Q367" i="4"/>
  <c r="Q366" i="4"/>
  <c r="Q365" i="4"/>
  <c r="Q364" i="4"/>
  <c r="Q363" i="4"/>
  <c r="Q362" i="4"/>
  <c r="Q361" i="4"/>
  <c r="Q360" i="4"/>
  <c r="Q359" i="4"/>
  <c r="Q358" i="4"/>
  <c r="Q357" i="4"/>
  <c r="Q356" i="4"/>
  <c r="Q355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3" i="4"/>
  <c r="Q322" i="4"/>
  <c r="Q321" i="4"/>
  <c r="Q320" i="4"/>
  <c r="Q319" i="4"/>
  <c r="Q318" i="4"/>
  <c r="Q317" i="4"/>
  <c r="Q316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N448" i="3"/>
  <c r="N447" i="3"/>
  <c r="N446" i="3"/>
  <c r="N445" i="3"/>
  <c r="N444" i="3"/>
  <c r="N443" i="3"/>
  <c r="N442" i="3"/>
  <c r="N441" i="3"/>
  <c r="N440" i="3"/>
  <c r="N439" i="3"/>
  <c r="N438" i="3"/>
  <c r="N437" i="3"/>
  <c r="N436" i="3"/>
  <c r="N435" i="3"/>
  <c r="N434" i="3"/>
  <c r="N433" i="3"/>
  <c r="N432" i="3"/>
  <c r="N431" i="3"/>
  <c r="N430" i="3"/>
  <c r="N429" i="3"/>
  <c r="N428" i="3"/>
  <c r="N427" i="3"/>
  <c r="N426" i="3"/>
  <c r="N425" i="3"/>
  <c r="N424" i="3"/>
  <c r="N423" i="3"/>
  <c r="N422" i="3"/>
  <c r="N421" i="3"/>
  <c r="N420" i="3"/>
  <c r="N419" i="3"/>
  <c r="N418" i="3"/>
  <c r="N417" i="3"/>
  <c r="N416" i="3"/>
  <c r="N415" i="3"/>
  <c r="N414" i="3"/>
  <c r="N413" i="3"/>
  <c r="N412" i="3"/>
  <c r="N411" i="3"/>
  <c r="N410" i="3"/>
  <c r="N409" i="3"/>
  <c r="N408" i="3"/>
  <c r="N407" i="3"/>
  <c r="N406" i="3"/>
  <c r="N405" i="3"/>
  <c r="N404" i="3"/>
  <c r="N403" i="3"/>
  <c r="N402" i="3"/>
  <c r="N401" i="3"/>
  <c r="N400" i="3"/>
  <c r="N399" i="3"/>
  <c r="N398" i="3"/>
  <c r="N397" i="3"/>
  <c r="N396" i="3"/>
  <c r="N395" i="3"/>
  <c r="N394" i="3"/>
  <c r="N393" i="3"/>
  <c r="N392" i="3"/>
  <c r="N391" i="3"/>
  <c r="N390" i="3"/>
  <c r="N389" i="3"/>
  <c r="N388" i="3"/>
  <c r="N387" i="3"/>
  <c r="N386" i="3"/>
  <c r="N385" i="3"/>
  <c r="N384" i="3"/>
  <c r="N383" i="3"/>
  <c r="N382" i="3"/>
  <c r="N381" i="3"/>
  <c r="N380" i="3"/>
  <c r="N379" i="3"/>
  <c r="N378" i="3"/>
  <c r="N377" i="3"/>
  <c r="N376" i="3"/>
  <c r="N375" i="3"/>
  <c r="N374" i="3"/>
  <c r="N373" i="3"/>
  <c r="N372" i="3"/>
  <c r="N371" i="3"/>
  <c r="N370" i="3"/>
  <c r="N369" i="3"/>
  <c r="N368" i="3"/>
  <c r="N367" i="3"/>
  <c r="N366" i="3"/>
  <c r="N365" i="3"/>
  <c r="N364" i="3"/>
  <c r="N363" i="3"/>
  <c r="N362" i="3"/>
  <c r="N361" i="3"/>
  <c r="N360" i="3"/>
  <c r="N359" i="3"/>
  <c r="N358" i="3"/>
  <c r="N357" i="3"/>
  <c r="N356" i="3"/>
  <c r="N355" i="3"/>
  <c r="N354" i="3"/>
  <c r="N353" i="3"/>
  <c r="N352" i="3"/>
  <c r="N351" i="3"/>
  <c r="N350" i="3"/>
  <c r="N349" i="3"/>
  <c r="N348" i="3"/>
  <c r="N347" i="3"/>
  <c r="N346" i="3"/>
  <c r="N345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N329" i="3"/>
  <c r="N328" i="3"/>
  <c r="N327" i="3"/>
  <c r="N326" i="3"/>
  <c r="N325" i="3"/>
  <c r="N324" i="3"/>
  <c r="N323" i="3"/>
  <c r="N322" i="3"/>
  <c r="N321" i="3"/>
  <c r="N320" i="3"/>
  <c r="N319" i="3"/>
  <c r="N318" i="3"/>
  <c r="N317" i="3"/>
  <c r="N316" i="3"/>
  <c r="N315" i="3"/>
  <c r="N314" i="3"/>
  <c r="N313" i="3"/>
  <c r="N312" i="3"/>
  <c r="N311" i="3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C7" i="2"/>
  <c r="B7" i="2"/>
  <c r="D7" i="2" s="1"/>
  <c r="F19" i="5" s="1"/>
  <c r="D33" i="5" s="1"/>
  <c r="C6" i="2"/>
  <c r="B6" i="2"/>
  <c r="D6" i="2" s="1"/>
  <c r="F18" i="5" s="1"/>
  <c r="C5" i="2"/>
  <c r="B5" i="2"/>
  <c r="D5" i="2" s="1"/>
  <c r="F17" i="5" s="1"/>
  <c r="C4" i="2"/>
  <c r="B4" i="2"/>
  <c r="D4" i="2" s="1"/>
  <c r="F16" i="5" s="1"/>
  <c r="AD357" i="1"/>
  <c r="AC357" i="1"/>
  <c r="AB357" i="1"/>
  <c r="AA357" i="1"/>
  <c r="Z357" i="1"/>
  <c r="AD356" i="1"/>
  <c r="AC356" i="1"/>
  <c r="AB356" i="1"/>
  <c r="AA356" i="1"/>
  <c r="Z356" i="1"/>
  <c r="AD355" i="1"/>
  <c r="AC355" i="1"/>
  <c r="AB355" i="1"/>
  <c r="AA355" i="1"/>
  <c r="Z355" i="1"/>
  <c r="AD354" i="1"/>
  <c r="AC354" i="1"/>
  <c r="AB354" i="1"/>
  <c r="AA354" i="1"/>
  <c r="Z354" i="1"/>
  <c r="AD353" i="1"/>
  <c r="AC353" i="1"/>
  <c r="AB353" i="1"/>
  <c r="AA353" i="1"/>
  <c r="Z353" i="1"/>
  <c r="AD352" i="1"/>
  <c r="AC352" i="1"/>
  <c r="AB352" i="1"/>
  <c r="AA352" i="1"/>
  <c r="Z352" i="1"/>
  <c r="AD351" i="1"/>
  <c r="AC351" i="1"/>
  <c r="AB351" i="1"/>
  <c r="AA351" i="1"/>
  <c r="Z351" i="1"/>
  <c r="AD350" i="1"/>
  <c r="AC350" i="1"/>
  <c r="AB350" i="1"/>
  <c r="AA350" i="1"/>
  <c r="Z350" i="1"/>
  <c r="AD349" i="1"/>
  <c r="AC349" i="1"/>
  <c r="AB349" i="1"/>
  <c r="AA349" i="1"/>
  <c r="Z349" i="1"/>
  <c r="AD348" i="1"/>
  <c r="AC348" i="1"/>
  <c r="AB348" i="1"/>
  <c r="AA348" i="1"/>
  <c r="Z348" i="1"/>
  <c r="AD347" i="1"/>
  <c r="AC347" i="1"/>
  <c r="AB347" i="1"/>
  <c r="AA347" i="1"/>
  <c r="Z347" i="1"/>
  <c r="AD346" i="1"/>
  <c r="AC346" i="1"/>
  <c r="AB346" i="1"/>
  <c r="AA346" i="1"/>
  <c r="Z346" i="1"/>
  <c r="AD345" i="1"/>
  <c r="AC345" i="1"/>
  <c r="AB345" i="1"/>
  <c r="AA345" i="1"/>
  <c r="Z345" i="1"/>
  <c r="AD344" i="1"/>
  <c r="AC344" i="1"/>
  <c r="AB344" i="1"/>
  <c r="AA344" i="1"/>
  <c r="Z344" i="1"/>
  <c r="AD343" i="1"/>
  <c r="AC343" i="1"/>
  <c r="AB343" i="1"/>
  <c r="AA343" i="1"/>
  <c r="Z343" i="1"/>
  <c r="AD342" i="1"/>
  <c r="AC342" i="1"/>
  <c r="AB342" i="1"/>
  <c r="AA342" i="1"/>
  <c r="Z342" i="1"/>
  <c r="AD341" i="1"/>
  <c r="AC341" i="1"/>
  <c r="AB341" i="1"/>
  <c r="AA341" i="1"/>
  <c r="Z341" i="1"/>
  <c r="AD340" i="1"/>
  <c r="AC340" i="1"/>
  <c r="AB340" i="1"/>
  <c r="AA340" i="1"/>
  <c r="Z340" i="1"/>
  <c r="AD339" i="1"/>
  <c r="AC339" i="1"/>
  <c r="AB339" i="1"/>
  <c r="AA339" i="1"/>
  <c r="Z339" i="1"/>
  <c r="AD338" i="1"/>
  <c r="AC338" i="1"/>
  <c r="AB338" i="1"/>
  <c r="AA338" i="1"/>
  <c r="Z338" i="1"/>
  <c r="AD337" i="1"/>
  <c r="AC337" i="1"/>
  <c r="AB337" i="1"/>
  <c r="AA337" i="1"/>
  <c r="Z337" i="1"/>
  <c r="AD336" i="1"/>
  <c r="AC336" i="1"/>
  <c r="AB336" i="1"/>
  <c r="AA336" i="1"/>
  <c r="Z336" i="1"/>
  <c r="AD335" i="1"/>
  <c r="AC335" i="1"/>
  <c r="AB335" i="1"/>
  <c r="AA335" i="1"/>
  <c r="Z335" i="1"/>
  <c r="AD334" i="1"/>
  <c r="AC334" i="1"/>
  <c r="AB334" i="1"/>
  <c r="AA334" i="1"/>
  <c r="Z334" i="1"/>
  <c r="AD333" i="1"/>
  <c r="AC333" i="1"/>
  <c r="AB333" i="1"/>
  <c r="AA333" i="1"/>
  <c r="Z333" i="1"/>
  <c r="AD332" i="1"/>
  <c r="AC332" i="1"/>
  <c r="AB332" i="1"/>
  <c r="AA332" i="1"/>
  <c r="Z332" i="1"/>
  <c r="AD331" i="1"/>
  <c r="AC331" i="1"/>
  <c r="AB331" i="1"/>
  <c r="AA331" i="1"/>
  <c r="Z331" i="1"/>
  <c r="AD330" i="1"/>
  <c r="AC330" i="1"/>
  <c r="AB330" i="1"/>
  <c r="AA330" i="1"/>
  <c r="Z330" i="1"/>
  <c r="AD329" i="1"/>
  <c r="AC329" i="1"/>
  <c r="AB329" i="1"/>
  <c r="AA329" i="1"/>
  <c r="Z329" i="1"/>
  <c r="AD328" i="1"/>
  <c r="AC328" i="1"/>
  <c r="AB328" i="1"/>
  <c r="AA328" i="1"/>
  <c r="Z328" i="1"/>
  <c r="AD327" i="1"/>
  <c r="AC327" i="1"/>
  <c r="AB327" i="1"/>
  <c r="AA327" i="1"/>
  <c r="Z327" i="1"/>
  <c r="AD326" i="1"/>
  <c r="AC326" i="1"/>
  <c r="AB326" i="1"/>
  <c r="AA326" i="1"/>
  <c r="Z326" i="1"/>
  <c r="AD325" i="1"/>
  <c r="AC325" i="1"/>
  <c r="AB325" i="1"/>
  <c r="AA325" i="1"/>
  <c r="Z325" i="1"/>
  <c r="AD324" i="1"/>
  <c r="AC324" i="1"/>
  <c r="AB324" i="1"/>
  <c r="AA324" i="1"/>
  <c r="Z324" i="1"/>
  <c r="AD323" i="1"/>
  <c r="AC323" i="1"/>
  <c r="AB323" i="1"/>
  <c r="AA323" i="1"/>
  <c r="Z323" i="1"/>
  <c r="AD322" i="1"/>
  <c r="AC322" i="1"/>
  <c r="AB322" i="1"/>
  <c r="AA322" i="1"/>
  <c r="Z322" i="1"/>
  <c r="AD321" i="1"/>
  <c r="AC321" i="1"/>
  <c r="AB321" i="1"/>
  <c r="AA321" i="1"/>
  <c r="Z321" i="1"/>
  <c r="AD320" i="1"/>
  <c r="AC320" i="1"/>
  <c r="AB320" i="1"/>
  <c r="AA320" i="1"/>
  <c r="Z320" i="1"/>
  <c r="AD319" i="1"/>
  <c r="AC319" i="1"/>
  <c r="AB319" i="1"/>
  <c r="AA319" i="1"/>
  <c r="Z319" i="1"/>
  <c r="AD318" i="1"/>
  <c r="AC318" i="1"/>
  <c r="AB318" i="1"/>
  <c r="AA318" i="1"/>
  <c r="Z318" i="1"/>
  <c r="AD317" i="1"/>
  <c r="AC317" i="1"/>
  <c r="AB317" i="1"/>
  <c r="AA317" i="1"/>
  <c r="Z317" i="1"/>
  <c r="AD316" i="1"/>
  <c r="AC316" i="1"/>
  <c r="AB316" i="1"/>
  <c r="AA316" i="1"/>
  <c r="Z316" i="1"/>
  <c r="AD315" i="1"/>
  <c r="AC315" i="1"/>
  <c r="AB315" i="1"/>
  <c r="AA315" i="1"/>
  <c r="Z315" i="1"/>
  <c r="AD314" i="1"/>
  <c r="AC314" i="1"/>
  <c r="AB314" i="1"/>
  <c r="AA314" i="1"/>
  <c r="Z314" i="1"/>
  <c r="AD313" i="1"/>
  <c r="AC313" i="1"/>
  <c r="AB313" i="1"/>
  <c r="AA313" i="1"/>
  <c r="Z313" i="1"/>
  <c r="AD312" i="1"/>
  <c r="AC312" i="1"/>
  <c r="AB312" i="1"/>
  <c r="AA312" i="1"/>
  <c r="Z312" i="1"/>
  <c r="AD311" i="1"/>
  <c r="AC311" i="1"/>
  <c r="AB311" i="1"/>
  <c r="AA311" i="1"/>
  <c r="Z311" i="1"/>
  <c r="AD310" i="1"/>
  <c r="AC310" i="1"/>
  <c r="AB310" i="1"/>
  <c r="AA310" i="1"/>
  <c r="Z310" i="1"/>
  <c r="AD309" i="1"/>
  <c r="AC309" i="1"/>
  <c r="AB309" i="1"/>
  <c r="AA309" i="1"/>
  <c r="Z309" i="1"/>
  <c r="AD308" i="1"/>
  <c r="AC308" i="1"/>
  <c r="AB308" i="1"/>
  <c r="AA308" i="1"/>
  <c r="Z308" i="1"/>
  <c r="AD307" i="1"/>
  <c r="AC307" i="1"/>
  <c r="AB307" i="1"/>
  <c r="AA307" i="1"/>
  <c r="Z307" i="1"/>
  <c r="AD306" i="1"/>
  <c r="AC306" i="1"/>
  <c r="AB306" i="1"/>
  <c r="AA306" i="1"/>
  <c r="Z306" i="1"/>
  <c r="AD305" i="1"/>
  <c r="AC305" i="1"/>
  <c r="AB305" i="1"/>
  <c r="AA305" i="1"/>
  <c r="Z305" i="1"/>
  <c r="AD304" i="1"/>
  <c r="AC304" i="1"/>
  <c r="AB304" i="1"/>
  <c r="AA304" i="1"/>
  <c r="Z304" i="1"/>
  <c r="AD303" i="1"/>
  <c r="AC303" i="1"/>
  <c r="AB303" i="1"/>
  <c r="AA303" i="1"/>
  <c r="Z303" i="1"/>
  <c r="AD302" i="1"/>
  <c r="AC302" i="1"/>
  <c r="AB302" i="1"/>
  <c r="AA302" i="1"/>
  <c r="Z302" i="1"/>
  <c r="AD301" i="1"/>
  <c r="AC301" i="1"/>
  <c r="AB301" i="1"/>
  <c r="AA301" i="1"/>
  <c r="Z301" i="1"/>
  <c r="AD300" i="1"/>
  <c r="AC300" i="1"/>
  <c r="AB300" i="1"/>
  <c r="AA300" i="1"/>
  <c r="Z300" i="1"/>
  <c r="AD299" i="1"/>
  <c r="AC299" i="1"/>
  <c r="AB299" i="1"/>
  <c r="AA299" i="1"/>
  <c r="Z299" i="1"/>
  <c r="AD298" i="1"/>
  <c r="AC298" i="1"/>
  <c r="AB298" i="1"/>
  <c r="AA298" i="1"/>
  <c r="Z298" i="1"/>
  <c r="AD297" i="1"/>
  <c r="AC297" i="1"/>
  <c r="AB297" i="1"/>
  <c r="AA297" i="1"/>
  <c r="Z297" i="1"/>
  <c r="AD296" i="1"/>
  <c r="AC296" i="1"/>
  <c r="AB296" i="1"/>
  <c r="AA296" i="1"/>
  <c r="Z296" i="1"/>
  <c r="AD295" i="1"/>
  <c r="AC295" i="1"/>
  <c r="AB295" i="1"/>
  <c r="AA295" i="1"/>
  <c r="Z295" i="1"/>
  <c r="AD294" i="1"/>
  <c r="AC294" i="1"/>
  <c r="AB294" i="1"/>
  <c r="AA294" i="1"/>
  <c r="Z294" i="1"/>
  <c r="AD293" i="1"/>
  <c r="AC293" i="1"/>
  <c r="AB293" i="1"/>
  <c r="AA293" i="1"/>
  <c r="Z293" i="1"/>
  <c r="AD292" i="1"/>
  <c r="AC292" i="1"/>
  <c r="AB292" i="1"/>
  <c r="AA292" i="1"/>
  <c r="Z292" i="1"/>
  <c r="AD291" i="1"/>
  <c r="AC291" i="1"/>
  <c r="AB291" i="1"/>
  <c r="AA291" i="1"/>
  <c r="Z291" i="1"/>
  <c r="AD290" i="1"/>
  <c r="AC290" i="1"/>
  <c r="AB290" i="1"/>
  <c r="AA290" i="1"/>
  <c r="Z290" i="1"/>
  <c r="AD289" i="1"/>
  <c r="AC289" i="1"/>
  <c r="AB289" i="1"/>
  <c r="AA289" i="1"/>
  <c r="Z289" i="1"/>
  <c r="AD288" i="1"/>
  <c r="AC288" i="1"/>
  <c r="AB288" i="1"/>
  <c r="AA288" i="1"/>
  <c r="Z288" i="1"/>
  <c r="AD287" i="1"/>
  <c r="AC287" i="1"/>
  <c r="AB287" i="1"/>
  <c r="AA287" i="1"/>
  <c r="Z287" i="1"/>
  <c r="AD286" i="1"/>
  <c r="AC286" i="1"/>
  <c r="AB286" i="1"/>
  <c r="AA286" i="1"/>
  <c r="Z286" i="1"/>
  <c r="AD285" i="1"/>
  <c r="AC285" i="1"/>
  <c r="AB285" i="1"/>
  <c r="AA285" i="1"/>
  <c r="Z285" i="1"/>
  <c r="AD284" i="1"/>
  <c r="AC284" i="1"/>
  <c r="AB284" i="1"/>
  <c r="AA284" i="1"/>
  <c r="Z284" i="1"/>
  <c r="AD283" i="1"/>
  <c r="AC283" i="1"/>
  <c r="AB283" i="1"/>
  <c r="AA283" i="1"/>
  <c r="Z283" i="1"/>
  <c r="AD282" i="1"/>
  <c r="AC282" i="1"/>
  <c r="AB282" i="1"/>
  <c r="AA282" i="1"/>
  <c r="Z282" i="1"/>
  <c r="AD281" i="1"/>
  <c r="AC281" i="1"/>
  <c r="AB281" i="1"/>
  <c r="AA281" i="1"/>
  <c r="Z281" i="1"/>
  <c r="AD280" i="1"/>
  <c r="AC280" i="1"/>
  <c r="AB280" i="1"/>
  <c r="AA280" i="1"/>
  <c r="Z280" i="1"/>
  <c r="AD279" i="1"/>
  <c r="AC279" i="1"/>
  <c r="AB279" i="1"/>
  <c r="AA279" i="1"/>
  <c r="Z279" i="1"/>
  <c r="AD278" i="1"/>
  <c r="AC278" i="1"/>
  <c r="AB278" i="1"/>
  <c r="AA278" i="1"/>
  <c r="Z278" i="1"/>
  <c r="AD277" i="1"/>
  <c r="AC277" i="1"/>
  <c r="AB277" i="1"/>
  <c r="AA277" i="1"/>
  <c r="Z277" i="1"/>
  <c r="AD276" i="1"/>
  <c r="AC276" i="1"/>
  <c r="AB276" i="1"/>
  <c r="AA276" i="1"/>
  <c r="Z276" i="1"/>
  <c r="AD275" i="1"/>
  <c r="AC275" i="1"/>
  <c r="AB275" i="1"/>
  <c r="AA275" i="1"/>
  <c r="Z275" i="1"/>
  <c r="AD274" i="1"/>
  <c r="AC274" i="1"/>
  <c r="AB274" i="1"/>
  <c r="AA274" i="1"/>
  <c r="Z274" i="1"/>
  <c r="AD273" i="1"/>
  <c r="AC273" i="1"/>
  <c r="AB273" i="1"/>
  <c r="AA273" i="1"/>
  <c r="Z273" i="1"/>
  <c r="AD272" i="1"/>
  <c r="AC272" i="1"/>
  <c r="AB272" i="1"/>
  <c r="AA272" i="1"/>
  <c r="Z272" i="1"/>
  <c r="AD271" i="1"/>
  <c r="AC271" i="1"/>
  <c r="AB271" i="1"/>
  <c r="AA271" i="1"/>
  <c r="Z271" i="1"/>
  <c r="AD270" i="1"/>
  <c r="AC270" i="1"/>
  <c r="AB270" i="1"/>
  <c r="AA270" i="1"/>
  <c r="Z270" i="1"/>
  <c r="AD269" i="1"/>
  <c r="AC269" i="1"/>
  <c r="AB269" i="1"/>
  <c r="AA269" i="1"/>
  <c r="Z269" i="1"/>
  <c r="AD268" i="1"/>
  <c r="AC268" i="1"/>
  <c r="AB268" i="1"/>
  <c r="AA268" i="1"/>
  <c r="Z268" i="1"/>
  <c r="AD267" i="1"/>
  <c r="AC267" i="1"/>
  <c r="AB267" i="1"/>
  <c r="AA267" i="1"/>
  <c r="Z267" i="1"/>
  <c r="AD266" i="1"/>
  <c r="AC266" i="1"/>
  <c r="AB266" i="1"/>
  <c r="AA266" i="1"/>
  <c r="Z266" i="1"/>
  <c r="AD265" i="1"/>
  <c r="AC265" i="1"/>
  <c r="AB265" i="1"/>
  <c r="AA265" i="1"/>
  <c r="Z265" i="1"/>
  <c r="AD264" i="1"/>
  <c r="AC264" i="1"/>
  <c r="AB264" i="1"/>
  <c r="AA264" i="1"/>
  <c r="Z264" i="1"/>
  <c r="AD263" i="1"/>
  <c r="AC263" i="1"/>
  <c r="AB263" i="1"/>
  <c r="AA263" i="1"/>
  <c r="Z263" i="1"/>
  <c r="AD262" i="1"/>
  <c r="AC262" i="1"/>
  <c r="AB262" i="1"/>
  <c r="AA262" i="1"/>
  <c r="Z262" i="1"/>
  <c r="AD261" i="1"/>
  <c r="AC261" i="1"/>
  <c r="AB261" i="1"/>
  <c r="AA261" i="1"/>
  <c r="Z261" i="1"/>
  <c r="AD260" i="1"/>
  <c r="AC260" i="1"/>
  <c r="AB260" i="1"/>
  <c r="AA260" i="1"/>
  <c r="Z260" i="1"/>
  <c r="AD259" i="1"/>
  <c r="AC259" i="1"/>
  <c r="AB259" i="1"/>
  <c r="AA259" i="1"/>
  <c r="Z259" i="1"/>
  <c r="AD258" i="1"/>
  <c r="AC258" i="1"/>
  <c r="AB258" i="1"/>
  <c r="AA258" i="1"/>
  <c r="Z258" i="1"/>
  <c r="AD257" i="1"/>
  <c r="AC257" i="1"/>
  <c r="AB257" i="1"/>
  <c r="AA257" i="1"/>
  <c r="Z257" i="1"/>
  <c r="AD256" i="1"/>
  <c r="AC256" i="1"/>
  <c r="AB256" i="1"/>
  <c r="AA256" i="1"/>
  <c r="Z256" i="1"/>
  <c r="AD255" i="1"/>
  <c r="AC255" i="1"/>
  <c r="AB255" i="1"/>
  <c r="AA255" i="1"/>
  <c r="Z255" i="1"/>
  <c r="AD254" i="1"/>
  <c r="AC254" i="1"/>
  <c r="AB254" i="1"/>
  <c r="AA254" i="1"/>
  <c r="Z254" i="1"/>
  <c r="AD253" i="1"/>
  <c r="AC253" i="1"/>
  <c r="AB253" i="1"/>
  <c r="AA253" i="1"/>
  <c r="Z253" i="1"/>
  <c r="AD252" i="1"/>
  <c r="AC252" i="1"/>
  <c r="AB252" i="1"/>
  <c r="AA252" i="1"/>
  <c r="Z252" i="1"/>
  <c r="AD251" i="1"/>
  <c r="AC251" i="1"/>
  <c r="AB251" i="1"/>
  <c r="AA251" i="1"/>
  <c r="Z251" i="1"/>
  <c r="AD250" i="1"/>
  <c r="AC250" i="1"/>
  <c r="AB250" i="1"/>
  <c r="AA250" i="1"/>
  <c r="Z250" i="1"/>
  <c r="AD249" i="1"/>
  <c r="AC249" i="1"/>
  <c r="AB249" i="1"/>
  <c r="AA249" i="1"/>
  <c r="Z249" i="1"/>
  <c r="AD248" i="1"/>
  <c r="AC248" i="1"/>
  <c r="AB248" i="1"/>
  <c r="AA248" i="1"/>
  <c r="Z248" i="1"/>
  <c r="AD247" i="1"/>
  <c r="AC247" i="1"/>
  <c r="AB247" i="1"/>
  <c r="AA247" i="1"/>
  <c r="Z247" i="1"/>
  <c r="AD246" i="1"/>
  <c r="AC246" i="1"/>
  <c r="AB246" i="1"/>
  <c r="AA246" i="1"/>
  <c r="Z246" i="1"/>
  <c r="AD245" i="1"/>
  <c r="AC245" i="1"/>
  <c r="AB245" i="1"/>
  <c r="AA245" i="1"/>
  <c r="Z245" i="1"/>
  <c r="AD244" i="1"/>
  <c r="AC244" i="1"/>
  <c r="AB244" i="1"/>
  <c r="AA244" i="1"/>
  <c r="Z244" i="1"/>
  <c r="AD243" i="1"/>
  <c r="AC243" i="1"/>
  <c r="AB243" i="1"/>
  <c r="AA243" i="1"/>
  <c r="Z243" i="1"/>
  <c r="AD242" i="1"/>
  <c r="AC242" i="1"/>
  <c r="AB242" i="1"/>
  <c r="AA242" i="1"/>
  <c r="Z242" i="1"/>
  <c r="AD241" i="1"/>
  <c r="AC241" i="1"/>
  <c r="AB241" i="1"/>
  <c r="AA241" i="1"/>
  <c r="Z241" i="1"/>
  <c r="AD240" i="1"/>
  <c r="AC240" i="1"/>
  <c r="AB240" i="1"/>
  <c r="AA240" i="1"/>
  <c r="Z240" i="1"/>
  <c r="AD239" i="1"/>
  <c r="AC239" i="1"/>
  <c r="AB239" i="1"/>
  <c r="AA239" i="1"/>
  <c r="Z239" i="1"/>
  <c r="AD238" i="1"/>
  <c r="AC238" i="1"/>
  <c r="AB238" i="1"/>
  <c r="AA238" i="1"/>
  <c r="Z238" i="1"/>
  <c r="AD237" i="1"/>
  <c r="AC237" i="1"/>
  <c r="AB237" i="1"/>
  <c r="AA237" i="1"/>
  <c r="Z237" i="1"/>
  <c r="AD236" i="1"/>
  <c r="AC236" i="1"/>
  <c r="AB236" i="1"/>
  <c r="AA236" i="1"/>
  <c r="Z236" i="1"/>
  <c r="AD235" i="1"/>
  <c r="AC235" i="1"/>
  <c r="AB235" i="1"/>
  <c r="AA235" i="1"/>
  <c r="Z235" i="1"/>
  <c r="AD234" i="1"/>
  <c r="AC234" i="1"/>
  <c r="AB234" i="1"/>
  <c r="AA234" i="1"/>
  <c r="Z234" i="1"/>
  <c r="AD233" i="1"/>
  <c r="AC233" i="1"/>
  <c r="AB233" i="1"/>
  <c r="AA233" i="1"/>
  <c r="Z233" i="1"/>
  <c r="AD232" i="1"/>
  <c r="AC232" i="1"/>
  <c r="AB232" i="1"/>
  <c r="AA232" i="1"/>
  <c r="Z232" i="1"/>
  <c r="AD231" i="1"/>
  <c r="AC231" i="1"/>
  <c r="AB231" i="1"/>
  <c r="AA231" i="1"/>
  <c r="Z231" i="1"/>
  <c r="AD230" i="1"/>
  <c r="AC230" i="1"/>
  <c r="AB230" i="1"/>
  <c r="AA230" i="1"/>
  <c r="Z230" i="1"/>
  <c r="AD229" i="1"/>
  <c r="AC229" i="1"/>
  <c r="AB229" i="1"/>
  <c r="AA229" i="1"/>
  <c r="Z229" i="1"/>
  <c r="AD228" i="1"/>
  <c r="AC228" i="1"/>
  <c r="AB228" i="1"/>
  <c r="AA228" i="1"/>
  <c r="Z228" i="1"/>
  <c r="AD227" i="1"/>
  <c r="AC227" i="1"/>
  <c r="AB227" i="1"/>
  <c r="AA227" i="1"/>
  <c r="Z227" i="1"/>
  <c r="AD226" i="1"/>
  <c r="AC226" i="1"/>
  <c r="AB226" i="1"/>
  <c r="AA226" i="1"/>
  <c r="Z226" i="1"/>
  <c r="AD225" i="1"/>
  <c r="AC225" i="1"/>
  <c r="AB225" i="1"/>
  <c r="AA225" i="1"/>
  <c r="Z225" i="1"/>
  <c r="AD224" i="1"/>
  <c r="AC224" i="1"/>
  <c r="AB224" i="1"/>
  <c r="AA224" i="1"/>
  <c r="Z224" i="1"/>
  <c r="AD223" i="1"/>
  <c r="AC223" i="1"/>
  <c r="AB223" i="1"/>
  <c r="AA223" i="1"/>
  <c r="Z223" i="1"/>
  <c r="AD222" i="1"/>
  <c r="AC222" i="1"/>
  <c r="AB222" i="1"/>
  <c r="AA222" i="1"/>
  <c r="Z222" i="1"/>
  <c r="AD221" i="1"/>
  <c r="AC221" i="1"/>
  <c r="AB221" i="1"/>
  <c r="AA221" i="1"/>
  <c r="Z221" i="1"/>
  <c r="AD220" i="1"/>
  <c r="AC220" i="1"/>
  <c r="AB220" i="1"/>
  <c r="AA220" i="1"/>
  <c r="Z220" i="1"/>
  <c r="AD219" i="1"/>
  <c r="AC219" i="1"/>
  <c r="AB219" i="1"/>
  <c r="AA219" i="1"/>
  <c r="Z219" i="1"/>
  <c r="AD218" i="1"/>
  <c r="AC218" i="1"/>
  <c r="AB218" i="1"/>
  <c r="AA218" i="1"/>
  <c r="Z218" i="1"/>
  <c r="AD217" i="1"/>
  <c r="AC217" i="1"/>
  <c r="AB217" i="1"/>
  <c r="AA217" i="1"/>
  <c r="Z217" i="1"/>
  <c r="AD216" i="1"/>
  <c r="AC216" i="1"/>
  <c r="AB216" i="1"/>
  <c r="AA216" i="1"/>
  <c r="Z216" i="1"/>
  <c r="AD215" i="1"/>
  <c r="AC215" i="1"/>
  <c r="AB215" i="1"/>
  <c r="AA215" i="1"/>
  <c r="Z215" i="1"/>
  <c r="AD214" i="1"/>
  <c r="AC214" i="1"/>
  <c r="AB214" i="1"/>
  <c r="AA214" i="1"/>
  <c r="Z214" i="1"/>
  <c r="AD213" i="1"/>
  <c r="AC213" i="1"/>
  <c r="AB213" i="1"/>
  <c r="AA213" i="1"/>
  <c r="Z213" i="1"/>
  <c r="AD212" i="1"/>
  <c r="AC212" i="1"/>
  <c r="AB212" i="1"/>
  <c r="AA212" i="1"/>
  <c r="Z212" i="1"/>
  <c r="AD211" i="1"/>
  <c r="AC211" i="1"/>
  <c r="AB211" i="1"/>
  <c r="AA211" i="1"/>
  <c r="Z211" i="1"/>
  <c r="AD210" i="1"/>
  <c r="AC210" i="1"/>
  <c r="AB210" i="1"/>
  <c r="AA210" i="1"/>
  <c r="Z210" i="1"/>
  <c r="AD209" i="1"/>
  <c r="AC209" i="1"/>
  <c r="AB209" i="1"/>
  <c r="AA209" i="1"/>
  <c r="Z209" i="1"/>
  <c r="AD208" i="1"/>
  <c r="AC208" i="1"/>
  <c r="AB208" i="1"/>
  <c r="AA208" i="1"/>
  <c r="Z208" i="1"/>
  <c r="AD207" i="1"/>
  <c r="AC207" i="1"/>
  <c r="AB207" i="1"/>
  <c r="AA207" i="1"/>
  <c r="Z207" i="1"/>
  <c r="AD206" i="1"/>
  <c r="AC206" i="1"/>
  <c r="AB206" i="1"/>
  <c r="AA206" i="1"/>
  <c r="Z206" i="1"/>
  <c r="AD205" i="1"/>
  <c r="AC205" i="1"/>
  <c r="AB205" i="1"/>
  <c r="AA205" i="1"/>
  <c r="Z205" i="1"/>
  <c r="AD204" i="1"/>
  <c r="AC204" i="1"/>
  <c r="AB204" i="1"/>
  <c r="AA204" i="1"/>
  <c r="Z204" i="1"/>
  <c r="AD203" i="1"/>
  <c r="AC203" i="1"/>
  <c r="AB203" i="1"/>
  <c r="AA203" i="1"/>
  <c r="Z203" i="1"/>
  <c r="AD202" i="1"/>
  <c r="AC202" i="1"/>
  <c r="AB202" i="1"/>
  <c r="AA202" i="1"/>
  <c r="Z202" i="1"/>
  <c r="AD201" i="1"/>
  <c r="AC201" i="1"/>
  <c r="AB201" i="1"/>
  <c r="AA201" i="1"/>
  <c r="Z201" i="1"/>
  <c r="AD200" i="1"/>
  <c r="AC200" i="1"/>
  <c r="AB200" i="1"/>
  <c r="AA200" i="1"/>
  <c r="Z200" i="1"/>
  <c r="AD199" i="1"/>
  <c r="AC199" i="1"/>
  <c r="AB199" i="1"/>
  <c r="AA199" i="1"/>
  <c r="Z199" i="1"/>
  <c r="AD198" i="1"/>
  <c r="AC198" i="1"/>
  <c r="AB198" i="1"/>
  <c r="AA198" i="1"/>
  <c r="Z198" i="1"/>
  <c r="AD197" i="1"/>
  <c r="AC197" i="1"/>
  <c r="AB197" i="1"/>
  <c r="AA197" i="1"/>
  <c r="Z197" i="1"/>
  <c r="AD196" i="1"/>
  <c r="AC196" i="1"/>
  <c r="AB196" i="1"/>
  <c r="AA196" i="1"/>
  <c r="Z196" i="1"/>
  <c r="AD195" i="1"/>
  <c r="AC195" i="1"/>
  <c r="AB195" i="1"/>
  <c r="AA195" i="1"/>
  <c r="Z195" i="1"/>
  <c r="AD194" i="1"/>
  <c r="AC194" i="1"/>
  <c r="AB194" i="1"/>
  <c r="AA194" i="1"/>
  <c r="Z194" i="1"/>
  <c r="AD193" i="1"/>
  <c r="AC193" i="1"/>
  <c r="AB193" i="1"/>
  <c r="AA193" i="1"/>
  <c r="Z193" i="1"/>
  <c r="AD192" i="1"/>
  <c r="AC192" i="1"/>
  <c r="AB192" i="1"/>
  <c r="AA192" i="1"/>
  <c r="Z192" i="1"/>
  <c r="AD191" i="1"/>
  <c r="AC191" i="1"/>
  <c r="AB191" i="1"/>
  <c r="AA191" i="1"/>
  <c r="Z191" i="1"/>
  <c r="AD190" i="1"/>
  <c r="AC190" i="1"/>
  <c r="AB190" i="1"/>
  <c r="AA190" i="1"/>
  <c r="Z190" i="1"/>
  <c r="AD189" i="1"/>
  <c r="AC189" i="1"/>
  <c r="AB189" i="1"/>
  <c r="AA189" i="1"/>
  <c r="Z189" i="1"/>
  <c r="AD188" i="1"/>
  <c r="AC188" i="1"/>
  <c r="AB188" i="1"/>
  <c r="AA188" i="1"/>
  <c r="Z188" i="1"/>
  <c r="AD187" i="1"/>
  <c r="AC187" i="1"/>
  <c r="AB187" i="1"/>
  <c r="AA187" i="1"/>
  <c r="Z187" i="1"/>
  <c r="AD186" i="1"/>
  <c r="AC186" i="1"/>
  <c r="AB186" i="1"/>
  <c r="AA186" i="1"/>
  <c r="Z186" i="1"/>
  <c r="AD185" i="1"/>
  <c r="AC185" i="1"/>
  <c r="AB185" i="1"/>
  <c r="AA185" i="1"/>
  <c r="Z185" i="1"/>
  <c r="AD184" i="1"/>
  <c r="AC184" i="1"/>
  <c r="AB184" i="1"/>
  <c r="AA184" i="1"/>
  <c r="Z184" i="1"/>
  <c r="AD183" i="1"/>
  <c r="AC183" i="1"/>
  <c r="AB183" i="1"/>
  <c r="AA183" i="1"/>
  <c r="Z183" i="1"/>
  <c r="AD182" i="1"/>
  <c r="AC182" i="1"/>
  <c r="AB182" i="1"/>
  <c r="AA182" i="1"/>
  <c r="Z182" i="1"/>
  <c r="AD181" i="1"/>
  <c r="AC181" i="1"/>
  <c r="AB181" i="1"/>
  <c r="AA181" i="1"/>
  <c r="Z181" i="1"/>
  <c r="AD180" i="1"/>
  <c r="AC180" i="1"/>
  <c r="AB180" i="1"/>
  <c r="AA180" i="1"/>
  <c r="Z180" i="1"/>
  <c r="AD179" i="1"/>
  <c r="AC179" i="1"/>
  <c r="AB179" i="1"/>
  <c r="AA179" i="1"/>
  <c r="Z179" i="1"/>
  <c r="AD178" i="1"/>
  <c r="AC178" i="1"/>
  <c r="AB178" i="1"/>
  <c r="AA178" i="1"/>
  <c r="Z178" i="1"/>
  <c r="AD177" i="1"/>
  <c r="AC177" i="1"/>
  <c r="AB177" i="1"/>
  <c r="AA177" i="1"/>
  <c r="Z177" i="1"/>
  <c r="AD176" i="1"/>
  <c r="AC176" i="1"/>
  <c r="AB176" i="1"/>
  <c r="AA176" i="1"/>
  <c r="Z176" i="1"/>
  <c r="AD175" i="1"/>
  <c r="AC175" i="1"/>
  <c r="AB175" i="1"/>
  <c r="AA175" i="1"/>
  <c r="Z175" i="1"/>
  <c r="AD174" i="1"/>
  <c r="AC174" i="1"/>
  <c r="AB174" i="1"/>
  <c r="AA174" i="1"/>
  <c r="Z174" i="1"/>
  <c r="AD173" i="1"/>
  <c r="AC173" i="1"/>
  <c r="AB173" i="1"/>
  <c r="AA173" i="1"/>
  <c r="Z173" i="1"/>
  <c r="AD172" i="1"/>
  <c r="AC172" i="1"/>
  <c r="AB172" i="1"/>
  <c r="AA172" i="1"/>
  <c r="Z172" i="1"/>
  <c r="AD171" i="1"/>
  <c r="AC171" i="1"/>
  <c r="AB171" i="1"/>
  <c r="AA171" i="1"/>
  <c r="Z171" i="1"/>
  <c r="AD170" i="1"/>
  <c r="AC170" i="1"/>
  <c r="AB170" i="1"/>
  <c r="AA170" i="1"/>
  <c r="Z170" i="1"/>
  <c r="AD169" i="1"/>
  <c r="AC169" i="1"/>
  <c r="AB169" i="1"/>
  <c r="AA169" i="1"/>
  <c r="Z169" i="1"/>
  <c r="AD168" i="1"/>
  <c r="AC168" i="1"/>
  <c r="AB168" i="1"/>
  <c r="AA168" i="1"/>
  <c r="Z168" i="1"/>
  <c r="AD167" i="1"/>
  <c r="AC167" i="1"/>
  <c r="AB167" i="1"/>
  <c r="AA167" i="1"/>
  <c r="Z167" i="1"/>
  <c r="AD166" i="1"/>
  <c r="AC166" i="1"/>
  <c r="AB166" i="1"/>
  <c r="AA166" i="1"/>
  <c r="Z166" i="1"/>
  <c r="AD165" i="1"/>
  <c r="AC165" i="1"/>
  <c r="AB165" i="1"/>
  <c r="AA165" i="1"/>
  <c r="Z165" i="1"/>
  <c r="AD164" i="1"/>
  <c r="AC164" i="1"/>
  <c r="AB164" i="1"/>
  <c r="AA164" i="1"/>
  <c r="Z164" i="1"/>
  <c r="AD163" i="1"/>
  <c r="AC163" i="1"/>
  <c r="AB163" i="1"/>
  <c r="AA163" i="1"/>
  <c r="Z163" i="1"/>
  <c r="AD162" i="1"/>
  <c r="AC162" i="1"/>
  <c r="AB162" i="1"/>
  <c r="AA162" i="1"/>
  <c r="Z162" i="1"/>
  <c r="AD161" i="1"/>
  <c r="AC161" i="1"/>
  <c r="AB161" i="1"/>
  <c r="AA161" i="1"/>
  <c r="Z161" i="1"/>
  <c r="AD160" i="1"/>
  <c r="AC160" i="1"/>
  <c r="AB160" i="1"/>
  <c r="AA160" i="1"/>
  <c r="Z160" i="1"/>
  <c r="AD159" i="1"/>
  <c r="AC159" i="1"/>
  <c r="AB159" i="1"/>
  <c r="AA159" i="1"/>
  <c r="Z159" i="1"/>
  <c r="AD158" i="1"/>
  <c r="AC158" i="1"/>
  <c r="AB158" i="1"/>
  <c r="AA158" i="1"/>
  <c r="Z158" i="1"/>
  <c r="AD157" i="1"/>
  <c r="AC157" i="1"/>
  <c r="AB157" i="1"/>
  <c r="AA157" i="1"/>
  <c r="Z157" i="1"/>
  <c r="AD156" i="1"/>
  <c r="AC156" i="1"/>
  <c r="AB156" i="1"/>
  <c r="AA156" i="1"/>
  <c r="Z156" i="1"/>
  <c r="AD155" i="1"/>
  <c r="AC155" i="1"/>
  <c r="AB155" i="1"/>
  <c r="AA155" i="1"/>
  <c r="Z155" i="1"/>
  <c r="AD154" i="1"/>
  <c r="AC154" i="1"/>
  <c r="AB154" i="1"/>
  <c r="AA154" i="1"/>
  <c r="Z154" i="1"/>
  <c r="AD153" i="1"/>
  <c r="AC153" i="1"/>
  <c r="AB153" i="1"/>
  <c r="AA153" i="1"/>
  <c r="Z153" i="1"/>
  <c r="AD152" i="1"/>
  <c r="AC152" i="1"/>
  <c r="AB152" i="1"/>
  <c r="AA152" i="1"/>
  <c r="Z152" i="1"/>
  <c r="AD151" i="1"/>
  <c r="AC151" i="1"/>
  <c r="AB151" i="1"/>
  <c r="AA151" i="1"/>
  <c r="Z151" i="1"/>
  <c r="AD150" i="1"/>
  <c r="AC150" i="1"/>
  <c r="AB150" i="1"/>
  <c r="AA150" i="1"/>
  <c r="Z150" i="1"/>
  <c r="AD149" i="1"/>
  <c r="AC149" i="1"/>
  <c r="AB149" i="1"/>
  <c r="AA149" i="1"/>
  <c r="Z149" i="1"/>
  <c r="AD148" i="1"/>
  <c r="AC148" i="1"/>
  <c r="AB148" i="1"/>
  <c r="AA148" i="1"/>
  <c r="Z148" i="1"/>
  <c r="AD147" i="1"/>
  <c r="AC147" i="1"/>
  <c r="AB147" i="1"/>
  <c r="AA147" i="1"/>
  <c r="Z147" i="1"/>
  <c r="AD146" i="1"/>
  <c r="AC146" i="1"/>
  <c r="AB146" i="1"/>
  <c r="AA146" i="1"/>
  <c r="Z146" i="1"/>
  <c r="AD145" i="1"/>
  <c r="AC145" i="1"/>
  <c r="AB145" i="1"/>
  <c r="AA145" i="1"/>
  <c r="Z145" i="1"/>
  <c r="AD144" i="1"/>
  <c r="AC144" i="1"/>
  <c r="AB144" i="1"/>
  <c r="AA144" i="1"/>
  <c r="Z144" i="1"/>
  <c r="AD143" i="1"/>
  <c r="AC143" i="1"/>
  <c r="AB143" i="1"/>
  <c r="AA143" i="1"/>
  <c r="Z143" i="1"/>
  <c r="AD142" i="1"/>
  <c r="AC142" i="1"/>
  <c r="AB142" i="1"/>
  <c r="AA142" i="1"/>
  <c r="Z142" i="1"/>
  <c r="AD141" i="1"/>
  <c r="AC141" i="1"/>
  <c r="AB141" i="1"/>
  <c r="AA141" i="1"/>
  <c r="Z141" i="1"/>
  <c r="AD140" i="1"/>
  <c r="AC140" i="1"/>
  <c r="AB140" i="1"/>
  <c r="AA140" i="1"/>
  <c r="Z140" i="1"/>
  <c r="AD139" i="1"/>
  <c r="AC139" i="1"/>
  <c r="AB139" i="1"/>
  <c r="AA139" i="1"/>
  <c r="Z139" i="1"/>
  <c r="AD138" i="1"/>
  <c r="AC138" i="1"/>
  <c r="AB138" i="1"/>
  <c r="AA138" i="1"/>
  <c r="Z138" i="1"/>
  <c r="AD137" i="1"/>
  <c r="AC137" i="1"/>
  <c r="AB137" i="1"/>
  <c r="AA137" i="1"/>
  <c r="Z137" i="1"/>
  <c r="AD136" i="1"/>
  <c r="AC136" i="1"/>
  <c r="AB136" i="1"/>
  <c r="AA136" i="1"/>
  <c r="Z136" i="1"/>
  <c r="AD135" i="1"/>
  <c r="AC135" i="1"/>
  <c r="AB135" i="1"/>
  <c r="AA135" i="1"/>
  <c r="Z135" i="1"/>
  <c r="AD134" i="1"/>
  <c r="AC134" i="1"/>
  <c r="AB134" i="1"/>
  <c r="AA134" i="1"/>
  <c r="Z134" i="1"/>
  <c r="AD133" i="1"/>
  <c r="AC133" i="1"/>
  <c r="AB133" i="1"/>
  <c r="AA133" i="1"/>
  <c r="Z133" i="1"/>
  <c r="AD132" i="1"/>
  <c r="AC132" i="1"/>
  <c r="AB132" i="1"/>
  <c r="AA132" i="1"/>
  <c r="Z132" i="1"/>
  <c r="AD131" i="1"/>
  <c r="AC131" i="1"/>
  <c r="AB131" i="1"/>
  <c r="AA131" i="1"/>
  <c r="Z131" i="1"/>
  <c r="AD130" i="1"/>
  <c r="AC130" i="1"/>
  <c r="AB130" i="1"/>
  <c r="AA130" i="1"/>
  <c r="Z130" i="1"/>
  <c r="AD129" i="1"/>
  <c r="AC129" i="1"/>
  <c r="AB129" i="1"/>
  <c r="AA129" i="1"/>
  <c r="Z129" i="1"/>
  <c r="AD128" i="1"/>
  <c r="AC128" i="1"/>
  <c r="AB128" i="1"/>
  <c r="AA128" i="1"/>
  <c r="Z128" i="1"/>
  <c r="AD127" i="1"/>
  <c r="AC127" i="1"/>
  <c r="AB127" i="1"/>
  <c r="AA127" i="1"/>
  <c r="Z127" i="1"/>
  <c r="AD126" i="1"/>
  <c r="AC126" i="1"/>
  <c r="AB126" i="1"/>
  <c r="AA126" i="1"/>
  <c r="Z126" i="1"/>
  <c r="AD125" i="1"/>
  <c r="AC125" i="1"/>
  <c r="AB125" i="1"/>
  <c r="AA125" i="1"/>
  <c r="Z125" i="1"/>
  <c r="AD124" i="1"/>
  <c r="AC124" i="1"/>
  <c r="AB124" i="1"/>
  <c r="AA124" i="1"/>
  <c r="Z124" i="1"/>
  <c r="AD123" i="1"/>
  <c r="AC123" i="1"/>
  <c r="AB123" i="1"/>
  <c r="AA123" i="1"/>
  <c r="Z123" i="1"/>
  <c r="AD122" i="1"/>
  <c r="AC122" i="1"/>
  <c r="AB122" i="1"/>
  <c r="AA122" i="1"/>
  <c r="Z122" i="1"/>
  <c r="AD121" i="1"/>
  <c r="AC121" i="1"/>
  <c r="AB121" i="1"/>
  <c r="AA121" i="1"/>
  <c r="Z121" i="1"/>
  <c r="AD120" i="1"/>
  <c r="AC120" i="1"/>
  <c r="AB120" i="1"/>
  <c r="AA120" i="1"/>
  <c r="Z120" i="1"/>
  <c r="AD119" i="1"/>
  <c r="AC119" i="1"/>
  <c r="AB119" i="1"/>
  <c r="AA119" i="1"/>
  <c r="Z119" i="1"/>
  <c r="AD118" i="1"/>
  <c r="AC118" i="1"/>
  <c r="AB118" i="1"/>
  <c r="AA118" i="1"/>
  <c r="Z118" i="1"/>
  <c r="AD117" i="1"/>
  <c r="AC117" i="1"/>
  <c r="AB117" i="1"/>
  <c r="AA117" i="1"/>
  <c r="Z117" i="1"/>
  <c r="AD116" i="1"/>
  <c r="AC116" i="1"/>
  <c r="AB116" i="1"/>
  <c r="AA116" i="1"/>
  <c r="Z116" i="1"/>
  <c r="AD115" i="1"/>
  <c r="AC115" i="1"/>
  <c r="AB115" i="1"/>
  <c r="AA115" i="1"/>
  <c r="Z115" i="1"/>
  <c r="AD114" i="1"/>
  <c r="AC114" i="1"/>
  <c r="AB114" i="1"/>
  <c r="AA114" i="1"/>
  <c r="Z114" i="1"/>
  <c r="AD113" i="1"/>
  <c r="AC113" i="1"/>
  <c r="AB113" i="1"/>
  <c r="AA113" i="1"/>
  <c r="Z113" i="1"/>
  <c r="AD112" i="1"/>
  <c r="AC112" i="1"/>
  <c r="AB112" i="1"/>
  <c r="AA112" i="1"/>
  <c r="Z112" i="1"/>
  <c r="AD111" i="1"/>
  <c r="AC111" i="1"/>
  <c r="AB111" i="1"/>
  <c r="AA111" i="1"/>
  <c r="Z111" i="1"/>
  <c r="AD110" i="1"/>
  <c r="AC110" i="1"/>
  <c r="AB110" i="1"/>
  <c r="AA110" i="1"/>
  <c r="Z110" i="1"/>
  <c r="AD109" i="1"/>
  <c r="AC109" i="1"/>
  <c r="AB109" i="1"/>
  <c r="AA109" i="1"/>
  <c r="Z109" i="1"/>
  <c r="AD108" i="1"/>
  <c r="AC108" i="1"/>
  <c r="AB108" i="1"/>
  <c r="AA108" i="1"/>
  <c r="Z108" i="1"/>
  <c r="AD107" i="1"/>
  <c r="AC107" i="1"/>
  <c r="AB107" i="1"/>
  <c r="AA107" i="1"/>
  <c r="Z107" i="1"/>
  <c r="AD106" i="1"/>
  <c r="AC106" i="1"/>
  <c r="AB106" i="1"/>
  <c r="AA106" i="1"/>
  <c r="Z106" i="1"/>
  <c r="AD105" i="1"/>
  <c r="AC105" i="1"/>
  <c r="AB105" i="1"/>
  <c r="AA105" i="1"/>
  <c r="Z105" i="1"/>
  <c r="AD104" i="1"/>
  <c r="AC104" i="1"/>
  <c r="AB104" i="1"/>
  <c r="AA104" i="1"/>
  <c r="Z104" i="1"/>
  <c r="AD103" i="1"/>
  <c r="AC103" i="1"/>
  <c r="AB103" i="1"/>
  <c r="AA103" i="1"/>
  <c r="Z103" i="1"/>
  <c r="AD102" i="1"/>
  <c r="AC102" i="1"/>
  <c r="AB102" i="1"/>
  <c r="AA102" i="1"/>
  <c r="Z102" i="1"/>
  <c r="AD101" i="1"/>
  <c r="AC101" i="1"/>
  <c r="AB101" i="1"/>
  <c r="AA101" i="1"/>
  <c r="Z101" i="1"/>
  <c r="AD100" i="1"/>
  <c r="AC100" i="1"/>
  <c r="AB100" i="1"/>
  <c r="AA100" i="1"/>
  <c r="Z100" i="1"/>
  <c r="AD99" i="1"/>
  <c r="AC99" i="1"/>
  <c r="AB99" i="1"/>
  <c r="AA99" i="1"/>
  <c r="Z99" i="1"/>
  <c r="AD98" i="1"/>
  <c r="AC98" i="1"/>
  <c r="AB98" i="1"/>
  <c r="AA98" i="1"/>
  <c r="Z98" i="1"/>
  <c r="AD97" i="1"/>
  <c r="AC97" i="1"/>
  <c r="AB97" i="1"/>
  <c r="AA97" i="1"/>
  <c r="Z97" i="1"/>
  <c r="AD96" i="1"/>
  <c r="AC96" i="1"/>
  <c r="AB96" i="1"/>
  <c r="AA96" i="1"/>
  <c r="Z96" i="1"/>
  <c r="AD95" i="1"/>
  <c r="AC95" i="1"/>
  <c r="AB95" i="1"/>
  <c r="AA95" i="1"/>
  <c r="Z95" i="1"/>
  <c r="AD94" i="1"/>
  <c r="AC94" i="1"/>
  <c r="AB94" i="1"/>
  <c r="AA94" i="1"/>
  <c r="Z94" i="1"/>
  <c r="AD93" i="1"/>
  <c r="AC93" i="1"/>
  <c r="AB93" i="1"/>
  <c r="AA93" i="1"/>
  <c r="Z93" i="1"/>
  <c r="AD92" i="1"/>
  <c r="AC92" i="1"/>
  <c r="AB92" i="1"/>
  <c r="AA92" i="1"/>
  <c r="Z92" i="1"/>
  <c r="AD91" i="1"/>
  <c r="AC91" i="1"/>
  <c r="AB91" i="1"/>
  <c r="AA91" i="1"/>
  <c r="Z91" i="1"/>
  <c r="AD90" i="1"/>
  <c r="AC90" i="1"/>
  <c r="AB90" i="1"/>
  <c r="AA90" i="1"/>
  <c r="Z90" i="1"/>
  <c r="AD89" i="1"/>
  <c r="AC89" i="1"/>
  <c r="AB89" i="1"/>
  <c r="AA89" i="1"/>
  <c r="Z89" i="1"/>
  <c r="AD88" i="1"/>
  <c r="AC88" i="1"/>
  <c r="AB88" i="1"/>
  <c r="AA88" i="1"/>
  <c r="Z88" i="1"/>
  <c r="AD87" i="1"/>
  <c r="AC87" i="1"/>
  <c r="AB87" i="1"/>
  <c r="AA87" i="1"/>
  <c r="Z87" i="1"/>
  <c r="AD86" i="1"/>
  <c r="AC86" i="1"/>
  <c r="AB86" i="1"/>
  <c r="AA86" i="1"/>
  <c r="Z86" i="1"/>
  <c r="AD85" i="1"/>
  <c r="AC85" i="1"/>
  <c r="AB85" i="1"/>
  <c r="AA85" i="1"/>
  <c r="Z85" i="1"/>
  <c r="AD84" i="1"/>
  <c r="AC84" i="1"/>
  <c r="AB84" i="1"/>
  <c r="AA84" i="1"/>
  <c r="Z84" i="1"/>
  <c r="AD83" i="1"/>
  <c r="AC83" i="1"/>
  <c r="AB83" i="1"/>
  <c r="AA83" i="1"/>
  <c r="Z83" i="1"/>
  <c r="AD82" i="1"/>
  <c r="AC82" i="1"/>
  <c r="AB82" i="1"/>
  <c r="AA82" i="1"/>
  <c r="Z82" i="1"/>
  <c r="AD81" i="1"/>
  <c r="AC81" i="1"/>
  <c r="AB81" i="1"/>
  <c r="AA81" i="1"/>
  <c r="Z81" i="1"/>
  <c r="AD80" i="1"/>
  <c r="AC80" i="1"/>
  <c r="AB80" i="1"/>
  <c r="AA80" i="1"/>
  <c r="Z80" i="1"/>
  <c r="AD79" i="1"/>
  <c r="AC79" i="1"/>
  <c r="AB79" i="1"/>
  <c r="AA79" i="1"/>
  <c r="Z79" i="1"/>
  <c r="AD78" i="1"/>
  <c r="AC78" i="1"/>
  <c r="AB78" i="1"/>
  <c r="AA78" i="1"/>
  <c r="Z78" i="1"/>
  <c r="AD77" i="1"/>
  <c r="AC77" i="1"/>
  <c r="AB77" i="1"/>
  <c r="AA77" i="1"/>
  <c r="Z77" i="1"/>
  <c r="AD76" i="1"/>
  <c r="AC76" i="1"/>
  <c r="AB76" i="1"/>
  <c r="AA76" i="1"/>
  <c r="Z76" i="1"/>
  <c r="AD75" i="1"/>
  <c r="AC75" i="1"/>
  <c r="AB75" i="1"/>
  <c r="AA75" i="1"/>
  <c r="Z75" i="1"/>
  <c r="AD74" i="1"/>
  <c r="AC74" i="1"/>
  <c r="AB74" i="1"/>
  <c r="AA74" i="1"/>
  <c r="Z74" i="1"/>
  <c r="AD73" i="1"/>
  <c r="AC73" i="1"/>
  <c r="AB73" i="1"/>
  <c r="AA73" i="1"/>
  <c r="Z73" i="1"/>
  <c r="AD72" i="1"/>
  <c r="AC72" i="1"/>
  <c r="AB72" i="1"/>
  <c r="AA72" i="1"/>
  <c r="Z72" i="1"/>
  <c r="AD71" i="1"/>
  <c r="AC71" i="1"/>
  <c r="AB71" i="1"/>
  <c r="AA71" i="1"/>
  <c r="Z71" i="1"/>
  <c r="AD70" i="1"/>
  <c r="AC70" i="1"/>
  <c r="AB70" i="1"/>
  <c r="AA70" i="1"/>
  <c r="Z70" i="1"/>
  <c r="AD69" i="1"/>
  <c r="AC69" i="1"/>
  <c r="AB69" i="1"/>
  <c r="AA69" i="1"/>
  <c r="Z69" i="1"/>
  <c r="AD68" i="1"/>
  <c r="AC68" i="1"/>
  <c r="AB68" i="1"/>
  <c r="AA68" i="1"/>
  <c r="Z68" i="1"/>
  <c r="AD67" i="1"/>
  <c r="AC67" i="1"/>
  <c r="AB67" i="1"/>
  <c r="AA67" i="1"/>
  <c r="Z67" i="1"/>
  <c r="AD66" i="1"/>
  <c r="AC66" i="1"/>
  <c r="AB66" i="1"/>
  <c r="AA66" i="1"/>
  <c r="Z66" i="1"/>
  <c r="AD65" i="1"/>
  <c r="AC65" i="1"/>
  <c r="AB65" i="1"/>
  <c r="AA65" i="1"/>
  <c r="Z65" i="1"/>
  <c r="AD64" i="1"/>
  <c r="AC64" i="1"/>
  <c r="AB64" i="1"/>
  <c r="AA64" i="1"/>
  <c r="Z64" i="1"/>
  <c r="AD63" i="1"/>
  <c r="AC63" i="1"/>
  <c r="AB63" i="1"/>
  <c r="AA63" i="1"/>
  <c r="Z63" i="1"/>
  <c r="AD62" i="1"/>
  <c r="AC62" i="1"/>
  <c r="AB62" i="1"/>
  <c r="AA62" i="1"/>
  <c r="Z62" i="1"/>
  <c r="AD61" i="1"/>
  <c r="AC61" i="1"/>
  <c r="AB61" i="1"/>
  <c r="AA61" i="1"/>
  <c r="Z61" i="1"/>
  <c r="AD60" i="1"/>
  <c r="AC60" i="1"/>
  <c r="AB60" i="1"/>
  <c r="AA60" i="1"/>
  <c r="Z60" i="1"/>
  <c r="AD59" i="1"/>
  <c r="AC59" i="1"/>
  <c r="AB59" i="1"/>
  <c r="AA59" i="1"/>
  <c r="Z59" i="1"/>
  <c r="AD58" i="1"/>
  <c r="AC58" i="1"/>
  <c r="AB58" i="1"/>
  <c r="AA58" i="1"/>
  <c r="Z58" i="1"/>
  <c r="AD57" i="1"/>
  <c r="AC57" i="1"/>
  <c r="AB57" i="1"/>
  <c r="AA57" i="1"/>
  <c r="Z57" i="1"/>
  <c r="AD56" i="1"/>
  <c r="AC56" i="1"/>
  <c r="AB56" i="1"/>
  <c r="AA56" i="1"/>
  <c r="Z56" i="1"/>
  <c r="AD55" i="1"/>
  <c r="AC55" i="1"/>
  <c r="AB55" i="1"/>
  <c r="AA55" i="1"/>
  <c r="Z55" i="1"/>
  <c r="AD54" i="1"/>
  <c r="AC54" i="1"/>
  <c r="AB54" i="1"/>
  <c r="AA54" i="1"/>
  <c r="Z54" i="1"/>
  <c r="AD53" i="1"/>
  <c r="AC53" i="1"/>
  <c r="AB53" i="1"/>
  <c r="AA53" i="1"/>
  <c r="Z53" i="1"/>
  <c r="AD52" i="1"/>
  <c r="AC52" i="1"/>
  <c r="AB52" i="1"/>
  <c r="AA52" i="1"/>
  <c r="Z52" i="1"/>
  <c r="AD51" i="1"/>
  <c r="AC51" i="1"/>
  <c r="AB51" i="1"/>
  <c r="AA51" i="1"/>
  <c r="Z51" i="1"/>
  <c r="AD50" i="1"/>
  <c r="AC50" i="1"/>
  <c r="AB50" i="1"/>
  <c r="AA50" i="1"/>
  <c r="Z50" i="1"/>
  <c r="AD49" i="1"/>
  <c r="AC49" i="1"/>
  <c r="AB49" i="1"/>
  <c r="AA49" i="1"/>
  <c r="Z49" i="1"/>
  <c r="AD48" i="1"/>
  <c r="AC48" i="1"/>
  <c r="AB48" i="1"/>
  <c r="AA48" i="1"/>
  <c r="Z48" i="1"/>
  <c r="AD47" i="1"/>
  <c r="AC47" i="1"/>
  <c r="AB47" i="1"/>
  <c r="AA47" i="1"/>
  <c r="Z47" i="1"/>
  <c r="AD46" i="1"/>
  <c r="AC46" i="1"/>
  <c r="AB46" i="1"/>
  <c r="AA46" i="1"/>
  <c r="Z46" i="1"/>
  <c r="AD45" i="1"/>
  <c r="AC45" i="1"/>
  <c r="AB45" i="1"/>
  <c r="AA45" i="1"/>
  <c r="Z45" i="1"/>
  <c r="AD44" i="1"/>
  <c r="AC44" i="1"/>
  <c r="AB44" i="1"/>
  <c r="AA44" i="1"/>
  <c r="Z44" i="1"/>
  <c r="AD43" i="1"/>
  <c r="AC43" i="1"/>
  <c r="AB43" i="1"/>
  <c r="AA43" i="1"/>
  <c r="Z43" i="1"/>
  <c r="AD42" i="1"/>
  <c r="AC42" i="1"/>
  <c r="AB42" i="1"/>
  <c r="AA42" i="1"/>
  <c r="Z42" i="1"/>
  <c r="AD41" i="1"/>
  <c r="AC41" i="1"/>
  <c r="AB41" i="1"/>
  <c r="AA41" i="1"/>
  <c r="Z41" i="1"/>
  <c r="AD40" i="1"/>
  <c r="AC40" i="1"/>
  <c r="AB40" i="1"/>
  <c r="AA40" i="1"/>
  <c r="Z40" i="1"/>
  <c r="AD39" i="1"/>
  <c r="AC39" i="1"/>
  <c r="AB39" i="1"/>
  <c r="AA39" i="1"/>
  <c r="Z39" i="1"/>
  <c r="AD38" i="1"/>
  <c r="AC38" i="1"/>
  <c r="AB38" i="1"/>
  <c r="AA38" i="1"/>
  <c r="Z38" i="1"/>
  <c r="AD37" i="1"/>
  <c r="AC37" i="1"/>
  <c r="AB37" i="1"/>
  <c r="AA37" i="1"/>
  <c r="Z37" i="1"/>
  <c r="AD36" i="1"/>
  <c r="AC36" i="1"/>
  <c r="AB36" i="1"/>
  <c r="AA36" i="1"/>
  <c r="Z36" i="1"/>
  <c r="AD35" i="1"/>
  <c r="AC35" i="1"/>
  <c r="AB35" i="1"/>
  <c r="AA35" i="1"/>
  <c r="Z35" i="1"/>
  <c r="AD34" i="1"/>
  <c r="AC34" i="1"/>
  <c r="AB34" i="1"/>
  <c r="AA34" i="1"/>
  <c r="Z34" i="1"/>
  <c r="AD33" i="1"/>
  <c r="AC33" i="1"/>
  <c r="AB33" i="1"/>
  <c r="AA33" i="1"/>
  <c r="Z33" i="1"/>
  <c r="AD32" i="1"/>
  <c r="AC32" i="1"/>
  <c r="AB32" i="1"/>
  <c r="AA32" i="1"/>
  <c r="Z32" i="1"/>
  <c r="AD31" i="1"/>
  <c r="AC31" i="1"/>
  <c r="AB31" i="1"/>
  <c r="AA31" i="1"/>
  <c r="Z31" i="1"/>
  <c r="AD30" i="1"/>
  <c r="AC30" i="1"/>
  <c r="AB30" i="1"/>
  <c r="AA30" i="1"/>
  <c r="Z30" i="1"/>
  <c r="AD29" i="1"/>
  <c r="AC29" i="1"/>
  <c r="AB29" i="1"/>
  <c r="AA29" i="1"/>
  <c r="Z29" i="1"/>
  <c r="AD28" i="1"/>
  <c r="AC28" i="1"/>
  <c r="AB28" i="1"/>
  <c r="AA28" i="1"/>
  <c r="Z28" i="1"/>
  <c r="AD27" i="1"/>
  <c r="AC27" i="1"/>
  <c r="AB27" i="1"/>
  <c r="AA27" i="1"/>
  <c r="Z27" i="1"/>
  <c r="AD26" i="1"/>
  <c r="AC26" i="1"/>
  <c r="AB26" i="1"/>
  <c r="AA26" i="1"/>
  <c r="Z26" i="1"/>
  <c r="AD25" i="1"/>
  <c r="AC25" i="1"/>
  <c r="AB25" i="1"/>
  <c r="AA25" i="1"/>
  <c r="Z25" i="1"/>
  <c r="AD24" i="1"/>
  <c r="AC24" i="1"/>
  <c r="AB24" i="1"/>
  <c r="AA24" i="1"/>
  <c r="Z24" i="1"/>
  <c r="AD23" i="1"/>
  <c r="AC23" i="1"/>
  <c r="AB23" i="1"/>
  <c r="AA23" i="1"/>
  <c r="Z23" i="1"/>
  <c r="AD22" i="1"/>
  <c r="AC22" i="1"/>
  <c r="AB22" i="1"/>
  <c r="AA22" i="1"/>
  <c r="Z22" i="1"/>
  <c r="AD21" i="1"/>
  <c r="AC21" i="1"/>
  <c r="AB21" i="1"/>
  <c r="AA21" i="1"/>
  <c r="Z21" i="1"/>
  <c r="AD20" i="1"/>
  <c r="AC20" i="1"/>
  <c r="AB20" i="1"/>
  <c r="AA20" i="1"/>
  <c r="Z20" i="1"/>
  <c r="AD19" i="1"/>
  <c r="AC19" i="1"/>
  <c r="AB19" i="1"/>
  <c r="AA19" i="1"/>
  <c r="Z19" i="1"/>
  <c r="AD18" i="1"/>
  <c r="AC18" i="1"/>
  <c r="AB18" i="1"/>
  <c r="AA18" i="1"/>
  <c r="Z18" i="1"/>
  <c r="AD17" i="1"/>
  <c r="AC17" i="1"/>
  <c r="AB17" i="1"/>
  <c r="AA17" i="1"/>
  <c r="Z17" i="1"/>
  <c r="AD16" i="1"/>
  <c r="AC16" i="1"/>
  <c r="AB16" i="1"/>
  <c r="AA16" i="1"/>
  <c r="Z16" i="1"/>
  <c r="AD15" i="1"/>
  <c r="AC15" i="1"/>
  <c r="AB15" i="1"/>
  <c r="AA15" i="1"/>
  <c r="Z15" i="1"/>
  <c r="AD14" i="1"/>
  <c r="AC14" i="1"/>
  <c r="AB14" i="1"/>
  <c r="AA14" i="1"/>
  <c r="Z14" i="1"/>
  <c r="AD13" i="1"/>
  <c r="AC13" i="1"/>
  <c r="AB13" i="1"/>
  <c r="AA13" i="1"/>
  <c r="Z13" i="1"/>
  <c r="AD12" i="1"/>
  <c r="AC12" i="1"/>
  <c r="AB12" i="1"/>
  <c r="AA12" i="1"/>
  <c r="Z12" i="1"/>
  <c r="AD11" i="1"/>
  <c r="AC11" i="1"/>
  <c r="AB11" i="1"/>
  <c r="AA11" i="1"/>
  <c r="Z11" i="1"/>
  <c r="AD10" i="1"/>
  <c r="AC10" i="1"/>
  <c r="AB10" i="1"/>
  <c r="AA10" i="1"/>
  <c r="Z10" i="1"/>
  <c r="AD9" i="1"/>
  <c r="AC9" i="1"/>
  <c r="AB9" i="1"/>
  <c r="AA9" i="1"/>
  <c r="Z9" i="1"/>
  <c r="AD8" i="1"/>
  <c r="AC8" i="1"/>
  <c r="AB8" i="1"/>
  <c r="AA8" i="1"/>
  <c r="Z8" i="1"/>
  <c r="AD7" i="1"/>
  <c r="AC7" i="1"/>
  <c r="AB7" i="1"/>
  <c r="AA7" i="1"/>
  <c r="Z7" i="1"/>
  <c r="AD6" i="1"/>
  <c r="AC6" i="1"/>
  <c r="AB6" i="1"/>
  <c r="AA6" i="1"/>
  <c r="Z6" i="1"/>
  <c r="AD5" i="1"/>
  <c r="AC5" i="1"/>
  <c r="AB5" i="1"/>
  <c r="AA5" i="1"/>
  <c r="Z5" i="1"/>
  <c r="AD4" i="1"/>
  <c r="AC4" i="1"/>
  <c r="AB4" i="1"/>
  <c r="AA4" i="1"/>
  <c r="Z4" i="1"/>
  <c r="AD3" i="1"/>
  <c r="AC3" i="1"/>
  <c r="AB3" i="1"/>
  <c r="AA3" i="1"/>
  <c r="Z3" i="1"/>
  <c r="AD2" i="1"/>
  <c r="AC2" i="1"/>
  <c r="AB2" i="1"/>
  <c r="AA2" i="1"/>
  <c r="Z2" i="1"/>
  <c r="C44" i="5" l="1"/>
  <c r="C43" i="5"/>
  <c r="C33" i="5"/>
  <c r="E33" i="5" s="1"/>
  <c r="F25" i="5"/>
  <c r="C4" i="5" s="1"/>
  <c r="F39" i="5"/>
  <c r="D43" i="5" l="1"/>
  <c r="D44" i="5"/>
</calcChain>
</file>

<file path=xl/sharedStrings.xml><?xml version="1.0" encoding="utf-8"?>
<sst xmlns="http://schemas.openxmlformats.org/spreadsheetml/2006/main" count="8484" uniqueCount="1851">
  <si>
    <t>Year</t>
  </si>
  <si>
    <t>Municipality Name</t>
  </si>
  <si>
    <t>County</t>
  </si>
  <si>
    <t>Municipality ID</t>
  </si>
  <si>
    <t>Party of the Incumbent - President</t>
  </si>
  <si>
    <t>Party that won the municpality - President</t>
  </si>
  <si>
    <t>Votes (Democrat) - President</t>
  </si>
  <si>
    <t>Votes (Republican) - President</t>
  </si>
  <si>
    <t>Votes (R+D) - President</t>
  </si>
  <si>
    <t>Party of the Incumbent - Governor</t>
  </si>
  <si>
    <t>Party that won the municpality - Governor</t>
  </si>
  <si>
    <t>Votes (Democrat) - Governor</t>
  </si>
  <si>
    <t>Votes (Republican) - Governor</t>
  </si>
  <si>
    <t>Votes (R+D) - Governor</t>
  </si>
  <si>
    <t>Party of the Incumbent - Senate</t>
  </si>
  <si>
    <t>Party that won the municpality- Senate</t>
  </si>
  <si>
    <t>Votes (Democrat) - Senate</t>
  </si>
  <si>
    <t>Votes (Republican) - Senate</t>
  </si>
  <si>
    <t>Votes (R+D)- Senate</t>
  </si>
  <si>
    <t>Party of the Incumbent - House</t>
  </si>
  <si>
    <t>Party that won the municpality- House</t>
  </si>
  <si>
    <t>Votes (Democrat) - House</t>
  </si>
  <si>
    <t>Votes (Republican) - House</t>
  </si>
  <si>
    <t>Votes (R+D) - House</t>
  </si>
  <si>
    <t>Voter Turnout (% of Registered Voters)</t>
  </si>
  <si>
    <t>Dem Share - President</t>
  </si>
  <si>
    <t>Dem Share - Governor</t>
  </si>
  <si>
    <t>Dem Share - Senate</t>
  </si>
  <si>
    <t>Dem Share - House</t>
  </si>
  <si>
    <t>House Margin (R-D, votes)</t>
  </si>
  <si>
    <t>Banks Township</t>
  </si>
  <si>
    <t>Carbon</t>
  </si>
  <si>
    <t>Republican</t>
  </si>
  <si>
    <t>Democrat</t>
  </si>
  <si>
    <t>Beaver Meadows Borough</t>
  </si>
  <si>
    <t>Bowmanstown Borough</t>
  </si>
  <si>
    <t>East Penn Township</t>
  </si>
  <si>
    <t>East Side Borough</t>
  </si>
  <si>
    <t>Franklin Township</t>
  </si>
  <si>
    <t>Jim Thorpe Borough</t>
  </si>
  <si>
    <t>Kidder Township</t>
  </si>
  <si>
    <t>Lansford Borough</t>
  </si>
  <si>
    <t>Lausanne Township</t>
  </si>
  <si>
    <t>Lehigh Township</t>
  </si>
  <si>
    <t>Lehighton Borough</t>
  </si>
  <si>
    <t>Lower Towamensing Township</t>
  </si>
  <si>
    <t>Mahoning Township</t>
  </si>
  <si>
    <t>Nesquehoning Borough</t>
  </si>
  <si>
    <t>Packer Township</t>
  </si>
  <si>
    <t>Palmerton Borough</t>
  </si>
  <si>
    <t>Parryville Borough</t>
  </si>
  <si>
    <t>Penn Forest Township</t>
  </si>
  <si>
    <t>Summit Hill Borough</t>
  </si>
  <si>
    <t>Towamensing Township</t>
  </si>
  <si>
    <t>Weatherly Borough</t>
  </si>
  <si>
    <t>Weissport Borough</t>
  </si>
  <si>
    <t>Alburtis</t>
  </si>
  <si>
    <t>Lehigh</t>
  </si>
  <si>
    <t>Allentown</t>
  </si>
  <si>
    <t>Bethlehem</t>
  </si>
  <si>
    <t>Catasauqua</t>
  </si>
  <si>
    <t>Coopersburg</t>
  </si>
  <si>
    <t>Coplay</t>
  </si>
  <si>
    <t>Emmaus</t>
  </si>
  <si>
    <t>Fountain Hill</t>
  </si>
  <si>
    <t>Hanover</t>
  </si>
  <si>
    <t>Heidelberg</t>
  </si>
  <si>
    <t>Lower Macungie</t>
  </si>
  <si>
    <t>Lower Milford</t>
  </si>
  <si>
    <t>Lowhill</t>
  </si>
  <si>
    <t>Lynn</t>
  </si>
  <si>
    <t>Macungie</t>
  </si>
  <si>
    <t>North Whitehall</t>
  </si>
  <si>
    <t>Salisbury</t>
  </si>
  <si>
    <t>Slatington</t>
  </si>
  <si>
    <t>South Whitehall</t>
  </si>
  <si>
    <t>Upper Macungie</t>
  </si>
  <si>
    <t>Upper Milford</t>
  </si>
  <si>
    <t>Upper Saucon</t>
  </si>
  <si>
    <t>Washington</t>
  </si>
  <si>
    <t>Weisenberg</t>
  </si>
  <si>
    <t>Whitehall</t>
  </si>
  <si>
    <t>Eldred Township</t>
  </si>
  <si>
    <t>Monroe</t>
  </si>
  <si>
    <t>Polk Township</t>
  </si>
  <si>
    <t>Ross Township</t>
  </si>
  <si>
    <t>Allen</t>
  </si>
  <si>
    <t>Northampton</t>
  </si>
  <si>
    <t>Bangor</t>
  </si>
  <si>
    <t>Bath</t>
  </si>
  <si>
    <t>Bethlehem Township</t>
  </si>
  <si>
    <t>Bushkill</t>
  </si>
  <si>
    <t>Chapman</t>
  </si>
  <si>
    <t>East Allen</t>
  </si>
  <si>
    <t>East Bangor</t>
  </si>
  <si>
    <t>Easton</t>
  </si>
  <si>
    <t>Forks</t>
  </si>
  <si>
    <t>Freemansburg</t>
  </si>
  <si>
    <t>Glendon</t>
  </si>
  <si>
    <t>Hellertown</t>
  </si>
  <si>
    <t>Lower Mount Bethel</t>
  </si>
  <si>
    <t>Lower Nazareth</t>
  </si>
  <si>
    <t>Lower Saucon</t>
  </si>
  <si>
    <t>Moore</t>
  </si>
  <si>
    <t>Nazareth</t>
  </si>
  <si>
    <t>North Catasauqua</t>
  </si>
  <si>
    <t>Palmer</t>
  </si>
  <si>
    <t>Pen Argyl</t>
  </si>
  <si>
    <t>Plainfield</t>
  </si>
  <si>
    <t>Portland</t>
  </si>
  <si>
    <t>Roseto</t>
  </si>
  <si>
    <t>Stockertown</t>
  </si>
  <si>
    <t>Tatamy</t>
  </si>
  <si>
    <t>Upper Mount Bethel</t>
  </si>
  <si>
    <t>Upper Nazareth</t>
  </si>
  <si>
    <t>Walnutport</t>
  </si>
  <si>
    <t>Tie</t>
  </si>
  <si>
    <t>West Easton</t>
  </si>
  <si>
    <t>Williams Township</t>
  </si>
  <si>
    <t>Wilson</t>
  </si>
  <si>
    <t>Wind Gap</t>
  </si>
  <si>
    <t>N/A</t>
  </si>
  <si>
    <t>PA-07 House race totals by year, summed live from Municipal Master Data (all 89 municipalities). House only -- the only race campaign spending in this workbook maps to.</t>
  </si>
  <si>
    <t>House D votes</t>
  </si>
  <si>
    <t>House R votes</t>
  </si>
  <si>
    <t>House Dem vote share</t>
  </si>
  <si>
    <t>Registration and turnout by municipality and election (party = current 31 Aug 2026 registration snapshot — see Summary tab)</t>
  </si>
  <si>
    <t>Election Year</t>
  </si>
  <si>
    <t>Municipality</t>
  </si>
  <si>
    <t>Registered D</t>
  </si>
  <si>
    <t>Registered R</t>
  </si>
  <si>
    <t>Registered Other</t>
  </si>
  <si>
    <t>Voted D</t>
  </si>
  <si>
    <t>Voted R</t>
  </si>
  <si>
    <t>Voted Other</t>
  </si>
  <si>
    <t>Mail D</t>
  </si>
  <si>
    <t>Mail R</t>
  </si>
  <si>
    <t>Mail Other</t>
  </si>
  <si>
    <t>Voted Dem share</t>
  </si>
  <si>
    <t>Source: your uploaded House_Money_Beta_Backtests.xlsx, "Races" sheet, values only. 1,099 contested U.S. House races (2018/2020/2022) used to train the national beta, plus 15 Pennsylvania 2024 races your workbook held out as a fresh test -- PA-07 among them (row with Wild/Mackenzie).</t>
  </si>
  <si>
    <t>Election year</t>
  </si>
  <si>
    <t>State</t>
  </si>
  <si>
    <t>District</t>
  </si>
  <si>
    <t>Democratic candidate</t>
  </si>
  <si>
    <t>Republican candidate</t>
  </si>
  <si>
    <t>Democratic votes</t>
  </si>
  <si>
    <t>Republican votes</t>
  </si>
  <si>
    <t>Democratic side money ($) (candidate committee plus outside spending for the Democrat or against the Republican)</t>
  </si>
  <si>
    <t>Republican side money ($)</t>
  </si>
  <si>
    <t>Democratic share of the two-party vote</t>
  </si>
  <si>
    <t>Democratic share of the two-party money</t>
  </si>
  <si>
    <t>Incumbency (+1 Democratic incumbent, -1 Republican incumbent, 0 open)</t>
  </si>
  <si>
    <t>Predicted Democratic vote share (final beta, trained on 2018-2022)</t>
  </si>
  <si>
    <t>Prediction error (percentage points, actual minus predicted)</t>
  </si>
  <si>
    <t>Winner called correctly (1 = yes)</t>
  </si>
  <si>
    <t>Vote source</t>
  </si>
  <si>
    <t>In training sample (2018/20/22)?</t>
  </si>
  <si>
    <t>AL</t>
  </si>
  <si>
    <t>Kennedy, Robert, Jr.</t>
  </si>
  <si>
    <t>Byrne, Bradley</t>
  </si>
  <si>
    <t>FEC Federal Elections; FEC filings</t>
  </si>
  <si>
    <t>Isner, Tabitha</t>
  </si>
  <si>
    <t>Roby, Martha</t>
  </si>
  <si>
    <t>Hagan, Mallory</t>
  </si>
  <si>
    <t>Rogers, Mike</t>
  </si>
  <si>
    <t>Auman, Lee</t>
  </si>
  <si>
    <t>Aderholt, Robert</t>
  </si>
  <si>
    <t>Joffrion, Peter</t>
  </si>
  <si>
    <t>Brooks, Mo</t>
  </si>
  <si>
    <t>Kline, Danner</t>
  </si>
  <si>
    <t>Palmer, Gary</t>
  </si>
  <si>
    <t>AR</t>
  </si>
  <si>
    <t>Desai, Chintan</t>
  </si>
  <si>
    <t>Crawford, Rick</t>
  </si>
  <si>
    <t>Tucker, Clarke</t>
  </si>
  <si>
    <t>Hill, French</t>
  </si>
  <si>
    <t>Mahony, Josh</t>
  </si>
  <si>
    <t>Womack, Steve</t>
  </si>
  <si>
    <t>Shamel, Hayden Catherine</t>
  </si>
  <si>
    <t>Westerman, Bruce</t>
  </si>
  <si>
    <t>AS</t>
  </si>
  <si>
    <t>Suitonu-Chapman, Meleagi</t>
  </si>
  <si>
    <t>Amata, Aumua</t>
  </si>
  <si>
    <t>AZ</t>
  </si>
  <si>
    <t>O'Halleran, Tom</t>
  </si>
  <si>
    <t>Rogers, Wendy</t>
  </si>
  <si>
    <t>Kirkpatrick, Ann</t>
  </si>
  <si>
    <t>Peterson, Lea Marquez</t>
  </si>
  <si>
    <t>Grijalva, Raúl</t>
  </si>
  <si>
    <t>Pierson, Nicolas "Nick"</t>
  </si>
  <si>
    <t>Brill, David</t>
  </si>
  <si>
    <t>Gosar, Paul</t>
  </si>
  <si>
    <t>Greene, Joan</t>
  </si>
  <si>
    <t>Biggs, Andy</t>
  </si>
  <si>
    <t>Malik, Anita</t>
  </si>
  <si>
    <t>Schweikert, David</t>
  </si>
  <si>
    <t>Tipirneni, Hiral</t>
  </si>
  <si>
    <t>Lesko, Debbie  #</t>
  </si>
  <si>
    <t>Stanton, Greg</t>
  </si>
  <si>
    <t>Ferrara, Stephen L.</t>
  </si>
  <si>
    <t>CA</t>
  </si>
  <si>
    <t>Denney, Audrey</t>
  </si>
  <si>
    <t>La Malfa, Doug</t>
  </si>
  <si>
    <t>Huffman, Jared W.</t>
  </si>
  <si>
    <t>Mensing, Dale K.</t>
  </si>
  <si>
    <t>Garamendi, John</t>
  </si>
  <si>
    <t>Schaupp, Charlie</t>
  </si>
  <si>
    <t>Morse, Jessica</t>
  </si>
  <si>
    <t>McClintock, Tom</t>
  </si>
  <si>
    <t>Bera, Ami</t>
  </si>
  <si>
    <t>Grant, Andrew</t>
  </si>
  <si>
    <t>McNerney, Jerry</t>
  </si>
  <si>
    <t>Livengood, Marla</t>
  </si>
  <si>
    <t>Harder, Josh</t>
  </si>
  <si>
    <t>Denham, Jeff</t>
  </si>
  <si>
    <t>Pelosi, Nancy</t>
  </si>
  <si>
    <t>Remmer, Lisa</t>
  </si>
  <si>
    <t>Speier, Jackie</t>
  </si>
  <si>
    <t>Osmeña, Cristina</t>
  </si>
  <si>
    <t>Swalwell, Eric</t>
  </si>
  <si>
    <t>Peters, Rudy L., Jr.</t>
  </si>
  <si>
    <t>Costa, Jim</t>
  </si>
  <si>
    <t>Heng, Elizabeth</t>
  </si>
  <si>
    <t>Khanna, Ro</t>
  </si>
  <si>
    <t>Cohen, Ron</t>
  </si>
  <si>
    <t>Cox, TJ</t>
  </si>
  <si>
    <t>Valadao, David</t>
  </si>
  <si>
    <t>Janz, Andrew</t>
  </si>
  <si>
    <t>Nunes, Devin G.</t>
  </si>
  <si>
    <t>Matta, Tatiana</t>
  </si>
  <si>
    <t>McCarthy, Kevin</t>
  </si>
  <si>
    <t>Carbajal, Salud</t>
  </si>
  <si>
    <t>Fareed, Justin</t>
  </si>
  <si>
    <t>Hill, Katie</t>
  </si>
  <si>
    <t>Knight, Steve</t>
  </si>
  <si>
    <t>Brownley, Julia</t>
  </si>
  <si>
    <t>Sabato, Antonio, Jr.</t>
  </si>
  <si>
    <t>Schiff, Adam B.</t>
  </si>
  <si>
    <t>Nalbandian, Johnny J.</t>
  </si>
  <si>
    <t>Cardenas, Tony</t>
  </si>
  <si>
    <t>Bernal, Benito Benny</t>
  </si>
  <si>
    <t>Aguilar, Pete</t>
  </si>
  <si>
    <t>Flynn, Sean</t>
  </si>
  <si>
    <t>Lieu, Ted W.</t>
  </si>
  <si>
    <t>Wright, Kenneth Weston</t>
  </si>
  <si>
    <t>Torres, Norma J.</t>
  </si>
  <si>
    <t>Valiente, Christian Leonel</t>
  </si>
  <si>
    <t>Ruiz, Raul</t>
  </si>
  <si>
    <t>Pelzer, Kimberlin Brown</t>
  </si>
  <si>
    <t>Bass, Karen</t>
  </si>
  <si>
    <t>Bassilian, Ron J.</t>
  </si>
  <si>
    <t>Cisneros, Gil</t>
  </si>
  <si>
    <t>Kim, Young</t>
  </si>
  <si>
    <t>Takano, Mark</t>
  </si>
  <si>
    <t>Smith, Aja</t>
  </si>
  <si>
    <t>Peacock, Julia C.</t>
  </si>
  <si>
    <t>Calvert, Ken</t>
  </si>
  <si>
    <t>Waters, Maxine</t>
  </si>
  <si>
    <t>Navarro, Omar</t>
  </si>
  <si>
    <t>Porter, Katie</t>
  </si>
  <si>
    <t>Walters, Mimi</t>
  </si>
  <si>
    <t>Lowenthal, Alan</t>
  </si>
  <si>
    <t>Briscoe, John</t>
  </si>
  <si>
    <t>Rouda, Harley</t>
  </si>
  <si>
    <t>Rohrabacher, Dana</t>
  </si>
  <si>
    <t>Levin, Mike</t>
  </si>
  <si>
    <t>Harkey, Diane L.</t>
  </si>
  <si>
    <t>Campa-Najjar, Ammar</t>
  </si>
  <si>
    <t>Hunter, Duncan</t>
  </si>
  <si>
    <t>Vargas, Juan</t>
  </si>
  <si>
    <t>Hidalgo, Juan M., Jr.</t>
  </si>
  <si>
    <t>Peters, Scott</t>
  </si>
  <si>
    <t>Qudrat, Omar</t>
  </si>
  <si>
    <t>Davis, Susan A.</t>
  </si>
  <si>
    <t>Murtaugh, Morgan</t>
  </si>
  <si>
    <t>CO</t>
  </si>
  <si>
    <t>DeGette, Diana</t>
  </si>
  <si>
    <t>Stockham, Charles Casper</t>
  </si>
  <si>
    <t>Neguse, Joe</t>
  </si>
  <si>
    <t>Yu, Peter</t>
  </si>
  <si>
    <t>Bush, Diane Mitsch</t>
  </si>
  <si>
    <t>Tipton, Scott R.</t>
  </si>
  <si>
    <t>McCormick, Karen</t>
  </si>
  <si>
    <t>Buck, Ken</t>
  </si>
  <si>
    <t>Spaulding, Stephany Rose</t>
  </si>
  <si>
    <t>Lamborn, Doug</t>
  </si>
  <si>
    <t>Crow, Jason</t>
  </si>
  <si>
    <t>Coffman, Mike</t>
  </si>
  <si>
    <t>Perlmutter, Ed</t>
  </si>
  <si>
    <t>Barrington, Mark</t>
  </si>
  <si>
    <t>CT</t>
  </si>
  <si>
    <t>Himes, Jim</t>
  </si>
  <si>
    <t>Arora, Harry</t>
  </si>
  <si>
    <t>Hayes, Jahana</t>
  </si>
  <si>
    <t>Santos, Manny</t>
  </si>
  <si>
    <t>DC</t>
  </si>
  <si>
    <t>Norton, Eleanor Holmes</t>
  </si>
  <si>
    <t>Rimensnyder, Nelson F.</t>
  </si>
  <si>
    <t>FL</t>
  </si>
  <si>
    <t>Zimmerman, Jennifer M.</t>
  </si>
  <si>
    <t>Gaetz, Matt</t>
  </si>
  <si>
    <t>Rackleff, Bob</t>
  </si>
  <si>
    <t>Dunn, Neal</t>
  </si>
  <si>
    <t>Hayes Hinson, Yvonne</t>
  </si>
  <si>
    <t>Yoho, Ted</t>
  </si>
  <si>
    <t>Selmont, George "Ges"</t>
  </si>
  <si>
    <t>Rutherford, John H.</t>
  </si>
  <si>
    <t>Lawson, Al</t>
  </si>
  <si>
    <t>Fuller, Virginia</t>
  </si>
  <si>
    <t>Soderberg, Nancy</t>
  </si>
  <si>
    <t>Waltz, Michael</t>
  </si>
  <si>
    <t>Murphy, Stephanie</t>
  </si>
  <si>
    <t>Miller, Mike</t>
  </si>
  <si>
    <t>Patel, Sanjay</t>
  </si>
  <si>
    <t>Posey, Bill</t>
  </si>
  <si>
    <t>Soto, Darren</t>
  </si>
  <si>
    <t>Liebnitzky, Wayne</t>
  </si>
  <si>
    <t>Cottrell, Dana</t>
  </si>
  <si>
    <t>Webster, Daniel</t>
  </si>
  <si>
    <t>Hunter, Chris</t>
  </si>
  <si>
    <t>Bilirakis, Gus Michael</t>
  </si>
  <si>
    <t>Crist, Charlie</t>
  </si>
  <si>
    <t>Buck, George</t>
  </si>
  <si>
    <t>Carlson, Kristen</t>
  </si>
  <si>
    <t>Spano, Ross</t>
  </si>
  <si>
    <t>Shapiro, David</t>
  </si>
  <si>
    <t>Buchanan, Vern</t>
  </si>
  <si>
    <t>Ellison, Allen  #</t>
  </si>
  <si>
    <t>Steube, Greg</t>
  </si>
  <si>
    <t>Baer, Lauren</t>
  </si>
  <si>
    <t>Mast, Brian</t>
  </si>
  <si>
    <t>Holden, David</t>
  </si>
  <si>
    <t>Rooney, Francis</t>
  </si>
  <si>
    <t>Deutch, Ted</t>
  </si>
  <si>
    <t>Kimaz, Nicolas</t>
  </si>
  <si>
    <t>Wasserman Schultz, Debbie</t>
  </si>
  <si>
    <t>Kaufman, Joseph "Joe"</t>
  </si>
  <si>
    <t>Barzee Flores, Mary</t>
  </si>
  <si>
    <t>Diaz-Balart, Mario</t>
  </si>
  <si>
    <t>Mucarsel-Powell, Debbie</t>
  </si>
  <si>
    <t>Curbelo, Carlos</t>
  </si>
  <si>
    <t>Shalala, Donna</t>
  </si>
  <si>
    <t>Salazar, Maria Elvira</t>
  </si>
  <si>
    <t>GA</t>
  </si>
  <si>
    <t>Ring, Lisa M.</t>
  </si>
  <si>
    <t>Carter, Earl L. "Buddy"</t>
  </si>
  <si>
    <t>Bishop, Sanford</t>
  </si>
  <si>
    <t>West, Herman, Jr.</t>
  </si>
  <si>
    <t>Enderlin, Chuck</t>
  </si>
  <si>
    <t>Ferguson, Drew</t>
  </si>
  <si>
    <t>Johnson, Henry C. "Hank," Jr.</t>
  </si>
  <si>
    <t>Profit, Joe</t>
  </si>
  <si>
    <t>McBath, Lucy</t>
  </si>
  <si>
    <t>Handel, Karen</t>
  </si>
  <si>
    <t>Bourdeaux, Carolyn</t>
  </si>
  <si>
    <t>Woodall, Rob</t>
  </si>
  <si>
    <t>McCall, Josh</t>
  </si>
  <si>
    <t>Collins, Doug</t>
  </si>
  <si>
    <t>Johnson-Green, Tabitha A.</t>
  </si>
  <si>
    <t>Hice, Jody</t>
  </si>
  <si>
    <t>Broady, Flynn D., Jr.</t>
  </si>
  <si>
    <t>Loudermilk, Barry</t>
  </si>
  <si>
    <t>Johnson, Francys</t>
  </si>
  <si>
    <t>Allen, Rick W.</t>
  </si>
  <si>
    <t>Scott, David</t>
  </si>
  <si>
    <t>Callahan, David</t>
  </si>
  <si>
    <t>Foster, Steven Lamar</t>
  </si>
  <si>
    <t>Graves, Tom</t>
  </si>
  <si>
    <t>GU</t>
  </si>
  <si>
    <t>San Nicolas, Michael F.Q.</t>
  </si>
  <si>
    <t>Brooks, Doris Flores</t>
  </si>
  <si>
    <t>HI</t>
  </si>
  <si>
    <t>Case, Ed</t>
  </si>
  <si>
    <t>Cavasso, Cam</t>
  </si>
  <si>
    <t>Gabbard, Tulsi</t>
  </si>
  <si>
    <t>Evans, Brian</t>
  </si>
  <si>
    <t>IA</t>
  </si>
  <si>
    <t>Finkenauer, Abby</t>
  </si>
  <si>
    <t>Blum, Rod</t>
  </si>
  <si>
    <t>Loebsack, Dave</t>
  </si>
  <si>
    <t>Peters, Christopher</t>
  </si>
  <si>
    <t>Axne, Cindy</t>
  </si>
  <si>
    <t>Young, David</t>
  </si>
  <si>
    <t>Scholten, J.D.</t>
  </si>
  <si>
    <t>King, Steve</t>
  </si>
  <si>
    <t>ID</t>
  </si>
  <si>
    <t>McNeil, Cristina</t>
  </si>
  <si>
    <t>Fulcher, Russ</t>
  </si>
  <si>
    <t>Swisher, Aaron</t>
  </si>
  <si>
    <t>Simpson, Mike</t>
  </si>
  <si>
    <t>IL</t>
  </si>
  <si>
    <t>Rush, Bobby L.</t>
  </si>
  <si>
    <t>Tillman, Jimmy Lee, II</t>
  </si>
  <si>
    <t>Kelly, Robin</t>
  </si>
  <si>
    <t>Merkle, David</t>
  </si>
  <si>
    <t>Garcia, Jesus "Chuy"</t>
  </si>
  <si>
    <t>Lorch, Mark Wayne</t>
  </si>
  <si>
    <t>Quigley, Mike</t>
  </si>
  <si>
    <t>Hanson, Tom</t>
  </si>
  <si>
    <t>Casten, Sean</t>
  </si>
  <si>
    <t>Roskam, Peter J.</t>
  </si>
  <si>
    <t>Davis, Danny K.</t>
  </si>
  <si>
    <t>Cameron, Craig</t>
  </si>
  <si>
    <t>Krishnamoorthi, Raja</t>
  </si>
  <si>
    <t>Diganvker, Jitendra "JD"</t>
  </si>
  <si>
    <t>Schakowsky, Janice D.</t>
  </si>
  <si>
    <t>Elleson, John D.</t>
  </si>
  <si>
    <t>Schneider, Brad</t>
  </si>
  <si>
    <t>Bennett, Douglas R.</t>
  </si>
  <si>
    <t>Foster, Bill</t>
  </si>
  <si>
    <t>Stella, Nick</t>
  </si>
  <si>
    <t>Kelly, Brendan</t>
  </si>
  <si>
    <t>Bost, Mike</t>
  </si>
  <si>
    <t>Londrigan, Betsy Dirksen</t>
  </si>
  <si>
    <t>Davis, Rodney</t>
  </si>
  <si>
    <t>Underwood, Lauren</t>
  </si>
  <si>
    <t>Hultgren, Randall M. "Randy"</t>
  </si>
  <si>
    <t>Gaither, Kevin</t>
  </si>
  <si>
    <t>Shimkus, John M.</t>
  </si>
  <si>
    <t>Dady, Sara</t>
  </si>
  <si>
    <t>Kinzinger, Adam</t>
  </si>
  <si>
    <t>Bustos, Cheri</t>
  </si>
  <si>
    <t>Fawell, William W. "Bill"</t>
  </si>
  <si>
    <t>Rodriguez, Junius</t>
  </si>
  <si>
    <t>LaHood, Darin</t>
  </si>
  <si>
    <t>IN</t>
  </si>
  <si>
    <t>Hall, Mel</t>
  </si>
  <si>
    <t>Walorski, Jackie</t>
  </si>
  <si>
    <t>Tritch, Courtney</t>
  </si>
  <si>
    <t>Banks, Jim</t>
  </si>
  <si>
    <t>Beck, Tobi</t>
  </si>
  <si>
    <t>Baird, Jim</t>
  </si>
  <si>
    <t>Thornton, Dee</t>
  </si>
  <si>
    <t>Brooks, Susan W.</t>
  </si>
  <si>
    <t>Carson, André D.</t>
  </si>
  <si>
    <t>Harmon, Wayne "Gunny"</t>
  </si>
  <si>
    <t>Tanoos, William</t>
  </si>
  <si>
    <t>Bucshon, Larry D.</t>
  </si>
  <si>
    <t>Watson, Liz</t>
  </si>
  <si>
    <t>Hollingsworth, Trey</t>
  </si>
  <si>
    <t>KS</t>
  </si>
  <si>
    <t>LaPolice, Alan</t>
  </si>
  <si>
    <t>Marshall, Roger</t>
  </si>
  <si>
    <t>Davis, Paul</t>
  </si>
  <si>
    <t>Watkins, Steve</t>
  </si>
  <si>
    <t>Davids, Sharice</t>
  </si>
  <si>
    <t>Yoder, Kevin</t>
  </si>
  <si>
    <t>Thompson, James A.</t>
  </si>
  <si>
    <t>Estes, Ron</t>
  </si>
  <si>
    <t>KY</t>
  </si>
  <si>
    <t>Walker, Paul</t>
  </si>
  <si>
    <t>Comer, James R.</t>
  </si>
  <si>
    <t>Linderman, Hank</t>
  </si>
  <si>
    <t>Guthrie, S. Brett</t>
  </si>
  <si>
    <t>Yarmuth, John A.</t>
  </si>
  <si>
    <t>Glisson, Vickie Yates B.</t>
  </si>
  <si>
    <t>Hall, Seth</t>
  </si>
  <si>
    <t>Massie, Thomas</t>
  </si>
  <si>
    <t>Stepp, Kenneth S.</t>
  </si>
  <si>
    <t>Rogers, Harold "Hal"</t>
  </si>
  <si>
    <t>McGrath, Amy</t>
  </si>
  <si>
    <t>Barr, Andy</t>
  </si>
  <si>
    <t>LA</t>
  </si>
  <si>
    <t>Savoie, Tammy M.</t>
  </si>
  <si>
    <t>Scalise, Steve</t>
  </si>
  <si>
    <t>Methvin, Mildred "Mimi"</t>
  </si>
  <si>
    <t>Higgins, Clay</t>
  </si>
  <si>
    <t>Trundle, Ryan</t>
  </si>
  <si>
    <t>Johnson, "Mike"</t>
  </si>
  <si>
    <t>Fleenor, Jessee Carlton</t>
  </si>
  <si>
    <t>Abraham, Ralph</t>
  </si>
  <si>
    <t>Dewitt, Justin</t>
  </si>
  <si>
    <t>Graves, Garret</t>
  </si>
  <si>
    <t>MA</t>
  </si>
  <si>
    <t>McGovern, James P.</t>
  </si>
  <si>
    <t>Lovvorn, Tracy Lyn</t>
  </si>
  <si>
    <t>Trahan, Lori Loureiro</t>
  </si>
  <si>
    <t>Green, Rick</t>
  </si>
  <si>
    <t>Clark, Katherine M.</t>
  </si>
  <si>
    <t>Hugo, John</t>
  </si>
  <si>
    <t>Moulton, Seth</t>
  </si>
  <si>
    <t>Schneider, Joseph S.</t>
  </si>
  <si>
    <t>Keating, Bill</t>
  </si>
  <si>
    <t>Tedeschi, Peter D.</t>
  </si>
  <si>
    <t>MD</t>
  </si>
  <si>
    <t>Colvin, Jesse</t>
  </si>
  <si>
    <t>Harris, Andy</t>
  </si>
  <si>
    <t>Ruppersberger, C. A. Dutch</t>
  </si>
  <si>
    <t>Matory, Liz</t>
  </si>
  <si>
    <t>Brown, Anthony G.</t>
  </si>
  <si>
    <t>McDermott, George</t>
  </si>
  <si>
    <t>Trone, David</t>
  </si>
  <si>
    <t>Hoeber, Amie</t>
  </si>
  <si>
    <t>Cummings, Elijah</t>
  </si>
  <si>
    <t>Davis, Richmond</t>
  </si>
  <si>
    <t>ME</t>
  </si>
  <si>
    <t>Pingree, Chellie</t>
  </si>
  <si>
    <t>Holbrook, Mark I.</t>
  </si>
  <si>
    <t>Golden, Jared F.</t>
  </si>
  <si>
    <t>Poliquin, Bruce L.</t>
  </si>
  <si>
    <t>MI</t>
  </si>
  <si>
    <t>Morgan, Matthew W.</t>
  </si>
  <si>
    <t>Bergman, Jack</t>
  </si>
  <si>
    <t>Davidson, Rob</t>
  </si>
  <si>
    <t>Huizenga, Bill</t>
  </si>
  <si>
    <t>Albro, Cathy</t>
  </si>
  <si>
    <t>Amash, Justin</t>
  </si>
  <si>
    <t>Longjohn, Matt</t>
  </si>
  <si>
    <t>Upton, Fred</t>
  </si>
  <si>
    <t>Driskell, Gretchen</t>
  </si>
  <si>
    <t>Walberg, Tim</t>
  </si>
  <si>
    <t>Slotkin, Elissa</t>
  </si>
  <si>
    <t>Bishop, Mike</t>
  </si>
  <si>
    <t>Levin, Andy</t>
  </si>
  <si>
    <t>Stearns, Candius</t>
  </si>
  <si>
    <t>Bizon, Kimberly</t>
  </si>
  <si>
    <t>Mitchell, Paul</t>
  </si>
  <si>
    <t>Stevens, Haley</t>
  </si>
  <si>
    <t>Epstein, Lena</t>
  </si>
  <si>
    <t>Dingell, Debbie</t>
  </si>
  <si>
    <t>Jones, Jeff</t>
  </si>
  <si>
    <t>Lawrence, Brenda</t>
  </si>
  <si>
    <t>Herschfus, Marc S.</t>
  </si>
  <si>
    <t>MN</t>
  </si>
  <si>
    <t>Feehan, Dan</t>
  </si>
  <si>
    <t>Hagedorn, Jim</t>
  </si>
  <si>
    <t>Craig, Angie</t>
  </si>
  <si>
    <t>Lewis, Jason</t>
  </si>
  <si>
    <t>Phillips, Dean</t>
  </si>
  <si>
    <t>Paulsen, Erik</t>
  </si>
  <si>
    <t>McCollum, Betty</t>
  </si>
  <si>
    <t>Ryan, Greg</t>
  </si>
  <si>
    <t>Omar, Ilhan</t>
  </si>
  <si>
    <t>Zielinski, Jennifer</t>
  </si>
  <si>
    <t>Todd, Ian</t>
  </si>
  <si>
    <t>Emmer, Tom</t>
  </si>
  <si>
    <t>Peterson, Collin C.</t>
  </si>
  <si>
    <t>Hughes, Dave</t>
  </si>
  <si>
    <t>Radinovich, Joe</t>
  </si>
  <si>
    <t>Stauber, Pete</t>
  </si>
  <si>
    <t>MO</t>
  </si>
  <si>
    <t>Clay, Lacy</t>
  </si>
  <si>
    <t>Vroman, Robert</t>
  </si>
  <si>
    <t>VanOstran, Cort</t>
  </si>
  <si>
    <t>Wagner, Ann</t>
  </si>
  <si>
    <t>Geppert, Katy</t>
  </si>
  <si>
    <t>Luetkemeyer, Blaine</t>
  </si>
  <si>
    <t>Hoagenson, Renee</t>
  </si>
  <si>
    <t>Hartzler, Vicky</t>
  </si>
  <si>
    <t>Cleaver, Emanuel, II</t>
  </si>
  <si>
    <t>Turk, Jacob</t>
  </si>
  <si>
    <t>Martin, Henry Robert</t>
  </si>
  <si>
    <t>Graves, Sam</t>
  </si>
  <si>
    <t>Schoolcraft, Jamie Daniel</t>
  </si>
  <si>
    <t>Long, Billy</t>
  </si>
  <si>
    <t>Ellis, Kathy</t>
  </si>
  <si>
    <t>Smith, Jason</t>
  </si>
  <si>
    <t>MS</t>
  </si>
  <si>
    <t>Wadkins, Randy Mack</t>
  </si>
  <si>
    <t>Kelly, Trent</t>
  </si>
  <si>
    <t>Anderson, Jeramey</t>
  </si>
  <si>
    <t>Palazzo, Steven</t>
  </si>
  <si>
    <t>MT</t>
  </si>
  <si>
    <t>Williams, Kathleen</t>
  </si>
  <si>
    <t>Gianforte, Greg</t>
  </si>
  <si>
    <t>NC</t>
  </si>
  <si>
    <t>Butterfield, G. K.</t>
  </si>
  <si>
    <t>Allison, Roger W.</t>
  </si>
  <si>
    <t>Coleman, Linda</t>
  </si>
  <si>
    <t>Holding, George</t>
  </si>
  <si>
    <t>Price, David</t>
  </si>
  <si>
    <t>Loor, Steve A. (Von)</t>
  </si>
  <si>
    <t>Adams, DD</t>
  </si>
  <si>
    <t>Foxx, Virginia</t>
  </si>
  <si>
    <t>Watts, Ryan</t>
  </si>
  <si>
    <t>Walker, B. Mark</t>
  </si>
  <si>
    <t>Horton, Kyle</t>
  </si>
  <si>
    <t>Rouzer, David</t>
  </si>
  <si>
    <t>McNeill, Frank</t>
  </si>
  <si>
    <t>Hudson, Richard</t>
  </si>
  <si>
    <t>McCready, Dan</t>
  </si>
  <si>
    <t>Harris, Mark</t>
  </si>
  <si>
    <t>Brown, David Wilson</t>
  </si>
  <si>
    <t>McHenry, Patrick</t>
  </si>
  <si>
    <t>Price, Phillip G.</t>
  </si>
  <si>
    <t>Meadows, Mark</t>
  </si>
  <si>
    <t>Manning, Kathy</t>
  </si>
  <si>
    <t>Budd, Ted</t>
  </si>
  <si>
    <t>ND</t>
  </si>
  <si>
    <t>Schneider, Mac</t>
  </si>
  <si>
    <t>Armstrong, Kelly</t>
  </si>
  <si>
    <t>NE</t>
  </si>
  <si>
    <t>McClure, Jessica</t>
  </si>
  <si>
    <t>Fortenberry, Jeff</t>
  </si>
  <si>
    <t>Eastman, Kara</t>
  </si>
  <si>
    <t>Bacon, Don</t>
  </si>
  <si>
    <t>Theobald, Paul</t>
  </si>
  <si>
    <t>Smith, Adrian</t>
  </si>
  <si>
    <t>NH</t>
  </si>
  <si>
    <t>Pappas, Chris</t>
  </si>
  <si>
    <t>Edwards, Eddie</t>
  </si>
  <si>
    <t>Kuster, Ann McLane</t>
  </si>
  <si>
    <t>Negron, Steven</t>
  </si>
  <si>
    <t>NJ</t>
  </si>
  <si>
    <t>Norcross, Donald W.</t>
  </si>
  <si>
    <t>Dilks, Paul E.</t>
  </si>
  <si>
    <t>Van Drew, Jeff</t>
  </si>
  <si>
    <t>Grossman, Seth</t>
  </si>
  <si>
    <t>Kim, Andy</t>
  </si>
  <si>
    <t>MacArthur, Tom</t>
  </si>
  <si>
    <t>Welle, Joshua</t>
  </si>
  <si>
    <t>Smith, Christopher H.</t>
  </si>
  <si>
    <t>Gottheimer, Josh</t>
  </si>
  <si>
    <t>McCann, John J., Jr.</t>
  </si>
  <si>
    <t>Pallone, Frank, Jr.</t>
  </si>
  <si>
    <t>Pezzullo, Richard J.</t>
  </si>
  <si>
    <t>Malinowski, Tom</t>
  </si>
  <si>
    <t>Lance, Leonard</t>
  </si>
  <si>
    <t>Sires, Albio</t>
  </si>
  <si>
    <t>Muniz, John R.</t>
  </si>
  <si>
    <t>Payne, Donald M., Jr.</t>
  </si>
  <si>
    <t>Khan, Agha</t>
  </si>
  <si>
    <t>Sherrill, Mikie</t>
  </si>
  <si>
    <t>Webber, Jay</t>
  </si>
  <si>
    <t>Watson Coleman, Bonnie</t>
  </si>
  <si>
    <t>Kipnis, Daryl</t>
  </si>
  <si>
    <t>NM</t>
  </si>
  <si>
    <t>Haaland, Debra A.</t>
  </si>
  <si>
    <t>Arnold-Jones, Janice E.</t>
  </si>
  <si>
    <t>Small, Xochitl Torres</t>
  </si>
  <si>
    <t>Herrell, Yvette</t>
  </si>
  <si>
    <t>NV</t>
  </si>
  <si>
    <t>Koble, Clint</t>
  </si>
  <si>
    <t>Amodei, Mark E.</t>
  </si>
  <si>
    <t>Lee, Susie</t>
  </si>
  <si>
    <t>Tarkanian, Danny</t>
  </si>
  <si>
    <t>Horsford, Steven A.</t>
  </si>
  <si>
    <t>Hardy, Cresent</t>
  </si>
  <si>
    <t>NY</t>
  </si>
  <si>
    <t>Gershon, Perry</t>
  </si>
  <si>
    <t>Zeldin, Lee M.</t>
  </si>
  <si>
    <t>Suozzi, Thomas R.</t>
  </si>
  <si>
    <t>DeBono, Dan P.</t>
  </si>
  <si>
    <t>Rice, Kathleen M.</t>
  </si>
  <si>
    <t>Benno, Ameer N.</t>
  </si>
  <si>
    <t>Clarke, Yvette D.</t>
  </si>
  <si>
    <t>Gayot, Lutchi</t>
  </si>
  <si>
    <t>Nadler, Jerrold L.</t>
  </si>
  <si>
    <t>Levin, Naomi</t>
  </si>
  <si>
    <t>Rose, Max N.</t>
  </si>
  <si>
    <t>Donovan, Dan</t>
  </si>
  <si>
    <t>Maloney, Carolyn B.</t>
  </si>
  <si>
    <t>Rabin, Eliot</t>
  </si>
  <si>
    <t>Espaillat, Adriano</t>
  </si>
  <si>
    <t>Butler, Jineea</t>
  </si>
  <si>
    <t>Ocasio-Cortez, Alexandria</t>
  </si>
  <si>
    <t>Pappas, Anthony</t>
  </si>
  <si>
    <t>Serrano, Jose E.</t>
  </si>
  <si>
    <t>Gonzalez, Jason D.</t>
  </si>
  <si>
    <t>Maloney, Sean Patrick</t>
  </si>
  <si>
    <t>O'Donnell, James D.</t>
  </si>
  <si>
    <t>Delgado, Antonio</t>
  </si>
  <si>
    <t>Faso, John J.</t>
  </si>
  <si>
    <t>Cobb, Tedra L.</t>
  </si>
  <si>
    <t>Stefanik, Elise M.</t>
  </si>
  <si>
    <t>Brindisi, Anthony J.</t>
  </si>
  <si>
    <t>Tenney, Claudia</t>
  </si>
  <si>
    <t>Mitrano, Tracy</t>
  </si>
  <si>
    <t>Reed, Thomas W., II</t>
  </si>
  <si>
    <t>Balter, Dana</t>
  </si>
  <si>
    <t>Katko, John M.</t>
  </si>
  <si>
    <t>Morelle, Joseph D.</t>
  </si>
  <si>
    <t>Maxwell, Jim</t>
  </si>
  <si>
    <t>McMurray, Nathan D.</t>
  </si>
  <si>
    <t>Collins, Christopher C.</t>
  </si>
  <si>
    <t>OH</t>
  </si>
  <si>
    <t>Pureval, Aftab</t>
  </si>
  <si>
    <t>Chabot, Steve</t>
  </si>
  <si>
    <t>Schiller, Jill</t>
  </si>
  <si>
    <t>Wenstrup, Brad</t>
  </si>
  <si>
    <t>Garrett, Janet</t>
  </si>
  <si>
    <t>Jordan, Jim</t>
  </si>
  <si>
    <t>Galbraith, J. Michael</t>
  </si>
  <si>
    <t>Latta, Bob</t>
  </si>
  <si>
    <t>Roberts, Shawna</t>
  </si>
  <si>
    <t>Johnson, Bill</t>
  </si>
  <si>
    <t>Harbaugh, Ken</t>
  </si>
  <si>
    <t>Gibbs, Bob</t>
  </si>
  <si>
    <t>Enoch, Vanessa</t>
  </si>
  <si>
    <t>Davidson, Warren</t>
  </si>
  <si>
    <t>Kaptur, Marcy</t>
  </si>
  <si>
    <t>Kraus, Steven W.</t>
  </si>
  <si>
    <t>Gasper, Theresa A.</t>
  </si>
  <si>
    <t>Turner, Mike</t>
  </si>
  <si>
    <t>Fudge, Marcia L.</t>
  </si>
  <si>
    <t>Goldstein, Beverly A.</t>
  </si>
  <si>
    <t>O'Connor, Danny</t>
  </si>
  <si>
    <t>Balderson, Troy</t>
  </si>
  <si>
    <t>Ryan, Tim</t>
  </si>
  <si>
    <t>DePizzo, Chris</t>
  </si>
  <si>
    <t>Rader, Betsy</t>
  </si>
  <si>
    <t>Joyce, David P.</t>
  </si>
  <si>
    <t>Neal, Rick</t>
  </si>
  <si>
    <t>Stivers, Steve</t>
  </si>
  <si>
    <t>Palmer, Susan Moran</t>
  </si>
  <si>
    <t>Gonzalez, Anthony</t>
  </si>
  <si>
    <t>OK</t>
  </si>
  <si>
    <t>Gilpin, Tim</t>
  </si>
  <si>
    <t>Hern, Kevin</t>
  </si>
  <si>
    <t>Nichols, Jason</t>
  </si>
  <si>
    <t>Mullin, Markwayne</t>
  </si>
  <si>
    <t>Brannon, Mary</t>
  </si>
  <si>
    <t>Cole, Tom</t>
  </si>
  <si>
    <t>Horn, Kendra</t>
  </si>
  <si>
    <t>Russell, Steve</t>
  </si>
  <si>
    <t>PA</t>
  </si>
  <si>
    <t>Wallace, Scott</t>
  </si>
  <si>
    <t>Fitzpatrick, Brian</t>
  </si>
  <si>
    <t>Boyle, Brendan F.</t>
  </si>
  <si>
    <t>Torres, David</t>
  </si>
  <si>
    <t>Evans, Dwight</t>
  </si>
  <si>
    <t>Leib, Bryan E.</t>
  </si>
  <si>
    <t>Dean, Madeleine</t>
  </si>
  <si>
    <t>David, Dan</t>
  </si>
  <si>
    <t>Scanlon, Mary Gay</t>
  </si>
  <si>
    <t>Kim, Pearl</t>
  </si>
  <si>
    <t>Houlahan, Chrissy</t>
  </si>
  <si>
    <t>McCauley, Greg</t>
  </si>
  <si>
    <t>Wild, Susan</t>
  </si>
  <si>
    <t>Nothstein, Marty</t>
  </si>
  <si>
    <t>Cartwright, Matt</t>
  </si>
  <si>
    <t>Chrin, John</t>
  </si>
  <si>
    <t>Wolff, Denny</t>
  </si>
  <si>
    <t>Meuser, Dan</t>
  </si>
  <si>
    <t>Scott, George</t>
  </si>
  <si>
    <t>Perry, Scott</t>
  </si>
  <si>
    <t>King, Jess</t>
  </si>
  <si>
    <t>Smucker, Lloyd K.</t>
  </si>
  <si>
    <t>Friedenberg, Marc</t>
  </si>
  <si>
    <t>Marino, Tom</t>
  </si>
  <si>
    <t>Ottaway, Brent</t>
  </si>
  <si>
    <t>Joyce, John</t>
  </si>
  <si>
    <t>Boerio, Bibiana</t>
  </si>
  <si>
    <t>Reschenthaler, Guy</t>
  </si>
  <si>
    <t>Boser, Susan</t>
  </si>
  <si>
    <t>Thompson, Glenn GT</t>
  </si>
  <si>
    <t>DiNicola, Ron</t>
  </si>
  <si>
    <t>Kelly, Mike</t>
  </si>
  <si>
    <t>Lamb, Conor</t>
  </si>
  <si>
    <t>Rothfus, Keith</t>
  </si>
  <si>
    <t>RI</t>
  </si>
  <si>
    <t>Langevin, James R.</t>
  </si>
  <si>
    <t>Caiozzo, Salvatore G.</t>
  </si>
  <si>
    <t>SC</t>
  </si>
  <si>
    <t>Cunningham, Joe</t>
  </si>
  <si>
    <t>Arrington, Katie</t>
  </si>
  <si>
    <t>Carrigan, Sean</t>
  </si>
  <si>
    <t>Wilson, Joe</t>
  </si>
  <si>
    <t>Geren, Mary</t>
  </si>
  <si>
    <t>Duncan, Jeff</t>
  </si>
  <si>
    <t>Brown, Brandon P.</t>
  </si>
  <si>
    <t>Timmons, William</t>
  </si>
  <si>
    <t>Parnell, Archie</t>
  </si>
  <si>
    <t>Norman, Ralph W.</t>
  </si>
  <si>
    <t>Clyburn, James E. "Jim"</t>
  </si>
  <si>
    <t>Gressman, Gerhard R.</t>
  </si>
  <si>
    <t>Williams, Robert</t>
  </si>
  <si>
    <t>Rice, Tom</t>
  </si>
  <si>
    <t>SD</t>
  </si>
  <si>
    <t>Bjorkman, Tim</t>
  </si>
  <si>
    <t>Johnson, Dustin "Dusty"</t>
  </si>
  <si>
    <t>TN</t>
  </si>
  <si>
    <t>Olsen, Marty</t>
  </si>
  <si>
    <t>Roe, Phil</t>
  </si>
  <si>
    <t>Hoyos, Renee</t>
  </si>
  <si>
    <t>Burchett, Tim</t>
  </si>
  <si>
    <t>Mitchell, Danielle</t>
  </si>
  <si>
    <t>Fleischmann, Chuck</t>
  </si>
  <si>
    <t>Phillips, Mariah</t>
  </si>
  <si>
    <t>DesJarlais, Scott</t>
  </si>
  <si>
    <t>Barlow, Dawn</t>
  </si>
  <si>
    <t>Rose, John</t>
  </si>
  <si>
    <t>Kanew, Justin</t>
  </si>
  <si>
    <t>Green, Mark E.</t>
  </si>
  <si>
    <t>Pearson, Erika Stotts</t>
  </si>
  <si>
    <t>Kustoff, David</t>
  </si>
  <si>
    <t>Cohen, Steve</t>
  </si>
  <si>
    <t>Bergmann, Charlotte</t>
  </si>
  <si>
    <t>TX</t>
  </si>
  <si>
    <t>McKellar, Shirley J.</t>
  </si>
  <si>
    <t>Gohmert, Louie</t>
  </si>
  <si>
    <t>Litton, Todd</t>
  </si>
  <si>
    <t>Crenshaw, Dan</t>
  </si>
  <si>
    <t>Burch, Lorie</t>
  </si>
  <si>
    <t>Taylor, Van</t>
  </si>
  <si>
    <t>Krantz, Catherine</t>
  </si>
  <si>
    <t>Ratcliffe, John</t>
  </si>
  <si>
    <t>Wood, Dan</t>
  </si>
  <si>
    <t>Gooden, Lance</t>
  </si>
  <si>
    <t>Sanchez, Jana Lynne</t>
  </si>
  <si>
    <t>Wright, Ron</t>
  </si>
  <si>
    <t>Fletcher, Lizzie Pannill</t>
  </si>
  <si>
    <t>Culberson, John</t>
  </si>
  <si>
    <t>David, Steven</t>
  </si>
  <si>
    <t>Brady, Kevin</t>
  </si>
  <si>
    <t>Siegel, Mike</t>
  </si>
  <si>
    <t>McCaul, Michael T.</t>
  </si>
  <si>
    <t>Leeder, Jennie Lou</t>
  </si>
  <si>
    <t>Conaway, Mike</t>
  </si>
  <si>
    <t>Adia, Vanessa</t>
  </si>
  <si>
    <t>Granger, Kay</t>
  </si>
  <si>
    <t>Sagan, Greg</t>
  </si>
  <si>
    <t>Thornberry, Mac</t>
  </si>
  <si>
    <t>Bell, Adrienne</t>
  </si>
  <si>
    <t>Weber, Randy</t>
  </si>
  <si>
    <t>Gonzalez, Vicente</t>
  </si>
  <si>
    <t>Westley, Tim</t>
  </si>
  <si>
    <t>Escobar, Veronica</t>
  </si>
  <si>
    <t>Seeberger, Rick</t>
  </si>
  <si>
    <t>Kennedy, Rick</t>
  </si>
  <si>
    <t>Flores, Bill</t>
  </si>
  <si>
    <t>Jackson Lee, Sheila</t>
  </si>
  <si>
    <t>Pate, Ava Reynero</t>
  </si>
  <si>
    <t>Levario, Miguel</t>
  </si>
  <si>
    <t>Arrington, Jodey</t>
  </si>
  <si>
    <t>Kopser, Joseph</t>
  </si>
  <si>
    <t>Roy, Chip</t>
  </si>
  <si>
    <t>Kulkarni, Sri Preston</t>
  </si>
  <si>
    <t>Olson, Pete</t>
  </si>
  <si>
    <t>Jones, Gina Ortiz</t>
  </si>
  <si>
    <t>Hurd, Will</t>
  </si>
  <si>
    <t>McDowell, Jan</t>
  </si>
  <si>
    <t>Marchant, Kenny E.</t>
  </si>
  <si>
    <t>Oliver, Julie</t>
  </si>
  <si>
    <t>Williams, Roger</t>
  </si>
  <si>
    <t>Fagan, Linsey</t>
  </si>
  <si>
    <t>Burgess, Michael C.</t>
  </si>
  <si>
    <t>Holguin, Eric</t>
  </si>
  <si>
    <t>Cloud, Michael</t>
  </si>
  <si>
    <t>Garcia, Sylvia R.</t>
  </si>
  <si>
    <t>Aronoff, Phillip</t>
  </si>
  <si>
    <t>Hegar, Mary Jennings "MJ"</t>
  </si>
  <si>
    <t>Carter, John</t>
  </si>
  <si>
    <t>Allred, Colin</t>
  </si>
  <si>
    <t>Sessions, Pete</t>
  </si>
  <si>
    <t>Veasey, Marc</t>
  </si>
  <si>
    <t>Billups, Willie</t>
  </si>
  <si>
    <t>Vela, Filemon B.</t>
  </si>
  <si>
    <t>Gonzalez, Rey</t>
  </si>
  <si>
    <t>Doggett, Lloyd</t>
  </si>
  <si>
    <t>Smalling, David</t>
  </si>
  <si>
    <t>Steele, Dayna</t>
  </si>
  <si>
    <t>Babin, Brian</t>
  </si>
  <si>
    <t>UT</t>
  </si>
  <si>
    <t>Castillo, Lee</t>
  </si>
  <si>
    <t>Bishop, Rob</t>
  </si>
  <si>
    <t>Ghorbani, Shireen</t>
  </si>
  <si>
    <t>Stewart, Chris</t>
  </si>
  <si>
    <t>Singer, James Courage</t>
  </si>
  <si>
    <t>Curtis, John</t>
  </si>
  <si>
    <t>McAdams, Ben</t>
  </si>
  <si>
    <t>Love, Mia B.</t>
  </si>
  <si>
    <t>VA</t>
  </si>
  <si>
    <t>Williams, Vangie A.</t>
  </si>
  <si>
    <t>Wittman, Robert J. "Rob"</t>
  </si>
  <si>
    <t>Luria, Elaine G.</t>
  </si>
  <si>
    <t>Taylor, Scott W.</t>
  </si>
  <si>
    <t>McEachin, A. Donald</t>
  </si>
  <si>
    <t>McAdams, Ryan A.</t>
  </si>
  <si>
    <t>Cockburn, Leslie C.</t>
  </si>
  <si>
    <t>Riggleman, Denver L., III  #</t>
  </si>
  <si>
    <t>Lewis, Jennifer Lynn</t>
  </si>
  <si>
    <t>Cline, Ben L.</t>
  </si>
  <si>
    <t>Spanberger, Abigail A.</t>
  </si>
  <si>
    <t>Brat, David A.</t>
  </si>
  <si>
    <t>Beyer, Donald S., Jr.</t>
  </si>
  <si>
    <t>Oh, Thomas S.</t>
  </si>
  <si>
    <t>Flaccavento, Anthony J.</t>
  </si>
  <si>
    <t>Griffith, H. Morgan</t>
  </si>
  <si>
    <t>Wexton, Jennifer T.</t>
  </si>
  <si>
    <t>Comstock, Barbara J.</t>
  </si>
  <si>
    <t>Connolly, Gerald Edward</t>
  </si>
  <si>
    <t>Dove, Jeff A., Jr.</t>
  </si>
  <si>
    <t>VT</t>
  </si>
  <si>
    <t>Welch, Peter</t>
  </si>
  <si>
    <t>Tynio, Anya  #</t>
  </si>
  <si>
    <t>WA</t>
  </si>
  <si>
    <t>DelBene, Suzan</t>
  </si>
  <si>
    <t>Beeler, Jeffrey</t>
  </si>
  <si>
    <t>Long, Carolyn</t>
  </si>
  <si>
    <t>Beutler, Jamie Herrera</t>
  </si>
  <si>
    <t>Brown, Christine</t>
  </si>
  <si>
    <t>Newhouse, Dan</t>
  </si>
  <si>
    <t>Brown, Lisa</t>
  </si>
  <si>
    <t>Rodgers, Cathy McMorris</t>
  </si>
  <si>
    <t>Kilmer, Derek</t>
  </si>
  <si>
    <t>Dightman, Douglas</t>
  </si>
  <si>
    <t>Jayapal, Pramila</t>
  </si>
  <si>
    <t>Keller, Craig</t>
  </si>
  <si>
    <t>Heck, Denny</t>
  </si>
  <si>
    <t>Brumbles, Joseph</t>
  </si>
  <si>
    <t>WI</t>
  </si>
  <si>
    <t>Bryce, Randy</t>
  </si>
  <si>
    <t>Steil, Bryan</t>
  </si>
  <si>
    <t>Kind, Ron</t>
  </si>
  <si>
    <t>Toft, Steve</t>
  </si>
  <si>
    <t>Moore, Gwen S.</t>
  </si>
  <si>
    <t>Rogers, Tim</t>
  </si>
  <si>
    <t>Palzewicz, Tom</t>
  </si>
  <si>
    <t>Sensenbrenner, F. James, Jr.</t>
  </si>
  <si>
    <t>Kohl, Dan</t>
  </si>
  <si>
    <t>Grothman, Glenn</t>
  </si>
  <si>
    <t>Engebretson, Margaret</t>
  </si>
  <si>
    <t>Duffy, Sean P.</t>
  </si>
  <si>
    <t>Liegeois, Beau</t>
  </si>
  <si>
    <t>Gallagher, Mike</t>
  </si>
  <si>
    <t>WV</t>
  </si>
  <si>
    <t>Fershee, Kendra</t>
  </si>
  <si>
    <t>McKinley, David B.</t>
  </si>
  <si>
    <t>Sergent, Talley</t>
  </si>
  <si>
    <t>Mooney, Alex X.</t>
  </si>
  <si>
    <t>Ojeda, Richard, II</t>
  </si>
  <si>
    <t>Miller, Carol</t>
  </si>
  <si>
    <t>WY</t>
  </si>
  <si>
    <t>Hunter, Greg</t>
  </si>
  <si>
    <t>Cheney, Liz</t>
  </si>
  <si>
    <t>Averhart, James</t>
  </si>
  <si>
    <t>Carl, Jerry</t>
  </si>
  <si>
    <t>Harvey-Hall, Phyllis</t>
  </si>
  <si>
    <t>Moore, Barry</t>
  </si>
  <si>
    <t>Winfrey, Adia</t>
  </si>
  <si>
    <t>Neighbors, Rick</t>
  </si>
  <si>
    <t>Elliott, Joyce</t>
  </si>
  <si>
    <t>Williams, Celeste</t>
  </si>
  <si>
    <t>Hanson, William H.</t>
  </si>
  <si>
    <t>Crichton, Oreta Tufaga Mapu</t>
  </si>
  <si>
    <t>Shedd, Tiffany</t>
  </si>
  <si>
    <t>Martin, Brandon</t>
  </si>
  <si>
    <t>Grijalva, Rául</t>
  </si>
  <si>
    <t>Wood, Daniel</t>
  </si>
  <si>
    <t>DiSanto, Delina</t>
  </si>
  <si>
    <t>Gallego, Ruben</t>
  </si>
  <si>
    <t>Barnett, Joshua</t>
  </si>
  <si>
    <t>Muscato, Michael</t>
  </si>
  <si>
    <t>Lesko, Debbie</t>
  </si>
  <si>
    <t>Giles, Dave</t>
  </si>
  <si>
    <t>LaMalfa, Doug</t>
  </si>
  <si>
    <t>Huffman, Jared</t>
  </si>
  <si>
    <t>Hamilton, Tamika</t>
  </si>
  <si>
    <t>Kennedy, Brynne S.</t>
  </si>
  <si>
    <t>Thompson, Mike</t>
  </si>
  <si>
    <t>Giblin, Scott</t>
  </si>
  <si>
    <t>Matsui, Doris</t>
  </si>
  <si>
    <t>Bish, Chris</t>
  </si>
  <si>
    <t>Patterson, Buzz</t>
  </si>
  <si>
    <t>Bubser, Christine</t>
  </si>
  <si>
    <t>Obernolte, Jay</t>
  </si>
  <si>
    <t>Amador, Antonio C. 'Tony'</t>
  </si>
  <si>
    <t>Howze, Ted</t>
  </si>
  <si>
    <t>DeSaulnier, Mark</t>
  </si>
  <si>
    <t>Sharma, Nisha</t>
  </si>
  <si>
    <t>Lee, Barbara</t>
  </si>
  <si>
    <t>Piterman, Nikka</t>
  </si>
  <si>
    <t>Petel, Ran S.</t>
  </si>
  <si>
    <t>Hayden, Alison</t>
  </si>
  <si>
    <t>Cookingham, Kevin</t>
  </si>
  <si>
    <t>Tandon, Ritesh</t>
  </si>
  <si>
    <t>Lofgren, Zoe</t>
  </si>
  <si>
    <t>Aguilera, Justin James</t>
  </si>
  <si>
    <t>Panetta, Jimmy</t>
  </si>
  <si>
    <t>Gorman, Jeff</t>
  </si>
  <si>
    <t>Valadao, David G.</t>
  </si>
  <si>
    <t>Arballo, Phil</t>
  </si>
  <si>
    <t>Mangone, Kim</t>
  </si>
  <si>
    <t>Caldwell, Andy</t>
  </si>
  <si>
    <t>Smith, Christy</t>
  </si>
  <si>
    <t>Garcia, Mike</t>
  </si>
  <si>
    <t>Baldwin-Kennedy, Ronda</t>
  </si>
  <si>
    <t>Chu, Judy</t>
  </si>
  <si>
    <t>Early, Eric</t>
  </si>
  <si>
    <t>Gibboney, Agnes</t>
  </si>
  <si>
    <t>Napolitano, Grace F.</t>
  </si>
  <si>
    <t>Scott, Joshua M.</t>
  </si>
  <si>
    <t>Bradley, James P.</t>
  </si>
  <si>
    <t>Cargile, Mike</t>
  </si>
  <si>
    <t>Cruz, Erin</t>
  </si>
  <si>
    <t>Webber, Errol</t>
  </si>
  <si>
    <t>Roybal-Allard, Lucille</t>
  </si>
  <si>
    <t>Delgado, C Antonio</t>
  </si>
  <si>
    <t>O'Mara, William "Liam"</t>
  </si>
  <si>
    <t>Collins, Joe E., III</t>
  </si>
  <si>
    <t>Raths, Greg</t>
  </si>
  <si>
    <t>Correa, Lou</t>
  </si>
  <si>
    <t>Waters, James S.</t>
  </si>
  <si>
    <t>Steel, Michelle</t>
  </si>
  <si>
    <t>Maryott, Brian</t>
  </si>
  <si>
    <t>Issa, Darrell</t>
  </si>
  <si>
    <t>Vargas, Juan C.</t>
  </si>
  <si>
    <t>DeBello, Jim</t>
  </si>
  <si>
    <t>Bolling, Shane</t>
  </si>
  <si>
    <t>Winn, Charlie</t>
  </si>
  <si>
    <t>Mitsch Bush, Diane E.</t>
  </si>
  <si>
    <t>Boebert, Lauren</t>
  </si>
  <si>
    <t>McCorkle, Ike</t>
  </si>
  <si>
    <t>Freeland, Jilian</t>
  </si>
  <si>
    <t>House, Steve</t>
  </si>
  <si>
    <t>Stockham, Charles "Casper"</t>
  </si>
  <si>
    <t>DeLauro, Rosa L.</t>
  </si>
  <si>
    <t>Streicker, Margaret</t>
  </si>
  <si>
    <t>Sullivan, David X.</t>
  </si>
  <si>
    <t>DE</t>
  </si>
  <si>
    <t>Rochester, Lisa Blunt</t>
  </si>
  <si>
    <t>Murphy, Lee</t>
  </si>
  <si>
    <t>Ehr, Phil</t>
  </si>
  <si>
    <t>Christensen, Adam</t>
  </si>
  <si>
    <t>Cammack, Kat</t>
  </si>
  <si>
    <t>Deegan, Donna</t>
  </si>
  <si>
    <t>Adler, Gary</t>
  </si>
  <si>
    <t>Curtis, Clint</t>
  </si>
  <si>
    <t>Valentin, Leo</t>
  </si>
  <si>
    <t>Kennedy, Jim</t>
  </si>
  <si>
    <t>Olson, William P. "Bill"</t>
  </si>
  <si>
    <t>Demings, Val</t>
  </si>
  <si>
    <t>Francois, Vennia</t>
  </si>
  <si>
    <t>Cottrell, Dana Marie</t>
  </si>
  <si>
    <t>Walker, Kimberly</t>
  </si>
  <si>
    <t>Luna, Anna Paulina</t>
  </si>
  <si>
    <t>Castor, Kathy</t>
  </si>
  <si>
    <t>Quinn, Christine Y.</t>
  </si>
  <si>
    <t>Cohn, Alan</t>
  </si>
  <si>
    <t>Franklin, Scott</t>
  </si>
  <si>
    <t>Good, Margaret</t>
  </si>
  <si>
    <t>Keith, Pam</t>
  </si>
  <si>
    <t>Banyai, Cindy Lyn</t>
  </si>
  <si>
    <t>Donalds, Byron</t>
  </si>
  <si>
    <t>Hastings, Alcee L.</t>
  </si>
  <si>
    <t>Musselwhite, Greg</t>
  </si>
  <si>
    <t>Frankel, Lois</t>
  </si>
  <si>
    <t>Loomer, Laura</t>
  </si>
  <si>
    <t>Pruden, James "Jim"</t>
  </si>
  <si>
    <t>Spalding, Carla</t>
  </si>
  <si>
    <t>Wilson, Frederica</t>
  </si>
  <si>
    <t>Spicer, Lavern</t>
  </si>
  <si>
    <t>Gimenez, Carlos</t>
  </si>
  <si>
    <t>Griggs, Joyce Marie</t>
  </si>
  <si>
    <t>Cole, Don</t>
  </si>
  <si>
    <t>Almonord, Val</t>
  </si>
  <si>
    <t>Ezammudeen, Johsie Cruz</t>
  </si>
  <si>
    <t>Williams, Nikema</t>
  </si>
  <si>
    <t>Stanton-King, Angela</t>
  </si>
  <si>
    <t>McCormick, Rich</t>
  </si>
  <si>
    <t>Holliday, Lindsay</t>
  </si>
  <si>
    <t>Scott, Austin</t>
  </si>
  <si>
    <t>Pandy, Devin</t>
  </si>
  <si>
    <t>Clyde, Andrew</t>
  </si>
  <si>
    <t>Johnson-Green, Tabitha</t>
  </si>
  <si>
    <t>Barrett, Dana</t>
  </si>
  <si>
    <t>Johnson, Liz</t>
  </si>
  <si>
    <t>Hites, Becky E.</t>
  </si>
  <si>
    <t>Van Ausdal, Kevin</t>
  </si>
  <si>
    <t>Greene, Marjorie Taylor</t>
  </si>
  <si>
    <t>Castro, William Mendiola</t>
  </si>
  <si>
    <t>Curtis, Ron</t>
  </si>
  <si>
    <t>Kahele, Kaiali'I (Kai)</t>
  </si>
  <si>
    <t>Akana, Joe</t>
  </si>
  <si>
    <t>Hinson, Ashley</t>
  </si>
  <si>
    <t>Hart, Rita R.</t>
  </si>
  <si>
    <t>Miller-Meeks, Mariannette</t>
  </si>
  <si>
    <t>Feenstra, Randy</t>
  </si>
  <si>
    <t>Soto, Rudy</t>
  </si>
  <si>
    <t>Swisher, C. Aaron</t>
  </si>
  <si>
    <t>White, Philanise</t>
  </si>
  <si>
    <t>Raborn, Theresa J.</t>
  </si>
  <si>
    <t>Newman, Marie</t>
  </si>
  <si>
    <t>Fricilone, Mike</t>
  </si>
  <si>
    <t>Solorio, Jesus</t>
  </si>
  <si>
    <t>Ives, Jeanne</t>
  </si>
  <si>
    <t>Sangari, Sargis</t>
  </si>
  <si>
    <t>Mukherjee, Valerie Ramirez</t>
  </si>
  <si>
    <t>Laib, Rick</t>
  </si>
  <si>
    <t>Lenzi, Raymond C.</t>
  </si>
  <si>
    <t>Longdrigan, Betsy Dirksen</t>
  </si>
  <si>
    <t>Oberweis, Jim</t>
  </si>
  <si>
    <t>Weaver, Erika C.</t>
  </si>
  <si>
    <t>Miller, Mary</t>
  </si>
  <si>
    <t>Brzozowski, Dani</t>
  </si>
  <si>
    <t>King, Esther Joy</t>
  </si>
  <si>
    <t>Hackett, Patricia (Pat)</t>
  </si>
  <si>
    <t>Coldiron, Chip</t>
  </si>
  <si>
    <t>Mackey, Joe</t>
  </si>
  <si>
    <t>Hale, Christina</t>
  </si>
  <si>
    <t>Spartz, Victoria</t>
  </si>
  <si>
    <t>Carson, André</t>
  </si>
  <si>
    <t>Smith, Susan Marie</t>
  </si>
  <si>
    <t>Marsili, E. Thomasina</t>
  </si>
  <si>
    <t>Ruff, Andy</t>
  </si>
  <si>
    <t>Barnett, Kali</t>
  </si>
  <si>
    <t>Mann, Tracey</t>
  </si>
  <si>
    <t>De La Isla, Michelle</t>
  </si>
  <si>
    <t>LaTurner, Jake</t>
  </si>
  <si>
    <t>Davids, Sharice L.</t>
  </si>
  <si>
    <t>Adkins, Amanda L.</t>
  </si>
  <si>
    <t>Lombard, Laura</t>
  </si>
  <si>
    <t>Palazzo, Rhonda</t>
  </si>
  <si>
    <t>Owensby, Alexandra</t>
  </si>
  <si>
    <t>Best, Matthew Ryan</t>
  </si>
  <si>
    <t>Hicks, Josh</t>
  </si>
  <si>
    <t>Richmond, Cedric L.</t>
  </si>
  <si>
    <t>Schilling, David M.</t>
  </si>
  <si>
    <t>Harris, Braylon</t>
  </si>
  <si>
    <t>Houston, Kenny</t>
  </si>
  <si>
    <t>Christophe, Sandra "Candy"</t>
  </si>
  <si>
    <t>Letlow, Luke J.</t>
  </si>
  <si>
    <t>Williams, Dartanyon "DAW"</t>
  </si>
  <si>
    <t>Auchincloss, Jake</t>
  </si>
  <si>
    <t>Hall, Julie A.</t>
  </si>
  <si>
    <t>Colarusso, Caroline</t>
  </si>
  <si>
    <t>Moran, John Paul</t>
  </si>
  <si>
    <t>Brady, Helen</t>
  </si>
  <si>
    <t>Ruppersberger, C.A. Dutch</t>
  </si>
  <si>
    <t>Salling, Johnny Ray</t>
  </si>
  <si>
    <t>Sarbanes, John</t>
  </si>
  <si>
    <t>Anthony, Charles</t>
  </si>
  <si>
    <t>McDermott, George E.</t>
  </si>
  <si>
    <t>Hoyer, Steny H.</t>
  </si>
  <si>
    <t>Palombi, Chris</t>
  </si>
  <si>
    <t>Trone, David J.</t>
  </si>
  <si>
    <t>Parrott, Neil C.</t>
  </si>
  <si>
    <t>Mfume, Kweisi  #</t>
  </si>
  <si>
    <t>Klacik, Kimberly</t>
  </si>
  <si>
    <t>Raskin, Jamie</t>
  </si>
  <si>
    <t>Coll, Gregory Thomas</t>
  </si>
  <si>
    <t>Pingree, Chellie M.</t>
  </si>
  <si>
    <t>Allen, Jay T.</t>
  </si>
  <si>
    <t>Ferguson, Dana</t>
  </si>
  <si>
    <t>Berghoef, Bryan</t>
  </si>
  <si>
    <t>Scholten, Hillary</t>
  </si>
  <si>
    <t>Meijer, Peter</t>
  </si>
  <si>
    <t>Hilliard, Jerry</t>
  </si>
  <si>
    <t>Moolenaar, John</t>
  </si>
  <si>
    <t>Kildee, Daniel T.</t>
  </si>
  <si>
    <t>Kelly, Tim</t>
  </si>
  <si>
    <t>Hoadley, Jon</t>
  </si>
  <si>
    <t>Driskell, Gretchen D.</t>
  </si>
  <si>
    <t>Junge, Paul</t>
  </si>
  <si>
    <t>McClain, Lisa</t>
  </si>
  <si>
    <t>Esshaki, Eric S.</t>
  </si>
  <si>
    <t>Tlaib, Rashida</t>
  </si>
  <si>
    <t>Dudenhoefer, David</t>
  </si>
  <si>
    <t>Patrick, Robert Vance</t>
  </si>
  <si>
    <t>Kistner, Tyler</t>
  </si>
  <si>
    <t>Qualls, Kendall</t>
  </si>
  <si>
    <t>Johnson, Lacy</t>
  </si>
  <si>
    <t>Zahradka, Tawnja</t>
  </si>
  <si>
    <t>Fischbach, Michelle</t>
  </si>
  <si>
    <t>Nystrom, Quinn</t>
  </si>
  <si>
    <t>Bush, Cori</t>
  </si>
  <si>
    <t>Rogers, Anthony</t>
  </si>
  <si>
    <t>Schupp, Jill</t>
  </si>
  <si>
    <t>Simmons, Lindsey</t>
  </si>
  <si>
    <t>Derks, Ryan</t>
  </si>
  <si>
    <t>Ross, Gena L.</t>
  </si>
  <si>
    <t>Eliason, Antonia</t>
  </si>
  <si>
    <t>Thompson, Bennie G.</t>
  </si>
  <si>
    <t>Flowers, Brian</t>
  </si>
  <si>
    <t>Rosendale, Matt</t>
  </si>
  <si>
    <t>Butterfield, G.K.</t>
  </si>
  <si>
    <t>Smith, Sandy</t>
  </si>
  <si>
    <t>Ross, Deborah K.</t>
  </si>
  <si>
    <t>Swain, Alan D.</t>
  </si>
  <si>
    <t>Haywood, Lee</t>
  </si>
  <si>
    <t>Ward, Christopher M.</t>
  </si>
  <si>
    <t>Timmons-Goodson, Patricia</t>
  </si>
  <si>
    <t>Wallace, Cynthia L.</t>
  </si>
  <si>
    <t>Bishop, Dan</t>
  </si>
  <si>
    <t>Parker, David</t>
  </si>
  <si>
    <t>Davis, Moe</t>
  </si>
  <si>
    <t>Cawthorn, Madison</t>
  </si>
  <si>
    <t>Huffman, Scott</t>
  </si>
  <si>
    <t>Raknerud, Zach</t>
  </si>
  <si>
    <t>Bolz, Kate</t>
  </si>
  <si>
    <t>Bacon, Donald</t>
  </si>
  <si>
    <t>Elworth, Mark, Jr.</t>
  </si>
  <si>
    <t>Mowers, Matt</t>
  </si>
  <si>
    <t>McClane Kuster, Anne</t>
  </si>
  <si>
    <t>Gustafson, Claire H.</t>
  </si>
  <si>
    <t>Kennedy, Amy</t>
  </si>
  <si>
    <t>Richter, David</t>
  </si>
  <si>
    <t>Schmid, Stephanie</t>
  </si>
  <si>
    <t>Pallotta, Frank T.</t>
  </si>
  <si>
    <t>Kean, Thomas H., Jr.</t>
  </si>
  <si>
    <t>Mushnick, Jason Todd</t>
  </si>
  <si>
    <t>Pascrell, Bill, Jr.</t>
  </si>
  <si>
    <t>Prempeh, Billy</t>
  </si>
  <si>
    <t>Zinone, Jennifer</t>
  </si>
  <si>
    <t>Becchi, Rosemary</t>
  </si>
  <si>
    <t>Coleman, Bonnie Watson</t>
  </si>
  <si>
    <t>Razzoli, Mark</t>
  </si>
  <si>
    <t>Haaland, Deb</t>
  </si>
  <si>
    <t>Holmes, Michelle Garcia</t>
  </si>
  <si>
    <t>Fernandez, Teresa Leger</t>
  </si>
  <si>
    <t>Johnson, Alexis M.</t>
  </si>
  <si>
    <t>Ackerman, Patricia</t>
  </si>
  <si>
    <t>Rodimer, Dan "Big Dan"</t>
  </si>
  <si>
    <t>Horsford, Steven</t>
  </si>
  <si>
    <t>Marchant, Jim</t>
  </si>
  <si>
    <t>Goroff, Nancy S.</t>
  </si>
  <si>
    <t>Gordon, Jackie</t>
  </si>
  <si>
    <t>Garbarino, Andrew R.</t>
  </si>
  <si>
    <t>Santos, George A.D.</t>
  </si>
  <si>
    <t>Tuman, Douglas L.</t>
  </si>
  <si>
    <t>Meng, Grace</t>
  </si>
  <si>
    <t>Zmich, Thomas J.</t>
  </si>
  <si>
    <t>Velazquez, Nydia M.</t>
  </si>
  <si>
    <t>Kelly, Brian W.</t>
  </si>
  <si>
    <t>Jeffries, Hakeem S.</t>
  </si>
  <si>
    <t>Wallace, Garfield H.</t>
  </si>
  <si>
    <t>Jean-Pierre, Constantine</t>
  </si>
  <si>
    <t>Bernstein, Cathy A.</t>
  </si>
  <si>
    <t>Malliotakis, Nicole</t>
  </si>
  <si>
    <t>Santiago-Cano, Carlos</t>
  </si>
  <si>
    <t>Gwinn, Lovelynn</t>
  </si>
  <si>
    <t>Cummings, John C.</t>
  </si>
  <si>
    <t>Torres, Ritchie</t>
  </si>
  <si>
    <t>Delices, Patrick #</t>
  </si>
  <si>
    <t>Jones, Mondaire</t>
  </si>
  <si>
    <t>McArdle-Schulman, Maureen</t>
  </si>
  <si>
    <t>Farley, Chele C.</t>
  </si>
  <si>
    <t>Van De Water, Kyle</t>
  </si>
  <si>
    <t>Tonko, Paul D.</t>
  </si>
  <si>
    <t>Joy, Elizabeth L.</t>
  </si>
  <si>
    <t>Tenney, Claudia  #</t>
  </si>
  <si>
    <t>Reed, Tom</t>
  </si>
  <si>
    <t>Mitris, George #</t>
  </si>
  <si>
    <t>Jacobs, Chris #</t>
  </si>
  <si>
    <t>Schroder, Kate</t>
  </si>
  <si>
    <t>Castle, Jaime M.</t>
  </si>
  <si>
    <t>Rubando, Nick</t>
  </si>
  <si>
    <t>Weber, Rob</t>
  </si>
  <si>
    <t>Tims, Desiree</t>
  </si>
  <si>
    <t>Gore, Laverne</t>
  </si>
  <si>
    <t>Shearer, Alaina</t>
  </si>
  <si>
    <t>Hagan, Christina M.</t>
  </si>
  <si>
    <t>Mueri, Hillary O'Connor</t>
  </si>
  <si>
    <t>Newby, Joel</t>
  </si>
  <si>
    <t>Godfrey, Aaron Paul</t>
  </si>
  <si>
    <t>Asamoa-Caesar, Kojo</t>
  </si>
  <si>
    <t>Lanier, Danyell</t>
  </si>
  <si>
    <t>Midyett, Zoe</t>
  </si>
  <si>
    <t>Lucas, Frank D.</t>
  </si>
  <si>
    <t>Horn, Kendra S.</t>
  </si>
  <si>
    <t>Bice, Stephanie</t>
  </si>
  <si>
    <t>OR</t>
  </si>
  <si>
    <t>Spenser, Alex</t>
  </si>
  <si>
    <t>Bentz, Cliff</t>
  </si>
  <si>
    <t>Schrader, Kurt</t>
  </si>
  <si>
    <t>Courser, Amy Ryan</t>
  </si>
  <si>
    <t>Finello, Christina M.</t>
  </si>
  <si>
    <t>Harvey, Michael</t>
  </si>
  <si>
    <t>Barnette, Kathy</t>
  </si>
  <si>
    <t>Pruett, Dasha</t>
  </si>
  <si>
    <t>Emmons, John Willam</t>
  </si>
  <si>
    <t>Scheller, Lisa</t>
  </si>
  <si>
    <t>Cartwright, Matthew Alton</t>
  </si>
  <si>
    <t>Bognet, Jim</t>
  </si>
  <si>
    <t>Wegman, Gary</t>
  </si>
  <si>
    <t>DePasquale, Eugenio</t>
  </si>
  <si>
    <t>Hammond, Sarah E.</t>
  </si>
  <si>
    <t>Griffin, Lee</t>
  </si>
  <si>
    <t>Keller, Fred</t>
  </si>
  <si>
    <t>Rowley, Todd</t>
  </si>
  <si>
    <t>Marx, Bill</t>
  </si>
  <si>
    <t>Gnibus, Kristy</t>
  </si>
  <si>
    <t>Parnell, Sean</t>
  </si>
  <si>
    <t>Doyle, Mike</t>
  </si>
  <si>
    <t>Negron, Luke Edison</t>
  </si>
  <si>
    <t>Lancia, Robert B.</t>
  </si>
  <si>
    <t>Mace, Nancy</t>
  </si>
  <si>
    <t>Boroughs, Adair Ford</t>
  </si>
  <si>
    <t>Cleveland, Hosea</t>
  </si>
  <si>
    <t>Nelson, Kim</t>
  </si>
  <si>
    <t>Brown, Moe</t>
  </si>
  <si>
    <t>Norman, Ralph</t>
  </si>
  <si>
    <t>Watson, Melissa Ward</t>
  </si>
  <si>
    <t>Walsingham, Blair</t>
  </si>
  <si>
    <t>Harshbarger, Diana</t>
  </si>
  <si>
    <t>Gorman, Meg</t>
  </si>
  <si>
    <t>Hale, Christopher J.</t>
  </si>
  <si>
    <t>Finley, Christopher Martin</t>
  </si>
  <si>
    <t>Gilbert, Hank</t>
  </si>
  <si>
    <t>Ladjevardian, Sima</t>
  </si>
  <si>
    <t>Seikaly, Lulu</t>
  </si>
  <si>
    <t>Foster, Russell</t>
  </si>
  <si>
    <t>Fallon, Pat #</t>
  </si>
  <si>
    <t>Salter, Carolyn</t>
  </si>
  <si>
    <t>Daniel, Stephen</t>
  </si>
  <si>
    <t>Fletcher, Lizzie</t>
  </si>
  <si>
    <t>Hunt, Wesley</t>
  </si>
  <si>
    <t>Hernandez, Elizabeth</t>
  </si>
  <si>
    <t>Green, Al</t>
  </si>
  <si>
    <t>Teague, Johnny</t>
  </si>
  <si>
    <t>McCaul, Michael</t>
  </si>
  <si>
    <t>Hogg, Jon Mark</t>
  </si>
  <si>
    <t>Pfluger, August</t>
  </si>
  <si>
    <t>Welch, Lisa</t>
  </si>
  <si>
    <t>Trujillo, Gus</t>
  </si>
  <si>
    <t>Jackson, Ronny</t>
  </si>
  <si>
    <t>De La Cruz-Hernandez, Monica</t>
  </si>
  <si>
    <t>Armendariz-Jackson, Irene</t>
  </si>
  <si>
    <t>Champion, Wendell</t>
  </si>
  <si>
    <t>Watson, Tom</t>
  </si>
  <si>
    <t>Arrington, Jodey C.</t>
  </si>
  <si>
    <t>Castro, Joaquin</t>
  </si>
  <si>
    <t>Garza, Mauro</t>
  </si>
  <si>
    <t>Davis, Wendy R.</t>
  </si>
  <si>
    <t>Nehls, Troy</t>
  </si>
  <si>
    <t>Gonzales, Tony</t>
  </si>
  <si>
    <t>Valenzuela, Candace</t>
  </si>
  <si>
    <t>Van Duyne, Beth</t>
  </si>
  <si>
    <t>Iannuzzi, Carol H.</t>
  </si>
  <si>
    <t>De La Fuente, Ricardo "Rick"</t>
  </si>
  <si>
    <t>Cuellar, Henry</t>
  </si>
  <si>
    <t>Whitten, Sandra</t>
  </si>
  <si>
    <t>Garcia, Sylvia</t>
  </si>
  <si>
    <t>Blanco, Jaimy Z.</t>
  </si>
  <si>
    <t>Johnson, Eddie Bernice</t>
  </si>
  <si>
    <t>Pennie, Tre</t>
  </si>
  <si>
    <t>Imam, Donna</t>
  </si>
  <si>
    <t>Collins, Genevieve</t>
  </si>
  <si>
    <t>Vasquez, Fabian Cordova</t>
  </si>
  <si>
    <t>Sharon, Jenny Garcia</t>
  </si>
  <si>
    <t>Lewis, Rashad</t>
  </si>
  <si>
    <t>Parry, Darren</t>
  </si>
  <si>
    <t>Moore, Blake David</t>
  </si>
  <si>
    <t>Weston, Kael</t>
  </si>
  <si>
    <t>Thorpe, Devin D.</t>
  </si>
  <si>
    <t>Owens, Burgess</t>
  </si>
  <si>
    <t>Rashid, Qasim</t>
  </si>
  <si>
    <t>Wittman, Robert J.</t>
  </si>
  <si>
    <t>Scott, Robert C. "Bobby"</t>
  </si>
  <si>
    <t>Collick, John W., Jr.</t>
  </si>
  <si>
    <t>Benjamin, Leon, Sr.</t>
  </si>
  <si>
    <t>Webb, B. Cameron</t>
  </si>
  <si>
    <t>Good, Robert G. "Bob"</t>
  </si>
  <si>
    <t>Betts, Nicholas A.</t>
  </si>
  <si>
    <t>Freitas, Nick J.</t>
  </si>
  <si>
    <t>Jordan, Jeff A.</t>
  </si>
  <si>
    <t>Andrews, Aliscia N.</t>
  </si>
  <si>
    <t>Connolly, Gerald E. "Gerry"</t>
  </si>
  <si>
    <t>Anantatmula, Manga A.</t>
  </si>
  <si>
    <t>Beeler, Jeffrey, Sr.</t>
  </si>
  <si>
    <t>Larsen, Rick</t>
  </si>
  <si>
    <t>Hazelo, Timothy S.</t>
  </si>
  <si>
    <t>Beutler, Jaime Herrera</t>
  </si>
  <si>
    <t>McKinley, Douglas E.</t>
  </si>
  <si>
    <t>Wilson, Dave</t>
  </si>
  <si>
    <t>Kreiselmaier, Elizabeth</t>
  </si>
  <si>
    <t>Schrier, Kim</t>
  </si>
  <si>
    <t>Jensen, Jesse</t>
  </si>
  <si>
    <t>Smith, Adam</t>
  </si>
  <si>
    <t>Basler, Doug</t>
  </si>
  <si>
    <t>Polack, Roger</t>
  </si>
  <si>
    <t>Pocan, Mark</t>
  </si>
  <si>
    <t>Theron, Peter</t>
  </si>
  <si>
    <t>Van Orden, Derrick</t>
  </si>
  <si>
    <t>Fitzgerald, Scott</t>
  </si>
  <si>
    <t>King, Jessica J.</t>
  </si>
  <si>
    <t>Zunker, Tricia</t>
  </si>
  <si>
    <t>Tiffany, Tom</t>
  </si>
  <si>
    <t>Stuck, Amanda</t>
  </si>
  <si>
    <t>Cline, Natalie</t>
  </si>
  <si>
    <t>Kunkel, Cathy</t>
  </si>
  <si>
    <t>Turner, Hilary</t>
  </si>
  <si>
    <t>Grey Bull, Lynnette</t>
  </si>
  <si>
    <t>AK</t>
  </si>
  <si>
    <t>Peltola, Mary S.</t>
  </si>
  <si>
    <t>Palin, Sarah</t>
  </si>
  <si>
    <t>Veasey, Lin</t>
  </si>
  <si>
    <t>Alderholt, Robert</t>
  </si>
  <si>
    <t>Warner-Stanton, Kathy</t>
  </si>
  <si>
    <t>Strong, Dale</t>
  </si>
  <si>
    <t>Sewell, Terrycina</t>
  </si>
  <si>
    <t>Nichols, Beatrice</t>
  </si>
  <si>
    <t>Hodges, Monte</t>
  </si>
  <si>
    <t>Hathaway, Quintessa</t>
  </si>
  <si>
    <t>Mallett-Hays, Lauren</t>
  </si>
  <si>
    <t>Hodge, Jevin</t>
  </si>
  <si>
    <t>Crane, Eli</t>
  </si>
  <si>
    <t>Zink, Jeff</t>
  </si>
  <si>
    <t>Cooper, Kelly</t>
  </si>
  <si>
    <t>Ramos, Javier</t>
  </si>
  <si>
    <t>Engel, Kirsten</t>
  </si>
  <si>
    <t>Ciscomani, Juan</t>
  </si>
  <si>
    <t>Pozzolo, Luis</t>
  </si>
  <si>
    <t>Steiner, Max</t>
  </si>
  <si>
    <t>Jones, Kermit</t>
  </si>
  <si>
    <t>Kiley, Kevin</t>
  </si>
  <si>
    <t>Brock, Matt</t>
  </si>
  <si>
    <t>Barkley, Michael J. "Mike"</t>
  </si>
  <si>
    <t>Semenenko, Max</t>
  </si>
  <si>
    <t>Recile, Rudy</t>
  </si>
  <si>
    <t>Patti, Tom</t>
  </si>
  <si>
    <t>Dennis, John</t>
  </si>
  <si>
    <t>Slauson, Stephen</t>
  </si>
  <si>
    <t>Gray, Adam</t>
  </si>
  <si>
    <t>Duarte, John</t>
  </si>
  <si>
    <t>Hernandez, Peter</t>
  </si>
  <si>
    <t>Wood, Marisa</t>
  </si>
  <si>
    <t>Maher, Michael</t>
  </si>
  <si>
    <t>Salas, Rudy</t>
  </si>
  <si>
    <t>Marshall, Derek</t>
  </si>
  <si>
    <t>Allen, Brad</t>
  </si>
  <si>
    <t>Ruiz , Raul</t>
  </si>
  <si>
    <t>Hawkins, Brian E.</t>
  </si>
  <si>
    <t>Jacobs, Matt</t>
  </si>
  <si>
    <t>Hallman, Wes</t>
  </si>
  <si>
    <t>Martinez, Daniel Bocic</t>
  </si>
  <si>
    <t>Sherman, Brad</t>
  </si>
  <si>
    <t>Volotzky, Lucie Lapointe</t>
  </si>
  <si>
    <t>Porter, John Mark</t>
  </si>
  <si>
    <t>Sánchez, Linda T.</t>
  </si>
  <si>
    <t>Ching, Eric J.</t>
  </si>
  <si>
    <t>Mahmood, Asif</t>
  </si>
  <si>
    <t>Rollins, Will</t>
  </si>
  <si>
    <t>Garcia, Robert</t>
  </si>
  <si>
    <t>Barragan, Nanette Diaz</t>
  </si>
  <si>
    <t>Jones, Paul</t>
  </si>
  <si>
    <t>Chen, Jay F.</t>
  </si>
  <si>
    <t>Gonzales, Christopher J.</t>
  </si>
  <si>
    <t>Baugh, Scott</t>
  </si>
  <si>
    <t>Houlahan, Stephen</t>
  </si>
  <si>
    <t>Gustafson, Corey</t>
  </si>
  <si>
    <t>Jacobs, Sara</t>
  </si>
  <si>
    <t>Caplan, Stan</t>
  </si>
  <si>
    <t>Geffeney, Tyler</t>
  </si>
  <si>
    <t>Qualteri, Jennifer</t>
  </si>
  <si>
    <t>Dawson, Marshall</t>
  </si>
  <si>
    <t>Frisch, Adam</t>
  </si>
  <si>
    <t>Monahan, Steven</t>
  </si>
  <si>
    <t>Pettersen, Brittany</t>
  </si>
  <si>
    <t>Aadland, Erik</t>
  </si>
  <si>
    <t>Caraveo, Yadira</t>
  </si>
  <si>
    <t>Kirkmeyer, Barbara</t>
  </si>
  <si>
    <t>Larson, John B.</t>
  </si>
  <si>
    <t>Lazor, Larry</t>
  </si>
  <si>
    <t>Courtney, Joe</t>
  </si>
  <si>
    <t>France, Mike</t>
  </si>
  <si>
    <t>DeNardis, Lesley</t>
  </si>
  <si>
    <t>Logan, George S.</t>
  </si>
  <si>
    <t>Norton, Eleanor H.</t>
  </si>
  <si>
    <t>Jones, Rebekah</t>
  </si>
  <si>
    <t>Hawk, Danielle</t>
  </si>
  <si>
    <t>Green, Karen</t>
  </si>
  <si>
    <t>Mills, Cory</t>
  </si>
  <si>
    <t>Terry, Joanne</t>
  </si>
  <si>
    <t>Moore, Scotty</t>
  </si>
  <si>
    <t>Frost, Maxwell Alejandro</t>
  </si>
  <si>
    <t>Wimbish, Calvin B.</t>
  </si>
  <si>
    <t>Munns, Shante</t>
  </si>
  <si>
    <t>Lynn, Eric</t>
  </si>
  <si>
    <t>Judge, James</t>
  </si>
  <si>
    <t>Cohn, Alan M.</t>
  </si>
  <si>
    <t>Lee, Laurel</t>
  </si>
  <si>
    <t>Schneider, Jan</t>
  </si>
  <si>
    <t>Kale, Andrea Doria</t>
  </si>
  <si>
    <t>Banyai, Cindy</t>
  </si>
  <si>
    <t>Cherfilus-McCormick, Sheila</t>
  </si>
  <si>
    <t>Clark, Drew Montez</t>
  </si>
  <si>
    <t>Balderramos Robinson, Corinna</t>
  </si>
  <si>
    <t>Franzese, Dan</t>
  </si>
  <si>
    <t>Moskowitz, Jared</t>
  </si>
  <si>
    <t>Budd, Joe</t>
  </si>
  <si>
    <t>Navarro, Jesus G.</t>
  </si>
  <si>
    <t>Schultz, Debbie Wasserman</t>
  </si>
  <si>
    <t>Olivo, Christine Alexandria</t>
  </si>
  <si>
    <t>Taddeo, Annette</t>
  </si>
  <si>
    <t>Salazar, Marìa Elvira</t>
  </si>
  <si>
    <t>Asencio, Robert</t>
  </si>
  <si>
    <t>Gimenez, Carlos A.</t>
  </si>
  <si>
    <t>Herring, Wade</t>
  </si>
  <si>
    <t>West, Chris</t>
  </si>
  <si>
    <t>Johnson, Harry C. "Hank," Jr.</t>
  </si>
  <si>
    <t>Chavez, Jonathan</t>
  </si>
  <si>
    <t>Zimm, Christian</t>
  </si>
  <si>
    <t>Christian, Bob</t>
  </si>
  <si>
    <t>Gonsalves, Mark</t>
  </si>
  <si>
    <t>Butler, Darrius</t>
  </si>
  <si>
    <t>Ford, Michael "Mike"</t>
  </si>
  <si>
    <t>Collins, Mike</t>
  </si>
  <si>
    <t>Daza, Antonio</t>
  </si>
  <si>
    <t>Johnson, Elizabeth "Liz"</t>
  </si>
  <si>
    <t>Gonzales, Caesar</t>
  </si>
  <si>
    <t>Flowers, Marcus</t>
  </si>
  <si>
    <t>Won Pat, Judith T.</t>
  </si>
  <si>
    <t>Moylan, James C.</t>
  </si>
  <si>
    <t>Kress, Conrad</t>
  </si>
  <si>
    <t>Tokuda, Jill N.</t>
  </si>
  <si>
    <t>Bohannan, Christina</t>
  </si>
  <si>
    <t>Mathis, Liz</t>
  </si>
  <si>
    <t>Nunn, Zach</t>
  </si>
  <si>
    <t>Melton, Ryan</t>
  </si>
  <si>
    <t>Peterson, Kaylee</t>
  </si>
  <si>
    <t>Norman, Wendy</t>
  </si>
  <si>
    <t>Jackson, Jonathan L.</t>
  </si>
  <si>
    <t>Carlson, Eric</t>
  </si>
  <si>
    <t>Pekau, Keith</t>
  </si>
  <si>
    <t>Dargis, Chris</t>
  </si>
  <si>
    <t>Rice, Maxwell "Max"</t>
  </si>
  <si>
    <t>Severino, Joseph</t>
  </si>
  <si>
    <t>Lauf, Catalina</t>
  </si>
  <si>
    <t>Markel, Homer "Chip"</t>
  </si>
  <si>
    <t>Budzinski, Nikki</t>
  </si>
  <si>
    <t>Deering, Regan</t>
  </si>
  <si>
    <t>Gryder, Scott R.</t>
  </si>
  <si>
    <t>Lange, Paul J.</t>
  </si>
  <si>
    <t>Haderlein, Elizabeth "Lisa"</t>
  </si>
  <si>
    <t>Sorensen, Eric</t>
  </si>
  <si>
    <t>Mrvan, Frank J.</t>
  </si>
  <si>
    <t>Green, Jennifer-Ruth</t>
  </si>
  <si>
    <t>Steury, Paul D.</t>
  </si>
  <si>
    <t>Yakym, Rudolph (Rudy), III  #</t>
  </si>
  <si>
    <t>Snyder, Gary L.</t>
  </si>
  <si>
    <t>Lake, Jeannine Lee</t>
  </si>
  <si>
    <t>Wirth, Cynthia (Cinde)</t>
  </si>
  <si>
    <t>Pence, Greg</t>
  </si>
  <si>
    <t>Grobovsky, Angela</t>
  </si>
  <si>
    <t>McCormick, Ray</t>
  </si>
  <si>
    <t>Buchson, Larry D.</t>
  </si>
  <si>
    <t>Fyfe, Matthew</t>
  </si>
  <si>
    <t>Houchin, Erin</t>
  </si>
  <si>
    <t>Beard, James "Jimmy"</t>
  </si>
  <si>
    <t>Schmidt, Patrick</t>
  </si>
  <si>
    <t>Hernandez, Bob</t>
  </si>
  <si>
    <t>Ausbrooks, Jimmy C.</t>
  </si>
  <si>
    <t>McGarvey, Morgan</t>
  </si>
  <si>
    <t>Ray, Stuart N.</t>
  </si>
  <si>
    <t>Lehman, Matthew</t>
  </si>
  <si>
    <t>Halbleib, Conor</t>
  </si>
  <si>
    <t>Young, Geoffrey M. "Geoff"</t>
  </si>
  <si>
    <t>Darling, Katie</t>
  </si>
  <si>
    <t>Carter, Troy A.</t>
  </si>
  <si>
    <t>Lux, "Dan"</t>
  </si>
  <si>
    <t>Leblanc, Lessie Olivia</t>
  </si>
  <si>
    <t>Dantzler, Oscar "Omar"</t>
  </si>
  <si>
    <t>Letlow, Julia</t>
  </si>
  <si>
    <t>Neal, Richard E.</t>
  </si>
  <si>
    <t>Martilli, Dean James</t>
  </si>
  <si>
    <t>Sossa-Paquette, Jeffrey A.</t>
  </si>
  <si>
    <t>Tran, Dean A.</t>
  </si>
  <si>
    <t>May, Bob</t>
  </si>
  <si>
    <t>Pressley, Ayanna S.</t>
  </si>
  <si>
    <t>Palmer, Donnie Dionicio, Jr.</t>
  </si>
  <si>
    <t>Brown, Jesse G.</t>
  </si>
  <si>
    <t>Mizeur, Heather R.</t>
  </si>
  <si>
    <t>Ambrose, Nicolee</t>
  </si>
  <si>
    <t>Morgan, Yuripzy</t>
  </si>
  <si>
    <t>Hoyer, Steny</t>
  </si>
  <si>
    <t>Mfume, Kweisi</t>
  </si>
  <si>
    <t>Collier, Scott M.</t>
  </si>
  <si>
    <t>Thelander, Edwin</t>
  </si>
  <si>
    <t>Golden, Jared Forrest #</t>
  </si>
  <si>
    <t>Poliquin, Bruce #</t>
  </si>
  <si>
    <t>Lorinser, Bob</t>
  </si>
  <si>
    <t>Gibbs, John</t>
  </si>
  <si>
    <t>Goldberg, Bart</t>
  </si>
  <si>
    <t>Williams, Whittney</t>
  </si>
  <si>
    <t>Barrett, Tom</t>
  </si>
  <si>
    <t>Jaye, Brian</t>
  </si>
  <si>
    <t>Marlinga, Carl J.</t>
  </si>
  <si>
    <t>James, John</t>
  </si>
  <si>
    <t>Ambrose, Mark</t>
  </si>
  <si>
    <t>Elliott, Steven</t>
  </si>
  <si>
    <t>Thanedar, Shri</t>
  </si>
  <si>
    <t>Bivings, Martell D.</t>
  </si>
  <si>
    <t>Ettinger, Jeff</t>
  </si>
  <si>
    <t>Finstad, Brad</t>
  </si>
  <si>
    <t>Weiler, Tom</t>
  </si>
  <si>
    <t>Xiong, May Lor</t>
  </si>
  <si>
    <t>Davis, Cicely</t>
  </si>
  <si>
    <t>Hendricks, Jeanne</t>
  </si>
  <si>
    <t>Abahsain, Jill</t>
  </si>
  <si>
    <t>Schultz, Jen</t>
  </si>
  <si>
    <t>Jones, Andrew</t>
  </si>
  <si>
    <t>Gunby, Trish</t>
  </si>
  <si>
    <t>Mann, Bethany</t>
  </si>
  <si>
    <t>Martin, Henry</t>
  </si>
  <si>
    <t>Radaker-Sheafer, Kristen</t>
  </si>
  <si>
    <t>Burlison, Eric</t>
  </si>
  <si>
    <t>McCallian, Randi</t>
  </si>
  <si>
    <t>Black, Dianne</t>
  </si>
  <si>
    <t>Young, Shuwaski A.</t>
  </si>
  <si>
    <t>Guest, Michael</t>
  </si>
  <si>
    <t>DuPree, Johnny L.</t>
  </si>
  <si>
    <t>Ezell, Mike</t>
  </si>
  <si>
    <t>Tranel, Monica</t>
  </si>
  <si>
    <t>Zinke, Ryan K.</t>
  </si>
  <si>
    <t>Ronning, Penny</t>
  </si>
  <si>
    <t>Davis, Don</t>
  </si>
  <si>
    <t>Villaverde, Christine E.</t>
  </si>
  <si>
    <t>Gaskins, Barbara D.</t>
  </si>
  <si>
    <t>Murphy, Greg</t>
  </si>
  <si>
    <t>Foushee, Valerie P.</t>
  </si>
  <si>
    <t>Geels, Courtney</t>
  </si>
  <si>
    <t>Parrish, Kyle</t>
  </si>
  <si>
    <t>Castelli, Christian</t>
  </si>
  <si>
    <t>Graham, Charles</t>
  </si>
  <si>
    <t>Clark, Ben</t>
  </si>
  <si>
    <t>Genant, Pam</t>
  </si>
  <si>
    <t>Beach-Ferrara, Jasmine</t>
  </si>
  <si>
    <t>Edwards, Chuck</t>
  </si>
  <si>
    <t>Adams, Alma S.</t>
  </si>
  <si>
    <t>Lee, Tyler</t>
  </si>
  <si>
    <t>Nickel, Wiley</t>
  </si>
  <si>
    <t>Hines, Bo</t>
  </si>
  <si>
    <t>Jackson, Jeff</t>
  </si>
  <si>
    <t>Harrigan, Pat</t>
  </si>
  <si>
    <t>Brooks, Patty Pansing</t>
  </si>
  <si>
    <t>Flood, Mike</t>
  </si>
  <si>
    <t>Vargas, Tony</t>
  </si>
  <si>
    <t>Else, David J.</t>
  </si>
  <si>
    <t>Leavitt, Karoline</t>
  </si>
  <si>
    <t>Burns, Robert</t>
  </si>
  <si>
    <t>Norcoss, Donald W.</t>
  </si>
  <si>
    <t>Gustafson, Claire</t>
  </si>
  <si>
    <t>Alexander, Tim</t>
  </si>
  <si>
    <t>Healey, Bob</t>
  </si>
  <si>
    <t>Jenkins, Matthew</t>
  </si>
  <si>
    <t>Pallota, Frank T.</t>
  </si>
  <si>
    <t>Kiley, Susan M.</t>
  </si>
  <si>
    <t>Menendez, Robert J.</t>
  </si>
  <si>
    <t>Arroyo, Marcos</t>
  </si>
  <si>
    <t>Pinckney, David H.</t>
  </si>
  <si>
    <t>Sherril, Mikie</t>
  </si>
  <si>
    <t>DeGroot, Paul</t>
  </si>
  <si>
    <t>Mayfield, Darius</t>
  </si>
  <si>
    <t>Stansbury, Melanie Ann</t>
  </si>
  <si>
    <t>Vasquez, Gabriel</t>
  </si>
  <si>
    <t>Johnson, Alexis Martinez</t>
  </si>
  <si>
    <t>Titus, Dina</t>
  </si>
  <si>
    <t>Robertson, Mark</t>
  </si>
  <si>
    <t>Krause, Elizabeth Mercedes</t>
  </si>
  <si>
    <t>Becker, April</t>
  </si>
  <si>
    <t>Peters, Sam</t>
  </si>
  <si>
    <t>Fleming, Bridget</t>
  </si>
  <si>
    <t>LaLota, Nicholas J.</t>
  </si>
  <si>
    <t>Zimmerman, Robert P.</t>
  </si>
  <si>
    <t>Gillen, Laura A.</t>
  </si>
  <si>
    <t>D'Esposito, Anthony P.</t>
  </si>
  <si>
    <t>Meeks, Gregory W.</t>
  </si>
  <si>
    <t>King, Paul</t>
  </si>
  <si>
    <t>Pagan, Juan</t>
  </si>
  <si>
    <t>Dashevsky, Yuri</t>
  </si>
  <si>
    <t>Goldman, Daniel</t>
  </si>
  <si>
    <t>Hamdan, Benine A.</t>
  </si>
  <si>
    <t>Zumbluskas, Michael K.</t>
  </si>
  <si>
    <t>Forte, Tina</t>
  </si>
  <si>
    <t>Sapaskis, Stylo A.</t>
  </si>
  <si>
    <t>Lawler, Michael V.</t>
  </si>
  <si>
    <t>Ryan, Pat</t>
  </si>
  <si>
    <t>Schmitt, Colin J.</t>
  </si>
  <si>
    <t>Riley, Josh</t>
  </si>
  <si>
    <t>Molinaro, Marcus</t>
  </si>
  <si>
    <t>Castelli, Matt</t>
  </si>
  <si>
    <t>Conole, Francis</t>
  </si>
  <si>
    <t>Williams, Brandon M.</t>
  </si>
  <si>
    <t>Della Pia, Max H.</t>
  </si>
  <si>
    <t>Langworthy, Nick</t>
  </si>
  <si>
    <t>Holden, Steven</t>
  </si>
  <si>
    <t>Singletary, La'Ron D.</t>
  </si>
  <si>
    <t>Higgins, Brian</t>
  </si>
  <si>
    <t>Sams, Steven L., II</t>
  </si>
  <si>
    <t>Landsman, Greg</t>
  </si>
  <si>
    <t>Meadows, Samantha</t>
  </si>
  <si>
    <t>Wilson, Tamie</t>
  </si>
  <si>
    <t>Swartz, Craig</t>
  </si>
  <si>
    <t>Lyras, Louis G.</t>
  </si>
  <si>
    <t>Diemer, Matthew</t>
  </si>
  <si>
    <t>Miller, Max</t>
  </si>
  <si>
    <t>Majewski, J. R.</t>
  </si>
  <si>
    <t>Esrati, David</t>
  </si>
  <si>
    <t>Brown, Shontel</t>
  </si>
  <si>
    <t>Brewer, Eric J.</t>
  </si>
  <si>
    <t>Sykes, Emilia</t>
  </si>
  <si>
    <t>Gilbert, Madison Gesiotto</t>
  </si>
  <si>
    <t>Kilboy, Matt</t>
  </si>
  <si>
    <t>Josephson, Gary</t>
  </si>
  <si>
    <t>Carey, Mike</t>
  </si>
  <si>
    <t>Martin, Adam</t>
  </si>
  <si>
    <t>Andrews, Naomi</t>
  </si>
  <si>
    <t>Brecheen, Josh</t>
  </si>
  <si>
    <t>Harris-Till, Joshua</t>
  </si>
  <si>
    <t>Yetter, Joe</t>
  </si>
  <si>
    <t>Bentz, Cliff S.</t>
  </si>
  <si>
    <t>Blumenauer, Earl</t>
  </si>
  <si>
    <t>Harbour, Joanna</t>
  </si>
  <si>
    <t>Ehasz, Ashley</t>
  </si>
  <si>
    <t>Bashir, Aaron</t>
  </si>
  <si>
    <t>Nascimento, Christian</t>
  </si>
  <si>
    <t>Galluch, David</t>
  </si>
  <si>
    <t>Ciarrocchi, Guy</t>
  </si>
  <si>
    <t>Waldman, Amanda R.</t>
  </si>
  <si>
    <t>Daniels, Shamaine</t>
  </si>
  <si>
    <t>Hollister, Bob</t>
  </si>
  <si>
    <t>Lee, Summer</t>
  </si>
  <si>
    <t>Pastore, Dan</t>
  </si>
  <si>
    <t>Deluzio, Chris</t>
  </si>
  <si>
    <t>Shaffer, Jeremy</t>
  </si>
  <si>
    <t>Cicilline, David N.</t>
  </si>
  <si>
    <t>Waters, Allen R.</t>
  </si>
  <si>
    <t>Magaziner, Seth M.</t>
  </si>
  <si>
    <t>Fung, Allan W.</t>
  </si>
  <si>
    <t>Andrews, Annie</t>
  </si>
  <si>
    <t>Larkins, Judd</t>
  </si>
  <si>
    <t>Hundley, Evangeline</t>
  </si>
  <si>
    <t>Buckner, Duke</t>
  </si>
  <si>
    <t>Parsons, Cameron</t>
  </si>
  <si>
    <t>Harshbarger, Diana Lynn</t>
  </si>
  <si>
    <t>Harmon, Mark</t>
  </si>
  <si>
    <t>Steele, Wayne</t>
  </si>
  <si>
    <t>Campbell, Heidi</t>
  </si>
  <si>
    <t>Ogles, Andy</t>
  </si>
  <si>
    <t>Cooper, Randal</t>
  </si>
  <si>
    <t>Williams, Lynnette P.</t>
  </si>
  <si>
    <t>Jefferson, Jrmar (JJ)</t>
  </si>
  <si>
    <t>Moran, Nathaniel</t>
  </si>
  <si>
    <t>Fulford, Robin</t>
  </si>
  <si>
    <t>Omere, Iro</t>
  </si>
  <si>
    <t>Fallon, Pat</t>
  </si>
  <si>
    <t>Hill, Tartisha</t>
  </si>
  <si>
    <t>Jones, Laura</t>
  </si>
  <si>
    <t>Luttrell, Morgan</t>
  </si>
  <si>
    <t>Leon, Jimmy I.</t>
  </si>
  <si>
    <t>Hunt, Trey J.</t>
  </si>
  <si>
    <t>Brown, Kathleen</t>
  </si>
  <si>
    <t>Williams, Mikal</t>
  </si>
  <si>
    <t>Vallejo, Michelle</t>
  </si>
  <si>
    <t>De La Cruz, Monica</t>
  </si>
  <si>
    <t>Jackson, Irene Armendariz</t>
  </si>
  <si>
    <t>Lee, Sheila Jackson</t>
  </si>
  <si>
    <t>Montiel, Carmen Maria</t>
  </si>
  <si>
    <t>Sinclair, Kyle</t>
  </si>
  <si>
    <t>Zapata, Claudia Andreana</t>
  </si>
  <si>
    <t>Lira, John</t>
  </si>
  <si>
    <t>Gonzalez, Tony</t>
  </si>
  <si>
    <t>Perez, Maclovio, Jr.</t>
  </si>
  <si>
    <t>Garcia, Cassy</t>
  </si>
  <si>
    <t>Crockett, Jasmine</t>
  </si>
  <si>
    <t>Rodgers, James</t>
  </si>
  <si>
    <t>Swad, Antonio</t>
  </si>
  <si>
    <t>Flores, Mayra</t>
  </si>
  <si>
    <t>Haire, Jon</t>
  </si>
  <si>
    <t>Klussmann, Duncan F.</t>
  </si>
  <si>
    <t>Wright, Glenn J.</t>
  </si>
  <si>
    <t>Jones, Herbert C. "Herb," Jr.</t>
  </si>
  <si>
    <t>Wittman, Rob J.</t>
  </si>
  <si>
    <t>Kiggans, Jen A.</t>
  </si>
  <si>
    <t>Namkung, Terry T.</t>
  </si>
  <si>
    <t>Throneburg, Joshua M.</t>
  </si>
  <si>
    <t>Vega, Yesli I.</t>
  </si>
  <si>
    <t>Lipsman, Karina A.</t>
  </si>
  <si>
    <t>DeVaughan, Taysha Lee</t>
  </si>
  <si>
    <t>Cao, Hung</t>
  </si>
  <si>
    <t>Myles, James G. "Jim"</t>
  </si>
  <si>
    <t>Balint, Becca</t>
  </si>
  <si>
    <t>Madden, Liam</t>
  </si>
  <si>
    <t>Cavaleri, Vincent J.</t>
  </si>
  <si>
    <t>Matthews, Dan</t>
  </si>
  <si>
    <t>Perez, Marie Gluesenkamp</t>
  </si>
  <si>
    <t>Kent, Joe</t>
  </si>
  <si>
    <t>White, Doug</t>
  </si>
  <si>
    <t>Hill, Natasha</t>
  </si>
  <si>
    <t>McMorris Rodgers, Cathy</t>
  </si>
  <si>
    <t>Moon, Cliff</t>
  </si>
  <si>
    <t>Larkin, Matt</t>
  </si>
  <si>
    <t>Strickland, Marilyn</t>
  </si>
  <si>
    <t>Swank, Keith R.</t>
  </si>
  <si>
    <t>Roe, Ann</t>
  </si>
  <si>
    <t>Olsen, Erik</t>
  </si>
  <si>
    <t>Pfaff, Brad</t>
  </si>
  <si>
    <t>Orden, Derrick Van</t>
  </si>
  <si>
    <t>Moore, Gwen</t>
  </si>
  <si>
    <t>Van Someren, Mike</t>
  </si>
  <si>
    <t>Ausman, Richard Dick</t>
  </si>
  <si>
    <t>Wendell, Barry Lee</t>
  </si>
  <si>
    <t>Mooney, Alexander X.</t>
  </si>
  <si>
    <t>GreyBull, Lynnette</t>
  </si>
  <si>
    <t>Hageman, Harriett</t>
  </si>
  <si>
    <t>PA Dept. of State precinct returns; FEC filings</t>
  </si>
  <si>
    <t>Boyle, Brendan</t>
  </si>
  <si>
    <t>Bashir, Haroon</t>
  </si>
  <si>
    <t>Devaughn-Goodwin, Alfeia</t>
  </si>
  <si>
    <t>Houlahan, Christina</t>
  </si>
  <si>
    <t>Young, Neil</t>
  </si>
  <si>
    <t>Mackenzie, Ryan</t>
  </si>
  <si>
    <t>Cartwright, Matthew</t>
  </si>
  <si>
    <t>Bresnahan, Robert</t>
  </si>
  <si>
    <t>Waldman, Amanda</t>
  </si>
  <si>
    <t>Meuser, Daniel</t>
  </si>
  <si>
    <t>Stelson, Janelle</t>
  </si>
  <si>
    <t>Atkinson, James</t>
  </si>
  <si>
    <t>Smucker, Lloyd</t>
  </si>
  <si>
    <t>Hayes, James</t>
  </si>
  <si>
    <t>Farnham, Elizabeth</t>
  </si>
  <si>
    <t>Dziados, Christopher</t>
  </si>
  <si>
    <t>Womer, Zacheray</t>
  </si>
  <si>
    <t>Thompson, Glenn</t>
  </si>
  <si>
    <t>Nouri, Preston</t>
  </si>
  <si>
    <t>Kelly, George</t>
  </si>
  <si>
    <t>Deluzio, Christopher</t>
  </si>
  <si>
    <t>Mercuri, Robert</t>
  </si>
  <si>
    <t>Two beta coefficients: national (1,099 races) and PA-07-specific (4 elections)</t>
  </si>
  <si>
    <t>National</t>
  </si>
  <si>
    <t>PA-07</t>
  </si>
  <si>
    <t>Beta (Dem money share coefficient)</t>
  </si>
  <si>
    <t>Gamma (incumbency coefficient)</t>
  </si>
  <si>
    <t>Intercept</t>
  </si>
  <si>
    <t>Sample</t>
  </si>
  <si>
    <t>1,099 contested U.S. House races, 2018/2020/2022 (your uploaded workbook's training set)</t>
  </si>
  <si>
    <t>4 PA-07 general elections, 2018-2024 (this workbook)</t>
  </si>
  <si>
    <t>Money definition</t>
  </si>
  <si>
    <t>Candidate committee spending + outside spending for the Dem / against the Rep (your workbook's definition)</t>
  </si>
  <si>
    <t>Candidate committee spending only -- outside/PAC spending not separately gathered for PA-07 (see note below)</t>
  </si>
  <si>
    <t>Statistical validity</t>
  </si>
  <si>
    <t>n=1,099, real inference (your workbook reports SE, t-stat, p-value, R²)</t>
  </si>
  <si>
    <t>n=4, 2 degrees of freedom -- not a valid inferential estimate, see note below</t>
  </si>
  <si>
    <t>PA-07 data (candidate-committee spending only)</t>
  </si>
  <si>
    <t>Dem $ (blended '18/'20)</t>
  </si>
  <si>
    <t>Rep $ (blended '18/'20)</t>
  </si>
  <si>
    <t>Total $</t>
  </si>
  <si>
    <t>Dem money share</t>
  </si>
  <si>
    <t>2018: Blend: 90.57% old-PA07 (Wild $3,294,280 + Nothstein $958,874, FEC cycle totals) / 9.43% old-PA09 (Meuser $2,237,302 + Wolff $1,589,287). Weights = each area's exact share of 2018 real House votes.</t>
  </si>
  <si>
    <t>2020: Blend: 90.54%/9.46%, same method. Old-PA07: Wild $4,591,501 + Scheller $3,661,738. Old-PA09: Meuser $945,604 + Wegman (~$75,000 assumed, not found in available sources).</t>
  </si>
  <si>
    <t>2022: No blending -- single race. Wild $7,027,026 (FEC cycle total). Scheller ~$4,301,277 reconstructed from ProPublica FEC-mirror period filings -- least reliable figure here.</t>
  </si>
  <si>
    <t>2024: No blending. Wild $7,540,355, Mackenzie $1,229,151, both Oct. 16, 2024 pre-general FEC reports. NOTE: your national workbook's own PA-07 2024 row uses $23,477,453 / $13,473,092 -- it includes outside spending, which this candidate-only figure does not. See note below the table.</t>
  </si>
  <si>
    <t>PA-07's own beta (this table, OLS, n=4)</t>
  </si>
  <si>
    <t>A discovery worth flagging</t>
  </si>
  <si>
    <t>Your national workbook's own 15-race Pennsylvania 2024 holdout set includes PA-07 (row for Wild vs. Mackenzie) -- and it defines Democratic/Republican money as candidate committee spending PLUS outside spending, giving $23,477,453 (D) / $13,473,092 (R) for that race, a Dem money share of 63.5%. The PA-07 table above, using FEC candidate-committee totals only (no outside spending gathered), gives $7,540,355 (D) / $1,229,151 (R) for the same race -- an 86.0% Dem money share. Same election, two different numbers, because they're measuring different things. The PA-07 beta above uses the narrower (candidate-only) definition throughout for consistency across all 4 cycles, since outside-spending totals for 2018/2020/2022 weren't gathered here. That means the PA-07 beta and the national beta aren't a fully apples-to-apples comparison -- flagging it rather than quietly reconciling it, since fixing it properly would mean re-collecting outside-spending totals for all four PA-07 cycles, which hasn't been done.</t>
  </si>
  <si>
    <t>Using YOUR workbook's own money definition for PA-07 2024 as a spot check</t>
  </si>
  <si>
    <t>Definition</t>
  </si>
  <si>
    <t>National-model predicted</t>
  </si>
  <si>
    <t>Actual</t>
  </si>
  <si>
    <t>Error (pts)</t>
  </si>
  <si>
    <t>Candidate-committee only (this workbook)</t>
  </si>
  <si>
    <t>Candidate + outside spending (your workbook's own PA-07 2024 row)</t>
  </si>
  <si>
    <t>Even with the fuller (candidate+outside) money share, the national model still overpredicts PA-07 2024 -- by 9.0 points instead of 16.4. The gap shrinks a lot, but doesn't close, once outside spending is counted properly. That's a real result, not an artifact of which money definition was used.</t>
  </si>
  <si>
    <t>Regression chart: national fit vs. PA-07 fit</t>
  </si>
  <si>
    <t>PA-07 intercept (OLS, n=4)</t>
  </si>
  <si>
    <t>Chart helper: fitted-line endpoints (National line assumes a Democratic incumbent, gamma x 1, matching PA-07's typical case)</t>
  </si>
  <si>
    <t>Dem money share (x)</t>
  </si>
  <si>
    <t>National fitted vote share</t>
  </si>
  <si>
    <t>PA-07 fitted vote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</si>
</sst>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0"/>
  </numFmts>
  <fonts count="8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3"/>
      <name val="Arial"/>
      <charset val="1"/>
    </font>
    <font>
      <sz val="9"/>
      <name val="Arial"/>
      <charset val="1"/>
    </font>
    <font>
      <i/>
      <sz val="9"/>
      <name val="Arial"/>
      <charset val="1"/>
    </font>
    <font>
      <b/>
      <sz val="9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0" borderId="0" xfId="0" applyFont="1"/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1" fillId="0" borderId="0" xfId="0" applyFont="1"/>
    <xf numFmtId="10" fontId="1" fillId="0" borderId="0" xfId="0" applyNumberFormat="1" applyFont="1"/>
    <xf numFmtId="166" fontId="2" fillId="0" borderId="0" xfId="0" applyNumberFormat="1" applyFont="1"/>
    <xf numFmtId="0" fontId="3" fillId="0" borderId="0" xfId="0" applyFont="1"/>
    <xf numFmtId="166" fontId="4" fillId="0" borderId="0" xfId="0" applyNumberFormat="1" applyFont="1"/>
    <xf numFmtId="0" fontId="5" fillId="0" borderId="0" xfId="0" applyFont="1" applyAlignment="1">
      <alignment vertical="top" wrapText="1"/>
    </xf>
    <xf numFmtId="166" fontId="1" fillId="0" borderId="0" xfId="0" applyNumberFormat="1" applyFont="1"/>
    <xf numFmtId="0" fontId="7" fillId="0" borderId="0" xfId="0" applyFont="1"/>
    <xf numFmtId="0" fontId="5" fillId="0" borderId="0" xfId="0" applyFont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Democratic money share vs. Democratic vote share: national fit vs. PA-07 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National races (n=1,099)</c:v>
          </c:tx>
          <c:spPr>
            <a:ln w="28440">
              <a:noFill/>
            </a:ln>
          </c:spPr>
          <c:marker>
            <c:symbol val="circle"/>
            <c:size val="4"/>
            <c:spPr>
              <a:solidFill>
                <a:srgbClr val="D9D9D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'National Races Data'!$K$4:$K$1102</c:f>
              <c:numCache>
                <c:formatCode>0.0000</c:formatCode>
                <c:ptCount val="1099"/>
                <c:pt idx="0">
                  <c:v>0.167290933802167</c:v>
                </c:pt>
                <c:pt idx="1">
                  <c:v>0.165822098659995</c:v>
                </c:pt>
                <c:pt idx="2">
                  <c:v>0.25624135965879302</c:v>
                </c:pt>
                <c:pt idx="3">
                  <c:v>5.6871750312102301E-2</c:v>
                </c:pt>
                <c:pt idx="4">
                  <c:v>0.22603879306499</c:v>
                </c:pt>
                <c:pt idx="5">
                  <c:v>0.16116173731956501</c:v>
                </c:pt>
                <c:pt idx="6">
                  <c:v>0.12425889215710199</c:v>
                </c:pt>
                <c:pt idx="7">
                  <c:v>0.42999375767505799</c:v>
                </c:pt>
                <c:pt idx="8">
                  <c:v>0.17963334925848301</c:v>
                </c:pt>
                <c:pt idx="9">
                  <c:v>0.10729946509656001</c:v>
                </c:pt>
                <c:pt idx="10">
                  <c:v>0</c:v>
                </c:pt>
                <c:pt idx="11">
                  <c:v>0.71615963485928602</c:v>
                </c:pt>
                <c:pt idx="12">
                  <c:v>0.81264276133953095</c:v>
                </c:pt>
                <c:pt idx="13">
                  <c:v>0.91365152091888802</c:v>
                </c:pt>
                <c:pt idx="14">
                  <c:v>0.50660332792435303</c:v>
                </c:pt>
                <c:pt idx="15">
                  <c:v>0.267382531231526</c:v>
                </c:pt>
                <c:pt idx="16">
                  <c:v>0.18731809415777601</c:v>
                </c:pt>
                <c:pt idx="17">
                  <c:v>0.58083824018556496</c:v>
                </c:pt>
                <c:pt idx="18">
                  <c:v>0.49875442583080698</c:v>
                </c:pt>
                <c:pt idx="19">
                  <c:v>0.51486673921866799</c:v>
                </c:pt>
                <c:pt idx="20">
                  <c:v>0.99492767566655804</c:v>
                </c:pt>
                <c:pt idx="21">
                  <c:v>0.96866316337312797</c:v>
                </c:pt>
                <c:pt idx="22">
                  <c:v>0.71772161850610605</c:v>
                </c:pt>
                <c:pt idx="23">
                  <c:v>0.76358027338727896</c:v>
                </c:pt>
                <c:pt idx="24">
                  <c:v>0.92954627691676395</c:v>
                </c:pt>
                <c:pt idx="25">
                  <c:v>0.45370456284470101</c:v>
                </c:pt>
                <c:pt idx="26">
                  <c:v>0.72243035764065999</c:v>
                </c:pt>
                <c:pt idx="27">
                  <c:v>1</c:v>
                </c:pt>
                <c:pt idx="28">
                  <c:v>0.97745085058597503</c:v>
                </c:pt>
                <c:pt idx="29">
                  <c:v>0.65181631754000202</c:v>
                </c:pt>
                <c:pt idx="30">
                  <c:v>0.99813678350788304</c:v>
                </c:pt>
                <c:pt idx="31">
                  <c:v>0.53885795205590303</c:v>
                </c:pt>
                <c:pt idx="32">
                  <c:v>0.46559403545543898</c:v>
                </c:pt>
                <c:pt idx="33">
                  <c:v>1.3658810319961599E-2</c:v>
                </c:pt>
                <c:pt idx="34">
                  <c:v>0.56960709402438903</c:v>
                </c:pt>
                <c:pt idx="35">
                  <c:v>0.66017913877109702</c:v>
                </c:pt>
                <c:pt idx="36">
                  <c:v>0.83801062974726903</c:v>
                </c:pt>
                <c:pt idx="37">
                  <c:v>0.99017316694495605</c:v>
                </c:pt>
                <c:pt idx="38">
                  <c:v>0.99432124849991499</c:v>
                </c:pt>
                <c:pt idx="39">
                  <c:v>0.64218190618043403</c:v>
                </c:pt>
                <c:pt idx="40">
                  <c:v>0.857870686294676</c:v>
                </c:pt>
                <c:pt idx="41">
                  <c:v>0.98708814392644195</c:v>
                </c:pt>
                <c:pt idx="42">
                  <c:v>0.74694013328387199</c:v>
                </c:pt>
                <c:pt idx="43">
                  <c:v>0.98779583195426002</c:v>
                </c:pt>
                <c:pt idx="44">
                  <c:v>0.675064171218553</c:v>
                </c:pt>
                <c:pt idx="45">
                  <c:v>0.96202368112160896</c:v>
                </c:pt>
                <c:pt idx="46">
                  <c:v>8.8376726114588799E-2</c:v>
                </c:pt>
                <c:pt idx="47">
                  <c:v>0.40277168220361897</c:v>
                </c:pt>
                <c:pt idx="48">
                  <c:v>0.56663851991288605</c:v>
                </c:pt>
                <c:pt idx="49">
                  <c:v>0.92952764674413701</c:v>
                </c:pt>
                <c:pt idx="50">
                  <c:v>0.73624533279899196</c:v>
                </c:pt>
                <c:pt idx="51">
                  <c:v>0.83055935441058204</c:v>
                </c:pt>
                <c:pt idx="52">
                  <c:v>0.71432241201524205</c:v>
                </c:pt>
                <c:pt idx="53">
                  <c:v>0.92630863967251598</c:v>
                </c:pt>
                <c:pt idx="54">
                  <c:v>0.84709774174567698</c:v>
                </c:pt>
                <c:pt idx="55">
                  <c:v>0.83135619273973305</c:v>
                </c:pt>
                <c:pt idx="56">
                  <c:v>0.971447524210312</c:v>
                </c:pt>
                <c:pt idx="57">
                  <c:v>0.94039960240932896</c:v>
                </c:pt>
                <c:pt idx="58">
                  <c:v>0.53484704731101196</c:v>
                </c:pt>
                <c:pt idx="59">
                  <c:v>0.59062123229477603</c:v>
                </c:pt>
                <c:pt idx="60">
                  <c:v>0.335961794140749</c:v>
                </c:pt>
                <c:pt idx="61">
                  <c:v>0.62612539796384503</c:v>
                </c:pt>
                <c:pt idx="62">
                  <c:v>0.96378066182134803</c:v>
                </c:pt>
                <c:pt idx="63">
                  <c:v>0.69332565328969198</c:v>
                </c:pt>
                <c:pt idx="64">
                  <c:v>0.94787774729254104</c:v>
                </c:pt>
                <c:pt idx="65">
                  <c:v>0.98305266915169198</c:v>
                </c:pt>
                <c:pt idx="66">
                  <c:v>5.6130545140587199E-2</c:v>
                </c:pt>
                <c:pt idx="67">
                  <c:v>0.20427742339934199</c:v>
                </c:pt>
                <c:pt idx="68">
                  <c:v>9.5300879236915298E-2</c:v>
                </c:pt>
                <c:pt idx="69">
                  <c:v>0.17703240309403301</c:v>
                </c:pt>
                <c:pt idx="70">
                  <c:v>0.94727265446977105</c:v>
                </c:pt>
                <c:pt idx="71">
                  <c:v>0.53370913043624002</c:v>
                </c:pt>
                <c:pt idx="72">
                  <c:v>0.790728058787593</c:v>
                </c:pt>
                <c:pt idx="73">
                  <c:v>0.23697176391011099</c:v>
                </c:pt>
                <c:pt idx="74">
                  <c:v>0.96177673102762196</c:v>
                </c:pt>
                <c:pt idx="75">
                  <c:v>0.14276620477706001</c:v>
                </c:pt>
                <c:pt idx="76">
                  <c:v>0.27512299963484399</c:v>
                </c:pt>
                <c:pt idx="77">
                  <c:v>0.97680250244282096</c:v>
                </c:pt>
                <c:pt idx="78">
                  <c:v>0.45416771627639602</c:v>
                </c:pt>
                <c:pt idx="79">
                  <c:v>0.45389672410274401</c:v>
                </c:pt>
                <c:pt idx="80">
                  <c:v>0.111104506045445</c:v>
                </c:pt>
                <c:pt idx="81">
                  <c:v>0.42825589919199603</c:v>
                </c:pt>
                <c:pt idx="82">
                  <c:v>0.31418828256366299</c:v>
                </c:pt>
                <c:pt idx="83">
                  <c:v>0.86277887322442004</c:v>
                </c:pt>
                <c:pt idx="84">
                  <c:v>0.80639877796368997</c:v>
                </c:pt>
                <c:pt idx="85">
                  <c:v>0.49234758835429898</c:v>
                </c:pt>
                <c:pt idx="86">
                  <c:v>0.50542361686701198</c:v>
                </c:pt>
                <c:pt idx="87">
                  <c:v>0.62389710304475499</c:v>
                </c:pt>
                <c:pt idx="88">
                  <c:v>0.123876427433579</c:v>
                </c:pt>
                <c:pt idx="89">
                  <c:v>0.98607990561645897</c:v>
                </c:pt>
                <c:pt idx="90">
                  <c:v>4.5467310849106199E-2</c:v>
                </c:pt>
                <c:pt idx="91">
                  <c:v>0.86109260380757202</c:v>
                </c:pt>
                <c:pt idx="92">
                  <c:v>0.49977829910716998</c:v>
                </c:pt>
                <c:pt idx="93">
                  <c:v>0.71970170165139902</c:v>
                </c:pt>
                <c:pt idx="94">
                  <c:v>0.113059728462967</c:v>
                </c:pt>
                <c:pt idx="95">
                  <c:v>3.751269506807E-2</c:v>
                </c:pt>
                <c:pt idx="96">
                  <c:v>6.7368672760377807E-2</c:v>
                </c:pt>
                <c:pt idx="97">
                  <c:v>0.197717917858686</c:v>
                </c:pt>
                <c:pt idx="98">
                  <c:v>0.98318454292448598</c:v>
                </c:pt>
                <c:pt idx="99">
                  <c:v>7.8706645982957197E-3</c:v>
                </c:pt>
                <c:pt idx="100">
                  <c:v>0.40264253209380302</c:v>
                </c:pt>
                <c:pt idx="101">
                  <c:v>0.75651150762419594</c:v>
                </c:pt>
                <c:pt idx="102">
                  <c:v>1</c:v>
                </c:pt>
                <c:pt idx="103">
                  <c:v>0.62668051528862301</c:v>
                </c:pt>
                <c:pt idx="104">
                  <c:v>0.73407663429828396</c:v>
                </c:pt>
                <c:pt idx="105">
                  <c:v>0.58179711397379597</c:v>
                </c:pt>
                <c:pt idx="106">
                  <c:v>0.794144084611072</c:v>
                </c:pt>
                <c:pt idx="107">
                  <c:v>1.48220408385E-2</c:v>
                </c:pt>
                <c:pt idx="108">
                  <c:v>0.113073263985145</c:v>
                </c:pt>
                <c:pt idx="109">
                  <c:v>1</c:v>
                </c:pt>
                <c:pt idx="110">
                  <c:v>1</c:v>
                </c:pt>
                <c:pt idx="111">
                  <c:v>0.99067584819712995</c:v>
                </c:pt>
                <c:pt idx="112">
                  <c:v>1</c:v>
                </c:pt>
                <c:pt idx="113">
                  <c:v>0.52602080633234904</c:v>
                </c:pt>
                <c:pt idx="114">
                  <c:v>1</c:v>
                </c:pt>
                <c:pt idx="115">
                  <c:v>0.974282416715052</c:v>
                </c:pt>
                <c:pt idx="116">
                  <c:v>0.95196631610789095</c:v>
                </c:pt>
                <c:pt idx="117">
                  <c:v>0.92134634037280305</c:v>
                </c:pt>
                <c:pt idx="118">
                  <c:v>0.85848820569760098</c:v>
                </c:pt>
                <c:pt idx="119">
                  <c:v>0.49873302063740199</c:v>
                </c:pt>
                <c:pt idx="120">
                  <c:v>0.62228171847923197</c:v>
                </c:pt>
                <c:pt idx="121">
                  <c:v>0.74526204359388903</c:v>
                </c:pt>
                <c:pt idx="122">
                  <c:v>2.87191076446272E-2</c:v>
                </c:pt>
                <c:pt idx="123">
                  <c:v>0.143626147447761</c:v>
                </c:pt>
                <c:pt idx="124">
                  <c:v>0.99053808425484502</c:v>
                </c:pt>
                <c:pt idx="125">
                  <c:v>5.67922473289744E-2</c:v>
                </c:pt>
                <c:pt idx="126">
                  <c:v>0.58991934450222805</c:v>
                </c:pt>
                <c:pt idx="127">
                  <c:v>0.42675297485631902</c:v>
                </c:pt>
                <c:pt idx="128">
                  <c:v>0.22899425224659201</c:v>
                </c:pt>
                <c:pt idx="129">
                  <c:v>8.1363579210111794E-2</c:v>
                </c:pt>
                <c:pt idx="130">
                  <c:v>0.99964304401417903</c:v>
                </c:pt>
                <c:pt idx="131">
                  <c:v>0.178282877193601</c:v>
                </c:pt>
                <c:pt idx="132">
                  <c:v>0.64429853922656799</c:v>
                </c:pt>
                <c:pt idx="133">
                  <c:v>0.31768658890727602</c:v>
                </c:pt>
                <c:pt idx="134">
                  <c:v>0.57801051279801796</c:v>
                </c:pt>
                <c:pt idx="135">
                  <c:v>0.542557252967662</c:v>
                </c:pt>
                <c:pt idx="136">
                  <c:v>0.45679368622391903</c:v>
                </c:pt>
                <c:pt idx="137">
                  <c:v>7.5450085996635802E-2</c:v>
                </c:pt>
                <c:pt idx="138">
                  <c:v>9.1241043874661407E-2</c:v>
                </c:pt>
                <c:pt idx="139">
                  <c:v>0.62053064743753195</c:v>
                </c:pt>
                <c:pt idx="140">
                  <c:v>0.10166577679325101</c:v>
                </c:pt>
                <c:pt idx="141">
                  <c:v>3.1190999114954401E-3</c:v>
                </c:pt>
                <c:pt idx="142">
                  <c:v>0.73794461434661296</c:v>
                </c:pt>
                <c:pt idx="143">
                  <c:v>2.1848213649556001E-2</c:v>
                </c:pt>
                <c:pt idx="144">
                  <c:v>0.22961154030514</c:v>
                </c:pt>
                <c:pt idx="145">
                  <c:v>2.6207786243330099E-2</c:v>
                </c:pt>
                <c:pt idx="146">
                  <c:v>2.0687953090192199E-2</c:v>
                </c:pt>
                <c:pt idx="147">
                  <c:v>1.7200177743333801E-2</c:v>
                </c:pt>
                <c:pt idx="148">
                  <c:v>0.972759431213851</c:v>
                </c:pt>
                <c:pt idx="149">
                  <c:v>0.72525139154455298</c:v>
                </c:pt>
                <c:pt idx="150">
                  <c:v>1</c:v>
                </c:pt>
                <c:pt idx="151">
                  <c:v>0.91072905703257701</c:v>
                </c:pt>
                <c:pt idx="152">
                  <c:v>0.39947953529411201</c:v>
                </c:pt>
                <c:pt idx="153">
                  <c:v>0.490502069627204</c:v>
                </c:pt>
                <c:pt idx="154">
                  <c:v>0.96294667479714002</c:v>
                </c:pt>
                <c:pt idx="155">
                  <c:v>1</c:v>
                </c:pt>
                <c:pt idx="156">
                  <c:v>0.89573323944924699</c:v>
                </c:pt>
                <c:pt idx="157">
                  <c:v>0.98487618055087101</c:v>
                </c:pt>
                <c:pt idx="158">
                  <c:v>0.92223042347790696</c:v>
                </c:pt>
                <c:pt idx="159">
                  <c:v>0.56421629838663601</c:v>
                </c:pt>
                <c:pt idx="160">
                  <c:v>0.495418549002836</c:v>
                </c:pt>
                <c:pt idx="161">
                  <c:v>0.37128733315317702</c:v>
                </c:pt>
                <c:pt idx="162">
                  <c:v>0.17305512048851801</c:v>
                </c:pt>
                <c:pt idx="163">
                  <c:v>0.399551215040437</c:v>
                </c:pt>
                <c:pt idx="164">
                  <c:v>0.55114601061325996</c:v>
                </c:pt>
                <c:pt idx="165">
                  <c:v>0.62155398963643005</c:v>
                </c:pt>
                <c:pt idx="166">
                  <c:v>0.86652635072672501</c:v>
                </c:pt>
                <c:pt idx="167">
                  <c:v>6.6340406858963294E-2</c:v>
                </c:pt>
                <c:pt idx="168">
                  <c:v>0.71555459110169695</c:v>
                </c:pt>
                <c:pt idx="169">
                  <c:v>0.938054929341542</c:v>
                </c:pt>
                <c:pt idx="170">
                  <c:v>1</c:v>
                </c:pt>
                <c:pt idx="171">
                  <c:v>0.55583306665157395</c:v>
                </c:pt>
                <c:pt idx="172">
                  <c:v>0.64711710824490198</c:v>
                </c:pt>
                <c:pt idx="173">
                  <c:v>0.55537524474297595</c:v>
                </c:pt>
                <c:pt idx="174">
                  <c:v>0.96574889278849296</c:v>
                </c:pt>
                <c:pt idx="175">
                  <c:v>0.96941041876313605</c:v>
                </c:pt>
                <c:pt idx="176">
                  <c:v>3.6099955470985302E-2</c:v>
                </c:pt>
                <c:pt idx="177">
                  <c:v>0.82650019898585403</c:v>
                </c:pt>
                <c:pt idx="178">
                  <c:v>0.32802495193904402</c:v>
                </c:pt>
                <c:pt idx="179">
                  <c:v>1</c:v>
                </c:pt>
                <c:pt idx="180">
                  <c:v>0.35848363167261799</c:v>
                </c:pt>
                <c:pt idx="181">
                  <c:v>1.77766165887169E-2</c:v>
                </c:pt>
                <c:pt idx="182">
                  <c:v>0.24918389489269699</c:v>
                </c:pt>
                <c:pt idx="183">
                  <c:v>0.91652782287333601</c:v>
                </c:pt>
                <c:pt idx="184">
                  <c:v>2.6268219795967399E-2</c:v>
                </c:pt>
                <c:pt idx="185">
                  <c:v>4.42239517167861E-2</c:v>
                </c:pt>
                <c:pt idx="186">
                  <c:v>0.12318736896433601</c:v>
                </c:pt>
                <c:pt idx="187">
                  <c:v>0.14955204091716501</c:v>
                </c:pt>
                <c:pt idx="188">
                  <c:v>0.16835809705077401</c:v>
                </c:pt>
                <c:pt idx="189">
                  <c:v>0.328147816825265</c:v>
                </c:pt>
                <c:pt idx="190">
                  <c:v>0.96749886698619603</c:v>
                </c:pt>
                <c:pt idx="191">
                  <c:v>0.41084239181173399</c:v>
                </c:pt>
                <c:pt idx="192">
                  <c:v>1</c:v>
                </c:pt>
                <c:pt idx="193">
                  <c:v>0.13362361181117299</c:v>
                </c:pt>
                <c:pt idx="194">
                  <c:v>0.27709227146947202</c:v>
                </c:pt>
                <c:pt idx="195">
                  <c:v>0.384462680461092</c:v>
                </c:pt>
                <c:pt idx="196">
                  <c:v>0.25042295821812499</c:v>
                </c:pt>
                <c:pt idx="197">
                  <c:v>0.66747752678488803</c:v>
                </c:pt>
                <c:pt idx="198">
                  <c:v>3.2361107423250303E-2</c:v>
                </c:pt>
                <c:pt idx="199">
                  <c:v>0.140317977684733</c:v>
                </c:pt>
                <c:pt idx="200">
                  <c:v>0.535879403221868</c:v>
                </c:pt>
                <c:pt idx="201">
                  <c:v>0.37745469611924098</c:v>
                </c:pt>
                <c:pt idx="202">
                  <c:v>0.10555004246263799</c:v>
                </c:pt>
                <c:pt idx="203">
                  <c:v>0.38776446556141902</c:v>
                </c:pt>
                <c:pt idx="204">
                  <c:v>4.4086608042783602E-2</c:v>
                </c:pt>
                <c:pt idx="205">
                  <c:v>0.71014717544644101</c:v>
                </c:pt>
                <c:pt idx="206">
                  <c:v>0.87936295403682496</c:v>
                </c:pt>
                <c:pt idx="207">
                  <c:v>0.99078535267027201</c:v>
                </c:pt>
                <c:pt idx="208">
                  <c:v>0.902215901497877</c:v>
                </c:pt>
                <c:pt idx="209">
                  <c:v>0.57708011138319404</c:v>
                </c:pt>
                <c:pt idx="210">
                  <c:v>0.53647756173637695</c:v>
                </c:pt>
                <c:pt idx="211">
                  <c:v>0.80710235305819</c:v>
                </c:pt>
                <c:pt idx="212">
                  <c:v>0.97080858487714705</c:v>
                </c:pt>
                <c:pt idx="213">
                  <c:v>0.54440453882856399</c:v>
                </c:pt>
                <c:pt idx="214">
                  <c:v>0.99026499714689198</c:v>
                </c:pt>
                <c:pt idx="215">
                  <c:v>1</c:v>
                </c:pt>
                <c:pt idx="216">
                  <c:v>0.86697383980182996</c:v>
                </c:pt>
                <c:pt idx="217">
                  <c:v>0.97162506502066504</c:v>
                </c:pt>
                <c:pt idx="218">
                  <c:v>0.88633394177546498</c:v>
                </c:pt>
                <c:pt idx="219">
                  <c:v>0.63911373938169802</c:v>
                </c:pt>
                <c:pt idx="220">
                  <c:v>0.12709721050610001</c:v>
                </c:pt>
                <c:pt idx="221">
                  <c:v>0.426029166197543</c:v>
                </c:pt>
                <c:pt idx="222">
                  <c:v>0.72446431160581604</c:v>
                </c:pt>
                <c:pt idx="223">
                  <c:v>0.52310880363526802</c:v>
                </c:pt>
                <c:pt idx="224">
                  <c:v>0.77123950723241796</c:v>
                </c:pt>
                <c:pt idx="225">
                  <c:v>0.96999668984040799</c:v>
                </c:pt>
                <c:pt idx="226">
                  <c:v>0.99676358343436999</c:v>
                </c:pt>
                <c:pt idx="227">
                  <c:v>0.95121342428051703</c:v>
                </c:pt>
                <c:pt idx="228">
                  <c:v>0.57607615818543301</c:v>
                </c:pt>
                <c:pt idx="229">
                  <c:v>0.98554491492228602</c:v>
                </c:pt>
                <c:pt idx="230">
                  <c:v>0.99027030840149699</c:v>
                </c:pt>
                <c:pt idx="231">
                  <c:v>0.73727359281410199</c:v>
                </c:pt>
                <c:pt idx="232">
                  <c:v>1</c:v>
                </c:pt>
                <c:pt idx="233">
                  <c:v>0.94045061075119296</c:v>
                </c:pt>
                <c:pt idx="234">
                  <c:v>0.56838676204352301</c:v>
                </c:pt>
                <c:pt idx="235">
                  <c:v>0.32772220454901801</c:v>
                </c:pt>
                <c:pt idx="236">
                  <c:v>0.54093980094074701</c:v>
                </c:pt>
                <c:pt idx="237">
                  <c:v>0.31631674091585599</c:v>
                </c:pt>
                <c:pt idx="238">
                  <c:v>0.54784426381265705</c:v>
                </c:pt>
                <c:pt idx="239">
                  <c:v>0.647091105957732</c:v>
                </c:pt>
                <c:pt idx="240">
                  <c:v>0.437619760101294</c:v>
                </c:pt>
                <c:pt idx="241">
                  <c:v>0.464014096773123</c:v>
                </c:pt>
                <c:pt idx="242">
                  <c:v>0.26799571304555098</c:v>
                </c:pt>
                <c:pt idx="243">
                  <c:v>0.28526443008262098</c:v>
                </c:pt>
                <c:pt idx="244">
                  <c:v>0.108287122038841</c:v>
                </c:pt>
                <c:pt idx="245">
                  <c:v>1.59346354250459E-2</c:v>
                </c:pt>
                <c:pt idx="246">
                  <c:v>0.62912921352509998</c:v>
                </c:pt>
                <c:pt idx="247">
                  <c:v>7.3655304367014202E-2</c:v>
                </c:pt>
                <c:pt idx="248">
                  <c:v>0.94300125595789397</c:v>
                </c:pt>
                <c:pt idx="249">
                  <c:v>0.45565803131474503</c:v>
                </c:pt>
                <c:pt idx="250">
                  <c:v>0.96574563300265903</c:v>
                </c:pt>
                <c:pt idx="251">
                  <c:v>0.50834492113047602</c:v>
                </c:pt>
                <c:pt idx="252">
                  <c:v>0.93406986292331495</c:v>
                </c:pt>
                <c:pt idx="253">
                  <c:v>0.43044931084313098</c:v>
                </c:pt>
                <c:pt idx="254">
                  <c:v>0.224673852883504</c:v>
                </c:pt>
                <c:pt idx="255">
                  <c:v>0.17528684196459701</c:v>
                </c:pt>
                <c:pt idx="256">
                  <c:v>0.20608739967468701</c:v>
                </c:pt>
                <c:pt idx="257">
                  <c:v>7.0258970582373195E-2</c:v>
                </c:pt>
                <c:pt idx="258">
                  <c:v>5.7904093551281498E-3</c:v>
                </c:pt>
                <c:pt idx="259">
                  <c:v>0.61644676176636204</c:v>
                </c:pt>
                <c:pt idx="260">
                  <c:v>0.53043385979609403</c:v>
                </c:pt>
                <c:pt idx="261">
                  <c:v>0.99992529509053296</c:v>
                </c:pt>
                <c:pt idx="262">
                  <c:v>0.99034768461201395</c:v>
                </c:pt>
                <c:pt idx="263">
                  <c:v>0.72345371250169099</c:v>
                </c:pt>
                <c:pt idx="264">
                  <c:v>0.78213326530566496</c:v>
                </c:pt>
                <c:pt idx="265">
                  <c:v>0.94485423468224805</c:v>
                </c:pt>
                <c:pt idx="266">
                  <c:v>0.80944987669296298</c:v>
                </c:pt>
                <c:pt idx="267">
                  <c:v>0.426618730998159</c:v>
                </c:pt>
                <c:pt idx="268">
                  <c:v>0.399016617796706</c:v>
                </c:pt>
                <c:pt idx="269">
                  <c:v>0.490591399013389</c:v>
                </c:pt>
                <c:pt idx="270">
                  <c:v>0.51913335407791605</c:v>
                </c:pt>
                <c:pt idx="271">
                  <c:v>9.6427948303336897E-2</c:v>
                </c:pt>
                <c:pt idx="272">
                  <c:v>0.202240516029701</c:v>
                </c:pt>
                <c:pt idx="273">
                  <c:v>0.31962923037205898</c:v>
                </c:pt>
                <c:pt idx="274">
                  <c:v>9.2772290828911905E-2</c:v>
                </c:pt>
                <c:pt idx="275">
                  <c:v>0.44682745141754598</c:v>
                </c:pt>
                <c:pt idx="276">
                  <c:v>0.46975185238599698</c:v>
                </c:pt>
                <c:pt idx="277">
                  <c:v>0.99542967164208096</c:v>
                </c:pt>
                <c:pt idx="278">
                  <c:v>0.598404706581394</c:v>
                </c:pt>
                <c:pt idx="279">
                  <c:v>8.6366167647071806E-2</c:v>
                </c:pt>
                <c:pt idx="280">
                  <c:v>0.302245827643222</c:v>
                </c:pt>
                <c:pt idx="281">
                  <c:v>0.217553520056852</c:v>
                </c:pt>
                <c:pt idx="282">
                  <c:v>0.53031482202383495</c:v>
                </c:pt>
                <c:pt idx="283">
                  <c:v>0.99916958101727205</c:v>
                </c:pt>
                <c:pt idx="284">
                  <c:v>2.3691578414820301E-2</c:v>
                </c:pt>
                <c:pt idx="285">
                  <c:v>0.34064888459104398</c:v>
                </c:pt>
                <c:pt idx="286">
                  <c:v>0.20961874215688001</c:v>
                </c:pt>
                <c:pt idx="287">
                  <c:v>0.26620008318610999</c:v>
                </c:pt>
                <c:pt idx="288">
                  <c:v>0.32307326035448503</c:v>
                </c:pt>
                <c:pt idx="289">
                  <c:v>0.67628591799679005</c:v>
                </c:pt>
                <c:pt idx="290">
                  <c:v>8.23258022765758E-3</c:v>
                </c:pt>
                <c:pt idx="291">
                  <c:v>0.163850060233486</c:v>
                </c:pt>
                <c:pt idx="292">
                  <c:v>4.3263320155053102E-3</c:v>
                </c:pt>
                <c:pt idx="293">
                  <c:v>1</c:v>
                </c:pt>
                <c:pt idx="294">
                  <c:v>6.3019694633951406E-2</c:v>
                </c:pt>
                <c:pt idx="295">
                  <c:v>0.39785593659414797</c:v>
                </c:pt>
                <c:pt idx="296">
                  <c:v>6.7034371056423001E-2</c:v>
                </c:pt>
                <c:pt idx="297">
                  <c:v>3.8744165775799103E-2</c:v>
                </c:pt>
                <c:pt idx="298">
                  <c:v>0.35803552314627801</c:v>
                </c:pt>
                <c:pt idx="299">
                  <c:v>0.461181092061695</c:v>
                </c:pt>
                <c:pt idx="300">
                  <c:v>0.59994551321753198</c:v>
                </c:pt>
                <c:pt idx="301">
                  <c:v>5.1375779663563204E-3</c:v>
                </c:pt>
                <c:pt idx="302">
                  <c:v>0.210445095805122</c:v>
                </c:pt>
                <c:pt idx="303">
                  <c:v>3.3386115990755298E-2</c:v>
                </c:pt>
                <c:pt idx="304">
                  <c:v>8.6099650419031101E-2</c:v>
                </c:pt>
                <c:pt idx="305">
                  <c:v>3.1781448389843897E-2</c:v>
                </c:pt>
                <c:pt idx="306">
                  <c:v>0.223862145934522</c:v>
                </c:pt>
                <c:pt idx="307">
                  <c:v>0.95228141212492701</c:v>
                </c:pt>
                <c:pt idx="308">
                  <c:v>0.86294591488136896</c:v>
                </c:pt>
                <c:pt idx="309">
                  <c:v>8.7855222613954301E-2</c:v>
                </c:pt>
                <c:pt idx="310">
                  <c:v>0.98702487187444599</c:v>
                </c:pt>
                <c:pt idx="311">
                  <c:v>8.7047742407767303E-2</c:v>
                </c:pt>
                <c:pt idx="312">
                  <c:v>0.52694639209708105</c:v>
                </c:pt>
                <c:pt idx="313">
                  <c:v>0.45660149044896797</c:v>
                </c:pt>
                <c:pt idx="314">
                  <c:v>0.48373064499703999</c:v>
                </c:pt>
                <c:pt idx="315">
                  <c:v>7.9437311468006006E-2</c:v>
                </c:pt>
                <c:pt idx="316">
                  <c:v>0.286760146716451</c:v>
                </c:pt>
                <c:pt idx="317">
                  <c:v>5.7739683592357198E-2</c:v>
                </c:pt>
                <c:pt idx="318">
                  <c:v>0.138322993623063</c:v>
                </c:pt>
                <c:pt idx="319">
                  <c:v>0.925069918042423</c:v>
                </c:pt>
                <c:pt idx="320">
                  <c:v>0.72873202688848204</c:v>
                </c:pt>
                <c:pt idx="321">
                  <c:v>0.55888769925102</c:v>
                </c:pt>
                <c:pt idx="322">
                  <c:v>0.96137212539915295</c:v>
                </c:pt>
                <c:pt idx="323">
                  <c:v>0.88392475471712295</c:v>
                </c:pt>
                <c:pt idx="324">
                  <c:v>0.91720851023046301</c:v>
                </c:pt>
                <c:pt idx="325">
                  <c:v>0.47356608487698498</c:v>
                </c:pt>
                <c:pt idx="326">
                  <c:v>2.4346439657311501E-2</c:v>
                </c:pt>
                <c:pt idx="327">
                  <c:v>0.32086308216382198</c:v>
                </c:pt>
                <c:pt idx="328">
                  <c:v>0.16143211417091799</c:v>
                </c:pt>
                <c:pt idx="329">
                  <c:v>0.35756744342793201</c:v>
                </c:pt>
                <c:pt idx="330">
                  <c:v>0.15366658112096701</c:v>
                </c:pt>
                <c:pt idx="331">
                  <c:v>0.54789735211898605</c:v>
                </c:pt>
                <c:pt idx="332">
                  <c:v>0.79582956790161397</c:v>
                </c:pt>
                <c:pt idx="333">
                  <c:v>0.55558653130954105</c:v>
                </c:pt>
                <c:pt idx="334">
                  <c:v>0.30882993628205402</c:v>
                </c:pt>
                <c:pt idx="335">
                  <c:v>0.579422555484151</c:v>
                </c:pt>
                <c:pt idx="336">
                  <c:v>0.96085864272388399</c:v>
                </c:pt>
                <c:pt idx="337">
                  <c:v>0.46101828807655498</c:v>
                </c:pt>
                <c:pt idx="338">
                  <c:v>0.50105605828293998</c:v>
                </c:pt>
                <c:pt idx="339">
                  <c:v>0.71772496337532399</c:v>
                </c:pt>
                <c:pt idx="340">
                  <c:v>0.98318631685067404</c:v>
                </c:pt>
                <c:pt idx="341">
                  <c:v>0.98809325158320604</c:v>
                </c:pt>
                <c:pt idx="342">
                  <c:v>0.59279481753602803</c:v>
                </c:pt>
                <c:pt idx="343">
                  <c:v>0.31588851261163298</c:v>
                </c:pt>
                <c:pt idx="344">
                  <c:v>0.50001642685141101</c:v>
                </c:pt>
                <c:pt idx="345">
                  <c:v>0.96978806148918095</c:v>
                </c:pt>
                <c:pt idx="346">
                  <c:v>0.99566667559962097</c:v>
                </c:pt>
                <c:pt idx="347">
                  <c:v>0.99506170891474699</c:v>
                </c:pt>
                <c:pt idx="348">
                  <c:v>0.63656566658052005</c:v>
                </c:pt>
                <c:pt idx="349">
                  <c:v>0.88039811354993303</c:v>
                </c:pt>
                <c:pt idx="350">
                  <c:v>1</c:v>
                </c:pt>
                <c:pt idx="351">
                  <c:v>0.38515389138410799</c:v>
                </c:pt>
                <c:pt idx="352">
                  <c:v>0.66441555584984402</c:v>
                </c:pt>
                <c:pt idx="353">
                  <c:v>4.3308161256531599E-2</c:v>
                </c:pt>
                <c:pt idx="354">
                  <c:v>0.13816998351253201</c:v>
                </c:pt>
                <c:pt idx="355">
                  <c:v>0.12504105644239699</c:v>
                </c:pt>
                <c:pt idx="356">
                  <c:v>0.35215746348493099</c:v>
                </c:pt>
                <c:pt idx="357">
                  <c:v>0.60337874748251097</c:v>
                </c:pt>
                <c:pt idx="358">
                  <c:v>0.14995982932021601</c:v>
                </c:pt>
                <c:pt idx="359">
                  <c:v>0.34469727317415599</c:v>
                </c:pt>
                <c:pt idx="360">
                  <c:v>4.7190653525024301E-2</c:v>
                </c:pt>
                <c:pt idx="361">
                  <c:v>3.3039998717165002E-2</c:v>
                </c:pt>
                <c:pt idx="362">
                  <c:v>3.47363620926966E-2</c:v>
                </c:pt>
                <c:pt idx="363">
                  <c:v>0.58448418758674003</c:v>
                </c:pt>
                <c:pt idx="364">
                  <c:v>0.27813979849206899</c:v>
                </c:pt>
                <c:pt idx="365">
                  <c:v>9.0431699785826603E-2</c:v>
                </c:pt>
                <c:pt idx="366">
                  <c:v>0.21175912181415801</c:v>
                </c:pt>
                <c:pt idx="367">
                  <c:v>0.67197551845950798</c:v>
                </c:pt>
                <c:pt idx="368">
                  <c:v>0.78744004088238295</c:v>
                </c:pt>
                <c:pt idx="369">
                  <c:v>0.94227829093660298</c:v>
                </c:pt>
                <c:pt idx="370">
                  <c:v>9.1805047083381802E-2</c:v>
                </c:pt>
                <c:pt idx="371">
                  <c:v>0.14308709574154399</c:v>
                </c:pt>
                <c:pt idx="372">
                  <c:v>0.68032414830793797</c:v>
                </c:pt>
                <c:pt idx="373">
                  <c:v>0.98943473108026003</c:v>
                </c:pt>
                <c:pt idx="374">
                  <c:v>0.283010901957017</c:v>
                </c:pt>
                <c:pt idx="375">
                  <c:v>0.88705533023670202</c:v>
                </c:pt>
                <c:pt idx="376">
                  <c:v>0.67396875082191099</c:v>
                </c:pt>
                <c:pt idx="377">
                  <c:v>0.997293871962874</c:v>
                </c:pt>
                <c:pt idx="378">
                  <c:v>0.65131513304328503</c:v>
                </c:pt>
                <c:pt idx="379">
                  <c:v>0.57509183413034903</c:v>
                </c:pt>
                <c:pt idx="380">
                  <c:v>0.99970995020873799</c:v>
                </c:pt>
                <c:pt idx="381">
                  <c:v>0.959756348542119</c:v>
                </c:pt>
                <c:pt idx="382">
                  <c:v>0.94396253022252896</c:v>
                </c:pt>
                <c:pt idx="383">
                  <c:v>0.44759488299683298</c:v>
                </c:pt>
                <c:pt idx="384">
                  <c:v>0.95578667509692805</c:v>
                </c:pt>
                <c:pt idx="385">
                  <c:v>0.68972365532039503</c:v>
                </c:pt>
                <c:pt idx="386">
                  <c:v>0.70809690949636905</c:v>
                </c:pt>
                <c:pt idx="387">
                  <c:v>0.99454591187660901</c:v>
                </c:pt>
                <c:pt idx="388">
                  <c:v>1</c:v>
                </c:pt>
                <c:pt idx="389">
                  <c:v>0.99797342009999801</c:v>
                </c:pt>
                <c:pt idx="390">
                  <c:v>0.88472675126475997</c:v>
                </c:pt>
                <c:pt idx="391">
                  <c:v>0.93443592509748696</c:v>
                </c:pt>
                <c:pt idx="392">
                  <c:v>0.99353652580710705</c:v>
                </c:pt>
                <c:pt idx="393">
                  <c:v>0.96105657010213996</c:v>
                </c:pt>
                <c:pt idx="394">
                  <c:v>0.64483621514990197</c:v>
                </c:pt>
                <c:pt idx="395">
                  <c:v>0.20562131124351499</c:v>
                </c:pt>
                <c:pt idx="396">
                  <c:v>6.3602769630308295E-2</c:v>
                </c:pt>
                <c:pt idx="397">
                  <c:v>0.54637418075785205</c:v>
                </c:pt>
                <c:pt idx="398">
                  <c:v>0.43339298231189</c:v>
                </c:pt>
                <c:pt idx="399">
                  <c:v>0.91305212862497098</c:v>
                </c:pt>
                <c:pt idx="400">
                  <c:v>0.960992232568191</c:v>
                </c:pt>
                <c:pt idx="401">
                  <c:v>0.73040718885663303</c:v>
                </c:pt>
                <c:pt idx="402">
                  <c:v>0.93645429045725903</c:v>
                </c:pt>
                <c:pt idx="403">
                  <c:v>0.94863109228909404</c:v>
                </c:pt>
                <c:pt idx="404">
                  <c:v>0.94077466631817797</c:v>
                </c:pt>
                <c:pt idx="405">
                  <c:v>0.94895397088059896</c:v>
                </c:pt>
                <c:pt idx="406">
                  <c:v>0.97097959339161599</c:v>
                </c:pt>
                <c:pt idx="407">
                  <c:v>0.87390259498155798</c:v>
                </c:pt>
                <c:pt idx="408">
                  <c:v>0.57888959899302495</c:v>
                </c:pt>
                <c:pt idx="409">
                  <c:v>0.90474839472595303</c:v>
                </c:pt>
                <c:pt idx="410">
                  <c:v>0.59138091176579499</c:v>
                </c:pt>
                <c:pt idx="411">
                  <c:v>8.1229420099426103E-2</c:v>
                </c:pt>
                <c:pt idx="412">
                  <c:v>0.18021951808463399</c:v>
                </c:pt>
                <c:pt idx="413">
                  <c:v>0.84239402536535801</c:v>
                </c:pt>
                <c:pt idx="414">
                  <c:v>0.98956946301384396</c:v>
                </c:pt>
                <c:pt idx="415">
                  <c:v>0.93334662606941299</c:v>
                </c:pt>
                <c:pt idx="416">
                  <c:v>0.65131717482595097</c:v>
                </c:pt>
                <c:pt idx="417">
                  <c:v>0.465997298288991</c:v>
                </c:pt>
                <c:pt idx="418">
                  <c:v>0.31469727426683503</c:v>
                </c:pt>
                <c:pt idx="419">
                  <c:v>0.908268007201816</c:v>
                </c:pt>
                <c:pt idx="420">
                  <c:v>0.84297175919387801</c:v>
                </c:pt>
                <c:pt idx="421">
                  <c:v>0.98752998409406401</c:v>
                </c:pt>
                <c:pt idx="422">
                  <c:v>0.87389341283432498</c:v>
                </c:pt>
                <c:pt idx="423">
                  <c:v>0.54150559453090596</c:v>
                </c:pt>
                <c:pt idx="424">
                  <c:v>0.41617181573205297</c:v>
                </c:pt>
                <c:pt idx="425">
                  <c:v>0.312393608786522</c:v>
                </c:pt>
                <c:pt idx="426">
                  <c:v>0.70508916584494197</c:v>
                </c:pt>
                <c:pt idx="427">
                  <c:v>0.89191014973603699</c:v>
                </c:pt>
                <c:pt idx="428">
                  <c:v>0.5129339299358</c:v>
                </c:pt>
                <c:pt idx="429">
                  <c:v>0.76837089831703997</c:v>
                </c:pt>
                <c:pt idx="430">
                  <c:v>0.91031876301815295</c:v>
                </c:pt>
                <c:pt idx="431">
                  <c:v>0.29697283440114602</c:v>
                </c:pt>
                <c:pt idx="432">
                  <c:v>0.15518209461448801</c:v>
                </c:pt>
                <c:pt idx="433">
                  <c:v>0.42096640015767101</c:v>
                </c:pt>
                <c:pt idx="434">
                  <c:v>0.83288500311008795</c:v>
                </c:pt>
                <c:pt idx="435">
                  <c:v>1.1764513481379701E-2</c:v>
                </c:pt>
                <c:pt idx="436">
                  <c:v>0.62031003034213195</c:v>
                </c:pt>
                <c:pt idx="437">
                  <c:v>0.111517819090763</c:v>
                </c:pt>
                <c:pt idx="438">
                  <c:v>0.70285617400019196</c:v>
                </c:pt>
                <c:pt idx="439">
                  <c:v>0.68731094286237604</c:v>
                </c:pt>
                <c:pt idx="440">
                  <c:v>9.43654642831145E-2</c:v>
                </c:pt>
                <c:pt idx="441">
                  <c:v>2.04075901412131E-2</c:v>
                </c:pt>
                <c:pt idx="442">
                  <c:v>0.53259144036194095</c:v>
                </c:pt>
                <c:pt idx="443">
                  <c:v>0.83629611504023105</c:v>
                </c:pt>
                <c:pt idx="444">
                  <c:v>0.51099801357651198</c:v>
                </c:pt>
                <c:pt idx="445">
                  <c:v>0.48944529174669799</c:v>
                </c:pt>
                <c:pt idx="446">
                  <c:v>0.26733926625801901</c:v>
                </c:pt>
                <c:pt idx="447">
                  <c:v>6.8424203858753294E-2</c:v>
                </c:pt>
                <c:pt idx="448">
                  <c:v>0.95757994635606203</c:v>
                </c:pt>
                <c:pt idx="449">
                  <c:v>0.320804652264148</c:v>
                </c:pt>
                <c:pt idx="450">
                  <c:v>0.82310302448874995</c:v>
                </c:pt>
                <c:pt idx="451">
                  <c:v>0.68289261183848404</c:v>
                </c:pt>
                <c:pt idx="452">
                  <c:v>0.89993320560267598</c:v>
                </c:pt>
                <c:pt idx="453">
                  <c:v>0.56880715646209001</c:v>
                </c:pt>
                <c:pt idx="454">
                  <c:v>0.49238076506404999</c:v>
                </c:pt>
                <c:pt idx="455">
                  <c:v>6.8611645728176199E-2</c:v>
                </c:pt>
                <c:pt idx="456">
                  <c:v>0.89964032405935801</c:v>
                </c:pt>
                <c:pt idx="457">
                  <c:v>1.7044747329220199E-2</c:v>
                </c:pt>
                <c:pt idx="458">
                  <c:v>0.95476694058295797</c:v>
                </c:pt>
                <c:pt idx="459">
                  <c:v>0.55580236445114395</c:v>
                </c:pt>
                <c:pt idx="460">
                  <c:v>0.73218720876533905</c:v>
                </c:pt>
                <c:pt idx="461">
                  <c:v>0.43571517385192399</c:v>
                </c:pt>
                <c:pt idx="462">
                  <c:v>7.0297783295420599E-3</c:v>
                </c:pt>
                <c:pt idx="463">
                  <c:v>0.35935787341761399</c:v>
                </c:pt>
                <c:pt idx="464">
                  <c:v>2.7262493892096899E-2</c:v>
                </c:pt>
                <c:pt idx="465">
                  <c:v>0.349614124543145</c:v>
                </c:pt>
                <c:pt idx="466">
                  <c:v>9.8160859902847994E-2</c:v>
                </c:pt>
                <c:pt idx="467">
                  <c:v>0.94968281224293605</c:v>
                </c:pt>
                <c:pt idx="468">
                  <c:v>7.56816219974773E-2</c:v>
                </c:pt>
                <c:pt idx="469">
                  <c:v>0.70938931834497498</c:v>
                </c:pt>
                <c:pt idx="470">
                  <c:v>0.97358304421221797</c:v>
                </c:pt>
                <c:pt idx="471">
                  <c:v>0.95193044523792103</c:v>
                </c:pt>
                <c:pt idx="472">
                  <c:v>0.478842740824998</c:v>
                </c:pt>
                <c:pt idx="473">
                  <c:v>0.54496109375416202</c:v>
                </c:pt>
                <c:pt idx="474">
                  <c:v>0.65101289115833905</c:v>
                </c:pt>
                <c:pt idx="475">
                  <c:v>0.55284801601528699</c:v>
                </c:pt>
                <c:pt idx="476">
                  <c:v>0.372613998730423</c:v>
                </c:pt>
                <c:pt idx="477">
                  <c:v>5.8320198165946503E-2</c:v>
                </c:pt>
                <c:pt idx="478">
                  <c:v>0.99002198016722698</c:v>
                </c:pt>
                <c:pt idx="479">
                  <c:v>1</c:v>
                </c:pt>
                <c:pt idx="480">
                  <c:v>0.96417126719396296</c:v>
                </c:pt>
                <c:pt idx="481">
                  <c:v>0.99884212512652704</c:v>
                </c:pt>
                <c:pt idx="482">
                  <c:v>0.58626830259521301</c:v>
                </c:pt>
                <c:pt idx="483">
                  <c:v>1</c:v>
                </c:pt>
                <c:pt idx="484">
                  <c:v>0.97793478459016403</c:v>
                </c:pt>
                <c:pt idx="485">
                  <c:v>0.73783610626609497</c:v>
                </c:pt>
                <c:pt idx="486">
                  <c:v>0.98933461124452005</c:v>
                </c:pt>
                <c:pt idx="487">
                  <c:v>9.3060465380167295E-2</c:v>
                </c:pt>
                <c:pt idx="488">
                  <c:v>0.52509973588799597</c:v>
                </c:pt>
                <c:pt idx="489">
                  <c:v>0.72864851251673102</c:v>
                </c:pt>
                <c:pt idx="490">
                  <c:v>2.7834211583716399E-2</c:v>
                </c:pt>
                <c:pt idx="491">
                  <c:v>0.20163838315243501</c:v>
                </c:pt>
                <c:pt idx="492">
                  <c:v>0.72738746378966102</c:v>
                </c:pt>
                <c:pt idx="493">
                  <c:v>0.33905466212965402</c:v>
                </c:pt>
                <c:pt idx="494">
                  <c:v>0.102476309623994</c:v>
                </c:pt>
                <c:pt idx="495">
                  <c:v>0.14868589624831599</c:v>
                </c:pt>
                <c:pt idx="496">
                  <c:v>0.50840964678233402</c:v>
                </c:pt>
                <c:pt idx="497">
                  <c:v>0.93652016713980601</c:v>
                </c:pt>
                <c:pt idx="498">
                  <c:v>6.0544181682154703E-2</c:v>
                </c:pt>
                <c:pt idx="499">
                  <c:v>0.20888985422520001</c:v>
                </c:pt>
                <c:pt idx="500">
                  <c:v>0.32625637997731</c:v>
                </c:pt>
                <c:pt idx="501">
                  <c:v>0.50622660000889097</c:v>
                </c:pt>
                <c:pt idx="502">
                  <c:v>0.68552643411109804</c:v>
                </c:pt>
                <c:pt idx="503">
                  <c:v>0.15864619849324599</c:v>
                </c:pt>
                <c:pt idx="504">
                  <c:v>4.3291074223292099E-2</c:v>
                </c:pt>
                <c:pt idx="505">
                  <c:v>0.93785422514351902</c:v>
                </c:pt>
                <c:pt idx="506">
                  <c:v>0.12843530432283001</c:v>
                </c:pt>
                <c:pt idx="507">
                  <c:v>8.7910357784724196E-4</c:v>
                </c:pt>
                <c:pt idx="508">
                  <c:v>0.425302829842368</c:v>
                </c:pt>
                <c:pt idx="509">
                  <c:v>1</c:v>
                </c:pt>
                <c:pt idx="510">
                  <c:v>2.1113535426036101E-2</c:v>
                </c:pt>
                <c:pt idx="511">
                  <c:v>3.1602471363864897E-2</c:v>
                </c:pt>
                <c:pt idx="512">
                  <c:v>6.8675012857991199E-2</c:v>
                </c:pt>
                <c:pt idx="513">
                  <c:v>6.9223201213001503E-2</c:v>
                </c:pt>
                <c:pt idx="514">
                  <c:v>0.97999288914151494</c:v>
                </c:pt>
                <c:pt idx="515">
                  <c:v>0.83704276430166002</c:v>
                </c:pt>
                <c:pt idx="516">
                  <c:v>0.91100916076791005</c:v>
                </c:pt>
                <c:pt idx="517">
                  <c:v>0.85838808124515997</c:v>
                </c:pt>
                <c:pt idx="518">
                  <c:v>0.96433609106058904</c:v>
                </c:pt>
                <c:pt idx="519">
                  <c:v>0.93404117117687302</c:v>
                </c:pt>
                <c:pt idx="520">
                  <c:v>0.99047895368319006</c:v>
                </c:pt>
                <c:pt idx="521">
                  <c:v>1</c:v>
                </c:pt>
                <c:pt idx="522">
                  <c:v>0.98964670074148298</c:v>
                </c:pt>
                <c:pt idx="523">
                  <c:v>0.91857196514616202</c:v>
                </c:pt>
                <c:pt idx="524">
                  <c:v>8.7352031262181898E-2</c:v>
                </c:pt>
                <c:pt idx="525">
                  <c:v>0.981236276610574</c:v>
                </c:pt>
                <c:pt idx="526">
                  <c:v>0.79901215341957199</c:v>
                </c:pt>
                <c:pt idx="527">
                  <c:v>8.9307866075384101E-2</c:v>
                </c:pt>
                <c:pt idx="528">
                  <c:v>0.25799646102502199</c:v>
                </c:pt>
                <c:pt idx="529">
                  <c:v>0.53084911103054899</c:v>
                </c:pt>
                <c:pt idx="530">
                  <c:v>3.7991138925154898E-2</c:v>
                </c:pt>
                <c:pt idx="531">
                  <c:v>0.95415578433662895</c:v>
                </c:pt>
                <c:pt idx="532">
                  <c:v>0.39874052894086398</c:v>
                </c:pt>
                <c:pt idx="533">
                  <c:v>0.52271904055607099</c:v>
                </c:pt>
                <c:pt idx="534">
                  <c:v>0.79088325887674504</c:v>
                </c:pt>
                <c:pt idx="535">
                  <c:v>0.247486673961406</c:v>
                </c:pt>
                <c:pt idx="536">
                  <c:v>0.63729806089554697</c:v>
                </c:pt>
                <c:pt idx="537">
                  <c:v>0.99435119032354502</c:v>
                </c:pt>
                <c:pt idx="538">
                  <c:v>0.99534451302452998</c:v>
                </c:pt>
                <c:pt idx="539">
                  <c:v>0.94969941533257696</c:v>
                </c:pt>
                <c:pt idx="540">
                  <c:v>0.62388564628613397</c:v>
                </c:pt>
                <c:pt idx="541">
                  <c:v>0.62478140443964403</c:v>
                </c:pt>
                <c:pt idx="542">
                  <c:v>0.55424036562438395</c:v>
                </c:pt>
                <c:pt idx="543">
                  <c:v>0.28937312481028699</c:v>
                </c:pt>
                <c:pt idx="544">
                  <c:v>2.07654741118538E-2</c:v>
                </c:pt>
                <c:pt idx="545">
                  <c:v>0.43898590075652</c:v>
                </c:pt>
                <c:pt idx="546">
                  <c:v>0.37326658761321801</c:v>
                </c:pt>
                <c:pt idx="547">
                  <c:v>0.98633935435268405</c:v>
                </c:pt>
                <c:pt idx="548">
                  <c:v>0.46176480604021602</c:v>
                </c:pt>
                <c:pt idx="549">
                  <c:v>0.22588395078235601</c:v>
                </c:pt>
                <c:pt idx="550">
                  <c:v>0.92534575123173002</c:v>
                </c:pt>
                <c:pt idx="551">
                  <c:v>6.31867522078853E-3</c:v>
                </c:pt>
                <c:pt idx="552">
                  <c:v>0.16843612387434001</c:v>
                </c:pt>
                <c:pt idx="553">
                  <c:v>2.1526996683743999E-2</c:v>
                </c:pt>
                <c:pt idx="554">
                  <c:v>0.98382668604587298</c:v>
                </c:pt>
                <c:pt idx="555">
                  <c:v>0.55206043907703195</c:v>
                </c:pt>
                <c:pt idx="556">
                  <c:v>0.345349654164813</c:v>
                </c:pt>
                <c:pt idx="557">
                  <c:v>0.93905491809924901</c:v>
                </c:pt>
                <c:pt idx="558">
                  <c:v>2.9828092688921701E-2</c:v>
                </c:pt>
                <c:pt idx="559">
                  <c:v>0.96811794170651</c:v>
                </c:pt>
                <c:pt idx="560">
                  <c:v>3.8850381127227898E-3</c:v>
                </c:pt>
                <c:pt idx="561">
                  <c:v>0.43945087323105098</c:v>
                </c:pt>
                <c:pt idx="562">
                  <c:v>0.28618527043735797</c:v>
                </c:pt>
                <c:pt idx="563">
                  <c:v>1.3421811082940299E-2</c:v>
                </c:pt>
                <c:pt idx="564">
                  <c:v>0.269488631084632</c:v>
                </c:pt>
                <c:pt idx="565">
                  <c:v>0.110446495996687</c:v>
                </c:pt>
                <c:pt idx="566">
                  <c:v>2.4341094077018299E-2</c:v>
                </c:pt>
                <c:pt idx="567">
                  <c:v>0.31730485876745801</c:v>
                </c:pt>
                <c:pt idx="568">
                  <c:v>0.48276961858440498</c:v>
                </c:pt>
                <c:pt idx="569">
                  <c:v>0</c:v>
                </c:pt>
                <c:pt idx="570">
                  <c:v>0.59165893345131804</c:v>
                </c:pt>
                <c:pt idx="571">
                  <c:v>0.86798611312429597</c:v>
                </c:pt>
                <c:pt idx="572">
                  <c:v>0.980738711084021</c:v>
                </c:pt>
                <c:pt idx="573">
                  <c:v>0.56005361381841101</c:v>
                </c:pt>
                <c:pt idx="574">
                  <c:v>0.82780049707107595</c:v>
                </c:pt>
                <c:pt idx="575">
                  <c:v>0.36631456930252299</c:v>
                </c:pt>
                <c:pt idx="576">
                  <c:v>0.66219438420728904</c:v>
                </c:pt>
                <c:pt idx="577">
                  <c:v>0.58357787497074498</c:v>
                </c:pt>
                <c:pt idx="578">
                  <c:v>1</c:v>
                </c:pt>
                <c:pt idx="579">
                  <c:v>0.98089352391639695</c:v>
                </c:pt>
                <c:pt idx="580">
                  <c:v>0.99822980165764397</c:v>
                </c:pt>
                <c:pt idx="581">
                  <c:v>0.69517439676235704</c:v>
                </c:pt>
                <c:pt idx="582">
                  <c:v>0.99865623174191198</c:v>
                </c:pt>
                <c:pt idx="583">
                  <c:v>0.83253147536558603</c:v>
                </c:pt>
                <c:pt idx="584">
                  <c:v>0.56292241443178903</c:v>
                </c:pt>
                <c:pt idx="585">
                  <c:v>0.95443136066184897</c:v>
                </c:pt>
                <c:pt idx="586">
                  <c:v>0.31973350975967202</c:v>
                </c:pt>
                <c:pt idx="587">
                  <c:v>0.574726274356954</c:v>
                </c:pt>
                <c:pt idx="588">
                  <c:v>0.69380337561888095</c:v>
                </c:pt>
                <c:pt idx="589">
                  <c:v>0.51708721557135195</c:v>
                </c:pt>
                <c:pt idx="590">
                  <c:v>0.654388302027194</c:v>
                </c:pt>
                <c:pt idx="591">
                  <c:v>0.77562987349113499</c:v>
                </c:pt>
                <c:pt idx="592">
                  <c:v>0.90282850020040395</c:v>
                </c:pt>
                <c:pt idx="593">
                  <c:v>0.93386630849643504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0.98577429582964105</c:v>
                </c:pt>
                <c:pt idx="598">
                  <c:v>0.66959492770892903</c:v>
                </c:pt>
                <c:pt idx="599">
                  <c:v>1</c:v>
                </c:pt>
                <c:pt idx="600">
                  <c:v>0.96830720832994299</c:v>
                </c:pt>
                <c:pt idx="601">
                  <c:v>0.61067152236448097</c:v>
                </c:pt>
                <c:pt idx="602">
                  <c:v>1</c:v>
                </c:pt>
                <c:pt idx="603">
                  <c:v>0.97892651014068399</c:v>
                </c:pt>
                <c:pt idx="604">
                  <c:v>0.60666387412865896</c:v>
                </c:pt>
                <c:pt idx="605">
                  <c:v>0.96035491051687505</c:v>
                </c:pt>
                <c:pt idx="606">
                  <c:v>0.80435845056938104</c:v>
                </c:pt>
                <c:pt idx="607">
                  <c:v>0.32587865688897599</c:v>
                </c:pt>
                <c:pt idx="608">
                  <c:v>0.50326624876882198</c:v>
                </c:pt>
                <c:pt idx="609">
                  <c:v>0.31636667041042099</c:v>
                </c:pt>
                <c:pt idx="610">
                  <c:v>0.48531109892742502</c:v>
                </c:pt>
                <c:pt idx="611">
                  <c:v>0.82525502671863504</c:v>
                </c:pt>
                <c:pt idx="612">
                  <c:v>0.37548735537168398</c:v>
                </c:pt>
                <c:pt idx="613">
                  <c:v>0.57054221533302096</c:v>
                </c:pt>
                <c:pt idx="614">
                  <c:v>0.13684569505607899</c:v>
                </c:pt>
                <c:pt idx="615">
                  <c:v>0.14586484949119999</c:v>
                </c:pt>
                <c:pt idx="616">
                  <c:v>7.10953917265095E-4</c:v>
                </c:pt>
                <c:pt idx="617">
                  <c:v>4.9197292139348398E-2</c:v>
                </c:pt>
                <c:pt idx="618">
                  <c:v>0.88900982076638801</c:v>
                </c:pt>
                <c:pt idx="619">
                  <c:v>0.54262622002346295</c:v>
                </c:pt>
                <c:pt idx="620">
                  <c:v>0.76231190138597005</c:v>
                </c:pt>
                <c:pt idx="621">
                  <c:v>0.340991034711908</c:v>
                </c:pt>
                <c:pt idx="622">
                  <c:v>0.65097623531482596</c:v>
                </c:pt>
                <c:pt idx="623">
                  <c:v>0.18167226046427801</c:v>
                </c:pt>
                <c:pt idx="624">
                  <c:v>2.3722557652913701E-2</c:v>
                </c:pt>
                <c:pt idx="625">
                  <c:v>3.1271680099900001E-2</c:v>
                </c:pt>
                <c:pt idx="626">
                  <c:v>0.154313163833908</c:v>
                </c:pt>
                <c:pt idx="627">
                  <c:v>3.716852582559E-2</c:v>
                </c:pt>
                <c:pt idx="628">
                  <c:v>0</c:v>
                </c:pt>
                <c:pt idx="629">
                  <c:v>3.7638674395160999E-3</c:v>
                </c:pt>
                <c:pt idx="630">
                  <c:v>0.52827822637853605</c:v>
                </c:pt>
                <c:pt idx="631">
                  <c:v>4.77207394371751E-2</c:v>
                </c:pt>
                <c:pt idx="632">
                  <c:v>0.902132806246147</c:v>
                </c:pt>
                <c:pt idx="633">
                  <c:v>0.336501268910332</c:v>
                </c:pt>
                <c:pt idx="634">
                  <c:v>0.99979998993625396</c:v>
                </c:pt>
                <c:pt idx="635">
                  <c:v>0.53709153894426798</c:v>
                </c:pt>
                <c:pt idx="636">
                  <c:v>0.94168466518287397</c:v>
                </c:pt>
                <c:pt idx="637">
                  <c:v>0.64795091990133802</c:v>
                </c:pt>
                <c:pt idx="638">
                  <c:v>0.51402309466445295</c:v>
                </c:pt>
                <c:pt idx="639">
                  <c:v>0.76163184568742404</c:v>
                </c:pt>
                <c:pt idx="640">
                  <c:v>0.19105393223275399</c:v>
                </c:pt>
                <c:pt idx="641">
                  <c:v>0.51201304016659599</c:v>
                </c:pt>
                <c:pt idx="642">
                  <c:v>4.9154442901735602E-2</c:v>
                </c:pt>
                <c:pt idx="643">
                  <c:v>5.8650017813426499E-2</c:v>
                </c:pt>
                <c:pt idx="644">
                  <c:v>0.13957269212041201</c:v>
                </c:pt>
                <c:pt idx="645">
                  <c:v>3.4685129888121301E-2</c:v>
                </c:pt>
                <c:pt idx="646">
                  <c:v>0.28398495553306302</c:v>
                </c:pt>
                <c:pt idx="647">
                  <c:v>0.513096958411705</c:v>
                </c:pt>
                <c:pt idx="648">
                  <c:v>0.942612144926808</c:v>
                </c:pt>
                <c:pt idx="649">
                  <c:v>0.96666561756232905</c:v>
                </c:pt>
                <c:pt idx="650">
                  <c:v>0.496551090136156</c:v>
                </c:pt>
                <c:pt idx="651">
                  <c:v>0.590229322654377</c:v>
                </c:pt>
                <c:pt idx="652">
                  <c:v>3.40636999839957E-2</c:v>
                </c:pt>
                <c:pt idx="653">
                  <c:v>0.109664659650082</c:v>
                </c:pt>
                <c:pt idx="654">
                  <c:v>0.363685029527545</c:v>
                </c:pt>
                <c:pt idx="655">
                  <c:v>0.114232308358345</c:v>
                </c:pt>
                <c:pt idx="656">
                  <c:v>0.229972988919592</c:v>
                </c:pt>
                <c:pt idx="657">
                  <c:v>0.480964518300938</c:v>
                </c:pt>
                <c:pt idx="658">
                  <c:v>0.17004044113903899</c:v>
                </c:pt>
                <c:pt idx="659">
                  <c:v>0.43552037636976998</c:v>
                </c:pt>
                <c:pt idx="660">
                  <c:v>6.4708479370665002E-4</c:v>
                </c:pt>
                <c:pt idx="661">
                  <c:v>1.53988423571548E-2</c:v>
                </c:pt>
                <c:pt idx="662">
                  <c:v>0.966986612163244</c:v>
                </c:pt>
                <c:pt idx="663">
                  <c:v>0.56698318580644103</c:v>
                </c:pt>
                <c:pt idx="664">
                  <c:v>0.190402670148408</c:v>
                </c:pt>
                <c:pt idx="665">
                  <c:v>0.30133948430594798</c:v>
                </c:pt>
                <c:pt idx="666">
                  <c:v>0</c:v>
                </c:pt>
                <c:pt idx="667">
                  <c:v>0.18064606490499799</c:v>
                </c:pt>
                <c:pt idx="668">
                  <c:v>0.36492385464995702</c:v>
                </c:pt>
                <c:pt idx="669">
                  <c:v>0.40351282377000802</c:v>
                </c:pt>
                <c:pt idx="670">
                  <c:v>4.9353659705307102E-3</c:v>
                </c:pt>
                <c:pt idx="671">
                  <c:v>0.84992380634799403</c:v>
                </c:pt>
                <c:pt idx="672">
                  <c:v>0.42715646562522602</c:v>
                </c:pt>
                <c:pt idx="673">
                  <c:v>5.1794534002536398E-2</c:v>
                </c:pt>
                <c:pt idx="674">
                  <c:v>0.35556239981180798</c:v>
                </c:pt>
                <c:pt idx="675">
                  <c:v>6.2003099639200497E-2</c:v>
                </c:pt>
                <c:pt idx="676">
                  <c:v>0.20827058198830101</c:v>
                </c:pt>
                <c:pt idx="677">
                  <c:v>0.68061562704284895</c:v>
                </c:pt>
                <c:pt idx="678">
                  <c:v>0.87108813407587704</c:v>
                </c:pt>
                <c:pt idx="679">
                  <c:v>0.111418454370213</c:v>
                </c:pt>
                <c:pt idx="680">
                  <c:v>0.76477077251439995</c:v>
                </c:pt>
                <c:pt idx="681">
                  <c:v>3.01746964235769E-2</c:v>
                </c:pt>
                <c:pt idx="682">
                  <c:v>0.71399896588215594</c:v>
                </c:pt>
                <c:pt idx="683">
                  <c:v>0.52171208507481304</c:v>
                </c:pt>
                <c:pt idx="684">
                  <c:v>0.61292759041898304</c:v>
                </c:pt>
                <c:pt idx="685">
                  <c:v>0.654135025546976</c:v>
                </c:pt>
                <c:pt idx="686">
                  <c:v>0.54301467250107904</c:v>
                </c:pt>
                <c:pt idx="687">
                  <c:v>0.37950017914432699</c:v>
                </c:pt>
                <c:pt idx="688">
                  <c:v>5.4486242431679599E-2</c:v>
                </c:pt>
                <c:pt idx="689">
                  <c:v>0.60003379910532295</c:v>
                </c:pt>
                <c:pt idx="690">
                  <c:v>0.80606385928596802</c:v>
                </c:pt>
                <c:pt idx="691">
                  <c:v>0.97552972104452995</c:v>
                </c:pt>
                <c:pt idx="692">
                  <c:v>0.61595717892413204</c:v>
                </c:pt>
                <c:pt idx="693">
                  <c:v>0.354793612723945</c:v>
                </c:pt>
                <c:pt idx="694">
                  <c:v>0.45486561346415799</c:v>
                </c:pt>
                <c:pt idx="695">
                  <c:v>0.98354998318420195</c:v>
                </c:pt>
                <c:pt idx="696">
                  <c:v>0.96508863230604602</c:v>
                </c:pt>
                <c:pt idx="697">
                  <c:v>0.96726412276645901</c:v>
                </c:pt>
                <c:pt idx="698">
                  <c:v>9.7252370545428003E-3</c:v>
                </c:pt>
                <c:pt idx="699">
                  <c:v>6.4786426781185305E-2</c:v>
                </c:pt>
                <c:pt idx="700">
                  <c:v>0.247634239957953</c:v>
                </c:pt>
                <c:pt idx="701">
                  <c:v>0.21074330081527701</c:v>
                </c:pt>
                <c:pt idx="702">
                  <c:v>0.51720400496141306</c:v>
                </c:pt>
                <c:pt idx="703">
                  <c:v>0.432912486539615</c:v>
                </c:pt>
                <c:pt idx="704">
                  <c:v>0.61344868699807797</c:v>
                </c:pt>
                <c:pt idx="705">
                  <c:v>0.82882999604856999</c:v>
                </c:pt>
                <c:pt idx="706">
                  <c:v>0.63632806595218305</c:v>
                </c:pt>
                <c:pt idx="707">
                  <c:v>0.72356362615516701</c:v>
                </c:pt>
                <c:pt idx="708">
                  <c:v>7.8203750318656104E-2</c:v>
                </c:pt>
                <c:pt idx="709">
                  <c:v>0.52634052506246798</c:v>
                </c:pt>
                <c:pt idx="710">
                  <c:v>0.95265807283886805</c:v>
                </c:pt>
                <c:pt idx="711">
                  <c:v>0.57012629205106102</c:v>
                </c:pt>
                <c:pt idx="712">
                  <c:v>0.872348556729302</c:v>
                </c:pt>
                <c:pt idx="713">
                  <c:v>0.968351609494017</c:v>
                </c:pt>
                <c:pt idx="714">
                  <c:v>0.96143224787151604</c:v>
                </c:pt>
                <c:pt idx="715">
                  <c:v>0.42341193595835502</c:v>
                </c:pt>
                <c:pt idx="716">
                  <c:v>6.3165918036061794E-2</c:v>
                </c:pt>
                <c:pt idx="717">
                  <c:v>3.0198143538038801E-2</c:v>
                </c:pt>
                <c:pt idx="718">
                  <c:v>0.94649077240609703</c:v>
                </c:pt>
                <c:pt idx="719">
                  <c:v>0.996517273192424</c:v>
                </c:pt>
                <c:pt idx="720">
                  <c:v>0.81194105966068797</c:v>
                </c:pt>
                <c:pt idx="721">
                  <c:v>0.98056689819757803</c:v>
                </c:pt>
                <c:pt idx="722">
                  <c:v>0.14505202593178601</c:v>
                </c:pt>
                <c:pt idx="723">
                  <c:v>0.95703511145331299</c:v>
                </c:pt>
                <c:pt idx="724">
                  <c:v>0.57222352080301797</c:v>
                </c:pt>
                <c:pt idx="725">
                  <c:v>1</c:v>
                </c:pt>
                <c:pt idx="726">
                  <c:v>0.29820175288508</c:v>
                </c:pt>
                <c:pt idx="727">
                  <c:v>0.126518336319177</c:v>
                </c:pt>
                <c:pt idx="728">
                  <c:v>0.249949291623073</c:v>
                </c:pt>
                <c:pt idx="729">
                  <c:v>0.117524675494123</c:v>
                </c:pt>
                <c:pt idx="730">
                  <c:v>7.0685775362591394E-2</c:v>
                </c:pt>
                <c:pt idx="731">
                  <c:v>0.42983896886827999</c:v>
                </c:pt>
                <c:pt idx="732">
                  <c:v>0.11431943833521201</c:v>
                </c:pt>
                <c:pt idx="733">
                  <c:v>4.1336563719636697E-2</c:v>
                </c:pt>
                <c:pt idx="734">
                  <c:v>0.80249822026302398</c:v>
                </c:pt>
                <c:pt idx="735">
                  <c:v>0.12052444641650401</c:v>
                </c:pt>
                <c:pt idx="736">
                  <c:v>7.5595117605123897E-3</c:v>
                </c:pt>
                <c:pt idx="737">
                  <c:v>2.24523072729104E-2</c:v>
                </c:pt>
                <c:pt idx="738">
                  <c:v>0.19338367850965199</c:v>
                </c:pt>
                <c:pt idx="739">
                  <c:v>0.97448416310486097</c:v>
                </c:pt>
                <c:pt idx="740">
                  <c:v>9.0061834760527704E-2</c:v>
                </c:pt>
                <c:pt idx="741">
                  <c:v>2.1468788614795599E-2</c:v>
                </c:pt>
                <c:pt idx="742">
                  <c:v>5.7231084389692502E-2</c:v>
                </c:pt>
                <c:pt idx="743">
                  <c:v>0.49033689287440602</c:v>
                </c:pt>
                <c:pt idx="744">
                  <c:v>0.42922725142399598</c:v>
                </c:pt>
                <c:pt idx="745">
                  <c:v>0.97653419603523395</c:v>
                </c:pt>
                <c:pt idx="746">
                  <c:v>0.79502178773994203</c:v>
                </c:pt>
                <c:pt idx="747">
                  <c:v>9.4649715474154107E-3</c:v>
                </c:pt>
                <c:pt idx="748">
                  <c:v>0.20651448204696099</c:v>
                </c:pt>
                <c:pt idx="749">
                  <c:v>0.71799896957334097</c:v>
                </c:pt>
                <c:pt idx="750">
                  <c:v>0.471596764528874</c:v>
                </c:pt>
                <c:pt idx="751">
                  <c:v>0.49052806383315101</c:v>
                </c:pt>
                <c:pt idx="752">
                  <c:v>0.99533389511235904</c:v>
                </c:pt>
                <c:pt idx="753">
                  <c:v>0.21300272235285</c:v>
                </c:pt>
                <c:pt idx="754">
                  <c:v>0.65203995190647002</c:v>
                </c:pt>
                <c:pt idx="755">
                  <c:v>0.96847588474084201</c:v>
                </c:pt>
                <c:pt idx="756">
                  <c:v>0.94953091870919204</c:v>
                </c:pt>
                <c:pt idx="757">
                  <c:v>0.85093485863856699</c:v>
                </c:pt>
                <c:pt idx="758">
                  <c:v>0.96606696847790896</c:v>
                </c:pt>
                <c:pt idx="759">
                  <c:v>0.99955191341676697</c:v>
                </c:pt>
                <c:pt idx="760">
                  <c:v>0.511830247606199</c:v>
                </c:pt>
                <c:pt idx="761">
                  <c:v>0.96161661248658103</c:v>
                </c:pt>
                <c:pt idx="762">
                  <c:v>0.91773756215355695</c:v>
                </c:pt>
                <c:pt idx="763">
                  <c:v>0.96630035126247404</c:v>
                </c:pt>
                <c:pt idx="764">
                  <c:v>4.0442450481569199E-2</c:v>
                </c:pt>
                <c:pt idx="765">
                  <c:v>0.87093578086715595</c:v>
                </c:pt>
                <c:pt idx="766">
                  <c:v>0.43943786515761502</c:v>
                </c:pt>
                <c:pt idx="767">
                  <c:v>0.53843449492814699</c:v>
                </c:pt>
                <c:pt idx="768">
                  <c:v>0.97854500910700004</c:v>
                </c:pt>
                <c:pt idx="769">
                  <c:v>0.84742369306451004</c:v>
                </c:pt>
                <c:pt idx="770">
                  <c:v>0.696378795565605</c:v>
                </c:pt>
                <c:pt idx="771">
                  <c:v>0.24086745827490599</c:v>
                </c:pt>
                <c:pt idx="772">
                  <c:v>0.90496449857413497</c:v>
                </c:pt>
                <c:pt idx="773">
                  <c:v>0.991308411141957</c:v>
                </c:pt>
                <c:pt idx="774">
                  <c:v>0.97813281643315897</c:v>
                </c:pt>
                <c:pt idx="775">
                  <c:v>0.99998089521446898</c:v>
                </c:pt>
                <c:pt idx="776">
                  <c:v>0.90747096092924995</c:v>
                </c:pt>
                <c:pt idx="777">
                  <c:v>0.45856483772619899</c:v>
                </c:pt>
                <c:pt idx="778">
                  <c:v>0.87432098052564899</c:v>
                </c:pt>
                <c:pt idx="779">
                  <c:v>0.85809229360686701</c:v>
                </c:pt>
                <c:pt idx="780">
                  <c:v>0.25394663594619299</c:v>
                </c:pt>
                <c:pt idx="781">
                  <c:v>0.53146729536050996</c:v>
                </c:pt>
                <c:pt idx="782">
                  <c:v>0.89966821510409101</c:v>
                </c:pt>
                <c:pt idx="783">
                  <c:v>0.93845782211157203</c:v>
                </c:pt>
                <c:pt idx="784">
                  <c:v>0.560798203487472</c:v>
                </c:pt>
                <c:pt idx="785">
                  <c:v>0.31136653400143799</c:v>
                </c:pt>
                <c:pt idx="786">
                  <c:v>0.949177951088648</c:v>
                </c:pt>
                <c:pt idx="787">
                  <c:v>0.70663924527437405</c:v>
                </c:pt>
                <c:pt idx="788">
                  <c:v>2.6914951312976099E-2</c:v>
                </c:pt>
                <c:pt idx="789">
                  <c:v>0.57154767074506296</c:v>
                </c:pt>
                <c:pt idx="790">
                  <c:v>0.96080428149827501</c:v>
                </c:pt>
                <c:pt idx="791">
                  <c:v>0.92724517117601302</c:v>
                </c:pt>
                <c:pt idx="792">
                  <c:v>0.96449210721302203</c:v>
                </c:pt>
                <c:pt idx="793">
                  <c:v>1</c:v>
                </c:pt>
                <c:pt idx="794">
                  <c:v>0.97541415797283604</c:v>
                </c:pt>
                <c:pt idx="795">
                  <c:v>0.46796667005620202</c:v>
                </c:pt>
                <c:pt idx="796">
                  <c:v>0.16939385489914399</c:v>
                </c:pt>
                <c:pt idx="797">
                  <c:v>3.1611896490499898E-2</c:v>
                </c:pt>
                <c:pt idx="798">
                  <c:v>0.90468857197486896</c:v>
                </c:pt>
                <c:pt idx="799">
                  <c:v>0.69192381907085398</c:v>
                </c:pt>
                <c:pt idx="800">
                  <c:v>0.39949757776127298</c:v>
                </c:pt>
                <c:pt idx="801">
                  <c:v>0.90853565281862303</c:v>
                </c:pt>
                <c:pt idx="802">
                  <c:v>0.69649481066929897</c:v>
                </c:pt>
                <c:pt idx="803">
                  <c:v>0.97935782239272995</c:v>
                </c:pt>
                <c:pt idx="804">
                  <c:v>0.62992691389517197</c:v>
                </c:pt>
                <c:pt idx="805">
                  <c:v>1</c:v>
                </c:pt>
                <c:pt idx="806">
                  <c:v>0.85240606583854495</c:v>
                </c:pt>
                <c:pt idx="807">
                  <c:v>0.114779630303494</c:v>
                </c:pt>
                <c:pt idx="808">
                  <c:v>0.31977567838153598</c:v>
                </c:pt>
                <c:pt idx="809">
                  <c:v>2.3773003767491301E-2</c:v>
                </c:pt>
                <c:pt idx="810">
                  <c:v>2.9903022031678599E-2</c:v>
                </c:pt>
                <c:pt idx="811">
                  <c:v>9.7077025033485101E-2</c:v>
                </c:pt>
                <c:pt idx="812">
                  <c:v>0.69725721312344402</c:v>
                </c:pt>
                <c:pt idx="813">
                  <c:v>0.94330125462568504</c:v>
                </c:pt>
                <c:pt idx="814">
                  <c:v>3.4080449002119602E-2</c:v>
                </c:pt>
                <c:pt idx="815">
                  <c:v>1.1378518259543899E-2</c:v>
                </c:pt>
                <c:pt idx="816">
                  <c:v>0.72779185620596598</c:v>
                </c:pt>
                <c:pt idx="817">
                  <c:v>0.88530456623091502</c:v>
                </c:pt>
                <c:pt idx="818">
                  <c:v>0.24002286647203799</c:v>
                </c:pt>
                <c:pt idx="819">
                  <c:v>1.3442847563997299E-2</c:v>
                </c:pt>
                <c:pt idx="820">
                  <c:v>2.7238337840422198E-2</c:v>
                </c:pt>
                <c:pt idx="821">
                  <c:v>1.8432838748824999E-2</c:v>
                </c:pt>
                <c:pt idx="822">
                  <c:v>0.96698535002414898</c:v>
                </c:pt>
                <c:pt idx="823">
                  <c:v>1.4881643548464E-2</c:v>
                </c:pt>
                <c:pt idx="824">
                  <c:v>0.53659382564707503</c:v>
                </c:pt>
                <c:pt idx="825">
                  <c:v>0.93206650470019103</c:v>
                </c:pt>
                <c:pt idx="826">
                  <c:v>0.96804760219854202</c:v>
                </c:pt>
                <c:pt idx="827">
                  <c:v>0.48708266888618601</c:v>
                </c:pt>
                <c:pt idx="828">
                  <c:v>6.6400159144240606E-2</c:v>
                </c:pt>
                <c:pt idx="829">
                  <c:v>0.38632686024995699</c:v>
                </c:pt>
                <c:pt idx="830">
                  <c:v>0.104912816471063</c:v>
                </c:pt>
                <c:pt idx="831">
                  <c:v>0.407904527053921</c:v>
                </c:pt>
                <c:pt idx="832">
                  <c:v>0.85675867032939201</c:v>
                </c:pt>
                <c:pt idx="833">
                  <c:v>1.6129505041435802E-2</c:v>
                </c:pt>
                <c:pt idx="834">
                  <c:v>1</c:v>
                </c:pt>
                <c:pt idx="835">
                  <c:v>0.98273971038308305</c:v>
                </c:pt>
                <c:pt idx="836">
                  <c:v>0.135737274636092</c:v>
                </c:pt>
                <c:pt idx="837">
                  <c:v>0.94356847536806399</c:v>
                </c:pt>
                <c:pt idx="838">
                  <c:v>3.0578608312004801E-2</c:v>
                </c:pt>
                <c:pt idx="839">
                  <c:v>4.5679500995225497E-2</c:v>
                </c:pt>
                <c:pt idx="840">
                  <c:v>3.4034868369525198E-2</c:v>
                </c:pt>
                <c:pt idx="841">
                  <c:v>0.101741139556097</c:v>
                </c:pt>
                <c:pt idx="842">
                  <c:v>0.19881185420995401</c:v>
                </c:pt>
                <c:pt idx="843">
                  <c:v>0.99088462357106899</c:v>
                </c:pt>
                <c:pt idx="844">
                  <c:v>0.602157469005274</c:v>
                </c:pt>
                <c:pt idx="845">
                  <c:v>0.44678332936236598</c:v>
                </c:pt>
                <c:pt idx="846">
                  <c:v>0.89020088171499601</c:v>
                </c:pt>
                <c:pt idx="847">
                  <c:v>0.61569502335270199</c:v>
                </c:pt>
                <c:pt idx="848">
                  <c:v>0.29775624630421399</c:v>
                </c:pt>
                <c:pt idx="849">
                  <c:v>0.28839077241276501</c:v>
                </c:pt>
                <c:pt idx="850">
                  <c:v>0.51564812537368099</c:v>
                </c:pt>
                <c:pt idx="851">
                  <c:v>2.4656664686175299E-2</c:v>
                </c:pt>
                <c:pt idx="852">
                  <c:v>0.124748218781484</c:v>
                </c:pt>
                <c:pt idx="853">
                  <c:v>0.12072717183461899</c:v>
                </c:pt>
                <c:pt idx="854">
                  <c:v>0.997495897512507</c:v>
                </c:pt>
                <c:pt idx="855">
                  <c:v>0.65588668598531996</c:v>
                </c:pt>
                <c:pt idx="856">
                  <c:v>0.912679703671743</c:v>
                </c:pt>
                <c:pt idx="857">
                  <c:v>0.99587924715200205</c:v>
                </c:pt>
                <c:pt idx="858">
                  <c:v>0.98603501644365299</c:v>
                </c:pt>
                <c:pt idx="859">
                  <c:v>0.63519052203181503</c:v>
                </c:pt>
                <c:pt idx="860">
                  <c:v>3.1716494392261402E-2</c:v>
                </c:pt>
                <c:pt idx="861">
                  <c:v>0.77586065613132005</c:v>
                </c:pt>
                <c:pt idx="862">
                  <c:v>0.92172384954809805</c:v>
                </c:pt>
                <c:pt idx="863">
                  <c:v>0.46048543393518598</c:v>
                </c:pt>
                <c:pt idx="864">
                  <c:v>1.2309194627683101E-2</c:v>
                </c:pt>
                <c:pt idx="865">
                  <c:v>0.47303440000522501</c:v>
                </c:pt>
                <c:pt idx="866">
                  <c:v>0.38450951958199098</c:v>
                </c:pt>
                <c:pt idx="867">
                  <c:v>8.7752312367566199E-2</c:v>
                </c:pt>
                <c:pt idx="868">
                  <c:v>3.9389716178538398E-2</c:v>
                </c:pt>
                <c:pt idx="869">
                  <c:v>1.52895454627E-2</c:v>
                </c:pt>
                <c:pt idx="870">
                  <c:v>0.84800853103746798</c:v>
                </c:pt>
                <c:pt idx="871">
                  <c:v>1.3803247127092E-2</c:v>
                </c:pt>
                <c:pt idx="872">
                  <c:v>0.10125991091419</c:v>
                </c:pt>
                <c:pt idx="873">
                  <c:v>7.0684913350343007E-2</c:v>
                </c:pt>
                <c:pt idx="874">
                  <c:v>3.9258664996549897E-2</c:v>
                </c:pt>
                <c:pt idx="875">
                  <c:v>0.47560065593464002</c:v>
                </c:pt>
                <c:pt idx="876">
                  <c:v>0.68693091824597796</c:v>
                </c:pt>
                <c:pt idx="877">
                  <c:v>2.0034458247498201E-2</c:v>
                </c:pt>
                <c:pt idx="878">
                  <c:v>8.0109488694306806E-3</c:v>
                </c:pt>
                <c:pt idx="879">
                  <c:v>4.2601966255911797E-2</c:v>
                </c:pt>
                <c:pt idx="880">
                  <c:v>0.86234651000236695</c:v>
                </c:pt>
                <c:pt idx="881">
                  <c:v>0.23015591664516599</c:v>
                </c:pt>
                <c:pt idx="882">
                  <c:v>1.9825319443003201E-2</c:v>
                </c:pt>
                <c:pt idx="883">
                  <c:v>9.91721316425868E-2</c:v>
                </c:pt>
                <c:pt idx="884">
                  <c:v>9.7354603183328406E-3</c:v>
                </c:pt>
                <c:pt idx="885">
                  <c:v>0.74971643437469804</c:v>
                </c:pt>
                <c:pt idx="886">
                  <c:v>4.8688054902381199E-2</c:v>
                </c:pt>
                <c:pt idx="887">
                  <c:v>0</c:v>
                </c:pt>
                <c:pt idx="888">
                  <c:v>0.99192304664462105</c:v>
                </c:pt>
                <c:pt idx="889">
                  <c:v>0.881201080777683</c:v>
                </c:pt>
                <c:pt idx="890">
                  <c:v>0.89764485438947605</c:v>
                </c:pt>
                <c:pt idx="891">
                  <c:v>0.95688718651646099</c:v>
                </c:pt>
                <c:pt idx="892">
                  <c:v>0.97571489867779204</c:v>
                </c:pt>
                <c:pt idx="893">
                  <c:v>0.92833156415349505</c:v>
                </c:pt>
                <c:pt idx="894">
                  <c:v>0.80273627622211896</c:v>
                </c:pt>
                <c:pt idx="895">
                  <c:v>0.56452527713310996</c:v>
                </c:pt>
                <c:pt idx="896">
                  <c:v>0.73542455520337702</c:v>
                </c:pt>
                <c:pt idx="897">
                  <c:v>0.59678132309071896</c:v>
                </c:pt>
                <c:pt idx="898">
                  <c:v>0.98437824147437403</c:v>
                </c:pt>
                <c:pt idx="899">
                  <c:v>0.91541597615890302</c:v>
                </c:pt>
                <c:pt idx="900">
                  <c:v>1</c:v>
                </c:pt>
                <c:pt idx="901">
                  <c:v>0.99395470415013298</c:v>
                </c:pt>
                <c:pt idx="902">
                  <c:v>0.58165682070647295</c:v>
                </c:pt>
                <c:pt idx="903">
                  <c:v>0.524436184111433</c:v>
                </c:pt>
                <c:pt idx="904">
                  <c:v>0.22655071411130201</c:v>
                </c:pt>
                <c:pt idx="905">
                  <c:v>1.3276542180775499E-2</c:v>
                </c:pt>
                <c:pt idx="906">
                  <c:v>0.62990153780973102</c:v>
                </c:pt>
                <c:pt idx="907">
                  <c:v>0.117565250839704</c:v>
                </c:pt>
                <c:pt idx="908">
                  <c:v>0.99272275103282304</c:v>
                </c:pt>
                <c:pt idx="909">
                  <c:v>0.59303267941238003</c:v>
                </c:pt>
                <c:pt idx="910">
                  <c:v>0.66871764873896899</c:v>
                </c:pt>
                <c:pt idx="911">
                  <c:v>0.107475249630041</c:v>
                </c:pt>
                <c:pt idx="912">
                  <c:v>0.121160844865321</c:v>
                </c:pt>
                <c:pt idx="913">
                  <c:v>0.89306938474814301</c:v>
                </c:pt>
                <c:pt idx="914">
                  <c:v>0.89757914595207899</c:v>
                </c:pt>
                <c:pt idx="915">
                  <c:v>0.80050009022395097</c:v>
                </c:pt>
                <c:pt idx="916">
                  <c:v>0.41563947735589402</c:v>
                </c:pt>
                <c:pt idx="917">
                  <c:v>0.56716662442214105</c:v>
                </c:pt>
                <c:pt idx="918">
                  <c:v>0.77295315163759304</c:v>
                </c:pt>
                <c:pt idx="919">
                  <c:v>0.94646593725731598</c:v>
                </c:pt>
                <c:pt idx="920">
                  <c:v>0.49599851099056602</c:v>
                </c:pt>
                <c:pt idx="921">
                  <c:v>4.6142569100370602E-2</c:v>
                </c:pt>
                <c:pt idx="922">
                  <c:v>1.9552516710655801E-2</c:v>
                </c:pt>
                <c:pt idx="923">
                  <c:v>0.243040791935105</c:v>
                </c:pt>
                <c:pt idx="924">
                  <c:v>0.92423798720513095</c:v>
                </c:pt>
                <c:pt idx="925">
                  <c:v>0.20328151085159399</c:v>
                </c:pt>
                <c:pt idx="926">
                  <c:v>3.2235772186673698E-3</c:v>
                </c:pt>
                <c:pt idx="927">
                  <c:v>0.97005139240864302</c:v>
                </c:pt>
                <c:pt idx="928">
                  <c:v>6.8213780351617695E-2</c:v>
                </c:pt>
                <c:pt idx="929">
                  <c:v>0.29736887068064999</c:v>
                </c:pt>
                <c:pt idx="930">
                  <c:v>9.4396383203802E-3</c:v>
                </c:pt>
                <c:pt idx="931">
                  <c:v>2.7617316767427302E-2</c:v>
                </c:pt>
                <c:pt idx="932">
                  <c:v>0.96320894393998302</c:v>
                </c:pt>
                <c:pt idx="933">
                  <c:v>4.52063229039779E-2</c:v>
                </c:pt>
                <c:pt idx="934">
                  <c:v>0.142657696905196</c:v>
                </c:pt>
                <c:pt idx="935">
                  <c:v>0.35749006038772302</c:v>
                </c:pt>
                <c:pt idx="936">
                  <c:v>0.116415271563064</c:v>
                </c:pt>
                <c:pt idx="937">
                  <c:v>0.812933344489712</c:v>
                </c:pt>
                <c:pt idx="938">
                  <c:v>0.93857125386317997</c:v>
                </c:pt>
                <c:pt idx="939">
                  <c:v>6.1567685410024803E-2</c:v>
                </c:pt>
                <c:pt idx="940">
                  <c:v>0.911331633994098</c:v>
                </c:pt>
                <c:pt idx="941">
                  <c:v>5.3565088306988598E-2</c:v>
                </c:pt>
                <c:pt idx="942">
                  <c:v>0.76494773478141398</c:v>
                </c:pt>
                <c:pt idx="943">
                  <c:v>0.15485469709608399</c:v>
                </c:pt>
                <c:pt idx="944">
                  <c:v>0.12535705456500201</c:v>
                </c:pt>
                <c:pt idx="945">
                  <c:v>8.1549700713584194E-2</c:v>
                </c:pt>
                <c:pt idx="946">
                  <c:v>4.8359303642000799E-2</c:v>
                </c:pt>
                <c:pt idx="947">
                  <c:v>0.56311767948110103</c:v>
                </c:pt>
                <c:pt idx="948">
                  <c:v>0.74664501269180505</c:v>
                </c:pt>
                <c:pt idx="949">
                  <c:v>0.431312761544967</c:v>
                </c:pt>
                <c:pt idx="950">
                  <c:v>0.87042094918469304</c:v>
                </c:pt>
                <c:pt idx="951">
                  <c:v>0.453943623104683</c:v>
                </c:pt>
                <c:pt idx="952">
                  <c:v>0.39544505071729902</c:v>
                </c:pt>
                <c:pt idx="953">
                  <c:v>0</c:v>
                </c:pt>
                <c:pt idx="954">
                  <c:v>0.51709490741249198</c:v>
                </c:pt>
                <c:pt idx="955">
                  <c:v>0.927206284233422</c:v>
                </c:pt>
                <c:pt idx="956">
                  <c:v>0.99541095492539899</c:v>
                </c:pt>
                <c:pt idx="957">
                  <c:v>0.147770517208725</c:v>
                </c:pt>
                <c:pt idx="958">
                  <c:v>0.53064662002784702</c:v>
                </c:pt>
                <c:pt idx="959">
                  <c:v>3.45640037643931E-2</c:v>
                </c:pt>
                <c:pt idx="960">
                  <c:v>0.88975056798382102</c:v>
                </c:pt>
                <c:pt idx="961">
                  <c:v>0.90461215679345697</c:v>
                </c:pt>
                <c:pt idx="962">
                  <c:v>0.47562727388927201</c:v>
                </c:pt>
                <c:pt idx="963">
                  <c:v>1</c:v>
                </c:pt>
                <c:pt idx="964">
                  <c:v>0.84653852916071903</c:v>
                </c:pt>
                <c:pt idx="965">
                  <c:v>1</c:v>
                </c:pt>
                <c:pt idx="966">
                  <c:v>0.95340282802843701</c:v>
                </c:pt>
                <c:pt idx="967">
                  <c:v>0.78787404882840395</c:v>
                </c:pt>
                <c:pt idx="968">
                  <c:v>0.87991964304002102</c:v>
                </c:pt>
                <c:pt idx="969">
                  <c:v>0.435679829115102</c:v>
                </c:pt>
                <c:pt idx="970">
                  <c:v>0.92415115358696898</c:v>
                </c:pt>
                <c:pt idx="971">
                  <c:v>0.52234656641043797</c:v>
                </c:pt>
                <c:pt idx="972">
                  <c:v>8.8597930291822002E-2</c:v>
                </c:pt>
                <c:pt idx="973">
                  <c:v>0.50115734065979001</c:v>
                </c:pt>
                <c:pt idx="974">
                  <c:v>0.72438798690408202</c:v>
                </c:pt>
                <c:pt idx="975">
                  <c:v>0.69349617891056303</c:v>
                </c:pt>
                <c:pt idx="976">
                  <c:v>0.37084025960688199</c:v>
                </c:pt>
                <c:pt idx="977">
                  <c:v>0.67283433053061104</c:v>
                </c:pt>
                <c:pt idx="978">
                  <c:v>0.59131462990402595</c:v>
                </c:pt>
                <c:pt idx="979">
                  <c:v>0.93346625809046202</c:v>
                </c:pt>
                <c:pt idx="980">
                  <c:v>0.99688454080990896</c:v>
                </c:pt>
                <c:pt idx="981">
                  <c:v>1</c:v>
                </c:pt>
                <c:pt idx="982">
                  <c:v>0.999169001328576</c:v>
                </c:pt>
                <c:pt idx="983">
                  <c:v>0.996557979539338</c:v>
                </c:pt>
                <c:pt idx="984">
                  <c:v>0.47035705191414801</c:v>
                </c:pt>
                <c:pt idx="985">
                  <c:v>0.99447464994986601</c:v>
                </c:pt>
                <c:pt idx="986">
                  <c:v>0.87126021550892496</c:v>
                </c:pt>
                <c:pt idx="987">
                  <c:v>1</c:v>
                </c:pt>
                <c:pt idx="988">
                  <c:v>0.83629306476112697</c:v>
                </c:pt>
                <c:pt idx="989">
                  <c:v>0.58829759602623199</c:v>
                </c:pt>
                <c:pt idx="990">
                  <c:v>0.50973252969753802</c:v>
                </c:pt>
                <c:pt idx="991">
                  <c:v>0.61225291432657103</c:v>
                </c:pt>
                <c:pt idx="992">
                  <c:v>0.19570178391545001</c:v>
                </c:pt>
                <c:pt idx="993">
                  <c:v>0.41463997204167802</c:v>
                </c:pt>
                <c:pt idx="994">
                  <c:v>0.29084269785181599</c:v>
                </c:pt>
                <c:pt idx="995">
                  <c:v>3.8935975594706997E-2</c:v>
                </c:pt>
                <c:pt idx="996">
                  <c:v>0.77289106008826602</c:v>
                </c:pt>
                <c:pt idx="997">
                  <c:v>0.98071722614193202</c:v>
                </c:pt>
                <c:pt idx="998">
                  <c:v>0.49514011895417898</c:v>
                </c:pt>
                <c:pt idx="999">
                  <c:v>1.66473057608367E-2</c:v>
                </c:pt>
                <c:pt idx="1000">
                  <c:v>1.63052080834079E-2</c:v>
                </c:pt>
                <c:pt idx="1001">
                  <c:v>3.8785479521649402E-2</c:v>
                </c:pt>
                <c:pt idx="1002">
                  <c:v>7.7330746943928802E-2</c:v>
                </c:pt>
                <c:pt idx="1003">
                  <c:v>7.9536275481178406E-2</c:v>
                </c:pt>
                <c:pt idx="1004">
                  <c:v>0.73688783665679503</c:v>
                </c:pt>
                <c:pt idx="1005">
                  <c:v>4.25068688182473E-2</c:v>
                </c:pt>
                <c:pt idx="1006">
                  <c:v>0.95360955681808102</c:v>
                </c:pt>
                <c:pt idx="1007">
                  <c:v>0.47188654104279698</c:v>
                </c:pt>
                <c:pt idx="1008">
                  <c:v>5.9489135453303803E-2</c:v>
                </c:pt>
                <c:pt idx="1009">
                  <c:v>0.118221522956654</c:v>
                </c:pt>
                <c:pt idx="1010">
                  <c:v>2.4441567089306501E-2</c:v>
                </c:pt>
                <c:pt idx="1011">
                  <c:v>0.45252697728388502</c:v>
                </c:pt>
                <c:pt idx="1012">
                  <c:v>0</c:v>
                </c:pt>
                <c:pt idx="1013">
                  <c:v>3.1089350685689399E-2</c:v>
                </c:pt>
                <c:pt idx="1014">
                  <c:v>0.14189922949060699</c:v>
                </c:pt>
                <c:pt idx="1015">
                  <c:v>0.99080248526758996</c:v>
                </c:pt>
                <c:pt idx="1016">
                  <c:v>0.25046723628687501</c:v>
                </c:pt>
                <c:pt idx="1017">
                  <c:v>0.99970611560745004</c:v>
                </c:pt>
                <c:pt idx="1018">
                  <c:v>0.89076691305592903</c:v>
                </c:pt>
                <c:pt idx="1019">
                  <c:v>0.67370854936984903</c:v>
                </c:pt>
                <c:pt idx="1020">
                  <c:v>0.84210765546193</c:v>
                </c:pt>
                <c:pt idx="1021">
                  <c:v>0.48720657273963303</c:v>
                </c:pt>
                <c:pt idx="1022">
                  <c:v>0.53206845537056002</c:v>
                </c:pt>
                <c:pt idx="1023">
                  <c:v>2.94408978069911E-2</c:v>
                </c:pt>
                <c:pt idx="1024">
                  <c:v>0.103980333516195</c:v>
                </c:pt>
                <c:pt idx="1025">
                  <c:v>0.18873693434359701</c:v>
                </c:pt>
                <c:pt idx="1026">
                  <c:v>0.52471830564784105</c:v>
                </c:pt>
                <c:pt idx="1027">
                  <c:v>0.386605785756372</c:v>
                </c:pt>
                <c:pt idx="1028">
                  <c:v>0.50072716485356705</c:v>
                </c:pt>
                <c:pt idx="1029">
                  <c:v>0.97248962173313402</c:v>
                </c:pt>
                <c:pt idx="1030">
                  <c:v>0.50891986226691299</c:v>
                </c:pt>
                <c:pt idx="1031">
                  <c:v>0.27770664679951501</c:v>
                </c:pt>
                <c:pt idx="1032">
                  <c:v>0.102556238714306</c:v>
                </c:pt>
                <c:pt idx="1033">
                  <c:v>1.51294952749867E-2</c:v>
                </c:pt>
                <c:pt idx="1034">
                  <c:v>0.94126906101098895</c:v>
                </c:pt>
                <c:pt idx="1035">
                  <c:v>0</c:v>
                </c:pt>
                <c:pt idx="1036">
                  <c:v>0.110492963534988</c:v>
                </c:pt>
                <c:pt idx="1037">
                  <c:v>6.9003696358936897E-2</c:v>
                </c:pt>
                <c:pt idx="1038">
                  <c:v>6.4745781433070998E-2</c:v>
                </c:pt>
                <c:pt idx="1039">
                  <c:v>0.47071053654883199</c:v>
                </c:pt>
                <c:pt idx="1040">
                  <c:v>2.6115510498823701E-3</c:v>
                </c:pt>
                <c:pt idx="1041">
                  <c:v>5.2792105668787704E-4</c:v>
                </c:pt>
                <c:pt idx="1042">
                  <c:v>0.86677463689731904</c:v>
                </c:pt>
                <c:pt idx="1043">
                  <c:v>9.0818917081156303E-2</c:v>
                </c:pt>
                <c:pt idx="1044">
                  <c:v>1.24817048837342E-2</c:v>
                </c:pt>
                <c:pt idx="1045">
                  <c:v>4.6457469977327297E-2</c:v>
                </c:pt>
                <c:pt idx="1046">
                  <c:v>1.4777153257365699E-2</c:v>
                </c:pt>
                <c:pt idx="1047">
                  <c:v>0.92395490802157398</c:v>
                </c:pt>
                <c:pt idx="1048">
                  <c:v>2.1563281255886101E-2</c:v>
                </c:pt>
                <c:pt idx="1049">
                  <c:v>0.98627231335266297</c:v>
                </c:pt>
                <c:pt idx="1050">
                  <c:v>2.4439654531031901E-2</c:v>
                </c:pt>
                <c:pt idx="1051">
                  <c:v>3.6198758133954803E-2</c:v>
                </c:pt>
                <c:pt idx="1052">
                  <c:v>5.0247409869944998E-2</c:v>
                </c:pt>
                <c:pt idx="1053">
                  <c:v>0.27028628019645801</c:v>
                </c:pt>
                <c:pt idx="1054">
                  <c:v>0.77037649631620397</c:v>
                </c:pt>
                <c:pt idx="1055">
                  <c:v>0.88059174194881995</c:v>
                </c:pt>
                <c:pt idx="1056">
                  <c:v>0.68237108306133698</c:v>
                </c:pt>
                <c:pt idx="1057">
                  <c:v>5.8553102166522902E-2</c:v>
                </c:pt>
                <c:pt idx="1058">
                  <c:v>0.123495144459949</c:v>
                </c:pt>
                <c:pt idx="1059">
                  <c:v>4.6259607265298701E-2</c:v>
                </c:pt>
                <c:pt idx="1060">
                  <c:v>3.9155396077578701E-3</c:v>
                </c:pt>
                <c:pt idx="1061">
                  <c:v>0.56322960516019804</c:v>
                </c:pt>
                <c:pt idx="1062">
                  <c:v>0.97617507724675101</c:v>
                </c:pt>
                <c:pt idx="1063">
                  <c:v>0.40837596988454999</c:v>
                </c:pt>
                <c:pt idx="1064">
                  <c:v>0.45551449920582499</c:v>
                </c:pt>
                <c:pt idx="1065">
                  <c:v>7.8595768871286803E-2</c:v>
                </c:pt>
                <c:pt idx="1066">
                  <c:v>0.99025095997605905</c:v>
                </c:pt>
                <c:pt idx="1067">
                  <c:v>5.0500520856943801E-2</c:v>
                </c:pt>
                <c:pt idx="1068">
                  <c:v>7.9946945587780292E-3</c:v>
                </c:pt>
                <c:pt idx="1069">
                  <c:v>3.5440423475925999E-2</c:v>
                </c:pt>
                <c:pt idx="1070">
                  <c:v>0.57185310581605098</c:v>
                </c:pt>
                <c:pt idx="1071">
                  <c:v>0.82431576790098704</c:v>
                </c:pt>
                <c:pt idx="1072">
                  <c:v>0.71715612477172896</c:v>
                </c:pt>
                <c:pt idx="1073">
                  <c:v>0.41183955650007897</c:v>
                </c:pt>
                <c:pt idx="1074">
                  <c:v>0.14184990743981399</c:v>
                </c:pt>
                <c:pt idx="1075">
                  <c:v>0.58714163178991496</c:v>
                </c:pt>
                <c:pt idx="1076">
                  <c:v>0.88402394998865497</c:v>
                </c:pt>
                <c:pt idx="1077">
                  <c:v>7.9974133820327503E-2</c:v>
                </c:pt>
                <c:pt idx="1078">
                  <c:v>0.63280172305226401</c:v>
                </c:pt>
                <c:pt idx="1079">
                  <c:v>0.89042344204484802</c:v>
                </c:pt>
                <c:pt idx="1080">
                  <c:v>0.98721357353747996</c:v>
                </c:pt>
                <c:pt idx="1081">
                  <c:v>0.94630380547140602</c:v>
                </c:pt>
                <c:pt idx="1082">
                  <c:v>0.923895023013796</c:v>
                </c:pt>
                <c:pt idx="1083">
                  <c:v>0.64928391962835497</c:v>
                </c:pt>
                <c:pt idx="1084">
                  <c:v>0.17663042933110401</c:v>
                </c:pt>
                <c:pt idx="1085">
                  <c:v>5.5176614310992897E-2</c:v>
                </c:pt>
                <c:pt idx="1086">
                  <c:v>0.91224443773237096</c:v>
                </c:pt>
                <c:pt idx="1087">
                  <c:v>0.99044598026517605</c:v>
                </c:pt>
                <c:pt idx="1088">
                  <c:v>0.63161938980798504</c:v>
                </c:pt>
                <c:pt idx="1089">
                  <c:v>0.90891525971734299</c:v>
                </c:pt>
                <c:pt idx="1090">
                  <c:v>0.888268394230324</c:v>
                </c:pt>
                <c:pt idx="1091">
                  <c:v>0.24604448929085601</c:v>
                </c:pt>
                <c:pt idx="1092">
                  <c:v>0.91963052039911597</c:v>
                </c:pt>
                <c:pt idx="1093">
                  <c:v>0.24573760462899299</c:v>
                </c:pt>
                <c:pt idx="1094">
                  <c:v>1</c:v>
                </c:pt>
                <c:pt idx="1095">
                  <c:v>0.10182550094470701</c:v>
                </c:pt>
                <c:pt idx="1096">
                  <c:v>9.0053274091904903E-2</c:v>
                </c:pt>
                <c:pt idx="1097">
                  <c:v>7.6877039800791899E-2</c:v>
                </c:pt>
                <c:pt idx="1098">
                  <c:v>7.1631167084606207E-2</c:v>
                </c:pt>
              </c:numCache>
            </c:numRef>
          </c:xVal>
          <c:yVal>
            <c:numRef>
              <c:f>'National Races Data'!$J$4:$J$1102</c:f>
              <c:numCache>
                <c:formatCode>0.0000</c:formatCode>
                <c:ptCount val="1099"/>
                <c:pt idx="0">
                  <c:v>0.36801207651760798</c:v>
                </c:pt>
                <c:pt idx="1">
                  <c:v>0.38497409326424897</c:v>
                </c:pt>
                <c:pt idx="2">
                  <c:v>0.36241726569039501</c:v>
                </c:pt>
                <c:pt idx="3">
                  <c:v>0.20148474303024499</c:v>
                </c:pt>
                <c:pt idx="4">
                  <c:v>0.38927859750970401</c:v>
                </c:pt>
                <c:pt idx="5">
                  <c:v>0.30786596018491202</c:v>
                </c:pt>
                <c:pt idx="6">
                  <c:v>0.29444636537444602</c:v>
                </c:pt>
                <c:pt idx="7">
                  <c:v>0.46779585917989203</c:v>
                </c:pt>
                <c:pt idx="8">
                  <c:v>0.33510231636927801</c:v>
                </c:pt>
                <c:pt idx="9">
                  <c:v>0.31876606683804598</c:v>
                </c:pt>
                <c:pt idx="10">
                  <c:v>8.1343378878815001E-2</c:v>
                </c:pt>
                <c:pt idx="11">
                  <c:v>0.53844765885784696</c:v>
                </c:pt>
                <c:pt idx="12">
                  <c:v>0.54746449131707697</c:v>
                </c:pt>
                <c:pt idx="13">
                  <c:v>0.63865461959246395</c:v>
                </c:pt>
                <c:pt idx="14">
                  <c:v>0.30918961234695302</c:v>
                </c:pt>
                <c:pt idx="15">
                  <c:v>0.40575409500932702</c:v>
                </c:pt>
                <c:pt idx="16">
                  <c:v>0.44806964638076602</c:v>
                </c:pt>
                <c:pt idx="17">
                  <c:v>0.445358799490151</c:v>
                </c:pt>
                <c:pt idx="18">
                  <c:v>0.61085571015713203</c:v>
                </c:pt>
                <c:pt idx="19">
                  <c:v>0.45113411112711499</c:v>
                </c:pt>
                <c:pt idx="20">
                  <c:v>0.77007954837054204</c:v>
                </c:pt>
                <c:pt idx="21">
                  <c:v>0.58072946941025005</c:v>
                </c:pt>
                <c:pt idx="22">
                  <c:v>0.45868535229294199</c:v>
                </c:pt>
                <c:pt idx="23">
                  <c:v>0.55044972427090699</c:v>
                </c:pt>
                <c:pt idx="24">
                  <c:v>0.56491484984783102</c:v>
                </c:pt>
                <c:pt idx="25">
                  <c:v>0.52251013970256899</c:v>
                </c:pt>
                <c:pt idx="26">
                  <c:v>0.86823182116364706</c:v>
                </c:pt>
                <c:pt idx="27">
                  <c:v>0.79222555776675896</c:v>
                </c:pt>
                <c:pt idx="28">
                  <c:v>0.729675438344764</c:v>
                </c:pt>
                <c:pt idx="29">
                  <c:v>0.57545170293580705</c:v>
                </c:pt>
                <c:pt idx="30">
                  <c:v>0.75347363635502596</c:v>
                </c:pt>
                <c:pt idx="31">
                  <c:v>0.50379347979157896</c:v>
                </c:pt>
                <c:pt idx="32">
                  <c:v>0.47277845480013903</c:v>
                </c:pt>
                <c:pt idx="33">
                  <c:v>0.36283009515293502</c:v>
                </c:pt>
                <c:pt idx="34">
                  <c:v>0.58555502037400997</c:v>
                </c:pt>
                <c:pt idx="35">
                  <c:v>0.54366138550823995</c:v>
                </c:pt>
                <c:pt idx="36">
                  <c:v>0.61942010601896402</c:v>
                </c:pt>
                <c:pt idx="37">
                  <c:v>0.78372002199781599</c:v>
                </c:pt>
                <c:pt idx="38">
                  <c:v>0.80609857006179997</c:v>
                </c:pt>
                <c:pt idx="39">
                  <c:v>0.58744499853329402</c:v>
                </c:pt>
                <c:pt idx="40">
                  <c:v>0.70028447228792401</c:v>
                </c:pt>
                <c:pt idx="41">
                  <c:v>0.69398217736740397</c:v>
                </c:pt>
                <c:pt idx="42">
                  <c:v>0.59016559746483199</c:v>
                </c:pt>
                <c:pt idx="43">
                  <c:v>0.89075548485899703</c:v>
                </c:pt>
                <c:pt idx="44">
                  <c:v>0.51557123158191898</c:v>
                </c:pt>
                <c:pt idx="45">
                  <c:v>0.65099730523073995</c:v>
                </c:pt>
                <c:pt idx="46">
                  <c:v>0.43500681234154798</c:v>
                </c:pt>
                <c:pt idx="47">
                  <c:v>0.77669189806785999</c:v>
                </c:pt>
                <c:pt idx="48">
                  <c:v>0.52051007406097205</c:v>
                </c:pt>
                <c:pt idx="49">
                  <c:v>0.64855498651803301</c:v>
                </c:pt>
                <c:pt idx="50">
                  <c:v>0.53551992291406603</c:v>
                </c:pt>
                <c:pt idx="51">
                  <c:v>0.56419008236450496</c:v>
                </c:pt>
                <c:pt idx="52">
                  <c:v>0.48284515607559397</c:v>
                </c:pt>
                <c:pt idx="53">
                  <c:v>0.71200951712302096</c:v>
                </c:pt>
                <c:pt idx="54">
                  <c:v>0.63847138750097099</c:v>
                </c:pt>
                <c:pt idx="55">
                  <c:v>0.69074086475144503</c:v>
                </c:pt>
                <c:pt idx="56">
                  <c:v>0.76205343304672302</c:v>
                </c:pt>
                <c:pt idx="57">
                  <c:v>0.64178547325275803</c:v>
                </c:pt>
                <c:pt idx="58">
                  <c:v>0.45810950752586599</c:v>
                </c:pt>
                <c:pt idx="59">
                  <c:v>0.39380705770302699</c:v>
                </c:pt>
                <c:pt idx="60">
                  <c:v>0.40806820009651001</c:v>
                </c:pt>
                <c:pt idx="61">
                  <c:v>0.55791141875096595</c:v>
                </c:pt>
                <c:pt idx="62">
                  <c:v>0.63044377365012905</c:v>
                </c:pt>
                <c:pt idx="63">
                  <c:v>0.61210896545219096</c:v>
                </c:pt>
                <c:pt idx="64">
                  <c:v>0.55874539536155399</c:v>
                </c:pt>
                <c:pt idx="65">
                  <c:v>0.95354940045205505</c:v>
                </c:pt>
                <c:pt idx="66">
                  <c:v>0.32941362581733802</c:v>
                </c:pt>
                <c:pt idx="67">
                  <c:v>0.32558666702755401</c:v>
                </c:pt>
                <c:pt idx="68">
                  <c:v>0.42375756942994403</c:v>
                </c:pt>
                <c:pt idx="69">
                  <c:v>0.33179295856858099</c:v>
                </c:pt>
                <c:pt idx="70">
                  <c:v>0.66781219712495299</c:v>
                </c:pt>
                <c:pt idx="71">
                  <c:v>0.43686029330224302</c:v>
                </c:pt>
                <c:pt idx="72">
                  <c:v>0.57691919923881096</c:v>
                </c:pt>
                <c:pt idx="73">
                  <c:v>0.39501895835818102</c:v>
                </c:pt>
                <c:pt idx="74">
                  <c:v>0.58021749899742903</c:v>
                </c:pt>
                <c:pt idx="75">
                  <c:v>0.34849284796760399</c:v>
                </c:pt>
                <c:pt idx="76">
                  <c:v>0.405744514489567</c:v>
                </c:pt>
                <c:pt idx="77">
                  <c:v>0.57644705667079998</c:v>
                </c:pt>
                <c:pt idx="78">
                  <c:v>0.46979461458712801</c:v>
                </c:pt>
                <c:pt idx="79">
                  <c:v>0.45438546081459702</c:v>
                </c:pt>
                <c:pt idx="80">
                  <c:v>0.37741208295762002</c:v>
                </c:pt>
                <c:pt idx="81">
                  <c:v>0.45698813234061297</c:v>
                </c:pt>
                <c:pt idx="82">
                  <c:v>0.37725836423016101</c:v>
                </c:pt>
                <c:pt idx="83">
                  <c:v>0.62023696348128698</c:v>
                </c:pt>
                <c:pt idx="84">
                  <c:v>0.61906403582359404</c:v>
                </c:pt>
                <c:pt idx="85">
                  <c:v>0.395466184312528</c:v>
                </c:pt>
                <c:pt idx="86">
                  <c:v>0.50874615139611401</c:v>
                </c:pt>
                <c:pt idx="87">
                  <c:v>0.53076145511527195</c:v>
                </c:pt>
                <c:pt idx="88">
                  <c:v>0.42261342013618802</c:v>
                </c:pt>
                <c:pt idx="89">
                  <c:v>0.59649344812389005</c:v>
                </c:pt>
                <c:pt idx="90">
                  <c:v>0.34473696784366198</c:v>
                </c:pt>
                <c:pt idx="91">
                  <c:v>0.78846919590455999</c:v>
                </c:pt>
                <c:pt idx="92">
                  <c:v>0.50514803762609894</c:v>
                </c:pt>
                <c:pt idx="93">
                  <c:v>0.499252962298665</c:v>
                </c:pt>
                <c:pt idx="94">
                  <c:v>0.20494527077958599</c:v>
                </c:pt>
                <c:pt idx="95">
                  <c:v>0.37108031776966699</c:v>
                </c:pt>
                <c:pt idx="96">
                  <c:v>0.38208604366587201</c:v>
                </c:pt>
                <c:pt idx="97">
                  <c:v>0.40521939087145498</c:v>
                </c:pt>
                <c:pt idx="98">
                  <c:v>0.76184379875527897</c:v>
                </c:pt>
                <c:pt idx="99">
                  <c:v>0.23498197837404899</c:v>
                </c:pt>
                <c:pt idx="100">
                  <c:v>0.55485530918447001</c:v>
                </c:pt>
                <c:pt idx="101">
                  <c:v>0.760098900354506</c:v>
                </c:pt>
                <c:pt idx="102">
                  <c:v>0.77362318986881795</c:v>
                </c:pt>
                <c:pt idx="103">
                  <c:v>0.52609764534380898</c:v>
                </c:pt>
                <c:pt idx="104">
                  <c:v>0.56261054759412299</c:v>
                </c:pt>
                <c:pt idx="105">
                  <c:v>0.51121880229935202</c:v>
                </c:pt>
                <c:pt idx="106">
                  <c:v>0.48289726553020101</c:v>
                </c:pt>
                <c:pt idx="107">
                  <c:v>0.32894946731785502</c:v>
                </c:pt>
                <c:pt idx="108">
                  <c:v>0.393297821168338</c:v>
                </c:pt>
                <c:pt idx="109">
                  <c:v>0.78812572759022104</c:v>
                </c:pt>
                <c:pt idx="110">
                  <c:v>0.81055553430166105</c:v>
                </c:pt>
                <c:pt idx="111">
                  <c:v>0.86585153048637398</c:v>
                </c:pt>
                <c:pt idx="112">
                  <c:v>0.76665018665405604</c:v>
                </c:pt>
                <c:pt idx="113">
                  <c:v>0.53575255352738704</c:v>
                </c:pt>
                <c:pt idx="114">
                  <c:v>0.87615079413425001</c:v>
                </c:pt>
                <c:pt idx="115">
                  <c:v>0.659747269526752</c:v>
                </c:pt>
                <c:pt idx="116">
                  <c:v>0.73486228736942505</c:v>
                </c:pt>
                <c:pt idx="117">
                  <c:v>0.65590118325344404</c:v>
                </c:pt>
                <c:pt idx="118">
                  <c:v>0.63840800825412203</c:v>
                </c:pt>
                <c:pt idx="119">
                  <c:v>0.46813980631525798</c:v>
                </c:pt>
                <c:pt idx="120">
                  <c:v>0.49620258770214098</c:v>
                </c:pt>
                <c:pt idx="121">
                  <c:v>0.52501859023751796</c:v>
                </c:pt>
                <c:pt idx="122">
                  <c:v>0.29072037495647601</c:v>
                </c:pt>
                <c:pt idx="123">
                  <c:v>0.40875527219991997</c:v>
                </c:pt>
                <c:pt idx="124">
                  <c:v>0.620934149876604</c:v>
                </c:pt>
                <c:pt idx="125">
                  <c:v>0.32766554683559102</c:v>
                </c:pt>
                <c:pt idx="126">
                  <c:v>0.45163897894801203</c:v>
                </c:pt>
                <c:pt idx="127">
                  <c:v>0.352737062031384</c:v>
                </c:pt>
                <c:pt idx="128">
                  <c:v>0.35939974546064701</c:v>
                </c:pt>
                <c:pt idx="129">
                  <c:v>0.432383180369321</c:v>
                </c:pt>
                <c:pt idx="130">
                  <c:v>0.648628651261972</c:v>
                </c:pt>
                <c:pt idx="131">
                  <c:v>0.35570282982181101</c:v>
                </c:pt>
                <c:pt idx="132">
                  <c:v>0.43517675716112503</c:v>
                </c:pt>
                <c:pt idx="133">
                  <c:v>0.31854522792022799</c:v>
                </c:pt>
                <c:pt idx="134">
                  <c:v>0.49552122965149997</c:v>
                </c:pt>
                <c:pt idx="135">
                  <c:v>0.549561686218899</c:v>
                </c:pt>
                <c:pt idx="136">
                  <c:v>0.40563592687057298</c:v>
                </c:pt>
                <c:pt idx="137">
                  <c:v>0.31411941868247401</c:v>
                </c:pt>
                <c:pt idx="138">
                  <c:v>0.31774111513764403</c:v>
                </c:pt>
                <c:pt idx="139">
                  <c:v>0.62925377911629099</c:v>
                </c:pt>
                <c:pt idx="140">
                  <c:v>0.35716934535785599</c:v>
                </c:pt>
                <c:pt idx="141">
                  <c:v>0.210521003931499</c:v>
                </c:pt>
                <c:pt idx="142">
                  <c:v>0.48373684843785503</c:v>
                </c:pt>
                <c:pt idx="143">
                  <c:v>0.18694157785397</c:v>
                </c:pt>
                <c:pt idx="144">
                  <c:v>0.24212507959358801</c:v>
                </c:pt>
                <c:pt idx="145">
                  <c:v>0.34360689720154503</c:v>
                </c:pt>
                <c:pt idx="146">
                  <c:v>0.31053595884072999</c:v>
                </c:pt>
                <c:pt idx="147">
                  <c:v>0.22797775221194999</c:v>
                </c:pt>
                <c:pt idx="148">
                  <c:v>0.671993481383661</c:v>
                </c:pt>
                <c:pt idx="149">
                  <c:v>0.64951991598529801</c:v>
                </c:pt>
                <c:pt idx="150">
                  <c:v>0.75938206165882904</c:v>
                </c:pt>
                <c:pt idx="151">
                  <c:v>0.67504596884970902</c:v>
                </c:pt>
                <c:pt idx="152">
                  <c:v>0.59401192057070495</c:v>
                </c:pt>
                <c:pt idx="153">
                  <c:v>0.38839067177723102</c:v>
                </c:pt>
                <c:pt idx="154">
                  <c:v>0.68250041839637898</c:v>
                </c:pt>
                <c:pt idx="155">
                  <c:v>0.797211838657789</c:v>
                </c:pt>
                <c:pt idx="156">
                  <c:v>0.60824039768390104</c:v>
                </c:pt>
                <c:pt idx="157">
                  <c:v>0.78242998170998102</c:v>
                </c:pt>
                <c:pt idx="158">
                  <c:v>0.64406513798766296</c:v>
                </c:pt>
                <c:pt idx="159">
                  <c:v>0.49592219296235501</c:v>
                </c:pt>
                <c:pt idx="160">
                  <c:v>0.43683401654751802</c:v>
                </c:pt>
                <c:pt idx="161">
                  <c:v>0.437186900447666</c:v>
                </c:pt>
                <c:pt idx="162">
                  <c:v>0.44242841881750899</c:v>
                </c:pt>
                <c:pt idx="163">
                  <c:v>0.47628215602554702</c:v>
                </c:pt>
                <c:pt idx="164">
                  <c:v>0.46204161865383298</c:v>
                </c:pt>
                <c:pt idx="165">
                  <c:v>0.51968664891090699</c:v>
                </c:pt>
                <c:pt idx="166">
                  <c:v>0.61844366477572399</c:v>
                </c:pt>
                <c:pt idx="167">
                  <c:v>0.367159508289225</c:v>
                </c:pt>
                <c:pt idx="168">
                  <c:v>0.53444583180315797</c:v>
                </c:pt>
                <c:pt idx="169">
                  <c:v>0.70208573238642902</c:v>
                </c:pt>
                <c:pt idx="170">
                  <c:v>0.82362344514339103</c:v>
                </c:pt>
                <c:pt idx="171">
                  <c:v>0.497741209612313</c:v>
                </c:pt>
                <c:pt idx="172">
                  <c:v>0.52759248388684299</c:v>
                </c:pt>
                <c:pt idx="173">
                  <c:v>0.55721376599136097</c:v>
                </c:pt>
                <c:pt idx="174">
                  <c:v>0.68930937154336103</c:v>
                </c:pt>
                <c:pt idx="175">
                  <c:v>0.78243015347384004</c:v>
                </c:pt>
                <c:pt idx="176">
                  <c:v>0.38803157998242699</c:v>
                </c:pt>
                <c:pt idx="177">
                  <c:v>0.52133361768678499</c:v>
                </c:pt>
                <c:pt idx="178">
                  <c:v>0.47110323449955899</c:v>
                </c:pt>
                <c:pt idx="179">
                  <c:v>0.82733918568933296</c:v>
                </c:pt>
                <c:pt idx="180">
                  <c:v>0.47991558764401998</c:v>
                </c:pt>
                <c:pt idx="181">
                  <c:v>0.33536270734224399</c:v>
                </c:pt>
                <c:pt idx="182">
                  <c:v>0.33542812803646199</c:v>
                </c:pt>
                <c:pt idx="183">
                  <c:v>0.63392469067833501</c:v>
                </c:pt>
                <c:pt idx="184">
                  <c:v>0.32831746544026702</c:v>
                </c:pt>
                <c:pt idx="185">
                  <c:v>0.31236319444687699</c:v>
                </c:pt>
                <c:pt idx="186">
                  <c:v>0.25423820010530701</c:v>
                </c:pt>
                <c:pt idx="187">
                  <c:v>0.32617545114670898</c:v>
                </c:pt>
                <c:pt idx="188">
                  <c:v>0.31066299340619602</c:v>
                </c:pt>
                <c:pt idx="189">
                  <c:v>0.47614324056781898</c:v>
                </c:pt>
                <c:pt idx="190">
                  <c:v>0.69847620793985499</c:v>
                </c:pt>
                <c:pt idx="191">
                  <c:v>0.47190644901862799</c:v>
                </c:pt>
                <c:pt idx="192">
                  <c:v>0.75069199894263205</c:v>
                </c:pt>
                <c:pt idx="193">
                  <c:v>0.42965208552526002</c:v>
                </c:pt>
                <c:pt idx="194">
                  <c:v>0.43483963989309299</c:v>
                </c:pt>
                <c:pt idx="195">
                  <c:v>0.43522170237747898</c:v>
                </c:pt>
                <c:pt idx="196">
                  <c:v>0.44661299854023701</c:v>
                </c:pt>
                <c:pt idx="197">
                  <c:v>0.49836988043388197</c:v>
                </c:pt>
                <c:pt idx="198">
                  <c:v>0.407072616702848</c:v>
                </c:pt>
                <c:pt idx="199">
                  <c:v>0.39558603829960598</c:v>
                </c:pt>
                <c:pt idx="200">
                  <c:v>0.469119191861051</c:v>
                </c:pt>
                <c:pt idx="201">
                  <c:v>0.37142022114338602</c:v>
                </c:pt>
                <c:pt idx="202">
                  <c:v>0.39640771612694398</c:v>
                </c:pt>
                <c:pt idx="203">
                  <c:v>0.49004970118920699</c:v>
                </c:pt>
                <c:pt idx="204">
                  <c:v>0.23278513295578099</c:v>
                </c:pt>
                <c:pt idx="205">
                  <c:v>0.54337702175125502</c:v>
                </c:pt>
                <c:pt idx="206">
                  <c:v>0.56835242986961698</c:v>
                </c:pt>
                <c:pt idx="207">
                  <c:v>0.65940251511205294</c:v>
                </c:pt>
                <c:pt idx="208">
                  <c:v>0.539082866957732</c:v>
                </c:pt>
                <c:pt idx="209">
                  <c:v>0.50655668987005398</c:v>
                </c:pt>
                <c:pt idx="210">
                  <c:v>0.43737902432796999</c:v>
                </c:pt>
                <c:pt idx="211">
                  <c:v>0.569326496553067</c:v>
                </c:pt>
                <c:pt idx="212">
                  <c:v>0.63632541422726596</c:v>
                </c:pt>
                <c:pt idx="213">
                  <c:v>0.52549013437391801</c:v>
                </c:pt>
                <c:pt idx="214">
                  <c:v>0.80670363242399401</c:v>
                </c:pt>
                <c:pt idx="215">
                  <c:v>0.89669163545567998</c:v>
                </c:pt>
                <c:pt idx="216">
                  <c:v>0.574001737467422</c:v>
                </c:pt>
                <c:pt idx="217">
                  <c:v>0.68681129271916797</c:v>
                </c:pt>
                <c:pt idx="218">
                  <c:v>0.61946746383118301</c:v>
                </c:pt>
                <c:pt idx="219">
                  <c:v>0.509339743847111</c:v>
                </c:pt>
                <c:pt idx="220">
                  <c:v>0.41769233176947701</c:v>
                </c:pt>
                <c:pt idx="221">
                  <c:v>0.547838726218979</c:v>
                </c:pt>
                <c:pt idx="222">
                  <c:v>0.54275288149169998</c:v>
                </c:pt>
                <c:pt idx="223">
                  <c:v>0.47933472649783898</c:v>
                </c:pt>
                <c:pt idx="224">
                  <c:v>0.58978911488182195</c:v>
                </c:pt>
                <c:pt idx="225">
                  <c:v>0.61334609736030699</c:v>
                </c:pt>
                <c:pt idx="226">
                  <c:v>0.89671173575283203</c:v>
                </c:pt>
                <c:pt idx="227">
                  <c:v>0.82146891046631898</c:v>
                </c:pt>
                <c:pt idx="228">
                  <c:v>0.532368872343985</c:v>
                </c:pt>
                <c:pt idx="229">
                  <c:v>0.87717245719633996</c:v>
                </c:pt>
                <c:pt idx="230">
                  <c:v>0.946043940452857</c:v>
                </c:pt>
                <c:pt idx="231">
                  <c:v>0.85174490426188998</c:v>
                </c:pt>
                <c:pt idx="232">
                  <c:v>0.95986088190385099</c:v>
                </c:pt>
                <c:pt idx="233">
                  <c:v>0.55470808707506802</c:v>
                </c:pt>
                <c:pt idx="234">
                  <c:v>0.52671453912077104</c:v>
                </c:pt>
                <c:pt idx="235">
                  <c:v>0.43055675405139499</c:v>
                </c:pt>
                <c:pt idx="236">
                  <c:v>0.50891188530305997</c:v>
                </c:pt>
                <c:pt idx="237">
                  <c:v>0.45756383842167703</c:v>
                </c:pt>
                <c:pt idx="238">
                  <c:v>0.47368016421547898</c:v>
                </c:pt>
                <c:pt idx="239">
                  <c:v>0.58983628416919798</c:v>
                </c:pt>
                <c:pt idx="240">
                  <c:v>0.49805340162246398</c:v>
                </c:pt>
                <c:pt idx="241">
                  <c:v>0.47751305295286101</c:v>
                </c:pt>
                <c:pt idx="242">
                  <c:v>0.41717969424605</c:v>
                </c:pt>
                <c:pt idx="243">
                  <c:v>0.34735921990637297</c:v>
                </c:pt>
                <c:pt idx="244">
                  <c:v>0.36077603683966603</c:v>
                </c:pt>
                <c:pt idx="245">
                  <c:v>0.30749128221571997</c:v>
                </c:pt>
                <c:pt idx="246">
                  <c:v>0.41256383007293201</c:v>
                </c:pt>
                <c:pt idx="247">
                  <c:v>0.334592639418275</c:v>
                </c:pt>
                <c:pt idx="248">
                  <c:v>0.67799248778510401</c:v>
                </c:pt>
                <c:pt idx="249">
                  <c:v>0.42985246382161002</c:v>
                </c:pt>
                <c:pt idx="250">
                  <c:v>0.822499042390194</c:v>
                </c:pt>
                <c:pt idx="251">
                  <c:v>0.478591865324342</c:v>
                </c:pt>
                <c:pt idx="252">
                  <c:v>0.60994947686677004</c:v>
                </c:pt>
                <c:pt idx="253">
                  <c:v>0.44752048100260899</c:v>
                </c:pt>
                <c:pt idx="254">
                  <c:v>0.40498770513245302</c:v>
                </c:pt>
                <c:pt idx="255">
                  <c:v>0.43268826532314603</c:v>
                </c:pt>
                <c:pt idx="256">
                  <c:v>0.40700554170896402</c:v>
                </c:pt>
                <c:pt idx="257">
                  <c:v>0.31644700981155599</c:v>
                </c:pt>
                <c:pt idx="258">
                  <c:v>0.34352330466533199</c:v>
                </c:pt>
                <c:pt idx="259">
                  <c:v>0.506984432541011</c:v>
                </c:pt>
                <c:pt idx="260">
                  <c:v>0.48740441118502797</c:v>
                </c:pt>
                <c:pt idx="261">
                  <c:v>0.79016942103751797</c:v>
                </c:pt>
                <c:pt idx="262">
                  <c:v>0.93380779682919002</c:v>
                </c:pt>
                <c:pt idx="263">
                  <c:v>0.63522437543357002</c:v>
                </c:pt>
                <c:pt idx="264">
                  <c:v>0.65188668718864295</c:v>
                </c:pt>
                <c:pt idx="265">
                  <c:v>0.58875916084657498</c:v>
                </c:pt>
                <c:pt idx="266">
                  <c:v>0.55166699314397705</c:v>
                </c:pt>
                <c:pt idx="267">
                  <c:v>0.54642054108943205</c:v>
                </c:pt>
                <c:pt idx="268">
                  <c:v>0.40254371763609398</c:v>
                </c:pt>
                <c:pt idx="269">
                  <c:v>0.48677641367130198</c:v>
                </c:pt>
                <c:pt idx="270">
                  <c:v>0.41023978327281102</c:v>
                </c:pt>
                <c:pt idx="271">
                  <c:v>0.33962488518567102</c:v>
                </c:pt>
                <c:pt idx="272">
                  <c:v>0.29507711260098102</c:v>
                </c:pt>
                <c:pt idx="273">
                  <c:v>0.42094653778921898</c:v>
                </c:pt>
                <c:pt idx="274">
                  <c:v>0.32157637166833603</c:v>
                </c:pt>
                <c:pt idx="275">
                  <c:v>0.478341305110288</c:v>
                </c:pt>
                <c:pt idx="276">
                  <c:v>0.56257313893095096</c:v>
                </c:pt>
                <c:pt idx="277">
                  <c:v>0.63636683824158402</c:v>
                </c:pt>
                <c:pt idx="278">
                  <c:v>0.50693902303016802</c:v>
                </c:pt>
                <c:pt idx="279">
                  <c:v>0.43018661287971599</c:v>
                </c:pt>
                <c:pt idx="280">
                  <c:v>0.31356766823049098</c:v>
                </c:pt>
                <c:pt idx="281">
                  <c:v>0.38030217097435898</c:v>
                </c:pt>
                <c:pt idx="282">
                  <c:v>0.42113064854667098</c:v>
                </c:pt>
                <c:pt idx="283">
                  <c:v>0.71296300856452</c:v>
                </c:pt>
                <c:pt idx="284">
                  <c:v>0.403619720370332</c:v>
                </c:pt>
                <c:pt idx="285">
                  <c:v>0.37387251025552298</c:v>
                </c:pt>
                <c:pt idx="286">
                  <c:v>0.21428993558300299</c:v>
                </c:pt>
                <c:pt idx="287">
                  <c:v>0.33394984664231397</c:v>
                </c:pt>
                <c:pt idx="288">
                  <c:v>0.35122677134673302</c:v>
                </c:pt>
                <c:pt idx="289">
                  <c:v>0.34635827994391899</c:v>
                </c:pt>
                <c:pt idx="290">
                  <c:v>0.289374126161691</c:v>
                </c:pt>
                <c:pt idx="291">
                  <c:v>0.32439658049036302</c:v>
                </c:pt>
                <c:pt idx="292">
                  <c:v>0.30790617212760302</c:v>
                </c:pt>
                <c:pt idx="293">
                  <c:v>0.80614863363696998</c:v>
                </c:pt>
                <c:pt idx="294">
                  <c:v>0.26702494900360901</c:v>
                </c:pt>
                <c:pt idx="295">
                  <c:v>0.462967821591172</c:v>
                </c:pt>
                <c:pt idx="296">
                  <c:v>0.44917044132651401</c:v>
                </c:pt>
                <c:pt idx="297">
                  <c:v>0.23326980050148899</c:v>
                </c:pt>
                <c:pt idx="298">
                  <c:v>0.37588337323146198</c:v>
                </c:pt>
                <c:pt idx="299">
                  <c:v>0.46113724728608702</c:v>
                </c:pt>
                <c:pt idx="300">
                  <c:v>0.52528109490519304</c:v>
                </c:pt>
                <c:pt idx="301">
                  <c:v>0.252951975244741</c:v>
                </c:pt>
                <c:pt idx="302">
                  <c:v>0.47820053120849898</c:v>
                </c:pt>
                <c:pt idx="303">
                  <c:v>0.18703794065385701</c:v>
                </c:pt>
                <c:pt idx="304">
                  <c:v>0.34526144844830797</c:v>
                </c:pt>
                <c:pt idx="305">
                  <c:v>0.171882808289648</c:v>
                </c:pt>
                <c:pt idx="306">
                  <c:v>0.39892020038588999</c:v>
                </c:pt>
                <c:pt idx="307">
                  <c:v>0.60626406486019901</c:v>
                </c:pt>
                <c:pt idx="308">
                  <c:v>0.71695167200571597</c:v>
                </c:pt>
                <c:pt idx="309">
                  <c:v>0.421062122441619</c:v>
                </c:pt>
                <c:pt idx="310">
                  <c:v>0.78331977952471299</c:v>
                </c:pt>
                <c:pt idx="311">
                  <c:v>0.24773621803599299</c:v>
                </c:pt>
                <c:pt idx="312">
                  <c:v>0.48666040598136201</c:v>
                </c:pt>
                <c:pt idx="313">
                  <c:v>0.47491088094657002</c:v>
                </c:pt>
                <c:pt idx="314">
                  <c:v>0.49774853630546001</c:v>
                </c:pt>
                <c:pt idx="315">
                  <c:v>0.484362671534879</c:v>
                </c:pt>
                <c:pt idx="316">
                  <c:v>0.45551555068668798</c:v>
                </c:pt>
                <c:pt idx="317">
                  <c:v>0.39656052736845898</c:v>
                </c:pt>
                <c:pt idx="318">
                  <c:v>0.377667908499008</c:v>
                </c:pt>
                <c:pt idx="319">
                  <c:v>0.75837160105257695</c:v>
                </c:pt>
                <c:pt idx="320">
                  <c:v>0.48520150013165297</c:v>
                </c:pt>
                <c:pt idx="321">
                  <c:v>0.533249681679548</c:v>
                </c:pt>
                <c:pt idx="322">
                  <c:v>0.77660893735300396</c:v>
                </c:pt>
                <c:pt idx="323">
                  <c:v>0.59988956300500496</c:v>
                </c:pt>
                <c:pt idx="324">
                  <c:v>0.732284423638068</c:v>
                </c:pt>
                <c:pt idx="325">
                  <c:v>0.27441474886914502</c:v>
                </c:pt>
                <c:pt idx="326">
                  <c:v>0.287763636363636</c:v>
                </c:pt>
                <c:pt idx="327">
                  <c:v>0.40949169720121598</c:v>
                </c:pt>
                <c:pt idx="328">
                  <c:v>0.28787743033778301</c:v>
                </c:pt>
                <c:pt idx="329">
                  <c:v>0.50128884167675702</c:v>
                </c:pt>
                <c:pt idx="330">
                  <c:v>0.44756627697353801</c:v>
                </c:pt>
                <c:pt idx="331">
                  <c:v>0.51119478150672604</c:v>
                </c:pt>
                <c:pt idx="332">
                  <c:v>0.63532510800817998</c:v>
                </c:pt>
                <c:pt idx="333">
                  <c:v>0.46729965622674202</c:v>
                </c:pt>
                <c:pt idx="334">
                  <c:v>0.40247963285780403</c:v>
                </c:pt>
                <c:pt idx="335">
                  <c:v>0.50982123726742601</c:v>
                </c:pt>
                <c:pt idx="336">
                  <c:v>0.76268377587675396</c:v>
                </c:pt>
                <c:pt idx="337">
                  <c:v>0.34783154891678802</c:v>
                </c:pt>
                <c:pt idx="338">
                  <c:v>0.56197626886929897</c:v>
                </c:pt>
                <c:pt idx="339">
                  <c:v>0.72528407022838104</c:v>
                </c:pt>
                <c:pt idx="340">
                  <c:v>0.72727307793189599</c:v>
                </c:pt>
                <c:pt idx="341">
                  <c:v>0.59267663031228301</c:v>
                </c:pt>
                <c:pt idx="342">
                  <c:v>0.47329002102686601</c:v>
                </c:pt>
                <c:pt idx="343">
                  <c:v>0.37182252281038097</c:v>
                </c:pt>
                <c:pt idx="344">
                  <c:v>0.45240005369177799</c:v>
                </c:pt>
                <c:pt idx="345">
                  <c:v>0.63886705087809403</c:v>
                </c:pt>
                <c:pt idx="346">
                  <c:v>0.835611544513164</c:v>
                </c:pt>
                <c:pt idx="347">
                  <c:v>0.61544015551235798</c:v>
                </c:pt>
                <c:pt idx="348">
                  <c:v>0.436533333333333</c:v>
                </c:pt>
                <c:pt idx="349">
                  <c:v>0.59671989532121394</c:v>
                </c:pt>
                <c:pt idx="350">
                  <c:v>0.96644153947682498</c:v>
                </c:pt>
                <c:pt idx="351">
                  <c:v>0.380174393687981</c:v>
                </c:pt>
                <c:pt idx="352">
                  <c:v>0.44493561584376701</c:v>
                </c:pt>
                <c:pt idx="353">
                  <c:v>0.390450673434516</c:v>
                </c:pt>
                <c:pt idx="354">
                  <c:v>0.36286605309196002</c:v>
                </c:pt>
                <c:pt idx="355">
                  <c:v>0.354248438556308</c:v>
                </c:pt>
                <c:pt idx="356">
                  <c:v>0.44334685036395199</c:v>
                </c:pt>
                <c:pt idx="357">
                  <c:v>0.43626596565419901</c:v>
                </c:pt>
                <c:pt idx="358">
                  <c:v>0.31886025145582497</c:v>
                </c:pt>
                <c:pt idx="359">
                  <c:v>0.35571243468157498</c:v>
                </c:pt>
                <c:pt idx="360">
                  <c:v>0.34715545268100301</c:v>
                </c:pt>
                <c:pt idx="361">
                  <c:v>0.32485037844082998</c:v>
                </c:pt>
                <c:pt idx="362">
                  <c:v>0.176962774159036</c:v>
                </c:pt>
                <c:pt idx="363">
                  <c:v>0.44634183751725598</c:v>
                </c:pt>
                <c:pt idx="364">
                  <c:v>0.33093670728481001</c:v>
                </c:pt>
                <c:pt idx="365">
                  <c:v>0.28331843496018599</c:v>
                </c:pt>
                <c:pt idx="366">
                  <c:v>0.14862161927124101</c:v>
                </c:pt>
                <c:pt idx="367">
                  <c:v>0.51610173668731396</c:v>
                </c:pt>
                <c:pt idx="368">
                  <c:v>0.55115247296020198</c:v>
                </c:pt>
                <c:pt idx="369">
                  <c:v>0.64573427661884797</c:v>
                </c:pt>
                <c:pt idx="370">
                  <c:v>0.302354411447328</c:v>
                </c:pt>
                <c:pt idx="371">
                  <c:v>0.41107981642110902</c:v>
                </c:pt>
                <c:pt idx="372">
                  <c:v>0.478272847707503</c:v>
                </c:pt>
                <c:pt idx="373">
                  <c:v>0.76712506607071695</c:v>
                </c:pt>
                <c:pt idx="374">
                  <c:v>0.40434703360642399</c:v>
                </c:pt>
                <c:pt idx="375">
                  <c:v>0.61626461220527196</c:v>
                </c:pt>
                <c:pt idx="376">
                  <c:v>0.43005557369865199</c:v>
                </c:pt>
                <c:pt idx="377">
                  <c:v>0.75737932631091598</c:v>
                </c:pt>
                <c:pt idx="378">
                  <c:v>0.54673776662484297</c:v>
                </c:pt>
                <c:pt idx="379">
                  <c:v>0.44054594567691202</c:v>
                </c:pt>
                <c:pt idx="380">
                  <c:v>0.76090725467093101</c:v>
                </c:pt>
                <c:pt idx="381">
                  <c:v>0.73343255172237598</c:v>
                </c:pt>
                <c:pt idx="382">
                  <c:v>0.56623911033557806</c:v>
                </c:pt>
                <c:pt idx="383">
                  <c:v>0.43940362613957101</c:v>
                </c:pt>
                <c:pt idx="384">
                  <c:v>0.57583027659363495</c:v>
                </c:pt>
                <c:pt idx="385">
                  <c:v>0.55163077614762601</c:v>
                </c:pt>
                <c:pt idx="386">
                  <c:v>0.72992761662663297</c:v>
                </c:pt>
                <c:pt idx="387">
                  <c:v>0.90365692992078706</c:v>
                </c:pt>
                <c:pt idx="388">
                  <c:v>0.79286619848720097</c:v>
                </c:pt>
                <c:pt idx="389">
                  <c:v>0.70904666166716801</c:v>
                </c:pt>
                <c:pt idx="390">
                  <c:v>0.59378301934674205</c:v>
                </c:pt>
                <c:pt idx="391">
                  <c:v>0.71345884790270897</c:v>
                </c:pt>
                <c:pt idx="392">
                  <c:v>0.71682314944078296</c:v>
                </c:pt>
                <c:pt idx="393">
                  <c:v>0.76776188284708702</c:v>
                </c:pt>
                <c:pt idx="394">
                  <c:v>0.495532307114258</c:v>
                </c:pt>
                <c:pt idx="395">
                  <c:v>0.45773769669891701</c:v>
                </c:pt>
                <c:pt idx="396">
                  <c:v>0.37859910230695398</c:v>
                </c:pt>
                <c:pt idx="397">
                  <c:v>0.586634285004623</c:v>
                </c:pt>
                <c:pt idx="398">
                  <c:v>0.49950876696081598</c:v>
                </c:pt>
                <c:pt idx="399">
                  <c:v>0.60584858426666399</c:v>
                </c:pt>
                <c:pt idx="400">
                  <c:v>0.69775745466692696</c:v>
                </c:pt>
                <c:pt idx="401">
                  <c:v>0.726566706028275</c:v>
                </c:pt>
                <c:pt idx="402">
                  <c:v>0.61288236322321299</c:v>
                </c:pt>
                <c:pt idx="403">
                  <c:v>0.66577610101632301</c:v>
                </c:pt>
                <c:pt idx="404">
                  <c:v>0.675801991441219</c:v>
                </c:pt>
                <c:pt idx="405">
                  <c:v>0.69329966522881503</c:v>
                </c:pt>
                <c:pt idx="406">
                  <c:v>0.603394503485428</c:v>
                </c:pt>
                <c:pt idx="407">
                  <c:v>0.859399705347902</c:v>
                </c:pt>
                <c:pt idx="408">
                  <c:v>0.494023846438015</c:v>
                </c:pt>
                <c:pt idx="409">
                  <c:v>0.72739174057441502</c:v>
                </c:pt>
                <c:pt idx="410">
                  <c:v>0.64030193508091104</c:v>
                </c:pt>
                <c:pt idx="411">
                  <c:v>0.42867622885120699</c:v>
                </c:pt>
                <c:pt idx="412">
                  <c:v>0.71684574915976396</c:v>
                </c:pt>
                <c:pt idx="413">
                  <c:v>0.53464003142630601</c:v>
                </c:pt>
                <c:pt idx="414">
                  <c:v>0.68753785089687602</c:v>
                </c:pt>
                <c:pt idx="415">
                  <c:v>0.63271879485804405</c:v>
                </c:pt>
                <c:pt idx="416">
                  <c:v>0.48940015186028901</c:v>
                </c:pt>
                <c:pt idx="417">
                  <c:v>0.53129576254961097</c:v>
                </c:pt>
                <c:pt idx="418">
                  <c:v>0.46046800408399802</c:v>
                </c:pt>
                <c:pt idx="419">
                  <c:v>0.68304755462243805</c:v>
                </c:pt>
                <c:pt idx="420">
                  <c:v>0.61575808017755596</c:v>
                </c:pt>
                <c:pt idx="421">
                  <c:v>0.75785920617218505</c:v>
                </c:pt>
                <c:pt idx="422">
                  <c:v>0.63452005317615401</c:v>
                </c:pt>
                <c:pt idx="423">
                  <c:v>0.46803903982100298</c:v>
                </c:pt>
                <c:pt idx="424">
                  <c:v>0.37851076376724202</c:v>
                </c:pt>
                <c:pt idx="425">
                  <c:v>0.39355792437161002</c:v>
                </c:pt>
                <c:pt idx="426">
                  <c:v>0.58827372586990601</c:v>
                </c:pt>
                <c:pt idx="427">
                  <c:v>0.61129601343008999</c:v>
                </c:pt>
                <c:pt idx="428">
                  <c:v>0.59632462308904199</c:v>
                </c:pt>
                <c:pt idx="429">
                  <c:v>0.55877981374393304</c:v>
                </c:pt>
                <c:pt idx="430">
                  <c:v>0.58894372653179095</c:v>
                </c:pt>
                <c:pt idx="431">
                  <c:v>0.34488722013113698</c:v>
                </c:pt>
                <c:pt idx="432">
                  <c:v>0.42860033657700702</c:v>
                </c:pt>
                <c:pt idx="433">
                  <c:v>0.38901806226729002</c:v>
                </c:pt>
                <c:pt idx="434">
                  <c:v>0.65127769880672903</c:v>
                </c:pt>
                <c:pt idx="435">
                  <c:v>0.39366183989874298</c:v>
                </c:pt>
                <c:pt idx="436">
                  <c:v>0.56138818455886796</c:v>
                </c:pt>
                <c:pt idx="437">
                  <c:v>0.3864715912551</c:v>
                </c:pt>
                <c:pt idx="438">
                  <c:v>0.56032755060950201</c:v>
                </c:pt>
                <c:pt idx="439">
                  <c:v>0.63624599081108502</c:v>
                </c:pt>
                <c:pt idx="440">
                  <c:v>0.33277833090914499</c:v>
                </c:pt>
                <c:pt idx="441">
                  <c:v>0.37117856709369201</c:v>
                </c:pt>
                <c:pt idx="442">
                  <c:v>0.53040003151793302</c:v>
                </c:pt>
                <c:pt idx="443">
                  <c:v>0.60257540254100705</c:v>
                </c:pt>
                <c:pt idx="444">
                  <c:v>0.44614778163723401</c:v>
                </c:pt>
                <c:pt idx="445">
                  <c:v>0.44499715278408197</c:v>
                </c:pt>
                <c:pt idx="446">
                  <c:v>0.42429766342394798</c:v>
                </c:pt>
                <c:pt idx="447">
                  <c:v>0.38720517515171399</c:v>
                </c:pt>
                <c:pt idx="448">
                  <c:v>0.78676773911398301</c:v>
                </c:pt>
                <c:pt idx="449">
                  <c:v>0.60152400407547202</c:v>
                </c:pt>
                <c:pt idx="450">
                  <c:v>0.58601550518620904</c:v>
                </c:pt>
                <c:pt idx="451">
                  <c:v>0.58203481596262197</c:v>
                </c:pt>
                <c:pt idx="452">
                  <c:v>0.78739803316913104</c:v>
                </c:pt>
                <c:pt idx="453">
                  <c:v>0.482756909786067</c:v>
                </c:pt>
                <c:pt idx="454">
                  <c:v>0.48631812866179303</c:v>
                </c:pt>
                <c:pt idx="455">
                  <c:v>0.41650779962734302</c:v>
                </c:pt>
                <c:pt idx="456">
                  <c:v>0.59116098997498301</c:v>
                </c:pt>
                <c:pt idx="457">
                  <c:v>0.34954405657684301</c:v>
                </c:pt>
                <c:pt idx="458">
                  <c:v>0.80076600851567203</c:v>
                </c:pt>
                <c:pt idx="459">
                  <c:v>0.85149349934979401</c:v>
                </c:pt>
                <c:pt idx="460">
                  <c:v>0.54588974173012605</c:v>
                </c:pt>
                <c:pt idx="461">
                  <c:v>0.51391251911356195</c:v>
                </c:pt>
                <c:pt idx="462">
                  <c:v>0.35479356420372399</c:v>
                </c:pt>
                <c:pt idx="463">
                  <c:v>0.214193108520536</c:v>
                </c:pt>
                <c:pt idx="464">
                  <c:v>0.37689921415472799</c:v>
                </c:pt>
                <c:pt idx="465">
                  <c:v>0.395738170207105</c:v>
                </c:pt>
                <c:pt idx="466">
                  <c:v>0.416192893237321</c:v>
                </c:pt>
                <c:pt idx="467">
                  <c:v>0.77400484299111605</c:v>
                </c:pt>
                <c:pt idx="468">
                  <c:v>0.25289882161722899</c:v>
                </c:pt>
                <c:pt idx="469">
                  <c:v>0.69197216741094603</c:v>
                </c:pt>
                <c:pt idx="470">
                  <c:v>0.72020924958633503</c:v>
                </c:pt>
                <c:pt idx="471">
                  <c:v>0.67118382744263205</c:v>
                </c:pt>
                <c:pt idx="472">
                  <c:v>0.487010049947392</c:v>
                </c:pt>
                <c:pt idx="473">
                  <c:v>0.49999238427912102</c:v>
                </c:pt>
                <c:pt idx="474">
                  <c:v>0.50718182701607095</c:v>
                </c:pt>
                <c:pt idx="475">
                  <c:v>0.37882657734278902</c:v>
                </c:pt>
                <c:pt idx="476">
                  <c:v>0.29716183083172698</c:v>
                </c:pt>
                <c:pt idx="477">
                  <c:v>0.33122832292833898</c:v>
                </c:pt>
                <c:pt idx="478">
                  <c:v>0.73835430962858095</c:v>
                </c:pt>
                <c:pt idx="479">
                  <c:v>0.78814110952294703</c:v>
                </c:pt>
                <c:pt idx="480">
                  <c:v>0.56378728230263797</c:v>
                </c:pt>
                <c:pt idx="481">
                  <c:v>0.84053839281304898</c:v>
                </c:pt>
                <c:pt idx="482">
                  <c:v>0.53757657141132797</c:v>
                </c:pt>
                <c:pt idx="483">
                  <c:v>0.85765528436271599</c:v>
                </c:pt>
                <c:pt idx="484">
                  <c:v>0.709822033209632</c:v>
                </c:pt>
                <c:pt idx="485">
                  <c:v>0.63880647889813302</c:v>
                </c:pt>
                <c:pt idx="486">
                  <c:v>0.632985645683945</c:v>
                </c:pt>
                <c:pt idx="487">
                  <c:v>0.39569066051312601</c:v>
                </c:pt>
                <c:pt idx="488">
                  <c:v>0.45537068232934302</c:v>
                </c:pt>
                <c:pt idx="489">
                  <c:v>0.50670001296615796</c:v>
                </c:pt>
                <c:pt idx="490">
                  <c:v>0.26553945056460798</c:v>
                </c:pt>
                <c:pt idx="491">
                  <c:v>0.35283836854432299</c:v>
                </c:pt>
                <c:pt idx="492">
                  <c:v>0.52025517383967901</c:v>
                </c:pt>
                <c:pt idx="493">
                  <c:v>0.38506135955628201</c:v>
                </c:pt>
                <c:pt idx="494">
                  <c:v>0.32160146860639</c:v>
                </c:pt>
                <c:pt idx="495">
                  <c:v>0.33376364415166199</c:v>
                </c:pt>
                <c:pt idx="496">
                  <c:v>0.47873762636504302</c:v>
                </c:pt>
                <c:pt idx="497">
                  <c:v>0.62435236827949403</c:v>
                </c:pt>
                <c:pt idx="498">
                  <c:v>0.30834842460059197</c:v>
                </c:pt>
                <c:pt idx="499">
                  <c:v>0.35565240857400698</c:v>
                </c:pt>
                <c:pt idx="500">
                  <c:v>0.28840278584658702</c:v>
                </c:pt>
                <c:pt idx="501">
                  <c:v>0.42422868922182799</c:v>
                </c:pt>
                <c:pt idx="502">
                  <c:v>0.55174739608145995</c:v>
                </c:pt>
                <c:pt idx="503">
                  <c:v>0.36347536592844798</c:v>
                </c:pt>
                <c:pt idx="504">
                  <c:v>0.270116845235717</c:v>
                </c:pt>
                <c:pt idx="505">
                  <c:v>0.62666090731519097</c:v>
                </c:pt>
                <c:pt idx="506">
                  <c:v>0.32913212499575201</c:v>
                </c:pt>
                <c:pt idx="507">
                  <c:v>0.15792193845017999</c:v>
                </c:pt>
                <c:pt idx="508">
                  <c:v>0.41674216781957202</c:v>
                </c:pt>
                <c:pt idx="509">
                  <c:v>0.80909751174707401</c:v>
                </c:pt>
                <c:pt idx="510">
                  <c:v>0.20887509782653499</c:v>
                </c:pt>
                <c:pt idx="511">
                  <c:v>0.29669883305115002</c:v>
                </c:pt>
                <c:pt idx="512">
                  <c:v>0.33135739671981501</c:v>
                </c:pt>
                <c:pt idx="513">
                  <c:v>0.26447555273815399</c:v>
                </c:pt>
                <c:pt idx="514">
                  <c:v>0.65394138308285799</c:v>
                </c:pt>
                <c:pt idx="515">
                  <c:v>0.61009874239508599</c:v>
                </c:pt>
                <c:pt idx="516">
                  <c:v>0.74391957107267204</c:v>
                </c:pt>
                <c:pt idx="517">
                  <c:v>0.65521698942050699</c:v>
                </c:pt>
                <c:pt idx="518">
                  <c:v>0.62785900902965597</c:v>
                </c:pt>
                <c:pt idx="519">
                  <c:v>0.67887110458919497</c:v>
                </c:pt>
                <c:pt idx="520">
                  <c:v>0.69899456339351596</c:v>
                </c:pt>
                <c:pt idx="521">
                  <c:v>0.79741937307442301</c:v>
                </c:pt>
                <c:pt idx="522">
                  <c:v>0.68942889109583005</c:v>
                </c:pt>
                <c:pt idx="523">
                  <c:v>0.60015759914684796</c:v>
                </c:pt>
                <c:pt idx="524">
                  <c:v>0.71863453255291598</c:v>
                </c:pt>
                <c:pt idx="525">
                  <c:v>0.68358909406703094</c:v>
                </c:pt>
                <c:pt idx="526">
                  <c:v>0.62155170041191499</c:v>
                </c:pt>
                <c:pt idx="527">
                  <c:v>0.37405375339404601</c:v>
                </c:pt>
                <c:pt idx="528">
                  <c:v>0.39233465620250901</c:v>
                </c:pt>
                <c:pt idx="529">
                  <c:v>0.470402907158332</c:v>
                </c:pt>
                <c:pt idx="530">
                  <c:v>0.33240053601450698</c:v>
                </c:pt>
                <c:pt idx="531">
                  <c:v>0.56596261633815204</c:v>
                </c:pt>
                <c:pt idx="532">
                  <c:v>0.41829743578459799</c:v>
                </c:pt>
                <c:pt idx="533">
                  <c:v>0.41248802505764798</c:v>
                </c:pt>
                <c:pt idx="534">
                  <c:v>0.51831027454114298</c:v>
                </c:pt>
                <c:pt idx="535">
                  <c:v>0.33719795210182901</c:v>
                </c:pt>
                <c:pt idx="536">
                  <c:v>0.51214292023472796</c:v>
                </c:pt>
                <c:pt idx="537">
                  <c:v>0.68412508452382204</c:v>
                </c:pt>
                <c:pt idx="538">
                  <c:v>0.80720464638574296</c:v>
                </c:pt>
                <c:pt idx="539">
                  <c:v>0.81240233030170605</c:v>
                </c:pt>
                <c:pt idx="540">
                  <c:v>0.48366001774582001</c:v>
                </c:pt>
                <c:pt idx="541">
                  <c:v>0.51199034764498597</c:v>
                </c:pt>
                <c:pt idx="542">
                  <c:v>0.55644260767757503</c:v>
                </c:pt>
                <c:pt idx="543">
                  <c:v>0.71327361608909701</c:v>
                </c:pt>
                <c:pt idx="544">
                  <c:v>0.342080465520675</c:v>
                </c:pt>
                <c:pt idx="545">
                  <c:v>0.42737514236986102</c:v>
                </c:pt>
                <c:pt idx="546">
                  <c:v>0.39821969645959299</c:v>
                </c:pt>
                <c:pt idx="547">
                  <c:v>0.80603636575444904</c:v>
                </c:pt>
                <c:pt idx="548">
                  <c:v>0.46730957717325</c:v>
                </c:pt>
                <c:pt idx="549">
                  <c:v>0.30501697451272702</c:v>
                </c:pt>
                <c:pt idx="550">
                  <c:v>0.60382263620837395</c:v>
                </c:pt>
                <c:pt idx="551">
                  <c:v>0.31492314006911398</c:v>
                </c:pt>
                <c:pt idx="552">
                  <c:v>0.21753110626071301</c:v>
                </c:pt>
                <c:pt idx="553">
                  <c:v>0.31252873390525698</c:v>
                </c:pt>
                <c:pt idx="554">
                  <c:v>0.66016673731807296</c:v>
                </c:pt>
                <c:pt idx="555">
                  <c:v>0.43613645016117802</c:v>
                </c:pt>
                <c:pt idx="556">
                  <c:v>0.54176778020641503</c:v>
                </c:pt>
                <c:pt idx="557">
                  <c:v>0.64382130788492098</c:v>
                </c:pt>
                <c:pt idx="558">
                  <c:v>0.31731398055013499</c:v>
                </c:pt>
                <c:pt idx="559">
                  <c:v>0.62272891393145702</c:v>
                </c:pt>
                <c:pt idx="560">
                  <c:v>0.39656646466794199</c:v>
                </c:pt>
                <c:pt idx="561">
                  <c:v>0.46716243381377198</c:v>
                </c:pt>
                <c:pt idx="562">
                  <c:v>0.44407904504557999</c:v>
                </c:pt>
                <c:pt idx="563">
                  <c:v>0.31092402324611201</c:v>
                </c:pt>
                <c:pt idx="564">
                  <c:v>0.43721671713001198</c:v>
                </c:pt>
                <c:pt idx="565">
                  <c:v>0.31818100621387502</c:v>
                </c:pt>
                <c:pt idx="566">
                  <c:v>0.28557162945473302</c:v>
                </c:pt>
                <c:pt idx="567">
                  <c:v>0.387592830203352</c:v>
                </c:pt>
                <c:pt idx="568">
                  <c:v>0.47649008345140598</c:v>
                </c:pt>
                <c:pt idx="569">
                  <c:v>0.18376128796035501</c:v>
                </c:pt>
                <c:pt idx="570">
                  <c:v>0.52616278325847998</c:v>
                </c:pt>
                <c:pt idx="571">
                  <c:v>0.55223437396434005</c:v>
                </c:pt>
                <c:pt idx="572">
                  <c:v>0.62480066488325603</c:v>
                </c:pt>
                <c:pt idx="573">
                  <c:v>0.47065719120135402</c:v>
                </c:pt>
                <c:pt idx="574">
                  <c:v>0.53931909321932503</c:v>
                </c:pt>
                <c:pt idx="575">
                  <c:v>0.389942452157504</c:v>
                </c:pt>
                <c:pt idx="576">
                  <c:v>0.53804228354057804</c:v>
                </c:pt>
                <c:pt idx="577">
                  <c:v>0.50613873612765403</c:v>
                </c:pt>
                <c:pt idx="578">
                  <c:v>0.750743276532849</c:v>
                </c:pt>
                <c:pt idx="579">
                  <c:v>0.673741246365402</c:v>
                </c:pt>
                <c:pt idx="580">
                  <c:v>0.857008019303101</c:v>
                </c:pt>
                <c:pt idx="581">
                  <c:v>0.53303670190581498</c:v>
                </c:pt>
                <c:pt idx="582">
                  <c:v>0.66830789002935098</c:v>
                </c:pt>
                <c:pt idx="583">
                  <c:v>0.58188241152852604</c:v>
                </c:pt>
                <c:pt idx="584">
                  <c:v>0.46273633174614598</c:v>
                </c:pt>
                <c:pt idx="585">
                  <c:v>0.58681106826944895</c:v>
                </c:pt>
                <c:pt idx="586">
                  <c:v>0.41892335246249901</c:v>
                </c:pt>
                <c:pt idx="587">
                  <c:v>0.51577855759186197</c:v>
                </c:pt>
                <c:pt idx="588">
                  <c:v>0.52521193112199605</c:v>
                </c:pt>
                <c:pt idx="589">
                  <c:v>0.45143983211069599</c:v>
                </c:pt>
                <c:pt idx="590">
                  <c:v>0.465121748963438</c:v>
                </c:pt>
                <c:pt idx="591">
                  <c:v>0.56292275551572801</c:v>
                </c:pt>
                <c:pt idx="592">
                  <c:v>0.56626857802131103</c:v>
                </c:pt>
                <c:pt idx="593">
                  <c:v>0.67979511406087501</c:v>
                </c:pt>
                <c:pt idx="594">
                  <c:v>0.85455716413304506</c:v>
                </c:pt>
                <c:pt idx="595">
                  <c:v>0.84831732505235802</c:v>
                </c:pt>
                <c:pt idx="596">
                  <c:v>0.83969858227164795</c:v>
                </c:pt>
                <c:pt idx="597">
                  <c:v>0.75516381831558699</c:v>
                </c:pt>
                <c:pt idx="598">
                  <c:v>0.46856280267480899</c:v>
                </c:pt>
                <c:pt idx="599">
                  <c:v>0.833263677871245</c:v>
                </c:pt>
                <c:pt idx="600">
                  <c:v>0.92121031509516405</c:v>
                </c:pt>
                <c:pt idx="601">
                  <c:v>0.72316568846192097</c:v>
                </c:pt>
                <c:pt idx="602">
                  <c:v>0.88875200520041497</c:v>
                </c:pt>
                <c:pt idx="603">
                  <c:v>0.62719163041094805</c:v>
                </c:pt>
                <c:pt idx="604">
                  <c:v>0.56359049758109903</c:v>
                </c:pt>
                <c:pt idx="605">
                  <c:v>0.55912100705813905</c:v>
                </c:pt>
                <c:pt idx="606">
                  <c:v>0.61173434015219197</c:v>
                </c:pt>
                <c:pt idx="607">
                  <c:v>0.411648214564167</c:v>
                </c:pt>
                <c:pt idx="608">
                  <c:v>0.49982536920794501</c:v>
                </c:pt>
                <c:pt idx="609">
                  <c:v>0.416055639248122</c:v>
                </c:pt>
                <c:pt idx="610">
                  <c:v>0.44718252360245098</c:v>
                </c:pt>
                <c:pt idx="611">
                  <c:v>0.60245071425652497</c:v>
                </c:pt>
                <c:pt idx="612">
                  <c:v>0.39501868719174099</c:v>
                </c:pt>
                <c:pt idx="613">
                  <c:v>0.46294492198222698</c:v>
                </c:pt>
                <c:pt idx="614">
                  <c:v>0.38912173823138801</c:v>
                </c:pt>
                <c:pt idx="615">
                  <c:v>0.320021376735868</c:v>
                </c:pt>
                <c:pt idx="616">
                  <c:v>0.25586410626331102</c:v>
                </c:pt>
                <c:pt idx="617">
                  <c:v>0.310231540738791</c:v>
                </c:pt>
                <c:pt idx="618">
                  <c:v>0.63082465787022801</c:v>
                </c:pt>
                <c:pt idx="619">
                  <c:v>0.41643193002838802</c:v>
                </c:pt>
                <c:pt idx="620">
                  <c:v>0.80053303176697399</c:v>
                </c:pt>
                <c:pt idx="621">
                  <c:v>0.43059601494923899</c:v>
                </c:pt>
                <c:pt idx="622">
                  <c:v>0.53875989437723204</c:v>
                </c:pt>
                <c:pt idx="623">
                  <c:v>0.404092241049815</c:v>
                </c:pt>
                <c:pt idx="624">
                  <c:v>0.36573994354085498</c:v>
                </c:pt>
                <c:pt idx="625">
                  <c:v>0.36808582392707301</c:v>
                </c:pt>
                <c:pt idx="626">
                  <c:v>0.33908783606161902</c:v>
                </c:pt>
                <c:pt idx="627">
                  <c:v>0.226699478182604</c:v>
                </c:pt>
                <c:pt idx="628">
                  <c:v>0.215089689434565</c:v>
                </c:pt>
                <c:pt idx="629">
                  <c:v>0.29799871522458898</c:v>
                </c:pt>
                <c:pt idx="630">
                  <c:v>0.47937626913368198</c:v>
                </c:pt>
                <c:pt idx="631">
                  <c:v>0.38146577038101198</c:v>
                </c:pt>
                <c:pt idx="632">
                  <c:v>0.53470921033159902</c:v>
                </c:pt>
                <c:pt idx="633">
                  <c:v>0.43442183123943001</c:v>
                </c:pt>
                <c:pt idx="634">
                  <c:v>0.91030132213043402</c:v>
                </c:pt>
                <c:pt idx="635">
                  <c:v>0.59527446053765198</c:v>
                </c:pt>
                <c:pt idx="636">
                  <c:v>0.64696745468574102</c:v>
                </c:pt>
                <c:pt idx="637">
                  <c:v>0.56054222385052199</c:v>
                </c:pt>
                <c:pt idx="638">
                  <c:v>0.51866366661183105</c:v>
                </c:pt>
                <c:pt idx="639">
                  <c:v>0.51777408686192306</c:v>
                </c:pt>
                <c:pt idx="640">
                  <c:v>0.336696521605448</c:v>
                </c:pt>
                <c:pt idx="641">
                  <c:v>0.46687627924069902</c:v>
                </c:pt>
                <c:pt idx="642">
                  <c:v>0.36876369898757999</c:v>
                </c:pt>
                <c:pt idx="643">
                  <c:v>0.29156110206504898</c:v>
                </c:pt>
                <c:pt idx="644">
                  <c:v>0.26512550733944201</c:v>
                </c:pt>
                <c:pt idx="645">
                  <c:v>0.35305407365966901</c:v>
                </c:pt>
                <c:pt idx="646">
                  <c:v>0.40661488490326197</c:v>
                </c:pt>
                <c:pt idx="647">
                  <c:v>0.51147082987179504</c:v>
                </c:pt>
                <c:pt idx="648">
                  <c:v>0.69248165893292601</c:v>
                </c:pt>
                <c:pt idx="649">
                  <c:v>0.58370331085688298</c:v>
                </c:pt>
                <c:pt idx="650">
                  <c:v>0.49365433157787397</c:v>
                </c:pt>
                <c:pt idx="651">
                  <c:v>0.43349271867044098</c:v>
                </c:pt>
                <c:pt idx="652">
                  <c:v>0.287202631010394</c:v>
                </c:pt>
                <c:pt idx="653">
                  <c:v>0.37455546826824798</c:v>
                </c:pt>
                <c:pt idx="654">
                  <c:v>0.39886607374619198</c:v>
                </c:pt>
                <c:pt idx="655">
                  <c:v>0.38164273778637697</c:v>
                </c:pt>
                <c:pt idx="656">
                  <c:v>0.231190910989966</c:v>
                </c:pt>
                <c:pt idx="657">
                  <c:v>0.31464954631645697</c:v>
                </c:pt>
                <c:pt idx="658">
                  <c:v>0.31184199605437102</c:v>
                </c:pt>
                <c:pt idx="659">
                  <c:v>0.333347234220011</c:v>
                </c:pt>
                <c:pt idx="660">
                  <c:v>0.245594920099349</c:v>
                </c:pt>
                <c:pt idx="661">
                  <c:v>0.30110179449164298</c:v>
                </c:pt>
                <c:pt idx="662">
                  <c:v>0.79377584772075405</c:v>
                </c:pt>
                <c:pt idx="663">
                  <c:v>0.27421368690171799</c:v>
                </c:pt>
                <c:pt idx="664">
                  <c:v>0.43485677106230303</c:v>
                </c:pt>
                <c:pt idx="665">
                  <c:v>0.43773446837573499</c:v>
                </c:pt>
                <c:pt idx="666">
                  <c:v>0.23117672180105001</c:v>
                </c:pt>
                <c:pt idx="667">
                  <c:v>0.36689987216793701</c:v>
                </c:pt>
                <c:pt idx="668">
                  <c:v>0.45444737218002801</c:v>
                </c:pt>
                <c:pt idx="669">
                  <c:v>0.51697274315176101</c:v>
                </c:pt>
                <c:pt idx="670">
                  <c:v>0.259940331326587</c:v>
                </c:pt>
                <c:pt idx="671">
                  <c:v>0.77720402852866999</c:v>
                </c:pt>
                <c:pt idx="672">
                  <c:v>0.463534386098365</c:v>
                </c:pt>
                <c:pt idx="673">
                  <c:v>0.18671711626020199</c:v>
                </c:pt>
                <c:pt idx="674">
                  <c:v>0.34145022711720302</c:v>
                </c:pt>
                <c:pt idx="675">
                  <c:v>0.18862784518742501</c:v>
                </c:pt>
                <c:pt idx="676">
                  <c:v>0.38359186710447601</c:v>
                </c:pt>
                <c:pt idx="677">
                  <c:v>0.51466463658947004</c:v>
                </c:pt>
                <c:pt idx="678">
                  <c:v>0.64720260043508604</c:v>
                </c:pt>
                <c:pt idx="679">
                  <c:v>0.42284184472394798</c:v>
                </c:pt>
                <c:pt idx="680">
                  <c:v>0.75716885997029104</c:v>
                </c:pt>
                <c:pt idx="681">
                  <c:v>0.234109150208091</c:v>
                </c:pt>
                <c:pt idx="682">
                  <c:v>0.66140548381978503</c:v>
                </c:pt>
                <c:pt idx="683">
                  <c:v>0.46607175212900898</c:v>
                </c:pt>
                <c:pt idx="684">
                  <c:v>0.46397642362022901</c:v>
                </c:pt>
                <c:pt idx="685">
                  <c:v>0.47961948949451</c:v>
                </c:pt>
                <c:pt idx="686">
                  <c:v>0.49308046226859398</c:v>
                </c:pt>
                <c:pt idx="687">
                  <c:v>0.42950607203494201</c:v>
                </c:pt>
                <c:pt idx="688">
                  <c:v>0.380661131233273</c:v>
                </c:pt>
                <c:pt idx="689">
                  <c:v>0.35652105717198701</c:v>
                </c:pt>
                <c:pt idx="690">
                  <c:v>0.59931391907383402</c:v>
                </c:pt>
                <c:pt idx="691">
                  <c:v>0.72207985987219803</c:v>
                </c:pt>
                <c:pt idx="692">
                  <c:v>0.80803428846313097</c:v>
                </c:pt>
                <c:pt idx="693">
                  <c:v>0.453209353501908</c:v>
                </c:pt>
                <c:pt idx="694">
                  <c:v>0.53072896385055102</c:v>
                </c:pt>
                <c:pt idx="695">
                  <c:v>0.72654961884722902</c:v>
                </c:pt>
                <c:pt idx="696">
                  <c:v>0.56985139958477804</c:v>
                </c:pt>
                <c:pt idx="697">
                  <c:v>0.68582794126796498</c:v>
                </c:pt>
                <c:pt idx="698">
                  <c:v>0.247924897848918</c:v>
                </c:pt>
                <c:pt idx="699">
                  <c:v>0.30449877550543297</c:v>
                </c:pt>
                <c:pt idx="700">
                  <c:v>0.38305107760974599</c:v>
                </c:pt>
                <c:pt idx="701">
                  <c:v>0.28029036502782001</c:v>
                </c:pt>
                <c:pt idx="702">
                  <c:v>0.49470629423724199</c:v>
                </c:pt>
                <c:pt idx="703">
                  <c:v>0.417670494283154</c:v>
                </c:pt>
                <c:pt idx="704">
                  <c:v>0.52950986988402504</c:v>
                </c:pt>
                <c:pt idx="705">
                  <c:v>0.68499376146789004</c:v>
                </c:pt>
                <c:pt idx="706">
                  <c:v>0.61709919210168696</c:v>
                </c:pt>
                <c:pt idx="707">
                  <c:v>0.47424265455279402</c:v>
                </c:pt>
                <c:pt idx="708">
                  <c:v>0.35330877050362502</c:v>
                </c:pt>
                <c:pt idx="709">
                  <c:v>0.50911764965293405</c:v>
                </c:pt>
                <c:pt idx="710">
                  <c:v>0.759676325982375</c:v>
                </c:pt>
                <c:pt idx="711">
                  <c:v>0.56577127374012304</c:v>
                </c:pt>
                <c:pt idx="712">
                  <c:v>0.71594343351908296</c:v>
                </c:pt>
                <c:pt idx="713">
                  <c:v>0.58623997598223099</c:v>
                </c:pt>
                <c:pt idx="714">
                  <c:v>0.63238165079427999</c:v>
                </c:pt>
                <c:pt idx="715">
                  <c:v>0.434962079601656</c:v>
                </c:pt>
                <c:pt idx="716">
                  <c:v>0.33686161922729901</c:v>
                </c:pt>
                <c:pt idx="717">
                  <c:v>0.38591556974070301</c:v>
                </c:pt>
                <c:pt idx="718">
                  <c:v>0.59447829471519298</c:v>
                </c:pt>
                <c:pt idx="719">
                  <c:v>0.83186812478376504</c:v>
                </c:pt>
                <c:pt idx="720">
                  <c:v>0.51785948593838804</c:v>
                </c:pt>
                <c:pt idx="721">
                  <c:v>0.74259616377974502</c:v>
                </c:pt>
                <c:pt idx="722">
                  <c:v>0.40646072523733301</c:v>
                </c:pt>
                <c:pt idx="723">
                  <c:v>0.69724776666980404</c:v>
                </c:pt>
                <c:pt idx="724">
                  <c:v>0.51328474501404697</c:v>
                </c:pt>
                <c:pt idx="725">
                  <c:v>0.76677531085530104</c:v>
                </c:pt>
                <c:pt idx="726">
                  <c:v>0.39856707814454301</c:v>
                </c:pt>
                <c:pt idx="727">
                  <c:v>0.40742670169406597</c:v>
                </c:pt>
                <c:pt idx="728">
                  <c:v>0.392346470133007</c:v>
                </c:pt>
                <c:pt idx="729">
                  <c:v>0.35802466180388798</c:v>
                </c:pt>
                <c:pt idx="730">
                  <c:v>0.31023254925190602</c:v>
                </c:pt>
                <c:pt idx="731">
                  <c:v>0.36923522128691499</c:v>
                </c:pt>
                <c:pt idx="732">
                  <c:v>0.28663823550187201</c:v>
                </c:pt>
                <c:pt idx="733">
                  <c:v>0.26386797089271802</c:v>
                </c:pt>
                <c:pt idx="734">
                  <c:v>0.65448352756097905</c:v>
                </c:pt>
                <c:pt idx="735">
                  <c:v>0.296786273366279</c:v>
                </c:pt>
                <c:pt idx="736">
                  <c:v>0.26086743231531501</c:v>
                </c:pt>
                <c:pt idx="737">
                  <c:v>0.13950425662010299</c:v>
                </c:pt>
                <c:pt idx="738">
                  <c:v>0.30578774217131699</c:v>
                </c:pt>
                <c:pt idx="739">
                  <c:v>0.64638681556158195</c:v>
                </c:pt>
                <c:pt idx="740">
                  <c:v>0.262021768759718</c:v>
                </c:pt>
                <c:pt idx="741">
                  <c:v>0.36994916163534303</c:v>
                </c:pt>
                <c:pt idx="742">
                  <c:v>0.34055903900121298</c:v>
                </c:pt>
                <c:pt idx="743">
                  <c:v>0.49558063168611</c:v>
                </c:pt>
                <c:pt idx="744">
                  <c:v>0.461310775702091</c:v>
                </c:pt>
                <c:pt idx="745">
                  <c:v>0.76980166437472497</c:v>
                </c:pt>
                <c:pt idx="746">
                  <c:v>0.56106335370034099</c:v>
                </c:pt>
                <c:pt idx="747">
                  <c:v>0.39722570009943597</c:v>
                </c:pt>
                <c:pt idx="748">
                  <c:v>0.49250794741816301</c:v>
                </c:pt>
                <c:pt idx="749">
                  <c:v>0.64544424135360601</c:v>
                </c:pt>
                <c:pt idx="750">
                  <c:v>0.37927099197888098</c:v>
                </c:pt>
                <c:pt idx="751">
                  <c:v>0.463517041741696</c:v>
                </c:pt>
                <c:pt idx="752">
                  <c:v>0.67801937088694397</c:v>
                </c:pt>
                <c:pt idx="753">
                  <c:v>0.38690598169805301</c:v>
                </c:pt>
                <c:pt idx="754">
                  <c:v>0.55946169523483802</c:v>
                </c:pt>
                <c:pt idx="755">
                  <c:v>0.68260737544810601</c:v>
                </c:pt>
                <c:pt idx="756">
                  <c:v>0.75728524214744797</c:v>
                </c:pt>
                <c:pt idx="757">
                  <c:v>0.54815366972477098</c:v>
                </c:pt>
                <c:pt idx="758">
                  <c:v>0.83951875011879196</c:v>
                </c:pt>
                <c:pt idx="759">
                  <c:v>0.90474186249057198</c:v>
                </c:pt>
                <c:pt idx="760">
                  <c:v>0.49788852616131102</c:v>
                </c:pt>
                <c:pt idx="761">
                  <c:v>0.70929748742045895</c:v>
                </c:pt>
                <c:pt idx="762">
                  <c:v>0.65853095113950599</c:v>
                </c:pt>
                <c:pt idx="763">
                  <c:v>0.68650594754862204</c:v>
                </c:pt>
                <c:pt idx="764">
                  <c:v>0.32753594048456802</c:v>
                </c:pt>
                <c:pt idx="765">
                  <c:v>0.54178770682945099</c:v>
                </c:pt>
                <c:pt idx="766">
                  <c:v>0.48477483083145401</c:v>
                </c:pt>
                <c:pt idx="767">
                  <c:v>0.38974601578900703</c:v>
                </c:pt>
                <c:pt idx="768">
                  <c:v>0.60566668698010295</c:v>
                </c:pt>
                <c:pt idx="769">
                  <c:v>0.57378455172775</c:v>
                </c:pt>
                <c:pt idx="770">
                  <c:v>0.54530388307420496</c:v>
                </c:pt>
                <c:pt idx="771">
                  <c:v>0.467605691139653</c:v>
                </c:pt>
                <c:pt idx="772">
                  <c:v>0.66235870001809705</c:v>
                </c:pt>
                <c:pt idx="773">
                  <c:v>0.59542392188771398</c:v>
                </c:pt>
                <c:pt idx="774">
                  <c:v>0.69169810229352702</c:v>
                </c:pt>
                <c:pt idx="775">
                  <c:v>0.57712102601972803</c:v>
                </c:pt>
                <c:pt idx="776">
                  <c:v>0.57364856093407601</c:v>
                </c:pt>
                <c:pt idx="777">
                  <c:v>0.69750469373175905</c:v>
                </c:pt>
                <c:pt idx="778">
                  <c:v>0.58091571960461497</c:v>
                </c:pt>
                <c:pt idx="779">
                  <c:v>0.57673047257916199</c:v>
                </c:pt>
                <c:pt idx="780">
                  <c:v>0.43164703440950197</c:v>
                </c:pt>
                <c:pt idx="781">
                  <c:v>0.47654645492270897</c:v>
                </c:pt>
                <c:pt idx="782">
                  <c:v>0.68368936052921703</c:v>
                </c:pt>
                <c:pt idx="783">
                  <c:v>0.77330352296937099</c:v>
                </c:pt>
                <c:pt idx="784">
                  <c:v>0.72206121948757895</c:v>
                </c:pt>
                <c:pt idx="785">
                  <c:v>0.47586765152281701</c:v>
                </c:pt>
                <c:pt idx="786">
                  <c:v>0.61791160588449601</c:v>
                </c:pt>
                <c:pt idx="787">
                  <c:v>0.517153236584034</c:v>
                </c:pt>
                <c:pt idx="788">
                  <c:v>0.39638854635489801</c:v>
                </c:pt>
                <c:pt idx="789">
                  <c:v>0.52630298044458201</c:v>
                </c:pt>
                <c:pt idx="790">
                  <c:v>0.62842146406834598</c:v>
                </c:pt>
                <c:pt idx="791">
                  <c:v>0.618632868813071</c:v>
                </c:pt>
                <c:pt idx="792">
                  <c:v>0.66672405572919402</c:v>
                </c:pt>
                <c:pt idx="793">
                  <c:v>0.82084142675767502</c:v>
                </c:pt>
                <c:pt idx="794">
                  <c:v>0.71416618150008604</c:v>
                </c:pt>
                <c:pt idx="795">
                  <c:v>0.49916547448736298</c:v>
                </c:pt>
                <c:pt idx="796">
                  <c:v>0.375008317830825</c:v>
                </c:pt>
                <c:pt idx="797">
                  <c:v>0.41859995663648703</c:v>
                </c:pt>
                <c:pt idx="798">
                  <c:v>0.61818736738075197</c:v>
                </c:pt>
                <c:pt idx="799">
                  <c:v>0.57661732687471501</c:v>
                </c:pt>
                <c:pt idx="800">
                  <c:v>0.50359278273350905</c:v>
                </c:pt>
                <c:pt idx="801">
                  <c:v>0.620404709161958</c:v>
                </c:pt>
                <c:pt idx="802">
                  <c:v>0.59170909817009698</c:v>
                </c:pt>
                <c:pt idx="803">
                  <c:v>0.582872694693781</c:v>
                </c:pt>
                <c:pt idx="804">
                  <c:v>0.50394998265476698</c:v>
                </c:pt>
                <c:pt idx="805">
                  <c:v>0.93707075976529897</c:v>
                </c:pt>
                <c:pt idx="806">
                  <c:v>0.56350732904423995</c:v>
                </c:pt>
                <c:pt idx="807">
                  <c:v>0.321395659110916</c:v>
                </c:pt>
                <c:pt idx="808">
                  <c:v>0.40198215595127901</c:v>
                </c:pt>
                <c:pt idx="809">
                  <c:v>0.36727617653641598</c:v>
                </c:pt>
                <c:pt idx="810">
                  <c:v>0.41467217023795799</c:v>
                </c:pt>
                <c:pt idx="811">
                  <c:v>0.350897699644661</c:v>
                </c:pt>
                <c:pt idx="812">
                  <c:v>0.536354561986085</c:v>
                </c:pt>
                <c:pt idx="813">
                  <c:v>0.59936788296688503</c:v>
                </c:pt>
                <c:pt idx="814">
                  <c:v>0.359551924189005</c:v>
                </c:pt>
                <c:pt idx="815">
                  <c:v>0.29625051631877902</c:v>
                </c:pt>
                <c:pt idx="816">
                  <c:v>0.458834158807024</c:v>
                </c:pt>
                <c:pt idx="817">
                  <c:v>0.56898739949233201</c:v>
                </c:pt>
                <c:pt idx="818">
                  <c:v>0.41456698944584702</c:v>
                </c:pt>
                <c:pt idx="819">
                  <c:v>0.378516196857898</c:v>
                </c:pt>
                <c:pt idx="820">
                  <c:v>0.35750734230292702</c:v>
                </c:pt>
                <c:pt idx="821">
                  <c:v>0.31994407219539001</c:v>
                </c:pt>
                <c:pt idx="822">
                  <c:v>0.72314005712283502</c:v>
                </c:pt>
                <c:pt idx="823">
                  <c:v>0.36495943745148501</c:v>
                </c:pt>
                <c:pt idx="824">
                  <c:v>0.55109403241686405</c:v>
                </c:pt>
                <c:pt idx="825">
                  <c:v>0.52415960266829797</c:v>
                </c:pt>
                <c:pt idx="826">
                  <c:v>0.71785078352367804</c:v>
                </c:pt>
                <c:pt idx="827">
                  <c:v>0.55093619853895004</c:v>
                </c:pt>
                <c:pt idx="828">
                  <c:v>0.29127001405189301</c:v>
                </c:pt>
                <c:pt idx="829">
                  <c:v>0.42706850515073203</c:v>
                </c:pt>
                <c:pt idx="830">
                  <c:v>0.363131270071333</c:v>
                </c:pt>
                <c:pt idx="831">
                  <c:v>0.40852764571060601</c:v>
                </c:pt>
                <c:pt idx="832">
                  <c:v>0.54974310101930901</c:v>
                </c:pt>
                <c:pt idx="833">
                  <c:v>0.31250140865023901</c:v>
                </c:pt>
                <c:pt idx="834">
                  <c:v>0.78485237670243901</c:v>
                </c:pt>
                <c:pt idx="835">
                  <c:v>0.82478270876204896</c:v>
                </c:pt>
                <c:pt idx="836">
                  <c:v>0.377782723505104</c:v>
                </c:pt>
                <c:pt idx="837">
                  <c:v>0.610532380241118</c:v>
                </c:pt>
                <c:pt idx="838">
                  <c:v>0.31423790994144002</c:v>
                </c:pt>
                <c:pt idx="839">
                  <c:v>0.27646206882483698</c:v>
                </c:pt>
                <c:pt idx="840">
                  <c:v>0.35466957058804399</c:v>
                </c:pt>
                <c:pt idx="841">
                  <c:v>0.37401080824746302</c:v>
                </c:pt>
                <c:pt idx="842">
                  <c:v>0.404034766869662</c:v>
                </c:pt>
                <c:pt idx="843">
                  <c:v>0.81774344710826297</c:v>
                </c:pt>
                <c:pt idx="844">
                  <c:v>0.341353430023495</c:v>
                </c:pt>
                <c:pt idx="845">
                  <c:v>0.47531614785992199</c:v>
                </c:pt>
                <c:pt idx="846">
                  <c:v>0.73702910717128001</c:v>
                </c:pt>
                <c:pt idx="847">
                  <c:v>0.63794893705814304</c:v>
                </c:pt>
                <c:pt idx="848">
                  <c:v>0.46595765600419498</c:v>
                </c:pt>
                <c:pt idx="849">
                  <c:v>0.45875625941072701</c:v>
                </c:pt>
                <c:pt idx="850">
                  <c:v>0.49654454715041901</c:v>
                </c:pt>
                <c:pt idx="851">
                  <c:v>0.31115970993398501</c:v>
                </c:pt>
                <c:pt idx="852">
                  <c:v>0.269565017924905</c:v>
                </c:pt>
                <c:pt idx="853">
                  <c:v>0.36408959164558602</c:v>
                </c:pt>
                <c:pt idx="854">
                  <c:v>0.67035383319292297</c:v>
                </c:pt>
                <c:pt idx="855">
                  <c:v>0.54360711873345202</c:v>
                </c:pt>
                <c:pt idx="856">
                  <c:v>0.56887773568515798</c:v>
                </c:pt>
                <c:pt idx="857">
                  <c:v>0.71694008701552703</c:v>
                </c:pt>
                <c:pt idx="858">
                  <c:v>0.63000846530258303</c:v>
                </c:pt>
                <c:pt idx="859">
                  <c:v>0.56453010698566797</c:v>
                </c:pt>
                <c:pt idx="860">
                  <c:v>0.24999484837036801</c:v>
                </c:pt>
                <c:pt idx="861">
                  <c:v>0.566169130389644</c:v>
                </c:pt>
                <c:pt idx="862">
                  <c:v>0.54161171975383804</c:v>
                </c:pt>
                <c:pt idx="863">
                  <c:v>0.288560902863365</c:v>
                </c:pt>
                <c:pt idx="864">
                  <c:v>0.336722090580172</c:v>
                </c:pt>
                <c:pt idx="865">
                  <c:v>0.51985054715014301</c:v>
                </c:pt>
                <c:pt idx="866">
                  <c:v>0.52841021022711299</c:v>
                </c:pt>
                <c:pt idx="867">
                  <c:v>0.33399295460815298</c:v>
                </c:pt>
                <c:pt idx="868">
                  <c:v>0.31524906846520501</c:v>
                </c:pt>
                <c:pt idx="869">
                  <c:v>0.389293734818278</c:v>
                </c:pt>
                <c:pt idx="870">
                  <c:v>0.32470391269299897</c:v>
                </c:pt>
                <c:pt idx="871">
                  <c:v>0.68625833625833599</c:v>
                </c:pt>
                <c:pt idx="872">
                  <c:v>0.32416803107032699</c:v>
                </c:pt>
                <c:pt idx="873">
                  <c:v>0.34587373095866902</c:v>
                </c:pt>
                <c:pt idx="874">
                  <c:v>0.32333857607214</c:v>
                </c:pt>
                <c:pt idx="875">
                  <c:v>0.42360664729728598</c:v>
                </c:pt>
                <c:pt idx="876">
                  <c:v>0.56231697954247395</c:v>
                </c:pt>
                <c:pt idx="877">
                  <c:v>0.366577773891755</c:v>
                </c:pt>
                <c:pt idx="878">
                  <c:v>0.25096193737848699</c:v>
                </c:pt>
                <c:pt idx="879">
                  <c:v>0.28142175540344599</c:v>
                </c:pt>
                <c:pt idx="880">
                  <c:v>0.619979426484356</c:v>
                </c:pt>
                <c:pt idx="881">
                  <c:v>0.323115894601605</c:v>
                </c:pt>
                <c:pt idx="882">
                  <c:v>0.17825220451213999</c:v>
                </c:pt>
                <c:pt idx="883">
                  <c:v>0.34910227239272101</c:v>
                </c:pt>
                <c:pt idx="884">
                  <c:v>0.25703676135436998</c:v>
                </c:pt>
                <c:pt idx="885">
                  <c:v>0.77114027515642802</c:v>
                </c:pt>
                <c:pt idx="886">
                  <c:v>0.14066665079969501</c:v>
                </c:pt>
                <c:pt idx="887">
                  <c:v>0.18874074392280499</c:v>
                </c:pt>
                <c:pt idx="888">
                  <c:v>0.61571121118970695</c:v>
                </c:pt>
                <c:pt idx="889">
                  <c:v>0.66266439223023199</c:v>
                </c:pt>
                <c:pt idx="890">
                  <c:v>0.63557415018039298</c:v>
                </c:pt>
                <c:pt idx="891">
                  <c:v>0.74049040782619802</c:v>
                </c:pt>
                <c:pt idx="892">
                  <c:v>0.641392215326541</c:v>
                </c:pt>
                <c:pt idx="893">
                  <c:v>0.84840238273522794</c:v>
                </c:pt>
                <c:pt idx="894">
                  <c:v>0.59198312236286899</c:v>
                </c:pt>
                <c:pt idx="895">
                  <c:v>0.44206175048220703</c:v>
                </c:pt>
                <c:pt idx="896">
                  <c:v>0.59311456207823998</c:v>
                </c:pt>
                <c:pt idx="897">
                  <c:v>0.60248871496490097</c:v>
                </c:pt>
                <c:pt idx="898">
                  <c:v>0.66000911464926704</c:v>
                </c:pt>
                <c:pt idx="899">
                  <c:v>0.54788609186694104</c:v>
                </c:pt>
                <c:pt idx="900">
                  <c:v>0.82244531584742098</c:v>
                </c:pt>
                <c:pt idx="901">
                  <c:v>0.81538218754691005</c:v>
                </c:pt>
                <c:pt idx="902">
                  <c:v>0.62963589061819503</c:v>
                </c:pt>
                <c:pt idx="903">
                  <c:v>0.52006903721622399</c:v>
                </c:pt>
                <c:pt idx="904">
                  <c:v>0.38415892332039597</c:v>
                </c:pt>
                <c:pt idx="905">
                  <c:v>0.35004839572674801</c:v>
                </c:pt>
                <c:pt idx="906">
                  <c:v>0.56666301056005497</c:v>
                </c:pt>
                <c:pt idx="907">
                  <c:v>0.359088054996343</c:v>
                </c:pt>
                <c:pt idx="908">
                  <c:v>0.658876721736808</c:v>
                </c:pt>
                <c:pt idx="909">
                  <c:v>0.52761792175309796</c:v>
                </c:pt>
                <c:pt idx="910">
                  <c:v>0.55349937300572405</c:v>
                </c:pt>
                <c:pt idx="911">
                  <c:v>0.34171634410859603</c:v>
                </c:pt>
                <c:pt idx="912">
                  <c:v>0.49747477935884699</c:v>
                </c:pt>
                <c:pt idx="913">
                  <c:v>0.61318917797033701</c:v>
                </c:pt>
                <c:pt idx="914">
                  <c:v>0.72957470569248095</c:v>
                </c:pt>
                <c:pt idx="915">
                  <c:v>0.74785605622046603</c:v>
                </c:pt>
                <c:pt idx="916">
                  <c:v>0.44007955717382602</c:v>
                </c:pt>
                <c:pt idx="917">
                  <c:v>0.52706750403458102</c:v>
                </c:pt>
                <c:pt idx="918">
                  <c:v>0.59602912970510702</c:v>
                </c:pt>
                <c:pt idx="919">
                  <c:v>0.67689512363474003</c:v>
                </c:pt>
                <c:pt idx="920">
                  <c:v>0.75185837726286797</c:v>
                </c:pt>
                <c:pt idx="921">
                  <c:v>0.37884995783659398</c:v>
                </c:pt>
                <c:pt idx="922">
                  <c:v>0.29200853326694798</c:v>
                </c:pt>
                <c:pt idx="923">
                  <c:v>0.42760580293785899</c:v>
                </c:pt>
                <c:pt idx="924">
                  <c:v>0.74964845459709595</c:v>
                </c:pt>
                <c:pt idx="925">
                  <c:v>0.43954497819983701</c:v>
                </c:pt>
                <c:pt idx="926">
                  <c:v>0.34889065804025299</c:v>
                </c:pt>
                <c:pt idx="927">
                  <c:v>0.62612596574927903</c:v>
                </c:pt>
                <c:pt idx="928">
                  <c:v>0.28101105329070702</c:v>
                </c:pt>
                <c:pt idx="929">
                  <c:v>0.274243427870138</c:v>
                </c:pt>
                <c:pt idx="930">
                  <c:v>0.22371258482161399</c:v>
                </c:pt>
                <c:pt idx="931">
                  <c:v>0.27025670742999802</c:v>
                </c:pt>
                <c:pt idx="932">
                  <c:v>0.60101904323163302</c:v>
                </c:pt>
                <c:pt idx="933">
                  <c:v>0.29261976463552702</c:v>
                </c:pt>
                <c:pt idx="934">
                  <c:v>0.251193691450533</c:v>
                </c:pt>
                <c:pt idx="935">
                  <c:v>0.48356106340223298</c:v>
                </c:pt>
                <c:pt idx="936">
                  <c:v>0.26278413383375898</c:v>
                </c:pt>
                <c:pt idx="937">
                  <c:v>0.52369499099993799</c:v>
                </c:pt>
                <c:pt idx="938">
                  <c:v>0.64677534769677403</c:v>
                </c:pt>
                <c:pt idx="939">
                  <c:v>0.33097091981454302</c:v>
                </c:pt>
                <c:pt idx="940">
                  <c:v>0.66906751308226797</c:v>
                </c:pt>
                <c:pt idx="941">
                  <c:v>0.36847320103189402</c:v>
                </c:pt>
                <c:pt idx="942">
                  <c:v>0.54472887098537004</c:v>
                </c:pt>
                <c:pt idx="943">
                  <c:v>0.42291632221592901</c:v>
                </c:pt>
                <c:pt idx="944">
                  <c:v>0.30089289106729</c:v>
                </c:pt>
                <c:pt idx="945">
                  <c:v>0.43498742773634802</c:v>
                </c:pt>
                <c:pt idx="946">
                  <c:v>0.27318511881428398</c:v>
                </c:pt>
                <c:pt idx="947">
                  <c:v>0.45278378879198</c:v>
                </c:pt>
                <c:pt idx="948">
                  <c:v>0.62746306518748796</c:v>
                </c:pt>
                <c:pt idx="949">
                  <c:v>0.51592595530492602</c:v>
                </c:pt>
                <c:pt idx="950">
                  <c:v>0.57705856792575805</c:v>
                </c:pt>
                <c:pt idx="951">
                  <c:v>0.42089485358367101</c:v>
                </c:pt>
                <c:pt idx="952">
                  <c:v>0.48665876885223502</c:v>
                </c:pt>
                <c:pt idx="953">
                  <c:v>0.16785521548068799</c:v>
                </c:pt>
                <c:pt idx="954">
                  <c:v>0.54063367999483203</c:v>
                </c:pt>
                <c:pt idx="955">
                  <c:v>0.55868365802451103</c:v>
                </c:pt>
                <c:pt idx="956">
                  <c:v>0.63914395497199505</c:v>
                </c:pt>
                <c:pt idx="957">
                  <c:v>0.40439122268855399</c:v>
                </c:pt>
                <c:pt idx="958">
                  <c:v>0.55965312201343898</c:v>
                </c:pt>
                <c:pt idx="959">
                  <c:v>0.319160305043592</c:v>
                </c:pt>
                <c:pt idx="960">
                  <c:v>0.55254866531021296</c:v>
                </c:pt>
                <c:pt idx="961">
                  <c:v>0.58347841847130599</c:v>
                </c:pt>
                <c:pt idx="962">
                  <c:v>0.48598646212587798</c:v>
                </c:pt>
                <c:pt idx="963">
                  <c:v>0.75849388904479398</c:v>
                </c:pt>
                <c:pt idx="964">
                  <c:v>0.557812774823775</c:v>
                </c:pt>
                <c:pt idx="965">
                  <c:v>0.79485095064836697</c:v>
                </c:pt>
                <c:pt idx="966">
                  <c:v>0.59485312541453605</c:v>
                </c:pt>
                <c:pt idx="967">
                  <c:v>0.63742091267536805</c:v>
                </c:pt>
                <c:pt idx="968">
                  <c:v>0.55757217235124501</c:v>
                </c:pt>
                <c:pt idx="969">
                  <c:v>0.50350427261683495</c:v>
                </c:pt>
                <c:pt idx="970">
                  <c:v>0.58157481952665302</c:v>
                </c:pt>
                <c:pt idx="971">
                  <c:v>0.52875716929826599</c:v>
                </c:pt>
                <c:pt idx="972">
                  <c:v>0.38757025208197099</c:v>
                </c:pt>
                <c:pt idx="973">
                  <c:v>0.519833920902252</c:v>
                </c:pt>
                <c:pt idx="974">
                  <c:v>0.52415197292426097</c:v>
                </c:pt>
                <c:pt idx="975">
                  <c:v>0.44492345123170901</c:v>
                </c:pt>
                <c:pt idx="976">
                  <c:v>0.392742376040361</c:v>
                </c:pt>
                <c:pt idx="977">
                  <c:v>0.46235639388263799</c:v>
                </c:pt>
                <c:pt idx="978">
                  <c:v>0.48204189426615102</c:v>
                </c:pt>
                <c:pt idx="979">
                  <c:v>0.75211630872531599</c:v>
                </c:pt>
                <c:pt idx="980">
                  <c:v>0.63954310292967598</c:v>
                </c:pt>
                <c:pt idx="981">
                  <c:v>0.80686837306679304</c:v>
                </c:pt>
                <c:pt idx="982">
                  <c:v>0.71724132938561902</c:v>
                </c:pt>
                <c:pt idx="983">
                  <c:v>0.84677283273571002</c:v>
                </c:pt>
                <c:pt idx="984">
                  <c:v>0.38234119482621798</c:v>
                </c:pt>
                <c:pt idx="985">
                  <c:v>0.81974839123000998</c:v>
                </c:pt>
                <c:pt idx="986">
                  <c:v>0.72081861733748298</c:v>
                </c:pt>
                <c:pt idx="987">
                  <c:v>0.82790828710124797</c:v>
                </c:pt>
                <c:pt idx="988">
                  <c:v>0.49681015143017399</c:v>
                </c:pt>
                <c:pt idx="989">
                  <c:v>0.50672916245157296</c:v>
                </c:pt>
                <c:pt idx="990">
                  <c:v>0.49218296216171098</c:v>
                </c:pt>
                <c:pt idx="991">
                  <c:v>0.55072453817342903</c:v>
                </c:pt>
                <c:pt idx="992">
                  <c:v>0.40849473684210502</c:v>
                </c:pt>
                <c:pt idx="993">
                  <c:v>0.49509977389302601</c:v>
                </c:pt>
                <c:pt idx="994">
                  <c:v>0.35077895474515502</c:v>
                </c:pt>
                <c:pt idx="995">
                  <c:v>0.34295984582181499</c:v>
                </c:pt>
                <c:pt idx="996">
                  <c:v>0.53868014117046803</c:v>
                </c:pt>
                <c:pt idx="997">
                  <c:v>0.63975907544999999</c:v>
                </c:pt>
                <c:pt idx="998">
                  <c:v>0.52758757934928502</c:v>
                </c:pt>
                <c:pt idx="999">
                  <c:v>0.25496195639528102</c:v>
                </c:pt>
                <c:pt idx="1000">
                  <c:v>0.30805153090061899</c:v>
                </c:pt>
                <c:pt idx="1001">
                  <c:v>0.33091016907375598</c:v>
                </c:pt>
                <c:pt idx="1002">
                  <c:v>0.32277277866347098</c:v>
                </c:pt>
                <c:pt idx="1003">
                  <c:v>0.44642768883016398</c:v>
                </c:pt>
                <c:pt idx="1004">
                  <c:v>0.56633598604600499</c:v>
                </c:pt>
                <c:pt idx="1005">
                  <c:v>0.38332948662995803</c:v>
                </c:pt>
                <c:pt idx="1006">
                  <c:v>0.77753465300635105</c:v>
                </c:pt>
                <c:pt idx="1007">
                  <c:v>0.52676251454771095</c:v>
                </c:pt>
                <c:pt idx="1008">
                  <c:v>0.38258682683114098</c:v>
                </c:pt>
                <c:pt idx="1009">
                  <c:v>0.43040226705565399</c:v>
                </c:pt>
                <c:pt idx="1010">
                  <c:v>0.361856158445575</c:v>
                </c:pt>
                <c:pt idx="1011">
                  <c:v>0.24407643771083201</c:v>
                </c:pt>
                <c:pt idx="1012">
                  <c:v>0.33252429346325502</c:v>
                </c:pt>
                <c:pt idx="1013">
                  <c:v>0.38797505390824799</c:v>
                </c:pt>
                <c:pt idx="1014">
                  <c:v>0.32402814589409301</c:v>
                </c:pt>
                <c:pt idx="1015">
                  <c:v>0.72672114017506895</c:v>
                </c:pt>
                <c:pt idx="1016">
                  <c:v>0.45132832489520402</c:v>
                </c:pt>
                <c:pt idx="1017">
                  <c:v>0.75651773326976801</c:v>
                </c:pt>
                <c:pt idx="1018">
                  <c:v>0.61289038537562901</c:v>
                </c:pt>
                <c:pt idx="1019">
                  <c:v>0.65081570881955397</c:v>
                </c:pt>
                <c:pt idx="1020">
                  <c:v>0.58314215441539097</c:v>
                </c:pt>
                <c:pt idx="1021">
                  <c:v>0.50983020704568305</c:v>
                </c:pt>
                <c:pt idx="1022">
                  <c:v>0.51224528209811604</c:v>
                </c:pt>
                <c:pt idx="1023">
                  <c:v>0.30689149025701901</c:v>
                </c:pt>
                <c:pt idx="1024">
                  <c:v>0.46166538439528698</c:v>
                </c:pt>
                <c:pt idx="1025">
                  <c:v>0.38454861659081002</c:v>
                </c:pt>
                <c:pt idx="1026">
                  <c:v>0.56196823078327596</c:v>
                </c:pt>
                <c:pt idx="1027">
                  <c:v>0.40637841172127398</c:v>
                </c:pt>
                <c:pt idx="1028">
                  <c:v>0.53392181519353199</c:v>
                </c:pt>
                <c:pt idx="1029">
                  <c:v>0.64153018743644996</c:v>
                </c:pt>
                <c:pt idx="1030">
                  <c:v>0.51909662693640302</c:v>
                </c:pt>
                <c:pt idx="1031">
                  <c:v>0.42958527636494498</c:v>
                </c:pt>
                <c:pt idx="1032">
                  <c:v>0.39906013508015298</c:v>
                </c:pt>
                <c:pt idx="1033">
                  <c:v>0.349960508184049</c:v>
                </c:pt>
                <c:pt idx="1034">
                  <c:v>0.62107095758104802</c:v>
                </c:pt>
                <c:pt idx="1035">
                  <c:v>0.201036410005969</c:v>
                </c:pt>
                <c:pt idx="1036">
                  <c:v>0.32091046485882901</c:v>
                </c:pt>
                <c:pt idx="1037">
                  <c:v>0.30630594040807602</c:v>
                </c:pt>
                <c:pt idx="1038">
                  <c:v>0.26727487144490503</c:v>
                </c:pt>
                <c:pt idx="1039">
                  <c:v>0.43114831082014299</c:v>
                </c:pt>
                <c:pt idx="1040">
                  <c:v>0.33668609628684099</c:v>
                </c:pt>
                <c:pt idx="1041">
                  <c:v>0.24722308228191001</c:v>
                </c:pt>
                <c:pt idx="1042">
                  <c:v>0.72756606656686595</c:v>
                </c:pt>
                <c:pt idx="1043">
                  <c:v>0.219200381825775</c:v>
                </c:pt>
                <c:pt idx="1044">
                  <c:v>0.34086162049963697</c:v>
                </c:pt>
                <c:pt idx="1045">
                  <c:v>0.31676668266922697</c:v>
                </c:pt>
                <c:pt idx="1046">
                  <c:v>0.34660884230815597</c:v>
                </c:pt>
                <c:pt idx="1047">
                  <c:v>0.637929043221928</c:v>
                </c:pt>
                <c:pt idx="1048">
                  <c:v>0.309747477934746</c:v>
                </c:pt>
                <c:pt idx="1049">
                  <c:v>0.76675203383718304</c:v>
                </c:pt>
                <c:pt idx="1050">
                  <c:v>0.35728362586614798</c:v>
                </c:pt>
                <c:pt idx="1051">
                  <c:v>0.246463291363304</c:v>
                </c:pt>
                <c:pt idx="1052">
                  <c:v>0.29841097072939599</c:v>
                </c:pt>
                <c:pt idx="1053">
                  <c:v>0.45679691430488001</c:v>
                </c:pt>
                <c:pt idx="1054">
                  <c:v>0.63463480756963597</c:v>
                </c:pt>
                <c:pt idx="1055">
                  <c:v>0.729676729260756</c:v>
                </c:pt>
                <c:pt idx="1056">
                  <c:v>0.68426485069226095</c:v>
                </c:pt>
                <c:pt idx="1057">
                  <c:v>0.371590609577649</c:v>
                </c:pt>
                <c:pt idx="1058">
                  <c:v>0.40965910241098002</c:v>
                </c:pt>
                <c:pt idx="1059">
                  <c:v>0.40251154201292699</c:v>
                </c:pt>
                <c:pt idx="1060">
                  <c:v>0.355562317958527</c:v>
                </c:pt>
                <c:pt idx="1061">
                  <c:v>0.56650823464044797</c:v>
                </c:pt>
                <c:pt idx="1062">
                  <c:v>0.77477094522790602</c:v>
                </c:pt>
                <c:pt idx="1063">
                  <c:v>0.65355297776325505</c:v>
                </c:pt>
                <c:pt idx="1064">
                  <c:v>0.543847806075483</c:v>
                </c:pt>
                <c:pt idx="1065">
                  <c:v>0.30539799155594799</c:v>
                </c:pt>
                <c:pt idx="1066">
                  <c:v>0.78543832197678998</c:v>
                </c:pt>
                <c:pt idx="1067">
                  <c:v>0.36069699373580999</c:v>
                </c:pt>
                <c:pt idx="1068">
                  <c:v>0.31439530550296002</c:v>
                </c:pt>
                <c:pt idx="1069">
                  <c:v>0.43423082254606199</c:v>
                </c:pt>
                <c:pt idx="1070">
                  <c:v>0.482955484290854</c:v>
                </c:pt>
                <c:pt idx="1071">
                  <c:v>0.67361703974880305</c:v>
                </c:pt>
                <c:pt idx="1072">
                  <c:v>0.65036168916404602</c:v>
                </c:pt>
                <c:pt idx="1073">
                  <c:v>0.42318197059120299</c:v>
                </c:pt>
                <c:pt idx="1074">
                  <c:v>0.35499810241031099</c:v>
                </c:pt>
                <c:pt idx="1075">
                  <c:v>0.52330959360158902</c:v>
                </c:pt>
                <c:pt idx="1076">
                  <c:v>0.74810194099466998</c:v>
                </c:pt>
                <c:pt idx="1077">
                  <c:v>0.26598693168542598</c:v>
                </c:pt>
                <c:pt idx="1078">
                  <c:v>0.53255088507551596</c:v>
                </c:pt>
                <c:pt idx="1079">
                  <c:v>0.66888485721408197</c:v>
                </c:pt>
                <c:pt idx="1080">
                  <c:v>0.69242931292199394</c:v>
                </c:pt>
                <c:pt idx="1081">
                  <c:v>0.63562225613908896</c:v>
                </c:pt>
                <c:pt idx="1082">
                  <c:v>0.60175207150586296</c:v>
                </c:pt>
                <c:pt idx="1083">
                  <c:v>0.50413976787112502</c:v>
                </c:pt>
                <c:pt idx="1084">
                  <c:v>0.31947914642907199</c:v>
                </c:pt>
                <c:pt idx="1085">
                  <c:v>0.40345251760569001</c:v>
                </c:pt>
                <c:pt idx="1086">
                  <c:v>0.600666543872171</c:v>
                </c:pt>
                <c:pt idx="1087">
                  <c:v>0.85745571472023896</c:v>
                </c:pt>
                <c:pt idx="1088">
                  <c:v>0.53437081130458897</c:v>
                </c:pt>
                <c:pt idx="1089">
                  <c:v>0.71747076786825803</c:v>
                </c:pt>
                <c:pt idx="1090">
                  <c:v>0.57063979260888598</c:v>
                </c:pt>
                <c:pt idx="1091">
                  <c:v>0.45512423140717401</c:v>
                </c:pt>
                <c:pt idx="1092">
                  <c:v>0.72508971211180995</c:v>
                </c:pt>
                <c:pt idx="1093">
                  <c:v>0.48148369633639698</c:v>
                </c:pt>
                <c:pt idx="1094">
                  <c:v>0.76900426657051901</c:v>
                </c:pt>
                <c:pt idx="1095">
                  <c:v>0.355731361115663</c:v>
                </c:pt>
                <c:pt idx="1096">
                  <c:v>0.38117899680864598</c:v>
                </c:pt>
                <c:pt idx="1097">
                  <c:v>0.34431366460896101</c:v>
                </c:pt>
                <c:pt idx="1098">
                  <c:v>0.26329573823109798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05-1B46-A518-1DC697CD8ED0}"/>
            </c:ext>
          </c:extLst>
        </c:ser>
        <c:ser>
          <c:idx val="1"/>
          <c:order val="1"/>
          <c:tx>
            <c:v>National fit (beta=0.330, Dem incumbent)</c:v>
          </c:tx>
          <c:spPr>
            <a:ln w="24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'Beta Coefficient'!$B$43:$B$44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'Beta Coefficient'!$C$43:$C$44</c:f>
              <c:numCache>
                <c:formatCode>0.0%</c:formatCode>
                <c:ptCount val="2"/>
                <c:pt idx="0">
                  <c:v>0.37549807076133784</c:v>
                </c:pt>
                <c:pt idx="1">
                  <c:v>0.70560970050115601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05-1B46-A518-1DC697CD8ED0}"/>
            </c:ext>
          </c:extLst>
        </c:ser>
        <c:ser>
          <c:idx val="2"/>
          <c:order val="2"/>
          <c:tx>
            <c:v>PA-07 actual (n=4)</c:v>
          </c:tx>
          <c:spPr>
            <a:ln w="28440">
              <a:noFill/>
            </a:ln>
          </c:spPr>
          <c:marker>
            <c:symbol val="diamond"/>
            <c:size val="12"/>
            <c:spPr>
              <a:solidFill>
                <a:srgbClr val="1F4E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24840">
                <a:solidFill>
                  <a:srgbClr val="1F4E78"/>
                </a:solidFill>
                <a:prstDash val="dash"/>
                <a:round/>
              </a:ln>
            </c:spPr>
            <c:trendlineType val="linear"/>
            <c:forward val="0.2"/>
            <c:backward val="0.6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'Beta Coefficient'!$E$16:$E$19</c:f>
              <c:numCache>
                <c:formatCode>0.0%</c:formatCode>
                <c:ptCount val="4"/>
                <c:pt idx="0">
                  <c:v>0.74378158283702389</c:v>
                </c:pt>
                <c:pt idx="1">
                  <c:v>0.55016810604050825</c:v>
                </c:pt>
                <c:pt idx="2">
                  <c:v>0.62030703098248696</c:v>
                </c:pt>
                <c:pt idx="3">
                  <c:v>0.85983805701256144</c:v>
                </c:pt>
              </c:numCache>
            </c:numRef>
          </c:xVal>
          <c:yVal>
            <c:numRef>
              <c:f>'Beta Coefficient'!$F$16:$F$19</c:f>
              <c:numCache>
                <c:formatCode>0.00%</c:formatCode>
                <c:ptCount val="4"/>
                <c:pt idx="0">
                  <c:v>0.53327586075939748</c:v>
                </c:pt>
                <c:pt idx="1">
                  <c:v>0.49666571804358028</c:v>
                </c:pt>
                <c:pt idx="2">
                  <c:v>0.50983020704568338</c:v>
                </c:pt>
                <c:pt idx="3">
                  <c:v>0.49496422142548979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05-1B46-A518-1DC697CD8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12139"/>
        <c:axId val="27854559"/>
      </c:scatterChart>
      <c:valAx>
        <c:axId val="93012139"/>
        <c:scaling>
          <c:orientation val="minMax"/>
          <c:max val="1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Dem money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854559"/>
        <c:crosses val="autoZero"/>
        <c:crossBetween val="midCat"/>
      </c:valAx>
      <c:valAx>
        <c:axId val="27854559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Dem 2-party vote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01213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22</xdr:col>
      <xdr:colOff>78840</xdr:colOff>
      <xdr:row>20</xdr:row>
      <xdr:rowOff>334080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4"/>
  <sheetViews>
    <sheetView zoomScaleNormal="100" workbookViewId="0">
      <selection sqref="A1:G1"/>
    </sheetView>
  </sheetViews>
  <sheetFormatPr baseColWidth="10" defaultColWidth="8.6640625" defaultRowHeight="15" x14ac:dyDescent="0.2"/>
  <cols>
    <col min="1" max="1" width="32" customWidth="1"/>
    <col min="2" max="3" width="18" customWidth="1"/>
    <col min="4" max="5" width="16" customWidth="1"/>
    <col min="6" max="7" width="15" customWidth="1"/>
  </cols>
  <sheetData>
    <row r="1" spans="1:7" ht="15" customHeight="1" x14ac:dyDescent="0.2">
      <c r="A1" s="4" t="s">
        <v>1810</v>
      </c>
      <c r="B1" s="4"/>
      <c r="C1" s="4"/>
      <c r="D1" s="4"/>
      <c r="E1" s="4"/>
      <c r="F1" s="4"/>
      <c r="G1" s="4"/>
    </row>
    <row r="3" spans="1:7" ht="15" customHeight="1" x14ac:dyDescent="0.2">
      <c r="A3" s="7"/>
      <c r="B3" s="14" t="s">
        <v>1811</v>
      </c>
      <c r="C3" s="14" t="s">
        <v>1812</v>
      </c>
    </row>
    <row r="4" spans="1:7" ht="15.75" customHeight="1" x14ac:dyDescent="0.2">
      <c r="A4" s="11" t="s">
        <v>1813</v>
      </c>
      <c r="B4" s="15">
        <f>INDEX(LINEST('National Races Data'!$J$4:$J$1102,'National Races Data'!$K$4:$L$1102,TRUE(),TRUE()),1,2)</f>
        <v>0.33011162973981817</v>
      </c>
      <c r="C4" s="15">
        <f>'Beta Coefficient'!$F$25</f>
        <v>1.0572694559895582E-2</v>
      </c>
    </row>
    <row r="5" spans="1:7" ht="15" customHeight="1" x14ac:dyDescent="0.2">
      <c r="A5" s="7" t="s">
        <v>1814</v>
      </c>
      <c r="B5" s="13">
        <f>INDEX(LINEST('National Races Data'!$J$4:$J$1102,'National Races Data'!$K$4:$L$1102,TRUE(),TRUE()),1,1)</f>
        <v>3.9610890251434702E-2</v>
      </c>
    </row>
    <row r="6" spans="1:7" ht="15" customHeight="1" x14ac:dyDescent="0.2">
      <c r="A6" s="7" t="s">
        <v>1815</v>
      </c>
      <c r="B6" s="13">
        <f>INDEX(LINEST('National Races Data'!$J$4:$J$1102,'National Races Data'!$K$4:$L$1102,TRUE(),TRUE()),1,3)</f>
        <v>0.33588718050990313</v>
      </c>
    </row>
    <row r="7" spans="1:7" ht="39.75" customHeight="1" x14ac:dyDescent="0.2">
      <c r="A7" s="7" t="s">
        <v>1816</v>
      </c>
      <c r="B7" s="16" t="s">
        <v>1817</v>
      </c>
      <c r="C7" s="16" t="s">
        <v>1818</v>
      </c>
    </row>
    <row r="8" spans="1:7" ht="39.75" customHeight="1" x14ac:dyDescent="0.2">
      <c r="A8" s="7" t="s">
        <v>1819</v>
      </c>
      <c r="B8" s="16" t="s">
        <v>1820</v>
      </c>
      <c r="C8" s="16" t="s">
        <v>1821</v>
      </c>
    </row>
    <row r="9" spans="1:7" ht="39.75" customHeight="1" x14ac:dyDescent="0.2">
      <c r="A9" s="7" t="s">
        <v>1822</v>
      </c>
      <c r="B9" s="16" t="s">
        <v>1823</v>
      </c>
      <c r="C9" s="16" t="s">
        <v>1824</v>
      </c>
    </row>
    <row r="13" spans="1:7" ht="15" customHeight="1" x14ac:dyDescent="0.2">
      <c r="A13" s="5" t="s">
        <v>1825</v>
      </c>
      <c r="B13" s="5"/>
      <c r="C13" s="5"/>
      <c r="D13" s="5"/>
      <c r="E13" s="5"/>
      <c r="F13" s="5"/>
      <c r="G13" s="5"/>
    </row>
    <row r="15" spans="1:7" ht="27.75" customHeight="1" x14ac:dyDescent="0.2">
      <c r="A15" s="6" t="s">
        <v>0</v>
      </c>
      <c r="B15" s="6" t="s">
        <v>1826</v>
      </c>
      <c r="C15" s="6" t="s">
        <v>1827</v>
      </c>
      <c r="D15" s="6" t="s">
        <v>1828</v>
      </c>
      <c r="E15" s="6" t="s">
        <v>1829</v>
      </c>
      <c r="F15" s="6" t="s">
        <v>125</v>
      </c>
    </row>
    <row r="16" spans="1:7" ht="15" customHeight="1" x14ac:dyDescent="0.2">
      <c r="A16" s="7">
        <v>2018</v>
      </c>
      <c r="B16" s="8">
        <v>3133499</v>
      </c>
      <c r="C16" s="8">
        <v>1079430</v>
      </c>
      <c r="D16" s="8">
        <f>B16+C16</f>
        <v>4212929</v>
      </c>
      <c r="E16" s="10">
        <f>B16/D16</f>
        <v>0.74378158283702389</v>
      </c>
      <c r="F16" s="12">
        <f>SUMIFS('District Rollup'!$D$4:$D$7,'District Rollup'!$A$4:$A$7,A16)</f>
        <v>0.53327586075939748</v>
      </c>
    </row>
    <row r="17" spans="1:7" ht="15" customHeight="1" x14ac:dyDescent="0.2">
      <c r="A17" s="7">
        <v>2020</v>
      </c>
      <c r="B17" s="8">
        <v>4164240</v>
      </c>
      <c r="C17" s="8">
        <v>3404792</v>
      </c>
      <c r="D17" s="8">
        <f>B17+C17</f>
        <v>7569032</v>
      </c>
      <c r="E17" s="10">
        <f>B17/D17</f>
        <v>0.55016810604050825</v>
      </c>
      <c r="F17" s="12">
        <f>SUMIFS('District Rollup'!$D$4:$D$7,'District Rollup'!$A$4:$A$7,A17)</f>
        <v>0.49666571804358028</v>
      </c>
    </row>
    <row r="18" spans="1:7" ht="15" customHeight="1" x14ac:dyDescent="0.2">
      <c r="A18" s="7">
        <v>2022</v>
      </c>
      <c r="B18" s="8">
        <v>7027026</v>
      </c>
      <c r="C18" s="8">
        <v>4301277</v>
      </c>
      <c r="D18" s="8">
        <f>B18+C18</f>
        <v>11328303</v>
      </c>
      <c r="E18" s="10">
        <f>B18/D18</f>
        <v>0.62030703098248696</v>
      </c>
      <c r="F18" s="12">
        <f>SUMIFS('District Rollup'!$D$4:$D$7,'District Rollup'!$A$4:$A$7,A18)</f>
        <v>0.50983020704568338</v>
      </c>
    </row>
    <row r="19" spans="1:7" ht="15" customHeight="1" x14ac:dyDescent="0.2">
      <c r="A19" s="7">
        <v>2024</v>
      </c>
      <c r="B19" s="8">
        <v>7540355</v>
      </c>
      <c r="C19" s="8">
        <v>1229151</v>
      </c>
      <c r="D19" s="8">
        <f>B19+C19</f>
        <v>8769506</v>
      </c>
      <c r="E19" s="10">
        <f>B19/D19</f>
        <v>0.85983805701256144</v>
      </c>
      <c r="F19" s="12">
        <f>SUMIFS('District Rollup'!$D$4:$D$7,'District Rollup'!$A$4:$A$7,A19)</f>
        <v>0.49496422142548979</v>
      </c>
    </row>
    <row r="20" spans="1:7" ht="27.75" customHeight="1" x14ac:dyDescent="0.2">
      <c r="A20" s="3" t="s">
        <v>1830</v>
      </c>
      <c r="B20" s="3"/>
      <c r="C20" s="3"/>
      <c r="D20" s="3"/>
      <c r="E20" s="3"/>
      <c r="F20" s="3"/>
      <c r="G20" s="3"/>
    </row>
    <row r="21" spans="1:7" ht="27.75" customHeight="1" x14ac:dyDescent="0.2">
      <c r="A21" s="3" t="s">
        <v>1831</v>
      </c>
      <c r="B21" s="3"/>
      <c r="C21" s="3"/>
      <c r="D21" s="3"/>
      <c r="E21" s="3"/>
      <c r="F21" s="3"/>
      <c r="G21" s="3"/>
    </row>
    <row r="22" spans="1:7" ht="27.75" customHeight="1" x14ac:dyDescent="0.2">
      <c r="A22" s="3" t="s">
        <v>1832</v>
      </c>
      <c r="B22" s="3"/>
      <c r="C22" s="3"/>
      <c r="D22" s="3"/>
      <c r="E22" s="3"/>
      <c r="F22" s="3"/>
      <c r="G22" s="3"/>
    </row>
    <row r="23" spans="1:7" ht="42" customHeight="1" x14ac:dyDescent="0.2">
      <c r="A23" s="3" t="s">
        <v>1833</v>
      </c>
      <c r="B23" s="3"/>
      <c r="C23" s="3"/>
      <c r="D23" s="3"/>
      <c r="E23" s="3"/>
      <c r="F23" s="3"/>
      <c r="G23" s="3"/>
    </row>
    <row r="25" spans="1:7" ht="15.75" customHeight="1" x14ac:dyDescent="0.2">
      <c r="A25" s="11" t="s">
        <v>1834</v>
      </c>
      <c r="F25" s="15">
        <f>SLOPE(F16:F19,E16:E19)</f>
        <v>1.0572694559895582E-2</v>
      </c>
    </row>
    <row r="27" spans="1:7" ht="15" customHeight="1" x14ac:dyDescent="0.2">
      <c r="A27" s="4" t="s">
        <v>1835</v>
      </c>
      <c r="B27" s="4"/>
      <c r="C27" s="4"/>
      <c r="D27" s="4"/>
      <c r="E27" s="4"/>
      <c r="F27" s="4"/>
      <c r="G27" s="4"/>
    </row>
    <row r="29" spans="1:7" ht="109.5" customHeight="1" x14ac:dyDescent="0.2">
      <c r="A29" s="2" t="s">
        <v>1836</v>
      </c>
      <c r="B29" s="2"/>
      <c r="C29" s="2"/>
      <c r="D29" s="2"/>
      <c r="E29" s="2"/>
      <c r="F29" s="2"/>
      <c r="G29" s="2"/>
    </row>
    <row r="31" spans="1:7" ht="15" customHeight="1" x14ac:dyDescent="0.2">
      <c r="A31" s="11" t="s">
        <v>1837</v>
      </c>
    </row>
    <row r="32" spans="1:7" ht="23.25" customHeight="1" x14ac:dyDescent="0.2">
      <c r="A32" s="6" t="s">
        <v>1838</v>
      </c>
      <c r="B32" s="6" t="s">
        <v>1829</v>
      </c>
      <c r="C32" s="6" t="s">
        <v>1839</v>
      </c>
      <c r="D32" s="6" t="s">
        <v>1840</v>
      </c>
      <c r="E32" s="6" t="s">
        <v>1841</v>
      </c>
    </row>
    <row r="33" spans="1:7" ht="15" customHeight="1" x14ac:dyDescent="0.2">
      <c r="A33" s="7" t="s">
        <v>1842</v>
      </c>
      <c r="B33" s="10">
        <f>E19</f>
        <v>0.85983805701256144</v>
      </c>
      <c r="C33" s="10">
        <f>$B$6+$B$4*B33+$B$5*1</f>
        <v>0.65934061307407321</v>
      </c>
      <c r="D33" s="10">
        <f>F19</f>
        <v>0.49496422142548979</v>
      </c>
      <c r="E33" s="9">
        <f>(D33-C33)*100</f>
        <v>-16.437639164858343</v>
      </c>
    </row>
    <row r="34" spans="1:7" ht="15" customHeight="1" x14ac:dyDescent="0.2">
      <c r="A34" s="7" t="s">
        <v>1843</v>
      </c>
      <c r="B34" s="10">
        <f>'National Races Data'!K1107</f>
        <v>0.63537500823749704</v>
      </c>
      <c r="C34" s="10">
        <f>'National Races Data'!M1107</f>
        <v>0.58524275022656802</v>
      </c>
      <c r="D34" s="10">
        <f>'National Races Data'!J1107</f>
        <v>0.49496422142549001</v>
      </c>
      <c r="E34" s="9">
        <f>'National Races Data'!N1107</f>
        <v>-9.0278528801078508</v>
      </c>
    </row>
    <row r="36" spans="1:7" ht="45" customHeight="1" x14ac:dyDescent="0.2">
      <c r="A36" s="2" t="s">
        <v>1844</v>
      </c>
      <c r="B36" s="2"/>
      <c r="C36" s="2"/>
      <c r="D36" s="2"/>
      <c r="E36" s="2"/>
      <c r="F36" s="2"/>
      <c r="G36" s="2"/>
    </row>
    <row r="37" spans="1:7" ht="15" customHeight="1" x14ac:dyDescent="0.2">
      <c r="A37" s="4" t="s">
        <v>1845</v>
      </c>
      <c r="B37" s="4"/>
      <c r="C37" s="4"/>
      <c r="D37" s="4"/>
      <c r="E37" s="4"/>
      <c r="F37" s="4"/>
      <c r="G37" s="4"/>
    </row>
    <row r="39" spans="1:7" ht="15" customHeight="1" x14ac:dyDescent="0.2">
      <c r="A39" s="11" t="s">
        <v>1846</v>
      </c>
      <c r="F39" s="17">
        <f>INTERCEPT(F16:F19,E16:E19)</f>
        <v>0.50135158762951892</v>
      </c>
    </row>
    <row r="41" spans="1:7" ht="15" customHeight="1" x14ac:dyDescent="0.2">
      <c r="A41" s="1" t="s">
        <v>1847</v>
      </c>
      <c r="B41" s="1"/>
      <c r="C41" s="1"/>
      <c r="D41" s="1"/>
      <c r="E41" s="1"/>
      <c r="F41" s="1"/>
      <c r="G41" s="1"/>
    </row>
    <row r="42" spans="1:7" ht="15" customHeight="1" x14ac:dyDescent="0.2">
      <c r="A42" s="18"/>
      <c r="B42" s="18" t="s">
        <v>1848</v>
      </c>
      <c r="C42" s="18" t="s">
        <v>1849</v>
      </c>
      <c r="D42" s="18" t="s">
        <v>1850</v>
      </c>
    </row>
    <row r="43" spans="1:7" ht="15" customHeight="1" x14ac:dyDescent="0.2">
      <c r="B43" s="19">
        <v>0</v>
      </c>
      <c r="C43" s="20">
        <f>$B$6+$B$4*B43+$B$5*1</f>
        <v>0.37549807076133784</v>
      </c>
      <c r="D43" s="20">
        <f>$F$39+$C$4*B43</f>
        <v>0.50135158762951892</v>
      </c>
    </row>
    <row r="44" spans="1:7" ht="15" customHeight="1" x14ac:dyDescent="0.2">
      <c r="B44" s="19">
        <v>1</v>
      </c>
      <c r="C44" s="20">
        <f>$B$6+$B$4*B44+$B$5*1</f>
        <v>0.70560970050115601</v>
      </c>
      <c r="D44" s="20">
        <f>$F$39+$C$4*B44</f>
        <v>0.51192428218941455</v>
      </c>
    </row>
  </sheetData>
  <mergeCells count="11">
    <mergeCell ref="A41:G41"/>
    <mergeCell ref="A23:G23"/>
    <mergeCell ref="A27:G27"/>
    <mergeCell ref="A29:G29"/>
    <mergeCell ref="A36:G36"/>
    <mergeCell ref="A37:G37"/>
    <mergeCell ref="A1:G1"/>
    <mergeCell ref="A13:G13"/>
    <mergeCell ref="A20:G20"/>
    <mergeCell ref="A21:G21"/>
    <mergeCell ref="A22:G2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57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8" customWidth="1"/>
    <col min="2" max="2" width="22" customWidth="1"/>
    <col min="3" max="3" width="14" customWidth="1"/>
    <col min="4" max="4" width="10" customWidth="1"/>
    <col min="5" max="6" width="14" customWidth="1"/>
    <col min="7" max="9" width="11" customWidth="1"/>
    <col min="10" max="11" width="14" customWidth="1"/>
    <col min="12" max="14" width="11" customWidth="1"/>
    <col min="15" max="16" width="14" customWidth="1"/>
    <col min="17" max="19" width="11" customWidth="1"/>
    <col min="20" max="21" width="14" customWidth="1"/>
    <col min="22" max="24" width="11" customWidth="1"/>
    <col min="25" max="25" width="12" customWidth="1"/>
    <col min="26" max="29" width="14" customWidth="1"/>
    <col min="30" max="30" width="15" customWidth="1"/>
  </cols>
  <sheetData>
    <row r="1" spans="1:30" ht="33.7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</row>
    <row r="2" spans="1:30" ht="15" customHeight="1" x14ac:dyDescent="0.2">
      <c r="A2" s="7">
        <v>2018</v>
      </c>
      <c r="B2" s="7" t="s">
        <v>30</v>
      </c>
      <c r="C2" s="7" t="s">
        <v>31</v>
      </c>
      <c r="D2" s="7">
        <v>1</v>
      </c>
      <c r="E2" s="7" t="s">
        <v>32</v>
      </c>
      <c r="F2" s="7"/>
      <c r="G2" s="8"/>
      <c r="H2" s="8"/>
      <c r="I2" s="8"/>
      <c r="J2" s="7" t="s">
        <v>33</v>
      </c>
      <c r="K2" s="7" t="s">
        <v>32</v>
      </c>
      <c r="L2" s="8">
        <v>174</v>
      </c>
      <c r="M2" s="8">
        <v>208</v>
      </c>
      <c r="N2" s="8">
        <v>382</v>
      </c>
      <c r="O2" s="7" t="s">
        <v>33</v>
      </c>
      <c r="P2" s="7" t="s">
        <v>32</v>
      </c>
      <c r="Q2" s="8">
        <v>132</v>
      </c>
      <c r="R2" s="8">
        <v>260</v>
      </c>
      <c r="S2" s="8">
        <v>392</v>
      </c>
      <c r="T2" s="7"/>
      <c r="U2" s="7" t="s">
        <v>32</v>
      </c>
      <c r="V2" s="8">
        <v>160</v>
      </c>
      <c r="W2" s="8">
        <v>221</v>
      </c>
      <c r="X2" s="8">
        <v>381</v>
      </c>
      <c r="Y2" s="9">
        <v>52</v>
      </c>
      <c r="Z2" s="10" t="str">
        <f t="shared" ref="Z2:Z65" si="0">IFERROR(G2/(G2+H2),"")</f>
        <v/>
      </c>
      <c r="AA2" s="10">
        <f t="shared" ref="AA2:AA65" si="1">IFERROR(L2/(L2+M2),"")</f>
        <v>0.45549738219895286</v>
      </c>
      <c r="AB2" s="10">
        <f t="shared" ref="AB2:AB65" si="2">IFERROR(Q2/(Q2+R2),"")</f>
        <v>0.33673469387755101</v>
      </c>
      <c r="AC2" s="10">
        <f t="shared" ref="AC2:AC65" si="3">IFERROR(V2/(V2+W2),"")</f>
        <v>0.41994750656167978</v>
      </c>
      <c r="AD2" s="8">
        <f t="shared" ref="AD2:AD65" si="4">W2-V2</f>
        <v>61</v>
      </c>
    </row>
    <row r="3" spans="1:30" ht="15" customHeight="1" x14ac:dyDescent="0.2">
      <c r="A3" s="7">
        <v>2018</v>
      </c>
      <c r="B3" s="7" t="s">
        <v>34</v>
      </c>
      <c r="C3" s="7" t="s">
        <v>31</v>
      </c>
      <c r="D3" s="7">
        <v>2</v>
      </c>
      <c r="E3" s="7" t="s">
        <v>32</v>
      </c>
      <c r="F3" s="7"/>
      <c r="G3" s="8"/>
      <c r="H3" s="8"/>
      <c r="I3" s="8"/>
      <c r="J3" s="7" t="s">
        <v>33</v>
      </c>
      <c r="K3" s="7" t="s">
        <v>32</v>
      </c>
      <c r="L3" s="8">
        <v>112</v>
      </c>
      <c r="M3" s="8">
        <v>168</v>
      </c>
      <c r="N3" s="8">
        <v>280</v>
      </c>
      <c r="O3" s="7" t="s">
        <v>33</v>
      </c>
      <c r="P3" s="7" t="s">
        <v>32</v>
      </c>
      <c r="Q3" s="8">
        <v>83</v>
      </c>
      <c r="R3" s="8">
        <v>196</v>
      </c>
      <c r="S3" s="8">
        <v>279</v>
      </c>
      <c r="T3" s="7"/>
      <c r="U3" s="7" t="s">
        <v>32</v>
      </c>
      <c r="V3" s="8">
        <v>95</v>
      </c>
      <c r="W3" s="8">
        <v>192</v>
      </c>
      <c r="X3" s="8">
        <v>287</v>
      </c>
      <c r="Y3" s="9">
        <v>47.7</v>
      </c>
      <c r="Z3" s="10" t="str">
        <f t="shared" si="0"/>
        <v/>
      </c>
      <c r="AA3" s="10">
        <f t="shared" si="1"/>
        <v>0.4</v>
      </c>
      <c r="AB3" s="10">
        <f t="shared" si="2"/>
        <v>0.29749103942652327</v>
      </c>
      <c r="AC3" s="10">
        <f t="shared" si="3"/>
        <v>0.33101045296167247</v>
      </c>
      <c r="AD3" s="8">
        <f t="shared" si="4"/>
        <v>97</v>
      </c>
    </row>
    <row r="4" spans="1:30" ht="15" customHeight="1" x14ac:dyDescent="0.2">
      <c r="A4" s="7">
        <v>2018</v>
      </c>
      <c r="B4" s="7" t="s">
        <v>35</v>
      </c>
      <c r="C4" s="7" t="s">
        <v>31</v>
      </c>
      <c r="D4" s="7">
        <v>3</v>
      </c>
      <c r="E4" s="7" t="s">
        <v>32</v>
      </c>
      <c r="F4" s="7"/>
      <c r="G4" s="8"/>
      <c r="H4" s="8"/>
      <c r="I4" s="8"/>
      <c r="J4" s="7" t="s">
        <v>33</v>
      </c>
      <c r="K4" s="7" t="s">
        <v>32</v>
      </c>
      <c r="L4" s="8">
        <v>121</v>
      </c>
      <c r="M4" s="8">
        <v>160</v>
      </c>
      <c r="N4" s="8">
        <v>281</v>
      </c>
      <c r="O4" s="7" t="s">
        <v>33</v>
      </c>
      <c r="P4" s="7" t="s">
        <v>32</v>
      </c>
      <c r="Q4" s="8">
        <v>123</v>
      </c>
      <c r="R4" s="8">
        <v>162</v>
      </c>
      <c r="S4" s="8">
        <v>285</v>
      </c>
      <c r="T4" s="7"/>
      <c r="U4" s="7" t="s">
        <v>32</v>
      </c>
      <c r="V4" s="8">
        <v>110</v>
      </c>
      <c r="W4" s="8">
        <v>175</v>
      </c>
      <c r="X4" s="8">
        <v>285</v>
      </c>
      <c r="Y4" s="9">
        <v>52.6</v>
      </c>
      <c r="Z4" s="10" t="str">
        <f t="shared" si="0"/>
        <v/>
      </c>
      <c r="AA4" s="10">
        <f t="shared" si="1"/>
        <v>0.4306049822064057</v>
      </c>
      <c r="AB4" s="10">
        <f t="shared" si="2"/>
        <v>0.43157894736842106</v>
      </c>
      <c r="AC4" s="10">
        <f t="shared" si="3"/>
        <v>0.38596491228070173</v>
      </c>
      <c r="AD4" s="8">
        <f t="shared" si="4"/>
        <v>65</v>
      </c>
    </row>
    <row r="5" spans="1:30" ht="15" customHeight="1" x14ac:dyDescent="0.2">
      <c r="A5" s="7">
        <v>2018</v>
      </c>
      <c r="B5" s="7" t="s">
        <v>36</v>
      </c>
      <c r="C5" s="7" t="s">
        <v>31</v>
      </c>
      <c r="D5" s="7">
        <v>4</v>
      </c>
      <c r="E5" s="7" t="s">
        <v>32</v>
      </c>
      <c r="F5" s="7"/>
      <c r="G5" s="8"/>
      <c r="H5" s="8"/>
      <c r="I5" s="8"/>
      <c r="J5" s="7" t="s">
        <v>33</v>
      </c>
      <c r="K5" s="7" t="s">
        <v>32</v>
      </c>
      <c r="L5" s="8">
        <v>443</v>
      </c>
      <c r="M5" s="8">
        <v>665</v>
      </c>
      <c r="N5" s="8">
        <v>1108</v>
      </c>
      <c r="O5" s="7" t="s">
        <v>33</v>
      </c>
      <c r="P5" s="7" t="s">
        <v>32</v>
      </c>
      <c r="Q5" s="8">
        <v>369</v>
      </c>
      <c r="R5" s="8">
        <v>740</v>
      </c>
      <c r="S5" s="8">
        <v>1109</v>
      </c>
      <c r="T5" s="7"/>
      <c r="U5" s="7" t="s">
        <v>32</v>
      </c>
      <c r="V5" s="8">
        <v>369</v>
      </c>
      <c r="W5" s="8">
        <v>742</v>
      </c>
      <c r="X5" s="8">
        <v>1111</v>
      </c>
      <c r="Y5" s="9">
        <v>56.9</v>
      </c>
      <c r="Z5" s="10" t="str">
        <f t="shared" si="0"/>
        <v/>
      </c>
      <c r="AA5" s="10">
        <f t="shared" si="1"/>
        <v>0.39981949458483756</v>
      </c>
      <c r="AB5" s="10">
        <f t="shared" si="2"/>
        <v>0.33273219116321012</v>
      </c>
      <c r="AC5" s="10">
        <f t="shared" si="3"/>
        <v>0.33213321332133211</v>
      </c>
      <c r="AD5" s="8">
        <f t="shared" si="4"/>
        <v>373</v>
      </c>
    </row>
    <row r="6" spans="1:30" ht="15" customHeight="1" x14ac:dyDescent="0.2">
      <c r="A6" s="7">
        <v>2018</v>
      </c>
      <c r="B6" s="7" t="s">
        <v>37</v>
      </c>
      <c r="C6" s="7" t="s">
        <v>31</v>
      </c>
      <c r="D6" s="7">
        <v>5</v>
      </c>
      <c r="E6" s="7" t="s">
        <v>32</v>
      </c>
      <c r="F6" s="7"/>
      <c r="G6" s="8"/>
      <c r="H6" s="8"/>
      <c r="I6" s="8"/>
      <c r="J6" s="7" t="s">
        <v>33</v>
      </c>
      <c r="K6" s="7" t="s">
        <v>32</v>
      </c>
      <c r="L6" s="8">
        <v>36</v>
      </c>
      <c r="M6" s="8">
        <v>40</v>
      </c>
      <c r="N6" s="8">
        <v>76</v>
      </c>
      <c r="O6" s="7" t="s">
        <v>33</v>
      </c>
      <c r="P6" s="7" t="s">
        <v>32</v>
      </c>
      <c r="Q6" s="8">
        <v>31</v>
      </c>
      <c r="R6" s="8">
        <v>45</v>
      </c>
      <c r="S6" s="8">
        <v>76</v>
      </c>
      <c r="T6" s="7"/>
      <c r="U6" s="7" t="s">
        <v>32</v>
      </c>
      <c r="V6" s="8">
        <v>34</v>
      </c>
      <c r="W6" s="8">
        <v>43</v>
      </c>
      <c r="X6" s="8">
        <v>77</v>
      </c>
      <c r="Y6" s="9">
        <v>46.1</v>
      </c>
      <c r="Z6" s="10" t="str">
        <f t="shared" si="0"/>
        <v/>
      </c>
      <c r="AA6" s="10">
        <f t="shared" si="1"/>
        <v>0.47368421052631576</v>
      </c>
      <c r="AB6" s="10">
        <f t="shared" si="2"/>
        <v>0.40789473684210525</v>
      </c>
      <c r="AC6" s="10">
        <f t="shared" si="3"/>
        <v>0.44155844155844154</v>
      </c>
      <c r="AD6" s="8">
        <f t="shared" si="4"/>
        <v>9</v>
      </c>
    </row>
    <row r="7" spans="1:30" ht="15" customHeight="1" x14ac:dyDescent="0.2">
      <c r="A7" s="7">
        <v>2018</v>
      </c>
      <c r="B7" s="7" t="s">
        <v>38</v>
      </c>
      <c r="C7" s="7" t="s">
        <v>31</v>
      </c>
      <c r="D7" s="7">
        <v>6</v>
      </c>
      <c r="E7" s="7" t="s">
        <v>32</v>
      </c>
      <c r="F7" s="7"/>
      <c r="G7" s="8"/>
      <c r="H7" s="8"/>
      <c r="I7" s="8"/>
      <c r="J7" s="7" t="s">
        <v>33</v>
      </c>
      <c r="K7" s="7" t="s">
        <v>32</v>
      </c>
      <c r="L7" s="8">
        <v>581</v>
      </c>
      <c r="M7" s="8">
        <v>1055</v>
      </c>
      <c r="N7" s="8">
        <v>1636</v>
      </c>
      <c r="O7" s="7" t="s">
        <v>33</v>
      </c>
      <c r="P7" s="7" t="s">
        <v>32</v>
      </c>
      <c r="Q7" s="8">
        <v>540</v>
      </c>
      <c r="R7" s="8">
        <v>1110</v>
      </c>
      <c r="S7" s="8">
        <v>1650</v>
      </c>
      <c r="T7" s="7"/>
      <c r="U7" s="7" t="s">
        <v>32</v>
      </c>
      <c r="V7" s="8">
        <v>536</v>
      </c>
      <c r="W7" s="8">
        <v>1122</v>
      </c>
      <c r="X7" s="8">
        <v>1658</v>
      </c>
      <c r="Y7" s="9">
        <v>55.8</v>
      </c>
      <c r="Z7" s="10" t="str">
        <f t="shared" si="0"/>
        <v/>
      </c>
      <c r="AA7" s="10">
        <f t="shared" si="1"/>
        <v>0.35513447432762835</v>
      </c>
      <c r="AB7" s="10">
        <f t="shared" si="2"/>
        <v>0.32727272727272727</v>
      </c>
      <c r="AC7" s="10">
        <f t="shared" si="3"/>
        <v>0.32328106151990349</v>
      </c>
      <c r="AD7" s="8">
        <f t="shared" si="4"/>
        <v>586</v>
      </c>
    </row>
    <row r="8" spans="1:30" ht="15" customHeight="1" x14ac:dyDescent="0.2">
      <c r="A8" s="7">
        <v>2018</v>
      </c>
      <c r="B8" s="7" t="s">
        <v>39</v>
      </c>
      <c r="C8" s="7" t="s">
        <v>31</v>
      </c>
      <c r="D8" s="7">
        <v>7</v>
      </c>
      <c r="E8" s="7" t="s">
        <v>32</v>
      </c>
      <c r="F8" s="7"/>
      <c r="G8" s="8"/>
      <c r="H8" s="8"/>
      <c r="I8" s="8"/>
      <c r="J8" s="7" t="s">
        <v>33</v>
      </c>
      <c r="K8" s="7" t="s">
        <v>33</v>
      </c>
      <c r="L8" s="8">
        <v>971</v>
      </c>
      <c r="M8" s="8">
        <v>862</v>
      </c>
      <c r="N8" s="8">
        <v>1833</v>
      </c>
      <c r="O8" s="7" t="s">
        <v>33</v>
      </c>
      <c r="P8" s="7" t="s">
        <v>32</v>
      </c>
      <c r="Q8" s="8">
        <v>887</v>
      </c>
      <c r="R8" s="8">
        <v>974</v>
      </c>
      <c r="S8" s="8">
        <v>1861</v>
      </c>
      <c r="T8" s="7"/>
      <c r="U8" s="7" t="s">
        <v>32</v>
      </c>
      <c r="V8" s="8">
        <v>912</v>
      </c>
      <c r="W8" s="8">
        <v>949</v>
      </c>
      <c r="X8" s="8">
        <v>1861</v>
      </c>
      <c r="Y8" s="9">
        <v>55.7</v>
      </c>
      <c r="Z8" s="10" t="str">
        <f t="shared" si="0"/>
        <v/>
      </c>
      <c r="AA8" s="10">
        <f t="shared" si="1"/>
        <v>0.52973267866884888</v>
      </c>
      <c r="AB8" s="10">
        <f t="shared" si="2"/>
        <v>0.47662547017732404</v>
      </c>
      <c r="AC8" s="10">
        <f t="shared" si="3"/>
        <v>0.49005910800644814</v>
      </c>
      <c r="AD8" s="8">
        <f t="shared" si="4"/>
        <v>37</v>
      </c>
    </row>
    <row r="9" spans="1:30" ht="15" customHeight="1" x14ac:dyDescent="0.2">
      <c r="A9" s="7">
        <v>2018</v>
      </c>
      <c r="B9" s="7" t="s">
        <v>40</v>
      </c>
      <c r="C9" s="7" t="s">
        <v>31</v>
      </c>
      <c r="D9" s="7">
        <v>8</v>
      </c>
      <c r="E9" s="7" t="s">
        <v>32</v>
      </c>
      <c r="F9" s="7"/>
      <c r="G9" s="8"/>
      <c r="H9" s="8"/>
      <c r="I9" s="8"/>
      <c r="J9" s="7" t="s">
        <v>33</v>
      </c>
      <c r="K9" s="7" t="s">
        <v>32</v>
      </c>
      <c r="L9" s="8">
        <v>303</v>
      </c>
      <c r="M9" s="8">
        <v>453</v>
      </c>
      <c r="N9" s="8">
        <v>756</v>
      </c>
      <c r="O9" s="7" t="s">
        <v>33</v>
      </c>
      <c r="P9" s="7" t="s">
        <v>32</v>
      </c>
      <c r="Q9" s="8">
        <v>261</v>
      </c>
      <c r="R9" s="8">
        <v>500</v>
      </c>
      <c r="S9" s="8">
        <v>761</v>
      </c>
      <c r="T9" s="7"/>
      <c r="U9" s="7" t="s">
        <v>32</v>
      </c>
      <c r="V9" s="8">
        <v>267</v>
      </c>
      <c r="W9" s="8">
        <v>495</v>
      </c>
      <c r="X9" s="8">
        <v>762</v>
      </c>
      <c r="Y9" s="9">
        <v>53.5</v>
      </c>
      <c r="Z9" s="10" t="str">
        <f t="shared" si="0"/>
        <v/>
      </c>
      <c r="AA9" s="10">
        <f t="shared" si="1"/>
        <v>0.40079365079365081</v>
      </c>
      <c r="AB9" s="10">
        <f t="shared" si="2"/>
        <v>0.34296977660972405</v>
      </c>
      <c r="AC9" s="10">
        <f t="shared" si="3"/>
        <v>0.35039370078740156</v>
      </c>
      <c r="AD9" s="8">
        <f t="shared" si="4"/>
        <v>228</v>
      </c>
    </row>
    <row r="10" spans="1:30" ht="15" customHeight="1" x14ac:dyDescent="0.2">
      <c r="A10" s="7">
        <v>2018</v>
      </c>
      <c r="B10" s="7" t="s">
        <v>41</v>
      </c>
      <c r="C10" s="7" t="s">
        <v>31</v>
      </c>
      <c r="D10" s="7">
        <v>9</v>
      </c>
      <c r="E10" s="7" t="s">
        <v>32</v>
      </c>
      <c r="F10" s="7"/>
      <c r="G10" s="8"/>
      <c r="H10" s="8"/>
      <c r="I10" s="8"/>
      <c r="J10" s="7" t="s">
        <v>33</v>
      </c>
      <c r="K10" s="7" t="s">
        <v>33</v>
      </c>
      <c r="L10" s="8">
        <v>482</v>
      </c>
      <c r="M10" s="8">
        <v>429</v>
      </c>
      <c r="N10" s="8">
        <v>911</v>
      </c>
      <c r="O10" s="7" t="s">
        <v>33</v>
      </c>
      <c r="P10" s="7" t="s">
        <v>32</v>
      </c>
      <c r="Q10" s="8">
        <v>428</v>
      </c>
      <c r="R10" s="8">
        <v>492</v>
      </c>
      <c r="S10" s="8">
        <v>920</v>
      </c>
      <c r="T10" s="7"/>
      <c r="U10" s="7" t="s">
        <v>32</v>
      </c>
      <c r="V10" s="8">
        <v>455</v>
      </c>
      <c r="W10" s="8">
        <v>467</v>
      </c>
      <c r="X10" s="8">
        <v>922</v>
      </c>
      <c r="Y10" s="9">
        <v>40.9</v>
      </c>
      <c r="Z10" s="10" t="str">
        <f t="shared" si="0"/>
        <v/>
      </c>
      <c r="AA10" s="10">
        <f t="shared" si="1"/>
        <v>0.52908891328210761</v>
      </c>
      <c r="AB10" s="10">
        <f t="shared" si="2"/>
        <v>0.4652173913043478</v>
      </c>
      <c r="AC10" s="10">
        <f t="shared" si="3"/>
        <v>0.49349240780911063</v>
      </c>
      <c r="AD10" s="8">
        <f t="shared" si="4"/>
        <v>12</v>
      </c>
    </row>
    <row r="11" spans="1:30" ht="15" customHeight="1" x14ac:dyDescent="0.2">
      <c r="A11" s="7">
        <v>2018</v>
      </c>
      <c r="B11" s="7" t="s">
        <v>42</v>
      </c>
      <c r="C11" s="7" t="s">
        <v>31</v>
      </c>
      <c r="D11" s="7">
        <v>10</v>
      </c>
      <c r="E11" s="7" t="s">
        <v>32</v>
      </c>
      <c r="F11" s="7"/>
      <c r="G11" s="8"/>
      <c r="H11" s="8"/>
      <c r="I11" s="8"/>
      <c r="J11" s="7" t="s">
        <v>33</v>
      </c>
      <c r="K11" s="7" t="s">
        <v>32</v>
      </c>
      <c r="L11" s="8">
        <v>33</v>
      </c>
      <c r="M11" s="8">
        <v>58</v>
      </c>
      <c r="N11" s="8">
        <v>91</v>
      </c>
      <c r="O11" s="7" t="s">
        <v>33</v>
      </c>
      <c r="P11" s="7" t="s">
        <v>32</v>
      </c>
      <c r="Q11" s="8">
        <v>30</v>
      </c>
      <c r="R11" s="8">
        <v>61</v>
      </c>
      <c r="S11" s="8">
        <v>91</v>
      </c>
      <c r="T11" s="7"/>
      <c r="U11" s="7" t="s">
        <v>32</v>
      </c>
      <c r="V11" s="8">
        <v>29</v>
      </c>
      <c r="W11" s="8">
        <v>59</v>
      </c>
      <c r="X11" s="8">
        <v>88</v>
      </c>
      <c r="Y11" s="9">
        <v>52.1</v>
      </c>
      <c r="Z11" s="10" t="str">
        <f t="shared" si="0"/>
        <v/>
      </c>
      <c r="AA11" s="10">
        <f t="shared" si="1"/>
        <v>0.36263736263736263</v>
      </c>
      <c r="AB11" s="10">
        <f t="shared" si="2"/>
        <v>0.32967032967032966</v>
      </c>
      <c r="AC11" s="10">
        <f t="shared" si="3"/>
        <v>0.32954545454545453</v>
      </c>
      <c r="AD11" s="8">
        <f t="shared" si="4"/>
        <v>30</v>
      </c>
    </row>
    <row r="12" spans="1:30" ht="15" customHeight="1" x14ac:dyDescent="0.2">
      <c r="A12" s="7">
        <v>2018</v>
      </c>
      <c r="B12" s="7" t="s">
        <v>43</v>
      </c>
      <c r="C12" s="7" t="s">
        <v>31</v>
      </c>
      <c r="D12" s="7">
        <v>11</v>
      </c>
      <c r="E12" s="7" t="s">
        <v>32</v>
      </c>
      <c r="F12" s="7"/>
      <c r="G12" s="8"/>
      <c r="H12" s="8"/>
      <c r="I12" s="8"/>
      <c r="J12" s="7" t="s">
        <v>33</v>
      </c>
      <c r="K12" s="7" t="s">
        <v>32</v>
      </c>
      <c r="L12" s="8">
        <v>55</v>
      </c>
      <c r="M12" s="8">
        <v>143</v>
      </c>
      <c r="N12" s="8">
        <v>198</v>
      </c>
      <c r="O12" s="7" t="s">
        <v>33</v>
      </c>
      <c r="P12" s="7" t="s">
        <v>32</v>
      </c>
      <c r="Q12" s="8">
        <v>39</v>
      </c>
      <c r="R12" s="8">
        <v>161</v>
      </c>
      <c r="S12" s="8">
        <v>200</v>
      </c>
      <c r="T12" s="7"/>
      <c r="U12" s="7" t="s">
        <v>32</v>
      </c>
      <c r="V12" s="8">
        <v>41</v>
      </c>
      <c r="W12" s="8">
        <v>163</v>
      </c>
      <c r="X12" s="8">
        <v>204</v>
      </c>
      <c r="Y12" s="9">
        <v>57.3</v>
      </c>
      <c r="Z12" s="10" t="str">
        <f t="shared" si="0"/>
        <v/>
      </c>
      <c r="AA12" s="10">
        <f t="shared" si="1"/>
        <v>0.27777777777777779</v>
      </c>
      <c r="AB12" s="10">
        <f t="shared" si="2"/>
        <v>0.19500000000000001</v>
      </c>
      <c r="AC12" s="10">
        <f t="shared" si="3"/>
        <v>0.20098039215686275</v>
      </c>
      <c r="AD12" s="8">
        <f t="shared" si="4"/>
        <v>122</v>
      </c>
    </row>
    <row r="13" spans="1:30" ht="15" customHeight="1" x14ac:dyDescent="0.2">
      <c r="A13" s="7">
        <v>2018</v>
      </c>
      <c r="B13" s="7" t="s">
        <v>44</v>
      </c>
      <c r="C13" s="7" t="s">
        <v>31</v>
      </c>
      <c r="D13" s="7">
        <v>12</v>
      </c>
      <c r="E13" s="7" t="s">
        <v>32</v>
      </c>
      <c r="F13" s="7"/>
      <c r="G13" s="8"/>
      <c r="H13" s="8"/>
      <c r="I13" s="8"/>
      <c r="J13" s="7" t="s">
        <v>33</v>
      </c>
      <c r="K13" s="7" t="s">
        <v>33</v>
      </c>
      <c r="L13" s="8">
        <v>713</v>
      </c>
      <c r="M13" s="8">
        <v>711</v>
      </c>
      <c r="N13" s="8">
        <v>1424</v>
      </c>
      <c r="O13" s="7" t="s">
        <v>33</v>
      </c>
      <c r="P13" s="7" t="s">
        <v>32</v>
      </c>
      <c r="Q13" s="8">
        <v>677</v>
      </c>
      <c r="R13" s="8">
        <v>752</v>
      </c>
      <c r="S13" s="8">
        <v>1429</v>
      </c>
      <c r="T13" s="7"/>
      <c r="U13" s="7" t="s">
        <v>32</v>
      </c>
      <c r="V13" s="8">
        <v>668</v>
      </c>
      <c r="W13" s="8">
        <v>766</v>
      </c>
      <c r="X13" s="8">
        <v>1434</v>
      </c>
      <c r="Y13" s="9">
        <v>46.4</v>
      </c>
      <c r="Z13" s="10" t="str">
        <f t="shared" si="0"/>
        <v/>
      </c>
      <c r="AA13" s="10">
        <f t="shared" si="1"/>
        <v>0.5007022471910112</v>
      </c>
      <c r="AB13" s="10">
        <f t="shared" si="2"/>
        <v>0.47375787263820851</v>
      </c>
      <c r="AC13" s="10">
        <f t="shared" si="3"/>
        <v>0.46582984658298465</v>
      </c>
      <c r="AD13" s="8">
        <f t="shared" si="4"/>
        <v>98</v>
      </c>
    </row>
    <row r="14" spans="1:30" ht="15" customHeight="1" x14ac:dyDescent="0.2">
      <c r="A14" s="7">
        <v>2018</v>
      </c>
      <c r="B14" s="7" t="s">
        <v>45</v>
      </c>
      <c r="C14" s="7" t="s">
        <v>31</v>
      </c>
      <c r="D14" s="7">
        <v>13</v>
      </c>
      <c r="E14" s="7" t="s">
        <v>32</v>
      </c>
      <c r="F14" s="7"/>
      <c r="G14" s="8"/>
      <c r="H14" s="8"/>
      <c r="I14" s="8"/>
      <c r="J14" s="7" t="s">
        <v>33</v>
      </c>
      <c r="K14" s="7" t="s">
        <v>32</v>
      </c>
      <c r="L14" s="8">
        <v>418</v>
      </c>
      <c r="M14" s="8">
        <v>656</v>
      </c>
      <c r="N14" s="8">
        <v>1074</v>
      </c>
      <c r="O14" s="7" t="s">
        <v>33</v>
      </c>
      <c r="P14" s="7" t="s">
        <v>32</v>
      </c>
      <c r="Q14" s="8">
        <v>387</v>
      </c>
      <c r="R14" s="8">
        <v>684</v>
      </c>
      <c r="S14" s="8">
        <v>1071</v>
      </c>
      <c r="T14" s="7"/>
      <c r="U14" s="7" t="s">
        <v>32</v>
      </c>
      <c r="V14" s="8">
        <v>402</v>
      </c>
      <c r="W14" s="8">
        <v>686</v>
      </c>
      <c r="X14" s="8">
        <v>1088</v>
      </c>
      <c r="Y14" s="9">
        <v>53.8</v>
      </c>
      <c r="Z14" s="10" t="str">
        <f t="shared" si="0"/>
        <v/>
      </c>
      <c r="AA14" s="10">
        <f t="shared" si="1"/>
        <v>0.38919925512104281</v>
      </c>
      <c r="AB14" s="10">
        <f t="shared" si="2"/>
        <v>0.36134453781512604</v>
      </c>
      <c r="AC14" s="10">
        <f t="shared" si="3"/>
        <v>0.36948529411764708</v>
      </c>
      <c r="AD14" s="8">
        <f t="shared" si="4"/>
        <v>284</v>
      </c>
    </row>
    <row r="15" spans="1:30" ht="15" customHeight="1" x14ac:dyDescent="0.2">
      <c r="A15" s="7">
        <v>2018</v>
      </c>
      <c r="B15" s="7" t="s">
        <v>46</v>
      </c>
      <c r="C15" s="7" t="s">
        <v>31</v>
      </c>
      <c r="D15" s="7">
        <v>14</v>
      </c>
      <c r="E15" s="7" t="s">
        <v>32</v>
      </c>
      <c r="F15" s="7"/>
      <c r="G15" s="8"/>
      <c r="H15" s="8"/>
      <c r="I15" s="8"/>
      <c r="J15" s="7" t="s">
        <v>33</v>
      </c>
      <c r="K15" s="7" t="s">
        <v>32</v>
      </c>
      <c r="L15" s="8">
        <v>557</v>
      </c>
      <c r="M15" s="8">
        <v>891</v>
      </c>
      <c r="N15" s="8">
        <v>1448</v>
      </c>
      <c r="O15" s="7" t="s">
        <v>33</v>
      </c>
      <c r="P15" s="7" t="s">
        <v>32</v>
      </c>
      <c r="Q15" s="8">
        <v>489</v>
      </c>
      <c r="R15" s="8">
        <v>970</v>
      </c>
      <c r="S15" s="8">
        <v>1459</v>
      </c>
      <c r="T15" s="7"/>
      <c r="U15" s="7" t="s">
        <v>32</v>
      </c>
      <c r="V15" s="8">
        <v>510</v>
      </c>
      <c r="W15" s="8">
        <v>960</v>
      </c>
      <c r="X15" s="8">
        <v>1470</v>
      </c>
      <c r="Y15" s="9">
        <v>54.2</v>
      </c>
      <c r="Z15" s="10" t="str">
        <f t="shared" si="0"/>
        <v/>
      </c>
      <c r="AA15" s="10">
        <f t="shared" si="1"/>
        <v>0.38466850828729282</v>
      </c>
      <c r="AB15" s="10">
        <f t="shared" si="2"/>
        <v>0.33516106922549693</v>
      </c>
      <c r="AC15" s="10">
        <f t="shared" si="3"/>
        <v>0.34693877551020408</v>
      </c>
      <c r="AD15" s="8">
        <f t="shared" si="4"/>
        <v>450</v>
      </c>
    </row>
    <row r="16" spans="1:30" ht="15" customHeight="1" x14ac:dyDescent="0.2">
      <c r="A16" s="7">
        <v>2018</v>
      </c>
      <c r="B16" s="7" t="s">
        <v>47</v>
      </c>
      <c r="C16" s="7" t="s">
        <v>31</v>
      </c>
      <c r="D16" s="7">
        <v>15</v>
      </c>
      <c r="E16" s="7" t="s">
        <v>32</v>
      </c>
      <c r="F16" s="7"/>
      <c r="G16" s="8"/>
      <c r="H16" s="8"/>
      <c r="I16" s="8"/>
      <c r="J16" s="7" t="s">
        <v>33</v>
      </c>
      <c r="K16" s="7" t="s">
        <v>33</v>
      </c>
      <c r="L16" s="8">
        <v>543</v>
      </c>
      <c r="M16" s="8">
        <v>516</v>
      </c>
      <c r="N16" s="8">
        <v>1059</v>
      </c>
      <c r="O16" s="7" t="s">
        <v>33</v>
      </c>
      <c r="P16" s="7" t="s">
        <v>32</v>
      </c>
      <c r="Q16" s="8">
        <v>479</v>
      </c>
      <c r="R16" s="8">
        <v>589</v>
      </c>
      <c r="S16" s="8">
        <v>1068</v>
      </c>
      <c r="T16" s="7"/>
      <c r="U16" s="7" t="s">
        <v>32</v>
      </c>
      <c r="V16" s="8">
        <v>500</v>
      </c>
      <c r="W16" s="8">
        <v>546</v>
      </c>
      <c r="X16" s="8">
        <v>1046</v>
      </c>
      <c r="Y16" s="9">
        <v>49.4</v>
      </c>
      <c r="Z16" s="10" t="str">
        <f t="shared" si="0"/>
        <v/>
      </c>
      <c r="AA16" s="10">
        <f t="shared" si="1"/>
        <v>0.5127478753541076</v>
      </c>
      <c r="AB16" s="10">
        <f t="shared" si="2"/>
        <v>0.44850187265917602</v>
      </c>
      <c r="AC16" s="10">
        <f t="shared" si="3"/>
        <v>0.47801147227533458</v>
      </c>
      <c r="AD16" s="8">
        <f t="shared" si="4"/>
        <v>46</v>
      </c>
    </row>
    <row r="17" spans="1:30" ht="15" customHeight="1" x14ac:dyDescent="0.2">
      <c r="A17" s="7">
        <v>2018</v>
      </c>
      <c r="B17" s="7" t="s">
        <v>48</v>
      </c>
      <c r="C17" s="7" t="s">
        <v>31</v>
      </c>
      <c r="D17" s="7">
        <v>16</v>
      </c>
      <c r="E17" s="7" t="s">
        <v>32</v>
      </c>
      <c r="F17" s="7"/>
      <c r="G17" s="8"/>
      <c r="H17" s="8"/>
      <c r="I17" s="8"/>
      <c r="J17" s="7" t="s">
        <v>33</v>
      </c>
      <c r="K17" s="7" t="s">
        <v>32</v>
      </c>
      <c r="L17" s="8">
        <v>130</v>
      </c>
      <c r="M17" s="8">
        <v>354</v>
      </c>
      <c r="N17" s="8">
        <v>484</v>
      </c>
      <c r="O17" s="7" t="s">
        <v>33</v>
      </c>
      <c r="P17" s="7" t="s">
        <v>32</v>
      </c>
      <c r="Q17" s="8">
        <v>105</v>
      </c>
      <c r="R17" s="8">
        <v>379</v>
      </c>
      <c r="S17" s="8">
        <v>484</v>
      </c>
      <c r="T17" s="7"/>
      <c r="U17" s="7" t="s">
        <v>32</v>
      </c>
      <c r="V17" s="8">
        <v>111</v>
      </c>
      <c r="W17" s="8">
        <v>372</v>
      </c>
      <c r="X17" s="8">
        <v>483</v>
      </c>
      <c r="Y17" s="9">
        <v>64.3</v>
      </c>
      <c r="Z17" s="10" t="str">
        <f t="shared" si="0"/>
        <v/>
      </c>
      <c r="AA17" s="10">
        <f t="shared" si="1"/>
        <v>0.26859504132231404</v>
      </c>
      <c r="AB17" s="10">
        <f t="shared" si="2"/>
        <v>0.21694214876033058</v>
      </c>
      <c r="AC17" s="10">
        <f t="shared" si="3"/>
        <v>0.22981366459627328</v>
      </c>
      <c r="AD17" s="8">
        <f t="shared" si="4"/>
        <v>261</v>
      </c>
    </row>
    <row r="18" spans="1:30" ht="15" customHeight="1" x14ac:dyDescent="0.2">
      <c r="A18" s="7">
        <v>2018</v>
      </c>
      <c r="B18" s="7" t="s">
        <v>49</v>
      </c>
      <c r="C18" s="7" t="s">
        <v>31</v>
      </c>
      <c r="D18" s="7">
        <v>17</v>
      </c>
      <c r="E18" s="7" t="s">
        <v>32</v>
      </c>
      <c r="F18" s="7"/>
      <c r="G18" s="8"/>
      <c r="H18" s="8"/>
      <c r="I18" s="8"/>
      <c r="J18" s="7" t="s">
        <v>33</v>
      </c>
      <c r="K18" s="7" t="s">
        <v>32</v>
      </c>
      <c r="L18" s="8">
        <v>753</v>
      </c>
      <c r="M18" s="8">
        <v>904</v>
      </c>
      <c r="N18" s="8">
        <v>1657</v>
      </c>
      <c r="O18" s="7" t="s">
        <v>33</v>
      </c>
      <c r="P18" s="7" t="s">
        <v>32</v>
      </c>
      <c r="Q18" s="8">
        <v>713</v>
      </c>
      <c r="R18" s="8">
        <v>935</v>
      </c>
      <c r="S18" s="8">
        <v>1648</v>
      </c>
      <c r="T18" s="7"/>
      <c r="U18" s="7" t="s">
        <v>32</v>
      </c>
      <c r="V18" s="8">
        <v>687</v>
      </c>
      <c r="W18" s="8">
        <v>978</v>
      </c>
      <c r="X18" s="8">
        <v>1665</v>
      </c>
      <c r="Y18" s="9">
        <v>50.3</v>
      </c>
      <c r="Z18" s="10" t="str">
        <f t="shared" si="0"/>
        <v/>
      </c>
      <c r="AA18" s="10">
        <f t="shared" si="1"/>
        <v>0.45443572721786363</v>
      </c>
      <c r="AB18" s="10">
        <f t="shared" si="2"/>
        <v>0.43264563106796117</v>
      </c>
      <c r="AC18" s="10">
        <f t="shared" si="3"/>
        <v>0.41261261261261262</v>
      </c>
      <c r="AD18" s="8">
        <f t="shared" si="4"/>
        <v>291</v>
      </c>
    </row>
    <row r="19" spans="1:30" ht="15" customHeight="1" x14ac:dyDescent="0.2">
      <c r="A19" s="7">
        <v>2018</v>
      </c>
      <c r="B19" s="7" t="s">
        <v>50</v>
      </c>
      <c r="C19" s="7" t="s">
        <v>31</v>
      </c>
      <c r="D19" s="7">
        <v>18</v>
      </c>
      <c r="E19" s="7" t="s">
        <v>32</v>
      </c>
      <c r="F19" s="7"/>
      <c r="G19" s="8"/>
      <c r="H19" s="8"/>
      <c r="I19" s="8"/>
      <c r="J19" s="7" t="s">
        <v>33</v>
      </c>
      <c r="K19" s="7" t="s">
        <v>32</v>
      </c>
      <c r="L19" s="8">
        <v>62</v>
      </c>
      <c r="M19" s="8">
        <v>103</v>
      </c>
      <c r="N19" s="8">
        <v>165</v>
      </c>
      <c r="O19" s="7" t="s">
        <v>33</v>
      </c>
      <c r="P19" s="7" t="s">
        <v>32</v>
      </c>
      <c r="Q19" s="8">
        <v>57</v>
      </c>
      <c r="R19" s="8">
        <v>107</v>
      </c>
      <c r="S19" s="8">
        <v>164</v>
      </c>
      <c r="T19" s="7"/>
      <c r="U19" s="7" t="s">
        <v>32</v>
      </c>
      <c r="V19" s="8">
        <v>53</v>
      </c>
      <c r="W19" s="8">
        <v>112</v>
      </c>
      <c r="X19" s="8">
        <v>165</v>
      </c>
      <c r="Y19" s="9">
        <v>57.5</v>
      </c>
      <c r="Z19" s="10" t="str">
        <f t="shared" si="0"/>
        <v/>
      </c>
      <c r="AA19" s="10">
        <f t="shared" si="1"/>
        <v>0.37575757575757573</v>
      </c>
      <c r="AB19" s="10">
        <f t="shared" si="2"/>
        <v>0.34756097560975607</v>
      </c>
      <c r="AC19" s="10">
        <f t="shared" si="3"/>
        <v>0.32121212121212123</v>
      </c>
      <c r="AD19" s="8">
        <f t="shared" si="4"/>
        <v>59</v>
      </c>
    </row>
    <row r="20" spans="1:30" ht="15" customHeight="1" x14ac:dyDescent="0.2">
      <c r="A20" s="7">
        <v>2018</v>
      </c>
      <c r="B20" s="7" t="s">
        <v>51</v>
      </c>
      <c r="C20" s="7" t="s">
        <v>31</v>
      </c>
      <c r="D20" s="7">
        <v>19</v>
      </c>
      <c r="E20" s="7" t="s">
        <v>32</v>
      </c>
      <c r="F20" s="7"/>
      <c r="G20" s="8"/>
      <c r="H20" s="8"/>
      <c r="I20" s="8"/>
      <c r="J20" s="7" t="s">
        <v>33</v>
      </c>
      <c r="K20" s="7" t="s">
        <v>32</v>
      </c>
      <c r="L20" s="8">
        <v>1565</v>
      </c>
      <c r="M20" s="8">
        <v>1933</v>
      </c>
      <c r="N20" s="8">
        <v>3498</v>
      </c>
      <c r="O20" s="7" t="s">
        <v>33</v>
      </c>
      <c r="P20" s="7" t="s">
        <v>32</v>
      </c>
      <c r="Q20" s="8">
        <v>1462</v>
      </c>
      <c r="R20" s="8">
        <v>2048</v>
      </c>
      <c r="S20" s="8">
        <v>3510</v>
      </c>
      <c r="T20" s="7"/>
      <c r="U20" s="7" t="s">
        <v>32</v>
      </c>
      <c r="V20" s="8">
        <v>1453</v>
      </c>
      <c r="W20" s="8">
        <v>2080</v>
      </c>
      <c r="X20" s="8">
        <v>3533</v>
      </c>
      <c r="Y20" s="9">
        <v>47.2</v>
      </c>
      <c r="Z20" s="10" t="str">
        <f t="shared" si="0"/>
        <v/>
      </c>
      <c r="AA20" s="10">
        <f t="shared" si="1"/>
        <v>0.44739851343624931</v>
      </c>
      <c r="AB20" s="10">
        <f t="shared" si="2"/>
        <v>0.41652421652421651</v>
      </c>
      <c r="AC20" s="10">
        <f t="shared" si="3"/>
        <v>0.41126521369940561</v>
      </c>
      <c r="AD20" s="8">
        <f t="shared" si="4"/>
        <v>627</v>
      </c>
    </row>
    <row r="21" spans="1:30" ht="15" customHeight="1" x14ac:dyDescent="0.2">
      <c r="A21" s="7">
        <v>2018</v>
      </c>
      <c r="B21" s="7" t="s">
        <v>52</v>
      </c>
      <c r="C21" s="7" t="s">
        <v>31</v>
      </c>
      <c r="D21" s="7">
        <v>20</v>
      </c>
      <c r="E21" s="7" t="s">
        <v>32</v>
      </c>
      <c r="F21" s="7"/>
      <c r="G21" s="8"/>
      <c r="H21" s="8"/>
      <c r="I21" s="8"/>
      <c r="J21" s="7" t="s">
        <v>33</v>
      </c>
      <c r="K21" s="7" t="s">
        <v>33</v>
      </c>
      <c r="L21" s="8">
        <v>585</v>
      </c>
      <c r="M21" s="8">
        <v>533</v>
      </c>
      <c r="N21" s="8">
        <v>1118</v>
      </c>
      <c r="O21" s="7" t="s">
        <v>33</v>
      </c>
      <c r="P21" s="7" t="s">
        <v>32</v>
      </c>
      <c r="Q21" s="8">
        <v>536</v>
      </c>
      <c r="R21" s="8">
        <v>592</v>
      </c>
      <c r="S21" s="8">
        <v>1128</v>
      </c>
      <c r="T21" s="7"/>
      <c r="U21" s="7" t="s">
        <v>33</v>
      </c>
      <c r="V21" s="8">
        <v>574</v>
      </c>
      <c r="W21" s="8">
        <v>562</v>
      </c>
      <c r="X21" s="8">
        <v>1136</v>
      </c>
      <c r="Y21" s="9">
        <v>56.3</v>
      </c>
      <c r="Z21" s="10" t="str">
        <f t="shared" si="0"/>
        <v/>
      </c>
      <c r="AA21" s="10">
        <f t="shared" si="1"/>
        <v>0.52325581395348841</v>
      </c>
      <c r="AB21" s="10">
        <f t="shared" si="2"/>
        <v>0.47517730496453903</v>
      </c>
      <c r="AC21" s="10">
        <f t="shared" si="3"/>
        <v>0.50528169014084512</v>
      </c>
      <c r="AD21" s="8">
        <f t="shared" si="4"/>
        <v>-12</v>
      </c>
    </row>
    <row r="22" spans="1:30" ht="15" customHeight="1" x14ac:dyDescent="0.2">
      <c r="A22" s="7">
        <v>2018</v>
      </c>
      <c r="B22" s="7" t="s">
        <v>53</v>
      </c>
      <c r="C22" s="7" t="s">
        <v>31</v>
      </c>
      <c r="D22" s="7">
        <v>21</v>
      </c>
      <c r="E22" s="7" t="s">
        <v>32</v>
      </c>
      <c r="F22" s="7"/>
      <c r="G22" s="8"/>
      <c r="H22" s="8"/>
      <c r="I22" s="8"/>
      <c r="J22" s="7" t="s">
        <v>33</v>
      </c>
      <c r="K22" s="7" t="s">
        <v>32</v>
      </c>
      <c r="L22" s="8">
        <v>643</v>
      </c>
      <c r="M22" s="8">
        <v>1085</v>
      </c>
      <c r="N22" s="8">
        <v>1728</v>
      </c>
      <c r="O22" s="7" t="s">
        <v>33</v>
      </c>
      <c r="P22" s="7" t="s">
        <v>32</v>
      </c>
      <c r="Q22" s="8">
        <v>598</v>
      </c>
      <c r="R22" s="8">
        <v>1142</v>
      </c>
      <c r="S22" s="8">
        <v>1740</v>
      </c>
      <c r="T22" s="7"/>
      <c r="U22" s="7" t="s">
        <v>32</v>
      </c>
      <c r="V22" s="8">
        <v>613</v>
      </c>
      <c r="W22" s="8">
        <v>1136</v>
      </c>
      <c r="X22" s="8">
        <v>1749</v>
      </c>
      <c r="Y22" s="9">
        <v>56.5</v>
      </c>
      <c r="Z22" s="10" t="str">
        <f t="shared" si="0"/>
        <v/>
      </c>
      <c r="AA22" s="10">
        <f t="shared" si="1"/>
        <v>0.37210648148148145</v>
      </c>
      <c r="AB22" s="10">
        <f t="shared" si="2"/>
        <v>0.34367816091954023</v>
      </c>
      <c r="AC22" s="10">
        <f t="shared" si="3"/>
        <v>0.35048599199542596</v>
      </c>
      <c r="AD22" s="8">
        <f t="shared" si="4"/>
        <v>523</v>
      </c>
    </row>
    <row r="23" spans="1:30" ht="15" customHeight="1" x14ac:dyDescent="0.2">
      <c r="A23" s="7">
        <v>2018</v>
      </c>
      <c r="B23" s="7" t="s">
        <v>54</v>
      </c>
      <c r="C23" s="7" t="s">
        <v>31</v>
      </c>
      <c r="D23" s="7">
        <v>22</v>
      </c>
      <c r="E23" s="7" t="s">
        <v>32</v>
      </c>
      <c r="F23" s="7"/>
      <c r="G23" s="8"/>
      <c r="H23" s="8"/>
      <c r="I23" s="8"/>
      <c r="J23" s="7" t="s">
        <v>33</v>
      </c>
      <c r="K23" s="7" t="s">
        <v>32</v>
      </c>
      <c r="L23" s="8">
        <v>326</v>
      </c>
      <c r="M23" s="8">
        <v>505</v>
      </c>
      <c r="N23" s="8">
        <v>831</v>
      </c>
      <c r="O23" s="7" t="s">
        <v>33</v>
      </c>
      <c r="P23" s="7" t="s">
        <v>32</v>
      </c>
      <c r="Q23" s="8">
        <v>263</v>
      </c>
      <c r="R23" s="8">
        <v>573</v>
      </c>
      <c r="S23" s="8">
        <v>836</v>
      </c>
      <c r="T23" s="7"/>
      <c r="U23" s="7" t="s">
        <v>32</v>
      </c>
      <c r="V23" s="8">
        <v>273</v>
      </c>
      <c r="W23" s="8">
        <v>574</v>
      </c>
      <c r="X23" s="8">
        <v>847</v>
      </c>
      <c r="Y23" s="9">
        <v>54.8</v>
      </c>
      <c r="Z23" s="10" t="str">
        <f t="shared" si="0"/>
        <v/>
      </c>
      <c r="AA23" s="10">
        <f t="shared" si="1"/>
        <v>0.39229843561973526</v>
      </c>
      <c r="AB23" s="10">
        <f t="shared" si="2"/>
        <v>0.3145933014354067</v>
      </c>
      <c r="AC23" s="10">
        <f t="shared" si="3"/>
        <v>0.32231404958677684</v>
      </c>
      <c r="AD23" s="8">
        <f t="shared" si="4"/>
        <v>301</v>
      </c>
    </row>
    <row r="24" spans="1:30" ht="15" customHeight="1" x14ac:dyDescent="0.2">
      <c r="A24" s="7">
        <v>2018</v>
      </c>
      <c r="B24" s="7" t="s">
        <v>55</v>
      </c>
      <c r="C24" s="7" t="s">
        <v>31</v>
      </c>
      <c r="D24" s="7">
        <v>23</v>
      </c>
      <c r="E24" s="7" t="s">
        <v>32</v>
      </c>
      <c r="F24" s="7"/>
      <c r="G24" s="8"/>
      <c r="H24" s="8"/>
      <c r="I24" s="8"/>
      <c r="J24" s="7" t="s">
        <v>33</v>
      </c>
      <c r="K24" s="7" t="s">
        <v>33</v>
      </c>
      <c r="L24" s="8">
        <v>53</v>
      </c>
      <c r="M24" s="8">
        <v>44</v>
      </c>
      <c r="N24" s="8">
        <v>97</v>
      </c>
      <c r="O24" s="7" t="s">
        <v>33</v>
      </c>
      <c r="P24" s="7" t="s">
        <v>33</v>
      </c>
      <c r="Q24" s="8">
        <v>50</v>
      </c>
      <c r="R24" s="8">
        <v>47</v>
      </c>
      <c r="S24" s="8">
        <v>97</v>
      </c>
      <c r="T24" s="7"/>
      <c r="U24" s="7" t="s">
        <v>33</v>
      </c>
      <c r="V24" s="8">
        <v>50</v>
      </c>
      <c r="W24" s="8">
        <v>48</v>
      </c>
      <c r="X24" s="8">
        <v>98</v>
      </c>
      <c r="Y24" s="9">
        <v>41</v>
      </c>
      <c r="Z24" s="10" t="str">
        <f t="shared" si="0"/>
        <v/>
      </c>
      <c r="AA24" s="10">
        <f t="shared" si="1"/>
        <v>0.54639175257731953</v>
      </c>
      <c r="AB24" s="10">
        <f t="shared" si="2"/>
        <v>0.51546391752577314</v>
      </c>
      <c r="AC24" s="10">
        <f t="shared" si="3"/>
        <v>0.51020408163265307</v>
      </c>
      <c r="AD24" s="8">
        <f t="shared" si="4"/>
        <v>-2</v>
      </c>
    </row>
    <row r="25" spans="1:30" ht="15" customHeight="1" x14ac:dyDescent="0.2">
      <c r="A25" s="7">
        <v>2018</v>
      </c>
      <c r="B25" s="7" t="s">
        <v>56</v>
      </c>
      <c r="C25" s="7" t="s">
        <v>57</v>
      </c>
      <c r="D25" s="7">
        <v>24</v>
      </c>
      <c r="E25" s="7" t="s">
        <v>32</v>
      </c>
      <c r="F25" s="7"/>
      <c r="G25" s="8"/>
      <c r="H25" s="8"/>
      <c r="I25" s="8"/>
      <c r="J25" s="7" t="s">
        <v>33</v>
      </c>
      <c r="K25" s="7" t="s">
        <v>33</v>
      </c>
      <c r="L25" s="8">
        <v>519</v>
      </c>
      <c r="M25" s="8">
        <v>356</v>
      </c>
      <c r="N25" s="8">
        <v>875</v>
      </c>
      <c r="O25" s="7" t="s">
        <v>33</v>
      </c>
      <c r="P25" s="7" t="s">
        <v>33</v>
      </c>
      <c r="Q25" s="8">
        <v>483</v>
      </c>
      <c r="R25" s="8">
        <v>385</v>
      </c>
      <c r="S25" s="8">
        <v>868</v>
      </c>
      <c r="T25" s="7"/>
      <c r="U25" s="7" t="s">
        <v>33</v>
      </c>
      <c r="V25" s="8">
        <v>454</v>
      </c>
      <c r="W25" s="8">
        <v>406</v>
      </c>
      <c r="X25" s="8">
        <v>860</v>
      </c>
      <c r="Y25" s="9">
        <v>52.1</v>
      </c>
      <c r="Z25" s="10" t="str">
        <f t="shared" si="0"/>
        <v/>
      </c>
      <c r="AA25" s="10">
        <f t="shared" si="1"/>
        <v>0.59314285714285719</v>
      </c>
      <c r="AB25" s="10">
        <f t="shared" si="2"/>
        <v>0.55645161290322576</v>
      </c>
      <c r="AC25" s="10">
        <f t="shared" si="3"/>
        <v>0.52790697674418607</v>
      </c>
      <c r="AD25" s="8">
        <f t="shared" si="4"/>
        <v>-48</v>
      </c>
    </row>
    <row r="26" spans="1:30" ht="15" customHeight="1" x14ac:dyDescent="0.2">
      <c r="A26" s="7">
        <v>2018</v>
      </c>
      <c r="B26" s="7" t="s">
        <v>58</v>
      </c>
      <c r="C26" s="7" t="s">
        <v>57</v>
      </c>
      <c r="D26" s="7">
        <v>25</v>
      </c>
      <c r="E26" s="7" t="s">
        <v>32</v>
      </c>
      <c r="F26" s="7"/>
      <c r="G26" s="8"/>
      <c r="H26" s="8"/>
      <c r="I26" s="8"/>
      <c r="J26" s="7" t="s">
        <v>33</v>
      </c>
      <c r="K26" s="7" t="s">
        <v>33</v>
      </c>
      <c r="L26" s="8">
        <v>21066</v>
      </c>
      <c r="M26" s="8">
        <v>6512</v>
      </c>
      <c r="N26" s="8">
        <v>27578</v>
      </c>
      <c r="O26" s="7" t="s">
        <v>33</v>
      </c>
      <c r="P26" s="7" t="s">
        <v>33</v>
      </c>
      <c r="Q26" s="8">
        <v>20570</v>
      </c>
      <c r="R26" s="8">
        <v>6979</v>
      </c>
      <c r="S26" s="8">
        <v>27549</v>
      </c>
      <c r="T26" s="7"/>
      <c r="U26" s="7" t="s">
        <v>33</v>
      </c>
      <c r="V26" s="8">
        <v>19919</v>
      </c>
      <c r="W26" s="8">
        <v>7341</v>
      </c>
      <c r="X26" s="8">
        <v>27260</v>
      </c>
      <c r="Y26" s="9">
        <v>46.2</v>
      </c>
      <c r="Z26" s="10" t="str">
        <f t="shared" si="0"/>
        <v/>
      </c>
      <c r="AA26" s="10">
        <f t="shared" si="1"/>
        <v>0.76386975125099721</v>
      </c>
      <c r="AB26" s="10">
        <f t="shared" si="2"/>
        <v>0.74666957058332428</v>
      </c>
      <c r="AC26" s="10">
        <f t="shared" si="3"/>
        <v>0.73070432868672042</v>
      </c>
      <c r="AD26" s="8">
        <f t="shared" si="4"/>
        <v>-12578</v>
      </c>
    </row>
    <row r="27" spans="1:30" ht="15" customHeight="1" x14ac:dyDescent="0.2">
      <c r="A27" s="7">
        <v>2018</v>
      </c>
      <c r="B27" s="7" t="s">
        <v>59</v>
      </c>
      <c r="C27" s="7" t="s">
        <v>57</v>
      </c>
      <c r="D27" s="7">
        <v>26</v>
      </c>
      <c r="E27" s="7" t="s">
        <v>32</v>
      </c>
      <c r="F27" s="7"/>
      <c r="G27" s="8"/>
      <c r="H27" s="8"/>
      <c r="I27" s="8"/>
      <c r="J27" s="7" t="s">
        <v>33</v>
      </c>
      <c r="K27" s="7" t="s">
        <v>33</v>
      </c>
      <c r="L27" s="8">
        <v>5072</v>
      </c>
      <c r="M27" s="8">
        <v>2132</v>
      </c>
      <c r="N27" s="8">
        <v>7204</v>
      </c>
      <c r="O27" s="7" t="s">
        <v>33</v>
      </c>
      <c r="P27" s="7" t="s">
        <v>33</v>
      </c>
      <c r="Q27" s="8">
        <v>4927</v>
      </c>
      <c r="R27" s="8">
        <v>2261</v>
      </c>
      <c r="S27" s="8">
        <v>7188</v>
      </c>
      <c r="T27" s="7"/>
      <c r="U27" s="7" t="s">
        <v>33</v>
      </c>
      <c r="V27" s="8">
        <v>4700</v>
      </c>
      <c r="W27" s="8">
        <v>2300</v>
      </c>
      <c r="X27" s="8">
        <v>7000</v>
      </c>
      <c r="Y27" s="9">
        <v>49.5</v>
      </c>
      <c r="Z27" s="10" t="str">
        <f t="shared" si="0"/>
        <v/>
      </c>
      <c r="AA27" s="10">
        <f t="shared" si="1"/>
        <v>0.70405330372015551</v>
      </c>
      <c r="AB27" s="10">
        <f t="shared" si="2"/>
        <v>0.68544796883695047</v>
      </c>
      <c r="AC27" s="10">
        <f t="shared" si="3"/>
        <v>0.67142857142857137</v>
      </c>
      <c r="AD27" s="8">
        <f t="shared" si="4"/>
        <v>-2400</v>
      </c>
    </row>
    <row r="28" spans="1:30" ht="15" customHeight="1" x14ac:dyDescent="0.2">
      <c r="A28" s="7">
        <v>2018</v>
      </c>
      <c r="B28" s="7" t="s">
        <v>60</v>
      </c>
      <c r="C28" s="7" t="s">
        <v>57</v>
      </c>
      <c r="D28" s="7">
        <v>27</v>
      </c>
      <c r="E28" s="7" t="s">
        <v>32</v>
      </c>
      <c r="F28" s="7"/>
      <c r="G28" s="8"/>
      <c r="H28" s="8"/>
      <c r="I28" s="8"/>
      <c r="J28" s="7" t="s">
        <v>33</v>
      </c>
      <c r="K28" s="7" t="s">
        <v>33</v>
      </c>
      <c r="L28" s="8">
        <v>1266</v>
      </c>
      <c r="M28" s="8">
        <v>733</v>
      </c>
      <c r="N28" s="8">
        <v>1999</v>
      </c>
      <c r="O28" s="7" t="s">
        <v>33</v>
      </c>
      <c r="P28" s="7" t="s">
        <v>33</v>
      </c>
      <c r="Q28" s="8">
        <v>1198</v>
      </c>
      <c r="R28" s="8">
        <v>795</v>
      </c>
      <c r="S28" s="8">
        <v>1993</v>
      </c>
      <c r="T28" s="7"/>
      <c r="U28" s="7" t="s">
        <v>33</v>
      </c>
      <c r="V28" s="8">
        <v>1137</v>
      </c>
      <c r="W28" s="8">
        <v>821</v>
      </c>
      <c r="X28" s="8">
        <v>1958</v>
      </c>
      <c r="Y28" s="9">
        <v>47.3</v>
      </c>
      <c r="Z28" s="10" t="str">
        <f t="shared" si="0"/>
        <v/>
      </c>
      <c r="AA28" s="10">
        <f t="shared" si="1"/>
        <v>0.63331665832916462</v>
      </c>
      <c r="AB28" s="10">
        <f t="shared" si="2"/>
        <v>0.60110386352232814</v>
      </c>
      <c r="AC28" s="10">
        <f t="shared" si="3"/>
        <v>0.58069458631256388</v>
      </c>
      <c r="AD28" s="8">
        <f t="shared" si="4"/>
        <v>-316</v>
      </c>
    </row>
    <row r="29" spans="1:30" ht="15" customHeight="1" x14ac:dyDescent="0.2">
      <c r="A29" s="7">
        <v>2018</v>
      </c>
      <c r="B29" s="7" t="s">
        <v>61</v>
      </c>
      <c r="C29" s="7" t="s">
        <v>57</v>
      </c>
      <c r="D29" s="7">
        <v>28</v>
      </c>
      <c r="E29" s="7" t="s">
        <v>32</v>
      </c>
      <c r="F29" s="7"/>
      <c r="G29" s="8"/>
      <c r="H29" s="8"/>
      <c r="I29" s="8"/>
      <c r="J29" s="7" t="s">
        <v>33</v>
      </c>
      <c r="K29" s="7" t="s">
        <v>33</v>
      </c>
      <c r="L29" s="8">
        <v>583</v>
      </c>
      <c r="M29" s="8">
        <v>403</v>
      </c>
      <c r="N29" s="8">
        <v>986</v>
      </c>
      <c r="O29" s="7" t="s">
        <v>33</v>
      </c>
      <c r="P29" s="7" t="s">
        <v>33</v>
      </c>
      <c r="Q29" s="8">
        <v>556</v>
      </c>
      <c r="R29" s="8">
        <v>421</v>
      </c>
      <c r="S29" s="8">
        <v>977</v>
      </c>
      <c r="T29" s="7"/>
      <c r="U29" s="7" t="s">
        <v>33</v>
      </c>
      <c r="V29" s="8">
        <v>513</v>
      </c>
      <c r="W29" s="8">
        <v>446</v>
      </c>
      <c r="X29" s="8">
        <v>959</v>
      </c>
      <c r="Y29" s="9">
        <v>58.7</v>
      </c>
      <c r="Z29" s="10" t="str">
        <f t="shared" si="0"/>
        <v/>
      </c>
      <c r="AA29" s="10">
        <f t="shared" si="1"/>
        <v>0.59127789046653145</v>
      </c>
      <c r="AB29" s="10">
        <f t="shared" si="2"/>
        <v>0.56908904810644834</v>
      </c>
      <c r="AC29" s="10">
        <f t="shared" si="3"/>
        <v>0.53493222106360794</v>
      </c>
      <c r="AD29" s="8">
        <f t="shared" si="4"/>
        <v>-67</v>
      </c>
    </row>
    <row r="30" spans="1:30" ht="15" customHeight="1" x14ac:dyDescent="0.2">
      <c r="A30" s="7">
        <v>2018</v>
      </c>
      <c r="B30" s="7" t="s">
        <v>62</v>
      </c>
      <c r="C30" s="7" t="s">
        <v>57</v>
      </c>
      <c r="D30" s="7">
        <v>29</v>
      </c>
      <c r="E30" s="7" t="s">
        <v>32</v>
      </c>
      <c r="F30" s="7"/>
      <c r="G30" s="8"/>
      <c r="H30" s="8"/>
      <c r="I30" s="8"/>
      <c r="J30" s="7" t="s">
        <v>33</v>
      </c>
      <c r="K30" s="7" t="s">
        <v>33</v>
      </c>
      <c r="L30" s="8">
        <v>732</v>
      </c>
      <c r="M30" s="8">
        <v>470</v>
      </c>
      <c r="N30" s="8">
        <v>1202</v>
      </c>
      <c r="O30" s="7" t="s">
        <v>33</v>
      </c>
      <c r="P30" s="7" t="s">
        <v>33</v>
      </c>
      <c r="Q30" s="8">
        <v>705</v>
      </c>
      <c r="R30" s="8">
        <v>509</v>
      </c>
      <c r="S30" s="8">
        <v>1214</v>
      </c>
      <c r="T30" s="7"/>
      <c r="U30" s="7" t="s">
        <v>33</v>
      </c>
      <c r="V30" s="8">
        <v>660</v>
      </c>
      <c r="W30" s="8">
        <v>515</v>
      </c>
      <c r="X30" s="8">
        <v>1175</v>
      </c>
      <c r="Y30" s="9">
        <v>51.5</v>
      </c>
      <c r="Z30" s="10" t="str">
        <f t="shared" si="0"/>
        <v/>
      </c>
      <c r="AA30" s="10">
        <f t="shared" si="1"/>
        <v>0.60898502495840268</v>
      </c>
      <c r="AB30" s="10">
        <f t="shared" si="2"/>
        <v>0.5807248764415156</v>
      </c>
      <c r="AC30" s="10">
        <f t="shared" si="3"/>
        <v>0.5617021276595745</v>
      </c>
      <c r="AD30" s="8">
        <f t="shared" si="4"/>
        <v>-145</v>
      </c>
    </row>
    <row r="31" spans="1:30" ht="15" customHeight="1" x14ac:dyDescent="0.2">
      <c r="A31" s="7">
        <v>2018</v>
      </c>
      <c r="B31" s="7" t="s">
        <v>63</v>
      </c>
      <c r="C31" s="7" t="s">
        <v>57</v>
      </c>
      <c r="D31" s="7">
        <v>30</v>
      </c>
      <c r="E31" s="7" t="s">
        <v>32</v>
      </c>
      <c r="F31" s="7"/>
      <c r="G31" s="8"/>
      <c r="H31" s="8"/>
      <c r="I31" s="8"/>
      <c r="J31" s="7" t="s">
        <v>33</v>
      </c>
      <c r="K31" s="7" t="s">
        <v>33</v>
      </c>
      <c r="L31" s="8">
        <v>2687</v>
      </c>
      <c r="M31" s="8">
        <v>1769</v>
      </c>
      <c r="N31" s="8">
        <v>4456</v>
      </c>
      <c r="O31" s="7" t="s">
        <v>33</v>
      </c>
      <c r="P31" s="7" t="s">
        <v>33</v>
      </c>
      <c r="Q31" s="8">
        <v>2586</v>
      </c>
      <c r="R31" s="8">
        <v>1889</v>
      </c>
      <c r="S31" s="8">
        <v>4475</v>
      </c>
      <c r="T31" s="7"/>
      <c r="U31" s="7" t="s">
        <v>33</v>
      </c>
      <c r="V31" s="8">
        <v>2434</v>
      </c>
      <c r="W31" s="8">
        <v>1955</v>
      </c>
      <c r="X31" s="8">
        <v>4389</v>
      </c>
      <c r="Y31" s="9">
        <v>56.4</v>
      </c>
      <c r="Z31" s="10" t="str">
        <f t="shared" si="0"/>
        <v/>
      </c>
      <c r="AA31" s="10">
        <f t="shared" si="1"/>
        <v>0.6030071813285458</v>
      </c>
      <c r="AB31" s="10">
        <f t="shared" si="2"/>
        <v>0.57787709497206707</v>
      </c>
      <c r="AC31" s="10">
        <f t="shared" si="3"/>
        <v>0.55456823877876504</v>
      </c>
      <c r="AD31" s="8">
        <f t="shared" si="4"/>
        <v>-479</v>
      </c>
    </row>
    <row r="32" spans="1:30" ht="15" customHeight="1" x14ac:dyDescent="0.2">
      <c r="A32" s="7">
        <v>2018</v>
      </c>
      <c r="B32" s="7" t="s">
        <v>64</v>
      </c>
      <c r="C32" s="7" t="s">
        <v>57</v>
      </c>
      <c r="D32" s="7">
        <v>31</v>
      </c>
      <c r="E32" s="7" t="s">
        <v>32</v>
      </c>
      <c r="F32" s="7"/>
      <c r="G32" s="8"/>
      <c r="H32" s="8"/>
      <c r="I32" s="8"/>
      <c r="J32" s="7" t="s">
        <v>33</v>
      </c>
      <c r="K32" s="7" t="s">
        <v>33</v>
      </c>
      <c r="L32" s="8">
        <v>1149</v>
      </c>
      <c r="M32" s="8">
        <v>425</v>
      </c>
      <c r="N32" s="8">
        <v>1574</v>
      </c>
      <c r="O32" s="7" t="s">
        <v>33</v>
      </c>
      <c r="P32" s="7" t="s">
        <v>33</v>
      </c>
      <c r="Q32" s="8">
        <v>1112</v>
      </c>
      <c r="R32" s="8">
        <v>452</v>
      </c>
      <c r="S32" s="8">
        <v>1564</v>
      </c>
      <c r="T32" s="7"/>
      <c r="U32" s="7" t="s">
        <v>33</v>
      </c>
      <c r="V32" s="8">
        <v>1077</v>
      </c>
      <c r="W32" s="8">
        <v>463</v>
      </c>
      <c r="X32" s="8">
        <v>1540</v>
      </c>
      <c r="Y32" s="9">
        <v>48.1</v>
      </c>
      <c r="Z32" s="10" t="str">
        <f t="shared" si="0"/>
        <v/>
      </c>
      <c r="AA32" s="10">
        <f t="shared" si="1"/>
        <v>0.72998729351969505</v>
      </c>
      <c r="AB32" s="10">
        <f t="shared" si="2"/>
        <v>0.71099744245524299</v>
      </c>
      <c r="AC32" s="10">
        <f t="shared" si="3"/>
        <v>0.69935064935064939</v>
      </c>
      <c r="AD32" s="8">
        <f t="shared" si="4"/>
        <v>-614</v>
      </c>
    </row>
    <row r="33" spans="1:30" ht="15" customHeight="1" x14ac:dyDescent="0.2">
      <c r="A33" s="7">
        <v>2018</v>
      </c>
      <c r="B33" s="7" t="s">
        <v>65</v>
      </c>
      <c r="C33" s="7" t="s">
        <v>57</v>
      </c>
      <c r="D33" s="7">
        <v>32</v>
      </c>
      <c r="E33" s="7" t="s">
        <v>32</v>
      </c>
      <c r="F33" s="7"/>
      <c r="G33" s="8"/>
      <c r="H33" s="8"/>
      <c r="I33" s="8"/>
      <c r="J33" s="7" t="s">
        <v>33</v>
      </c>
      <c r="K33" s="7" t="s">
        <v>33</v>
      </c>
      <c r="L33" s="8">
        <v>314</v>
      </c>
      <c r="M33" s="8">
        <v>177</v>
      </c>
      <c r="N33" s="8">
        <v>491</v>
      </c>
      <c r="O33" s="7" t="s">
        <v>33</v>
      </c>
      <c r="P33" s="7" t="s">
        <v>33</v>
      </c>
      <c r="Q33" s="8">
        <v>303</v>
      </c>
      <c r="R33" s="8">
        <v>189</v>
      </c>
      <c r="S33" s="8">
        <v>492</v>
      </c>
      <c r="T33" s="7"/>
      <c r="U33" s="7" t="s">
        <v>33</v>
      </c>
      <c r="V33" s="8">
        <v>294</v>
      </c>
      <c r="W33" s="8">
        <v>198</v>
      </c>
      <c r="X33" s="8">
        <v>492</v>
      </c>
      <c r="Y33" s="9">
        <v>57.8</v>
      </c>
      <c r="Z33" s="10" t="str">
        <f t="shared" si="0"/>
        <v/>
      </c>
      <c r="AA33" s="10">
        <f t="shared" si="1"/>
        <v>0.63951120162932795</v>
      </c>
      <c r="AB33" s="10">
        <f t="shared" si="2"/>
        <v>0.61585365853658536</v>
      </c>
      <c r="AC33" s="10">
        <f t="shared" si="3"/>
        <v>0.59756097560975607</v>
      </c>
      <c r="AD33" s="8">
        <f t="shared" si="4"/>
        <v>-96</v>
      </c>
    </row>
    <row r="34" spans="1:30" ht="15" customHeight="1" x14ac:dyDescent="0.2">
      <c r="A34" s="7">
        <v>2018</v>
      </c>
      <c r="B34" s="7" t="s">
        <v>66</v>
      </c>
      <c r="C34" s="7" t="s">
        <v>57</v>
      </c>
      <c r="D34" s="7">
        <v>33</v>
      </c>
      <c r="E34" s="7" t="s">
        <v>32</v>
      </c>
      <c r="F34" s="7"/>
      <c r="G34" s="8"/>
      <c r="H34" s="8"/>
      <c r="I34" s="8"/>
      <c r="J34" s="7" t="s">
        <v>33</v>
      </c>
      <c r="K34" s="7" t="s">
        <v>32</v>
      </c>
      <c r="L34" s="8">
        <v>596</v>
      </c>
      <c r="M34" s="8">
        <v>806</v>
      </c>
      <c r="N34" s="8">
        <v>1402</v>
      </c>
      <c r="O34" s="7" t="s">
        <v>33</v>
      </c>
      <c r="P34" s="7" t="s">
        <v>32</v>
      </c>
      <c r="Q34" s="8">
        <v>520</v>
      </c>
      <c r="R34" s="8">
        <v>881</v>
      </c>
      <c r="S34" s="8">
        <v>1401</v>
      </c>
      <c r="T34" s="7"/>
      <c r="U34" s="7" t="s">
        <v>32</v>
      </c>
      <c r="V34" s="8">
        <v>498</v>
      </c>
      <c r="W34" s="8">
        <v>876</v>
      </c>
      <c r="X34" s="8">
        <v>1374</v>
      </c>
      <c r="Y34" s="9">
        <v>50.2</v>
      </c>
      <c r="Z34" s="10" t="str">
        <f t="shared" si="0"/>
        <v/>
      </c>
      <c r="AA34" s="10">
        <f t="shared" si="1"/>
        <v>0.42510699001426533</v>
      </c>
      <c r="AB34" s="10">
        <f t="shared" si="2"/>
        <v>0.37116345467523199</v>
      </c>
      <c r="AC34" s="10">
        <f t="shared" si="3"/>
        <v>0.36244541484716158</v>
      </c>
      <c r="AD34" s="8">
        <f t="shared" si="4"/>
        <v>378</v>
      </c>
    </row>
    <row r="35" spans="1:30" ht="15" customHeight="1" x14ac:dyDescent="0.2">
      <c r="A35" s="7">
        <v>2018</v>
      </c>
      <c r="B35" s="7" t="s">
        <v>67</v>
      </c>
      <c r="C35" s="7" t="s">
        <v>57</v>
      </c>
      <c r="D35" s="7">
        <v>34</v>
      </c>
      <c r="E35" s="7" t="s">
        <v>32</v>
      </c>
      <c r="F35" s="7"/>
      <c r="G35" s="8"/>
      <c r="H35" s="8"/>
      <c r="I35" s="8"/>
      <c r="J35" s="7" t="s">
        <v>33</v>
      </c>
      <c r="K35" s="7" t="s">
        <v>33</v>
      </c>
      <c r="L35" s="8">
        <v>8135</v>
      </c>
      <c r="M35" s="8">
        <v>6138</v>
      </c>
      <c r="N35" s="8">
        <v>14273</v>
      </c>
      <c r="O35" s="7" t="s">
        <v>33</v>
      </c>
      <c r="P35" s="7" t="s">
        <v>33</v>
      </c>
      <c r="Q35" s="8">
        <v>7633</v>
      </c>
      <c r="R35" s="8">
        <v>6643</v>
      </c>
      <c r="S35" s="8">
        <v>14276</v>
      </c>
      <c r="T35" s="7"/>
      <c r="U35" s="7" t="s">
        <v>33</v>
      </c>
      <c r="V35" s="8">
        <v>7236</v>
      </c>
      <c r="W35" s="8">
        <v>6846</v>
      </c>
      <c r="X35" s="8">
        <v>14082</v>
      </c>
      <c r="Y35" s="9">
        <v>55.2</v>
      </c>
      <c r="Z35" s="10" t="str">
        <f t="shared" si="0"/>
        <v/>
      </c>
      <c r="AA35" s="10">
        <f t="shared" si="1"/>
        <v>0.56995726196314722</v>
      </c>
      <c r="AB35" s="10">
        <f t="shared" si="2"/>
        <v>0.53467357803306248</v>
      </c>
      <c r="AC35" s="10">
        <f t="shared" si="3"/>
        <v>0.51384746484874311</v>
      </c>
      <c r="AD35" s="8">
        <f t="shared" si="4"/>
        <v>-390</v>
      </c>
    </row>
    <row r="36" spans="1:30" ht="15" customHeight="1" x14ac:dyDescent="0.2">
      <c r="A36" s="7">
        <v>2018</v>
      </c>
      <c r="B36" s="7" t="s">
        <v>68</v>
      </c>
      <c r="C36" s="7" t="s">
        <v>57</v>
      </c>
      <c r="D36" s="7">
        <v>35</v>
      </c>
      <c r="E36" s="7" t="s">
        <v>32</v>
      </c>
      <c r="F36" s="7"/>
      <c r="G36" s="8"/>
      <c r="H36" s="8"/>
      <c r="I36" s="8"/>
      <c r="J36" s="7" t="s">
        <v>33</v>
      </c>
      <c r="K36" s="7" t="s">
        <v>32</v>
      </c>
      <c r="L36" s="8">
        <v>836</v>
      </c>
      <c r="M36" s="8">
        <v>1035</v>
      </c>
      <c r="N36" s="8">
        <v>1871</v>
      </c>
      <c r="O36" s="7" t="s">
        <v>33</v>
      </c>
      <c r="P36" s="7" t="s">
        <v>32</v>
      </c>
      <c r="Q36" s="8">
        <v>782</v>
      </c>
      <c r="R36" s="8">
        <v>1089</v>
      </c>
      <c r="S36" s="8">
        <v>1871</v>
      </c>
      <c r="T36" s="7"/>
      <c r="U36" s="7" t="s">
        <v>32</v>
      </c>
      <c r="V36" s="8">
        <v>738</v>
      </c>
      <c r="W36" s="8">
        <v>1114</v>
      </c>
      <c r="X36" s="8">
        <v>1852</v>
      </c>
      <c r="Y36" s="9">
        <v>62.1</v>
      </c>
      <c r="Z36" s="10" t="str">
        <f t="shared" si="0"/>
        <v/>
      </c>
      <c r="AA36" s="10">
        <f t="shared" si="1"/>
        <v>0.44681988241582044</v>
      </c>
      <c r="AB36" s="10">
        <f t="shared" si="2"/>
        <v>0.41795831106360237</v>
      </c>
      <c r="AC36" s="10">
        <f t="shared" si="3"/>
        <v>0.39848812095032399</v>
      </c>
      <c r="AD36" s="8">
        <f t="shared" si="4"/>
        <v>376</v>
      </c>
    </row>
    <row r="37" spans="1:30" ht="15" customHeight="1" x14ac:dyDescent="0.2">
      <c r="A37" s="7">
        <v>2018</v>
      </c>
      <c r="B37" s="7" t="s">
        <v>69</v>
      </c>
      <c r="C37" s="7" t="s">
        <v>57</v>
      </c>
      <c r="D37" s="7">
        <v>36</v>
      </c>
      <c r="E37" s="7" t="s">
        <v>32</v>
      </c>
      <c r="F37" s="7"/>
      <c r="G37" s="8"/>
      <c r="H37" s="8"/>
      <c r="I37" s="8"/>
      <c r="J37" s="7" t="s">
        <v>33</v>
      </c>
      <c r="K37" s="7" t="s">
        <v>32</v>
      </c>
      <c r="L37" s="8">
        <v>471</v>
      </c>
      <c r="M37" s="8">
        <v>647</v>
      </c>
      <c r="N37" s="8">
        <v>1118</v>
      </c>
      <c r="O37" s="7" t="s">
        <v>33</v>
      </c>
      <c r="P37" s="7" t="s">
        <v>32</v>
      </c>
      <c r="Q37" s="8">
        <v>442</v>
      </c>
      <c r="R37" s="8">
        <v>672</v>
      </c>
      <c r="S37" s="8">
        <v>1114</v>
      </c>
      <c r="T37" s="7"/>
      <c r="U37" s="7" t="s">
        <v>32</v>
      </c>
      <c r="V37" s="8">
        <v>411</v>
      </c>
      <c r="W37" s="8">
        <v>680</v>
      </c>
      <c r="X37" s="8">
        <v>1091</v>
      </c>
      <c r="Y37" s="9">
        <v>61.4</v>
      </c>
      <c r="Z37" s="10" t="str">
        <f t="shared" si="0"/>
        <v/>
      </c>
      <c r="AA37" s="10">
        <f t="shared" si="1"/>
        <v>0.42128801431127011</v>
      </c>
      <c r="AB37" s="10">
        <f t="shared" si="2"/>
        <v>0.39676840215439857</v>
      </c>
      <c r="AC37" s="10">
        <f t="shared" si="3"/>
        <v>0.37671860678276808</v>
      </c>
      <c r="AD37" s="8">
        <f t="shared" si="4"/>
        <v>269</v>
      </c>
    </row>
    <row r="38" spans="1:30" ht="15" customHeight="1" x14ac:dyDescent="0.2">
      <c r="A38" s="7">
        <v>2018</v>
      </c>
      <c r="B38" s="7" t="s">
        <v>70</v>
      </c>
      <c r="C38" s="7" t="s">
        <v>57</v>
      </c>
      <c r="D38" s="7">
        <v>37</v>
      </c>
      <c r="E38" s="7" t="s">
        <v>32</v>
      </c>
      <c r="F38" s="7"/>
      <c r="G38" s="8"/>
      <c r="H38" s="8"/>
      <c r="I38" s="8"/>
      <c r="J38" s="7" t="s">
        <v>33</v>
      </c>
      <c r="K38" s="7" t="s">
        <v>32</v>
      </c>
      <c r="L38" s="8">
        <v>744</v>
      </c>
      <c r="M38" s="8">
        <v>1131</v>
      </c>
      <c r="N38" s="8">
        <v>1875</v>
      </c>
      <c r="O38" s="7" t="s">
        <v>33</v>
      </c>
      <c r="P38" s="7" t="s">
        <v>32</v>
      </c>
      <c r="Q38" s="8">
        <v>686</v>
      </c>
      <c r="R38" s="8">
        <v>1184</v>
      </c>
      <c r="S38" s="8">
        <v>1870</v>
      </c>
      <c r="T38" s="7"/>
      <c r="U38" s="7" t="s">
        <v>32</v>
      </c>
      <c r="V38" s="8">
        <v>623</v>
      </c>
      <c r="W38" s="8">
        <v>1233</v>
      </c>
      <c r="X38" s="8">
        <v>1856</v>
      </c>
      <c r="Y38" s="9">
        <v>63.4</v>
      </c>
      <c r="Z38" s="10" t="str">
        <f t="shared" si="0"/>
        <v/>
      </c>
      <c r="AA38" s="10">
        <f t="shared" si="1"/>
        <v>0.39679999999999999</v>
      </c>
      <c r="AB38" s="10">
        <f t="shared" si="2"/>
        <v>0.36684491978609624</v>
      </c>
      <c r="AC38" s="10">
        <f t="shared" si="3"/>
        <v>0.33566810344827586</v>
      </c>
      <c r="AD38" s="8">
        <f t="shared" si="4"/>
        <v>610</v>
      </c>
    </row>
    <row r="39" spans="1:30" ht="15" customHeight="1" x14ac:dyDescent="0.2">
      <c r="A39" s="7">
        <v>2018</v>
      </c>
      <c r="B39" s="7" t="s">
        <v>71</v>
      </c>
      <c r="C39" s="7" t="s">
        <v>57</v>
      </c>
      <c r="D39" s="7">
        <v>38</v>
      </c>
      <c r="E39" s="7" t="s">
        <v>32</v>
      </c>
      <c r="F39" s="7"/>
      <c r="G39" s="8"/>
      <c r="H39" s="8"/>
      <c r="I39" s="8"/>
      <c r="J39" s="7" t="s">
        <v>33</v>
      </c>
      <c r="K39" s="7" t="s">
        <v>33</v>
      </c>
      <c r="L39" s="8">
        <v>790</v>
      </c>
      <c r="M39" s="8">
        <v>508</v>
      </c>
      <c r="N39" s="8">
        <v>1298</v>
      </c>
      <c r="O39" s="7" t="s">
        <v>33</v>
      </c>
      <c r="P39" s="7" t="s">
        <v>33</v>
      </c>
      <c r="Q39" s="8">
        <v>741</v>
      </c>
      <c r="R39" s="8">
        <v>546</v>
      </c>
      <c r="S39" s="8">
        <v>1287</v>
      </c>
      <c r="T39" s="7"/>
      <c r="U39" s="7" t="s">
        <v>33</v>
      </c>
      <c r="V39" s="8">
        <v>691</v>
      </c>
      <c r="W39" s="8">
        <v>584</v>
      </c>
      <c r="X39" s="8">
        <v>1275</v>
      </c>
      <c r="Y39" s="9">
        <v>64.099999999999994</v>
      </c>
      <c r="Z39" s="10" t="str">
        <f t="shared" si="0"/>
        <v/>
      </c>
      <c r="AA39" s="10">
        <f t="shared" si="1"/>
        <v>0.60862865947611711</v>
      </c>
      <c r="AB39" s="10">
        <f t="shared" si="2"/>
        <v>0.5757575757575758</v>
      </c>
      <c r="AC39" s="10">
        <f t="shared" si="3"/>
        <v>0.54196078431372552</v>
      </c>
      <c r="AD39" s="8">
        <f t="shared" si="4"/>
        <v>-107</v>
      </c>
    </row>
    <row r="40" spans="1:30" ht="15" customHeight="1" x14ac:dyDescent="0.2">
      <c r="A40" s="7">
        <v>2018</v>
      </c>
      <c r="B40" s="7" t="s">
        <v>72</v>
      </c>
      <c r="C40" s="7" t="s">
        <v>57</v>
      </c>
      <c r="D40" s="7">
        <v>39</v>
      </c>
      <c r="E40" s="7" t="s">
        <v>32</v>
      </c>
      <c r="F40" s="7"/>
      <c r="G40" s="8"/>
      <c r="H40" s="8"/>
      <c r="I40" s="8"/>
      <c r="J40" s="7" t="s">
        <v>33</v>
      </c>
      <c r="K40" s="7" t="s">
        <v>32</v>
      </c>
      <c r="L40" s="8">
        <v>3295</v>
      </c>
      <c r="M40" s="8">
        <v>3459</v>
      </c>
      <c r="N40" s="8">
        <v>6754</v>
      </c>
      <c r="O40" s="7" t="s">
        <v>33</v>
      </c>
      <c r="P40" s="7" t="s">
        <v>32</v>
      </c>
      <c r="Q40" s="8">
        <v>2999</v>
      </c>
      <c r="R40" s="8">
        <v>3763</v>
      </c>
      <c r="S40" s="8">
        <v>6762</v>
      </c>
      <c r="T40" s="7"/>
      <c r="U40" s="7" t="s">
        <v>32</v>
      </c>
      <c r="V40" s="8">
        <v>2780</v>
      </c>
      <c r="W40" s="8">
        <v>3849</v>
      </c>
      <c r="X40" s="8">
        <v>6629</v>
      </c>
      <c r="Y40" s="9">
        <v>62.8</v>
      </c>
      <c r="Z40" s="10" t="str">
        <f t="shared" si="0"/>
        <v/>
      </c>
      <c r="AA40" s="10">
        <f t="shared" si="1"/>
        <v>0.48785904649096834</v>
      </c>
      <c r="AB40" s="10">
        <f t="shared" si="2"/>
        <v>0.44350783791777582</v>
      </c>
      <c r="AC40" s="10">
        <f t="shared" si="3"/>
        <v>0.41936943732086285</v>
      </c>
      <c r="AD40" s="8">
        <f t="shared" si="4"/>
        <v>1069</v>
      </c>
    </row>
    <row r="41" spans="1:30" ht="15" customHeight="1" x14ac:dyDescent="0.2">
      <c r="A41" s="7">
        <v>2018</v>
      </c>
      <c r="B41" s="7" t="s">
        <v>73</v>
      </c>
      <c r="C41" s="7" t="s">
        <v>57</v>
      </c>
      <c r="D41" s="7">
        <v>40</v>
      </c>
      <c r="E41" s="7" t="s">
        <v>32</v>
      </c>
      <c r="F41" s="7"/>
      <c r="G41" s="8"/>
      <c r="H41" s="8"/>
      <c r="I41" s="8"/>
      <c r="J41" s="7" t="s">
        <v>33</v>
      </c>
      <c r="K41" s="7" t="s">
        <v>33</v>
      </c>
      <c r="L41" s="8">
        <v>3301</v>
      </c>
      <c r="M41" s="8">
        <v>2559</v>
      </c>
      <c r="N41" s="8">
        <v>5860</v>
      </c>
      <c r="O41" s="7" t="s">
        <v>33</v>
      </c>
      <c r="P41" s="7" t="s">
        <v>33</v>
      </c>
      <c r="Q41" s="8">
        <v>3103</v>
      </c>
      <c r="R41" s="8">
        <v>2762</v>
      </c>
      <c r="S41" s="8">
        <v>5865</v>
      </c>
      <c r="T41" s="7"/>
      <c r="U41" s="7" t="s">
        <v>33</v>
      </c>
      <c r="V41" s="8">
        <v>2945</v>
      </c>
      <c r="W41" s="8">
        <v>2844</v>
      </c>
      <c r="X41" s="8">
        <v>5789</v>
      </c>
      <c r="Y41" s="9">
        <v>61.2</v>
      </c>
      <c r="Z41" s="10" t="str">
        <f t="shared" si="0"/>
        <v/>
      </c>
      <c r="AA41" s="10">
        <f t="shared" si="1"/>
        <v>0.5633105802047782</v>
      </c>
      <c r="AB41" s="10">
        <f t="shared" si="2"/>
        <v>0.52907075873827791</v>
      </c>
      <c r="AC41" s="10">
        <f t="shared" si="3"/>
        <v>0.50872344100880984</v>
      </c>
      <c r="AD41" s="8">
        <f t="shared" si="4"/>
        <v>-101</v>
      </c>
    </row>
    <row r="42" spans="1:30" ht="15" customHeight="1" x14ac:dyDescent="0.2">
      <c r="A42" s="7">
        <v>2018</v>
      </c>
      <c r="B42" s="7" t="s">
        <v>74</v>
      </c>
      <c r="C42" s="7" t="s">
        <v>57</v>
      </c>
      <c r="D42" s="7">
        <v>41</v>
      </c>
      <c r="E42" s="7" t="s">
        <v>32</v>
      </c>
      <c r="F42" s="7"/>
      <c r="G42" s="8"/>
      <c r="H42" s="8"/>
      <c r="I42" s="8"/>
      <c r="J42" s="7" t="s">
        <v>33</v>
      </c>
      <c r="K42" s="7" t="s">
        <v>33</v>
      </c>
      <c r="L42" s="8">
        <v>595</v>
      </c>
      <c r="M42" s="8">
        <v>582</v>
      </c>
      <c r="N42" s="8">
        <v>1177</v>
      </c>
      <c r="O42" s="7" t="s">
        <v>33</v>
      </c>
      <c r="P42" s="7" t="s">
        <v>32</v>
      </c>
      <c r="Q42" s="8">
        <v>581</v>
      </c>
      <c r="R42" s="8">
        <v>592</v>
      </c>
      <c r="S42" s="8">
        <v>1173</v>
      </c>
      <c r="T42" s="7"/>
      <c r="U42" s="7" t="s">
        <v>32</v>
      </c>
      <c r="V42" s="8">
        <v>537</v>
      </c>
      <c r="W42" s="8">
        <v>626</v>
      </c>
      <c r="X42" s="8">
        <v>1163</v>
      </c>
      <c r="Y42" s="9">
        <v>56.8</v>
      </c>
      <c r="Z42" s="10" t="str">
        <f t="shared" si="0"/>
        <v/>
      </c>
      <c r="AA42" s="10">
        <f t="shared" si="1"/>
        <v>0.50552251486830924</v>
      </c>
      <c r="AB42" s="10">
        <f t="shared" si="2"/>
        <v>0.49531116794543906</v>
      </c>
      <c r="AC42" s="10">
        <f t="shared" si="3"/>
        <v>0.46173688736027513</v>
      </c>
      <c r="AD42" s="8">
        <f t="shared" si="4"/>
        <v>89</v>
      </c>
    </row>
    <row r="43" spans="1:30" ht="15" customHeight="1" x14ac:dyDescent="0.2">
      <c r="A43" s="7">
        <v>2018</v>
      </c>
      <c r="B43" s="7" t="s">
        <v>75</v>
      </c>
      <c r="C43" s="7" t="s">
        <v>57</v>
      </c>
      <c r="D43" s="7">
        <v>42</v>
      </c>
      <c r="E43" s="7" t="s">
        <v>32</v>
      </c>
      <c r="F43" s="7"/>
      <c r="G43" s="8"/>
      <c r="H43" s="8"/>
      <c r="I43" s="8"/>
      <c r="J43" s="7" t="s">
        <v>33</v>
      </c>
      <c r="K43" s="7" t="s">
        <v>33</v>
      </c>
      <c r="L43" s="8">
        <v>5541</v>
      </c>
      <c r="M43" s="8">
        <v>3434</v>
      </c>
      <c r="N43" s="8">
        <v>8975</v>
      </c>
      <c r="O43" s="7" t="s">
        <v>33</v>
      </c>
      <c r="P43" s="7" t="s">
        <v>33</v>
      </c>
      <c r="Q43" s="8">
        <v>5266</v>
      </c>
      <c r="R43" s="8">
        <v>3690</v>
      </c>
      <c r="S43" s="8">
        <v>8956</v>
      </c>
      <c r="T43" s="7"/>
      <c r="U43" s="7" t="s">
        <v>33</v>
      </c>
      <c r="V43" s="8">
        <v>5009</v>
      </c>
      <c r="W43" s="8">
        <v>3839</v>
      </c>
      <c r="X43" s="8">
        <v>8848</v>
      </c>
      <c r="Y43" s="9">
        <v>60.2</v>
      </c>
      <c r="Z43" s="10" t="str">
        <f t="shared" si="0"/>
        <v/>
      </c>
      <c r="AA43" s="10">
        <f t="shared" si="1"/>
        <v>0.61738161559888582</v>
      </c>
      <c r="AB43" s="10">
        <f t="shared" si="2"/>
        <v>0.5879857079053149</v>
      </c>
      <c r="AC43" s="10">
        <f t="shared" si="3"/>
        <v>0.5661166365280289</v>
      </c>
      <c r="AD43" s="8">
        <f t="shared" si="4"/>
        <v>-1170</v>
      </c>
    </row>
    <row r="44" spans="1:30" ht="15" customHeight="1" x14ac:dyDescent="0.2">
      <c r="A44" s="7">
        <v>2018</v>
      </c>
      <c r="B44" s="7" t="s">
        <v>76</v>
      </c>
      <c r="C44" s="7" t="s">
        <v>57</v>
      </c>
      <c r="D44" s="7">
        <v>43</v>
      </c>
      <c r="E44" s="7" t="s">
        <v>32</v>
      </c>
      <c r="F44" s="7"/>
      <c r="G44" s="8"/>
      <c r="H44" s="8"/>
      <c r="I44" s="8"/>
      <c r="J44" s="7" t="s">
        <v>33</v>
      </c>
      <c r="K44" s="7" t="s">
        <v>33</v>
      </c>
      <c r="L44" s="8">
        <v>5703</v>
      </c>
      <c r="M44" s="8">
        <v>4067</v>
      </c>
      <c r="N44" s="8">
        <v>9770</v>
      </c>
      <c r="O44" s="7" t="s">
        <v>33</v>
      </c>
      <c r="P44" s="7" t="s">
        <v>33</v>
      </c>
      <c r="Q44" s="8">
        <v>5395</v>
      </c>
      <c r="R44" s="8">
        <v>4373</v>
      </c>
      <c r="S44" s="8">
        <v>9768</v>
      </c>
      <c r="T44" s="7"/>
      <c r="U44" s="7" t="s">
        <v>33</v>
      </c>
      <c r="V44" s="8">
        <v>5137</v>
      </c>
      <c r="W44" s="8">
        <v>4495</v>
      </c>
      <c r="X44" s="8">
        <v>9632</v>
      </c>
      <c r="Y44" s="9">
        <v>59.8</v>
      </c>
      <c r="Z44" s="10" t="str">
        <f t="shared" si="0"/>
        <v/>
      </c>
      <c r="AA44" s="10">
        <f t="shared" si="1"/>
        <v>0.5837256908904811</v>
      </c>
      <c r="AB44" s="10">
        <f t="shared" si="2"/>
        <v>0.55231367731367731</v>
      </c>
      <c r="AC44" s="10">
        <f t="shared" si="3"/>
        <v>0.53332641196013286</v>
      </c>
      <c r="AD44" s="8">
        <f t="shared" si="4"/>
        <v>-642</v>
      </c>
    </row>
    <row r="45" spans="1:30" ht="15" customHeight="1" x14ac:dyDescent="0.2">
      <c r="A45" s="7">
        <v>2018</v>
      </c>
      <c r="B45" s="7" t="s">
        <v>77</v>
      </c>
      <c r="C45" s="7" t="s">
        <v>57</v>
      </c>
      <c r="D45" s="7">
        <v>44</v>
      </c>
      <c r="E45" s="7" t="s">
        <v>32</v>
      </c>
      <c r="F45" s="7"/>
      <c r="G45" s="8"/>
      <c r="H45" s="8"/>
      <c r="I45" s="8"/>
      <c r="J45" s="7" t="s">
        <v>33</v>
      </c>
      <c r="K45" s="7" t="s">
        <v>33</v>
      </c>
      <c r="L45" s="8">
        <v>1847</v>
      </c>
      <c r="M45" s="8">
        <v>1832</v>
      </c>
      <c r="N45" s="8">
        <v>3679</v>
      </c>
      <c r="O45" s="7" t="s">
        <v>33</v>
      </c>
      <c r="P45" s="7" t="s">
        <v>32</v>
      </c>
      <c r="Q45" s="8">
        <v>1741</v>
      </c>
      <c r="R45" s="8">
        <v>1918</v>
      </c>
      <c r="S45" s="8">
        <v>3659</v>
      </c>
      <c r="T45" s="7"/>
      <c r="U45" s="7" t="s">
        <v>32</v>
      </c>
      <c r="V45" s="8">
        <v>1663</v>
      </c>
      <c r="W45" s="8">
        <v>1974</v>
      </c>
      <c r="X45" s="8">
        <v>3637</v>
      </c>
      <c r="Y45" s="9">
        <v>61.5</v>
      </c>
      <c r="Z45" s="10" t="str">
        <f t="shared" si="0"/>
        <v/>
      </c>
      <c r="AA45" s="10">
        <f t="shared" si="1"/>
        <v>0.50203859744495782</v>
      </c>
      <c r="AB45" s="10">
        <f t="shared" si="2"/>
        <v>0.47581306367860071</v>
      </c>
      <c r="AC45" s="10">
        <f t="shared" si="3"/>
        <v>0.45724498212812759</v>
      </c>
      <c r="AD45" s="8">
        <f t="shared" si="4"/>
        <v>311</v>
      </c>
    </row>
    <row r="46" spans="1:30" ht="15" customHeight="1" x14ac:dyDescent="0.2">
      <c r="A46" s="7">
        <v>2018</v>
      </c>
      <c r="B46" s="7" t="s">
        <v>78</v>
      </c>
      <c r="C46" s="7" t="s">
        <v>57</v>
      </c>
      <c r="D46" s="7">
        <v>45</v>
      </c>
      <c r="E46" s="7" t="s">
        <v>32</v>
      </c>
      <c r="F46" s="7"/>
      <c r="G46" s="8"/>
      <c r="H46" s="8"/>
      <c r="I46" s="8"/>
      <c r="J46" s="7" t="s">
        <v>33</v>
      </c>
      <c r="K46" s="7" t="s">
        <v>33</v>
      </c>
      <c r="L46" s="8">
        <v>4092</v>
      </c>
      <c r="M46" s="8">
        <v>3438</v>
      </c>
      <c r="N46" s="8">
        <v>7530</v>
      </c>
      <c r="O46" s="7" t="s">
        <v>33</v>
      </c>
      <c r="P46" s="7" t="s">
        <v>33</v>
      </c>
      <c r="Q46" s="8">
        <v>3858</v>
      </c>
      <c r="R46" s="8">
        <v>3636</v>
      </c>
      <c r="S46" s="8">
        <v>7494</v>
      </c>
      <c r="T46" s="7"/>
      <c r="U46" s="7" t="s">
        <v>32</v>
      </c>
      <c r="V46" s="8">
        <v>3652</v>
      </c>
      <c r="W46" s="8">
        <v>3768</v>
      </c>
      <c r="X46" s="8">
        <v>7420</v>
      </c>
      <c r="Y46" s="9">
        <v>64.2</v>
      </c>
      <c r="Z46" s="10" t="str">
        <f t="shared" si="0"/>
        <v/>
      </c>
      <c r="AA46" s="10">
        <f t="shared" si="1"/>
        <v>0.54342629482071714</v>
      </c>
      <c r="AB46" s="10">
        <f t="shared" si="2"/>
        <v>0.51481184947958369</v>
      </c>
      <c r="AC46" s="10">
        <f t="shared" si="3"/>
        <v>0.49218328840970349</v>
      </c>
      <c r="AD46" s="8">
        <f t="shared" si="4"/>
        <v>116</v>
      </c>
    </row>
    <row r="47" spans="1:30" ht="15" customHeight="1" x14ac:dyDescent="0.2">
      <c r="A47" s="7">
        <v>2018</v>
      </c>
      <c r="B47" s="7" t="s">
        <v>79</v>
      </c>
      <c r="C47" s="7" t="s">
        <v>57</v>
      </c>
      <c r="D47" s="7">
        <v>46</v>
      </c>
      <c r="E47" s="7" t="s">
        <v>32</v>
      </c>
      <c r="F47" s="7"/>
      <c r="G47" s="8"/>
      <c r="H47" s="8"/>
      <c r="I47" s="8"/>
      <c r="J47" s="7" t="s">
        <v>33</v>
      </c>
      <c r="K47" s="7" t="s">
        <v>32</v>
      </c>
      <c r="L47" s="8">
        <v>1054</v>
      </c>
      <c r="M47" s="8">
        <v>1454</v>
      </c>
      <c r="N47" s="8">
        <v>2508</v>
      </c>
      <c r="O47" s="7" t="s">
        <v>33</v>
      </c>
      <c r="P47" s="7" t="s">
        <v>32</v>
      </c>
      <c r="Q47" s="8">
        <v>950</v>
      </c>
      <c r="R47" s="8">
        <v>1548</v>
      </c>
      <c r="S47" s="8">
        <v>2498</v>
      </c>
      <c r="T47" s="7"/>
      <c r="U47" s="7" t="s">
        <v>32</v>
      </c>
      <c r="V47" s="8">
        <v>875</v>
      </c>
      <c r="W47" s="8">
        <v>1592</v>
      </c>
      <c r="X47" s="8">
        <v>2467</v>
      </c>
      <c r="Y47" s="9">
        <v>60.4</v>
      </c>
      <c r="Z47" s="10" t="str">
        <f t="shared" si="0"/>
        <v/>
      </c>
      <c r="AA47" s="10">
        <f t="shared" si="1"/>
        <v>0.42025518341307816</v>
      </c>
      <c r="AB47" s="10">
        <f t="shared" si="2"/>
        <v>0.38030424339471575</v>
      </c>
      <c r="AC47" s="10">
        <f t="shared" si="3"/>
        <v>0.35468179975678965</v>
      </c>
      <c r="AD47" s="8">
        <f t="shared" si="4"/>
        <v>717</v>
      </c>
    </row>
    <row r="48" spans="1:30" ht="15" customHeight="1" x14ac:dyDescent="0.2">
      <c r="A48" s="7">
        <v>2018</v>
      </c>
      <c r="B48" s="7" t="s">
        <v>80</v>
      </c>
      <c r="C48" s="7" t="s">
        <v>57</v>
      </c>
      <c r="D48" s="7">
        <v>47</v>
      </c>
      <c r="E48" s="7" t="s">
        <v>32</v>
      </c>
      <c r="F48" s="7"/>
      <c r="G48" s="8"/>
      <c r="H48" s="8"/>
      <c r="I48" s="8"/>
      <c r="J48" s="7" t="s">
        <v>33</v>
      </c>
      <c r="K48" s="7" t="s">
        <v>32</v>
      </c>
      <c r="L48" s="8">
        <v>1011</v>
      </c>
      <c r="M48" s="8">
        <v>1367</v>
      </c>
      <c r="N48" s="8">
        <v>2378</v>
      </c>
      <c r="O48" s="7" t="s">
        <v>33</v>
      </c>
      <c r="P48" s="7" t="s">
        <v>32</v>
      </c>
      <c r="Q48" s="8">
        <v>936</v>
      </c>
      <c r="R48" s="8">
        <v>1447</v>
      </c>
      <c r="S48" s="8">
        <v>2383</v>
      </c>
      <c r="T48" s="7"/>
      <c r="U48" s="7" t="s">
        <v>32</v>
      </c>
      <c r="V48" s="8">
        <v>822</v>
      </c>
      <c r="W48" s="8">
        <v>1519</v>
      </c>
      <c r="X48" s="8">
        <v>2341</v>
      </c>
      <c r="Y48" s="9">
        <v>65.400000000000006</v>
      </c>
      <c r="Z48" s="10" t="str">
        <f t="shared" si="0"/>
        <v/>
      </c>
      <c r="AA48" s="10">
        <f t="shared" si="1"/>
        <v>0.42514718250630784</v>
      </c>
      <c r="AB48" s="10">
        <f t="shared" si="2"/>
        <v>0.39278220730172053</v>
      </c>
      <c r="AC48" s="10">
        <f t="shared" si="3"/>
        <v>0.3511319948739855</v>
      </c>
      <c r="AD48" s="8">
        <f t="shared" si="4"/>
        <v>697</v>
      </c>
    </row>
    <row r="49" spans="1:30" ht="15" customHeight="1" x14ac:dyDescent="0.2">
      <c r="A49" s="7">
        <v>2018</v>
      </c>
      <c r="B49" s="7" t="s">
        <v>81</v>
      </c>
      <c r="C49" s="7" t="s">
        <v>57</v>
      </c>
      <c r="D49" s="7">
        <v>48</v>
      </c>
      <c r="E49" s="7" t="s">
        <v>32</v>
      </c>
      <c r="F49" s="7"/>
      <c r="G49" s="8"/>
      <c r="H49" s="8"/>
      <c r="I49" s="8"/>
      <c r="J49" s="7" t="s">
        <v>33</v>
      </c>
      <c r="K49" s="7" t="s">
        <v>33</v>
      </c>
      <c r="L49" s="8">
        <v>5849</v>
      </c>
      <c r="M49" s="8">
        <v>3637</v>
      </c>
      <c r="N49" s="8">
        <v>9486</v>
      </c>
      <c r="O49" s="7" t="s">
        <v>33</v>
      </c>
      <c r="P49" s="7" t="s">
        <v>33</v>
      </c>
      <c r="Q49" s="8">
        <v>5559</v>
      </c>
      <c r="R49" s="8">
        <v>3952</v>
      </c>
      <c r="S49" s="8">
        <v>9511</v>
      </c>
      <c r="T49" s="7"/>
      <c r="U49" s="7" t="s">
        <v>33</v>
      </c>
      <c r="V49" s="8">
        <v>5195</v>
      </c>
      <c r="W49" s="8">
        <v>4070</v>
      </c>
      <c r="X49" s="8">
        <v>9265</v>
      </c>
      <c r="Y49" s="9">
        <v>48.2</v>
      </c>
      <c r="Z49" s="10" t="str">
        <f t="shared" si="0"/>
        <v/>
      </c>
      <c r="AA49" s="10">
        <f t="shared" si="1"/>
        <v>0.61659287370862326</v>
      </c>
      <c r="AB49" s="10">
        <f t="shared" si="2"/>
        <v>0.584481127115971</v>
      </c>
      <c r="AC49" s="10">
        <f t="shared" si="3"/>
        <v>0.56071235833783051</v>
      </c>
      <c r="AD49" s="8">
        <f t="shared" si="4"/>
        <v>-1125</v>
      </c>
    </row>
    <row r="50" spans="1:30" ht="15" customHeight="1" x14ac:dyDescent="0.2">
      <c r="A50" s="7">
        <v>2018</v>
      </c>
      <c r="B50" s="7" t="s">
        <v>82</v>
      </c>
      <c r="C50" s="7" t="s">
        <v>83</v>
      </c>
      <c r="D50" s="7">
        <v>49</v>
      </c>
      <c r="E50" s="7" t="s">
        <v>32</v>
      </c>
      <c r="F50" s="7"/>
      <c r="G50" s="8"/>
      <c r="H50" s="8"/>
      <c r="I50" s="8"/>
      <c r="J50" s="7" t="s">
        <v>33</v>
      </c>
      <c r="K50" s="7" t="s">
        <v>32</v>
      </c>
      <c r="L50" s="8">
        <v>391</v>
      </c>
      <c r="M50" s="8">
        <v>598</v>
      </c>
      <c r="N50" s="8">
        <v>989</v>
      </c>
      <c r="O50" s="7" t="s">
        <v>33</v>
      </c>
      <c r="P50" s="7" t="s">
        <v>32</v>
      </c>
      <c r="Q50" s="8">
        <v>365</v>
      </c>
      <c r="R50" s="8">
        <v>620</v>
      </c>
      <c r="S50" s="8">
        <v>985</v>
      </c>
      <c r="T50" s="7"/>
      <c r="U50" s="7" t="s">
        <v>32</v>
      </c>
      <c r="V50" s="8">
        <v>330</v>
      </c>
      <c r="W50" s="8">
        <v>632</v>
      </c>
      <c r="X50" s="8">
        <v>962</v>
      </c>
      <c r="Y50" s="9">
        <v>56.3</v>
      </c>
      <c r="Z50" s="10" t="str">
        <f t="shared" si="0"/>
        <v/>
      </c>
      <c r="AA50" s="10">
        <f t="shared" si="1"/>
        <v>0.39534883720930231</v>
      </c>
      <c r="AB50" s="10">
        <f t="shared" si="2"/>
        <v>0.37055837563451777</v>
      </c>
      <c r="AC50" s="10">
        <f t="shared" si="3"/>
        <v>0.34303534303534305</v>
      </c>
      <c r="AD50" s="8">
        <f t="shared" si="4"/>
        <v>302</v>
      </c>
    </row>
    <row r="51" spans="1:30" ht="15" customHeight="1" x14ac:dyDescent="0.2">
      <c r="A51" s="7">
        <v>2018</v>
      </c>
      <c r="B51" s="7" t="s">
        <v>84</v>
      </c>
      <c r="C51" s="7" t="s">
        <v>83</v>
      </c>
      <c r="D51" s="7">
        <v>50</v>
      </c>
      <c r="E51" s="7" t="s">
        <v>32</v>
      </c>
      <c r="F51" s="7"/>
      <c r="G51" s="8"/>
      <c r="H51" s="8"/>
      <c r="I51" s="8"/>
      <c r="J51" s="7" t="s">
        <v>33</v>
      </c>
      <c r="K51" s="7" t="s">
        <v>32</v>
      </c>
      <c r="L51" s="8">
        <v>1071</v>
      </c>
      <c r="M51" s="8">
        <v>1394</v>
      </c>
      <c r="N51" s="8">
        <v>2465</v>
      </c>
      <c r="O51" s="7" t="s">
        <v>33</v>
      </c>
      <c r="P51" s="7" t="s">
        <v>32</v>
      </c>
      <c r="Q51" s="8">
        <v>992</v>
      </c>
      <c r="R51" s="8">
        <v>1465</v>
      </c>
      <c r="S51" s="8">
        <v>2457</v>
      </c>
      <c r="T51" s="7"/>
      <c r="U51" s="7" t="s">
        <v>32</v>
      </c>
      <c r="V51" s="8">
        <v>1009</v>
      </c>
      <c r="W51" s="8">
        <v>1471</v>
      </c>
      <c r="X51" s="8">
        <v>2480</v>
      </c>
      <c r="Y51" s="9">
        <v>52.1</v>
      </c>
      <c r="Z51" s="10" t="str">
        <f t="shared" si="0"/>
        <v/>
      </c>
      <c r="AA51" s="10">
        <f t="shared" si="1"/>
        <v>0.43448275862068964</v>
      </c>
      <c r="AB51" s="10">
        <f t="shared" si="2"/>
        <v>0.40374440374440373</v>
      </c>
      <c r="AC51" s="10">
        <f t="shared" si="3"/>
        <v>0.40685483870967742</v>
      </c>
      <c r="AD51" s="8">
        <f t="shared" si="4"/>
        <v>462</v>
      </c>
    </row>
    <row r="52" spans="1:30" ht="15" customHeight="1" x14ac:dyDescent="0.2">
      <c r="A52" s="7">
        <v>2018</v>
      </c>
      <c r="B52" s="7" t="s">
        <v>85</v>
      </c>
      <c r="C52" s="7" t="s">
        <v>83</v>
      </c>
      <c r="D52" s="7">
        <v>51</v>
      </c>
      <c r="E52" s="7" t="s">
        <v>32</v>
      </c>
      <c r="F52" s="7"/>
      <c r="G52" s="8"/>
      <c r="H52" s="8"/>
      <c r="I52" s="8"/>
      <c r="J52" s="7" t="s">
        <v>33</v>
      </c>
      <c r="K52" s="7" t="s">
        <v>32</v>
      </c>
      <c r="L52" s="8">
        <v>872</v>
      </c>
      <c r="M52" s="8">
        <v>1047</v>
      </c>
      <c r="N52" s="8">
        <v>1919</v>
      </c>
      <c r="O52" s="7" t="s">
        <v>33</v>
      </c>
      <c r="P52" s="7" t="s">
        <v>32</v>
      </c>
      <c r="Q52" s="8">
        <v>816</v>
      </c>
      <c r="R52" s="8">
        <v>1110</v>
      </c>
      <c r="S52" s="8">
        <v>1926</v>
      </c>
      <c r="T52" s="7"/>
      <c r="U52" s="7" t="s">
        <v>32</v>
      </c>
      <c r="V52" s="8">
        <v>785</v>
      </c>
      <c r="W52" s="8">
        <v>1102</v>
      </c>
      <c r="X52" s="8">
        <v>1887</v>
      </c>
      <c r="Y52" s="9">
        <v>16.600000000000001</v>
      </c>
      <c r="Z52" s="10" t="str">
        <f t="shared" si="0"/>
        <v/>
      </c>
      <c r="AA52" s="10">
        <f t="shared" si="1"/>
        <v>0.45440333507034913</v>
      </c>
      <c r="AB52" s="10">
        <f t="shared" si="2"/>
        <v>0.42367601246105918</v>
      </c>
      <c r="AC52" s="10">
        <f t="shared" si="3"/>
        <v>0.41600423953365129</v>
      </c>
      <c r="AD52" s="8">
        <f t="shared" si="4"/>
        <v>317</v>
      </c>
    </row>
    <row r="53" spans="1:30" ht="15" customHeight="1" x14ac:dyDescent="0.2">
      <c r="A53" s="7">
        <v>2018</v>
      </c>
      <c r="B53" s="7" t="s">
        <v>86</v>
      </c>
      <c r="C53" s="7" t="s">
        <v>87</v>
      </c>
      <c r="D53" s="7">
        <v>52</v>
      </c>
      <c r="E53" s="7" t="s">
        <v>32</v>
      </c>
      <c r="F53" s="7"/>
      <c r="G53" s="8"/>
      <c r="H53" s="8"/>
      <c r="I53" s="8"/>
      <c r="J53" s="7" t="s">
        <v>33</v>
      </c>
      <c r="K53" s="7" t="s">
        <v>32</v>
      </c>
      <c r="L53" s="8">
        <v>1065</v>
      </c>
      <c r="M53" s="8">
        <v>1079</v>
      </c>
      <c r="N53" s="8">
        <v>2144</v>
      </c>
      <c r="O53" s="7" t="s">
        <v>33</v>
      </c>
      <c r="P53" s="7" t="s">
        <v>32</v>
      </c>
      <c r="Q53" s="8">
        <v>983</v>
      </c>
      <c r="R53" s="8">
        <v>1154</v>
      </c>
      <c r="S53" s="8">
        <v>2137</v>
      </c>
      <c r="T53" s="7"/>
      <c r="U53" s="7" t="s">
        <v>32</v>
      </c>
      <c r="V53" s="8">
        <v>908</v>
      </c>
      <c r="W53" s="8">
        <v>1196</v>
      </c>
      <c r="X53" s="8">
        <v>2104</v>
      </c>
      <c r="Y53" s="9">
        <v>60.8</v>
      </c>
      <c r="Z53" s="10" t="str">
        <f t="shared" si="0"/>
        <v/>
      </c>
      <c r="AA53" s="10">
        <f t="shared" si="1"/>
        <v>0.49673507462686567</v>
      </c>
      <c r="AB53" s="10">
        <f t="shared" si="2"/>
        <v>0.45999064108563409</v>
      </c>
      <c r="AC53" s="10">
        <f t="shared" si="3"/>
        <v>0.43155893536121676</v>
      </c>
      <c r="AD53" s="8">
        <f t="shared" si="4"/>
        <v>288</v>
      </c>
    </row>
    <row r="54" spans="1:30" ht="15" customHeight="1" x14ac:dyDescent="0.2">
      <c r="A54" s="7">
        <v>2018</v>
      </c>
      <c r="B54" s="7" t="s">
        <v>88</v>
      </c>
      <c r="C54" s="7" t="s">
        <v>87</v>
      </c>
      <c r="D54" s="7">
        <v>53</v>
      </c>
      <c r="E54" s="7" t="s">
        <v>32</v>
      </c>
      <c r="F54" s="7"/>
      <c r="G54" s="8"/>
      <c r="H54" s="8"/>
      <c r="I54" s="8"/>
      <c r="J54" s="7" t="s">
        <v>33</v>
      </c>
      <c r="K54" s="7" t="s">
        <v>33</v>
      </c>
      <c r="L54" s="8">
        <v>817</v>
      </c>
      <c r="M54" s="8">
        <v>694</v>
      </c>
      <c r="N54" s="8">
        <v>1511</v>
      </c>
      <c r="O54" s="7" t="s">
        <v>33</v>
      </c>
      <c r="P54" s="7" t="s">
        <v>32</v>
      </c>
      <c r="Q54" s="8">
        <v>741</v>
      </c>
      <c r="R54" s="8">
        <v>750</v>
      </c>
      <c r="S54" s="8">
        <v>1491</v>
      </c>
      <c r="T54" s="7"/>
      <c r="U54" s="7" t="s">
        <v>32</v>
      </c>
      <c r="V54" s="8">
        <v>701</v>
      </c>
      <c r="W54" s="8">
        <v>780</v>
      </c>
      <c r="X54" s="8">
        <v>1481</v>
      </c>
      <c r="Y54" s="9">
        <v>48.9</v>
      </c>
      <c r="Z54" s="10" t="str">
        <f t="shared" si="0"/>
        <v/>
      </c>
      <c r="AA54" s="10">
        <f t="shared" si="1"/>
        <v>0.54070152217074785</v>
      </c>
      <c r="AB54" s="10">
        <f t="shared" si="2"/>
        <v>0.49698189134808851</v>
      </c>
      <c r="AC54" s="10">
        <f t="shared" si="3"/>
        <v>0.47332883187035785</v>
      </c>
      <c r="AD54" s="8">
        <f t="shared" si="4"/>
        <v>79</v>
      </c>
    </row>
    <row r="55" spans="1:30" ht="15" customHeight="1" x14ac:dyDescent="0.2">
      <c r="A55" s="7">
        <v>2018</v>
      </c>
      <c r="B55" s="7" t="s">
        <v>89</v>
      </c>
      <c r="C55" s="7" t="s">
        <v>87</v>
      </c>
      <c r="D55" s="7">
        <v>54</v>
      </c>
      <c r="E55" s="7" t="s">
        <v>32</v>
      </c>
      <c r="F55" s="7"/>
      <c r="G55" s="8"/>
      <c r="H55" s="8"/>
      <c r="I55" s="8"/>
      <c r="J55" s="7" t="s">
        <v>33</v>
      </c>
      <c r="K55" s="7" t="s">
        <v>33</v>
      </c>
      <c r="L55" s="8">
        <v>432</v>
      </c>
      <c r="M55" s="8">
        <v>361</v>
      </c>
      <c r="N55" s="8">
        <v>793</v>
      </c>
      <c r="O55" s="7" t="s">
        <v>33</v>
      </c>
      <c r="P55" s="7" t="s">
        <v>33</v>
      </c>
      <c r="Q55" s="8">
        <v>410</v>
      </c>
      <c r="R55" s="8">
        <v>381</v>
      </c>
      <c r="S55" s="8">
        <v>791</v>
      </c>
      <c r="T55" s="7"/>
      <c r="U55" s="7" t="s">
        <v>32</v>
      </c>
      <c r="V55" s="8">
        <v>368</v>
      </c>
      <c r="W55" s="8">
        <v>408</v>
      </c>
      <c r="X55" s="8">
        <v>776</v>
      </c>
      <c r="Y55" s="9">
        <v>51.2</v>
      </c>
      <c r="Z55" s="10" t="str">
        <f t="shared" si="0"/>
        <v/>
      </c>
      <c r="AA55" s="10">
        <f t="shared" si="1"/>
        <v>0.54476670870113497</v>
      </c>
      <c r="AB55" s="10">
        <f t="shared" si="2"/>
        <v>0.51833122629582806</v>
      </c>
      <c r="AC55" s="10">
        <f t="shared" si="3"/>
        <v>0.47422680412371132</v>
      </c>
      <c r="AD55" s="8">
        <f t="shared" si="4"/>
        <v>40</v>
      </c>
    </row>
    <row r="56" spans="1:30" ht="15" customHeight="1" x14ac:dyDescent="0.2">
      <c r="A56" s="7">
        <v>2018</v>
      </c>
      <c r="B56" s="7" t="s">
        <v>59</v>
      </c>
      <c r="C56" s="7" t="s">
        <v>87</v>
      </c>
      <c r="D56" s="7">
        <v>55</v>
      </c>
      <c r="E56" s="7" t="s">
        <v>32</v>
      </c>
      <c r="F56" s="7"/>
      <c r="G56" s="8"/>
      <c r="H56" s="8"/>
      <c r="I56" s="8"/>
      <c r="J56" s="7" t="s">
        <v>33</v>
      </c>
      <c r="K56" s="7" t="s">
        <v>33</v>
      </c>
      <c r="L56" s="8">
        <v>12842</v>
      </c>
      <c r="M56" s="8">
        <v>4513</v>
      </c>
      <c r="N56" s="8">
        <v>17355</v>
      </c>
      <c r="O56" s="7" t="s">
        <v>33</v>
      </c>
      <c r="P56" s="7" t="s">
        <v>33</v>
      </c>
      <c r="Q56" s="8">
        <v>12348</v>
      </c>
      <c r="R56" s="8">
        <v>4827</v>
      </c>
      <c r="S56" s="8">
        <v>17175</v>
      </c>
      <c r="T56" s="7"/>
      <c r="U56" s="7" t="s">
        <v>33</v>
      </c>
      <c r="V56" s="8">
        <v>12121</v>
      </c>
      <c r="W56" s="8">
        <v>4931</v>
      </c>
      <c r="X56" s="8">
        <v>17052</v>
      </c>
      <c r="Y56" s="9">
        <v>50.4</v>
      </c>
      <c r="Z56" s="10" t="str">
        <f t="shared" si="0"/>
        <v/>
      </c>
      <c r="AA56" s="10">
        <f t="shared" si="1"/>
        <v>0.73995966580236239</v>
      </c>
      <c r="AB56" s="10">
        <f t="shared" si="2"/>
        <v>0.71895196506550219</v>
      </c>
      <c r="AC56" s="10">
        <f t="shared" si="3"/>
        <v>0.71082570959418245</v>
      </c>
      <c r="AD56" s="8">
        <f t="shared" si="4"/>
        <v>-7190</v>
      </c>
    </row>
    <row r="57" spans="1:30" ht="15" customHeight="1" x14ac:dyDescent="0.2">
      <c r="A57" s="7">
        <v>2018</v>
      </c>
      <c r="B57" s="7" t="s">
        <v>90</v>
      </c>
      <c r="C57" s="7" t="s">
        <v>87</v>
      </c>
      <c r="D57" s="7">
        <v>56</v>
      </c>
      <c r="E57" s="7" t="s">
        <v>32</v>
      </c>
      <c r="F57" s="7"/>
      <c r="G57" s="8"/>
      <c r="H57" s="8"/>
      <c r="I57" s="8"/>
      <c r="J57" s="7" t="s">
        <v>33</v>
      </c>
      <c r="K57" s="7" t="s">
        <v>33</v>
      </c>
      <c r="L57" s="8">
        <v>6152</v>
      </c>
      <c r="M57" s="8">
        <v>4242</v>
      </c>
      <c r="N57" s="8">
        <v>10394</v>
      </c>
      <c r="O57" s="7" t="s">
        <v>33</v>
      </c>
      <c r="P57" s="7" t="s">
        <v>33</v>
      </c>
      <c r="Q57" s="8">
        <v>5787</v>
      </c>
      <c r="R57" s="8">
        <v>4574</v>
      </c>
      <c r="S57" s="8">
        <v>10361</v>
      </c>
      <c r="T57" s="7"/>
      <c r="U57" s="7" t="s">
        <v>33</v>
      </c>
      <c r="V57" s="8">
        <v>5576</v>
      </c>
      <c r="W57" s="8">
        <v>4673</v>
      </c>
      <c r="X57" s="8">
        <v>10249</v>
      </c>
      <c r="Y57" s="9">
        <v>60.3</v>
      </c>
      <c r="Z57" s="10" t="str">
        <f t="shared" si="0"/>
        <v/>
      </c>
      <c r="AA57" s="10">
        <f t="shared" si="1"/>
        <v>0.59187993072926692</v>
      </c>
      <c r="AB57" s="10">
        <f t="shared" si="2"/>
        <v>0.55853682077019595</v>
      </c>
      <c r="AC57" s="10">
        <f t="shared" si="3"/>
        <v>0.54405307834910721</v>
      </c>
      <c r="AD57" s="8">
        <f t="shared" si="4"/>
        <v>-903</v>
      </c>
    </row>
    <row r="58" spans="1:30" ht="15" customHeight="1" x14ac:dyDescent="0.2">
      <c r="A58" s="7">
        <v>2018</v>
      </c>
      <c r="B58" s="7" t="s">
        <v>91</v>
      </c>
      <c r="C58" s="7" t="s">
        <v>87</v>
      </c>
      <c r="D58" s="7">
        <v>57</v>
      </c>
      <c r="E58" s="7" t="s">
        <v>32</v>
      </c>
      <c r="F58" s="7"/>
      <c r="G58" s="8"/>
      <c r="H58" s="8"/>
      <c r="I58" s="8"/>
      <c r="J58" s="7" t="s">
        <v>33</v>
      </c>
      <c r="K58" s="7" t="s">
        <v>32</v>
      </c>
      <c r="L58" s="8">
        <v>1646</v>
      </c>
      <c r="M58" s="8">
        <v>1889</v>
      </c>
      <c r="N58" s="8">
        <v>3535</v>
      </c>
      <c r="O58" s="7" t="s">
        <v>33</v>
      </c>
      <c r="P58" s="7" t="s">
        <v>32</v>
      </c>
      <c r="Q58" s="8">
        <v>1529</v>
      </c>
      <c r="R58" s="8">
        <v>2066</v>
      </c>
      <c r="S58" s="8">
        <v>3595</v>
      </c>
      <c r="T58" s="7"/>
      <c r="U58" s="7" t="s">
        <v>32</v>
      </c>
      <c r="V58" s="8">
        <v>1370</v>
      </c>
      <c r="W58" s="8">
        <v>2143</v>
      </c>
      <c r="X58" s="8">
        <v>3513</v>
      </c>
      <c r="Y58" s="9">
        <v>64.5</v>
      </c>
      <c r="Z58" s="10" t="str">
        <f t="shared" si="0"/>
        <v/>
      </c>
      <c r="AA58" s="10">
        <f t="shared" si="1"/>
        <v>0.46562942008486563</v>
      </c>
      <c r="AB58" s="10">
        <f t="shared" si="2"/>
        <v>0.42531293463143255</v>
      </c>
      <c r="AC58" s="10">
        <f t="shared" si="3"/>
        <v>0.38998007401081697</v>
      </c>
      <c r="AD58" s="8">
        <f t="shared" si="4"/>
        <v>773</v>
      </c>
    </row>
    <row r="59" spans="1:30" ht="15" customHeight="1" x14ac:dyDescent="0.2">
      <c r="A59" s="7">
        <v>2018</v>
      </c>
      <c r="B59" s="7" t="s">
        <v>92</v>
      </c>
      <c r="C59" s="7" t="s">
        <v>87</v>
      </c>
      <c r="D59" s="7">
        <v>58</v>
      </c>
      <c r="E59" s="7" t="s">
        <v>32</v>
      </c>
      <c r="F59" s="7"/>
      <c r="G59" s="8"/>
      <c r="H59" s="8"/>
      <c r="I59" s="8"/>
      <c r="J59" s="7" t="s">
        <v>33</v>
      </c>
      <c r="K59" s="7" t="s">
        <v>32</v>
      </c>
      <c r="L59" s="8">
        <v>28</v>
      </c>
      <c r="M59" s="8">
        <v>34</v>
      </c>
      <c r="N59" s="8">
        <v>62</v>
      </c>
      <c r="O59" s="7" t="s">
        <v>33</v>
      </c>
      <c r="P59" s="7" t="s">
        <v>32</v>
      </c>
      <c r="Q59" s="8">
        <v>26</v>
      </c>
      <c r="R59" s="8">
        <v>39</v>
      </c>
      <c r="S59" s="8">
        <v>65</v>
      </c>
      <c r="T59" s="7"/>
      <c r="U59" s="7" t="s">
        <v>32</v>
      </c>
      <c r="V59" s="8">
        <v>30</v>
      </c>
      <c r="W59" s="8">
        <v>36</v>
      </c>
      <c r="X59" s="8">
        <v>66</v>
      </c>
      <c r="Y59" s="9">
        <v>52.3</v>
      </c>
      <c r="Z59" s="10" t="str">
        <f t="shared" si="0"/>
        <v/>
      </c>
      <c r="AA59" s="10">
        <f t="shared" si="1"/>
        <v>0.45161290322580644</v>
      </c>
      <c r="AB59" s="10">
        <f t="shared" si="2"/>
        <v>0.4</v>
      </c>
      <c r="AC59" s="10">
        <f t="shared" si="3"/>
        <v>0.45454545454545453</v>
      </c>
      <c r="AD59" s="8">
        <f t="shared" si="4"/>
        <v>6</v>
      </c>
    </row>
    <row r="60" spans="1:30" ht="15" customHeight="1" x14ac:dyDescent="0.2">
      <c r="A60" s="7">
        <v>2018</v>
      </c>
      <c r="B60" s="7" t="s">
        <v>93</v>
      </c>
      <c r="C60" s="7" t="s">
        <v>87</v>
      </c>
      <c r="D60" s="7">
        <v>59</v>
      </c>
      <c r="E60" s="7" t="s">
        <v>32</v>
      </c>
      <c r="F60" s="7"/>
      <c r="G60" s="8"/>
      <c r="H60" s="8"/>
      <c r="I60" s="8"/>
      <c r="J60" s="7" t="s">
        <v>33</v>
      </c>
      <c r="K60" s="7" t="s">
        <v>32</v>
      </c>
      <c r="L60" s="8">
        <v>986</v>
      </c>
      <c r="M60" s="8">
        <v>1059</v>
      </c>
      <c r="N60" s="8">
        <v>2045</v>
      </c>
      <c r="O60" s="7" t="s">
        <v>33</v>
      </c>
      <c r="P60" s="7" t="s">
        <v>32</v>
      </c>
      <c r="Q60" s="8">
        <v>911</v>
      </c>
      <c r="R60" s="8">
        <v>1128</v>
      </c>
      <c r="S60" s="8">
        <v>2039</v>
      </c>
      <c r="T60" s="7"/>
      <c r="U60" s="7" t="s">
        <v>32</v>
      </c>
      <c r="V60" s="8">
        <v>840</v>
      </c>
      <c r="W60" s="8">
        <v>1151</v>
      </c>
      <c r="X60" s="8">
        <v>1991</v>
      </c>
      <c r="Y60" s="9">
        <v>61.9</v>
      </c>
      <c r="Z60" s="10" t="str">
        <f t="shared" si="0"/>
        <v/>
      </c>
      <c r="AA60" s="10">
        <f t="shared" si="1"/>
        <v>0.48215158924205381</v>
      </c>
      <c r="AB60" s="10">
        <f t="shared" si="2"/>
        <v>0.44678764100049045</v>
      </c>
      <c r="AC60" s="10">
        <f t="shared" si="3"/>
        <v>0.42189854344550476</v>
      </c>
      <c r="AD60" s="8">
        <f t="shared" si="4"/>
        <v>311</v>
      </c>
    </row>
    <row r="61" spans="1:30" ht="15" customHeight="1" x14ac:dyDescent="0.2">
      <c r="A61" s="7">
        <v>2018</v>
      </c>
      <c r="B61" s="7" t="s">
        <v>94</v>
      </c>
      <c r="C61" s="7" t="s">
        <v>87</v>
      </c>
      <c r="D61" s="7">
        <v>60</v>
      </c>
      <c r="E61" s="7" t="s">
        <v>32</v>
      </c>
      <c r="F61" s="7"/>
      <c r="G61" s="8"/>
      <c r="H61" s="8"/>
      <c r="I61" s="8"/>
      <c r="J61" s="7" t="s">
        <v>33</v>
      </c>
      <c r="K61" s="7" t="s">
        <v>32</v>
      </c>
      <c r="L61" s="8">
        <v>162</v>
      </c>
      <c r="M61" s="8">
        <v>181</v>
      </c>
      <c r="N61" s="8">
        <v>343</v>
      </c>
      <c r="O61" s="7" t="s">
        <v>33</v>
      </c>
      <c r="P61" s="7" t="s">
        <v>32</v>
      </c>
      <c r="Q61" s="8">
        <v>156</v>
      </c>
      <c r="R61" s="8">
        <v>193</v>
      </c>
      <c r="S61" s="8">
        <v>349</v>
      </c>
      <c r="T61" s="7"/>
      <c r="U61" s="7" t="s">
        <v>32</v>
      </c>
      <c r="V61" s="8">
        <v>130</v>
      </c>
      <c r="W61" s="8">
        <v>203</v>
      </c>
      <c r="X61" s="8">
        <v>333</v>
      </c>
      <c r="Y61" s="9">
        <v>47.5</v>
      </c>
      <c r="Z61" s="10" t="str">
        <f t="shared" si="0"/>
        <v/>
      </c>
      <c r="AA61" s="10">
        <f t="shared" si="1"/>
        <v>0.47230320699708456</v>
      </c>
      <c r="AB61" s="10">
        <f t="shared" si="2"/>
        <v>0.44699140401146131</v>
      </c>
      <c r="AC61" s="10">
        <f t="shared" si="3"/>
        <v>0.39039039039039036</v>
      </c>
      <c r="AD61" s="8">
        <f t="shared" si="4"/>
        <v>73</v>
      </c>
    </row>
    <row r="62" spans="1:30" ht="15" customHeight="1" x14ac:dyDescent="0.2">
      <c r="A62" s="7">
        <v>2018</v>
      </c>
      <c r="B62" s="7" t="s">
        <v>95</v>
      </c>
      <c r="C62" s="7" t="s">
        <v>87</v>
      </c>
      <c r="D62" s="7">
        <v>61</v>
      </c>
      <c r="E62" s="7" t="s">
        <v>32</v>
      </c>
      <c r="F62" s="7"/>
      <c r="G62" s="8"/>
      <c r="H62" s="8"/>
      <c r="I62" s="8"/>
      <c r="J62" s="7" t="s">
        <v>33</v>
      </c>
      <c r="K62" s="7" t="s">
        <v>33</v>
      </c>
      <c r="L62" s="8">
        <v>5250</v>
      </c>
      <c r="M62" s="8">
        <v>1462</v>
      </c>
      <c r="N62" s="8">
        <v>6712</v>
      </c>
      <c r="O62" s="7" t="s">
        <v>33</v>
      </c>
      <c r="P62" s="7" t="s">
        <v>33</v>
      </c>
      <c r="Q62" s="8">
        <v>5129</v>
      </c>
      <c r="R62" s="8">
        <v>1540</v>
      </c>
      <c r="S62" s="8">
        <v>6669</v>
      </c>
      <c r="T62" s="7"/>
      <c r="U62" s="7" t="s">
        <v>33</v>
      </c>
      <c r="V62" s="8">
        <v>5059</v>
      </c>
      <c r="W62" s="8">
        <v>1583</v>
      </c>
      <c r="X62" s="8">
        <v>6642</v>
      </c>
      <c r="Y62" s="9">
        <v>44.9</v>
      </c>
      <c r="Z62" s="10" t="str">
        <f t="shared" si="0"/>
        <v/>
      </c>
      <c r="AA62" s="10">
        <f t="shared" si="1"/>
        <v>0.78218116805721094</v>
      </c>
      <c r="AB62" s="10">
        <f t="shared" si="2"/>
        <v>0.76908082171240066</v>
      </c>
      <c r="AC62" s="10">
        <f t="shared" si="3"/>
        <v>0.7616681722372779</v>
      </c>
      <c r="AD62" s="8">
        <f t="shared" si="4"/>
        <v>-3476</v>
      </c>
    </row>
    <row r="63" spans="1:30" ht="15" customHeight="1" x14ac:dyDescent="0.2">
      <c r="A63" s="7">
        <v>2018</v>
      </c>
      <c r="B63" s="7" t="s">
        <v>96</v>
      </c>
      <c r="C63" s="7" t="s">
        <v>87</v>
      </c>
      <c r="D63" s="7">
        <v>62</v>
      </c>
      <c r="E63" s="7" t="s">
        <v>32</v>
      </c>
      <c r="F63" s="7"/>
      <c r="G63" s="8"/>
      <c r="H63" s="8"/>
      <c r="I63" s="8"/>
      <c r="J63" s="7" t="s">
        <v>33</v>
      </c>
      <c r="K63" s="7" t="s">
        <v>33</v>
      </c>
      <c r="L63" s="8">
        <v>3886</v>
      </c>
      <c r="M63" s="8">
        <v>2779</v>
      </c>
      <c r="N63" s="8">
        <v>6665</v>
      </c>
      <c r="O63" s="7" t="s">
        <v>33</v>
      </c>
      <c r="P63" s="7" t="s">
        <v>33</v>
      </c>
      <c r="Q63" s="8">
        <v>3690</v>
      </c>
      <c r="R63" s="8">
        <v>2936</v>
      </c>
      <c r="S63" s="8">
        <v>6626</v>
      </c>
      <c r="T63" s="7"/>
      <c r="U63" s="7" t="s">
        <v>33</v>
      </c>
      <c r="V63" s="8">
        <v>3565</v>
      </c>
      <c r="W63" s="8">
        <v>3017</v>
      </c>
      <c r="X63" s="8">
        <v>6582</v>
      </c>
      <c r="Y63" s="9">
        <v>63.1</v>
      </c>
      <c r="Z63" s="10" t="str">
        <f t="shared" si="0"/>
        <v/>
      </c>
      <c r="AA63" s="10">
        <f t="shared" si="1"/>
        <v>0.58304576144036013</v>
      </c>
      <c r="AB63" s="10">
        <f t="shared" si="2"/>
        <v>0.55689707214005435</v>
      </c>
      <c r="AC63" s="10">
        <f t="shared" si="3"/>
        <v>0.54162868429048916</v>
      </c>
      <c r="AD63" s="8">
        <f t="shared" si="4"/>
        <v>-548</v>
      </c>
    </row>
    <row r="64" spans="1:30" ht="15" customHeight="1" x14ac:dyDescent="0.2">
      <c r="A64" s="7">
        <v>2018</v>
      </c>
      <c r="B64" s="7" t="s">
        <v>97</v>
      </c>
      <c r="C64" s="7" t="s">
        <v>87</v>
      </c>
      <c r="D64" s="7">
        <v>63</v>
      </c>
      <c r="E64" s="7" t="s">
        <v>32</v>
      </c>
      <c r="F64" s="7"/>
      <c r="G64" s="8"/>
      <c r="H64" s="8"/>
      <c r="I64" s="8"/>
      <c r="J64" s="7" t="s">
        <v>33</v>
      </c>
      <c r="K64" s="7" t="s">
        <v>33</v>
      </c>
      <c r="L64" s="8">
        <v>528</v>
      </c>
      <c r="M64" s="8">
        <v>231</v>
      </c>
      <c r="N64" s="8">
        <v>759</v>
      </c>
      <c r="O64" s="7" t="s">
        <v>33</v>
      </c>
      <c r="P64" s="7" t="s">
        <v>33</v>
      </c>
      <c r="Q64" s="8">
        <v>515</v>
      </c>
      <c r="R64" s="8">
        <v>239</v>
      </c>
      <c r="S64" s="8">
        <v>754</v>
      </c>
      <c r="T64" s="7"/>
      <c r="U64" s="7" t="s">
        <v>33</v>
      </c>
      <c r="V64" s="8">
        <v>497</v>
      </c>
      <c r="W64" s="8">
        <v>253</v>
      </c>
      <c r="X64" s="8">
        <v>750</v>
      </c>
      <c r="Y64" s="9">
        <v>45.2</v>
      </c>
      <c r="Z64" s="10" t="str">
        <f t="shared" si="0"/>
        <v/>
      </c>
      <c r="AA64" s="10">
        <f t="shared" si="1"/>
        <v>0.69565217391304346</v>
      </c>
      <c r="AB64" s="10">
        <f t="shared" si="2"/>
        <v>0.68302387267904507</v>
      </c>
      <c r="AC64" s="10">
        <f t="shared" si="3"/>
        <v>0.66266666666666663</v>
      </c>
      <c r="AD64" s="8">
        <f t="shared" si="4"/>
        <v>-244</v>
      </c>
    </row>
    <row r="65" spans="1:30" ht="15" customHeight="1" x14ac:dyDescent="0.2">
      <c r="A65" s="7">
        <v>2018</v>
      </c>
      <c r="B65" s="7" t="s">
        <v>98</v>
      </c>
      <c r="C65" s="7" t="s">
        <v>87</v>
      </c>
      <c r="D65" s="7">
        <v>64</v>
      </c>
      <c r="E65" s="7" t="s">
        <v>32</v>
      </c>
      <c r="F65" s="7"/>
      <c r="G65" s="8"/>
      <c r="H65" s="8"/>
      <c r="I65" s="8"/>
      <c r="J65" s="7" t="s">
        <v>33</v>
      </c>
      <c r="K65" s="7" t="s">
        <v>33</v>
      </c>
      <c r="L65" s="8">
        <v>80</v>
      </c>
      <c r="M65" s="8">
        <v>35</v>
      </c>
      <c r="N65" s="8">
        <v>115</v>
      </c>
      <c r="O65" s="7" t="s">
        <v>33</v>
      </c>
      <c r="P65" s="7" t="s">
        <v>33</v>
      </c>
      <c r="Q65" s="8">
        <v>76</v>
      </c>
      <c r="R65" s="8">
        <v>38</v>
      </c>
      <c r="S65" s="8">
        <v>114</v>
      </c>
      <c r="T65" s="7"/>
      <c r="U65" s="7" t="s">
        <v>33</v>
      </c>
      <c r="V65" s="8">
        <v>72</v>
      </c>
      <c r="W65" s="8">
        <v>39</v>
      </c>
      <c r="X65" s="8">
        <v>111</v>
      </c>
      <c r="Y65" s="9">
        <v>43.1</v>
      </c>
      <c r="Z65" s="10" t="str">
        <f t="shared" si="0"/>
        <v/>
      </c>
      <c r="AA65" s="10">
        <f t="shared" si="1"/>
        <v>0.69565217391304346</v>
      </c>
      <c r="AB65" s="10">
        <f t="shared" si="2"/>
        <v>0.66666666666666663</v>
      </c>
      <c r="AC65" s="10">
        <f t="shared" si="3"/>
        <v>0.64864864864864868</v>
      </c>
      <c r="AD65" s="8">
        <f t="shared" si="4"/>
        <v>-33</v>
      </c>
    </row>
    <row r="66" spans="1:30" ht="15" customHeight="1" x14ac:dyDescent="0.2">
      <c r="A66" s="7">
        <v>2018</v>
      </c>
      <c r="B66" s="7" t="s">
        <v>65</v>
      </c>
      <c r="C66" s="7" t="s">
        <v>87</v>
      </c>
      <c r="D66" s="7">
        <v>65</v>
      </c>
      <c r="E66" s="7" t="s">
        <v>32</v>
      </c>
      <c r="F66" s="7"/>
      <c r="G66" s="8"/>
      <c r="H66" s="8"/>
      <c r="I66" s="8"/>
      <c r="J66" s="7" t="s">
        <v>33</v>
      </c>
      <c r="K66" s="7" t="s">
        <v>33</v>
      </c>
      <c r="L66" s="8">
        <v>3436</v>
      </c>
      <c r="M66" s="8">
        <v>2393</v>
      </c>
      <c r="N66" s="8">
        <v>5829</v>
      </c>
      <c r="O66" s="7" t="s">
        <v>33</v>
      </c>
      <c r="P66" s="7" t="s">
        <v>33</v>
      </c>
      <c r="Q66" s="8">
        <v>3238</v>
      </c>
      <c r="R66" s="8">
        <v>2578</v>
      </c>
      <c r="S66" s="8">
        <v>5816</v>
      </c>
      <c r="T66" s="7"/>
      <c r="U66" s="7" t="s">
        <v>33</v>
      </c>
      <c r="V66" s="8">
        <v>3075</v>
      </c>
      <c r="W66" s="8">
        <v>2610</v>
      </c>
      <c r="X66" s="8">
        <v>5685</v>
      </c>
      <c r="Y66" s="9">
        <v>66.8</v>
      </c>
      <c r="Z66" s="10" t="str">
        <f t="shared" ref="Z66:Z129" si="5">IFERROR(G66/(G66+H66),"")</f>
        <v/>
      </c>
      <c r="AA66" s="10">
        <f t="shared" ref="AA66:AA129" si="6">IFERROR(L66/(L66+M66),"")</f>
        <v>0.58946646079945098</v>
      </c>
      <c r="AB66" s="10">
        <f t="shared" ref="AB66:AB129" si="7">IFERROR(Q66/(Q66+R66),"")</f>
        <v>0.55674002751031637</v>
      </c>
      <c r="AC66" s="10">
        <f t="shared" ref="AC66:AC129" si="8">IFERROR(V66/(V66+W66),"")</f>
        <v>0.54089709762532978</v>
      </c>
      <c r="AD66" s="8">
        <f t="shared" ref="AD66:AD129" si="9">W66-V66</f>
        <v>-465</v>
      </c>
    </row>
    <row r="67" spans="1:30" ht="15" customHeight="1" x14ac:dyDescent="0.2">
      <c r="A67" s="7">
        <v>2018</v>
      </c>
      <c r="B67" s="7" t="s">
        <v>99</v>
      </c>
      <c r="C67" s="7" t="s">
        <v>87</v>
      </c>
      <c r="D67" s="7">
        <v>66</v>
      </c>
      <c r="E67" s="7" t="s">
        <v>32</v>
      </c>
      <c r="F67" s="7"/>
      <c r="G67" s="8"/>
      <c r="H67" s="8"/>
      <c r="I67" s="8"/>
      <c r="J67" s="7" t="s">
        <v>33</v>
      </c>
      <c r="K67" s="7" t="s">
        <v>33</v>
      </c>
      <c r="L67" s="8">
        <v>1342</v>
      </c>
      <c r="M67" s="8">
        <v>907</v>
      </c>
      <c r="N67" s="8">
        <v>2249</v>
      </c>
      <c r="O67" s="7" t="s">
        <v>33</v>
      </c>
      <c r="P67" s="7" t="s">
        <v>33</v>
      </c>
      <c r="Q67" s="8">
        <v>1308</v>
      </c>
      <c r="R67" s="8">
        <v>940</v>
      </c>
      <c r="S67" s="8">
        <v>2248</v>
      </c>
      <c r="T67" s="7"/>
      <c r="U67" s="7" t="s">
        <v>33</v>
      </c>
      <c r="V67" s="8">
        <v>1246</v>
      </c>
      <c r="W67" s="8">
        <v>966</v>
      </c>
      <c r="X67" s="8">
        <v>2212</v>
      </c>
      <c r="Y67" s="9">
        <v>58.2</v>
      </c>
      <c r="Z67" s="10" t="str">
        <f t="shared" si="5"/>
        <v/>
      </c>
      <c r="AA67" s="10">
        <f t="shared" si="6"/>
        <v>0.5967096487327701</v>
      </c>
      <c r="AB67" s="10">
        <f t="shared" si="7"/>
        <v>0.58185053380782914</v>
      </c>
      <c r="AC67" s="10">
        <f t="shared" si="8"/>
        <v>0.56329113924050633</v>
      </c>
      <c r="AD67" s="8">
        <f t="shared" si="9"/>
        <v>-280</v>
      </c>
    </row>
    <row r="68" spans="1:30" ht="15" customHeight="1" x14ac:dyDescent="0.2">
      <c r="A68" s="7">
        <v>2018</v>
      </c>
      <c r="B68" s="7" t="s">
        <v>57</v>
      </c>
      <c r="C68" s="7" t="s">
        <v>87</v>
      </c>
      <c r="D68" s="7">
        <v>67</v>
      </c>
      <c r="E68" s="7" t="s">
        <v>32</v>
      </c>
      <c r="F68" s="7"/>
      <c r="G68" s="8"/>
      <c r="H68" s="8"/>
      <c r="I68" s="8"/>
      <c r="J68" s="7" t="s">
        <v>33</v>
      </c>
      <c r="K68" s="7" t="s">
        <v>32</v>
      </c>
      <c r="L68" s="8">
        <v>1842</v>
      </c>
      <c r="M68" s="8">
        <v>2472</v>
      </c>
      <c r="N68" s="8">
        <v>4314</v>
      </c>
      <c r="O68" s="7" t="s">
        <v>33</v>
      </c>
      <c r="P68" s="7" t="s">
        <v>32</v>
      </c>
      <c r="Q68" s="8">
        <v>1680</v>
      </c>
      <c r="R68" s="8">
        <v>2616</v>
      </c>
      <c r="S68" s="8">
        <v>4296</v>
      </c>
      <c r="T68" s="7"/>
      <c r="U68" s="7" t="s">
        <v>32</v>
      </c>
      <c r="V68" s="8">
        <v>1543</v>
      </c>
      <c r="W68" s="8">
        <v>2708</v>
      </c>
      <c r="X68" s="8">
        <v>4251</v>
      </c>
      <c r="Y68" s="9">
        <v>58.6</v>
      </c>
      <c r="Z68" s="10" t="str">
        <f t="shared" si="5"/>
        <v/>
      </c>
      <c r="AA68" s="10">
        <f t="shared" si="6"/>
        <v>0.42698191933240615</v>
      </c>
      <c r="AB68" s="10">
        <f t="shared" si="7"/>
        <v>0.39106145251396646</v>
      </c>
      <c r="AC68" s="10">
        <f t="shared" si="8"/>
        <v>0.36297341801928956</v>
      </c>
      <c r="AD68" s="8">
        <f t="shared" si="9"/>
        <v>1165</v>
      </c>
    </row>
    <row r="69" spans="1:30" ht="15" customHeight="1" x14ac:dyDescent="0.2">
      <c r="A69" s="7">
        <v>2018</v>
      </c>
      <c r="B69" s="7" t="s">
        <v>100</v>
      </c>
      <c r="C69" s="7" t="s">
        <v>87</v>
      </c>
      <c r="D69" s="7">
        <v>68</v>
      </c>
      <c r="E69" s="7" t="s">
        <v>32</v>
      </c>
      <c r="F69" s="7"/>
      <c r="G69" s="8"/>
      <c r="H69" s="8"/>
      <c r="I69" s="8"/>
      <c r="J69" s="7" t="s">
        <v>33</v>
      </c>
      <c r="K69" s="7" t="s">
        <v>32</v>
      </c>
      <c r="L69" s="8">
        <v>516</v>
      </c>
      <c r="M69" s="8">
        <v>653</v>
      </c>
      <c r="N69" s="8">
        <v>1169</v>
      </c>
      <c r="O69" s="7" t="s">
        <v>33</v>
      </c>
      <c r="P69" s="7" t="s">
        <v>32</v>
      </c>
      <c r="Q69" s="8">
        <v>492</v>
      </c>
      <c r="R69" s="8">
        <v>666</v>
      </c>
      <c r="S69" s="8">
        <v>1158</v>
      </c>
      <c r="T69" s="7"/>
      <c r="U69" s="7" t="s">
        <v>32</v>
      </c>
      <c r="V69" s="8">
        <v>474</v>
      </c>
      <c r="W69" s="8">
        <v>678</v>
      </c>
      <c r="X69" s="8">
        <v>1152</v>
      </c>
      <c r="Y69" s="9">
        <v>55.1</v>
      </c>
      <c r="Z69" s="10" t="str">
        <f t="shared" si="5"/>
        <v/>
      </c>
      <c r="AA69" s="10">
        <f t="shared" si="6"/>
        <v>0.44140290846877672</v>
      </c>
      <c r="AB69" s="10">
        <f t="shared" si="7"/>
        <v>0.42487046632124353</v>
      </c>
      <c r="AC69" s="10">
        <f t="shared" si="8"/>
        <v>0.41145833333333331</v>
      </c>
      <c r="AD69" s="8">
        <f t="shared" si="9"/>
        <v>204</v>
      </c>
    </row>
    <row r="70" spans="1:30" ht="15" customHeight="1" x14ac:dyDescent="0.2">
      <c r="A70" s="7">
        <v>2018</v>
      </c>
      <c r="B70" s="7" t="s">
        <v>101</v>
      </c>
      <c r="C70" s="7" t="s">
        <v>87</v>
      </c>
      <c r="D70" s="7">
        <v>69</v>
      </c>
      <c r="E70" s="7" t="s">
        <v>32</v>
      </c>
      <c r="F70" s="7"/>
      <c r="G70" s="8"/>
      <c r="H70" s="8"/>
      <c r="I70" s="8"/>
      <c r="J70" s="7" t="s">
        <v>33</v>
      </c>
      <c r="K70" s="7" t="s">
        <v>33</v>
      </c>
      <c r="L70" s="8">
        <v>1526</v>
      </c>
      <c r="M70" s="8">
        <v>1514</v>
      </c>
      <c r="N70" s="8">
        <v>3040</v>
      </c>
      <c r="O70" s="7" t="s">
        <v>33</v>
      </c>
      <c r="P70" s="7" t="s">
        <v>32</v>
      </c>
      <c r="Q70" s="8">
        <v>1408</v>
      </c>
      <c r="R70" s="8">
        <v>1610</v>
      </c>
      <c r="S70" s="8">
        <v>3018</v>
      </c>
      <c r="T70" s="7"/>
      <c r="U70" s="7" t="s">
        <v>32</v>
      </c>
      <c r="V70" s="8">
        <v>1320</v>
      </c>
      <c r="W70" s="8">
        <v>1650</v>
      </c>
      <c r="X70" s="8">
        <v>2970</v>
      </c>
      <c r="Y70" s="9">
        <v>67.2</v>
      </c>
      <c r="Z70" s="10" t="str">
        <f t="shared" si="5"/>
        <v/>
      </c>
      <c r="AA70" s="10">
        <f t="shared" si="6"/>
        <v>0.50197368421052635</v>
      </c>
      <c r="AB70" s="10">
        <f t="shared" si="7"/>
        <v>0.46653412856196158</v>
      </c>
      <c r="AC70" s="10">
        <f t="shared" si="8"/>
        <v>0.44444444444444442</v>
      </c>
      <c r="AD70" s="8">
        <f t="shared" si="9"/>
        <v>330</v>
      </c>
    </row>
    <row r="71" spans="1:30" ht="15" customHeight="1" x14ac:dyDescent="0.2">
      <c r="A71" s="7">
        <v>2018</v>
      </c>
      <c r="B71" s="7" t="s">
        <v>102</v>
      </c>
      <c r="C71" s="7" t="s">
        <v>87</v>
      </c>
      <c r="D71" s="7">
        <v>70</v>
      </c>
      <c r="E71" s="7" t="s">
        <v>32</v>
      </c>
      <c r="F71" s="7"/>
      <c r="G71" s="8"/>
      <c r="H71" s="8"/>
      <c r="I71" s="8"/>
      <c r="J71" s="7" t="s">
        <v>33</v>
      </c>
      <c r="K71" s="7" t="s">
        <v>33</v>
      </c>
      <c r="L71" s="8">
        <v>2842</v>
      </c>
      <c r="M71" s="8">
        <v>2415</v>
      </c>
      <c r="N71" s="8">
        <v>5257</v>
      </c>
      <c r="O71" s="7" t="s">
        <v>33</v>
      </c>
      <c r="P71" s="7" t="s">
        <v>33</v>
      </c>
      <c r="Q71" s="8">
        <v>2668</v>
      </c>
      <c r="R71" s="8">
        <v>2555</v>
      </c>
      <c r="S71" s="8">
        <v>5223</v>
      </c>
      <c r="T71" s="7"/>
      <c r="U71" s="7" t="s">
        <v>32</v>
      </c>
      <c r="V71" s="8">
        <v>2540</v>
      </c>
      <c r="W71" s="8">
        <v>2624</v>
      </c>
      <c r="X71" s="8">
        <v>5164</v>
      </c>
      <c r="Y71" s="9">
        <v>64.900000000000006</v>
      </c>
      <c r="Z71" s="10" t="str">
        <f t="shared" si="5"/>
        <v/>
      </c>
      <c r="AA71" s="10">
        <f t="shared" si="6"/>
        <v>0.54061251664447407</v>
      </c>
      <c r="AB71" s="10">
        <f t="shared" si="7"/>
        <v>0.51081753781351713</v>
      </c>
      <c r="AC71" s="10">
        <f t="shared" si="8"/>
        <v>0.49186676994577849</v>
      </c>
      <c r="AD71" s="8">
        <f t="shared" si="9"/>
        <v>84</v>
      </c>
    </row>
    <row r="72" spans="1:30" ht="15" customHeight="1" x14ac:dyDescent="0.2">
      <c r="A72" s="7">
        <v>2018</v>
      </c>
      <c r="B72" s="7" t="s">
        <v>103</v>
      </c>
      <c r="C72" s="7" t="s">
        <v>87</v>
      </c>
      <c r="D72" s="7">
        <v>71</v>
      </c>
      <c r="E72" s="7" t="s">
        <v>32</v>
      </c>
      <c r="F72" s="7"/>
      <c r="G72" s="8"/>
      <c r="H72" s="8"/>
      <c r="I72" s="8"/>
      <c r="J72" s="7" t="s">
        <v>33</v>
      </c>
      <c r="K72" s="7" t="s">
        <v>32</v>
      </c>
      <c r="L72" s="8">
        <v>1694</v>
      </c>
      <c r="M72" s="8">
        <v>2283</v>
      </c>
      <c r="N72" s="8">
        <v>3977</v>
      </c>
      <c r="O72" s="7" t="s">
        <v>33</v>
      </c>
      <c r="P72" s="7" t="s">
        <v>32</v>
      </c>
      <c r="Q72" s="8">
        <v>1572</v>
      </c>
      <c r="R72" s="8">
        <v>2388</v>
      </c>
      <c r="S72" s="8">
        <v>3960</v>
      </c>
      <c r="T72" s="7"/>
      <c r="U72" s="7" t="s">
        <v>32</v>
      </c>
      <c r="V72" s="8">
        <v>1404</v>
      </c>
      <c r="W72" s="8">
        <v>2512</v>
      </c>
      <c r="X72" s="8">
        <v>3916</v>
      </c>
      <c r="Y72" s="9">
        <v>61.5</v>
      </c>
      <c r="Z72" s="10" t="str">
        <f t="shared" si="5"/>
        <v/>
      </c>
      <c r="AA72" s="10">
        <f t="shared" si="6"/>
        <v>0.42594920794568769</v>
      </c>
      <c r="AB72" s="10">
        <f t="shared" si="7"/>
        <v>0.39696969696969697</v>
      </c>
      <c r="AC72" s="10">
        <f t="shared" si="8"/>
        <v>0.35852911133810011</v>
      </c>
      <c r="AD72" s="8">
        <f t="shared" si="9"/>
        <v>1108</v>
      </c>
    </row>
    <row r="73" spans="1:30" ht="15" customHeight="1" x14ac:dyDescent="0.2">
      <c r="A73" s="7">
        <v>2018</v>
      </c>
      <c r="B73" s="7" t="s">
        <v>104</v>
      </c>
      <c r="C73" s="7" t="s">
        <v>87</v>
      </c>
      <c r="D73" s="7">
        <v>72</v>
      </c>
      <c r="E73" s="7" t="s">
        <v>32</v>
      </c>
      <c r="F73" s="7"/>
      <c r="G73" s="8"/>
      <c r="H73" s="8"/>
      <c r="I73" s="8"/>
      <c r="J73" s="7" t="s">
        <v>33</v>
      </c>
      <c r="K73" s="7" t="s">
        <v>33</v>
      </c>
      <c r="L73" s="8">
        <v>1275</v>
      </c>
      <c r="M73" s="8">
        <v>905</v>
      </c>
      <c r="N73" s="8">
        <v>2180</v>
      </c>
      <c r="O73" s="7" t="s">
        <v>33</v>
      </c>
      <c r="P73" s="7" t="s">
        <v>33</v>
      </c>
      <c r="Q73" s="8">
        <v>1216</v>
      </c>
      <c r="R73" s="8">
        <v>944</v>
      </c>
      <c r="S73" s="8">
        <v>2160</v>
      </c>
      <c r="T73" s="7"/>
      <c r="U73" s="7" t="s">
        <v>33</v>
      </c>
      <c r="V73" s="8">
        <v>1128</v>
      </c>
      <c r="W73" s="8">
        <v>998</v>
      </c>
      <c r="X73" s="8">
        <v>2126</v>
      </c>
      <c r="Y73" s="9">
        <v>56.5</v>
      </c>
      <c r="Z73" s="10" t="str">
        <f t="shared" si="5"/>
        <v/>
      </c>
      <c r="AA73" s="10">
        <f t="shared" si="6"/>
        <v>0.58486238532110091</v>
      </c>
      <c r="AB73" s="10">
        <f t="shared" si="7"/>
        <v>0.562962962962963</v>
      </c>
      <c r="AC73" s="10">
        <f t="shared" si="8"/>
        <v>0.53057384760112891</v>
      </c>
      <c r="AD73" s="8">
        <f t="shared" si="9"/>
        <v>-130</v>
      </c>
    </row>
    <row r="74" spans="1:30" ht="15" customHeight="1" x14ac:dyDescent="0.2">
      <c r="A74" s="7">
        <v>2018</v>
      </c>
      <c r="B74" s="7" t="s">
        <v>105</v>
      </c>
      <c r="C74" s="7" t="s">
        <v>87</v>
      </c>
      <c r="D74" s="7">
        <v>73</v>
      </c>
      <c r="E74" s="7" t="s">
        <v>32</v>
      </c>
      <c r="F74" s="7"/>
      <c r="G74" s="8"/>
      <c r="H74" s="8"/>
      <c r="I74" s="8"/>
      <c r="J74" s="7" t="s">
        <v>33</v>
      </c>
      <c r="K74" s="7" t="s">
        <v>33</v>
      </c>
      <c r="L74" s="8">
        <v>603</v>
      </c>
      <c r="M74" s="8">
        <v>468</v>
      </c>
      <c r="N74" s="8">
        <v>1071</v>
      </c>
      <c r="O74" s="7" t="s">
        <v>33</v>
      </c>
      <c r="P74" s="7" t="s">
        <v>33</v>
      </c>
      <c r="Q74" s="8">
        <v>565</v>
      </c>
      <c r="R74" s="8">
        <v>500</v>
      </c>
      <c r="S74" s="8">
        <v>1065</v>
      </c>
      <c r="T74" s="7"/>
      <c r="U74" s="7" t="s">
        <v>33</v>
      </c>
      <c r="V74" s="8">
        <v>536</v>
      </c>
      <c r="W74" s="8">
        <v>521</v>
      </c>
      <c r="X74" s="8">
        <v>1057</v>
      </c>
      <c r="Y74" s="9">
        <v>52.1</v>
      </c>
      <c r="Z74" s="10" t="str">
        <f t="shared" si="5"/>
        <v/>
      </c>
      <c r="AA74" s="10">
        <f t="shared" si="6"/>
        <v>0.56302521008403361</v>
      </c>
      <c r="AB74" s="10">
        <f t="shared" si="7"/>
        <v>0.53051643192488263</v>
      </c>
      <c r="AC74" s="10">
        <f t="shared" si="8"/>
        <v>0.50709555345316937</v>
      </c>
      <c r="AD74" s="8">
        <f t="shared" si="9"/>
        <v>-15</v>
      </c>
    </row>
    <row r="75" spans="1:30" ht="15" customHeight="1" x14ac:dyDescent="0.2">
      <c r="A75" s="7">
        <v>2018</v>
      </c>
      <c r="B75" s="7" t="s">
        <v>87</v>
      </c>
      <c r="C75" s="7" t="s">
        <v>87</v>
      </c>
      <c r="D75" s="7">
        <v>74</v>
      </c>
      <c r="E75" s="7" t="s">
        <v>32</v>
      </c>
      <c r="F75" s="7"/>
      <c r="G75" s="8"/>
      <c r="H75" s="8"/>
      <c r="I75" s="8"/>
      <c r="J75" s="7" t="s">
        <v>33</v>
      </c>
      <c r="K75" s="7" t="s">
        <v>33</v>
      </c>
      <c r="L75" s="8">
        <v>1867</v>
      </c>
      <c r="M75" s="8">
        <v>1502</v>
      </c>
      <c r="N75" s="8">
        <v>3369</v>
      </c>
      <c r="O75" s="7" t="s">
        <v>33</v>
      </c>
      <c r="P75" s="7" t="s">
        <v>33</v>
      </c>
      <c r="Q75" s="8">
        <v>1762</v>
      </c>
      <c r="R75" s="8">
        <v>1572</v>
      </c>
      <c r="S75" s="8">
        <v>3334</v>
      </c>
      <c r="T75" s="7"/>
      <c r="U75" s="7" t="s">
        <v>33</v>
      </c>
      <c r="V75" s="8">
        <v>1650</v>
      </c>
      <c r="W75" s="8">
        <v>1634</v>
      </c>
      <c r="X75" s="8">
        <v>3284</v>
      </c>
      <c r="Y75" s="9">
        <v>53.4</v>
      </c>
      <c r="Z75" s="10" t="str">
        <f t="shared" si="5"/>
        <v/>
      </c>
      <c r="AA75" s="10">
        <f t="shared" si="6"/>
        <v>0.55417037696645888</v>
      </c>
      <c r="AB75" s="10">
        <f t="shared" si="7"/>
        <v>0.52849430113977203</v>
      </c>
      <c r="AC75" s="10">
        <f t="shared" si="8"/>
        <v>0.502436053593179</v>
      </c>
      <c r="AD75" s="8">
        <f t="shared" si="9"/>
        <v>-16</v>
      </c>
    </row>
    <row r="76" spans="1:30" ht="15" customHeight="1" x14ac:dyDescent="0.2">
      <c r="A76" s="7">
        <v>2018</v>
      </c>
      <c r="B76" s="7" t="s">
        <v>106</v>
      </c>
      <c r="C76" s="7" t="s">
        <v>87</v>
      </c>
      <c r="D76" s="7">
        <v>75</v>
      </c>
      <c r="E76" s="7" t="s">
        <v>32</v>
      </c>
      <c r="F76" s="7"/>
      <c r="G76" s="8"/>
      <c r="H76" s="8"/>
      <c r="I76" s="8"/>
      <c r="J76" s="7" t="s">
        <v>33</v>
      </c>
      <c r="K76" s="7" t="s">
        <v>33</v>
      </c>
      <c r="L76" s="8">
        <v>5296</v>
      </c>
      <c r="M76" s="8">
        <v>3750</v>
      </c>
      <c r="N76" s="8">
        <v>9046</v>
      </c>
      <c r="O76" s="7" t="s">
        <v>33</v>
      </c>
      <c r="P76" s="7" t="s">
        <v>33</v>
      </c>
      <c r="Q76" s="8">
        <v>5056</v>
      </c>
      <c r="R76" s="8">
        <v>3947</v>
      </c>
      <c r="S76" s="8">
        <v>9003</v>
      </c>
      <c r="T76" s="7"/>
      <c r="U76" s="7" t="s">
        <v>33</v>
      </c>
      <c r="V76" s="8">
        <v>4804</v>
      </c>
      <c r="W76" s="8">
        <v>4095</v>
      </c>
      <c r="X76" s="8">
        <v>8899</v>
      </c>
      <c r="Y76" s="9">
        <v>57.4</v>
      </c>
      <c r="Z76" s="10" t="str">
        <f t="shared" si="5"/>
        <v/>
      </c>
      <c r="AA76" s="10">
        <f t="shared" si="6"/>
        <v>0.58545213353968606</v>
      </c>
      <c r="AB76" s="10">
        <f t="shared" si="7"/>
        <v>0.56159058091747194</v>
      </c>
      <c r="AC76" s="10">
        <f t="shared" si="8"/>
        <v>0.53983593662209239</v>
      </c>
      <c r="AD76" s="8">
        <f t="shared" si="9"/>
        <v>-709</v>
      </c>
    </row>
    <row r="77" spans="1:30" ht="15" customHeight="1" x14ac:dyDescent="0.2">
      <c r="A77" s="7">
        <v>2018</v>
      </c>
      <c r="B77" s="7" t="s">
        <v>107</v>
      </c>
      <c r="C77" s="7" t="s">
        <v>87</v>
      </c>
      <c r="D77" s="7">
        <v>76</v>
      </c>
      <c r="E77" s="7" t="s">
        <v>32</v>
      </c>
      <c r="F77" s="7"/>
      <c r="G77" s="8"/>
      <c r="H77" s="8"/>
      <c r="I77" s="8"/>
      <c r="J77" s="7" t="s">
        <v>33</v>
      </c>
      <c r="K77" s="7" t="s">
        <v>33</v>
      </c>
      <c r="L77" s="8">
        <v>605</v>
      </c>
      <c r="M77" s="8">
        <v>594</v>
      </c>
      <c r="N77" s="8">
        <v>1199</v>
      </c>
      <c r="O77" s="7" t="s">
        <v>33</v>
      </c>
      <c r="P77" s="7" t="s">
        <v>32</v>
      </c>
      <c r="Q77" s="8">
        <v>546</v>
      </c>
      <c r="R77" s="8">
        <v>654</v>
      </c>
      <c r="S77" s="8">
        <v>1200</v>
      </c>
      <c r="T77" s="7"/>
      <c r="U77" s="7" t="s">
        <v>32</v>
      </c>
      <c r="V77" s="8">
        <v>484</v>
      </c>
      <c r="W77" s="8">
        <v>685</v>
      </c>
      <c r="X77" s="8">
        <v>1169</v>
      </c>
      <c r="Y77" s="9">
        <v>50.8</v>
      </c>
      <c r="Z77" s="10" t="str">
        <f t="shared" si="5"/>
        <v/>
      </c>
      <c r="AA77" s="10">
        <f t="shared" si="6"/>
        <v>0.50458715596330272</v>
      </c>
      <c r="AB77" s="10">
        <f t="shared" si="7"/>
        <v>0.45500000000000002</v>
      </c>
      <c r="AC77" s="10">
        <f t="shared" si="8"/>
        <v>0.41402908468776733</v>
      </c>
      <c r="AD77" s="8">
        <f t="shared" si="9"/>
        <v>201</v>
      </c>
    </row>
    <row r="78" spans="1:30" ht="15" customHeight="1" x14ac:dyDescent="0.2">
      <c r="A78" s="7">
        <v>2018</v>
      </c>
      <c r="B78" s="7" t="s">
        <v>108</v>
      </c>
      <c r="C78" s="7" t="s">
        <v>87</v>
      </c>
      <c r="D78" s="7">
        <v>77</v>
      </c>
      <c r="E78" s="7" t="s">
        <v>32</v>
      </c>
      <c r="F78" s="7"/>
      <c r="G78" s="8"/>
      <c r="H78" s="8"/>
      <c r="I78" s="8"/>
      <c r="J78" s="7" t="s">
        <v>33</v>
      </c>
      <c r="K78" s="7" t="s">
        <v>32</v>
      </c>
      <c r="L78" s="8">
        <v>1176</v>
      </c>
      <c r="M78" s="8">
        <v>1444</v>
      </c>
      <c r="N78" s="8">
        <v>2620</v>
      </c>
      <c r="O78" s="7" t="s">
        <v>33</v>
      </c>
      <c r="P78" s="7" t="s">
        <v>32</v>
      </c>
      <c r="Q78" s="8">
        <v>1085</v>
      </c>
      <c r="R78" s="8">
        <v>1519</v>
      </c>
      <c r="S78" s="8">
        <v>2604</v>
      </c>
      <c r="T78" s="7"/>
      <c r="U78" s="7" t="s">
        <v>32</v>
      </c>
      <c r="V78" s="8">
        <v>1016</v>
      </c>
      <c r="W78" s="8">
        <v>1531</v>
      </c>
      <c r="X78" s="8">
        <v>2547</v>
      </c>
      <c r="Y78" s="9">
        <v>56.1</v>
      </c>
      <c r="Z78" s="10" t="str">
        <f t="shared" si="5"/>
        <v/>
      </c>
      <c r="AA78" s="10">
        <f t="shared" si="6"/>
        <v>0.44885496183206108</v>
      </c>
      <c r="AB78" s="10">
        <f t="shared" si="7"/>
        <v>0.41666666666666669</v>
      </c>
      <c r="AC78" s="10">
        <f t="shared" si="8"/>
        <v>0.39890066745190422</v>
      </c>
      <c r="AD78" s="8">
        <f t="shared" si="9"/>
        <v>515</v>
      </c>
    </row>
    <row r="79" spans="1:30" ht="15" customHeight="1" x14ac:dyDescent="0.2">
      <c r="A79" s="7">
        <v>2018</v>
      </c>
      <c r="B79" s="7" t="s">
        <v>109</v>
      </c>
      <c r="C79" s="7" t="s">
        <v>87</v>
      </c>
      <c r="D79" s="7">
        <v>78</v>
      </c>
      <c r="E79" s="7" t="s">
        <v>32</v>
      </c>
      <c r="F79" s="7"/>
      <c r="G79" s="8"/>
      <c r="H79" s="8"/>
      <c r="I79" s="8"/>
      <c r="J79" s="7" t="s">
        <v>33</v>
      </c>
      <c r="K79" s="7" t="s">
        <v>32</v>
      </c>
      <c r="L79" s="8">
        <v>70</v>
      </c>
      <c r="M79" s="8">
        <v>102</v>
      </c>
      <c r="N79" s="8">
        <v>172</v>
      </c>
      <c r="O79" s="7" t="s">
        <v>33</v>
      </c>
      <c r="P79" s="7" t="s">
        <v>32</v>
      </c>
      <c r="Q79" s="8">
        <v>63</v>
      </c>
      <c r="R79" s="8">
        <v>106</v>
      </c>
      <c r="S79" s="8">
        <v>169</v>
      </c>
      <c r="T79" s="7"/>
      <c r="U79" s="7" t="s">
        <v>32</v>
      </c>
      <c r="V79" s="8">
        <v>62</v>
      </c>
      <c r="W79" s="8">
        <v>104</v>
      </c>
      <c r="X79" s="8">
        <v>166</v>
      </c>
      <c r="Y79" s="9">
        <v>47.1</v>
      </c>
      <c r="Z79" s="10" t="str">
        <f t="shared" si="5"/>
        <v/>
      </c>
      <c r="AA79" s="10">
        <f t="shared" si="6"/>
        <v>0.40697674418604651</v>
      </c>
      <c r="AB79" s="10">
        <f t="shared" si="7"/>
        <v>0.37278106508875741</v>
      </c>
      <c r="AC79" s="10">
        <f t="shared" si="8"/>
        <v>0.37349397590361444</v>
      </c>
      <c r="AD79" s="8">
        <f t="shared" si="9"/>
        <v>42</v>
      </c>
    </row>
    <row r="80" spans="1:30" ht="15" customHeight="1" x14ac:dyDescent="0.2">
      <c r="A80" s="7">
        <v>2018</v>
      </c>
      <c r="B80" s="7" t="s">
        <v>110</v>
      </c>
      <c r="C80" s="7" t="s">
        <v>87</v>
      </c>
      <c r="D80" s="7">
        <v>79</v>
      </c>
      <c r="E80" s="7" t="s">
        <v>32</v>
      </c>
      <c r="F80" s="7"/>
      <c r="G80" s="8"/>
      <c r="H80" s="8"/>
      <c r="I80" s="8"/>
      <c r="J80" s="7" t="s">
        <v>33</v>
      </c>
      <c r="K80" s="7" t="s">
        <v>32</v>
      </c>
      <c r="L80" s="8">
        <v>284</v>
      </c>
      <c r="M80" s="8">
        <v>299</v>
      </c>
      <c r="N80" s="8">
        <v>583</v>
      </c>
      <c r="O80" s="7" t="s">
        <v>33</v>
      </c>
      <c r="P80" s="7" t="s">
        <v>32</v>
      </c>
      <c r="Q80" s="8">
        <v>256</v>
      </c>
      <c r="R80" s="8">
        <v>316</v>
      </c>
      <c r="S80" s="8">
        <v>572</v>
      </c>
      <c r="T80" s="7"/>
      <c r="U80" s="7" t="s">
        <v>32</v>
      </c>
      <c r="V80" s="8">
        <v>243</v>
      </c>
      <c r="W80" s="8">
        <v>335</v>
      </c>
      <c r="X80" s="8">
        <v>578</v>
      </c>
      <c r="Y80" s="9">
        <v>52.4</v>
      </c>
      <c r="Z80" s="10" t="str">
        <f t="shared" si="5"/>
        <v/>
      </c>
      <c r="AA80" s="10">
        <f t="shared" si="6"/>
        <v>0.48713550600343053</v>
      </c>
      <c r="AB80" s="10">
        <f t="shared" si="7"/>
        <v>0.44755244755244755</v>
      </c>
      <c r="AC80" s="10">
        <f t="shared" si="8"/>
        <v>0.42041522491349481</v>
      </c>
      <c r="AD80" s="8">
        <f t="shared" si="9"/>
        <v>92</v>
      </c>
    </row>
    <row r="81" spans="1:30" ht="15" customHeight="1" x14ac:dyDescent="0.2">
      <c r="A81" s="7">
        <v>2018</v>
      </c>
      <c r="B81" s="7" t="s">
        <v>111</v>
      </c>
      <c r="C81" s="7" t="s">
        <v>87</v>
      </c>
      <c r="D81" s="7">
        <v>80</v>
      </c>
      <c r="E81" s="7" t="s">
        <v>32</v>
      </c>
      <c r="F81" s="7"/>
      <c r="G81" s="8"/>
      <c r="H81" s="8"/>
      <c r="I81" s="8"/>
      <c r="J81" s="7" t="s">
        <v>33</v>
      </c>
      <c r="K81" s="7" t="s">
        <v>33</v>
      </c>
      <c r="L81" s="8">
        <v>171</v>
      </c>
      <c r="M81" s="8">
        <v>149</v>
      </c>
      <c r="N81" s="8">
        <v>320</v>
      </c>
      <c r="O81" s="7" t="s">
        <v>33</v>
      </c>
      <c r="P81" s="7" t="s">
        <v>32</v>
      </c>
      <c r="Q81" s="8">
        <v>155</v>
      </c>
      <c r="R81" s="8">
        <v>169</v>
      </c>
      <c r="S81" s="8">
        <v>324</v>
      </c>
      <c r="T81" s="7"/>
      <c r="U81" s="7" t="s">
        <v>32</v>
      </c>
      <c r="V81" s="8">
        <v>142</v>
      </c>
      <c r="W81" s="8">
        <v>172</v>
      </c>
      <c r="X81" s="8">
        <v>314</v>
      </c>
      <c r="Y81" s="9">
        <v>53.9</v>
      </c>
      <c r="Z81" s="10" t="str">
        <f t="shared" si="5"/>
        <v/>
      </c>
      <c r="AA81" s="10">
        <f t="shared" si="6"/>
        <v>0.53437500000000004</v>
      </c>
      <c r="AB81" s="10">
        <f t="shared" si="7"/>
        <v>0.47839506172839508</v>
      </c>
      <c r="AC81" s="10">
        <f t="shared" si="8"/>
        <v>0.45222929936305734</v>
      </c>
      <c r="AD81" s="8">
        <f t="shared" si="9"/>
        <v>30</v>
      </c>
    </row>
    <row r="82" spans="1:30" ht="15" customHeight="1" x14ac:dyDescent="0.2">
      <c r="A82" s="7">
        <v>2018</v>
      </c>
      <c r="B82" s="7" t="s">
        <v>112</v>
      </c>
      <c r="C82" s="7" t="s">
        <v>87</v>
      </c>
      <c r="D82" s="7">
        <v>81</v>
      </c>
      <c r="E82" s="7" t="s">
        <v>32</v>
      </c>
      <c r="F82" s="7"/>
      <c r="G82" s="8"/>
      <c r="H82" s="8"/>
      <c r="I82" s="8"/>
      <c r="J82" s="7" t="s">
        <v>33</v>
      </c>
      <c r="K82" s="7" t="s">
        <v>33</v>
      </c>
      <c r="L82" s="8">
        <v>233</v>
      </c>
      <c r="M82" s="8">
        <v>221</v>
      </c>
      <c r="N82" s="8">
        <v>454</v>
      </c>
      <c r="O82" s="7" t="s">
        <v>33</v>
      </c>
      <c r="P82" s="7" t="s">
        <v>32</v>
      </c>
      <c r="Q82" s="8">
        <v>220</v>
      </c>
      <c r="R82" s="8">
        <v>234</v>
      </c>
      <c r="S82" s="8">
        <v>454</v>
      </c>
      <c r="T82" s="7"/>
      <c r="U82" s="7" t="s">
        <v>32</v>
      </c>
      <c r="V82" s="8">
        <v>192</v>
      </c>
      <c r="W82" s="8">
        <v>253</v>
      </c>
      <c r="X82" s="8">
        <v>445</v>
      </c>
      <c r="Y82" s="9">
        <v>59.8</v>
      </c>
      <c r="Z82" s="10" t="str">
        <f t="shared" si="5"/>
        <v/>
      </c>
      <c r="AA82" s="10">
        <f t="shared" si="6"/>
        <v>0.513215859030837</v>
      </c>
      <c r="AB82" s="10">
        <f t="shared" si="7"/>
        <v>0.48458149779735682</v>
      </c>
      <c r="AC82" s="10">
        <f t="shared" si="8"/>
        <v>0.43146067415730338</v>
      </c>
      <c r="AD82" s="8">
        <f t="shared" si="9"/>
        <v>61</v>
      </c>
    </row>
    <row r="83" spans="1:30" ht="15" customHeight="1" x14ac:dyDescent="0.2">
      <c r="A83" s="7">
        <v>2018</v>
      </c>
      <c r="B83" s="7" t="s">
        <v>113</v>
      </c>
      <c r="C83" s="7" t="s">
        <v>87</v>
      </c>
      <c r="D83" s="7">
        <v>82</v>
      </c>
      <c r="E83" s="7" t="s">
        <v>32</v>
      </c>
      <c r="F83" s="7"/>
      <c r="G83" s="8"/>
      <c r="H83" s="8"/>
      <c r="I83" s="8"/>
      <c r="J83" s="7" t="s">
        <v>33</v>
      </c>
      <c r="K83" s="7" t="s">
        <v>32</v>
      </c>
      <c r="L83" s="8">
        <v>1077</v>
      </c>
      <c r="M83" s="8">
        <v>1628</v>
      </c>
      <c r="N83" s="8">
        <v>2705</v>
      </c>
      <c r="O83" s="7" t="s">
        <v>33</v>
      </c>
      <c r="P83" s="7" t="s">
        <v>32</v>
      </c>
      <c r="Q83" s="8">
        <v>986</v>
      </c>
      <c r="R83" s="8">
        <v>1698</v>
      </c>
      <c r="S83" s="8">
        <v>2684</v>
      </c>
      <c r="T83" s="7"/>
      <c r="U83" s="7" t="s">
        <v>32</v>
      </c>
      <c r="V83" s="8">
        <v>967</v>
      </c>
      <c r="W83" s="8">
        <v>1709</v>
      </c>
      <c r="X83" s="8">
        <v>2676</v>
      </c>
      <c r="Y83" s="9">
        <v>53.9</v>
      </c>
      <c r="Z83" s="10" t="str">
        <f t="shared" si="5"/>
        <v/>
      </c>
      <c r="AA83" s="10">
        <f t="shared" si="6"/>
        <v>0.39815157116451017</v>
      </c>
      <c r="AB83" s="10">
        <f t="shared" si="7"/>
        <v>0.36736214605067063</v>
      </c>
      <c r="AC83" s="10">
        <f t="shared" si="8"/>
        <v>0.36136023916292975</v>
      </c>
      <c r="AD83" s="8">
        <f t="shared" si="9"/>
        <v>742</v>
      </c>
    </row>
    <row r="84" spans="1:30" ht="15" customHeight="1" x14ac:dyDescent="0.2">
      <c r="A84" s="7">
        <v>2018</v>
      </c>
      <c r="B84" s="7" t="s">
        <v>114</v>
      </c>
      <c r="C84" s="7" t="s">
        <v>87</v>
      </c>
      <c r="D84" s="7">
        <v>83</v>
      </c>
      <c r="E84" s="7" t="s">
        <v>32</v>
      </c>
      <c r="F84" s="7"/>
      <c r="G84" s="8"/>
      <c r="H84" s="8"/>
      <c r="I84" s="8"/>
      <c r="J84" s="7" t="s">
        <v>33</v>
      </c>
      <c r="K84" s="7" t="s">
        <v>33</v>
      </c>
      <c r="L84" s="8">
        <v>1455</v>
      </c>
      <c r="M84" s="8">
        <v>1132</v>
      </c>
      <c r="N84" s="8">
        <v>2587</v>
      </c>
      <c r="O84" s="7" t="s">
        <v>33</v>
      </c>
      <c r="P84" s="7" t="s">
        <v>33</v>
      </c>
      <c r="Q84" s="8">
        <v>1370</v>
      </c>
      <c r="R84" s="8">
        <v>1203</v>
      </c>
      <c r="S84" s="8">
        <v>2573</v>
      </c>
      <c r="T84" s="7"/>
      <c r="U84" s="7" t="s">
        <v>32</v>
      </c>
      <c r="V84" s="8">
        <v>1261</v>
      </c>
      <c r="W84" s="8">
        <v>1262</v>
      </c>
      <c r="X84" s="8">
        <v>2523</v>
      </c>
      <c r="Y84" s="9">
        <v>62.8</v>
      </c>
      <c r="Z84" s="10" t="str">
        <f t="shared" si="5"/>
        <v/>
      </c>
      <c r="AA84" s="10">
        <f t="shared" si="6"/>
        <v>0.56242752222651715</v>
      </c>
      <c r="AB84" s="10">
        <f t="shared" si="7"/>
        <v>0.53245239020598523</v>
      </c>
      <c r="AC84" s="10">
        <f t="shared" si="8"/>
        <v>0.49980182322631789</v>
      </c>
      <c r="AD84" s="8">
        <f t="shared" si="9"/>
        <v>1</v>
      </c>
    </row>
    <row r="85" spans="1:30" ht="15" customHeight="1" x14ac:dyDescent="0.2">
      <c r="A85" s="7">
        <v>2018</v>
      </c>
      <c r="B85" s="7" t="s">
        <v>115</v>
      </c>
      <c r="C85" s="7" t="s">
        <v>87</v>
      </c>
      <c r="D85" s="7">
        <v>84</v>
      </c>
      <c r="E85" s="7" t="s">
        <v>32</v>
      </c>
      <c r="F85" s="7"/>
      <c r="G85" s="8"/>
      <c r="H85" s="8"/>
      <c r="I85" s="8"/>
      <c r="J85" s="7" t="s">
        <v>33</v>
      </c>
      <c r="K85" s="7" t="s">
        <v>116</v>
      </c>
      <c r="L85" s="8">
        <v>300</v>
      </c>
      <c r="M85" s="8">
        <v>300</v>
      </c>
      <c r="N85" s="8">
        <v>600</v>
      </c>
      <c r="O85" s="7" t="s">
        <v>33</v>
      </c>
      <c r="P85" s="7" t="s">
        <v>32</v>
      </c>
      <c r="Q85" s="8">
        <v>270</v>
      </c>
      <c r="R85" s="8">
        <v>323</v>
      </c>
      <c r="S85" s="8">
        <v>593</v>
      </c>
      <c r="T85" s="7"/>
      <c r="U85" s="7" t="s">
        <v>32</v>
      </c>
      <c r="V85" s="8">
        <v>250</v>
      </c>
      <c r="W85" s="8">
        <v>344</v>
      </c>
      <c r="X85" s="8">
        <v>594</v>
      </c>
      <c r="Y85" s="9">
        <v>48.1</v>
      </c>
      <c r="Z85" s="10" t="str">
        <f t="shared" si="5"/>
        <v/>
      </c>
      <c r="AA85" s="10">
        <f t="shared" si="6"/>
        <v>0.5</v>
      </c>
      <c r="AB85" s="10">
        <f t="shared" si="7"/>
        <v>0.45531197301854975</v>
      </c>
      <c r="AC85" s="10">
        <f t="shared" si="8"/>
        <v>0.4208754208754209</v>
      </c>
      <c r="AD85" s="8">
        <f t="shared" si="9"/>
        <v>94</v>
      </c>
    </row>
    <row r="86" spans="1:30" ht="15" customHeight="1" x14ac:dyDescent="0.2">
      <c r="A86" s="7">
        <v>2018</v>
      </c>
      <c r="B86" s="7" t="s">
        <v>79</v>
      </c>
      <c r="C86" s="7" t="s">
        <v>87</v>
      </c>
      <c r="D86" s="7">
        <v>85</v>
      </c>
      <c r="E86" s="7" t="s">
        <v>32</v>
      </c>
      <c r="F86" s="7"/>
      <c r="G86" s="8"/>
      <c r="H86" s="8"/>
      <c r="I86" s="8"/>
      <c r="J86" s="7" t="s">
        <v>33</v>
      </c>
      <c r="K86" s="7" t="s">
        <v>32</v>
      </c>
      <c r="L86" s="8">
        <v>842</v>
      </c>
      <c r="M86" s="8">
        <v>1070</v>
      </c>
      <c r="N86" s="8">
        <v>1912</v>
      </c>
      <c r="O86" s="7" t="s">
        <v>33</v>
      </c>
      <c r="P86" s="7" t="s">
        <v>32</v>
      </c>
      <c r="Q86" s="8">
        <v>780</v>
      </c>
      <c r="R86" s="8">
        <v>1119</v>
      </c>
      <c r="S86" s="8">
        <v>1899</v>
      </c>
      <c r="T86" s="7"/>
      <c r="U86" s="7" t="s">
        <v>32</v>
      </c>
      <c r="V86" s="8">
        <v>724</v>
      </c>
      <c r="W86" s="8">
        <v>1138</v>
      </c>
      <c r="X86" s="8">
        <v>1862</v>
      </c>
      <c r="Y86" s="9">
        <v>57.9</v>
      </c>
      <c r="Z86" s="10" t="str">
        <f t="shared" si="5"/>
        <v/>
      </c>
      <c r="AA86" s="10">
        <f t="shared" si="6"/>
        <v>0.44037656903765693</v>
      </c>
      <c r="AB86" s="10">
        <f t="shared" si="7"/>
        <v>0.41074249605055291</v>
      </c>
      <c r="AC86" s="10">
        <f t="shared" si="8"/>
        <v>0.38882921589688507</v>
      </c>
      <c r="AD86" s="8">
        <f t="shared" si="9"/>
        <v>414</v>
      </c>
    </row>
    <row r="87" spans="1:30" ht="15" customHeight="1" x14ac:dyDescent="0.2">
      <c r="A87" s="7">
        <v>2018</v>
      </c>
      <c r="B87" s="7" t="s">
        <v>117</v>
      </c>
      <c r="C87" s="7" t="s">
        <v>87</v>
      </c>
      <c r="D87" s="7">
        <v>86</v>
      </c>
      <c r="E87" s="7" t="s">
        <v>32</v>
      </c>
      <c r="F87" s="7"/>
      <c r="G87" s="8"/>
      <c r="H87" s="8"/>
      <c r="I87" s="8"/>
      <c r="J87" s="7" t="s">
        <v>33</v>
      </c>
      <c r="K87" s="7" t="s">
        <v>33</v>
      </c>
      <c r="L87" s="8">
        <v>217</v>
      </c>
      <c r="M87" s="8">
        <v>152</v>
      </c>
      <c r="N87" s="8">
        <v>369</v>
      </c>
      <c r="O87" s="7" t="s">
        <v>33</v>
      </c>
      <c r="P87" s="7" t="s">
        <v>33</v>
      </c>
      <c r="Q87" s="8">
        <v>204</v>
      </c>
      <c r="R87" s="8">
        <v>157</v>
      </c>
      <c r="S87" s="8">
        <v>361</v>
      </c>
      <c r="T87" s="7"/>
      <c r="U87" s="7" t="s">
        <v>33</v>
      </c>
      <c r="V87" s="8">
        <v>190</v>
      </c>
      <c r="W87" s="8">
        <v>165</v>
      </c>
      <c r="X87" s="8">
        <v>355</v>
      </c>
      <c r="Y87" s="9">
        <v>44.7</v>
      </c>
      <c r="Z87" s="10" t="str">
        <f t="shared" si="5"/>
        <v/>
      </c>
      <c r="AA87" s="10">
        <f t="shared" si="6"/>
        <v>0.58807588075880757</v>
      </c>
      <c r="AB87" s="10">
        <f t="shared" si="7"/>
        <v>0.5650969529085873</v>
      </c>
      <c r="AC87" s="10">
        <f t="shared" si="8"/>
        <v>0.53521126760563376</v>
      </c>
      <c r="AD87" s="8">
        <f t="shared" si="9"/>
        <v>-25</v>
      </c>
    </row>
    <row r="88" spans="1:30" ht="15" customHeight="1" x14ac:dyDescent="0.2">
      <c r="A88" s="7">
        <v>2018</v>
      </c>
      <c r="B88" s="7" t="s">
        <v>118</v>
      </c>
      <c r="C88" s="7" t="s">
        <v>87</v>
      </c>
      <c r="D88" s="7">
        <v>87</v>
      </c>
      <c r="E88" s="7" t="s">
        <v>32</v>
      </c>
      <c r="F88" s="7"/>
      <c r="G88" s="8"/>
      <c r="H88" s="8"/>
      <c r="I88" s="8"/>
      <c r="J88" s="7" t="s">
        <v>33</v>
      </c>
      <c r="K88" s="7" t="s">
        <v>32</v>
      </c>
      <c r="L88" s="8">
        <v>1432</v>
      </c>
      <c r="M88" s="8">
        <v>1463</v>
      </c>
      <c r="N88" s="8">
        <v>2895</v>
      </c>
      <c r="O88" s="7" t="s">
        <v>33</v>
      </c>
      <c r="P88" s="7" t="s">
        <v>32</v>
      </c>
      <c r="Q88" s="8">
        <v>1365</v>
      </c>
      <c r="R88" s="8">
        <v>1508</v>
      </c>
      <c r="S88" s="8">
        <v>2873</v>
      </c>
      <c r="T88" s="7"/>
      <c r="U88" s="7" t="s">
        <v>32</v>
      </c>
      <c r="V88" s="8">
        <v>1296</v>
      </c>
      <c r="W88" s="8">
        <v>1534</v>
      </c>
      <c r="X88" s="8">
        <v>2830</v>
      </c>
      <c r="Y88" s="9">
        <v>62.2</v>
      </c>
      <c r="Z88" s="10" t="str">
        <f t="shared" si="5"/>
        <v/>
      </c>
      <c r="AA88" s="10">
        <f t="shared" si="6"/>
        <v>0.4946459412780656</v>
      </c>
      <c r="AB88" s="10">
        <f t="shared" si="7"/>
        <v>0.47511312217194568</v>
      </c>
      <c r="AC88" s="10">
        <f t="shared" si="8"/>
        <v>0.4579505300353357</v>
      </c>
      <c r="AD88" s="8">
        <f t="shared" si="9"/>
        <v>238</v>
      </c>
    </row>
    <row r="89" spans="1:30" ht="15" customHeight="1" x14ac:dyDescent="0.2">
      <c r="A89" s="7">
        <v>2018</v>
      </c>
      <c r="B89" s="7" t="s">
        <v>119</v>
      </c>
      <c r="C89" s="7" t="s">
        <v>87</v>
      </c>
      <c r="D89" s="7">
        <v>88</v>
      </c>
      <c r="E89" s="7" t="s">
        <v>32</v>
      </c>
      <c r="F89" s="7"/>
      <c r="G89" s="8"/>
      <c r="H89" s="8"/>
      <c r="I89" s="8"/>
      <c r="J89" s="7" t="s">
        <v>33</v>
      </c>
      <c r="K89" s="7" t="s">
        <v>33</v>
      </c>
      <c r="L89" s="8">
        <v>1350</v>
      </c>
      <c r="M89" s="8">
        <v>751</v>
      </c>
      <c r="N89" s="8">
        <v>2101</v>
      </c>
      <c r="O89" s="7" t="s">
        <v>33</v>
      </c>
      <c r="P89" s="7" t="s">
        <v>33</v>
      </c>
      <c r="Q89" s="8">
        <v>1318</v>
      </c>
      <c r="R89" s="8">
        <v>772</v>
      </c>
      <c r="S89" s="8">
        <v>2090</v>
      </c>
      <c r="T89" s="7"/>
      <c r="U89" s="7" t="s">
        <v>33</v>
      </c>
      <c r="V89" s="8">
        <v>1247</v>
      </c>
      <c r="W89" s="8">
        <v>810</v>
      </c>
      <c r="X89" s="8">
        <v>2057</v>
      </c>
      <c r="Y89" s="9">
        <v>47.5</v>
      </c>
      <c r="Z89" s="10" t="str">
        <f t="shared" si="5"/>
        <v/>
      </c>
      <c r="AA89" s="10">
        <f t="shared" si="6"/>
        <v>0.64255116611137553</v>
      </c>
      <c r="AB89" s="10">
        <f t="shared" si="7"/>
        <v>0.63062200956937797</v>
      </c>
      <c r="AC89" s="10">
        <f t="shared" si="8"/>
        <v>0.60622265435099665</v>
      </c>
      <c r="AD89" s="8">
        <f t="shared" si="9"/>
        <v>-437</v>
      </c>
    </row>
    <row r="90" spans="1:30" ht="15" customHeight="1" x14ac:dyDescent="0.2">
      <c r="A90" s="7">
        <v>2018</v>
      </c>
      <c r="B90" s="7" t="s">
        <v>120</v>
      </c>
      <c r="C90" s="7" t="s">
        <v>87</v>
      </c>
      <c r="D90" s="7">
        <v>89</v>
      </c>
      <c r="E90" s="7" t="s">
        <v>32</v>
      </c>
      <c r="F90" s="7"/>
      <c r="G90" s="8"/>
      <c r="H90" s="8"/>
      <c r="I90" s="8"/>
      <c r="J90" s="7" t="s">
        <v>33</v>
      </c>
      <c r="K90" s="7" t="s">
        <v>33</v>
      </c>
      <c r="L90" s="8">
        <v>424</v>
      </c>
      <c r="M90" s="8">
        <v>401</v>
      </c>
      <c r="N90" s="8">
        <v>825</v>
      </c>
      <c r="O90" s="7" t="s">
        <v>33</v>
      </c>
      <c r="P90" s="7" t="s">
        <v>32</v>
      </c>
      <c r="Q90" s="8">
        <v>391</v>
      </c>
      <c r="R90" s="8">
        <v>426</v>
      </c>
      <c r="S90" s="8">
        <v>817</v>
      </c>
      <c r="T90" s="7"/>
      <c r="U90" s="7" t="s">
        <v>32</v>
      </c>
      <c r="V90" s="8">
        <v>362</v>
      </c>
      <c r="W90" s="8">
        <v>437</v>
      </c>
      <c r="X90" s="8">
        <v>799</v>
      </c>
      <c r="Y90" s="9">
        <v>50.9</v>
      </c>
      <c r="Z90" s="10" t="str">
        <f t="shared" si="5"/>
        <v/>
      </c>
      <c r="AA90" s="10">
        <f t="shared" si="6"/>
        <v>0.51393939393939392</v>
      </c>
      <c r="AB90" s="10">
        <f t="shared" si="7"/>
        <v>0.47858017135862913</v>
      </c>
      <c r="AC90" s="10">
        <f t="shared" si="8"/>
        <v>0.45306633291614518</v>
      </c>
      <c r="AD90" s="8">
        <f t="shared" si="9"/>
        <v>75</v>
      </c>
    </row>
    <row r="91" spans="1:30" ht="15" customHeight="1" x14ac:dyDescent="0.2">
      <c r="A91" s="7">
        <v>2020</v>
      </c>
      <c r="B91" s="7" t="s">
        <v>30</v>
      </c>
      <c r="C91" s="7" t="s">
        <v>31</v>
      </c>
      <c r="D91" s="7">
        <v>1</v>
      </c>
      <c r="E91" s="7" t="s">
        <v>32</v>
      </c>
      <c r="F91" s="7" t="s">
        <v>32</v>
      </c>
      <c r="G91" s="8">
        <v>148</v>
      </c>
      <c r="H91" s="8">
        <v>364</v>
      </c>
      <c r="I91" s="8">
        <v>512</v>
      </c>
      <c r="J91" s="7" t="s">
        <v>33</v>
      </c>
      <c r="K91" s="7"/>
      <c r="L91" s="8"/>
      <c r="M91" s="8"/>
      <c r="N91" s="8"/>
      <c r="O91" s="7" t="s">
        <v>121</v>
      </c>
      <c r="P91" s="7"/>
      <c r="Q91" s="8"/>
      <c r="R91" s="8"/>
      <c r="S91" s="8"/>
      <c r="T91" s="7" t="s">
        <v>33</v>
      </c>
      <c r="U91" s="7" t="s">
        <v>32</v>
      </c>
      <c r="V91" s="8">
        <v>171</v>
      </c>
      <c r="W91" s="8">
        <v>332</v>
      </c>
      <c r="X91" s="8">
        <v>503</v>
      </c>
      <c r="Y91" s="9">
        <v>67.3</v>
      </c>
      <c r="Z91" s="10">
        <f t="shared" si="5"/>
        <v>0.2890625</v>
      </c>
      <c r="AA91" s="10" t="str">
        <f t="shared" si="6"/>
        <v/>
      </c>
      <c r="AB91" s="10" t="str">
        <f t="shared" si="7"/>
        <v/>
      </c>
      <c r="AC91" s="10">
        <f t="shared" si="8"/>
        <v>0.33996023856858848</v>
      </c>
      <c r="AD91" s="8">
        <f t="shared" si="9"/>
        <v>161</v>
      </c>
    </row>
    <row r="92" spans="1:30" ht="15" customHeight="1" x14ac:dyDescent="0.2">
      <c r="A92" s="7">
        <v>2020</v>
      </c>
      <c r="B92" s="7" t="s">
        <v>34</v>
      </c>
      <c r="C92" s="7" t="s">
        <v>31</v>
      </c>
      <c r="D92" s="7">
        <v>2</v>
      </c>
      <c r="E92" s="7" t="s">
        <v>32</v>
      </c>
      <c r="F92" s="7" t="s">
        <v>32</v>
      </c>
      <c r="G92" s="8">
        <v>98</v>
      </c>
      <c r="H92" s="8">
        <v>307</v>
      </c>
      <c r="I92" s="8">
        <v>405</v>
      </c>
      <c r="J92" s="7" t="s">
        <v>33</v>
      </c>
      <c r="K92" s="7"/>
      <c r="L92" s="8"/>
      <c r="M92" s="8"/>
      <c r="N92" s="8"/>
      <c r="O92" s="7" t="s">
        <v>121</v>
      </c>
      <c r="P92" s="7"/>
      <c r="Q92" s="8"/>
      <c r="R92" s="8"/>
      <c r="S92" s="8"/>
      <c r="T92" s="7" t="s">
        <v>33</v>
      </c>
      <c r="U92" s="7" t="s">
        <v>32</v>
      </c>
      <c r="V92" s="8">
        <v>100</v>
      </c>
      <c r="W92" s="8">
        <v>303</v>
      </c>
      <c r="X92" s="8">
        <v>403</v>
      </c>
      <c r="Y92" s="9">
        <v>65.400000000000006</v>
      </c>
      <c r="Z92" s="10">
        <f t="shared" si="5"/>
        <v>0.24197530864197531</v>
      </c>
      <c r="AA92" s="10" t="str">
        <f t="shared" si="6"/>
        <v/>
      </c>
      <c r="AB92" s="10" t="str">
        <f t="shared" si="7"/>
        <v/>
      </c>
      <c r="AC92" s="10">
        <f t="shared" si="8"/>
        <v>0.24813895781637718</v>
      </c>
      <c r="AD92" s="8">
        <f t="shared" si="9"/>
        <v>203</v>
      </c>
    </row>
    <row r="93" spans="1:30" ht="15" customHeight="1" x14ac:dyDescent="0.2">
      <c r="A93" s="7">
        <v>2020</v>
      </c>
      <c r="B93" s="7" t="s">
        <v>35</v>
      </c>
      <c r="C93" s="7" t="s">
        <v>31</v>
      </c>
      <c r="D93" s="7">
        <v>3</v>
      </c>
      <c r="E93" s="7" t="s">
        <v>32</v>
      </c>
      <c r="F93" s="7" t="s">
        <v>32</v>
      </c>
      <c r="G93" s="8">
        <v>120</v>
      </c>
      <c r="H93" s="8">
        <v>304</v>
      </c>
      <c r="I93" s="8">
        <v>424</v>
      </c>
      <c r="J93" s="7" t="s">
        <v>33</v>
      </c>
      <c r="K93" s="7"/>
      <c r="L93" s="8"/>
      <c r="M93" s="8"/>
      <c r="N93" s="8"/>
      <c r="O93" s="7" t="s">
        <v>121</v>
      </c>
      <c r="P93" s="7"/>
      <c r="Q93" s="8"/>
      <c r="R93" s="8"/>
      <c r="S93" s="8"/>
      <c r="T93" s="7" t="s">
        <v>33</v>
      </c>
      <c r="U93" s="7" t="s">
        <v>32</v>
      </c>
      <c r="V93" s="8">
        <v>111</v>
      </c>
      <c r="W93" s="8">
        <v>317</v>
      </c>
      <c r="X93" s="8">
        <v>428</v>
      </c>
      <c r="Y93" s="9">
        <v>71.599999999999994</v>
      </c>
      <c r="Z93" s="10">
        <f t="shared" si="5"/>
        <v>0.28301886792452829</v>
      </c>
      <c r="AA93" s="10" t="str">
        <f t="shared" si="6"/>
        <v/>
      </c>
      <c r="AB93" s="10" t="str">
        <f t="shared" si="7"/>
        <v/>
      </c>
      <c r="AC93" s="10">
        <f t="shared" si="8"/>
        <v>0.25934579439252337</v>
      </c>
      <c r="AD93" s="8">
        <f t="shared" si="9"/>
        <v>206</v>
      </c>
    </row>
    <row r="94" spans="1:30" ht="15" customHeight="1" x14ac:dyDescent="0.2">
      <c r="A94" s="7">
        <v>2020</v>
      </c>
      <c r="B94" s="7" t="s">
        <v>36</v>
      </c>
      <c r="C94" s="7" t="s">
        <v>31</v>
      </c>
      <c r="D94" s="7">
        <v>4</v>
      </c>
      <c r="E94" s="7" t="s">
        <v>32</v>
      </c>
      <c r="F94" s="7" t="s">
        <v>32</v>
      </c>
      <c r="G94" s="8">
        <v>422</v>
      </c>
      <c r="H94" s="8">
        <v>1155</v>
      </c>
      <c r="I94" s="8">
        <v>1577</v>
      </c>
      <c r="J94" s="7" t="s">
        <v>33</v>
      </c>
      <c r="K94" s="7"/>
      <c r="L94" s="8"/>
      <c r="M94" s="8"/>
      <c r="N94" s="8"/>
      <c r="O94" s="7" t="s">
        <v>121</v>
      </c>
      <c r="P94" s="7"/>
      <c r="Q94" s="8"/>
      <c r="R94" s="8"/>
      <c r="S94" s="8"/>
      <c r="T94" s="7" t="s">
        <v>33</v>
      </c>
      <c r="U94" s="7" t="s">
        <v>32</v>
      </c>
      <c r="V94" s="8">
        <v>390</v>
      </c>
      <c r="W94" s="8">
        <v>1180</v>
      </c>
      <c r="X94" s="8">
        <v>1570</v>
      </c>
      <c r="Y94" s="9">
        <v>74.8</v>
      </c>
      <c r="Z94" s="10">
        <f t="shared" si="5"/>
        <v>0.26759670259987317</v>
      </c>
      <c r="AA94" s="10" t="str">
        <f t="shared" si="6"/>
        <v/>
      </c>
      <c r="AB94" s="10" t="str">
        <f t="shared" si="7"/>
        <v/>
      </c>
      <c r="AC94" s="10">
        <f t="shared" si="8"/>
        <v>0.24840764331210191</v>
      </c>
      <c r="AD94" s="8">
        <f t="shared" si="9"/>
        <v>790</v>
      </c>
    </row>
    <row r="95" spans="1:30" ht="15" customHeight="1" x14ac:dyDescent="0.2">
      <c r="A95" s="7">
        <v>2020</v>
      </c>
      <c r="B95" s="7" t="s">
        <v>37</v>
      </c>
      <c r="C95" s="7" t="s">
        <v>31</v>
      </c>
      <c r="D95" s="7">
        <v>5</v>
      </c>
      <c r="E95" s="7" t="s">
        <v>32</v>
      </c>
      <c r="F95" s="7" t="s">
        <v>32</v>
      </c>
      <c r="G95" s="8">
        <v>51</v>
      </c>
      <c r="H95" s="8">
        <v>72</v>
      </c>
      <c r="I95" s="8">
        <v>123</v>
      </c>
      <c r="J95" s="7" t="s">
        <v>33</v>
      </c>
      <c r="K95" s="7"/>
      <c r="L95" s="8"/>
      <c r="M95" s="8"/>
      <c r="N95" s="8"/>
      <c r="O95" s="7" t="s">
        <v>121</v>
      </c>
      <c r="P95" s="7"/>
      <c r="Q95" s="8"/>
      <c r="R95" s="8"/>
      <c r="S95" s="8"/>
      <c r="T95" s="7" t="s">
        <v>33</v>
      </c>
      <c r="U95" s="7" t="s">
        <v>32</v>
      </c>
      <c r="V95" s="8">
        <v>47</v>
      </c>
      <c r="W95" s="8">
        <v>74</v>
      </c>
      <c r="X95" s="8">
        <v>121</v>
      </c>
      <c r="Y95" s="9">
        <v>65.8</v>
      </c>
      <c r="Z95" s="10">
        <f t="shared" si="5"/>
        <v>0.41463414634146339</v>
      </c>
      <c r="AA95" s="10" t="str">
        <f t="shared" si="6"/>
        <v/>
      </c>
      <c r="AB95" s="10" t="str">
        <f t="shared" si="7"/>
        <v/>
      </c>
      <c r="AC95" s="10">
        <f t="shared" si="8"/>
        <v>0.38842975206611569</v>
      </c>
      <c r="AD95" s="8">
        <f t="shared" si="9"/>
        <v>27</v>
      </c>
    </row>
    <row r="96" spans="1:30" ht="15" customHeight="1" x14ac:dyDescent="0.2">
      <c r="A96" s="7">
        <v>2020</v>
      </c>
      <c r="B96" s="7" t="s">
        <v>38</v>
      </c>
      <c r="C96" s="7" t="s">
        <v>31</v>
      </c>
      <c r="D96" s="7">
        <v>6</v>
      </c>
      <c r="E96" s="7" t="s">
        <v>32</v>
      </c>
      <c r="F96" s="7" t="s">
        <v>32</v>
      </c>
      <c r="G96" s="8">
        <v>673</v>
      </c>
      <c r="H96" s="8">
        <v>1811</v>
      </c>
      <c r="I96" s="8">
        <v>2484</v>
      </c>
      <c r="J96" s="7" t="s">
        <v>33</v>
      </c>
      <c r="K96" s="7"/>
      <c r="L96" s="8"/>
      <c r="M96" s="8"/>
      <c r="N96" s="8"/>
      <c r="O96" s="7" t="s">
        <v>121</v>
      </c>
      <c r="P96" s="7"/>
      <c r="Q96" s="8"/>
      <c r="R96" s="8"/>
      <c r="S96" s="8"/>
      <c r="T96" s="7" t="s">
        <v>33</v>
      </c>
      <c r="U96" s="7" t="s">
        <v>32</v>
      </c>
      <c r="V96" s="8">
        <v>631</v>
      </c>
      <c r="W96" s="8">
        <v>1828</v>
      </c>
      <c r="X96" s="8">
        <v>2459</v>
      </c>
      <c r="Y96" s="9">
        <v>75.7</v>
      </c>
      <c r="Z96" s="10">
        <f t="shared" si="5"/>
        <v>0.27093397745571657</v>
      </c>
      <c r="AA96" s="10" t="str">
        <f t="shared" si="6"/>
        <v/>
      </c>
      <c r="AB96" s="10" t="str">
        <f t="shared" si="7"/>
        <v/>
      </c>
      <c r="AC96" s="10">
        <f t="shared" si="8"/>
        <v>0.25660837738918257</v>
      </c>
      <c r="AD96" s="8">
        <f t="shared" si="9"/>
        <v>1197</v>
      </c>
    </row>
    <row r="97" spans="1:30" ht="15" customHeight="1" x14ac:dyDescent="0.2">
      <c r="A97" s="7">
        <v>2020</v>
      </c>
      <c r="B97" s="7" t="s">
        <v>39</v>
      </c>
      <c r="C97" s="7" t="s">
        <v>31</v>
      </c>
      <c r="D97" s="7">
        <v>7</v>
      </c>
      <c r="E97" s="7" t="s">
        <v>32</v>
      </c>
      <c r="F97" s="7" t="s">
        <v>32</v>
      </c>
      <c r="G97" s="8">
        <v>1116</v>
      </c>
      <c r="H97" s="8">
        <v>1508</v>
      </c>
      <c r="I97" s="8">
        <v>2624</v>
      </c>
      <c r="J97" s="7" t="s">
        <v>33</v>
      </c>
      <c r="K97" s="7"/>
      <c r="L97" s="8"/>
      <c r="M97" s="8"/>
      <c r="N97" s="8"/>
      <c r="O97" s="7" t="s">
        <v>121</v>
      </c>
      <c r="P97" s="7"/>
      <c r="Q97" s="8"/>
      <c r="R97" s="8"/>
      <c r="S97" s="8"/>
      <c r="T97" s="7" t="s">
        <v>33</v>
      </c>
      <c r="U97" s="7" t="s">
        <v>32</v>
      </c>
      <c r="V97" s="8">
        <v>1060</v>
      </c>
      <c r="W97" s="8">
        <v>1517</v>
      </c>
      <c r="X97" s="8">
        <v>2577</v>
      </c>
      <c r="Y97" s="9">
        <v>72.099999999999994</v>
      </c>
      <c r="Z97" s="10">
        <f t="shared" si="5"/>
        <v>0.42530487804878048</v>
      </c>
      <c r="AA97" s="10" t="str">
        <f t="shared" si="6"/>
        <v/>
      </c>
      <c r="AB97" s="10" t="str">
        <f t="shared" si="7"/>
        <v/>
      </c>
      <c r="AC97" s="10">
        <f t="shared" si="8"/>
        <v>0.41133100504462555</v>
      </c>
      <c r="AD97" s="8">
        <f t="shared" si="9"/>
        <v>457</v>
      </c>
    </row>
    <row r="98" spans="1:30" ht="15" customHeight="1" x14ac:dyDescent="0.2">
      <c r="A98" s="7">
        <v>2020</v>
      </c>
      <c r="B98" s="7" t="s">
        <v>40</v>
      </c>
      <c r="C98" s="7" t="s">
        <v>31</v>
      </c>
      <c r="D98" s="7">
        <v>8</v>
      </c>
      <c r="E98" s="7" t="s">
        <v>32</v>
      </c>
      <c r="F98" s="7" t="s">
        <v>32</v>
      </c>
      <c r="G98" s="8">
        <v>360</v>
      </c>
      <c r="H98" s="8">
        <v>740</v>
      </c>
      <c r="I98" s="8">
        <v>1100</v>
      </c>
      <c r="J98" s="7" t="s">
        <v>33</v>
      </c>
      <c r="K98" s="7"/>
      <c r="L98" s="8"/>
      <c r="M98" s="8"/>
      <c r="N98" s="8"/>
      <c r="O98" s="7" t="s">
        <v>121</v>
      </c>
      <c r="P98" s="7"/>
      <c r="Q98" s="8"/>
      <c r="R98" s="8"/>
      <c r="S98" s="8"/>
      <c r="T98" s="7" t="s">
        <v>33</v>
      </c>
      <c r="U98" s="7" t="s">
        <v>32</v>
      </c>
      <c r="V98" s="8">
        <v>335</v>
      </c>
      <c r="W98" s="8">
        <v>766</v>
      </c>
      <c r="X98" s="8">
        <v>1101</v>
      </c>
      <c r="Y98" s="9">
        <v>68.3</v>
      </c>
      <c r="Z98" s="10">
        <f t="shared" si="5"/>
        <v>0.32727272727272727</v>
      </c>
      <c r="AA98" s="10" t="str">
        <f t="shared" si="6"/>
        <v/>
      </c>
      <c r="AB98" s="10" t="str">
        <f t="shared" si="7"/>
        <v/>
      </c>
      <c r="AC98" s="10">
        <f t="shared" si="8"/>
        <v>0.30426884650317892</v>
      </c>
      <c r="AD98" s="8">
        <f t="shared" si="9"/>
        <v>431</v>
      </c>
    </row>
    <row r="99" spans="1:30" ht="15" customHeight="1" x14ac:dyDescent="0.2">
      <c r="A99" s="7">
        <v>2020</v>
      </c>
      <c r="B99" s="7" t="s">
        <v>41</v>
      </c>
      <c r="C99" s="7" t="s">
        <v>31</v>
      </c>
      <c r="D99" s="7">
        <v>9</v>
      </c>
      <c r="E99" s="7" t="s">
        <v>32</v>
      </c>
      <c r="F99" s="7" t="s">
        <v>32</v>
      </c>
      <c r="G99" s="8">
        <v>603</v>
      </c>
      <c r="H99" s="8">
        <v>856</v>
      </c>
      <c r="I99" s="8">
        <v>1459</v>
      </c>
      <c r="J99" s="7" t="s">
        <v>33</v>
      </c>
      <c r="K99" s="7"/>
      <c r="L99" s="8"/>
      <c r="M99" s="8"/>
      <c r="N99" s="8"/>
      <c r="O99" s="7" t="s">
        <v>121</v>
      </c>
      <c r="P99" s="7"/>
      <c r="Q99" s="8"/>
      <c r="R99" s="8"/>
      <c r="S99" s="8"/>
      <c r="T99" s="7" t="s">
        <v>33</v>
      </c>
      <c r="U99" s="7" t="s">
        <v>32</v>
      </c>
      <c r="V99" s="8">
        <v>614</v>
      </c>
      <c r="W99" s="8">
        <v>846</v>
      </c>
      <c r="X99" s="8">
        <v>1460</v>
      </c>
      <c r="Y99" s="9">
        <v>59.8</v>
      </c>
      <c r="Z99" s="10">
        <f t="shared" si="5"/>
        <v>0.41329677861549008</v>
      </c>
      <c r="AA99" s="10" t="str">
        <f t="shared" si="6"/>
        <v/>
      </c>
      <c r="AB99" s="10" t="str">
        <f t="shared" si="7"/>
        <v/>
      </c>
      <c r="AC99" s="10">
        <f t="shared" si="8"/>
        <v>0.42054794520547945</v>
      </c>
      <c r="AD99" s="8">
        <f t="shared" si="9"/>
        <v>232</v>
      </c>
    </row>
    <row r="100" spans="1:30" ht="15" customHeight="1" x14ac:dyDescent="0.2">
      <c r="A100" s="7">
        <v>2020</v>
      </c>
      <c r="B100" s="7" t="s">
        <v>42</v>
      </c>
      <c r="C100" s="7" t="s">
        <v>31</v>
      </c>
      <c r="D100" s="7">
        <v>10</v>
      </c>
      <c r="E100" s="7" t="s">
        <v>32</v>
      </c>
      <c r="F100" s="7" t="s">
        <v>32</v>
      </c>
      <c r="G100" s="8">
        <v>43</v>
      </c>
      <c r="H100" s="8">
        <v>97</v>
      </c>
      <c r="I100" s="8">
        <v>140</v>
      </c>
      <c r="J100" s="7" t="s">
        <v>33</v>
      </c>
      <c r="K100" s="7"/>
      <c r="L100" s="8"/>
      <c r="M100" s="8"/>
      <c r="N100" s="8"/>
      <c r="O100" s="7" t="s">
        <v>121</v>
      </c>
      <c r="P100" s="7"/>
      <c r="Q100" s="8"/>
      <c r="R100" s="8"/>
      <c r="S100" s="8"/>
      <c r="T100" s="7" t="s">
        <v>33</v>
      </c>
      <c r="U100" s="7" t="s">
        <v>32</v>
      </c>
      <c r="V100" s="8">
        <v>42</v>
      </c>
      <c r="W100" s="8">
        <v>99</v>
      </c>
      <c r="X100" s="8">
        <v>141</v>
      </c>
      <c r="Y100" s="9">
        <v>76.599999999999994</v>
      </c>
      <c r="Z100" s="10">
        <f t="shared" si="5"/>
        <v>0.30714285714285716</v>
      </c>
      <c r="AA100" s="10" t="str">
        <f t="shared" si="6"/>
        <v/>
      </c>
      <c r="AB100" s="10" t="str">
        <f t="shared" si="7"/>
        <v/>
      </c>
      <c r="AC100" s="10">
        <f t="shared" si="8"/>
        <v>0.2978723404255319</v>
      </c>
      <c r="AD100" s="8">
        <f t="shared" si="9"/>
        <v>57</v>
      </c>
    </row>
    <row r="101" spans="1:30" ht="15" customHeight="1" x14ac:dyDescent="0.2">
      <c r="A101" s="7">
        <v>2020</v>
      </c>
      <c r="B101" s="7" t="s">
        <v>43</v>
      </c>
      <c r="C101" s="7" t="s">
        <v>31</v>
      </c>
      <c r="D101" s="7">
        <v>11</v>
      </c>
      <c r="E101" s="7" t="s">
        <v>32</v>
      </c>
      <c r="F101" s="7" t="s">
        <v>32</v>
      </c>
      <c r="G101" s="8">
        <v>61</v>
      </c>
      <c r="H101" s="8">
        <v>217</v>
      </c>
      <c r="I101" s="8">
        <v>278</v>
      </c>
      <c r="J101" s="7" t="s">
        <v>33</v>
      </c>
      <c r="K101" s="7"/>
      <c r="L101" s="8"/>
      <c r="M101" s="8"/>
      <c r="N101" s="8"/>
      <c r="O101" s="7" t="s">
        <v>121</v>
      </c>
      <c r="P101" s="7"/>
      <c r="Q101" s="8"/>
      <c r="R101" s="8"/>
      <c r="S101" s="8"/>
      <c r="T101" s="7" t="s">
        <v>33</v>
      </c>
      <c r="U101" s="7" t="s">
        <v>32</v>
      </c>
      <c r="V101" s="8">
        <v>51</v>
      </c>
      <c r="W101" s="8">
        <v>223</v>
      </c>
      <c r="X101" s="8">
        <v>274</v>
      </c>
      <c r="Y101" s="9">
        <v>75.3</v>
      </c>
      <c r="Z101" s="10">
        <f t="shared" si="5"/>
        <v>0.21942446043165467</v>
      </c>
      <c r="AA101" s="10" t="str">
        <f t="shared" si="6"/>
        <v/>
      </c>
      <c r="AB101" s="10" t="str">
        <f t="shared" si="7"/>
        <v/>
      </c>
      <c r="AC101" s="10">
        <f t="shared" si="8"/>
        <v>0.18613138686131386</v>
      </c>
      <c r="AD101" s="8">
        <f t="shared" si="9"/>
        <v>172</v>
      </c>
    </row>
    <row r="102" spans="1:30" ht="15" customHeight="1" x14ac:dyDescent="0.2">
      <c r="A102" s="7">
        <v>2020</v>
      </c>
      <c r="B102" s="7" t="s">
        <v>44</v>
      </c>
      <c r="C102" s="7" t="s">
        <v>31</v>
      </c>
      <c r="D102" s="7">
        <v>12</v>
      </c>
      <c r="E102" s="7" t="s">
        <v>32</v>
      </c>
      <c r="F102" s="7" t="s">
        <v>32</v>
      </c>
      <c r="G102" s="8">
        <v>898</v>
      </c>
      <c r="H102" s="8">
        <v>1376</v>
      </c>
      <c r="I102" s="8">
        <v>2274</v>
      </c>
      <c r="J102" s="7" t="s">
        <v>33</v>
      </c>
      <c r="K102" s="7"/>
      <c r="L102" s="8"/>
      <c r="M102" s="8"/>
      <c r="N102" s="8"/>
      <c r="O102" s="7" t="s">
        <v>121</v>
      </c>
      <c r="P102" s="7"/>
      <c r="Q102" s="8"/>
      <c r="R102" s="8"/>
      <c r="S102" s="8"/>
      <c r="T102" s="7" t="s">
        <v>33</v>
      </c>
      <c r="U102" s="7" t="s">
        <v>32</v>
      </c>
      <c r="V102" s="8">
        <v>841</v>
      </c>
      <c r="W102" s="8">
        <v>1410</v>
      </c>
      <c r="X102" s="8">
        <v>2251</v>
      </c>
      <c r="Y102" s="9">
        <v>67.3</v>
      </c>
      <c r="Z102" s="10">
        <f t="shared" si="5"/>
        <v>0.39489885664028146</v>
      </c>
      <c r="AA102" s="10" t="str">
        <f t="shared" si="6"/>
        <v/>
      </c>
      <c r="AB102" s="10" t="str">
        <f t="shared" si="7"/>
        <v/>
      </c>
      <c r="AC102" s="10">
        <f t="shared" si="8"/>
        <v>0.37361172812083521</v>
      </c>
      <c r="AD102" s="8">
        <f t="shared" si="9"/>
        <v>569</v>
      </c>
    </row>
    <row r="103" spans="1:30" ht="15" customHeight="1" x14ac:dyDescent="0.2">
      <c r="A103" s="7">
        <v>2020</v>
      </c>
      <c r="B103" s="7" t="s">
        <v>45</v>
      </c>
      <c r="C103" s="7" t="s">
        <v>31</v>
      </c>
      <c r="D103" s="7">
        <v>13</v>
      </c>
      <c r="E103" s="7" t="s">
        <v>32</v>
      </c>
      <c r="F103" s="7" t="s">
        <v>32</v>
      </c>
      <c r="G103" s="8">
        <v>510</v>
      </c>
      <c r="H103" s="8">
        <v>1152</v>
      </c>
      <c r="I103" s="8">
        <v>1662</v>
      </c>
      <c r="J103" s="7" t="s">
        <v>33</v>
      </c>
      <c r="K103" s="7"/>
      <c r="L103" s="8"/>
      <c r="M103" s="8"/>
      <c r="N103" s="8"/>
      <c r="O103" s="7" t="s">
        <v>121</v>
      </c>
      <c r="P103" s="7"/>
      <c r="Q103" s="8"/>
      <c r="R103" s="8"/>
      <c r="S103" s="8"/>
      <c r="T103" s="7" t="s">
        <v>33</v>
      </c>
      <c r="U103" s="7" t="s">
        <v>32</v>
      </c>
      <c r="V103" s="8">
        <v>489</v>
      </c>
      <c r="W103" s="8">
        <v>1164</v>
      </c>
      <c r="X103" s="8">
        <v>1653</v>
      </c>
      <c r="Y103" s="9">
        <v>74.099999999999994</v>
      </c>
      <c r="Z103" s="10">
        <f t="shared" si="5"/>
        <v>0.30685920577617326</v>
      </c>
      <c r="AA103" s="10" t="str">
        <f t="shared" si="6"/>
        <v/>
      </c>
      <c r="AB103" s="10" t="str">
        <f t="shared" si="7"/>
        <v/>
      </c>
      <c r="AC103" s="10">
        <f t="shared" si="8"/>
        <v>0.29582577132486387</v>
      </c>
      <c r="AD103" s="8">
        <f t="shared" si="9"/>
        <v>675</v>
      </c>
    </row>
    <row r="104" spans="1:30" ht="15" customHeight="1" x14ac:dyDescent="0.2">
      <c r="A104" s="7">
        <v>2020</v>
      </c>
      <c r="B104" s="7" t="s">
        <v>46</v>
      </c>
      <c r="C104" s="7" t="s">
        <v>31</v>
      </c>
      <c r="D104" s="7">
        <v>14</v>
      </c>
      <c r="E104" s="7" t="s">
        <v>32</v>
      </c>
      <c r="F104" s="7" t="s">
        <v>32</v>
      </c>
      <c r="G104" s="8">
        <v>604</v>
      </c>
      <c r="H104" s="8">
        <v>1530</v>
      </c>
      <c r="I104" s="8">
        <v>2134</v>
      </c>
      <c r="J104" s="7" t="s">
        <v>33</v>
      </c>
      <c r="K104" s="7"/>
      <c r="L104" s="8"/>
      <c r="M104" s="8"/>
      <c r="N104" s="8"/>
      <c r="O104" s="7" t="s">
        <v>121</v>
      </c>
      <c r="P104" s="7"/>
      <c r="Q104" s="8"/>
      <c r="R104" s="8"/>
      <c r="S104" s="8"/>
      <c r="T104" s="7" t="s">
        <v>33</v>
      </c>
      <c r="U104" s="7" t="s">
        <v>32</v>
      </c>
      <c r="V104" s="8">
        <v>563</v>
      </c>
      <c r="W104" s="8">
        <v>1559</v>
      </c>
      <c r="X104" s="8">
        <v>2122</v>
      </c>
      <c r="Y104" s="9">
        <v>71.900000000000006</v>
      </c>
      <c r="Z104" s="10">
        <f t="shared" si="5"/>
        <v>0.28303655107778819</v>
      </c>
      <c r="AA104" s="10" t="str">
        <f t="shared" si="6"/>
        <v/>
      </c>
      <c r="AB104" s="10" t="str">
        <f t="shared" si="7"/>
        <v/>
      </c>
      <c r="AC104" s="10">
        <f t="shared" si="8"/>
        <v>0.26531573986804902</v>
      </c>
      <c r="AD104" s="8">
        <f t="shared" si="9"/>
        <v>996</v>
      </c>
    </row>
    <row r="105" spans="1:30" ht="15" customHeight="1" x14ac:dyDescent="0.2">
      <c r="A105" s="7">
        <v>2020</v>
      </c>
      <c r="B105" s="7" t="s">
        <v>47</v>
      </c>
      <c r="C105" s="7" t="s">
        <v>31</v>
      </c>
      <c r="D105" s="7">
        <v>15</v>
      </c>
      <c r="E105" s="7" t="s">
        <v>32</v>
      </c>
      <c r="F105" s="7" t="s">
        <v>32</v>
      </c>
      <c r="G105" s="8">
        <v>583</v>
      </c>
      <c r="H105" s="8">
        <v>971</v>
      </c>
      <c r="I105" s="8">
        <v>1554</v>
      </c>
      <c r="J105" s="7" t="s">
        <v>33</v>
      </c>
      <c r="K105" s="7"/>
      <c r="L105" s="8"/>
      <c r="M105" s="8"/>
      <c r="N105" s="8"/>
      <c r="O105" s="7" t="s">
        <v>121</v>
      </c>
      <c r="P105" s="7"/>
      <c r="Q105" s="8"/>
      <c r="R105" s="8"/>
      <c r="S105" s="8"/>
      <c r="T105" s="7" t="s">
        <v>33</v>
      </c>
      <c r="U105" s="7" t="s">
        <v>32</v>
      </c>
      <c r="V105" s="8">
        <v>574</v>
      </c>
      <c r="W105" s="8">
        <v>963</v>
      </c>
      <c r="X105" s="8">
        <v>1537</v>
      </c>
      <c r="Y105" s="9">
        <v>69.5</v>
      </c>
      <c r="Z105" s="10">
        <f t="shared" si="5"/>
        <v>0.37516087516087515</v>
      </c>
      <c r="AA105" s="10" t="str">
        <f t="shared" si="6"/>
        <v/>
      </c>
      <c r="AB105" s="10" t="str">
        <f t="shared" si="7"/>
        <v/>
      </c>
      <c r="AC105" s="10">
        <f t="shared" si="8"/>
        <v>0.3734547820429408</v>
      </c>
      <c r="AD105" s="8">
        <f t="shared" si="9"/>
        <v>389</v>
      </c>
    </row>
    <row r="106" spans="1:30" ht="15" customHeight="1" x14ac:dyDescent="0.2">
      <c r="A106" s="7">
        <v>2020</v>
      </c>
      <c r="B106" s="7" t="s">
        <v>48</v>
      </c>
      <c r="C106" s="7" t="s">
        <v>31</v>
      </c>
      <c r="D106" s="7">
        <v>16</v>
      </c>
      <c r="E106" s="7" t="s">
        <v>32</v>
      </c>
      <c r="F106" s="7" t="s">
        <v>32</v>
      </c>
      <c r="G106" s="8">
        <v>115</v>
      </c>
      <c r="H106" s="8">
        <v>528</v>
      </c>
      <c r="I106" s="8">
        <v>643</v>
      </c>
      <c r="J106" s="7" t="s">
        <v>33</v>
      </c>
      <c r="K106" s="7"/>
      <c r="L106" s="8"/>
      <c r="M106" s="8"/>
      <c r="N106" s="8"/>
      <c r="O106" s="7" t="s">
        <v>121</v>
      </c>
      <c r="P106" s="7"/>
      <c r="Q106" s="8"/>
      <c r="R106" s="8"/>
      <c r="S106" s="8"/>
      <c r="T106" s="7" t="s">
        <v>33</v>
      </c>
      <c r="U106" s="7" t="s">
        <v>32</v>
      </c>
      <c r="V106" s="8">
        <v>109</v>
      </c>
      <c r="W106" s="8">
        <v>531</v>
      </c>
      <c r="X106" s="8">
        <v>640</v>
      </c>
      <c r="Y106" s="9">
        <v>78.3</v>
      </c>
      <c r="Z106" s="10">
        <f t="shared" si="5"/>
        <v>0.17884914463452567</v>
      </c>
      <c r="AA106" s="10" t="str">
        <f t="shared" si="6"/>
        <v/>
      </c>
      <c r="AB106" s="10" t="str">
        <f t="shared" si="7"/>
        <v/>
      </c>
      <c r="AC106" s="10">
        <f t="shared" si="8"/>
        <v>0.17031250000000001</v>
      </c>
      <c r="AD106" s="8">
        <f t="shared" si="9"/>
        <v>422</v>
      </c>
    </row>
    <row r="107" spans="1:30" ht="15" customHeight="1" x14ac:dyDescent="0.2">
      <c r="A107" s="7">
        <v>2020</v>
      </c>
      <c r="B107" s="7" t="s">
        <v>49</v>
      </c>
      <c r="C107" s="7" t="s">
        <v>31</v>
      </c>
      <c r="D107" s="7">
        <v>17</v>
      </c>
      <c r="E107" s="7" t="s">
        <v>32</v>
      </c>
      <c r="F107" s="7" t="s">
        <v>32</v>
      </c>
      <c r="G107" s="8">
        <v>894</v>
      </c>
      <c r="H107" s="8">
        <v>1633</v>
      </c>
      <c r="I107" s="8">
        <v>2527</v>
      </c>
      <c r="J107" s="7" t="s">
        <v>33</v>
      </c>
      <c r="K107" s="7"/>
      <c r="L107" s="8"/>
      <c r="M107" s="8"/>
      <c r="N107" s="8"/>
      <c r="O107" s="7" t="s">
        <v>121</v>
      </c>
      <c r="P107" s="7"/>
      <c r="Q107" s="8"/>
      <c r="R107" s="8"/>
      <c r="S107" s="8"/>
      <c r="T107" s="7" t="s">
        <v>33</v>
      </c>
      <c r="U107" s="7" t="s">
        <v>32</v>
      </c>
      <c r="V107" s="8">
        <v>863</v>
      </c>
      <c r="W107" s="8">
        <v>1676</v>
      </c>
      <c r="X107" s="8">
        <v>2539</v>
      </c>
      <c r="Y107" s="9">
        <v>70.900000000000006</v>
      </c>
      <c r="Z107" s="10">
        <f t="shared" si="5"/>
        <v>0.35377918480411558</v>
      </c>
      <c r="AA107" s="10" t="str">
        <f t="shared" si="6"/>
        <v/>
      </c>
      <c r="AB107" s="10" t="str">
        <f t="shared" si="7"/>
        <v/>
      </c>
      <c r="AC107" s="10">
        <f t="shared" si="8"/>
        <v>0.33989759747932258</v>
      </c>
      <c r="AD107" s="8">
        <f t="shared" si="9"/>
        <v>813</v>
      </c>
    </row>
    <row r="108" spans="1:30" ht="15" customHeight="1" x14ac:dyDescent="0.2">
      <c r="A108" s="7">
        <v>2020</v>
      </c>
      <c r="B108" s="7" t="s">
        <v>50</v>
      </c>
      <c r="C108" s="7" t="s">
        <v>31</v>
      </c>
      <c r="D108" s="7">
        <v>18</v>
      </c>
      <c r="E108" s="7" t="s">
        <v>32</v>
      </c>
      <c r="F108" s="7" t="s">
        <v>32</v>
      </c>
      <c r="G108" s="8">
        <v>58</v>
      </c>
      <c r="H108" s="8">
        <v>160</v>
      </c>
      <c r="I108" s="8">
        <v>218</v>
      </c>
      <c r="J108" s="7" t="s">
        <v>33</v>
      </c>
      <c r="K108" s="7"/>
      <c r="L108" s="8"/>
      <c r="M108" s="8"/>
      <c r="N108" s="8"/>
      <c r="O108" s="7" t="s">
        <v>121</v>
      </c>
      <c r="P108" s="7"/>
      <c r="Q108" s="8"/>
      <c r="R108" s="8"/>
      <c r="S108" s="8"/>
      <c r="T108" s="7" t="s">
        <v>33</v>
      </c>
      <c r="U108" s="7" t="s">
        <v>32</v>
      </c>
      <c r="V108" s="8">
        <v>52</v>
      </c>
      <c r="W108" s="8">
        <v>167</v>
      </c>
      <c r="X108" s="8">
        <v>219</v>
      </c>
      <c r="Y108" s="9">
        <v>71.099999999999994</v>
      </c>
      <c r="Z108" s="10">
        <f t="shared" si="5"/>
        <v>0.26605504587155965</v>
      </c>
      <c r="AA108" s="10" t="str">
        <f t="shared" si="6"/>
        <v/>
      </c>
      <c r="AB108" s="10" t="str">
        <f t="shared" si="7"/>
        <v/>
      </c>
      <c r="AC108" s="10">
        <f t="shared" si="8"/>
        <v>0.23744292237442921</v>
      </c>
      <c r="AD108" s="8">
        <f t="shared" si="9"/>
        <v>115</v>
      </c>
    </row>
    <row r="109" spans="1:30" ht="15" customHeight="1" x14ac:dyDescent="0.2">
      <c r="A109" s="7">
        <v>2020</v>
      </c>
      <c r="B109" s="7" t="s">
        <v>51</v>
      </c>
      <c r="C109" s="7" t="s">
        <v>31</v>
      </c>
      <c r="D109" s="7">
        <v>19</v>
      </c>
      <c r="E109" s="7" t="s">
        <v>32</v>
      </c>
      <c r="F109" s="7" t="s">
        <v>32</v>
      </c>
      <c r="G109" s="8">
        <v>2071</v>
      </c>
      <c r="H109" s="8">
        <v>3449</v>
      </c>
      <c r="I109" s="8">
        <v>5520</v>
      </c>
      <c r="J109" s="7" t="s">
        <v>33</v>
      </c>
      <c r="K109" s="7"/>
      <c r="L109" s="8"/>
      <c r="M109" s="8"/>
      <c r="N109" s="8"/>
      <c r="O109" s="7" t="s">
        <v>121</v>
      </c>
      <c r="P109" s="7"/>
      <c r="Q109" s="8"/>
      <c r="R109" s="8"/>
      <c r="S109" s="8"/>
      <c r="T109" s="7" t="s">
        <v>33</v>
      </c>
      <c r="U109" s="7" t="s">
        <v>32</v>
      </c>
      <c r="V109" s="8">
        <v>1997</v>
      </c>
      <c r="W109" s="8">
        <v>3474</v>
      </c>
      <c r="X109" s="8">
        <v>5471</v>
      </c>
      <c r="Y109" s="9">
        <v>64.900000000000006</v>
      </c>
      <c r="Z109" s="10">
        <f t="shared" si="5"/>
        <v>0.37518115942028984</v>
      </c>
      <c r="AA109" s="10" t="str">
        <f t="shared" si="6"/>
        <v/>
      </c>
      <c r="AB109" s="10" t="str">
        <f t="shared" si="7"/>
        <v/>
      </c>
      <c r="AC109" s="10">
        <f t="shared" si="8"/>
        <v>0.36501553646499724</v>
      </c>
      <c r="AD109" s="8">
        <f t="shared" si="9"/>
        <v>1477</v>
      </c>
    </row>
    <row r="110" spans="1:30" ht="15" customHeight="1" x14ac:dyDescent="0.2">
      <c r="A110" s="7">
        <v>2020</v>
      </c>
      <c r="B110" s="7" t="s">
        <v>52</v>
      </c>
      <c r="C110" s="7" t="s">
        <v>31</v>
      </c>
      <c r="D110" s="7">
        <v>20</v>
      </c>
      <c r="E110" s="7" t="s">
        <v>32</v>
      </c>
      <c r="F110" s="7" t="s">
        <v>32</v>
      </c>
      <c r="G110" s="8">
        <v>609</v>
      </c>
      <c r="H110" s="8">
        <v>933</v>
      </c>
      <c r="I110" s="8">
        <v>1542</v>
      </c>
      <c r="J110" s="7" t="s">
        <v>33</v>
      </c>
      <c r="K110" s="7"/>
      <c r="L110" s="8"/>
      <c r="M110" s="8"/>
      <c r="N110" s="8"/>
      <c r="O110" s="7" t="s">
        <v>121</v>
      </c>
      <c r="P110" s="7"/>
      <c r="Q110" s="8"/>
      <c r="R110" s="8"/>
      <c r="S110" s="8"/>
      <c r="T110" s="7" t="s">
        <v>33</v>
      </c>
      <c r="U110" s="7" t="s">
        <v>32</v>
      </c>
      <c r="V110" s="8">
        <v>620</v>
      </c>
      <c r="W110" s="8">
        <v>917</v>
      </c>
      <c r="X110" s="8">
        <v>1537</v>
      </c>
      <c r="Y110" s="9">
        <v>71.8</v>
      </c>
      <c r="Z110" s="10">
        <f t="shared" si="5"/>
        <v>0.39494163424124512</v>
      </c>
      <c r="AA110" s="10" t="str">
        <f t="shared" si="6"/>
        <v/>
      </c>
      <c r="AB110" s="10" t="str">
        <f t="shared" si="7"/>
        <v/>
      </c>
      <c r="AC110" s="10">
        <f t="shared" si="8"/>
        <v>0.4033832140533507</v>
      </c>
      <c r="AD110" s="8">
        <f t="shared" si="9"/>
        <v>297</v>
      </c>
    </row>
    <row r="111" spans="1:30" ht="15" customHeight="1" x14ac:dyDescent="0.2">
      <c r="A111" s="7">
        <v>2020</v>
      </c>
      <c r="B111" s="7" t="s">
        <v>53</v>
      </c>
      <c r="C111" s="7" t="s">
        <v>31</v>
      </c>
      <c r="D111" s="7">
        <v>21</v>
      </c>
      <c r="E111" s="7" t="s">
        <v>32</v>
      </c>
      <c r="F111" s="7" t="s">
        <v>32</v>
      </c>
      <c r="G111" s="8">
        <v>758</v>
      </c>
      <c r="H111" s="8">
        <v>1866</v>
      </c>
      <c r="I111" s="8">
        <v>2624</v>
      </c>
      <c r="J111" s="7" t="s">
        <v>33</v>
      </c>
      <c r="K111" s="7"/>
      <c r="L111" s="8"/>
      <c r="M111" s="8"/>
      <c r="N111" s="8"/>
      <c r="O111" s="7" t="s">
        <v>121</v>
      </c>
      <c r="P111" s="7"/>
      <c r="Q111" s="8"/>
      <c r="R111" s="8"/>
      <c r="S111" s="8"/>
      <c r="T111" s="7" t="s">
        <v>33</v>
      </c>
      <c r="U111" s="7" t="s">
        <v>32</v>
      </c>
      <c r="V111" s="8">
        <v>723</v>
      </c>
      <c r="W111" s="8">
        <v>1892</v>
      </c>
      <c r="X111" s="8">
        <v>2615</v>
      </c>
      <c r="Y111" s="9">
        <v>77.400000000000006</v>
      </c>
      <c r="Z111" s="10">
        <f t="shared" si="5"/>
        <v>0.2888719512195122</v>
      </c>
      <c r="AA111" s="10" t="str">
        <f t="shared" si="6"/>
        <v/>
      </c>
      <c r="AB111" s="10" t="str">
        <f t="shared" si="7"/>
        <v/>
      </c>
      <c r="AC111" s="10">
        <f t="shared" si="8"/>
        <v>0.27648183556405354</v>
      </c>
      <c r="AD111" s="8">
        <f t="shared" si="9"/>
        <v>1169</v>
      </c>
    </row>
    <row r="112" spans="1:30" ht="15" customHeight="1" x14ac:dyDescent="0.2">
      <c r="A112" s="7">
        <v>2020</v>
      </c>
      <c r="B112" s="7" t="s">
        <v>54</v>
      </c>
      <c r="C112" s="7" t="s">
        <v>31</v>
      </c>
      <c r="D112" s="7">
        <v>22</v>
      </c>
      <c r="E112" s="7" t="s">
        <v>32</v>
      </c>
      <c r="F112" s="7" t="s">
        <v>32</v>
      </c>
      <c r="G112" s="8">
        <v>357</v>
      </c>
      <c r="H112" s="8">
        <v>864</v>
      </c>
      <c r="I112" s="8">
        <v>1221</v>
      </c>
      <c r="J112" s="7" t="s">
        <v>33</v>
      </c>
      <c r="K112" s="7"/>
      <c r="L112" s="8"/>
      <c r="M112" s="8"/>
      <c r="N112" s="8"/>
      <c r="O112" s="7" t="s">
        <v>121</v>
      </c>
      <c r="P112" s="7"/>
      <c r="Q112" s="8"/>
      <c r="R112" s="8"/>
      <c r="S112" s="8"/>
      <c r="T112" s="7" t="s">
        <v>33</v>
      </c>
      <c r="U112" s="7" t="s">
        <v>32</v>
      </c>
      <c r="V112" s="8">
        <v>323</v>
      </c>
      <c r="W112" s="8">
        <v>898</v>
      </c>
      <c r="X112" s="8">
        <v>1221</v>
      </c>
      <c r="Y112" s="9">
        <v>73.5</v>
      </c>
      <c r="Z112" s="10">
        <f t="shared" si="5"/>
        <v>0.29238329238329236</v>
      </c>
      <c r="AA112" s="10" t="str">
        <f t="shared" si="6"/>
        <v/>
      </c>
      <c r="AB112" s="10" t="str">
        <f t="shared" si="7"/>
        <v/>
      </c>
      <c r="AC112" s="10">
        <f t="shared" si="8"/>
        <v>0.26453726453726456</v>
      </c>
      <c r="AD112" s="8">
        <f t="shared" si="9"/>
        <v>575</v>
      </c>
    </row>
    <row r="113" spans="1:30" ht="15" customHeight="1" x14ac:dyDescent="0.2">
      <c r="A113" s="7">
        <v>2020</v>
      </c>
      <c r="B113" s="7" t="s">
        <v>55</v>
      </c>
      <c r="C113" s="7" t="s">
        <v>31</v>
      </c>
      <c r="D113" s="7">
        <v>23</v>
      </c>
      <c r="E113" s="7" t="s">
        <v>32</v>
      </c>
      <c r="F113" s="7" t="s">
        <v>32</v>
      </c>
      <c r="G113" s="8">
        <v>60</v>
      </c>
      <c r="H113" s="8">
        <v>91</v>
      </c>
      <c r="I113" s="8">
        <v>151</v>
      </c>
      <c r="J113" s="7" t="s">
        <v>33</v>
      </c>
      <c r="K113" s="7"/>
      <c r="L113" s="8"/>
      <c r="M113" s="8"/>
      <c r="N113" s="8"/>
      <c r="O113" s="7" t="s">
        <v>121</v>
      </c>
      <c r="P113" s="7"/>
      <c r="Q113" s="8"/>
      <c r="R113" s="8"/>
      <c r="S113" s="8"/>
      <c r="T113" s="7" t="s">
        <v>33</v>
      </c>
      <c r="U113" s="7" t="s">
        <v>32</v>
      </c>
      <c r="V113" s="8">
        <v>62</v>
      </c>
      <c r="W113" s="8">
        <v>91</v>
      </c>
      <c r="X113" s="8">
        <v>153</v>
      </c>
      <c r="Y113" s="9">
        <v>59.5</v>
      </c>
      <c r="Z113" s="10">
        <f t="shared" si="5"/>
        <v>0.39735099337748342</v>
      </c>
      <c r="AA113" s="10" t="str">
        <f t="shared" si="6"/>
        <v/>
      </c>
      <c r="AB113" s="10" t="str">
        <f t="shared" si="7"/>
        <v/>
      </c>
      <c r="AC113" s="10">
        <f t="shared" si="8"/>
        <v>0.40522875816993464</v>
      </c>
      <c r="AD113" s="8">
        <f t="shared" si="9"/>
        <v>29</v>
      </c>
    </row>
    <row r="114" spans="1:30" ht="15" customHeight="1" x14ac:dyDescent="0.2">
      <c r="A114" s="7">
        <v>2020</v>
      </c>
      <c r="B114" s="7" t="s">
        <v>56</v>
      </c>
      <c r="C114" s="7" t="s">
        <v>57</v>
      </c>
      <c r="D114" s="7">
        <v>24</v>
      </c>
      <c r="E114" s="7" t="s">
        <v>32</v>
      </c>
      <c r="F114" s="7" t="s">
        <v>32</v>
      </c>
      <c r="G114" s="8">
        <v>653</v>
      </c>
      <c r="H114" s="8">
        <v>719</v>
      </c>
      <c r="I114" s="8">
        <v>1372</v>
      </c>
      <c r="J114" s="7" t="s">
        <v>33</v>
      </c>
      <c r="K114" s="7"/>
      <c r="L114" s="8"/>
      <c r="M114" s="8"/>
      <c r="N114" s="8"/>
      <c r="O114" s="7" t="s">
        <v>121</v>
      </c>
      <c r="P114" s="7"/>
      <c r="Q114" s="8"/>
      <c r="R114" s="8"/>
      <c r="S114" s="8"/>
      <c r="T114" s="7" t="s">
        <v>33</v>
      </c>
      <c r="U114" s="7" t="s">
        <v>32</v>
      </c>
      <c r="V114" s="8">
        <v>644</v>
      </c>
      <c r="W114" s="8">
        <v>735</v>
      </c>
      <c r="X114" s="8">
        <v>1379</v>
      </c>
      <c r="Y114" s="9">
        <v>74.8</v>
      </c>
      <c r="Z114" s="10">
        <f t="shared" si="5"/>
        <v>0.47594752186588923</v>
      </c>
      <c r="AA114" s="10" t="str">
        <f t="shared" si="6"/>
        <v/>
      </c>
      <c r="AB114" s="10" t="str">
        <f t="shared" si="7"/>
        <v/>
      </c>
      <c r="AC114" s="10">
        <f t="shared" si="8"/>
        <v>0.46700507614213199</v>
      </c>
      <c r="AD114" s="8">
        <f t="shared" si="9"/>
        <v>91</v>
      </c>
    </row>
    <row r="115" spans="1:30" ht="15" customHeight="1" x14ac:dyDescent="0.2">
      <c r="A115" s="7">
        <v>2020</v>
      </c>
      <c r="B115" s="7" t="s">
        <v>58</v>
      </c>
      <c r="C115" s="7" t="s">
        <v>57</v>
      </c>
      <c r="D115" s="7">
        <v>25</v>
      </c>
      <c r="E115" s="7" t="s">
        <v>32</v>
      </c>
      <c r="F115" s="7" t="s">
        <v>33</v>
      </c>
      <c r="G115" s="8">
        <v>28338</v>
      </c>
      <c r="H115" s="8">
        <v>13479</v>
      </c>
      <c r="I115" s="8">
        <v>41817</v>
      </c>
      <c r="J115" s="7" t="s">
        <v>33</v>
      </c>
      <c r="K115" s="7"/>
      <c r="L115" s="8"/>
      <c r="M115" s="8"/>
      <c r="N115" s="8"/>
      <c r="O115" s="7" t="s">
        <v>121</v>
      </c>
      <c r="P115" s="7"/>
      <c r="Q115" s="8"/>
      <c r="R115" s="8"/>
      <c r="S115" s="8"/>
      <c r="T115" s="7" t="s">
        <v>33</v>
      </c>
      <c r="U115" s="7" t="s">
        <v>33</v>
      </c>
      <c r="V115" s="8">
        <v>27952</v>
      </c>
      <c r="W115" s="8">
        <v>12938</v>
      </c>
      <c r="X115" s="8">
        <v>40890</v>
      </c>
      <c r="Y115" s="9">
        <v>66.8</v>
      </c>
      <c r="Z115" s="10">
        <f t="shared" si="5"/>
        <v>0.67766697754501759</v>
      </c>
      <c r="AA115" s="10" t="str">
        <f t="shared" si="6"/>
        <v/>
      </c>
      <c r="AB115" s="10" t="str">
        <f t="shared" si="7"/>
        <v/>
      </c>
      <c r="AC115" s="10">
        <f t="shared" si="8"/>
        <v>0.68359011983370022</v>
      </c>
      <c r="AD115" s="8">
        <f t="shared" si="9"/>
        <v>-15014</v>
      </c>
    </row>
    <row r="116" spans="1:30" ht="15" customHeight="1" x14ac:dyDescent="0.2">
      <c r="A116" s="7">
        <v>2020</v>
      </c>
      <c r="B116" s="7" t="s">
        <v>59</v>
      </c>
      <c r="C116" s="7" t="s">
        <v>57</v>
      </c>
      <c r="D116" s="7">
        <v>26</v>
      </c>
      <c r="E116" s="7" t="s">
        <v>32</v>
      </c>
      <c r="F116" s="7" t="s">
        <v>33</v>
      </c>
      <c r="G116" s="8">
        <v>6494</v>
      </c>
      <c r="H116" s="8">
        <v>3748</v>
      </c>
      <c r="I116" s="8">
        <v>10242</v>
      </c>
      <c r="J116" s="7" t="s">
        <v>33</v>
      </c>
      <c r="K116" s="7"/>
      <c r="L116" s="8"/>
      <c r="M116" s="8"/>
      <c r="N116" s="8"/>
      <c r="O116" s="7" t="s">
        <v>121</v>
      </c>
      <c r="P116" s="7"/>
      <c r="Q116" s="8"/>
      <c r="R116" s="8"/>
      <c r="S116" s="8"/>
      <c r="T116" s="7" t="s">
        <v>33</v>
      </c>
      <c r="U116" s="7" t="s">
        <v>33</v>
      </c>
      <c r="V116" s="8">
        <v>6475</v>
      </c>
      <c r="W116" s="8">
        <v>3784</v>
      </c>
      <c r="X116" s="8">
        <v>10259</v>
      </c>
      <c r="Y116" s="9">
        <v>70.400000000000006</v>
      </c>
      <c r="Z116" s="10">
        <f t="shared" si="5"/>
        <v>0.63405584846709628</v>
      </c>
      <c r="AA116" s="10" t="str">
        <f t="shared" si="6"/>
        <v/>
      </c>
      <c r="AB116" s="10" t="str">
        <f t="shared" si="7"/>
        <v/>
      </c>
      <c r="AC116" s="10">
        <f t="shared" si="8"/>
        <v>0.63115313383370697</v>
      </c>
      <c r="AD116" s="8">
        <f t="shared" si="9"/>
        <v>-2691</v>
      </c>
    </row>
    <row r="117" spans="1:30" ht="15" customHeight="1" x14ac:dyDescent="0.2">
      <c r="A117" s="7">
        <v>2020</v>
      </c>
      <c r="B117" s="7" t="s">
        <v>60</v>
      </c>
      <c r="C117" s="7" t="s">
        <v>57</v>
      </c>
      <c r="D117" s="7">
        <v>27</v>
      </c>
      <c r="E117" s="7" t="s">
        <v>32</v>
      </c>
      <c r="F117" s="7" t="s">
        <v>33</v>
      </c>
      <c r="G117" s="8">
        <v>1567</v>
      </c>
      <c r="H117" s="8">
        <v>1496</v>
      </c>
      <c r="I117" s="8">
        <v>3063</v>
      </c>
      <c r="J117" s="7" t="s">
        <v>33</v>
      </c>
      <c r="K117" s="7"/>
      <c r="L117" s="8"/>
      <c r="M117" s="8"/>
      <c r="N117" s="8"/>
      <c r="O117" s="7" t="s">
        <v>121</v>
      </c>
      <c r="P117" s="7"/>
      <c r="Q117" s="8"/>
      <c r="R117" s="8"/>
      <c r="S117" s="8"/>
      <c r="T117" s="7" t="s">
        <v>33</v>
      </c>
      <c r="U117" s="7" t="s">
        <v>33</v>
      </c>
      <c r="V117" s="8">
        <v>1582</v>
      </c>
      <c r="W117" s="8">
        <v>1496</v>
      </c>
      <c r="X117" s="8">
        <v>3078</v>
      </c>
      <c r="Y117" s="9">
        <v>68.2</v>
      </c>
      <c r="Z117" s="10">
        <f t="shared" si="5"/>
        <v>0.51158994449885731</v>
      </c>
      <c r="AA117" s="10" t="str">
        <f t="shared" si="6"/>
        <v/>
      </c>
      <c r="AB117" s="10" t="str">
        <f t="shared" si="7"/>
        <v/>
      </c>
      <c r="AC117" s="10">
        <f t="shared" si="8"/>
        <v>0.51397011046133856</v>
      </c>
      <c r="AD117" s="8">
        <f t="shared" si="9"/>
        <v>-86</v>
      </c>
    </row>
    <row r="118" spans="1:30" ht="15" customHeight="1" x14ac:dyDescent="0.2">
      <c r="A118" s="7">
        <v>2020</v>
      </c>
      <c r="B118" s="7" t="s">
        <v>61</v>
      </c>
      <c r="C118" s="7" t="s">
        <v>57</v>
      </c>
      <c r="D118" s="7">
        <v>28</v>
      </c>
      <c r="E118" s="7" t="s">
        <v>32</v>
      </c>
      <c r="F118" s="7" t="s">
        <v>32</v>
      </c>
      <c r="G118" s="8">
        <v>710</v>
      </c>
      <c r="H118" s="8">
        <v>768</v>
      </c>
      <c r="I118" s="8">
        <v>1478</v>
      </c>
      <c r="J118" s="7" t="s">
        <v>33</v>
      </c>
      <c r="K118" s="7"/>
      <c r="L118" s="8"/>
      <c r="M118" s="8"/>
      <c r="N118" s="8"/>
      <c r="O118" s="7" t="s">
        <v>121</v>
      </c>
      <c r="P118" s="7"/>
      <c r="Q118" s="8"/>
      <c r="R118" s="8"/>
      <c r="S118" s="8"/>
      <c r="T118" s="7" t="s">
        <v>33</v>
      </c>
      <c r="U118" s="7" t="s">
        <v>32</v>
      </c>
      <c r="V118" s="8">
        <v>704</v>
      </c>
      <c r="W118" s="8">
        <v>791</v>
      </c>
      <c r="X118" s="8">
        <v>1495</v>
      </c>
      <c r="Y118" s="9">
        <v>79.5</v>
      </c>
      <c r="Z118" s="10">
        <f t="shared" si="5"/>
        <v>0.48037889039242221</v>
      </c>
      <c r="AA118" s="10" t="str">
        <f t="shared" si="6"/>
        <v/>
      </c>
      <c r="AB118" s="10" t="str">
        <f t="shared" si="7"/>
        <v/>
      </c>
      <c r="AC118" s="10">
        <f t="shared" si="8"/>
        <v>0.47090301003344481</v>
      </c>
      <c r="AD118" s="8">
        <f t="shared" si="9"/>
        <v>87</v>
      </c>
    </row>
    <row r="119" spans="1:30" ht="15" customHeight="1" x14ac:dyDescent="0.2">
      <c r="A119" s="7">
        <v>2020</v>
      </c>
      <c r="B119" s="7" t="s">
        <v>62</v>
      </c>
      <c r="C119" s="7" t="s">
        <v>57</v>
      </c>
      <c r="D119" s="7">
        <v>29</v>
      </c>
      <c r="E119" s="7" t="s">
        <v>32</v>
      </c>
      <c r="F119" s="7" t="s">
        <v>32</v>
      </c>
      <c r="G119" s="8">
        <v>854</v>
      </c>
      <c r="H119" s="8">
        <v>874</v>
      </c>
      <c r="I119" s="8">
        <v>1728</v>
      </c>
      <c r="J119" s="7" t="s">
        <v>33</v>
      </c>
      <c r="K119" s="7"/>
      <c r="L119" s="8"/>
      <c r="M119" s="8"/>
      <c r="N119" s="8"/>
      <c r="O119" s="7" t="s">
        <v>121</v>
      </c>
      <c r="P119" s="7"/>
      <c r="Q119" s="8"/>
      <c r="R119" s="8"/>
      <c r="S119" s="8"/>
      <c r="T119" s="7" t="s">
        <v>33</v>
      </c>
      <c r="U119" s="7" t="s">
        <v>33</v>
      </c>
      <c r="V119" s="8">
        <v>878</v>
      </c>
      <c r="W119" s="8">
        <v>870</v>
      </c>
      <c r="X119" s="8">
        <v>1748</v>
      </c>
      <c r="Y119" s="9">
        <v>72.8</v>
      </c>
      <c r="Z119" s="10">
        <f t="shared" si="5"/>
        <v>0.49421296296296297</v>
      </c>
      <c r="AA119" s="10" t="str">
        <f t="shared" si="6"/>
        <v/>
      </c>
      <c r="AB119" s="10" t="str">
        <f t="shared" si="7"/>
        <v/>
      </c>
      <c r="AC119" s="10">
        <f t="shared" si="8"/>
        <v>0.50228832951945079</v>
      </c>
      <c r="AD119" s="8">
        <f t="shared" si="9"/>
        <v>-8</v>
      </c>
    </row>
    <row r="120" spans="1:30" ht="15" customHeight="1" x14ac:dyDescent="0.2">
      <c r="A120" s="7">
        <v>2020</v>
      </c>
      <c r="B120" s="7" t="s">
        <v>63</v>
      </c>
      <c r="C120" s="7" t="s">
        <v>57</v>
      </c>
      <c r="D120" s="7">
        <v>30</v>
      </c>
      <c r="E120" s="7" t="s">
        <v>32</v>
      </c>
      <c r="F120" s="7" t="s">
        <v>33</v>
      </c>
      <c r="G120" s="8">
        <v>3427</v>
      </c>
      <c r="H120" s="8">
        <v>2985</v>
      </c>
      <c r="I120" s="8">
        <v>6412</v>
      </c>
      <c r="J120" s="7" t="s">
        <v>33</v>
      </c>
      <c r="K120" s="7"/>
      <c r="L120" s="8"/>
      <c r="M120" s="8"/>
      <c r="N120" s="8"/>
      <c r="O120" s="7" t="s">
        <v>121</v>
      </c>
      <c r="P120" s="7"/>
      <c r="Q120" s="8"/>
      <c r="R120" s="8"/>
      <c r="S120" s="8"/>
      <c r="T120" s="7" t="s">
        <v>33</v>
      </c>
      <c r="U120" s="7" t="s">
        <v>33</v>
      </c>
      <c r="V120" s="8">
        <v>3393</v>
      </c>
      <c r="W120" s="8">
        <v>3078</v>
      </c>
      <c r="X120" s="8">
        <v>6471</v>
      </c>
      <c r="Y120" s="9">
        <v>77.099999999999994</v>
      </c>
      <c r="Z120" s="10">
        <f t="shared" si="5"/>
        <v>0.53446662507797882</v>
      </c>
      <c r="AA120" s="10" t="str">
        <f t="shared" si="6"/>
        <v/>
      </c>
      <c r="AB120" s="10" t="str">
        <f t="shared" si="7"/>
        <v/>
      </c>
      <c r="AC120" s="10">
        <f t="shared" si="8"/>
        <v>0.52433936022253125</v>
      </c>
      <c r="AD120" s="8">
        <f t="shared" si="9"/>
        <v>-315</v>
      </c>
    </row>
    <row r="121" spans="1:30" ht="15" customHeight="1" x14ac:dyDescent="0.2">
      <c r="A121" s="7">
        <v>2020</v>
      </c>
      <c r="B121" s="7" t="s">
        <v>64</v>
      </c>
      <c r="C121" s="7" t="s">
        <v>57</v>
      </c>
      <c r="D121" s="7">
        <v>31</v>
      </c>
      <c r="E121" s="7" t="s">
        <v>32</v>
      </c>
      <c r="F121" s="7" t="s">
        <v>33</v>
      </c>
      <c r="G121" s="8">
        <v>1492</v>
      </c>
      <c r="H121" s="8">
        <v>720</v>
      </c>
      <c r="I121" s="8">
        <v>2212</v>
      </c>
      <c r="J121" s="7" t="s">
        <v>33</v>
      </c>
      <c r="K121" s="7"/>
      <c r="L121" s="8"/>
      <c r="M121" s="8"/>
      <c r="N121" s="8"/>
      <c r="O121" s="7" t="s">
        <v>121</v>
      </c>
      <c r="P121" s="7"/>
      <c r="Q121" s="8"/>
      <c r="R121" s="8"/>
      <c r="S121" s="8"/>
      <c r="T121" s="7" t="s">
        <v>33</v>
      </c>
      <c r="U121" s="7" t="s">
        <v>33</v>
      </c>
      <c r="V121" s="8">
        <v>1481</v>
      </c>
      <c r="W121" s="8">
        <v>737</v>
      </c>
      <c r="X121" s="8">
        <v>2218</v>
      </c>
      <c r="Y121" s="9">
        <v>69.5</v>
      </c>
      <c r="Z121" s="10">
        <f t="shared" si="5"/>
        <v>0.67450271247739602</v>
      </c>
      <c r="AA121" s="10" t="str">
        <f t="shared" si="6"/>
        <v/>
      </c>
      <c r="AB121" s="10" t="str">
        <f t="shared" si="7"/>
        <v/>
      </c>
      <c r="AC121" s="10">
        <f t="shared" si="8"/>
        <v>0.6677186654643823</v>
      </c>
      <c r="AD121" s="8">
        <f t="shared" si="9"/>
        <v>-744</v>
      </c>
    </row>
    <row r="122" spans="1:30" ht="15" customHeight="1" x14ac:dyDescent="0.2">
      <c r="A122" s="7">
        <v>2020</v>
      </c>
      <c r="B122" s="7" t="s">
        <v>65</v>
      </c>
      <c r="C122" s="7" t="s">
        <v>57</v>
      </c>
      <c r="D122" s="7">
        <v>32</v>
      </c>
      <c r="E122" s="7" t="s">
        <v>32</v>
      </c>
      <c r="F122" s="7" t="s">
        <v>33</v>
      </c>
      <c r="G122" s="8">
        <v>407</v>
      </c>
      <c r="H122" s="8">
        <v>303</v>
      </c>
      <c r="I122" s="8">
        <v>710</v>
      </c>
      <c r="J122" s="7" t="s">
        <v>33</v>
      </c>
      <c r="K122" s="7"/>
      <c r="L122" s="8"/>
      <c r="M122" s="8"/>
      <c r="N122" s="8"/>
      <c r="O122" s="7" t="s">
        <v>121</v>
      </c>
      <c r="P122" s="7"/>
      <c r="Q122" s="8"/>
      <c r="R122" s="8"/>
      <c r="S122" s="8"/>
      <c r="T122" s="7" t="s">
        <v>33</v>
      </c>
      <c r="U122" s="7" t="s">
        <v>33</v>
      </c>
      <c r="V122" s="8">
        <v>405</v>
      </c>
      <c r="W122" s="8">
        <v>304</v>
      </c>
      <c r="X122" s="8">
        <v>709</v>
      </c>
      <c r="Y122" s="9">
        <v>78.400000000000006</v>
      </c>
      <c r="Z122" s="10">
        <f t="shared" si="5"/>
        <v>0.57323943661971832</v>
      </c>
      <c r="AA122" s="10" t="str">
        <f t="shared" si="6"/>
        <v/>
      </c>
      <c r="AB122" s="10" t="str">
        <f t="shared" si="7"/>
        <v/>
      </c>
      <c r="AC122" s="10">
        <f t="shared" si="8"/>
        <v>0.57122708039492243</v>
      </c>
      <c r="AD122" s="8">
        <f t="shared" si="9"/>
        <v>-101</v>
      </c>
    </row>
    <row r="123" spans="1:30" ht="15" customHeight="1" x14ac:dyDescent="0.2">
      <c r="A123" s="7">
        <v>2020</v>
      </c>
      <c r="B123" s="7" t="s">
        <v>66</v>
      </c>
      <c r="C123" s="7" t="s">
        <v>57</v>
      </c>
      <c r="D123" s="7">
        <v>33</v>
      </c>
      <c r="E123" s="7" t="s">
        <v>32</v>
      </c>
      <c r="F123" s="7" t="s">
        <v>32</v>
      </c>
      <c r="G123" s="8">
        <v>621</v>
      </c>
      <c r="H123" s="8">
        <v>1341</v>
      </c>
      <c r="I123" s="8">
        <v>1962</v>
      </c>
      <c r="J123" s="7" t="s">
        <v>33</v>
      </c>
      <c r="K123" s="7"/>
      <c r="L123" s="8"/>
      <c r="M123" s="8"/>
      <c r="N123" s="8"/>
      <c r="O123" s="7" t="s">
        <v>121</v>
      </c>
      <c r="P123" s="7"/>
      <c r="Q123" s="8"/>
      <c r="R123" s="8"/>
      <c r="S123" s="8"/>
      <c r="T123" s="7" t="s">
        <v>33</v>
      </c>
      <c r="U123" s="7" t="s">
        <v>32</v>
      </c>
      <c r="V123" s="8">
        <v>602</v>
      </c>
      <c r="W123" s="8">
        <v>1339</v>
      </c>
      <c r="X123" s="8">
        <v>1941</v>
      </c>
      <c r="Y123" s="9">
        <v>71.900000000000006</v>
      </c>
      <c r="Z123" s="10">
        <f t="shared" si="5"/>
        <v>0.3165137614678899</v>
      </c>
      <c r="AA123" s="10" t="str">
        <f t="shared" si="6"/>
        <v/>
      </c>
      <c r="AB123" s="10" t="str">
        <f t="shared" si="7"/>
        <v/>
      </c>
      <c r="AC123" s="10">
        <f t="shared" si="8"/>
        <v>0.3101494075218959</v>
      </c>
      <c r="AD123" s="8">
        <f t="shared" si="9"/>
        <v>737</v>
      </c>
    </row>
    <row r="124" spans="1:30" ht="15" customHeight="1" x14ac:dyDescent="0.2">
      <c r="A124" s="7">
        <v>2020</v>
      </c>
      <c r="B124" s="7" t="s">
        <v>67</v>
      </c>
      <c r="C124" s="7" t="s">
        <v>57</v>
      </c>
      <c r="D124" s="7">
        <v>34</v>
      </c>
      <c r="E124" s="7" t="s">
        <v>32</v>
      </c>
      <c r="F124" s="7" t="s">
        <v>33</v>
      </c>
      <c r="G124" s="8">
        <v>10156</v>
      </c>
      <c r="H124" s="8">
        <v>9632</v>
      </c>
      <c r="I124" s="8">
        <v>19788</v>
      </c>
      <c r="J124" s="7" t="s">
        <v>33</v>
      </c>
      <c r="K124" s="7"/>
      <c r="L124" s="8"/>
      <c r="M124" s="8"/>
      <c r="N124" s="8"/>
      <c r="O124" s="7" t="s">
        <v>121</v>
      </c>
      <c r="P124" s="7"/>
      <c r="Q124" s="8"/>
      <c r="R124" s="8"/>
      <c r="S124" s="8"/>
      <c r="T124" s="7" t="s">
        <v>33</v>
      </c>
      <c r="U124" s="7" t="s">
        <v>32</v>
      </c>
      <c r="V124" s="8">
        <v>9782</v>
      </c>
      <c r="W124" s="8">
        <v>10014</v>
      </c>
      <c r="X124" s="8">
        <v>19796</v>
      </c>
      <c r="Y124" s="9">
        <v>76.8</v>
      </c>
      <c r="Z124" s="10">
        <f t="shared" si="5"/>
        <v>0.51324034768546589</v>
      </c>
      <c r="AA124" s="10" t="str">
        <f t="shared" si="6"/>
        <v/>
      </c>
      <c r="AB124" s="10" t="str">
        <f t="shared" si="7"/>
        <v/>
      </c>
      <c r="AC124" s="10">
        <f t="shared" si="8"/>
        <v>0.49414023034956556</v>
      </c>
      <c r="AD124" s="8">
        <f t="shared" si="9"/>
        <v>232</v>
      </c>
    </row>
    <row r="125" spans="1:30" ht="15" customHeight="1" x14ac:dyDescent="0.2">
      <c r="A125" s="7">
        <v>2020</v>
      </c>
      <c r="B125" s="7" t="s">
        <v>68</v>
      </c>
      <c r="C125" s="7" t="s">
        <v>57</v>
      </c>
      <c r="D125" s="7">
        <v>35</v>
      </c>
      <c r="E125" s="7" t="s">
        <v>32</v>
      </c>
      <c r="F125" s="7" t="s">
        <v>32</v>
      </c>
      <c r="G125" s="8">
        <v>946</v>
      </c>
      <c r="H125" s="8">
        <v>1563</v>
      </c>
      <c r="I125" s="8">
        <v>2509</v>
      </c>
      <c r="J125" s="7" t="s">
        <v>33</v>
      </c>
      <c r="K125" s="7"/>
      <c r="L125" s="8"/>
      <c r="M125" s="8"/>
      <c r="N125" s="8"/>
      <c r="O125" s="7" t="s">
        <v>121</v>
      </c>
      <c r="P125" s="7"/>
      <c r="Q125" s="8"/>
      <c r="R125" s="8"/>
      <c r="S125" s="8"/>
      <c r="T125" s="7" t="s">
        <v>33</v>
      </c>
      <c r="U125" s="7" t="s">
        <v>32</v>
      </c>
      <c r="V125" s="8">
        <v>920</v>
      </c>
      <c r="W125" s="8">
        <v>1596</v>
      </c>
      <c r="X125" s="8">
        <v>2516</v>
      </c>
      <c r="Y125" s="9">
        <v>82.4</v>
      </c>
      <c r="Z125" s="10">
        <f t="shared" si="5"/>
        <v>0.37704264647269831</v>
      </c>
      <c r="AA125" s="10" t="str">
        <f t="shared" si="6"/>
        <v/>
      </c>
      <c r="AB125" s="10" t="str">
        <f t="shared" si="7"/>
        <v/>
      </c>
      <c r="AC125" s="10">
        <f t="shared" si="8"/>
        <v>0.3656597774244833</v>
      </c>
      <c r="AD125" s="8">
        <f t="shared" si="9"/>
        <v>676</v>
      </c>
    </row>
    <row r="126" spans="1:30" ht="15" customHeight="1" x14ac:dyDescent="0.2">
      <c r="A126" s="7">
        <v>2020</v>
      </c>
      <c r="B126" s="7" t="s">
        <v>69</v>
      </c>
      <c r="C126" s="7" t="s">
        <v>57</v>
      </c>
      <c r="D126" s="7">
        <v>36</v>
      </c>
      <c r="E126" s="7" t="s">
        <v>32</v>
      </c>
      <c r="F126" s="7" t="s">
        <v>32</v>
      </c>
      <c r="G126" s="8">
        <v>557</v>
      </c>
      <c r="H126" s="8">
        <v>939</v>
      </c>
      <c r="I126" s="8">
        <v>1496</v>
      </c>
      <c r="J126" s="7" t="s">
        <v>33</v>
      </c>
      <c r="K126" s="7"/>
      <c r="L126" s="8"/>
      <c r="M126" s="8"/>
      <c r="N126" s="8"/>
      <c r="O126" s="7" t="s">
        <v>121</v>
      </c>
      <c r="P126" s="7"/>
      <c r="Q126" s="8"/>
      <c r="R126" s="8"/>
      <c r="S126" s="8"/>
      <c r="T126" s="7" t="s">
        <v>33</v>
      </c>
      <c r="U126" s="7" t="s">
        <v>32</v>
      </c>
      <c r="V126" s="8">
        <v>533</v>
      </c>
      <c r="W126" s="8">
        <v>955</v>
      </c>
      <c r="X126" s="8">
        <v>1488</v>
      </c>
      <c r="Y126" s="9">
        <v>81.5</v>
      </c>
      <c r="Z126" s="10">
        <f t="shared" si="5"/>
        <v>0.37232620320855614</v>
      </c>
      <c r="AA126" s="10" t="str">
        <f t="shared" si="6"/>
        <v/>
      </c>
      <c r="AB126" s="10" t="str">
        <f t="shared" si="7"/>
        <v/>
      </c>
      <c r="AC126" s="10">
        <f t="shared" si="8"/>
        <v>0.35819892473118281</v>
      </c>
      <c r="AD126" s="8">
        <f t="shared" si="9"/>
        <v>422</v>
      </c>
    </row>
    <row r="127" spans="1:30" ht="15" customHeight="1" x14ac:dyDescent="0.2">
      <c r="A127" s="7">
        <v>2020</v>
      </c>
      <c r="B127" s="7" t="s">
        <v>70</v>
      </c>
      <c r="C127" s="7" t="s">
        <v>57</v>
      </c>
      <c r="D127" s="7">
        <v>37</v>
      </c>
      <c r="E127" s="7" t="s">
        <v>32</v>
      </c>
      <c r="F127" s="7" t="s">
        <v>32</v>
      </c>
      <c r="G127" s="8">
        <v>862</v>
      </c>
      <c r="H127" s="8">
        <v>1759</v>
      </c>
      <c r="I127" s="8">
        <v>2621</v>
      </c>
      <c r="J127" s="7" t="s">
        <v>33</v>
      </c>
      <c r="K127" s="7"/>
      <c r="L127" s="8"/>
      <c r="M127" s="8"/>
      <c r="N127" s="8"/>
      <c r="O127" s="7" t="s">
        <v>121</v>
      </c>
      <c r="P127" s="7"/>
      <c r="Q127" s="8"/>
      <c r="R127" s="8"/>
      <c r="S127" s="8"/>
      <c r="T127" s="7" t="s">
        <v>33</v>
      </c>
      <c r="U127" s="7" t="s">
        <v>32</v>
      </c>
      <c r="V127" s="8">
        <v>846</v>
      </c>
      <c r="W127" s="8">
        <v>1783</v>
      </c>
      <c r="X127" s="8">
        <v>2629</v>
      </c>
      <c r="Y127" s="9">
        <v>83.5</v>
      </c>
      <c r="Z127" s="10">
        <f t="shared" si="5"/>
        <v>0.32888210606638685</v>
      </c>
      <c r="AA127" s="10" t="str">
        <f t="shared" si="6"/>
        <v/>
      </c>
      <c r="AB127" s="10" t="str">
        <f t="shared" si="7"/>
        <v/>
      </c>
      <c r="AC127" s="10">
        <f t="shared" si="8"/>
        <v>0.32179535945226323</v>
      </c>
      <c r="AD127" s="8">
        <f t="shared" si="9"/>
        <v>937</v>
      </c>
    </row>
    <row r="128" spans="1:30" ht="15" customHeight="1" x14ac:dyDescent="0.2">
      <c r="A128" s="7">
        <v>2020</v>
      </c>
      <c r="B128" s="7" t="s">
        <v>71</v>
      </c>
      <c r="C128" s="7" t="s">
        <v>57</v>
      </c>
      <c r="D128" s="7">
        <v>38</v>
      </c>
      <c r="E128" s="7" t="s">
        <v>32</v>
      </c>
      <c r="F128" s="7" t="s">
        <v>33</v>
      </c>
      <c r="G128" s="8">
        <v>1002</v>
      </c>
      <c r="H128" s="8">
        <v>861</v>
      </c>
      <c r="I128" s="8">
        <v>1863</v>
      </c>
      <c r="J128" s="7" t="s">
        <v>33</v>
      </c>
      <c r="K128" s="7"/>
      <c r="L128" s="8"/>
      <c r="M128" s="8"/>
      <c r="N128" s="8"/>
      <c r="O128" s="7" t="s">
        <v>121</v>
      </c>
      <c r="P128" s="7"/>
      <c r="Q128" s="8"/>
      <c r="R128" s="8"/>
      <c r="S128" s="8"/>
      <c r="T128" s="7" t="s">
        <v>33</v>
      </c>
      <c r="U128" s="7" t="s">
        <v>33</v>
      </c>
      <c r="V128" s="8">
        <v>997</v>
      </c>
      <c r="W128" s="8">
        <v>860</v>
      </c>
      <c r="X128" s="8">
        <v>1857</v>
      </c>
      <c r="Y128" s="9">
        <v>84.2</v>
      </c>
      <c r="Z128" s="10">
        <f t="shared" si="5"/>
        <v>0.53784219001610301</v>
      </c>
      <c r="AA128" s="10" t="str">
        <f t="shared" si="6"/>
        <v/>
      </c>
      <c r="AB128" s="10" t="str">
        <f t="shared" si="7"/>
        <v/>
      </c>
      <c r="AC128" s="10">
        <f t="shared" si="8"/>
        <v>0.53688745288099082</v>
      </c>
      <c r="AD128" s="8">
        <f t="shared" si="9"/>
        <v>-137</v>
      </c>
    </row>
    <row r="129" spans="1:30" ht="15" customHeight="1" x14ac:dyDescent="0.2">
      <c r="A129" s="7">
        <v>2020</v>
      </c>
      <c r="B129" s="7" t="s">
        <v>72</v>
      </c>
      <c r="C129" s="7" t="s">
        <v>57</v>
      </c>
      <c r="D129" s="7">
        <v>39</v>
      </c>
      <c r="E129" s="7" t="s">
        <v>32</v>
      </c>
      <c r="F129" s="7" t="s">
        <v>32</v>
      </c>
      <c r="G129" s="8">
        <v>3979</v>
      </c>
      <c r="H129" s="8">
        <v>5777</v>
      </c>
      <c r="I129" s="8">
        <v>9756</v>
      </c>
      <c r="J129" s="7" t="s">
        <v>33</v>
      </c>
      <c r="K129" s="7"/>
      <c r="L129" s="8"/>
      <c r="M129" s="8"/>
      <c r="N129" s="8"/>
      <c r="O129" s="7" t="s">
        <v>121</v>
      </c>
      <c r="P129" s="7"/>
      <c r="Q129" s="8"/>
      <c r="R129" s="8"/>
      <c r="S129" s="8"/>
      <c r="T129" s="7" t="s">
        <v>33</v>
      </c>
      <c r="U129" s="7" t="s">
        <v>32</v>
      </c>
      <c r="V129" s="8">
        <v>3900</v>
      </c>
      <c r="W129" s="8">
        <v>5859</v>
      </c>
      <c r="X129" s="8">
        <v>9759</v>
      </c>
      <c r="Y129" s="9">
        <v>83.1</v>
      </c>
      <c r="Z129" s="10">
        <f t="shared" si="5"/>
        <v>0.40785157851578518</v>
      </c>
      <c r="AA129" s="10" t="str">
        <f t="shared" si="6"/>
        <v/>
      </c>
      <c r="AB129" s="10" t="str">
        <f t="shared" si="7"/>
        <v/>
      </c>
      <c r="AC129" s="10">
        <f t="shared" si="8"/>
        <v>0.39963110974485089</v>
      </c>
      <c r="AD129" s="8">
        <f t="shared" si="9"/>
        <v>1959</v>
      </c>
    </row>
    <row r="130" spans="1:30" ht="15" customHeight="1" x14ac:dyDescent="0.2">
      <c r="A130" s="7">
        <v>2020</v>
      </c>
      <c r="B130" s="7" t="s">
        <v>73</v>
      </c>
      <c r="C130" s="7" t="s">
        <v>57</v>
      </c>
      <c r="D130" s="7">
        <v>40</v>
      </c>
      <c r="E130" s="7" t="s">
        <v>32</v>
      </c>
      <c r="F130" s="7" t="s">
        <v>32</v>
      </c>
      <c r="G130" s="8">
        <v>4022</v>
      </c>
      <c r="H130" s="8">
        <v>4162</v>
      </c>
      <c r="I130" s="8">
        <v>8184</v>
      </c>
      <c r="J130" s="7" t="s">
        <v>33</v>
      </c>
      <c r="K130" s="7"/>
      <c r="L130" s="8"/>
      <c r="M130" s="8"/>
      <c r="N130" s="8"/>
      <c r="O130" s="7" t="s">
        <v>121</v>
      </c>
      <c r="P130" s="7"/>
      <c r="Q130" s="8"/>
      <c r="R130" s="8"/>
      <c r="S130" s="8"/>
      <c r="T130" s="7" t="s">
        <v>33</v>
      </c>
      <c r="U130" s="7" t="s">
        <v>32</v>
      </c>
      <c r="V130" s="8">
        <v>4029</v>
      </c>
      <c r="W130" s="8">
        <v>4143</v>
      </c>
      <c r="X130" s="8">
        <v>8172</v>
      </c>
      <c r="Y130" s="9">
        <v>81.900000000000006</v>
      </c>
      <c r="Z130" s="10">
        <f t="shared" ref="Z130:Z193" si="10">IFERROR(G130/(G130+H130),"")</f>
        <v>0.49144672531769307</v>
      </c>
      <c r="AA130" s="10" t="str">
        <f t="shared" ref="AA130:AA193" si="11">IFERROR(L130/(L130+M130),"")</f>
        <v/>
      </c>
      <c r="AB130" s="10" t="str">
        <f t="shared" ref="AB130:AB193" si="12">IFERROR(Q130/(Q130+R130),"")</f>
        <v/>
      </c>
      <c r="AC130" s="10">
        <f t="shared" ref="AC130:AC193" si="13">IFERROR(V130/(V130+W130),"")</f>
        <v>0.49302496328928047</v>
      </c>
      <c r="AD130" s="8">
        <f t="shared" ref="AD130:AD193" si="14">W130-V130</f>
        <v>114</v>
      </c>
    </row>
    <row r="131" spans="1:30" ht="15" customHeight="1" x14ac:dyDescent="0.2">
      <c r="A131" s="7">
        <v>2020</v>
      </c>
      <c r="B131" s="7" t="s">
        <v>74</v>
      </c>
      <c r="C131" s="7" t="s">
        <v>57</v>
      </c>
      <c r="D131" s="7">
        <v>41</v>
      </c>
      <c r="E131" s="7" t="s">
        <v>32</v>
      </c>
      <c r="F131" s="7" t="s">
        <v>32</v>
      </c>
      <c r="G131" s="8">
        <v>733</v>
      </c>
      <c r="H131" s="8">
        <v>1136</v>
      </c>
      <c r="I131" s="8">
        <v>1869</v>
      </c>
      <c r="J131" s="7" t="s">
        <v>33</v>
      </c>
      <c r="K131" s="7"/>
      <c r="L131" s="8"/>
      <c r="M131" s="8"/>
      <c r="N131" s="8"/>
      <c r="O131" s="7" t="s">
        <v>121</v>
      </c>
      <c r="P131" s="7"/>
      <c r="Q131" s="8"/>
      <c r="R131" s="8"/>
      <c r="S131" s="8"/>
      <c r="T131" s="7" t="s">
        <v>33</v>
      </c>
      <c r="U131" s="7" t="s">
        <v>32</v>
      </c>
      <c r="V131" s="8">
        <v>748</v>
      </c>
      <c r="W131" s="8">
        <v>1149</v>
      </c>
      <c r="X131" s="8">
        <v>1897</v>
      </c>
      <c r="Y131" s="9">
        <v>77.5</v>
      </c>
      <c r="Z131" s="10">
        <f t="shared" si="10"/>
        <v>0.39218833600856073</v>
      </c>
      <c r="AA131" s="10" t="str">
        <f t="shared" si="11"/>
        <v/>
      </c>
      <c r="AB131" s="10" t="str">
        <f t="shared" si="12"/>
        <v/>
      </c>
      <c r="AC131" s="10">
        <f t="shared" si="13"/>
        <v>0.39430680021085923</v>
      </c>
      <c r="AD131" s="8">
        <f t="shared" si="14"/>
        <v>401</v>
      </c>
    </row>
    <row r="132" spans="1:30" ht="15" customHeight="1" x14ac:dyDescent="0.2">
      <c r="A132" s="7">
        <v>2020</v>
      </c>
      <c r="B132" s="7" t="s">
        <v>75</v>
      </c>
      <c r="C132" s="7" t="s">
        <v>57</v>
      </c>
      <c r="D132" s="7">
        <v>42</v>
      </c>
      <c r="E132" s="7" t="s">
        <v>32</v>
      </c>
      <c r="F132" s="7" t="s">
        <v>33</v>
      </c>
      <c r="G132" s="8">
        <v>6791</v>
      </c>
      <c r="H132" s="8">
        <v>5735</v>
      </c>
      <c r="I132" s="8">
        <v>12526</v>
      </c>
      <c r="J132" s="7" t="s">
        <v>33</v>
      </c>
      <c r="K132" s="7"/>
      <c r="L132" s="8"/>
      <c r="M132" s="8"/>
      <c r="N132" s="8"/>
      <c r="O132" s="7" t="s">
        <v>121</v>
      </c>
      <c r="P132" s="7"/>
      <c r="Q132" s="8"/>
      <c r="R132" s="8"/>
      <c r="S132" s="8"/>
      <c r="T132" s="7" t="s">
        <v>33</v>
      </c>
      <c r="U132" s="7" t="s">
        <v>33</v>
      </c>
      <c r="V132" s="8">
        <v>6668</v>
      </c>
      <c r="W132" s="8">
        <v>5856</v>
      </c>
      <c r="X132" s="8">
        <v>12524</v>
      </c>
      <c r="Y132" s="9">
        <v>80.5</v>
      </c>
      <c r="Z132" s="10">
        <f t="shared" si="10"/>
        <v>0.54215232316781092</v>
      </c>
      <c r="AA132" s="10" t="str">
        <f t="shared" si="11"/>
        <v/>
      </c>
      <c r="AB132" s="10" t="str">
        <f t="shared" si="12"/>
        <v/>
      </c>
      <c r="AC132" s="10">
        <f t="shared" si="13"/>
        <v>0.53241775790482271</v>
      </c>
      <c r="AD132" s="8">
        <f t="shared" si="14"/>
        <v>-812</v>
      </c>
    </row>
    <row r="133" spans="1:30" ht="15" customHeight="1" x14ac:dyDescent="0.2">
      <c r="A133" s="7">
        <v>2020</v>
      </c>
      <c r="B133" s="7" t="s">
        <v>76</v>
      </c>
      <c r="C133" s="7" t="s">
        <v>57</v>
      </c>
      <c r="D133" s="7">
        <v>43</v>
      </c>
      <c r="E133" s="7" t="s">
        <v>32</v>
      </c>
      <c r="F133" s="7" t="s">
        <v>33</v>
      </c>
      <c r="G133" s="8">
        <v>7715</v>
      </c>
      <c r="H133" s="8">
        <v>6768</v>
      </c>
      <c r="I133" s="8">
        <v>14483</v>
      </c>
      <c r="J133" s="7" t="s">
        <v>33</v>
      </c>
      <c r="K133" s="7"/>
      <c r="L133" s="8"/>
      <c r="M133" s="8"/>
      <c r="N133" s="8"/>
      <c r="O133" s="7" t="s">
        <v>121</v>
      </c>
      <c r="P133" s="7"/>
      <c r="Q133" s="8"/>
      <c r="R133" s="8"/>
      <c r="S133" s="8"/>
      <c r="T133" s="7" t="s">
        <v>33</v>
      </c>
      <c r="U133" s="7" t="s">
        <v>33</v>
      </c>
      <c r="V133" s="8">
        <v>7495</v>
      </c>
      <c r="W133" s="8">
        <v>7011</v>
      </c>
      <c r="X133" s="8">
        <v>14506</v>
      </c>
      <c r="Y133" s="9">
        <v>79.2</v>
      </c>
      <c r="Z133" s="10">
        <f t="shared" si="10"/>
        <v>0.53269350272733551</v>
      </c>
      <c r="AA133" s="10" t="str">
        <f t="shared" si="11"/>
        <v/>
      </c>
      <c r="AB133" s="10" t="str">
        <f t="shared" si="12"/>
        <v/>
      </c>
      <c r="AC133" s="10">
        <f t="shared" si="13"/>
        <v>0.51668275196470426</v>
      </c>
      <c r="AD133" s="8">
        <f t="shared" si="14"/>
        <v>-484</v>
      </c>
    </row>
    <row r="134" spans="1:30" ht="15" customHeight="1" x14ac:dyDescent="0.2">
      <c r="A134" s="7">
        <v>2020</v>
      </c>
      <c r="B134" s="7" t="s">
        <v>77</v>
      </c>
      <c r="C134" s="7" t="s">
        <v>57</v>
      </c>
      <c r="D134" s="7">
        <v>44</v>
      </c>
      <c r="E134" s="7" t="s">
        <v>32</v>
      </c>
      <c r="F134" s="7" t="s">
        <v>32</v>
      </c>
      <c r="G134" s="8">
        <v>2269</v>
      </c>
      <c r="H134" s="8">
        <v>2908</v>
      </c>
      <c r="I134" s="8">
        <v>5177</v>
      </c>
      <c r="J134" s="7" t="s">
        <v>33</v>
      </c>
      <c r="K134" s="7"/>
      <c r="L134" s="8"/>
      <c r="M134" s="8"/>
      <c r="N134" s="8"/>
      <c r="O134" s="7" t="s">
        <v>121</v>
      </c>
      <c r="P134" s="7"/>
      <c r="Q134" s="8"/>
      <c r="R134" s="8"/>
      <c r="S134" s="8"/>
      <c r="T134" s="7" t="s">
        <v>33</v>
      </c>
      <c r="U134" s="7" t="s">
        <v>32</v>
      </c>
      <c r="V134" s="8">
        <v>2222</v>
      </c>
      <c r="W134" s="8">
        <v>2955</v>
      </c>
      <c r="X134" s="8">
        <v>5177</v>
      </c>
      <c r="Y134" s="9">
        <v>81.400000000000006</v>
      </c>
      <c r="Z134" s="10">
        <f t="shared" si="10"/>
        <v>0.43828472088081899</v>
      </c>
      <c r="AA134" s="10" t="str">
        <f t="shared" si="11"/>
        <v/>
      </c>
      <c r="AB134" s="10" t="str">
        <f t="shared" si="12"/>
        <v/>
      </c>
      <c r="AC134" s="10">
        <f t="shared" si="13"/>
        <v>0.42920610392118985</v>
      </c>
      <c r="AD134" s="8">
        <f t="shared" si="14"/>
        <v>733</v>
      </c>
    </row>
    <row r="135" spans="1:30" ht="15" customHeight="1" x14ac:dyDescent="0.2">
      <c r="A135" s="7">
        <v>2020</v>
      </c>
      <c r="B135" s="7" t="s">
        <v>78</v>
      </c>
      <c r="C135" s="7" t="s">
        <v>57</v>
      </c>
      <c r="D135" s="7">
        <v>45</v>
      </c>
      <c r="E135" s="7" t="s">
        <v>32</v>
      </c>
      <c r="F135" s="7" t="s">
        <v>32</v>
      </c>
      <c r="G135" s="8">
        <v>5051</v>
      </c>
      <c r="H135" s="8">
        <v>5282</v>
      </c>
      <c r="I135" s="8">
        <v>10333</v>
      </c>
      <c r="J135" s="7" t="s">
        <v>33</v>
      </c>
      <c r="K135" s="7"/>
      <c r="L135" s="8"/>
      <c r="M135" s="8"/>
      <c r="N135" s="8"/>
      <c r="O135" s="7" t="s">
        <v>121</v>
      </c>
      <c r="P135" s="7"/>
      <c r="Q135" s="8"/>
      <c r="R135" s="8"/>
      <c r="S135" s="8"/>
      <c r="T135" s="7" t="s">
        <v>33</v>
      </c>
      <c r="U135" s="7" t="s">
        <v>32</v>
      </c>
      <c r="V135" s="8">
        <v>4817</v>
      </c>
      <c r="W135" s="8">
        <v>5501</v>
      </c>
      <c r="X135" s="8">
        <v>10318</v>
      </c>
      <c r="Y135" s="9">
        <v>84.1</v>
      </c>
      <c r="Z135" s="10">
        <f t="shared" si="10"/>
        <v>0.48882222007161519</v>
      </c>
      <c r="AA135" s="10" t="str">
        <f t="shared" si="11"/>
        <v/>
      </c>
      <c r="AB135" s="10" t="str">
        <f t="shared" si="12"/>
        <v/>
      </c>
      <c r="AC135" s="10">
        <f t="shared" si="13"/>
        <v>0.46685404148090714</v>
      </c>
      <c r="AD135" s="8">
        <f t="shared" si="14"/>
        <v>684</v>
      </c>
    </row>
    <row r="136" spans="1:30" ht="15" customHeight="1" x14ac:dyDescent="0.2">
      <c r="A136" s="7">
        <v>2020</v>
      </c>
      <c r="B136" s="7" t="s">
        <v>79</v>
      </c>
      <c r="C136" s="7" t="s">
        <v>57</v>
      </c>
      <c r="D136" s="7">
        <v>46</v>
      </c>
      <c r="E136" s="7" t="s">
        <v>32</v>
      </c>
      <c r="F136" s="7" t="s">
        <v>32</v>
      </c>
      <c r="G136" s="8">
        <v>1227</v>
      </c>
      <c r="H136" s="8">
        <v>2583</v>
      </c>
      <c r="I136" s="8">
        <v>3810</v>
      </c>
      <c r="J136" s="7" t="s">
        <v>33</v>
      </c>
      <c r="K136" s="7"/>
      <c r="L136" s="8"/>
      <c r="M136" s="8"/>
      <c r="N136" s="8"/>
      <c r="O136" s="7" t="s">
        <v>121</v>
      </c>
      <c r="P136" s="7"/>
      <c r="Q136" s="8"/>
      <c r="R136" s="8"/>
      <c r="S136" s="8"/>
      <c r="T136" s="7" t="s">
        <v>33</v>
      </c>
      <c r="U136" s="7" t="s">
        <v>32</v>
      </c>
      <c r="V136" s="8">
        <v>1231</v>
      </c>
      <c r="W136" s="8">
        <v>2578</v>
      </c>
      <c r="X136" s="8">
        <v>3809</v>
      </c>
      <c r="Y136" s="9">
        <v>80.900000000000006</v>
      </c>
      <c r="Z136" s="10">
        <f t="shared" si="10"/>
        <v>0.32204724409448821</v>
      </c>
      <c r="AA136" s="10" t="str">
        <f t="shared" si="11"/>
        <v/>
      </c>
      <c r="AB136" s="10" t="str">
        <f t="shared" si="12"/>
        <v/>
      </c>
      <c r="AC136" s="10">
        <f t="shared" si="13"/>
        <v>0.3231819375164085</v>
      </c>
      <c r="AD136" s="8">
        <f t="shared" si="14"/>
        <v>1347</v>
      </c>
    </row>
    <row r="137" spans="1:30" ht="15" customHeight="1" x14ac:dyDescent="0.2">
      <c r="A137" s="7">
        <v>2020</v>
      </c>
      <c r="B137" s="7" t="s">
        <v>80</v>
      </c>
      <c r="C137" s="7" t="s">
        <v>57</v>
      </c>
      <c r="D137" s="7">
        <v>47</v>
      </c>
      <c r="E137" s="7" t="s">
        <v>32</v>
      </c>
      <c r="F137" s="7" t="s">
        <v>32</v>
      </c>
      <c r="G137" s="8">
        <v>1125</v>
      </c>
      <c r="H137" s="8">
        <v>2097</v>
      </c>
      <c r="I137" s="8">
        <v>3222</v>
      </c>
      <c r="J137" s="7" t="s">
        <v>33</v>
      </c>
      <c r="K137" s="7"/>
      <c r="L137" s="8"/>
      <c r="M137" s="8"/>
      <c r="N137" s="8"/>
      <c r="O137" s="7" t="s">
        <v>121</v>
      </c>
      <c r="P137" s="7"/>
      <c r="Q137" s="8"/>
      <c r="R137" s="8"/>
      <c r="S137" s="8"/>
      <c r="T137" s="7" t="s">
        <v>33</v>
      </c>
      <c r="U137" s="7" t="s">
        <v>32</v>
      </c>
      <c r="V137" s="8">
        <v>1073</v>
      </c>
      <c r="W137" s="8">
        <v>2156</v>
      </c>
      <c r="X137" s="8">
        <v>3229</v>
      </c>
      <c r="Y137" s="9">
        <v>85.1</v>
      </c>
      <c r="Z137" s="10">
        <f t="shared" si="10"/>
        <v>0.34916201117318435</v>
      </c>
      <c r="AA137" s="10" t="str">
        <f t="shared" si="11"/>
        <v/>
      </c>
      <c r="AB137" s="10" t="str">
        <f t="shared" si="12"/>
        <v/>
      </c>
      <c r="AC137" s="10">
        <f t="shared" si="13"/>
        <v>0.33230102198823164</v>
      </c>
      <c r="AD137" s="8">
        <f t="shared" si="14"/>
        <v>1083</v>
      </c>
    </row>
    <row r="138" spans="1:30" ht="15" customHeight="1" x14ac:dyDescent="0.2">
      <c r="A138" s="7">
        <v>2020</v>
      </c>
      <c r="B138" s="7" t="s">
        <v>81</v>
      </c>
      <c r="C138" s="7" t="s">
        <v>57</v>
      </c>
      <c r="D138" s="7">
        <v>48</v>
      </c>
      <c r="E138" s="7" t="s">
        <v>32</v>
      </c>
      <c r="F138" s="7" t="s">
        <v>33</v>
      </c>
      <c r="G138" s="8">
        <v>7500</v>
      </c>
      <c r="H138" s="8">
        <v>6783</v>
      </c>
      <c r="I138" s="8">
        <v>14283</v>
      </c>
      <c r="J138" s="7" t="s">
        <v>33</v>
      </c>
      <c r="K138" s="7"/>
      <c r="L138" s="8"/>
      <c r="M138" s="8"/>
      <c r="N138" s="8"/>
      <c r="O138" s="7" t="s">
        <v>121</v>
      </c>
      <c r="P138" s="7"/>
      <c r="Q138" s="8"/>
      <c r="R138" s="8"/>
      <c r="S138" s="8"/>
      <c r="T138" s="7" t="s">
        <v>33</v>
      </c>
      <c r="U138" s="7" t="s">
        <v>33</v>
      </c>
      <c r="V138" s="8">
        <v>7458</v>
      </c>
      <c r="W138" s="8">
        <v>6731</v>
      </c>
      <c r="X138" s="8">
        <v>14189</v>
      </c>
      <c r="Y138" s="9">
        <v>69.8</v>
      </c>
      <c r="Z138" s="10">
        <f t="shared" si="10"/>
        <v>0.52509976895610166</v>
      </c>
      <c r="AA138" s="10" t="str">
        <f t="shared" si="11"/>
        <v/>
      </c>
      <c r="AB138" s="10" t="str">
        <f t="shared" si="12"/>
        <v/>
      </c>
      <c r="AC138" s="10">
        <f t="shared" si="13"/>
        <v>0.52561843681725284</v>
      </c>
      <c r="AD138" s="8">
        <f t="shared" si="14"/>
        <v>-727</v>
      </c>
    </row>
    <row r="139" spans="1:30" ht="15" customHeight="1" x14ac:dyDescent="0.2">
      <c r="A139" s="7">
        <v>2020</v>
      </c>
      <c r="B139" s="7" t="s">
        <v>82</v>
      </c>
      <c r="C139" s="7" t="s">
        <v>83</v>
      </c>
      <c r="D139" s="7">
        <v>49</v>
      </c>
      <c r="E139" s="7" t="s">
        <v>32</v>
      </c>
      <c r="F139" s="7" t="s">
        <v>32</v>
      </c>
      <c r="G139" s="8">
        <v>482</v>
      </c>
      <c r="H139" s="8">
        <v>1005</v>
      </c>
      <c r="I139" s="8">
        <v>1487</v>
      </c>
      <c r="J139" s="7" t="s">
        <v>33</v>
      </c>
      <c r="K139" s="7"/>
      <c r="L139" s="8"/>
      <c r="M139" s="8"/>
      <c r="N139" s="8"/>
      <c r="O139" s="7" t="s">
        <v>121</v>
      </c>
      <c r="P139" s="7"/>
      <c r="Q139" s="8"/>
      <c r="R139" s="8"/>
      <c r="S139" s="8"/>
      <c r="T139" s="7" t="s">
        <v>33</v>
      </c>
      <c r="U139" s="7" t="s">
        <v>32</v>
      </c>
      <c r="V139" s="8">
        <v>482</v>
      </c>
      <c r="W139" s="8">
        <v>987</v>
      </c>
      <c r="X139" s="8">
        <v>1469</v>
      </c>
      <c r="Y139" s="9">
        <v>76.099999999999994</v>
      </c>
      <c r="Z139" s="10">
        <f t="shared" si="10"/>
        <v>0.32414256893073301</v>
      </c>
      <c r="AA139" s="10" t="str">
        <f t="shared" si="11"/>
        <v/>
      </c>
      <c r="AB139" s="10" t="str">
        <f t="shared" si="12"/>
        <v/>
      </c>
      <c r="AC139" s="10">
        <f t="shared" si="13"/>
        <v>0.3281143635125936</v>
      </c>
      <c r="AD139" s="8">
        <f t="shared" si="14"/>
        <v>505</v>
      </c>
    </row>
    <row r="140" spans="1:30" ht="15" customHeight="1" x14ac:dyDescent="0.2">
      <c r="A140" s="7">
        <v>2020</v>
      </c>
      <c r="B140" s="7" t="s">
        <v>84</v>
      </c>
      <c r="C140" s="7" t="s">
        <v>83</v>
      </c>
      <c r="D140" s="7">
        <v>50</v>
      </c>
      <c r="E140" s="7" t="s">
        <v>32</v>
      </c>
      <c r="F140" s="7" t="s">
        <v>32</v>
      </c>
      <c r="G140" s="8">
        <v>1325</v>
      </c>
      <c r="H140" s="8">
        <v>2579</v>
      </c>
      <c r="I140" s="8">
        <v>3904</v>
      </c>
      <c r="J140" s="7" t="s">
        <v>33</v>
      </c>
      <c r="K140" s="7"/>
      <c r="L140" s="8"/>
      <c r="M140" s="8"/>
      <c r="N140" s="8"/>
      <c r="O140" s="7" t="s">
        <v>121</v>
      </c>
      <c r="P140" s="7"/>
      <c r="Q140" s="8"/>
      <c r="R140" s="8"/>
      <c r="S140" s="8"/>
      <c r="T140" s="7" t="s">
        <v>33</v>
      </c>
      <c r="U140" s="7" t="s">
        <v>32</v>
      </c>
      <c r="V140" s="8">
        <v>1425</v>
      </c>
      <c r="W140" s="8">
        <v>2491</v>
      </c>
      <c r="X140" s="8">
        <v>3916</v>
      </c>
      <c r="Y140" s="9">
        <v>73.400000000000006</v>
      </c>
      <c r="Z140" s="10">
        <f t="shared" si="10"/>
        <v>0.33939549180327871</v>
      </c>
      <c r="AA140" s="10" t="str">
        <f t="shared" si="11"/>
        <v/>
      </c>
      <c r="AB140" s="10" t="str">
        <f t="shared" si="12"/>
        <v/>
      </c>
      <c r="AC140" s="10">
        <f t="shared" si="13"/>
        <v>0.3638917262512768</v>
      </c>
      <c r="AD140" s="8">
        <f t="shared" si="14"/>
        <v>1066</v>
      </c>
    </row>
    <row r="141" spans="1:30" ht="15" customHeight="1" x14ac:dyDescent="0.2">
      <c r="A141" s="7">
        <v>2020</v>
      </c>
      <c r="B141" s="7" t="s">
        <v>85</v>
      </c>
      <c r="C141" s="7" t="s">
        <v>83</v>
      </c>
      <c r="D141" s="7">
        <v>51</v>
      </c>
      <c r="E141" s="7" t="s">
        <v>32</v>
      </c>
      <c r="F141" s="7" t="s">
        <v>32</v>
      </c>
      <c r="G141" s="8">
        <v>1091</v>
      </c>
      <c r="H141" s="8">
        <v>1744</v>
      </c>
      <c r="I141" s="8">
        <v>2835</v>
      </c>
      <c r="J141" s="7" t="s">
        <v>33</v>
      </c>
      <c r="K141" s="7"/>
      <c r="L141" s="8"/>
      <c r="M141" s="8"/>
      <c r="N141" s="8"/>
      <c r="O141" s="7" t="s">
        <v>121</v>
      </c>
      <c r="P141" s="7"/>
      <c r="Q141" s="8"/>
      <c r="R141" s="8"/>
      <c r="S141" s="8"/>
      <c r="T141" s="7" t="s">
        <v>33</v>
      </c>
      <c r="U141" s="7" t="s">
        <v>32</v>
      </c>
      <c r="V141" s="8">
        <v>1096</v>
      </c>
      <c r="W141" s="8">
        <v>1735</v>
      </c>
      <c r="X141" s="8">
        <v>2831</v>
      </c>
      <c r="Y141" s="9">
        <v>69</v>
      </c>
      <c r="Z141" s="10">
        <f t="shared" si="10"/>
        <v>0.38483245149911816</v>
      </c>
      <c r="AA141" s="10" t="str">
        <f t="shared" si="11"/>
        <v/>
      </c>
      <c r="AB141" s="10" t="str">
        <f t="shared" si="12"/>
        <v/>
      </c>
      <c r="AC141" s="10">
        <f t="shared" si="13"/>
        <v>0.3871423525256093</v>
      </c>
      <c r="AD141" s="8">
        <f t="shared" si="14"/>
        <v>639</v>
      </c>
    </row>
    <row r="142" spans="1:30" ht="15" customHeight="1" x14ac:dyDescent="0.2">
      <c r="A142" s="7">
        <v>2020</v>
      </c>
      <c r="B142" s="7" t="s">
        <v>86</v>
      </c>
      <c r="C142" s="7" t="s">
        <v>87</v>
      </c>
      <c r="D142" s="7">
        <v>52</v>
      </c>
      <c r="E142" s="7" t="s">
        <v>32</v>
      </c>
      <c r="F142" s="7" t="s">
        <v>32</v>
      </c>
      <c r="G142" s="8">
        <v>1448</v>
      </c>
      <c r="H142" s="8">
        <v>1904</v>
      </c>
      <c r="I142" s="8">
        <v>3352</v>
      </c>
      <c r="J142" s="7" t="s">
        <v>33</v>
      </c>
      <c r="K142" s="7"/>
      <c r="L142" s="8"/>
      <c r="M142" s="8"/>
      <c r="N142" s="8"/>
      <c r="O142" s="7" t="s">
        <v>121</v>
      </c>
      <c r="P142" s="7"/>
      <c r="Q142" s="8"/>
      <c r="R142" s="8"/>
      <c r="S142" s="8"/>
      <c r="T142" s="7" t="s">
        <v>33</v>
      </c>
      <c r="U142" s="7" t="s">
        <v>32</v>
      </c>
      <c r="V142" s="8">
        <v>1432</v>
      </c>
      <c r="W142" s="8">
        <v>1882</v>
      </c>
      <c r="X142" s="8">
        <v>3314</v>
      </c>
      <c r="Y142" s="9">
        <v>81.400000000000006</v>
      </c>
      <c r="Z142" s="10">
        <f t="shared" si="10"/>
        <v>0.43198090692124103</v>
      </c>
      <c r="AA142" s="10" t="str">
        <f t="shared" si="11"/>
        <v/>
      </c>
      <c r="AB142" s="10" t="str">
        <f t="shared" si="12"/>
        <v/>
      </c>
      <c r="AC142" s="10">
        <f t="shared" si="13"/>
        <v>0.43210621605310801</v>
      </c>
      <c r="AD142" s="8">
        <f t="shared" si="14"/>
        <v>450</v>
      </c>
    </row>
    <row r="143" spans="1:30" ht="15" customHeight="1" x14ac:dyDescent="0.2">
      <c r="A143" s="7">
        <v>2020</v>
      </c>
      <c r="B143" s="7" t="s">
        <v>88</v>
      </c>
      <c r="C143" s="7" t="s">
        <v>87</v>
      </c>
      <c r="D143" s="7">
        <v>53</v>
      </c>
      <c r="E143" s="7" t="s">
        <v>32</v>
      </c>
      <c r="F143" s="7" t="s">
        <v>32</v>
      </c>
      <c r="G143" s="8">
        <v>977</v>
      </c>
      <c r="H143" s="8">
        <v>1361</v>
      </c>
      <c r="I143" s="8">
        <v>2338</v>
      </c>
      <c r="J143" s="7" t="s">
        <v>33</v>
      </c>
      <c r="K143" s="7"/>
      <c r="L143" s="8"/>
      <c r="M143" s="8"/>
      <c r="N143" s="8"/>
      <c r="O143" s="7" t="s">
        <v>121</v>
      </c>
      <c r="P143" s="7"/>
      <c r="Q143" s="8"/>
      <c r="R143" s="8"/>
      <c r="S143" s="8"/>
      <c r="T143" s="7" t="s">
        <v>33</v>
      </c>
      <c r="U143" s="7" t="s">
        <v>32</v>
      </c>
      <c r="V143" s="8">
        <v>965</v>
      </c>
      <c r="W143" s="8">
        <v>1342</v>
      </c>
      <c r="X143" s="8">
        <v>2307</v>
      </c>
      <c r="Y143" s="9">
        <v>71.2</v>
      </c>
      <c r="Z143" s="10">
        <f t="shared" si="10"/>
        <v>0.41787852865697178</v>
      </c>
      <c r="AA143" s="10" t="str">
        <f t="shared" si="11"/>
        <v/>
      </c>
      <c r="AB143" s="10" t="str">
        <f t="shared" si="12"/>
        <v/>
      </c>
      <c r="AC143" s="10">
        <f t="shared" si="13"/>
        <v>0.41829215431296057</v>
      </c>
      <c r="AD143" s="8">
        <f t="shared" si="14"/>
        <v>377</v>
      </c>
    </row>
    <row r="144" spans="1:30" ht="15" customHeight="1" x14ac:dyDescent="0.2">
      <c r="A144" s="7">
        <v>2020</v>
      </c>
      <c r="B144" s="7" t="s">
        <v>89</v>
      </c>
      <c r="C144" s="7" t="s">
        <v>87</v>
      </c>
      <c r="D144" s="7">
        <v>54</v>
      </c>
      <c r="E144" s="7" t="s">
        <v>32</v>
      </c>
      <c r="F144" s="7" t="s">
        <v>32</v>
      </c>
      <c r="G144" s="8">
        <v>598</v>
      </c>
      <c r="H144" s="8">
        <v>690</v>
      </c>
      <c r="I144" s="8">
        <v>1288</v>
      </c>
      <c r="J144" s="7" t="s">
        <v>33</v>
      </c>
      <c r="K144" s="7"/>
      <c r="L144" s="8"/>
      <c r="M144" s="8"/>
      <c r="N144" s="8"/>
      <c r="O144" s="7" t="s">
        <v>121</v>
      </c>
      <c r="P144" s="7"/>
      <c r="Q144" s="8"/>
      <c r="R144" s="8"/>
      <c r="S144" s="8"/>
      <c r="T144" s="7" t="s">
        <v>33</v>
      </c>
      <c r="U144" s="7" t="s">
        <v>32</v>
      </c>
      <c r="V144" s="8">
        <v>579</v>
      </c>
      <c r="W144" s="8">
        <v>695</v>
      </c>
      <c r="X144" s="8">
        <v>1274</v>
      </c>
      <c r="Y144" s="9">
        <v>73.5</v>
      </c>
      <c r="Z144" s="10">
        <f t="shared" si="10"/>
        <v>0.4642857142857143</v>
      </c>
      <c r="AA144" s="10" t="str">
        <f t="shared" si="11"/>
        <v/>
      </c>
      <c r="AB144" s="10" t="str">
        <f t="shared" si="12"/>
        <v/>
      </c>
      <c r="AC144" s="10">
        <f t="shared" si="13"/>
        <v>0.45447409733124017</v>
      </c>
      <c r="AD144" s="8">
        <f t="shared" si="14"/>
        <v>116</v>
      </c>
    </row>
    <row r="145" spans="1:30" ht="15" customHeight="1" x14ac:dyDescent="0.2">
      <c r="A145" s="7">
        <v>2020</v>
      </c>
      <c r="B145" s="7" t="s">
        <v>59</v>
      </c>
      <c r="C145" s="7" t="s">
        <v>87</v>
      </c>
      <c r="D145" s="7">
        <v>55</v>
      </c>
      <c r="E145" s="7" t="s">
        <v>32</v>
      </c>
      <c r="F145" s="7" t="s">
        <v>33</v>
      </c>
      <c r="G145" s="8">
        <v>17179</v>
      </c>
      <c r="H145" s="8">
        <v>8254</v>
      </c>
      <c r="I145" s="8">
        <v>25433</v>
      </c>
      <c r="J145" s="7" t="s">
        <v>33</v>
      </c>
      <c r="K145" s="7"/>
      <c r="L145" s="8"/>
      <c r="M145" s="8"/>
      <c r="N145" s="8"/>
      <c r="O145" s="7" t="s">
        <v>121</v>
      </c>
      <c r="P145" s="7"/>
      <c r="Q145" s="8"/>
      <c r="R145" s="8"/>
      <c r="S145" s="8"/>
      <c r="T145" s="7" t="s">
        <v>33</v>
      </c>
      <c r="U145" s="7" t="s">
        <v>33</v>
      </c>
      <c r="V145" s="8">
        <v>16692</v>
      </c>
      <c r="W145" s="8">
        <v>8176</v>
      </c>
      <c r="X145" s="8">
        <v>24868</v>
      </c>
      <c r="Y145" s="9">
        <v>72.099999999999994</v>
      </c>
      <c r="Z145" s="10">
        <f t="shared" si="10"/>
        <v>0.67546101521645108</v>
      </c>
      <c r="AA145" s="10" t="str">
        <f t="shared" si="11"/>
        <v/>
      </c>
      <c r="AB145" s="10" t="str">
        <f t="shared" si="12"/>
        <v/>
      </c>
      <c r="AC145" s="10">
        <f t="shared" si="13"/>
        <v>0.67122406305291937</v>
      </c>
      <c r="AD145" s="8">
        <f t="shared" si="14"/>
        <v>-8516</v>
      </c>
    </row>
    <row r="146" spans="1:30" ht="15" customHeight="1" x14ac:dyDescent="0.2">
      <c r="A146" s="7">
        <v>2020</v>
      </c>
      <c r="B146" s="7" t="s">
        <v>90</v>
      </c>
      <c r="C146" s="7" t="s">
        <v>87</v>
      </c>
      <c r="D146" s="7">
        <v>56</v>
      </c>
      <c r="E146" s="7" t="s">
        <v>32</v>
      </c>
      <c r="F146" s="7" t="s">
        <v>33</v>
      </c>
      <c r="G146" s="8">
        <v>8297</v>
      </c>
      <c r="H146" s="8">
        <v>7279</v>
      </c>
      <c r="I146" s="8">
        <v>15576</v>
      </c>
      <c r="J146" s="7" t="s">
        <v>33</v>
      </c>
      <c r="K146" s="7"/>
      <c r="L146" s="8"/>
      <c r="M146" s="8"/>
      <c r="N146" s="8"/>
      <c r="O146" s="7" t="s">
        <v>121</v>
      </c>
      <c r="P146" s="7"/>
      <c r="Q146" s="8"/>
      <c r="R146" s="8"/>
      <c r="S146" s="8"/>
      <c r="T146" s="7" t="s">
        <v>33</v>
      </c>
      <c r="U146" s="7" t="s">
        <v>33</v>
      </c>
      <c r="V146" s="8">
        <v>8164</v>
      </c>
      <c r="W146" s="8">
        <v>7277</v>
      </c>
      <c r="X146" s="8">
        <v>15441</v>
      </c>
      <c r="Y146" s="9">
        <v>80.069999999999993</v>
      </c>
      <c r="Z146" s="10">
        <f t="shared" si="10"/>
        <v>0.53267847971237803</v>
      </c>
      <c r="AA146" s="10" t="str">
        <f t="shared" si="11"/>
        <v/>
      </c>
      <c r="AB146" s="10" t="str">
        <f t="shared" si="12"/>
        <v/>
      </c>
      <c r="AC146" s="10">
        <f t="shared" si="13"/>
        <v>0.52872223301599641</v>
      </c>
      <c r="AD146" s="8">
        <f t="shared" si="14"/>
        <v>-887</v>
      </c>
    </row>
    <row r="147" spans="1:30" ht="15" customHeight="1" x14ac:dyDescent="0.2">
      <c r="A147" s="7">
        <v>2020</v>
      </c>
      <c r="B147" s="7" t="s">
        <v>91</v>
      </c>
      <c r="C147" s="7" t="s">
        <v>87</v>
      </c>
      <c r="D147" s="7">
        <v>57</v>
      </c>
      <c r="E147" s="7" t="s">
        <v>32</v>
      </c>
      <c r="F147" s="7" t="s">
        <v>32</v>
      </c>
      <c r="G147" s="8">
        <v>2068</v>
      </c>
      <c r="H147" s="8">
        <v>3344</v>
      </c>
      <c r="I147" s="8">
        <v>5412</v>
      </c>
      <c r="J147" s="7" t="s">
        <v>33</v>
      </c>
      <c r="K147" s="7"/>
      <c r="L147" s="8"/>
      <c r="M147" s="8"/>
      <c r="N147" s="8"/>
      <c r="O147" s="7" t="s">
        <v>121</v>
      </c>
      <c r="P147" s="7"/>
      <c r="Q147" s="8"/>
      <c r="R147" s="8"/>
      <c r="S147" s="8"/>
      <c r="T147" s="7" t="s">
        <v>33</v>
      </c>
      <c r="U147" s="7" t="s">
        <v>32</v>
      </c>
      <c r="V147" s="8">
        <v>1988</v>
      </c>
      <c r="W147" s="8">
        <v>3385</v>
      </c>
      <c r="X147" s="8">
        <v>5373</v>
      </c>
      <c r="Y147" s="9">
        <v>84.9</v>
      </c>
      <c r="Z147" s="10">
        <f t="shared" si="10"/>
        <v>0.38211382113821141</v>
      </c>
      <c r="AA147" s="10" t="str">
        <f t="shared" si="11"/>
        <v/>
      </c>
      <c r="AB147" s="10" t="str">
        <f t="shared" si="12"/>
        <v/>
      </c>
      <c r="AC147" s="10">
        <f t="shared" si="13"/>
        <v>0.36999813884235994</v>
      </c>
      <c r="AD147" s="8">
        <f t="shared" si="14"/>
        <v>1397</v>
      </c>
    </row>
    <row r="148" spans="1:30" ht="15" customHeight="1" x14ac:dyDescent="0.2">
      <c r="A148" s="7">
        <v>2020</v>
      </c>
      <c r="B148" s="7" t="s">
        <v>92</v>
      </c>
      <c r="C148" s="7" t="s">
        <v>87</v>
      </c>
      <c r="D148" s="7">
        <v>58</v>
      </c>
      <c r="E148" s="7" t="s">
        <v>32</v>
      </c>
      <c r="F148" s="7" t="s">
        <v>32</v>
      </c>
      <c r="G148" s="8">
        <v>40</v>
      </c>
      <c r="H148" s="8">
        <v>78</v>
      </c>
      <c r="I148" s="8">
        <v>118</v>
      </c>
      <c r="J148" s="7" t="s">
        <v>33</v>
      </c>
      <c r="K148" s="7"/>
      <c r="L148" s="8"/>
      <c r="M148" s="8"/>
      <c r="N148" s="8"/>
      <c r="O148" s="7" t="s">
        <v>121</v>
      </c>
      <c r="P148" s="7"/>
      <c r="Q148" s="8"/>
      <c r="R148" s="8"/>
      <c r="S148" s="8"/>
      <c r="T148" s="7" t="s">
        <v>33</v>
      </c>
      <c r="U148" s="7" t="s">
        <v>32</v>
      </c>
      <c r="V148" s="8">
        <v>39</v>
      </c>
      <c r="W148" s="8">
        <v>79</v>
      </c>
      <c r="X148" s="8">
        <v>118</v>
      </c>
      <c r="Y148" s="9">
        <v>74.2</v>
      </c>
      <c r="Z148" s="10">
        <f t="shared" si="10"/>
        <v>0.33898305084745761</v>
      </c>
      <c r="AA148" s="10" t="str">
        <f t="shared" si="11"/>
        <v/>
      </c>
      <c r="AB148" s="10" t="str">
        <f t="shared" si="12"/>
        <v/>
      </c>
      <c r="AC148" s="10">
        <f t="shared" si="13"/>
        <v>0.33050847457627119</v>
      </c>
      <c r="AD148" s="8">
        <f t="shared" si="14"/>
        <v>40</v>
      </c>
    </row>
    <row r="149" spans="1:30" ht="15" customHeight="1" x14ac:dyDescent="0.2">
      <c r="A149" s="7">
        <v>2020</v>
      </c>
      <c r="B149" s="7" t="s">
        <v>93</v>
      </c>
      <c r="C149" s="7" t="s">
        <v>87</v>
      </c>
      <c r="D149" s="7">
        <v>59</v>
      </c>
      <c r="E149" s="7" t="s">
        <v>32</v>
      </c>
      <c r="F149" s="7" t="s">
        <v>32</v>
      </c>
      <c r="G149" s="8">
        <v>1237</v>
      </c>
      <c r="H149" s="8">
        <v>1787</v>
      </c>
      <c r="I149" s="8">
        <v>3024</v>
      </c>
      <c r="J149" s="7" t="s">
        <v>33</v>
      </c>
      <c r="K149" s="7"/>
      <c r="L149" s="8"/>
      <c r="M149" s="8"/>
      <c r="N149" s="8"/>
      <c r="O149" s="7" t="s">
        <v>121</v>
      </c>
      <c r="P149" s="7"/>
      <c r="Q149" s="8"/>
      <c r="R149" s="8"/>
      <c r="S149" s="8"/>
      <c r="T149" s="7" t="s">
        <v>33</v>
      </c>
      <c r="U149" s="7" t="s">
        <v>32</v>
      </c>
      <c r="V149" s="8">
        <v>1215</v>
      </c>
      <c r="W149" s="8">
        <v>1784</v>
      </c>
      <c r="X149" s="8">
        <v>2999</v>
      </c>
      <c r="Y149" s="9">
        <v>82.5</v>
      </c>
      <c r="Z149" s="10">
        <f t="shared" si="10"/>
        <v>0.40906084656084657</v>
      </c>
      <c r="AA149" s="10" t="str">
        <f t="shared" si="11"/>
        <v/>
      </c>
      <c r="AB149" s="10" t="str">
        <f t="shared" si="12"/>
        <v/>
      </c>
      <c r="AC149" s="10">
        <f t="shared" si="13"/>
        <v>0.40513504501500502</v>
      </c>
      <c r="AD149" s="8">
        <f t="shared" si="14"/>
        <v>569</v>
      </c>
    </row>
    <row r="150" spans="1:30" ht="15" customHeight="1" x14ac:dyDescent="0.2">
      <c r="A150" s="7">
        <v>2020</v>
      </c>
      <c r="B150" s="7" t="s">
        <v>94</v>
      </c>
      <c r="C150" s="7" t="s">
        <v>87</v>
      </c>
      <c r="D150" s="7">
        <v>60</v>
      </c>
      <c r="E150" s="7" t="s">
        <v>32</v>
      </c>
      <c r="F150" s="7" t="s">
        <v>32</v>
      </c>
      <c r="G150" s="8">
        <v>165</v>
      </c>
      <c r="H150" s="8">
        <v>339</v>
      </c>
      <c r="I150" s="8">
        <v>504</v>
      </c>
      <c r="J150" s="7" t="s">
        <v>33</v>
      </c>
      <c r="K150" s="7"/>
      <c r="L150" s="8"/>
      <c r="M150" s="8"/>
      <c r="N150" s="8"/>
      <c r="O150" s="7" t="s">
        <v>121</v>
      </c>
      <c r="P150" s="7"/>
      <c r="Q150" s="8"/>
      <c r="R150" s="8"/>
      <c r="S150" s="8"/>
      <c r="T150" s="7" t="s">
        <v>33</v>
      </c>
      <c r="U150" s="7" t="s">
        <v>32</v>
      </c>
      <c r="V150" s="8">
        <v>166</v>
      </c>
      <c r="W150" s="8">
        <v>332</v>
      </c>
      <c r="X150" s="8">
        <v>498</v>
      </c>
      <c r="Y150" s="9">
        <v>70.8</v>
      </c>
      <c r="Z150" s="10">
        <f t="shared" si="10"/>
        <v>0.32738095238095238</v>
      </c>
      <c r="AA150" s="10" t="str">
        <f t="shared" si="11"/>
        <v/>
      </c>
      <c r="AB150" s="10" t="str">
        <f t="shared" si="12"/>
        <v/>
      </c>
      <c r="AC150" s="10">
        <f t="shared" si="13"/>
        <v>0.33333333333333331</v>
      </c>
      <c r="AD150" s="8">
        <f t="shared" si="14"/>
        <v>166</v>
      </c>
    </row>
    <row r="151" spans="1:30" ht="15" customHeight="1" x14ac:dyDescent="0.2">
      <c r="A151" s="7">
        <v>2020</v>
      </c>
      <c r="B151" s="7" t="s">
        <v>95</v>
      </c>
      <c r="C151" s="7" t="s">
        <v>87</v>
      </c>
      <c r="D151" s="7">
        <v>61</v>
      </c>
      <c r="E151" s="7" t="s">
        <v>32</v>
      </c>
      <c r="F151" s="7" t="s">
        <v>33</v>
      </c>
      <c r="G151" s="8">
        <v>7221</v>
      </c>
      <c r="H151" s="8">
        <v>3106</v>
      </c>
      <c r="I151" s="8">
        <v>10327</v>
      </c>
      <c r="J151" s="7" t="s">
        <v>33</v>
      </c>
      <c r="K151" s="7"/>
      <c r="L151" s="8"/>
      <c r="M151" s="8"/>
      <c r="N151" s="8"/>
      <c r="O151" s="7" t="s">
        <v>121</v>
      </c>
      <c r="P151" s="7"/>
      <c r="Q151" s="8"/>
      <c r="R151" s="8"/>
      <c r="S151" s="8"/>
      <c r="T151" s="7" t="s">
        <v>33</v>
      </c>
      <c r="U151" s="7" t="s">
        <v>33</v>
      </c>
      <c r="V151" s="8">
        <v>7095</v>
      </c>
      <c r="W151" s="8">
        <v>2953</v>
      </c>
      <c r="X151" s="8">
        <v>10048</v>
      </c>
      <c r="Y151" s="9">
        <v>65.5</v>
      </c>
      <c r="Z151" s="10">
        <f t="shared" si="10"/>
        <v>0.69923501500919916</v>
      </c>
      <c r="AA151" s="10" t="str">
        <f t="shared" si="11"/>
        <v/>
      </c>
      <c r="AB151" s="10" t="str">
        <f t="shared" si="12"/>
        <v/>
      </c>
      <c r="AC151" s="10">
        <f t="shared" si="13"/>
        <v>0.70611066878980888</v>
      </c>
      <c r="AD151" s="8">
        <f t="shared" si="14"/>
        <v>-4142</v>
      </c>
    </row>
    <row r="152" spans="1:30" ht="15" customHeight="1" x14ac:dyDescent="0.2">
      <c r="A152" s="7">
        <v>2020</v>
      </c>
      <c r="B152" s="7" t="s">
        <v>96</v>
      </c>
      <c r="C152" s="7" t="s">
        <v>87</v>
      </c>
      <c r="D152" s="7">
        <v>62</v>
      </c>
      <c r="E152" s="7" t="s">
        <v>32</v>
      </c>
      <c r="F152" s="7" t="s">
        <v>33</v>
      </c>
      <c r="G152" s="8">
        <v>5259</v>
      </c>
      <c r="H152" s="8">
        <v>4724</v>
      </c>
      <c r="I152" s="8">
        <v>9983</v>
      </c>
      <c r="J152" s="7" t="s">
        <v>33</v>
      </c>
      <c r="K152" s="7"/>
      <c r="L152" s="8"/>
      <c r="M152" s="8"/>
      <c r="N152" s="8"/>
      <c r="O152" s="7" t="s">
        <v>121</v>
      </c>
      <c r="P152" s="7"/>
      <c r="Q152" s="8"/>
      <c r="R152" s="8"/>
      <c r="S152" s="8"/>
      <c r="T152" s="7" t="s">
        <v>33</v>
      </c>
      <c r="U152" s="7" t="s">
        <v>33</v>
      </c>
      <c r="V152" s="8">
        <v>5038</v>
      </c>
      <c r="W152" s="8">
        <v>4815</v>
      </c>
      <c r="X152" s="8">
        <v>9853</v>
      </c>
      <c r="Y152" s="9">
        <v>83.8</v>
      </c>
      <c r="Z152" s="10">
        <f t="shared" si="10"/>
        <v>0.52679555243914655</v>
      </c>
      <c r="AA152" s="10" t="str">
        <f t="shared" si="11"/>
        <v/>
      </c>
      <c r="AB152" s="10" t="str">
        <f t="shared" si="12"/>
        <v/>
      </c>
      <c r="AC152" s="10">
        <f t="shared" si="13"/>
        <v>0.51131635035014711</v>
      </c>
      <c r="AD152" s="8">
        <f t="shared" si="14"/>
        <v>-223</v>
      </c>
    </row>
    <row r="153" spans="1:30" ht="15" customHeight="1" x14ac:dyDescent="0.2">
      <c r="A153" s="7">
        <v>2020</v>
      </c>
      <c r="B153" s="7" t="s">
        <v>97</v>
      </c>
      <c r="C153" s="7" t="s">
        <v>87</v>
      </c>
      <c r="D153" s="7">
        <v>63</v>
      </c>
      <c r="E153" s="7" t="s">
        <v>32</v>
      </c>
      <c r="F153" s="7" t="s">
        <v>33</v>
      </c>
      <c r="G153" s="8">
        <v>769</v>
      </c>
      <c r="H153" s="8">
        <v>489</v>
      </c>
      <c r="I153" s="8">
        <v>1258</v>
      </c>
      <c r="J153" s="7" t="s">
        <v>33</v>
      </c>
      <c r="K153" s="7"/>
      <c r="L153" s="8"/>
      <c r="M153" s="8"/>
      <c r="N153" s="8"/>
      <c r="O153" s="7" t="s">
        <v>121</v>
      </c>
      <c r="P153" s="7"/>
      <c r="Q153" s="8"/>
      <c r="R153" s="8"/>
      <c r="S153" s="8"/>
      <c r="T153" s="7" t="s">
        <v>33</v>
      </c>
      <c r="U153" s="7" t="s">
        <v>33</v>
      </c>
      <c r="V153" s="8">
        <v>768</v>
      </c>
      <c r="W153" s="8">
        <v>460</v>
      </c>
      <c r="X153" s="8">
        <v>1228</v>
      </c>
      <c r="Y153" s="9">
        <v>67.400000000000006</v>
      </c>
      <c r="Z153" s="10">
        <f t="shared" si="10"/>
        <v>0.61128775834658189</v>
      </c>
      <c r="AA153" s="10" t="str">
        <f t="shared" si="11"/>
        <v/>
      </c>
      <c r="AB153" s="10" t="str">
        <f t="shared" si="12"/>
        <v/>
      </c>
      <c r="AC153" s="10">
        <f t="shared" si="13"/>
        <v>0.62540716612377845</v>
      </c>
      <c r="AD153" s="8">
        <f t="shared" si="14"/>
        <v>-308</v>
      </c>
    </row>
    <row r="154" spans="1:30" ht="15" customHeight="1" x14ac:dyDescent="0.2">
      <c r="A154" s="7">
        <v>2020</v>
      </c>
      <c r="B154" s="7" t="s">
        <v>98</v>
      </c>
      <c r="C154" s="7" t="s">
        <v>87</v>
      </c>
      <c r="D154" s="7">
        <v>64</v>
      </c>
      <c r="E154" s="7" t="s">
        <v>32</v>
      </c>
      <c r="F154" s="7" t="s">
        <v>32</v>
      </c>
      <c r="G154" s="8">
        <v>98</v>
      </c>
      <c r="H154" s="8">
        <v>103</v>
      </c>
      <c r="I154" s="8">
        <v>201</v>
      </c>
      <c r="J154" s="7" t="s">
        <v>33</v>
      </c>
      <c r="K154" s="7"/>
      <c r="L154" s="8"/>
      <c r="M154" s="8"/>
      <c r="N154" s="8"/>
      <c r="O154" s="7" t="s">
        <v>121</v>
      </c>
      <c r="P154" s="7"/>
      <c r="Q154" s="8"/>
      <c r="R154" s="8"/>
      <c r="S154" s="8"/>
      <c r="T154" s="7" t="s">
        <v>33</v>
      </c>
      <c r="U154" s="7" t="s">
        <v>33</v>
      </c>
      <c r="V154" s="8">
        <v>101</v>
      </c>
      <c r="W154" s="8">
        <v>100</v>
      </c>
      <c r="X154" s="8">
        <v>201</v>
      </c>
      <c r="Y154" s="9">
        <v>64.8</v>
      </c>
      <c r="Z154" s="10">
        <f t="shared" si="10"/>
        <v>0.48756218905472637</v>
      </c>
      <c r="AA154" s="10" t="str">
        <f t="shared" si="11"/>
        <v/>
      </c>
      <c r="AB154" s="10" t="str">
        <f t="shared" si="12"/>
        <v/>
      </c>
      <c r="AC154" s="10">
        <f t="shared" si="13"/>
        <v>0.50248756218905477</v>
      </c>
      <c r="AD154" s="8">
        <f t="shared" si="14"/>
        <v>-1</v>
      </c>
    </row>
    <row r="155" spans="1:30" ht="15" customHeight="1" x14ac:dyDescent="0.2">
      <c r="A155" s="7">
        <v>2020</v>
      </c>
      <c r="B155" s="7" t="s">
        <v>65</v>
      </c>
      <c r="C155" s="7" t="s">
        <v>87</v>
      </c>
      <c r="D155" s="7">
        <v>65</v>
      </c>
      <c r="E155" s="7" t="s">
        <v>32</v>
      </c>
      <c r="F155" s="7" t="s">
        <v>33</v>
      </c>
      <c r="G155" s="8">
        <v>4364</v>
      </c>
      <c r="H155" s="8">
        <v>3633</v>
      </c>
      <c r="I155" s="8">
        <v>7997</v>
      </c>
      <c r="J155" s="7" t="s">
        <v>33</v>
      </c>
      <c r="K155" s="7"/>
      <c r="L155" s="8"/>
      <c r="M155" s="8"/>
      <c r="N155" s="8"/>
      <c r="O155" s="7" t="s">
        <v>121</v>
      </c>
      <c r="P155" s="7"/>
      <c r="Q155" s="8"/>
      <c r="R155" s="8"/>
      <c r="S155" s="8"/>
      <c r="T155" s="7" t="s">
        <v>33</v>
      </c>
      <c r="U155" s="7" t="s">
        <v>33</v>
      </c>
      <c r="V155" s="8">
        <v>4234</v>
      </c>
      <c r="W155" s="8">
        <v>3699</v>
      </c>
      <c r="X155" s="8">
        <v>7933</v>
      </c>
      <c r="Y155" s="9">
        <v>86.5</v>
      </c>
      <c r="Z155" s="10">
        <f t="shared" si="10"/>
        <v>0.54570463923971491</v>
      </c>
      <c r="AA155" s="10" t="str">
        <f t="shared" si="11"/>
        <v/>
      </c>
      <c r="AB155" s="10" t="str">
        <f t="shared" si="12"/>
        <v/>
      </c>
      <c r="AC155" s="10">
        <f t="shared" si="13"/>
        <v>0.53371990419765536</v>
      </c>
      <c r="AD155" s="8">
        <f t="shared" si="14"/>
        <v>-535</v>
      </c>
    </row>
    <row r="156" spans="1:30" ht="15" customHeight="1" x14ac:dyDescent="0.2">
      <c r="A156" s="7">
        <v>2020</v>
      </c>
      <c r="B156" s="7" t="s">
        <v>99</v>
      </c>
      <c r="C156" s="7" t="s">
        <v>87</v>
      </c>
      <c r="D156" s="7">
        <v>66</v>
      </c>
      <c r="E156" s="7" t="s">
        <v>32</v>
      </c>
      <c r="F156" s="7" t="s">
        <v>33</v>
      </c>
      <c r="G156" s="8">
        <v>1675</v>
      </c>
      <c r="H156" s="8">
        <v>1601</v>
      </c>
      <c r="I156" s="8">
        <v>3276</v>
      </c>
      <c r="J156" s="7" t="s">
        <v>33</v>
      </c>
      <c r="K156" s="7"/>
      <c r="L156" s="8"/>
      <c r="M156" s="8"/>
      <c r="N156" s="8"/>
      <c r="O156" s="7" t="s">
        <v>121</v>
      </c>
      <c r="P156" s="7"/>
      <c r="Q156" s="8"/>
      <c r="R156" s="8"/>
      <c r="S156" s="8"/>
      <c r="T156" s="7" t="s">
        <v>33</v>
      </c>
      <c r="U156" s="7" t="s">
        <v>33</v>
      </c>
      <c r="V156" s="8">
        <v>1646</v>
      </c>
      <c r="W156" s="8">
        <v>1608</v>
      </c>
      <c r="X156" s="8">
        <v>3254</v>
      </c>
      <c r="Y156" s="9">
        <v>78.900000000000006</v>
      </c>
      <c r="Z156" s="10">
        <f t="shared" si="10"/>
        <v>0.51129426129426125</v>
      </c>
      <c r="AA156" s="10" t="str">
        <f t="shared" si="11"/>
        <v/>
      </c>
      <c r="AB156" s="10" t="str">
        <f t="shared" si="12"/>
        <v/>
      </c>
      <c r="AC156" s="10">
        <f t="shared" si="13"/>
        <v>0.50583896742470802</v>
      </c>
      <c r="AD156" s="8">
        <f t="shared" si="14"/>
        <v>-38</v>
      </c>
    </row>
    <row r="157" spans="1:30" ht="15" customHeight="1" x14ac:dyDescent="0.2">
      <c r="A157" s="7">
        <v>2020</v>
      </c>
      <c r="B157" s="7" t="s">
        <v>57</v>
      </c>
      <c r="C157" s="7" t="s">
        <v>87</v>
      </c>
      <c r="D157" s="7">
        <v>67</v>
      </c>
      <c r="E157" s="7" t="s">
        <v>32</v>
      </c>
      <c r="F157" s="7" t="s">
        <v>32</v>
      </c>
      <c r="G157" s="8">
        <v>2127</v>
      </c>
      <c r="H157" s="8">
        <v>4315</v>
      </c>
      <c r="I157" s="8">
        <v>6442</v>
      </c>
      <c r="J157" s="7" t="s">
        <v>33</v>
      </c>
      <c r="K157" s="7"/>
      <c r="L157" s="8"/>
      <c r="M157" s="8"/>
      <c r="N157" s="8"/>
      <c r="O157" s="7" t="s">
        <v>121</v>
      </c>
      <c r="P157" s="7"/>
      <c r="Q157" s="8"/>
      <c r="R157" s="8"/>
      <c r="S157" s="8"/>
      <c r="T157" s="7" t="s">
        <v>33</v>
      </c>
      <c r="U157" s="7" t="s">
        <v>32</v>
      </c>
      <c r="V157" s="8">
        <v>2137</v>
      </c>
      <c r="W157" s="8">
        <v>4258</v>
      </c>
      <c r="X157" s="8">
        <v>6395</v>
      </c>
      <c r="Y157" s="9">
        <v>79.2</v>
      </c>
      <c r="Z157" s="10">
        <f t="shared" si="10"/>
        <v>0.33017696367587707</v>
      </c>
      <c r="AA157" s="10" t="str">
        <f t="shared" si="11"/>
        <v/>
      </c>
      <c r="AB157" s="10" t="str">
        <f t="shared" si="12"/>
        <v/>
      </c>
      <c r="AC157" s="10">
        <f t="shared" si="13"/>
        <v>0.33416731821735729</v>
      </c>
      <c r="AD157" s="8">
        <f t="shared" si="14"/>
        <v>2121</v>
      </c>
    </row>
    <row r="158" spans="1:30" ht="15" customHeight="1" x14ac:dyDescent="0.2">
      <c r="A158" s="7">
        <v>2020</v>
      </c>
      <c r="B158" s="7" t="s">
        <v>100</v>
      </c>
      <c r="C158" s="7" t="s">
        <v>87</v>
      </c>
      <c r="D158" s="7">
        <v>68</v>
      </c>
      <c r="E158" s="7" t="s">
        <v>32</v>
      </c>
      <c r="F158" s="7" t="s">
        <v>32</v>
      </c>
      <c r="G158" s="8">
        <v>605</v>
      </c>
      <c r="H158" s="8">
        <v>1165</v>
      </c>
      <c r="I158" s="8">
        <v>1770</v>
      </c>
      <c r="J158" s="7" t="s">
        <v>33</v>
      </c>
      <c r="K158" s="7"/>
      <c r="L158" s="8"/>
      <c r="M158" s="8"/>
      <c r="N158" s="8"/>
      <c r="O158" s="7" t="s">
        <v>121</v>
      </c>
      <c r="P158" s="7"/>
      <c r="Q158" s="8"/>
      <c r="R158" s="8"/>
      <c r="S158" s="8"/>
      <c r="T158" s="7" t="s">
        <v>33</v>
      </c>
      <c r="U158" s="7" t="s">
        <v>32</v>
      </c>
      <c r="V158" s="8">
        <v>580</v>
      </c>
      <c r="W158" s="8">
        <v>1159</v>
      </c>
      <c r="X158" s="8">
        <v>1739</v>
      </c>
      <c r="Y158" s="9">
        <v>76.5</v>
      </c>
      <c r="Z158" s="10">
        <f t="shared" si="10"/>
        <v>0.34180790960451979</v>
      </c>
      <c r="AA158" s="10" t="str">
        <f t="shared" si="11"/>
        <v/>
      </c>
      <c r="AB158" s="10" t="str">
        <f t="shared" si="12"/>
        <v/>
      </c>
      <c r="AC158" s="10">
        <f t="shared" si="13"/>
        <v>0.33352501437607823</v>
      </c>
      <c r="AD158" s="8">
        <f t="shared" si="14"/>
        <v>579</v>
      </c>
    </row>
    <row r="159" spans="1:30" ht="15" customHeight="1" x14ac:dyDescent="0.2">
      <c r="A159" s="7">
        <v>2020</v>
      </c>
      <c r="B159" s="7" t="s">
        <v>101</v>
      </c>
      <c r="C159" s="7" t="s">
        <v>87</v>
      </c>
      <c r="D159" s="7">
        <v>69</v>
      </c>
      <c r="E159" s="7" t="s">
        <v>32</v>
      </c>
      <c r="F159" s="7" t="s">
        <v>32</v>
      </c>
      <c r="G159" s="8">
        <v>1928</v>
      </c>
      <c r="H159" s="8">
        <v>2524</v>
      </c>
      <c r="I159" s="8">
        <v>4452</v>
      </c>
      <c r="J159" s="7" t="s">
        <v>33</v>
      </c>
      <c r="K159" s="7"/>
      <c r="L159" s="8"/>
      <c r="M159" s="8"/>
      <c r="N159" s="8"/>
      <c r="O159" s="7" t="s">
        <v>121</v>
      </c>
      <c r="P159" s="7"/>
      <c r="Q159" s="8"/>
      <c r="R159" s="8"/>
      <c r="S159" s="8"/>
      <c r="T159" s="7" t="s">
        <v>33</v>
      </c>
      <c r="U159" s="7" t="s">
        <v>32</v>
      </c>
      <c r="V159" s="8">
        <v>1879</v>
      </c>
      <c r="W159" s="8">
        <v>2565</v>
      </c>
      <c r="X159" s="8">
        <v>4444</v>
      </c>
      <c r="Y159" s="9">
        <v>87.8</v>
      </c>
      <c r="Z159" s="10">
        <f t="shared" si="10"/>
        <v>0.43306379155435759</v>
      </c>
      <c r="AA159" s="10" t="str">
        <f t="shared" si="11"/>
        <v/>
      </c>
      <c r="AB159" s="10" t="str">
        <f t="shared" si="12"/>
        <v/>
      </c>
      <c r="AC159" s="10">
        <f t="shared" si="13"/>
        <v>0.42281728172817284</v>
      </c>
      <c r="AD159" s="8">
        <f t="shared" si="14"/>
        <v>686</v>
      </c>
    </row>
    <row r="160" spans="1:30" ht="15" customHeight="1" x14ac:dyDescent="0.2">
      <c r="A160" s="7">
        <v>2020</v>
      </c>
      <c r="B160" s="7" t="s">
        <v>102</v>
      </c>
      <c r="C160" s="7" t="s">
        <v>87</v>
      </c>
      <c r="D160" s="7">
        <v>70</v>
      </c>
      <c r="E160" s="7" t="s">
        <v>32</v>
      </c>
      <c r="F160" s="7" t="s">
        <v>32</v>
      </c>
      <c r="G160" s="8">
        <v>3517</v>
      </c>
      <c r="H160" s="8">
        <v>3749</v>
      </c>
      <c r="I160" s="8">
        <v>7266</v>
      </c>
      <c r="J160" s="7" t="s">
        <v>33</v>
      </c>
      <c r="K160" s="7"/>
      <c r="L160" s="8"/>
      <c r="M160" s="8"/>
      <c r="N160" s="8"/>
      <c r="O160" s="7" t="s">
        <v>121</v>
      </c>
      <c r="P160" s="7"/>
      <c r="Q160" s="8"/>
      <c r="R160" s="8"/>
      <c r="S160" s="8"/>
      <c r="T160" s="7" t="s">
        <v>33</v>
      </c>
      <c r="U160" s="7" t="s">
        <v>32</v>
      </c>
      <c r="V160" s="8">
        <v>3370</v>
      </c>
      <c r="W160" s="8">
        <v>3831</v>
      </c>
      <c r="X160" s="8">
        <v>7201</v>
      </c>
      <c r="Y160" s="9">
        <v>85.5</v>
      </c>
      <c r="Z160" s="10">
        <f t="shared" si="10"/>
        <v>0.48403523259014586</v>
      </c>
      <c r="AA160" s="10" t="str">
        <f t="shared" si="11"/>
        <v/>
      </c>
      <c r="AB160" s="10" t="str">
        <f t="shared" si="12"/>
        <v/>
      </c>
      <c r="AC160" s="10">
        <f t="shared" si="13"/>
        <v>0.46799055686710178</v>
      </c>
      <c r="AD160" s="8">
        <f t="shared" si="14"/>
        <v>461</v>
      </c>
    </row>
    <row r="161" spans="1:30" ht="15" customHeight="1" x14ac:dyDescent="0.2">
      <c r="A161" s="7">
        <v>2020</v>
      </c>
      <c r="B161" s="7" t="s">
        <v>103</v>
      </c>
      <c r="C161" s="7" t="s">
        <v>87</v>
      </c>
      <c r="D161" s="7">
        <v>71</v>
      </c>
      <c r="E161" s="7" t="s">
        <v>32</v>
      </c>
      <c r="F161" s="7" t="s">
        <v>32</v>
      </c>
      <c r="G161" s="8">
        <v>1932</v>
      </c>
      <c r="H161" s="8">
        <v>3911</v>
      </c>
      <c r="I161" s="8">
        <v>5843</v>
      </c>
      <c r="J161" s="7" t="s">
        <v>33</v>
      </c>
      <c r="K161" s="7"/>
      <c r="L161" s="8"/>
      <c r="M161" s="8"/>
      <c r="N161" s="8"/>
      <c r="O161" s="7" t="s">
        <v>121</v>
      </c>
      <c r="P161" s="7"/>
      <c r="Q161" s="8"/>
      <c r="R161" s="8"/>
      <c r="S161" s="8"/>
      <c r="T161" s="7" t="s">
        <v>33</v>
      </c>
      <c r="U161" s="7" t="s">
        <v>32</v>
      </c>
      <c r="V161" s="8">
        <v>1920</v>
      </c>
      <c r="W161" s="8">
        <v>3865</v>
      </c>
      <c r="X161" s="8">
        <v>5785</v>
      </c>
      <c r="Y161" s="9">
        <v>82.1</v>
      </c>
      <c r="Z161" s="10">
        <f t="shared" si="10"/>
        <v>0.33065206229676536</v>
      </c>
      <c r="AA161" s="10" t="str">
        <f t="shared" si="11"/>
        <v/>
      </c>
      <c r="AB161" s="10" t="str">
        <f t="shared" si="12"/>
        <v/>
      </c>
      <c r="AC161" s="10">
        <f t="shared" si="13"/>
        <v>0.33189282627484873</v>
      </c>
      <c r="AD161" s="8">
        <f t="shared" si="14"/>
        <v>1945</v>
      </c>
    </row>
    <row r="162" spans="1:30" ht="15" customHeight="1" x14ac:dyDescent="0.2">
      <c r="A162" s="7">
        <v>2020</v>
      </c>
      <c r="B162" s="7" t="s">
        <v>104</v>
      </c>
      <c r="C162" s="7" t="s">
        <v>87</v>
      </c>
      <c r="D162" s="7">
        <v>72</v>
      </c>
      <c r="E162" s="7" t="s">
        <v>32</v>
      </c>
      <c r="F162" s="7" t="s">
        <v>32</v>
      </c>
      <c r="G162" s="8">
        <v>1534</v>
      </c>
      <c r="H162" s="8">
        <v>1624</v>
      </c>
      <c r="I162" s="8">
        <v>3158</v>
      </c>
      <c r="J162" s="7" t="s">
        <v>33</v>
      </c>
      <c r="K162" s="7"/>
      <c r="L162" s="8"/>
      <c r="M162" s="8"/>
      <c r="N162" s="8"/>
      <c r="O162" s="7" t="s">
        <v>121</v>
      </c>
      <c r="P162" s="7"/>
      <c r="Q162" s="8"/>
      <c r="R162" s="8"/>
      <c r="S162" s="8"/>
      <c r="T162" s="7" t="s">
        <v>33</v>
      </c>
      <c r="U162" s="7" t="s">
        <v>32</v>
      </c>
      <c r="V162" s="8">
        <v>1490</v>
      </c>
      <c r="W162" s="8">
        <v>1627</v>
      </c>
      <c r="X162" s="8">
        <v>3117</v>
      </c>
      <c r="Y162" s="9">
        <v>77.8</v>
      </c>
      <c r="Z162" s="10">
        <f t="shared" si="10"/>
        <v>0.48575047498416718</v>
      </c>
      <c r="AA162" s="10" t="str">
        <f t="shared" si="11"/>
        <v/>
      </c>
      <c r="AB162" s="10" t="str">
        <f t="shared" si="12"/>
        <v/>
      </c>
      <c r="AC162" s="10">
        <f t="shared" si="13"/>
        <v>0.47802374077638754</v>
      </c>
      <c r="AD162" s="8">
        <f t="shared" si="14"/>
        <v>137</v>
      </c>
    </row>
    <row r="163" spans="1:30" ht="15" customHeight="1" x14ac:dyDescent="0.2">
      <c r="A163" s="7">
        <v>2020</v>
      </c>
      <c r="B163" s="7" t="s">
        <v>105</v>
      </c>
      <c r="C163" s="7" t="s">
        <v>87</v>
      </c>
      <c r="D163" s="7">
        <v>73</v>
      </c>
      <c r="E163" s="7" t="s">
        <v>32</v>
      </c>
      <c r="F163" s="7" t="s">
        <v>32</v>
      </c>
      <c r="G163" s="8">
        <v>732</v>
      </c>
      <c r="H163" s="8">
        <v>870</v>
      </c>
      <c r="I163" s="8">
        <v>1602</v>
      </c>
      <c r="J163" s="7" t="s">
        <v>33</v>
      </c>
      <c r="K163" s="7"/>
      <c r="L163" s="8"/>
      <c r="M163" s="8"/>
      <c r="N163" s="8"/>
      <c r="O163" s="7" t="s">
        <v>121</v>
      </c>
      <c r="P163" s="7"/>
      <c r="Q163" s="8"/>
      <c r="R163" s="8"/>
      <c r="S163" s="8"/>
      <c r="T163" s="7" t="s">
        <v>33</v>
      </c>
      <c r="U163" s="7" t="s">
        <v>32</v>
      </c>
      <c r="V163" s="8">
        <v>731</v>
      </c>
      <c r="W163" s="8">
        <v>843</v>
      </c>
      <c r="X163" s="8">
        <v>1574</v>
      </c>
      <c r="Y163" s="9">
        <v>73.900000000000006</v>
      </c>
      <c r="Z163" s="10">
        <f t="shared" si="10"/>
        <v>0.45692883895131087</v>
      </c>
      <c r="AA163" s="10" t="str">
        <f t="shared" si="11"/>
        <v/>
      </c>
      <c r="AB163" s="10" t="str">
        <f t="shared" si="12"/>
        <v/>
      </c>
      <c r="AC163" s="10">
        <f t="shared" si="13"/>
        <v>0.4644218551461245</v>
      </c>
      <c r="AD163" s="8">
        <f t="shared" si="14"/>
        <v>112</v>
      </c>
    </row>
    <row r="164" spans="1:30" ht="15" customHeight="1" x14ac:dyDescent="0.2">
      <c r="A164" s="7">
        <v>2020</v>
      </c>
      <c r="B164" s="7" t="s">
        <v>87</v>
      </c>
      <c r="C164" s="7" t="s">
        <v>87</v>
      </c>
      <c r="D164" s="7">
        <v>74</v>
      </c>
      <c r="E164" s="7" t="s">
        <v>32</v>
      </c>
      <c r="F164" s="7" t="s">
        <v>32</v>
      </c>
      <c r="G164" s="8">
        <v>2398</v>
      </c>
      <c r="H164" s="8">
        <v>2915</v>
      </c>
      <c r="I164" s="8">
        <v>5313</v>
      </c>
      <c r="J164" s="7" t="s">
        <v>33</v>
      </c>
      <c r="K164" s="7"/>
      <c r="L164" s="8"/>
      <c r="M164" s="8"/>
      <c r="N164" s="8"/>
      <c r="O164" s="7" t="s">
        <v>121</v>
      </c>
      <c r="P164" s="7"/>
      <c r="Q164" s="8"/>
      <c r="R164" s="8"/>
      <c r="S164" s="8"/>
      <c r="T164" s="7" t="s">
        <v>33</v>
      </c>
      <c r="U164" s="7" t="s">
        <v>32</v>
      </c>
      <c r="V164" s="8">
        <v>2355</v>
      </c>
      <c r="W164" s="8">
        <v>2934</v>
      </c>
      <c r="X164" s="8">
        <v>5289</v>
      </c>
      <c r="Y164" s="9">
        <v>75.099999999999994</v>
      </c>
      <c r="Z164" s="10">
        <f t="shared" si="10"/>
        <v>0.45134575569358176</v>
      </c>
      <c r="AA164" s="10" t="str">
        <f t="shared" si="11"/>
        <v/>
      </c>
      <c r="AB164" s="10" t="str">
        <f t="shared" si="12"/>
        <v/>
      </c>
      <c r="AC164" s="10">
        <f t="shared" si="13"/>
        <v>0.44526375496313103</v>
      </c>
      <c r="AD164" s="8">
        <f t="shared" si="14"/>
        <v>579</v>
      </c>
    </row>
    <row r="165" spans="1:30" ht="15" customHeight="1" x14ac:dyDescent="0.2">
      <c r="A165" s="7">
        <v>2020</v>
      </c>
      <c r="B165" s="7" t="s">
        <v>106</v>
      </c>
      <c r="C165" s="7" t="s">
        <v>87</v>
      </c>
      <c r="D165" s="7">
        <v>75</v>
      </c>
      <c r="E165" s="7" t="s">
        <v>32</v>
      </c>
      <c r="F165" s="7" t="s">
        <v>33</v>
      </c>
      <c r="G165" s="8">
        <v>6859</v>
      </c>
      <c r="H165" s="8">
        <v>6617</v>
      </c>
      <c r="I165" s="8">
        <v>13476</v>
      </c>
      <c r="J165" s="7" t="s">
        <v>33</v>
      </c>
      <c r="K165" s="7"/>
      <c r="L165" s="8"/>
      <c r="M165" s="8"/>
      <c r="N165" s="8"/>
      <c r="O165" s="7" t="s">
        <v>121</v>
      </c>
      <c r="P165" s="7"/>
      <c r="Q165" s="8"/>
      <c r="R165" s="8"/>
      <c r="S165" s="8"/>
      <c r="T165" s="7" t="s">
        <v>33</v>
      </c>
      <c r="U165" s="7" t="s">
        <v>33</v>
      </c>
      <c r="V165" s="8">
        <v>6698</v>
      </c>
      <c r="W165" s="8">
        <v>6630</v>
      </c>
      <c r="X165" s="8">
        <v>13328</v>
      </c>
      <c r="Y165" s="9">
        <v>78.400000000000006</v>
      </c>
      <c r="Z165" s="10">
        <f t="shared" si="10"/>
        <v>0.50897892549718016</v>
      </c>
      <c r="AA165" s="10" t="str">
        <f t="shared" si="11"/>
        <v/>
      </c>
      <c r="AB165" s="10" t="str">
        <f t="shared" si="12"/>
        <v/>
      </c>
      <c r="AC165" s="10">
        <f t="shared" si="13"/>
        <v>0.50255102040816324</v>
      </c>
      <c r="AD165" s="8">
        <f t="shared" si="14"/>
        <v>-68</v>
      </c>
    </row>
    <row r="166" spans="1:30" ht="15" customHeight="1" x14ac:dyDescent="0.2">
      <c r="A166" s="7">
        <v>2020</v>
      </c>
      <c r="B166" s="7" t="s">
        <v>107</v>
      </c>
      <c r="C166" s="7" t="s">
        <v>87</v>
      </c>
      <c r="D166" s="7">
        <v>76</v>
      </c>
      <c r="E166" s="7" t="s">
        <v>32</v>
      </c>
      <c r="F166" s="7" t="s">
        <v>32</v>
      </c>
      <c r="G166" s="8">
        <v>685</v>
      </c>
      <c r="H166" s="8">
        <v>1098</v>
      </c>
      <c r="I166" s="8">
        <v>1783</v>
      </c>
      <c r="J166" s="7" t="s">
        <v>33</v>
      </c>
      <c r="K166" s="7"/>
      <c r="L166" s="8"/>
      <c r="M166" s="8"/>
      <c r="N166" s="8"/>
      <c r="O166" s="7" t="s">
        <v>121</v>
      </c>
      <c r="P166" s="7"/>
      <c r="Q166" s="8"/>
      <c r="R166" s="8"/>
      <c r="S166" s="8"/>
      <c r="T166" s="7" t="s">
        <v>33</v>
      </c>
      <c r="U166" s="7" t="s">
        <v>32</v>
      </c>
      <c r="V166" s="8">
        <v>678</v>
      </c>
      <c r="W166" s="8">
        <v>1089</v>
      </c>
      <c r="X166" s="8">
        <v>1767</v>
      </c>
      <c r="Y166" s="9">
        <v>72.5</v>
      </c>
      <c r="Z166" s="10">
        <f t="shared" si="10"/>
        <v>0.38418395961862029</v>
      </c>
      <c r="AA166" s="10" t="str">
        <f t="shared" si="11"/>
        <v/>
      </c>
      <c r="AB166" s="10" t="str">
        <f t="shared" si="12"/>
        <v/>
      </c>
      <c r="AC166" s="10">
        <f t="shared" si="13"/>
        <v>0.3837011884550085</v>
      </c>
      <c r="AD166" s="8">
        <f t="shared" si="14"/>
        <v>411</v>
      </c>
    </row>
    <row r="167" spans="1:30" ht="15" customHeight="1" x14ac:dyDescent="0.2">
      <c r="A167" s="7">
        <v>2020</v>
      </c>
      <c r="B167" s="7" t="s">
        <v>108</v>
      </c>
      <c r="C167" s="7" t="s">
        <v>87</v>
      </c>
      <c r="D167" s="7">
        <v>77</v>
      </c>
      <c r="E167" s="7" t="s">
        <v>32</v>
      </c>
      <c r="F167" s="7" t="s">
        <v>32</v>
      </c>
      <c r="G167" s="8">
        <v>1357</v>
      </c>
      <c r="H167" s="8">
        <v>2570</v>
      </c>
      <c r="I167" s="8">
        <v>3927</v>
      </c>
      <c r="J167" s="7" t="s">
        <v>33</v>
      </c>
      <c r="K167" s="7"/>
      <c r="L167" s="8"/>
      <c r="M167" s="8"/>
      <c r="N167" s="8"/>
      <c r="O167" s="7" t="s">
        <v>121</v>
      </c>
      <c r="P167" s="7"/>
      <c r="Q167" s="8"/>
      <c r="R167" s="8"/>
      <c r="S167" s="8"/>
      <c r="T167" s="7" t="s">
        <v>33</v>
      </c>
      <c r="U167" s="7" t="s">
        <v>32</v>
      </c>
      <c r="V167" s="8">
        <v>1368</v>
      </c>
      <c r="W167" s="8">
        <v>2520</v>
      </c>
      <c r="X167" s="8">
        <v>3888</v>
      </c>
      <c r="Y167" s="9">
        <v>77.5</v>
      </c>
      <c r="Z167" s="10">
        <f t="shared" si="10"/>
        <v>0.34555640437993379</v>
      </c>
      <c r="AA167" s="10" t="str">
        <f t="shared" si="11"/>
        <v/>
      </c>
      <c r="AB167" s="10" t="str">
        <f t="shared" si="12"/>
        <v/>
      </c>
      <c r="AC167" s="10">
        <f t="shared" si="13"/>
        <v>0.35185185185185186</v>
      </c>
      <c r="AD167" s="8">
        <f t="shared" si="14"/>
        <v>1152</v>
      </c>
    </row>
    <row r="168" spans="1:30" ht="15" customHeight="1" x14ac:dyDescent="0.2">
      <c r="A168" s="7">
        <v>2020</v>
      </c>
      <c r="B168" s="7" t="s">
        <v>109</v>
      </c>
      <c r="C168" s="7" t="s">
        <v>87</v>
      </c>
      <c r="D168" s="7">
        <v>78</v>
      </c>
      <c r="E168" s="7" t="s">
        <v>32</v>
      </c>
      <c r="F168" s="7" t="s">
        <v>32</v>
      </c>
      <c r="G168" s="8">
        <v>84</v>
      </c>
      <c r="H168" s="8">
        <v>172</v>
      </c>
      <c r="I168" s="8">
        <v>256</v>
      </c>
      <c r="J168" s="7" t="s">
        <v>33</v>
      </c>
      <c r="K168" s="7"/>
      <c r="L168" s="8"/>
      <c r="M168" s="8"/>
      <c r="N168" s="8"/>
      <c r="O168" s="7" t="s">
        <v>121</v>
      </c>
      <c r="P168" s="7"/>
      <c r="Q168" s="8"/>
      <c r="R168" s="8"/>
      <c r="S168" s="8"/>
      <c r="T168" s="7" t="s">
        <v>33</v>
      </c>
      <c r="U168" s="7" t="s">
        <v>32</v>
      </c>
      <c r="V168" s="8">
        <v>82</v>
      </c>
      <c r="W168" s="8">
        <v>171</v>
      </c>
      <c r="X168" s="8">
        <v>253</v>
      </c>
      <c r="Y168" s="9">
        <v>69.2</v>
      </c>
      <c r="Z168" s="10">
        <f t="shared" si="10"/>
        <v>0.328125</v>
      </c>
      <c r="AA168" s="10" t="str">
        <f t="shared" si="11"/>
        <v/>
      </c>
      <c r="AB168" s="10" t="str">
        <f t="shared" si="12"/>
        <v/>
      </c>
      <c r="AC168" s="10">
        <f t="shared" si="13"/>
        <v>0.32411067193675891</v>
      </c>
      <c r="AD168" s="8">
        <f t="shared" si="14"/>
        <v>89</v>
      </c>
    </row>
    <row r="169" spans="1:30" ht="15" customHeight="1" x14ac:dyDescent="0.2">
      <c r="A169" s="7">
        <v>2020</v>
      </c>
      <c r="B169" s="7" t="s">
        <v>110</v>
      </c>
      <c r="C169" s="7" t="s">
        <v>87</v>
      </c>
      <c r="D169" s="7">
        <v>79</v>
      </c>
      <c r="E169" s="7" t="s">
        <v>32</v>
      </c>
      <c r="F169" s="7" t="s">
        <v>32</v>
      </c>
      <c r="G169" s="8">
        <v>329</v>
      </c>
      <c r="H169" s="8">
        <v>584</v>
      </c>
      <c r="I169" s="8">
        <v>913</v>
      </c>
      <c r="J169" s="7" t="s">
        <v>33</v>
      </c>
      <c r="K169" s="7"/>
      <c r="L169" s="8"/>
      <c r="M169" s="8"/>
      <c r="N169" s="8"/>
      <c r="O169" s="7" t="s">
        <v>121</v>
      </c>
      <c r="P169" s="7"/>
      <c r="Q169" s="8"/>
      <c r="R169" s="8"/>
      <c r="S169" s="8"/>
      <c r="T169" s="7" t="s">
        <v>33</v>
      </c>
      <c r="U169" s="7" t="s">
        <v>32</v>
      </c>
      <c r="V169" s="8">
        <v>331</v>
      </c>
      <c r="W169" s="8">
        <v>571</v>
      </c>
      <c r="X169" s="8">
        <v>902</v>
      </c>
      <c r="Y169" s="9">
        <v>74.099999999999994</v>
      </c>
      <c r="Z169" s="10">
        <f t="shared" si="10"/>
        <v>0.36035049288061338</v>
      </c>
      <c r="AA169" s="10" t="str">
        <f t="shared" si="11"/>
        <v/>
      </c>
      <c r="AB169" s="10" t="str">
        <f t="shared" si="12"/>
        <v/>
      </c>
      <c r="AC169" s="10">
        <f t="shared" si="13"/>
        <v>0.36696230598669621</v>
      </c>
      <c r="AD169" s="8">
        <f t="shared" si="14"/>
        <v>240</v>
      </c>
    </row>
    <row r="170" spans="1:30" ht="15" customHeight="1" x14ac:dyDescent="0.2">
      <c r="A170" s="7">
        <v>2020</v>
      </c>
      <c r="B170" s="7" t="s">
        <v>111</v>
      </c>
      <c r="C170" s="7" t="s">
        <v>87</v>
      </c>
      <c r="D170" s="7">
        <v>80</v>
      </c>
      <c r="E170" s="7" t="s">
        <v>32</v>
      </c>
      <c r="F170" s="7" t="s">
        <v>32</v>
      </c>
      <c r="G170" s="8">
        <v>209</v>
      </c>
      <c r="H170" s="8">
        <v>324</v>
      </c>
      <c r="I170" s="8">
        <v>533</v>
      </c>
      <c r="J170" s="7" t="s">
        <v>33</v>
      </c>
      <c r="K170" s="7"/>
      <c r="L170" s="8"/>
      <c r="M170" s="8"/>
      <c r="N170" s="8"/>
      <c r="O170" s="7" t="s">
        <v>121</v>
      </c>
      <c r="P170" s="7"/>
      <c r="Q170" s="8"/>
      <c r="R170" s="8"/>
      <c r="S170" s="8"/>
      <c r="T170" s="7" t="s">
        <v>33</v>
      </c>
      <c r="U170" s="7" t="s">
        <v>32</v>
      </c>
      <c r="V170" s="8">
        <v>212</v>
      </c>
      <c r="W170" s="8">
        <v>308</v>
      </c>
      <c r="X170" s="8">
        <v>520</v>
      </c>
      <c r="Y170" s="9">
        <v>75.400000000000006</v>
      </c>
      <c r="Z170" s="10">
        <f t="shared" si="10"/>
        <v>0.39212007504690433</v>
      </c>
      <c r="AA170" s="10" t="str">
        <f t="shared" si="11"/>
        <v/>
      </c>
      <c r="AB170" s="10" t="str">
        <f t="shared" si="12"/>
        <v/>
      </c>
      <c r="AC170" s="10">
        <f t="shared" si="13"/>
        <v>0.40769230769230769</v>
      </c>
      <c r="AD170" s="8">
        <f t="shared" si="14"/>
        <v>96</v>
      </c>
    </row>
    <row r="171" spans="1:30" ht="15" customHeight="1" x14ac:dyDescent="0.2">
      <c r="A171" s="7">
        <v>2020</v>
      </c>
      <c r="B171" s="7" t="s">
        <v>112</v>
      </c>
      <c r="C171" s="7" t="s">
        <v>87</v>
      </c>
      <c r="D171" s="7">
        <v>81</v>
      </c>
      <c r="E171" s="7" t="s">
        <v>32</v>
      </c>
      <c r="F171" s="7" t="s">
        <v>32</v>
      </c>
      <c r="G171" s="8">
        <v>269</v>
      </c>
      <c r="H171" s="8">
        <v>408</v>
      </c>
      <c r="I171" s="8">
        <v>677</v>
      </c>
      <c r="J171" s="7" t="s">
        <v>33</v>
      </c>
      <c r="K171" s="7"/>
      <c r="L171" s="8"/>
      <c r="M171" s="8"/>
      <c r="N171" s="8"/>
      <c r="O171" s="7" t="s">
        <v>121</v>
      </c>
      <c r="P171" s="7"/>
      <c r="Q171" s="8"/>
      <c r="R171" s="8"/>
      <c r="S171" s="8"/>
      <c r="T171" s="7" t="s">
        <v>33</v>
      </c>
      <c r="U171" s="7" t="s">
        <v>32</v>
      </c>
      <c r="V171" s="8">
        <v>272</v>
      </c>
      <c r="W171" s="8">
        <v>400</v>
      </c>
      <c r="X171" s="8">
        <v>672</v>
      </c>
      <c r="Y171" s="9">
        <v>80.5</v>
      </c>
      <c r="Z171" s="10">
        <f t="shared" si="10"/>
        <v>0.39734121122599703</v>
      </c>
      <c r="AA171" s="10" t="str">
        <f t="shared" si="11"/>
        <v/>
      </c>
      <c r="AB171" s="10" t="str">
        <f t="shared" si="12"/>
        <v/>
      </c>
      <c r="AC171" s="10">
        <f t="shared" si="13"/>
        <v>0.40476190476190477</v>
      </c>
      <c r="AD171" s="8">
        <f t="shared" si="14"/>
        <v>128</v>
      </c>
    </row>
    <row r="172" spans="1:30" ht="15" customHeight="1" x14ac:dyDescent="0.2">
      <c r="A172" s="7">
        <v>2020</v>
      </c>
      <c r="B172" s="7" t="s">
        <v>113</v>
      </c>
      <c r="C172" s="7" t="s">
        <v>87</v>
      </c>
      <c r="D172" s="7">
        <v>82</v>
      </c>
      <c r="E172" s="7" t="s">
        <v>32</v>
      </c>
      <c r="F172" s="7" t="s">
        <v>32</v>
      </c>
      <c r="G172" s="8">
        <v>1228</v>
      </c>
      <c r="H172" s="8">
        <v>2639</v>
      </c>
      <c r="I172" s="8">
        <v>3867</v>
      </c>
      <c r="J172" s="7" t="s">
        <v>33</v>
      </c>
      <c r="K172" s="7"/>
      <c r="L172" s="8"/>
      <c r="M172" s="8"/>
      <c r="N172" s="8"/>
      <c r="O172" s="7" t="s">
        <v>121</v>
      </c>
      <c r="P172" s="7"/>
      <c r="Q172" s="8"/>
      <c r="R172" s="8"/>
      <c r="S172" s="8"/>
      <c r="T172" s="7" t="s">
        <v>33</v>
      </c>
      <c r="U172" s="7" t="s">
        <v>32</v>
      </c>
      <c r="V172" s="8">
        <v>1207</v>
      </c>
      <c r="W172" s="8">
        <v>2601</v>
      </c>
      <c r="X172" s="8">
        <v>3808</v>
      </c>
      <c r="Y172" s="9">
        <v>75.400000000000006</v>
      </c>
      <c r="Z172" s="10">
        <f t="shared" si="10"/>
        <v>0.31755883113524697</v>
      </c>
      <c r="AA172" s="10" t="str">
        <f t="shared" si="11"/>
        <v/>
      </c>
      <c r="AB172" s="10" t="str">
        <f t="shared" si="12"/>
        <v/>
      </c>
      <c r="AC172" s="10">
        <f t="shared" si="13"/>
        <v>0.3169642857142857</v>
      </c>
      <c r="AD172" s="8">
        <f t="shared" si="14"/>
        <v>1394</v>
      </c>
    </row>
    <row r="173" spans="1:30" ht="15" customHeight="1" x14ac:dyDescent="0.2">
      <c r="A173" s="7">
        <v>2020</v>
      </c>
      <c r="B173" s="7" t="s">
        <v>114</v>
      </c>
      <c r="C173" s="7" t="s">
        <v>87</v>
      </c>
      <c r="D173" s="7">
        <v>83</v>
      </c>
      <c r="E173" s="7" t="s">
        <v>32</v>
      </c>
      <c r="F173" s="7" t="s">
        <v>32</v>
      </c>
      <c r="G173" s="8">
        <v>1899</v>
      </c>
      <c r="H173" s="8">
        <v>2082</v>
      </c>
      <c r="I173" s="8">
        <v>3981</v>
      </c>
      <c r="J173" s="7" t="s">
        <v>33</v>
      </c>
      <c r="K173" s="7"/>
      <c r="L173" s="8"/>
      <c r="M173" s="8"/>
      <c r="N173" s="8"/>
      <c r="O173" s="7" t="s">
        <v>121</v>
      </c>
      <c r="P173" s="7"/>
      <c r="Q173" s="8"/>
      <c r="R173" s="8"/>
      <c r="S173" s="8"/>
      <c r="T173" s="7" t="s">
        <v>33</v>
      </c>
      <c r="U173" s="7" t="s">
        <v>32</v>
      </c>
      <c r="V173" s="8">
        <v>1838</v>
      </c>
      <c r="W173" s="8">
        <v>2112</v>
      </c>
      <c r="X173" s="8">
        <v>3950</v>
      </c>
      <c r="Y173" s="9">
        <v>83.5</v>
      </c>
      <c r="Z173" s="10">
        <f t="shared" si="10"/>
        <v>0.47701582516955537</v>
      </c>
      <c r="AA173" s="10" t="str">
        <f t="shared" si="11"/>
        <v/>
      </c>
      <c r="AB173" s="10" t="str">
        <f t="shared" si="12"/>
        <v/>
      </c>
      <c r="AC173" s="10">
        <f t="shared" si="13"/>
        <v>0.46531645569620256</v>
      </c>
      <c r="AD173" s="8">
        <f t="shared" si="14"/>
        <v>274</v>
      </c>
    </row>
    <row r="174" spans="1:30" ht="15" customHeight="1" x14ac:dyDescent="0.2">
      <c r="A174" s="7">
        <v>2020</v>
      </c>
      <c r="B174" s="7" t="s">
        <v>115</v>
      </c>
      <c r="C174" s="7" t="s">
        <v>87</v>
      </c>
      <c r="D174" s="7">
        <v>84</v>
      </c>
      <c r="E174" s="7" t="s">
        <v>32</v>
      </c>
      <c r="F174" s="7" t="s">
        <v>32</v>
      </c>
      <c r="G174" s="8">
        <v>381</v>
      </c>
      <c r="H174" s="8">
        <v>619</v>
      </c>
      <c r="I174" s="8">
        <v>1000</v>
      </c>
      <c r="J174" s="7" t="s">
        <v>33</v>
      </c>
      <c r="K174" s="7"/>
      <c r="L174" s="8"/>
      <c r="M174" s="8"/>
      <c r="N174" s="8"/>
      <c r="O174" s="7" t="s">
        <v>121</v>
      </c>
      <c r="P174" s="7"/>
      <c r="Q174" s="8"/>
      <c r="R174" s="8"/>
      <c r="S174" s="8"/>
      <c r="T174" s="7" t="s">
        <v>33</v>
      </c>
      <c r="U174" s="7" t="s">
        <v>32</v>
      </c>
      <c r="V174" s="8">
        <v>379</v>
      </c>
      <c r="W174" s="8">
        <v>605</v>
      </c>
      <c r="X174" s="8">
        <v>984</v>
      </c>
      <c r="Y174" s="9">
        <v>69.8</v>
      </c>
      <c r="Z174" s="10">
        <f t="shared" si="10"/>
        <v>0.38100000000000001</v>
      </c>
      <c r="AA174" s="10" t="str">
        <f t="shared" si="11"/>
        <v/>
      </c>
      <c r="AB174" s="10" t="str">
        <f t="shared" si="12"/>
        <v/>
      </c>
      <c r="AC174" s="10">
        <f t="shared" si="13"/>
        <v>0.38516260162601629</v>
      </c>
      <c r="AD174" s="8">
        <f t="shared" si="14"/>
        <v>226</v>
      </c>
    </row>
    <row r="175" spans="1:30" ht="15" customHeight="1" x14ac:dyDescent="0.2">
      <c r="A175" s="7">
        <v>2020</v>
      </c>
      <c r="B175" s="7" t="s">
        <v>79</v>
      </c>
      <c r="C175" s="7" t="s">
        <v>87</v>
      </c>
      <c r="D175" s="7">
        <v>85</v>
      </c>
      <c r="E175" s="7" t="s">
        <v>32</v>
      </c>
      <c r="F175" s="7" t="s">
        <v>32</v>
      </c>
      <c r="G175" s="8">
        <v>1055</v>
      </c>
      <c r="H175" s="8">
        <v>1993</v>
      </c>
      <c r="I175" s="8">
        <v>3048</v>
      </c>
      <c r="J175" s="7" t="s">
        <v>33</v>
      </c>
      <c r="K175" s="7"/>
      <c r="L175" s="8"/>
      <c r="M175" s="8"/>
      <c r="N175" s="8"/>
      <c r="O175" s="7" t="s">
        <v>121</v>
      </c>
      <c r="P175" s="7"/>
      <c r="Q175" s="8"/>
      <c r="R175" s="8"/>
      <c r="S175" s="8"/>
      <c r="T175" s="7" t="s">
        <v>33</v>
      </c>
      <c r="U175" s="7" t="s">
        <v>32</v>
      </c>
      <c r="V175" s="8">
        <v>1032</v>
      </c>
      <c r="W175" s="8">
        <v>1971</v>
      </c>
      <c r="X175" s="8">
        <v>3003</v>
      </c>
      <c r="Y175" s="9">
        <v>78.099999999999994</v>
      </c>
      <c r="Z175" s="10">
        <f t="shared" si="10"/>
        <v>0.34612860892388453</v>
      </c>
      <c r="AA175" s="10" t="str">
        <f t="shared" si="11"/>
        <v/>
      </c>
      <c r="AB175" s="10" t="str">
        <f t="shared" si="12"/>
        <v/>
      </c>
      <c r="AC175" s="10">
        <f t="shared" si="13"/>
        <v>0.34365634365634368</v>
      </c>
      <c r="AD175" s="8">
        <f t="shared" si="14"/>
        <v>939</v>
      </c>
    </row>
    <row r="176" spans="1:30" ht="15" customHeight="1" x14ac:dyDescent="0.2">
      <c r="A176" s="7">
        <v>2020</v>
      </c>
      <c r="B176" s="7" t="s">
        <v>117</v>
      </c>
      <c r="C176" s="7" t="s">
        <v>87</v>
      </c>
      <c r="D176" s="7">
        <v>86</v>
      </c>
      <c r="E176" s="7" t="s">
        <v>32</v>
      </c>
      <c r="F176" s="7" t="s">
        <v>32</v>
      </c>
      <c r="G176" s="8">
        <v>262</v>
      </c>
      <c r="H176" s="8">
        <v>325</v>
      </c>
      <c r="I176" s="8">
        <v>587</v>
      </c>
      <c r="J176" s="7" t="s">
        <v>33</v>
      </c>
      <c r="K176" s="7"/>
      <c r="L176" s="8"/>
      <c r="M176" s="8"/>
      <c r="N176" s="8"/>
      <c r="O176" s="7" t="s">
        <v>121</v>
      </c>
      <c r="P176" s="7"/>
      <c r="Q176" s="8"/>
      <c r="R176" s="8"/>
      <c r="S176" s="8"/>
      <c r="T176" s="7" t="s">
        <v>33</v>
      </c>
      <c r="U176" s="7" t="s">
        <v>32</v>
      </c>
      <c r="V176" s="8">
        <v>249</v>
      </c>
      <c r="W176" s="8">
        <v>326</v>
      </c>
      <c r="X176" s="8">
        <v>575</v>
      </c>
      <c r="Y176" s="9">
        <v>66.400000000000006</v>
      </c>
      <c r="Z176" s="10">
        <f t="shared" si="10"/>
        <v>0.44633730834752983</v>
      </c>
      <c r="AA176" s="10" t="str">
        <f t="shared" si="11"/>
        <v/>
      </c>
      <c r="AB176" s="10" t="str">
        <f t="shared" si="12"/>
        <v/>
      </c>
      <c r="AC176" s="10">
        <f t="shared" si="13"/>
        <v>0.43304347826086959</v>
      </c>
      <c r="AD176" s="8">
        <f t="shared" si="14"/>
        <v>77</v>
      </c>
    </row>
    <row r="177" spans="1:30" ht="15" customHeight="1" x14ac:dyDescent="0.2">
      <c r="A177" s="7">
        <v>2020</v>
      </c>
      <c r="B177" s="7" t="s">
        <v>118</v>
      </c>
      <c r="C177" s="7" t="s">
        <v>87</v>
      </c>
      <c r="D177" s="7">
        <v>87</v>
      </c>
      <c r="E177" s="7" t="s">
        <v>32</v>
      </c>
      <c r="F177" s="7" t="s">
        <v>32</v>
      </c>
      <c r="G177" s="8">
        <v>1833</v>
      </c>
      <c r="H177" s="8">
        <v>2333</v>
      </c>
      <c r="I177" s="8">
        <v>4166</v>
      </c>
      <c r="J177" s="7" t="s">
        <v>33</v>
      </c>
      <c r="K177" s="7"/>
      <c r="L177" s="8"/>
      <c r="M177" s="8"/>
      <c r="N177" s="8"/>
      <c r="O177" s="7" t="s">
        <v>121</v>
      </c>
      <c r="P177" s="7"/>
      <c r="Q177" s="8"/>
      <c r="R177" s="8"/>
      <c r="S177" s="8"/>
      <c r="T177" s="7" t="s">
        <v>33</v>
      </c>
      <c r="U177" s="7" t="s">
        <v>32</v>
      </c>
      <c r="V177" s="8">
        <v>1767</v>
      </c>
      <c r="W177" s="8">
        <v>2379</v>
      </c>
      <c r="X177" s="8">
        <v>4146</v>
      </c>
      <c r="Y177" s="9">
        <v>82.8</v>
      </c>
      <c r="Z177" s="10">
        <f t="shared" si="10"/>
        <v>0.43999039846375421</v>
      </c>
      <c r="AA177" s="10" t="str">
        <f t="shared" si="11"/>
        <v/>
      </c>
      <c r="AB177" s="10" t="str">
        <f t="shared" si="12"/>
        <v/>
      </c>
      <c r="AC177" s="10">
        <f t="shared" si="13"/>
        <v>0.42619392185238786</v>
      </c>
      <c r="AD177" s="8">
        <f t="shared" si="14"/>
        <v>612</v>
      </c>
    </row>
    <row r="178" spans="1:30" ht="15" customHeight="1" x14ac:dyDescent="0.2">
      <c r="A178" s="7">
        <v>2020</v>
      </c>
      <c r="B178" s="7" t="s">
        <v>119</v>
      </c>
      <c r="C178" s="7" t="s">
        <v>87</v>
      </c>
      <c r="D178" s="7">
        <v>88</v>
      </c>
      <c r="E178" s="7" t="s">
        <v>32</v>
      </c>
      <c r="F178" s="7" t="s">
        <v>33</v>
      </c>
      <c r="G178" s="8">
        <v>1938</v>
      </c>
      <c r="H178" s="8">
        <v>1532</v>
      </c>
      <c r="I178" s="8">
        <v>3470</v>
      </c>
      <c r="J178" s="7" t="s">
        <v>33</v>
      </c>
      <c r="K178" s="7"/>
      <c r="L178" s="8"/>
      <c r="M178" s="8"/>
      <c r="N178" s="8"/>
      <c r="O178" s="7" t="s">
        <v>121</v>
      </c>
      <c r="P178" s="7"/>
      <c r="Q178" s="8"/>
      <c r="R178" s="8"/>
      <c r="S178" s="8"/>
      <c r="T178" s="7" t="s">
        <v>33</v>
      </c>
      <c r="U178" s="7" t="s">
        <v>33</v>
      </c>
      <c r="V178" s="8">
        <v>1908</v>
      </c>
      <c r="W178" s="8">
        <v>1518</v>
      </c>
      <c r="X178" s="8">
        <v>3426</v>
      </c>
      <c r="Y178" s="9">
        <v>69.2</v>
      </c>
      <c r="Z178" s="10">
        <f t="shared" si="10"/>
        <v>0.55850144092219023</v>
      </c>
      <c r="AA178" s="10" t="str">
        <f t="shared" si="11"/>
        <v/>
      </c>
      <c r="AB178" s="10" t="str">
        <f t="shared" si="12"/>
        <v/>
      </c>
      <c r="AC178" s="10">
        <f t="shared" si="13"/>
        <v>0.5569176882661997</v>
      </c>
      <c r="AD178" s="8">
        <f t="shared" si="14"/>
        <v>-390</v>
      </c>
    </row>
    <row r="179" spans="1:30" ht="15" customHeight="1" x14ac:dyDescent="0.2">
      <c r="A179" s="7">
        <v>2020</v>
      </c>
      <c r="B179" s="7" t="s">
        <v>120</v>
      </c>
      <c r="C179" s="7" t="s">
        <v>87</v>
      </c>
      <c r="D179" s="7">
        <v>89</v>
      </c>
      <c r="E179" s="7" t="s">
        <v>32</v>
      </c>
      <c r="F179" s="7" t="s">
        <v>32</v>
      </c>
      <c r="G179" s="8">
        <v>531</v>
      </c>
      <c r="H179" s="8">
        <v>793</v>
      </c>
      <c r="I179" s="8">
        <v>1324</v>
      </c>
      <c r="J179" s="7" t="s">
        <v>33</v>
      </c>
      <c r="K179" s="7"/>
      <c r="L179" s="8"/>
      <c r="M179" s="8"/>
      <c r="N179" s="8"/>
      <c r="O179" s="7" t="s">
        <v>121</v>
      </c>
      <c r="P179" s="7"/>
      <c r="Q179" s="8"/>
      <c r="R179" s="8"/>
      <c r="S179" s="8"/>
      <c r="T179" s="7" t="s">
        <v>33</v>
      </c>
      <c r="U179" s="7" t="s">
        <v>32</v>
      </c>
      <c r="V179" s="8">
        <v>508</v>
      </c>
      <c r="W179" s="8">
        <v>791</v>
      </c>
      <c r="X179" s="8">
        <v>1299</v>
      </c>
      <c r="Y179" s="9">
        <v>72.8</v>
      </c>
      <c r="Z179" s="10">
        <f t="shared" si="10"/>
        <v>0.40105740181268884</v>
      </c>
      <c r="AA179" s="10" t="str">
        <f t="shared" si="11"/>
        <v/>
      </c>
      <c r="AB179" s="10" t="str">
        <f t="shared" si="12"/>
        <v/>
      </c>
      <c r="AC179" s="10">
        <f t="shared" si="13"/>
        <v>0.39107005388760585</v>
      </c>
      <c r="AD179" s="8">
        <f t="shared" si="14"/>
        <v>283</v>
      </c>
    </row>
    <row r="180" spans="1:30" ht="15" customHeight="1" x14ac:dyDescent="0.2">
      <c r="A180" s="7">
        <v>2022</v>
      </c>
      <c r="B180" s="7" t="s">
        <v>30</v>
      </c>
      <c r="C180" s="7" t="s">
        <v>31</v>
      </c>
      <c r="D180" s="7">
        <v>1</v>
      </c>
      <c r="E180" s="7" t="s">
        <v>33</v>
      </c>
      <c r="F180" s="7"/>
      <c r="G180" s="8"/>
      <c r="H180" s="8"/>
      <c r="I180" s="8"/>
      <c r="J180" s="7" t="s">
        <v>33</v>
      </c>
      <c r="K180" s="7" t="s">
        <v>32</v>
      </c>
      <c r="L180" s="8">
        <v>151</v>
      </c>
      <c r="M180" s="8">
        <v>227</v>
      </c>
      <c r="N180" s="8">
        <v>378</v>
      </c>
      <c r="O180" s="7" t="s">
        <v>32</v>
      </c>
      <c r="P180" s="7" t="s">
        <v>32</v>
      </c>
      <c r="Q180" s="8">
        <v>141</v>
      </c>
      <c r="R180" s="8">
        <v>233</v>
      </c>
      <c r="S180" s="8">
        <v>374</v>
      </c>
      <c r="T180" s="7" t="s">
        <v>33</v>
      </c>
      <c r="U180" s="7" t="s">
        <v>32</v>
      </c>
      <c r="V180" s="8">
        <v>137</v>
      </c>
      <c r="W180" s="8">
        <v>249</v>
      </c>
      <c r="X180" s="8">
        <v>386</v>
      </c>
      <c r="Y180" s="9">
        <v>58.89</v>
      </c>
      <c r="Z180" s="10" t="str">
        <f t="shared" si="10"/>
        <v/>
      </c>
      <c r="AA180" s="10">
        <f t="shared" si="11"/>
        <v>0.39947089947089948</v>
      </c>
      <c r="AB180" s="10">
        <f t="shared" si="12"/>
        <v>0.3770053475935829</v>
      </c>
      <c r="AC180" s="10">
        <f t="shared" si="13"/>
        <v>0.3549222797927461</v>
      </c>
      <c r="AD180" s="8">
        <f t="shared" si="14"/>
        <v>112</v>
      </c>
    </row>
    <row r="181" spans="1:30" ht="15" customHeight="1" x14ac:dyDescent="0.2">
      <c r="A181" s="7">
        <v>2022</v>
      </c>
      <c r="B181" s="7" t="s">
        <v>34</v>
      </c>
      <c r="C181" s="7" t="s">
        <v>31</v>
      </c>
      <c r="D181" s="7">
        <v>2</v>
      </c>
      <c r="E181" s="7" t="s">
        <v>33</v>
      </c>
      <c r="F181" s="7"/>
      <c r="G181" s="8"/>
      <c r="H181" s="8"/>
      <c r="I181" s="8"/>
      <c r="J181" s="7" t="s">
        <v>33</v>
      </c>
      <c r="K181" s="7" t="s">
        <v>32</v>
      </c>
      <c r="L181" s="8">
        <v>108</v>
      </c>
      <c r="M181" s="8">
        <v>196</v>
      </c>
      <c r="N181" s="8">
        <v>304</v>
      </c>
      <c r="O181" s="7" t="s">
        <v>32</v>
      </c>
      <c r="P181" s="7" t="s">
        <v>32</v>
      </c>
      <c r="Q181" s="8">
        <v>87</v>
      </c>
      <c r="R181" s="8">
        <v>216</v>
      </c>
      <c r="S181" s="8">
        <v>303</v>
      </c>
      <c r="T181" s="7" t="s">
        <v>33</v>
      </c>
      <c r="U181" s="7" t="s">
        <v>32</v>
      </c>
      <c r="V181" s="8">
        <v>84</v>
      </c>
      <c r="W181" s="8">
        <v>230</v>
      </c>
      <c r="X181" s="8">
        <v>314</v>
      </c>
      <c r="Y181" s="9">
        <v>54.62</v>
      </c>
      <c r="Z181" s="10" t="str">
        <f t="shared" si="10"/>
        <v/>
      </c>
      <c r="AA181" s="10">
        <f t="shared" si="11"/>
        <v>0.35526315789473684</v>
      </c>
      <c r="AB181" s="10">
        <f t="shared" si="12"/>
        <v>0.28712871287128711</v>
      </c>
      <c r="AC181" s="10">
        <f t="shared" si="13"/>
        <v>0.26751592356687898</v>
      </c>
      <c r="AD181" s="8">
        <f t="shared" si="14"/>
        <v>146</v>
      </c>
    </row>
    <row r="182" spans="1:30" ht="15" customHeight="1" x14ac:dyDescent="0.2">
      <c r="A182" s="7">
        <v>2022</v>
      </c>
      <c r="B182" s="7" t="s">
        <v>35</v>
      </c>
      <c r="C182" s="7" t="s">
        <v>31</v>
      </c>
      <c r="D182" s="7">
        <v>3</v>
      </c>
      <c r="E182" s="7" t="s">
        <v>33</v>
      </c>
      <c r="F182" s="7"/>
      <c r="G182" s="8"/>
      <c r="H182" s="8"/>
      <c r="I182" s="8"/>
      <c r="J182" s="7" t="s">
        <v>33</v>
      </c>
      <c r="K182" s="7" t="s">
        <v>32</v>
      </c>
      <c r="L182" s="8">
        <v>145</v>
      </c>
      <c r="M182" s="8">
        <v>199</v>
      </c>
      <c r="N182" s="8">
        <v>344</v>
      </c>
      <c r="O182" s="7" t="s">
        <v>32</v>
      </c>
      <c r="P182" s="7" t="s">
        <v>32</v>
      </c>
      <c r="Q182" s="8">
        <v>135</v>
      </c>
      <c r="R182" s="8">
        <v>201</v>
      </c>
      <c r="S182" s="8">
        <v>336</v>
      </c>
      <c r="T182" s="7" t="s">
        <v>33</v>
      </c>
      <c r="U182" s="7" t="s">
        <v>32</v>
      </c>
      <c r="V182" s="8">
        <v>125</v>
      </c>
      <c r="W182" s="8">
        <v>223</v>
      </c>
      <c r="X182" s="8">
        <v>348</v>
      </c>
      <c r="Y182" s="9">
        <v>65.27</v>
      </c>
      <c r="Z182" s="10" t="str">
        <f t="shared" si="10"/>
        <v/>
      </c>
      <c r="AA182" s="10">
        <f t="shared" si="11"/>
        <v>0.42151162790697677</v>
      </c>
      <c r="AB182" s="10">
        <f t="shared" si="12"/>
        <v>0.4017857142857143</v>
      </c>
      <c r="AC182" s="10">
        <f t="shared" si="13"/>
        <v>0.35919540229885055</v>
      </c>
      <c r="AD182" s="8">
        <f t="shared" si="14"/>
        <v>98</v>
      </c>
    </row>
    <row r="183" spans="1:30" ht="15" customHeight="1" x14ac:dyDescent="0.2">
      <c r="A183" s="7">
        <v>2022</v>
      </c>
      <c r="B183" s="7" t="s">
        <v>36</v>
      </c>
      <c r="C183" s="7" t="s">
        <v>31</v>
      </c>
      <c r="D183" s="7">
        <v>4</v>
      </c>
      <c r="E183" s="7" t="s">
        <v>33</v>
      </c>
      <c r="F183" s="7"/>
      <c r="G183" s="8"/>
      <c r="H183" s="8"/>
      <c r="I183" s="8"/>
      <c r="J183" s="7" t="s">
        <v>33</v>
      </c>
      <c r="K183" s="7" t="s">
        <v>32</v>
      </c>
      <c r="L183" s="8">
        <v>449</v>
      </c>
      <c r="M183" s="8">
        <v>830</v>
      </c>
      <c r="N183" s="8">
        <v>1279</v>
      </c>
      <c r="O183" s="7" t="s">
        <v>32</v>
      </c>
      <c r="P183" s="7" t="s">
        <v>32</v>
      </c>
      <c r="Q183" s="8">
        <v>378</v>
      </c>
      <c r="R183" s="8">
        <v>872</v>
      </c>
      <c r="S183" s="8">
        <v>1250</v>
      </c>
      <c r="T183" s="7" t="s">
        <v>33</v>
      </c>
      <c r="U183" s="7" t="s">
        <v>32</v>
      </c>
      <c r="V183" s="8">
        <v>372</v>
      </c>
      <c r="W183" s="8">
        <v>925</v>
      </c>
      <c r="X183" s="8">
        <v>1297</v>
      </c>
      <c r="Y183" s="9">
        <v>66.05</v>
      </c>
      <c r="Z183" s="10" t="str">
        <f t="shared" si="10"/>
        <v/>
      </c>
      <c r="AA183" s="10">
        <f t="shared" si="11"/>
        <v>0.35105551211884284</v>
      </c>
      <c r="AB183" s="10">
        <f t="shared" si="12"/>
        <v>0.3024</v>
      </c>
      <c r="AC183" s="10">
        <f t="shared" si="13"/>
        <v>0.28681572860447185</v>
      </c>
      <c r="AD183" s="8">
        <f t="shared" si="14"/>
        <v>553</v>
      </c>
    </row>
    <row r="184" spans="1:30" ht="15" customHeight="1" x14ac:dyDescent="0.2">
      <c r="A184" s="7">
        <v>2022</v>
      </c>
      <c r="B184" s="7" t="s">
        <v>37</v>
      </c>
      <c r="C184" s="7" t="s">
        <v>31</v>
      </c>
      <c r="D184" s="7">
        <v>5</v>
      </c>
      <c r="E184" s="7" t="s">
        <v>33</v>
      </c>
      <c r="F184" s="7"/>
      <c r="G184" s="8"/>
      <c r="H184" s="8"/>
      <c r="I184" s="8"/>
      <c r="J184" s="7" t="s">
        <v>33</v>
      </c>
      <c r="K184" s="7" t="s">
        <v>32</v>
      </c>
      <c r="L184" s="8">
        <v>38</v>
      </c>
      <c r="M184" s="8">
        <v>52</v>
      </c>
      <c r="N184" s="8">
        <v>90</v>
      </c>
      <c r="O184" s="7" t="s">
        <v>32</v>
      </c>
      <c r="P184" s="7" t="s">
        <v>32</v>
      </c>
      <c r="Q184" s="8">
        <v>36</v>
      </c>
      <c r="R184" s="8">
        <v>54</v>
      </c>
      <c r="S184" s="8">
        <v>90</v>
      </c>
      <c r="T184" s="7" t="s">
        <v>33</v>
      </c>
      <c r="U184" s="7" t="s">
        <v>32</v>
      </c>
      <c r="V184" s="8">
        <v>33</v>
      </c>
      <c r="W184" s="8">
        <v>61</v>
      </c>
      <c r="X184" s="8">
        <v>94</v>
      </c>
      <c r="Y184" s="9">
        <v>58.28</v>
      </c>
      <c r="Z184" s="10" t="str">
        <f t="shared" si="10"/>
        <v/>
      </c>
      <c r="AA184" s="10">
        <f t="shared" si="11"/>
        <v>0.42222222222222222</v>
      </c>
      <c r="AB184" s="10">
        <f t="shared" si="12"/>
        <v>0.4</v>
      </c>
      <c r="AC184" s="10">
        <f t="shared" si="13"/>
        <v>0.35106382978723405</v>
      </c>
      <c r="AD184" s="8">
        <f t="shared" si="14"/>
        <v>28</v>
      </c>
    </row>
    <row r="185" spans="1:30" ht="15" customHeight="1" x14ac:dyDescent="0.2">
      <c r="A185" s="7">
        <v>2022</v>
      </c>
      <c r="B185" s="7" t="s">
        <v>38</v>
      </c>
      <c r="C185" s="7" t="s">
        <v>31</v>
      </c>
      <c r="D185" s="7">
        <v>6</v>
      </c>
      <c r="E185" s="7" t="s">
        <v>33</v>
      </c>
      <c r="F185" s="7"/>
      <c r="G185" s="8"/>
      <c r="H185" s="8"/>
      <c r="I185" s="8"/>
      <c r="J185" s="7" t="s">
        <v>33</v>
      </c>
      <c r="K185" s="7" t="s">
        <v>32</v>
      </c>
      <c r="L185" s="8">
        <v>680</v>
      </c>
      <c r="M185" s="8">
        <v>1232</v>
      </c>
      <c r="N185" s="8">
        <v>1912</v>
      </c>
      <c r="O185" s="7" t="s">
        <v>32</v>
      </c>
      <c r="P185" s="7" t="s">
        <v>32</v>
      </c>
      <c r="Q185" s="8">
        <v>588</v>
      </c>
      <c r="R185" s="8">
        <v>1309</v>
      </c>
      <c r="S185" s="8">
        <v>1897</v>
      </c>
      <c r="T185" s="7" t="s">
        <v>33</v>
      </c>
      <c r="U185" s="7" t="s">
        <v>32</v>
      </c>
      <c r="V185" s="8">
        <v>560</v>
      </c>
      <c r="W185" s="8">
        <v>1398</v>
      </c>
      <c r="X185" s="8">
        <v>1958</v>
      </c>
      <c r="Y185" s="9">
        <v>63.11</v>
      </c>
      <c r="Z185" s="10" t="str">
        <f t="shared" si="10"/>
        <v/>
      </c>
      <c r="AA185" s="10">
        <f t="shared" si="11"/>
        <v>0.35564853556485354</v>
      </c>
      <c r="AB185" s="10">
        <f t="shared" si="12"/>
        <v>0.30996309963099633</v>
      </c>
      <c r="AC185" s="10">
        <f t="shared" si="13"/>
        <v>0.28600612870275793</v>
      </c>
      <c r="AD185" s="8">
        <f t="shared" si="14"/>
        <v>838</v>
      </c>
    </row>
    <row r="186" spans="1:30" ht="15" customHeight="1" x14ac:dyDescent="0.2">
      <c r="A186" s="7">
        <v>2022</v>
      </c>
      <c r="B186" s="7" t="s">
        <v>39</v>
      </c>
      <c r="C186" s="7" t="s">
        <v>31</v>
      </c>
      <c r="D186" s="7">
        <v>7</v>
      </c>
      <c r="E186" s="7" t="s">
        <v>33</v>
      </c>
      <c r="F186" s="7"/>
      <c r="G186" s="8"/>
      <c r="H186" s="8"/>
      <c r="I186" s="8"/>
      <c r="J186" s="7" t="s">
        <v>33</v>
      </c>
      <c r="K186" s="7" t="s">
        <v>33</v>
      </c>
      <c r="L186" s="8">
        <v>1107</v>
      </c>
      <c r="M186" s="8">
        <v>992</v>
      </c>
      <c r="N186" s="8">
        <v>2099</v>
      </c>
      <c r="O186" s="7" t="s">
        <v>32</v>
      </c>
      <c r="P186" s="7" t="s">
        <v>33</v>
      </c>
      <c r="Q186" s="8">
        <v>1049</v>
      </c>
      <c r="R186" s="8">
        <v>1031</v>
      </c>
      <c r="S186" s="8">
        <v>2080</v>
      </c>
      <c r="T186" s="7" t="s">
        <v>33</v>
      </c>
      <c r="U186" s="7" t="s">
        <v>32</v>
      </c>
      <c r="V186" s="8">
        <v>979</v>
      </c>
      <c r="W186" s="8">
        <v>1157</v>
      </c>
      <c r="X186" s="8">
        <v>2136</v>
      </c>
      <c r="Y186" s="9">
        <v>64.88</v>
      </c>
      <c r="Z186" s="10" t="str">
        <f t="shared" si="10"/>
        <v/>
      </c>
      <c r="AA186" s="10">
        <f t="shared" si="11"/>
        <v>0.52739399714149593</v>
      </c>
      <c r="AB186" s="10">
        <f t="shared" si="12"/>
        <v>0.50432692307692306</v>
      </c>
      <c r="AC186" s="10">
        <f t="shared" si="13"/>
        <v>0.45833333333333331</v>
      </c>
      <c r="AD186" s="8">
        <f t="shared" si="14"/>
        <v>178</v>
      </c>
    </row>
    <row r="187" spans="1:30" ht="15" customHeight="1" x14ac:dyDescent="0.2">
      <c r="A187" s="7">
        <v>2022</v>
      </c>
      <c r="B187" s="7" t="s">
        <v>40</v>
      </c>
      <c r="C187" s="7" t="s">
        <v>31</v>
      </c>
      <c r="D187" s="7">
        <v>8</v>
      </c>
      <c r="E187" s="7" t="s">
        <v>33</v>
      </c>
      <c r="F187" s="7"/>
      <c r="G187" s="8"/>
      <c r="H187" s="8"/>
      <c r="I187" s="8"/>
      <c r="J187" s="7" t="s">
        <v>33</v>
      </c>
      <c r="K187" s="7" t="s">
        <v>32</v>
      </c>
      <c r="L187" s="8">
        <v>347</v>
      </c>
      <c r="M187" s="8">
        <v>482</v>
      </c>
      <c r="N187" s="8">
        <v>829</v>
      </c>
      <c r="O187" s="7" t="s">
        <v>32</v>
      </c>
      <c r="P187" s="7" t="s">
        <v>32</v>
      </c>
      <c r="Q187" s="8">
        <v>299</v>
      </c>
      <c r="R187" s="8">
        <v>526</v>
      </c>
      <c r="S187" s="8">
        <v>825</v>
      </c>
      <c r="T187" s="7" t="s">
        <v>33</v>
      </c>
      <c r="U187" s="7" t="s">
        <v>32</v>
      </c>
      <c r="V187" s="8">
        <v>277</v>
      </c>
      <c r="W187" s="8">
        <v>560</v>
      </c>
      <c r="X187" s="8">
        <v>837</v>
      </c>
      <c r="Y187" s="9">
        <v>58.79</v>
      </c>
      <c r="Z187" s="10" t="str">
        <f t="shared" si="10"/>
        <v/>
      </c>
      <c r="AA187" s="10">
        <f t="shared" si="11"/>
        <v>0.41857659831121835</v>
      </c>
      <c r="AB187" s="10">
        <f t="shared" si="12"/>
        <v>0.36242424242424243</v>
      </c>
      <c r="AC187" s="10">
        <f t="shared" si="13"/>
        <v>0.33094384707287933</v>
      </c>
      <c r="AD187" s="8">
        <f t="shared" si="14"/>
        <v>283</v>
      </c>
    </row>
    <row r="188" spans="1:30" ht="15" customHeight="1" x14ac:dyDescent="0.2">
      <c r="A188" s="7">
        <v>2022</v>
      </c>
      <c r="B188" s="7" t="s">
        <v>41</v>
      </c>
      <c r="C188" s="7" t="s">
        <v>31</v>
      </c>
      <c r="D188" s="7">
        <v>9</v>
      </c>
      <c r="E188" s="7" t="s">
        <v>33</v>
      </c>
      <c r="F188" s="7"/>
      <c r="G188" s="8"/>
      <c r="H188" s="8"/>
      <c r="I188" s="8"/>
      <c r="J188" s="7" t="s">
        <v>33</v>
      </c>
      <c r="K188" s="7" t="s">
        <v>32</v>
      </c>
      <c r="L188" s="8">
        <v>493</v>
      </c>
      <c r="M188" s="8">
        <v>506</v>
      </c>
      <c r="N188" s="8">
        <v>999</v>
      </c>
      <c r="O188" s="7" t="s">
        <v>32</v>
      </c>
      <c r="P188" s="7" t="s">
        <v>32</v>
      </c>
      <c r="Q188" s="8">
        <v>455</v>
      </c>
      <c r="R188" s="8">
        <v>525</v>
      </c>
      <c r="S188" s="8">
        <v>980</v>
      </c>
      <c r="T188" s="7" t="s">
        <v>33</v>
      </c>
      <c r="U188" s="7" t="s">
        <v>32</v>
      </c>
      <c r="V188" s="8">
        <v>420</v>
      </c>
      <c r="W188" s="8">
        <v>580</v>
      </c>
      <c r="X188" s="8">
        <v>1000</v>
      </c>
      <c r="Y188" s="9">
        <v>45.83</v>
      </c>
      <c r="Z188" s="10" t="str">
        <f t="shared" si="10"/>
        <v/>
      </c>
      <c r="AA188" s="10">
        <f t="shared" si="11"/>
        <v>0.49349349349349347</v>
      </c>
      <c r="AB188" s="10">
        <f t="shared" si="12"/>
        <v>0.4642857142857143</v>
      </c>
      <c r="AC188" s="10">
        <f t="shared" si="13"/>
        <v>0.42</v>
      </c>
      <c r="AD188" s="8">
        <f t="shared" si="14"/>
        <v>160</v>
      </c>
    </row>
    <row r="189" spans="1:30" ht="15" customHeight="1" x14ac:dyDescent="0.2">
      <c r="A189" s="7">
        <v>2022</v>
      </c>
      <c r="B189" s="7" t="s">
        <v>42</v>
      </c>
      <c r="C189" s="7" t="s">
        <v>31</v>
      </c>
      <c r="D189" s="7">
        <v>10</v>
      </c>
      <c r="E189" s="7" t="s">
        <v>33</v>
      </c>
      <c r="F189" s="7"/>
      <c r="G189" s="8"/>
      <c r="H189" s="8"/>
      <c r="I189" s="8"/>
      <c r="J189" s="7" t="s">
        <v>33</v>
      </c>
      <c r="K189" s="7" t="s">
        <v>32</v>
      </c>
      <c r="L189" s="8">
        <v>45</v>
      </c>
      <c r="M189" s="8">
        <v>70</v>
      </c>
      <c r="N189" s="8">
        <v>115</v>
      </c>
      <c r="O189" s="7" t="s">
        <v>32</v>
      </c>
      <c r="P189" s="7" t="s">
        <v>32</v>
      </c>
      <c r="Q189" s="8">
        <v>41</v>
      </c>
      <c r="R189" s="8">
        <v>72</v>
      </c>
      <c r="S189" s="8">
        <v>113</v>
      </c>
      <c r="T189" s="7" t="s">
        <v>33</v>
      </c>
      <c r="U189" s="7" t="s">
        <v>32</v>
      </c>
      <c r="V189" s="8">
        <v>36</v>
      </c>
      <c r="W189" s="8">
        <v>79</v>
      </c>
      <c r="X189" s="8">
        <v>115</v>
      </c>
      <c r="Y189" s="9">
        <v>66.86</v>
      </c>
      <c r="Z189" s="10" t="str">
        <f t="shared" si="10"/>
        <v/>
      </c>
      <c r="AA189" s="10">
        <f t="shared" si="11"/>
        <v>0.39130434782608697</v>
      </c>
      <c r="AB189" s="10">
        <f t="shared" si="12"/>
        <v>0.36283185840707965</v>
      </c>
      <c r="AC189" s="10">
        <f t="shared" si="13"/>
        <v>0.31304347826086959</v>
      </c>
      <c r="AD189" s="8">
        <f t="shared" si="14"/>
        <v>43</v>
      </c>
    </row>
    <row r="190" spans="1:30" ht="15" customHeight="1" x14ac:dyDescent="0.2">
      <c r="A190" s="7">
        <v>2022</v>
      </c>
      <c r="B190" s="7" t="s">
        <v>43</v>
      </c>
      <c r="C190" s="7" t="s">
        <v>31</v>
      </c>
      <c r="D190" s="7">
        <v>11</v>
      </c>
      <c r="E190" s="7" t="s">
        <v>33</v>
      </c>
      <c r="F190" s="7"/>
      <c r="G190" s="8"/>
      <c r="H190" s="8"/>
      <c r="I190" s="8"/>
      <c r="J190" s="7" t="s">
        <v>33</v>
      </c>
      <c r="K190" s="7" t="s">
        <v>32</v>
      </c>
      <c r="L190" s="8">
        <v>68</v>
      </c>
      <c r="M190" s="8">
        <v>173</v>
      </c>
      <c r="N190" s="8">
        <v>241</v>
      </c>
      <c r="O190" s="7" t="s">
        <v>32</v>
      </c>
      <c r="P190" s="7" t="s">
        <v>32</v>
      </c>
      <c r="Q190" s="8">
        <v>56</v>
      </c>
      <c r="R190" s="8">
        <v>181</v>
      </c>
      <c r="S190" s="8">
        <v>237</v>
      </c>
      <c r="T190" s="7" t="s">
        <v>33</v>
      </c>
      <c r="U190" s="7" t="s">
        <v>32</v>
      </c>
      <c r="V190" s="8">
        <v>52</v>
      </c>
      <c r="W190" s="8">
        <v>189</v>
      </c>
      <c r="X190" s="8">
        <v>241</v>
      </c>
      <c r="Y190" s="9">
        <v>70.98</v>
      </c>
      <c r="Z190" s="10" t="str">
        <f t="shared" si="10"/>
        <v/>
      </c>
      <c r="AA190" s="10">
        <f t="shared" si="11"/>
        <v>0.28215767634854771</v>
      </c>
      <c r="AB190" s="10">
        <f t="shared" si="12"/>
        <v>0.23628691983122363</v>
      </c>
      <c r="AC190" s="10">
        <f t="shared" si="13"/>
        <v>0.21576763485477179</v>
      </c>
      <c r="AD190" s="8">
        <f t="shared" si="14"/>
        <v>137</v>
      </c>
    </row>
    <row r="191" spans="1:30" ht="15" customHeight="1" x14ac:dyDescent="0.2">
      <c r="A191" s="7">
        <v>2022</v>
      </c>
      <c r="B191" s="7" t="s">
        <v>44</v>
      </c>
      <c r="C191" s="7" t="s">
        <v>31</v>
      </c>
      <c r="D191" s="7">
        <v>12</v>
      </c>
      <c r="E191" s="7" t="s">
        <v>33</v>
      </c>
      <c r="F191" s="7"/>
      <c r="G191" s="8"/>
      <c r="H191" s="8"/>
      <c r="I191" s="8"/>
      <c r="J191" s="7" t="s">
        <v>33</v>
      </c>
      <c r="K191" s="7" t="s">
        <v>32</v>
      </c>
      <c r="L191" s="8">
        <v>803</v>
      </c>
      <c r="M191" s="8">
        <v>846</v>
      </c>
      <c r="N191" s="8">
        <v>1649</v>
      </c>
      <c r="O191" s="7" t="s">
        <v>32</v>
      </c>
      <c r="P191" s="7" t="s">
        <v>32</v>
      </c>
      <c r="Q191" s="8">
        <v>744</v>
      </c>
      <c r="R191" s="8">
        <v>878</v>
      </c>
      <c r="S191" s="8">
        <v>1622</v>
      </c>
      <c r="T191" s="7" t="s">
        <v>33</v>
      </c>
      <c r="U191" s="7" t="s">
        <v>32</v>
      </c>
      <c r="V191" s="8">
        <v>719</v>
      </c>
      <c r="W191" s="8">
        <v>948</v>
      </c>
      <c r="X191" s="8">
        <v>1667</v>
      </c>
      <c r="Y191" s="9">
        <v>53.84</v>
      </c>
      <c r="Z191" s="10" t="str">
        <f t="shared" si="10"/>
        <v/>
      </c>
      <c r="AA191" s="10">
        <f t="shared" si="11"/>
        <v>0.48696179502728926</v>
      </c>
      <c r="AB191" s="10">
        <f t="shared" si="12"/>
        <v>0.45869297163995065</v>
      </c>
      <c r="AC191" s="10">
        <f t="shared" si="13"/>
        <v>0.43131373725254951</v>
      </c>
      <c r="AD191" s="8">
        <f t="shared" si="14"/>
        <v>229</v>
      </c>
    </row>
    <row r="192" spans="1:30" ht="15" customHeight="1" x14ac:dyDescent="0.2">
      <c r="A192" s="7">
        <v>2022</v>
      </c>
      <c r="B192" s="7" t="s">
        <v>45</v>
      </c>
      <c r="C192" s="7" t="s">
        <v>31</v>
      </c>
      <c r="D192" s="7">
        <v>13</v>
      </c>
      <c r="E192" s="7" t="s">
        <v>33</v>
      </c>
      <c r="F192" s="7"/>
      <c r="G192" s="8"/>
      <c r="H192" s="8"/>
      <c r="I192" s="8"/>
      <c r="J192" s="7" t="s">
        <v>33</v>
      </c>
      <c r="K192" s="7" t="s">
        <v>32</v>
      </c>
      <c r="L192" s="8">
        <v>498</v>
      </c>
      <c r="M192" s="8">
        <v>828</v>
      </c>
      <c r="N192" s="8">
        <v>1326</v>
      </c>
      <c r="O192" s="7" t="s">
        <v>32</v>
      </c>
      <c r="P192" s="7" t="s">
        <v>32</v>
      </c>
      <c r="Q192" s="8">
        <v>453</v>
      </c>
      <c r="R192" s="8">
        <v>844</v>
      </c>
      <c r="S192" s="8">
        <v>1297</v>
      </c>
      <c r="T192" s="7" t="s">
        <v>33</v>
      </c>
      <c r="U192" s="7" t="s">
        <v>32</v>
      </c>
      <c r="V192" s="8">
        <v>430</v>
      </c>
      <c r="W192" s="8">
        <v>916</v>
      </c>
      <c r="X192" s="8">
        <v>1346</v>
      </c>
      <c r="Y192" s="9">
        <v>63.25</v>
      </c>
      <c r="Z192" s="10" t="str">
        <f t="shared" si="10"/>
        <v/>
      </c>
      <c r="AA192" s="10">
        <f t="shared" si="11"/>
        <v>0.3755656108597285</v>
      </c>
      <c r="AB192" s="10">
        <f t="shared" si="12"/>
        <v>0.34926754047802622</v>
      </c>
      <c r="AC192" s="10">
        <f t="shared" si="13"/>
        <v>0.31946508172362553</v>
      </c>
      <c r="AD192" s="8">
        <f t="shared" si="14"/>
        <v>486</v>
      </c>
    </row>
    <row r="193" spans="1:30" ht="15" customHeight="1" x14ac:dyDescent="0.2">
      <c r="A193" s="7">
        <v>2022</v>
      </c>
      <c r="B193" s="7" t="s">
        <v>46</v>
      </c>
      <c r="C193" s="7" t="s">
        <v>31</v>
      </c>
      <c r="D193" s="7">
        <v>14</v>
      </c>
      <c r="E193" s="7" t="s">
        <v>33</v>
      </c>
      <c r="F193" s="7"/>
      <c r="G193" s="8"/>
      <c r="H193" s="8"/>
      <c r="I193" s="8"/>
      <c r="J193" s="7" t="s">
        <v>33</v>
      </c>
      <c r="K193" s="7" t="s">
        <v>32</v>
      </c>
      <c r="L193" s="8">
        <v>639</v>
      </c>
      <c r="M193" s="8">
        <v>1116</v>
      </c>
      <c r="N193" s="8">
        <v>1755</v>
      </c>
      <c r="O193" s="7" t="s">
        <v>32</v>
      </c>
      <c r="P193" s="7" t="s">
        <v>32</v>
      </c>
      <c r="Q193" s="8">
        <v>589</v>
      </c>
      <c r="R193" s="8">
        <v>1144</v>
      </c>
      <c r="S193" s="8">
        <v>1733</v>
      </c>
      <c r="T193" s="7" t="s">
        <v>33</v>
      </c>
      <c r="U193" s="7" t="s">
        <v>32</v>
      </c>
      <c r="V193" s="8">
        <v>546</v>
      </c>
      <c r="W193" s="8">
        <v>1227</v>
      </c>
      <c r="X193" s="8">
        <v>1773</v>
      </c>
      <c r="Y193" s="9">
        <v>61.33</v>
      </c>
      <c r="Z193" s="10" t="str">
        <f t="shared" si="10"/>
        <v/>
      </c>
      <c r="AA193" s="10">
        <f t="shared" si="11"/>
        <v>0.36410256410256409</v>
      </c>
      <c r="AB193" s="10">
        <f t="shared" si="12"/>
        <v>0.33987305251009808</v>
      </c>
      <c r="AC193" s="10">
        <f t="shared" si="13"/>
        <v>0.30795262267343487</v>
      </c>
      <c r="AD193" s="8">
        <f t="shared" si="14"/>
        <v>681</v>
      </c>
    </row>
    <row r="194" spans="1:30" ht="15" customHeight="1" x14ac:dyDescent="0.2">
      <c r="A194" s="7">
        <v>2022</v>
      </c>
      <c r="B194" s="7" t="s">
        <v>47</v>
      </c>
      <c r="C194" s="7" t="s">
        <v>31</v>
      </c>
      <c r="D194" s="7">
        <v>15</v>
      </c>
      <c r="E194" s="7" t="s">
        <v>33</v>
      </c>
      <c r="F194" s="7"/>
      <c r="G194" s="8"/>
      <c r="H194" s="8"/>
      <c r="I194" s="8"/>
      <c r="J194" s="7" t="s">
        <v>33</v>
      </c>
      <c r="K194" s="7" t="s">
        <v>32</v>
      </c>
      <c r="L194" s="8">
        <v>580</v>
      </c>
      <c r="M194" s="8">
        <v>601</v>
      </c>
      <c r="N194" s="8">
        <v>1181</v>
      </c>
      <c r="O194" s="7" t="s">
        <v>32</v>
      </c>
      <c r="P194" s="7" t="s">
        <v>32</v>
      </c>
      <c r="Q194" s="8">
        <v>504</v>
      </c>
      <c r="R194" s="8">
        <v>655</v>
      </c>
      <c r="S194" s="8">
        <v>1159</v>
      </c>
      <c r="T194" s="7" t="s">
        <v>33</v>
      </c>
      <c r="U194" s="7" t="s">
        <v>32</v>
      </c>
      <c r="V194" s="8">
        <v>488</v>
      </c>
      <c r="W194" s="8">
        <v>706</v>
      </c>
      <c r="X194" s="8">
        <v>1194</v>
      </c>
      <c r="Y194" s="9">
        <v>58.97</v>
      </c>
      <c r="Z194" s="10" t="str">
        <f t="shared" ref="Z194:Z257" si="15">IFERROR(G194/(G194+H194),"")</f>
        <v/>
      </c>
      <c r="AA194" s="10">
        <f t="shared" ref="AA194:AA257" si="16">IFERROR(L194/(L194+M194),"")</f>
        <v>0.49110922946655378</v>
      </c>
      <c r="AB194" s="10">
        <f t="shared" ref="AB194:AB257" si="17">IFERROR(Q194/(Q194+R194),"")</f>
        <v>0.43485763589301124</v>
      </c>
      <c r="AC194" s="10">
        <f t="shared" ref="AC194:AC257" si="18">IFERROR(V194/(V194+W194),"")</f>
        <v>0.40871021775544386</v>
      </c>
      <c r="AD194" s="8">
        <f t="shared" ref="AD194:AD257" si="19">W194-V194</f>
        <v>218</v>
      </c>
    </row>
    <row r="195" spans="1:30" ht="15" customHeight="1" x14ac:dyDescent="0.2">
      <c r="A195" s="7">
        <v>2022</v>
      </c>
      <c r="B195" s="7" t="s">
        <v>48</v>
      </c>
      <c r="C195" s="7" t="s">
        <v>31</v>
      </c>
      <c r="D195" s="7">
        <v>16</v>
      </c>
      <c r="E195" s="7" t="s">
        <v>33</v>
      </c>
      <c r="F195" s="7"/>
      <c r="G195" s="8"/>
      <c r="H195" s="8"/>
      <c r="I195" s="8"/>
      <c r="J195" s="7" t="s">
        <v>33</v>
      </c>
      <c r="K195" s="7" t="s">
        <v>32</v>
      </c>
      <c r="L195" s="8">
        <v>144</v>
      </c>
      <c r="M195" s="8">
        <v>397</v>
      </c>
      <c r="N195" s="8">
        <v>541</v>
      </c>
      <c r="O195" s="7" t="s">
        <v>32</v>
      </c>
      <c r="P195" s="7" t="s">
        <v>32</v>
      </c>
      <c r="Q195" s="8">
        <v>101</v>
      </c>
      <c r="R195" s="8">
        <v>431</v>
      </c>
      <c r="S195" s="8">
        <v>532</v>
      </c>
      <c r="T195" s="7" t="s">
        <v>33</v>
      </c>
      <c r="U195" s="7" t="s">
        <v>32</v>
      </c>
      <c r="V195" s="8">
        <v>96</v>
      </c>
      <c r="W195" s="8">
        <v>444</v>
      </c>
      <c r="X195" s="8">
        <v>540</v>
      </c>
      <c r="Y195" s="9">
        <v>71.86</v>
      </c>
      <c r="Z195" s="10" t="str">
        <f t="shared" si="15"/>
        <v/>
      </c>
      <c r="AA195" s="10">
        <f t="shared" si="16"/>
        <v>0.26617375231053603</v>
      </c>
      <c r="AB195" s="10">
        <f t="shared" si="17"/>
        <v>0.18984962406015038</v>
      </c>
      <c r="AC195" s="10">
        <f t="shared" si="18"/>
        <v>0.17777777777777778</v>
      </c>
      <c r="AD195" s="8">
        <f t="shared" si="19"/>
        <v>348</v>
      </c>
    </row>
    <row r="196" spans="1:30" ht="15" customHeight="1" x14ac:dyDescent="0.2">
      <c r="A196" s="7">
        <v>2022</v>
      </c>
      <c r="B196" s="7" t="s">
        <v>49</v>
      </c>
      <c r="C196" s="7" t="s">
        <v>31</v>
      </c>
      <c r="D196" s="7">
        <v>17</v>
      </c>
      <c r="E196" s="7" t="s">
        <v>33</v>
      </c>
      <c r="F196" s="7"/>
      <c r="G196" s="8"/>
      <c r="H196" s="8"/>
      <c r="I196" s="8"/>
      <c r="J196" s="7" t="s">
        <v>33</v>
      </c>
      <c r="K196" s="7" t="s">
        <v>32</v>
      </c>
      <c r="L196" s="8">
        <v>812</v>
      </c>
      <c r="M196" s="8">
        <v>1057</v>
      </c>
      <c r="N196" s="8">
        <v>1869</v>
      </c>
      <c r="O196" s="7" t="s">
        <v>32</v>
      </c>
      <c r="P196" s="7" t="s">
        <v>32</v>
      </c>
      <c r="Q196" s="8">
        <v>760</v>
      </c>
      <c r="R196" s="8">
        <v>1083</v>
      </c>
      <c r="S196" s="8">
        <v>1843</v>
      </c>
      <c r="T196" s="7" t="s">
        <v>33</v>
      </c>
      <c r="U196" s="7" t="s">
        <v>32</v>
      </c>
      <c r="V196" s="8">
        <v>737</v>
      </c>
      <c r="W196" s="8">
        <v>1172</v>
      </c>
      <c r="X196" s="8">
        <v>1909</v>
      </c>
      <c r="Y196" s="9">
        <v>55.37</v>
      </c>
      <c r="Z196" s="10" t="str">
        <f t="shared" si="15"/>
        <v/>
      </c>
      <c r="AA196" s="10">
        <f t="shared" si="16"/>
        <v>0.43445692883895132</v>
      </c>
      <c r="AB196" s="10">
        <f t="shared" si="17"/>
        <v>0.41237113402061853</v>
      </c>
      <c r="AC196" s="10">
        <f t="shared" si="18"/>
        <v>0.38606600314300682</v>
      </c>
      <c r="AD196" s="8">
        <f t="shared" si="19"/>
        <v>435</v>
      </c>
    </row>
    <row r="197" spans="1:30" ht="15" customHeight="1" x14ac:dyDescent="0.2">
      <c r="A197" s="7">
        <v>2022</v>
      </c>
      <c r="B197" s="7" t="s">
        <v>50</v>
      </c>
      <c r="C197" s="7" t="s">
        <v>31</v>
      </c>
      <c r="D197" s="7">
        <v>18</v>
      </c>
      <c r="E197" s="7" t="s">
        <v>33</v>
      </c>
      <c r="F197" s="7"/>
      <c r="G197" s="8"/>
      <c r="H197" s="8"/>
      <c r="I197" s="8"/>
      <c r="J197" s="7" t="s">
        <v>33</v>
      </c>
      <c r="K197" s="7" t="s">
        <v>32</v>
      </c>
      <c r="L197" s="8">
        <v>61</v>
      </c>
      <c r="M197" s="8">
        <v>122</v>
      </c>
      <c r="N197" s="8">
        <v>183</v>
      </c>
      <c r="O197" s="7" t="s">
        <v>32</v>
      </c>
      <c r="P197" s="7" t="s">
        <v>32</v>
      </c>
      <c r="Q197" s="8">
        <v>53</v>
      </c>
      <c r="R197" s="8">
        <v>128</v>
      </c>
      <c r="S197" s="8">
        <v>181</v>
      </c>
      <c r="T197" s="7" t="s">
        <v>33</v>
      </c>
      <c r="U197" s="7" t="s">
        <v>32</v>
      </c>
      <c r="V197" s="8">
        <v>51</v>
      </c>
      <c r="W197" s="8">
        <v>136</v>
      </c>
      <c r="X197" s="8">
        <v>187</v>
      </c>
      <c r="Y197" s="9">
        <v>61.64</v>
      </c>
      <c r="Z197" s="10" t="str">
        <f t="shared" si="15"/>
        <v/>
      </c>
      <c r="AA197" s="10">
        <f t="shared" si="16"/>
        <v>0.33333333333333331</v>
      </c>
      <c r="AB197" s="10">
        <f t="shared" si="17"/>
        <v>0.29281767955801102</v>
      </c>
      <c r="AC197" s="10">
        <f t="shared" si="18"/>
        <v>0.27272727272727271</v>
      </c>
      <c r="AD197" s="8">
        <f t="shared" si="19"/>
        <v>85</v>
      </c>
    </row>
    <row r="198" spans="1:30" ht="15" customHeight="1" x14ac:dyDescent="0.2">
      <c r="A198" s="7">
        <v>2022</v>
      </c>
      <c r="B198" s="7" t="s">
        <v>51</v>
      </c>
      <c r="C198" s="7" t="s">
        <v>31</v>
      </c>
      <c r="D198" s="7">
        <v>19</v>
      </c>
      <c r="E198" s="7" t="s">
        <v>33</v>
      </c>
      <c r="F198" s="7"/>
      <c r="G198" s="8"/>
      <c r="H198" s="8"/>
      <c r="I198" s="8"/>
      <c r="J198" s="7" t="s">
        <v>33</v>
      </c>
      <c r="K198" s="7" t="s">
        <v>32</v>
      </c>
      <c r="L198" s="8">
        <v>1839</v>
      </c>
      <c r="M198" s="8">
        <v>2441</v>
      </c>
      <c r="N198" s="8">
        <v>4280</v>
      </c>
      <c r="O198" s="7" t="s">
        <v>32</v>
      </c>
      <c r="P198" s="7" t="s">
        <v>32</v>
      </c>
      <c r="Q198" s="8">
        <v>1654</v>
      </c>
      <c r="R198" s="8">
        <v>2577</v>
      </c>
      <c r="S198" s="8">
        <v>4231</v>
      </c>
      <c r="T198" s="7" t="s">
        <v>33</v>
      </c>
      <c r="U198" s="7" t="s">
        <v>32</v>
      </c>
      <c r="V198" s="8">
        <v>1574</v>
      </c>
      <c r="W198" s="8">
        <v>2750</v>
      </c>
      <c r="X198" s="8">
        <v>4324</v>
      </c>
      <c r="Y198" s="9">
        <v>57.24</v>
      </c>
      <c r="Z198" s="10" t="str">
        <f t="shared" si="15"/>
        <v/>
      </c>
      <c r="AA198" s="10">
        <f t="shared" si="16"/>
        <v>0.42967289719626167</v>
      </c>
      <c r="AB198" s="10">
        <f t="shared" si="17"/>
        <v>0.39092413141101395</v>
      </c>
      <c r="AC198" s="10">
        <f t="shared" si="18"/>
        <v>0.36401480111008327</v>
      </c>
      <c r="AD198" s="8">
        <f t="shared" si="19"/>
        <v>1176</v>
      </c>
    </row>
    <row r="199" spans="1:30" ht="15" customHeight="1" x14ac:dyDescent="0.2">
      <c r="A199" s="7">
        <v>2022</v>
      </c>
      <c r="B199" s="7" t="s">
        <v>52</v>
      </c>
      <c r="C199" s="7" t="s">
        <v>31</v>
      </c>
      <c r="D199" s="7">
        <v>20</v>
      </c>
      <c r="E199" s="7" t="s">
        <v>33</v>
      </c>
      <c r="F199" s="7"/>
      <c r="G199" s="8"/>
      <c r="H199" s="8"/>
      <c r="I199" s="8"/>
      <c r="J199" s="7" t="s">
        <v>33</v>
      </c>
      <c r="K199" s="7" t="s">
        <v>33</v>
      </c>
      <c r="L199" s="8">
        <v>636</v>
      </c>
      <c r="M199" s="8">
        <v>594</v>
      </c>
      <c r="N199" s="8">
        <v>1230</v>
      </c>
      <c r="O199" s="7" t="s">
        <v>32</v>
      </c>
      <c r="P199" s="7" t="s">
        <v>32</v>
      </c>
      <c r="Q199" s="8">
        <v>572</v>
      </c>
      <c r="R199" s="8">
        <v>625</v>
      </c>
      <c r="S199" s="8">
        <v>1197</v>
      </c>
      <c r="T199" s="7" t="s">
        <v>33</v>
      </c>
      <c r="U199" s="7" t="s">
        <v>32</v>
      </c>
      <c r="V199" s="8">
        <v>557</v>
      </c>
      <c r="W199" s="8">
        <v>678</v>
      </c>
      <c r="X199" s="8">
        <v>1235</v>
      </c>
      <c r="Y199" s="9">
        <v>62.71</v>
      </c>
      <c r="Z199" s="10" t="str">
        <f t="shared" si="15"/>
        <v/>
      </c>
      <c r="AA199" s="10">
        <f t="shared" si="16"/>
        <v>0.51707317073170733</v>
      </c>
      <c r="AB199" s="10">
        <f t="shared" si="17"/>
        <v>0.4778613199665831</v>
      </c>
      <c r="AC199" s="10">
        <f t="shared" si="18"/>
        <v>0.45101214574898785</v>
      </c>
      <c r="AD199" s="8">
        <f t="shared" si="19"/>
        <v>121</v>
      </c>
    </row>
    <row r="200" spans="1:30" ht="15" customHeight="1" x14ac:dyDescent="0.2">
      <c r="A200" s="7">
        <v>2022</v>
      </c>
      <c r="B200" s="7" t="s">
        <v>53</v>
      </c>
      <c r="C200" s="7" t="s">
        <v>31</v>
      </c>
      <c r="D200" s="7">
        <v>21</v>
      </c>
      <c r="E200" s="7" t="s">
        <v>33</v>
      </c>
      <c r="F200" s="7"/>
      <c r="G200" s="8"/>
      <c r="H200" s="8"/>
      <c r="I200" s="8"/>
      <c r="J200" s="7" t="s">
        <v>33</v>
      </c>
      <c r="K200" s="7" t="s">
        <v>32</v>
      </c>
      <c r="L200" s="8">
        <v>728</v>
      </c>
      <c r="M200" s="8">
        <v>1366</v>
      </c>
      <c r="N200" s="8">
        <v>2094</v>
      </c>
      <c r="O200" s="7" t="s">
        <v>32</v>
      </c>
      <c r="P200" s="7" t="s">
        <v>32</v>
      </c>
      <c r="Q200" s="8">
        <v>657</v>
      </c>
      <c r="R200" s="8">
        <v>1432</v>
      </c>
      <c r="S200" s="8">
        <v>2089</v>
      </c>
      <c r="T200" s="7" t="s">
        <v>33</v>
      </c>
      <c r="U200" s="7" t="s">
        <v>32</v>
      </c>
      <c r="V200" s="8">
        <v>625</v>
      </c>
      <c r="W200" s="8">
        <v>1506</v>
      </c>
      <c r="X200" s="8">
        <v>2131</v>
      </c>
      <c r="Y200" s="9">
        <v>65.84</v>
      </c>
      <c r="Z200" s="10" t="str">
        <f t="shared" si="15"/>
        <v/>
      </c>
      <c r="AA200" s="10">
        <f t="shared" si="16"/>
        <v>0.34765998089780326</v>
      </c>
      <c r="AB200" s="10">
        <f t="shared" si="17"/>
        <v>0.31450454763044516</v>
      </c>
      <c r="AC200" s="10">
        <f t="shared" si="18"/>
        <v>0.29328953542937586</v>
      </c>
      <c r="AD200" s="8">
        <f t="shared" si="19"/>
        <v>881</v>
      </c>
    </row>
    <row r="201" spans="1:30" ht="15" customHeight="1" x14ac:dyDescent="0.2">
      <c r="A201" s="7">
        <v>2022</v>
      </c>
      <c r="B201" s="7" t="s">
        <v>54</v>
      </c>
      <c r="C201" s="7" t="s">
        <v>31</v>
      </c>
      <c r="D201" s="7">
        <v>22</v>
      </c>
      <c r="E201" s="7" t="s">
        <v>33</v>
      </c>
      <c r="F201" s="7"/>
      <c r="G201" s="8"/>
      <c r="H201" s="8"/>
      <c r="I201" s="8"/>
      <c r="J201" s="7" t="s">
        <v>33</v>
      </c>
      <c r="K201" s="7" t="s">
        <v>32</v>
      </c>
      <c r="L201" s="8">
        <v>323</v>
      </c>
      <c r="M201" s="8">
        <v>568</v>
      </c>
      <c r="N201" s="8">
        <v>891</v>
      </c>
      <c r="O201" s="7" t="s">
        <v>32</v>
      </c>
      <c r="P201" s="7" t="s">
        <v>32</v>
      </c>
      <c r="Q201" s="8">
        <v>283</v>
      </c>
      <c r="R201" s="8">
        <v>591</v>
      </c>
      <c r="S201" s="8">
        <v>874</v>
      </c>
      <c r="T201" s="7" t="s">
        <v>33</v>
      </c>
      <c r="U201" s="7" t="s">
        <v>32</v>
      </c>
      <c r="V201" s="8">
        <v>245</v>
      </c>
      <c r="W201" s="8">
        <v>656</v>
      </c>
      <c r="X201" s="8">
        <v>901</v>
      </c>
      <c r="Y201" s="9">
        <v>59.53</v>
      </c>
      <c r="Z201" s="10" t="str">
        <f t="shared" si="15"/>
        <v/>
      </c>
      <c r="AA201" s="10">
        <f t="shared" si="16"/>
        <v>0.36251402918069586</v>
      </c>
      <c r="AB201" s="10">
        <f t="shared" si="17"/>
        <v>0.32379862700228834</v>
      </c>
      <c r="AC201" s="10">
        <f t="shared" si="18"/>
        <v>0.27192008879023305</v>
      </c>
      <c r="AD201" s="8">
        <f t="shared" si="19"/>
        <v>411</v>
      </c>
    </row>
    <row r="202" spans="1:30" ht="15" customHeight="1" x14ac:dyDescent="0.2">
      <c r="A202" s="7">
        <v>2022</v>
      </c>
      <c r="B202" s="7" t="s">
        <v>55</v>
      </c>
      <c r="C202" s="7" t="s">
        <v>31</v>
      </c>
      <c r="D202" s="7">
        <v>23</v>
      </c>
      <c r="E202" s="7" t="s">
        <v>33</v>
      </c>
      <c r="F202" s="7"/>
      <c r="G202" s="8"/>
      <c r="H202" s="8"/>
      <c r="I202" s="8"/>
      <c r="J202" s="7" t="s">
        <v>33</v>
      </c>
      <c r="K202" s="7" t="s">
        <v>33</v>
      </c>
      <c r="L202" s="8">
        <v>49</v>
      </c>
      <c r="M202" s="8">
        <v>48</v>
      </c>
      <c r="N202" s="8">
        <v>97</v>
      </c>
      <c r="O202" s="7" t="s">
        <v>32</v>
      </c>
      <c r="P202" s="7" t="s">
        <v>32</v>
      </c>
      <c r="Q202" s="8">
        <v>47</v>
      </c>
      <c r="R202" s="8">
        <v>51</v>
      </c>
      <c r="S202" s="8">
        <v>98</v>
      </c>
      <c r="T202" s="7" t="s">
        <v>33</v>
      </c>
      <c r="U202" s="7" t="s">
        <v>32</v>
      </c>
      <c r="V202" s="8">
        <v>46</v>
      </c>
      <c r="W202" s="8">
        <v>54</v>
      </c>
      <c r="X202" s="8">
        <v>100</v>
      </c>
      <c r="Y202" s="9">
        <v>47.56</v>
      </c>
      <c r="Z202" s="10" t="str">
        <f t="shared" si="15"/>
        <v/>
      </c>
      <c r="AA202" s="10">
        <f t="shared" si="16"/>
        <v>0.50515463917525771</v>
      </c>
      <c r="AB202" s="10">
        <f t="shared" si="17"/>
        <v>0.47959183673469385</v>
      </c>
      <c r="AC202" s="10">
        <f t="shared" si="18"/>
        <v>0.46</v>
      </c>
      <c r="AD202" s="8">
        <f t="shared" si="19"/>
        <v>8</v>
      </c>
    </row>
    <row r="203" spans="1:30" ht="15" customHeight="1" x14ac:dyDescent="0.2">
      <c r="A203" s="7">
        <v>2022</v>
      </c>
      <c r="B203" s="7" t="s">
        <v>56</v>
      </c>
      <c r="C203" s="7" t="s">
        <v>57</v>
      </c>
      <c r="D203" s="7">
        <v>24</v>
      </c>
      <c r="E203" s="7" t="s">
        <v>33</v>
      </c>
      <c r="F203" s="7"/>
      <c r="G203" s="8"/>
      <c r="H203" s="8"/>
      <c r="I203" s="8"/>
      <c r="J203" s="7" t="s">
        <v>33</v>
      </c>
      <c r="K203" s="7" t="s">
        <v>33</v>
      </c>
      <c r="L203" s="8">
        <v>539</v>
      </c>
      <c r="M203" s="8">
        <v>447</v>
      </c>
      <c r="N203" s="8">
        <v>986</v>
      </c>
      <c r="O203" s="7" t="s">
        <v>32</v>
      </c>
      <c r="P203" s="7" t="s">
        <v>33</v>
      </c>
      <c r="Q203" s="8">
        <v>501</v>
      </c>
      <c r="R203" s="8">
        <v>469</v>
      </c>
      <c r="S203" s="8">
        <v>970</v>
      </c>
      <c r="T203" s="7" t="s">
        <v>33</v>
      </c>
      <c r="U203" s="7" t="s">
        <v>32</v>
      </c>
      <c r="V203" s="8">
        <v>494</v>
      </c>
      <c r="W203" s="8">
        <v>519</v>
      </c>
      <c r="X203" s="8">
        <v>1013</v>
      </c>
      <c r="Y203" s="9">
        <v>54.4</v>
      </c>
      <c r="Z203" s="10" t="str">
        <f t="shared" si="15"/>
        <v/>
      </c>
      <c r="AA203" s="10">
        <f t="shared" si="16"/>
        <v>0.54665314401622722</v>
      </c>
      <c r="AB203" s="10">
        <f t="shared" si="17"/>
        <v>0.51649484536082479</v>
      </c>
      <c r="AC203" s="10">
        <f t="shared" si="18"/>
        <v>0.48766041461006909</v>
      </c>
      <c r="AD203" s="8">
        <f t="shared" si="19"/>
        <v>25</v>
      </c>
    </row>
    <row r="204" spans="1:30" ht="15" customHeight="1" x14ac:dyDescent="0.2">
      <c r="A204" s="7">
        <v>2022</v>
      </c>
      <c r="B204" s="7" t="s">
        <v>58</v>
      </c>
      <c r="C204" s="7" t="s">
        <v>57</v>
      </c>
      <c r="D204" s="7">
        <v>25</v>
      </c>
      <c r="E204" s="7" t="s">
        <v>33</v>
      </c>
      <c r="F204" s="7"/>
      <c r="G204" s="8"/>
      <c r="H204" s="8"/>
      <c r="I204" s="8"/>
      <c r="J204" s="7" t="s">
        <v>33</v>
      </c>
      <c r="K204" s="7" t="s">
        <v>33</v>
      </c>
      <c r="L204" s="8">
        <v>17605</v>
      </c>
      <c r="M204" s="8">
        <v>6760</v>
      </c>
      <c r="N204" s="8">
        <v>24365</v>
      </c>
      <c r="O204" s="7" t="s">
        <v>32</v>
      </c>
      <c r="P204" s="7" t="s">
        <v>33</v>
      </c>
      <c r="Q204" s="8">
        <v>16771</v>
      </c>
      <c r="R204" s="8">
        <v>7448</v>
      </c>
      <c r="S204" s="8">
        <v>24219</v>
      </c>
      <c r="T204" s="7" t="s">
        <v>33</v>
      </c>
      <c r="U204" s="7" t="s">
        <v>33</v>
      </c>
      <c r="V204" s="8">
        <v>16965</v>
      </c>
      <c r="W204" s="8">
        <v>7936</v>
      </c>
      <c r="X204" s="8">
        <v>24901</v>
      </c>
      <c r="Y204" s="9">
        <v>48.9</v>
      </c>
      <c r="Z204" s="10" t="str">
        <f t="shared" si="15"/>
        <v/>
      </c>
      <c r="AA204" s="10">
        <f t="shared" si="16"/>
        <v>0.72255284219166838</v>
      </c>
      <c r="AB204" s="10">
        <f t="shared" si="17"/>
        <v>0.69247285189314178</v>
      </c>
      <c r="AC204" s="10">
        <f t="shared" si="18"/>
        <v>0.68129793984177345</v>
      </c>
      <c r="AD204" s="8">
        <f t="shared" si="19"/>
        <v>-9029</v>
      </c>
    </row>
    <row r="205" spans="1:30" ht="15" customHeight="1" x14ac:dyDescent="0.2">
      <c r="A205" s="7">
        <v>2022</v>
      </c>
      <c r="B205" s="7" t="s">
        <v>59</v>
      </c>
      <c r="C205" s="7" t="s">
        <v>57</v>
      </c>
      <c r="D205" s="7">
        <v>26</v>
      </c>
      <c r="E205" s="7" t="s">
        <v>33</v>
      </c>
      <c r="F205" s="7"/>
      <c r="G205" s="8"/>
      <c r="H205" s="8"/>
      <c r="I205" s="8"/>
      <c r="J205" s="7" t="s">
        <v>33</v>
      </c>
      <c r="K205" s="7" t="s">
        <v>33</v>
      </c>
      <c r="L205" s="8">
        <v>5445</v>
      </c>
      <c r="M205" s="8">
        <v>2279</v>
      </c>
      <c r="N205" s="8">
        <v>7724</v>
      </c>
      <c r="O205" s="7" t="s">
        <v>32</v>
      </c>
      <c r="P205" s="7" t="s">
        <v>33</v>
      </c>
      <c r="Q205" s="8">
        <v>5118</v>
      </c>
      <c r="R205" s="8">
        <v>2548</v>
      </c>
      <c r="S205" s="8">
        <v>7666</v>
      </c>
      <c r="T205" s="7" t="s">
        <v>33</v>
      </c>
      <c r="U205" s="7" t="s">
        <v>33</v>
      </c>
      <c r="V205" s="8">
        <v>5186</v>
      </c>
      <c r="W205" s="8">
        <v>2705</v>
      </c>
      <c r="X205" s="8">
        <v>7891</v>
      </c>
      <c r="Y205" s="9">
        <v>51.2</v>
      </c>
      <c r="Z205" s="10" t="str">
        <f t="shared" si="15"/>
        <v/>
      </c>
      <c r="AA205" s="10">
        <f t="shared" si="16"/>
        <v>0.70494562402900052</v>
      </c>
      <c r="AB205" s="10">
        <f t="shared" si="17"/>
        <v>0.66762327158883383</v>
      </c>
      <c r="AC205" s="10">
        <f t="shared" si="18"/>
        <v>0.65720441008744135</v>
      </c>
      <c r="AD205" s="8">
        <f t="shared" si="19"/>
        <v>-2481</v>
      </c>
    </row>
    <row r="206" spans="1:30" ht="15" customHeight="1" x14ac:dyDescent="0.2">
      <c r="A206" s="7">
        <v>2022</v>
      </c>
      <c r="B206" s="7" t="s">
        <v>60</v>
      </c>
      <c r="C206" s="7" t="s">
        <v>57</v>
      </c>
      <c r="D206" s="7">
        <v>27</v>
      </c>
      <c r="E206" s="7" t="s">
        <v>33</v>
      </c>
      <c r="F206" s="7"/>
      <c r="G206" s="8"/>
      <c r="H206" s="8"/>
      <c r="I206" s="8"/>
      <c r="J206" s="7" t="s">
        <v>33</v>
      </c>
      <c r="K206" s="7" t="s">
        <v>33</v>
      </c>
      <c r="L206" s="8">
        <v>1235</v>
      </c>
      <c r="M206" s="8">
        <v>827</v>
      </c>
      <c r="N206" s="8">
        <v>2062</v>
      </c>
      <c r="O206" s="7" t="s">
        <v>32</v>
      </c>
      <c r="P206" s="7" t="s">
        <v>33</v>
      </c>
      <c r="Q206" s="8">
        <v>1131</v>
      </c>
      <c r="R206" s="8">
        <v>890</v>
      </c>
      <c r="S206" s="8">
        <v>2021</v>
      </c>
      <c r="T206" s="7" t="s">
        <v>33</v>
      </c>
      <c r="U206" s="7" t="s">
        <v>33</v>
      </c>
      <c r="V206" s="8">
        <v>1135</v>
      </c>
      <c r="W206" s="8">
        <v>975</v>
      </c>
      <c r="X206" s="8">
        <v>2110</v>
      </c>
      <c r="Y206" s="9">
        <v>49.5</v>
      </c>
      <c r="Z206" s="10" t="str">
        <f t="shared" si="15"/>
        <v/>
      </c>
      <c r="AA206" s="10">
        <f t="shared" si="16"/>
        <v>0.59893307468477208</v>
      </c>
      <c r="AB206" s="10">
        <f t="shared" si="17"/>
        <v>0.5596239485403266</v>
      </c>
      <c r="AC206" s="10">
        <f t="shared" si="18"/>
        <v>0.53791469194312791</v>
      </c>
      <c r="AD206" s="8">
        <f t="shared" si="19"/>
        <v>-160</v>
      </c>
    </row>
    <row r="207" spans="1:30" ht="15" customHeight="1" x14ac:dyDescent="0.2">
      <c r="A207" s="7">
        <v>2022</v>
      </c>
      <c r="B207" s="7" t="s">
        <v>61</v>
      </c>
      <c r="C207" s="7" t="s">
        <v>57</v>
      </c>
      <c r="D207" s="7">
        <v>28</v>
      </c>
      <c r="E207" s="7" t="s">
        <v>33</v>
      </c>
      <c r="F207" s="7"/>
      <c r="G207" s="8"/>
      <c r="H207" s="8"/>
      <c r="I207" s="8"/>
      <c r="J207" s="7" t="s">
        <v>33</v>
      </c>
      <c r="K207" s="7" t="s">
        <v>33</v>
      </c>
      <c r="L207" s="8">
        <v>673</v>
      </c>
      <c r="M207" s="8">
        <v>516</v>
      </c>
      <c r="N207" s="8">
        <v>1189</v>
      </c>
      <c r="O207" s="7" t="s">
        <v>32</v>
      </c>
      <c r="P207" s="7" t="s">
        <v>33</v>
      </c>
      <c r="Q207" s="8">
        <v>611</v>
      </c>
      <c r="R207" s="8">
        <v>562</v>
      </c>
      <c r="S207" s="8">
        <v>1173</v>
      </c>
      <c r="T207" s="7" t="s">
        <v>33</v>
      </c>
      <c r="U207" s="7" t="s">
        <v>33</v>
      </c>
      <c r="V207" s="8">
        <v>621</v>
      </c>
      <c r="W207" s="8">
        <v>598</v>
      </c>
      <c r="X207" s="8">
        <v>1219</v>
      </c>
      <c r="Y207" s="9">
        <v>61.2</v>
      </c>
      <c r="Z207" s="10" t="str">
        <f t="shared" si="15"/>
        <v/>
      </c>
      <c r="AA207" s="10">
        <f t="shared" si="16"/>
        <v>0.56602186711522284</v>
      </c>
      <c r="AB207" s="10">
        <f t="shared" si="17"/>
        <v>0.52088661551577153</v>
      </c>
      <c r="AC207" s="10">
        <f t="shared" si="18"/>
        <v>0.50943396226415094</v>
      </c>
      <c r="AD207" s="8">
        <f t="shared" si="19"/>
        <v>-23</v>
      </c>
    </row>
    <row r="208" spans="1:30" ht="15" customHeight="1" x14ac:dyDescent="0.2">
      <c r="A208" s="7">
        <v>2022</v>
      </c>
      <c r="B208" s="7" t="s">
        <v>62</v>
      </c>
      <c r="C208" s="7" t="s">
        <v>57</v>
      </c>
      <c r="D208" s="7">
        <v>29</v>
      </c>
      <c r="E208" s="7" t="s">
        <v>33</v>
      </c>
      <c r="F208" s="7"/>
      <c r="G208" s="8"/>
      <c r="H208" s="8"/>
      <c r="I208" s="8"/>
      <c r="J208" s="7" t="s">
        <v>33</v>
      </c>
      <c r="K208" s="7" t="s">
        <v>33</v>
      </c>
      <c r="L208" s="8">
        <v>743</v>
      </c>
      <c r="M208" s="8">
        <v>528</v>
      </c>
      <c r="N208" s="8">
        <v>1271</v>
      </c>
      <c r="O208" s="7" t="s">
        <v>32</v>
      </c>
      <c r="P208" s="7" t="s">
        <v>33</v>
      </c>
      <c r="Q208" s="8">
        <v>672</v>
      </c>
      <c r="R208" s="8">
        <v>569</v>
      </c>
      <c r="S208" s="8">
        <v>1241</v>
      </c>
      <c r="T208" s="7" t="s">
        <v>33</v>
      </c>
      <c r="U208" s="7" t="s">
        <v>33</v>
      </c>
      <c r="V208" s="8">
        <v>691</v>
      </c>
      <c r="W208" s="8">
        <v>606</v>
      </c>
      <c r="X208" s="8">
        <v>1297</v>
      </c>
      <c r="Y208" s="9">
        <v>53.9</v>
      </c>
      <c r="Z208" s="10" t="str">
        <f t="shared" si="15"/>
        <v/>
      </c>
      <c r="AA208" s="10">
        <f t="shared" si="16"/>
        <v>0.5845790715971676</v>
      </c>
      <c r="AB208" s="10">
        <f t="shared" si="17"/>
        <v>0.54149879129734091</v>
      </c>
      <c r="AC208" s="10">
        <f t="shared" si="18"/>
        <v>0.53276792598303779</v>
      </c>
      <c r="AD208" s="8">
        <f t="shared" si="19"/>
        <v>-85</v>
      </c>
    </row>
    <row r="209" spans="1:30" ht="15" customHeight="1" x14ac:dyDescent="0.2">
      <c r="A209" s="7">
        <v>2022</v>
      </c>
      <c r="B209" s="7" t="s">
        <v>63</v>
      </c>
      <c r="C209" s="7" t="s">
        <v>57</v>
      </c>
      <c r="D209" s="7">
        <v>30</v>
      </c>
      <c r="E209" s="7" t="s">
        <v>33</v>
      </c>
      <c r="F209" s="7"/>
      <c r="G209" s="8"/>
      <c r="H209" s="8"/>
      <c r="I209" s="8"/>
      <c r="J209" s="7" t="s">
        <v>33</v>
      </c>
      <c r="K209" s="7" t="s">
        <v>33</v>
      </c>
      <c r="L209" s="8">
        <v>3045</v>
      </c>
      <c r="M209" s="8">
        <v>1925</v>
      </c>
      <c r="N209" s="8">
        <v>4970</v>
      </c>
      <c r="O209" s="7" t="s">
        <v>32</v>
      </c>
      <c r="P209" s="7" t="s">
        <v>33</v>
      </c>
      <c r="Q209" s="8">
        <v>2821</v>
      </c>
      <c r="R209" s="8">
        <v>2067</v>
      </c>
      <c r="S209" s="8">
        <v>4888</v>
      </c>
      <c r="T209" s="7" t="s">
        <v>33</v>
      </c>
      <c r="U209" s="7" t="s">
        <v>33</v>
      </c>
      <c r="V209" s="8">
        <v>2834</v>
      </c>
      <c r="W209" s="8">
        <v>2250</v>
      </c>
      <c r="X209" s="8">
        <v>5084</v>
      </c>
      <c r="Y209" s="9">
        <v>58.8</v>
      </c>
      <c r="Z209" s="10" t="str">
        <f t="shared" si="15"/>
        <v/>
      </c>
      <c r="AA209" s="10">
        <f t="shared" si="16"/>
        <v>0.61267605633802813</v>
      </c>
      <c r="AB209" s="10">
        <f t="shared" si="17"/>
        <v>0.5771276595744681</v>
      </c>
      <c r="AC209" s="10">
        <f t="shared" si="18"/>
        <v>0.55743509047993711</v>
      </c>
      <c r="AD209" s="8">
        <f t="shared" si="19"/>
        <v>-584</v>
      </c>
    </row>
    <row r="210" spans="1:30" ht="15" customHeight="1" x14ac:dyDescent="0.2">
      <c r="A210" s="7">
        <v>2022</v>
      </c>
      <c r="B210" s="7" t="s">
        <v>64</v>
      </c>
      <c r="C210" s="7" t="s">
        <v>57</v>
      </c>
      <c r="D210" s="7">
        <v>31</v>
      </c>
      <c r="E210" s="7" t="s">
        <v>33</v>
      </c>
      <c r="F210" s="7"/>
      <c r="G210" s="8"/>
      <c r="H210" s="8"/>
      <c r="I210" s="8"/>
      <c r="J210" s="7" t="s">
        <v>33</v>
      </c>
      <c r="K210" s="7" t="s">
        <v>33</v>
      </c>
      <c r="L210" s="8">
        <v>1119</v>
      </c>
      <c r="M210" s="8">
        <v>403</v>
      </c>
      <c r="N210" s="8">
        <v>1522</v>
      </c>
      <c r="O210" s="7" t="s">
        <v>32</v>
      </c>
      <c r="P210" s="7" t="s">
        <v>33</v>
      </c>
      <c r="Q210" s="8">
        <v>1078</v>
      </c>
      <c r="R210" s="8">
        <v>435</v>
      </c>
      <c r="S210" s="8">
        <v>1513</v>
      </c>
      <c r="T210" s="7" t="s">
        <v>33</v>
      </c>
      <c r="U210" s="7" t="s">
        <v>33</v>
      </c>
      <c r="V210" s="8">
        <v>1070</v>
      </c>
      <c r="W210" s="8">
        <v>479</v>
      </c>
      <c r="X210" s="8">
        <v>1549</v>
      </c>
      <c r="Y210" s="9">
        <v>50.4</v>
      </c>
      <c r="Z210" s="10" t="str">
        <f t="shared" si="15"/>
        <v/>
      </c>
      <c r="AA210" s="10">
        <f t="shared" si="16"/>
        <v>0.73521681997371879</v>
      </c>
      <c r="AB210" s="10">
        <f t="shared" si="17"/>
        <v>0.712491738268341</v>
      </c>
      <c r="AC210" s="10">
        <f t="shared" si="18"/>
        <v>0.69076823757262751</v>
      </c>
      <c r="AD210" s="8">
        <f t="shared" si="19"/>
        <v>-591</v>
      </c>
    </row>
    <row r="211" spans="1:30" ht="15" customHeight="1" x14ac:dyDescent="0.2">
      <c r="A211" s="7">
        <v>2022</v>
      </c>
      <c r="B211" s="7" t="s">
        <v>65</v>
      </c>
      <c r="C211" s="7" t="s">
        <v>57</v>
      </c>
      <c r="D211" s="7">
        <v>32</v>
      </c>
      <c r="E211" s="7" t="s">
        <v>33</v>
      </c>
      <c r="F211" s="7"/>
      <c r="G211" s="8"/>
      <c r="H211" s="8"/>
      <c r="I211" s="8"/>
      <c r="J211" s="7" t="s">
        <v>33</v>
      </c>
      <c r="K211" s="7" t="s">
        <v>33</v>
      </c>
      <c r="L211" s="8">
        <v>283</v>
      </c>
      <c r="M211" s="8">
        <v>175</v>
      </c>
      <c r="N211" s="8">
        <v>458</v>
      </c>
      <c r="O211" s="7" t="s">
        <v>32</v>
      </c>
      <c r="P211" s="7" t="s">
        <v>33</v>
      </c>
      <c r="Q211" s="8">
        <v>262</v>
      </c>
      <c r="R211" s="8">
        <v>190</v>
      </c>
      <c r="S211" s="8">
        <v>452</v>
      </c>
      <c r="T211" s="7" t="s">
        <v>33</v>
      </c>
      <c r="U211" s="7" t="s">
        <v>33</v>
      </c>
      <c r="V211" s="8">
        <v>262</v>
      </c>
      <c r="W211" s="8">
        <v>205</v>
      </c>
      <c r="X211" s="8">
        <v>467</v>
      </c>
      <c r="Y211" s="9">
        <v>60.5</v>
      </c>
      <c r="Z211" s="10" t="str">
        <f t="shared" si="15"/>
        <v/>
      </c>
      <c r="AA211" s="10">
        <f t="shared" si="16"/>
        <v>0.61790393013100442</v>
      </c>
      <c r="AB211" s="10">
        <f t="shared" si="17"/>
        <v>0.57964601769911506</v>
      </c>
      <c r="AC211" s="10">
        <f t="shared" si="18"/>
        <v>0.56102783725910066</v>
      </c>
      <c r="AD211" s="8">
        <f t="shared" si="19"/>
        <v>-57</v>
      </c>
    </row>
    <row r="212" spans="1:30" ht="15" customHeight="1" x14ac:dyDescent="0.2">
      <c r="A212" s="7">
        <v>2022</v>
      </c>
      <c r="B212" s="7" t="s">
        <v>66</v>
      </c>
      <c r="C212" s="7" t="s">
        <v>57</v>
      </c>
      <c r="D212" s="7">
        <v>33</v>
      </c>
      <c r="E212" s="7" t="s">
        <v>33</v>
      </c>
      <c r="F212" s="7"/>
      <c r="G212" s="8"/>
      <c r="H212" s="8"/>
      <c r="I212" s="8"/>
      <c r="J212" s="7" t="s">
        <v>33</v>
      </c>
      <c r="K212" s="7" t="s">
        <v>32</v>
      </c>
      <c r="L212" s="8">
        <v>603</v>
      </c>
      <c r="M212" s="8">
        <v>985</v>
      </c>
      <c r="N212" s="8">
        <v>1588</v>
      </c>
      <c r="O212" s="7" t="s">
        <v>32</v>
      </c>
      <c r="P212" s="7" t="s">
        <v>32</v>
      </c>
      <c r="Q212" s="8">
        <v>534</v>
      </c>
      <c r="R212" s="8">
        <v>1023</v>
      </c>
      <c r="S212" s="8">
        <v>1557</v>
      </c>
      <c r="T212" s="7" t="s">
        <v>33</v>
      </c>
      <c r="U212" s="7" t="s">
        <v>32</v>
      </c>
      <c r="V212" s="8">
        <v>532</v>
      </c>
      <c r="W212" s="8">
        <v>1068</v>
      </c>
      <c r="X212" s="8">
        <v>1600</v>
      </c>
      <c r="Y212" s="9">
        <v>52.8</v>
      </c>
      <c r="Z212" s="10" t="str">
        <f t="shared" si="15"/>
        <v/>
      </c>
      <c r="AA212" s="10">
        <f t="shared" si="16"/>
        <v>0.37972292191435769</v>
      </c>
      <c r="AB212" s="10">
        <f t="shared" si="17"/>
        <v>0.34296724470134876</v>
      </c>
      <c r="AC212" s="10">
        <f t="shared" si="18"/>
        <v>0.33250000000000002</v>
      </c>
      <c r="AD212" s="8">
        <f t="shared" si="19"/>
        <v>536</v>
      </c>
    </row>
    <row r="213" spans="1:30" ht="15" customHeight="1" x14ac:dyDescent="0.2">
      <c r="A213" s="7">
        <v>2022</v>
      </c>
      <c r="B213" s="7" t="s">
        <v>67</v>
      </c>
      <c r="C213" s="7" t="s">
        <v>57</v>
      </c>
      <c r="D213" s="7">
        <v>34</v>
      </c>
      <c r="E213" s="7" t="s">
        <v>33</v>
      </c>
      <c r="F213" s="7"/>
      <c r="G213" s="8"/>
      <c r="H213" s="8"/>
      <c r="I213" s="8"/>
      <c r="J213" s="7" t="s">
        <v>33</v>
      </c>
      <c r="K213" s="7" t="s">
        <v>33</v>
      </c>
      <c r="L213" s="8">
        <v>9278</v>
      </c>
      <c r="M213" s="8">
        <v>6376</v>
      </c>
      <c r="N213" s="8">
        <v>15654</v>
      </c>
      <c r="O213" s="7" t="s">
        <v>32</v>
      </c>
      <c r="P213" s="7" t="s">
        <v>33</v>
      </c>
      <c r="Q213" s="8">
        <v>8252</v>
      </c>
      <c r="R213" s="8">
        <v>7300</v>
      </c>
      <c r="S213" s="8">
        <v>15552</v>
      </c>
      <c r="T213" s="7" t="s">
        <v>33</v>
      </c>
      <c r="U213" s="7" t="s">
        <v>33</v>
      </c>
      <c r="V213" s="8">
        <v>8358</v>
      </c>
      <c r="W213" s="8">
        <v>7595</v>
      </c>
      <c r="X213" s="8">
        <v>15953</v>
      </c>
      <c r="Y213" s="9">
        <v>57.4</v>
      </c>
      <c r="Z213" s="10" t="str">
        <f t="shared" si="15"/>
        <v/>
      </c>
      <c r="AA213" s="10">
        <f t="shared" si="16"/>
        <v>0.59269196371534427</v>
      </c>
      <c r="AB213" s="10">
        <f t="shared" si="17"/>
        <v>0.53060699588477367</v>
      </c>
      <c r="AC213" s="10">
        <f t="shared" si="18"/>
        <v>0.52391399736726629</v>
      </c>
      <c r="AD213" s="8">
        <f t="shared" si="19"/>
        <v>-763</v>
      </c>
    </row>
    <row r="214" spans="1:30" ht="15" customHeight="1" x14ac:dyDescent="0.2">
      <c r="A214" s="7">
        <v>2022</v>
      </c>
      <c r="B214" s="7" t="s">
        <v>68</v>
      </c>
      <c r="C214" s="7" t="s">
        <v>57</v>
      </c>
      <c r="D214" s="7">
        <v>35</v>
      </c>
      <c r="E214" s="7" t="s">
        <v>33</v>
      </c>
      <c r="F214" s="7"/>
      <c r="G214" s="8"/>
      <c r="H214" s="8"/>
      <c r="I214" s="8"/>
      <c r="J214" s="7" t="s">
        <v>33</v>
      </c>
      <c r="K214" s="7" t="s">
        <v>32</v>
      </c>
      <c r="L214" s="8">
        <v>969</v>
      </c>
      <c r="M214" s="8">
        <v>1160</v>
      </c>
      <c r="N214" s="8">
        <v>2129</v>
      </c>
      <c r="O214" s="7" t="s">
        <v>32</v>
      </c>
      <c r="P214" s="7" t="s">
        <v>32</v>
      </c>
      <c r="Q214" s="8">
        <v>838</v>
      </c>
      <c r="R214" s="8">
        <v>1255</v>
      </c>
      <c r="S214" s="8">
        <v>2093</v>
      </c>
      <c r="T214" s="7" t="s">
        <v>33</v>
      </c>
      <c r="U214" s="7" t="s">
        <v>32</v>
      </c>
      <c r="V214" s="8">
        <v>850</v>
      </c>
      <c r="W214" s="8">
        <v>1311</v>
      </c>
      <c r="X214" s="8">
        <v>2161</v>
      </c>
      <c r="Y214" s="9">
        <v>65.3</v>
      </c>
      <c r="Z214" s="10" t="str">
        <f t="shared" si="15"/>
        <v/>
      </c>
      <c r="AA214" s="10">
        <f t="shared" si="16"/>
        <v>0.45514325974635977</v>
      </c>
      <c r="AB214" s="10">
        <f t="shared" si="17"/>
        <v>0.40038222646918298</v>
      </c>
      <c r="AC214" s="10">
        <f t="shared" si="18"/>
        <v>0.39333641832484961</v>
      </c>
      <c r="AD214" s="8">
        <f t="shared" si="19"/>
        <v>461</v>
      </c>
    </row>
    <row r="215" spans="1:30" ht="15" customHeight="1" x14ac:dyDescent="0.2">
      <c r="A215" s="7">
        <v>2022</v>
      </c>
      <c r="B215" s="7" t="s">
        <v>69</v>
      </c>
      <c r="C215" s="7" t="s">
        <v>57</v>
      </c>
      <c r="D215" s="7">
        <v>36</v>
      </c>
      <c r="E215" s="7" t="s">
        <v>33</v>
      </c>
      <c r="F215" s="7"/>
      <c r="G215" s="8"/>
      <c r="H215" s="8"/>
      <c r="I215" s="8"/>
      <c r="J215" s="7" t="s">
        <v>33</v>
      </c>
      <c r="K215" s="7" t="s">
        <v>32</v>
      </c>
      <c r="L215" s="8">
        <v>505</v>
      </c>
      <c r="M215" s="8">
        <v>689</v>
      </c>
      <c r="N215" s="8">
        <v>1194</v>
      </c>
      <c r="O215" s="7" t="s">
        <v>32</v>
      </c>
      <c r="P215" s="7" t="s">
        <v>32</v>
      </c>
      <c r="Q215" s="8">
        <v>452</v>
      </c>
      <c r="R215" s="8">
        <v>733</v>
      </c>
      <c r="S215" s="8">
        <v>1185</v>
      </c>
      <c r="T215" s="7" t="s">
        <v>33</v>
      </c>
      <c r="U215" s="7" t="s">
        <v>32</v>
      </c>
      <c r="V215" s="8">
        <v>457</v>
      </c>
      <c r="W215" s="8">
        <v>760</v>
      </c>
      <c r="X215" s="8">
        <v>1217</v>
      </c>
      <c r="Y215" s="9">
        <v>64.7</v>
      </c>
      <c r="Z215" s="10" t="str">
        <f t="shared" si="15"/>
        <v/>
      </c>
      <c r="AA215" s="10">
        <f t="shared" si="16"/>
        <v>0.42294807370184256</v>
      </c>
      <c r="AB215" s="10">
        <f t="shared" si="17"/>
        <v>0.38143459915611816</v>
      </c>
      <c r="AC215" s="10">
        <f t="shared" si="18"/>
        <v>0.37551355792933444</v>
      </c>
      <c r="AD215" s="8">
        <f t="shared" si="19"/>
        <v>303</v>
      </c>
    </row>
    <row r="216" spans="1:30" ht="15" customHeight="1" x14ac:dyDescent="0.2">
      <c r="A216" s="7">
        <v>2022</v>
      </c>
      <c r="B216" s="7" t="s">
        <v>70</v>
      </c>
      <c r="C216" s="7" t="s">
        <v>57</v>
      </c>
      <c r="D216" s="7">
        <v>37</v>
      </c>
      <c r="E216" s="7" t="s">
        <v>33</v>
      </c>
      <c r="F216" s="7"/>
      <c r="G216" s="8"/>
      <c r="H216" s="8"/>
      <c r="I216" s="8"/>
      <c r="J216" s="7" t="s">
        <v>33</v>
      </c>
      <c r="K216" s="7" t="s">
        <v>32</v>
      </c>
      <c r="L216" s="8">
        <v>808</v>
      </c>
      <c r="M216" s="8">
        <v>1330</v>
      </c>
      <c r="N216" s="8">
        <v>2138</v>
      </c>
      <c r="O216" s="7" t="s">
        <v>32</v>
      </c>
      <c r="P216" s="7" t="s">
        <v>32</v>
      </c>
      <c r="Q216" s="8">
        <v>732</v>
      </c>
      <c r="R216" s="8">
        <v>1369</v>
      </c>
      <c r="S216" s="8">
        <v>2101</v>
      </c>
      <c r="T216" s="7" t="s">
        <v>33</v>
      </c>
      <c r="U216" s="7" t="s">
        <v>32</v>
      </c>
      <c r="V216" s="8">
        <v>719</v>
      </c>
      <c r="W216" s="8">
        <v>1434</v>
      </c>
      <c r="X216" s="8">
        <v>2153</v>
      </c>
      <c r="Y216" s="9">
        <v>66.2</v>
      </c>
      <c r="Z216" s="10" t="str">
        <f t="shared" si="15"/>
        <v/>
      </c>
      <c r="AA216" s="10">
        <f t="shared" si="16"/>
        <v>0.37792329279700654</v>
      </c>
      <c r="AB216" s="10">
        <f t="shared" si="17"/>
        <v>0.34840552118039031</v>
      </c>
      <c r="AC216" s="10">
        <f t="shared" si="18"/>
        <v>0.33395262424523919</v>
      </c>
      <c r="AD216" s="8">
        <f t="shared" si="19"/>
        <v>715</v>
      </c>
    </row>
    <row r="217" spans="1:30" ht="15" customHeight="1" x14ac:dyDescent="0.2">
      <c r="A217" s="7">
        <v>2022</v>
      </c>
      <c r="B217" s="7" t="s">
        <v>71</v>
      </c>
      <c r="C217" s="7" t="s">
        <v>57</v>
      </c>
      <c r="D217" s="7">
        <v>38</v>
      </c>
      <c r="E217" s="7" t="s">
        <v>33</v>
      </c>
      <c r="F217" s="7"/>
      <c r="G217" s="8"/>
      <c r="H217" s="8"/>
      <c r="I217" s="8"/>
      <c r="J217" s="7" t="s">
        <v>33</v>
      </c>
      <c r="K217" s="7" t="s">
        <v>33</v>
      </c>
      <c r="L217" s="8">
        <v>865</v>
      </c>
      <c r="M217" s="8">
        <v>525</v>
      </c>
      <c r="N217" s="8">
        <v>1390</v>
      </c>
      <c r="O217" s="7" t="s">
        <v>32</v>
      </c>
      <c r="P217" s="7" t="s">
        <v>33</v>
      </c>
      <c r="Q217" s="8">
        <v>786</v>
      </c>
      <c r="R217" s="8">
        <v>576</v>
      </c>
      <c r="S217" s="8">
        <v>1362</v>
      </c>
      <c r="T217" s="7" t="s">
        <v>33</v>
      </c>
      <c r="U217" s="7" t="s">
        <v>33</v>
      </c>
      <c r="V217" s="8">
        <v>788</v>
      </c>
      <c r="W217" s="8">
        <v>628</v>
      </c>
      <c r="X217" s="8">
        <v>1416</v>
      </c>
      <c r="Y217" s="9">
        <v>67.5</v>
      </c>
      <c r="Z217" s="10" t="str">
        <f t="shared" si="15"/>
        <v/>
      </c>
      <c r="AA217" s="10">
        <f t="shared" si="16"/>
        <v>0.62230215827338131</v>
      </c>
      <c r="AB217" s="10">
        <f t="shared" si="17"/>
        <v>0.5770925110132159</v>
      </c>
      <c r="AC217" s="10">
        <f t="shared" si="18"/>
        <v>0.55649717514124297</v>
      </c>
      <c r="AD217" s="8">
        <f t="shared" si="19"/>
        <v>-160</v>
      </c>
    </row>
    <row r="218" spans="1:30" ht="15" customHeight="1" x14ac:dyDescent="0.2">
      <c r="A218" s="7">
        <v>2022</v>
      </c>
      <c r="B218" s="7" t="s">
        <v>72</v>
      </c>
      <c r="C218" s="7" t="s">
        <v>57</v>
      </c>
      <c r="D218" s="7">
        <v>39</v>
      </c>
      <c r="E218" s="7" t="s">
        <v>33</v>
      </c>
      <c r="F218" s="7"/>
      <c r="G218" s="8"/>
      <c r="H218" s="8"/>
      <c r="I218" s="8"/>
      <c r="J218" s="7" t="s">
        <v>33</v>
      </c>
      <c r="K218" s="7" t="s">
        <v>32</v>
      </c>
      <c r="L218" s="8">
        <v>3693</v>
      </c>
      <c r="M218" s="8">
        <v>3907</v>
      </c>
      <c r="N218" s="8">
        <v>7600</v>
      </c>
      <c r="O218" s="7" t="s">
        <v>32</v>
      </c>
      <c r="P218" s="7" t="s">
        <v>32</v>
      </c>
      <c r="Q218" s="8">
        <v>3231</v>
      </c>
      <c r="R218" s="8">
        <v>4282</v>
      </c>
      <c r="S218" s="8">
        <v>7513</v>
      </c>
      <c r="T218" s="7" t="s">
        <v>33</v>
      </c>
      <c r="U218" s="7" t="s">
        <v>32</v>
      </c>
      <c r="V218" s="8">
        <v>3255</v>
      </c>
      <c r="W218" s="8">
        <v>4462</v>
      </c>
      <c r="X218" s="8">
        <v>7717</v>
      </c>
      <c r="Y218" s="9">
        <v>65.900000000000006</v>
      </c>
      <c r="Z218" s="10" t="str">
        <f t="shared" si="15"/>
        <v/>
      </c>
      <c r="AA218" s="10">
        <f t="shared" si="16"/>
        <v>0.48592105263157892</v>
      </c>
      <c r="AB218" s="10">
        <f t="shared" si="17"/>
        <v>0.43005457207506986</v>
      </c>
      <c r="AC218" s="10">
        <f t="shared" si="18"/>
        <v>0.42179603472852145</v>
      </c>
      <c r="AD218" s="8">
        <f t="shared" si="19"/>
        <v>1207</v>
      </c>
    </row>
    <row r="219" spans="1:30" ht="15" customHeight="1" x14ac:dyDescent="0.2">
      <c r="A219" s="7">
        <v>2022</v>
      </c>
      <c r="B219" s="7" t="s">
        <v>73</v>
      </c>
      <c r="C219" s="7" t="s">
        <v>57</v>
      </c>
      <c r="D219" s="7">
        <v>40</v>
      </c>
      <c r="E219" s="7" t="s">
        <v>33</v>
      </c>
      <c r="F219" s="7"/>
      <c r="G219" s="8"/>
      <c r="H219" s="8"/>
      <c r="I219" s="8"/>
      <c r="J219" s="7" t="s">
        <v>33</v>
      </c>
      <c r="K219" s="7" t="s">
        <v>33</v>
      </c>
      <c r="L219" s="8">
        <v>3579</v>
      </c>
      <c r="M219" s="8">
        <v>2652</v>
      </c>
      <c r="N219" s="8">
        <v>6231</v>
      </c>
      <c r="O219" s="7" t="s">
        <v>32</v>
      </c>
      <c r="P219" s="7" t="s">
        <v>33</v>
      </c>
      <c r="Q219" s="8">
        <v>3233</v>
      </c>
      <c r="R219" s="8">
        <v>2982</v>
      </c>
      <c r="S219" s="8">
        <v>6215</v>
      </c>
      <c r="T219" s="7" t="s">
        <v>33</v>
      </c>
      <c r="U219" s="7" t="s">
        <v>33</v>
      </c>
      <c r="V219" s="8">
        <v>3239</v>
      </c>
      <c r="W219" s="8">
        <v>3129</v>
      </c>
      <c r="X219" s="8">
        <v>6368</v>
      </c>
      <c r="Y219" s="9">
        <v>64.099999999999994</v>
      </c>
      <c r="Z219" s="10" t="str">
        <f t="shared" si="15"/>
        <v/>
      </c>
      <c r="AA219" s="10">
        <f t="shared" si="16"/>
        <v>0.57438613384689452</v>
      </c>
      <c r="AB219" s="10">
        <f t="shared" si="17"/>
        <v>0.52019308125502817</v>
      </c>
      <c r="AC219" s="10">
        <f t="shared" si="18"/>
        <v>0.50863693467336679</v>
      </c>
      <c r="AD219" s="8">
        <f t="shared" si="19"/>
        <v>-110</v>
      </c>
    </row>
    <row r="220" spans="1:30" ht="15" customHeight="1" x14ac:dyDescent="0.2">
      <c r="A220" s="7">
        <v>2022</v>
      </c>
      <c r="B220" s="7" t="s">
        <v>74</v>
      </c>
      <c r="C220" s="7" t="s">
        <v>57</v>
      </c>
      <c r="D220" s="7">
        <v>41</v>
      </c>
      <c r="E220" s="7" t="s">
        <v>33</v>
      </c>
      <c r="F220" s="7"/>
      <c r="G220" s="8"/>
      <c r="H220" s="8"/>
      <c r="I220" s="8"/>
      <c r="J220" s="7" t="s">
        <v>33</v>
      </c>
      <c r="K220" s="7" t="s">
        <v>33</v>
      </c>
      <c r="L220" s="8">
        <v>675</v>
      </c>
      <c r="M220" s="8">
        <v>639</v>
      </c>
      <c r="N220" s="8">
        <v>1314</v>
      </c>
      <c r="O220" s="7" t="s">
        <v>32</v>
      </c>
      <c r="P220" s="7" t="s">
        <v>32</v>
      </c>
      <c r="Q220" s="8">
        <v>621</v>
      </c>
      <c r="R220" s="8">
        <v>675</v>
      </c>
      <c r="S220" s="8">
        <v>1296</v>
      </c>
      <c r="T220" s="7" t="s">
        <v>33</v>
      </c>
      <c r="U220" s="7" t="s">
        <v>32</v>
      </c>
      <c r="V220" s="8">
        <v>611</v>
      </c>
      <c r="W220" s="8">
        <v>740</v>
      </c>
      <c r="X220" s="8">
        <v>1351</v>
      </c>
      <c r="Y220" s="9">
        <v>59.2</v>
      </c>
      <c r="Z220" s="10" t="str">
        <f t="shared" si="15"/>
        <v/>
      </c>
      <c r="AA220" s="10">
        <f t="shared" si="16"/>
        <v>0.51369863013698636</v>
      </c>
      <c r="AB220" s="10">
        <f t="shared" si="17"/>
        <v>0.47916666666666669</v>
      </c>
      <c r="AC220" s="10">
        <f t="shared" si="18"/>
        <v>0.45225758697261287</v>
      </c>
      <c r="AD220" s="8">
        <f t="shared" si="19"/>
        <v>129</v>
      </c>
    </row>
    <row r="221" spans="1:30" ht="15" customHeight="1" x14ac:dyDescent="0.2">
      <c r="A221" s="7">
        <v>2022</v>
      </c>
      <c r="B221" s="7" t="s">
        <v>75</v>
      </c>
      <c r="C221" s="7" t="s">
        <v>57</v>
      </c>
      <c r="D221" s="7">
        <v>42</v>
      </c>
      <c r="E221" s="7" t="s">
        <v>33</v>
      </c>
      <c r="F221" s="7"/>
      <c r="G221" s="8"/>
      <c r="H221" s="8"/>
      <c r="I221" s="8"/>
      <c r="J221" s="7" t="s">
        <v>33</v>
      </c>
      <c r="K221" s="7" t="s">
        <v>33</v>
      </c>
      <c r="L221" s="8">
        <v>6278</v>
      </c>
      <c r="M221" s="8">
        <v>3673</v>
      </c>
      <c r="N221" s="8">
        <v>9951</v>
      </c>
      <c r="O221" s="7" t="s">
        <v>32</v>
      </c>
      <c r="P221" s="7" t="s">
        <v>33</v>
      </c>
      <c r="Q221" s="8">
        <v>5596</v>
      </c>
      <c r="R221" s="8">
        <v>4264</v>
      </c>
      <c r="S221" s="8">
        <v>9860</v>
      </c>
      <c r="T221" s="7" t="s">
        <v>33</v>
      </c>
      <c r="U221" s="7" t="s">
        <v>33</v>
      </c>
      <c r="V221" s="8">
        <v>5699</v>
      </c>
      <c r="W221" s="8">
        <v>4420</v>
      </c>
      <c r="X221" s="8">
        <v>10119</v>
      </c>
      <c r="Y221" s="9">
        <v>63.1</v>
      </c>
      <c r="Z221" s="10" t="str">
        <f t="shared" si="15"/>
        <v/>
      </c>
      <c r="AA221" s="10">
        <f t="shared" si="16"/>
        <v>0.63089136770173848</v>
      </c>
      <c r="AB221" s="10">
        <f t="shared" si="17"/>
        <v>0.56754563894523324</v>
      </c>
      <c r="AC221" s="10">
        <f t="shared" si="18"/>
        <v>0.56319794446091509</v>
      </c>
      <c r="AD221" s="8">
        <f t="shared" si="19"/>
        <v>-1279</v>
      </c>
    </row>
    <row r="222" spans="1:30" ht="15" customHeight="1" x14ac:dyDescent="0.2">
      <c r="A222" s="7">
        <v>2022</v>
      </c>
      <c r="B222" s="7" t="s">
        <v>76</v>
      </c>
      <c r="C222" s="7" t="s">
        <v>57</v>
      </c>
      <c r="D222" s="7">
        <v>43</v>
      </c>
      <c r="E222" s="7" t="s">
        <v>33</v>
      </c>
      <c r="F222" s="7"/>
      <c r="G222" s="8"/>
      <c r="H222" s="8"/>
      <c r="I222" s="8"/>
      <c r="J222" s="7" t="s">
        <v>33</v>
      </c>
      <c r="K222" s="7" t="s">
        <v>33</v>
      </c>
      <c r="L222" s="8">
        <v>6657</v>
      </c>
      <c r="M222" s="8">
        <v>4396</v>
      </c>
      <c r="N222" s="8">
        <v>11053</v>
      </c>
      <c r="O222" s="7" t="s">
        <v>32</v>
      </c>
      <c r="P222" s="7" t="s">
        <v>33</v>
      </c>
      <c r="Q222" s="8">
        <v>5997</v>
      </c>
      <c r="R222" s="8">
        <v>5005</v>
      </c>
      <c r="S222" s="8">
        <v>11002</v>
      </c>
      <c r="T222" s="7" t="s">
        <v>33</v>
      </c>
      <c r="U222" s="7" t="s">
        <v>33</v>
      </c>
      <c r="V222" s="8">
        <v>6009</v>
      </c>
      <c r="W222" s="8">
        <v>5257</v>
      </c>
      <c r="X222" s="8">
        <v>11266</v>
      </c>
      <c r="Y222" s="9">
        <v>62.1</v>
      </c>
      <c r="Z222" s="10" t="str">
        <f t="shared" si="15"/>
        <v/>
      </c>
      <c r="AA222" s="10">
        <f t="shared" si="16"/>
        <v>0.60227992400253327</v>
      </c>
      <c r="AB222" s="10">
        <f t="shared" si="17"/>
        <v>0.54508271223413929</v>
      </c>
      <c r="AC222" s="10">
        <f t="shared" si="18"/>
        <v>0.5333747559027161</v>
      </c>
      <c r="AD222" s="8">
        <f t="shared" si="19"/>
        <v>-752</v>
      </c>
    </row>
    <row r="223" spans="1:30" ht="15" customHeight="1" x14ac:dyDescent="0.2">
      <c r="A223" s="7">
        <v>2022</v>
      </c>
      <c r="B223" s="7" t="s">
        <v>77</v>
      </c>
      <c r="C223" s="7" t="s">
        <v>57</v>
      </c>
      <c r="D223" s="7">
        <v>44</v>
      </c>
      <c r="E223" s="7" t="s">
        <v>33</v>
      </c>
      <c r="F223" s="7"/>
      <c r="G223" s="8"/>
      <c r="H223" s="8"/>
      <c r="I223" s="8"/>
      <c r="J223" s="7" t="s">
        <v>33</v>
      </c>
      <c r="K223" s="7" t="s">
        <v>33</v>
      </c>
      <c r="L223" s="8">
        <v>2244</v>
      </c>
      <c r="M223" s="8">
        <v>2150</v>
      </c>
      <c r="N223" s="8">
        <v>4394</v>
      </c>
      <c r="O223" s="7" t="s">
        <v>32</v>
      </c>
      <c r="P223" s="7" t="s">
        <v>32</v>
      </c>
      <c r="Q223" s="8">
        <v>2002</v>
      </c>
      <c r="R223" s="8">
        <v>2358</v>
      </c>
      <c r="S223" s="8">
        <v>4360</v>
      </c>
      <c r="T223" s="7" t="s">
        <v>33</v>
      </c>
      <c r="U223" s="7" t="s">
        <v>32</v>
      </c>
      <c r="V223" s="8">
        <v>2032</v>
      </c>
      <c r="W223" s="8">
        <v>2450</v>
      </c>
      <c r="X223" s="8">
        <v>4482</v>
      </c>
      <c r="Y223" s="9">
        <v>64.3</v>
      </c>
      <c r="Z223" s="10" t="str">
        <f t="shared" si="15"/>
        <v/>
      </c>
      <c r="AA223" s="10">
        <f t="shared" si="16"/>
        <v>0.51069640418752849</v>
      </c>
      <c r="AB223" s="10">
        <f t="shared" si="17"/>
        <v>0.45917431192660552</v>
      </c>
      <c r="AC223" s="10">
        <f t="shared" si="18"/>
        <v>0.45336903168228471</v>
      </c>
      <c r="AD223" s="8">
        <f t="shared" si="19"/>
        <v>418</v>
      </c>
    </row>
    <row r="224" spans="1:30" ht="15" customHeight="1" x14ac:dyDescent="0.2">
      <c r="A224" s="7">
        <v>2022</v>
      </c>
      <c r="B224" s="7" t="s">
        <v>78</v>
      </c>
      <c r="C224" s="7" t="s">
        <v>57</v>
      </c>
      <c r="D224" s="7">
        <v>45</v>
      </c>
      <c r="E224" s="7" t="s">
        <v>33</v>
      </c>
      <c r="F224" s="7"/>
      <c r="G224" s="8"/>
      <c r="H224" s="8"/>
      <c r="I224" s="8"/>
      <c r="J224" s="7" t="s">
        <v>33</v>
      </c>
      <c r="K224" s="7" t="s">
        <v>33</v>
      </c>
      <c r="L224" s="8">
        <v>4861</v>
      </c>
      <c r="M224" s="8">
        <v>3730</v>
      </c>
      <c r="N224" s="8">
        <v>8591</v>
      </c>
      <c r="O224" s="7" t="s">
        <v>32</v>
      </c>
      <c r="P224" s="7" t="s">
        <v>33</v>
      </c>
      <c r="Q224" s="8">
        <v>4338</v>
      </c>
      <c r="R224" s="8">
        <v>4201</v>
      </c>
      <c r="S224" s="8">
        <v>8539</v>
      </c>
      <c r="T224" s="7" t="s">
        <v>33</v>
      </c>
      <c r="U224" s="7" t="s">
        <v>33</v>
      </c>
      <c r="V224" s="8">
        <v>4406</v>
      </c>
      <c r="W224" s="8">
        <v>4369</v>
      </c>
      <c r="X224" s="8">
        <v>8775</v>
      </c>
      <c r="Y224" s="9">
        <v>67.400000000000006</v>
      </c>
      <c r="Z224" s="10" t="str">
        <f t="shared" si="15"/>
        <v/>
      </c>
      <c r="AA224" s="10">
        <f t="shared" si="16"/>
        <v>0.56582470026772202</v>
      </c>
      <c r="AB224" s="10">
        <f t="shared" si="17"/>
        <v>0.50802201662958191</v>
      </c>
      <c r="AC224" s="10">
        <f t="shared" si="18"/>
        <v>0.50210826210826209</v>
      </c>
      <c r="AD224" s="8">
        <f t="shared" si="19"/>
        <v>-37</v>
      </c>
    </row>
    <row r="225" spans="1:30" ht="15" customHeight="1" x14ac:dyDescent="0.2">
      <c r="A225" s="7">
        <v>2022</v>
      </c>
      <c r="B225" s="7" t="s">
        <v>79</v>
      </c>
      <c r="C225" s="7" t="s">
        <v>57</v>
      </c>
      <c r="D225" s="7">
        <v>46</v>
      </c>
      <c r="E225" s="7" t="s">
        <v>33</v>
      </c>
      <c r="F225" s="7"/>
      <c r="G225" s="8"/>
      <c r="H225" s="8"/>
      <c r="I225" s="8"/>
      <c r="J225" s="7" t="s">
        <v>33</v>
      </c>
      <c r="K225" s="7" t="s">
        <v>32</v>
      </c>
      <c r="L225" s="8">
        <v>1173</v>
      </c>
      <c r="M225" s="8">
        <v>1773</v>
      </c>
      <c r="N225" s="8">
        <v>2946</v>
      </c>
      <c r="O225" s="7" t="s">
        <v>32</v>
      </c>
      <c r="P225" s="7" t="s">
        <v>32</v>
      </c>
      <c r="Q225" s="8">
        <v>1082</v>
      </c>
      <c r="R225" s="8">
        <v>1830</v>
      </c>
      <c r="S225" s="8">
        <v>2912</v>
      </c>
      <c r="T225" s="7" t="s">
        <v>33</v>
      </c>
      <c r="U225" s="7" t="s">
        <v>32</v>
      </c>
      <c r="V225" s="8">
        <v>1054</v>
      </c>
      <c r="W225" s="8">
        <v>1952</v>
      </c>
      <c r="X225" s="8">
        <v>3006</v>
      </c>
      <c r="Y225" s="9">
        <v>63.8</v>
      </c>
      <c r="Z225" s="10" t="str">
        <f t="shared" si="15"/>
        <v/>
      </c>
      <c r="AA225" s="10">
        <f t="shared" si="16"/>
        <v>0.39816700610997963</v>
      </c>
      <c r="AB225" s="10">
        <f t="shared" si="17"/>
        <v>0.37156593406593408</v>
      </c>
      <c r="AC225" s="10">
        <f t="shared" si="18"/>
        <v>0.35063206919494344</v>
      </c>
      <c r="AD225" s="8">
        <f t="shared" si="19"/>
        <v>898</v>
      </c>
    </row>
    <row r="226" spans="1:30" ht="15" customHeight="1" x14ac:dyDescent="0.2">
      <c r="A226" s="7">
        <v>2022</v>
      </c>
      <c r="B226" s="7" t="s">
        <v>80</v>
      </c>
      <c r="C226" s="7" t="s">
        <v>57</v>
      </c>
      <c r="D226" s="7">
        <v>47</v>
      </c>
      <c r="E226" s="7" t="s">
        <v>33</v>
      </c>
      <c r="F226" s="7"/>
      <c r="G226" s="8"/>
      <c r="H226" s="8"/>
      <c r="I226" s="8"/>
      <c r="J226" s="7" t="s">
        <v>33</v>
      </c>
      <c r="K226" s="7" t="s">
        <v>32</v>
      </c>
      <c r="L226" s="8">
        <v>1131</v>
      </c>
      <c r="M226" s="8">
        <v>1501</v>
      </c>
      <c r="N226" s="8">
        <v>2632</v>
      </c>
      <c r="O226" s="7" t="s">
        <v>32</v>
      </c>
      <c r="P226" s="7" t="s">
        <v>32</v>
      </c>
      <c r="Q226" s="8">
        <v>988</v>
      </c>
      <c r="R226" s="8">
        <v>1651</v>
      </c>
      <c r="S226" s="8">
        <v>2639</v>
      </c>
      <c r="T226" s="7" t="s">
        <v>33</v>
      </c>
      <c r="U226" s="7" t="s">
        <v>32</v>
      </c>
      <c r="V226" s="8">
        <v>981</v>
      </c>
      <c r="W226" s="8">
        <v>1711</v>
      </c>
      <c r="X226" s="8">
        <v>2692</v>
      </c>
      <c r="Y226" s="9">
        <v>68.2</v>
      </c>
      <c r="Z226" s="10" t="str">
        <f t="shared" si="15"/>
        <v/>
      </c>
      <c r="AA226" s="10">
        <f t="shared" si="16"/>
        <v>0.42971124620060791</v>
      </c>
      <c r="AB226" s="10">
        <f t="shared" si="17"/>
        <v>0.37438423645320196</v>
      </c>
      <c r="AC226" s="10">
        <f t="shared" si="18"/>
        <v>0.36441307578008914</v>
      </c>
      <c r="AD226" s="8">
        <f t="shared" si="19"/>
        <v>730</v>
      </c>
    </row>
    <row r="227" spans="1:30" ht="15" customHeight="1" x14ac:dyDescent="0.2">
      <c r="A227" s="7">
        <v>2022</v>
      </c>
      <c r="B227" s="7" t="s">
        <v>81</v>
      </c>
      <c r="C227" s="7" t="s">
        <v>57</v>
      </c>
      <c r="D227" s="7">
        <v>48</v>
      </c>
      <c r="E227" s="7" t="s">
        <v>33</v>
      </c>
      <c r="F227" s="7"/>
      <c r="G227" s="8"/>
      <c r="H227" s="8"/>
      <c r="I227" s="8"/>
      <c r="J227" s="7" t="s">
        <v>33</v>
      </c>
      <c r="K227" s="7" t="s">
        <v>33</v>
      </c>
      <c r="L227" s="8">
        <v>5985</v>
      </c>
      <c r="M227" s="8">
        <v>4122</v>
      </c>
      <c r="N227" s="8">
        <v>10107</v>
      </c>
      <c r="O227" s="7" t="s">
        <v>32</v>
      </c>
      <c r="P227" s="7" t="s">
        <v>33</v>
      </c>
      <c r="Q227" s="8">
        <v>5449</v>
      </c>
      <c r="R227" s="8">
        <v>4537</v>
      </c>
      <c r="S227" s="8">
        <v>9986</v>
      </c>
      <c r="T227" s="7" t="s">
        <v>33</v>
      </c>
      <c r="U227" s="7" t="s">
        <v>33</v>
      </c>
      <c r="V227" s="8">
        <v>5508</v>
      </c>
      <c r="W227" s="8">
        <v>4784</v>
      </c>
      <c r="X227" s="8">
        <v>10292</v>
      </c>
      <c r="Y227" s="9">
        <v>50.4</v>
      </c>
      <c r="Z227" s="10" t="str">
        <f t="shared" si="15"/>
        <v/>
      </c>
      <c r="AA227" s="10">
        <f t="shared" si="16"/>
        <v>0.59216384683882461</v>
      </c>
      <c r="AB227" s="10">
        <f t="shared" si="17"/>
        <v>0.54566392950130183</v>
      </c>
      <c r="AC227" s="10">
        <f t="shared" si="18"/>
        <v>0.53517294986397201</v>
      </c>
      <c r="AD227" s="8">
        <f t="shared" si="19"/>
        <v>-724</v>
      </c>
    </row>
    <row r="228" spans="1:30" ht="15" customHeight="1" x14ac:dyDescent="0.2">
      <c r="A228" s="7">
        <v>2022</v>
      </c>
      <c r="B228" s="7" t="s">
        <v>82</v>
      </c>
      <c r="C228" s="7" t="s">
        <v>83</v>
      </c>
      <c r="D228" s="7">
        <v>49</v>
      </c>
      <c r="E228" s="7" t="s">
        <v>33</v>
      </c>
      <c r="F228" s="7"/>
      <c r="G228" s="8"/>
      <c r="H228" s="8"/>
      <c r="I228" s="8"/>
      <c r="J228" s="7" t="s">
        <v>33</v>
      </c>
      <c r="K228" s="7" t="s">
        <v>32</v>
      </c>
      <c r="L228" s="8">
        <v>420</v>
      </c>
      <c r="M228" s="8">
        <v>735</v>
      </c>
      <c r="N228" s="8">
        <v>1155</v>
      </c>
      <c r="O228" s="7" t="s">
        <v>32</v>
      </c>
      <c r="P228" s="7" t="s">
        <v>32</v>
      </c>
      <c r="Q228" s="8">
        <v>370</v>
      </c>
      <c r="R228" s="8">
        <v>761</v>
      </c>
      <c r="S228" s="8">
        <v>1131</v>
      </c>
      <c r="T228" s="7" t="s">
        <v>33</v>
      </c>
      <c r="U228" s="7" t="s">
        <v>32</v>
      </c>
      <c r="V228" s="8">
        <v>361</v>
      </c>
      <c r="W228" s="8">
        <v>824</v>
      </c>
      <c r="X228" s="8">
        <v>1185</v>
      </c>
      <c r="Y228" s="9">
        <v>61.8</v>
      </c>
      <c r="Z228" s="10" t="str">
        <f t="shared" si="15"/>
        <v/>
      </c>
      <c r="AA228" s="10">
        <f t="shared" si="16"/>
        <v>0.36363636363636365</v>
      </c>
      <c r="AB228" s="10">
        <f t="shared" si="17"/>
        <v>0.3271441202475685</v>
      </c>
      <c r="AC228" s="10">
        <f t="shared" si="18"/>
        <v>0.30464135021097044</v>
      </c>
      <c r="AD228" s="8">
        <f t="shared" si="19"/>
        <v>463</v>
      </c>
    </row>
    <row r="229" spans="1:30" ht="15" customHeight="1" x14ac:dyDescent="0.2">
      <c r="A229" s="7">
        <v>2022</v>
      </c>
      <c r="B229" s="7" t="s">
        <v>84</v>
      </c>
      <c r="C229" s="7" t="s">
        <v>83</v>
      </c>
      <c r="D229" s="7">
        <v>50</v>
      </c>
      <c r="E229" s="7" t="s">
        <v>33</v>
      </c>
      <c r="F229" s="7"/>
      <c r="G229" s="8"/>
      <c r="H229" s="8"/>
      <c r="I229" s="8"/>
      <c r="J229" s="7" t="s">
        <v>33</v>
      </c>
      <c r="K229" s="7" t="s">
        <v>32</v>
      </c>
      <c r="L229" s="8">
        <v>1142</v>
      </c>
      <c r="M229" s="8">
        <v>1820</v>
      </c>
      <c r="N229" s="8">
        <v>2962</v>
      </c>
      <c r="O229" s="7" t="s">
        <v>32</v>
      </c>
      <c r="P229" s="7" t="s">
        <v>32</v>
      </c>
      <c r="Q229" s="8">
        <v>1056</v>
      </c>
      <c r="R229" s="8">
        <v>1837</v>
      </c>
      <c r="S229" s="8">
        <v>2893</v>
      </c>
      <c r="T229" s="7" t="s">
        <v>33</v>
      </c>
      <c r="U229" s="7" t="s">
        <v>32</v>
      </c>
      <c r="V229" s="8">
        <v>1021</v>
      </c>
      <c r="W229" s="8">
        <v>1984</v>
      </c>
      <c r="X229" s="8">
        <v>3005</v>
      </c>
      <c r="Y229" s="9">
        <v>56.2</v>
      </c>
      <c r="Z229" s="10" t="str">
        <f t="shared" si="15"/>
        <v/>
      </c>
      <c r="AA229" s="10">
        <f t="shared" si="16"/>
        <v>0.38555030384875083</v>
      </c>
      <c r="AB229" s="10">
        <f t="shared" si="17"/>
        <v>0.36501901140684412</v>
      </c>
      <c r="AC229" s="10">
        <f t="shared" si="18"/>
        <v>0.33976705490848585</v>
      </c>
      <c r="AD229" s="8">
        <f t="shared" si="19"/>
        <v>963</v>
      </c>
    </row>
    <row r="230" spans="1:30" ht="15" customHeight="1" x14ac:dyDescent="0.2">
      <c r="A230" s="7">
        <v>2022</v>
      </c>
      <c r="B230" s="7" t="s">
        <v>85</v>
      </c>
      <c r="C230" s="7" t="s">
        <v>83</v>
      </c>
      <c r="D230" s="7">
        <v>51</v>
      </c>
      <c r="E230" s="7" t="s">
        <v>33</v>
      </c>
      <c r="F230" s="7"/>
      <c r="G230" s="8"/>
      <c r="H230" s="8"/>
      <c r="I230" s="8"/>
      <c r="J230" s="7" t="s">
        <v>33</v>
      </c>
      <c r="K230" s="7" t="s">
        <v>32</v>
      </c>
      <c r="L230" s="8">
        <v>962</v>
      </c>
      <c r="M230" s="8">
        <v>1351</v>
      </c>
      <c r="N230" s="8">
        <v>2313</v>
      </c>
      <c r="O230" s="7" t="s">
        <v>32</v>
      </c>
      <c r="P230" s="7" t="s">
        <v>32</v>
      </c>
      <c r="Q230" s="8">
        <v>884</v>
      </c>
      <c r="R230" s="8">
        <v>1407</v>
      </c>
      <c r="S230" s="8">
        <v>2291</v>
      </c>
      <c r="T230" s="7" t="s">
        <v>33</v>
      </c>
      <c r="U230" s="7" t="s">
        <v>32</v>
      </c>
      <c r="V230" s="8">
        <v>380</v>
      </c>
      <c r="W230" s="8">
        <v>732</v>
      </c>
      <c r="X230" s="8">
        <v>1112</v>
      </c>
      <c r="Y230" s="9">
        <v>62.6</v>
      </c>
      <c r="Z230" s="10" t="str">
        <f t="shared" si="15"/>
        <v/>
      </c>
      <c r="AA230" s="10">
        <f t="shared" si="16"/>
        <v>0.41591007349762216</v>
      </c>
      <c r="AB230" s="10">
        <f t="shared" si="17"/>
        <v>0.3858577040593627</v>
      </c>
      <c r="AC230" s="10">
        <f t="shared" si="18"/>
        <v>0.34172661870503596</v>
      </c>
      <c r="AD230" s="8">
        <f t="shared" si="19"/>
        <v>352</v>
      </c>
    </row>
    <row r="231" spans="1:30" ht="15" customHeight="1" x14ac:dyDescent="0.2">
      <c r="A231" s="7">
        <v>2022</v>
      </c>
      <c r="B231" s="7" t="s">
        <v>86</v>
      </c>
      <c r="C231" s="7" t="s">
        <v>87</v>
      </c>
      <c r="D231" s="7">
        <v>52</v>
      </c>
      <c r="E231" s="7" t="s">
        <v>33</v>
      </c>
      <c r="F231" s="7"/>
      <c r="G231" s="8"/>
      <c r="H231" s="8"/>
      <c r="I231" s="8"/>
      <c r="J231" s="7" t="s">
        <v>33</v>
      </c>
      <c r="K231" s="7" t="s">
        <v>33</v>
      </c>
      <c r="L231" s="8">
        <v>1307</v>
      </c>
      <c r="M231" s="8">
        <v>1253</v>
      </c>
      <c r="N231" s="8">
        <v>2560</v>
      </c>
      <c r="O231" s="7" t="s">
        <v>32</v>
      </c>
      <c r="P231" s="7" t="s">
        <v>32</v>
      </c>
      <c r="Q231" s="8">
        <v>1167</v>
      </c>
      <c r="R231" s="8">
        <v>1374</v>
      </c>
      <c r="S231" s="8">
        <v>2541</v>
      </c>
      <c r="T231" s="7" t="s">
        <v>33</v>
      </c>
      <c r="U231" s="7" t="s">
        <v>32</v>
      </c>
      <c r="V231" s="8">
        <v>1174</v>
      </c>
      <c r="W231" s="8">
        <v>1426</v>
      </c>
      <c r="X231" s="8">
        <v>2600</v>
      </c>
      <c r="Y231" s="9">
        <v>64.099999999999994</v>
      </c>
      <c r="Z231" s="10" t="str">
        <f t="shared" si="15"/>
        <v/>
      </c>
      <c r="AA231" s="10">
        <f t="shared" si="16"/>
        <v>0.51054687499999996</v>
      </c>
      <c r="AB231" s="10">
        <f t="shared" si="17"/>
        <v>0.45926800472255019</v>
      </c>
      <c r="AC231" s="10">
        <f t="shared" si="18"/>
        <v>0.45153846153846156</v>
      </c>
      <c r="AD231" s="8">
        <f t="shared" si="19"/>
        <v>252</v>
      </c>
    </row>
    <row r="232" spans="1:30" ht="15" customHeight="1" x14ac:dyDescent="0.2">
      <c r="A232" s="7">
        <v>2022</v>
      </c>
      <c r="B232" s="7" t="s">
        <v>88</v>
      </c>
      <c r="C232" s="7" t="s">
        <v>87</v>
      </c>
      <c r="D232" s="7">
        <v>53</v>
      </c>
      <c r="E232" s="7" t="s">
        <v>33</v>
      </c>
      <c r="F232" s="7"/>
      <c r="G232" s="8"/>
      <c r="H232" s="8"/>
      <c r="I232" s="8"/>
      <c r="J232" s="7" t="s">
        <v>33</v>
      </c>
      <c r="K232" s="7" t="s">
        <v>32</v>
      </c>
      <c r="L232" s="8">
        <v>803</v>
      </c>
      <c r="M232" s="8">
        <v>833</v>
      </c>
      <c r="N232" s="8">
        <v>1636</v>
      </c>
      <c r="O232" s="7" t="s">
        <v>32</v>
      </c>
      <c r="P232" s="7" t="s">
        <v>32</v>
      </c>
      <c r="Q232" s="8">
        <v>745</v>
      </c>
      <c r="R232" s="8">
        <v>866</v>
      </c>
      <c r="S232" s="8">
        <v>1611</v>
      </c>
      <c r="T232" s="7" t="s">
        <v>33</v>
      </c>
      <c r="U232" s="7" t="s">
        <v>32</v>
      </c>
      <c r="V232" s="8">
        <v>729</v>
      </c>
      <c r="W232" s="8">
        <v>928</v>
      </c>
      <c r="X232" s="8">
        <v>1657</v>
      </c>
      <c r="Y232" s="9">
        <v>51.5</v>
      </c>
      <c r="Z232" s="10" t="str">
        <f t="shared" si="15"/>
        <v/>
      </c>
      <c r="AA232" s="10">
        <f t="shared" si="16"/>
        <v>0.49083129584352081</v>
      </c>
      <c r="AB232" s="10">
        <f t="shared" si="17"/>
        <v>0.46244568590937307</v>
      </c>
      <c r="AC232" s="10">
        <f t="shared" si="18"/>
        <v>0.43995171997585997</v>
      </c>
      <c r="AD232" s="8">
        <f t="shared" si="19"/>
        <v>199</v>
      </c>
    </row>
    <row r="233" spans="1:30" ht="15" customHeight="1" x14ac:dyDescent="0.2">
      <c r="A233" s="7">
        <v>2022</v>
      </c>
      <c r="B233" s="7" t="s">
        <v>89</v>
      </c>
      <c r="C233" s="7" t="s">
        <v>87</v>
      </c>
      <c r="D233" s="7">
        <v>54</v>
      </c>
      <c r="E233" s="7" t="s">
        <v>33</v>
      </c>
      <c r="F233" s="7"/>
      <c r="G233" s="8"/>
      <c r="H233" s="8"/>
      <c r="I233" s="8"/>
      <c r="J233" s="7" t="s">
        <v>33</v>
      </c>
      <c r="K233" s="7" t="s">
        <v>33</v>
      </c>
      <c r="L233" s="8">
        <v>492</v>
      </c>
      <c r="M233" s="8">
        <v>438</v>
      </c>
      <c r="N233" s="8">
        <v>930</v>
      </c>
      <c r="O233" s="7" t="s">
        <v>32</v>
      </c>
      <c r="P233" s="7" t="s">
        <v>32</v>
      </c>
      <c r="Q233" s="8">
        <v>445</v>
      </c>
      <c r="R233" s="8">
        <v>479</v>
      </c>
      <c r="S233" s="8">
        <v>924</v>
      </c>
      <c r="T233" s="7" t="s">
        <v>33</v>
      </c>
      <c r="U233" s="7" t="s">
        <v>32</v>
      </c>
      <c r="V233" s="8">
        <v>441</v>
      </c>
      <c r="W233" s="8">
        <v>513</v>
      </c>
      <c r="X233" s="8">
        <v>954</v>
      </c>
      <c r="Y233" s="9">
        <v>53.9</v>
      </c>
      <c r="Z233" s="10" t="str">
        <f t="shared" si="15"/>
        <v/>
      </c>
      <c r="AA233" s="10">
        <f t="shared" si="16"/>
        <v>0.52903225806451615</v>
      </c>
      <c r="AB233" s="10">
        <f t="shared" si="17"/>
        <v>0.48160173160173159</v>
      </c>
      <c r="AC233" s="10">
        <f t="shared" si="18"/>
        <v>0.46226415094339623</v>
      </c>
      <c r="AD233" s="8">
        <f t="shared" si="19"/>
        <v>72</v>
      </c>
    </row>
    <row r="234" spans="1:30" ht="15" customHeight="1" x14ac:dyDescent="0.2">
      <c r="A234" s="7">
        <v>2022</v>
      </c>
      <c r="B234" s="7" t="s">
        <v>59</v>
      </c>
      <c r="C234" s="7" t="s">
        <v>87</v>
      </c>
      <c r="D234" s="7">
        <v>55</v>
      </c>
      <c r="E234" s="7" t="s">
        <v>33</v>
      </c>
      <c r="F234" s="7"/>
      <c r="G234" s="8"/>
      <c r="H234" s="8"/>
      <c r="I234" s="8"/>
      <c r="J234" s="7" t="s">
        <v>33</v>
      </c>
      <c r="K234" s="7" t="s">
        <v>33</v>
      </c>
      <c r="L234" s="8">
        <v>12911</v>
      </c>
      <c r="M234" s="8">
        <v>4818</v>
      </c>
      <c r="N234" s="8">
        <v>17729</v>
      </c>
      <c r="O234" s="7" t="s">
        <v>32</v>
      </c>
      <c r="P234" s="7" t="s">
        <v>33</v>
      </c>
      <c r="Q234" s="8">
        <v>12309</v>
      </c>
      <c r="R234" s="8">
        <v>5395</v>
      </c>
      <c r="S234" s="8">
        <v>17704</v>
      </c>
      <c r="T234" s="7" t="s">
        <v>33</v>
      </c>
      <c r="U234" s="7" t="s">
        <v>33</v>
      </c>
      <c r="V234" s="8">
        <v>12402</v>
      </c>
      <c r="W234" s="8">
        <v>5692</v>
      </c>
      <c r="X234" s="8">
        <v>18094</v>
      </c>
      <c r="Y234" s="9">
        <v>52.8</v>
      </c>
      <c r="Z234" s="10" t="str">
        <f t="shared" si="15"/>
        <v/>
      </c>
      <c r="AA234" s="10">
        <f t="shared" si="16"/>
        <v>0.72824186361328891</v>
      </c>
      <c r="AB234" s="10">
        <f t="shared" si="17"/>
        <v>0.69526660641662896</v>
      </c>
      <c r="AC234" s="10">
        <f t="shared" si="18"/>
        <v>0.68542058140820161</v>
      </c>
      <c r="AD234" s="8">
        <f t="shared" si="19"/>
        <v>-6710</v>
      </c>
    </row>
    <row r="235" spans="1:30" ht="15" customHeight="1" x14ac:dyDescent="0.2">
      <c r="A235" s="7">
        <v>2022</v>
      </c>
      <c r="B235" s="7" t="s">
        <v>90</v>
      </c>
      <c r="C235" s="7" t="s">
        <v>87</v>
      </c>
      <c r="D235" s="7">
        <v>56</v>
      </c>
      <c r="E235" s="7" t="s">
        <v>33</v>
      </c>
      <c r="F235" s="7"/>
      <c r="G235" s="8"/>
      <c r="H235" s="8"/>
      <c r="I235" s="8"/>
      <c r="J235" s="7" t="s">
        <v>33</v>
      </c>
      <c r="K235" s="7" t="s">
        <v>33</v>
      </c>
      <c r="L235" s="8">
        <v>7205</v>
      </c>
      <c r="M235" s="8">
        <v>4790</v>
      </c>
      <c r="N235" s="8">
        <v>11995</v>
      </c>
      <c r="O235" s="7" t="s">
        <v>32</v>
      </c>
      <c r="P235" s="7" t="s">
        <v>33</v>
      </c>
      <c r="Q235" s="8">
        <v>6647</v>
      </c>
      <c r="R235" s="8">
        <v>5316</v>
      </c>
      <c r="S235" s="8">
        <v>11963</v>
      </c>
      <c r="T235" s="7" t="s">
        <v>33</v>
      </c>
      <c r="U235" s="7" t="s">
        <v>33</v>
      </c>
      <c r="V235" s="8">
        <v>6681</v>
      </c>
      <c r="W235" s="8">
        <v>5562</v>
      </c>
      <c r="X235" s="8">
        <v>12243</v>
      </c>
      <c r="Y235" s="9">
        <v>63.71</v>
      </c>
      <c r="Z235" s="10" t="str">
        <f t="shared" si="15"/>
        <v/>
      </c>
      <c r="AA235" s="10">
        <f t="shared" si="16"/>
        <v>0.6006669445602334</v>
      </c>
      <c r="AB235" s="10">
        <f t="shared" si="17"/>
        <v>0.5556298587310875</v>
      </c>
      <c r="AC235" s="10">
        <f t="shared" si="18"/>
        <v>0.54569958343543246</v>
      </c>
      <c r="AD235" s="8">
        <f t="shared" si="19"/>
        <v>-1119</v>
      </c>
    </row>
    <row r="236" spans="1:30" ht="15" customHeight="1" x14ac:dyDescent="0.2">
      <c r="A236" s="7">
        <v>2022</v>
      </c>
      <c r="B236" s="7" t="s">
        <v>91</v>
      </c>
      <c r="C236" s="7" t="s">
        <v>87</v>
      </c>
      <c r="D236" s="7">
        <v>57</v>
      </c>
      <c r="E236" s="7" t="s">
        <v>33</v>
      </c>
      <c r="F236" s="7"/>
      <c r="G236" s="8"/>
      <c r="H236" s="8"/>
      <c r="I236" s="8"/>
      <c r="J236" s="7" t="s">
        <v>33</v>
      </c>
      <c r="K236" s="7" t="s">
        <v>32</v>
      </c>
      <c r="L236" s="8">
        <v>1976</v>
      </c>
      <c r="M236" s="8">
        <v>2342</v>
      </c>
      <c r="N236" s="8">
        <v>4318</v>
      </c>
      <c r="O236" s="7" t="s">
        <v>32</v>
      </c>
      <c r="P236" s="7" t="s">
        <v>32</v>
      </c>
      <c r="Q236" s="8">
        <v>1706</v>
      </c>
      <c r="R236" s="8">
        <v>2561</v>
      </c>
      <c r="S236" s="8">
        <v>4267</v>
      </c>
      <c r="T236" s="7" t="s">
        <v>33</v>
      </c>
      <c r="U236" s="7" t="s">
        <v>32</v>
      </c>
      <c r="V236" s="8">
        <v>1737</v>
      </c>
      <c r="W236" s="8">
        <v>2662</v>
      </c>
      <c r="X236" s="8">
        <v>4399</v>
      </c>
      <c r="Y236" s="9">
        <v>67.8</v>
      </c>
      <c r="Z236" s="10" t="str">
        <f t="shared" si="15"/>
        <v/>
      </c>
      <c r="AA236" s="10">
        <f t="shared" si="16"/>
        <v>0.45761926817971282</v>
      </c>
      <c r="AB236" s="10">
        <f t="shared" si="17"/>
        <v>0.39981251464729317</v>
      </c>
      <c r="AC236" s="10">
        <f t="shared" si="18"/>
        <v>0.3948624687428961</v>
      </c>
      <c r="AD236" s="8">
        <f t="shared" si="19"/>
        <v>925</v>
      </c>
    </row>
    <row r="237" spans="1:30" ht="15" customHeight="1" x14ac:dyDescent="0.2">
      <c r="A237" s="7">
        <v>2022</v>
      </c>
      <c r="B237" s="7" t="s">
        <v>92</v>
      </c>
      <c r="C237" s="7" t="s">
        <v>87</v>
      </c>
      <c r="D237" s="7">
        <v>58</v>
      </c>
      <c r="E237" s="7" t="s">
        <v>33</v>
      </c>
      <c r="F237" s="7"/>
      <c r="G237" s="8"/>
      <c r="H237" s="8"/>
      <c r="I237" s="8"/>
      <c r="J237" s="7" t="s">
        <v>33</v>
      </c>
      <c r="K237" s="7" t="s">
        <v>32</v>
      </c>
      <c r="L237" s="8">
        <v>34</v>
      </c>
      <c r="M237" s="8">
        <v>45</v>
      </c>
      <c r="N237" s="8">
        <v>79</v>
      </c>
      <c r="O237" s="7" t="s">
        <v>32</v>
      </c>
      <c r="P237" s="7" t="s">
        <v>32</v>
      </c>
      <c r="Q237" s="8">
        <v>31</v>
      </c>
      <c r="R237" s="8">
        <v>46</v>
      </c>
      <c r="S237" s="8">
        <v>77</v>
      </c>
      <c r="T237" s="7" t="s">
        <v>33</v>
      </c>
      <c r="U237" s="7" t="s">
        <v>32</v>
      </c>
      <c r="V237" s="8">
        <v>31</v>
      </c>
      <c r="W237" s="8">
        <v>55</v>
      </c>
      <c r="X237" s="8">
        <v>86</v>
      </c>
      <c r="Y237" s="9">
        <v>54.8</v>
      </c>
      <c r="Z237" s="10" t="str">
        <f t="shared" si="15"/>
        <v/>
      </c>
      <c r="AA237" s="10">
        <f t="shared" si="16"/>
        <v>0.43037974683544306</v>
      </c>
      <c r="AB237" s="10">
        <f t="shared" si="17"/>
        <v>0.40259740259740262</v>
      </c>
      <c r="AC237" s="10">
        <f t="shared" si="18"/>
        <v>0.36046511627906974</v>
      </c>
      <c r="AD237" s="8">
        <f t="shared" si="19"/>
        <v>24</v>
      </c>
    </row>
    <row r="238" spans="1:30" ht="15" customHeight="1" x14ac:dyDescent="0.2">
      <c r="A238" s="7">
        <v>2022</v>
      </c>
      <c r="B238" s="7" t="s">
        <v>93</v>
      </c>
      <c r="C238" s="7" t="s">
        <v>87</v>
      </c>
      <c r="D238" s="7">
        <v>59</v>
      </c>
      <c r="E238" s="7" t="s">
        <v>33</v>
      </c>
      <c r="F238" s="7"/>
      <c r="G238" s="8"/>
      <c r="H238" s="8"/>
      <c r="I238" s="8"/>
      <c r="J238" s="7" t="s">
        <v>33</v>
      </c>
      <c r="K238" s="7" t="s">
        <v>32</v>
      </c>
      <c r="L238" s="8">
        <v>1232</v>
      </c>
      <c r="M238" s="8">
        <v>1248</v>
      </c>
      <c r="N238" s="8">
        <v>2480</v>
      </c>
      <c r="O238" s="7" t="s">
        <v>32</v>
      </c>
      <c r="P238" s="7" t="s">
        <v>32</v>
      </c>
      <c r="Q238" s="8">
        <v>1104</v>
      </c>
      <c r="R238" s="8">
        <v>1368</v>
      </c>
      <c r="S238" s="8">
        <v>2472</v>
      </c>
      <c r="T238" s="7" t="s">
        <v>33</v>
      </c>
      <c r="U238" s="7" t="s">
        <v>32</v>
      </c>
      <c r="V238" s="8">
        <v>1109</v>
      </c>
      <c r="W238" s="8">
        <v>1408</v>
      </c>
      <c r="X238" s="8">
        <v>2517</v>
      </c>
      <c r="Y238" s="9">
        <v>65.2</v>
      </c>
      <c r="Z238" s="10" t="str">
        <f t="shared" si="15"/>
        <v/>
      </c>
      <c r="AA238" s="10">
        <f t="shared" si="16"/>
        <v>0.49677419354838709</v>
      </c>
      <c r="AB238" s="10">
        <f t="shared" si="17"/>
        <v>0.44660194174757284</v>
      </c>
      <c r="AC238" s="10">
        <f t="shared" si="18"/>
        <v>0.44060389352403656</v>
      </c>
      <c r="AD238" s="8">
        <f t="shared" si="19"/>
        <v>299</v>
      </c>
    </row>
    <row r="239" spans="1:30" ht="15" customHeight="1" x14ac:dyDescent="0.2">
      <c r="A239" s="7">
        <v>2022</v>
      </c>
      <c r="B239" s="7" t="s">
        <v>94</v>
      </c>
      <c r="C239" s="7" t="s">
        <v>87</v>
      </c>
      <c r="D239" s="7">
        <v>60</v>
      </c>
      <c r="E239" s="7" t="s">
        <v>33</v>
      </c>
      <c r="F239" s="7"/>
      <c r="G239" s="8"/>
      <c r="H239" s="8"/>
      <c r="I239" s="8"/>
      <c r="J239" s="7" t="s">
        <v>33</v>
      </c>
      <c r="K239" s="7" t="s">
        <v>32</v>
      </c>
      <c r="L239" s="8">
        <v>155</v>
      </c>
      <c r="M239" s="8">
        <v>186</v>
      </c>
      <c r="N239" s="8">
        <v>341</v>
      </c>
      <c r="O239" s="7" t="s">
        <v>32</v>
      </c>
      <c r="P239" s="7" t="s">
        <v>32</v>
      </c>
      <c r="Q239" s="8">
        <v>137</v>
      </c>
      <c r="R239" s="8">
        <v>195</v>
      </c>
      <c r="S239" s="8">
        <v>332</v>
      </c>
      <c r="T239" s="7" t="s">
        <v>33</v>
      </c>
      <c r="U239" s="7" t="s">
        <v>32</v>
      </c>
      <c r="V239" s="8">
        <v>137</v>
      </c>
      <c r="W239" s="8">
        <v>214</v>
      </c>
      <c r="X239" s="8">
        <v>351</v>
      </c>
      <c r="Y239" s="9">
        <v>50.1</v>
      </c>
      <c r="Z239" s="10" t="str">
        <f t="shared" si="15"/>
        <v/>
      </c>
      <c r="AA239" s="10">
        <f t="shared" si="16"/>
        <v>0.45454545454545453</v>
      </c>
      <c r="AB239" s="10">
        <f t="shared" si="17"/>
        <v>0.41265060240963858</v>
      </c>
      <c r="AC239" s="10">
        <f t="shared" si="18"/>
        <v>0.3903133903133903</v>
      </c>
      <c r="AD239" s="8">
        <f t="shared" si="19"/>
        <v>77</v>
      </c>
    </row>
    <row r="240" spans="1:30" ht="15" customHeight="1" x14ac:dyDescent="0.2">
      <c r="A240" s="7">
        <v>2022</v>
      </c>
      <c r="B240" s="7" t="s">
        <v>95</v>
      </c>
      <c r="C240" s="7" t="s">
        <v>87</v>
      </c>
      <c r="D240" s="7">
        <v>61</v>
      </c>
      <c r="E240" s="7" t="s">
        <v>33</v>
      </c>
      <c r="F240" s="7"/>
      <c r="G240" s="8"/>
      <c r="H240" s="8"/>
      <c r="I240" s="8"/>
      <c r="J240" s="7" t="s">
        <v>33</v>
      </c>
      <c r="K240" s="7" t="s">
        <v>33</v>
      </c>
      <c r="L240" s="8">
        <v>5337</v>
      </c>
      <c r="M240" s="8">
        <v>1636</v>
      </c>
      <c r="N240" s="8">
        <v>6973</v>
      </c>
      <c r="O240" s="7" t="s">
        <v>32</v>
      </c>
      <c r="P240" s="7" t="s">
        <v>33</v>
      </c>
      <c r="Q240" s="8">
        <v>5197</v>
      </c>
      <c r="R240" s="8">
        <v>1780</v>
      </c>
      <c r="S240" s="8">
        <v>6977</v>
      </c>
      <c r="T240" s="7" t="s">
        <v>33</v>
      </c>
      <c r="U240" s="7" t="s">
        <v>33</v>
      </c>
      <c r="V240" s="8">
        <v>5210</v>
      </c>
      <c r="W240" s="8">
        <v>1883</v>
      </c>
      <c r="X240" s="8">
        <v>7093</v>
      </c>
      <c r="Y240" s="9">
        <v>47.3</v>
      </c>
      <c r="Z240" s="10" t="str">
        <f t="shared" si="15"/>
        <v/>
      </c>
      <c r="AA240" s="10">
        <f t="shared" si="16"/>
        <v>0.76538075433816144</v>
      </c>
      <c r="AB240" s="10">
        <f t="shared" si="17"/>
        <v>0.74487602121255558</v>
      </c>
      <c r="AC240" s="10">
        <f t="shared" si="18"/>
        <v>0.73452699844917524</v>
      </c>
      <c r="AD240" s="8">
        <f t="shared" si="19"/>
        <v>-3327</v>
      </c>
    </row>
    <row r="241" spans="1:30" ht="15" customHeight="1" x14ac:dyDescent="0.2">
      <c r="A241" s="7">
        <v>2022</v>
      </c>
      <c r="B241" s="7" t="s">
        <v>96</v>
      </c>
      <c r="C241" s="7" t="s">
        <v>87</v>
      </c>
      <c r="D241" s="7">
        <v>62</v>
      </c>
      <c r="E241" s="7" t="s">
        <v>33</v>
      </c>
      <c r="F241" s="7"/>
      <c r="G241" s="8"/>
      <c r="H241" s="8"/>
      <c r="I241" s="8"/>
      <c r="J241" s="7" t="s">
        <v>33</v>
      </c>
      <c r="K241" s="7" t="s">
        <v>33</v>
      </c>
      <c r="L241" s="8">
        <v>4530</v>
      </c>
      <c r="M241" s="8">
        <v>3300</v>
      </c>
      <c r="N241" s="8">
        <v>7830</v>
      </c>
      <c r="O241" s="7" t="s">
        <v>32</v>
      </c>
      <c r="P241" s="7" t="s">
        <v>33</v>
      </c>
      <c r="Q241" s="8">
        <v>4168</v>
      </c>
      <c r="R241" s="8">
        <v>3628</v>
      </c>
      <c r="S241" s="8">
        <v>7796</v>
      </c>
      <c r="T241" s="7" t="s">
        <v>33</v>
      </c>
      <c r="U241" s="7" t="s">
        <v>33</v>
      </c>
      <c r="V241" s="8">
        <v>4158</v>
      </c>
      <c r="W241" s="8">
        <v>3782</v>
      </c>
      <c r="X241" s="8">
        <v>7940</v>
      </c>
      <c r="Y241" s="9">
        <v>66.5</v>
      </c>
      <c r="Z241" s="10" t="str">
        <f t="shared" si="15"/>
        <v/>
      </c>
      <c r="AA241" s="10">
        <f t="shared" si="16"/>
        <v>0.57854406130268199</v>
      </c>
      <c r="AB241" s="10">
        <f t="shared" si="17"/>
        <v>0.53463314520266803</v>
      </c>
      <c r="AC241" s="10">
        <f t="shared" si="18"/>
        <v>0.52367758186397984</v>
      </c>
      <c r="AD241" s="8">
        <f t="shared" si="19"/>
        <v>-376</v>
      </c>
    </row>
    <row r="242" spans="1:30" ht="15" customHeight="1" x14ac:dyDescent="0.2">
      <c r="A242" s="7">
        <v>2022</v>
      </c>
      <c r="B242" s="7" t="s">
        <v>97</v>
      </c>
      <c r="C242" s="7" t="s">
        <v>87</v>
      </c>
      <c r="D242" s="7">
        <v>63</v>
      </c>
      <c r="E242" s="7" t="s">
        <v>33</v>
      </c>
      <c r="F242" s="7"/>
      <c r="G242" s="8"/>
      <c r="H242" s="8"/>
      <c r="I242" s="8"/>
      <c r="J242" s="7" t="s">
        <v>33</v>
      </c>
      <c r="K242" s="7" t="s">
        <v>33</v>
      </c>
      <c r="L242" s="8">
        <v>512</v>
      </c>
      <c r="M242" s="8">
        <v>285</v>
      </c>
      <c r="N242" s="8">
        <v>797</v>
      </c>
      <c r="O242" s="7" t="s">
        <v>32</v>
      </c>
      <c r="P242" s="7" t="s">
        <v>33</v>
      </c>
      <c r="Q242" s="8">
        <v>495</v>
      </c>
      <c r="R242" s="8">
        <v>299</v>
      </c>
      <c r="S242" s="8">
        <v>794</v>
      </c>
      <c r="T242" s="7" t="s">
        <v>33</v>
      </c>
      <c r="U242" s="7" t="s">
        <v>33</v>
      </c>
      <c r="V242" s="8">
        <v>480</v>
      </c>
      <c r="W242" s="8">
        <v>330</v>
      </c>
      <c r="X242" s="8">
        <v>810</v>
      </c>
      <c r="Y242" s="9">
        <v>48.9</v>
      </c>
      <c r="Z242" s="10" t="str">
        <f t="shared" si="15"/>
        <v/>
      </c>
      <c r="AA242" s="10">
        <f t="shared" si="16"/>
        <v>0.64240903387703885</v>
      </c>
      <c r="AB242" s="10">
        <f t="shared" si="17"/>
        <v>0.62342569269521408</v>
      </c>
      <c r="AC242" s="10">
        <f t="shared" si="18"/>
        <v>0.59259259259259256</v>
      </c>
      <c r="AD242" s="8">
        <f t="shared" si="19"/>
        <v>-150</v>
      </c>
    </row>
    <row r="243" spans="1:30" ht="15" customHeight="1" x14ac:dyDescent="0.2">
      <c r="A243" s="7">
        <v>2022</v>
      </c>
      <c r="B243" s="7" t="s">
        <v>98</v>
      </c>
      <c r="C243" s="7" t="s">
        <v>87</v>
      </c>
      <c r="D243" s="7">
        <v>64</v>
      </c>
      <c r="E243" s="7" t="s">
        <v>33</v>
      </c>
      <c r="F243" s="7"/>
      <c r="G243" s="8"/>
      <c r="H243" s="8"/>
      <c r="I243" s="8"/>
      <c r="J243" s="7" t="s">
        <v>33</v>
      </c>
      <c r="K243" s="7" t="s">
        <v>33</v>
      </c>
      <c r="L243" s="8">
        <v>76</v>
      </c>
      <c r="M243" s="8">
        <v>60</v>
      </c>
      <c r="N243" s="8">
        <v>136</v>
      </c>
      <c r="O243" s="7" t="s">
        <v>32</v>
      </c>
      <c r="P243" s="7" t="s">
        <v>33</v>
      </c>
      <c r="Q243" s="8">
        <v>72</v>
      </c>
      <c r="R243" s="8">
        <v>63</v>
      </c>
      <c r="S243" s="8">
        <v>135</v>
      </c>
      <c r="T243" s="7" t="s">
        <v>33</v>
      </c>
      <c r="U243" s="7" t="s">
        <v>33</v>
      </c>
      <c r="V243" s="8">
        <v>72</v>
      </c>
      <c r="W243" s="8">
        <v>69</v>
      </c>
      <c r="X243" s="8">
        <v>141</v>
      </c>
      <c r="Y243" s="9">
        <v>46.5</v>
      </c>
      <c r="Z243" s="10" t="str">
        <f t="shared" si="15"/>
        <v/>
      </c>
      <c r="AA243" s="10">
        <f t="shared" si="16"/>
        <v>0.55882352941176472</v>
      </c>
      <c r="AB243" s="10">
        <f t="shared" si="17"/>
        <v>0.53333333333333333</v>
      </c>
      <c r="AC243" s="10">
        <f t="shared" si="18"/>
        <v>0.51063829787234039</v>
      </c>
      <c r="AD243" s="8">
        <f t="shared" si="19"/>
        <v>-3</v>
      </c>
    </row>
    <row r="244" spans="1:30" ht="15" customHeight="1" x14ac:dyDescent="0.2">
      <c r="A244" s="7">
        <v>2022</v>
      </c>
      <c r="B244" s="7" t="s">
        <v>65</v>
      </c>
      <c r="C244" s="7" t="s">
        <v>87</v>
      </c>
      <c r="D244" s="7">
        <v>65</v>
      </c>
      <c r="E244" s="7" t="s">
        <v>33</v>
      </c>
      <c r="F244" s="7"/>
      <c r="G244" s="8"/>
      <c r="H244" s="8"/>
      <c r="I244" s="8"/>
      <c r="J244" s="7" t="s">
        <v>33</v>
      </c>
      <c r="K244" s="7" t="s">
        <v>33</v>
      </c>
      <c r="L244" s="8">
        <v>3903</v>
      </c>
      <c r="M244" s="8">
        <v>2442</v>
      </c>
      <c r="N244" s="8">
        <v>6345</v>
      </c>
      <c r="O244" s="7" t="s">
        <v>32</v>
      </c>
      <c r="P244" s="7" t="s">
        <v>33</v>
      </c>
      <c r="Q244" s="8">
        <v>3530</v>
      </c>
      <c r="R244" s="8">
        <v>2789</v>
      </c>
      <c r="S244" s="8">
        <v>6319</v>
      </c>
      <c r="T244" s="7" t="s">
        <v>33</v>
      </c>
      <c r="U244" s="7" t="s">
        <v>33</v>
      </c>
      <c r="V244" s="8">
        <v>3570</v>
      </c>
      <c r="W244" s="8">
        <v>2883</v>
      </c>
      <c r="X244" s="8">
        <v>6453</v>
      </c>
      <c r="Y244" s="9">
        <v>69.099999999999994</v>
      </c>
      <c r="Z244" s="10" t="str">
        <f t="shared" si="15"/>
        <v/>
      </c>
      <c r="AA244" s="10">
        <f t="shared" si="16"/>
        <v>0.61513002364066194</v>
      </c>
      <c r="AB244" s="10">
        <f t="shared" si="17"/>
        <v>0.55863269504668456</v>
      </c>
      <c r="AC244" s="10">
        <f t="shared" si="18"/>
        <v>0.55323105532310557</v>
      </c>
      <c r="AD244" s="8">
        <f t="shared" si="19"/>
        <v>-687</v>
      </c>
    </row>
    <row r="245" spans="1:30" ht="15" customHeight="1" x14ac:dyDescent="0.2">
      <c r="A245" s="7">
        <v>2022</v>
      </c>
      <c r="B245" s="7" t="s">
        <v>99</v>
      </c>
      <c r="C245" s="7" t="s">
        <v>87</v>
      </c>
      <c r="D245" s="7">
        <v>66</v>
      </c>
      <c r="E245" s="7" t="s">
        <v>33</v>
      </c>
      <c r="F245" s="7"/>
      <c r="G245" s="8"/>
      <c r="H245" s="8"/>
      <c r="I245" s="8"/>
      <c r="J245" s="7" t="s">
        <v>33</v>
      </c>
      <c r="K245" s="7" t="s">
        <v>33</v>
      </c>
      <c r="L245" s="8">
        <v>1488</v>
      </c>
      <c r="M245" s="8">
        <v>1045</v>
      </c>
      <c r="N245" s="8">
        <v>2533</v>
      </c>
      <c r="O245" s="7" t="s">
        <v>32</v>
      </c>
      <c r="P245" s="7" t="s">
        <v>33</v>
      </c>
      <c r="Q245" s="8">
        <v>1386</v>
      </c>
      <c r="R245" s="8">
        <v>1108</v>
      </c>
      <c r="S245" s="8">
        <v>2494</v>
      </c>
      <c r="T245" s="7" t="s">
        <v>33</v>
      </c>
      <c r="U245" s="7" t="s">
        <v>33</v>
      </c>
      <c r="V245" s="8">
        <v>1372</v>
      </c>
      <c r="W245" s="8">
        <v>1201</v>
      </c>
      <c r="X245" s="8">
        <v>2573</v>
      </c>
      <c r="Y245" s="9">
        <v>61.4</v>
      </c>
      <c r="Z245" s="10" t="str">
        <f t="shared" si="15"/>
        <v/>
      </c>
      <c r="AA245" s="10">
        <f t="shared" si="16"/>
        <v>0.58744571654165023</v>
      </c>
      <c r="AB245" s="10">
        <f t="shared" si="17"/>
        <v>0.55573376102646355</v>
      </c>
      <c r="AC245" s="10">
        <f t="shared" si="18"/>
        <v>0.53322969296541001</v>
      </c>
      <c r="AD245" s="8">
        <f t="shared" si="19"/>
        <v>-171</v>
      </c>
    </row>
    <row r="246" spans="1:30" ht="15" customHeight="1" x14ac:dyDescent="0.2">
      <c r="A246" s="7">
        <v>2022</v>
      </c>
      <c r="B246" s="7" t="s">
        <v>57</v>
      </c>
      <c r="C246" s="7" t="s">
        <v>87</v>
      </c>
      <c r="D246" s="7">
        <v>67</v>
      </c>
      <c r="E246" s="7" t="s">
        <v>33</v>
      </c>
      <c r="F246" s="7"/>
      <c r="G246" s="8"/>
      <c r="H246" s="8"/>
      <c r="I246" s="8"/>
      <c r="J246" s="7" t="s">
        <v>33</v>
      </c>
      <c r="K246" s="7" t="s">
        <v>32</v>
      </c>
      <c r="L246" s="8">
        <v>2014</v>
      </c>
      <c r="M246" s="8">
        <v>3012</v>
      </c>
      <c r="N246" s="8">
        <v>5026</v>
      </c>
      <c r="O246" s="7" t="s">
        <v>32</v>
      </c>
      <c r="P246" s="7" t="s">
        <v>32</v>
      </c>
      <c r="Q246" s="8">
        <v>1839</v>
      </c>
      <c r="R246" s="8">
        <v>3130</v>
      </c>
      <c r="S246" s="8">
        <v>4969</v>
      </c>
      <c r="T246" s="7" t="s">
        <v>33</v>
      </c>
      <c r="U246" s="7" t="s">
        <v>32</v>
      </c>
      <c r="V246" s="8">
        <v>1803</v>
      </c>
      <c r="W246" s="8">
        <v>3303</v>
      </c>
      <c r="X246" s="8">
        <v>5106</v>
      </c>
      <c r="Y246" s="9">
        <v>61.9</v>
      </c>
      <c r="Z246" s="10" t="str">
        <f t="shared" si="15"/>
        <v/>
      </c>
      <c r="AA246" s="10">
        <f t="shared" si="16"/>
        <v>0.40071627536808596</v>
      </c>
      <c r="AB246" s="10">
        <f t="shared" si="17"/>
        <v>0.37009458643590259</v>
      </c>
      <c r="AC246" s="10">
        <f t="shared" si="18"/>
        <v>0.35311398354876616</v>
      </c>
      <c r="AD246" s="8">
        <f t="shared" si="19"/>
        <v>1500</v>
      </c>
    </row>
    <row r="247" spans="1:30" ht="15" customHeight="1" x14ac:dyDescent="0.2">
      <c r="A247" s="7">
        <v>2022</v>
      </c>
      <c r="B247" s="7" t="s">
        <v>100</v>
      </c>
      <c r="C247" s="7" t="s">
        <v>87</v>
      </c>
      <c r="D247" s="7">
        <v>68</v>
      </c>
      <c r="E247" s="7" t="s">
        <v>33</v>
      </c>
      <c r="F247" s="7"/>
      <c r="G247" s="8"/>
      <c r="H247" s="8"/>
      <c r="I247" s="8"/>
      <c r="J247" s="7" t="s">
        <v>33</v>
      </c>
      <c r="K247" s="7" t="s">
        <v>32</v>
      </c>
      <c r="L247" s="8">
        <v>576</v>
      </c>
      <c r="M247" s="8">
        <v>806</v>
      </c>
      <c r="N247" s="8">
        <v>1382</v>
      </c>
      <c r="O247" s="7" t="s">
        <v>32</v>
      </c>
      <c r="P247" s="7" t="s">
        <v>32</v>
      </c>
      <c r="Q247" s="8">
        <v>537</v>
      </c>
      <c r="R247" s="8">
        <v>834</v>
      </c>
      <c r="S247" s="8">
        <v>1371</v>
      </c>
      <c r="T247" s="7" t="s">
        <v>33</v>
      </c>
      <c r="U247" s="7" t="s">
        <v>32</v>
      </c>
      <c r="V247" s="8">
        <v>511</v>
      </c>
      <c r="W247" s="8">
        <v>889</v>
      </c>
      <c r="X247" s="8">
        <v>1400</v>
      </c>
      <c r="Y247" s="9">
        <v>58.4</v>
      </c>
      <c r="Z247" s="10" t="str">
        <f t="shared" si="15"/>
        <v/>
      </c>
      <c r="AA247" s="10">
        <f t="shared" si="16"/>
        <v>0.41678726483357453</v>
      </c>
      <c r="AB247" s="10">
        <f t="shared" si="17"/>
        <v>0.39168490153172869</v>
      </c>
      <c r="AC247" s="10">
        <f t="shared" si="18"/>
        <v>0.36499999999999999</v>
      </c>
      <c r="AD247" s="8">
        <f t="shared" si="19"/>
        <v>378</v>
      </c>
    </row>
    <row r="248" spans="1:30" ht="15" customHeight="1" x14ac:dyDescent="0.2">
      <c r="A248" s="7">
        <v>2022</v>
      </c>
      <c r="B248" s="7" t="s">
        <v>101</v>
      </c>
      <c r="C248" s="7" t="s">
        <v>87</v>
      </c>
      <c r="D248" s="7">
        <v>69</v>
      </c>
      <c r="E248" s="7" t="s">
        <v>33</v>
      </c>
      <c r="F248" s="7"/>
      <c r="G248" s="8"/>
      <c r="H248" s="8"/>
      <c r="I248" s="8"/>
      <c r="J248" s="7" t="s">
        <v>33</v>
      </c>
      <c r="K248" s="7" t="s">
        <v>33</v>
      </c>
      <c r="L248" s="8">
        <v>1839</v>
      </c>
      <c r="M248" s="8">
        <v>1799</v>
      </c>
      <c r="N248" s="8">
        <v>3638</v>
      </c>
      <c r="O248" s="7" t="s">
        <v>32</v>
      </c>
      <c r="P248" s="7" t="s">
        <v>32</v>
      </c>
      <c r="Q248" s="8">
        <v>1603</v>
      </c>
      <c r="R248" s="8">
        <v>1998</v>
      </c>
      <c r="S248" s="8">
        <v>3601</v>
      </c>
      <c r="T248" s="7" t="s">
        <v>33</v>
      </c>
      <c r="U248" s="7" t="s">
        <v>32</v>
      </c>
      <c r="V248" s="8">
        <v>1632</v>
      </c>
      <c r="W248" s="8">
        <v>2067</v>
      </c>
      <c r="X248" s="8">
        <v>3699</v>
      </c>
      <c r="Y248" s="9">
        <v>70.5</v>
      </c>
      <c r="Z248" s="10" t="str">
        <f t="shared" si="15"/>
        <v/>
      </c>
      <c r="AA248" s="10">
        <f t="shared" si="16"/>
        <v>0.50549752611324905</v>
      </c>
      <c r="AB248" s="10">
        <f t="shared" si="17"/>
        <v>0.44515412385448488</v>
      </c>
      <c r="AC248" s="10">
        <f t="shared" si="18"/>
        <v>0.44120032441200324</v>
      </c>
      <c r="AD248" s="8">
        <f t="shared" si="19"/>
        <v>435</v>
      </c>
    </row>
    <row r="249" spans="1:30" ht="15" customHeight="1" x14ac:dyDescent="0.2">
      <c r="A249" s="7">
        <v>2022</v>
      </c>
      <c r="B249" s="7" t="s">
        <v>102</v>
      </c>
      <c r="C249" s="7" t="s">
        <v>87</v>
      </c>
      <c r="D249" s="7">
        <v>70</v>
      </c>
      <c r="E249" s="7" t="s">
        <v>33</v>
      </c>
      <c r="F249" s="7"/>
      <c r="G249" s="8"/>
      <c r="H249" s="8"/>
      <c r="I249" s="8"/>
      <c r="J249" s="7" t="s">
        <v>33</v>
      </c>
      <c r="K249" s="7" t="s">
        <v>33</v>
      </c>
      <c r="L249" s="8">
        <v>3246</v>
      </c>
      <c r="M249" s="8">
        <v>2593</v>
      </c>
      <c r="N249" s="8">
        <v>5839</v>
      </c>
      <c r="O249" s="7" t="s">
        <v>32</v>
      </c>
      <c r="P249" s="7" t="s">
        <v>32</v>
      </c>
      <c r="Q249" s="8">
        <v>2891</v>
      </c>
      <c r="R249" s="8">
        <v>2899</v>
      </c>
      <c r="S249" s="8">
        <v>5790</v>
      </c>
      <c r="T249" s="7" t="s">
        <v>33</v>
      </c>
      <c r="U249" s="7" t="s">
        <v>32</v>
      </c>
      <c r="V249" s="8">
        <v>2919</v>
      </c>
      <c r="W249" s="8">
        <v>3008</v>
      </c>
      <c r="X249" s="8">
        <v>5927</v>
      </c>
      <c r="Y249" s="9">
        <v>68.2</v>
      </c>
      <c r="Z249" s="10" t="str">
        <f t="shared" si="15"/>
        <v/>
      </c>
      <c r="AA249" s="10">
        <f t="shared" si="16"/>
        <v>0.55591710909402292</v>
      </c>
      <c r="AB249" s="10">
        <f t="shared" si="17"/>
        <v>0.49930915371329881</v>
      </c>
      <c r="AC249" s="10">
        <f t="shared" si="18"/>
        <v>0.49249198582756876</v>
      </c>
      <c r="AD249" s="8">
        <f t="shared" si="19"/>
        <v>89</v>
      </c>
    </row>
    <row r="250" spans="1:30" ht="15" customHeight="1" x14ac:dyDescent="0.2">
      <c r="A250" s="7">
        <v>2022</v>
      </c>
      <c r="B250" s="7" t="s">
        <v>103</v>
      </c>
      <c r="C250" s="7" t="s">
        <v>87</v>
      </c>
      <c r="D250" s="7">
        <v>71</v>
      </c>
      <c r="E250" s="7" t="s">
        <v>33</v>
      </c>
      <c r="F250" s="7"/>
      <c r="G250" s="8"/>
      <c r="H250" s="8"/>
      <c r="I250" s="8"/>
      <c r="J250" s="7" t="s">
        <v>33</v>
      </c>
      <c r="K250" s="7" t="s">
        <v>32</v>
      </c>
      <c r="L250" s="8">
        <v>1888</v>
      </c>
      <c r="M250" s="8">
        <v>2797</v>
      </c>
      <c r="N250" s="8">
        <v>4685</v>
      </c>
      <c r="O250" s="7" t="s">
        <v>32</v>
      </c>
      <c r="P250" s="7" t="s">
        <v>32</v>
      </c>
      <c r="Q250" s="8">
        <v>1693</v>
      </c>
      <c r="R250" s="8">
        <v>2945</v>
      </c>
      <c r="S250" s="8">
        <v>4638</v>
      </c>
      <c r="T250" s="7" t="s">
        <v>33</v>
      </c>
      <c r="U250" s="7" t="s">
        <v>32</v>
      </c>
      <c r="V250" s="8">
        <v>1661</v>
      </c>
      <c r="W250" s="8">
        <v>3091</v>
      </c>
      <c r="X250" s="8">
        <v>4752</v>
      </c>
      <c r="Y250" s="9">
        <v>64.8</v>
      </c>
      <c r="Z250" s="10" t="str">
        <f t="shared" si="15"/>
        <v/>
      </c>
      <c r="AA250" s="10">
        <f t="shared" si="16"/>
        <v>0.40298826040554964</v>
      </c>
      <c r="AB250" s="10">
        <f t="shared" si="17"/>
        <v>0.36502802932298406</v>
      </c>
      <c r="AC250" s="10">
        <f t="shared" si="18"/>
        <v>0.34953703703703703</v>
      </c>
      <c r="AD250" s="8">
        <f t="shared" si="19"/>
        <v>1430</v>
      </c>
    </row>
    <row r="251" spans="1:30" ht="15" customHeight="1" x14ac:dyDescent="0.2">
      <c r="A251" s="7">
        <v>2022</v>
      </c>
      <c r="B251" s="7" t="s">
        <v>104</v>
      </c>
      <c r="C251" s="7" t="s">
        <v>87</v>
      </c>
      <c r="D251" s="7">
        <v>72</v>
      </c>
      <c r="E251" s="7" t="s">
        <v>33</v>
      </c>
      <c r="F251" s="7"/>
      <c r="G251" s="8"/>
      <c r="H251" s="8"/>
      <c r="I251" s="8"/>
      <c r="J251" s="7" t="s">
        <v>33</v>
      </c>
      <c r="K251" s="7" t="s">
        <v>33</v>
      </c>
      <c r="L251" s="8">
        <v>1393</v>
      </c>
      <c r="M251" s="8">
        <v>1014</v>
      </c>
      <c r="N251" s="8">
        <v>2407</v>
      </c>
      <c r="O251" s="7" t="s">
        <v>32</v>
      </c>
      <c r="P251" s="7" t="s">
        <v>33</v>
      </c>
      <c r="Q251" s="8">
        <v>1280</v>
      </c>
      <c r="R251" s="8">
        <v>1115</v>
      </c>
      <c r="S251" s="8">
        <v>2395</v>
      </c>
      <c r="T251" s="7" t="s">
        <v>33</v>
      </c>
      <c r="U251" s="7" t="s">
        <v>33</v>
      </c>
      <c r="V251" s="8">
        <v>1272</v>
      </c>
      <c r="W251" s="8">
        <v>1188</v>
      </c>
      <c r="X251" s="8">
        <v>2460</v>
      </c>
      <c r="Y251" s="9">
        <v>59.2</v>
      </c>
      <c r="Z251" s="10" t="str">
        <f t="shared" si="15"/>
        <v/>
      </c>
      <c r="AA251" s="10">
        <f t="shared" si="16"/>
        <v>0.57872870793518905</v>
      </c>
      <c r="AB251" s="10">
        <f t="shared" si="17"/>
        <v>0.53444676409185798</v>
      </c>
      <c r="AC251" s="10">
        <f t="shared" si="18"/>
        <v>0.51707317073170733</v>
      </c>
      <c r="AD251" s="8">
        <f t="shared" si="19"/>
        <v>-84</v>
      </c>
    </row>
    <row r="252" spans="1:30" ht="15" customHeight="1" x14ac:dyDescent="0.2">
      <c r="A252" s="7">
        <v>2022</v>
      </c>
      <c r="B252" s="7" t="s">
        <v>105</v>
      </c>
      <c r="C252" s="7" t="s">
        <v>87</v>
      </c>
      <c r="D252" s="7">
        <v>73</v>
      </c>
      <c r="E252" s="7" t="s">
        <v>33</v>
      </c>
      <c r="F252" s="7"/>
      <c r="G252" s="8"/>
      <c r="H252" s="8"/>
      <c r="I252" s="8"/>
      <c r="J252" s="7" t="s">
        <v>33</v>
      </c>
      <c r="K252" s="7" t="s">
        <v>33</v>
      </c>
      <c r="L252" s="8">
        <v>701</v>
      </c>
      <c r="M252" s="8">
        <v>550</v>
      </c>
      <c r="N252" s="8">
        <v>1251</v>
      </c>
      <c r="O252" s="7" t="s">
        <v>32</v>
      </c>
      <c r="P252" s="7" t="s">
        <v>33</v>
      </c>
      <c r="Q252" s="8">
        <v>657</v>
      </c>
      <c r="R252" s="8">
        <v>584</v>
      </c>
      <c r="S252" s="8">
        <v>1241</v>
      </c>
      <c r="T252" s="7" t="s">
        <v>33</v>
      </c>
      <c r="U252" s="7" t="s">
        <v>33</v>
      </c>
      <c r="V252" s="8">
        <v>644</v>
      </c>
      <c r="W252" s="8">
        <v>634</v>
      </c>
      <c r="X252" s="8">
        <v>1278</v>
      </c>
      <c r="Y252" s="9">
        <v>54.7</v>
      </c>
      <c r="Z252" s="10" t="str">
        <f t="shared" si="15"/>
        <v/>
      </c>
      <c r="AA252" s="10">
        <f t="shared" si="16"/>
        <v>0.56035171862509991</v>
      </c>
      <c r="AB252" s="10">
        <f t="shared" si="17"/>
        <v>0.52941176470588236</v>
      </c>
      <c r="AC252" s="10">
        <f t="shared" si="18"/>
        <v>0.50391236306729259</v>
      </c>
      <c r="AD252" s="8">
        <f t="shared" si="19"/>
        <v>-10</v>
      </c>
    </row>
    <row r="253" spans="1:30" ht="15" customHeight="1" x14ac:dyDescent="0.2">
      <c r="A253" s="7">
        <v>2022</v>
      </c>
      <c r="B253" s="7" t="s">
        <v>87</v>
      </c>
      <c r="C253" s="7" t="s">
        <v>87</v>
      </c>
      <c r="D253" s="7">
        <v>74</v>
      </c>
      <c r="E253" s="7" t="s">
        <v>33</v>
      </c>
      <c r="F253" s="7"/>
      <c r="G253" s="8"/>
      <c r="H253" s="8"/>
      <c r="I253" s="8"/>
      <c r="J253" s="7" t="s">
        <v>33</v>
      </c>
      <c r="K253" s="7" t="s">
        <v>33</v>
      </c>
      <c r="L253" s="8">
        <v>2116</v>
      </c>
      <c r="M253" s="8">
        <v>1748</v>
      </c>
      <c r="N253" s="8">
        <v>3864</v>
      </c>
      <c r="O253" s="7" t="s">
        <v>32</v>
      </c>
      <c r="P253" s="7" t="s">
        <v>33</v>
      </c>
      <c r="Q253" s="8">
        <v>1969</v>
      </c>
      <c r="R253" s="8">
        <v>1861</v>
      </c>
      <c r="S253" s="8">
        <v>3830</v>
      </c>
      <c r="T253" s="7" t="s">
        <v>33</v>
      </c>
      <c r="U253" s="7" t="s">
        <v>32</v>
      </c>
      <c r="V253" s="8">
        <v>1957</v>
      </c>
      <c r="W253" s="8">
        <v>1970</v>
      </c>
      <c r="X253" s="8">
        <v>3927</v>
      </c>
      <c r="Y253" s="9">
        <v>56.2</v>
      </c>
      <c r="Z253" s="10" t="str">
        <f t="shared" si="15"/>
        <v/>
      </c>
      <c r="AA253" s="10">
        <f t="shared" si="16"/>
        <v>0.54761904761904767</v>
      </c>
      <c r="AB253" s="10">
        <f t="shared" si="17"/>
        <v>0.51409921671018277</v>
      </c>
      <c r="AC253" s="10">
        <f t="shared" si="18"/>
        <v>0.49834479246243951</v>
      </c>
      <c r="AD253" s="8">
        <f t="shared" si="19"/>
        <v>13</v>
      </c>
    </row>
    <row r="254" spans="1:30" ht="15" customHeight="1" x14ac:dyDescent="0.2">
      <c r="A254" s="7">
        <v>2022</v>
      </c>
      <c r="B254" s="7" t="s">
        <v>106</v>
      </c>
      <c r="C254" s="7" t="s">
        <v>87</v>
      </c>
      <c r="D254" s="7">
        <v>75</v>
      </c>
      <c r="E254" s="7" t="s">
        <v>33</v>
      </c>
      <c r="F254" s="7"/>
      <c r="G254" s="8"/>
      <c r="H254" s="8"/>
      <c r="I254" s="8"/>
      <c r="J254" s="7" t="s">
        <v>33</v>
      </c>
      <c r="K254" s="7" t="s">
        <v>33</v>
      </c>
      <c r="L254" s="8">
        <v>5873</v>
      </c>
      <c r="M254" s="8">
        <v>4290</v>
      </c>
      <c r="N254" s="8">
        <v>10163</v>
      </c>
      <c r="O254" s="7" t="s">
        <v>32</v>
      </c>
      <c r="P254" s="7" t="s">
        <v>33</v>
      </c>
      <c r="Q254" s="8">
        <v>5358</v>
      </c>
      <c r="R254" s="8">
        <v>4749</v>
      </c>
      <c r="S254" s="8">
        <v>10107</v>
      </c>
      <c r="T254" s="7" t="s">
        <v>33</v>
      </c>
      <c r="U254" s="7" t="s">
        <v>33</v>
      </c>
      <c r="V254" s="8">
        <v>5403</v>
      </c>
      <c r="W254" s="8">
        <v>4910</v>
      </c>
      <c r="X254" s="8">
        <v>10313</v>
      </c>
      <c r="Y254" s="9">
        <v>60.1</v>
      </c>
      <c r="Z254" s="10" t="str">
        <f t="shared" si="15"/>
        <v/>
      </c>
      <c r="AA254" s="10">
        <f t="shared" si="16"/>
        <v>0.57788054708255432</v>
      </c>
      <c r="AB254" s="10">
        <f t="shared" si="17"/>
        <v>0.53012763431285248</v>
      </c>
      <c r="AC254" s="10">
        <f t="shared" si="18"/>
        <v>0.5239018714244158</v>
      </c>
      <c r="AD254" s="8">
        <f t="shared" si="19"/>
        <v>-493</v>
      </c>
    </row>
    <row r="255" spans="1:30" ht="15" customHeight="1" x14ac:dyDescent="0.2">
      <c r="A255" s="7">
        <v>2022</v>
      </c>
      <c r="B255" s="7" t="s">
        <v>107</v>
      </c>
      <c r="C255" s="7" t="s">
        <v>87</v>
      </c>
      <c r="D255" s="7">
        <v>76</v>
      </c>
      <c r="E255" s="7" t="s">
        <v>33</v>
      </c>
      <c r="F255" s="7"/>
      <c r="G255" s="8"/>
      <c r="H255" s="8"/>
      <c r="I255" s="8"/>
      <c r="J255" s="7" t="s">
        <v>33</v>
      </c>
      <c r="K255" s="7" t="s">
        <v>32</v>
      </c>
      <c r="L255" s="8">
        <v>579</v>
      </c>
      <c r="M255" s="8">
        <v>683</v>
      </c>
      <c r="N255" s="8">
        <v>1262</v>
      </c>
      <c r="O255" s="7" t="s">
        <v>32</v>
      </c>
      <c r="P255" s="7" t="s">
        <v>32</v>
      </c>
      <c r="Q255" s="8">
        <v>510</v>
      </c>
      <c r="R255" s="8">
        <v>733</v>
      </c>
      <c r="S255" s="8">
        <v>1243</v>
      </c>
      <c r="T255" s="7" t="s">
        <v>33</v>
      </c>
      <c r="U255" s="7" t="s">
        <v>32</v>
      </c>
      <c r="V255" s="8">
        <v>511</v>
      </c>
      <c r="W255" s="8">
        <v>778</v>
      </c>
      <c r="X255" s="8">
        <v>1289</v>
      </c>
      <c r="Y255" s="9">
        <v>53.4</v>
      </c>
      <c r="Z255" s="10" t="str">
        <f t="shared" si="15"/>
        <v/>
      </c>
      <c r="AA255" s="10">
        <f t="shared" si="16"/>
        <v>0.45879556259904913</v>
      </c>
      <c r="AB255" s="10">
        <f t="shared" si="17"/>
        <v>0.4102976669348351</v>
      </c>
      <c r="AC255" s="10">
        <f t="shared" si="18"/>
        <v>0.39643134212567882</v>
      </c>
      <c r="AD255" s="8">
        <f t="shared" si="19"/>
        <v>267</v>
      </c>
    </row>
    <row r="256" spans="1:30" ht="15" customHeight="1" x14ac:dyDescent="0.2">
      <c r="A256" s="7">
        <v>2022</v>
      </c>
      <c r="B256" s="7" t="s">
        <v>108</v>
      </c>
      <c r="C256" s="7" t="s">
        <v>87</v>
      </c>
      <c r="D256" s="7">
        <v>77</v>
      </c>
      <c r="E256" s="7" t="s">
        <v>33</v>
      </c>
      <c r="F256" s="7"/>
      <c r="G256" s="8"/>
      <c r="H256" s="8"/>
      <c r="I256" s="8"/>
      <c r="J256" s="7" t="s">
        <v>33</v>
      </c>
      <c r="K256" s="7" t="s">
        <v>32</v>
      </c>
      <c r="L256" s="8">
        <v>1227</v>
      </c>
      <c r="M256" s="8">
        <v>1787</v>
      </c>
      <c r="N256" s="8">
        <v>3014</v>
      </c>
      <c r="O256" s="7" t="s">
        <v>32</v>
      </c>
      <c r="P256" s="7" t="s">
        <v>32</v>
      </c>
      <c r="Q256" s="8">
        <v>1078</v>
      </c>
      <c r="R256" s="8">
        <v>1905</v>
      </c>
      <c r="S256" s="8">
        <v>2983</v>
      </c>
      <c r="T256" s="7" t="s">
        <v>33</v>
      </c>
      <c r="U256" s="7" t="s">
        <v>32</v>
      </c>
      <c r="V256" s="8">
        <v>1076</v>
      </c>
      <c r="W256" s="8">
        <v>1998</v>
      </c>
      <c r="X256" s="8">
        <v>3074</v>
      </c>
      <c r="Y256" s="9">
        <v>59.4</v>
      </c>
      <c r="Z256" s="10" t="str">
        <f t="shared" si="15"/>
        <v/>
      </c>
      <c r="AA256" s="10">
        <f t="shared" si="16"/>
        <v>0.40710019907100198</v>
      </c>
      <c r="AB256" s="10">
        <f t="shared" si="17"/>
        <v>0.36138115990613479</v>
      </c>
      <c r="AC256" s="10">
        <f t="shared" si="18"/>
        <v>0.35003253090435915</v>
      </c>
      <c r="AD256" s="8">
        <f t="shared" si="19"/>
        <v>922</v>
      </c>
    </row>
    <row r="257" spans="1:30" ht="15" customHeight="1" x14ac:dyDescent="0.2">
      <c r="A257" s="7">
        <v>2022</v>
      </c>
      <c r="B257" s="7" t="s">
        <v>109</v>
      </c>
      <c r="C257" s="7" t="s">
        <v>87</v>
      </c>
      <c r="D257" s="7">
        <v>78</v>
      </c>
      <c r="E257" s="7" t="s">
        <v>33</v>
      </c>
      <c r="F257" s="7"/>
      <c r="G257" s="8"/>
      <c r="H257" s="8"/>
      <c r="I257" s="8"/>
      <c r="J257" s="7" t="s">
        <v>33</v>
      </c>
      <c r="K257" s="7" t="s">
        <v>32</v>
      </c>
      <c r="L257" s="8">
        <v>73</v>
      </c>
      <c r="M257" s="8">
        <v>118</v>
      </c>
      <c r="N257" s="8">
        <v>191</v>
      </c>
      <c r="O257" s="7" t="s">
        <v>32</v>
      </c>
      <c r="P257" s="7" t="s">
        <v>32</v>
      </c>
      <c r="Q257" s="8">
        <v>67</v>
      </c>
      <c r="R257" s="8">
        <v>117</v>
      </c>
      <c r="S257" s="8">
        <v>184</v>
      </c>
      <c r="T257" s="7" t="s">
        <v>33</v>
      </c>
      <c r="U257" s="7" t="s">
        <v>32</v>
      </c>
      <c r="V257" s="8">
        <v>65</v>
      </c>
      <c r="W257" s="8">
        <v>129</v>
      </c>
      <c r="X257" s="8">
        <v>194</v>
      </c>
      <c r="Y257" s="9">
        <v>49.8</v>
      </c>
      <c r="Z257" s="10" t="str">
        <f t="shared" si="15"/>
        <v/>
      </c>
      <c r="AA257" s="10">
        <f t="shared" si="16"/>
        <v>0.38219895287958117</v>
      </c>
      <c r="AB257" s="10">
        <f t="shared" si="17"/>
        <v>0.3641304347826087</v>
      </c>
      <c r="AC257" s="10">
        <f t="shared" si="18"/>
        <v>0.33505154639175255</v>
      </c>
      <c r="AD257" s="8">
        <f t="shared" si="19"/>
        <v>64</v>
      </c>
    </row>
    <row r="258" spans="1:30" ht="15" customHeight="1" x14ac:dyDescent="0.2">
      <c r="A258" s="7">
        <v>2022</v>
      </c>
      <c r="B258" s="7" t="s">
        <v>110</v>
      </c>
      <c r="C258" s="7" t="s">
        <v>87</v>
      </c>
      <c r="D258" s="7">
        <v>79</v>
      </c>
      <c r="E258" s="7" t="s">
        <v>33</v>
      </c>
      <c r="F258" s="7"/>
      <c r="G258" s="8"/>
      <c r="H258" s="8"/>
      <c r="I258" s="8"/>
      <c r="J258" s="7" t="s">
        <v>33</v>
      </c>
      <c r="K258" s="7" t="s">
        <v>32</v>
      </c>
      <c r="L258" s="8">
        <v>291</v>
      </c>
      <c r="M258" s="8">
        <v>367</v>
      </c>
      <c r="N258" s="8">
        <v>658</v>
      </c>
      <c r="O258" s="7" t="s">
        <v>32</v>
      </c>
      <c r="P258" s="7" t="s">
        <v>32</v>
      </c>
      <c r="Q258" s="8">
        <v>268</v>
      </c>
      <c r="R258" s="8">
        <v>380</v>
      </c>
      <c r="S258" s="8">
        <v>648</v>
      </c>
      <c r="T258" s="7" t="s">
        <v>33</v>
      </c>
      <c r="U258" s="7" t="s">
        <v>32</v>
      </c>
      <c r="V258" s="8">
        <v>258</v>
      </c>
      <c r="W258" s="8">
        <v>418</v>
      </c>
      <c r="X258" s="8">
        <v>676</v>
      </c>
      <c r="Y258" s="9">
        <v>55.1</v>
      </c>
      <c r="Z258" s="10" t="str">
        <f t="shared" ref="Z258:Z321" si="20">IFERROR(G258/(G258+H258),"")</f>
        <v/>
      </c>
      <c r="AA258" s="10">
        <f t="shared" ref="AA258:AA321" si="21">IFERROR(L258/(L258+M258),"")</f>
        <v>0.44224924012158057</v>
      </c>
      <c r="AB258" s="10">
        <f t="shared" ref="AB258:AB321" si="22">IFERROR(Q258/(Q258+R258),"")</f>
        <v>0.41358024691358025</v>
      </c>
      <c r="AC258" s="10">
        <f t="shared" ref="AC258:AC321" si="23">IFERROR(V258/(V258+W258),"")</f>
        <v>0.38165680473372782</v>
      </c>
      <c r="AD258" s="8">
        <f t="shared" ref="AD258:AD321" si="24">W258-V258</f>
        <v>160</v>
      </c>
    </row>
    <row r="259" spans="1:30" ht="15" customHeight="1" x14ac:dyDescent="0.2">
      <c r="A259" s="7">
        <v>2022</v>
      </c>
      <c r="B259" s="7" t="s">
        <v>111</v>
      </c>
      <c r="C259" s="7" t="s">
        <v>87</v>
      </c>
      <c r="D259" s="7">
        <v>80</v>
      </c>
      <c r="E259" s="7" t="s">
        <v>33</v>
      </c>
      <c r="F259" s="7"/>
      <c r="G259" s="8"/>
      <c r="H259" s="8"/>
      <c r="I259" s="8"/>
      <c r="J259" s="7" t="s">
        <v>33</v>
      </c>
      <c r="K259" s="7" t="s">
        <v>32</v>
      </c>
      <c r="L259" s="8">
        <v>181</v>
      </c>
      <c r="M259" s="8">
        <v>200</v>
      </c>
      <c r="N259" s="8">
        <v>381</v>
      </c>
      <c r="O259" s="7" t="s">
        <v>32</v>
      </c>
      <c r="P259" s="7" t="s">
        <v>32</v>
      </c>
      <c r="Q259" s="8">
        <v>169</v>
      </c>
      <c r="R259" s="8">
        <v>211</v>
      </c>
      <c r="S259" s="8">
        <v>380</v>
      </c>
      <c r="T259" s="7" t="s">
        <v>33</v>
      </c>
      <c r="U259" s="7" t="s">
        <v>32</v>
      </c>
      <c r="V259" s="8">
        <v>160</v>
      </c>
      <c r="W259" s="8">
        <v>227</v>
      </c>
      <c r="X259" s="8">
        <v>387</v>
      </c>
      <c r="Y259" s="9">
        <v>56.5</v>
      </c>
      <c r="Z259" s="10" t="str">
        <f t="shared" si="20"/>
        <v/>
      </c>
      <c r="AA259" s="10">
        <f t="shared" si="21"/>
        <v>0.47506561679790027</v>
      </c>
      <c r="AB259" s="10">
        <f t="shared" si="22"/>
        <v>0.44473684210526315</v>
      </c>
      <c r="AC259" s="10">
        <f t="shared" si="23"/>
        <v>0.41343669250645992</v>
      </c>
      <c r="AD259" s="8">
        <f t="shared" si="24"/>
        <v>67</v>
      </c>
    </row>
    <row r="260" spans="1:30" ht="15" customHeight="1" x14ac:dyDescent="0.2">
      <c r="A260" s="7">
        <v>2022</v>
      </c>
      <c r="B260" s="7" t="s">
        <v>112</v>
      </c>
      <c r="C260" s="7" t="s">
        <v>87</v>
      </c>
      <c r="D260" s="7">
        <v>81</v>
      </c>
      <c r="E260" s="7" t="s">
        <v>33</v>
      </c>
      <c r="F260" s="7"/>
      <c r="G260" s="8"/>
      <c r="H260" s="8"/>
      <c r="I260" s="8"/>
      <c r="J260" s="7" t="s">
        <v>33</v>
      </c>
      <c r="K260" s="7" t="s">
        <v>33</v>
      </c>
      <c r="L260" s="8">
        <v>279</v>
      </c>
      <c r="M260" s="8">
        <v>275</v>
      </c>
      <c r="N260" s="8">
        <v>554</v>
      </c>
      <c r="O260" s="7" t="s">
        <v>32</v>
      </c>
      <c r="P260" s="7" t="s">
        <v>32</v>
      </c>
      <c r="Q260" s="8">
        <v>244</v>
      </c>
      <c r="R260" s="8">
        <v>303</v>
      </c>
      <c r="S260" s="8">
        <v>547</v>
      </c>
      <c r="T260" s="7" t="s">
        <v>33</v>
      </c>
      <c r="U260" s="7" t="s">
        <v>32</v>
      </c>
      <c r="V260" s="8">
        <v>243</v>
      </c>
      <c r="W260" s="8">
        <v>318</v>
      </c>
      <c r="X260" s="8">
        <v>561</v>
      </c>
      <c r="Y260" s="9">
        <v>63.2</v>
      </c>
      <c r="Z260" s="10" t="str">
        <f t="shared" si="20"/>
        <v/>
      </c>
      <c r="AA260" s="10">
        <f t="shared" si="21"/>
        <v>0.50361010830324915</v>
      </c>
      <c r="AB260" s="10">
        <f t="shared" si="22"/>
        <v>0.44606946983546619</v>
      </c>
      <c r="AC260" s="10">
        <f t="shared" si="23"/>
        <v>0.43315508021390375</v>
      </c>
      <c r="AD260" s="8">
        <f t="shared" si="24"/>
        <v>75</v>
      </c>
    </row>
    <row r="261" spans="1:30" ht="15" customHeight="1" x14ac:dyDescent="0.2">
      <c r="A261" s="7">
        <v>2022</v>
      </c>
      <c r="B261" s="7" t="s">
        <v>113</v>
      </c>
      <c r="C261" s="7" t="s">
        <v>87</v>
      </c>
      <c r="D261" s="7">
        <v>82</v>
      </c>
      <c r="E261" s="7" t="s">
        <v>33</v>
      </c>
      <c r="F261" s="7"/>
      <c r="G261" s="8"/>
      <c r="H261" s="8"/>
      <c r="I261" s="8"/>
      <c r="J261" s="7" t="s">
        <v>33</v>
      </c>
      <c r="K261" s="7" t="s">
        <v>32</v>
      </c>
      <c r="L261" s="8">
        <v>1162</v>
      </c>
      <c r="M261" s="8">
        <v>1912</v>
      </c>
      <c r="N261" s="8">
        <v>3074</v>
      </c>
      <c r="O261" s="7" t="s">
        <v>32</v>
      </c>
      <c r="P261" s="7" t="s">
        <v>32</v>
      </c>
      <c r="Q261" s="8">
        <v>1028</v>
      </c>
      <c r="R261" s="8">
        <v>1999</v>
      </c>
      <c r="S261" s="8">
        <v>3027</v>
      </c>
      <c r="T261" s="7" t="s">
        <v>33</v>
      </c>
      <c r="U261" s="7" t="s">
        <v>32</v>
      </c>
      <c r="V261" s="8">
        <v>1030</v>
      </c>
      <c r="W261" s="8">
        <v>2095</v>
      </c>
      <c r="X261" s="8">
        <v>3125</v>
      </c>
      <c r="Y261" s="9">
        <v>57.2</v>
      </c>
      <c r="Z261" s="10" t="str">
        <f t="shared" si="20"/>
        <v/>
      </c>
      <c r="AA261" s="10">
        <f t="shared" si="21"/>
        <v>0.37800910865322057</v>
      </c>
      <c r="AB261" s="10">
        <f t="shared" si="22"/>
        <v>0.33961017509084901</v>
      </c>
      <c r="AC261" s="10">
        <f t="shared" si="23"/>
        <v>0.3296</v>
      </c>
      <c r="AD261" s="8">
        <f t="shared" si="24"/>
        <v>1065</v>
      </c>
    </row>
    <row r="262" spans="1:30" ht="15" customHeight="1" x14ac:dyDescent="0.2">
      <c r="A262" s="7">
        <v>2022</v>
      </c>
      <c r="B262" s="7" t="s">
        <v>114</v>
      </c>
      <c r="C262" s="7" t="s">
        <v>87</v>
      </c>
      <c r="D262" s="7">
        <v>83</v>
      </c>
      <c r="E262" s="7" t="s">
        <v>33</v>
      </c>
      <c r="F262" s="7"/>
      <c r="G262" s="8"/>
      <c r="H262" s="8"/>
      <c r="I262" s="8"/>
      <c r="J262" s="7" t="s">
        <v>33</v>
      </c>
      <c r="K262" s="7" t="s">
        <v>33</v>
      </c>
      <c r="L262" s="8">
        <v>1742</v>
      </c>
      <c r="M262" s="8">
        <v>1355</v>
      </c>
      <c r="N262" s="8">
        <v>3097</v>
      </c>
      <c r="O262" s="7" t="s">
        <v>32</v>
      </c>
      <c r="P262" s="7" t="s">
        <v>33</v>
      </c>
      <c r="Q262" s="8">
        <v>1557</v>
      </c>
      <c r="R262" s="8">
        <v>1517</v>
      </c>
      <c r="S262" s="8">
        <v>3074</v>
      </c>
      <c r="T262" s="7" t="s">
        <v>33</v>
      </c>
      <c r="U262" s="7" t="s">
        <v>32</v>
      </c>
      <c r="V262" s="8">
        <v>1575</v>
      </c>
      <c r="W262" s="8">
        <v>1588</v>
      </c>
      <c r="X262" s="8">
        <v>3163</v>
      </c>
      <c r="Y262" s="9">
        <v>66.099999999999994</v>
      </c>
      <c r="Z262" s="10" t="str">
        <f t="shared" si="20"/>
        <v/>
      </c>
      <c r="AA262" s="10">
        <f t="shared" si="21"/>
        <v>0.56247981917985146</v>
      </c>
      <c r="AB262" s="10">
        <f t="shared" si="22"/>
        <v>0.50650618087182819</v>
      </c>
      <c r="AC262" s="10">
        <f t="shared" si="23"/>
        <v>0.4979449889345558</v>
      </c>
      <c r="AD262" s="8">
        <f t="shared" si="24"/>
        <v>13</v>
      </c>
    </row>
    <row r="263" spans="1:30" ht="15" customHeight="1" x14ac:dyDescent="0.2">
      <c r="A263" s="7">
        <v>2022</v>
      </c>
      <c r="B263" s="7" t="s">
        <v>115</v>
      </c>
      <c r="C263" s="7" t="s">
        <v>87</v>
      </c>
      <c r="D263" s="7">
        <v>84</v>
      </c>
      <c r="E263" s="7" t="s">
        <v>33</v>
      </c>
      <c r="F263" s="7"/>
      <c r="G263" s="8"/>
      <c r="H263" s="8"/>
      <c r="I263" s="8"/>
      <c r="J263" s="7" t="s">
        <v>33</v>
      </c>
      <c r="K263" s="7" t="s">
        <v>33</v>
      </c>
      <c r="L263" s="8">
        <v>350</v>
      </c>
      <c r="M263" s="8">
        <v>349</v>
      </c>
      <c r="N263" s="8">
        <v>699</v>
      </c>
      <c r="O263" s="7" t="s">
        <v>32</v>
      </c>
      <c r="P263" s="7" t="s">
        <v>32</v>
      </c>
      <c r="Q263" s="8">
        <v>320</v>
      </c>
      <c r="R263" s="8">
        <v>365</v>
      </c>
      <c r="S263" s="8">
        <v>685</v>
      </c>
      <c r="T263" s="7" t="s">
        <v>33</v>
      </c>
      <c r="U263" s="7" t="s">
        <v>32</v>
      </c>
      <c r="V263" s="8">
        <v>305</v>
      </c>
      <c r="W263" s="8">
        <v>419</v>
      </c>
      <c r="X263" s="8">
        <v>724</v>
      </c>
      <c r="Y263" s="9">
        <v>50.4</v>
      </c>
      <c r="Z263" s="10" t="str">
        <f t="shared" si="20"/>
        <v/>
      </c>
      <c r="AA263" s="10">
        <f t="shared" si="21"/>
        <v>0.50071530758226035</v>
      </c>
      <c r="AB263" s="10">
        <f t="shared" si="22"/>
        <v>0.46715328467153283</v>
      </c>
      <c r="AC263" s="10">
        <f t="shared" si="23"/>
        <v>0.42127071823204421</v>
      </c>
      <c r="AD263" s="8">
        <f t="shared" si="24"/>
        <v>114</v>
      </c>
    </row>
    <row r="264" spans="1:30" ht="15" customHeight="1" x14ac:dyDescent="0.2">
      <c r="A264" s="7">
        <v>2022</v>
      </c>
      <c r="B264" s="7" t="s">
        <v>79</v>
      </c>
      <c r="C264" s="7" t="s">
        <v>87</v>
      </c>
      <c r="D264" s="7">
        <v>85</v>
      </c>
      <c r="E264" s="7" t="s">
        <v>33</v>
      </c>
      <c r="F264" s="7"/>
      <c r="G264" s="8"/>
      <c r="H264" s="8"/>
      <c r="I264" s="8"/>
      <c r="J264" s="7" t="s">
        <v>33</v>
      </c>
      <c r="K264" s="7" t="s">
        <v>32</v>
      </c>
      <c r="L264" s="8">
        <v>967</v>
      </c>
      <c r="M264" s="8">
        <v>1367</v>
      </c>
      <c r="N264" s="8">
        <v>2334</v>
      </c>
      <c r="O264" s="7" t="s">
        <v>32</v>
      </c>
      <c r="P264" s="7" t="s">
        <v>32</v>
      </c>
      <c r="Q264" s="8">
        <v>856</v>
      </c>
      <c r="R264" s="8">
        <v>1468</v>
      </c>
      <c r="S264" s="8">
        <v>2324</v>
      </c>
      <c r="T264" s="7" t="s">
        <v>33</v>
      </c>
      <c r="U264" s="7" t="s">
        <v>32</v>
      </c>
      <c r="V264" s="8">
        <v>840</v>
      </c>
      <c r="W264" s="8">
        <v>1533</v>
      </c>
      <c r="X264" s="8">
        <v>2373</v>
      </c>
      <c r="Y264" s="9">
        <v>61.2</v>
      </c>
      <c r="Z264" s="10" t="str">
        <f t="shared" si="20"/>
        <v/>
      </c>
      <c r="AA264" s="10">
        <f t="shared" si="21"/>
        <v>0.41431019708654671</v>
      </c>
      <c r="AB264" s="10">
        <f t="shared" si="22"/>
        <v>0.36833046471600689</v>
      </c>
      <c r="AC264" s="10">
        <f t="shared" si="23"/>
        <v>0.35398230088495575</v>
      </c>
      <c r="AD264" s="8">
        <f t="shared" si="24"/>
        <v>693</v>
      </c>
    </row>
    <row r="265" spans="1:30" ht="15" customHeight="1" x14ac:dyDescent="0.2">
      <c r="A265" s="7">
        <v>2022</v>
      </c>
      <c r="B265" s="7" t="s">
        <v>117</v>
      </c>
      <c r="C265" s="7" t="s">
        <v>87</v>
      </c>
      <c r="D265" s="7">
        <v>86</v>
      </c>
      <c r="E265" s="7" t="s">
        <v>33</v>
      </c>
      <c r="F265" s="7"/>
      <c r="G265" s="8"/>
      <c r="H265" s="8"/>
      <c r="I265" s="8"/>
      <c r="J265" s="7" t="s">
        <v>33</v>
      </c>
      <c r="K265" s="7" t="s">
        <v>33</v>
      </c>
      <c r="L265" s="8">
        <v>206</v>
      </c>
      <c r="M265" s="8">
        <v>195</v>
      </c>
      <c r="N265" s="8">
        <v>401</v>
      </c>
      <c r="O265" s="7" t="s">
        <v>32</v>
      </c>
      <c r="P265" s="7" t="s">
        <v>32</v>
      </c>
      <c r="Q265" s="8">
        <v>194</v>
      </c>
      <c r="R265" s="8">
        <v>210</v>
      </c>
      <c r="S265" s="8">
        <v>404</v>
      </c>
      <c r="T265" s="7" t="s">
        <v>33</v>
      </c>
      <c r="U265" s="7" t="s">
        <v>32</v>
      </c>
      <c r="V265" s="8">
        <v>199</v>
      </c>
      <c r="W265" s="8">
        <v>215</v>
      </c>
      <c r="X265" s="8">
        <v>414</v>
      </c>
      <c r="Y265" s="9">
        <v>47.1</v>
      </c>
      <c r="Z265" s="10" t="str">
        <f t="shared" si="20"/>
        <v/>
      </c>
      <c r="AA265" s="10">
        <f t="shared" si="21"/>
        <v>0.513715710723192</v>
      </c>
      <c r="AB265" s="10">
        <f t="shared" si="22"/>
        <v>0.48019801980198018</v>
      </c>
      <c r="AC265" s="10">
        <f t="shared" si="23"/>
        <v>0.48067632850241548</v>
      </c>
      <c r="AD265" s="8">
        <f t="shared" si="24"/>
        <v>16</v>
      </c>
    </row>
    <row r="266" spans="1:30" ht="15" customHeight="1" x14ac:dyDescent="0.2">
      <c r="A266" s="7">
        <v>2022</v>
      </c>
      <c r="B266" s="7" t="s">
        <v>118</v>
      </c>
      <c r="C266" s="7" t="s">
        <v>87</v>
      </c>
      <c r="D266" s="7">
        <v>87</v>
      </c>
      <c r="E266" s="7" t="s">
        <v>33</v>
      </c>
      <c r="F266" s="7"/>
      <c r="G266" s="8"/>
      <c r="H266" s="8"/>
      <c r="I266" s="8"/>
      <c r="J266" s="7" t="s">
        <v>33</v>
      </c>
      <c r="K266" s="7" t="s">
        <v>32</v>
      </c>
      <c r="L266" s="8">
        <v>1610</v>
      </c>
      <c r="M266" s="8">
        <v>1650</v>
      </c>
      <c r="N266" s="8">
        <v>3260</v>
      </c>
      <c r="O266" s="7" t="s">
        <v>32</v>
      </c>
      <c r="P266" s="7" t="s">
        <v>32</v>
      </c>
      <c r="Q266" s="8">
        <v>1462</v>
      </c>
      <c r="R266" s="8">
        <v>1803</v>
      </c>
      <c r="S266" s="8">
        <v>3265</v>
      </c>
      <c r="T266" s="7" t="s">
        <v>33</v>
      </c>
      <c r="U266" s="7" t="s">
        <v>32</v>
      </c>
      <c r="V266" s="8">
        <v>1456</v>
      </c>
      <c r="W266" s="8">
        <v>1860</v>
      </c>
      <c r="X266" s="8">
        <v>3316</v>
      </c>
      <c r="Y266" s="9">
        <v>65.5</v>
      </c>
      <c r="Z266" s="10" t="str">
        <f t="shared" si="20"/>
        <v/>
      </c>
      <c r="AA266" s="10">
        <f t="shared" si="21"/>
        <v>0.49386503067484661</v>
      </c>
      <c r="AB266" s="10">
        <f t="shared" si="22"/>
        <v>0.44777947932618684</v>
      </c>
      <c r="AC266" s="10">
        <f t="shared" si="23"/>
        <v>0.43908323281061518</v>
      </c>
      <c r="AD266" s="8">
        <f t="shared" si="24"/>
        <v>404</v>
      </c>
    </row>
    <row r="267" spans="1:30" ht="15" customHeight="1" x14ac:dyDescent="0.2">
      <c r="A267" s="7">
        <v>2022</v>
      </c>
      <c r="B267" s="7" t="s">
        <v>119</v>
      </c>
      <c r="C267" s="7" t="s">
        <v>87</v>
      </c>
      <c r="D267" s="7">
        <v>88</v>
      </c>
      <c r="E267" s="7" t="s">
        <v>33</v>
      </c>
      <c r="F267" s="7"/>
      <c r="G267" s="8"/>
      <c r="H267" s="8"/>
      <c r="I267" s="8"/>
      <c r="J267" s="7" t="s">
        <v>33</v>
      </c>
      <c r="K267" s="7" t="s">
        <v>33</v>
      </c>
      <c r="L267" s="8">
        <v>1438</v>
      </c>
      <c r="M267" s="8">
        <v>813</v>
      </c>
      <c r="N267" s="8">
        <v>2251</v>
      </c>
      <c r="O267" s="7" t="s">
        <v>32</v>
      </c>
      <c r="P267" s="7" t="s">
        <v>33</v>
      </c>
      <c r="Q267" s="8">
        <v>1340</v>
      </c>
      <c r="R267" s="8">
        <v>905</v>
      </c>
      <c r="S267" s="8">
        <v>2245</v>
      </c>
      <c r="T267" s="7" t="s">
        <v>33</v>
      </c>
      <c r="U267" s="7" t="s">
        <v>33</v>
      </c>
      <c r="V267" s="8">
        <v>1340</v>
      </c>
      <c r="W267" s="8">
        <v>953</v>
      </c>
      <c r="X267" s="8">
        <v>2293</v>
      </c>
      <c r="Y267" s="9">
        <v>50.1</v>
      </c>
      <c r="Z267" s="10" t="str">
        <f t="shared" si="20"/>
        <v/>
      </c>
      <c r="AA267" s="10">
        <f t="shared" si="21"/>
        <v>0.63882718791648152</v>
      </c>
      <c r="AB267" s="10">
        <f t="shared" si="22"/>
        <v>0.5968819599109132</v>
      </c>
      <c r="AC267" s="10">
        <f t="shared" si="23"/>
        <v>0.58438726559092891</v>
      </c>
      <c r="AD267" s="8">
        <f t="shared" si="24"/>
        <v>-387</v>
      </c>
    </row>
    <row r="268" spans="1:30" ht="15" customHeight="1" x14ac:dyDescent="0.2">
      <c r="A268" s="7">
        <v>2022</v>
      </c>
      <c r="B268" s="7" t="s">
        <v>120</v>
      </c>
      <c r="C268" s="7" t="s">
        <v>87</v>
      </c>
      <c r="D268" s="7">
        <v>89</v>
      </c>
      <c r="E268" s="7" t="s">
        <v>33</v>
      </c>
      <c r="F268" s="7"/>
      <c r="G268" s="8"/>
      <c r="H268" s="8"/>
      <c r="I268" s="8"/>
      <c r="J268" s="7" t="s">
        <v>33</v>
      </c>
      <c r="K268" s="7" t="s">
        <v>33</v>
      </c>
      <c r="L268" s="8">
        <v>557</v>
      </c>
      <c r="M268" s="8">
        <v>527</v>
      </c>
      <c r="N268" s="8">
        <v>1084</v>
      </c>
      <c r="O268" s="7" t="s">
        <v>32</v>
      </c>
      <c r="P268" s="7" t="s">
        <v>32</v>
      </c>
      <c r="Q268" s="8">
        <v>506</v>
      </c>
      <c r="R268" s="8">
        <v>562</v>
      </c>
      <c r="S268" s="8">
        <v>1068</v>
      </c>
      <c r="T268" s="7" t="s">
        <v>33</v>
      </c>
      <c r="U268" s="7" t="s">
        <v>32</v>
      </c>
      <c r="V268" s="8">
        <v>494</v>
      </c>
      <c r="W268" s="8">
        <v>601</v>
      </c>
      <c r="X268" s="8">
        <v>1095</v>
      </c>
      <c r="Y268" s="9">
        <v>53.5</v>
      </c>
      <c r="Z268" s="10" t="str">
        <f t="shared" si="20"/>
        <v/>
      </c>
      <c r="AA268" s="10">
        <f t="shared" si="21"/>
        <v>0.51383763837638374</v>
      </c>
      <c r="AB268" s="10">
        <f t="shared" si="22"/>
        <v>0.47378277153558052</v>
      </c>
      <c r="AC268" s="10">
        <f t="shared" si="23"/>
        <v>0.45114155251141552</v>
      </c>
      <c r="AD268" s="8">
        <f t="shared" si="24"/>
        <v>107</v>
      </c>
    </row>
    <row r="269" spans="1:30" ht="15" customHeight="1" x14ac:dyDescent="0.2">
      <c r="A269" s="7">
        <v>2024</v>
      </c>
      <c r="B269" s="7" t="s">
        <v>30</v>
      </c>
      <c r="C269" s="7" t="s">
        <v>31</v>
      </c>
      <c r="D269" s="7">
        <v>1</v>
      </c>
      <c r="E269" s="7" t="s">
        <v>33</v>
      </c>
      <c r="F269" s="7" t="s">
        <v>32</v>
      </c>
      <c r="G269" s="8">
        <v>155</v>
      </c>
      <c r="H269" s="8">
        <v>329</v>
      </c>
      <c r="I269" s="8">
        <v>484</v>
      </c>
      <c r="J269" s="7" t="s">
        <v>33</v>
      </c>
      <c r="K269" s="7"/>
      <c r="L269" s="8"/>
      <c r="M269" s="8"/>
      <c r="N269" s="8"/>
      <c r="O269" s="7" t="s">
        <v>33</v>
      </c>
      <c r="P269" s="7" t="s">
        <v>32</v>
      </c>
      <c r="Q269" s="8">
        <v>168</v>
      </c>
      <c r="R269" s="8">
        <v>296</v>
      </c>
      <c r="S269" s="8">
        <v>464</v>
      </c>
      <c r="T269" s="7" t="s">
        <v>33</v>
      </c>
      <c r="U269" s="7" t="s">
        <v>32</v>
      </c>
      <c r="V269" s="8">
        <v>181</v>
      </c>
      <c r="W269" s="8">
        <v>285</v>
      </c>
      <c r="X269" s="8">
        <v>466</v>
      </c>
      <c r="Y269" s="9">
        <v>71.7</v>
      </c>
      <c r="Z269" s="10">
        <f t="shared" si="20"/>
        <v>0.32024793388429751</v>
      </c>
      <c r="AA269" s="10" t="str">
        <f t="shared" si="21"/>
        <v/>
      </c>
      <c r="AB269" s="10">
        <f t="shared" si="22"/>
        <v>0.36206896551724138</v>
      </c>
      <c r="AC269" s="10">
        <f t="shared" si="23"/>
        <v>0.388412017167382</v>
      </c>
      <c r="AD269" s="8">
        <f t="shared" si="24"/>
        <v>104</v>
      </c>
    </row>
    <row r="270" spans="1:30" ht="15" customHeight="1" x14ac:dyDescent="0.2">
      <c r="A270" s="7">
        <v>2024</v>
      </c>
      <c r="B270" s="7" t="s">
        <v>34</v>
      </c>
      <c r="C270" s="7" t="s">
        <v>31</v>
      </c>
      <c r="D270" s="7">
        <v>2</v>
      </c>
      <c r="E270" s="7" t="s">
        <v>33</v>
      </c>
      <c r="F270" s="7" t="s">
        <v>32</v>
      </c>
      <c r="G270" s="8">
        <v>109</v>
      </c>
      <c r="H270" s="8">
        <v>322</v>
      </c>
      <c r="I270" s="8">
        <v>431</v>
      </c>
      <c r="J270" s="7" t="s">
        <v>33</v>
      </c>
      <c r="K270" s="7"/>
      <c r="L270" s="8"/>
      <c r="M270" s="8"/>
      <c r="N270" s="8"/>
      <c r="O270" s="7" t="s">
        <v>33</v>
      </c>
      <c r="P270" s="7" t="s">
        <v>32</v>
      </c>
      <c r="Q270" s="8">
        <v>118</v>
      </c>
      <c r="R270" s="8">
        <v>291</v>
      </c>
      <c r="S270" s="8">
        <v>409</v>
      </c>
      <c r="T270" s="7" t="s">
        <v>33</v>
      </c>
      <c r="U270" s="7" t="s">
        <v>32</v>
      </c>
      <c r="V270" s="8">
        <v>118</v>
      </c>
      <c r="W270" s="8">
        <v>300</v>
      </c>
      <c r="X270" s="8">
        <v>418</v>
      </c>
      <c r="Y270" s="9">
        <v>67.599999999999994</v>
      </c>
      <c r="Z270" s="10">
        <f t="shared" si="20"/>
        <v>0.25290023201856149</v>
      </c>
      <c r="AA270" s="10" t="str">
        <f t="shared" si="21"/>
        <v/>
      </c>
      <c r="AB270" s="10">
        <f t="shared" si="22"/>
        <v>0.28850855745721271</v>
      </c>
      <c r="AC270" s="10">
        <f t="shared" si="23"/>
        <v>0.28229665071770332</v>
      </c>
      <c r="AD270" s="8">
        <f t="shared" si="24"/>
        <v>182</v>
      </c>
    </row>
    <row r="271" spans="1:30" ht="15" customHeight="1" x14ac:dyDescent="0.2">
      <c r="A271" s="7">
        <v>2024</v>
      </c>
      <c r="B271" s="7" t="s">
        <v>35</v>
      </c>
      <c r="C271" s="7" t="s">
        <v>31</v>
      </c>
      <c r="D271" s="7">
        <v>3</v>
      </c>
      <c r="E271" s="7" t="s">
        <v>33</v>
      </c>
      <c r="F271" s="7" t="s">
        <v>32</v>
      </c>
      <c r="G271" s="8">
        <v>139</v>
      </c>
      <c r="H271" s="8">
        <v>325</v>
      </c>
      <c r="I271" s="8">
        <v>464</v>
      </c>
      <c r="J271" s="7" t="s">
        <v>33</v>
      </c>
      <c r="K271" s="7"/>
      <c r="L271" s="8"/>
      <c r="M271" s="8"/>
      <c r="N271" s="8"/>
      <c r="O271" s="7" t="s">
        <v>33</v>
      </c>
      <c r="P271" s="7" t="s">
        <v>32</v>
      </c>
      <c r="Q271" s="8">
        <v>147</v>
      </c>
      <c r="R271" s="8">
        <v>302</v>
      </c>
      <c r="S271" s="8">
        <v>449</v>
      </c>
      <c r="T271" s="7" t="s">
        <v>33</v>
      </c>
      <c r="U271" s="7" t="s">
        <v>32</v>
      </c>
      <c r="V271" s="8">
        <v>144</v>
      </c>
      <c r="W271" s="8">
        <v>310</v>
      </c>
      <c r="X271" s="8">
        <v>454</v>
      </c>
      <c r="Y271" s="9">
        <v>80.599999999999994</v>
      </c>
      <c r="Z271" s="10">
        <f t="shared" si="20"/>
        <v>0.29956896551724138</v>
      </c>
      <c r="AA271" s="10" t="str">
        <f t="shared" si="21"/>
        <v/>
      </c>
      <c r="AB271" s="10">
        <f t="shared" si="22"/>
        <v>0.32739420935412028</v>
      </c>
      <c r="AC271" s="10">
        <f t="shared" si="23"/>
        <v>0.31718061674008813</v>
      </c>
      <c r="AD271" s="8">
        <f t="shared" si="24"/>
        <v>166</v>
      </c>
    </row>
    <row r="272" spans="1:30" ht="15" customHeight="1" x14ac:dyDescent="0.2">
      <c r="A272" s="7">
        <v>2024</v>
      </c>
      <c r="B272" s="7" t="s">
        <v>36</v>
      </c>
      <c r="C272" s="7" t="s">
        <v>31</v>
      </c>
      <c r="D272" s="7">
        <v>4</v>
      </c>
      <c r="E272" s="7" t="s">
        <v>33</v>
      </c>
      <c r="F272" s="7" t="s">
        <v>32</v>
      </c>
      <c r="G272" s="8">
        <v>435</v>
      </c>
      <c r="H272" s="8">
        <v>1275</v>
      </c>
      <c r="I272" s="8">
        <v>1710</v>
      </c>
      <c r="J272" s="7" t="s">
        <v>33</v>
      </c>
      <c r="K272" s="7"/>
      <c r="L272" s="8"/>
      <c r="M272" s="8"/>
      <c r="N272" s="8"/>
      <c r="O272" s="7" t="s">
        <v>33</v>
      </c>
      <c r="P272" s="7" t="s">
        <v>32</v>
      </c>
      <c r="Q272" s="8">
        <v>438</v>
      </c>
      <c r="R272" s="8">
        <v>1233</v>
      </c>
      <c r="S272" s="8">
        <v>1671</v>
      </c>
      <c r="T272" s="7" t="s">
        <v>33</v>
      </c>
      <c r="U272" s="7" t="s">
        <v>32</v>
      </c>
      <c r="V272" s="8">
        <v>438</v>
      </c>
      <c r="W272" s="8">
        <v>1253</v>
      </c>
      <c r="X272" s="8">
        <v>1691</v>
      </c>
      <c r="Y272" s="9">
        <v>80.3</v>
      </c>
      <c r="Z272" s="10">
        <f t="shared" si="20"/>
        <v>0.25438596491228072</v>
      </c>
      <c r="AA272" s="10" t="str">
        <f t="shared" si="21"/>
        <v/>
      </c>
      <c r="AB272" s="10">
        <f t="shared" si="22"/>
        <v>0.26211849192100539</v>
      </c>
      <c r="AC272" s="10">
        <f t="shared" si="23"/>
        <v>0.25901833234772326</v>
      </c>
      <c r="AD272" s="8">
        <f t="shared" si="24"/>
        <v>815</v>
      </c>
    </row>
    <row r="273" spans="1:30" ht="15" customHeight="1" x14ac:dyDescent="0.2">
      <c r="A273" s="7">
        <v>2024</v>
      </c>
      <c r="B273" s="7" t="s">
        <v>37</v>
      </c>
      <c r="C273" s="7" t="s">
        <v>31</v>
      </c>
      <c r="D273" s="7">
        <v>5</v>
      </c>
      <c r="E273" s="7" t="s">
        <v>33</v>
      </c>
      <c r="F273" s="7" t="s">
        <v>32</v>
      </c>
      <c r="G273" s="8">
        <v>39</v>
      </c>
      <c r="H273" s="8">
        <v>79</v>
      </c>
      <c r="I273" s="8">
        <v>118</v>
      </c>
      <c r="J273" s="7" t="s">
        <v>33</v>
      </c>
      <c r="K273" s="7"/>
      <c r="L273" s="8"/>
      <c r="M273" s="8"/>
      <c r="N273" s="8"/>
      <c r="O273" s="7" t="s">
        <v>33</v>
      </c>
      <c r="P273" s="7" t="s">
        <v>32</v>
      </c>
      <c r="Q273" s="8">
        <v>40</v>
      </c>
      <c r="R273" s="8">
        <v>72</v>
      </c>
      <c r="S273" s="8">
        <v>112</v>
      </c>
      <c r="T273" s="7" t="s">
        <v>33</v>
      </c>
      <c r="U273" s="7" t="s">
        <v>32</v>
      </c>
      <c r="V273" s="8">
        <v>38</v>
      </c>
      <c r="W273" s="8">
        <v>78</v>
      </c>
      <c r="X273" s="8">
        <v>116</v>
      </c>
      <c r="Y273" s="9">
        <v>68.2</v>
      </c>
      <c r="Z273" s="10">
        <f t="shared" si="20"/>
        <v>0.33050847457627119</v>
      </c>
      <c r="AA273" s="10" t="str">
        <f t="shared" si="21"/>
        <v/>
      </c>
      <c r="AB273" s="10">
        <f t="shared" si="22"/>
        <v>0.35714285714285715</v>
      </c>
      <c r="AC273" s="10">
        <f t="shared" si="23"/>
        <v>0.32758620689655171</v>
      </c>
      <c r="AD273" s="8">
        <f t="shared" si="24"/>
        <v>40</v>
      </c>
    </row>
    <row r="274" spans="1:30" ht="15" customHeight="1" x14ac:dyDescent="0.2">
      <c r="A274" s="7">
        <v>2024</v>
      </c>
      <c r="B274" s="7" t="s">
        <v>38</v>
      </c>
      <c r="C274" s="7" t="s">
        <v>31</v>
      </c>
      <c r="D274" s="7">
        <v>6</v>
      </c>
      <c r="E274" s="7" t="s">
        <v>33</v>
      </c>
      <c r="F274" s="7" t="s">
        <v>32</v>
      </c>
      <c r="G274" s="8">
        <v>666</v>
      </c>
      <c r="H274" s="8">
        <v>1906</v>
      </c>
      <c r="I274" s="8">
        <v>2572</v>
      </c>
      <c r="J274" s="7" t="s">
        <v>33</v>
      </c>
      <c r="K274" s="7"/>
      <c r="L274" s="8"/>
      <c r="M274" s="8"/>
      <c r="N274" s="8"/>
      <c r="O274" s="7" t="s">
        <v>33</v>
      </c>
      <c r="P274" s="7" t="s">
        <v>32</v>
      </c>
      <c r="Q274" s="8">
        <v>705</v>
      </c>
      <c r="R274" s="8">
        <v>1816</v>
      </c>
      <c r="S274" s="8">
        <v>2521</v>
      </c>
      <c r="T274" s="7" t="s">
        <v>33</v>
      </c>
      <c r="U274" s="7" t="s">
        <v>32</v>
      </c>
      <c r="V274" s="8">
        <v>708</v>
      </c>
      <c r="W274" s="8">
        <v>1846</v>
      </c>
      <c r="X274" s="8">
        <v>2554</v>
      </c>
      <c r="Y274" s="9">
        <v>79.5</v>
      </c>
      <c r="Z274" s="10">
        <f t="shared" si="20"/>
        <v>0.25894245723172626</v>
      </c>
      <c r="AA274" s="10" t="str">
        <f t="shared" si="21"/>
        <v/>
      </c>
      <c r="AB274" s="10">
        <f t="shared" si="22"/>
        <v>0.27965093216977388</v>
      </c>
      <c r="AC274" s="10">
        <f t="shared" si="23"/>
        <v>0.27721221613155833</v>
      </c>
      <c r="AD274" s="8">
        <f t="shared" si="24"/>
        <v>1138</v>
      </c>
    </row>
    <row r="275" spans="1:30" ht="15" customHeight="1" x14ac:dyDescent="0.2">
      <c r="A275" s="7">
        <v>2024</v>
      </c>
      <c r="B275" s="7" t="s">
        <v>39</v>
      </c>
      <c r="C275" s="7" t="s">
        <v>31</v>
      </c>
      <c r="D275" s="7">
        <v>7</v>
      </c>
      <c r="E275" s="7" t="s">
        <v>33</v>
      </c>
      <c r="F275" s="7" t="s">
        <v>32</v>
      </c>
      <c r="G275" s="8">
        <v>1107</v>
      </c>
      <c r="H275" s="8">
        <v>1554</v>
      </c>
      <c r="I275" s="8">
        <v>2661</v>
      </c>
      <c r="J275" s="7" t="s">
        <v>33</v>
      </c>
      <c r="K275" s="7"/>
      <c r="L275" s="8"/>
      <c r="M275" s="8"/>
      <c r="N275" s="8"/>
      <c r="O275" s="7" t="s">
        <v>33</v>
      </c>
      <c r="P275" s="7" t="s">
        <v>32</v>
      </c>
      <c r="Q275" s="8">
        <v>1101</v>
      </c>
      <c r="R275" s="8">
        <v>1472</v>
      </c>
      <c r="S275" s="8">
        <v>2573</v>
      </c>
      <c r="T275" s="7" t="s">
        <v>33</v>
      </c>
      <c r="U275" s="7" t="s">
        <v>32</v>
      </c>
      <c r="V275" s="8">
        <v>1104</v>
      </c>
      <c r="W275" s="8">
        <v>1481</v>
      </c>
      <c r="X275" s="8">
        <v>2585</v>
      </c>
      <c r="Y275" s="9">
        <v>76.900000000000006</v>
      </c>
      <c r="Z275" s="10">
        <f t="shared" si="20"/>
        <v>0.41600901916572719</v>
      </c>
      <c r="AA275" s="10" t="str">
        <f t="shared" si="21"/>
        <v/>
      </c>
      <c r="AB275" s="10">
        <f t="shared" si="22"/>
        <v>0.42790516906335019</v>
      </c>
      <c r="AC275" s="10">
        <f t="shared" si="23"/>
        <v>0.42707930367504837</v>
      </c>
      <c r="AD275" s="8">
        <f t="shared" si="24"/>
        <v>377</v>
      </c>
    </row>
    <row r="276" spans="1:30" ht="15" customHeight="1" x14ac:dyDescent="0.2">
      <c r="A276" s="7">
        <v>2024</v>
      </c>
      <c r="B276" s="7" t="s">
        <v>40</v>
      </c>
      <c r="C276" s="7" t="s">
        <v>31</v>
      </c>
      <c r="D276" s="7">
        <v>8</v>
      </c>
      <c r="E276" s="7" t="s">
        <v>33</v>
      </c>
      <c r="F276" s="7" t="s">
        <v>32</v>
      </c>
      <c r="G276" s="8">
        <v>368</v>
      </c>
      <c r="H276" s="8">
        <v>721</v>
      </c>
      <c r="I276" s="8">
        <v>1089</v>
      </c>
      <c r="J276" s="7" t="s">
        <v>33</v>
      </c>
      <c r="K276" s="7"/>
      <c r="L276" s="8"/>
      <c r="M276" s="8"/>
      <c r="N276" s="8"/>
      <c r="O276" s="7" t="s">
        <v>33</v>
      </c>
      <c r="P276" s="7" t="s">
        <v>32</v>
      </c>
      <c r="Q276" s="8">
        <v>364</v>
      </c>
      <c r="R276" s="8">
        <v>704</v>
      </c>
      <c r="S276" s="8">
        <v>1068</v>
      </c>
      <c r="T276" s="7" t="s">
        <v>33</v>
      </c>
      <c r="U276" s="7" t="s">
        <v>32</v>
      </c>
      <c r="V276" s="8">
        <v>351</v>
      </c>
      <c r="W276" s="8">
        <v>697</v>
      </c>
      <c r="X276" s="8">
        <v>1048</v>
      </c>
      <c r="Y276" s="9">
        <v>69.099999999999994</v>
      </c>
      <c r="Z276" s="10">
        <f t="shared" si="20"/>
        <v>0.33792470156106519</v>
      </c>
      <c r="AA276" s="10" t="str">
        <f t="shared" si="21"/>
        <v/>
      </c>
      <c r="AB276" s="10">
        <f t="shared" si="22"/>
        <v>0.34082397003745318</v>
      </c>
      <c r="AC276" s="10">
        <f t="shared" si="23"/>
        <v>0.33492366412213742</v>
      </c>
      <c r="AD276" s="8">
        <f t="shared" si="24"/>
        <v>346</v>
      </c>
    </row>
    <row r="277" spans="1:30" ht="15" customHeight="1" x14ac:dyDescent="0.2">
      <c r="A277" s="7">
        <v>2024</v>
      </c>
      <c r="B277" s="7" t="s">
        <v>41</v>
      </c>
      <c r="C277" s="7" t="s">
        <v>31</v>
      </c>
      <c r="D277" s="7">
        <v>9</v>
      </c>
      <c r="E277" s="7" t="s">
        <v>33</v>
      </c>
      <c r="F277" s="7" t="s">
        <v>32</v>
      </c>
      <c r="G277" s="8">
        <v>547</v>
      </c>
      <c r="H277" s="8">
        <v>948</v>
      </c>
      <c r="I277" s="8">
        <v>1495</v>
      </c>
      <c r="J277" s="7" t="s">
        <v>33</v>
      </c>
      <c r="K277" s="7"/>
      <c r="L277" s="8"/>
      <c r="M277" s="8"/>
      <c r="N277" s="8"/>
      <c r="O277" s="7" t="s">
        <v>33</v>
      </c>
      <c r="P277" s="7" t="s">
        <v>32</v>
      </c>
      <c r="Q277" s="8">
        <v>576</v>
      </c>
      <c r="R277" s="8">
        <v>851</v>
      </c>
      <c r="S277" s="8">
        <v>1427</v>
      </c>
      <c r="T277" s="7" t="s">
        <v>33</v>
      </c>
      <c r="U277" s="7" t="s">
        <v>32</v>
      </c>
      <c r="V277" s="8">
        <v>575</v>
      </c>
      <c r="W277" s="8">
        <v>880</v>
      </c>
      <c r="X277" s="8">
        <v>1455</v>
      </c>
      <c r="Y277" s="9">
        <v>61.7</v>
      </c>
      <c r="Z277" s="10">
        <f t="shared" si="20"/>
        <v>0.36588628762541808</v>
      </c>
      <c r="AA277" s="10" t="str">
        <f t="shared" si="21"/>
        <v/>
      </c>
      <c r="AB277" s="10">
        <f t="shared" si="22"/>
        <v>0.40364400840925019</v>
      </c>
      <c r="AC277" s="10">
        <f t="shared" si="23"/>
        <v>0.3951890034364261</v>
      </c>
      <c r="AD277" s="8">
        <f t="shared" si="24"/>
        <v>305</v>
      </c>
    </row>
    <row r="278" spans="1:30" ht="15" customHeight="1" x14ac:dyDescent="0.2">
      <c r="A278" s="7">
        <v>2024</v>
      </c>
      <c r="B278" s="7" t="s">
        <v>42</v>
      </c>
      <c r="C278" s="7" t="s">
        <v>31</v>
      </c>
      <c r="D278" s="7">
        <v>10</v>
      </c>
      <c r="E278" s="7" t="s">
        <v>33</v>
      </c>
      <c r="F278" s="7" t="s">
        <v>32</v>
      </c>
      <c r="G278" s="8">
        <v>37</v>
      </c>
      <c r="H278" s="8">
        <v>112</v>
      </c>
      <c r="I278" s="8">
        <v>149</v>
      </c>
      <c r="J278" s="7" t="s">
        <v>33</v>
      </c>
      <c r="K278" s="7"/>
      <c r="L278" s="8"/>
      <c r="M278" s="8"/>
      <c r="N278" s="8"/>
      <c r="O278" s="7" t="s">
        <v>33</v>
      </c>
      <c r="P278" s="7" t="s">
        <v>32</v>
      </c>
      <c r="Q278" s="8">
        <v>34</v>
      </c>
      <c r="R278" s="8">
        <v>107</v>
      </c>
      <c r="S278" s="8">
        <v>141</v>
      </c>
      <c r="T278" s="7" t="s">
        <v>33</v>
      </c>
      <c r="U278" s="7" t="s">
        <v>32</v>
      </c>
      <c r="V278" s="8">
        <v>38</v>
      </c>
      <c r="W278" s="8">
        <v>107</v>
      </c>
      <c r="X278" s="8">
        <v>145</v>
      </c>
      <c r="Y278" s="9">
        <v>80.099999999999994</v>
      </c>
      <c r="Z278" s="10">
        <f t="shared" si="20"/>
        <v>0.24832214765100671</v>
      </c>
      <c r="AA278" s="10" t="str">
        <f t="shared" si="21"/>
        <v/>
      </c>
      <c r="AB278" s="10">
        <f t="shared" si="22"/>
        <v>0.24113475177304963</v>
      </c>
      <c r="AC278" s="10">
        <f t="shared" si="23"/>
        <v>0.2620689655172414</v>
      </c>
      <c r="AD278" s="8">
        <f t="shared" si="24"/>
        <v>69</v>
      </c>
    </row>
    <row r="279" spans="1:30" ht="15" customHeight="1" x14ac:dyDescent="0.2">
      <c r="A279" s="7">
        <v>2024</v>
      </c>
      <c r="B279" s="7" t="s">
        <v>43</v>
      </c>
      <c r="C279" s="7" t="s">
        <v>31</v>
      </c>
      <c r="D279" s="7">
        <v>11</v>
      </c>
      <c r="E279" s="7" t="s">
        <v>33</v>
      </c>
      <c r="F279" s="7" t="s">
        <v>32</v>
      </c>
      <c r="G279" s="8">
        <v>54</v>
      </c>
      <c r="H279" s="8">
        <v>229</v>
      </c>
      <c r="I279" s="8">
        <v>283</v>
      </c>
      <c r="J279" s="7" t="s">
        <v>33</v>
      </c>
      <c r="K279" s="7"/>
      <c r="L279" s="8"/>
      <c r="M279" s="8"/>
      <c r="N279" s="8"/>
      <c r="O279" s="7" t="s">
        <v>33</v>
      </c>
      <c r="P279" s="7" t="s">
        <v>32</v>
      </c>
      <c r="Q279" s="8">
        <v>58</v>
      </c>
      <c r="R279" s="8">
        <v>219</v>
      </c>
      <c r="S279" s="8">
        <v>277</v>
      </c>
      <c r="T279" s="7" t="s">
        <v>33</v>
      </c>
      <c r="U279" s="7" t="s">
        <v>32</v>
      </c>
      <c r="V279" s="8">
        <v>58</v>
      </c>
      <c r="W279" s="8">
        <v>216</v>
      </c>
      <c r="X279" s="8">
        <v>274</v>
      </c>
      <c r="Y279" s="9">
        <v>78.099999999999994</v>
      </c>
      <c r="Z279" s="10">
        <f t="shared" si="20"/>
        <v>0.19081272084805653</v>
      </c>
      <c r="AA279" s="10" t="str">
        <f t="shared" si="21"/>
        <v/>
      </c>
      <c r="AB279" s="10">
        <f t="shared" si="22"/>
        <v>0.20938628158844766</v>
      </c>
      <c r="AC279" s="10">
        <f t="shared" si="23"/>
        <v>0.21167883211678831</v>
      </c>
      <c r="AD279" s="8">
        <f t="shared" si="24"/>
        <v>158</v>
      </c>
    </row>
    <row r="280" spans="1:30" ht="15" customHeight="1" x14ac:dyDescent="0.2">
      <c r="A280" s="7">
        <v>2024</v>
      </c>
      <c r="B280" s="7" t="s">
        <v>44</v>
      </c>
      <c r="C280" s="7" t="s">
        <v>31</v>
      </c>
      <c r="D280" s="7">
        <v>12</v>
      </c>
      <c r="E280" s="7" t="s">
        <v>33</v>
      </c>
      <c r="F280" s="7" t="s">
        <v>32</v>
      </c>
      <c r="G280" s="8">
        <v>947</v>
      </c>
      <c r="H280" s="8">
        <v>1542</v>
      </c>
      <c r="I280" s="8">
        <v>2489</v>
      </c>
      <c r="J280" s="7" t="s">
        <v>33</v>
      </c>
      <c r="K280" s="7"/>
      <c r="L280" s="8"/>
      <c r="M280" s="8"/>
      <c r="N280" s="8"/>
      <c r="O280" s="7" t="s">
        <v>33</v>
      </c>
      <c r="P280" s="7" t="s">
        <v>32</v>
      </c>
      <c r="Q280" s="8">
        <v>940</v>
      </c>
      <c r="R280" s="8">
        <v>1459</v>
      </c>
      <c r="S280" s="8">
        <v>2399</v>
      </c>
      <c r="T280" s="7" t="s">
        <v>33</v>
      </c>
      <c r="U280" s="7" t="s">
        <v>32</v>
      </c>
      <c r="V280" s="8">
        <v>944</v>
      </c>
      <c r="W280" s="8">
        <v>1486</v>
      </c>
      <c r="X280" s="8">
        <v>2430</v>
      </c>
      <c r="Y280" s="9">
        <v>72.2</v>
      </c>
      <c r="Z280" s="10">
        <f t="shared" si="20"/>
        <v>0.38047408597830457</v>
      </c>
      <c r="AA280" s="10" t="str">
        <f t="shared" si="21"/>
        <v/>
      </c>
      <c r="AB280" s="10">
        <f t="shared" si="22"/>
        <v>0.39182992913714049</v>
      </c>
      <c r="AC280" s="10">
        <f t="shared" si="23"/>
        <v>0.38847736625514401</v>
      </c>
      <c r="AD280" s="8">
        <f t="shared" si="24"/>
        <v>542</v>
      </c>
    </row>
    <row r="281" spans="1:30" ht="15" customHeight="1" x14ac:dyDescent="0.2">
      <c r="A281" s="7">
        <v>2024</v>
      </c>
      <c r="B281" s="7" t="s">
        <v>45</v>
      </c>
      <c r="C281" s="7" t="s">
        <v>31</v>
      </c>
      <c r="D281" s="7">
        <v>13</v>
      </c>
      <c r="E281" s="7" t="s">
        <v>33</v>
      </c>
      <c r="F281" s="7" t="s">
        <v>32</v>
      </c>
      <c r="G281" s="8">
        <v>490</v>
      </c>
      <c r="H281" s="8">
        <v>1325</v>
      </c>
      <c r="I281" s="8">
        <v>1815</v>
      </c>
      <c r="J281" s="7" t="s">
        <v>33</v>
      </c>
      <c r="K281" s="7"/>
      <c r="L281" s="8"/>
      <c r="M281" s="8"/>
      <c r="N281" s="8"/>
      <c r="O281" s="7" t="s">
        <v>33</v>
      </c>
      <c r="P281" s="7" t="s">
        <v>32</v>
      </c>
      <c r="Q281" s="8">
        <v>503</v>
      </c>
      <c r="R281" s="8">
        <v>1283</v>
      </c>
      <c r="S281" s="8">
        <v>1786</v>
      </c>
      <c r="T281" s="7" t="s">
        <v>33</v>
      </c>
      <c r="U281" s="7" t="s">
        <v>32</v>
      </c>
      <c r="V281" s="8">
        <v>515</v>
      </c>
      <c r="W281" s="8">
        <v>1293</v>
      </c>
      <c r="X281" s="8">
        <v>1808</v>
      </c>
      <c r="Y281" s="9">
        <v>79.599999999999994</v>
      </c>
      <c r="Z281" s="10">
        <f t="shared" si="20"/>
        <v>0.26997245179063362</v>
      </c>
      <c r="AA281" s="10" t="str">
        <f t="shared" si="21"/>
        <v/>
      </c>
      <c r="AB281" s="10">
        <f t="shared" si="22"/>
        <v>0.28163493840985443</v>
      </c>
      <c r="AC281" s="10">
        <f t="shared" si="23"/>
        <v>0.28484513274336282</v>
      </c>
      <c r="AD281" s="8">
        <f t="shared" si="24"/>
        <v>778</v>
      </c>
    </row>
    <row r="282" spans="1:30" ht="15" customHeight="1" x14ac:dyDescent="0.2">
      <c r="A282" s="7">
        <v>2024</v>
      </c>
      <c r="B282" s="7" t="s">
        <v>46</v>
      </c>
      <c r="C282" s="7" t="s">
        <v>31</v>
      </c>
      <c r="D282" s="7">
        <v>14</v>
      </c>
      <c r="E282" s="7" t="s">
        <v>33</v>
      </c>
      <c r="F282" s="7" t="s">
        <v>32</v>
      </c>
      <c r="G282" s="8">
        <v>693</v>
      </c>
      <c r="H282" s="8">
        <v>1723</v>
      </c>
      <c r="I282" s="8">
        <v>2416</v>
      </c>
      <c r="J282" s="7" t="s">
        <v>33</v>
      </c>
      <c r="K282" s="7"/>
      <c r="L282" s="8"/>
      <c r="M282" s="8"/>
      <c r="N282" s="8"/>
      <c r="O282" s="7" t="s">
        <v>33</v>
      </c>
      <c r="P282" s="7" t="s">
        <v>32</v>
      </c>
      <c r="Q282" s="8">
        <v>693</v>
      </c>
      <c r="R282" s="8">
        <v>1658</v>
      </c>
      <c r="S282" s="8">
        <v>2351</v>
      </c>
      <c r="T282" s="7" t="s">
        <v>33</v>
      </c>
      <c r="U282" s="7" t="s">
        <v>32</v>
      </c>
      <c r="V282" s="8">
        <v>694</v>
      </c>
      <c r="W282" s="8">
        <v>1695</v>
      </c>
      <c r="X282" s="8">
        <v>2389</v>
      </c>
      <c r="Y282" s="9">
        <v>78.5</v>
      </c>
      <c r="Z282" s="10">
        <f t="shared" si="20"/>
        <v>0.28683774834437087</v>
      </c>
      <c r="AA282" s="10" t="str">
        <f t="shared" si="21"/>
        <v/>
      </c>
      <c r="AB282" s="10">
        <f t="shared" si="22"/>
        <v>0.29476818375159508</v>
      </c>
      <c r="AC282" s="10">
        <f t="shared" si="23"/>
        <v>0.2904981163666806</v>
      </c>
      <c r="AD282" s="8">
        <f t="shared" si="24"/>
        <v>1001</v>
      </c>
    </row>
    <row r="283" spans="1:30" ht="15" customHeight="1" x14ac:dyDescent="0.2">
      <c r="A283" s="7">
        <v>2024</v>
      </c>
      <c r="B283" s="7" t="s">
        <v>47</v>
      </c>
      <c r="C283" s="7" t="s">
        <v>31</v>
      </c>
      <c r="D283" s="7">
        <v>15</v>
      </c>
      <c r="E283" s="7" t="s">
        <v>33</v>
      </c>
      <c r="F283" s="7" t="s">
        <v>32</v>
      </c>
      <c r="G283" s="8">
        <v>576</v>
      </c>
      <c r="H283" s="8">
        <v>1001</v>
      </c>
      <c r="I283" s="8">
        <v>1577</v>
      </c>
      <c r="J283" s="7" t="s">
        <v>33</v>
      </c>
      <c r="K283" s="7"/>
      <c r="L283" s="8"/>
      <c r="M283" s="8"/>
      <c r="N283" s="8"/>
      <c r="O283" s="7" t="s">
        <v>33</v>
      </c>
      <c r="P283" s="7" t="s">
        <v>32</v>
      </c>
      <c r="Q283" s="8">
        <v>604</v>
      </c>
      <c r="R283" s="8">
        <v>927</v>
      </c>
      <c r="S283" s="8">
        <v>1531</v>
      </c>
      <c r="T283" s="7" t="s">
        <v>33</v>
      </c>
      <c r="U283" s="7" t="s">
        <v>32</v>
      </c>
      <c r="V283" s="8">
        <v>601</v>
      </c>
      <c r="W283" s="8">
        <v>955</v>
      </c>
      <c r="X283" s="8">
        <v>1556</v>
      </c>
      <c r="Y283" s="9">
        <v>74.3</v>
      </c>
      <c r="Z283" s="10">
        <f t="shared" si="20"/>
        <v>0.36525047558655677</v>
      </c>
      <c r="AA283" s="10" t="str">
        <f t="shared" si="21"/>
        <v/>
      </c>
      <c r="AB283" s="10">
        <f t="shared" si="22"/>
        <v>0.39451338994121488</v>
      </c>
      <c r="AC283" s="10">
        <f t="shared" si="23"/>
        <v>0.38624678663239076</v>
      </c>
      <c r="AD283" s="8">
        <f t="shared" si="24"/>
        <v>354</v>
      </c>
    </row>
    <row r="284" spans="1:30" ht="15" customHeight="1" x14ac:dyDescent="0.2">
      <c r="A284" s="7">
        <v>2024</v>
      </c>
      <c r="B284" s="7" t="s">
        <v>48</v>
      </c>
      <c r="C284" s="7" t="s">
        <v>31</v>
      </c>
      <c r="D284" s="7">
        <v>16</v>
      </c>
      <c r="E284" s="7" t="s">
        <v>33</v>
      </c>
      <c r="F284" s="7" t="s">
        <v>32</v>
      </c>
      <c r="G284" s="8">
        <v>115</v>
      </c>
      <c r="H284" s="8">
        <v>537</v>
      </c>
      <c r="I284" s="8">
        <v>652</v>
      </c>
      <c r="J284" s="7" t="s">
        <v>33</v>
      </c>
      <c r="K284" s="7"/>
      <c r="L284" s="8"/>
      <c r="M284" s="8"/>
      <c r="N284" s="8"/>
      <c r="O284" s="7" t="s">
        <v>33</v>
      </c>
      <c r="P284" s="7" t="s">
        <v>32</v>
      </c>
      <c r="Q284" s="8">
        <v>121</v>
      </c>
      <c r="R284" s="8">
        <v>517</v>
      </c>
      <c r="S284" s="8">
        <v>638</v>
      </c>
      <c r="T284" s="7" t="s">
        <v>33</v>
      </c>
      <c r="U284" s="7" t="s">
        <v>32</v>
      </c>
      <c r="V284" s="8">
        <v>134</v>
      </c>
      <c r="W284" s="8">
        <v>505</v>
      </c>
      <c r="X284" s="8">
        <v>639</v>
      </c>
      <c r="Y284" s="9">
        <v>84.2</v>
      </c>
      <c r="Z284" s="10">
        <f t="shared" si="20"/>
        <v>0.17638036809815952</v>
      </c>
      <c r="AA284" s="10" t="str">
        <f t="shared" si="21"/>
        <v/>
      </c>
      <c r="AB284" s="10">
        <f t="shared" si="22"/>
        <v>0.18965517241379309</v>
      </c>
      <c r="AC284" s="10">
        <f t="shared" si="23"/>
        <v>0.20970266040688576</v>
      </c>
      <c r="AD284" s="8">
        <f t="shared" si="24"/>
        <v>371</v>
      </c>
    </row>
    <row r="285" spans="1:30" ht="15" customHeight="1" x14ac:dyDescent="0.2">
      <c r="A285" s="7">
        <v>2024</v>
      </c>
      <c r="B285" s="7" t="s">
        <v>49</v>
      </c>
      <c r="C285" s="7" t="s">
        <v>31</v>
      </c>
      <c r="D285" s="7">
        <v>17</v>
      </c>
      <c r="E285" s="7" t="s">
        <v>33</v>
      </c>
      <c r="F285" s="7" t="s">
        <v>32</v>
      </c>
      <c r="G285" s="8">
        <v>960</v>
      </c>
      <c r="H285" s="8">
        <v>1783</v>
      </c>
      <c r="I285" s="8">
        <v>2743</v>
      </c>
      <c r="J285" s="7" t="s">
        <v>33</v>
      </c>
      <c r="K285" s="7"/>
      <c r="L285" s="8"/>
      <c r="M285" s="8"/>
      <c r="N285" s="8"/>
      <c r="O285" s="7" t="s">
        <v>33</v>
      </c>
      <c r="P285" s="7" t="s">
        <v>32</v>
      </c>
      <c r="Q285" s="8">
        <v>959</v>
      </c>
      <c r="R285" s="8">
        <v>1714</v>
      </c>
      <c r="S285" s="8">
        <v>2673</v>
      </c>
      <c r="T285" s="7" t="s">
        <v>33</v>
      </c>
      <c r="U285" s="7" t="s">
        <v>32</v>
      </c>
      <c r="V285" s="8">
        <v>981</v>
      </c>
      <c r="W285" s="8">
        <v>1740</v>
      </c>
      <c r="X285" s="8">
        <v>2721</v>
      </c>
      <c r="Y285" s="9">
        <v>75.400000000000006</v>
      </c>
      <c r="Z285" s="10">
        <f t="shared" si="20"/>
        <v>0.34998177178271966</v>
      </c>
      <c r="AA285" s="10" t="str">
        <f t="shared" si="21"/>
        <v/>
      </c>
      <c r="AB285" s="10">
        <f t="shared" si="22"/>
        <v>0.35877291432846986</v>
      </c>
      <c r="AC285" s="10">
        <f t="shared" si="23"/>
        <v>0.36052921719955899</v>
      </c>
      <c r="AD285" s="8">
        <f t="shared" si="24"/>
        <v>759</v>
      </c>
    </row>
    <row r="286" spans="1:30" ht="15" customHeight="1" x14ac:dyDescent="0.2">
      <c r="A286" s="7">
        <v>2024</v>
      </c>
      <c r="B286" s="7" t="s">
        <v>50</v>
      </c>
      <c r="C286" s="7" t="s">
        <v>31</v>
      </c>
      <c r="D286" s="7">
        <v>18</v>
      </c>
      <c r="E286" s="7" t="s">
        <v>33</v>
      </c>
      <c r="F286" s="7" t="s">
        <v>32</v>
      </c>
      <c r="G286" s="8">
        <v>70</v>
      </c>
      <c r="H286" s="8">
        <v>163</v>
      </c>
      <c r="I286" s="8">
        <v>233</v>
      </c>
      <c r="J286" s="7" t="s">
        <v>33</v>
      </c>
      <c r="K286" s="7"/>
      <c r="L286" s="8"/>
      <c r="M286" s="8"/>
      <c r="N286" s="8"/>
      <c r="O286" s="7" t="s">
        <v>33</v>
      </c>
      <c r="P286" s="7" t="s">
        <v>32</v>
      </c>
      <c r="Q286" s="8">
        <v>66</v>
      </c>
      <c r="R286" s="8">
        <v>162</v>
      </c>
      <c r="S286" s="8">
        <v>228</v>
      </c>
      <c r="T286" s="7" t="s">
        <v>33</v>
      </c>
      <c r="U286" s="7" t="s">
        <v>32</v>
      </c>
      <c r="V286" s="8">
        <v>74</v>
      </c>
      <c r="W286" s="8">
        <v>162</v>
      </c>
      <c r="X286" s="8">
        <v>236</v>
      </c>
      <c r="Y286" s="9">
        <v>78.099999999999994</v>
      </c>
      <c r="Z286" s="10">
        <f t="shared" si="20"/>
        <v>0.30042918454935624</v>
      </c>
      <c r="AA286" s="10" t="str">
        <f t="shared" si="21"/>
        <v/>
      </c>
      <c r="AB286" s="10">
        <f t="shared" si="22"/>
        <v>0.28947368421052633</v>
      </c>
      <c r="AC286" s="10">
        <f t="shared" si="23"/>
        <v>0.3135593220338983</v>
      </c>
      <c r="AD286" s="8">
        <f t="shared" si="24"/>
        <v>88</v>
      </c>
    </row>
    <row r="287" spans="1:30" ht="15" customHeight="1" x14ac:dyDescent="0.2">
      <c r="A287" s="7">
        <v>2024</v>
      </c>
      <c r="B287" s="7" t="s">
        <v>51</v>
      </c>
      <c r="C287" s="7" t="s">
        <v>31</v>
      </c>
      <c r="D287" s="7">
        <v>19</v>
      </c>
      <c r="E287" s="7" t="s">
        <v>33</v>
      </c>
      <c r="F287" s="7" t="s">
        <v>32</v>
      </c>
      <c r="G287" s="8">
        <v>2101</v>
      </c>
      <c r="H287" s="8">
        <v>3823</v>
      </c>
      <c r="I287" s="8">
        <v>5924</v>
      </c>
      <c r="J287" s="7" t="s">
        <v>33</v>
      </c>
      <c r="K287" s="7"/>
      <c r="L287" s="8"/>
      <c r="M287" s="8"/>
      <c r="N287" s="8"/>
      <c r="O287" s="7" t="s">
        <v>33</v>
      </c>
      <c r="P287" s="7" t="s">
        <v>32</v>
      </c>
      <c r="Q287" s="8">
        <v>2089</v>
      </c>
      <c r="R287" s="8">
        <v>3711</v>
      </c>
      <c r="S287" s="8">
        <v>5800</v>
      </c>
      <c r="T287" s="7" t="s">
        <v>33</v>
      </c>
      <c r="U287" s="7" t="s">
        <v>32</v>
      </c>
      <c r="V287" s="8">
        <v>2047</v>
      </c>
      <c r="W287" s="8">
        <v>3702</v>
      </c>
      <c r="X287" s="8">
        <v>5749</v>
      </c>
      <c r="Y287" s="9">
        <v>71.3</v>
      </c>
      <c r="Z287" s="10">
        <f t="shared" si="20"/>
        <v>0.35465901417960838</v>
      </c>
      <c r="AA287" s="10" t="str">
        <f t="shared" si="21"/>
        <v/>
      </c>
      <c r="AB287" s="10">
        <f t="shared" si="22"/>
        <v>0.36017241379310344</v>
      </c>
      <c r="AC287" s="10">
        <f t="shared" si="23"/>
        <v>0.35606192381283702</v>
      </c>
      <c r="AD287" s="8">
        <f t="shared" si="24"/>
        <v>1655</v>
      </c>
    </row>
    <row r="288" spans="1:30" ht="15" customHeight="1" x14ac:dyDescent="0.2">
      <c r="A288" s="7">
        <v>2024</v>
      </c>
      <c r="B288" s="7" t="s">
        <v>52</v>
      </c>
      <c r="C288" s="7" t="s">
        <v>31</v>
      </c>
      <c r="D288" s="7">
        <v>20</v>
      </c>
      <c r="E288" s="7" t="s">
        <v>33</v>
      </c>
      <c r="F288" s="7" t="s">
        <v>32</v>
      </c>
      <c r="G288" s="8">
        <v>614</v>
      </c>
      <c r="H288" s="8">
        <v>1003</v>
      </c>
      <c r="I288" s="8">
        <v>1617</v>
      </c>
      <c r="J288" s="7" t="s">
        <v>33</v>
      </c>
      <c r="K288" s="7"/>
      <c r="L288" s="8"/>
      <c r="M288" s="8"/>
      <c r="N288" s="8"/>
      <c r="O288" s="7" t="s">
        <v>33</v>
      </c>
      <c r="P288" s="7" t="s">
        <v>32</v>
      </c>
      <c r="Q288" s="8">
        <v>647</v>
      </c>
      <c r="R288" s="8">
        <v>923</v>
      </c>
      <c r="S288" s="8">
        <v>1570</v>
      </c>
      <c r="T288" s="7" t="s">
        <v>33</v>
      </c>
      <c r="U288" s="7" t="s">
        <v>32</v>
      </c>
      <c r="V288" s="8">
        <v>660</v>
      </c>
      <c r="W288" s="8">
        <v>913</v>
      </c>
      <c r="X288" s="8">
        <v>1573</v>
      </c>
      <c r="Y288" s="9">
        <v>73.400000000000006</v>
      </c>
      <c r="Z288" s="10">
        <f t="shared" si="20"/>
        <v>0.37971552257266544</v>
      </c>
      <c r="AA288" s="10" t="str">
        <f t="shared" si="21"/>
        <v/>
      </c>
      <c r="AB288" s="10">
        <f t="shared" si="22"/>
        <v>0.4121019108280255</v>
      </c>
      <c r="AC288" s="10">
        <f t="shared" si="23"/>
        <v>0.41958041958041958</v>
      </c>
      <c r="AD288" s="8">
        <f t="shared" si="24"/>
        <v>253</v>
      </c>
    </row>
    <row r="289" spans="1:30" ht="15" customHeight="1" x14ac:dyDescent="0.2">
      <c r="A289" s="7">
        <v>2024</v>
      </c>
      <c r="B289" s="7" t="s">
        <v>53</v>
      </c>
      <c r="C289" s="7" t="s">
        <v>31</v>
      </c>
      <c r="D289" s="7">
        <v>21</v>
      </c>
      <c r="E289" s="7" t="s">
        <v>33</v>
      </c>
      <c r="F289" s="7" t="s">
        <v>32</v>
      </c>
      <c r="G289" s="8">
        <v>786</v>
      </c>
      <c r="H289" s="8">
        <v>1996</v>
      </c>
      <c r="I289" s="8">
        <v>2782</v>
      </c>
      <c r="J289" s="7" t="s">
        <v>33</v>
      </c>
      <c r="K289" s="7"/>
      <c r="L289" s="8"/>
      <c r="M289" s="8"/>
      <c r="N289" s="8"/>
      <c r="O289" s="7" t="s">
        <v>33</v>
      </c>
      <c r="P289" s="7" t="s">
        <v>32</v>
      </c>
      <c r="Q289" s="8">
        <v>789</v>
      </c>
      <c r="R289" s="8">
        <v>1941</v>
      </c>
      <c r="S289" s="8">
        <v>2730</v>
      </c>
      <c r="T289" s="7" t="s">
        <v>33</v>
      </c>
      <c r="U289" s="7" t="s">
        <v>32</v>
      </c>
      <c r="V289" s="8">
        <v>802</v>
      </c>
      <c r="W289" s="8">
        <v>1955</v>
      </c>
      <c r="X289" s="8">
        <v>2757</v>
      </c>
      <c r="Y289" s="9">
        <v>80.7</v>
      </c>
      <c r="Z289" s="10">
        <f t="shared" si="20"/>
        <v>0.28253055355859097</v>
      </c>
      <c r="AA289" s="10" t="str">
        <f t="shared" si="21"/>
        <v/>
      </c>
      <c r="AB289" s="10">
        <f t="shared" si="22"/>
        <v>0.28901098901098898</v>
      </c>
      <c r="AC289" s="10">
        <f t="shared" si="23"/>
        <v>0.29089590134203847</v>
      </c>
      <c r="AD289" s="8">
        <f t="shared" si="24"/>
        <v>1153</v>
      </c>
    </row>
    <row r="290" spans="1:30" ht="15" customHeight="1" x14ac:dyDescent="0.2">
      <c r="A290" s="7">
        <v>2024</v>
      </c>
      <c r="B290" s="7" t="s">
        <v>54</v>
      </c>
      <c r="C290" s="7" t="s">
        <v>31</v>
      </c>
      <c r="D290" s="7">
        <v>22</v>
      </c>
      <c r="E290" s="7" t="s">
        <v>33</v>
      </c>
      <c r="F290" s="7" t="s">
        <v>32</v>
      </c>
      <c r="G290" s="8">
        <v>336</v>
      </c>
      <c r="H290" s="8">
        <v>895</v>
      </c>
      <c r="I290" s="8">
        <v>1231</v>
      </c>
      <c r="J290" s="7" t="s">
        <v>33</v>
      </c>
      <c r="K290" s="7"/>
      <c r="L290" s="8"/>
      <c r="M290" s="8"/>
      <c r="N290" s="8"/>
      <c r="O290" s="7" t="s">
        <v>33</v>
      </c>
      <c r="P290" s="7" t="s">
        <v>32</v>
      </c>
      <c r="Q290" s="8">
        <v>357</v>
      </c>
      <c r="R290" s="8">
        <v>839</v>
      </c>
      <c r="S290" s="8">
        <v>1196</v>
      </c>
      <c r="T290" s="7" t="s">
        <v>33</v>
      </c>
      <c r="U290" s="7" t="s">
        <v>32</v>
      </c>
      <c r="V290" s="8">
        <v>351</v>
      </c>
      <c r="W290" s="8">
        <v>849</v>
      </c>
      <c r="X290" s="8">
        <v>1200</v>
      </c>
      <c r="Y290" s="9">
        <v>74.2</v>
      </c>
      <c r="Z290" s="10">
        <f t="shared" si="20"/>
        <v>0.27294882209585702</v>
      </c>
      <c r="AA290" s="10" t="str">
        <f t="shared" si="21"/>
        <v/>
      </c>
      <c r="AB290" s="10">
        <f t="shared" si="22"/>
        <v>0.298494983277592</v>
      </c>
      <c r="AC290" s="10">
        <f t="shared" si="23"/>
        <v>0.29249999999999998</v>
      </c>
      <c r="AD290" s="8">
        <f t="shared" si="24"/>
        <v>498</v>
      </c>
    </row>
    <row r="291" spans="1:30" ht="15" customHeight="1" x14ac:dyDescent="0.2">
      <c r="A291" s="7">
        <v>2024</v>
      </c>
      <c r="B291" s="7" t="s">
        <v>55</v>
      </c>
      <c r="C291" s="7" t="s">
        <v>31</v>
      </c>
      <c r="D291" s="7">
        <v>23</v>
      </c>
      <c r="E291" s="7" t="s">
        <v>33</v>
      </c>
      <c r="F291" s="7" t="s">
        <v>32</v>
      </c>
      <c r="G291" s="8">
        <v>50</v>
      </c>
      <c r="H291" s="8">
        <v>117</v>
      </c>
      <c r="I291" s="8">
        <v>167</v>
      </c>
      <c r="J291" s="7" t="s">
        <v>33</v>
      </c>
      <c r="K291" s="7"/>
      <c r="L291" s="8"/>
      <c r="M291" s="8"/>
      <c r="N291" s="8"/>
      <c r="O291" s="7" t="s">
        <v>33</v>
      </c>
      <c r="P291" s="7" t="s">
        <v>32</v>
      </c>
      <c r="Q291" s="8">
        <v>53</v>
      </c>
      <c r="R291" s="8">
        <v>106</v>
      </c>
      <c r="S291" s="8">
        <v>159</v>
      </c>
      <c r="T291" s="7" t="s">
        <v>33</v>
      </c>
      <c r="U291" s="7" t="s">
        <v>32</v>
      </c>
      <c r="V291" s="8">
        <v>58</v>
      </c>
      <c r="W291" s="8">
        <v>105</v>
      </c>
      <c r="X291" s="8">
        <v>163</v>
      </c>
      <c r="Y291" s="9">
        <v>67.599999999999994</v>
      </c>
      <c r="Z291" s="10">
        <f t="shared" si="20"/>
        <v>0.29940119760479039</v>
      </c>
      <c r="AA291" s="10" t="str">
        <f t="shared" si="21"/>
        <v/>
      </c>
      <c r="AB291" s="10">
        <f t="shared" si="22"/>
        <v>0.33333333333333331</v>
      </c>
      <c r="AC291" s="10">
        <f t="shared" si="23"/>
        <v>0.35582822085889571</v>
      </c>
      <c r="AD291" s="8">
        <f t="shared" si="24"/>
        <v>47</v>
      </c>
    </row>
    <row r="292" spans="1:30" ht="15" customHeight="1" x14ac:dyDescent="0.2">
      <c r="A292" s="7">
        <v>2024</v>
      </c>
      <c r="B292" s="7" t="s">
        <v>56</v>
      </c>
      <c r="C292" s="7" t="s">
        <v>57</v>
      </c>
      <c r="D292" s="7">
        <v>24</v>
      </c>
      <c r="E292" s="7" t="s">
        <v>33</v>
      </c>
      <c r="F292" s="7" t="s">
        <v>32</v>
      </c>
      <c r="G292" s="8">
        <v>624</v>
      </c>
      <c r="H292" s="8">
        <v>737</v>
      </c>
      <c r="I292" s="8">
        <v>1361</v>
      </c>
      <c r="J292" s="7" t="s">
        <v>33</v>
      </c>
      <c r="K292" s="7"/>
      <c r="L292" s="8"/>
      <c r="M292" s="8"/>
      <c r="N292" s="8"/>
      <c r="O292" s="7" t="s">
        <v>33</v>
      </c>
      <c r="P292" s="7" t="s">
        <v>32</v>
      </c>
      <c r="Q292" s="8">
        <v>609</v>
      </c>
      <c r="R292" s="8">
        <v>697</v>
      </c>
      <c r="S292" s="8">
        <v>1306</v>
      </c>
      <c r="T292" s="7" t="s">
        <v>33</v>
      </c>
      <c r="U292" s="7" t="s">
        <v>32</v>
      </c>
      <c r="V292" s="8">
        <v>601</v>
      </c>
      <c r="W292" s="8">
        <v>766</v>
      </c>
      <c r="X292" s="8">
        <v>1367</v>
      </c>
      <c r="Y292" s="9">
        <v>75.2</v>
      </c>
      <c r="Z292" s="10">
        <f t="shared" si="20"/>
        <v>0.45848640705363702</v>
      </c>
      <c r="AA292" s="10" t="str">
        <f t="shared" si="21"/>
        <v/>
      </c>
      <c r="AB292" s="10">
        <f t="shared" si="22"/>
        <v>0.46630934150076569</v>
      </c>
      <c r="AC292" s="10">
        <f t="shared" si="23"/>
        <v>0.43964886613021215</v>
      </c>
      <c r="AD292" s="8">
        <f t="shared" si="24"/>
        <v>165</v>
      </c>
    </row>
    <row r="293" spans="1:30" ht="15" customHeight="1" x14ac:dyDescent="0.2">
      <c r="A293" s="7">
        <v>2024</v>
      </c>
      <c r="B293" s="7" t="s">
        <v>58</v>
      </c>
      <c r="C293" s="7" t="s">
        <v>57</v>
      </c>
      <c r="D293" s="7">
        <v>25</v>
      </c>
      <c r="E293" s="7" t="s">
        <v>33</v>
      </c>
      <c r="F293" s="7" t="s">
        <v>33</v>
      </c>
      <c r="G293" s="8">
        <v>25761</v>
      </c>
      <c r="H293" s="8">
        <v>16066</v>
      </c>
      <c r="I293" s="8">
        <v>41827</v>
      </c>
      <c r="J293" s="7" t="s">
        <v>33</v>
      </c>
      <c r="K293" s="7"/>
      <c r="L293" s="8"/>
      <c r="M293" s="8"/>
      <c r="N293" s="8"/>
      <c r="O293" s="7" t="s">
        <v>33</v>
      </c>
      <c r="P293" s="7" t="s">
        <v>33</v>
      </c>
      <c r="Q293" s="8">
        <v>25134</v>
      </c>
      <c r="R293" s="8">
        <v>14364</v>
      </c>
      <c r="S293" s="8">
        <v>39498</v>
      </c>
      <c r="T293" s="7" t="s">
        <v>33</v>
      </c>
      <c r="U293" s="7" t="s">
        <v>33</v>
      </c>
      <c r="V293" s="8">
        <v>26568</v>
      </c>
      <c r="W293" s="8">
        <v>14583</v>
      </c>
      <c r="X293" s="8">
        <v>41151</v>
      </c>
      <c r="Y293" s="9">
        <v>67.5</v>
      </c>
      <c r="Z293" s="10">
        <f t="shared" si="20"/>
        <v>0.61589403973509937</v>
      </c>
      <c r="AA293" s="10" t="str">
        <f t="shared" si="21"/>
        <v/>
      </c>
      <c r="AB293" s="10">
        <f t="shared" si="22"/>
        <v>0.63633601701351972</v>
      </c>
      <c r="AC293" s="10">
        <f t="shared" si="23"/>
        <v>0.64562222060217245</v>
      </c>
      <c r="AD293" s="8">
        <f t="shared" si="24"/>
        <v>-11985</v>
      </c>
    </row>
    <row r="294" spans="1:30" ht="15" customHeight="1" x14ac:dyDescent="0.2">
      <c r="A294" s="7">
        <v>2024</v>
      </c>
      <c r="B294" s="7" t="s">
        <v>59</v>
      </c>
      <c r="C294" s="7" t="s">
        <v>57</v>
      </c>
      <c r="D294" s="7">
        <v>26</v>
      </c>
      <c r="E294" s="7" t="s">
        <v>33</v>
      </c>
      <c r="F294" s="7" t="s">
        <v>33</v>
      </c>
      <c r="G294" s="8">
        <v>6459</v>
      </c>
      <c r="H294" s="8">
        <v>4011</v>
      </c>
      <c r="I294" s="8">
        <v>10470</v>
      </c>
      <c r="J294" s="7" t="s">
        <v>33</v>
      </c>
      <c r="K294" s="7"/>
      <c r="L294" s="8"/>
      <c r="M294" s="8"/>
      <c r="N294" s="8"/>
      <c r="O294" s="7" t="s">
        <v>33</v>
      </c>
      <c r="P294" s="7" t="s">
        <v>33</v>
      </c>
      <c r="Q294" s="8">
        <v>6355</v>
      </c>
      <c r="R294" s="8">
        <v>3782</v>
      </c>
      <c r="S294" s="8">
        <v>10137</v>
      </c>
      <c r="T294" s="7" t="s">
        <v>33</v>
      </c>
      <c r="U294" s="7" t="s">
        <v>33</v>
      </c>
      <c r="V294" s="8">
        <v>6612</v>
      </c>
      <c r="W294" s="8">
        <v>3834</v>
      </c>
      <c r="X294" s="8">
        <v>10446</v>
      </c>
      <c r="Y294" s="9">
        <v>71.099999999999994</v>
      </c>
      <c r="Z294" s="10">
        <f t="shared" si="20"/>
        <v>0.61690544412607451</v>
      </c>
      <c r="AA294" s="10" t="str">
        <f t="shared" si="21"/>
        <v/>
      </c>
      <c r="AB294" s="10">
        <f t="shared" si="22"/>
        <v>0.62691131498470953</v>
      </c>
      <c r="AC294" s="10">
        <f t="shared" si="23"/>
        <v>0.63296955772544516</v>
      </c>
      <c r="AD294" s="8">
        <f t="shared" si="24"/>
        <v>-2778</v>
      </c>
    </row>
    <row r="295" spans="1:30" ht="15" customHeight="1" x14ac:dyDescent="0.2">
      <c r="A295" s="7">
        <v>2024</v>
      </c>
      <c r="B295" s="7" t="s">
        <v>60</v>
      </c>
      <c r="C295" s="7" t="s">
        <v>57</v>
      </c>
      <c r="D295" s="7">
        <v>27</v>
      </c>
      <c r="E295" s="7" t="s">
        <v>33</v>
      </c>
      <c r="F295" s="7" t="s">
        <v>32</v>
      </c>
      <c r="G295" s="8">
        <v>1499</v>
      </c>
      <c r="H295" s="8">
        <v>1564</v>
      </c>
      <c r="I295" s="8">
        <v>3063</v>
      </c>
      <c r="J295" s="7" t="s">
        <v>33</v>
      </c>
      <c r="K295" s="7"/>
      <c r="L295" s="8"/>
      <c r="M295" s="8"/>
      <c r="N295" s="8"/>
      <c r="O295" s="7" t="s">
        <v>33</v>
      </c>
      <c r="P295" s="7" t="s">
        <v>33</v>
      </c>
      <c r="Q295" s="8">
        <v>1489</v>
      </c>
      <c r="R295" s="8">
        <v>1457</v>
      </c>
      <c r="S295" s="8">
        <v>2946</v>
      </c>
      <c r="T295" s="7" t="s">
        <v>33</v>
      </c>
      <c r="U295" s="7" t="s">
        <v>33</v>
      </c>
      <c r="V295" s="8">
        <v>1560</v>
      </c>
      <c r="W295" s="8">
        <v>1491</v>
      </c>
      <c r="X295" s="8">
        <v>3051</v>
      </c>
      <c r="Y295" s="9">
        <v>69.099999999999994</v>
      </c>
      <c r="Z295" s="10">
        <f t="shared" si="20"/>
        <v>0.48938948743062355</v>
      </c>
      <c r="AA295" s="10" t="str">
        <f t="shared" si="21"/>
        <v/>
      </c>
      <c r="AB295" s="10">
        <f t="shared" si="22"/>
        <v>0.5054310930074678</v>
      </c>
      <c r="AC295" s="10">
        <f t="shared" si="23"/>
        <v>0.51130776794493604</v>
      </c>
      <c r="AD295" s="8">
        <f t="shared" si="24"/>
        <v>-69</v>
      </c>
    </row>
    <row r="296" spans="1:30" ht="15" customHeight="1" x14ac:dyDescent="0.2">
      <c r="A296" s="7">
        <v>2024</v>
      </c>
      <c r="B296" s="7" t="s">
        <v>61</v>
      </c>
      <c r="C296" s="7" t="s">
        <v>57</v>
      </c>
      <c r="D296" s="7">
        <v>28</v>
      </c>
      <c r="E296" s="7" t="s">
        <v>33</v>
      </c>
      <c r="F296" s="7" t="s">
        <v>32</v>
      </c>
      <c r="G296" s="8">
        <v>720</v>
      </c>
      <c r="H296" s="8">
        <v>806</v>
      </c>
      <c r="I296" s="8">
        <v>1526</v>
      </c>
      <c r="J296" s="7" t="s">
        <v>33</v>
      </c>
      <c r="K296" s="7"/>
      <c r="L296" s="8"/>
      <c r="M296" s="8"/>
      <c r="N296" s="8"/>
      <c r="O296" s="7" t="s">
        <v>33</v>
      </c>
      <c r="P296" s="7" t="s">
        <v>32</v>
      </c>
      <c r="Q296" s="8">
        <v>710</v>
      </c>
      <c r="R296" s="8">
        <v>797</v>
      </c>
      <c r="S296" s="8">
        <v>1507</v>
      </c>
      <c r="T296" s="7" t="s">
        <v>33</v>
      </c>
      <c r="U296" s="7" t="s">
        <v>32</v>
      </c>
      <c r="V296" s="8">
        <v>735</v>
      </c>
      <c r="W296" s="8">
        <v>804</v>
      </c>
      <c r="X296" s="8">
        <v>1539</v>
      </c>
      <c r="Y296" s="9">
        <v>80.400000000000006</v>
      </c>
      <c r="Z296" s="10">
        <f t="shared" si="20"/>
        <v>0.47182175622542594</v>
      </c>
      <c r="AA296" s="10" t="str">
        <f t="shared" si="21"/>
        <v/>
      </c>
      <c r="AB296" s="10">
        <f t="shared" si="22"/>
        <v>0.47113470471134705</v>
      </c>
      <c r="AC296" s="10">
        <f t="shared" si="23"/>
        <v>0.47758284600389861</v>
      </c>
      <c r="AD296" s="8">
        <f t="shared" si="24"/>
        <v>69</v>
      </c>
    </row>
    <row r="297" spans="1:30" ht="15" customHeight="1" x14ac:dyDescent="0.2">
      <c r="A297" s="7">
        <v>2024</v>
      </c>
      <c r="B297" s="7" t="s">
        <v>62</v>
      </c>
      <c r="C297" s="7" t="s">
        <v>57</v>
      </c>
      <c r="D297" s="7">
        <v>29</v>
      </c>
      <c r="E297" s="7" t="s">
        <v>33</v>
      </c>
      <c r="F297" s="7" t="s">
        <v>32</v>
      </c>
      <c r="G297" s="8">
        <v>840</v>
      </c>
      <c r="H297" s="8">
        <v>961</v>
      </c>
      <c r="I297" s="8">
        <v>1801</v>
      </c>
      <c r="J297" s="7" t="s">
        <v>33</v>
      </c>
      <c r="K297" s="7"/>
      <c r="L297" s="8"/>
      <c r="M297" s="8"/>
      <c r="N297" s="8"/>
      <c r="O297" s="7" t="s">
        <v>33</v>
      </c>
      <c r="P297" s="7" t="s">
        <v>32</v>
      </c>
      <c r="Q297" s="8">
        <v>856</v>
      </c>
      <c r="R297" s="8">
        <v>874</v>
      </c>
      <c r="S297" s="8">
        <v>1730</v>
      </c>
      <c r="T297" s="7" t="s">
        <v>33</v>
      </c>
      <c r="U297" s="7" t="s">
        <v>33</v>
      </c>
      <c r="V297" s="8">
        <v>899</v>
      </c>
      <c r="W297" s="8">
        <v>898</v>
      </c>
      <c r="X297" s="8">
        <v>1797</v>
      </c>
      <c r="Y297" s="9">
        <v>73.099999999999994</v>
      </c>
      <c r="Z297" s="10">
        <f t="shared" si="20"/>
        <v>0.46640755136035533</v>
      </c>
      <c r="AA297" s="10" t="str">
        <f t="shared" si="21"/>
        <v/>
      </c>
      <c r="AB297" s="10">
        <f t="shared" si="22"/>
        <v>0.49479768786127165</v>
      </c>
      <c r="AC297" s="10">
        <f t="shared" si="23"/>
        <v>0.50027824151363387</v>
      </c>
      <c r="AD297" s="8">
        <f t="shared" si="24"/>
        <v>-1</v>
      </c>
    </row>
    <row r="298" spans="1:30" ht="15" customHeight="1" x14ac:dyDescent="0.2">
      <c r="A298" s="7">
        <v>2024</v>
      </c>
      <c r="B298" s="7" t="s">
        <v>63</v>
      </c>
      <c r="C298" s="7" t="s">
        <v>57</v>
      </c>
      <c r="D298" s="7">
        <v>30</v>
      </c>
      <c r="E298" s="7" t="s">
        <v>33</v>
      </c>
      <c r="F298" s="7" t="s">
        <v>33</v>
      </c>
      <c r="G298" s="8">
        <v>3613</v>
      </c>
      <c r="H298" s="8">
        <v>3278</v>
      </c>
      <c r="I298" s="8">
        <v>6891</v>
      </c>
      <c r="J298" s="7" t="s">
        <v>33</v>
      </c>
      <c r="K298" s="7"/>
      <c r="L298" s="8"/>
      <c r="M298" s="8"/>
      <c r="N298" s="8"/>
      <c r="O298" s="7" t="s">
        <v>33</v>
      </c>
      <c r="P298" s="7" t="s">
        <v>33</v>
      </c>
      <c r="Q298" s="8">
        <v>3549</v>
      </c>
      <c r="R298" s="8">
        <v>3159</v>
      </c>
      <c r="S298" s="8">
        <v>6708</v>
      </c>
      <c r="T298" s="7" t="s">
        <v>33</v>
      </c>
      <c r="U298" s="7" t="s">
        <v>33</v>
      </c>
      <c r="V298" s="8">
        <v>3663</v>
      </c>
      <c r="W298" s="8">
        <v>3236</v>
      </c>
      <c r="X298" s="8">
        <v>6899</v>
      </c>
      <c r="Y298" s="9">
        <v>78.2</v>
      </c>
      <c r="Z298" s="10">
        <f t="shared" si="20"/>
        <v>0.52430706718908726</v>
      </c>
      <c r="AA298" s="10" t="str">
        <f t="shared" si="21"/>
        <v/>
      </c>
      <c r="AB298" s="10">
        <f t="shared" si="22"/>
        <v>0.52906976744186052</v>
      </c>
      <c r="AC298" s="10">
        <f t="shared" si="23"/>
        <v>0.53094651398753445</v>
      </c>
      <c r="AD298" s="8">
        <f t="shared" si="24"/>
        <v>-427</v>
      </c>
    </row>
    <row r="299" spans="1:30" ht="15" customHeight="1" x14ac:dyDescent="0.2">
      <c r="A299" s="7">
        <v>2024</v>
      </c>
      <c r="B299" s="7" t="s">
        <v>64</v>
      </c>
      <c r="C299" s="7" t="s">
        <v>57</v>
      </c>
      <c r="D299" s="7">
        <v>31</v>
      </c>
      <c r="E299" s="7" t="s">
        <v>33</v>
      </c>
      <c r="F299" s="7" t="s">
        <v>33</v>
      </c>
      <c r="G299" s="8">
        <v>1392</v>
      </c>
      <c r="H299" s="8">
        <v>825</v>
      </c>
      <c r="I299" s="8">
        <v>2217</v>
      </c>
      <c r="J299" s="7" t="s">
        <v>33</v>
      </c>
      <c r="K299" s="7"/>
      <c r="L299" s="8"/>
      <c r="M299" s="8"/>
      <c r="N299" s="8"/>
      <c r="O299" s="7" t="s">
        <v>33</v>
      </c>
      <c r="P299" s="7" t="s">
        <v>33</v>
      </c>
      <c r="Q299" s="8">
        <v>1377</v>
      </c>
      <c r="R299" s="8">
        <v>766</v>
      </c>
      <c r="S299" s="8">
        <v>2143</v>
      </c>
      <c r="T299" s="7" t="s">
        <v>33</v>
      </c>
      <c r="U299" s="7" t="s">
        <v>33</v>
      </c>
      <c r="V299" s="8">
        <v>1433</v>
      </c>
      <c r="W299" s="8">
        <v>793</v>
      </c>
      <c r="X299" s="8">
        <v>2226</v>
      </c>
      <c r="Y299" s="9">
        <v>70.099999999999994</v>
      </c>
      <c r="Z299" s="10">
        <f t="shared" si="20"/>
        <v>0.62787550744248988</v>
      </c>
      <c r="AA299" s="10" t="str">
        <f t="shared" si="21"/>
        <v/>
      </c>
      <c r="AB299" s="10">
        <f t="shared" si="22"/>
        <v>0.64255716285580966</v>
      </c>
      <c r="AC299" s="10">
        <f t="shared" si="23"/>
        <v>0.64375561545372861</v>
      </c>
      <c r="AD299" s="8">
        <f t="shared" si="24"/>
        <v>-640</v>
      </c>
    </row>
    <row r="300" spans="1:30" ht="15" customHeight="1" x14ac:dyDescent="0.2">
      <c r="A300" s="7">
        <v>2024</v>
      </c>
      <c r="B300" s="7" t="s">
        <v>65</v>
      </c>
      <c r="C300" s="7" t="s">
        <v>57</v>
      </c>
      <c r="D300" s="7">
        <v>32</v>
      </c>
      <c r="E300" s="7" t="s">
        <v>33</v>
      </c>
      <c r="F300" s="7" t="s">
        <v>33</v>
      </c>
      <c r="G300" s="8">
        <v>361</v>
      </c>
      <c r="H300" s="8">
        <v>346</v>
      </c>
      <c r="I300" s="8">
        <v>707</v>
      </c>
      <c r="J300" s="7" t="s">
        <v>33</v>
      </c>
      <c r="K300" s="7"/>
      <c r="L300" s="8"/>
      <c r="M300" s="8"/>
      <c r="N300" s="8"/>
      <c r="O300" s="7" t="s">
        <v>33</v>
      </c>
      <c r="P300" s="7" t="s">
        <v>33</v>
      </c>
      <c r="Q300" s="8">
        <v>362</v>
      </c>
      <c r="R300" s="8">
        <v>320</v>
      </c>
      <c r="S300" s="8">
        <v>682</v>
      </c>
      <c r="T300" s="7" t="s">
        <v>33</v>
      </c>
      <c r="U300" s="7" t="s">
        <v>33</v>
      </c>
      <c r="V300" s="8">
        <v>379</v>
      </c>
      <c r="W300" s="8">
        <v>330</v>
      </c>
      <c r="X300" s="8">
        <v>709</v>
      </c>
      <c r="Y300" s="9">
        <v>79.2</v>
      </c>
      <c r="Z300" s="10">
        <f t="shared" si="20"/>
        <v>0.51060820367751059</v>
      </c>
      <c r="AA300" s="10" t="str">
        <f t="shared" si="21"/>
        <v/>
      </c>
      <c r="AB300" s="10">
        <f t="shared" si="22"/>
        <v>0.53079178885630496</v>
      </c>
      <c r="AC300" s="10">
        <f t="shared" si="23"/>
        <v>0.5345557122708039</v>
      </c>
      <c r="AD300" s="8">
        <f t="shared" si="24"/>
        <v>-49</v>
      </c>
    </row>
    <row r="301" spans="1:30" ht="15" customHeight="1" x14ac:dyDescent="0.2">
      <c r="A301" s="7">
        <v>2024</v>
      </c>
      <c r="B301" s="7" t="s">
        <v>66</v>
      </c>
      <c r="C301" s="7" t="s">
        <v>57</v>
      </c>
      <c r="D301" s="7">
        <v>33</v>
      </c>
      <c r="E301" s="7" t="s">
        <v>33</v>
      </c>
      <c r="F301" s="7" t="s">
        <v>32</v>
      </c>
      <c r="G301" s="8">
        <v>640</v>
      </c>
      <c r="H301" s="8">
        <v>1460</v>
      </c>
      <c r="I301" s="8">
        <v>2100</v>
      </c>
      <c r="J301" s="7" t="s">
        <v>33</v>
      </c>
      <c r="K301" s="7"/>
      <c r="L301" s="8"/>
      <c r="M301" s="8"/>
      <c r="N301" s="8"/>
      <c r="O301" s="7" t="s">
        <v>33</v>
      </c>
      <c r="P301" s="7" t="s">
        <v>32</v>
      </c>
      <c r="Q301" s="8">
        <v>641</v>
      </c>
      <c r="R301" s="8">
        <v>1399</v>
      </c>
      <c r="S301" s="8">
        <v>2040</v>
      </c>
      <c r="T301" s="7" t="s">
        <v>33</v>
      </c>
      <c r="U301" s="7" t="s">
        <v>32</v>
      </c>
      <c r="V301" s="8">
        <v>654</v>
      </c>
      <c r="W301" s="8">
        <v>1439</v>
      </c>
      <c r="X301" s="8">
        <v>2093</v>
      </c>
      <c r="Y301" s="9">
        <v>72.5</v>
      </c>
      <c r="Z301" s="10">
        <f t="shared" si="20"/>
        <v>0.30476190476190479</v>
      </c>
      <c r="AA301" s="10" t="str">
        <f t="shared" si="21"/>
        <v/>
      </c>
      <c r="AB301" s="10">
        <f t="shared" si="22"/>
        <v>0.3142156862745098</v>
      </c>
      <c r="AC301" s="10">
        <f t="shared" si="23"/>
        <v>0.3124701385570951</v>
      </c>
      <c r="AD301" s="8">
        <f t="shared" si="24"/>
        <v>785</v>
      </c>
    </row>
    <row r="302" spans="1:30" ht="15" customHeight="1" x14ac:dyDescent="0.2">
      <c r="A302" s="7">
        <v>2024</v>
      </c>
      <c r="B302" s="7" t="s">
        <v>67</v>
      </c>
      <c r="C302" s="7" t="s">
        <v>57</v>
      </c>
      <c r="D302" s="7">
        <v>34</v>
      </c>
      <c r="E302" s="7" t="s">
        <v>33</v>
      </c>
      <c r="F302" s="7" t="s">
        <v>33</v>
      </c>
      <c r="G302" s="8">
        <v>10271</v>
      </c>
      <c r="H302" s="8">
        <v>9768</v>
      </c>
      <c r="I302" s="8">
        <v>20039</v>
      </c>
      <c r="J302" s="7" t="s">
        <v>33</v>
      </c>
      <c r="K302" s="7"/>
      <c r="L302" s="8"/>
      <c r="M302" s="8"/>
      <c r="N302" s="8"/>
      <c r="O302" s="7" t="s">
        <v>33</v>
      </c>
      <c r="P302" s="7" t="s">
        <v>33</v>
      </c>
      <c r="Q302" s="8">
        <v>10075</v>
      </c>
      <c r="R302" s="8">
        <v>9694</v>
      </c>
      <c r="S302" s="8">
        <v>19769</v>
      </c>
      <c r="T302" s="7" t="s">
        <v>33</v>
      </c>
      <c r="U302" s="7" t="s">
        <v>32</v>
      </c>
      <c r="V302" s="8">
        <v>10021</v>
      </c>
      <c r="W302" s="8">
        <v>10199</v>
      </c>
      <c r="X302" s="8">
        <v>20220</v>
      </c>
      <c r="Y302" s="9">
        <v>77.2</v>
      </c>
      <c r="Z302" s="10">
        <f t="shared" si="20"/>
        <v>0.51255052647337696</v>
      </c>
      <c r="AA302" s="10" t="str">
        <f t="shared" si="21"/>
        <v/>
      </c>
      <c r="AB302" s="10">
        <f t="shared" si="22"/>
        <v>0.50963629925641152</v>
      </c>
      <c r="AC302" s="10">
        <f t="shared" si="23"/>
        <v>0.49559841740850641</v>
      </c>
      <c r="AD302" s="8">
        <f t="shared" si="24"/>
        <v>178</v>
      </c>
    </row>
    <row r="303" spans="1:30" ht="15" customHeight="1" x14ac:dyDescent="0.2">
      <c r="A303" s="7">
        <v>2024</v>
      </c>
      <c r="B303" s="7" t="s">
        <v>68</v>
      </c>
      <c r="C303" s="7" t="s">
        <v>57</v>
      </c>
      <c r="D303" s="7">
        <v>35</v>
      </c>
      <c r="E303" s="7" t="s">
        <v>33</v>
      </c>
      <c r="F303" s="7" t="s">
        <v>32</v>
      </c>
      <c r="G303" s="8">
        <v>982</v>
      </c>
      <c r="H303" s="8">
        <v>1590</v>
      </c>
      <c r="I303" s="8">
        <v>2572</v>
      </c>
      <c r="J303" s="7" t="s">
        <v>33</v>
      </c>
      <c r="K303" s="7"/>
      <c r="L303" s="8"/>
      <c r="M303" s="8"/>
      <c r="N303" s="8"/>
      <c r="O303" s="7" t="s">
        <v>33</v>
      </c>
      <c r="P303" s="7" t="s">
        <v>32</v>
      </c>
      <c r="Q303" s="8">
        <v>954</v>
      </c>
      <c r="R303" s="8">
        <v>1574</v>
      </c>
      <c r="S303" s="8">
        <v>2528</v>
      </c>
      <c r="T303" s="7" t="s">
        <v>33</v>
      </c>
      <c r="U303" s="7" t="s">
        <v>32</v>
      </c>
      <c r="V303" s="8">
        <v>985</v>
      </c>
      <c r="W303" s="8">
        <v>1586</v>
      </c>
      <c r="X303" s="8">
        <v>2571</v>
      </c>
      <c r="Y303" s="9">
        <v>83.1</v>
      </c>
      <c r="Z303" s="10">
        <f t="shared" si="20"/>
        <v>0.38180404354587871</v>
      </c>
      <c r="AA303" s="10" t="str">
        <f t="shared" si="21"/>
        <v/>
      </c>
      <c r="AB303" s="10">
        <f t="shared" si="22"/>
        <v>0.377373417721519</v>
      </c>
      <c r="AC303" s="10">
        <f t="shared" si="23"/>
        <v>0.38311940879035394</v>
      </c>
      <c r="AD303" s="8">
        <f t="shared" si="24"/>
        <v>601</v>
      </c>
    </row>
    <row r="304" spans="1:30" ht="15" customHeight="1" x14ac:dyDescent="0.2">
      <c r="A304" s="7">
        <v>2024</v>
      </c>
      <c r="B304" s="7" t="s">
        <v>69</v>
      </c>
      <c r="C304" s="7" t="s">
        <v>57</v>
      </c>
      <c r="D304" s="7">
        <v>36</v>
      </c>
      <c r="E304" s="7" t="s">
        <v>33</v>
      </c>
      <c r="F304" s="7" t="s">
        <v>32</v>
      </c>
      <c r="G304" s="8">
        <v>550</v>
      </c>
      <c r="H304" s="8">
        <v>978</v>
      </c>
      <c r="I304" s="8">
        <v>1528</v>
      </c>
      <c r="J304" s="7" t="s">
        <v>33</v>
      </c>
      <c r="K304" s="7"/>
      <c r="L304" s="8"/>
      <c r="M304" s="8"/>
      <c r="N304" s="8"/>
      <c r="O304" s="7" t="s">
        <v>33</v>
      </c>
      <c r="P304" s="7" t="s">
        <v>32</v>
      </c>
      <c r="Q304" s="8">
        <v>549</v>
      </c>
      <c r="R304" s="8">
        <v>961</v>
      </c>
      <c r="S304" s="8">
        <v>1510</v>
      </c>
      <c r="T304" s="7" t="s">
        <v>33</v>
      </c>
      <c r="U304" s="7" t="s">
        <v>32</v>
      </c>
      <c r="V304" s="8">
        <v>543</v>
      </c>
      <c r="W304" s="8">
        <v>990</v>
      </c>
      <c r="X304" s="8">
        <v>1533</v>
      </c>
      <c r="Y304" s="9">
        <v>82.2</v>
      </c>
      <c r="Z304" s="10">
        <f t="shared" si="20"/>
        <v>0.3599476439790576</v>
      </c>
      <c r="AA304" s="10" t="str">
        <f t="shared" si="21"/>
        <v/>
      </c>
      <c r="AB304" s="10">
        <f t="shared" si="22"/>
        <v>0.36357615894039735</v>
      </c>
      <c r="AC304" s="10">
        <f t="shared" si="23"/>
        <v>0.3542074363992172</v>
      </c>
      <c r="AD304" s="8">
        <f t="shared" si="24"/>
        <v>447</v>
      </c>
    </row>
    <row r="305" spans="1:30" ht="15" customHeight="1" x14ac:dyDescent="0.2">
      <c r="A305" s="7">
        <v>2024</v>
      </c>
      <c r="B305" s="7" t="s">
        <v>70</v>
      </c>
      <c r="C305" s="7" t="s">
        <v>57</v>
      </c>
      <c r="D305" s="7">
        <v>37</v>
      </c>
      <c r="E305" s="7" t="s">
        <v>33</v>
      </c>
      <c r="F305" s="7" t="s">
        <v>32</v>
      </c>
      <c r="G305" s="8">
        <v>815</v>
      </c>
      <c r="H305" s="8">
        <v>1888</v>
      </c>
      <c r="I305" s="8">
        <v>2703</v>
      </c>
      <c r="J305" s="7" t="s">
        <v>33</v>
      </c>
      <c r="K305" s="7"/>
      <c r="L305" s="8"/>
      <c r="M305" s="8"/>
      <c r="N305" s="8"/>
      <c r="O305" s="7" t="s">
        <v>33</v>
      </c>
      <c r="P305" s="7" t="s">
        <v>32</v>
      </c>
      <c r="Q305" s="8">
        <v>816</v>
      </c>
      <c r="R305" s="8">
        <v>1831</v>
      </c>
      <c r="S305" s="8">
        <v>2647</v>
      </c>
      <c r="T305" s="7" t="s">
        <v>33</v>
      </c>
      <c r="U305" s="7" t="s">
        <v>32</v>
      </c>
      <c r="V305" s="8">
        <v>850</v>
      </c>
      <c r="W305" s="8">
        <v>1856</v>
      </c>
      <c r="X305" s="8">
        <v>2706</v>
      </c>
      <c r="Y305" s="9">
        <v>84.4</v>
      </c>
      <c r="Z305" s="10">
        <f t="shared" si="20"/>
        <v>0.3015168331483537</v>
      </c>
      <c r="AA305" s="10" t="str">
        <f t="shared" si="21"/>
        <v/>
      </c>
      <c r="AB305" s="10">
        <f t="shared" si="22"/>
        <v>0.30827351718927087</v>
      </c>
      <c r="AC305" s="10">
        <f t="shared" si="23"/>
        <v>0.31411677753141165</v>
      </c>
      <c r="AD305" s="8">
        <f t="shared" si="24"/>
        <v>1006</v>
      </c>
    </row>
    <row r="306" spans="1:30" ht="15" customHeight="1" x14ac:dyDescent="0.2">
      <c r="A306" s="7">
        <v>2024</v>
      </c>
      <c r="B306" s="7" t="s">
        <v>71</v>
      </c>
      <c r="C306" s="7" t="s">
        <v>57</v>
      </c>
      <c r="D306" s="7">
        <v>38</v>
      </c>
      <c r="E306" s="7" t="s">
        <v>33</v>
      </c>
      <c r="F306" s="7" t="s">
        <v>33</v>
      </c>
      <c r="G306" s="8">
        <v>1005</v>
      </c>
      <c r="H306" s="8">
        <v>848</v>
      </c>
      <c r="I306" s="8">
        <v>1853</v>
      </c>
      <c r="J306" s="7" t="s">
        <v>33</v>
      </c>
      <c r="K306" s="7"/>
      <c r="L306" s="8"/>
      <c r="M306" s="8"/>
      <c r="N306" s="8"/>
      <c r="O306" s="7" t="s">
        <v>33</v>
      </c>
      <c r="P306" s="7" t="s">
        <v>33</v>
      </c>
      <c r="Q306" s="8">
        <v>980</v>
      </c>
      <c r="R306" s="8">
        <v>815</v>
      </c>
      <c r="S306" s="8">
        <v>1795</v>
      </c>
      <c r="T306" s="7" t="s">
        <v>33</v>
      </c>
      <c r="U306" s="7" t="s">
        <v>33</v>
      </c>
      <c r="V306" s="8">
        <v>980</v>
      </c>
      <c r="W306" s="8">
        <v>872</v>
      </c>
      <c r="X306" s="8">
        <v>1852</v>
      </c>
      <c r="Y306" s="9">
        <v>85.1</v>
      </c>
      <c r="Z306" s="10">
        <f t="shared" si="20"/>
        <v>0.5423637344846195</v>
      </c>
      <c r="AA306" s="10" t="str">
        <f t="shared" si="21"/>
        <v/>
      </c>
      <c r="AB306" s="10">
        <f t="shared" si="22"/>
        <v>0.54596100278551529</v>
      </c>
      <c r="AC306" s="10">
        <f t="shared" si="23"/>
        <v>0.52915766738660908</v>
      </c>
      <c r="AD306" s="8">
        <f t="shared" si="24"/>
        <v>-108</v>
      </c>
    </row>
    <row r="307" spans="1:30" ht="15" customHeight="1" x14ac:dyDescent="0.2">
      <c r="A307" s="7">
        <v>2024</v>
      </c>
      <c r="B307" s="7" t="s">
        <v>72</v>
      </c>
      <c r="C307" s="7" t="s">
        <v>57</v>
      </c>
      <c r="D307" s="7">
        <v>39</v>
      </c>
      <c r="E307" s="7" t="s">
        <v>33</v>
      </c>
      <c r="F307" s="7" t="s">
        <v>32</v>
      </c>
      <c r="G307" s="8">
        <v>3945</v>
      </c>
      <c r="H307" s="8">
        <v>5968</v>
      </c>
      <c r="I307" s="8">
        <v>9913</v>
      </c>
      <c r="J307" s="7" t="s">
        <v>33</v>
      </c>
      <c r="K307" s="7"/>
      <c r="L307" s="8"/>
      <c r="M307" s="8"/>
      <c r="N307" s="8"/>
      <c r="O307" s="7" t="s">
        <v>33</v>
      </c>
      <c r="P307" s="7" t="s">
        <v>32</v>
      </c>
      <c r="Q307" s="8">
        <v>3932</v>
      </c>
      <c r="R307" s="8">
        <v>5819</v>
      </c>
      <c r="S307" s="8">
        <v>9751</v>
      </c>
      <c r="T307" s="7" t="s">
        <v>33</v>
      </c>
      <c r="U307" s="7" t="s">
        <v>32</v>
      </c>
      <c r="V307" s="8">
        <v>4022</v>
      </c>
      <c r="W307" s="8">
        <v>5915</v>
      </c>
      <c r="X307" s="8">
        <v>9937</v>
      </c>
      <c r="Y307" s="9">
        <v>84.2</v>
      </c>
      <c r="Z307" s="10">
        <f t="shared" si="20"/>
        <v>0.39796227176434984</v>
      </c>
      <c r="AA307" s="10" t="str">
        <f t="shared" si="21"/>
        <v/>
      </c>
      <c r="AB307" s="10">
        <f t="shared" si="22"/>
        <v>0.4032406932622295</v>
      </c>
      <c r="AC307" s="10">
        <f t="shared" si="23"/>
        <v>0.40474992452450437</v>
      </c>
      <c r="AD307" s="8">
        <f t="shared" si="24"/>
        <v>1893</v>
      </c>
    </row>
    <row r="308" spans="1:30" ht="15" customHeight="1" x14ac:dyDescent="0.2">
      <c r="A308" s="7">
        <v>2024</v>
      </c>
      <c r="B308" s="7" t="s">
        <v>73</v>
      </c>
      <c r="C308" s="7" t="s">
        <v>57</v>
      </c>
      <c r="D308" s="7">
        <v>40</v>
      </c>
      <c r="E308" s="7" t="s">
        <v>33</v>
      </c>
      <c r="F308" s="7" t="s">
        <v>32</v>
      </c>
      <c r="G308" s="8">
        <v>3910</v>
      </c>
      <c r="H308" s="8">
        <v>4194</v>
      </c>
      <c r="I308" s="8">
        <v>8104</v>
      </c>
      <c r="J308" s="7" t="s">
        <v>33</v>
      </c>
      <c r="K308" s="7"/>
      <c r="L308" s="8"/>
      <c r="M308" s="8"/>
      <c r="N308" s="8"/>
      <c r="O308" s="7" t="s">
        <v>33</v>
      </c>
      <c r="P308" s="7" t="s">
        <v>32</v>
      </c>
      <c r="Q308" s="8">
        <v>3904</v>
      </c>
      <c r="R308" s="8">
        <v>4052</v>
      </c>
      <c r="S308" s="8">
        <v>7956</v>
      </c>
      <c r="T308" s="7" t="s">
        <v>33</v>
      </c>
      <c r="U308" s="7" t="s">
        <v>32</v>
      </c>
      <c r="V308" s="8">
        <v>4010</v>
      </c>
      <c r="W308" s="8">
        <v>4104</v>
      </c>
      <c r="X308" s="8">
        <v>8114</v>
      </c>
      <c r="Y308" s="9">
        <v>82.5</v>
      </c>
      <c r="Z308" s="10">
        <f t="shared" si="20"/>
        <v>0.4824777887462981</v>
      </c>
      <c r="AA308" s="10" t="str">
        <f t="shared" si="21"/>
        <v/>
      </c>
      <c r="AB308" s="10">
        <f t="shared" si="22"/>
        <v>0.49069884364002009</v>
      </c>
      <c r="AC308" s="10">
        <f t="shared" si="23"/>
        <v>0.49420754251910276</v>
      </c>
      <c r="AD308" s="8">
        <f t="shared" si="24"/>
        <v>94</v>
      </c>
    </row>
    <row r="309" spans="1:30" ht="15" customHeight="1" x14ac:dyDescent="0.2">
      <c r="A309" s="7">
        <v>2024</v>
      </c>
      <c r="B309" s="7" t="s">
        <v>74</v>
      </c>
      <c r="C309" s="7" t="s">
        <v>57</v>
      </c>
      <c r="D309" s="7">
        <v>41</v>
      </c>
      <c r="E309" s="7" t="s">
        <v>33</v>
      </c>
      <c r="F309" s="7" t="s">
        <v>32</v>
      </c>
      <c r="G309" s="8">
        <v>761</v>
      </c>
      <c r="H309" s="8">
        <v>1199</v>
      </c>
      <c r="I309" s="8">
        <v>1960</v>
      </c>
      <c r="J309" s="7" t="s">
        <v>33</v>
      </c>
      <c r="K309" s="7"/>
      <c r="L309" s="8"/>
      <c r="M309" s="8"/>
      <c r="N309" s="8"/>
      <c r="O309" s="7" t="s">
        <v>33</v>
      </c>
      <c r="P309" s="7" t="s">
        <v>32</v>
      </c>
      <c r="Q309" s="8">
        <v>758</v>
      </c>
      <c r="R309" s="8">
        <v>1123</v>
      </c>
      <c r="S309" s="8">
        <v>1881</v>
      </c>
      <c r="T309" s="7" t="s">
        <v>33</v>
      </c>
      <c r="U309" s="7" t="s">
        <v>32</v>
      </c>
      <c r="V309" s="8">
        <v>800</v>
      </c>
      <c r="W309" s="8">
        <v>1156</v>
      </c>
      <c r="X309" s="8">
        <v>1956</v>
      </c>
      <c r="Y309" s="9">
        <v>78.400000000000006</v>
      </c>
      <c r="Z309" s="10">
        <f t="shared" si="20"/>
        <v>0.38826530612244897</v>
      </c>
      <c r="AA309" s="10" t="str">
        <f t="shared" si="21"/>
        <v/>
      </c>
      <c r="AB309" s="10">
        <f t="shared" si="22"/>
        <v>0.4029771398192451</v>
      </c>
      <c r="AC309" s="10">
        <f t="shared" si="23"/>
        <v>0.40899795501022496</v>
      </c>
      <c r="AD309" s="8">
        <f t="shared" si="24"/>
        <v>356</v>
      </c>
    </row>
    <row r="310" spans="1:30" ht="15" customHeight="1" x14ac:dyDescent="0.2">
      <c r="A310" s="7">
        <v>2024</v>
      </c>
      <c r="B310" s="7" t="s">
        <v>75</v>
      </c>
      <c r="C310" s="7" t="s">
        <v>57</v>
      </c>
      <c r="D310" s="7">
        <v>42</v>
      </c>
      <c r="E310" s="7" t="s">
        <v>33</v>
      </c>
      <c r="F310" s="7" t="s">
        <v>33</v>
      </c>
      <c r="G310" s="8">
        <v>6895</v>
      </c>
      <c r="H310" s="8">
        <v>6163</v>
      </c>
      <c r="I310" s="8">
        <v>13058</v>
      </c>
      <c r="J310" s="7" t="s">
        <v>33</v>
      </c>
      <c r="K310" s="7"/>
      <c r="L310" s="8"/>
      <c r="M310" s="8"/>
      <c r="N310" s="8"/>
      <c r="O310" s="7" t="s">
        <v>33</v>
      </c>
      <c r="P310" s="7" t="s">
        <v>33</v>
      </c>
      <c r="Q310" s="8">
        <v>6827</v>
      </c>
      <c r="R310" s="8">
        <v>6010</v>
      </c>
      <c r="S310" s="8">
        <v>12837</v>
      </c>
      <c r="T310" s="7" t="s">
        <v>33</v>
      </c>
      <c r="U310" s="7" t="s">
        <v>33</v>
      </c>
      <c r="V310" s="8">
        <v>7019</v>
      </c>
      <c r="W310" s="8">
        <v>6110</v>
      </c>
      <c r="X310" s="8">
        <v>13129</v>
      </c>
      <c r="Y310" s="9">
        <v>81.2</v>
      </c>
      <c r="Z310" s="10">
        <f t="shared" si="20"/>
        <v>0.52802879460866903</v>
      </c>
      <c r="AA310" s="10" t="str">
        <f t="shared" si="21"/>
        <v/>
      </c>
      <c r="AB310" s="10">
        <f t="shared" si="22"/>
        <v>0.53182207680922333</v>
      </c>
      <c r="AC310" s="10">
        <f t="shared" si="23"/>
        <v>0.53461802117449919</v>
      </c>
      <c r="AD310" s="8">
        <f t="shared" si="24"/>
        <v>-909</v>
      </c>
    </row>
    <row r="311" spans="1:30" ht="15" customHeight="1" x14ac:dyDescent="0.2">
      <c r="A311" s="7">
        <v>2024</v>
      </c>
      <c r="B311" s="7" t="s">
        <v>76</v>
      </c>
      <c r="C311" s="7" t="s">
        <v>57</v>
      </c>
      <c r="D311" s="7">
        <v>43</v>
      </c>
      <c r="E311" s="7" t="s">
        <v>33</v>
      </c>
      <c r="F311" s="7" t="s">
        <v>33</v>
      </c>
      <c r="G311" s="8">
        <v>7937</v>
      </c>
      <c r="H311" s="8">
        <v>7525</v>
      </c>
      <c r="I311" s="8">
        <v>15462</v>
      </c>
      <c r="J311" s="7" t="s">
        <v>33</v>
      </c>
      <c r="K311" s="7"/>
      <c r="L311" s="8"/>
      <c r="M311" s="8"/>
      <c r="N311" s="8"/>
      <c r="O311" s="7" t="s">
        <v>33</v>
      </c>
      <c r="P311" s="7" t="s">
        <v>33</v>
      </c>
      <c r="Q311" s="8">
        <v>7838</v>
      </c>
      <c r="R311" s="8">
        <v>7349</v>
      </c>
      <c r="S311" s="8">
        <v>15187</v>
      </c>
      <c r="T311" s="7" t="s">
        <v>33</v>
      </c>
      <c r="U311" s="7" t="s">
        <v>33</v>
      </c>
      <c r="V311" s="8">
        <v>8020</v>
      </c>
      <c r="W311" s="8">
        <v>7607</v>
      </c>
      <c r="X311" s="8">
        <v>15627</v>
      </c>
      <c r="Y311" s="9">
        <v>80.5</v>
      </c>
      <c r="Z311" s="10">
        <f t="shared" si="20"/>
        <v>0.51332298538352084</v>
      </c>
      <c r="AA311" s="10" t="str">
        <f t="shared" si="21"/>
        <v/>
      </c>
      <c r="AB311" s="10">
        <f t="shared" si="22"/>
        <v>0.51609929545005595</v>
      </c>
      <c r="AC311" s="10">
        <f t="shared" si="23"/>
        <v>0.51321430856850325</v>
      </c>
      <c r="AD311" s="8">
        <f t="shared" si="24"/>
        <v>-413</v>
      </c>
    </row>
    <row r="312" spans="1:30" ht="15" customHeight="1" x14ac:dyDescent="0.2">
      <c r="A312" s="7">
        <v>2024</v>
      </c>
      <c r="B312" s="7" t="s">
        <v>77</v>
      </c>
      <c r="C312" s="7" t="s">
        <v>57</v>
      </c>
      <c r="D312" s="7">
        <v>44</v>
      </c>
      <c r="E312" s="7" t="s">
        <v>33</v>
      </c>
      <c r="F312" s="7" t="s">
        <v>32</v>
      </c>
      <c r="G312" s="8">
        <v>2387</v>
      </c>
      <c r="H312" s="8">
        <v>3086</v>
      </c>
      <c r="I312" s="8">
        <v>5473</v>
      </c>
      <c r="J312" s="7" t="s">
        <v>33</v>
      </c>
      <c r="K312" s="7"/>
      <c r="L312" s="8"/>
      <c r="M312" s="8"/>
      <c r="N312" s="8"/>
      <c r="O312" s="7" t="s">
        <v>33</v>
      </c>
      <c r="P312" s="7" t="s">
        <v>32</v>
      </c>
      <c r="Q312" s="8">
        <v>2365</v>
      </c>
      <c r="R312" s="8">
        <v>3029</v>
      </c>
      <c r="S312" s="8">
        <v>5394</v>
      </c>
      <c r="T312" s="7" t="s">
        <v>33</v>
      </c>
      <c r="U312" s="7" t="s">
        <v>32</v>
      </c>
      <c r="V312" s="8">
        <v>2380</v>
      </c>
      <c r="W312" s="8">
        <v>3135</v>
      </c>
      <c r="X312" s="8">
        <v>5515</v>
      </c>
      <c r="Y312" s="9">
        <v>82.1</v>
      </c>
      <c r="Z312" s="10">
        <f t="shared" si="20"/>
        <v>0.43614105609355014</v>
      </c>
      <c r="AA312" s="10" t="str">
        <f t="shared" si="21"/>
        <v/>
      </c>
      <c r="AB312" s="10">
        <f t="shared" si="22"/>
        <v>0.43845012977382275</v>
      </c>
      <c r="AC312" s="10">
        <f t="shared" si="23"/>
        <v>0.4315503173164098</v>
      </c>
      <c r="AD312" s="8">
        <f t="shared" si="24"/>
        <v>755</v>
      </c>
    </row>
    <row r="313" spans="1:30" ht="15" customHeight="1" x14ac:dyDescent="0.2">
      <c r="A313" s="7">
        <v>2024</v>
      </c>
      <c r="B313" s="7" t="s">
        <v>78</v>
      </c>
      <c r="C313" s="7" t="s">
        <v>57</v>
      </c>
      <c r="D313" s="7">
        <v>45</v>
      </c>
      <c r="E313" s="7" t="s">
        <v>33</v>
      </c>
      <c r="F313" s="7" t="s">
        <v>32</v>
      </c>
      <c r="G313" s="8">
        <v>5466</v>
      </c>
      <c r="H313" s="8">
        <v>5656</v>
      </c>
      <c r="I313" s="8">
        <v>11122</v>
      </c>
      <c r="J313" s="7" t="s">
        <v>33</v>
      </c>
      <c r="K313" s="7"/>
      <c r="L313" s="8"/>
      <c r="M313" s="8"/>
      <c r="N313" s="8"/>
      <c r="O313" s="7" t="s">
        <v>33</v>
      </c>
      <c r="P313" s="7" t="s">
        <v>32</v>
      </c>
      <c r="Q313" s="8">
        <v>5327</v>
      </c>
      <c r="R313" s="8">
        <v>5679</v>
      </c>
      <c r="S313" s="8">
        <v>11006</v>
      </c>
      <c r="T313" s="7" t="s">
        <v>33</v>
      </c>
      <c r="U313" s="7" t="s">
        <v>32</v>
      </c>
      <c r="V313" s="8">
        <v>5462</v>
      </c>
      <c r="W313" s="8">
        <v>5740</v>
      </c>
      <c r="X313" s="8">
        <v>11202</v>
      </c>
      <c r="Y313" s="9">
        <v>84.8</v>
      </c>
      <c r="Z313" s="10">
        <f t="shared" si="20"/>
        <v>0.4914583707966193</v>
      </c>
      <c r="AA313" s="10" t="str">
        <f t="shared" si="21"/>
        <v/>
      </c>
      <c r="AB313" s="10">
        <f t="shared" si="22"/>
        <v>0.48400872251499183</v>
      </c>
      <c r="AC313" s="10">
        <f t="shared" si="23"/>
        <v>0.48759150151758612</v>
      </c>
      <c r="AD313" s="8">
        <f t="shared" si="24"/>
        <v>278</v>
      </c>
    </row>
    <row r="314" spans="1:30" ht="15" customHeight="1" x14ac:dyDescent="0.2">
      <c r="A314" s="7">
        <v>2024</v>
      </c>
      <c r="B314" s="7" t="s">
        <v>79</v>
      </c>
      <c r="C314" s="7" t="s">
        <v>57</v>
      </c>
      <c r="D314" s="7">
        <v>46</v>
      </c>
      <c r="E314" s="7" t="s">
        <v>33</v>
      </c>
      <c r="F314" s="7" t="s">
        <v>32</v>
      </c>
      <c r="G314" s="8">
        <v>1251</v>
      </c>
      <c r="H314" s="8">
        <v>2682</v>
      </c>
      <c r="I314" s="8">
        <v>3933</v>
      </c>
      <c r="J314" s="7" t="s">
        <v>33</v>
      </c>
      <c r="K314" s="7"/>
      <c r="L314" s="8"/>
      <c r="M314" s="8"/>
      <c r="N314" s="8"/>
      <c r="O314" s="7" t="s">
        <v>33</v>
      </c>
      <c r="P314" s="7" t="s">
        <v>32</v>
      </c>
      <c r="Q314" s="8">
        <v>1247</v>
      </c>
      <c r="R314" s="8">
        <v>2582</v>
      </c>
      <c r="S314" s="8">
        <v>3829</v>
      </c>
      <c r="T314" s="7" t="s">
        <v>33</v>
      </c>
      <c r="U314" s="7" t="s">
        <v>32</v>
      </c>
      <c r="V314" s="8">
        <v>1266</v>
      </c>
      <c r="W314" s="8">
        <v>2669</v>
      </c>
      <c r="X314" s="8">
        <v>3935</v>
      </c>
      <c r="Y314" s="9">
        <v>81.5</v>
      </c>
      <c r="Z314" s="10">
        <f t="shared" si="20"/>
        <v>0.3180778032036613</v>
      </c>
      <c r="AA314" s="10" t="str">
        <f t="shared" si="21"/>
        <v/>
      </c>
      <c r="AB314" s="10">
        <f t="shared" si="22"/>
        <v>0.32567249934708803</v>
      </c>
      <c r="AC314" s="10">
        <f t="shared" si="23"/>
        <v>0.32172808132147396</v>
      </c>
      <c r="AD314" s="8">
        <f t="shared" si="24"/>
        <v>1403</v>
      </c>
    </row>
    <row r="315" spans="1:30" ht="15" customHeight="1" x14ac:dyDescent="0.2">
      <c r="A315" s="7">
        <v>2024</v>
      </c>
      <c r="B315" s="7" t="s">
        <v>80</v>
      </c>
      <c r="C315" s="7" t="s">
        <v>57</v>
      </c>
      <c r="D315" s="7">
        <v>47</v>
      </c>
      <c r="E315" s="7" t="s">
        <v>33</v>
      </c>
      <c r="F315" s="7" t="s">
        <v>32</v>
      </c>
      <c r="G315" s="8">
        <v>1164</v>
      </c>
      <c r="H315" s="8">
        <v>2194</v>
      </c>
      <c r="I315" s="8">
        <v>3358</v>
      </c>
      <c r="J315" s="7" t="s">
        <v>33</v>
      </c>
      <c r="K315" s="7"/>
      <c r="L315" s="8"/>
      <c r="M315" s="8"/>
      <c r="N315" s="8"/>
      <c r="O315" s="7" t="s">
        <v>33</v>
      </c>
      <c r="P315" s="7" t="s">
        <v>32</v>
      </c>
      <c r="Q315" s="8">
        <v>1171</v>
      </c>
      <c r="R315" s="8">
        <v>2129</v>
      </c>
      <c r="S315" s="8">
        <v>3300</v>
      </c>
      <c r="T315" s="7" t="s">
        <v>33</v>
      </c>
      <c r="U315" s="7" t="s">
        <v>32</v>
      </c>
      <c r="V315" s="8">
        <v>1172</v>
      </c>
      <c r="W315" s="8">
        <v>2201</v>
      </c>
      <c r="X315" s="8">
        <v>3373</v>
      </c>
      <c r="Y315" s="9">
        <v>85.9</v>
      </c>
      <c r="Z315" s="10">
        <f t="shared" si="20"/>
        <v>0.34663490172721856</v>
      </c>
      <c r="AA315" s="10" t="str">
        <f t="shared" si="21"/>
        <v/>
      </c>
      <c r="AB315" s="10">
        <f t="shared" si="22"/>
        <v>0.35484848484848486</v>
      </c>
      <c r="AC315" s="10">
        <f t="shared" si="23"/>
        <v>0.34746516454195081</v>
      </c>
      <c r="AD315" s="8">
        <f t="shared" si="24"/>
        <v>1029</v>
      </c>
    </row>
    <row r="316" spans="1:30" ht="15" customHeight="1" x14ac:dyDescent="0.2">
      <c r="A316" s="7">
        <v>2024</v>
      </c>
      <c r="B316" s="7" t="s">
        <v>81</v>
      </c>
      <c r="C316" s="7" t="s">
        <v>57</v>
      </c>
      <c r="D316" s="7">
        <v>48</v>
      </c>
      <c r="E316" s="7" t="s">
        <v>33</v>
      </c>
      <c r="F316" s="7" t="s">
        <v>32</v>
      </c>
      <c r="G316" s="8">
        <v>7069</v>
      </c>
      <c r="H316" s="8">
        <v>7414</v>
      </c>
      <c r="I316" s="8">
        <v>14483</v>
      </c>
      <c r="J316" s="7" t="s">
        <v>33</v>
      </c>
      <c r="K316" s="7"/>
      <c r="L316" s="8"/>
      <c r="M316" s="8"/>
      <c r="N316" s="8"/>
      <c r="O316" s="7" t="s">
        <v>33</v>
      </c>
      <c r="P316" s="7" t="s">
        <v>33</v>
      </c>
      <c r="Q316" s="8">
        <v>7050</v>
      </c>
      <c r="R316" s="8">
        <v>6885</v>
      </c>
      <c r="S316" s="8">
        <v>13935</v>
      </c>
      <c r="T316" s="7" t="s">
        <v>33</v>
      </c>
      <c r="U316" s="7" t="s">
        <v>33</v>
      </c>
      <c r="V316" s="8">
        <v>7383</v>
      </c>
      <c r="W316" s="8">
        <v>7036</v>
      </c>
      <c r="X316" s="8">
        <v>14419</v>
      </c>
      <c r="Y316" s="9">
        <v>70.2</v>
      </c>
      <c r="Z316" s="10">
        <f t="shared" si="20"/>
        <v>0.48808948422288201</v>
      </c>
      <c r="AA316" s="10" t="str">
        <f t="shared" si="21"/>
        <v/>
      </c>
      <c r="AB316" s="10">
        <f t="shared" si="22"/>
        <v>0.50592034445640477</v>
      </c>
      <c r="AC316" s="10">
        <f t="shared" si="23"/>
        <v>0.51203273458630971</v>
      </c>
      <c r="AD316" s="8">
        <f t="shared" si="24"/>
        <v>-347</v>
      </c>
    </row>
    <row r="317" spans="1:30" ht="15" customHeight="1" x14ac:dyDescent="0.2">
      <c r="A317" s="7">
        <v>2024</v>
      </c>
      <c r="B317" s="7" t="s">
        <v>82</v>
      </c>
      <c r="C317" s="7" t="s">
        <v>83</v>
      </c>
      <c r="D317" s="7">
        <v>49</v>
      </c>
      <c r="E317" s="7" t="s">
        <v>33</v>
      </c>
      <c r="F317" s="7" t="s">
        <v>32</v>
      </c>
      <c r="G317" s="8">
        <v>458</v>
      </c>
      <c r="H317" s="8">
        <v>1164</v>
      </c>
      <c r="I317" s="8">
        <v>1622</v>
      </c>
      <c r="J317" s="7" t="s">
        <v>33</v>
      </c>
      <c r="K317" s="7"/>
      <c r="L317" s="8"/>
      <c r="M317" s="8"/>
      <c r="N317" s="8"/>
      <c r="O317" s="7" t="s">
        <v>33</v>
      </c>
      <c r="P317" s="7" t="s">
        <v>32</v>
      </c>
      <c r="Q317" s="8">
        <v>469</v>
      </c>
      <c r="R317" s="8">
        <v>1111</v>
      </c>
      <c r="S317" s="8">
        <v>1580</v>
      </c>
      <c r="T317" s="7" t="s">
        <v>33</v>
      </c>
      <c r="U317" s="7" t="s">
        <v>32</v>
      </c>
      <c r="V317" s="8">
        <v>471</v>
      </c>
      <c r="W317" s="8">
        <v>1124</v>
      </c>
      <c r="X317" s="8">
        <v>1595</v>
      </c>
      <c r="Y317" s="9">
        <v>78.599999999999994</v>
      </c>
      <c r="Z317" s="10">
        <f t="shared" si="20"/>
        <v>0.28236744759556104</v>
      </c>
      <c r="AA317" s="10" t="str">
        <f t="shared" si="21"/>
        <v/>
      </c>
      <c r="AB317" s="10">
        <f t="shared" si="22"/>
        <v>0.29683544303797471</v>
      </c>
      <c r="AC317" s="10">
        <f t="shared" si="23"/>
        <v>0.29529780564263325</v>
      </c>
      <c r="AD317" s="8">
        <f t="shared" si="24"/>
        <v>653</v>
      </c>
    </row>
    <row r="318" spans="1:30" ht="15" customHeight="1" x14ac:dyDescent="0.2">
      <c r="A318" s="7">
        <v>2024</v>
      </c>
      <c r="B318" s="7" t="s">
        <v>84</v>
      </c>
      <c r="C318" s="7" t="s">
        <v>83</v>
      </c>
      <c r="D318" s="7">
        <v>50</v>
      </c>
      <c r="E318" s="7" t="s">
        <v>33</v>
      </c>
      <c r="F318" s="7" t="s">
        <v>32</v>
      </c>
      <c r="G318" s="8">
        <v>1396</v>
      </c>
      <c r="H318" s="8">
        <v>2950</v>
      </c>
      <c r="I318" s="8">
        <v>4346</v>
      </c>
      <c r="J318" s="7" t="s">
        <v>33</v>
      </c>
      <c r="K318" s="7"/>
      <c r="L318" s="8"/>
      <c r="M318" s="8"/>
      <c r="N318" s="8"/>
      <c r="O318" s="7" t="s">
        <v>33</v>
      </c>
      <c r="P318" s="7" t="s">
        <v>32</v>
      </c>
      <c r="Q318" s="8">
        <v>1421</v>
      </c>
      <c r="R318" s="8">
        <v>2842</v>
      </c>
      <c r="S318" s="8">
        <v>4263</v>
      </c>
      <c r="T318" s="7" t="s">
        <v>33</v>
      </c>
      <c r="U318" s="7" t="s">
        <v>32</v>
      </c>
      <c r="V318" s="8">
        <v>1414</v>
      </c>
      <c r="W318" s="8">
        <v>2894</v>
      </c>
      <c r="X318" s="8">
        <v>4308</v>
      </c>
      <c r="Y318" s="9">
        <v>75.900000000000006</v>
      </c>
      <c r="Z318" s="10">
        <f t="shared" si="20"/>
        <v>0.32121491026231019</v>
      </c>
      <c r="AA318" s="10" t="str">
        <f t="shared" si="21"/>
        <v/>
      </c>
      <c r="AB318" s="10">
        <f t="shared" si="22"/>
        <v>0.33333333333333331</v>
      </c>
      <c r="AC318" s="10">
        <f t="shared" si="23"/>
        <v>0.32822655524605387</v>
      </c>
      <c r="AD318" s="8">
        <f t="shared" si="24"/>
        <v>1480</v>
      </c>
    </row>
    <row r="319" spans="1:30" ht="15" customHeight="1" x14ac:dyDescent="0.2">
      <c r="A319" s="7">
        <v>2024</v>
      </c>
      <c r="B319" s="7" t="s">
        <v>85</v>
      </c>
      <c r="C319" s="7" t="s">
        <v>83</v>
      </c>
      <c r="D319" s="7">
        <v>51</v>
      </c>
      <c r="E319" s="7" t="s">
        <v>33</v>
      </c>
      <c r="F319" s="7" t="s">
        <v>32</v>
      </c>
      <c r="G319" s="8">
        <v>492</v>
      </c>
      <c r="H319" s="8">
        <v>1035</v>
      </c>
      <c r="I319" s="8">
        <v>1527</v>
      </c>
      <c r="J319" s="7" t="s">
        <v>33</v>
      </c>
      <c r="K319" s="7"/>
      <c r="L319" s="8"/>
      <c r="M319" s="8"/>
      <c r="N319" s="8"/>
      <c r="O319" s="7" t="s">
        <v>33</v>
      </c>
      <c r="P319" s="7" t="s">
        <v>32</v>
      </c>
      <c r="Q319" s="8">
        <v>490</v>
      </c>
      <c r="R319" s="8">
        <v>994</v>
      </c>
      <c r="S319" s="8">
        <v>1484</v>
      </c>
      <c r="T319" s="7" t="s">
        <v>33</v>
      </c>
      <c r="U319" s="7" t="s">
        <v>32</v>
      </c>
      <c r="V319" s="8">
        <v>521</v>
      </c>
      <c r="W319" s="8">
        <v>997</v>
      </c>
      <c r="X319" s="8">
        <v>1518</v>
      </c>
      <c r="Y319" s="9">
        <v>80.599999999999994</v>
      </c>
      <c r="Z319" s="10">
        <f t="shared" si="20"/>
        <v>0.32220039292730845</v>
      </c>
      <c r="AA319" s="10" t="str">
        <f t="shared" si="21"/>
        <v/>
      </c>
      <c r="AB319" s="10">
        <f t="shared" si="22"/>
        <v>0.330188679245283</v>
      </c>
      <c r="AC319" s="10">
        <f t="shared" si="23"/>
        <v>0.3432147562582345</v>
      </c>
      <c r="AD319" s="8">
        <f t="shared" si="24"/>
        <v>476</v>
      </c>
    </row>
    <row r="320" spans="1:30" ht="15" customHeight="1" x14ac:dyDescent="0.2">
      <c r="A320" s="7">
        <v>2024</v>
      </c>
      <c r="B320" s="7" t="s">
        <v>86</v>
      </c>
      <c r="C320" s="7" t="s">
        <v>87</v>
      </c>
      <c r="D320" s="7">
        <v>52</v>
      </c>
      <c r="E320" s="7" t="s">
        <v>33</v>
      </c>
      <c r="F320" s="7" t="s">
        <v>32</v>
      </c>
      <c r="G320" s="8">
        <v>1481</v>
      </c>
      <c r="H320" s="8">
        <v>2061</v>
      </c>
      <c r="I320" s="8">
        <v>3542</v>
      </c>
      <c r="J320" s="7" t="s">
        <v>33</v>
      </c>
      <c r="K320" s="7"/>
      <c r="L320" s="8"/>
      <c r="M320" s="8"/>
      <c r="N320" s="8"/>
      <c r="O320" s="7" t="s">
        <v>33</v>
      </c>
      <c r="P320" s="7" t="s">
        <v>32</v>
      </c>
      <c r="Q320" s="8">
        <v>1462</v>
      </c>
      <c r="R320" s="8">
        <v>1992</v>
      </c>
      <c r="S320" s="8">
        <v>3454</v>
      </c>
      <c r="T320" s="7" t="s">
        <v>33</v>
      </c>
      <c r="U320" s="7" t="s">
        <v>32</v>
      </c>
      <c r="V320" s="8">
        <v>1511</v>
      </c>
      <c r="W320" s="8">
        <v>2018</v>
      </c>
      <c r="X320" s="8">
        <v>3529</v>
      </c>
      <c r="Y320" s="9">
        <v>82.5</v>
      </c>
      <c r="Z320" s="10">
        <f t="shared" si="20"/>
        <v>0.4181253529079616</v>
      </c>
      <c r="AA320" s="10" t="str">
        <f t="shared" si="21"/>
        <v/>
      </c>
      <c r="AB320" s="10">
        <f t="shared" si="22"/>
        <v>0.42327735958309209</v>
      </c>
      <c r="AC320" s="10">
        <f t="shared" si="23"/>
        <v>0.42816661943893453</v>
      </c>
      <c r="AD320" s="8">
        <f t="shared" si="24"/>
        <v>507</v>
      </c>
    </row>
    <row r="321" spans="1:30" ht="15" customHeight="1" x14ac:dyDescent="0.2">
      <c r="A321" s="7">
        <v>2024</v>
      </c>
      <c r="B321" s="7" t="s">
        <v>88</v>
      </c>
      <c r="C321" s="7" t="s">
        <v>87</v>
      </c>
      <c r="D321" s="7">
        <v>53</v>
      </c>
      <c r="E321" s="7" t="s">
        <v>33</v>
      </c>
      <c r="F321" s="7" t="s">
        <v>32</v>
      </c>
      <c r="G321" s="8">
        <v>937</v>
      </c>
      <c r="H321" s="8">
        <v>1439</v>
      </c>
      <c r="I321" s="8">
        <v>2376</v>
      </c>
      <c r="J321" s="7" t="s">
        <v>33</v>
      </c>
      <c r="K321" s="7"/>
      <c r="L321" s="8"/>
      <c r="M321" s="8"/>
      <c r="N321" s="8"/>
      <c r="O321" s="7" t="s">
        <v>33</v>
      </c>
      <c r="P321" s="7" t="s">
        <v>32</v>
      </c>
      <c r="Q321" s="8">
        <v>904</v>
      </c>
      <c r="R321" s="8">
        <v>1345</v>
      </c>
      <c r="S321" s="8">
        <v>2249</v>
      </c>
      <c r="T321" s="7" t="s">
        <v>33</v>
      </c>
      <c r="U321" s="7" t="s">
        <v>32</v>
      </c>
      <c r="V321" s="8">
        <v>959</v>
      </c>
      <c r="W321" s="8">
        <v>1364</v>
      </c>
      <c r="X321" s="8">
        <v>2323</v>
      </c>
      <c r="Y321" s="9">
        <v>72.099999999999994</v>
      </c>
      <c r="Z321" s="10">
        <f t="shared" si="20"/>
        <v>0.39436026936026936</v>
      </c>
      <c r="AA321" s="10" t="str">
        <f t="shared" si="21"/>
        <v/>
      </c>
      <c r="AB321" s="10">
        <f t="shared" si="22"/>
        <v>0.40195642507781237</v>
      </c>
      <c r="AC321" s="10">
        <f t="shared" si="23"/>
        <v>0.4128282393456737</v>
      </c>
      <c r="AD321" s="8">
        <f t="shared" si="24"/>
        <v>405</v>
      </c>
    </row>
    <row r="322" spans="1:30" ht="15" customHeight="1" x14ac:dyDescent="0.2">
      <c r="A322" s="7">
        <v>2024</v>
      </c>
      <c r="B322" s="7" t="s">
        <v>89</v>
      </c>
      <c r="C322" s="7" t="s">
        <v>87</v>
      </c>
      <c r="D322" s="7">
        <v>54</v>
      </c>
      <c r="E322" s="7" t="s">
        <v>33</v>
      </c>
      <c r="F322" s="7" t="s">
        <v>32</v>
      </c>
      <c r="G322" s="8">
        <v>603</v>
      </c>
      <c r="H322" s="8">
        <v>768</v>
      </c>
      <c r="I322" s="8">
        <v>1371</v>
      </c>
      <c r="J322" s="7" t="s">
        <v>33</v>
      </c>
      <c r="K322" s="7"/>
      <c r="L322" s="8"/>
      <c r="M322" s="8"/>
      <c r="N322" s="8"/>
      <c r="O322" s="7" t="s">
        <v>33</v>
      </c>
      <c r="P322" s="7" t="s">
        <v>32</v>
      </c>
      <c r="Q322" s="8">
        <v>592</v>
      </c>
      <c r="R322" s="8">
        <v>717</v>
      </c>
      <c r="S322" s="8">
        <v>1309</v>
      </c>
      <c r="T322" s="7" t="s">
        <v>33</v>
      </c>
      <c r="U322" s="7" t="s">
        <v>32</v>
      </c>
      <c r="V322" s="8">
        <v>623</v>
      </c>
      <c r="W322" s="8">
        <v>726</v>
      </c>
      <c r="X322" s="8">
        <v>1349</v>
      </c>
      <c r="Y322" s="9">
        <v>74.400000000000006</v>
      </c>
      <c r="Z322" s="10">
        <f t="shared" ref="Z322:Z357" si="25">IFERROR(G322/(G322+H322),"")</f>
        <v>0.43982494529540483</v>
      </c>
      <c r="AA322" s="10" t="str">
        <f t="shared" ref="AA322:AA357" si="26">IFERROR(L322/(L322+M322),"")</f>
        <v/>
      </c>
      <c r="AB322" s="10">
        <f t="shared" ref="AB322:AB357" si="27">IFERROR(Q322/(Q322+R322),"")</f>
        <v>0.45225362872421698</v>
      </c>
      <c r="AC322" s="10">
        <f t="shared" ref="AC322:AC357" si="28">IFERROR(V322/(V322+W322),"")</f>
        <v>0.46182357301704968</v>
      </c>
      <c r="AD322" s="8">
        <f t="shared" ref="AD322:AD357" si="29">W322-V322</f>
        <v>103</v>
      </c>
    </row>
    <row r="323" spans="1:30" ht="15" customHeight="1" x14ac:dyDescent="0.2">
      <c r="A323" s="7">
        <v>2024</v>
      </c>
      <c r="B323" s="7" t="s">
        <v>59</v>
      </c>
      <c r="C323" s="7" t="s">
        <v>87</v>
      </c>
      <c r="D323" s="7">
        <v>55</v>
      </c>
      <c r="E323" s="7" t="s">
        <v>33</v>
      </c>
      <c r="F323" s="7" t="s">
        <v>33</v>
      </c>
      <c r="G323" s="8">
        <v>17405</v>
      </c>
      <c r="H323" s="8">
        <v>9209</v>
      </c>
      <c r="I323" s="8">
        <v>26614</v>
      </c>
      <c r="J323" s="7" t="s">
        <v>33</v>
      </c>
      <c r="K323" s="7"/>
      <c r="L323" s="8"/>
      <c r="M323" s="8"/>
      <c r="N323" s="8"/>
      <c r="O323" s="7" t="s">
        <v>33</v>
      </c>
      <c r="P323" s="7" t="s">
        <v>33</v>
      </c>
      <c r="Q323" s="8">
        <v>16757</v>
      </c>
      <c r="R323" s="8">
        <v>8697</v>
      </c>
      <c r="S323" s="8">
        <v>25454</v>
      </c>
      <c r="T323" s="7" t="s">
        <v>33</v>
      </c>
      <c r="U323" s="7" t="s">
        <v>33</v>
      </c>
      <c r="V323" s="8">
        <v>17416</v>
      </c>
      <c r="W323" s="8">
        <v>8640</v>
      </c>
      <c r="X323" s="8">
        <v>26056</v>
      </c>
      <c r="Y323" s="9">
        <v>65.92</v>
      </c>
      <c r="Z323" s="10">
        <f t="shared" si="25"/>
        <v>0.65397910873976106</v>
      </c>
      <c r="AA323" s="10" t="str">
        <f t="shared" si="26"/>
        <v/>
      </c>
      <c r="AB323" s="10">
        <f t="shared" si="27"/>
        <v>0.65832482124616953</v>
      </c>
      <c r="AC323" s="10">
        <f t="shared" si="28"/>
        <v>0.66840650905741483</v>
      </c>
      <c r="AD323" s="8">
        <f t="shared" si="29"/>
        <v>-8776</v>
      </c>
    </row>
    <row r="324" spans="1:30" ht="15" customHeight="1" x14ac:dyDescent="0.2">
      <c r="A324" s="7">
        <v>2024</v>
      </c>
      <c r="B324" s="7" t="s">
        <v>90</v>
      </c>
      <c r="C324" s="7" t="s">
        <v>87</v>
      </c>
      <c r="D324" s="7">
        <v>56</v>
      </c>
      <c r="E324" s="7" t="s">
        <v>33</v>
      </c>
      <c r="F324" s="7" t="s">
        <v>33</v>
      </c>
      <c r="G324" s="8">
        <v>8444</v>
      </c>
      <c r="H324" s="8">
        <v>7695</v>
      </c>
      <c r="I324" s="8">
        <v>16139</v>
      </c>
      <c r="J324" s="7" t="s">
        <v>33</v>
      </c>
      <c r="K324" s="7"/>
      <c r="L324" s="8"/>
      <c r="M324" s="8"/>
      <c r="N324" s="8"/>
      <c r="O324" s="7" t="s">
        <v>33</v>
      </c>
      <c r="P324" s="7" t="s">
        <v>33</v>
      </c>
      <c r="Q324" s="8">
        <v>8291</v>
      </c>
      <c r="R324" s="8">
        <v>7447</v>
      </c>
      <c r="S324" s="8">
        <v>15738</v>
      </c>
      <c r="T324" s="7" t="s">
        <v>33</v>
      </c>
      <c r="U324" s="7" t="s">
        <v>33</v>
      </c>
      <c r="V324" s="8">
        <v>8595</v>
      </c>
      <c r="W324" s="8">
        <v>7440</v>
      </c>
      <c r="X324" s="8">
        <v>16035</v>
      </c>
      <c r="Y324" s="9">
        <v>81.8</v>
      </c>
      <c r="Z324" s="10">
        <f t="shared" si="25"/>
        <v>0.52320465952041639</v>
      </c>
      <c r="AA324" s="10" t="str">
        <f t="shared" si="26"/>
        <v/>
      </c>
      <c r="AB324" s="10">
        <f t="shared" si="27"/>
        <v>0.52681408056932266</v>
      </c>
      <c r="AC324" s="10">
        <f t="shared" si="28"/>
        <v>0.53601496725912068</v>
      </c>
      <c r="AD324" s="8">
        <f t="shared" si="29"/>
        <v>-1155</v>
      </c>
    </row>
    <row r="325" spans="1:30" ht="15" customHeight="1" x14ac:dyDescent="0.2">
      <c r="A325" s="7">
        <v>2024</v>
      </c>
      <c r="B325" s="7" t="s">
        <v>91</v>
      </c>
      <c r="C325" s="7" t="s">
        <v>87</v>
      </c>
      <c r="D325" s="7">
        <v>57</v>
      </c>
      <c r="E325" s="7" t="s">
        <v>33</v>
      </c>
      <c r="F325" s="7" t="s">
        <v>32</v>
      </c>
      <c r="G325" s="8">
        <v>2111</v>
      </c>
      <c r="H325" s="8">
        <v>3547</v>
      </c>
      <c r="I325" s="8">
        <v>5658</v>
      </c>
      <c r="J325" s="7" t="s">
        <v>33</v>
      </c>
      <c r="K325" s="7"/>
      <c r="L325" s="8"/>
      <c r="M325" s="8"/>
      <c r="N325" s="8"/>
      <c r="O325" s="7" t="s">
        <v>33</v>
      </c>
      <c r="P325" s="7" t="s">
        <v>32</v>
      </c>
      <c r="Q325" s="8">
        <v>2083</v>
      </c>
      <c r="R325" s="8">
        <v>3430</v>
      </c>
      <c r="S325" s="8">
        <v>5513</v>
      </c>
      <c r="T325" s="7" t="s">
        <v>33</v>
      </c>
      <c r="U325" s="7" t="s">
        <v>32</v>
      </c>
      <c r="V325" s="8">
        <v>2169</v>
      </c>
      <c r="W325" s="8">
        <v>3459</v>
      </c>
      <c r="X325" s="8">
        <v>5628</v>
      </c>
      <c r="Y325" s="9">
        <v>85.7</v>
      </c>
      <c r="Z325" s="10">
        <f t="shared" si="25"/>
        <v>0.37310003534817959</v>
      </c>
      <c r="AA325" s="10" t="str">
        <f t="shared" si="26"/>
        <v/>
      </c>
      <c r="AB325" s="10">
        <f t="shared" si="27"/>
        <v>0.37783421004897516</v>
      </c>
      <c r="AC325" s="10">
        <f t="shared" si="28"/>
        <v>0.3853944562899787</v>
      </c>
      <c r="AD325" s="8">
        <f t="shared" si="29"/>
        <v>1290</v>
      </c>
    </row>
    <row r="326" spans="1:30" ht="15" customHeight="1" x14ac:dyDescent="0.2">
      <c r="A326" s="7">
        <v>2024</v>
      </c>
      <c r="B326" s="7" t="s">
        <v>92</v>
      </c>
      <c r="C326" s="7" t="s">
        <v>87</v>
      </c>
      <c r="D326" s="7">
        <v>58</v>
      </c>
      <c r="E326" s="7" t="s">
        <v>33</v>
      </c>
      <c r="F326" s="7" t="s">
        <v>32</v>
      </c>
      <c r="G326" s="8">
        <v>44</v>
      </c>
      <c r="H326" s="8">
        <v>77</v>
      </c>
      <c r="I326" s="8">
        <v>121</v>
      </c>
      <c r="J326" s="7" t="s">
        <v>33</v>
      </c>
      <c r="K326" s="7"/>
      <c r="L326" s="8"/>
      <c r="M326" s="8"/>
      <c r="N326" s="8"/>
      <c r="O326" s="7" t="s">
        <v>33</v>
      </c>
      <c r="P326" s="7" t="s">
        <v>32</v>
      </c>
      <c r="Q326" s="8">
        <v>41</v>
      </c>
      <c r="R326" s="8">
        <v>75</v>
      </c>
      <c r="S326" s="8">
        <v>116</v>
      </c>
      <c r="T326" s="7" t="s">
        <v>33</v>
      </c>
      <c r="U326" s="7" t="s">
        <v>32</v>
      </c>
      <c r="V326" s="8">
        <v>40</v>
      </c>
      <c r="W326" s="8">
        <v>83</v>
      </c>
      <c r="X326" s="8">
        <v>123</v>
      </c>
      <c r="Y326" s="9">
        <v>75.099999999999994</v>
      </c>
      <c r="Z326" s="10">
        <f t="shared" si="25"/>
        <v>0.36363636363636365</v>
      </c>
      <c r="AA326" s="10" t="str">
        <f t="shared" si="26"/>
        <v/>
      </c>
      <c r="AB326" s="10">
        <f t="shared" si="27"/>
        <v>0.35344827586206895</v>
      </c>
      <c r="AC326" s="10">
        <f t="shared" si="28"/>
        <v>0.32520325203252032</v>
      </c>
      <c r="AD326" s="8">
        <f t="shared" si="29"/>
        <v>43</v>
      </c>
    </row>
    <row r="327" spans="1:30" ht="15" customHeight="1" x14ac:dyDescent="0.2">
      <c r="A327" s="7">
        <v>2024</v>
      </c>
      <c r="B327" s="7" t="s">
        <v>93</v>
      </c>
      <c r="C327" s="7" t="s">
        <v>87</v>
      </c>
      <c r="D327" s="7">
        <v>59</v>
      </c>
      <c r="E327" s="7" t="s">
        <v>33</v>
      </c>
      <c r="F327" s="7" t="s">
        <v>32</v>
      </c>
      <c r="G327" s="8">
        <v>1428</v>
      </c>
      <c r="H327" s="8">
        <v>2050</v>
      </c>
      <c r="I327" s="8">
        <v>3478</v>
      </c>
      <c r="J327" s="7" t="s">
        <v>33</v>
      </c>
      <c r="K327" s="7"/>
      <c r="L327" s="8"/>
      <c r="M327" s="8"/>
      <c r="N327" s="8"/>
      <c r="O327" s="7" t="s">
        <v>33</v>
      </c>
      <c r="P327" s="7" t="s">
        <v>32</v>
      </c>
      <c r="Q327" s="8">
        <v>1427</v>
      </c>
      <c r="R327" s="8">
        <v>1958</v>
      </c>
      <c r="S327" s="8">
        <v>3385</v>
      </c>
      <c r="T327" s="7" t="s">
        <v>33</v>
      </c>
      <c r="U327" s="7" t="s">
        <v>32</v>
      </c>
      <c r="V327" s="8">
        <v>1484</v>
      </c>
      <c r="W327" s="8">
        <v>1959</v>
      </c>
      <c r="X327" s="8">
        <v>3443</v>
      </c>
      <c r="Y327" s="9">
        <v>83.4</v>
      </c>
      <c r="Z327" s="10">
        <f t="shared" si="25"/>
        <v>0.41058079355951699</v>
      </c>
      <c r="AA327" s="10" t="str">
        <f t="shared" si="26"/>
        <v/>
      </c>
      <c r="AB327" s="10">
        <f t="shared" si="27"/>
        <v>0.42156573116691287</v>
      </c>
      <c r="AC327" s="10">
        <f t="shared" si="28"/>
        <v>0.43101945977345341</v>
      </c>
      <c r="AD327" s="8">
        <f t="shared" si="29"/>
        <v>475</v>
      </c>
    </row>
    <row r="328" spans="1:30" ht="15" customHeight="1" x14ac:dyDescent="0.2">
      <c r="A328" s="7">
        <v>2024</v>
      </c>
      <c r="B328" s="7" t="s">
        <v>94</v>
      </c>
      <c r="C328" s="7" t="s">
        <v>87</v>
      </c>
      <c r="D328" s="7">
        <v>60</v>
      </c>
      <c r="E328" s="7" t="s">
        <v>33</v>
      </c>
      <c r="F328" s="7" t="s">
        <v>32</v>
      </c>
      <c r="G328" s="8">
        <v>206</v>
      </c>
      <c r="H328" s="8">
        <v>323</v>
      </c>
      <c r="I328" s="8">
        <v>529</v>
      </c>
      <c r="J328" s="7" t="s">
        <v>33</v>
      </c>
      <c r="K328" s="7"/>
      <c r="L328" s="8"/>
      <c r="M328" s="8"/>
      <c r="N328" s="8"/>
      <c r="O328" s="7" t="s">
        <v>33</v>
      </c>
      <c r="P328" s="7" t="s">
        <v>32</v>
      </c>
      <c r="Q328" s="8">
        <v>209</v>
      </c>
      <c r="R328" s="8">
        <v>306</v>
      </c>
      <c r="S328" s="8">
        <v>515</v>
      </c>
      <c r="T328" s="7" t="s">
        <v>33</v>
      </c>
      <c r="U328" s="7" t="s">
        <v>32</v>
      </c>
      <c r="V328" s="8">
        <v>217</v>
      </c>
      <c r="W328" s="8">
        <v>309</v>
      </c>
      <c r="X328" s="8">
        <v>526</v>
      </c>
      <c r="Y328" s="9">
        <v>71.400000000000006</v>
      </c>
      <c r="Z328" s="10">
        <f t="shared" si="25"/>
        <v>0.38941398865784499</v>
      </c>
      <c r="AA328" s="10" t="str">
        <f t="shared" si="26"/>
        <v/>
      </c>
      <c r="AB328" s="10">
        <f t="shared" si="27"/>
        <v>0.40582524271844661</v>
      </c>
      <c r="AC328" s="10">
        <f t="shared" si="28"/>
        <v>0.41254752851711024</v>
      </c>
      <c r="AD328" s="8">
        <f t="shared" si="29"/>
        <v>92</v>
      </c>
    </row>
    <row r="329" spans="1:30" ht="15" customHeight="1" x14ac:dyDescent="0.2">
      <c r="A329" s="7">
        <v>2024</v>
      </c>
      <c r="B329" s="7" t="s">
        <v>95</v>
      </c>
      <c r="C329" s="7" t="s">
        <v>87</v>
      </c>
      <c r="D329" s="7">
        <v>61</v>
      </c>
      <c r="E329" s="7" t="s">
        <v>33</v>
      </c>
      <c r="F329" s="7" t="s">
        <v>33</v>
      </c>
      <c r="G329" s="8">
        <v>7674</v>
      </c>
      <c r="H329" s="8">
        <v>3584</v>
      </c>
      <c r="I329" s="8">
        <v>11258</v>
      </c>
      <c r="J329" s="7" t="s">
        <v>33</v>
      </c>
      <c r="K329" s="7"/>
      <c r="L329" s="8"/>
      <c r="M329" s="8"/>
      <c r="N329" s="8"/>
      <c r="O329" s="7" t="s">
        <v>33</v>
      </c>
      <c r="P329" s="7" t="s">
        <v>33</v>
      </c>
      <c r="Q329" s="8">
        <v>7338</v>
      </c>
      <c r="R329" s="8">
        <v>3270</v>
      </c>
      <c r="S329" s="8">
        <v>10608</v>
      </c>
      <c r="T329" s="7" t="s">
        <v>33</v>
      </c>
      <c r="U329" s="7" t="s">
        <v>33</v>
      </c>
      <c r="V329" s="8">
        <v>7604</v>
      </c>
      <c r="W329" s="8">
        <v>3303</v>
      </c>
      <c r="X329" s="8">
        <v>10907</v>
      </c>
      <c r="Y329" s="9">
        <v>66.2</v>
      </c>
      <c r="Z329" s="10">
        <f t="shared" si="25"/>
        <v>0.68164860543613426</v>
      </c>
      <c r="AA329" s="10" t="str">
        <f t="shared" si="26"/>
        <v/>
      </c>
      <c r="AB329" s="10">
        <f t="shared" si="27"/>
        <v>0.69174208144796379</v>
      </c>
      <c r="AC329" s="10">
        <f t="shared" si="28"/>
        <v>0.69716695700009168</v>
      </c>
      <c r="AD329" s="8">
        <f t="shared" si="29"/>
        <v>-4301</v>
      </c>
    </row>
    <row r="330" spans="1:30" ht="15" customHeight="1" x14ac:dyDescent="0.2">
      <c r="A330" s="7">
        <v>2024</v>
      </c>
      <c r="B330" s="7" t="s">
        <v>96</v>
      </c>
      <c r="C330" s="7" t="s">
        <v>87</v>
      </c>
      <c r="D330" s="7">
        <v>62</v>
      </c>
      <c r="E330" s="7" t="s">
        <v>33</v>
      </c>
      <c r="F330" s="7" t="s">
        <v>33</v>
      </c>
      <c r="G330" s="8">
        <v>5397</v>
      </c>
      <c r="H330" s="8">
        <v>5069</v>
      </c>
      <c r="I330" s="8">
        <v>10466</v>
      </c>
      <c r="J330" s="7" t="s">
        <v>33</v>
      </c>
      <c r="K330" s="7"/>
      <c r="L330" s="8"/>
      <c r="M330" s="8"/>
      <c r="N330" s="8"/>
      <c r="O330" s="7" t="s">
        <v>33</v>
      </c>
      <c r="P330" s="7" t="s">
        <v>33</v>
      </c>
      <c r="Q330" s="8">
        <v>5292</v>
      </c>
      <c r="R330" s="8">
        <v>4936</v>
      </c>
      <c r="S330" s="8">
        <v>10228</v>
      </c>
      <c r="T330" s="7" t="s">
        <v>33</v>
      </c>
      <c r="U330" s="7" t="s">
        <v>33</v>
      </c>
      <c r="V330" s="8">
        <v>5358</v>
      </c>
      <c r="W330" s="8">
        <v>5027</v>
      </c>
      <c r="X330" s="8">
        <v>10385</v>
      </c>
      <c r="Y330" s="9">
        <v>84.7</v>
      </c>
      <c r="Z330" s="10">
        <f t="shared" si="25"/>
        <v>0.51566978788457862</v>
      </c>
      <c r="AA330" s="10" t="str">
        <f t="shared" si="26"/>
        <v/>
      </c>
      <c r="AB330" s="10">
        <f t="shared" si="27"/>
        <v>0.51740320688306607</v>
      </c>
      <c r="AC330" s="10">
        <f t="shared" si="28"/>
        <v>0.51593644679826678</v>
      </c>
      <c r="AD330" s="8">
        <f t="shared" si="29"/>
        <v>-331</v>
      </c>
    </row>
    <row r="331" spans="1:30" ht="15" customHeight="1" x14ac:dyDescent="0.2">
      <c r="A331" s="7">
        <v>2024</v>
      </c>
      <c r="B331" s="7" t="s">
        <v>97</v>
      </c>
      <c r="C331" s="7" t="s">
        <v>87</v>
      </c>
      <c r="D331" s="7">
        <v>63</v>
      </c>
      <c r="E331" s="7" t="s">
        <v>33</v>
      </c>
      <c r="F331" s="7" t="s">
        <v>33</v>
      </c>
      <c r="G331" s="8">
        <v>711</v>
      </c>
      <c r="H331" s="8">
        <v>523</v>
      </c>
      <c r="I331" s="8">
        <v>1234</v>
      </c>
      <c r="J331" s="7" t="s">
        <v>33</v>
      </c>
      <c r="K331" s="7"/>
      <c r="L331" s="8"/>
      <c r="M331" s="8"/>
      <c r="N331" s="8"/>
      <c r="O331" s="7" t="s">
        <v>33</v>
      </c>
      <c r="P331" s="7" t="s">
        <v>33</v>
      </c>
      <c r="Q331" s="8">
        <v>686</v>
      </c>
      <c r="R331" s="8">
        <v>476</v>
      </c>
      <c r="S331" s="8">
        <v>1162</v>
      </c>
      <c r="T331" s="7" t="s">
        <v>33</v>
      </c>
      <c r="U331" s="7" t="s">
        <v>33</v>
      </c>
      <c r="V331" s="8">
        <v>714</v>
      </c>
      <c r="W331" s="8">
        <v>484</v>
      </c>
      <c r="X331" s="8">
        <v>1198</v>
      </c>
      <c r="Y331" s="9">
        <v>68.2</v>
      </c>
      <c r="Z331" s="10">
        <f t="shared" si="25"/>
        <v>0.57617504051863855</v>
      </c>
      <c r="AA331" s="10" t="str">
        <f t="shared" si="26"/>
        <v/>
      </c>
      <c r="AB331" s="10">
        <f t="shared" si="27"/>
        <v>0.59036144578313254</v>
      </c>
      <c r="AC331" s="10">
        <f t="shared" si="28"/>
        <v>0.59599332220367274</v>
      </c>
      <c r="AD331" s="8">
        <f t="shared" si="29"/>
        <v>-230</v>
      </c>
    </row>
    <row r="332" spans="1:30" ht="15" customHeight="1" x14ac:dyDescent="0.2">
      <c r="A332" s="7">
        <v>2024</v>
      </c>
      <c r="B332" s="7" t="s">
        <v>98</v>
      </c>
      <c r="C332" s="7" t="s">
        <v>87</v>
      </c>
      <c r="D332" s="7">
        <v>64</v>
      </c>
      <c r="E332" s="7" t="s">
        <v>33</v>
      </c>
      <c r="F332" s="7" t="s">
        <v>32</v>
      </c>
      <c r="G332" s="8">
        <v>102</v>
      </c>
      <c r="H332" s="8">
        <v>109</v>
      </c>
      <c r="I332" s="8">
        <v>211</v>
      </c>
      <c r="J332" s="7" t="s">
        <v>33</v>
      </c>
      <c r="K332" s="7"/>
      <c r="L332" s="8"/>
      <c r="M332" s="8"/>
      <c r="N332" s="8"/>
      <c r="O332" s="7" t="s">
        <v>33</v>
      </c>
      <c r="P332" s="7" t="s">
        <v>33</v>
      </c>
      <c r="Q332" s="8">
        <v>100</v>
      </c>
      <c r="R332" s="8">
        <v>98</v>
      </c>
      <c r="S332" s="8">
        <v>198</v>
      </c>
      <c r="T332" s="7" t="s">
        <v>33</v>
      </c>
      <c r="U332" s="7" t="s">
        <v>33</v>
      </c>
      <c r="V332" s="8">
        <v>109</v>
      </c>
      <c r="W332" s="8">
        <v>97</v>
      </c>
      <c r="X332" s="8">
        <v>206</v>
      </c>
      <c r="Y332" s="9">
        <v>65.7</v>
      </c>
      <c r="Z332" s="10">
        <f t="shared" si="25"/>
        <v>0.48341232227488151</v>
      </c>
      <c r="AA332" s="10" t="str">
        <f t="shared" si="26"/>
        <v/>
      </c>
      <c r="AB332" s="10">
        <f t="shared" si="27"/>
        <v>0.50505050505050508</v>
      </c>
      <c r="AC332" s="10">
        <f t="shared" si="28"/>
        <v>0.529126213592233</v>
      </c>
      <c r="AD332" s="8">
        <f t="shared" si="29"/>
        <v>-12</v>
      </c>
    </row>
    <row r="333" spans="1:30" ht="15" customHeight="1" x14ac:dyDescent="0.2">
      <c r="A333" s="7">
        <v>2024</v>
      </c>
      <c r="B333" s="7" t="s">
        <v>65</v>
      </c>
      <c r="C333" s="7" t="s">
        <v>87</v>
      </c>
      <c r="D333" s="7">
        <v>65</v>
      </c>
      <c r="E333" s="7" t="s">
        <v>33</v>
      </c>
      <c r="F333" s="7" t="s">
        <v>33</v>
      </c>
      <c r="G333" s="8">
        <v>4257</v>
      </c>
      <c r="H333" s="8">
        <v>3689</v>
      </c>
      <c r="I333" s="8">
        <v>7946</v>
      </c>
      <c r="J333" s="7" t="s">
        <v>33</v>
      </c>
      <c r="K333" s="7"/>
      <c r="L333" s="8"/>
      <c r="M333" s="8"/>
      <c r="N333" s="8"/>
      <c r="O333" s="7" t="s">
        <v>33</v>
      </c>
      <c r="P333" s="7" t="s">
        <v>33</v>
      </c>
      <c r="Q333" s="8">
        <v>4223</v>
      </c>
      <c r="R333" s="8">
        <v>3603</v>
      </c>
      <c r="S333" s="8">
        <v>7826</v>
      </c>
      <c r="T333" s="7" t="s">
        <v>33</v>
      </c>
      <c r="U333" s="7" t="s">
        <v>33</v>
      </c>
      <c r="V333" s="8">
        <v>4341</v>
      </c>
      <c r="W333" s="8">
        <v>3620</v>
      </c>
      <c r="X333" s="8">
        <v>7961</v>
      </c>
      <c r="Y333" s="9">
        <v>87.2</v>
      </c>
      <c r="Z333" s="10">
        <f t="shared" si="25"/>
        <v>0.53574125346086077</v>
      </c>
      <c r="AA333" s="10" t="str">
        <f t="shared" si="26"/>
        <v/>
      </c>
      <c r="AB333" s="10">
        <f t="shared" si="27"/>
        <v>0.53961155123945825</v>
      </c>
      <c r="AC333" s="10">
        <f t="shared" si="28"/>
        <v>0.5452832558723778</v>
      </c>
      <c r="AD333" s="8">
        <f t="shared" si="29"/>
        <v>-721</v>
      </c>
    </row>
    <row r="334" spans="1:30" ht="15" customHeight="1" x14ac:dyDescent="0.2">
      <c r="A334" s="7">
        <v>2024</v>
      </c>
      <c r="B334" s="7" t="s">
        <v>99</v>
      </c>
      <c r="C334" s="7" t="s">
        <v>87</v>
      </c>
      <c r="D334" s="7">
        <v>66</v>
      </c>
      <c r="E334" s="7" t="s">
        <v>33</v>
      </c>
      <c r="F334" s="7" t="s">
        <v>32</v>
      </c>
      <c r="G334" s="8">
        <v>1707</v>
      </c>
      <c r="H334" s="8">
        <v>1752</v>
      </c>
      <c r="I334" s="8">
        <v>3459</v>
      </c>
      <c r="J334" s="7" t="s">
        <v>33</v>
      </c>
      <c r="K334" s="7"/>
      <c r="L334" s="8"/>
      <c r="M334" s="8"/>
      <c r="N334" s="8"/>
      <c r="O334" s="7" t="s">
        <v>33</v>
      </c>
      <c r="P334" s="7" t="s">
        <v>33</v>
      </c>
      <c r="Q334" s="8">
        <v>1681</v>
      </c>
      <c r="R334" s="8">
        <v>1644</v>
      </c>
      <c r="S334" s="8">
        <v>3325</v>
      </c>
      <c r="T334" s="7" t="s">
        <v>33</v>
      </c>
      <c r="U334" s="7" t="s">
        <v>33</v>
      </c>
      <c r="V334" s="8">
        <v>1726</v>
      </c>
      <c r="W334" s="8">
        <v>1685</v>
      </c>
      <c r="X334" s="8">
        <v>3411</v>
      </c>
      <c r="Y334" s="9">
        <v>79.8</v>
      </c>
      <c r="Z334" s="10">
        <f t="shared" si="25"/>
        <v>0.49349522983521249</v>
      </c>
      <c r="AA334" s="10" t="str">
        <f t="shared" si="26"/>
        <v/>
      </c>
      <c r="AB334" s="10">
        <f t="shared" si="27"/>
        <v>0.5055639097744361</v>
      </c>
      <c r="AC334" s="10">
        <f t="shared" si="28"/>
        <v>0.50600996775139251</v>
      </c>
      <c r="AD334" s="8">
        <f t="shared" si="29"/>
        <v>-41</v>
      </c>
    </row>
    <row r="335" spans="1:30" ht="15" customHeight="1" x14ac:dyDescent="0.2">
      <c r="A335" s="7">
        <v>2024</v>
      </c>
      <c r="B335" s="7" t="s">
        <v>57</v>
      </c>
      <c r="C335" s="7" t="s">
        <v>87</v>
      </c>
      <c r="D335" s="7">
        <v>67</v>
      </c>
      <c r="E335" s="7" t="s">
        <v>33</v>
      </c>
      <c r="F335" s="7" t="s">
        <v>32</v>
      </c>
      <c r="G335" s="8">
        <v>2208</v>
      </c>
      <c r="H335" s="8">
        <v>4578</v>
      </c>
      <c r="I335" s="8">
        <v>6786</v>
      </c>
      <c r="J335" s="7" t="s">
        <v>33</v>
      </c>
      <c r="K335" s="7"/>
      <c r="L335" s="8"/>
      <c r="M335" s="8"/>
      <c r="N335" s="8"/>
      <c r="O335" s="7" t="s">
        <v>33</v>
      </c>
      <c r="P335" s="7" t="s">
        <v>32</v>
      </c>
      <c r="Q335" s="8">
        <v>2210</v>
      </c>
      <c r="R335" s="8">
        <v>4366</v>
      </c>
      <c r="S335" s="8">
        <v>6576</v>
      </c>
      <c r="T335" s="7" t="s">
        <v>33</v>
      </c>
      <c r="U335" s="7" t="s">
        <v>32</v>
      </c>
      <c r="V335" s="8">
        <v>2244</v>
      </c>
      <c r="W335" s="8">
        <v>4439</v>
      </c>
      <c r="X335" s="8">
        <v>6683</v>
      </c>
      <c r="Y335" s="9">
        <v>80.400000000000006</v>
      </c>
      <c r="Z335" s="10">
        <f t="shared" si="25"/>
        <v>0.32537577365163572</v>
      </c>
      <c r="AA335" s="10" t="str">
        <f t="shared" si="26"/>
        <v/>
      </c>
      <c r="AB335" s="10">
        <f t="shared" si="27"/>
        <v>0.33607055961070559</v>
      </c>
      <c r="AC335" s="10">
        <f t="shared" si="28"/>
        <v>0.3357773455035164</v>
      </c>
      <c r="AD335" s="8">
        <f t="shared" si="29"/>
        <v>2195</v>
      </c>
    </row>
    <row r="336" spans="1:30" ht="15" customHeight="1" x14ac:dyDescent="0.2">
      <c r="A336" s="7">
        <v>2024</v>
      </c>
      <c r="B336" s="7" t="s">
        <v>100</v>
      </c>
      <c r="C336" s="7" t="s">
        <v>87</v>
      </c>
      <c r="D336" s="7">
        <v>68</v>
      </c>
      <c r="E336" s="7" t="s">
        <v>33</v>
      </c>
      <c r="F336" s="7" t="s">
        <v>32</v>
      </c>
      <c r="G336" s="8">
        <v>598</v>
      </c>
      <c r="H336" s="8">
        <v>1268</v>
      </c>
      <c r="I336" s="8">
        <v>1866</v>
      </c>
      <c r="J336" s="7" t="s">
        <v>33</v>
      </c>
      <c r="K336" s="7"/>
      <c r="L336" s="8"/>
      <c r="M336" s="8"/>
      <c r="N336" s="8"/>
      <c r="O336" s="7" t="s">
        <v>33</v>
      </c>
      <c r="P336" s="7" t="s">
        <v>32</v>
      </c>
      <c r="Q336" s="8">
        <v>601</v>
      </c>
      <c r="R336" s="8">
        <v>1206</v>
      </c>
      <c r="S336" s="8">
        <v>1807</v>
      </c>
      <c r="T336" s="7" t="s">
        <v>33</v>
      </c>
      <c r="U336" s="7" t="s">
        <v>32</v>
      </c>
      <c r="V336" s="8">
        <v>625</v>
      </c>
      <c r="W336" s="8">
        <v>1214</v>
      </c>
      <c r="X336" s="8">
        <v>1839</v>
      </c>
      <c r="Y336" s="9">
        <v>77.2</v>
      </c>
      <c r="Z336" s="10">
        <f t="shared" si="25"/>
        <v>0.32047159699892819</v>
      </c>
      <c r="AA336" s="10" t="str">
        <f t="shared" si="26"/>
        <v/>
      </c>
      <c r="AB336" s="10">
        <f t="shared" si="27"/>
        <v>0.33259546209186497</v>
      </c>
      <c r="AC336" s="10">
        <f t="shared" si="28"/>
        <v>0.33985861881457313</v>
      </c>
      <c r="AD336" s="8">
        <f t="shared" si="29"/>
        <v>589</v>
      </c>
    </row>
    <row r="337" spans="1:30" ht="15" customHeight="1" x14ac:dyDescent="0.2">
      <c r="A337" s="7">
        <v>2024</v>
      </c>
      <c r="B337" s="7" t="s">
        <v>101</v>
      </c>
      <c r="C337" s="7" t="s">
        <v>87</v>
      </c>
      <c r="D337" s="7">
        <v>69</v>
      </c>
      <c r="E337" s="7" t="s">
        <v>33</v>
      </c>
      <c r="F337" s="7" t="s">
        <v>32</v>
      </c>
      <c r="G337" s="8">
        <v>2021</v>
      </c>
      <c r="H337" s="8">
        <v>2546</v>
      </c>
      <c r="I337" s="8">
        <v>4567</v>
      </c>
      <c r="J337" s="7" t="s">
        <v>33</v>
      </c>
      <c r="K337" s="7"/>
      <c r="L337" s="8"/>
      <c r="M337" s="8"/>
      <c r="N337" s="8"/>
      <c r="O337" s="7" t="s">
        <v>33</v>
      </c>
      <c r="P337" s="7" t="s">
        <v>32</v>
      </c>
      <c r="Q337" s="8">
        <v>1982</v>
      </c>
      <c r="R337" s="8">
        <v>2498</v>
      </c>
      <c r="S337" s="8">
        <v>4480</v>
      </c>
      <c r="T337" s="7" t="s">
        <v>33</v>
      </c>
      <c r="U337" s="7" t="s">
        <v>32</v>
      </c>
      <c r="V337" s="8">
        <v>2047</v>
      </c>
      <c r="W337" s="8">
        <v>2499</v>
      </c>
      <c r="X337" s="8">
        <v>4546</v>
      </c>
      <c r="Y337" s="9">
        <v>88.6</v>
      </c>
      <c r="Z337" s="10">
        <f t="shared" si="25"/>
        <v>0.44252244361725424</v>
      </c>
      <c r="AA337" s="10" t="str">
        <f t="shared" si="26"/>
        <v/>
      </c>
      <c r="AB337" s="10">
        <f t="shared" si="27"/>
        <v>0.44241071428571427</v>
      </c>
      <c r="AC337" s="10">
        <f t="shared" si="28"/>
        <v>0.45028596568411788</v>
      </c>
      <c r="AD337" s="8">
        <f t="shared" si="29"/>
        <v>452</v>
      </c>
    </row>
    <row r="338" spans="1:30" ht="15" customHeight="1" x14ac:dyDescent="0.2">
      <c r="A338" s="7">
        <v>2024</v>
      </c>
      <c r="B338" s="7" t="s">
        <v>102</v>
      </c>
      <c r="C338" s="7" t="s">
        <v>87</v>
      </c>
      <c r="D338" s="7">
        <v>70</v>
      </c>
      <c r="E338" s="7" t="s">
        <v>33</v>
      </c>
      <c r="F338" s="7" t="s">
        <v>32</v>
      </c>
      <c r="G338" s="8">
        <v>3458</v>
      </c>
      <c r="H338" s="8">
        <v>3846</v>
      </c>
      <c r="I338" s="8">
        <v>7304</v>
      </c>
      <c r="J338" s="7" t="s">
        <v>33</v>
      </c>
      <c r="K338" s="7"/>
      <c r="L338" s="8"/>
      <c r="M338" s="8"/>
      <c r="N338" s="8"/>
      <c r="O338" s="7" t="s">
        <v>33</v>
      </c>
      <c r="P338" s="7" t="s">
        <v>32</v>
      </c>
      <c r="Q338" s="8">
        <v>3365</v>
      </c>
      <c r="R338" s="8">
        <v>3751</v>
      </c>
      <c r="S338" s="8">
        <v>7116</v>
      </c>
      <c r="T338" s="7" t="s">
        <v>33</v>
      </c>
      <c r="U338" s="7" t="s">
        <v>32</v>
      </c>
      <c r="V338" s="8">
        <v>3457</v>
      </c>
      <c r="W338" s="8">
        <v>3805</v>
      </c>
      <c r="X338" s="8">
        <v>7262</v>
      </c>
      <c r="Y338" s="9">
        <v>86.4</v>
      </c>
      <c r="Z338" s="10">
        <f t="shared" si="25"/>
        <v>0.47343921139101863</v>
      </c>
      <c r="AA338" s="10" t="str">
        <f t="shared" si="26"/>
        <v/>
      </c>
      <c r="AB338" s="10">
        <f t="shared" si="27"/>
        <v>0.47287802136031476</v>
      </c>
      <c r="AC338" s="10">
        <f t="shared" si="28"/>
        <v>0.47603965849628199</v>
      </c>
      <c r="AD338" s="8">
        <f t="shared" si="29"/>
        <v>348</v>
      </c>
    </row>
    <row r="339" spans="1:30" ht="15" customHeight="1" x14ac:dyDescent="0.2">
      <c r="A339" s="7">
        <v>2024</v>
      </c>
      <c r="B339" s="7" t="s">
        <v>103</v>
      </c>
      <c r="C339" s="7" t="s">
        <v>87</v>
      </c>
      <c r="D339" s="7">
        <v>71</v>
      </c>
      <c r="E339" s="7" t="s">
        <v>33</v>
      </c>
      <c r="F339" s="7" t="s">
        <v>32</v>
      </c>
      <c r="G339" s="8">
        <v>1945</v>
      </c>
      <c r="H339" s="8">
        <v>4166</v>
      </c>
      <c r="I339" s="8">
        <v>6111</v>
      </c>
      <c r="J339" s="7" t="s">
        <v>33</v>
      </c>
      <c r="K339" s="7"/>
      <c r="L339" s="8"/>
      <c r="M339" s="8"/>
      <c r="N339" s="8"/>
      <c r="O339" s="7" t="s">
        <v>33</v>
      </c>
      <c r="P339" s="7" t="s">
        <v>32</v>
      </c>
      <c r="Q339" s="8">
        <v>1931</v>
      </c>
      <c r="R339" s="8">
        <v>4034</v>
      </c>
      <c r="S339" s="8">
        <v>5965</v>
      </c>
      <c r="T339" s="7" t="s">
        <v>33</v>
      </c>
      <c r="U339" s="7" t="s">
        <v>32</v>
      </c>
      <c r="V339" s="8">
        <v>2006</v>
      </c>
      <c r="W339" s="8">
        <v>4057</v>
      </c>
      <c r="X339" s="8">
        <v>6063</v>
      </c>
      <c r="Y339" s="9">
        <v>83.2</v>
      </c>
      <c r="Z339" s="10">
        <f t="shared" si="25"/>
        <v>0.31827851415480279</v>
      </c>
      <c r="AA339" s="10" t="str">
        <f t="shared" si="26"/>
        <v/>
      </c>
      <c r="AB339" s="10">
        <f t="shared" si="27"/>
        <v>0.32372170997485333</v>
      </c>
      <c r="AC339" s="10">
        <f t="shared" si="28"/>
        <v>0.33085931057232393</v>
      </c>
      <c r="AD339" s="8">
        <f t="shared" si="29"/>
        <v>2051</v>
      </c>
    </row>
    <row r="340" spans="1:30" ht="15" customHeight="1" x14ac:dyDescent="0.2">
      <c r="A340" s="7">
        <v>2024</v>
      </c>
      <c r="B340" s="7" t="s">
        <v>104</v>
      </c>
      <c r="C340" s="7" t="s">
        <v>87</v>
      </c>
      <c r="D340" s="7">
        <v>72</v>
      </c>
      <c r="E340" s="7" t="s">
        <v>33</v>
      </c>
      <c r="F340" s="7" t="s">
        <v>32</v>
      </c>
      <c r="G340" s="8">
        <v>1580</v>
      </c>
      <c r="H340" s="8">
        <v>1720</v>
      </c>
      <c r="I340" s="8">
        <v>3300</v>
      </c>
      <c r="J340" s="7" t="s">
        <v>33</v>
      </c>
      <c r="K340" s="7"/>
      <c r="L340" s="8"/>
      <c r="M340" s="8"/>
      <c r="N340" s="8"/>
      <c r="O340" s="7" t="s">
        <v>33</v>
      </c>
      <c r="P340" s="7" t="s">
        <v>32</v>
      </c>
      <c r="Q340" s="8">
        <v>1528</v>
      </c>
      <c r="R340" s="8">
        <v>1657</v>
      </c>
      <c r="S340" s="8">
        <v>3185</v>
      </c>
      <c r="T340" s="7" t="s">
        <v>33</v>
      </c>
      <c r="U340" s="7" t="s">
        <v>32</v>
      </c>
      <c r="V340" s="8">
        <v>1596</v>
      </c>
      <c r="W340" s="8">
        <v>1664</v>
      </c>
      <c r="X340" s="8">
        <v>3260</v>
      </c>
      <c r="Y340" s="9">
        <v>78.5</v>
      </c>
      <c r="Z340" s="10">
        <f t="shared" si="25"/>
        <v>0.47878787878787876</v>
      </c>
      <c r="AA340" s="10" t="str">
        <f t="shared" si="26"/>
        <v/>
      </c>
      <c r="AB340" s="10">
        <f t="shared" si="27"/>
        <v>0.47974882260596546</v>
      </c>
      <c r="AC340" s="10">
        <f t="shared" si="28"/>
        <v>0.48957055214723927</v>
      </c>
      <c r="AD340" s="8">
        <f t="shared" si="29"/>
        <v>68</v>
      </c>
    </row>
    <row r="341" spans="1:30" ht="15" customHeight="1" x14ac:dyDescent="0.2">
      <c r="A341" s="7">
        <v>2024</v>
      </c>
      <c r="B341" s="7" t="s">
        <v>105</v>
      </c>
      <c r="C341" s="7" t="s">
        <v>87</v>
      </c>
      <c r="D341" s="7">
        <v>73</v>
      </c>
      <c r="E341" s="7" t="s">
        <v>33</v>
      </c>
      <c r="F341" s="7" t="s">
        <v>32</v>
      </c>
      <c r="G341" s="8">
        <v>842</v>
      </c>
      <c r="H341" s="8">
        <v>933</v>
      </c>
      <c r="I341" s="8">
        <v>1775</v>
      </c>
      <c r="J341" s="7" t="s">
        <v>33</v>
      </c>
      <c r="K341" s="7"/>
      <c r="L341" s="8"/>
      <c r="M341" s="8"/>
      <c r="N341" s="8"/>
      <c r="O341" s="7" t="s">
        <v>33</v>
      </c>
      <c r="P341" s="7" t="s">
        <v>32</v>
      </c>
      <c r="Q341" s="8">
        <v>820</v>
      </c>
      <c r="R341" s="8">
        <v>889</v>
      </c>
      <c r="S341" s="8">
        <v>1709</v>
      </c>
      <c r="T341" s="7" t="s">
        <v>33</v>
      </c>
      <c r="U341" s="7" t="s">
        <v>32</v>
      </c>
      <c r="V341" s="8">
        <v>847</v>
      </c>
      <c r="W341" s="8">
        <v>889</v>
      </c>
      <c r="X341" s="8">
        <v>1736</v>
      </c>
      <c r="Y341" s="9">
        <v>74.8</v>
      </c>
      <c r="Z341" s="10">
        <f t="shared" si="25"/>
        <v>0.47436619718309858</v>
      </c>
      <c r="AA341" s="10" t="str">
        <f t="shared" si="26"/>
        <v/>
      </c>
      <c r="AB341" s="10">
        <f t="shared" si="27"/>
        <v>0.47981275599765943</v>
      </c>
      <c r="AC341" s="10">
        <f t="shared" si="28"/>
        <v>0.48790322580645162</v>
      </c>
      <c r="AD341" s="8">
        <f t="shared" si="29"/>
        <v>42</v>
      </c>
    </row>
    <row r="342" spans="1:30" ht="15" customHeight="1" x14ac:dyDescent="0.2">
      <c r="A342" s="7">
        <v>2024</v>
      </c>
      <c r="B342" s="7" t="s">
        <v>87</v>
      </c>
      <c r="C342" s="7" t="s">
        <v>87</v>
      </c>
      <c r="D342" s="7">
        <v>74</v>
      </c>
      <c r="E342" s="7" t="s">
        <v>33</v>
      </c>
      <c r="F342" s="7" t="s">
        <v>32</v>
      </c>
      <c r="G342" s="8">
        <v>2519</v>
      </c>
      <c r="H342" s="8">
        <v>3171</v>
      </c>
      <c r="I342" s="8">
        <v>5690</v>
      </c>
      <c r="J342" s="7" t="s">
        <v>33</v>
      </c>
      <c r="K342" s="7"/>
      <c r="L342" s="8"/>
      <c r="M342" s="8"/>
      <c r="N342" s="8"/>
      <c r="O342" s="7" t="s">
        <v>33</v>
      </c>
      <c r="P342" s="7" t="s">
        <v>32</v>
      </c>
      <c r="Q342" s="8">
        <v>2483</v>
      </c>
      <c r="R342" s="8">
        <v>2965</v>
      </c>
      <c r="S342" s="8">
        <v>5448</v>
      </c>
      <c r="T342" s="7" t="s">
        <v>33</v>
      </c>
      <c r="U342" s="7" t="s">
        <v>32</v>
      </c>
      <c r="V342" s="8">
        <v>2573</v>
      </c>
      <c r="W342" s="8">
        <v>3023</v>
      </c>
      <c r="X342" s="8">
        <v>5596</v>
      </c>
      <c r="Y342" s="9">
        <v>76.099999999999994</v>
      </c>
      <c r="Z342" s="10">
        <f t="shared" si="25"/>
        <v>0.44270650263620387</v>
      </c>
      <c r="AA342" s="10" t="str">
        <f t="shared" si="26"/>
        <v/>
      </c>
      <c r="AB342" s="10">
        <f t="shared" si="27"/>
        <v>0.45576358296622616</v>
      </c>
      <c r="AC342" s="10">
        <f t="shared" si="28"/>
        <v>0.45979270907791281</v>
      </c>
      <c r="AD342" s="8">
        <f t="shared" si="29"/>
        <v>450</v>
      </c>
    </row>
    <row r="343" spans="1:30" ht="15" customHeight="1" x14ac:dyDescent="0.2">
      <c r="A343" s="7">
        <v>2024</v>
      </c>
      <c r="B343" s="7" t="s">
        <v>106</v>
      </c>
      <c r="C343" s="7" t="s">
        <v>87</v>
      </c>
      <c r="D343" s="7">
        <v>75</v>
      </c>
      <c r="E343" s="7" t="s">
        <v>33</v>
      </c>
      <c r="F343" s="7" t="s">
        <v>32</v>
      </c>
      <c r="G343" s="8">
        <v>6886</v>
      </c>
      <c r="H343" s="8">
        <v>7039</v>
      </c>
      <c r="I343" s="8">
        <v>13925</v>
      </c>
      <c r="J343" s="7" t="s">
        <v>33</v>
      </c>
      <c r="K343" s="7"/>
      <c r="L343" s="8"/>
      <c r="M343" s="8"/>
      <c r="N343" s="8"/>
      <c r="O343" s="7" t="s">
        <v>33</v>
      </c>
      <c r="P343" s="7" t="s">
        <v>33</v>
      </c>
      <c r="Q343" s="8">
        <v>6837</v>
      </c>
      <c r="R343" s="8">
        <v>6643</v>
      </c>
      <c r="S343" s="8">
        <v>13480</v>
      </c>
      <c r="T343" s="7" t="s">
        <v>33</v>
      </c>
      <c r="U343" s="7" t="s">
        <v>33</v>
      </c>
      <c r="V343" s="8">
        <v>6974</v>
      </c>
      <c r="W343" s="8">
        <v>6736</v>
      </c>
      <c r="X343" s="8">
        <v>13710</v>
      </c>
      <c r="Y343" s="9">
        <v>79.5</v>
      </c>
      <c r="Z343" s="10">
        <f t="shared" si="25"/>
        <v>0.49450628366247756</v>
      </c>
      <c r="AA343" s="10" t="str">
        <f t="shared" si="26"/>
        <v/>
      </c>
      <c r="AB343" s="10">
        <f t="shared" si="27"/>
        <v>0.50719584569732934</v>
      </c>
      <c r="AC343" s="10">
        <f t="shared" si="28"/>
        <v>0.50867979576951128</v>
      </c>
      <c r="AD343" s="8">
        <f t="shared" si="29"/>
        <v>-238</v>
      </c>
    </row>
    <row r="344" spans="1:30" ht="15" customHeight="1" x14ac:dyDescent="0.2">
      <c r="A344" s="7">
        <v>2024</v>
      </c>
      <c r="B344" s="7" t="s">
        <v>107</v>
      </c>
      <c r="C344" s="7" t="s">
        <v>87</v>
      </c>
      <c r="D344" s="7">
        <v>76</v>
      </c>
      <c r="E344" s="7" t="s">
        <v>33</v>
      </c>
      <c r="F344" s="7" t="s">
        <v>32</v>
      </c>
      <c r="G344" s="8">
        <v>658</v>
      </c>
      <c r="H344" s="8">
        <v>1232</v>
      </c>
      <c r="I344" s="8">
        <v>1890</v>
      </c>
      <c r="J344" s="7" t="s">
        <v>33</v>
      </c>
      <c r="K344" s="7"/>
      <c r="L344" s="8"/>
      <c r="M344" s="8"/>
      <c r="N344" s="8"/>
      <c r="O344" s="7" t="s">
        <v>33</v>
      </c>
      <c r="P344" s="7" t="s">
        <v>32</v>
      </c>
      <c r="Q344" s="8">
        <v>657</v>
      </c>
      <c r="R344" s="8">
        <v>1170</v>
      </c>
      <c r="S344" s="8">
        <v>1827</v>
      </c>
      <c r="T344" s="7" t="s">
        <v>33</v>
      </c>
      <c r="U344" s="7" t="s">
        <v>32</v>
      </c>
      <c r="V344" s="8">
        <v>703</v>
      </c>
      <c r="W344" s="8">
        <v>1180</v>
      </c>
      <c r="X344" s="8">
        <v>1883</v>
      </c>
      <c r="Y344" s="9">
        <v>73.2</v>
      </c>
      <c r="Z344" s="10">
        <f t="shared" si="25"/>
        <v>0.34814814814814815</v>
      </c>
      <c r="AA344" s="10" t="str">
        <f t="shared" si="26"/>
        <v/>
      </c>
      <c r="AB344" s="10">
        <f t="shared" si="27"/>
        <v>0.35960591133004927</v>
      </c>
      <c r="AC344" s="10">
        <f t="shared" si="28"/>
        <v>0.37334041423260755</v>
      </c>
      <c r="AD344" s="8">
        <f t="shared" si="29"/>
        <v>477</v>
      </c>
    </row>
    <row r="345" spans="1:30" ht="15" customHeight="1" x14ac:dyDescent="0.2">
      <c r="A345" s="7">
        <v>2024</v>
      </c>
      <c r="B345" s="7" t="s">
        <v>108</v>
      </c>
      <c r="C345" s="7" t="s">
        <v>87</v>
      </c>
      <c r="D345" s="7">
        <v>77</v>
      </c>
      <c r="E345" s="7" t="s">
        <v>33</v>
      </c>
      <c r="F345" s="7" t="s">
        <v>32</v>
      </c>
      <c r="G345" s="8">
        <v>1292</v>
      </c>
      <c r="H345" s="8">
        <v>2685</v>
      </c>
      <c r="I345" s="8">
        <v>3977</v>
      </c>
      <c r="J345" s="7" t="s">
        <v>33</v>
      </c>
      <c r="K345" s="7"/>
      <c r="L345" s="8"/>
      <c r="M345" s="8"/>
      <c r="N345" s="8"/>
      <c r="O345" s="7" t="s">
        <v>33</v>
      </c>
      <c r="P345" s="7" t="s">
        <v>32</v>
      </c>
      <c r="Q345" s="8">
        <v>1294</v>
      </c>
      <c r="R345" s="8">
        <v>2556</v>
      </c>
      <c r="S345" s="8">
        <v>3850</v>
      </c>
      <c r="T345" s="7" t="s">
        <v>33</v>
      </c>
      <c r="U345" s="7" t="s">
        <v>32</v>
      </c>
      <c r="V345" s="8">
        <v>1361</v>
      </c>
      <c r="W345" s="8">
        <v>2561</v>
      </c>
      <c r="X345" s="8">
        <v>3922</v>
      </c>
      <c r="Y345" s="9">
        <v>78.599999999999994</v>
      </c>
      <c r="Z345" s="10">
        <f t="shared" si="25"/>
        <v>0.32486799094795071</v>
      </c>
      <c r="AA345" s="10" t="str">
        <f t="shared" si="26"/>
        <v/>
      </c>
      <c r="AB345" s="10">
        <f t="shared" si="27"/>
        <v>0.33610389610389613</v>
      </c>
      <c r="AC345" s="10">
        <f t="shared" si="28"/>
        <v>0.34701682814890361</v>
      </c>
      <c r="AD345" s="8">
        <f t="shared" si="29"/>
        <v>1200</v>
      </c>
    </row>
    <row r="346" spans="1:30" ht="15" customHeight="1" x14ac:dyDescent="0.2">
      <c r="A346" s="7">
        <v>2024</v>
      </c>
      <c r="B346" s="7" t="s">
        <v>109</v>
      </c>
      <c r="C346" s="7" t="s">
        <v>87</v>
      </c>
      <c r="D346" s="7">
        <v>78</v>
      </c>
      <c r="E346" s="7" t="s">
        <v>33</v>
      </c>
      <c r="F346" s="7" t="s">
        <v>32</v>
      </c>
      <c r="G346" s="8">
        <v>92</v>
      </c>
      <c r="H346" s="8">
        <v>173</v>
      </c>
      <c r="I346" s="8">
        <v>265</v>
      </c>
      <c r="J346" s="7" t="s">
        <v>33</v>
      </c>
      <c r="K346" s="7"/>
      <c r="L346" s="8"/>
      <c r="M346" s="8"/>
      <c r="N346" s="8"/>
      <c r="O346" s="7" t="s">
        <v>33</v>
      </c>
      <c r="P346" s="7" t="s">
        <v>32</v>
      </c>
      <c r="Q346" s="8">
        <v>89</v>
      </c>
      <c r="R346" s="8">
        <v>159</v>
      </c>
      <c r="S346" s="8">
        <v>248</v>
      </c>
      <c r="T346" s="7" t="s">
        <v>33</v>
      </c>
      <c r="U346" s="7" t="s">
        <v>32</v>
      </c>
      <c r="V346" s="8">
        <v>92</v>
      </c>
      <c r="W346" s="8">
        <v>167</v>
      </c>
      <c r="X346" s="8">
        <v>259</v>
      </c>
      <c r="Y346" s="9">
        <v>70.099999999999994</v>
      </c>
      <c r="Z346" s="10">
        <f t="shared" si="25"/>
        <v>0.3471698113207547</v>
      </c>
      <c r="AA346" s="10" t="str">
        <f t="shared" si="26"/>
        <v/>
      </c>
      <c r="AB346" s="10">
        <f t="shared" si="27"/>
        <v>0.3588709677419355</v>
      </c>
      <c r="AC346" s="10">
        <f t="shared" si="28"/>
        <v>0.35521235521235522</v>
      </c>
      <c r="AD346" s="8">
        <f t="shared" si="29"/>
        <v>75</v>
      </c>
    </row>
    <row r="347" spans="1:30" ht="15" customHeight="1" x14ac:dyDescent="0.2">
      <c r="A347" s="7">
        <v>2024</v>
      </c>
      <c r="B347" s="7" t="s">
        <v>110</v>
      </c>
      <c r="C347" s="7" t="s">
        <v>87</v>
      </c>
      <c r="D347" s="7">
        <v>79</v>
      </c>
      <c r="E347" s="7" t="s">
        <v>33</v>
      </c>
      <c r="F347" s="7" t="s">
        <v>32</v>
      </c>
      <c r="G347" s="8">
        <v>323</v>
      </c>
      <c r="H347" s="8">
        <v>601</v>
      </c>
      <c r="I347" s="8">
        <v>924</v>
      </c>
      <c r="J347" s="7" t="s">
        <v>33</v>
      </c>
      <c r="K347" s="7"/>
      <c r="L347" s="8"/>
      <c r="M347" s="8"/>
      <c r="N347" s="8"/>
      <c r="O347" s="7" t="s">
        <v>33</v>
      </c>
      <c r="P347" s="7" t="s">
        <v>32</v>
      </c>
      <c r="Q347" s="8">
        <v>336</v>
      </c>
      <c r="R347" s="8">
        <v>569</v>
      </c>
      <c r="S347" s="8">
        <v>905</v>
      </c>
      <c r="T347" s="7" t="s">
        <v>33</v>
      </c>
      <c r="U347" s="7" t="s">
        <v>32</v>
      </c>
      <c r="V347" s="8">
        <v>335</v>
      </c>
      <c r="W347" s="8">
        <v>581</v>
      </c>
      <c r="X347" s="8">
        <v>916</v>
      </c>
      <c r="Y347" s="9">
        <v>75.2</v>
      </c>
      <c r="Z347" s="10">
        <f t="shared" si="25"/>
        <v>0.34956709956709958</v>
      </c>
      <c r="AA347" s="10" t="str">
        <f t="shared" si="26"/>
        <v/>
      </c>
      <c r="AB347" s="10">
        <f t="shared" si="27"/>
        <v>0.37127071823204422</v>
      </c>
      <c r="AC347" s="10">
        <f t="shared" si="28"/>
        <v>0.36572052401746724</v>
      </c>
      <c r="AD347" s="8">
        <f t="shared" si="29"/>
        <v>246</v>
      </c>
    </row>
    <row r="348" spans="1:30" ht="15" customHeight="1" x14ac:dyDescent="0.2">
      <c r="A348" s="7">
        <v>2024</v>
      </c>
      <c r="B348" s="7" t="s">
        <v>111</v>
      </c>
      <c r="C348" s="7" t="s">
        <v>87</v>
      </c>
      <c r="D348" s="7">
        <v>80</v>
      </c>
      <c r="E348" s="7" t="s">
        <v>33</v>
      </c>
      <c r="F348" s="7" t="s">
        <v>32</v>
      </c>
      <c r="G348" s="8">
        <v>209</v>
      </c>
      <c r="H348" s="8">
        <v>316</v>
      </c>
      <c r="I348" s="8">
        <v>525</v>
      </c>
      <c r="J348" s="7" t="s">
        <v>33</v>
      </c>
      <c r="K348" s="7"/>
      <c r="L348" s="8"/>
      <c r="M348" s="8"/>
      <c r="N348" s="8"/>
      <c r="O348" s="7" t="s">
        <v>33</v>
      </c>
      <c r="P348" s="7" t="s">
        <v>32</v>
      </c>
      <c r="Q348" s="8">
        <v>204</v>
      </c>
      <c r="R348" s="8">
        <v>303</v>
      </c>
      <c r="S348" s="8">
        <v>507</v>
      </c>
      <c r="T348" s="7" t="s">
        <v>33</v>
      </c>
      <c r="U348" s="7" t="s">
        <v>32</v>
      </c>
      <c r="V348" s="8">
        <v>210</v>
      </c>
      <c r="W348" s="8">
        <v>309</v>
      </c>
      <c r="X348" s="8">
        <v>519</v>
      </c>
      <c r="Y348" s="9">
        <v>76.400000000000006</v>
      </c>
      <c r="Z348" s="10">
        <f t="shared" si="25"/>
        <v>0.39809523809523811</v>
      </c>
      <c r="AA348" s="10" t="str">
        <f t="shared" si="26"/>
        <v/>
      </c>
      <c r="AB348" s="10">
        <f t="shared" si="27"/>
        <v>0.40236686390532544</v>
      </c>
      <c r="AC348" s="10">
        <f t="shared" si="28"/>
        <v>0.40462427745664742</v>
      </c>
      <c r="AD348" s="8">
        <f t="shared" si="29"/>
        <v>99</v>
      </c>
    </row>
    <row r="349" spans="1:30" ht="15" customHeight="1" x14ac:dyDescent="0.2">
      <c r="A349" s="7">
        <v>2024</v>
      </c>
      <c r="B349" s="7" t="s">
        <v>112</v>
      </c>
      <c r="C349" s="7" t="s">
        <v>87</v>
      </c>
      <c r="D349" s="7">
        <v>81</v>
      </c>
      <c r="E349" s="7" t="s">
        <v>33</v>
      </c>
      <c r="F349" s="7" t="s">
        <v>32</v>
      </c>
      <c r="G349" s="8">
        <v>326</v>
      </c>
      <c r="H349" s="8">
        <v>478</v>
      </c>
      <c r="I349" s="8">
        <v>804</v>
      </c>
      <c r="J349" s="7" t="s">
        <v>33</v>
      </c>
      <c r="K349" s="7"/>
      <c r="L349" s="8"/>
      <c r="M349" s="8"/>
      <c r="N349" s="8"/>
      <c r="O349" s="7" t="s">
        <v>33</v>
      </c>
      <c r="P349" s="7" t="s">
        <v>32</v>
      </c>
      <c r="Q349" s="8">
        <v>323</v>
      </c>
      <c r="R349" s="8">
        <v>452</v>
      </c>
      <c r="S349" s="8">
        <v>775</v>
      </c>
      <c r="T349" s="7" t="s">
        <v>33</v>
      </c>
      <c r="U349" s="7" t="s">
        <v>32</v>
      </c>
      <c r="V349" s="8">
        <v>331</v>
      </c>
      <c r="W349" s="8">
        <v>458</v>
      </c>
      <c r="X349" s="8">
        <v>789</v>
      </c>
      <c r="Y349" s="9">
        <v>81.099999999999994</v>
      </c>
      <c r="Z349" s="10">
        <f t="shared" si="25"/>
        <v>0.40547263681592038</v>
      </c>
      <c r="AA349" s="10" t="str">
        <f t="shared" si="26"/>
        <v/>
      </c>
      <c r="AB349" s="10">
        <f t="shared" si="27"/>
        <v>0.41677419354838707</v>
      </c>
      <c r="AC349" s="10">
        <f t="shared" si="28"/>
        <v>0.41951837769328265</v>
      </c>
      <c r="AD349" s="8">
        <f t="shared" si="29"/>
        <v>127</v>
      </c>
    </row>
    <row r="350" spans="1:30" ht="15" customHeight="1" x14ac:dyDescent="0.2">
      <c r="A350" s="7">
        <v>2024</v>
      </c>
      <c r="B350" s="7" t="s">
        <v>113</v>
      </c>
      <c r="C350" s="7" t="s">
        <v>87</v>
      </c>
      <c r="D350" s="7">
        <v>82</v>
      </c>
      <c r="E350" s="7" t="s">
        <v>33</v>
      </c>
      <c r="F350" s="7" t="s">
        <v>32</v>
      </c>
      <c r="G350" s="8">
        <v>1215</v>
      </c>
      <c r="H350" s="8">
        <v>2822</v>
      </c>
      <c r="I350" s="8">
        <v>4037</v>
      </c>
      <c r="J350" s="7" t="s">
        <v>33</v>
      </c>
      <c r="K350" s="7"/>
      <c r="L350" s="8"/>
      <c r="M350" s="8"/>
      <c r="N350" s="8"/>
      <c r="O350" s="7" t="s">
        <v>33</v>
      </c>
      <c r="P350" s="7" t="s">
        <v>32</v>
      </c>
      <c r="Q350" s="8">
        <v>1201</v>
      </c>
      <c r="R350" s="8">
        <v>2684</v>
      </c>
      <c r="S350" s="8">
        <v>3885</v>
      </c>
      <c r="T350" s="7" t="s">
        <v>33</v>
      </c>
      <c r="U350" s="7" t="s">
        <v>32</v>
      </c>
      <c r="V350" s="8">
        <v>1242</v>
      </c>
      <c r="W350" s="8">
        <v>2716</v>
      </c>
      <c r="X350" s="8">
        <v>3958</v>
      </c>
      <c r="Y350" s="9">
        <v>76.5</v>
      </c>
      <c r="Z350" s="10">
        <f t="shared" si="25"/>
        <v>0.30096606390884317</v>
      </c>
      <c r="AA350" s="10" t="str">
        <f t="shared" si="26"/>
        <v/>
      </c>
      <c r="AB350" s="10">
        <f t="shared" si="27"/>
        <v>0.30913770913770916</v>
      </c>
      <c r="AC350" s="10">
        <f t="shared" si="28"/>
        <v>0.31379484588175849</v>
      </c>
      <c r="AD350" s="8">
        <f t="shared" si="29"/>
        <v>1474</v>
      </c>
    </row>
    <row r="351" spans="1:30" ht="15" customHeight="1" x14ac:dyDescent="0.2">
      <c r="A351" s="7">
        <v>2024</v>
      </c>
      <c r="B351" s="7" t="s">
        <v>114</v>
      </c>
      <c r="C351" s="7" t="s">
        <v>87</v>
      </c>
      <c r="D351" s="7">
        <v>83</v>
      </c>
      <c r="E351" s="7" t="s">
        <v>33</v>
      </c>
      <c r="F351" s="7" t="s">
        <v>32</v>
      </c>
      <c r="G351" s="8">
        <v>1953</v>
      </c>
      <c r="H351" s="8">
        <v>2182</v>
      </c>
      <c r="I351" s="8">
        <v>4135</v>
      </c>
      <c r="J351" s="7" t="s">
        <v>33</v>
      </c>
      <c r="K351" s="7"/>
      <c r="L351" s="8"/>
      <c r="M351" s="8"/>
      <c r="N351" s="8"/>
      <c r="O351" s="7" t="s">
        <v>33</v>
      </c>
      <c r="P351" s="7" t="s">
        <v>32</v>
      </c>
      <c r="Q351" s="8">
        <v>1911</v>
      </c>
      <c r="R351" s="8">
        <v>2129</v>
      </c>
      <c r="S351" s="8">
        <v>4040</v>
      </c>
      <c r="T351" s="7" t="s">
        <v>33</v>
      </c>
      <c r="U351" s="7" t="s">
        <v>32</v>
      </c>
      <c r="V351" s="8">
        <v>1964</v>
      </c>
      <c r="W351" s="8">
        <v>2147</v>
      </c>
      <c r="X351" s="8">
        <v>4111</v>
      </c>
      <c r="Y351" s="9">
        <v>84.5</v>
      </c>
      <c r="Z351" s="10">
        <f t="shared" si="25"/>
        <v>0.47230955259975815</v>
      </c>
      <c r="AA351" s="10" t="str">
        <f t="shared" si="26"/>
        <v/>
      </c>
      <c r="AB351" s="10">
        <f t="shared" si="27"/>
        <v>0.473019801980198</v>
      </c>
      <c r="AC351" s="10">
        <f t="shared" si="28"/>
        <v>0.47774264169301872</v>
      </c>
      <c r="AD351" s="8">
        <f t="shared" si="29"/>
        <v>183</v>
      </c>
    </row>
    <row r="352" spans="1:30" ht="15" customHeight="1" x14ac:dyDescent="0.2">
      <c r="A352" s="7">
        <v>2024</v>
      </c>
      <c r="B352" s="7" t="s">
        <v>115</v>
      </c>
      <c r="C352" s="7" t="s">
        <v>87</v>
      </c>
      <c r="D352" s="7">
        <v>84</v>
      </c>
      <c r="E352" s="7" t="s">
        <v>33</v>
      </c>
      <c r="F352" s="7" t="s">
        <v>32</v>
      </c>
      <c r="G352" s="8">
        <v>402</v>
      </c>
      <c r="H352" s="8">
        <v>687</v>
      </c>
      <c r="I352" s="8">
        <v>1089</v>
      </c>
      <c r="J352" s="7" t="s">
        <v>33</v>
      </c>
      <c r="K352" s="7"/>
      <c r="L352" s="8"/>
      <c r="M352" s="8"/>
      <c r="N352" s="8"/>
      <c r="O352" s="7" t="s">
        <v>33</v>
      </c>
      <c r="P352" s="7" t="s">
        <v>32</v>
      </c>
      <c r="Q352" s="8">
        <v>396</v>
      </c>
      <c r="R352" s="8">
        <v>645</v>
      </c>
      <c r="S352" s="8">
        <v>1041</v>
      </c>
      <c r="T352" s="7" t="s">
        <v>33</v>
      </c>
      <c r="U352" s="7" t="s">
        <v>32</v>
      </c>
      <c r="V352" s="8">
        <v>416</v>
      </c>
      <c r="W352" s="8">
        <v>658</v>
      </c>
      <c r="X352" s="8">
        <v>1074</v>
      </c>
      <c r="Y352" s="9">
        <v>70.5</v>
      </c>
      <c r="Z352" s="10">
        <f t="shared" si="25"/>
        <v>0.36914600550964188</v>
      </c>
      <c r="AA352" s="10" t="str">
        <f t="shared" si="26"/>
        <v/>
      </c>
      <c r="AB352" s="10">
        <f t="shared" si="27"/>
        <v>0.3804034582132565</v>
      </c>
      <c r="AC352" s="10">
        <f t="shared" si="28"/>
        <v>0.38733705772811916</v>
      </c>
      <c r="AD352" s="8">
        <f t="shared" si="29"/>
        <v>242</v>
      </c>
    </row>
    <row r="353" spans="1:30" ht="15" customHeight="1" x14ac:dyDescent="0.2">
      <c r="A353" s="7">
        <v>2024</v>
      </c>
      <c r="B353" s="7" t="s">
        <v>79</v>
      </c>
      <c r="C353" s="7" t="s">
        <v>87</v>
      </c>
      <c r="D353" s="7">
        <v>85</v>
      </c>
      <c r="E353" s="7" t="s">
        <v>33</v>
      </c>
      <c r="F353" s="7" t="s">
        <v>32</v>
      </c>
      <c r="G353" s="8">
        <v>1000</v>
      </c>
      <c r="H353" s="8">
        <v>2169</v>
      </c>
      <c r="I353" s="8">
        <v>3169</v>
      </c>
      <c r="J353" s="7" t="s">
        <v>33</v>
      </c>
      <c r="K353" s="7"/>
      <c r="L353" s="8"/>
      <c r="M353" s="8"/>
      <c r="N353" s="8"/>
      <c r="O353" s="7" t="s">
        <v>33</v>
      </c>
      <c r="P353" s="7" t="s">
        <v>32</v>
      </c>
      <c r="Q353" s="8">
        <v>987</v>
      </c>
      <c r="R353" s="8">
        <v>2100</v>
      </c>
      <c r="S353" s="8">
        <v>3087</v>
      </c>
      <c r="T353" s="7" t="s">
        <v>33</v>
      </c>
      <c r="U353" s="7" t="s">
        <v>32</v>
      </c>
      <c r="V353" s="8">
        <v>1041</v>
      </c>
      <c r="W353" s="8">
        <v>2088</v>
      </c>
      <c r="X353" s="8">
        <v>3129</v>
      </c>
      <c r="Y353" s="9">
        <v>79.099999999999994</v>
      </c>
      <c r="Z353" s="10">
        <f t="shared" si="25"/>
        <v>0.31555695803092459</v>
      </c>
      <c r="AA353" s="10" t="str">
        <f t="shared" si="26"/>
        <v/>
      </c>
      <c r="AB353" s="10">
        <f t="shared" si="27"/>
        <v>0.31972789115646261</v>
      </c>
      <c r="AC353" s="10">
        <f t="shared" si="28"/>
        <v>0.33269415148609782</v>
      </c>
      <c r="AD353" s="8">
        <f t="shared" si="29"/>
        <v>1047</v>
      </c>
    </row>
    <row r="354" spans="1:30" ht="15" customHeight="1" x14ac:dyDescent="0.2">
      <c r="A354" s="7">
        <v>2024</v>
      </c>
      <c r="B354" s="7" t="s">
        <v>117</v>
      </c>
      <c r="C354" s="7" t="s">
        <v>87</v>
      </c>
      <c r="D354" s="7">
        <v>86</v>
      </c>
      <c r="E354" s="7" t="s">
        <v>33</v>
      </c>
      <c r="F354" s="7" t="s">
        <v>32</v>
      </c>
      <c r="G354" s="8">
        <v>266</v>
      </c>
      <c r="H354" s="8">
        <v>339</v>
      </c>
      <c r="I354" s="8">
        <v>605</v>
      </c>
      <c r="J354" s="7" t="s">
        <v>33</v>
      </c>
      <c r="K354" s="7"/>
      <c r="L354" s="8"/>
      <c r="M354" s="8"/>
      <c r="N354" s="8"/>
      <c r="O354" s="7" t="s">
        <v>33</v>
      </c>
      <c r="P354" s="7" t="s">
        <v>32</v>
      </c>
      <c r="Q354" s="8">
        <v>272</v>
      </c>
      <c r="R354" s="8">
        <v>307</v>
      </c>
      <c r="S354" s="8">
        <v>579</v>
      </c>
      <c r="T354" s="7" t="s">
        <v>33</v>
      </c>
      <c r="U354" s="7" t="s">
        <v>32</v>
      </c>
      <c r="V354" s="8">
        <v>281</v>
      </c>
      <c r="W354" s="8">
        <v>310</v>
      </c>
      <c r="X354" s="8">
        <v>591</v>
      </c>
      <c r="Y354" s="9">
        <v>67.2</v>
      </c>
      <c r="Z354" s="10">
        <f t="shared" si="25"/>
        <v>0.4396694214876033</v>
      </c>
      <c r="AA354" s="10" t="str">
        <f t="shared" si="26"/>
        <v/>
      </c>
      <c r="AB354" s="10">
        <f t="shared" si="27"/>
        <v>0.46977547495682209</v>
      </c>
      <c r="AC354" s="10">
        <f t="shared" si="28"/>
        <v>0.47546531302876482</v>
      </c>
      <c r="AD354" s="8">
        <f t="shared" si="29"/>
        <v>29</v>
      </c>
    </row>
    <row r="355" spans="1:30" ht="15" customHeight="1" x14ac:dyDescent="0.2">
      <c r="A355" s="7">
        <v>2024</v>
      </c>
      <c r="B355" s="7" t="s">
        <v>118</v>
      </c>
      <c r="C355" s="7" t="s">
        <v>87</v>
      </c>
      <c r="D355" s="7">
        <v>87</v>
      </c>
      <c r="E355" s="7" t="s">
        <v>33</v>
      </c>
      <c r="F355" s="7" t="s">
        <v>32</v>
      </c>
      <c r="G355" s="8">
        <v>1845</v>
      </c>
      <c r="H355" s="8">
        <v>2451</v>
      </c>
      <c r="I355" s="8">
        <v>4296</v>
      </c>
      <c r="J355" s="7" t="s">
        <v>33</v>
      </c>
      <c r="K355" s="7"/>
      <c r="L355" s="8"/>
      <c r="M355" s="8"/>
      <c r="N355" s="8"/>
      <c r="O355" s="7" t="s">
        <v>33</v>
      </c>
      <c r="P355" s="7" t="s">
        <v>32</v>
      </c>
      <c r="Q355" s="8">
        <v>1798</v>
      </c>
      <c r="R355" s="8">
        <v>2378</v>
      </c>
      <c r="S355" s="8">
        <v>4176</v>
      </c>
      <c r="T355" s="7" t="s">
        <v>33</v>
      </c>
      <c r="U355" s="7" t="s">
        <v>32</v>
      </c>
      <c r="V355" s="8">
        <v>1847</v>
      </c>
      <c r="W355" s="8">
        <v>2401</v>
      </c>
      <c r="X355" s="8">
        <v>4248</v>
      </c>
      <c r="Y355" s="9">
        <v>83.9</v>
      </c>
      <c r="Z355" s="10">
        <f t="shared" si="25"/>
        <v>0.42946927374301674</v>
      </c>
      <c r="AA355" s="10" t="str">
        <f t="shared" si="26"/>
        <v/>
      </c>
      <c r="AB355" s="10">
        <f t="shared" si="27"/>
        <v>0.43055555555555558</v>
      </c>
      <c r="AC355" s="10">
        <f t="shared" si="28"/>
        <v>0.43479284369114879</v>
      </c>
      <c r="AD355" s="8">
        <f t="shared" si="29"/>
        <v>554</v>
      </c>
    </row>
    <row r="356" spans="1:30" ht="15" customHeight="1" x14ac:dyDescent="0.2">
      <c r="A356" s="7">
        <v>2024</v>
      </c>
      <c r="B356" s="7" t="s">
        <v>119</v>
      </c>
      <c r="C356" s="7" t="s">
        <v>87</v>
      </c>
      <c r="D356" s="7">
        <v>88</v>
      </c>
      <c r="E356" s="7" t="s">
        <v>33</v>
      </c>
      <c r="F356" s="7" t="s">
        <v>33</v>
      </c>
      <c r="G356" s="8">
        <v>1898</v>
      </c>
      <c r="H356" s="8">
        <v>1628</v>
      </c>
      <c r="I356" s="8">
        <v>3526</v>
      </c>
      <c r="J356" s="7" t="s">
        <v>33</v>
      </c>
      <c r="K356" s="7"/>
      <c r="L356" s="8"/>
      <c r="M356" s="8"/>
      <c r="N356" s="8"/>
      <c r="O356" s="7" t="s">
        <v>33</v>
      </c>
      <c r="P356" s="7" t="s">
        <v>33</v>
      </c>
      <c r="Q356" s="8">
        <v>1837</v>
      </c>
      <c r="R356" s="8">
        <v>1500</v>
      </c>
      <c r="S356" s="8">
        <v>3337</v>
      </c>
      <c r="T356" s="7" t="s">
        <v>33</v>
      </c>
      <c r="U356" s="7" t="s">
        <v>33</v>
      </c>
      <c r="V356" s="8">
        <v>1897</v>
      </c>
      <c r="W356" s="8">
        <v>1538</v>
      </c>
      <c r="X356" s="8">
        <v>3435</v>
      </c>
      <c r="Y356" s="9">
        <v>70.099999999999994</v>
      </c>
      <c r="Z356" s="10">
        <f t="shared" si="25"/>
        <v>0.53828701077708452</v>
      </c>
      <c r="AA356" s="10" t="str">
        <f t="shared" si="26"/>
        <v/>
      </c>
      <c r="AB356" s="10">
        <f t="shared" si="27"/>
        <v>0.55049445609829184</v>
      </c>
      <c r="AC356" s="10">
        <f t="shared" si="28"/>
        <v>0.55225618631732165</v>
      </c>
      <c r="AD356" s="8">
        <f t="shared" si="29"/>
        <v>-359</v>
      </c>
    </row>
    <row r="357" spans="1:30" ht="15" customHeight="1" x14ac:dyDescent="0.2">
      <c r="A357" s="7">
        <v>2024</v>
      </c>
      <c r="B357" s="7" t="s">
        <v>120</v>
      </c>
      <c r="C357" s="7" t="s">
        <v>87</v>
      </c>
      <c r="D357" s="7">
        <v>89</v>
      </c>
      <c r="E357" s="7" t="s">
        <v>33</v>
      </c>
      <c r="F357" s="7" t="s">
        <v>32</v>
      </c>
      <c r="G357" s="8">
        <v>612</v>
      </c>
      <c r="H357" s="8">
        <v>892</v>
      </c>
      <c r="I357" s="8">
        <v>1504</v>
      </c>
      <c r="J357" s="7" t="s">
        <v>33</v>
      </c>
      <c r="K357" s="7"/>
      <c r="L357" s="8"/>
      <c r="M357" s="8"/>
      <c r="N357" s="8"/>
      <c r="O357" s="7" t="s">
        <v>33</v>
      </c>
      <c r="P357" s="7" t="s">
        <v>32</v>
      </c>
      <c r="Q357" s="8">
        <v>614</v>
      </c>
      <c r="R357" s="8">
        <v>832</v>
      </c>
      <c r="S357" s="8">
        <v>1446</v>
      </c>
      <c r="T357" s="7" t="s">
        <v>33</v>
      </c>
      <c r="U357" s="7" t="s">
        <v>32</v>
      </c>
      <c r="V357" s="8">
        <v>634</v>
      </c>
      <c r="W357" s="8">
        <v>856</v>
      </c>
      <c r="X357" s="8">
        <v>1490</v>
      </c>
      <c r="Y357" s="9">
        <v>74.2</v>
      </c>
      <c r="Z357" s="10">
        <f t="shared" si="25"/>
        <v>0.40691489361702127</v>
      </c>
      <c r="AA357" s="10" t="str">
        <f t="shared" si="26"/>
        <v/>
      </c>
      <c r="AB357" s="10">
        <f t="shared" si="27"/>
        <v>0.42461964038727523</v>
      </c>
      <c r="AC357" s="10">
        <f t="shared" si="28"/>
        <v>0.42550335570469799</v>
      </c>
      <c r="AD357" s="8">
        <f t="shared" si="29"/>
        <v>222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8" customWidth="1"/>
    <col min="2" max="3" width="15" customWidth="1"/>
    <col min="4" max="4" width="16" customWidth="1"/>
  </cols>
  <sheetData>
    <row r="1" spans="1:4" ht="27.75" customHeight="1" x14ac:dyDescent="0.2">
      <c r="A1" s="5" t="s">
        <v>122</v>
      </c>
      <c r="B1" s="5"/>
      <c r="C1" s="5"/>
      <c r="D1" s="5"/>
    </row>
    <row r="3" spans="1:4" ht="23.25" customHeight="1" x14ac:dyDescent="0.2">
      <c r="A3" s="6" t="s">
        <v>0</v>
      </c>
      <c r="B3" s="6" t="s">
        <v>123</v>
      </c>
      <c r="C3" s="6" t="s">
        <v>124</v>
      </c>
      <c r="D3" s="6" t="s">
        <v>125</v>
      </c>
    </row>
    <row r="4" spans="1:4" ht="15" customHeight="1" x14ac:dyDescent="0.2">
      <c r="A4" s="7">
        <v>2018</v>
      </c>
      <c r="B4" s="8">
        <f>SUMIFS('Municipal Master Data'!$V$2:$V$357,'Municipal Master Data'!$A$2:$A$357,$A4)</f>
        <v>140419</v>
      </c>
      <c r="C4" s="8">
        <f>SUMIFS('Municipal Master Data'!$W$2:$W$357,'Municipal Master Data'!$A$2:$A$357,$A4)</f>
        <v>122895</v>
      </c>
      <c r="D4" s="12">
        <f>B4/(B4+C4)</f>
        <v>0.53327586075939748</v>
      </c>
    </row>
    <row r="5" spans="1:4" ht="15" customHeight="1" x14ac:dyDescent="0.2">
      <c r="A5" s="7">
        <v>2020</v>
      </c>
      <c r="B5" s="8">
        <f>SUMIFS('Municipal Master Data'!$V$2:$V$357,'Municipal Master Data'!$A$2:$A$357,$A5)</f>
        <v>193719</v>
      </c>
      <c r="C5" s="8">
        <f>SUMIFS('Municipal Master Data'!$W$2:$W$357,'Municipal Master Data'!$A$2:$A$357,$A5)</f>
        <v>196320</v>
      </c>
      <c r="D5" s="12">
        <f>B5/(B5+C5)</f>
        <v>0.49666571804358028</v>
      </c>
    </row>
    <row r="6" spans="1:4" ht="15" customHeight="1" x14ac:dyDescent="0.2">
      <c r="A6" s="7">
        <v>2022</v>
      </c>
      <c r="B6" s="8">
        <f>SUMIFS('Municipal Master Data'!$V$2:$V$357,'Municipal Master Data'!$A$2:$A$357,$A6)</f>
        <v>151364</v>
      </c>
      <c r="C6" s="8">
        <f>SUMIFS('Municipal Master Data'!$W$2:$W$357,'Municipal Master Data'!$A$2:$A$357,$A6)</f>
        <v>145527</v>
      </c>
      <c r="D6" s="12">
        <f>B6/(B6+C6)</f>
        <v>0.50983020704568338</v>
      </c>
    </row>
    <row r="7" spans="1:4" ht="15" customHeight="1" x14ac:dyDescent="0.2">
      <c r="A7" s="7">
        <v>2024</v>
      </c>
      <c r="B7" s="8">
        <f>SUMIFS('Municipal Master Data'!$V$2:$V$357,'Municipal Master Data'!$A$2:$A$357,$A7)</f>
        <v>199626</v>
      </c>
      <c r="C7" s="8">
        <f>SUMIFS('Municipal Master Data'!$W$2:$W$357,'Municipal Master Data'!$A$2:$A$357,$A7)</f>
        <v>203688</v>
      </c>
      <c r="D7" s="12">
        <f>B7/(B7+C7)</f>
        <v>0.49496422142548979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48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8" customWidth="1"/>
    <col min="2" max="2" width="22" customWidth="1"/>
    <col min="3" max="3" width="14" customWidth="1"/>
    <col min="4" max="4" width="10" customWidth="1"/>
    <col min="5" max="6" width="13" customWidth="1"/>
    <col min="7" max="7" width="15" customWidth="1"/>
    <col min="8" max="9" width="11" customWidth="1"/>
    <col min="10" max="10" width="13" customWidth="1"/>
    <col min="11" max="12" width="10" customWidth="1"/>
    <col min="13" max="13" width="12" customWidth="1"/>
    <col min="14" max="14" width="14" customWidth="1"/>
  </cols>
  <sheetData>
    <row r="1" spans="1:15" ht="15" customHeight="1" x14ac:dyDescent="0.2">
      <c r="A1" s="5" t="s">
        <v>126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3" spans="1:15" ht="27.75" customHeight="1" x14ac:dyDescent="0.2">
      <c r="A3" s="6" t="s">
        <v>127</v>
      </c>
      <c r="B3" s="6" t="s">
        <v>128</v>
      </c>
      <c r="C3" s="6" t="s">
        <v>2</v>
      </c>
      <c r="D3" s="6" t="s">
        <v>3</v>
      </c>
      <c r="E3" s="6" t="s">
        <v>129</v>
      </c>
      <c r="F3" s="6" t="s">
        <v>130</v>
      </c>
      <c r="G3" s="6" t="s">
        <v>131</v>
      </c>
      <c r="H3" s="6" t="s">
        <v>132</v>
      </c>
      <c r="I3" s="6" t="s">
        <v>133</v>
      </c>
      <c r="J3" s="6" t="s">
        <v>134</v>
      </c>
      <c r="K3" s="6" t="s">
        <v>135</v>
      </c>
      <c r="L3" s="6" t="s">
        <v>136</v>
      </c>
      <c r="M3" s="6" t="s">
        <v>137</v>
      </c>
      <c r="N3" s="6" t="s">
        <v>138</v>
      </c>
    </row>
    <row r="4" spans="1:15" ht="15" customHeight="1" x14ac:dyDescent="0.2">
      <c r="A4" s="7">
        <v>2026</v>
      </c>
      <c r="B4" s="7" t="s">
        <v>30</v>
      </c>
      <c r="C4" s="7" t="s">
        <v>31</v>
      </c>
      <c r="D4" s="7">
        <v>1</v>
      </c>
      <c r="E4" s="8">
        <v>277</v>
      </c>
      <c r="F4" s="8">
        <v>246</v>
      </c>
      <c r="G4" s="8">
        <v>94</v>
      </c>
      <c r="H4" s="8">
        <v>89</v>
      </c>
      <c r="I4" s="8">
        <v>57</v>
      </c>
      <c r="J4" s="8">
        <v>0</v>
      </c>
      <c r="K4" s="8">
        <v>23</v>
      </c>
      <c r="L4" s="8">
        <v>11</v>
      </c>
      <c r="M4" s="8">
        <v>0</v>
      </c>
      <c r="N4" s="10">
        <f t="shared" ref="N4:N67" si="0">IFERROR(G4/(G4+H4),"")</f>
        <v>0.51366120218579236</v>
      </c>
    </row>
    <row r="5" spans="1:15" ht="15" customHeight="1" x14ac:dyDescent="0.2">
      <c r="A5" s="7">
        <v>2026</v>
      </c>
      <c r="B5" s="7" t="s">
        <v>34</v>
      </c>
      <c r="C5" s="7" t="s">
        <v>31</v>
      </c>
      <c r="D5" s="7">
        <v>2</v>
      </c>
      <c r="E5" s="8">
        <v>168</v>
      </c>
      <c r="F5" s="8">
        <v>316</v>
      </c>
      <c r="G5" s="8">
        <v>118</v>
      </c>
      <c r="H5" s="8">
        <v>23</v>
      </c>
      <c r="I5" s="8">
        <v>52</v>
      </c>
      <c r="J5" s="8">
        <v>0</v>
      </c>
      <c r="K5" s="8">
        <v>2</v>
      </c>
      <c r="L5" s="8">
        <v>3</v>
      </c>
      <c r="M5" s="8">
        <v>0</v>
      </c>
      <c r="N5" s="10">
        <f t="shared" si="0"/>
        <v>0.83687943262411346</v>
      </c>
    </row>
    <row r="6" spans="1:15" ht="15" customHeight="1" x14ac:dyDescent="0.2">
      <c r="A6" s="7">
        <v>2026</v>
      </c>
      <c r="B6" s="7" t="s">
        <v>35</v>
      </c>
      <c r="C6" s="7" t="s">
        <v>31</v>
      </c>
      <c r="D6" s="7">
        <v>3</v>
      </c>
      <c r="E6" s="8">
        <v>158</v>
      </c>
      <c r="F6" s="8">
        <v>311</v>
      </c>
      <c r="G6" s="8">
        <v>89</v>
      </c>
      <c r="H6" s="8">
        <v>59</v>
      </c>
      <c r="I6" s="8">
        <v>75</v>
      </c>
      <c r="J6" s="8">
        <v>1</v>
      </c>
      <c r="K6" s="8">
        <v>20</v>
      </c>
      <c r="L6" s="8">
        <v>5</v>
      </c>
      <c r="M6" s="8">
        <v>0</v>
      </c>
      <c r="N6" s="10">
        <f t="shared" si="0"/>
        <v>0.60135135135135132</v>
      </c>
    </row>
    <row r="7" spans="1:15" ht="15" customHeight="1" x14ac:dyDescent="0.2">
      <c r="A7" s="7">
        <v>2026</v>
      </c>
      <c r="B7" s="7" t="s">
        <v>36</v>
      </c>
      <c r="C7" s="7" t="s">
        <v>31</v>
      </c>
      <c r="D7" s="7">
        <v>4</v>
      </c>
      <c r="E7" s="8">
        <v>516</v>
      </c>
      <c r="F7" s="8">
        <v>1250</v>
      </c>
      <c r="G7" s="8">
        <v>285</v>
      </c>
      <c r="H7" s="8">
        <v>174</v>
      </c>
      <c r="I7" s="8">
        <v>308</v>
      </c>
      <c r="J7" s="8">
        <v>0</v>
      </c>
      <c r="K7" s="8">
        <v>69</v>
      </c>
      <c r="L7" s="8">
        <v>44</v>
      </c>
      <c r="M7" s="8">
        <v>0</v>
      </c>
      <c r="N7" s="10">
        <f t="shared" si="0"/>
        <v>0.62091503267973858</v>
      </c>
    </row>
    <row r="8" spans="1:15" ht="15" customHeight="1" x14ac:dyDescent="0.2">
      <c r="A8" s="7">
        <v>2026</v>
      </c>
      <c r="B8" s="7" t="s">
        <v>37</v>
      </c>
      <c r="C8" s="7" t="s">
        <v>31</v>
      </c>
      <c r="D8" s="7">
        <v>5</v>
      </c>
      <c r="E8" s="8">
        <v>52</v>
      </c>
      <c r="F8" s="8">
        <v>79</v>
      </c>
      <c r="G8" s="8">
        <v>30</v>
      </c>
      <c r="H8" s="8">
        <v>20</v>
      </c>
      <c r="I8" s="8">
        <v>22</v>
      </c>
      <c r="J8" s="8">
        <v>0</v>
      </c>
      <c r="K8" s="8">
        <v>13</v>
      </c>
      <c r="L8" s="8">
        <v>5</v>
      </c>
      <c r="M8" s="8">
        <v>0</v>
      </c>
      <c r="N8" s="10">
        <f t="shared" si="0"/>
        <v>0.6</v>
      </c>
    </row>
    <row r="9" spans="1:15" ht="15" customHeight="1" x14ac:dyDescent="0.2">
      <c r="A9" s="7">
        <v>2026</v>
      </c>
      <c r="B9" s="7" t="s">
        <v>38</v>
      </c>
      <c r="C9" s="7" t="s">
        <v>31</v>
      </c>
      <c r="D9" s="7">
        <v>6</v>
      </c>
      <c r="E9" s="8">
        <v>801</v>
      </c>
      <c r="F9" s="8">
        <v>1859</v>
      </c>
      <c r="G9" s="8">
        <v>427</v>
      </c>
      <c r="H9" s="8">
        <v>275</v>
      </c>
      <c r="I9" s="8">
        <v>478</v>
      </c>
      <c r="J9" s="8">
        <v>0</v>
      </c>
      <c r="K9" s="8">
        <v>107</v>
      </c>
      <c r="L9" s="8">
        <v>39</v>
      </c>
      <c r="M9" s="8">
        <v>0</v>
      </c>
      <c r="N9" s="10">
        <f t="shared" si="0"/>
        <v>0.60826210826210825</v>
      </c>
    </row>
    <row r="10" spans="1:15" ht="15" customHeight="1" x14ac:dyDescent="0.2">
      <c r="A10" s="7">
        <v>2026</v>
      </c>
      <c r="B10" s="7" t="s">
        <v>39</v>
      </c>
      <c r="C10" s="7" t="s">
        <v>31</v>
      </c>
      <c r="D10" s="7">
        <v>7</v>
      </c>
      <c r="E10" s="8">
        <v>1291</v>
      </c>
      <c r="F10" s="8">
        <v>1460</v>
      </c>
      <c r="G10" s="8">
        <v>482</v>
      </c>
      <c r="H10" s="8">
        <v>512</v>
      </c>
      <c r="I10" s="8">
        <v>361</v>
      </c>
      <c r="J10" s="8">
        <v>0</v>
      </c>
      <c r="K10" s="8">
        <v>171</v>
      </c>
      <c r="L10" s="8">
        <v>54</v>
      </c>
      <c r="M10" s="8">
        <v>0</v>
      </c>
      <c r="N10" s="10">
        <f t="shared" si="0"/>
        <v>0.48490945674044267</v>
      </c>
    </row>
    <row r="11" spans="1:15" ht="15" customHeight="1" x14ac:dyDescent="0.2">
      <c r="A11" s="7">
        <v>2026</v>
      </c>
      <c r="B11" s="7" t="s">
        <v>40</v>
      </c>
      <c r="C11" s="7" t="s">
        <v>31</v>
      </c>
      <c r="D11" s="7">
        <v>8</v>
      </c>
      <c r="E11" s="8">
        <v>363</v>
      </c>
      <c r="F11" s="8">
        <v>769</v>
      </c>
      <c r="G11" s="8">
        <v>286</v>
      </c>
      <c r="H11" s="8">
        <v>118</v>
      </c>
      <c r="I11" s="8">
        <v>182</v>
      </c>
      <c r="J11" s="8">
        <v>2</v>
      </c>
      <c r="K11" s="8">
        <v>49</v>
      </c>
      <c r="L11" s="8">
        <v>25</v>
      </c>
      <c r="M11" s="8">
        <v>0</v>
      </c>
      <c r="N11" s="10">
        <f t="shared" si="0"/>
        <v>0.70792079207920788</v>
      </c>
    </row>
    <row r="12" spans="1:15" ht="15" customHeight="1" x14ac:dyDescent="0.2">
      <c r="A12" s="7">
        <v>2026</v>
      </c>
      <c r="B12" s="7" t="s">
        <v>41</v>
      </c>
      <c r="C12" s="7" t="s">
        <v>31</v>
      </c>
      <c r="D12" s="7">
        <v>9</v>
      </c>
      <c r="E12" s="8">
        <v>884</v>
      </c>
      <c r="F12" s="8">
        <v>975</v>
      </c>
      <c r="G12" s="8">
        <v>513</v>
      </c>
      <c r="H12" s="8">
        <v>220</v>
      </c>
      <c r="I12" s="8">
        <v>188</v>
      </c>
      <c r="J12" s="8">
        <v>0</v>
      </c>
      <c r="K12" s="8">
        <v>81</v>
      </c>
      <c r="L12" s="8">
        <v>30</v>
      </c>
      <c r="M12" s="8">
        <v>0</v>
      </c>
      <c r="N12" s="10">
        <f t="shared" si="0"/>
        <v>0.69986357435197821</v>
      </c>
    </row>
    <row r="13" spans="1:15" ht="15" customHeight="1" x14ac:dyDescent="0.2">
      <c r="A13" s="7">
        <v>2026</v>
      </c>
      <c r="B13" s="7" t="s">
        <v>42</v>
      </c>
      <c r="C13" s="7" t="s">
        <v>31</v>
      </c>
      <c r="D13" s="7">
        <v>10</v>
      </c>
      <c r="E13" s="8">
        <v>43</v>
      </c>
      <c r="F13" s="8">
        <v>111</v>
      </c>
      <c r="G13" s="8">
        <v>26</v>
      </c>
      <c r="H13" s="8">
        <v>15</v>
      </c>
      <c r="I13" s="8">
        <v>15</v>
      </c>
      <c r="J13" s="8">
        <v>1</v>
      </c>
      <c r="K13" s="8">
        <v>10</v>
      </c>
      <c r="L13" s="8">
        <v>4</v>
      </c>
      <c r="M13" s="8">
        <v>1</v>
      </c>
      <c r="N13" s="10">
        <f t="shared" si="0"/>
        <v>0.63414634146341464</v>
      </c>
    </row>
    <row r="14" spans="1:15" ht="15" customHeight="1" x14ac:dyDescent="0.2">
      <c r="A14" s="7">
        <v>2026</v>
      </c>
      <c r="B14" s="7" t="s">
        <v>43</v>
      </c>
      <c r="C14" s="7" t="s">
        <v>31</v>
      </c>
      <c r="D14" s="7">
        <v>11</v>
      </c>
      <c r="E14" s="8">
        <v>56</v>
      </c>
      <c r="F14" s="8">
        <v>237</v>
      </c>
      <c r="G14" s="8">
        <v>38</v>
      </c>
      <c r="H14" s="8">
        <v>15</v>
      </c>
      <c r="I14" s="8">
        <v>62</v>
      </c>
      <c r="J14" s="8">
        <v>0</v>
      </c>
      <c r="K14" s="8">
        <v>4</v>
      </c>
      <c r="L14" s="8">
        <v>12</v>
      </c>
      <c r="M14" s="8">
        <v>0</v>
      </c>
      <c r="N14" s="10">
        <f t="shared" si="0"/>
        <v>0.71698113207547165</v>
      </c>
    </row>
    <row r="15" spans="1:15" ht="15" customHeight="1" x14ac:dyDescent="0.2">
      <c r="A15" s="7">
        <v>2026</v>
      </c>
      <c r="B15" s="7" t="s">
        <v>44</v>
      </c>
      <c r="C15" s="7" t="s">
        <v>31</v>
      </c>
      <c r="D15" s="7">
        <v>12</v>
      </c>
      <c r="E15" s="8">
        <v>1126</v>
      </c>
      <c r="F15" s="8">
        <v>1635</v>
      </c>
      <c r="G15" s="8">
        <v>530</v>
      </c>
      <c r="H15" s="8">
        <v>343</v>
      </c>
      <c r="I15" s="8">
        <v>312</v>
      </c>
      <c r="J15" s="8">
        <v>0</v>
      </c>
      <c r="K15" s="8">
        <v>141</v>
      </c>
      <c r="L15" s="8">
        <v>50</v>
      </c>
      <c r="M15" s="8">
        <v>0</v>
      </c>
      <c r="N15" s="10">
        <f t="shared" si="0"/>
        <v>0.60710194730813283</v>
      </c>
    </row>
    <row r="16" spans="1:15" ht="15" customHeight="1" x14ac:dyDescent="0.2">
      <c r="A16" s="7">
        <v>2026</v>
      </c>
      <c r="B16" s="7" t="s">
        <v>45</v>
      </c>
      <c r="C16" s="7" t="s">
        <v>31</v>
      </c>
      <c r="D16" s="7">
        <v>13</v>
      </c>
      <c r="E16" s="8">
        <v>589</v>
      </c>
      <c r="F16" s="8">
        <v>1289</v>
      </c>
      <c r="G16" s="8">
        <v>340</v>
      </c>
      <c r="H16" s="8">
        <v>203</v>
      </c>
      <c r="I16" s="8">
        <v>235</v>
      </c>
      <c r="J16" s="8">
        <v>0</v>
      </c>
      <c r="K16" s="8">
        <v>86</v>
      </c>
      <c r="L16" s="8">
        <v>32</v>
      </c>
      <c r="M16" s="8">
        <v>0</v>
      </c>
      <c r="N16" s="10">
        <f t="shared" si="0"/>
        <v>0.62615101289134434</v>
      </c>
    </row>
    <row r="17" spans="1:14" ht="15" customHeight="1" x14ac:dyDescent="0.2">
      <c r="A17" s="7">
        <v>2026</v>
      </c>
      <c r="B17" s="7" t="s">
        <v>46</v>
      </c>
      <c r="C17" s="7" t="s">
        <v>31</v>
      </c>
      <c r="D17" s="7">
        <v>14</v>
      </c>
      <c r="E17" s="8">
        <v>753</v>
      </c>
      <c r="F17" s="8">
        <v>1816</v>
      </c>
      <c r="G17" s="8">
        <v>449</v>
      </c>
      <c r="H17" s="8">
        <v>248</v>
      </c>
      <c r="I17" s="8">
        <v>406</v>
      </c>
      <c r="J17" s="8">
        <v>3</v>
      </c>
      <c r="K17" s="8">
        <v>113</v>
      </c>
      <c r="L17" s="8">
        <v>76</v>
      </c>
      <c r="M17" s="8">
        <v>0</v>
      </c>
      <c r="N17" s="10">
        <f t="shared" si="0"/>
        <v>0.64418938307030127</v>
      </c>
    </row>
    <row r="18" spans="1:14" ht="15" customHeight="1" x14ac:dyDescent="0.2">
      <c r="A18" s="7">
        <v>2026</v>
      </c>
      <c r="B18" s="7" t="s">
        <v>47</v>
      </c>
      <c r="C18" s="7" t="s">
        <v>31</v>
      </c>
      <c r="D18" s="7">
        <v>15</v>
      </c>
      <c r="E18" s="8">
        <v>776</v>
      </c>
      <c r="F18" s="8">
        <v>970</v>
      </c>
      <c r="G18" s="8">
        <v>332</v>
      </c>
      <c r="H18" s="8">
        <v>257</v>
      </c>
      <c r="I18" s="8">
        <v>214</v>
      </c>
      <c r="J18" s="8">
        <v>1</v>
      </c>
      <c r="K18" s="8">
        <v>88</v>
      </c>
      <c r="L18" s="8">
        <v>27</v>
      </c>
      <c r="M18" s="8">
        <v>0</v>
      </c>
      <c r="N18" s="10">
        <f t="shared" si="0"/>
        <v>0.56366723259762308</v>
      </c>
    </row>
    <row r="19" spans="1:14" ht="15" customHeight="1" x14ac:dyDescent="0.2">
      <c r="A19" s="7">
        <v>2026</v>
      </c>
      <c r="B19" s="7" t="s">
        <v>48</v>
      </c>
      <c r="C19" s="7" t="s">
        <v>31</v>
      </c>
      <c r="D19" s="7">
        <v>16</v>
      </c>
      <c r="E19" s="8">
        <v>133</v>
      </c>
      <c r="F19" s="8">
        <v>525</v>
      </c>
      <c r="G19" s="8">
        <v>77</v>
      </c>
      <c r="H19" s="8">
        <v>45</v>
      </c>
      <c r="I19" s="8">
        <v>143</v>
      </c>
      <c r="J19" s="8">
        <v>0</v>
      </c>
      <c r="K19" s="8">
        <v>20</v>
      </c>
      <c r="L19" s="8">
        <v>28</v>
      </c>
      <c r="M19" s="8">
        <v>0</v>
      </c>
      <c r="N19" s="10">
        <f t="shared" si="0"/>
        <v>0.63114754098360659</v>
      </c>
    </row>
    <row r="20" spans="1:14" ht="15" customHeight="1" x14ac:dyDescent="0.2">
      <c r="A20" s="7">
        <v>2026</v>
      </c>
      <c r="B20" s="7" t="s">
        <v>49</v>
      </c>
      <c r="C20" s="7" t="s">
        <v>31</v>
      </c>
      <c r="D20" s="7">
        <v>17</v>
      </c>
      <c r="E20" s="8">
        <v>1176</v>
      </c>
      <c r="F20" s="8">
        <v>1763</v>
      </c>
      <c r="G20" s="8">
        <v>608</v>
      </c>
      <c r="H20" s="8">
        <v>340</v>
      </c>
      <c r="I20" s="8">
        <v>292</v>
      </c>
      <c r="J20" s="8">
        <v>0</v>
      </c>
      <c r="K20" s="8">
        <v>135</v>
      </c>
      <c r="L20" s="8">
        <v>41</v>
      </c>
      <c r="M20" s="8">
        <v>0</v>
      </c>
      <c r="N20" s="10">
        <f t="shared" si="0"/>
        <v>0.64135021097046419</v>
      </c>
    </row>
    <row r="21" spans="1:14" ht="15" customHeight="1" x14ac:dyDescent="0.2">
      <c r="A21" s="7">
        <v>2026</v>
      </c>
      <c r="B21" s="7" t="s">
        <v>50</v>
      </c>
      <c r="C21" s="7" t="s">
        <v>31</v>
      </c>
      <c r="D21" s="7">
        <v>18</v>
      </c>
      <c r="E21" s="8">
        <v>89</v>
      </c>
      <c r="F21" s="8">
        <v>160</v>
      </c>
      <c r="G21" s="8">
        <v>56</v>
      </c>
      <c r="H21" s="8">
        <v>23</v>
      </c>
      <c r="I21" s="8">
        <v>36</v>
      </c>
      <c r="J21" s="8">
        <v>0</v>
      </c>
      <c r="K21" s="8">
        <v>8</v>
      </c>
      <c r="L21" s="8">
        <v>3</v>
      </c>
      <c r="M21" s="8">
        <v>0</v>
      </c>
      <c r="N21" s="10">
        <f t="shared" si="0"/>
        <v>0.70886075949367089</v>
      </c>
    </row>
    <row r="22" spans="1:14" ht="15" customHeight="1" x14ac:dyDescent="0.2">
      <c r="A22" s="7">
        <v>2026</v>
      </c>
      <c r="B22" s="7" t="s">
        <v>51</v>
      </c>
      <c r="C22" s="7" t="s">
        <v>31</v>
      </c>
      <c r="D22" s="7">
        <v>19</v>
      </c>
      <c r="E22" s="8">
        <v>2366</v>
      </c>
      <c r="F22" s="8">
        <v>3962</v>
      </c>
      <c r="G22" s="8">
        <v>1533</v>
      </c>
      <c r="H22" s="8">
        <v>661</v>
      </c>
      <c r="I22" s="8">
        <v>753</v>
      </c>
      <c r="J22" s="8">
        <v>2</v>
      </c>
      <c r="K22" s="8">
        <v>296</v>
      </c>
      <c r="L22" s="8">
        <v>102</v>
      </c>
      <c r="M22" s="8">
        <v>2</v>
      </c>
      <c r="N22" s="10">
        <f t="shared" si="0"/>
        <v>0.69872379216043756</v>
      </c>
    </row>
    <row r="23" spans="1:14" ht="15" customHeight="1" x14ac:dyDescent="0.2">
      <c r="A23" s="7">
        <v>2026</v>
      </c>
      <c r="B23" s="7" t="s">
        <v>52</v>
      </c>
      <c r="C23" s="7" t="s">
        <v>31</v>
      </c>
      <c r="D23" s="7">
        <v>20</v>
      </c>
      <c r="E23" s="8">
        <v>853</v>
      </c>
      <c r="F23" s="8">
        <v>892</v>
      </c>
      <c r="G23" s="8">
        <v>356</v>
      </c>
      <c r="H23" s="8">
        <v>332</v>
      </c>
      <c r="I23" s="8">
        <v>185</v>
      </c>
      <c r="J23" s="8">
        <v>0</v>
      </c>
      <c r="K23" s="8">
        <v>100</v>
      </c>
      <c r="L23" s="8">
        <v>19</v>
      </c>
      <c r="M23" s="8">
        <v>0</v>
      </c>
      <c r="N23" s="10">
        <f t="shared" si="0"/>
        <v>0.51744186046511631</v>
      </c>
    </row>
    <row r="24" spans="1:14" ht="15" customHeight="1" x14ac:dyDescent="0.2">
      <c r="A24" s="7">
        <v>2026</v>
      </c>
      <c r="B24" s="7" t="s">
        <v>53</v>
      </c>
      <c r="C24" s="7" t="s">
        <v>31</v>
      </c>
      <c r="D24" s="7">
        <v>21</v>
      </c>
      <c r="E24" s="8">
        <v>861</v>
      </c>
      <c r="F24" s="8">
        <v>2001</v>
      </c>
      <c r="G24" s="8">
        <v>541</v>
      </c>
      <c r="H24" s="8">
        <v>282</v>
      </c>
      <c r="I24" s="8">
        <v>402</v>
      </c>
      <c r="J24" s="8">
        <v>1</v>
      </c>
      <c r="K24" s="8">
        <v>136</v>
      </c>
      <c r="L24" s="8">
        <v>46</v>
      </c>
      <c r="M24" s="8">
        <v>1</v>
      </c>
      <c r="N24" s="10">
        <f t="shared" si="0"/>
        <v>0.65735115431348723</v>
      </c>
    </row>
    <row r="25" spans="1:14" ht="15" customHeight="1" x14ac:dyDescent="0.2">
      <c r="A25" s="7">
        <v>2026</v>
      </c>
      <c r="B25" s="7" t="s">
        <v>54</v>
      </c>
      <c r="C25" s="7" t="s">
        <v>31</v>
      </c>
      <c r="D25" s="7">
        <v>22</v>
      </c>
      <c r="E25" s="8">
        <v>414</v>
      </c>
      <c r="F25" s="8">
        <v>887</v>
      </c>
      <c r="G25" s="8">
        <v>252</v>
      </c>
      <c r="H25" s="8">
        <v>107</v>
      </c>
      <c r="I25" s="8">
        <v>165</v>
      </c>
      <c r="J25" s="8">
        <v>0</v>
      </c>
      <c r="K25" s="8">
        <v>39</v>
      </c>
      <c r="L25" s="8">
        <v>23</v>
      </c>
      <c r="M25" s="8">
        <v>0</v>
      </c>
      <c r="N25" s="10">
        <f t="shared" si="0"/>
        <v>0.70194986072423393</v>
      </c>
    </row>
    <row r="26" spans="1:14" ht="15" customHeight="1" x14ac:dyDescent="0.2">
      <c r="A26" s="7">
        <v>2026</v>
      </c>
      <c r="B26" s="7" t="s">
        <v>55</v>
      </c>
      <c r="C26" s="7" t="s">
        <v>31</v>
      </c>
      <c r="D26" s="7">
        <v>23</v>
      </c>
      <c r="E26" s="8">
        <v>71</v>
      </c>
      <c r="F26" s="8">
        <v>114</v>
      </c>
      <c r="G26" s="8">
        <v>52</v>
      </c>
      <c r="H26" s="8">
        <v>12</v>
      </c>
      <c r="I26" s="8">
        <v>29</v>
      </c>
      <c r="J26" s="8">
        <v>0</v>
      </c>
      <c r="K26" s="8">
        <v>1</v>
      </c>
      <c r="L26" s="8">
        <v>5</v>
      </c>
      <c r="M26" s="8">
        <v>0</v>
      </c>
      <c r="N26" s="10">
        <f t="shared" si="0"/>
        <v>0.8125</v>
      </c>
    </row>
    <row r="27" spans="1:14" ht="15" customHeight="1" x14ac:dyDescent="0.2">
      <c r="A27" s="7">
        <v>2026</v>
      </c>
      <c r="B27" s="7" t="s">
        <v>56</v>
      </c>
      <c r="C27" s="7" t="s">
        <v>57</v>
      </c>
      <c r="D27" s="7">
        <v>24</v>
      </c>
      <c r="E27" s="8">
        <v>655</v>
      </c>
      <c r="F27" s="8">
        <v>702</v>
      </c>
      <c r="G27" s="8">
        <v>376</v>
      </c>
      <c r="H27" s="8">
        <v>232</v>
      </c>
      <c r="I27" s="8">
        <v>122</v>
      </c>
      <c r="J27" s="8">
        <v>0</v>
      </c>
      <c r="K27" s="8">
        <v>81</v>
      </c>
      <c r="L27" s="8">
        <v>21</v>
      </c>
      <c r="M27" s="8">
        <v>0</v>
      </c>
      <c r="N27" s="10">
        <f t="shared" si="0"/>
        <v>0.61842105263157898</v>
      </c>
    </row>
    <row r="28" spans="1:14" ht="15" customHeight="1" x14ac:dyDescent="0.2">
      <c r="A28" s="7">
        <v>2026</v>
      </c>
      <c r="B28" s="7" t="s">
        <v>58</v>
      </c>
      <c r="C28" s="7" t="s">
        <v>57</v>
      </c>
      <c r="D28" s="7">
        <v>25</v>
      </c>
      <c r="E28" s="8">
        <v>37994</v>
      </c>
      <c r="F28" s="8">
        <v>14679</v>
      </c>
      <c r="G28" s="8">
        <v>17146</v>
      </c>
      <c r="H28" s="8">
        <v>7750</v>
      </c>
      <c r="I28" s="8">
        <v>1930</v>
      </c>
      <c r="J28" s="8">
        <v>18</v>
      </c>
      <c r="K28" s="8">
        <v>2877</v>
      </c>
      <c r="L28" s="8">
        <v>566</v>
      </c>
      <c r="M28" s="8">
        <v>5</v>
      </c>
      <c r="N28" s="10">
        <f t="shared" si="0"/>
        <v>0.68870501285347041</v>
      </c>
    </row>
    <row r="29" spans="1:14" ht="15" customHeight="1" x14ac:dyDescent="0.2">
      <c r="A29" s="7">
        <v>2026</v>
      </c>
      <c r="B29" s="7" t="s">
        <v>59</v>
      </c>
      <c r="C29" s="7" t="s">
        <v>57</v>
      </c>
      <c r="D29" s="7">
        <v>26</v>
      </c>
      <c r="E29" s="8">
        <v>7227</v>
      </c>
      <c r="F29" s="8">
        <v>3718</v>
      </c>
      <c r="G29" s="8">
        <v>2725</v>
      </c>
      <c r="H29" s="8">
        <v>2507</v>
      </c>
      <c r="I29" s="8">
        <v>687</v>
      </c>
      <c r="J29" s="8">
        <v>3</v>
      </c>
      <c r="K29" s="8">
        <v>927</v>
      </c>
      <c r="L29" s="8">
        <v>181</v>
      </c>
      <c r="M29" s="8">
        <v>1</v>
      </c>
      <c r="N29" s="10">
        <f t="shared" si="0"/>
        <v>0.52083333333333337</v>
      </c>
    </row>
    <row r="30" spans="1:14" ht="15" customHeight="1" x14ac:dyDescent="0.2">
      <c r="A30" s="7">
        <v>2026</v>
      </c>
      <c r="B30" s="7" t="s">
        <v>60</v>
      </c>
      <c r="C30" s="7" t="s">
        <v>57</v>
      </c>
      <c r="D30" s="7">
        <v>27</v>
      </c>
      <c r="E30" s="8">
        <v>1772</v>
      </c>
      <c r="F30" s="8">
        <v>1402</v>
      </c>
      <c r="G30" s="8">
        <v>901</v>
      </c>
      <c r="H30" s="8">
        <v>505</v>
      </c>
      <c r="I30" s="8">
        <v>266</v>
      </c>
      <c r="J30" s="8">
        <v>0</v>
      </c>
      <c r="K30" s="8">
        <v>204</v>
      </c>
      <c r="L30" s="8">
        <v>66</v>
      </c>
      <c r="M30" s="8">
        <v>0</v>
      </c>
      <c r="N30" s="10">
        <f t="shared" si="0"/>
        <v>0.64082503556187764</v>
      </c>
    </row>
    <row r="31" spans="1:14" ht="15" customHeight="1" x14ac:dyDescent="0.2">
      <c r="A31" s="7">
        <v>2026</v>
      </c>
      <c r="B31" s="7" t="s">
        <v>61</v>
      </c>
      <c r="C31" s="7" t="s">
        <v>57</v>
      </c>
      <c r="D31" s="7">
        <v>28</v>
      </c>
      <c r="E31" s="8">
        <v>700</v>
      </c>
      <c r="F31" s="8">
        <v>824</v>
      </c>
      <c r="G31" s="8">
        <v>337</v>
      </c>
      <c r="H31" s="8">
        <v>308</v>
      </c>
      <c r="I31" s="8">
        <v>170</v>
      </c>
      <c r="J31" s="8">
        <v>1</v>
      </c>
      <c r="K31" s="8">
        <v>105</v>
      </c>
      <c r="L31" s="8">
        <v>36</v>
      </c>
      <c r="M31" s="8">
        <v>1</v>
      </c>
      <c r="N31" s="10">
        <f t="shared" si="0"/>
        <v>0.52248062015503871</v>
      </c>
    </row>
    <row r="32" spans="1:14" ht="15" customHeight="1" x14ac:dyDescent="0.2">
      <c r="A32" s="7">
        <v>2026</v>
      </c>
      <c r="B32" s="7" t="s">
        <v>62</v>
      </c>
      <c r="C32" s="7" t="s">
        <v>57</v>
      </c>
      <c r="D32" s="7">
        <v>29</v>
      </c>
      <c r="E32" s="8">
        <v>1036</v>
      </c>
      <c r="F32" s="8">
        <v>808</v>
      </c>
      <c r="G32" s="8">
        <v>453</v>
      </c>
      <c r="H32" s="8">
        <v>356</v>
      </c>
      <c r="I32" s="8">
        <v>169</v>
      </c>
      <c r="J32" s="8">
        <v>0</v>
      </c>
      <c r="K32" s="8">
        <v>119</v>
      </c>
      <c r="L32" s="8">
        <v>31</v>
      </c>
      <c r="M32" s="8">
        <v>0</v>
      </c>
      <c r="N32" s="10">
        <f t="shared" si="0"/>
        <v>0.55995055624227441</v>
      </c>
    </row>
    <row r="33" spans="1:14" ht="15" customHeight="1" x14ac:dyDescent="0.2">
      <c r="A33" s="7">
        <v>2026</v>
      </c>
      <c r="B33" s="7" t="s">
        <v>63</v>
      </c>
      <c r="C33" s="7" t="s">
        <v>57</v>
      </c>
      <c r="D33" s="7">
        <v>30</v>
      </c>
      <c r="E33" s="8">
        <v>3791</v>
      </c>
      <c r="F33" s="8">
        <v>3207</v>
      </c>
      <c r="G33" s="8">
        <v>1636</v>
      </c>
      <c r="H33" s="8">
        <v>1474</v>
      </c>
      <c r="I33" s="8">
        <v>631</v>
      </c>
      <c r="J33" s="8">
        <v>2</v>
      </c>
      <c r="K33" s="8">
        <v>583</v>
      </c>
      <c r="L33" s="8">
        <v>153</v>
      </c>
      <c r="M33" s="8">
        <v>1</v>
      </c>
      <c r="N33" s="10">
        <f t="shared" si="0"/>
        <v>0.52604501607717047</v>
      </c>
    </row>
    <row r="34" spans="1:14" ht="15" customHeight="1" x14ac:dyDescent="0.2">
      <c r="A34" s="7">
        <v>2026</v>
      </c>
      <c r="B34" s="7" t="s">
        <v>64</v>
      </c>
      <c r="C34" s="7" t="s">
        <v>57</v>
      </c>
      <c r="D34" s="7">
        <v>31</v>
      </c>
      <c r="E34" s="8">
        <v>1694</v>
      </c>
      <c r="F34" s="8">
        <v>711</v>
      </c>
      <c r="G34" s="8">
        <v>662</v>
      </c>
      <c r="H34" s="8">
        <v>500</v>
      </c>
      <c r="I34" s="8">
        <v>109</v>
      </c>
      <c r="J34" s="8">
        <v>2</v>
      </c>
      <c r="K34" s="8">
        <v>192</v>
      </c>
      <c r="L34" s="8">
        <v>33</v>
      </c>
      <c r="M34" s="8">
        <v>1</v>
      </c>
      <c r="N34" s="10">
        <f t="shared" si="0"/>
        <v>0.56970740103270223</v>
      </c>
    </row>
    <row r="35" spans="1:14" ht="15" customHeight="1" x14ac:dyDescent="0.2">
      <c r="A35" s="7">
        <v>2026</v>
      </c>
      <c r="B35" s="7" t="s">
        <v>65</v>
      </c>
      <c r="C35" s="7" t="s">
        <v>57</v>
      </c>
      <c r="D35" s="7">
        <v>32</v>
      </c>
      <c r="E35" s="8">
        <v>476</v>
      </c>
      <c r="F35" s="8">
        <v>302</v>
      </c>
      <c r="G35" s="8">
        <v>241</v>
      </c>
      <c r="H35" s="8">
        <v>117</v>
      </c>
      <c r="I35" s="8">
        <v>49</v>
      </c>
      <c r="J35" s="8">
        <v>2</v>
      </c>
      <c r="K35" s="8">
        <v>62</v>
      </c>
      <c r="L35" s="8">
        <v>10</v>
      </c>
      <c r="M35" s="8">
        <v>0</v>
      </c>
      <c r="N35" s="10">
        <f t="shared" si="0"/>
        <v>0.67318435754189943</v>
      </c>
    </row>
    <row r="36" spans="1:14" ht="15" customHeight="1" x14ac:dyDescent="0.2">
      <c r="A36" s="7">
        <v>2026</v>
      </c>
      <c r="B36" s="7" t="s">
        <v>66</v>
      </c>
      <c r="C36" s="7" t="s">
        <v>57</v>
      </c>
      <c r="D36" s="7">
        <v>33</v>
      </c>
      <c r="E36" s="8">
        <v>624</v>
      </c>
      <c r="F36" s="8">
        <v>1465</v>
      </c>
      <c r="G36" s="8">
        <v>364</v>
      </c>
      <c r="H36" s="8">
        <v>222</v>
      </c>
      <c r="I36" s="8">
        <v>308</v>
      </c>
      <c r="J36" s="8">
        <v>0</v>
      </c>
      <c r="K36" s="8">
        <v>111</v>
      </c>
      <c r="L36" s="8">
        <v>52</v>
      </c>
      <c r="M36" s="8">
        <v>0</v>
      </c>
      <c r="N36" s="10">
        <f t="shared" si="0"/>
        <v>0.62116040955631402</v>
      </c>
    </row>
    <row r="37" spans="1:14" ht="15" customHeight="1" x14ac:dyDescent="0.2">
      <c r="A37" s="7">
        <v>2026</v>
      </c>
      <c r="B37" s="7" t="s">
        <v>67</v>
      </c>
      <c r="C37" s="7" t="s">
        <v>57</v>
      </c>
      <c r="D37" s="7">
        <v>34</v>
      </c>
      <c r="E37" s="8">
        <v>9424</v>
      </c>
      <c r="F37" s="8">
        <v>10239</v>
      </c>
      <c r="G37" s="8">
        <v>4693</v>
      </c>
      <c r="H37" s="8">
        <v>3641</v>
      </c>
      <c r="I37" s="8">
        <v>2202</v>
      </c>
      <c r="J37" s="8">
        <v>6</v>
      </c>
      <c r="K37" s="8">
        <v>1802</v>
      </c>
      <c r="L37" s="8">
        <v>769</v>
      </c>
      <c r="M37" s="8">
        <v>4</v>
      </c>
      <c r="N37" s="10">
        <f t="shared" si="0"/>
        <v>0.5631149508039357</v>
      </c>
    </row>
    <row r="38" spans="1:14" ht="15" customHeight="1" x14ac:dyDescent="0.2">
      <c r="A38" s="7">
        <v>2026</v>
      </c>
      <c r="B38" s="7" t="s">
        <v>68</v>
      </c>
      <c r="C38" s="7" t="s">
        <v>57</v>
      </c>
      <c r="D38" s="7">
        <v>35</v>
      </c>
      <c r="E38" s="8">
        <v>843</v>
      </c>
      <c r="F38" s="8">
        <v>1687</v>
      </c>
      <c r="G38" s="8">
        <v>513</v>
      </c>
      <c r="H38" s="8">
        <v>380</v>
      </c>
      <c r="I38" s="8">
        <v>414</v>
      </c>
      <c r="J38" s="8">
        <v>0</v>
      </c>
      <c r="K38" s="8">
        <v>198</v>
      </c>
      <c r="L38" s="8">
        <v>133</v>
      </c>
      <c r="M38" s="8">
        <v>0</v>
      </c>
      <c r="N38" s="10">
        <f t="shared" si="0"/>
        <v>0.57446808510638303</v>
      </c>
    </row>
    <row r="39" spans="1:14" ht="15" customHeight="1" x14ac:dyDescent="0.2">
      <c r="A39" s="7">
        <v>2026</v>
      </c>
      <c r="B39" s="7" t="s">
        <v>69</v>
      </c>
      <c r="C39" s="7" t="s">
        <v>57</v>
      </c>
      <c r="D39" s="7">
        <v>36</v>
      </c>
      <c r="E39" s="8">
        <v>459</v>
      </c>
      <c r="F39" s="8">
        <v>1020</v>
      </c>
      <c r="G39" s="8">
        <v>307</v>
      </c>
      <c r="H39" s="8">
        <v>183</v>
      </c>
      <c r="I39" s="8">
        <v>222</v>
      </c>
      <c r="J39" s="8">
        <v>1</v>
      </c>
      <c r="K39" s="8">
        <v>88</v>
      </c>
      <c r="L39" s="8">
        <v>49</v>
      </c>
      <c r="M39" s="8">
        <v>1</v>
      </c>
      <c r="N39" s="10">
        <f t="shared" si="0"/>
        <v>0.62653061224489792</v>
      </c>
    </row>
    <row r="40" spans="1:14" ht="15" customHeight="1" x14ac:dyDescent="0.2">
      <c r="A40" s="7">
        <v>2026</v>
      </c>
      <c r="B40" s="7" t="s">
        <v>70</v>
      </c>
      <c r="C40" s="7" t="s">
        <v>57</v>
      </c>
      <c r="D40" s="7">
        <v>37</v>
      </c>
      <c r="E40" s="8">
        <v>762</v>
      </c>
      <c r="F40" s="8">
        <v>1903</v>
      </c>
      <c r="G40" s="8">
        <v>463</v>
      </c>
      <c r="H40" s="8">
        <v>303</v>
      </c>
      <c r="I40" s="8">
        <v>426</v>
      </c>
      <c r="J40" s="8">
        <v>1</v>
      </c>
      <c r="K40" s="8">
        <v>122</v>
      </c>
      <c r="L40" s="8">
        <v>52</v>
      </c>
      <c r="M40" s="8">
        <v>0</v>
      </c>
      <c r="N40" s="10">
        <f t="shared" si="0"/>
        <v>0.6044386422976501</v>
      </c>
    </row>
    <row r="41" spans="1:14" ht="15" customHeight="1" x14ac:dyDescent="0.2">
      <c r="A41" s="7">
        <v>2026</v>
      </c>
      <c r="B41" s="7" t="s">
        <v>71</v>
      </c>
      <c r="C41" s="7" t="s">
        <v>57</v>
      </c>
      <c r="D41" s="7">
        <v>38</v>
      </c>
      <c r="E41" s="8">
        <v>1016</v>
      </c>
      <c r="F41" s="8">
        <v>947</v>
      </c>
      <c r="G41" s="8">
        <v>481</v>
      </c>
      <c r="H41" s="8">
        <v>357</v>
      </c>
      <c r="I41" s="8">
        <v>197</v>
      </c>
      <c r="J41" s="8">
        <v>1</v>
      </c>
      <c r="K41" s="8">
        <v>137</v>
      </c>
      <c r="L41" s="8">
        <v>43</v>
      </c>
      <c r="M41" s="8">
        <v>0</v>
      </c>
      <c r="N41" s="10">
        <f t="shared" si="0"/>
        <v>0.57398568019093077</v>
      </c>
    </row>
    <row r="42" spans="1:14" ht="15" customHeight="1" x14ac:dyDescent="0.2">
      <c r="A42" s="7">
        <v>2026</v>
      </c>
      <c r="B42" s="7" t="s">
        <v>72</v>
      </c>
      <c r="C42" s="7" t="s">
        <v>57</v>
      </c>
      <c r="D42" s="7">
        <v>39</v>
      </c>
      <c r="E42" s="8">
        <v>3824</v>
      </c>
      <c r="F42" s="8">
        <v>5859</v>
      </c>
      <c r="G42" s="8">
        <v>2128</v>
      </c>
      <c r="H42" s="8">
        <v>1349</v>
      </c>
      <c r="I42" s="8">
        <v>1306</v>
      </c>
      <c r="J42" s="8">
        <v>1</v>
      </c>
      <c r="K42" s="8">
        <v>666</v>
      </c>
      <c r="L42" s="8">
        <v>335</v>
      </c>
      <c r="M42" s="8">
        <v>1</v>
      </c>
      <c r="N42" s="10">
        <f t="shared" si="0"/>
        <v>0.61202185792349728</v>
      </c>
    </row>
    <row r="43" spans="1:14" ht="15" customHeight="1" x14ac:dyDescent="0.2">
      <c r="A43" s="7">
        <v>2026</v>
      </c>
      <c r="B43" s="7" t="s">
        <v>73</v>
      </c>
      <c r="C43" s="7" t="s">
        <v>57</v>
      </c>
      <c r="D43" s="7">
        <v>40</v>
      </c>
      <c r="E43" s="8">
        <v>4079</v>
      </c>
      <c r="F43" s="8">
        <v>3938</v>
      </c>
      <c r="G43" s="8">
        <v>1707</v>
      </c>
      <c r="H43" s="8">
        <v>1570</v>
      </c>
      <c r="I43" s="8">
        <v>866</v>
      </c>
      <c r="J43" s="8">
        <v>3</v>
      </c>
      <c r="K43" s="8">
        <v>666</v>
      </c>
      <c r="L43" s="8">
        <v>210</v>
      </c>
      <c r="M43" s="8">
        <v>1</v>
      </c>
      <c r="N43" s="10">
        <f t="shared" si="0"/>
        <v>0.52090326518156849</v>
      </c>
    </row>
    <row r="44" spans="1:14" ht="15" customHeight="1" x14ac:dyDescent="0.2">
      <c r="A44" s="7">
        <v>2026</v>
      </c>
      <c r="B44" s="7" t="s">
        <v>74</v>
      </c>
      <c r="C44" s="7" t="s">
        <v>57</v>
      </c>
      <c r="D44" s="7">
        <v>41</v>
      </c>
      <c r="E44" s="8">
        <v>916</v>
      </c>
      <c r="F44" s="8">
        <v>1149</v>
      </c>
      <c r="G44" s="8">
        <v>532</v>
      </c>
      <c r="H44" s="8">
        <v>229</v>
      </c>
      <c r="I44" s="8">
        <v>182</v>
      </c>
      <c r="J44" s="8">
        <v>2</v>
      </c>
      <c r="K44" s="8">
        <v>95</v>
      </c>
      <c r="L44" s="8">
        <v>40</v>
      </c>
      <c r="M44" s="8">
        <v>1</v>
      </c>
      <c r="N44" s="10">
        <f t="shared" si="0"/>
        <v>0.69908015768725362</v>
      </c>
    </row>
    <row r="45" spans="1:14" ht="15" customHeight="1" x14ac:dyDescent="0.2">
      <c r="A45" s="7">
        <v>2026</v>
      </c>
      <c r="B45" s="7" t="s">
        <v>75</v>
      </c>
      <c r="C45" s="7" t="s">
        <v>57</v>
      </c>
      <c r="D45" s="7">
        <v>42</v>
      </c>
      <c r="E45" s="8">
        <v>6841</v>
      </c>
      <c r="F45" s="8">
        <v>6009</v>
      </c>
      <c r="G45" s="8">
        <v>3014</v>
      </c>
      <c r="H45" s="8">
        <v>2790</v>
      </c>
      <c r="I45" s="8">
        <v>1299</v>
      </c>
      <c r="J45" s="8">
        <v>8</v>
      </c>
      <c r="K45" s="8">
        <v>1402</v>
      </c>
      <c r="L45" s="8">
        <v>429</v>
      </c>
      <c r="M45" s="8">
        <v>3</v>
      </c>
      <c r="N45" s="10">
        <f t="shared" si="0"/>
        <v>0.51929703652653347</v>
      </c>
    </row>
    <row r="46" spans="1:14" ht="15" customHeight="1" x14ac:dyDescent="0.2">
      <c r="A46" s="7">
        <v>2026</v>
      </c>
      <c r="B46" s="7" t="s">
        <v>76</v>
      </c>
      <c r="C46" s="7" t="s">
        <v>57</v>
      </c>
      <c r="D46" s="7">
        <v>43</v>
      </c>
      <c r="E46" s="8">
        <v>7786</v>
      </c>
      <c r="F46" s="8">
        <v>7442</v>
      </c>
      <c r="G46" s="8">
        <v>4227</v>
      </c>
      <c r="H46" s="8">
        <v>2537</v>
      </c>
      <c r="I46" s="8">
        <v>1335</v>
      </c>
      <c r="J46" s="8">
        <v>5</v>
      </c>
      <c r="K46" s="8">
        <v>1252</v>
      </c>
      <c r="L46" s="8">
        <v>472</v>
      </c>
      <c r="M46" s="8">
        <v>3</v>
      </c>
      <c r="N46" s="10">
        <f t="shared" si="0"/>
        <v>0.62492607924305144</v>
      </c>
    </row>
    <row r="47" spans="1:14" ht="15" customHeight="1" x14ac:dyDescent="0.2">
      <c r="A47" s="7">
        <v>2026</v>
      </c>
      <c r="B47" s="7" t="s">
        <v>77</v>
      </c>
      <c r="C47" s="7" t="s">
        <v>57</v>
      </c>
      <c r="D47" s="7">
        <v>44</v>
      </c>
      <c r="E47" s="8">
        <v>2134</v>
      </c>
      <c r="F47" s="8">
        <v>3203</v>
      </c>
      <c r="G47" s="8">
        <v>1079</v>
      </c>
      <c r="H47" s="8">
        <v>1000</v>
      </c>
      <c r="I47" s="8">
        <v>744</v>
      </c>
      <c r="J47" s="8">
        <v>1</v>
      </c>
      <c r="K47" s="8">
        <v>544</v>
      </c>
      <c r="L47" s="8">
        <v>268</v>
      </c>
      <c r="M47" s="8">
        <v>1</v>
      </c>
      <c r="N47" s="10">
        <f t="shared" si="0"/>
        <v>0.51899951899951902</v>
      </c>
    </row>
    <row r="48" spans="1:14" ht="15" customHeight="1" x14ac:dyDescent="0.2">
      <c r="A48" s="7">
        <v>2026</v>
      </c>
      <c r="B48" s="7" t="s">
        <v>78</v>
      </c>
      <c r="C48" s="7" t="s">
        <v>57</v>
      </c>
      <c r="D48" s="7">
        <v>45</v>
      </c>
      <c r="E48" s="8">
        <v>4799</v>
      </c>
      <c r="F48" s="8">
        <v>5784</v>
      </c>
      <c r="G48" s="8">
        <v>2557</v>
      </c>
      <c r="H48" s="8">
        <v>2101</v>
      </c>
      <c r="I48" s="8">
        <v>1218</v>
      </c>
      <c r="J48" s="8">
        <v>4</v>
      </c>
      <c r="K48" s="8">
        <v>1062</v>
      </c>
      <c r="L48" s="8">
        <v>370</v>
      </c>
      <c r="M48" s="8">
        <v>3</v>
      </c>
      <c r="N48" s="10">
        <f t="shared" si="0"/>
        <v>0.54894804637183336</v>
      </c>
    </row>
    <row r="49" spans="1:14" ht="15" customHeight="1" x14ac:dyDescent="0.2">
      <c r="A49" s="7">
        <v>2026</v>
      </c>
      <c r="B49" s="7" t="s">
        <v>79</v>
      </c>
      <c r="C49" s="7" t="s">
        <v>57</v>
      </c>
      <c r="D49" s="7">
        <v>46</v>
      </c>
      <c r="E49" s="8">
        <v>1301</v>
      </c>
      <c r="F49" s="8">
        <v>2724</v>
      </c>
      <c r="G49" s="8">
        <v>772</v>
      </c>
      <c r="H49" s="8">
        <v>486</v>
      </c>
      <c r="I49" s="8">
        <v>546</v>
      </c>
      <c r="J49" s="8">
        <v>0</v>
      </c>
      <c r="K49" s="8">
        <v>234</v>
      </c>
      <c r="L49" s="8">
        <v>104</v>
      </c>
      <c r="M49" s="8">
        <v>0</v>
      </c>
      <c r="N49" s="10">
        <f t="shared" si="0"/>
        <v>0.61367249602543716</v>
      </c>
    </row>
    <row r="50" spans="1:14" ht="15" customHeight="1" x14ac:dyDescent="0.2">
      <c r="A50" s="7">
        <v>2026</v>
      </c>
      <c r="B50" s="7" t="s">
        <v>80</v>
      </c>
      <c r="C50" s="7" t="s">
        <v>57</v>
      </c>
      <c r="D50" s="7">
        <v>47</v>
      </c>
      <c r="E50" s="8">
        <v>1012</v>
      </c>
      <c r="F50" s="8">
        <v>2263</v>
      </c>
      <c r="G50" s="8">
        <v>554</v>
      </c>
      <c r="H50" s="8">
        <v>444</v>
      </c>
      <c r="I50" s="8">
        <v>516</v>
      </c>
      <c r="J50" s="8">
        <v>2</v>
      </c>
      <c r="K50" s="8">
        <v>230</v>
      </c>
      <c r="L50" s="8">
        <v>120</v>
      </c>
      <c r="M50" s="8">
        <v>1</v>
      </c>
      <c r="N50" s="10">
        <f t="shared" si="0"/>
        <v>0.55511022044088176</v>
      </c>
    </row>
    <row r="51" spans="1:14" ht="15" customHeight="1" x14ac:dyDescent="0.2">
      <c r="A51" s="7">
        <v>2026</v>
      </c>
      <c r="B51" s="7" t="s">
        <v>81</v>
      </c>
      <c r="C51" s="7" t="s">
        <v>57</v>
      </c>
      <c r="D51" s="7">
        <v>48</v>
      </c>
      <c r="E51" s="8">
        <v>8519</v>
      </c>
      <c r="F51" s="8">
        <v>6591</v>
      </c>
      <c r="G51" s="8">
        <v>3507</v>
      </c>
      <c r="H51" s="8">
        <v>2509</v>
      </c>
      <c r="I51" s="8">
        <v>1282</v>
      </c>
      <c r="J51" s="8">
        <v>9</v>
      </c>
      <c r="K51" s="8">
        <v>1169</v>
      </c>
      <c r="L51" s="8">
        <v>335</v>
      </c>
      <c r="M51" s="8">
        <v>3</v>
      </c>
      <c r="N51" s="10">
        <f t="shared" si="0"/>
        <v>0.5829454787234043</v>
      </c>
    </row>
    <row r="52" spans="1:14" ht="15" customHeight="1" x14ac:dyDescent="0.2">
      <c r="A52" s="7">
        <v>2026</v>
      </c>
      <c r="B52" s="7" t="s">
        <v>82</v>
      </c>
      <c r="C52" s="7" t="s">
        <v>83</v>
      </c>
      <c r="D52" s="7">
        <v>49</v>
      </c>
      <c r="E52" s="8">
        <v>534</v>
      </c>
      <c r="F52" s="8">
        <v>1082</v>
      </c>
      <c r="G52" s="8">
        <v>361</v>
      </c>
      <c r="H52" s="8">
        <v>185</v>
      </c>
      <c r="I52" s="8">
        <v>219</v>
      </c>
      <c r="J52" s="8">
        <v>0</v>
      </c>
      <c r="K52" s="8">
        <v>77</v>
      </c>
      <c r="L52" s="8">
        <v>42</v>
      </c>
      <c r="M52" s="8">
        <v>0</v>
      </c>
      <c r="N52" s="10">
        <f t="shared" si="0"/>
        <v>0.66117216117216115</v>
      </c>
    </row>
    <row r="53" spans="1:14" ht="15" customHeight="1" x14ac:dyDescent="0.2">
      <c r="A53" s="7">
        <v>2026</v>
      </c>
      <c r="B53" s="7" t="s">
        <v>84</v>
      </c>
      <c r="C53" s="7" t="s">
        <v>83</v>
      </c>
      <c r="D53" s="7">
        <v>50</v>
      </c>
      <c r="E53" s="8">
        <v>1611</v>
      </c>
      <c r="F53" s="8">
        <v>2887</v>
      </c>
      <c r="G53" s="8">
        <v>1110</v>
      </c>
      <c r="H53" s="8">
        <v>459</v>
      </c>
      <c r="I53" s="8">
        <v>538</v>
      </c>
      <c r="J53" s="8">
        <v>1</v>
      </c>
      <c r="K53" s="8">
        <v>266</v>
      </c>
      <c r="L53" s="8">
        <v>98</v>
      </c>
      <c r="M53" s="8">
        <v>0</v>
      </c>
      <c r="N53" s="10">
        <f t="shared" si="0"/>
        <v>0.70745697896749526</v>
      </c>
    </row>
    <row r="54" spans="1:14" ht="15" customHeight="1" x14ac:dyDescent="0.2">
      <c r="A54" s="7">
        <v>2026</v>
      </c>
      <c r="B54" s="7" t="s">
        <v>85</v>
      </c>
      <c r="C54" s="7" t="s">
        <v>83</v>
      </c>
      <c r="D54" s="7">
        <v>51</v>
      </c>
      <c r="E54" s="8">
        <v>513</v>
      </c>
      <c r="F54" s="8">
        <v>993</v>
      </c>
      <c r="G54" s="8">
        <v>352</v>
      </c>
      <c r="H54" s="8">
        <v>164</v>
      </c>
      <c r="I54" s="8">
        <v>184</v>
      </c>
      <c r="J54" s="8">
        <v>0</v>
      </c>
      <c r="K54" s="8">
        <v>118</v>
      </c>
      <c r="L54" s="8">
        <v>65</v>
      </c>
      <c r="M54" s="8">
        <v>0</v>
      </c>
      <c r="N54" s="10">
        <f t="shared" si="0"/>
        <v>0.68217054263565891</v>
      </c>
    </row>
    <row r="55" spans="1:14" ht="15" customHeight="1" x14ac:dyDescent="0.2">
      <c r="A55" s="7">
        <v>2026</v>
      </c>
      <c r="B55" s="7" t="s">
        <v>86</v>
      </c>
      <c r="C55" s="7" t="s">
        <v>87</v>
      </c>
      <c r="D55" s="7">
        <v>52</v>
      </c>
      <c r="E55" s="8">
        <v>1561</v>
      </c>
      <c r="F55" s="8">
        <v>1943</v>
      </c>
      <c r="G55" s="8">
        <v>779</v>
      </c>
      <c r="H55" s="8">
        <v>615</v>
      </c>
      <c r="I55" s="8">
        <v>361</v>
      </c>
      <c r="J55" s="8">
        <v>0</v>
      </c>
      <c r="K55" s="8">
        <v>401</v>
      </c>
      <c r="L55" s="8">
        <v>139</v>
      </c>
      <c r="M55" s="8">
        <v>0</v>
      </c>
      <c r="N55" s="10">
        <f t="shared" si="0"/>
        <v>0.55882352941176472</v>
      </c>
    </row>
    <row r="56" spans="1:14" ht="15" customHeight="1" x14ac:dyDescent="0.2">
      <c r="A56" s="7">
        <v>2026</v>
      </c>
      <c r="B56" s="7" t="s">
        <v>88</v>
      </c>
      <c r="C56" s="7" t="s">
        <v>87</v>
      </c>
      <c r="D56" s="7">
        <v>53</v>
      </c>
      <c r="E56" s="8">
        <v>1071</v>
      </c>
      <c r="F56" s="8">
        <v>1459</v>
      </c>
      <c r="G56" s="8">
        <v>830</v>
      </c>
      <c r="H56" s="8">
        <v>252</v>
      </c>
      <c r="I56" s="8">
        <v>200</v>
      </c>
      <c r="J56" s="8">
        <v>0</v>
      </c>
      <c r="K56" s="8">
        <v>119</v>
      </c>
      <c r="L56" s="8">
        <v>47</v>
      </c>
      <c r="M56" s="8">
        <v>0</v>
      </c>
      <c r="N56" s="10">
        <f t="shared" si="0"/>
        <v>0.76709796672828101</v>
      </c>
    </row>
    <row r="57" spans="1:14" ht="15" customHeight="1" x14ac:dyDescent="0.2">
      <c r="A57" s="7">
        <v>2026</v>
      </c>
      <c r="B57" s="7" t="s">
        <v>89</v>
      </c>
      <c r="C57" s="7" t="s">
        <v>87</v>
      </c>
      <c r="D57" s="7">
        <v>54</v>
      </c>
      <c r="E57" s="8">
        <v>730</v>
      </c>
      <c r="F57" s="8">
        <v>753</v>
      </c>
      <c r="G57" s="8">
        <v>411</v>
      </c>
      <c r="H57" s="8">
        <v>190</v>
      </c>
      <c r="I57" s="8">
        <v>128</v>
      </c>
      <c r="J57" s="8">
        <v>1</v>
      </c>
      <c r="K57" s="8">
        <v>100</v>
      </c>
      <c r="L57" s="8">
        <v>34</v>
      </c>
      <c r="M57" s="8">
        <v>0</v>
      </c>
      <c r="N57" s="10">
        <f t="shared" si="0"/>
        <v>0.68386023294509146</v>
      </c>
    </row>
    <row r="58" spans="1:14" ht="15" customHeight="1" x14ac:dyDescent="0.2">
      <c r="A58" s="7">
        <v>2026</v>
      </c>
      <c r="B58" s="7" t="s">
        <v>59</v>
      </c>
      <c r="C58" s="7" t="s">
        <v>87</v>
      </c>
      <c r="D58" s="7">
        <v>55</v>
      </c>
      <c r="E58" s="8">
        <v>21362</v>
      </c>
      <c r="F58" s="8">
        <v>8901</v>
      </c>
      <c r="G58" s="8">
        <v>8974</v>
      </c>
      <c r="H58" s="8">
        <v>5774</v>
      </c>
      <c r="I58" s="8">
        <v>1371</v>
      </c>
      <c r="J58" s="8">
        <v>14</v>
      </c>
      <c r="K58" s="8">
        <v>2600</v>
      </c>
      <c r="L58" s="8">
        <v>476</v>
      </c>
      <c r="M58" s="8">
        <v>4</v>
      </c>
      <c r="N58" s="10">
        <f t="shared" si="0"/>
        <v>0.60848928668294011</v>
      </c>
    </row>
    <row r="59" spans="1:14" ht="15" customHeight="1" x14ac:dyDescent="0.2">
      <c r="A59" s="7">
        <v>2026</v>
      </c>
      <c r="B59" s="7" t="s">
        <v>90</v>
      </c>
      <c r="C59" s="7" t="s">
        <v>87</v>
      </c>
      <c r="D59" s="7">
        <v>56</v>
      </c>
      <c r="E59" s="8">
        <v>8552</v>
      </c>
      <c r="F59" s="8">
        <v>7233</v>
      </c>
      <c r="G59" s="8">
        <v>4151</v>
      </c>
      <c r="H59" s="8">
        <v>3228</v>
      </c>
      <c r="I59" s="8">
        <v>1318</v>
      </c>
      <c r="J59" s="8">
        <v>7</v>
      </c>
      <c r="K59" s="8">
        <v>1769</v>
      </c>
      <c r="L59" s="8">
        <v>458</v>
      </c>
      <c r="M59" s="8">
        <v>4</v>
      </c>
      <c r="N59" s="10">
        <f t="shared" si="0"/>
        <v>0.56254234991191221</v>
      </c>
    </row>
    <row r="60" spans="1:14" ht="15" customHeight="1" x14ac:dyDescent="0.2">
      <c r="A60" s="7">
        <v>2026</v>
      </c>
      <c r="B60" s="7" t="s">
        <v>91</v>
      </c>
      <c r="C60" s="7" t="s">
        <v>87</v>
      </c>
      <c r="D60" s="7">
        <v>57</v>
      </c>
      <c r="E60" s="8">
        <v>1956</v>
      </c>
      <c r="F60" s="8">
        <v>3447</v>
      </c>
      <c r="G60" s="8">
        <v>1243</v>
      </c>
      <c r="H60" s="8">
        <v>766</v>
      </c>
      <c r="I60" s="8">
        <v>742</v>
      </c>
      <c r="J60" s="8">
        <v>1</v>
      </c>
      <c r="K60" s="8">
        <v>509</v>
      </c>
      <c r="L60" s="8">
        <v>299</v>
      </c>
      <c r="M60" s="8">
        <v>0</v>
      </c>
      <c r="N60" s="10">
        <f t="shared" si="0"/>
        <v>0.61871577899452468</v>
      </c>
    </row>
    <row r="61" spans="1:14" ht="15" customHeight="1" x14ac:dyDescent="0.2">
      <c r="A61" s="7">
        <v>2026</v>
      </c>
      <c r="B61" s="7" t="s">
        <v>92</v>
      </c>
      <c r="C61" s="7" t="s">
        <v>87</v>
      </c>
      <c r="D61" s="7">
        <v>58</v>
      </c>
      <c r="E61" s="8">
        <v>45</v>
      </c>
      <c r="F61" s="8">
        <v>74</v>
      </c>
      <c r="G61" s="8">
        <v>34</v>
      </c>
      <c r="H61" s="8">
        <v>20</v>
      </c>
      <c r="I61" s="8">
        <v>11</v>
      </c>
      <c r="J61" s="8">
        <v>0</v>
      </c>
      <c r="K61" s="8">
        <v>6</v>
      </c>
      <c r="L61" s="8">
        <v>1</v>
      </c>
      <c r="M61" s="8">
        <v>0</v>
      </c>
      <c r="N61" s="10">
        <f t="shared" si="0"/>
        <v>0.62962962962962965</v>
      </c>
    </row>
    <row r="62" spans="1:14" ht="15" customHeight="1" x14ac:dyDescent="0.2">
      <c r="A62" s="7">
        <v>2026</v>
      </c>
      <c r="B62" s="7" t="s">
        <v>93</v>
      </c>
      <c r="C62" s="7" t="s">
        <v>87</v>
      </c>
      <c r="D62" s="7">
        <v>59</v>
      </c>
      <c r="E62" s="8">
        <v>1413</v>
      </c>
      <c r="F62" s="8">
        <v>1957</v>
      </c>
      <c r="G62" s="8">
        <v>760</v>
      </c>
      <c r="H62" s="8">
        <v>551</v>
      </c>
      <c r="I62" s="8">
        <v>377</v>
      </c>
      <c r="J62" s="8">
        <v>1</v>
      </c>
      <c r="K62" s="8">
        <v>312</v>
      </c>
      <c r="L62" s="8">
        <v>112</v>
      </c>
      <c r="M62" s="8">
        <v>1</v>
      </c>
      <c r="N62" s="10">
        <f t="shared" si="0"/>
        <v>0.57971014492753625</v>
      </c>
    </row>
    <row r="63" spans="1:14" ht="15" customHeight="1" x14ac:dyDescent="0.2">
      <c r="A63" s="7">
        <v>2026</v>
      </c>
      <c r="B63" s="7" t="s">
        <v>94</v>
      </c>
      <c r="C63" s="7" t="s">
        <v>87</v>
      </c>
      <c r="D63" s="7">
        <v>60</v>
      </c>
      <c r="E63" s="8">
        <v>202</v>
      </c>
      <c r="F63" s="8">
        <v>326</v>
      </c>
      <c r="G63" s="8">
        <v>168</v>
      </c>
      <c r="H63" s="8">
        <v>67</v>
      </c>
      <c r="I63" s="8">
        <v>51</v>
      </c>
      <c r="J63" s="8">
        <v>0</v>
      </c>
      <c r="K63" s="8">
        <v>26</v>
      </c>
      <c r="L63" s="8">
        <v>8</v>
      </c>
      <c r="M63" s="8">
        <v>0</v>
      </c>
      <c r="N63" s="10">
        <f t="shared" si="0"/>
        <v>0.71489361702127663</v>
      </c>
    </row>
    <row r="64" spans="1:14" ht="15" customHeight="1" x14ac:dyDescent="0.2">
      <c r="A64" s="7">
        <v>2026</v>
      </c>
      <c r="B64" s="7" t="s">
        <v>95</v>
      </c>
      <c r="C64" s="7" t="s">
        <v>87</v>
      </c>
      <c r="D64" s="7">
        <v>61</v>
      </c>
      <c r="E64" s="8">
        <v>9636</v>
      </c>
      <c r="F64" s="8">
        <v>3380</v>
      </c>
      <c r="G64" s="8">
        <v>4220</v>
      </c>
      <c r="H64" s="8">
        <v>2275</v>
      </c>
      <c r="I64" s="8">
        <v>381</v>
      </c>
      <c r="J64" s="8">
        <v>4</v>
      </c>
      <c r="K64" s="8">
        <v>867</v>
      </c>
      <c r="L64" s="8">
        <v>100</v>
      </c>
      <c r="M64" s="8">
        <v>1</v>
      </c>
      <c r="N64" s="10">
        <f t="shared" si="0"/>
        <v>0.64973056197074675</v>
      </c>
    </row>
    <row r="65" spans="1:14" ht="15" customHeight="1" x14ac:dyDescent="0.2">
      <c r="A65" s="7">
        <v>2026</v>
      </c>
      <c r="B65" s="7" t="s">
        <v>96</v>
      </c>
      <c r="C65" s="7" t="s">
        <v>87</v>
      </c>
      <c r="D65" s="7">
        <v>62</v>
      </c>
      <c r="E65" s="8">
        <v>5275</v>
      </c>
      <c r="F65" s="8">
        <v>4854</v>
      </c>
      <c r="G65" s="8">
        <v>2859</v>
      </c>
      <c r="H65" s="8">
        <v>1863</v>
      </c>
      <c r="I65" s="8">
        <v>819</v>
      </c>
      <c r="J65" s="8">
        <v>5</v>
      </c>
      <c r="K65" s="8">
        <v>1105</v>
      </c>
      <c r="L65" s="8">
        <v>373</v>
      </c>
      <c r="M65" s="8">
        <v>2</v>
      </c>
      <c r="N65" s="10">
        <f t="shared" si="0"/>
        <v>0.60546378653113087</v>
      </c>
    </row>
    <row r="66" spans="1:14" ht="15" customHeight="1" x14ac:dyDescent="0.2">
      <c r="A66" s="7">
        <v>2026</v>
      </c>
      <c r="B66" s="7" t="s">
        <v>97</v>
      </c>
      <c r="C66" s="7" t="s">
        <v>87</v>
      </c>
      <c r="D66" s="7">
        <v>63</v>
      </c>
      <c r="E66" s="8">
        <v>937</v>
      </c>
      <c r="F66" s="8">
        <v>452</v>
      </c>
      <c r="G66" s="8">
        <v>468</v>
      </c>
      <c r="H66" s="8">
        <v>185</v>
      </c>
      <c r="I66" s="8">
        <v>48</v>
      </c>
      <c r="J66" s="8">
        <v>0</v>
      </c>
      <c r="K66" s="8">
        <v>83</v>
      </c>
      <c r="L66" s="8">
        <v>7</v>
      </c>
      <c r="M66" s="8">
        <v>0</v>
      </c>
      <c r="N66" s="10">
        <f t="shared" si="0"/>
        <v>0.71669218989280248</v>
      </c>
    </row>
    <row r="67" spans="1:14" ht="15" customHeight="1" x14ac:dyDescent="0.2">
      <c r="A67" s="7">
        <v>2026</v>
      </c>
      <c r="B67" s="7" t="s">
        <v>98</v>
      </c>
      <c r="C67" s="7" t="s">
        <v>87</v>
      </c>
      <c r="D67" s="7">
        <v>64</v>
      </c>
      <c r="E67" s="8">
        <v>111</v>
      </c>
      <c r="F67" s="8">
        <v>103</v>
      </c>
      <c r="G67" s="8">
        <v>50</v>
      </c>
      <c r="H67" s="8">
        <v>38</v>
      </c>
      <c r="I67" s="8">
        <v>11</v>
      </c>
      <c r="J67" s="8">
        <v>0</v>
      </c>
      <c r="K67" s="8">
        <v>18</v>
      </c>
      <c r="L67" s="8">
        <v>2</v>
      </c>
      <c r="M67" s="8">
        <v>0</v>
      </c>
      <c r="N67" s="10">
        <f t="shared" si="0"/>
        <v>0.56818181818181823</v>
      </c>
    </row>
    <row r="68" spans="1:14" ht="15" customHeight="1" x14ac:dyDescent="0.2">
      <c r="A68" s="7">
        <v>2026</v>
      </c>
      <c r="B68" s="7" t="s">
        <v>65</v>
      </c>
      <c r="C68" s="7" t="s">
        <v>87</v>
      </c>
      <c r="D68" s="7">
        <v>65</v>
      </c>
      <c r="E68" s="8">
        <v>4112</v>
      </c>
      <c r="F68" s="8">
        <v>3478</v>
      </c>
      <c r="G68" s="8">
        <v>1800</v>
      </c>
      <c r="H68" s="8">
        <v>1795</v>
      </c>
      <c r="I68" s="8">
        <v>787</v>
      </c>
      <c r="J68" s="8">
        <v>7</v>
      </c>
      <c r="K68" s="8">
        <v>945</v>
      </c>
      <c r="L68" s="8">
        <v>291</v>
      </c>
      <c r="M68" s="8">
        <v>6</v>
      </c>
      <c r="N68" s="10">
        <f t="shared" ref="N68:N131" si="1">IFERROR(G68/(G68+H68),"")</f>
        <v>0.50069541029207232</v>
      </c>
    </row>
    <row r="69" spans="1:14" ht="15" customHeight="1" x14ac:dyDescent="0.2">
      <c r="A69" s="7">
        <v>2026</v>
      </c>
      <c r="B69" s="7" t="s">
        <v>99</v>
      </c>
      <c r="C69" s="7" t="s">
        <v>87</v>
      </c>
      <c r="D69" s="7">
        <v>66</v>
      </c>
      <c r="E69" s="8">
        <v>1824</v>
      </c>
      <c r="F69" s="8">
        <v>1649</v>
      </c>
      <c r="G69" s="8">
        <v>866</v>
      </c>
      <c r="H69" s="8">
        <v>679</v>
      </c>
      <c r="I69" s="8">
        <v>277</v>
      </c>
      <c r="J69" s="8">
        <v>0</v>
      </c>
      <c r="K69" s="8">
        <v>283</v>
      </c>
      <c r="L69" s="8">
        <v>51</v>
      </c>
      <c r="M69" s="8">
        <v>0</v>
      </c>
      <c r="N69" s="10">
        <f t="shared" si="1"/>
        <v>0.56051779935275081</v>
      </c>
    </row>
    <row r="70" spans="1:14" ht="15" customHeight="1" x14ac:dyDescent="0.2">
      <c r="A70" s="7">
        <v>2026</v>
      </c>
      <c r="B70" s="7" t="s">
        <v>57</v>
      </c>
      <c r="C70" s="7" t="s">
        <v>87</v>
      </c>
      <c r="D70" s="7">
        <v>67</v>
      </c>
      <c r="E70" s="8">
        <v>2431</v>
      </c>
      <c r="F70" s="8">
        <v>4280</v>
      </c>
      <c r="G70" s="8">
        <v>1329</v>
      </c>
      <c r="H70" s="8">
        <v>935</v>
      </c>
      <c r="I70" s="8">
        <v>847</v>
      </c>
      <c r="J70" s="8">
        <v>2</v>
      </c>
      <c r="K70" s="8">
        <v>529</v>
      </c>
      <c r="L70" s="8">
        <v>193</v>
      </c>
      <c r="M70" s="8">
        <v>1</v>
      </c>
      <c r="N70" s="10">
        <f t="shared" si="1"/>
        <v>0.58701413427561833</v>
      </c>
    </row>
    <row r="71" spans="1:14" ht="15" customHeight="1" x14ac:dyDescent="0.2">
      <c r="A71" s="7">
        <v>2026</v>
      </c>
      <c r="B71" s="7" t="s">
        <v>100</v>
      </c>
      <c r="C71" s="7" t="s">
        <v>87</v>
      </c>
      <c r="D71" s="7">
        <v>68</v>
      </c>
      <c r="E71" s="8">
        <v>625</v>
      </c>
      <c r="F71" s="8">
        <v>1211</v>
      </c>
      <c r="G71" s="8">
        <v>425</v>
      </c>
      <c r="H71" s="8">
        <v>230</v>
      </c>
      <c r="I71" s="8">
        <v>220</v>
      </c>
      <c r="J71" s="8">
        <v>1</v>
      </c>
      <c r="K71" s="8">
        <v>135</v>
      </c>
      <c r="L71" s="8">
        <v>62</v>
      </c>
      <c r="M71" s="8">
        <v>0</v>
      </c>
      <c r="N71" s="10">
        <f t="shared" si="1"/>
        <v>0.64885496183206104</v>
      </c>
    </row>
    <row r="72" spans="1:14" ht="15" customHeight="1" x14ac:dyDescent="0.2">
      <c r="A72" s="7">
        <v>2026</v>
      </c>
      <c r="B72" s="7" t="s">
        <v>101</v>
      </c>
      <c r="C72" s="7" t="s">
        <v>87</v>
      </c>
      <c r="D72" s="7">
        <v>69</v>
      </c>
      <c r="E72" s="8">
        <v>1887</v>
      </c>
      <c r="F72" s="8">
        <v>2448</v>
      </c>
      <c r="G72" s="8">
        <v>1012</v>
      </c>
      <c r="H72" s="8">
        <v>805</v>
      </c>
      <c r="I72" s="8">
        <v>558</v>
      </c>
      <c r="J72" s="8">
        <v>1</v>
      </c>
      <c r="K72" s="8">
        <v>469</v>
      </c>
      <c r="L72" s="8">
        <v>186</v>
      </c>
      <c r="M72" s="8">
        <v>0</v>
      </c>
      <c r="N72" s="10">
        <f t="shared" si="1"/>
        <v>0.55696202531645567</v>
      </c>
    </row>
    <row r="73" spans="1:14" ht="15" customHeight="1" x14ac:dyDescent="0.2">
      <c r="A73" s="7">
        <v>2026</v>
      </c>
      <c r="B73" s="7" t="s">
        <v>102</v>
      </c>
      <c r="C73" s="7" t="s">
        <v>87</v>
      </c>
      <c r="D73" s="7">
        <v>70</v>
      </c>
      <c r="E73" s="8">
        <v>3182</v>
      </c>
      <c r="F73" s="8">
        <v>3825</v>
      </c>
      <c r="G73" s="8">
        <v>1665</v>
      </c>
      <c r="H73" s="8">
        <v>1320</v>
      </c>
      <c r="I73" s="8">
        <v>669</v>
      </c>
      <c r="J73" s="8">
        <v>1</v>
      </c>
      <c r="K73" s="8">
        <v>721</v>
      </c>
      <c r="L73" s="8">
        <v>192</v>
      </c>
      <c r="M73" s="8">
        <v>1</v>
      </c>
      <c r="N73" s="10">
        <f t="shared" si="1"/>
        <v>0.55778894472361806</v>
      </c>
    </row>
    <row r="74" spans="1:14" ht="15" customHeight="1" x14ac:dyDescent="0.2">
      <c r="A74" s="7">
        <v>2026</v>
      </c>
      <c r="B74" s="7" t="s">
        <v>103</v>
      </c>
      <c r="C74" s="7" t="s">
        <v>87</v>
      </c>
      <c r="D74" s="7">
        <v>71</v>
      </c>
      <c r="E74" s="8">
        <v>1963</v>
      </c>
      <c r="F74" s="8">
        <v>4020</v>
      </c>
      <c r="G74" s="8">
        <v>1181</v>
      </c>
      <c r="H74" s="8">
        <v>834</v>
      </c>
      <c r="I74" s="8">
        <v>893</v>
      </c>
      <c r="J74" s="8">
        <v>2</v>
      </c>
      <c r="K74" s="8">
        <v>503</v>
      </c>
      <c r="L74" s="8">
        <v>229</v>
      </c>
      <c r="M74" s="8">
        <v>1</v>
      </c>
      <c r="N74" s="10">
        <f t="shared" si="1"/>
        <v>0.58610421836228288</v>
      </c>
    </row>
    <row r="75" spans="1:14" ht="15" customHeight="1" x14ac:dyDescent="0.2">
      <c r="A75" s="7">
        <v>2026</v>
      </c>
      <c r="B75" s="7" t="s">
        <v>104</v>
      </c>
      <c r="C75" s="7" t="s">
        <v>87</v>
      </c>
      <c r="D75" s="7">
        <v>72</v>
      </c>
      <c r="E75" s="8">
        <v>1665</v>
      </c>
      <c r="F75" s="8">
        <v>1702</v>
      </c>
      <c r="G75" s="8">
        <v>823</v>
      </c>
      <c r="H75" s="8">
        <v>632</v>
      </c>
      <c r="I75" s="8">
        <v>295</v>
      </c>
      <c r="J75" s="8">
        <v>1</v>
      </c>
      <c r="K75" s="8">
        <v>290</v>
      </c>
      <c r="L75" s="8">
        <v>80</v>
      </c>
      <c r="M75" s="8">
        <v>0</v>
      </c>
      <c r="N75" s="10">
        <f t="shared" si="1"/>
        <v>0.56563573883161511</v>
      </c>
    </row>
    <row r="76" spans="1:14" ht="15" customHeight="1" x14ac:dyDescent="0.2">
      <c r="A76" s="7">
        <v>2026</v>
      </c>
      <c r="B76" s="7" t="s">
        <v>105</v>
      </c>
      <c r="C76" s="7" t="s">
        <v>87</v>
      </c>
      <c r="D76" s="7">
        <v>73</v>
      </c>
      <c r="E76" s="8">
        <v>954</v>
      </c>
      <c r="F76" s="8">
        <v>884</v>
      </c>
      <c r="G76" s="8">
        <v>433</v>
      </c>
      <c r="H76" s="8">
        <v>306</v>
      </c>
      <c r="I76" s="8">
        <v>148</v>
      </c>
      <c r="J76" s="8">
        <v>0</v>
      </c>
      <c r="K76" s="8">
        <v>115</v>
      </c>
      <c r="L76" s="8">
        <v>36</v>
      </c>
      <c r="M76" s="8">
        <v>0</v>
      </c>
      <c r="N76" s="10">
        <f t="shared" si="1"/>
        <v>0.58592692828146142</v>
      </c>
    </row>
    <row r="77" spans="1:14" ht="15" customHeight="1" x14ac:dyDescent="0.2">
      <c r="A77" s="7">
        <v>2026</v>
      </c>
      <c r="B77" s="7" t="s">
        <v>87</v>
      </c>
      <c r="C77" s="7" t="s">
        <v>87</v>
      </c>
      <c r="D77" s="7">
        <v>74</v>
      </c>
      <c r="E77" s="8">
        <v>2910</v>
      </c>
      <c r="F77" s="8">
        <v>2893</v>
      </c>
      <c r="G77" s="8">
        <v>1451</v>
      </c>
      <c r="H77" s="8">
        <v>930</v>
      </c>
      <c r="I77" s="8">
        <v>446</v>
      </c>
      <c r="J77" s="8">
        <v>4</v>
      </c>
      <c r="K77" s="8">
        <v>460</v>
      </c>
      <c r="L77" s="8">
        <v>117</v>
      </c>
      <c r="M77" s="8">
        <v>0</v>
      </c>
      <c r="N77" s="10">
        <f t="shared" si="1"/>
        <v>0.60940781184376314</v>
      </c>
    </row>
    <row r="78" spans="1:14" ht="15" customHeight="1" x14ac:dyDescent="0.2">
      <c r="A78" s="7">
        <v>2026</v>
      </c>
      <c r="B78" s="7" t="s">
        <v>106</v>
      </c>
      <c r="C78" s="7" t="s">
        <v>87</v>
      </c>
      <c r="D78" s="7">
        <v>75</v>
      </c>
      <c r="E78" s="8">
        <v>7214</v>
      </c>
      <c r="F78" s="8">
        <v>6524</v>
      </c>
      <c r="G78" s="8">
        <v>3618</v>
      </c>
      <c r="H78" s="8">
        <v>2578</v>
      </c>
      <c r="I78" s="8">
        <v>1262</v>
      </c>
      <c r="J78" s="8">
        <v>4</v>
      </c>
      <c r="K78" s="8">
        <v>1618</v>
      </c>
      <c r="L78" s="8">
        <v>581</v>
      </c>
      <c r="M78" s="8">
        <v>1</v>
      </c>
      <c r="N78" s="10">
        <f t="shared" si="1"/>
        <v>0.5839251129761136</v>
      </c>
    </row>
    <row r="79" spans="1:14" ht="15" customHeight="1" x14ac:dyDescent="0.2">
      <c r="A79" s="7">
        <v>2026</v>
      </c>
      <c r="B79" s="7" t="s">
        <v>107</v>
      </c>
      <c r="C79" s="7" t="s">
        <v>87</v>
      </c>
      <c r="D79" s="7">
        <v>76</v>
      </c>
      <c r="E79" s="8">
        <v>745</v>
      </c>
      <c r="F79" s="8">
        <v>1173</v>
      </c>
      <c r="G79" s="8">
        <v>471</v>
      </c>
      <c r="H79" s="8">
        <v>200</v>
      </c>
      <c r="I79" s="8">
        <v>198</v>
      </c>
      <c r="J79" s="8">
        <v>0</v>
      </c>
      <c r="K79" s="8">
        <v>81</v>
      </c>
      <c r="L79" s="8">
        <v>49</v>
      </c>
      <c r="M79" s="8">
        <v>0</v>
      </c>
      <c r="N79" s="10">
        <f t="shared" si="1"/>
        <v>0.70193740685543959</v>
      </c>
    </row>
    <row r="80" spans="1:14" ht="15" customHeight="1" x14ac:dyDescent="0.2">
      <c r="A80" s="7">
        <v>2026</v>
      </c>
      <c r="B80" s="7" t="s">
        <v>108</v>
      </c>
      <c r="C80" s="7" t="s">
        <v>87</v>
      </c>
      <c r="D80" s="7">
        <v>77</v>
      </c>
      <c r="E80" s="8">
        <v>1314</v>
      </c>
      <c r="F80" s="8">
        <v>2539</v>
      </c>
      <c r="G80" s="8">
        <v>892</v>
      </c>
      <c r="H80" s="8">
        <v>501</v>
      </c>
      <c r="I80" s="8">
        <v>471</v>
      </c>
      <c r="J80" s="8">
        <v>2</v>
      </c>
      <c r="K80" s="8">
        <v>260</v>
      </c>
      <c r="L80" s="8">
        <v>127</v>
      </c>
      <c r="M80" s="8">
        <v>0</v>
      </c>
      <c r="N80" s="10">
        <f t="shared" si="1"/>
        <v>0.64034458004307249</v>
      </c>
    </row>
    <row r="81" spans="1:14" ht="15" customHeight="1" x14ac:dyDescent="0.2">
      <c r="A81" s="7">
        <v>2026</v>
      </c>
      <c r="B81" s="7" t="s">
        <v>109</v>
      </c>
      <c r="C81" s="7" t="s">
        <v>87</v>
      </c>
      <c r="D81" s="7">
        <v>78</v>
      </c>
      <c r="E81" s="8">
        <v>82</v>
      </c>
      <c r="F81" s="8">
        <v>184</v>
      </c>
      <c r="G81" s="8">
        <v>89</v>
      </c>
      <c r="H81" s="8">
        <v>22</v>
      </c>
      <c r="I81" s="8">
        <v>40</v>
      </c>
      <c r="J81" s="8">
        <v>0</v>
      </c>
      <c r="K81" s="8">
        <v>7</v>
      </c>
      <c r="L81" s="8">
        <v>5</v>
      </c>
      <c r="M81" s="8">
        <v>0</v>
      </c>
      <c r="N81" s="10">
        <f t="shared" si="1"/>
        <v>0.80180180180180183</v>
      </c>
    </row>
    <row r="82" spans="1:14" ht="15" customHeight="1" x14ac:dyDescent="0.2">
      <c r="A82" s="7">
        <v>2026</v>
      </c>
      <c r="B82" s="7" t="s">
        <v>110</v>
      </c>
      <c r="C82" s="7" t="s">
        <v>87</v>
      </c>
      <c r="D82" s="7">
        <v>79</v>
      </c>
      <c r="E82" s="8">
        <v>382</v>
      </c>
      <c r="F82" s="8">
        <v>538</v>
      </c>
      <c r="G82" s="8">
        <v>260</v>
      </c>
      <c r="H82" s="8">
        <v>124</v>
      </c>
      <c r="I82" s="8">
        <v>100</v>
      </c>
      <c r="J82" s="8">
        <v>0</v>
      </c>
      <c r="K82" s="8">
        <v>62</v>
      </c>
      <c r="L82" s="8">
        <v>24</v>
      </c>
      <c r="M82" s="8">
        <v>0</v>
      </c>
      <c r="N82" s="10">
        <f t="shared" si="1"/>
        <v>0.67708333333333337</v>
      </c>
    </row>
    <row r="83" spans="1:14" ht="15" customHeight="1" x14ac:dyDescent="0.2">
      <c r="A83" s="7">
        <v>2026</v>
      </c>
      <c r="B83" s="7" t="s">
        <v>111</v>
      </c>
      <c r="C83" s="7" t="s">
        <v>87</v>
      </c>
      <c r="D83" s="7">
        <v>80</v>
      </c>
      <c r="E83" s="8">
        <v>209</v>
      </c>
      <c r="F83" s="8">
        <v>294</v>
      </c>
      <c r="G83" s="8">
        <v>127</v>
      </c>
      <c r="H83" s="8">
        <v>82</v>
      </c>
      <c r="I83" s="8">
        <v>61</v>
      </c>
      <c r="J83" s="8">
        <v>0</v>
      </c>
      <c r="K83" s="8">
        <v>32</v>
      </c>
      <c r="L83" s="8">
        <v>10</v>
      </c>
      <c r="M83" s="8">
        <v>0</v>
      </c>
      <c r="N83" s="10">
        <f t="shared" si="1"/>
        <v>0.60765550239234445</v>
      </c>
    </row>
    <row r="84" spans="1:14" ht="15" customHeight="1" x14ac:dyDescent="0.2">
      <c r="A84" s="7">
        <v>2026</v>
      </c>
      <c r="B84" s="7" t="s">
        <v>112</v>
      </c>
      <c r="C84" s="7" t="s">
        <v>87</v>
      </c>
      <c r="D84" s="7">
        <v>81</v>
      </c>
      <c r="E84" s="8">
        <v>317</v>
      </c>
      <c r="F84" s="8">
        <v>403</v>
      </c>
      <c r="G84" s="8">
        <v>244</v>
      </c>
      <c r="H84" s="8">
        <v>110</v>
      </c>
      <c r="I84" s="8">
        <v>61</v>
      </c>
      <c r="J84" s="8">
        <v>1</v>
      </c>
      <c r="K84" s="8">
        <v>38</v>
      </c>
      <c r="L84" s="8">
        <v>14</v>
      </c>
      <c r="M84" s="8">
        <v>0</v>
      </c>
      <c r="N84" s="10">
        <f t="shared" si="1"/>
        <v>0.68926553672316382</v>
      </c>
    </row>
    <row r="85" spans="1:14" ht="15" customHeight="1" x14ac:dyDescent="0.2">
      <c r="A85" s="7">
        <v>2026</v>
      </c>
      <c r="B85" s="7" t="s">
        <v>113</v>
      </c>
      <c r="C85" s="7" t="s">
        <v>87</v>
      </c>
      <c r="D85" s="7">
        <v>82</v>
      </c>
      <c r="E85" s="8">
        <v>1213</v>
      </c>
      <c r="F85" s="8">
        <v>2806</v>
      </c>
      <c r="G85" s="8">
        <v>937</v>
      </c>
      <c r="H85" s="8">
        <v>446</v>
      </c>
      <c r="I85" s="8">
        <v>463</v>
      </c>
      <c r="J85" s="8">
        <v>0</v>
      </c>
      <c r="K85" s="8">
        <v>217</v>
      </c>
      <c r="L85" s="8">
        <v>101</v>
      </c>
      <c r="M85" s="8">
        <v>0</v>
      </c>
      <c r="N85" s="10">
        <f t="shared" si="1"/>
        <v>0.67751265365148228</v>
      </c>
    </row>
    <row r="86" spans="1:14" ht="15" customHeight="1" x14ac:dyDescent="0.2">
      <c r="A86" s="7">
        <v>2026</v>
      </c>
      <c r="B86" s="7" t="s">
        <v>114</v>
      </c>
      <c r="C86" s="7" t="s">
        <v>87</v>
      </c>
      <c r="D86" s="7">
        <v>83</v>
      </c>
      <c r="E86" s="8">
        <v>1831</v>
      </c>
      <c r="F86" s="8">
        <v>2169</v>
      </c>
      <c r="G86" s="8">
        <v>1098</v>
      </c>
      <c r="H86" s="8">
        <v>754</v>
      </c>
      <c r="I86" s="8">
        <v>444</v>
      </c>
      <c r="J86" s="8">
        <v>0</v>
      </c>
      <c r="K86" s="8">
        <v>487</v>
      </c>
      <c r="L86" s="8">
        <v>193</v>
      </c>
      <c r="M86" s="8">
        <v>0</v>
      </c>
      <c r="N86" s="10">
        <f t="shared" si="1"/>
        <v>0.59287257019438444</v>
      </c>
    </row>
    <row r="87" spans="1:14" ht="15" customHeight="1" x14ac:dyDescent="0.2">
      <c r="A87" s="7">
        <v>2026</v>
      </c>
      <c r="B87" s="7" t="s">
        <v>115</v>
      </c>
      <c r="C87" s="7" t="s">
        <v>87</v>
      </c>
      <c r="D87" s="7">
        <v>84</v>
      </c>
      <c r="E87" s="8">
        <v>452</v>
      </c>
      <c r="F87" s="8">
        <v>665</v>
      </c>
      <c r="G87" s="8">
        <v>292</v>
      </c>
      <c r="H87" s="8">
        <v>150</v>
      </c>
      <c r="I87" s="8">
        <v>98</v>
      </c>
      <c r="J87" s="8">
        <v>0</v>
      </c>
      <c r="K87" s="8">
        <v>69</v>
      </c>
      <c r="L87" s="8">
        <v>22</v>
      </c>
      <c r="M87" s="8">
        <v>0</v>
      </c>
      <c r="N87" s="10">
        <f t="shared" si="1"/>
        <v>0.66063348416289591</v>
      </c>
    </row>
    <row r="88" spans="1:14" ht="15" customHeight="1" x14ac:dyDescent="0.2">
      <c r="A88" s="7">
        <v>2026</v>
      </c>
      <c r="B88" s="7" t="s">
        <v>79</v>
      </c>
      <c r="C88" s="7" t="s">
        <v>87</v>
      </c>
      <c r="D88" s="7">
        <v>85</v>
      </c>
      <c r="E88" s="8">
        <v>1023</v>
      </c>
      <c r="F88" s="8">
        <v>2035</v>
      </c>
      <c r="G88" s="8">
        <v>738</v>
      </c>
      <c r="H88" s="8">
        <v>360</v>
      </c>
      <c r="I88" s="8">
        <v>330</v>
      </c>
      <c r="J88" s="8">
        <v>0</v>
      </c>
      <c r="K88" s="8">
        <v>215</v>
      </c>
      <c r="L88" s="8">
        <v>95</v>
      </c>
      <c r="M88" s="8">
        <v>0</v>
      </c>
      <c r="N88" s="10">
        <f t="shared" si="1"/>
        <v>0.67213114754098358</v>
      </c>
    </row>
    <row r="89" spans="1:14" ht="15" customHeight="1" x14ac:dyDescent="0.2">
      <c r="A89" s="7">
        <v>2026</v>
      </c>
      <c r="B89" s="7" t="s">
        <v>117</v>
      </c>
      <c r="C89" s="7" t="s">
        <v>87</v>
      </c>
      <c r="D89" s="7">
        <v>86</v>
      </c>
      <c r="E89" s="8">
        <v>331</v>
      </c>
      <c r="F89" s="8">
        <v>324</v>
      </c>
      <c r="G89" s="8">
        <v>179</v>
      </c>
      <c r="H89" s="8">
        <v>89</v>
      </c>
      <c r="I89" s="8">
        <v>68</v>
      </c>
      <c r="J89" s="8">
        <v>0</v>
      </c>
      <c r="K89" s="8">
        <v>40</v>
      </c>
      <c r="L89" s="8">
        <v>6</v>
      </c>
      <c r="M89" s="8">
        <v>0</v>
      </c>
      <c r="N89" s="10">
        <f t="shared" si="1"/>
        <v>0.66791044776119401</v>
      </c>
    </row>
    <row r="90" spans="1:14" ht="15" customHeight="1" x14ac:dyDescent="0.2">
      <c r="A90" s="7">
        <v>2026</v>
      </c>
      <c r="B90" s="7" t="s">
        <v>118</v>
      </c>
      <c r="C90" s="7" t="s">
        <v>87</v>
      </c>
      <c r="D90" s="7">
        <v>87</v>
      </c>
      <c r="E90" s="8">
        <v>1719</v>
      </c>
      <c r="F90" s="8">
        <v>2375</v>
      </c>
      <c r="G90" s="8">
        <v>1172</v>
      </c>
      <c r="H90" s="8">
        <v>615</v>
      </c>
      <c r="I90" s="8">
        <v>410</v>
      </c>
      <c r="J90" s="8">
        <v>3</v>
      </c>
      <c r="K90" s="8">
        <v>310</v>
      </c>
      <c r="L90" s="8">
        <v>129</v>
      </c>
      <c r="M90" s="8">
        <v>0</v>
      </c>
      <c r="N90" s="10">
        <f t="shared" si="1"/>
        <v>0.65584778959149415</v>
      </c>
    </row>
    <row r="91" spans="1:14" ht="15" customHeight="1" x14ac:dyDescent="0.2">
      <c r="A91" s="7">
        <v>2026</v>
      </c>
      <c r="B91" s="7" t="s">
        <v>119</v>
      </c>
      <c r="C91" s="7" t="s">
        <v>87</v>
      </c>
      <c r="D91" s="7">
        <v>88</v>
      </c>
      <c r="E91" s="8">
        <v>2340</v>
      </c>
      <c r="F91" s="8">
        <v>1441</v>
      </c>
      <c r="G91" s="8">
        <v>1230</v>
      </c>
      <c r="H91" s="8">
        <v>601</v>
      </c>
      <c r="I91" s="8">
        <v>170</v>
      </c>
      <c r="J91" s="8">
        <v>3</v>
      </c>
      <c r="K91" s="8">
        <v>287</v>
      </c>
      <c r="L91" s="8">
        <v>43</v>
      </c>
      <c r="M91" s="8">
        <v>3</v>
      </c>
      <c r="N91" s="10">
        <f t="shared" si="1"/>
        <v>0.67176406335335881</v>
      </c>
    </row>
    <row r="92" spans="1:14" ht="15" customHeight="1" x14ac:dyDescent="0.2">
      <c r="A92" s="7">
        <v>2026</v>
      </c>
      <c r="B92" s="7" t="s">
        <v>120</v>
      </c>
      <c r="C92" s="7" t="s">
        <v>87</v>
      </c>
      <c r="D92" s="7">
        <v>89</v>
      </c>
      <c r="E92" s="8">
        <v>732</v>
      </c>
      <c r="F92" s="8">
        <v>956</v>
      </c>
      <c r="G92" s="8">
        <v>419</v>
      </c>
      <c r="H92" s="8">
        <v>230</v>
      </c>
      <c r="I92" s="8">
        <v>154</v>
      </c>
      <c r="J92" s="8">
        <v>0</v>
      </c>
      <c r="K92" s="8">
        <v>124</v>
      </c>
      <c r="L92" s="8">
        <v>62</v>
      </c>
      <c r="M92" s="8">
        <v>0</v>
      </c>
      <c r="N92" s="10">
        <f t="shared" si="1"/>
        <v>0.6456086286594761</v>
      </c>
    </row>
    <row r="93" spans="1:14" ht="15" customHeight="1" x14ac:dyDescent="0.2">
      <c r="A93" s="7">
        <v>2024</v>
      </c>
      <c r="B93" s="7" t="s">
        <v>30</v>
      </c>
      <c r="C93" s="7" t="s">
        <v>31</v>
      </c>
      <c r="D93" s="7">
        <v>1</v>
      </c>
      <c r="E93" s="8">
        <v>273</v>
      </c>
      <c r="F93" s="8">
        <v>239</v>
      </c>
      <c r="G93" s="8">
        <v>90</v>
      </c>
      <c r="H93" s="8">
        <v>202</v>
      </c>
      <c r="I93" s="8">
        <v>205</v>
      </c>
      <c r="J93" s="8">
        <v>48</v>
      </c>
      <c r="K93" s="8">
        <v>33</v>
      </c>
      <c r="L93" s="8">
        <v>28</v>
      </c>
      <c r="M93" s="8">
        <v>4</v>
      </c>
      <c r="N93" s="10">
        <f t="shared" si="1"/>
        <v>0.30821917808219179</v>
      </c>
    </row>
    <row r="94" spans="1:14" ht="15" customHeight="1" x14ac:dyDescent="0.2">
      <c r="A94" s="7">
        <v>2024</v>
      </c>
      <c r="B94" s="7" t="s">
        <v>34</v>
      </c>
      <c r="C94" s="7" t="s">
        <v>31</v>
      </c>
      <c r="D94" s="7">
        <v>2</v>
      </c>
      <c r="E94" s="8">
        <v>166</v>
      </c>
      <c r="F94" s="8">
        <v>308</v>
      </c>
      <c r="G94" s="8">
        <v>111</v>
      </c>
      <c r="H94" s="8">
        <v>111</v>
      </c>
      <c r="I94" s="8">
        <v>238</v>
      </c>
      <c r="J94" s="8">
        <v>58</v>
      </c>
      <c r="K94" s="8">
        <v>13</v>
      </c>
      <c r="L94" s="8">
        <v>20</v>
      </c>
      <c r="M94" s="8">
        <v>7</v>
      </c>
      <c r="N94" s="10">
        <f t="shared" si="1"/>
        <v>0.5</v>
      </c>
    </row>
    <row r="95" spans="1:14" ht="15" customHeight="1" x14ac:dyDescent="0.2">
      <c r="A95" s="7">
        <v>2024</v>
      </c>
      <c r="B95" s="7" t="s">
        <v>35</v>
      </c>
      <c r="C95" s="7" t="s">
        <v>31</v>
      </c>
      <c r="D95" s="7">
        <v>3</v>
      </c>
      <c r="E95" s="8">
        <v>157</v>
      </c>
      <c r="F95" s="8">
        <v>306</v>
      </c>
      <c r="G95" s="8">
        <v>85</v>
      </c>
      <c r="H95" s="8">
        <v>135</v>
      </c>
      <c r="I95" s="8">
        <v>256</v>
      </c>
      <c r="J95" s="8">
        <v>52</v>
      </c>
      <c r="K95" s="8">
        <v>31</v>
      </c>
      <c r="L95" s="8">
        <v>22</v>
      </c>
      <c r="M95" s="8">
        <v>8</v>
      </c>
      <c r="N95" s="10">
        <f t="shared" si="1"/>
        <v>0.38636363636363635</v>
      </c>
    </row>
    <row r="96" spans="1:14" ht="15" customHeight="1" x14ac:dyDescent="0.2">
      <c r="A96" s="7">
        <v>2024</v>
      </c>
      <c r="B96" s="7" t="s">
        <v>36</v>
      </c>
      <c r="C96" s="7" t="s">
        <v>31</v>
      </c>
      <c r="D96" s="7">
        <v>4</v>
      </c>
      <c r="E96" s="8">
        <v>508</v>
      </c>
      <c r="F96" s="8">
        <v>1237</v>
      </c>
      <c r="G96" s="8">
        <v>280</v>
      </c>
      <c r="H96" s="8">
        <v>414</v>
      </c>
      <c r="I96" s="8">
        <v>1058</v>
      </c>
      <c r="J96" s="8">
        <v>174</v>
      </c>
      <c r="K96" s="8">
        <v>120</v>
      </c>
      <c r="L96" s="8">
        <v>146</v>
      </c>
      <c r="M96" s="8">
        <v>32</v>
      </c>
      <c r="N96" s="10">
        <f t="shared" si="1"/>
        <v>0.40345821325648418</v>
      </c>
    </row>
    <row r="97" spans="1:14" ht="15" customHeight="1" x14ac:dyDescent="0.2">
      <c r="A97" s="7">
        <v>2024</v>
      </c>
      <c r="B97" s="7" t="s">
        <v>37</v>
      </c>
      <c r="C97" s="7" t="s">
        <v>31</v>
      </c>
      <c r="D97" s="7">
        <v>5</v>
      </c>
      <c r="E97" s="8">
        <v>50</v>
      </c>
      <c r="F97" s="8">
        <v>78</v>
      </c>
      <c r="G97" s="8">
        <v>29</v>
      </c>
      <c r="H97" s="8">
        <v>38</v>
      </c>
      <c r="I97" s="8">
        <v>62</v>
      </c>
      <c r="J97" s="8">
        <v>18</v>
      </c>
      <c r="K97" s="8">
        <v>18</v>
      </c>
      <c r="L97" s="8">
        <v>9</v>
      </c>
      <c r="M97" s="8">
        <v>3</v>
      </c>
      <c r="N97" s="10">
        <f t="shared" si="1"/>
        <v>0.43283582089552236</v>
      </c>
    </row>
    <row r="98" spans="1:14" ht="15" customHeight="1" x14ac:dyDescent="0.2">
      <c r="A98" s="7">
        <v>2024</v>
      </c>
      <c r="B98" s="7" t="s">
        <v>38</v>
      </c>
      <c r="C98" s="7" t="s">
        <v>31</v>
      </c>
      <c r="D98" s="7">
        <v>6</v>
      </c>
      <c r="E98" s="8">
        <v>788</v>
      </c>
      <c r="F98" s="8">
        <v>1837</v>
      </c>
      <c r="G98" s="8">
        <v>413</v>
      </c>
      <c r="H98" s="8">
        <v>624</v>
      </c>
      <c r="I98" s="8">
        <v>1569</v>
      </c>
      <c r="J98" s="8">
        <v>284</v>
      </c>
      <c r="K98" s="8">
        <v>199</v>
      </c>
      <c r="L98" s="8">
        <v>182</v>
      </c>
      <c r="M98" s="8">
        <v>40</v>
      </c>
      <c r="N98" s="10">
        <f t="shared" si="1"/>
        <v>0.39826422372227582</v>
      </c>
    </row>
    <row r="99" spans="1:14" ht="15" customHeight="1" x14ac:dyDescent="0.2">
      <c r="A99" s="7">
        <v>2024</v>
      </c>
      <c r="B99" s="7" t="s">
        <v>39</v>
      </c>
      <c r="C99" s="7" t="s">
        <v>31</v>
      </c>
      <c r="D99" s="7">
        <v>7</v>
      </c>
      <c r="E99" s="8">
        <v>1274</v>
      </c>
      <c r="F99" s="8">
        <v>1434</v>
      </c>
      <c r="G99" s="8">
        <v>461</v>
      </c>
      <c r="H99" s="8">
        <v>1049</v>
      </c>
      <c r="I99" s="8">
        <v>1177</v>
      </c>
      <c r="J99" s="8">
        <v>305</v>
      </c>
      <c r="K99" s="8">
        <v>296</v>
      </c>
      <c r="L99" s="8">
        <v>165</v>
      </c>
      <c r="M99" s="8">
        <v>60</v>
      </c>
      <c r="N99" s="10">
        <f t="shared" si="1"/>
        <v>0.30529801324503314</v>
      </c>
    </row>
    <row r="100" spans="1:14" ht="15" customHeight="1" x14ac:dyDescent="0.2">
      <c r="A100" s="7">
        <v>2024</v>
      </c>
      <c r="B100" s="7" t="s">
        <v>40</v>
      </c>
      <c r="C100" s="7" t="s">
        <v>31</v>
      </c>
      <c r="D100" s="7">
        <v>8</v>
      </c>
      <c r="E100" s="8">
        <v>353</v>
      </c>
      <c r="F100" s="8">
        <v>750</v>
      </c>
      <c r="G100" s="8">
        <v>274</v>
      </c>
      <c r="H100" s="8">
        <v>254</v>
      </c>
      <c r="I100" s="8">
        <v>583</v>
      </c>
      <c r="J100" s="8">
        <v>164</v>
      </c>
      <c r="K100" s="8">
        <v>85</v>
      </c>
      <c r="L100" s="8">
        <v>84</v>
      </c>
      <c r="M100" s="8">
        <v>28</v>
      </c>
      <c r="N100" s="10">
        <f t="shared" si="1"/>
        <v>0.51893939393939392</v>
      </c>
    </row>
    <row r="101" spans="1:14" ht="15" customHeight="1" x14ac:dyDescent="0.2">
      <c r="A101" s="7">
        <v>2024</v>
      </c>
      <c r="B101" s="7" t="s">
        <v>41</v>
      </c>
      <c r="C101" s="7" t="s">
        <v>31</v>
      </c>
      <c r="D101" s="7">
        <v>9</v>
      </c>
      <c r="E101" s="8">
        <v>856</v>
      </c>
      <c r="F101" s="8">
        <v>947</v>
      </c>
      <c r="G101" s="8">
        <v>474</v>
      </c>
      <c r="H101" s="8">
        <v>528</v>
      </c>
      <c r="I101" s="8">
        <v>637</v>
      </c>
      <c r="J101" s="8">
        <v>210</v>
      </c>
      <c r="K101" s="8">
        <v>163</v>
      </c>
      <c r="L101" s="8">
        <v>99</v>
      </c>
      <c r="M101" s="8">
        <v>31</v>
      </c>
      <c r="N101" s="10">
        <f t="shared" si="1"/>
        <v>0.47305389221556887</v>
      </c>
    </row>
    <row r="102" spans="1:14" ht="15" customHeight="1" x14ac:dyDescent="0.2">
      <c r="A102" s="7">
        <v>2024</v>
      </c>
      <c r="B102" s="7" t="s">
        <v>42</v>
      </c>
      <c r="C102" s="7" t="s">
        <v>31</v>
      </c>
      <c r="D102" s="7">
        <v>10</v>
      </c>
      <c r="E102" s="8">
        <v>43</v>
      </c>
      <c r="F102" s="8">
        <v>109</v>
      </c>
      <c r="G102" s="8">
        <v>24</v>
      </c>
      <c r="H102" s="8">
        <v>31</v>
      </c>
      <c r="I102" s="8">
        <v>95</v>
      </c>
      <c r="J102" s="8">
        <v>21</v>
      </c>
      <c r="K102" s="8">
        <v>16</v>
      </c>
      <c r="L102" s="8">
        <v>12</v>
      </c>
      <c r="M102" s="8">
        <v>7</v>
      </c>
      <c r="N102" s="10">
        <f t="shared" si="1"/>
        <v>0.43636363636363634</v>
      </c>
    </row>
    <row r="103" spans="1:14" ht="15" customHeight="1" x14ac:dyDescent="0.2">
      <c r="A103" s="7">
        <v>2024</v>
      </c>
      <c r="B103" s="7" t="s">
        <v>43</v>
      </c>
      <c r="C103" s="7" t="s">
        <v>31</v>
      </c>
      <c r="D103" s="7">
        <v>11</v>
      </c>
      <c r="E103" s="8">
        <v>55</v>
      </c>
      <c r="F103" s="8">
        <v>234</v>
      </c>
      <c r="G103" s="8">
        <v>38</v>
      </c>
      <c r="H103" s="8">
        <v>41</v>
      </c>
      <c r="I103" s="8">
        <v>208</v>
      </c>
      <c r="J103" s="8">
        <v>26</v>
      </c>
      <c r="K103" s="8">
        <v>10</v>
      </c>
      <c r="L103" s="8">
        <v>29</v>
      </c>
      <c r="M103" s="8">
        <v>4</v>
      </c>
      <c r="N103" s="10">
        <f t="shared" si="1"/>
        <v>0.48101265822784811</v>
      </c>
    </row>
    <row r="104" spans="1:14" ht="15" customHeight="1" x14ac:dyDescent="0.2">
      <c r="A104" s="7">
        <v>2024</v>
      </c>
      <c r="B104" s="7" t="s">
        <v>44</v>
      </c>
      <c r="C104" s="7" t="s">
        <v>31</v>
      </c>
      <c r="D104" s="7">
        <v>12</v>
      </c>
      <c r="E104" s="8">
        <v>1109</v>
      </c>
      <c r="F104" s="8">
        <v>1608</v>
      </c>
      <c r="G104" s="8">
        <v>494</v>
      </c>
      <c r="H104" s="8">
        <v>805</v>
      </c>
      <c r="I104" s="8">
        <v>1253</v>
      </c>
      <c r="J104" s="8">
        <v>261</v>
      </c>
      <c r="K104" s="8">
        <v>251</v>
      </c>
      <c r="L104" s="8">
        <v>174</v>
      </c>
      <c r="M104" s="8">
        <v>45</v>
      </c>
      <c r="N104" s="10">
        <f t="shared" si="1"/>
        <v>0.38029253271747498</v>
      </c>
    </row>
    <row r="105" spans="1:14" ht="15" customHeight="1" x14ac:dyDescent="0.2">
      <c r="A105" s="7">
        <v>2024</v>
      </c>
      <c r="B105" s="7" t="s">
        <v>45</v>
      </c>
      <c r="C105" s="7" t="s">
        <v>31</v>
      </c>
      <c r="D105" s="7">
        <v>13</v>
      </c>
      <c r="E105" s="8">
        <v>578</v>
      </c>
      <c r="F105" s="8">
        <v>1275</v>
      </c>
      <c r="G105" s="8">
        <v>326</v>
      </c>
      <c r="H105" s="8">
        <v>450</v>
      </c>
      <c r="I105" s="8">
        <v>1003</v>
      </c>
      <c r="J105" s="8">
        <v>216</v>
      </c>
      <c r="K105" s="8">
        <v>144</v>
      </c>
      <c r="L105" s="8">
        <v>104</v>
      </c>
      <c r="M105" s="8">
        <v>53</v>
      </c>
      <c r="N105" s="10">
        <f t="shared" si="1"/>
        <v>0.42010309278350516</v>
      </c>
    </row>
    <row r="106" spans="1:14" ht="15" customHeight="1" x14ac:dyDescent="0.2">
      <c r="A106" s="7">
        <v>2024</v>
      </c>
      <c r="B106" s="7" t="s">
        <v>46</v>
      </c>
      <c r="C106" s="7" t="s">
        <v>31</v>
      </c>
      <c r="D106" s="7">
        <v>14</v>
      </c>
      <c r="E106" s="8">
        <v>744</v>
      </c>
      <c r="F106" s="8">
        <v>1787</v>
      </c>
      <c r="G106" s="8">
        <v>434</v>
      </c>
      <c r="H106" s="8">
        <v>580</v>
      </c>
      <c r="I106" s="8">
        <v>1466</v>
      </c>
      <c r="J106" s="8">
        <v>264</v>
      </c>
      <c r="K106" s="8">
        <v>202</v>
      </c>
      <c r="L106" s="8">
        <v>225</v>
      </c>
      <c r="M106" s="8">
        <v>42</v>
      </c>
      <c r="N106" s="10">
        <f t="shared" si="1"/>
        <v>0.42800788954635111</v>
      </c>
    </row>
    <row r="107" spans="1:14" ht="15" customHeight="1" x14ac:dyDescent="0.2">
      <c r="A107" s="7">
        <v>2024</v>
      </c>
      <c r="B107" s="7" t="s">
        <v>47</v>
      </c>
      <c r="C107" s="7" t="s">
        <v>31</v>
      </c>
      <c r="D107" s="7">
        <v>15</v>
      </c>
      <c r="E107" s="8">
        <v>766</v>
      </c>
      <c r="F107" s="8">
        <v>957</v>
      </c>
      <c r="G107" s="8">
        <v>319</v>
      </c>
      <c r="H107" s="8">
        <v>582</v>
      </c>
      <c r="I107" s="8">
        <v>742</v>
      </c>
      <c r="J107" s="8">
        <v>183</v>
      </c>
      <c r="K107" s="8">
        <v>174</v>
      </c>
      <c r="L107" s="8">
        <v>88</v>
      </c>
      <c r="M107" s="8">
        <v>37</v>
      </c>
      <c r="N107" s="10">
        <f t="shared" si="1"/>
        <v>0.35405105438401774</v>
      </c>
    </row>
    <row r="108" spans="1:14" ht="15" customHeight="1" x14ac:dyDescent="0.2">
      <c r="A108" s="7">
        <v>2024</v>
      </c>
      <c r="B108" s="7" t="s">
        <v>48</v>
      </c>
      <c r="C108" s="7" t="s">
        <v>31</v>
      </c>
      <c r="D108" s="7">
        <v>16</v>
      </c>
      <c r="E108" s="8">
        <v>131</v>
      </c>
      <c r="F108" s="8">
        <v>518</v>
      </c>
      <c r="G108" s="8">
        <v>72</v>
      </c>
      <c r="H108" s="8">
        <v>109</v>
      </c>
      <c r="I108" s="8">
        <v>467</v>
      </c>
      <c r="J108" s="8">
        <v>50</v>
      </c>
      <c r="K108" s="8">
        <v>39</v>
      </c>
      <c r="L108" s="8">
        <v>70</v>
      </c>
      <c r="M108" s="8">
        <v>10</v>
      </c>
      <c r="N108" s="10">
        <f t="shared" si="1"/>
        <v>0.39779005524861877</v>
      </c>
    </row>
    <row r="109" spans="1:14" ht="15" customHeight="1" x14ac:dyDescent="0.2">
      <c r="A109" s="7">
        <v>2024</v>
      </c>
      <c r="B109" s="7" t="s">
        <v>49</v>
      </c>
      <c r="C109" s="7" t="s">
        <v>31</v>
      </c>
      <c r="D109" s="7">
        <v>17</v>
      </c>
      <c r="E109" s="8">
        <v>1155</v>
      </c>
      <c r="F109" s="8">
        <v>1727</v>
      </c>
      <c r="G109" s="8">
        <v>582</v>
      </c>
      <c r="H109" s="8">
        <v>839</v>
      </c>
      <c r="I109" s="8">
        <v>1380</v>
      </c>
      <c r="J109" s="8">
        <v>362</v>
      </c>
      <c r="K109" s="8">
        <v>259</v>
      </c>
      <c r="L109" s="8">
        <v>165</v>
      </c>
      <c r="M109" s="8">
        <v>54</v>
      </c>
      <c r="N109" s="10">
        <f t="shared" si="1"/>
        <v>0.40957072484166079</v>
      </c>
    </row>
    <row r="110" spans="1:14" ht="15" customHeight="1" x14ac:dyDescent="0.2">
      <c r="A110" s="7">
        <v>2024</v>
      </c>
      <c r="B110" s="7" t="s">
        <v>50</v>
      </c>
      <c r="C110" s="7" t="s">
        <v>31</v>
      </c>
      <c r="D110" s="7">
        <v>18</v>
      </c>
      <c r="E110" s="8">
        <v>88</v>
      </c>
      <c r="F110" s="8">
        <v>158</v>
      </c>
      <c r="G110" s="8">
        <v>56</v>
      </c>
      <c r="H110" s="8">
        <v>68</v>
      </c>
      <c r="I110" s="8">
        <v>122</v>
      </c>
      <c r="J110" s="8">
        <v>36</v>
      </c>
      <c r="K110" s="8">
        <v>23</v>
      </c>
      <c r="L110" s="8">
        <v>12</v>
      </c>
      <c r="M110" s="8">
        <v>3</v>
      </c>
      <c r="N110" s="10">
        <f t="shared" si="1"/>
        <v>0.45161290322580644</v>
      </c>
    </row>
    <row r="111" spans="1:14" ht="15" customHeight="1" x14ac:dyDescent="0.2">
      <c r="A111" s="7">
        <v>2024</v>
      </c>
      <c r="B111" s="7" t="s">
        <v>51</v>
      </c>
      <c r="C111" s="7" t="s">
        <v>31</v>
      </c>
      <c r="D111" s="7">
        <v>19</v>
      </c>
      <c r="E111" s="8">
        <v>2317</v>
      </c>
      <c r="F111" s="8">
        <v>3872</v>
      </c>
      <c r="G111" s="8">
        <v>1443</v>
      </c>
      <c r="H111" s="8">
        <v>1682</v>
      </c>
      <c r="I111" s="8">
        <v>3042</v>
      </c>
      <c r="J111" s="8">
        <v>897</v>
      </c>
      <c r="K111" s="8">
        <v>613</v>
      </c>
      <c r="L111" s="8">
        <v>474</v>
      </c>
      <c r="M111" s="8">
        <v>170</v>
      </c>
      <c r="N111" s="10">
        <f t="shared" si="1"/>
        <v>0.46176</v>
      </c>
    </row>
    <row r="112" spans="1:14" ht="15" customHeight="1" x14ac:dyDescent="0.2">
      <c r="A112" s="7">
        <v>2024</v>
      </c>
      <c r="B112" s="7" t="s">
        <v>52</v>
      </c>
      <c r="C112" s="7" t="s">
        <v>31</v>
      </c>
      <c r="D112" s="7">
        <v>20</v>
      </c>
      <c r="E112" s="8">
        <v>843</v>
      </c>
      <c r="F112" s="8">
        <v>878</v>
      </c>
      <c r="G112" s="8">
        <v>334</v>
      </c>
      <c r="H112" s="8">
        <v>666</v>
      </c>
      <c r="I112" s="8">
        <v>682</v>
      </c>
      <c r="J112" s="8">
        <v>179</v>
      </c>
      <c r="K112" s="8">
        <v>163</v>
      </c>
      <c r="L112" s="8">
        <v>73</v>
      </c>
      <c r="M112" s="8">
        <v>18</v>
      </c>
      <c r="N112" s="10">
        <f t="shared" si="1"/>
        <v>0.33400000000000002</v>
      </c>
    </row>
    <row r="113" spans="1:14" ht="15" customHeight="1" x14ac:dyDescent="0.2">
      <c r="A113" s="7">
        <v>2024</v>
      </c>
      <c r="B113" s="7" t="s">
        <v>53</v>
      </c>
      <c r="C113" s="7" t="s">
        <v>31</v>
      </c>
      <c r="D113" s="7">
        <v>21</v>
      </c>
      <c r="E113" s="8">
        <v>842</v>
      </c>
      <c r="F113" s="8">
        <v>1951</v>
      </c>
      <c r="G113" s="8">
        <v>526</v>
      </c>
      <c r="H113" s="8">
        <v>672</v>
      </c>
      <c r="I113" s="8">
        <v>1629</v>
      </c>
      <c r="J113" s="8">
        <v>375</v>
      </c>
      <c r="K113" s="8">
        <v>255</v>
      </c>
      <c r="L113" s="8">
        <v>233</v>
      </c>
      <c r="M113" s="8">
        <v>71</v>
      </c>
      <c r="N113" s="10">
        <f t="shared" si="1"/>
        <v>0.43906510851419034</v>
      </c>
    </row>
    <row r="114" spans="1:14" ht="15" customHeight="1" x14ac:dyDescent="0.2">
      <c r="A114" s="7">
        <v>2024</v>
      </c>
      <c r="B114" s="7" t="s">
        <v>54</v>
      </c>
      <c r="C114" s="7" t="s">
        <v>31</v>
      </c>
      <c r="D114" s="7">
        <v>22</v>
      </c>
      <c r="E114" s="8">
        <v>408</v>
      </c>
      <c r="F114" s="8">
        <v>874</v>
      </c>
      <c r="G114" s="8">
        <v>239</v>
      </c>
      <c r="H114" s="8">
        <v>316</v>
      </c>
      <c r="I114" s="8">
        <v>717</v>
      </c>
      <c r="J114" s="8">
        <v>145</v>
      </c>
      <c r="K114" s="8">
        <v>79</v>
      </c>
      <c r="L114" s="8">
        <v>84</v>
      </c>
      <c r="M114" s="8">
        <v>17</v>
      </c>
      <c r="N114" s="10">
        <f t="shared" si="1"/>
        <v>0.43063063063063062</v>
      </c>
    </row>
    <row r="115" spans="1:14" ht="15" customHeight="1" x14ac:dyDescent="0.2">
      <c r="A115" s="7">
        <v>2024</v>
      </c>
      <c r="B115" s="7" t="s">
        <v>55</v>
      </c>
      <c r="C115" s="7" t="s">
        <v>31</v>
      </c>
      <c r="D115" s="7">
        <v>23</v>
      </c>
      <c r="E115" s="8">
        <v>70</v>
      </c>
      <c r="F115" s="8">
        <v>114</v>
      </c>
      <c r="G115" s="8">
        <v>51</v>
      </c>
      <c r="H115" s="8">
        <v>41</v>
      </c>
      <c r="I115" s="8">
        <v>90</v>
      </c>
      <c r="J115" s="8">
        <v>28</v>
      </c>
      <c r="K115" s="8">
        <v>9</v>
      </c>
      <c r="L115" s="8">
        <v>12</v>
      </c>
      <c r="M115" s="8">
        <v>2</v>
      </c>
      <c r="N115" s="10">
        <f t="shared" si="1"/>
        <v>0.55434782608695654</v>
      </c>
    </row>
    <row r="116" spans="1:14" ht="15" customHeight="1" x14ac:dyDescent="0.2">
      <c r="A116" s="7">
        <v>2024</v>
      </c>
      <c r="B116" s="7" t="s">
        <v>56</v>
      </c>
      <c r="C116" s="7" t="s">
        <v>57</v>
      </c>
      <c r="D116" s="7">
        <v>24</v>
      </c>
      <c r="E116" s="8">
        <v>638</v>
      </c>
      <c r="F116" s="8">
        <v>691</v>
      </c>
      <c r="G116" s="8">
        <v>362</v>
      </c>
      <c r="H116" s="8">
        <v>514</v>
      </c>
      <c r="I116" s="8">
        <v>582</v>
      </c>
      <c r="J116" s="8">
        <v>243</v>
      </c>
      <c r="K116" s="8">
        <v>144</v>
      </c>
      <c r="L116" s="8">
        <v>79</v>
      </c>
      <c r="M116" s="8">
        <v>40</v>
      </c>
      <c r="N116" s="10">
        <f t="shared" si="1"/>
        <v>0.4132420091324201</v>
      </c>
    </row>
    <row r="117" spans="1:14" ht="15" customHeight="1" x14ac:dyDescent="0.2">
      <c r="A117" s="7">
        <v>2024</v>
      </c>
      <c r="B117" s="7" t="s">
        <v>58</v>
      </c>
      <c r="C117" s="7" t="s">
        <v>57</v>
      </c>
      <c r="D117" s="7">
        <v>25</v>
      </c>
      <c r="E117" s="8">
        <v>36860</v>
      </c>
      <c r="F117" s="8">
        <v>14164</v>
      </c>
      <c r="G117" s="8">
        <v>15960</v>
      </c>
      <c r="H117" s="8">
        <v>22645</v>
      </c>
      <c r="I117" s="8">
        <v>9636</v>
      </c>
      <c r="J117" s="8">
        <v>7118</v>
      </c>
      <c r="K117" s="8">
        <v>6604</v>
      </c>
      <c r="L117" s="8">
        <v>2158</v>
      </c>
      <c r="M117" s="8">
        <v>1439</v>
      </c>
      <c r="N117" s="10">
        <f t="shared" si="1"/>
        <v>0.41341795104261109</v>
      </c>
    </row>
    <row r="118" spans="1:14" ht="15" customHeight="1" x14ac:dyDescent="0.2">
      <c r="A118" s="7">
        <v>2024</v>
      </c>
      <c r="B118" s="7" t="s">
        <v>59</v>
      </c>
      <c r="C118" s="7" t="s">
        <v>57</v>
      </c>
      <c r="D118" s="7">
        <v>26</v>
      </c>
      <c r="E118" s="8">
        <v>7079</v>
      </c>
      <c r="F118" s="8">
        <v>3657</v>
      </c>
      <c r="G118" s="8">
        <v>2581</v>
      </c>
      <c r="H118" s="8">
        <v>5308</v>
      </c>
      <c r="I118" s="8">
        <v>2832</v>
      </c>
      <c r="J118" s="8">
        <v>1534</v>
      </c>
      <c r="K118" s="8">
        <v>1663</v>
      </c>
      <c r="L118" s="8">
        <v>561</v>
      </c>
      <c r="M118" s="8">
        <v>337</v>
      </c>
      <c r="N118" s="10">
        <f t="shared" si="1"/>
        <v>0.32716440613512487</v>
      </c>
    </row>
    <row r="119" spans="1:14" ht="15" customHeight="1" x14ac:dyDescent="0.2">
      <c r="A119" s="7">
        <v>2024</v>
      </c>
      <c r="B119" s="7" t="s">
        <v>60</v>
      </c>
      <c r="C119" s="7" t="s">
        <v>57</v>
      </c>
      <c r="D119" s="7">
        <v>27</v>
      </c>
      <c r="E119" s="8">
        <v>1735</v>
      </c>
      <c r="F119" s="8">
        <v>1369</v>
      </c>
      <c r="G119" s="8">
        <v>861</v>
      </c>
      <c r="H119" s="8">
        <v>1304</v>
      </c>
      <c r="I119" s="8">
        <v>1107</v>
      </c>
      <c r="J119" s="8">
        <v>496</v>
      </c>
      <c r="K119" s="8">
        <v>427</v>
      </c>
      <c r="L119" s="8">
        <v>196</v>
      </c>
      <c r="M119" s="8">
        <v>100</v>
      </c>
      <c r="N119" s="10">
        <f t="shared" si="1"/>
        <v>0.3976905311778291</v>
      </c>
    </row>
    <row r="120" spans="1:14" ht="15" customHeight="1" x14ac:dyDescent="0.2">
      <c r="A120" s="7">
        <v>2024</v>
      </c>
      <c r="B120" s="7" t="s">
        <v>61</v>
      </c>
      <c r="C120" s="7" t="s">
        <v>57</v>
      </c>
      <c r="D120" s="7">
        <v>28</v>
      </c>
      <c r="E120" s="8">
        <v>686</v>
      </c>
      <c r="F120" s="8">
        <v>813</v>
      </c>
      <c r="G120" s="8">
        <v>328</v>
      </c>
      <c r="H120" s="8">
        <v>555</v>
      </c>
      <c r="I120" s="8">
        <v>684</v>
      </c>
      <c r="J120" s="8">
        <v>219</v>
      </c>
      <c r="K120" s="8">
        <v>176</v>
      </c>
      <c r="L120" s="8">
        <v>100</v>
      </c>
      <c r="M120" s="8">
        <v>39</v>
      </c>
      <c r="N120" s="10">
        <f t="shared" si="1"/>
        <v>0.37146092865232161</v>
      </c>
    </row>
    <row r="121" spans="1:14" ht="15" customHeight="1" x14ac:dyDescent="0.2">
      <c r="A121" s="7">
        <v>2024</v>
      </c>
      <c r="B121" s="7" t="s">
        <v>62</v>
      </c>
      <c r="C121" s="7" t="s">
        <v>57</v>
      </c>
      <c r="D121" s="7">
        <v>29</v>
      </c>
      <c r="E121" s="8">
        <v>1019</v>
      </c>
      <c r="F121" s="8">
        <v>789</v>
      </c>
      <c r="G121" s="8">
        <v>438</v>
      </c>
      <c r="H121" s="8">
        <v>807</v>
      </c>
      <c r="I121" s="8">
        <v>669</v>
      </c>
      <c r="J121" s="8">
        <v>285</v>
      </c>
      <c r="K121" s="8">
        <v>225</v>
      </c>
      <c r="L121" s="8">
        <v>87</v>
      </c>
      <c r="M121" s="8">
        <v>43</v>
      </c>
      <c r="N121" s="10">
        <f t="shared" si="1"/>
        <v>0.35180722891566263</v>
      </c>
    </row>
    <row r="122" spans="1:14" ht="15" customHeight="1" x14ac:dyDescent="0.2">
      <c r="A122" s="7">
        <v>2024</v>
      </c>
      <c r="B122" s="7" t="s">
        <v>63</v>
      </c>
      <c r="C122" s="7" t="s">
        <v>57</v>
      </c>
      <c r="D122" s="7">
        <v>30</v>
      </c>
      <c r="E122" s="8">
        <v>3713</v>
      </c>
      <c r="F122" s="8">
        <v>3153</v>
      </c>
      <c r="G122" s="8">
        <v>1567</v>
      </c>
      <c r="H122" s="8">
        <v>2966</v>
      </c>
      <c r="I122" s="8">
        <v>2631</v>
      </c>
      <c r="J122" s="8">
        <v>1061</v>
      </c>
      <c r="K122" s="8">
        <v>1038</v>
      </c>
      <c r="L122" s="8">
        <v>470</v>
      </c>
      <c r="M122" s="8">
        <v>230</v>
      </c>
      <c r="N122" s="10">
        <f t="shared" si="1"/>
        <v>0.34568718288109418</v>
      </c>
    </row>
    <row r="123" spans="1:14" ht="15" customHeight="1" x14ac:dyDescent="0.2">
      <c r="A123" s="7">
        <v>2024</v>
      </c>
      <c r="B123" s="7" t="s">
        <v>64</v>
      </c>
      <c r="C123" s="7" t="s">
        <v>57</v>
      </c>
      <c r="D123" s="7">
        <v>31</v>
      </c>
      <c r="E123" s="8">
        <v>1646</v>
      </c>
      <c r="F123" s="8">
        <v>695</v>
      </c>
      <c r="G123" s="8">
        <v>632</v>
      </c>
      <c r="H123" s="8">
        <v>1174</v>
      </c>
      <c r="I123" s="8">
        <v>534</v>
      </c>
      <c r="J123" s="8">
        <v>372</v>
      </c>
      <c r="K123" s="8">
        <v>373</v>
      </c>
      <c r="L123" s="8">
        <v>133</v>
      </c>
      <c r="M123" s="8">
        <v>87</v>
      </c>
      <c r="N123" s="10">
        <f t="shared" si="1"/>
        <v>0.34994462901439644</v>
      </c>
    </row>
    <row r="124" spans="1:14" ht="15" customHeight="1" x14ac:dyDescent="0.2">
      <c r="A124" s="7">
        <v>2024</v>
      </c>
      <c r="B124" s="7" t="s">
        <v>65</v>
      </c>
      <c r="C124" s="7" t="s">
        <v>57</v>
      </c>
      <c r="D124" s="7">
        <v>32</v>
      </c>
      <c r="E124" s="8">
        <v>465</v>
      </c>
      <c r="F124" s="8">
        <v>300</v>
      </c>
      <c r="G124" s="8">
        <v>231</v>
      </c>
      <c r="H124" s="8">
        <v>317</v>
      </c>
      <c r="I124" s="8">
        <v>230</v>
      </c>
      <c r="J124" s="8">
        <v>120</v>
      </c>
      <c r="K124" s="8">
        <v>118</v>
      </c>
      <c r="L124" s="8">
        <v>45</v>
      </c>
      <c r="M124" s="8">
        <v>30</v>
      </c>
      <c r="N124" s="10">
        <f t="shared" si="1"/>
        <v>0.42153284671532848</v>
      </c>
    </row>
    <row r="125" spans="1:14" ht="15" customHeight="1" x14ac:dyDescent="0.2">
      <c r="A125" s="7">
        <v>2024</v>
      </c>
      <c r="B125" s="7" t="s">
        <v>66</v>
      </c>
      <c r="C125" s="7" t="s">
        <v>57</v>
      </c>
      <c r="D125" s="7">
        <v>33</v>
      </c>
      <c r="E125" s="8">
        <v>614</v>
      </c>
      <c r="F125" s="8">
        <v>1451</v>
      </c>
      <c r="G125" s="8">
        <v>357</v>
      </c>
      <c r="H125" s="8">
        <v>499</v>
      </c>
      <c r="I125" s="8">
        <v>1291</v>
      </c>
      <c r="J125" s="8">
        <v>256</v>
      </c>
      <c r="K125" s="8">
        <v>193</v>
      </c>
      <c r="L125" s="8">
        <v>155</v>
      </c>
      <c r="M125" s="8">
        <v>48</v>
      </c>
      <c r="N125" s="10">
        <f t="shared" si="1"/>
        <v>0.41705607476635514</v>
      </c>
    </row>
    <row r="126" spans="1:14" ht="15" customHeight="1" x14ac:dyDescent="0.2">
      <c r="A126" s="7">
        <v>2024</v>
      </c>
      <c r="B126" s="7" t="s">
        <v>67</v>
      </c>
      <c r="C126" s="7" t="s">
        <v>57</v>
      </c>
      <c r="D126" s="7">
        <v>34</v>
      </c>
      <c r="E126" s="8">
        <v>9211</v>
      </c>
      <c r="F126" s="8">
        <v>10073</v>
      </c>
      <c r="G126" s="8">
        <v>4504</v>
      </c>
      <c r="H126" s="8">
        <v>7647</v>
      </c>
      <c r="I126" s="8">
        <v>8719</v>
      </c>
      <c r="J126" s="8">
        <v>3305</v>
      </c>
      <c r="K126" s="8">
        <v>3204</v>
      </c>
      <c r="L126" s="8">
        <v>2355</v>
      </c>
      <c r="M126" s="8">
        <v>900</v>
      </c>
      <c r="N126" s="10">
        <f t="shared" si="1"/>
        <v>0.37066908073409593</v>
      </c>
    </row>
    <row r="127" spans="1:14" ht="15" customHeight="1" x14ac:dyDescent="0.2">
      <c r="A127" s="7">
        <v>2024</v>
      </c>
      <c r="B127" s="7" t="s">
        <v>68</v>
      </c>
      <c r="C127" s="7" t="s">
        <v>57</v>
      </c>
      <c r="D127" s="7">
        <v>35</v>
      </c>
      <c r="E127" s="8">
        <v>837</v>
      </c>
      <c r="F127" s="8">
        <v>1668</v>
      </c>
      <c r="G127" s="8">
        <v>497</v>
      </c>
      <c r="H127" s="8">
        <v>703</v>
      </c>
      <c r="I127" s="8">
        <v>1419</v>
      </c>
      <c r="J127" s="8">
        <v>367</v>
      </c>
      <c r="K127" s="8">
        <v>305</v>
      </c>
      <c r="L127" s="8">
        <v>343</v>
      </c>
      <c r="M127" s="8">
        <v>112</v>
      </c>
      <c r="N127" s="10">
        <f t="shared" si="1"/>
        <v>0.41416666666666668</v>
      </c>
    </row>
    <row r="128" spans="1:14" ht="15" customHeight="1" x14ac:dyDescent="0.2">
      <c r="A128" s="7">
        <v>2024</v>
      </c>
      <c r="B128" s="7" t="s">
        <v>69</v>
      </c>
      <c r="C128" s="7" t="s">
        <v>57</v>
      </c>
      <c r="D128" s="7">
        <v>36</v>
      </c>
      <c r="E128" s="8">
        <v>454</v>
      </c>
      <c r="F128" s="8">
        <v>1009</v>
      </c>
      <c r="G128" s="8">
        <v>301</v>
      </c>
      <c r="H128" s="8">
        <v>395</v>
      </c>
      <c r="I128" s="8">
        <v>886</v>
      </c>
      <c r="J128" s="8">
        <v>210</v>
      </c>
      <c r="K128" s="8">
        <v>160</v>
      </c>
      <c r="L128" s="8">
        <v>167</v>
      </c>
      <c r="M128" s="8">
        <v>57</v>
      </c>
      <c r="N128" s="10">
        <f t="shared" si="1"/>
        <v>0.43247126436781608</v>
      </c>
    </row>
    <row r="129" spans="1:14" ht="15" customHeight="1" x14ac:dyDescent="0.2">
      <c r="A129" s="7">
        <v>2024</v>
      </c>
      <c r="B129" s="7" t="s">
        <v>70</v>
      </c>
      <c r="C129" s="7" t="s">
        <v>57</v>
      </c>
      <c r="D129" s="7">
        <v>37</v>
      </c>
      <c r="E129" s="8">
        <v>756</v>
      </c>
      <c r="F129" s="8">
        <v>1880</v>
      </c>
      <c r="G129" s="8">
        <v>453</v>
      </c>
      <c r="H129" s="8">
        <v>650</v>
      </c>
      <c r="I129" s="8">
        <v>1670</v>
      </c>
      <c r="J129" s="8">
        <v>320</v>
      </c>
      <c r="K129" s="8">
        <v>213</v>
      </c>
      <c r="L129" s="8">
        <v>207</v>
      </c>
      <c r="M129" s="8">
        <v>57</v>
      </c>
      <c r="N129" s="10">
        <f t="shared" si="1"/>
        <v>0.41069809610154123</v>
      </c>
    </row>
    <row r="130" spans="1:14" ht="15" customHeight="1" x14ac:dyDescent="0.2">
      <c r="A130" s="7">
        <v>2024</v>
      </c>
      <c r="B130" s="7" t="s">
        <v>71</v>
      </c>
      <c r="C130" s="7" t="s">
        <v>57</v>
      </c>
      <c r="D130" s="7">
        <v>38</v>
      </c>
      <c r="E130" s="8">
        <v>1002</v>
      </c>
      <c r="F130" s="8">
        <v>931</v>
      </c>
      <c r="G130" s="8">
        <v>453</v>
      </c>
      <c r="H130" s="8">
        <v>791</v>
      </c>
      <c r="I130" s="8">
        <v>745</v>
      </c>
      <c r="J130" s="8">
        <v>294</v>
      </c>
      <c r="K130" s="8">
        <v>290</v>
      </c>
      <c r="L130" s="8">
        <v>141</v>
      </c>
      <c r="M130" s="8">
        <v>61</v>
      </c>
      <c r="N130" s="10">
        <f t="shared" si="1"/>
        <v>0.36414790996784568</v>
      </c>
    </row>
    <row r="131" spans="1:14" ht="15" customHeight="1" x14ac:dyDescent="0.2">
      <c r="A131" s="7">
        <v>2024</v>
      </c>
      <c r="B131" s="7" t="s">
        <v>72</v>
      </c>
      <c r="C131" s="7" t="s">
        <v>57</v>
      </c>
      <c r="D131" s="7">
        <v>39</v>
      </c>
      <c r="E131" s="8">
        <v>3764</v>
      </c>
      <c r="F131" s="8">
        <v>5779</v>
      </c>
      <c r="G131" s="8">
        <v>2068</v>
      </c>
      <c r="H131" s="8">
        <v>3164</v>
      </c>
      <c r="I131" s="8">
        <v>5058</v>
      </c>
      <c r="J131" s="8">
        <v>1447</v>
      </c>
      <c r="K131" s="8">
        <v>1277</v>
      </c>
      <c r="L131" s="8">
        <v>1097</v>
      </c>
      <c r="M131" s="8">
        <v>365</v>
      </c>
      <c r="N131" s="10">
        <f t="shared" si="1"/>
        <v>0.39525993883792049</v>
      </c>
    </row>
    <row r="132" spans="1:14" ht="15" customHeight="1" x14ac:dyDescent="0.2">
      <c r="A132" s="7">
        <v>2024</v>
      </c>
      <c r="B132" s="7" t="s">
        <v>73</v>
      </c>
      <c r="C132" s="7" t="s">
        <v>57</v>
      </c>
      <c r="D132" s="7">
        <v>40</v>
      </c>
      <c r="E132" s="8">
        <v>4014</v>
      </c>
      <c r="F132" s="8">
        <v>3884</v>
      </c>
      <c r="G132" s="8">
        <v>1630</v>
      </c>
      <c r="H132" s="8">
        <v>3336</v>
      </c>
      <c r="I132" s="8">
        <v>3388</v>
      </c>
      <c r="J132" s="8">
        <v>1155</v>
      </c>
      <c r="K132" s="8">
        <v>1189</v>
      </c>
      <c r="L132" s="8">
        <v>743</v>
      </c>
      <c r="M132" s="8">
        <v>269</v>
      </c>
      <c r="N132" s="10">
        <f t="shared" ref="N132:N195" si="2">IFERROR(G132/(G132+H132),"")</f>
        <v>0.32823197744663712</v>
      </c>
    </row>
    <row r="133" spans="1:14" ht="15" customHeight="1" x14ac:dyDescent="0.2">
      <c r="A133" s="7">
        <v>2024</v>
      </c>
      <c r="B133" s="7" t="s">
        <v>74</v>
      </c>
      <c r="C133" s="7" t="s">
        <v>57</v>
      </c>
      <c r="D133" s="7">
        <v>41</v>
      </c>
      <c r="E133" s="8">
        <v>897</v>
      </c>
      <c r="F133" s="8">
        <v>1132</v>
      </c>
      <c r="G133" s="8">
        <v>513</v>
      </c>
      <c r="H133" s="8">
        <v>633</v>
      </c>
      <c r="I133" s="8">
        <v>867</v>
      </c>
      <c r="J133" s="8">
        <v>310</v>
      </c>
      <c r="K133" s="8">
        <v>192</v>
      </c>
      <c r="L133" s="8">
        <v>104</v>
      </c>
      <c r="M133" s="8">
        <v>49</v>
      </c>
      <c r="N133" s="10">
        <f t="shared" si="2"/>
        <v>0.44764397905759162</v>
      </c>
    </row>
    <row r="134" spans="1:14" ht="15" customHeight="1" x14ac:dyDescent="0.2">
      <c r="A134" s="7">
        <v>2024</v>
      </c>
      <c r="B134" s="7" t="s">
        <v>75</v>
      </c>
      <c r="C134" s="7" t="s">
        <v>57</v>
      </c>
      <c r="D134" s="7">
        <v>42</v>
      </c>
      <c r="E134" s="8">
        <v>6724</v>
      </c>
      <c r="F134" s="8">
        <v>5916</v>
      </c>
      <c r="G134" s="8">
        <v>2901</v>
      </c>
      <c r="H134" s="8">
        <v>5616</v>
      </c>
      <c r="I134" s="8">
        <v>5113</v>
      </c>
      <c r="J134" s="8">
        <v>2049</v>
      </c>
      <c r="K134" s="8">
        <v>2487</v>
      </c>
      <c r="L134" s="8">
        <v>1347</v>
      </c>
      <c r="M134" s="8">
        <v>629</v>
      </c>
      <c r="N134" s="10">
        <f t="shared" si="2"/>
        <v>0.34061289186333216</v>
      </c>
    </row>
    <row r="135" spans="1:14" ht="15" customHeight="1" x14ac:dyDescent="0.2">
      <c r="A135" s="7">
        <v>2024</v>
      </c>
      <c r="B135" s="7" t="s">
        <v>76</v>
      </c>
      <c r="C135" s="7" t="s">
        <v>57</v>
      </c>
      <c r="D135" s="7">
        <v>43</v>
      </c>
      <c r="E135" s="8">
        <v>7596</v>
      </c>
      <c r="F135" s="8">
        <v>7295</v>
      </c>
      <c r="G135" s="8">
        <v>4034</v>
      </c>
      <c r="H135" s="8">
        <v>6104</v>
      </c>
      <c r="I135" s="8">
        <v>6149</v>
      </c>
      <c r="J135" s="8">
        <v>2882</v>
      </c>
      <c r="K135" s="8">
        <v>2764</v>
      </c>
      <c r="L135" s="8">
        <v>1779</v>
      </c>
      <c r="M135" s="8">
        <v>896</v>
      </c>
      <c r="N135" s="10">
        <f t="shared" si="2"/>
        <v>0.39790885776287238</v>
      </c>
    </row>
    <row r="136" spans="1:14" ht="15" customHeight="1" x14ac:dyDescent="0.2">
      <c r="A136" s="7">
        <v>2024</v>
      </c>
      <c r="B136" s="7" t="s">
        <v>77</v>
      </c>
      <c r="C136" s="7" t="s">
        <v>57</v>
      </c>
      <c r="D136" s="7">
        <v>44</v>
      </c>
      <c r="E136" s="8">
        <v>2088</v>
      </c>
      <c r="F136" s="8">
        <v>3159</v>
      </c>
      <c r="G136" s="8">
        <v>1038</v>
      </c>
      <c r="H136" s="8">
        <v>1806</v>
      </c>
      <c r="I136" s="8">
        <v>2778</v>
      </c>
      <c r="J136" s="8">
        <v>796</v>
      </c>
      <c r="K136" s="8">
        <v>889</v>
      </c>
      <c r="L136" s="8">
        <v>789</v>
      </c>
      <c r="M136" s="8">
        <v>259</v>
      </c>
      <c r="N136" s="10">
        <f t="shared" si="2"/>
        <v>0.36497890295358648</v>
      </c>
    </row>
    <row r="137" spans="1:14" ht="15" customHeight="1" x14ac:dyDescent="0.2">
      <c r="A137" s="7">
        <v>2024</v>
      </c>
      <c r="B137" s="7" t="s">
        <v>78</v>
      </c>
      <c r="C137" s="7" t="s">
        <v>57</v>
      </c>
      <c r="D137" s="7">
        <v>45</v>
      </c>
      <c r="E137" s="8">
        <v>4710</v>
      </c>
      <c r="F137" s="8">
        <v>5710</v>
      </c>
      <c r="G137" s="8">
        <v>2462</v>
      </c>
      <c r="H137" s="8">
        <v>3997</v>
      </c>
      <c r="I137" s="8">
        <v>4901</v>
      </c>
      <c r="J137" s="8">
        <v>1832</v>
      </c>
      <c r="K137" s="8">
        <v>1870</v>
      </c>
      <c r="L137" s="8">
        <v>1267</v>
      </c>
      <c r="M137" s="8">
        <v>544</v>
      </c>
      <c r="N137" s="10">
        <f t="shared" si="2"/>
        <v>0.3811735562780616</v>
      </c>
    </row>
    <row r="138" spans="1:14" ht="15" customHeight="1" x14ac:dyDescent="0.2">
      <c r="A138" s="7">
        <v>2024</v>
      </c>
      <c r="B138" s="7" t="s">
        <v>79</v>
      </c>
      <c r="C138" s="7" t="s">
        <v>57</v>
      </c>
      <c r="D138" s="7">
        <v>46</v>
      </c>
      <c r="E138" s="8">
        <v>1284</v>
      </c>
      <c r="F138" s="8">
        <v>2679</v>
      </c>
      <c r="G138" s="8">
        <v>742</v>
      </c>
      <c r="H138" s="8">
        <v>1012</v>
      </c>
      <c r="I138" s="8">
        <v>2277</v>
      </c>
      <c r="J138" s="8">
        <v>527</v>
      </c>
      <c r="K138" s="8">
        <v>373</v>
      </c>
      <c r="L138" s="8">
        <v>338</v>
      </c>
      <c r="M138" s="8">
        <v>100</v>
      </c>
      <c r="N138" s="10">
        <f t="shared" si="2"/>
        <v>0.42303306727480045</v>
      </c>
    </row>
    <row r="139" spans="1:14" ht="15" customHeight="1" x14ac:dyDescent="0.2">
      <c r="A139" s="7">
        <v>2024</v>
      </c>
      <c r="B139" s="7" t="s">
        <v>80</v>
      </c>
      <c r="C139" s="7" t="s">
        <v>57</v>
      </c>
      <c r="D139" s="7">
        <v>47</v>
      </c>
      <c r="E139" s="8">
        <v>997</v>
      </c>
      <c r="F139" s="8">
        <v>2243</v>
      </c>
      <c r="G139" s="8">
        <v>545</v>
      </c>
      <c r="H139" s="8">
        <v>874</v>
      </c>
      <c r="I139" s="8">
        <v>2014</v>
      </c>
      <c r="J139" s="8">
        <v>414</v>
      </c>
      <c r="K139" s="8">
        <v>385</v>
      </c>
      <c r="L139" s="8">
        <v>364</v>
      </c>
      <c r="M139" s="8">
        <v>92</v>
      </c>
      <c r="N139" s="10">
        <f t="shared" si="2"/>
        <v>0.38407329105003524</v>
      </c>
    </row>
    <row r="140" spans="1:14" ht="15" customHeight="1" x14ac:dyDescent="0.2">
      <c r="A140" s="7">
        <v>2024</v>
      </c>
      <c r="B140" s="7" t="s">
        <v>81</v>
      </c>
      <c r="C140" s="7" t="s">
        <v>57</v>
      </c>
      <c r="D140" s="7">
        <v>48</v>
      </c>
      <c r="E140" s="8">
        <v>8354</v>
      </c>
      <c r="F140" s="8">
        <v>6478</v>
      </c>
      <c r="G140" s="8">
        <v>3299</v>
      </c>
      <c r="H140" s="8">
        <v>6435</v>
      </c>
      <c r="I140" s="8">
        <v>5353</v>
      </c>
      <c r="J140" s="8">
        <v>2060</v>
      </c>
      <c r="K140" s="8">
        <v>2219</v>
      </c>
      <c r="L140" s="8">
        <v>1096</v>
      </c>
      <c r="M140" s="8">
        <v>460</v>
      </c>
      <c r="N140" s="10">
        <f t="shared" si="2"/>
        <v>0.33891514279843848</v>
      </c>
    </row>
    <row r="141" spans="1:14" ht="15" customHeight="1" x14ac:dyDescent="0.2">
      <c r="A141" s="7">
        <v>2024</v>
      </c>
      <c r="B141" s="7" t="s">
        <v>82</v>
      </c>
      <c r="C141" s="7" t="s">
        <v>83</v>
      </c>
      <c r="D141" s="7">
        <v>49</v>
      </c>
      <c r="E141" s="8">
        <v>511</v>
      </c>
      <c r="F141" s="8">
        <v>1058</v>
      </c>
      <c r="G141" s="8">
        <v>337</v>
      </c>
      <c r="H141" s="8">
        <v>407</v>
      </c>
      <c r="I141" s="8">
        <v>907</v>
      </c>
      <c r="J141" s="8">
        <v>235</v>
      </c>
      <c r="K141" s="8">
        <v>153</v>
      </c>
      <c r="L141" s="8">
        <v>151</v>
      </c>
      <c r="M141" s="8">
        <v>45</v>
      </c>
      <c r="N141" s="10">
        <f t="shared" si="2"/>
        <v>0.45295698924731181</v>
      </c>
    </row>
    <row r="142" spans="1:14" ht="15" customHeight="1" x14ac:dyDescent="0.2">
      <c r="A142" s="7">
        <v>2024</v>
      </c>
      <c r="B142" s="7" t="s">
        <v>84</v>
      </c>
      <c r="C142" s="7" t="s">
        <v>83</v>
      </c>
      <c r="D142" s="7">
        <v>50</v>
      </c>
      <c r="E142" s="8">
        <v>1554</v>
      </c>
      <c r="F142" s="8">
        <v>2784</v>
      </c>
      <c r="G142" s="8">
        <v>1022</v>
      </c>
      <c r="H142" s="8">
        <v>1201</v>
      </c>
      <c r="I142" s="8">
        <v>2307</v>
      </c>
      <c r="J142" s="8">
        <v>679</v>
      </c>
      <c r="K142" s="8">
        <v>457</v>
      </c>
      <c r="L142" s="8">
        <v>370</v>
      </c>
      <c r="M142" s="8">
        <v>133</v>
      </c>
      <c r="N142" s="10">
        <f t="shared" si="2"/>
        <v>0.4597390913180387</v>
      </c>
    </row>
    <row r="143" spans="1:14" ht="15" customHeight="1" x14ac:dyDescent="0.2">
      <c r="A143" s="7">
        <v>2024</v>
      </c>
      <c r="B143" s="7" t="s">
        <v>85</v>
      </c>
      <c r="C143" s="7" t="s">
        <v>83</v>
      </c>
      <c r="D143" s="7">
        <v>51</v>
      </c>
      <c r="E143" s="8">
        <v>496</v>
      </c>
      <c r="F143" s="8">
        <v>967</v>
      </c>
      <c r="G143" s="8">
        <v>338</v>
      </c>
      <c r="H143" s="8">
        <v>403</v>
      </c>
      <c r="I143" s="8">
        <v>818</v>
      </c>
      <c r="J143" s="8">
        <v>231</v>
      </c>
      <c r="K143" s="8">
        <v>234</v>
      </c>
      <c r="L143" s="8">
        <v>217</v>
      </c>
      <c r="M143" s="8">
        <v>75</v>
      </c>
      <c r="N143" s="10">
        <f t="shared" si="2"/>
        <v>0.45614035087719296</v>
      </c>
    </row>
    <row r="144" spans="1:14" ht="15" customHeight="1" x14ac:dyDescent="0.2">
      <c r="A144" s="7">
        <v>2024</v>
      </c>
      <c r="B144" s="7" t="s">
        <v>86</v>
      </c>
      <c r="C144" s="7" t="s">
        <v>87</v>
      </c>
      <c r="D144" s="7">
        <v>52</v>
      </c>
      <c r="E144" s="8">
        <v>1535</v>
      </c>
      <c r="F144" s="8">
        <v>1916</v>
      </c>
      <c r="G144" s="8">
        <v>746</v>
      </c>
      <c r="H144" s="8">
        <v>1258</v>
      </c>
      <c r="I144" s="8">
        <v>1630</v>
      </c>
      <c r="J144" s="8">
        <v>530</v>
      </c>
      <c r="K144" s="8">
        <v>662</v>
      </c>
      <c r="L144" s="8">
        <v>436</v>
      </c>
      <c r="M144" s="8">
        <v>181</v>
      </c>
      <c r="N144" s="10">
        <f t="shared" si="2"/>
        <v>0.3722554890219561</v>
      </c>
    </row>
    <row r="145" spans="1:14" ht="15" customHeight="1" x14ac:dyDescent="0.2">
      <c r="A145" s="7">
        <v>2024</v>
      </c>
      <c r="B145" s="7" t="s">
        <v>88</v>
      </c>
      <c r="C145" s="7" t="s">
        <v>87</v>
      </c>
      <c r="D145" s="7">
        <v>53</v>
      </c>
      <c r="E145" s="8">
        <v>1034</v>
      </c>
      <c r="F145" s="8">
        <v>1418</v>
      </c>
      <c r="G145" s="8">
        <v>754</v>
      </c>
      <c r="H145" s="8">
        <v>737</v>
      </c>
      <c r="I145" s="8">
        <v>1097</v>
      </c>
      <c r="J145" s="8">
        <v>467</v>
      </c>
      <c r="K145" s="8">
        <v>243</v>
      </c>
      <c r="L145" s="8">
        <v>186</v>
      </c>
      <c r="M145" s="8">
        <v>80</v>
      </c>
      <c r="N145" s="10">
        <f t="shared" si="2"/>
        <v>0.50570087189805502</v>
      </c>
    </row>
    <row r="146" spans="1:14" ht="15" customHeight="1" x14ac:dyDescent="0.2">
      <c r="A146" s="7">
        <v>2024</v>
      </c>
      <c r="B146" s="7" t="s">
        <v>89</v>
      </c>
      <c r="C146" s="7" t="s">
        <v>87</v>
      </c>
      <c r="D146" s="7">
        <v>54</v>
      </c>
      <c r="E146" s="8">
        <v>711</v>
      </c>
      <c r="F146" s="8">
        <v>731</v>
      </c>
      <c r="G146" s="8">
        <v>379</v>
      </c>
      <c r="H146" s="8">
        <v>508</v>
      </c>
      <c r="I146" s="8">
        <v>578</v>
      </c>
      <c r="J146" s="8">
        <v>215</v>
      </c>
      <c r="K146" s="8">
        <v>210</v>
      </c>
      <c r="L146" s="8">
        <v>109</v>
      </c>
      <c r="M146" s="8">
        <v>55</v>
      </c>
      <c r="N146" s="10">
        <f t="shared" si="2"/>
        <v>0.42728297632468998</v>
      </c>
    </row>
    <row r="147" spans="1:14" ht="15" customHeight="1" x14ac:dyDescent="0.2">
      <c r="A147" s="7">
        <v>2024</v>
      </c>
      <c r="B147" s="7" t="s">
        <v>59</v>
      </c>
      <c r="C147" s="7" t="s">
        <v>87</v>
      </c>
      <c r="D147" s="7">
        <v>55</v>
      </c>
      <c r="E147" s="8">
        <v>20676</v>
      </c>
      <c r="F147" s="8">
        <v>8669</v>
      </c>
      <c r="G147" s="8">
        <v>8400</v>
      </c>
      <c r="H147" s="8">
        <v>14187</v>
      </c>
      <c r="I147" s="8">
        <v>6308</v>
      </c>
      <c r="J147" s="8">
        <v>4561</v>
      </c>
      <c r="K147" s="8">
        <v>4840</v>
      </c>
      <c r="L147" s="8">
        <v>1647</v>
      </c>
      <c r="M147" s="8">
        <v>1072</v>
      </c>
      <c r="N147" s="10">
        <f t="shared" si="2"/>
        <v>0.37189533802629832</v>
      </c>
    </row>
    <row r="148" spans="1:14" ht="15" customHeight="1" x14ac:dyDescent="0.2">
      <c r="A148" s="7">
        <v>2024</v>
      </c>
      <c r="B148" s="7" t="s">
        <v>90</v>
      </c>
      <c r="C148" s="7" t="s">
        <v>87</v>
      </c>
      <c r="D148" s="7">
        <v>56</v>
      </c>
      <c r="E148" s="8">
        <v>8350</v>
      </c>
      <c r="F148" s="8">
        <v>7081</v>
      </c>
      <c r="G148" s="8">
        <v>3955</v>
      </c>
      <c r="H148" s="8">
        <v>6817</v>
      </c>
      <c r="I148" s="8">
        <v>5980</v>
      </c>
      <c r="J148" s="8">
        <v>2860</v>
      </c>
      <c r="K148" s="8">
        <v>3145</v>
      </c>
      <c r="L148" s="8">
        <v>1756</v>
      </c>
      <c r="M148" s="8">
        <v>912</v>
      </c>
      <c r="N148" s="10">
        <f t="shared" si="2"/>
        <v>0.36715558856294095</v>
      </c>
    </row>
    <row r="149" spans="1:14" ht="15" customHeight="1" x14ac:dyDescent="0.2">
      <c r="A149" s="7">
        <v>2024</v>
      </c>
      <c r="B149" s="7" t="s">
        <v>91</v>
      </c>
      <c r="C149" s="7" t="s">
        <v>87</v>
      </c>
      <c r="D149" s="7">
        <v>57</v>
      </c>
      <c r="E149" s="8">
        <v>1924</v>
      </c>
      <c r="F149" s="8">
        <v>3398</v>
      </c>
      <c r="G149" s="8">
        <v>1197</v>
      </c>
      <c r="H149" s="8">
        <v>1636</v>
      </c>
      <c r="I149" s="8">
        <v>2985</v>
      </c>
      <c r="J149" s="8">
        <v>927</v>
      </c>
      <c r="K149" s="8">
        <v>829</v>
      </c>
      <c r="L149" s="8">
        <v>962</v>
      </c>
      <c r="M149" s="8">
        <v>321</v>
      </c>
      <c r="N149" s="10">
        <f t="shared" si="2"/>
        <v>0.42252029650547124</v>
      </c>
    </row>
    <row r="150" spans="1:14" ht="15" customHeight="1" x14ac:dyDescent="0.2">
      <c r="A150" s="7">
        <v>2024</v>
      </c>
      <c r="B150" s="7" t="s">
        <v>92</v>
      </c>
      <c r="C150" s="7" t="s">
        <v>87</v>
      </c>
      <c r="D150" s="7">
        <v>58</v>
      </c>
      <c r="E150" s="8">
        <v>45</v>
      </c>
      <c r="F150" s="8">
        <v>73</v>
      </c>
      <c r="G150" s="8">
        <v>33</v>
      </c>
      <c r="H150" s="8">
        <v>40</v>
      </c>
      <c r="I150" s="8">
        <v>57</v>
      </c>
      <c r="J150" s="8">
        <v>23</v>
      </c>
      <c r="K150" s="8">
        <v>7</v>
      </c>
      <c r="L150" s="8">
        <v>8</v>
      </c>
      <c r="M150" s="8">
        <v>3</v>
      </c>
      <c r="N150" s="10">
        <f t="shared" si="2"/>
        <v>0.45205479452054792</v>
      </c>
    </row>
    <row r="151" spans="1:14" ht="15" customHeight="1" x14ac:dyDescent="0.2">
      <c r="A151" s="7">
        <v>2024</v>
      </c>
      <c r="B151" s="7" t="s">
        <v>93</v>
      </c>
      <c r="C151" s="7" t="s">
        <v>87</v>
      </c>
      <c r="D151" s="7">
        <v>59</v>
      </c>
      <c r="E151" s="8">
        <v>1386</v>
      </c>
      <c r="F151" s="8">
        <v>1924</v>
      </c>
      <c r="G151" s="8">
        <v>737</v>
      </c>
      <c r="H151" s="8">
        <v>1165</v>
      </c>
      <c r="I151" s="8">
        <v>1667</v>
      </c>
      <c r="J151" s="8">
        <v>520</v>
      </c>
      <c r="K151" s="8">
        <v>518</v>
      </c>
      <c r="L151" s="8">
        <v>437</v>
      </c>
      <c r="M151" s="8">
        <v>159</v>
      </c>
      <c r="N151" s="10">
        <f t="shared" si="2"/>
        <v>0.38748685594111459</v>
      </c>
    </row>
    <row r="152" spans="1:14" ht="15" customHeight="1" x14ac:dyDescent="0.2">
      <c r="A152" s="7">
        <v>2024</v>
      </c>
      <c r="B152" s="7" t="s">
        <v>94</v>
      </c>
      <c r="C152" s="7" t="s">
        <v>87</v>
      </c>
      <c r="D152" s="7">
        <v>60</v>
      </c>
      <c r="E152" s="8">
        <v>198</v>
      </c>
      <c r="F152" s="8">
        <v>311</v>
      </c>
      <c r="G152" s="8">
        <v>159</v>
      </c>
      <c r="H152" s="8">
        <v>158</v>
      </c>
      <c r="I152" s="8">
        <v>258</v>
      </c>
      <c r="J152" s="8">
        <v>100</v>
      </c>
      <c r="K152" s="8">
        <v>50</v>
      </c>
      <c r="L152" s="8">
        <v>23</v>
      </c>
      <c r="M152" s="8">
        <v>15</v>
      </c>
      <c r="N152" s="10">
        <f t="shared" si="2"/>
        <v>0.50157728706624605</v>
      </c>
    </row>
    <row r="153" spans="1:14" ht="15" customHeight="1" x14ac:dyDescent="0.2">
      <c r="A153" s="7">
        <v>2024</v>
      </c>
      <c r="B153" s="7" t="s">
        <v>95</v>
      </c>
      <c r="C153" s="7" t="s">
        <v>87</v>
      </c>
      <c r="D153" s="7">
        <v>61</v>
      </c>
      <c r="E153" s="8">
        <v>9301</v>
      </c>
      <c r="F153" s="8">
        <v>3243</v>
      </c>
      <c r="G153" s="8">
        <v>3912</v>
      </c>
      <c r="H153" s="8">
        <v>6375</v>
      </c>
      <c r="I153" s="8">
        <v>2297</v>
      </c>
      <c r="J153" s="8">
        <v>2140</v>
      </c>
      <c r="K153" s="8">
        <v>1863</v>
      </c>
      <c r="L153" s="8">
        <v>493</v>
      </c>
      <c r="M153" s="8">
        <v>494</v>
      </c>
      <c r="N153" s="10">
        <f t="shared" si="2"/>
        <v>0.38028579760863224</v>
      </c>
    </row>
    <row r="154" spans="1:14" ht="15" customHeight="1" x14ac:dyDescent="0.2">
      <c r="A154" s="7">
        <v>2024</v>
      </c>
      <c r="B154" s="7" t="s">
        <v>96</v>
      </c>
      <c r="C154" s="7" t="s">
        <v>87</v>
      </c>
      <c r="D154" s="7">
        <v>62</v>
      </c>
      <c r="E154" s="8">
        <v>5113</v>
      </c>
      <c r="F154" s="8">
        <v>4693</v>
      </c>
      <c r="G154" s="8">
        <v>2709</v>
      </c>
      <c r="H154" s="8">
        <v>4202</v>
      </c>
      <c r="I154" s="8">
        <v>3964</v>
      </c>
      <c r="J154" s="8">
        <v>1991</v>
      </c>
      <c r="K154" s="8">
        <v>2136</v>
      </c>
      <c r="L154" s="8">
        <v>1434</v>
      </c>
      <c r="M154" s="8">
        <v>687</v>
      </c>
      <c r="N154" s="10">
        <f t="shared" si="2"/>
        <v>0.39198379395167127</v>
      </c>
    </row>
    <row r="155" spans="1:14" ht="15" customHeight="1" x14ac:dyDescent="0.2">
      <c r="A155" s="7">
        <v>2024</v>
      </c>
      <c r="B155" s="7" t="s">
        <v>97</v>
      </c>
      <c r="C155" s="7" t="s">
        <v>87</v>
      </c>
      <c r="D155" s="7">
        <v>63</v>
      </c>
      <c r="E155" s="8">
        <v>916</v>
      </c>
      <c r="F155" s="8">
        <v>438</v>
      </c>
      <c r="G155" s="8">
        <v>436</v>
      </c>
      <c r="H155" s="8">
        <v>605</v>
      </c>
      <c r="I155" s="8">
        <v>313</v>
      </c>
      <c r="J155" s="8">
        <v>238</v>
      </c>
      <c r="K155" s="8">
        <v>193</v>
      </c>
      <c r="L155" s="8">
        <v>56</v>
      </c>
      <c r="M155" s="8">
        <v>32</v>
      </c>
      <c r="N155" s="10">
        <f t="shared" si="2"/>
        <v>0.41882804995196926</v>
      </c>
    </row>
    <row r="156" spans="1:14" ht="15" customHeight="1" x14ac:dyDescent="0.2">
      <c r="A156" s="7">
        <v>2024</v>
      </c>
      <c r="B156" s="7" t="s">
        <v>98</v>
      </c>
      <c r="C156" s="7" t="s">
        <v>87</v>
      </c>
      <c r="D156" s="7">
        <v>64</v>
      </c>
      <c r="E156" s="8">
        <v>110</v>
      </c>
      <c r="F156" s="8">
        <v>101</v>
      </c>
      <c r="G156" s="8">
        <v>47</v>
      </c>
      <c r="H156" s="8">
        <v>90</v>
      </c>
      <c r="I156" s="8">
        <v>82</v>
      </c>
      <c r="J156" s="8">
        <v>28</v>
      </c>
      <c r="K156" s="8">
        <v>38</v>
      </c>
      <c r="L156" s="8">
        <v>18</v>
      </c>
      <c r="M156" s="8">
        <v>5</v>
      </c>
      <c r="N156" s="10">
        <f t="shared" si="2"/>
        <v>0.34306569343065696</v>
      </c>
    </row>
    <row r="157" spans="1:14" ht="15" customHeight="1" x14ac:dyDescent="0.2">
      <c r="A157" s="7">
        <v>2024</v>
      </c>
      <c r="B157" s="7" t="s">
        <v>65</v>
      </c>
      <c r="C157" s="7" t="s">
        <v>87</v>
      </c>
      <c r="D157" s="7">
        <v>65</v>
      </c>
      <c r="E157" s="8">
        <v>4033</v>
      </c>
      <c r="F157" s="8">
        <v>3434</v>
      </c>
      <c r="G157" s="8">
        <v>1734</v>
      </c>
      <c r="H157" s="8">
        <v>3409</v>
      </c>
      <c r="I157" s="8">
        <v>2943</v>
      </c>
      <c r="J157" s="8">
        <v>1322</v>
      </c>
      <c r="K157" s="8">
        <v>1601</v>
      </c>
      <c r="L157" s="8">
        <v>884</v>
      </c>
      <c r="M157" s="8">
        <v>456</v>
      </c>
      <c r="N157" s="10">
        <f t="shared" si="2"/>
        <v>0.33715730118607817</v>
      </c>
    </row>
    <row r="158" spans="1:14" ht="15" customHeight="1" x14ac:dyDescent="0.2">
      <c r="A158" s="7">
        <v>2024</v>
      </c>
      <c r="B158" s="7" t="s">
        <v>99</v>
      </c>
      <c r="C158" s="7" t="s">
        <v>87</v>
      </c>
      <c r="D158" s="7">
        <v>66</v>
      </c>
      <c r="E158" s="8">
        <v>1782</v>
      </c>
      <c r="F158" s="8">
        <v>1626</v>
      </c>
      <c r="G158" s="8">
        <v>831</v>
      </c>
      <c r="H158" s="8">
        <v>1426</v>
      </c>
      <c r="I158" s="8">
        <v>1300</v>
      </c>
      <c r="J158" s="8">
        <v>556</v>
      </c>
      <c r="K158" s="8">
        <v>529</v>
      </c>
      <c r="L158" s="8">
        <v>234</v>
      </c>
      <c r="M158" s="8">
        <v>114</v>
      </c>
      <c r="N158" s="10">
        <f t="shared" si="2"/>
        <v>0.36818785999113868</v>
      </c>
    </row>
    <row r="159" spans="1:14" ht="15" customHeight="1" x14ac:dyDescent="0.2">
      <c r="A159" s="7">
        <v>2024</v>
      </c>
      <c r="B159" s="7" t="s">
        <v>57</v>
      </c>
      <c r="C159" s="7" t="s">
        <v>87</v>
      </c>
      <c r="D159" s="7">
        <v>67</v>
      </c>
      <c r="E159" s="8">
        <v>2397</v>
      </c>
      <c r="F159" s="8">
        <v>4226</v>
      </c>
      <c r="G159" s="8">
        <v>1284</v>
      </c>
      <c r="H159" s="8">
        <v>1991</v>
      </c>
      <c r="I159" s="8">
        <v>3634</v>
      </c>
      <c r="J159" s="8">
        <v>928</v>
      </c>
      <c r="K159" s="8">
        <v>839</v>
      </c>
      <c r="L159" s="8">
        <v>651</v>
      </c>
      <c r="M159" s="8">
        <v>204</v>
      </c>
      <c r="N159" s="10">
        <f t="shared" si="2"/>
        <v>0.39206106870229007</v>
      </c>
    </row>
    <row r="160" spans="1:14" ht="15" customHeight="1" x14ac:dyDescent="0.2">
      <c r="A160" s="7">
        <v>2024</v>
      </c>
      <c r="B160" s="7" t="s">
        <v>100</v>
      </c>
      <c r="C160" s="7" t="s">
        <v>87</v>
      </c>
      <c r="D160" s="7">
        <v>68</v>
      </c>
      <c r="E160" s="8">
        <v>619</v>
      </c>
      <c r="F160" s="8">
        <v>1190</v>
      </c>
      <c r="G160" s="8">
        <v>407</v>
      </c>
      <c r="H160" s="8">
        <v>513</v>
      </c>
      <c r="I160" s="8">
        <v>1024</v>
      </c>
      <c r="J160" s="8">
        <v>284</v>
      </c>
      <c r="K160" s="8">
        <v>204</v>
      </c>
      <c r="L160" s="8">
        <v>220</v>
      </c>
      <c r="M160" s="8">
        <v>59</v>
      </c>
      <c r="N160" s="10">
        <f t="shared" si="2"/>
        <v>0.44239130434782609</v>
      </c>
    </row>
    <row r="161" spans="1:14" ht="15" customHeight="1" x14ac:dyDescent="0.2">
      <c r="A161" s="7">
        <v>2024</v>
      </c>
      <c r="B161" s="7" t="s">
        <v>101</v>
      </c>
      <c r="C161" s="7" t="s">
        <v>87</v>
      </c>
      <c r="D161" s="7">
        <v>69</v>
      </c>
      <c r="E161" s="8">
        <v>1849</v>
      </c>
      <c r="F161" s="8">
        <v>2411</v>
      </c>
      <c r="G161" s="8">
        <v>967</v>
      </c>
      <c r="H161" s="8">
        <v>1596</v>
      </c>
      <c r="I161" s="8">
        <v>2124</v>
      </c>
      <c r="J161" s="8">
        <v>756</v>
      </c>
      <c r="K161" s="8">
        <v>818</v>
      </c>
      <c r="L161" s="8">
        <v>711</v>
      </c>
      <c r="M161" s="8">
        <v>296</v>
      </c>
      <c r="N161" s="10">
        <f t="shared" si="2"/>
        <v>0.37729223566133435</v>
      </c>
    </row>
    <row r="162" spans="1:14" ht="15" customHeight="1" x14ac:dyDescent="0.2">
      <c r="A162" s="7">
        <v>2024</v>
      </c>
      <c r="B162" s="7" t="s">
        <v>102</v>
      </c>
      <c r="C162" s="7" t="s">
        <v>87</v>
      </c>
      <c r="D162" s="7">
        <v>70</v>
      </c>
      <c r="E162" s="8">
        <v>3127</v>
      </c>
      <c r="F162" s="8">
        <v>3760</v>
      </c>
      <c r="G162" s="8">
        <v>1597</v>
      </c>
      <c r="H162" s="8">
        <v>2638</v>
      </c>
      <c r="I162" s="8">
        <v>3259</v>
      </c>
      <c r="J162" s="8">
        <v>1192</v>
      </c>
      <c r="K162" s="8">
        <v>1193</v>
      </c>
      <c r="L162" s="8">
        <v>802</v>
      </c>
      <c r="M162" s="8">
        <v>351</v>
      </c>
      <c r="N162" s="10">
        <f t="shared" si="2"/>
        <v>0.37709563164108617</v>
      </c>
    </row>
    <row r="163" spans="1:14" ht="15" customHeight="1" x14ac:dyDescent="0.2">
      <c r="A163" s="7">
        <v>2024</v>
      </c>
      <c r="B163" s="7" t="s">
        <v>103</v>
      </c>
      <c r="C163" s="7" t="s">
        <v>87</v>
      </c>
      <c r="D163" s="7">
        <v>71</v>
      </c>
      <c r="E163" s="8">
        <v>1928</v>
      </c>
      <c r="F163" s="8">
        <v>3964</v>
      </c>
      <c r="G163" s="8">
        <v>1143</v>
      </c>
      <c r="H163" s="8">
        <v>1630</v>
      </c>
      <c r="I163" s="8">
        <v>3463</v>
      </c>
      <c r="J163" s="8">
        <v>845</v>
      </c>
      <c r="K163" s="8">
        <v>790</v>
      </c>
      <c r="L163" s="8">
        <v>815</v>
      </c>
      <c r="M163" s="8">
        <v>223</v>
      </c>
      <c r="N163" s="10">
        <f t="shared" si="2"/>
        <v>0.4121889650198341</v>
      </c>
    </row>
    <row r="164" spans="1:14" ht="15" customHeight="1" x14ac:dyDescent="0.2">
      <c r="A164" s="7">
        <v>2024</v>
      </c>
      <c r="B164" s="7" t="s">
        <v>104</v>
      </c>
      <c r="C164" s="7" t="s">
        <v>87</v>
      </c>
      <c r="D164" s="7">
        <v>72</v>
      </c>
      <c r="E164" s="8">
        <v>1628</v>
      </c>
      <c r="F164" s="8">
        <v>1667</v>
      </c>
      <c r="G164" s="8">
        <v>786</v>
      </c>
      <c r="H164" s="8">
        <v>1314</v>
      </c>
      <c r="I164" s="8">
        <v>1372</v>
      </c>
      <c r="J164" s="8">
        <v>509</v>
      </c>
      <c r="K164" s="8">
        <v>512</v>
      </c>
      <c r="L164" s="8">
        <v>302</v>
      </c>
      <c r="M164" s="8">
        <v>115</v>
      </c>
      <c r="N164" s="10">
        <f t="shared" si="2"/>
        <v>0.37428571428571428</v>
      </c>
    </row>
    <row r="165" spans="1:14" ht="15" customHeight="1" x14ac:dyDescent="0.2">
      <c r="A165" s="7">
        <v>2024</v>
      </c>
      <c r="B165" s="7" t="s">
        <v>105</v>
      </c>
      <c r="C165" s="7" t="s">
        <v>87</v>
      </c>
      <c r="D165" s="7">
        <v>73</v>
      </c>
      <c r="E165" s="8">
        <v>942</v>
      </c>
      <c r="F165" s="8">
        <v>863</v>
      </c>
      <c r="G165" s="8">
        <v>402</v>
      </c>
      <c r="H165" s="8">
        <v>739</v>
      </c>
      <c r="I165" s="8">
        <v>696</v>
      </c>
      <c r="J165" s="8">
        <v>253</v>
      </c>
      <c r="K165" s="8">
        <v>205</v>
      </c>
      <c r="L165" s="8">
        <v>115</v>
      </c>
      <c r="M165" s="8">
        <v>39</v>
      </c>
      <c r="N165" s="10">
        <f t="shared" si="2"/>
        <v>0.3523225241016652</v>
      </c>
    </row>
    <row r="166" spans="1:14" ht="15" customHeight="1" x14ac:dyDescent="0.2">
      <c r="A166" s="7">
        <v>2024</v>
      </c>
      <c r="B166" s="7" t="s">
        <v>87</v>
      </c>
      <c r="C166" s="7" t="s">
        <v>87</v>
      </c>
      <c r="D166" s="7">
        <v>74</v>
      </c>
      <c r="E166" s="8">
        <v>2853</v>
      </c>
      <c r="F166" s="8">
        <v>2827</v>
      </c>
      <c r="G166" s="8">
        <v>1380</v>
      </c>
      <c r="H166" s="8">
        <v>2241</v>
      </c>
      <c r="I166" s="8">
        <v>2308</v>
      </c>
      <c r="J166" s="8">
        <v>856</v>
      </c>
      <c r="K166" s="8">
        <v>839</v>
      </c>
      <c r="L166" s="8">
        <v>426</v>
      </c>
      <c r="M166" s="8">
        <v>193</v>
      </c>
      <c r="N166" s="10">
        <f t="shared" si="2"/>
        <v>0.38111019055509526</v>
      </c>
    </row>
    <row r="167" spans="1:14" ht="15" customHeight="1" x14ac:dyDescent="0.2">
      <c r="A167" s="7">
        <v>2024</v>
      </c>
      <c r="B167" s="7" t="s">
        <v>106</v>
      </c>
      <c r="C167" s="7" t="s">
        <v>87</v>
      </c>
      <c r="D167" s="7">
        <v>75</v>
      </c>
      <c r="E167" s="8">
        <v>7021</v>
      </c>
      <c r="F167" s="8">
        <v>6345</v>
      </c>
      <c r="G167" s="8">
        <v>3438</v>
      </c>
      <c r="H167" s="8">
        <v>5777</v>
      </c>
      <c r="I167" s="8">
        <v>5368</v>
      </c>
      <c r="J167" s="8">
        <v>2417</v>
      </c>
      <c r="K167" s="8">
        <v>3012</v>
      </c>
      <c r="L167" s="8">
        <v>1892</v>
      </c>
      <c r="M167" s="8">
        <v>879</v>
      </c>
      <c r="N167" s="10">
        <f t="shared" si="2"/>
        <v>0.37308735756918071</v>
      </c>
    </row>
    <row r="168" spans="1:14" ht="15" customHeight="1" x14ac:dyDescent="0.2">
      <c r="A168" s="7">
        <v>2024</v>
      </c>
      <c r="B168" s="7" t="s">
        <v>107</v>
      </c>
      <c r="C168" s="7" t="s">
        <v>87</v>
      </c>
      <c r="D168" s="7">
        <v>76</v>
      </c>
      <c r="E168" s="8">
        <v>730</v>
      </c>
      <c r="F168" s="8">
        <v>1145</v>
      </c>
      <c r="G168" s="8">
        <v>450</v>
      </c>
      <c r="H168" s="8">
        <v>569</v>
      </c>
      <c r="I168" s="8">
        <v>957</v>
      </c>
      <c r="J168" s="8">
        <v>297</v>
      </c>
      <c r="K168" s="8">
        <v>184</v>
      </c>
      <c r="L168" s="8">
        <v>152</v>
      </c>
      <c r="M168" s="8">
        <v>46</v>
      </c>
      <c r="N168" s="10">
        <f t="shared" si="2"/>
        <v>0.44160942100098133</v>
      </c>
    </row>
    <row r="169" spans="1:14" ht="15" customHeight="1" x14ac:dyDescent="0.2">
      <c r="A169" s="7">
        <v>2024</v>
      </c>
      <c r="B169" s="7" t="s">
        <v>108</v>
      </c>
      <c r="C169" s="7" t="s">
        <v>87</v>
      </c>
      <c r="D169" s="7">
        <v>77</v>
      </c>
      <c r="E169" s="8">
        <v>1296</v>
      </c>
      <c r="F169" s="8">
        <v>2490</v>
      </c>
      <c r="G169" s="8">
        <v>862</v>
      </c>
      <c r="H169" s="8">
        <v>1060</v>
      </c>
      <c r="I169" s="8">
        <v>2202</v>
      </c>
      <c r="J169" s="8">
        <v>608</v>
      </c>
      <c r="K169" s="8">
        <v>443</v>
      </c>
      <c r="L169" s="8">
        <v>419</v>
      </c>
      <c r="M169" s="8">
        <v>134</v>
      </c>
      <c r="N169" s="10">
        <f t="shared" si="2"/>
        <v>0.44849115504682624</v>
      </c>
    </row>
    <row r="170" spans="1:14" ht="15" customHeight="1" x14ac:dyDescent="0.2">
      <c r="A170" s="7">
        <v>2024</v>
      </c>
      <c r="B170" s="7" t="s">
        <v>109</v>
      </c>
      <c r="C170" s="7" t="s">
        <v>87</v>
      </c>
      <c r="D170" s="7">
        <v>78</v>
      </c>
      <c r="E170" s="8">
        <v>80</v>
      </c>
      <c r="F170" s="8">
        <v>175</v>
      </c>
      <c r="G170" s="8">
        <v>82</v>
      </c>
      <c r="H170" s="8">
        <v>52</v>
      </c>
      <c r="I170" s="8">
        <v>135</v>
      </c>
      <c r="J170" s="8">
        <v>50</v>
      </c>
      <c r="K170" s="8">
        <v>18</v>
      </c>
      <c r="L170" s="8">
        <v>12</v>
      </c>
      <c r="M170" s="8">
        <v>7</v>
      </c>
      <c r="N170" s="10">
        <f t="shared" si="2"/>
        <v>0.61194029850746268</v>
      </c>
    </row>
    <row r="171" spans="1:14" ht="15" customHeight="1" x14ac:dyDescent="0.2">
      <c r="A171" s="7">
        <v>2024</v>
      </c>
      <c r="B171" s="7" t="s">
        <v>110</v>
      </c>
      <c r="C171" s="7" t="s">
        <v>87</v>
      </c>
      <c r="D171" s="7">
        <v>79</v>
      </c>
      <c r="E171" s="8">
        <v>377</v>
      </c>
      <c r="F171" s="8">
        <v>529</v>
      </c>
      <c r="G171" s="8">
        <v>242</v>
      </c>
      <c r="H171" s="8">
        <v>299</v>
      </c>
      <c r="I171" s="8">
        <v>466</v>
      </c>
      <c r="J171" s="8">
        <v>153</v>
      </c>
      <c r="K171" s="8">
        <v>94</v>
      </c>
      <c r="L171" s="8">
        <v>65</v>
      </c>
      <c r="M171" s="8">
        <v>29</v>
      </c>
      <c r="N171" s="10">
        <f t="shared" si="2"/>
        <v>0.44731977818853974</v>
      </c>
    </row>
    <row r="172" spans="1:14" ht="15" customHeight="1" x14ac:dyDescent="0.2">
      <c r="A172" s="7">
        <v>2024</v>
      </c>
      <c r="B172" s="7" t="s">
        <v>111</v>
      </c>
      <c r="C172" s="7" t="s">
        <v>87</v>
      </c>
      <c r="D172" s="7">
        <v>80</v>
      </c>
      <c r="E172" s="8">
        <v>205</v>
      </c>
      <c r="F172" s="8">
        <v>286</v>
      </c>
      <c r="G172" s="8">
        <v>121</v>
      </c>
      <c r="H172" s="8">
        <v>172</v>
      </c>
      <c r="I172" s="8">
        <v>245</v>
      </c>
      <c r="J172" s="8">
        <v>89</v>
      </c>
      <c r="K172" s="8">
        <v>57</v>
      </c>
      <c r="L172" s="8">
        <v>38</v>
      </c>
      <c r="M172" s="8">
        <v>17</v>
      </c>
      <c r="N172" s="10">
        <f t="shared" si="2"/>
        <v>0.41296928327645049</v>
      </c>
    </row>
    <row r="173" spans="1:14" ht="15" customHeight="1" x14ac:dyDescent="0.2">
      <c r="A173" s="7">
        <v>2024</v>
      </c>
      <c r="B173" s="7" t="s">
        <v>112</v>
      </c>
      <c r="C173" s="7" t="s">
        <v>87</v>
      </c>
      <c r="D173" s="7">
        <v>81</v>
      </c>
      <c r="E173" s="8">
        <v>310</v>
      </c>
      <c r="F173" s="8">
        <v>395</v>
      </c>
      <c r="G173" s="8">
        <v>232</v>
      </c>
      <c r="H173" s="8">
        <v>258</v>
      </c>
      <c r="I173" s="8">
        <v>348</v>
      </c>
      <c r="J173" s="8">
        <v>164</v>
      </c>
      <c r="K173" s="8">
        <v>82</v>
      </c>
      <c r="L173" s="8">
        <v>64</v>
      </c>
      <c r="M173" s="8">
        <v>32</v>
      </c>
      <c r="N173" s="10">
        <f t="shared" si="2"/>
        <v>0.47346938775510206</v>
      </c>
    </row>
    <row r="174" spans="1:14" ht="15" customHeight="1" x14ac:dyDescent="0.2">
      <c r="A174" s="7">
        <v>2024</v>
      </c>
      <c r="B174" s="7" t="s">
        <v>113</v>
      </c>
      <c r="C174" s="7" t="s">
        <v>87</v>
      </c>
      <c r="D174" s="7">
        <v>82</v>
      </c>
      <c r="E174" s="8">
        <v>1188</v>
      </c>
      <c r="F174" s="8">
        <v>2742</v>
      </c>
      <c r="G174" s="8">
        <v>896</v>
      </c>
      <c r="H174" s="8">
        <v>984</v>
      </c>
      <c r="I174" s="8">
        <v>2329</v>
      </c>
      <c r="J174" s="8">
        <v>626</v>
      </c>
      <c r="K174" s="8">
        <v>364</v>
      </c>
      <c r="L174" s="8">
        <v>398</v>
      </c>
      <c r="M174" s="8">
        <v>131</v>
      </c>
      <c r="N174" s="10">
        <f t="shared" si="2"/>
        <v>0.47659574468085109</v>
      </c>
    </row>
    <row r="175" spans="1:14" ht="15" customHeight="1" x14ac:dyDescent="0.2">
      <c r="A175" s="7">
        <v>2024</v>
      </c>
      <c r="B175" s="7" t="s">
        <v>114</v>
      </c>
      <c r="C175" s="7" t="s">
        <v>87</v>
      </c>
      <c r="D175" s="7">
        <v>83</v>
      </c>
      <c r="E175" s="8">
        <v>1786</v>
      </c>
      <c r="F175" s="8">
        <v>2126</v>
      </c>
      <c r="G175" s="8">
        <v>1049</v>
      </c>
      <c r="H175" s="8">
        <v>1501</v>
      </c>
      <c r="I175" s="8">
        <v>1814</v>
      </c>
      <c r="J175" s="8">
        <v>782</v>
      </c>
      <c r="K175" s="8">
        <v>820</v>
      </c>
      <c r="L175" s="8">
        <v>628</v>
      </c>
      <c r="M175" s="8">
        <v>320</v>
      </c>
      <c r="N175" s="10">
        <f t="shared" si="2"/>
        <v>0.41137254901960785</v>
      </c>
    </row>
    <row r="176" spans="1:14" ht="15" customHeight="1" x14ac:dyDescent="0.2">
      <c r="A176" s="7">
        <v>2024</v>
      </c>
      <c r="B176" s="7" t="s">
        <v>115</v>
      </c>
      <c r="C176" s="7" t="s">
        <v>87</v>
      </c>
      <c r="D176" s="7">
        <v>84</v>
      </c>
      <c r="E176" s="8">
        <v>446</v>
      </c>
      <c r="F176" s="8">
        <v>653</v>
      </c>
      <c r="G176" s="8">
        <v>280</v>
      </c>
      <c r="H176" s="8">
        <v>343</v>
      </c>
      <c r="I176" s="8">
        <v>524</v>
      </c>
      <c r="J176" s="8">
        <v>166</v>
      </c>
      <c r="K176" s="8">
        <v>118</v>
      </c>
      <c r="L176" s="8">
        <v>70</v>
      </c>
      <c r="M176" s="8">
        <v>33</v>
      </c>
      <c r="N176" s="10">
        <f t="shared" si="2"/>
        <v>0.449438202247191</v>
      </c>
    </row>
    <row r="177" spans="1:14" ht="15" customHeight="1" x14ac:dyDescent="0.2">
      <c r="A177" s="7">
        <v>2024</v>
      </c>
      <c r="B177" s="7" t="s">
        <v>79</v>
      </c>
      <c r="C177" s="7" t="s">
        <v>87</v>
      </c>
      <c r="D177" s="7">
        <v>85</v>
      </c>
      <c r="E177" s="8">
        <v>1000</v>
      </c>
      <c r="F177" s="8">
        <v>1994</v>
      </c>
      <c r="G177" s="8">
        <v>704</v>
      </c>
      <c r="H177" s="8">
        <v>830</v>
      </c>
      <c r="I177" s="8">
        <v>1760</v>
      </c>
      <c r="J177" s="8">
        <v>497</v>
      </c>
      <c r="K177" s="8">
        <v>407</v>
      </c>
      <c r="L177" s="8">
        <v>369</v>
      </c>
      <c r="M177" s="8">
        <v>143</v>
      </c>
      <c r="N177" s="10">
        <f t="shared" si="2"/>
        <v>0.45893089960886568</v>
      </c>
    </row>
    <row r="178" spans="1:14" ht="15" customHeight="1" x14ac:dyDescent="0.2">
      <c r="A178" s="7">
        <v>2024</v>
      </c>
      <c r="B178" s="7" t="s">
        <v>117</v>
      </c>
      <c r="C178" s="7" t="s">
        <v>87</v>
      </c>
      <c r="D178" s="7">
        <v>86</v>
      </c>
      <c r="E178" s="8">
        <v>321</v>
      </c>
      <c r="F178" s="8">
        <v>320</v>
      </c>
      <c r="G178" s="8">
        <v>164</v>
      </c>
      <c r="H178" s="8">
        <v>246</v>
      </c>
      <c r="I178" s="8">
        <v>255</v>
      </c>
      <c r="J178" s="8">
        <v>96</v>
      </c>
      <c r="K178" s="8">
        <v>74</v>
      </c>
      <c r="L178" s="8">
        <v>37</v>
      </c>
      <c r="M178" s="8">
        <v>18</v>
      </c>
      <c r="N178" s="10">
        <f t="shared" si="2"/>
        <v>0.4</v>
      </c>
    </row>
    <row r="179" spans="1:14" ht="15" customHeight="1" x14ac:dyDescent="0.2">
      <c r="A179" s="7">
        <v>2024</v>
      </c>
      <c r="B179" s="7" t="s">
        <v>118</v>
      </c>
      <c r="C179" s="7" t="s">
        <v>87</v>
      </c>
      <c r="D179" s="7">
        <v>87</v>
      </c>
      <c r="E179" s="8">
        <v>1681</v>
      </c>
      <c r="F179" s="8">
        <v>2326</v>
      </c>
      <c r="G179" s="8">
        <v>1119</v>
      </c>
      <c r="H179" s="8">
        <v>1383</v>
      </c>
      <c r="I179" s="8">
        <v>1975</v>
      </c>
      <c r="J179" s="8">
        <v>839</v>
      </c>
      <c r="K179" s="8">
        <v>589</v>
      </c>
      <c r="L179" s="8">
        <v>552</v>
      </c>
      <c r="M179" s="8">
        <v>245</v>
      </c>
      <c r="N179" s="10">
        <f t="shared" si="2"/>
        <v>0.44724220623501199</v>
      </c>
    </row>
    <row r="180" spans="1:14" ht="15" customHeight="1" x14ac:dyDescent="0.2">
      <c r="A180" s="7">
        <v>2024</v>
      </c>
      <c r="B180" s="7" t="s">
        <v>119</v>
      </c>
      <c r="C180" s="7" t="s">
        <v>87</v>
      </c>
      <c r="D180" s="7">
        <v>88</v>
      </c>
      <c r="E180" s="8">
        <v>2257</v>
      </c>
      <c r="F180" s="8">
        <v>1408</v>
      </c>
      <c r="G180" s="8">
        <v>1139</v>
      </c>
      <c r="H180" s="8">
        <v>1645</v>
      </c>
      <c r="I180" s="8">
        <v>1079</v>
      </c>
      <c r="J180" s="8">
        <v>619</v>
      </c>
      <c r="K180" s="8">
        <v>620</v>
      </c>
      <c r="L180" s="8">
        <v>248</v>
      </c>
      <c r="M180" s="8">
        <v>150</v>
      </c>
      <c r="N180" s="10">
        <f t="shared" si="2"/>
        <v>0.40912356321839083</v>
      </c>
    </row>
    <row r="181" spans="1:14" ht="15" customHeight="1" x14ac:dyDescent="0.2">
      <c r="A181" s="7">
        <v>2024</v>
      </c>
      <c r="B181" s="7" t="s">
        <v>120</v>
      </c>
      <c r="C181" s="7" t="s">
        <v>87</v>
      </c>
      <c r="D181" s="7">
        <v>89</v>
      </c>
      <c r="E181" s="8">
        <v>718</v>
      </c>
      <c r="F181" s="8">
        <v>937</v>
      </c>
      <c r="G181" s="8">
        <v>388</v>
      </c>
      <c r="H181" s="8">
        <v>516</v>
      </c>
      <c r="I181" s="8">
        <v>727</v>
      </c>
      <c r="J181" s="8">
        <v>215</v>
      </c>
      <c r="K181" s="8">
        <v>212</v>
      </c>
      <c r="L181" s="8">
        <v>173</v>
      </c>
      <c r="M181" s="8">
        <v>46</v>
      </c>
      <c r="N181" s="10">
        <f t="shared" si="2"/>
        <v>0.42920353982300885</v>
      </c>
    </row>
    <row r="182" spans="1:14" ht="15" customHeight="1" x14ac:dyDescent="0.2">
      <c r="A182" s="7">
        <v>2022</v>
      </c>
      <c r="B182" s="7" t="s">
        <v>30</v>
      </c>
      <c r="C182" s="7" t="s">
        <v>31</v>
      </c>
      <c r="D182" s="7">
        <v>1</v>
      </c>
      <c r="E182" s="8">
        <v>259</v>
      </c>
      <c r="F182" s="8">
        <v>213</v>
      </c>
      <c r="G182" s="8">
        <v>78</v>
      </c>
      <c r="H182" s="8">
        <v>160</v>
      </c>
      <c r="I182" s="8">
        <v>147</v>
      </c>
      <c r="J182" s="8">
        <v>29</v>
      </c>
      <c r="K182" s="8">
        <v>27</v>
      </c>
      <c r="L182" s="8">
        <v>10</v>
      </c>
      <c r="M182" s="8">
        <v>1</v>
      </c>
      <c r="N182" s="10">
        <f t="shared" si="2"/>
        <v>0.32773109243697479</v>
      </c>
    </row>
    <row r="183" spans="1:14" ht="15" customHeight="1" x14ac:dyDescent="0.2">
      <c r="A183" s="7">
        <v>2022</v>
      </c>
      <c r="B183" s="7" t="s">
        <v>34</v>
      </c>
      <c r="C183" s="7" t="s">
        <v>31</v>
      </c>
      <c r="D183" s="7">
        <v>2</v>
      </c>
      <c r="E183" s="8">
        <v>156</v>
      </c>
      <c r="F183" s="8">
        <v>264</v>
      </c>
      <c r="G183" s="8">
        <v>84</v>
      </c>
      <c r="H183" s="8">
        <v>76</v>
      </c>
      <c r="I183" s="8">
        <v>173</v>
      </c>
      <c r="J183" s="8">
        <v>28</v>
      </c>
      <c r="K183" s="8">
        <v>9</v>
      </c>
      <c r="L183" s="8">
        <v>5</v>
      </c>
      <c r="M183" s="8">
        <v>4</v>
      </c>
      <c r="N183" s="10">
        <f t="shared" si="2"/>
        <v>0.52500000000000002</v>
      </c>
    </row>
    <row r="184" spans="1:14" ht="15" customHeight="1" x14ac:dyDescent="0.2">
      <c r="A184" s="7">
        <v>2022</v>
      </c>
      <c r="B184" s="7" t="s">
        <v>35</v>
      </c>
      <c r="C184" s="7" t="s">
        <v>31</v>
      </c>
      <c r="D184" s="7">
        <v>3</v>
      </c>
      <c r="E184" s="8">
        <v>149</v>
      </c>
      <c r="F184" s="8">
        <v>278</v>
      </c>
      <c r="G184" s="8">
        <v>71</v>
      </c>
      <c r="H184" s="8">
        <v>111</v>
      </c>
      <c r="I184" s="8">
        <v>177</v>
      </c>
      <c r="J184" s="8">
        <v>32</v>
      </c>
      <c r="K184" s="8">
        <v>21</v>
      </c>
      <c r="L184" s="8">
        <v>11</v>
      </c>
      <c r="M184" s="8">
        <v>2</v>
      </c>
      <c r="N184" s="10">
        <f t="shared" si="2"/>
        <v>0.39010989010989011</v>
      </c>
    </row>
    <row r="185" spans="1:14" ht="15" customHeight="1" x14ac:dyDescent="0.2">
      <c r="A185" s="7">
        <v>2022</v>
      </c>
      <c r="B185" s="7" t="s">
        <v>36</v>
      </c>
      <c r="C185" s="7" t="s">
        <v>31</v>
      </c>
      <c r="D185" s="7">
        <v>4</v>
      </c>
      <c r="E185" s="8">
        <v>474</v>
      </c>
      <c r="F185" s="8">
        <v>1133</v>
      </c>
      <c r="G185" s="8">
        <v>247</v>
      </c>
      <c r="H185" s="8">
        <v>321</v>
      </c>
      <c r="I185" s="8">
        <v>777</v>
      </c>
      <c r="J185" s="8">
        <v>106</v>
      </c>
      <c r="K185" s="8">
        <v>93</v>
      </c>
      <c r="L185" s="8">
        <v>43</v>
      </c>
      <c r="M185" s="8">
        <v>12</v>
      </c>
      <c r="N185" s="10">
        <f t="shared" si="2"/>
        <v>0.43485915492957744</v>
      </c>
    </row>
    <row r="186" spans="1:14" ht="15" customHeight="1" x14ac:dyDescent="0.2">
      <c r="A186" s="7">
        <v>2022</v>
      </c>
      <c r="B186" s="7" t="s">
        <v>37</v>
      </c>
      <c r="C186" s="7" t="s">
        <v>31</v>
      </c>
      <c r="D186" s="7">
        <v>5</v>
      </c>
      <c r="E186" s="8">
        <v>49</v>
      </c>
      <c r="F186" s="8">
        <v>70</v>
      </c>
      <c r="G186" s="8">
        <v>24</v>
      </c>
      <c r="H186" s="8">
        <v>32</v>
      </c>
      <c r="I186" s="8">
        <v>42</v>
      </c>
      <c r="J186" s="8">
        <v>10</v>
      </c>
      <c r="K186" s="8">
        <v>13</v>
      </c>
      <c r="L186" s="8">
        <v>3</v>
      </c>
      <c r="M186" s="8">
        <v>1</v>
      </c>
      <c r="N186" s="10">
        <f t="shared" si="2"/>
        <v>0.42857142857142855</v>
      </c>
    </row>
    <row r="187" spans="1:14" ht="15" customHeight="1" x14ac:dyDescent="0.2">
      <c r="A187" s="7">
        <v>2022</v>
      </c>
      <c r="B187" s="7" t="s">
        <v>38</v>
      </c>
      <c r="C187" s="7" t="s">
        <v>31</v>
      </c>
      <c r="D187" s="7">
        <v>6</v>
      </c>
      <c r="E187" s="8">
        <v>741</v>
      </c>
      <c r="F187" s="8">
        <v>1680</v>
      </c>
      <c r="G187" s="8">
        <v>360</v>
      </c>
      <c r="H187" s="8">
        <v>490</v>
      </c>
      <c r="I187" s="8">
        <v>1133</v>
      </c>
      <c r="J187" s="8">
        <v>156</v>
      </c>
      <c r="K187" s="8">
        <v>146</v>
      </c>
      <c r="L187" s="8">
        <v>45</v>
      </c>
      <c r="M187" s="8">
        <v>14</v>
      </c>
      <c r="N187" s="10">
        <f t="shared" si="2"/>
        <v>0.42352941176470588</v>
      </c>
    </row>
    <row r="188" spans="1:14" ht="15" customHeight="1" x14ac:dyDescent="0.2">
      <c r="A188" s="7">
        <v>2022</v>
      </c>
      <c r="B188" s="7" t="s">
        <v>39</v>
      </c>
      <c r="C188" s="7" t="s">
        <v>31</v>
      </c>
      <c r="D188" s="7">
        <v>7</v>
      </c>
      <c r="E188" s="8">
        <v>1210</v>
      </c>
      <c r="F188" s="8">
        <v>1313</v>
      </c>
      <c r="G188" s="8">
        <v>378</v>
      </c>
      <c r="H188" s="8">
        <v>860</v>
      </c>
      <c r="I188" s="8">
        <v>871</v>
      </c>
      <c r="J188" s="8">
        <v>180</v>
      </c>
      <c r="K188" s="8">
        <v>219</v>
      </c>
      <c r="L188" s="8">
        <v>57</v>
      </c>
      <c r="M188" s="8">
        <v>22</v>
      </c>
      <c r="N188" s="10">
        <f t="shared" si="2"/>
        <v>0.30533117932148629</v>
      </c>
    </row>
    <row r="189" spans="1:14" ht="15" customHeight="1" x14ac:dyDescent="0.2">
      <c r="A189" s="7">
        <v>2022</v>
      </c>
      <c r="B189" s="7" t="s">
        <v>40</v>
      </c>
      <c r="C189" s="7" t="s">
        <v>31</v>
      </c>
      <c r="D189" s="7">
        <v>8</v>
      </c>
      <c r="E189" s="8">
        <v>323</v>
      </c>
      <c r="F189" s="8">
        <v>667</v>
      </c>
      <c r="G189" s="8">
        <v>233</v>
      </c>
      <c r="H189" s="8">
        <v>192</v>
      </c>
      <c r="I189" s="8">
        <v>414</v>
      </c>
      <c r="J189" s="8">
        <v>101</v>
      </c>
      <c r="K189" s="8">
        <v>54</v>
      </c>
      <c r="L189" s="8">
        <v>22</v>
      </c>
      <c r="M189" s="8">
        <v>6</v>
      </c>
      <c r="N189" s="10">
        <f t="shared" si="2"/>
        <v>0.54823529411764704</v>
      </c>
    </row>
    <row r="190" spans="1:14" ht="15" customHeight="1" x14ac:dyDescent="0.2">
      <c r="A190" s="7">
        <v>2022</v>
      </c>
      <c r="B190" s="7" t="s">
        <v>41</v>
      </c>
      <c r="C190" s="7" t="s">
        <v>31</v>
      </c>
      <c r="D190" s="7">
        <v>9</v>
      </c>
      <c r="E190" s="8">
        <v>778</v>
      </c>
      <c r="F190" s="8">
        <v>838</v>
      </c>
      <c r="G190" s="8">
        <v>383</v>
      </c>
      <c r="H190" s="8">
        <v>367</v>
      </c>
      <c r="I190" s="8">
        <v>424</v>
      </c>
      <c r="J190" s="8">
        <v>111</v>
      </c>
      <c r="K190" s="8">
        <v>114</v>
      </c>
      <c r="L190" s="8">
        <v>34</v>
      </c>
      <c r="M190" s="8">
        <v>16</v>
      </c>
      <c r="N190" s="10">
        <f t="shared" si="2"/>
        <v>0.51066666666666671</v>
      </c>
    </row>
    <row r="191" spans="1:14" ht="15" customHeight="1" x14ac:dyDescent="0.2">
      <c r="A191" s="7">
        <v>2022</v>
      </c>
      <c r="B191" s="7" t="s">
        <v>42</v>
      </c>
      <c r="C191" s="7" t="s">
        <v>31</v>
      </c>
      <c r="D191" s="7">
        <v>10</v>
      </c>
      <c r="E191" s="8">
        <v>42</v>
      </c>
      <c r="F191" s="8">
        <v>94</v>
      </c>
      <c r="G191" s="8">
        <v>19</v>
      </c>
      <c r="H191" s="8">
        <v>26</v>
      </c>
      <c r="I191" s="8">
        <v>64</v>
      </c>
      <c r="J191" s="8">
        <v>12</v>
      </c>
      <c r="K191" s="8">
        <v>16</v>
      </c>
      <c r="L191" s="8">
        <v>11</v>
      </c>
      <c r="M191" s="8">
        <v>0</v>
      </c>
      <c r="N191" s="10">
        <f t="shared" si="2"/>
        <v>0.42222222222222222</v>
      </c>
    </row>
    <row r="192" spans="1:14" ht="15" customHeight="1" x14ac:dyDescent="0.2">
      <c r="A192" s="7">
        <v>2022</v>
      </c>
      <c r="B192" s="7" t="s">
        <v>43</v>
      </c>
      <c r="C192" s="7" t="s">
        <v>31</v>
      </c>
      <c r="D192" s="7">
        <v>11</v>
      </c>
      <c r="E192" s="8">
        <v>55</v>
      </c>
      <c r="F192" s="8">
        <v>220</v>
      </c>
      <c r="G192" s="8">
        <v>34</v>
      </c>
      <c r="H192" s="8">
        <v>37</v>
      </c>
      <c r="I192" s="8">
        <v>169</v>
      </c>
      <c r="J192" s="8">
        <v>19</v>
      </c>
      <c r="K192" s="8">
        <v>6</v>
      </c>
      <c r="L192" s="8">
        <v>11</v>
      </c>
      <c r="M192" s="8">
        <v>2</v>
      </c>
      <c r="N192" s="10">
        <f t="shared" si="2"/>
        <v>0.47887323943661969</v>
      </c>
    </row>
    <row r="193" spans="1:14" ht="15" customHeight="1" x14ac:dyDescent="0.2">
      <c r="A193" s="7">
        <v>2022</v>
      </c>
      <c r="B193" s="7" t="s">
        <v>44</v>
      </c>
      <c r="C193" s="7" t="s">
        <v>31</v>
      </c>
      <c r="D193" s="7">
        <v>12</v>
      </c>
      <c r="E193" s="8">
        <v>1044</v>
      </c>
      <c r="F193" s="8">
        <v>1430</v>
      </c>
      <c r="G193" s="8">
        <v>407</v>
      </c>
      <c r="H193" s="8">
        <v>583</v>
      </c>
      <c r="I193" s="8">
        <v>808</v>
      </c>
      <c r="J193" s="8">
        <v>124</v>
      </c>
      <c r="K193" s="8">
        <v>196</v>
      </c>
      <c r="L193" s="8">
        <v>58</v>
      </c>
      <c r="M193" s="8">
        <v>21</v>
      </c>
      <c r="N193" s="10">
        <f t="shared" si="2"/>
        <v>0.41111111111111109</v>
      </c>
    </row>
    <row r="194" spans="1:14" ht="15" customHeight="1" x14ac:dyDescent="0.2">
      <c r="A194" s="7">
        <v>2022</v>
      </c>
      <c r="B194" s="7" t="s">
        <v>45</v>
      </c>
      <c r="C194" s="7" t="s">
        <v>31</v>
      </c>
      <c r="D194" s="7">
        <v>13</v>
      </c>
      <c r="E194" s="8">
        <v>550</v>
      </c>
      <c r="F194" s="8">
        <v>1145</v>
      </c>
      <c r="G194" s="8">
        <v>300</v>
      </c>
      <c r="H194" s="8">
        <v>369</v>
      </c>
      <c r="I194" s="8">
        <v>721</v>
      </c>
      <c r="J194" s="8">
        <v>146</v>
      </c>
      <c r="K194" s="8">
        <v>108</v>
      </c>
      <c r="L194" s="8">
        <v>28</v>
      </c>
      <c r="M194" s="8">
        <v>21</v>
      </c>
      <c r="N194" s="10">
        <f t="shared" si="2"/>
        <v>0.44843049327354262</v>
      </c>
    </row>
    <row r="195" spans="1:14" ht="15" customHeight="1" x14ac:dyDescent="0.2">
      <c r="A195" s="7">
        <v>2022</v>
      </c>
      <c r="B195" s="7" t="s">
        <v>46</v>
      </c>
      <c r="C195" s="7" t="s">
        <v>31</v>
      </c>
      <c r="D195" s="7">
        <v>14</v>
      </c>
      <c r="E195" s="8">
        <v>706</v>
      </c>
      <c r="F195" s="8">
        <v>1644</v>
      </c>
      <c r="G195" s="8">
        <v>362</v>
      </c>
      <c r="H195" s="8">
        <v>463</v>
      </c>
      <c r="I195" s="8">
        <v>1069</v>
      </c>
      <c r="J195" s="8">
        <v>120</v>
      </c>
      <c r="K195" s="8">
        <v>170</v>
      </c>
      <c r="L195" s="8">
        <v>81</v>
      </c>
      <c r="M195" s="8">
        <v>11</v>
      </c>
      <c r="N195" s="10">
        <f t="shared" si="2"/>
        <v>0.43878787878787878</v>
      </c>
    </row>
    <row r="196" spans="1:14" ht="15" customHeight="1" x14ac:dyDescent="0.2">
      <c r="A196" s="7">
        <v>2022</v>
      </c>
      <c r="B196" s="7" t="s">
        <v>47</v>
      </c>
      <c r="C196" s="7" t="s">
        <v>31</v>
      </c>
      <c r="D196" s="7">
        <v>15</v>
      </c>
      <c r="E196" s="8">
        <v>725</v>
      </c>
      <c r="F196" s="8">
        <v>865</v>
      </c>
      <c r="G196" s="8">
        <v>269</v>
      </c>
      <c r="H196" s="8">
        <v>456</v>
      </c>
      <c r="I196" s="8">
        <v>524</v>
      </c>
      <c r="J196" s="8">
        <v>88</v>
      </c>
      <c r="K196" s="8">
        <v>116</v>
      </c>
      <c r="L196" s="8">
        <v>29</v>
      </c>
      <c r="M196" s="8">
        <v>13</v>
      </c>
      <c r="N196" s="10">
        <f t="shared" ref="N196:N259" si="3">IFERROR(G196/(G196+H196),"")</f>
        <v>0.37103448275862067</v>
      </c>
    </row>
    <row r="197" spans="1:14" ht="15" customHeight="1" x14ac:dyDescent="0.2">
      <c r="A197" s="7">
        <v>2022</v>
      </c>
      <c r="B197" s="7" t="s">
        <v>48</v>
      </c>
      <c r="C197" s="7" t="s">
        <v>31</v>
      </c>
      <c r="D197" s="7">
        <v>16</v>
      </c>
      <c r="E197" s="8">
        <v>126</v>
      </c>
      <c r="F197" s="8">
        <v>489</v>
      </c>
      <c r="G197" s="8">
        <v>66</v>
      </c>
      <c r="H197" s="8">
        <v>89</v>
      </c>
      <c r="I197" s="8">
        <v>391</v>
      </c>
      <c r="J197" s="8">
        <v>29</v>
      </c>
      <c r="K197" s="8">
        <v>25</v>
      </c>
      <c r="L197" s="8">
        <v>26</v>
      </c>
      <c r="M197" s="8">
        <v>6</v>
      </c>
      <c r="N197" s="10">
        <f t="shared" si="3"/>
        <v>0.4258064516129032</v>
      </c>
    </row>
    <row r="198" spans="1:14" ht="15" customHeight="1" x14ac:dyDescent="0.2">
      <c r="A198" s="7">
        <v>2022</v>
      </c>
      <c r="B198" s="7" t="s">
        <v>49</v>
      </c>
      <c r="C198" s="7" t="s">
        <v>31</v>
      </c>
      <c r="D198" s="7">
        <v>17</v>
      </c>
      <c r="E198" s="8">
        <v>1064</v>
      </c>
      <c r="F198" s="8">
        <v>1551</v>
      </c>
      <c r="G198" s="8">
        <v>499</v>
      </c>
      <c r="H198" s="8">
        <v>619</v>
      </c>
      <c r="I198" s="8">
        <v>901</v>
      </c>
      <c r="J198" s="8">
        <v>186</v>
      </c>
      <c r="K198" s="8">
        <v>183</v>
      </c>
      <c r="L198" s="8">
        <v>47</v>
      </c>
      <c r="M198" s="8">
        <v>17</v>
      </c>
      <c r="N198" s="10">
        <f t="shared" si="3"/>
        <v>0.44633273703041143</v>
      </c>
    </row>
    <row r="199" spans="1:14" ht="15" customHeight="1" x14ac:dyDescent="0.2">
      <c r="A199" s="7">
        <v>2022</v>
      </c>
      <c r="B199" s="7" t="s">
        <v>50</v>
      </c>
      <c r="C199" s="7" t="s">
        <v>31</v>
      </c>
      <c r="D199" s="7">
        <v>18</v>
      </c>
      <c r="E199" s="8">
        <v>84</v>
      </c>
      <c r="F199" s="8">
        <v>147</v>
      </c>
      <c r="G199" s="8">
        <v>46</v>
      </c>
      <c r="H199" s="8">
        <v>54</v>
      </c>
      <c r="I199" s="8">
        <v>101</v>
      </c>
      <c r="J199" s="8">
        <v>19</v>
      </c>
      <c r="K199" s="8">
        <v>16</v>
      </c>
      <c r="L199" s="8">
        <v>1</v>
      </c>
      <c r="M199" s="8">
        <v>2</v>
      </c>
      <c r="N199" s="10">
        <f t="shared" si="3"/>
        <v>0.46</v>
      </c>
    </row>
    <row r="200" spans="1:14" ht="15" customHeight="1" x14ac:dyDescent="0.2">
      <c r="A200" s="7">
        <v>2022</v>
      </c>
      <c r="B200" s="7" t="s">
        <v>51</v>
      </c>
      <c r="C200" s="7" t="s">
        <v>31</v>
      </c>
      <c r="D200" s="7">
        <v>19</v>
      </c>
      <c r="E200" s="8">
        <v>2138</v>
      </c>
      <c r="F200" s="8">
        <v>3474</v>
      </c>
      <c r="G200" s="8">
        <v>1247</v>
      </c>
      <c r="H200" s="8">
        <v>1225</v>
      </c>
      <c r="I200" s="8">
        <v>2147</v>
      </c>
      <c r="J200" s="8">
        <v>516</v>
      </c>
      <c r="K200" s="8">
        <v>398</v>
      </c>
      <c r="L200" s="8">
        <v>109</v>
      </c>
      <c r="M200" s="8">
        <v>61</v>
      </c>
      <c r="N200" s="10">
        <f t="shared" si="3"/>
        <v>0.50444983818770228</v>
      </c>
    </row>
    <row r="201" spans="1:14" ht="15" customHeight="1" x14ac:dyDescent="0.2">
      <c r="A201" s="7">
        <v>2022</v>
      </c>
      <c r="B201" s="7" t="s">
        <v>52</v>
      </c>
      <c r="C201" s="7" t="s">
        <v>31</v>
      </c>
      <c r="D201" s="7">
        <v>20</v>
      </c>
      <c r="E201" s="8">
        <v>803</v>
      </c>
      <c r="F201" s="8">
        <v>783</v>
      </c>
      <c r="G201" s="8">
        <v>279</v>
      </c>
      <c r="H201" s="8">
        <v>546</v>
      </c>
      <c r="I201" s="8">
        <v>480</v>
      </c>
      <c r="J201" s="8">
        <v>107</v>
      </c>
      <c r="K201" s="8">
        <v>124</v>
      </c>
      <c r="L201" s="8">
        <v>35</v>
      </c>
      <c r="M201" s="8">
        <v>9</v>
      </c>
      <c r="N201" s="10">
        <f t="shared" si="3"/>
        <v>0.33818181818181819</v>
      </c>
    </row>
    <row r="202" spans="1:14" ht="15" customHeight="1" x14ac:dyDescent="0.2">
      <c r="A202" s="7">
        <v>2022</v>
      </c>
      <c r="B202" s="7" t="s">
        <v>53</v>
      </c>
      <c r="C202" s="7" t="s">
        <v>31</v>
      </c>
      <c r="D202" s="7">
        <v>21</v>
      </c>
      <c r="E202" s="8">
        <v>792</v>
      </c>
      <c r="F202" s="8">
        <v>1784</v>
      </c>
      <c r="G202" s="8">
        <v>469</v>
      </c>
      <c r="H202" s="8">
        <v>530</v>
      </c>
      <c r="I202" s="8">
        <v>1228</v>
      </c>
      <c r="J202" s="8">
        <v>227</v>
      </c>
      <c r="K202" s="8">
        <v>188</v>
      </c>
      <c r="L202" s="8">
        <v>62</v>
      </c>
      <c r="M202" s="8">
        <v>35</v>
      </c>
      <c r="N202" s="10">
        <f t="shared" si="3"/>
        <v>0.46946946946946949</v>
      </c>
    </row>
    <row r="203" spans="1:14" ht="15" customHeight="1" x14ac:dyDescent="0.2">
      <c r="A203" s="7">
        <v>2022</v>
      </c>
      <c r="B203" s="7" t="s">
        <v>54</v>
      </c>
      <c r="C203" s="7" t="s">
        <v>31</v>
      </c>
      <c r="D203" s="7">
        <v>22</v>
      </c>
      <c r="E203" s="8">
        <v>375</v>
      </c>
      <c r="F203" s="8">
        <v>808</v>
      </c>
      <c r="G203" s="8">
        <v>194</v>
      </c>
      <c r="H203" s="8">
        <v>214</v>
      </c>
      <c r="I203" s="8">
        <v>534</v>
      </c>
      <c r="J203" s="8">
        <v>70</v>
      </c>
      <c r="K203" s="8">
        <v>53</v>
      </c>
      <c r="L203" s="8">
        <v>32</v>
      </c>
      <c r="M203" s="8">
        <v>7</v>
      </c>
      <c r="N203" s="10">
        <f t="shared" si="3"/>
        <v>0.47549019607843135</v>
      </c>
    </row>
    <row r="204" spans="1:14" ht="15" customHeight="1" x14ac:dyDescent="0.2">
      <c r="A204" s="7">
        <v>2022</v>
      </c>
      <c r="B204" s="7" t="s">
        <v>55</v>
      </c>
      <c r="C204" s="7" t="s">
        <v>31</v>
      </c>
      <c r="D204" s="7">
        <v>23</v>
      </c>
      <c r="E204" s="8">
        <v>65</v>
      </c>
      <c r="F204" s="8">
        <v>106</v>
      </c>
      <c r="G204" s="8">
        <v>40</v>
      </c>
      <c r="H204" s="8">
        <v>29</v>
      </c>
      <c r="I204" s="8">
        <v>56</v>
      </c>
      <c r="J204" s="8">
        <v>14</v>
      </c>
      <c r="K204" s="8">
        <v>6</v>
      </c>
      <c r="L204" s="8">
        <v>3</v>
      </c>
      <c r="M204" s="8">
        <v>1</v>
      </c>
      <c r="N204" s="10">
        <f t="shared" si="3"/>
        <v>0.57971014492753625</v>
      </c>
    </row>
    <row r="205" spans="1:14" ht="15" customHeight="1" x14ac:dyDescent="0.2">
      <c r="A205" s="7">
        <v>2022</v>
      </c>
      <c r="B205" s="7" t="s">
        <v>56</v>
      </c>
      <c r="C205" s="7" t="s">
        <v>57</v>
      </c>
      <c r="D205" s="7">
        <v>24</v>
      </c>
      <c r="E205" s="8">
        <v>606</v>
      </c>
      <c r="F205" s="8">
        <v>629</v>
      </c>
      <c r="G205" s="8">
        <v>313</v>
      </c>
      <c r="H205" s="8">
        <v>380</v>
      </c>
      <c r="I205" s="8">
        <v>424</v>
      </c>
      <c r="J205" s="8">
        <v>133</v>
      </c>
      <c r="K205" s="8">
        <v>100</v>
      </c>
      <c r="L205" s="8">
        <v>20</v>
      </c>
      <c r="M205" s="8">
        <v>18</v>
      </c>
      <c r="N205" s="10">
        <f t="shared" si="3"/>
        <v>0.45165945165945165</v>
      </c>
    </row>
    <row r="206" spans="1:14" ht="15" customHeight="1" x14ac:dyDescent="0.2">
      <c r="A206" s="7">
        <v>2022</v>
      </c>
      <c r="B206" s="7" t="s">
        <v>58</v>
      </c>
      <c r="C206" s="7" t="s">
        <v>57</v>
      </c>
      <c r="D206" s="7">
        <v>25</v>
      </c>
      <c r="E206" s="8">
        <v>32585</v>
      </c>
      <c r="F206" s="8">
        <v>11983</v>
      </c>
      <c r="G206" s="8">
        <v>12713</v>
      </c>
      <c r="H206" s="8">
        <v>13189</v>
      </c>
      <c r="I206" s="8">
        <v>5599</v>
      </c>
      <c r="J206" s="8">
        <v>2716</v>
      </c>
      <c r="K206" s="8">
        <v>3765</v>
      </c>
      <c r="L206" s="8">
        <v>604</v>
      </c>
      <c r="M206" s="8">
        <v>445</v>
      </c>
      <c r="N206" s="10">
        <f t="shared" si="3"/>
        <v>0.49081152034591924</v>
      </c>
    </row>
    <row r="207" spans="1:14" ht="15" customHeight="1" x14ac:dyDescent="0.2">
      <c r="A207" s="7">
        <v>2022</v>
      </c>
      <c r="B207" s="7" t="s">
        <v>59</v>
      </c>
      <c r="C207" s="7" t="s">
        <v>57</v>
      </c>
      <c r="D207" s="7">
        <v>26</v>
      </c>
      <c r="E207" s="8">
        <v>6617</v>
      </c>
      <c r="F207" s="8">
        <v>3339</v>
      </c>
      <c r="G207" s="8">
        <v>2203</v>
      </c>
      <c r="H207" s="8">
        <v>3871</v>
      </c>
      <c r="I207" s="8">
        <v>2008</v>
      </c>
      <c r="J207" s="8">
        <v>770</v>
      </c>
      <c r="K207" s="8">
        <v>1144</v>
      </c>
      <c r="L207" s="8">
        <v>187</v>
      </c>
      <c r="M207" s="8">
        <v>130</v>
      </c>
      <c r="N207" s="10">
        <f t="shared" si="3"/>
        <v>0.36269344748106686</v>
      </c>
    </row>
    <row r="208" spans="1:14" ht="15" customHeight="1" x14ac:dyDescent="0.2">
      <c r="A208" s="7">
        <v>2022</v>
      </c>
      <c r="B208" s="7" t="s">
        <v>60</v>
      </c>
      <c r="C208" s="7" t="s">
        <v>57</v>
      </c>
      <c r="D208" s="7">
        <v>27</v>
      </c>
      <c r="E208" s="8">
        <v>1639</v>
      </c>
      <c r="F208" s="8">
        <v>1254</v>
      </c>
      <c r="G208" s="8">
        <v>736</v>
      </c>
      <c r="H208" s="8">
        <v>903</v>
      </c>
      <c r="I208" s="8">
        <v>716</v>
      </c>
      <c r="J208" s="8">
        <v>228</v>
      </c>
      <c r="K208" s="8">
        <v>261</v>
      </c>
      <c r="L208" s="8">
        <v>68</v>
      </c>
      <c r="M208" s="8">
        <v>25</v>
      </c>
      <c r="N208" s="10">
        <f t="shared" si="3"/>
        <v>0.44905430140329466</v>
      </c>
    </row>
    <row r="209" spans="1:14" ht="15" customHeight="1" x14ac:dyDescent="0.2">
      <c r="A209" s="7">
        <v>2022</v>
      </c>
      <c r="B209" s="7" t="s">
        <v>61</v>
      </c>
      <c r="C209" s="7" t="s">
        <v>57</v>
      </c>
      <c r="D209" s="7">
        <v>28</v>
      </c>
      <c r="E209" s="8">
        <v>655</v>
      </c>
      <c r="F209" s="8">
        <v>760</v>
      </c>
      <c r="G209" s="8">
        <v>279</v>
      </c>
      <c r="H209" s="8">
        <v>458</v>
      </c>
      <c r="I209" s="8">
        <v>514</v>
      </c>
      <c r="J209" s="8">
        <v>124</v>
      </c>
      <c r="K209" s="8">
        <v>124</v>
      </c>
      <c r="L209" s="8">
        <v>34</v>
      </c>
      <c r="M209" s="8">
        <v>17</v>
      </c>
      <c r="N209" s="10">
        <f t="shared" si="3"/>
        <v>0.37856173677069199</v>
      </c>
    </row>
    <row r="210" spans="1:14" ht="15" customHeight="1" x14ac:dyDescent="0.2">
      <c r="A210" s="7">
        <v>2022</v>
      </c>
      <c r="B210" s="7" t="s">
        <v>62</v>
      </c>
      <c r="C210" s="7" t="s">
        <v>57</v>
      </c>
      <c r="D210" s="7">
        <v>29</v>
      </c>
      <c r="E210" s="8">
        <v>962</v>
      </c>
      <c r="F210" s="8">
        <v>716</v>
      </c>
      <c r="G210" s="8">
        <v>377</v>
      </c>
      <c r="H210" s="8">
        <v>588</v>
      </c>
      <c r="I210" s="8">
        <v>454</v>
      </c>
      <c r="J210" s="8">
        <v>160</v>
      </c>
      <c r="K210" s="8">
        <v>138</v>
      </c>
      <c r="L210" s="8">
        <v>26</v>
      </c>
      <c r="M210" s="8">
        <v>8</v>
      </c>
      <c r="N210" s="10">
        <f t="shared" si="3"/>
        <v>0.39067357512953366</v>
      </c>
    </row>
    <row r="211" spans="1:14" ht="15" customHeight="1" x14ac:dyDescent="0.2">
      <c r="A211" s="7">
        <v>2022</v>
      </c>
      <c r="B211" s="7" t="s">
        <v>63</v>
      </c>
      <c r="C211" s="7" t="s">
        <v>57</v>
      </c>
      <c r="D211" s="7">
        <v>30</v>
      </c>
      <c r="E211" s="8">
        <v>3485</v>
      </c>
      <c r="F211" s="8">
        <v>2921</v>
      </c>
      <c r="G211" s="8">
        <v>1384</v>
      </c>
      <c r="H211" s="8">
        <v>2243</v>
      </c>
      <c r="I211" s="8">
        <v>1865</v>
      </c>
      <c r="J211" s="8">
        <v>595</v>
      </c>
      <c r="K211" s="8">
        <v>709</v>
      </c>
      <c r="L211" s="8">
        <v>144</v>
      </c>
      <c r="M211" s="8">
        <v>92</v>
      </c>
      <c r="N211" s="10">
        <f t="shared" si="3"/>
        <v>0.38158257513096222</v>
      </c>
    </row>
    <row r="212" spans="1:14" ht="15" customHeight="1" x14ac:dyDescent="0.2">
      <c r="A212" s="7">
        <v>2022</v>
      </c>
      <c r="B212" s="7" t="s">
        <v>64</v>
      </c>
      <c r="C212" s="7" t="s">
        <v>57</v>
      </c>
      <c r="D212" s="7">
        <v>31</v>
      </c>
      <c r="E212" s="8">
        <v>1534</v>
      </c>
      <c r="F212" s="8">
        <v>619</v>
      </c>
      <c r="G212" s="8">
        <v>549</v>
      </c>
      <c r="H212" s="8">
        <v>804</v>
      </c>
      <c r="I212" s="8">
        <v>345</v>
      </c>
      <c r="J212" s="8">
        <v>189</v>
      </c>
      <c r="K212" s="8">
        <v>235</v>
      </c>
      <c r="L212" s="8">
        <v>33</v>
      </c>
      <c r="M212" s="8">
        <v>33</v>
      </c>
      <c r="N212" s="10">
        <f t="shared" si="3"/>
        <v>0.40576496674057649</v>
      </c>
    </row>
    <row r="213" spans="1:14" ht="15" customHeight="1" x14ac:dyDescent="0.2">
      <c r="A213" s="7">
        <v>2022</v>
      </c>
      <c r="B213" s="7" t="s">
        <v>65</v>
      </c>
      <c r="C213" s="7" t="s">
        <v>57</v>
      </c>
      <c r="D213" s="7">
        <v>32</v>
      </c>
      <c r="E213" s="8">
        <v>429</v>
      </c>
      <c r="F213" s="8">
        <v>268</v>
      </c>
      <c r="G213" s="8">
        <v>186</v>
      </c>
      <c r="H213" s="8">
        <v>199</v>
      </c>
      <c r="I213" s="8">
        <v>144</v>
      </c>
      <c r="J213" s="8">
        <v>45</v>
      </c>
      <c r="K213" s="8">
        <v>64</v>
      </c>
      <c r="L213" s="8">
        <v>18</v>
      </c>
      <c r="M213" s="8">
        <v>9</v>
      </c>
      <c r="N213" s="10">
        <f t="shared" si="3"/>
        <v>0.48311688311688311</v>
      </c>
    </row>
    <row r="214" spans="1:14" ht="15" customHeight="1" x14ac:dyDescent="0.2">
      <c r="A214" s="7">
        <v>2022</v>
      </c>
      <c r="B214" s="7" t="s">
        <v>66</v>
      </c>
      <c r="C214" s="7" t="s">
        <v>57</v>
      </c>
      <c r="D214" s="7">
        <v>33</v>
      </c>
      <c r="E214" s="8">
        <v>581</v>
      </c>
      <c r="F214" s="8">
        <v>1352</v>
      </c>
      <c r="G214" s="8">
        <v>315</v>
      </c>
      <c r="H214" s="8">
        <v>400</v>
      </c>
      <c r="I214" s="8">
        <v>963</v>
      </c>
      <c r="J214" s="8">
        <v>152</v>
      </c>
      <c r="K214" s="8">
        <v>131</v>
      </c>
      <c r="L214" s="8">
        <v>47</v>
      </c>
      <c r="M214" s="8">
        <v>24</v>
      </c>
      <c r="N214" s="10">
        <f t="shared" si="3"/>
        <v>0.44055944055944057</v>
      </c>
    </row>
    <row r="215" spans="1:14" ht="15" customHeight="1" x14ac:dyDescent="0.2">
      <c r="A215" s="7">
        <v>2022</v>
      </c>
      <c r="B215" s="7" t="s">
        <v>67</v>
      </c>
      <c r="C215" s="7" t="s">
        <v>57</v>
      </c>
      <c r="D215" s="7">
        <v>34</v>
      </c>
      <c r="E215" s="8">
        <v>8555</v>
      </c>
      <c r="F215" s="8">
        <v>9421</v>
      </c>
      <c r="G215" s="8">
        <v>3939</v>
      </c>
      <c r="H215" s="8">
        <v>5905</v>
      </c>
      <c r="I215" s="8">
        <v>6687</v>
      </c>
      <c r="J215" s="8">
        <v>2013</v>
      </c>
      <c r="K215" s="8">
        <v>2235</v>
      </c>
      <c r="L215" s="8">
        <v>742</v>
      </c>
      <c r="M215" s="8">
        <v>406</v>
      </c>
      <c r="N215" s="10">
        <f t="shared" si="3"/>
        <v>0.40014221861032101</v>
      </c>
    </row>
    <row r="216" spans="1:14" ht="15" customHeight="1" x14ac:dyDescent="0.2">
      <c r="A216" s="7">
        <v>2022</v>
      </c>
      <c r="B216" s="7" t="s">
        <v>68</v>
      </c>
      <c r="C216" s="7" t="s">
        <v>57</v>
      </c>
      <c r="D216" s="7">
        <v>35</v>
      </c>
      <c r="E216" s="8">
        <v>798</v>
      </c>
      <c r="F216" s="8">
        <v>1567</v>
      </c>
      <c r="G216" s="8">
        <v>455</v>
      </c>
      <c r="H216" s="8">
        <v>590</v>
      </c>
      <c r="I216" s="8">
        <v>1139</v>
      </c>
      <c r="J216" s="8">
        <v>245</v>
      </c>
      <c r="K216" s="8">
        <v>225</v>
      </c>
      <c r="L216" s="8">
        <v>91</v>
      </c>
      <c r="M216" s="8">
        <v>49</v>
      </c>
      <c r="N216" s="10">
        <f t="shared" si="3"/>
        <v>0.4354066985645933</v>
      </c>
    </row>
    <row r="217" spans="1:14" ht="15" customHeight="1" x14ac:dyDescent="0.2">
      <c r="A217" s="7">
        <v>2022</v>
      </c>
      <c r="B217" s="7" t="s">
        <v>69</v>
      </c>
      <c r="C217" s="7" t="s">
        <v>57</v>
      </c>
      <c r="D217" s="7">
        <v>36</v>
      </c>
      <c r="E217" s="8">
        <v>431</v>
      </c>
      <c r="F217" s="8">
        <v>949</v>
      </c>
      <c r="G217" s="8">
        <v>278</v>
      </c>
      <c r="H217" s="8">
        <v>319</v>
      </c>
      <c r="I217" s="8">
        <v>679</v>
      </c>
      <c r="J217" s="8">
        <v>143</v>
      </c>
      <c r="K217" s="8">
        <v>101</v>
      </c>
      <c r="L217" s="8">
        <v>31</v>
      </c>
      <c r="M217" s="8">
        <v>22</v>
      </c>
      <c r="N217" s="10">
        <f t="shared" si="3"/>
        <v>0.46566164154103851</v>
      </c>
    </row>
    <row r="218" spans="1:14" ht="15" customHeight="1" x14ac:dyDescent="0.2">
      <c r="A218" s="7">
        <v>2022</v>
      </c>
      <c r="B218" s="7" t="s">
        <v>70</v>
      </c>
      <c r="C218" s="7" t="s">
        <v>57</v>
      </c>
      <c r="D218" s="7">
        <v>37</v>
      </c>
      <c r="E218" s="8">
        <v>724</v>
      </c>
      <c r="F218" s="8">
        <v>1756</v>
      </c>
      <c r="G218" s="8">
        <v>415</v>
      </c>
      <c r="H218" s="8">
        <v>529</v>
      </c>
      <c r="I218" s="8">
        <v>1270</v>
      </c>
      <c r="J218" s="8">
        <v>195</v>
      </c>
      <c r="K218" s="8">
        <v>162</v>
      </c>
      <c r="L218" s="8">
        <v>43</v>
      </c>
      <c r="M218" s="8">
        <v>32</v>
      </c>
      <c r="N218" s="10">
        <f t="shared" si="3"/>
        <v>0.4396186440677966</v>
      </c>
    </row>
    <row r="219" spans="1:14" ht="15" customHeight="1" x14ac:dyDescent="0.2">
      <c r="A219" s="7">
        <v>2022</v>
      </c>
      <c r="B219" s="7" t="s">
        <v>71</v>
      </c>
      <c r="C219" s="7" t="s">
        <v>57</v>
      </c>
      <c r="D219" s="7">
        <v>38</v>
      </c>
      <c r="E219" s="8">
        <v>934</v>
      </c>
      <c r="F219" s="8">
        <v>863</v>
      </c>
      <c r="G219" s="8">
        <v>394</v>
      </c>
      <c r="H219" s="8">
        <v>597</v>
      </c>
      <c r="I219" s="8">
        <v>573</v>
      </c>
      <c r="J219" s="8">
        <v>149</v>
      </c>
      <c r="K219" s="8">
        <v>197</v>
      </c>
      <c r="L219" s="8">
        <v>48</v>
      </c>
      <c r="M219" s="8">
        <v>22</v>
      </c>
      <c r="N219" s="10">
        <f t="shared" si="3"/>
        <v>0.39757820383451059</v>
      </c>
    </row>
    <row r="220" spans="1:14" ht="15" customHeight="1" x14ac:dyDescent="0.2">
      <c r="A220" s="7">
        <v>2022</v>
      </c>
      <c r="B220" s="7" t="s">
        <v>72</v>
      </c>
      <c r="C220" s="7" t="s">
        <v>57</v>
      </c>
      <c r="D220" s="7">
        <v>39</v>
      </c>
      <c r="E220" s="8">
        <v>3577</v>
      </c>
      <c r="F220" s="8">
        <v>5432</v>
      </c>
      <c r="G220" s="8">
        <v>1840</v>
      </c>
      <c r="H220" s="8">
        <v>2455</v>
      </c>
      <c r="I220" s="8">
        <v>3852</v>
      </c>
      <c r="J220" s="8">
        <v>872</v>
      </c>
      <c r="K220" s="8">
        <v>899</v>
      </c>
      <c r="L220" s="8">
        <v>295</v>
      </c>
      <c r="M220" s="8">
        <v>150</v>
      </c>
      <c r="N220" s="10">
        <f t="shared" si="3"/>
        <v>0.42840512223515714</v>
      </c>
    </row>
    <row r="221" spans="1:14" ht="15" customHeight="1" x14ac:dyDescent="0.2">
      <c r="A221" s="7">
        <v>2022</v>
      </c>
      <c r="B221" s="7" t="s">
        <v>73</v>
      </c>
      <c r="C221" s="7" t="s">
        <v>57</v>
      </c>
      <c r="D221" s="7">
        <v>40</v>
      </c>
      <c r="E221" s="8">
        <v>3802</v>
      </c>
      <c r="F221" s="8">
        <v>3622</v>
      </c>
      <c r="G221" s="8">
        <v>1427</v>
      </c>
      <c r="H221" s="8">
        <v>2538</v>
      </c>
      <c r="I221" s="8">
        <v>2610</v>
      </c>
      <c r="J221" s="8">
        <v>661</v>
      </c>
      <c r="K221" s="8">
        <v>846</v>
      </c>
      <c r="L221" s="8">
        <v>232</v>
      </c>
      <c r="M221" s="8">
        <v>115</v>
      </c>
      <c r="N221" s="10">
        <f t="shared" si="3"/>
        <v>0.35989911727616647</v>
      </c>
    </row>
    <row r="222" spans="1:14" ht="15" customHeight="1" x14ac:dyDescent="0.2">
      <c r="A222" s="7">
        <v>2022</v>
      </c>
      <c r="B222" s="7" t="s">
        <v>74</v>
      </c>
      <c r="C222" s="7" t="s">
        <v>57</v>
      </c>
      <c r="D222" s="7">
        <v>41</v>
      </c>
      <c r="E222" s="8">
        <v>841</v>
      </c>
      <c r="F222" s="8">
        <v>1042</v>
      </c>
      <c r="G222" s="8">
        <v>444</v>
      </c>
      <c r="H222" s="8">
        <v>459</v>
      </c>
      <c r="I222" s="8">
        <v>563</v>
      </c>
      <c r="J222" s="8">
        <v>143</v>
      </c>
      <c r="K222" s="8">
        <v>115</v>
      </c>
      <c r="L222" s="8">
        <v>31</v>
      </c>
      <c r="M222" s="8">
        <v>15</v>
      </c>
      <c r="N222" s="10">
        <f t="shared" si="3"/>
        <v>0.49169435215946844</v>
      </c>
    </row>
    <row r="223" spans="1:14" ht="15" customHeight="1" x14ac:dyDescent="0.2">
      <c r="A223" s="7">
        <v>2022</v>
      </c>
      <c r="B223" s="7" t="s">
        <v>75</v>
      </c>
      <c r="C223" s="7" t="s">
        <v>57</v>
      </c>
      <c r="D223" s="7">
        <v>42</v>
      </c>
      <c r="E223" s="8">
        <v>6335</v>
      </c>
      <c r="F223" s="8">
        <v>5534</v>
      </c>
      <c r="G223" s="8">
        <v>2482</v>
      </c>
      <c r="H223" s="8">
        <v>4433</v>
      </c>
      <c r="I223" s="8">
        <v>3787</v>
      </c>
      <c r="J223" s="8">
        <v>1159</v>
      </c>
      <c r="K223" s="8">
        <v>1797</v>
      </c>
      <c r="L223" s="8">
        <v>448</v>
      </c>
      <c r="M223" s="8">
        <v>272</v>
      </c>
      <c r="N223" s="10">
        <f t="shared" si="3"/>
        <v>0.35892986261749821</v>
      </c>
    </row>
    <row r="224" spans="1:14" ht="15" customHeight="1" x14ac:dyDescent="0.2">
      <c r="A224" s="7">
        <v>2022</v>
      </c>
      <c r="B224" s="7" t="s">
        <v>76</v>
      </c>
      <c r="C224" s="7" t="s">
        <v>57</v>
      </c>
      <c r="D224" s="7">
        <v>43</v>
      </c>
      <c r="E224" s="8">
        <v>6952</v>
      </c>
      <c r="F224" s="8">
        <v>6669</v>
      </c>
      <c r="G224" s="8">
        <v>3419</v>
      </c>
      <c r="H224" s="8">
        <v>4356</v>
      </c>
      <c r="I224" s="8">
        <v>4428</v>
      </c>
      <c r="J224" s="8">
        <v>1599</v>
      </c>
      <c r="K224" s="8">
        <v>1746</v>
      </c>
      <c r="L224" s="8">
        <v>460</v>
      </c>
      <c r="M224" s="8">
        <v>328</v>
      </c>
      <c r="N224" s="10">
        <f t="shared" si="3"/>
        <v>0.43974276527331191</v>
      </c>
    </row>
    <row r="225" spans="1:14" ht="15" customHeight="1" x14ac:dyDescent="0.2">
      <c r="A225" s="7">
        <v>2022</v>
      </c>
      <c r="B225" s="7" t="s">
        <v>77</v>
      </c>
      <c r="C225" s="7" t="s">
        <v>57</v>
      </c>
      <c r="D225" s="7">
        <v>44</v>
      </c>
      <c r="E225" s="8">
        <v>2001</v>
      </c>
      <c r="F225" s="8">
        <v>2982</v>
      </c>
      <c r="G225" s="8">
        <v>926</v>
      </c>
      <c r="H225" s="8">
        <v>1478</v>
      </c>
      <c r="I225" s="8">
        <v>2183</v>
      </c>
      <c r="J225" s="8">
        <v>498</v>
      </c>
      <c r="K225" s="8">
        <v>655</v>
      </c>
      <c r="L225" s="8">
        <v>219</v>
      </c>
      <c r="M225" s="8">
        <v>103</v>
      </c>
      <c r="N225" s="10">
        <f t="shared" si="3"/>
        <v>0.38519134775374375</v>
      </c>
    </row>
    <row r="226" spans="1:14" ht="15" customHeight="1" x14ac:dyDescent="0.2">
      <c r="A226" s="7">
        <v>2022</v>
      </c>
      <c r="B226" s="7" t="s">
        <v>78</v>
      </c>
      <c r="C226" s="7" t="s">
        <v>57</v>
      </c>
      <c r="D226" s="7">
        <v>45</v>
      </c>
      <c r="E226" s="8">
        <v>4375</v>
      </c>
      <c r="F226" s="8">
        <v>5298</v>
      </c>
      <c r="G226" s="8">
        <v>2134</v>
      </c>
      <c r="H226" s="8">
        <v>3088</v>
      </c>
      <c r="I226" s="8">
        <v>3736</v>
      </c>
      <c r="J226" s="8">
        <v>1133</v>
      </c>
      <c r="K226" s="8">
        <v>1285</v>
      </c>
      <c r="L226" s="8">
        <v>382</v>
      </c>
      <c r="M226" s="8">
        <v>189</v>
      </c>
      <c r="N226" s="10">
        <f t="shared" si="3"/>
        <v>0.40865568747606279</v>
      </c>
    </row>
    <row r="227" spans="1:14" ht="15" customHeight="1" x14ac:dyDescent="0.2">
      <c r="A227" s="7">
        <v>2022</v>
      </c>
      <c r="B227" s="7" t="s">
        <v>79</v>
      </c>
      <c r="C227" s="7" t="s">
        <v>57</v>
      </c>
      <c r="D227" s="7">
        <v>46</v>
      </c>
      <c r="E227" s="8">
        <v>1236</v>
      </c>
      <c r="F227" s="8">
        <v>2505</v>
      </c>
      <c r="G227" s="8">
        <v>666</v>
      </c>
      <c r="H227" s="8">
        <v>841</v>
      </c>
      <c r="I227" s="8">
        <v>1658</v>
      </c>
      <c r="J227" s="8">
        <v>296</v>
      </c>
      <c r="K227" s="8">
        <v>285</v>
      </c>
      <c r="L227" s="8">
        <v>97</v>
      </c>
      <c r="M227" s="8">
        <v>30</v>
      </c>
      <c r="N227" s="10">
        <f t="shared" si="3"/>
        <v>0.44193762441937623</v>
      </c>
    </row>
    <row r="228" spans="1:14" ht="15" customHeight="1" x14ac:dyDescent="0.2">
      <c r="A228" s="7">
        <v>2022</v>
      </c>
      <c r="B228" s="7" t="s">
        <v>80</v>
      </c>
      <c r="C228" s="7" t="s">
        <v>57</v>
      </c>
      <c r="D228" s="7">
        <v>47</v>
      </c>
      <c r="E228" s="8">
        <v>946</v>
      </c>
      <c r="F228" s="8">
        <v>2114</v>
      </c>
      <c r="G228" s="8">
        <v>501</v>
      </c>
      <c r="H228" s="8">
        <v>703</v>
      </c>
      <c r="I228" s="8">
        <v>1561</v>
      </c>
      <c r="J228" s="8">
        <v>264</v>
      </c>
      <c r="K228" s="8">
        <v>298</v>
      </c>
      <c r="L228" s="8">
        <v>111</v>
      </c>
      <c r="M228" s="8">
        <v>40</v>
      </c>
      <c r="N228" s="10">
        <f t="shared" si="3"/>
        <v>0.41611295681063121</v>
      </c>
    </row>
    <row r="229" spans="1:14" ht="15" customHeight="1" x14ac:dyDescent="0.2">
      <c r="A229" s="7">
        <v>2022</v>
      </c>
      <c r="B229" s="7" t="s">
        <v>81</v>
      </c>
      <c r="C229" s="7" t="s">
        <v>57</v>
      </c>
      <c r="D229" s="7">
        <v>48</v>
      </c>
      <c r="E229" s="8">
        <v>7782</v>
      </c>
      <c r="F229" s="8">
        <v>5861</v>
      </c>
      <c r="G229" s="8">
        <v>2751</v>
      </c>
      <c r="H229" s="8">
        <v>4446</v>
      </c>
      <c r="I229" s="8">
        <v>3682</v>
      </c>
      <c r="J229" s="8">
        <v>1051</v>
      </c>
      <c r="K229" s="8">
        <v>1496</v>
      </c>
      <c r="L229" s="8">
        <v>295</v>
      </c>
      <c r="M229" s="8">
        <v>178</v>
      </c>
      <c r="N229" s="10">
        <f t="shared" si="3"/>
        <v>0.38224260108378488</v>
      </c>
    </row>
    <row r="230" spans="1:14" ht="15" customHeight="1" x14ac:dyDescent="0.2">
      <c r="A230" s="7">
        <v>2022</v>
      </c>
      <c r="B230" s="7" t="s">
        <v>82</v>
      </c>
      <c r="C230" s="7" t="s">
        <v>83</v>
      </c>
      <c r="D230" s="7">
        <v>49</v>
      </c>
      <c r="E230" s="8">
        <v>488</v>
      </c>
      <c r="F230" s="8">
        <v>956</v>
      </c>
      <c r="G230" s="8">
        <v>299</v>
      </c>
      <c r="H230" s="8">
        <v>332</v>
      </c>
      <c r="I230" s="8">
        <v>625</v>
      </c>
      <c r="J230" s="8">
        <v>125</v>
      </c>
      <c r="K230" s="8">
        <v>104</v>
      </c>
      <c r="L230" s="8">
        <v>45</v>
      </c>
      <c r="M230" s="8">
        <v>16</v>
      </c>
      <c r="N230" s="10">
        <f t="shared" si="3"/>
        <v>0.47385103011093505</v>
      </c>
    </row>
    <row r="231" spans="1:14" ht="15" customHeight="1" x14ac:dyDescent="0.2">
      <c r="A231" s="7">
        <v>2022</v>
      </c>
      <c r="B231" s="7" t="s">
        <v>84</v>
      </c>
      <c r="C231" s="7" t="s">
        <v>83</v>
      </c>
      <c r="D231" s="7">
        <v>50</v>
      </c>
      <c r="E231" s="8">
        <v>1446</v>
      </c>
      <c r="F231" s="8">
        <v>2526</v>
      </c>
      <c r="G231" s="8">
        <v>880</v>
      </c>
      <c r="H231" s="8">
        <v>829</v>
      </c>
      <c r="I231" s="8">
        <v>1575</v>
      </c>
      <c r="J231" s="8">
        <v>362</v>
      </c>
      <c r="K231" s="8">
        <v>267</v>
      </c>
      <c r="L231" s="8">
        <v>57</v>
      </c>
      <c r="M231" s="8">
        <v>35</v>
      </c>
      <c r="N231" s="10">
        <f t="shared" si="3"/>
        <v>0.51492100643651262</v>
      </c>
    </row>
    <row r="232" spans="1:14" ht="15" customHeight="1" x14ac:dyDescent="0.2">
      <c r="A232" s="7">
        <v>2022</v>
      </c>
      <c r="B232" s="7" t="s">
        <v>85</v>
      </c>
      <c r="C232" s="7" t="s">
        <v>83</v>
      </c>
      <c r="D232" s="7">
        <v>51</v>
      </c>
      <c r="E232" s="8">
        <v>459</v>
      </c>
      <c r="F232" s="8">
        <v>870</v>
      </c>
      <c r="G232" s="8">
        <v>296</v>
      </c>
      <c r="H232" s="8">
        <v>310</v>
      </c>
      <c r="I232" s="8">
        <v>564</v>
      </c>
      <c r="J232" s="8">
        <v>143</v>
      </c>
      <c r="K232" s="8">
        <v>142</v>
      </c>
      <c r="L232" s="8">
        <v>48</v>
      </c>
      <c r="M232" s="8">
        <v>26</v>
      </c>
      <c r="N232" s="10">
        <f t="shared" si="3"/>
        <v>0.48844884488448848</v>
      </c>
    </row>
    <row r="233" spans="1:14" ht="15" customHeight="1" x14ac:dyDescent="0.2">
      <c r="A233" s="7">
        <v>2022</v>
      </c>
      <c r="B233" s="7" t="s">
        <v>86</v>
      </c>
      <c r="C233" s="7" t="s">
        <v>87</v>
      </c>
      <c r="D233" s="7">
        <v>52</v>
      </c>
      <c r="E233" s="8">
        <v>1437</v>
      </c>
      <c r="F233" s="8">
        <v>1776</v>
      </c>
      <c r="G233" s="8">
        <v>662</v>
      </c>
      <c r="H233" s="8">
        <v>943</v>
      </c>
      <c r="I233" s="8">
        <v>1156</v>
      </c>
      <c r="J233" s="8">
        <v>273</v>
      </c>
      <c r="K233" s="8">
        <v>428</v>
      </c>
      <c r="L233" s="8">
        <v>113</v>
      </c>
      <c r="M233" s="8">
        <v>58</v>
      </c>
      <c r="N233" s="10">
        <f t="shared" si="3"/>
        <v>0.41246105919003118</v>
      </c>
    </row>
    <row r="234" spans="1:14" ht="15" customHeight="1" x14ac:dyDescent="0.2">
      <c r="A234" s="7">
        <v>2022</v>
      </c>
      <c r="B234" s="7" t="s">
        <v>88</v>
      </c>
      <c r="C234" s="7" t="s">
        <v>87</v>
      </c>
      <c r="D234" s="7">
        <v>53</v>
      </c>
      <c r="E234" s="8">
        <v>933</v>
      </c>
      <c r="F234" s="8">
        <v>1254</v>
      </c>
      <c r="G234" s="8">
        <v>646</v>
      </c>
      <c r="H234" s="8">
        <v>535</v>
      </c>
      <c r="I234" s="8">
        <v>711</v>
      </c>
      <c r="J234" s="8">
        <v>240</v>
      </c>
      <c r="K234" s="8">
        <v>153</v>
      </c>
      <c r="L234" s="8">
        <v>41</v>
      </c>
      <c r="M234" s="8">
        <v>24</v>
      </c>
      <c r="N234" s="10">
        <f t="shared" si="3"/>
        <v>0.54699407281964441</v>
      </c>
    </row>
    <row r="235" spans="1:14" ht="15" customHeight="1" x14ac:dyDescent="0.2">
      <c r="A235" s="7">
        <v>2022</v>
      </c>
      <c r="B235" s="7" t="s">
        <v>89</v>
      </c>
      <c r="C235" s="7" t="s">
        <v>87</v>
      </c>
      <c r="D235" s="7">
        <v>54</v>
      </c>
      <c r="E235" s="8">
        <v>647</v>
      </c>
      <c r="F235" s="8">
        <v>662</v>
      </c>
      <c r="G235" s="8">
        <v>320</v>
      </c>
      <c r="H235" s="8">
        <v>342</v>
      </c>
      <c r="I235" s="8">
        <v>401</v>
      </c>
      <c r="J235" s="8">
        <v>130</v>
      </c>
      <c r="K235" s="8">
        <v>135</v>
      </c>
      <c r="L235" s="8">
        <v>41</v>
      </c>
      <c r="M235" s="8">
        <v>17</v>
      </c>
      <c r="N235" s="10">
        <f t="shared" si="3"/>
        <v>0.48338368580060426</v>
      </c>
    </row>
    <row r="236" spans="1:14" ht="15" customHeight="1" x14ac:dyDescent="0.2">
      <c r="A236" s="7">
        <v>2022</v>
      </c>
      <c r="B236" s="7" t="s">
        <v>59</v>
      </c>
      <c r="C236" s="7" t="s">
        <v>87</v>
      </c>
      <c r="D236" s="7">
        <v>55</v>
      </c>
      <c r="E236" s="8">
        <v>17956</v>
      </c>
      <c r="F236" s="8">
        <v>7522</v>
      </c>
      <c r="G236" s="8">
        <v>6414</v>
      </c>
      <c r="H236" s="8">
        <v>9420</v>
      </c>
      <c r="I236" s="8">
        <v>4145</v>
      </c>
      <c r="J236" s="8">
        <v>2107</v>
      </c>
      <c r="K236" s="8">
        <v>3075</v>
      </c>
      <c r="L236" s="8">
        <v>472</v>
      </c>
      <c r="M236" s="8">
        <v>439</v>
      </c>
      <c r="N236" s="10">
        <f t="shared" si="3"/>
        <v>0.40507768093974988</v>
      </c>
    </row>
    <row r="237" spans="1:14" ht="15" customHeight="1" x14ac:dyDescent="0.2">
      <c r="A237" s="7">
        <v>2022</v>
      </c>
      <c r="B237" s="7" t="s">
        <v>90</v>
      </c>
      <c r="C237" s="7" t="s">
        <v>87</v>
      </c>
      <c r="D237" s="7">
        <v>56</v>
      </c>
      <c r="E237" s="8">
        <v>7702</v>
      </c>
      <c r="F237" s="8">
        <v>6433</v>
      </c>
      <c r="G237" s="8">
        <v>3355</v>
      </c>
      <c r="H237" s="8">
        <v>5162</v>
      </c>
      <c r="I237" s="8">
        <v>4404</v>
      </c>
      <c r="J237" s="8">
        <v>1670</v>
      </c>
      <c r="K237" s="8">
        <v>2075</v>
      </c>
      <c r="L237" s="8">
        <v>485</v>
      </c>
      <c r="M237" s="8">
        <v>364</v>
      </c>
      <c r="N237" s="10">
        <f t="shared" si="3"/>
        <v>0.39391804626042032</v>
      </c>
    </row>
    <row r="238" spans="1:14" ht="15" customHeight="1" x14ac:dyDescent="0.2">
      <c r="A238" s="7">
        <v>2022</v>
      </c>
      <c r="B238" s="7" t="s">
        <v>91</v>
      </c>
      <c r="C238" s="7" t="s">
        <v>87</v>
      </c>
      <c r="D238" s="7">
        <v>57</v>
      </c>
      <c r="E238" s="8">
        <v>1801</v>
      </c>
      <c r="F238" s="8">
        <v>3136</v>
      </c>
      <c r="G238" s="8">
        <v>1047</v>
      </c>
      <c r="H238" s="8">
        <v>1312</v>
      </c>
      <c r="I238" s="8">
        <v>2261</v>
      </c>
      <c r="J238" s="8">
        <v>569</v>
      </c>
      <c r="K238" s="8">
        <v>547</v>
      </c>
      <c r="L238" s="8">
        <v>269</v>
      </c>
      <c r="M238" s="8">
        <v>128</v>
      </c>
      <c r="N238" s="10">
        <f t="shared" si="3"/>
        <v>0.44383213225943197</v>
      </c>
    </row>
    <row r="239" spans="1:14" ht="15" customHeight="1" x14ac:dyDescent="0.2">
      <c r="A239" s="7">
        <v>2022</v>
      </c>
      <c r="B239" s="7" t="s">
        <v>92</v>
      </c>
      <c r="C239" s="7" t="s">
        <v>87</v>
      </c>
      <c r="D239" s="7">
        <v>58</v>
      </c>
      <c r="E239" s="8">
        <v>42</v>
      </c>
      <c r="F239" s="8">
        <v>67</v>
      </c>
      <c r="G239" s="8">
        <v>23</v>
      </c>
      <c r="H239" s="8">
        <v>23</v>
      </c>
      <c r="I239" s="8">
        <v>43</v>
      </c>
      <c r="J239" s="8">
        <v>11</v>
      </c>
      <c r="K239" s="8">
        <v>2</v>
      </c>
      <c r="L239" s="8">
        <v>2</v>
      </c>
      <c r="M239" s="8">
        <v>2</v>
      </c>
      <c r="N239" s="10">
        <f t="shared" si="3"/>
        <v>0.5</v>
      </c>
    </row>
    <row r="240" spans="1:14" ht="15" customHeight="1" x14ac:dyDescent="0.2">
      <c r="A240" s="7">
        <v>2022</v>
      </c>
      <c r="B240" s="7" t="s">
        <v>93</v>
      </c>
      <c r="C240" s="7" t="s">
        <v>87</v>
      </c>
      <c r="D240" s="7">
        <v>59</v>
      </c>
      <c r="E240" s="8">
        <v>1296</v>
      </c>
      <c r="F240" s="8">
        <v>1769</v>
      </c>
      <c r="G240" s="8">
        <v>619</v>
      </c>
      <c r="H240" s="8">
        <v>871</v>
      </c>
      <c r="I240" s="8">
        <v>1197</v>
      </c>
      <c r="J240" s="8">
        <v>292</v>
      </c>
      <c r="K240" s="8">
        <v>326</v>
      </c>
      <c r="L240" s="8">
        <v>96</v>
      </c>
      <c r="M240" s="8">
        <v>51</v>
      </c>
      <c r="N240" s="10">
        <f t="shared" si="3"/>
        <v>0.41543624161073828</v>
      </c>
    </row>
    <row r="241" spans="1:14" ht="15" customHeight="1" x14ac:dyDescent="0.2">
      <c r="A241" s="7">
        <v>2022</v>
      </c>
      <c r="B241" s="7" t="s">
        <v>94</v>
      </c>
      <c r="C241" s="7" t="s">
        <v>87</v>
      </c>
      <c r="D241" s="7">
        <v>60</v>
      </c>
      <c r="E241" s="8">
        <v>179</v>
      </c>
      <c r="F241" s="8">
        <v>269</v>
      </c>
      <c r="G241" s="8">
        <v>135</v>
      </c>
      <c r="H241" s="8">
        <v>105</v>
      </c>
      <c r="I241" s="8">
        <v>155</v>
      </c>
      <c r="J241" s="8">
        <v>53</v>
      </c>
      <c r="K241" s="8">
        <v>31</v>
      </c>
      <c r="L241" s="8">
        <v>5</v>
      </c>
      <c r="M241" s="8">
        <v>5</v>
      </c>
      <c r="N241" s="10">
        <f t="shared" si="3"/>
        <v>0.5625</v>
      </c>
    </row>
    <row r="242" spans="1:14" ht="15" customHeight="1" x14ac:dyDescent="0.2">
      <c r="A242" s="7">
        <v>2022</v>
      </c>
      <c r="B242" s="7" t="s">
        <v>95</v>
      </c>
      <c r="C242" s="7" t="s">
        <v>87</v>
      </c>
      <c r="D242" s="7">
        <v>61</v>
      </c>
      <c r="E242" s="8">
        <v>7757</v>
      </c>
      <c r="F242" s="8">
        <v>2653</v>
      </c>
      <c r="G242" s="8">
        <v>2844</v>
      </c>
      <c r="H242" s="8">
        <v>4059</v>
      </c>
      <c r="I242" s="8">
        <v>1330</v>
      </c>
      <c r="J242" s="8">
        <v>928</v>
      </c>
      <c r="K242" s="8">
        <v>1072</v>
      </c>
      <c r="L242" s="8">
        <v>127</v>
      </c>
      <c r="M242" s="8">
        <v>173</v>
      </c>
      <c r="N242" s="10">
        <f t="shared" si="3"/>
        <v>0.41199478487614083</v>
      </c>
    </row>
    <row r="243" spans="1:14" ht="15" customHeight="1" x14ac:dyDescent="0.2">
      <c r="A243" s="7">
        <v>2022</v>
      </c>
      <c r="B243" s="7" t="s">
        <v>96</v>
      </c>
      <c r="C243" s="7" t="s">
        <v>87</v>
      </c>
      <c r="D243" s="7">
        <v>62</v>
      </c>
      <c r="E243" s="8">
        <v>4660</v>
      </c>
      <c r="F243" s="8">
        <v>4247</v>
      </c>
      <c r="G243" s="8">
        <v>2286</v>
      </c>
      <c r="H243" s="8">
        <v>3161</v>
      </c>
      <c r="I243" s="8">
        <v>2981</v>
      </c>
      <c r="J243" s="8">
        <v>1212</v>
      </c>
      <c r="K243" s="8">
        <v>1374</v>
      </c>
      <c r="L243" s="8">
        <v>405</v>
      </c>
      <c r="M243" s="8">
        <v>252</v>
      </c>
      <c r="N243" s="10">
        <f t="shared" si="3"/>
        <v>0.41968055810537913</v>
      </c>
    </row>
    <row r="244" spans="1:14" ht="15" customHeight="1" x14ac:dyDescent="0.2">
      <c r="A244" s="7">
        <v>2022</v>
      </c>
      <c r="B244" s="7" t="s">
        <v>97</v>
      </c>
      <c r="C244" s="7" t="s">
        <v>87</v>
      </c>
      <c r="D244" s="7">
        <v>63</v>
      </c>
      <c r="E244" s="8">
        <v>809</v>
      </c>
      <c r="F244" s="8">
        <v>373</v>
      </c>
      <c r="G244" s="8">
        <v>359</v>
      </c>
      <c r="H244" s="8">
        <v>378</v>
      </c>
      <c r="I244" s="8">
        <v>197</v>
      </c>
      <c r="J244" s="8">
        <v>112</v>
      </c>
      <c r="K244" s="8">
        <v>109</v>
      </c>
      <c r="L244" s="8">
        <v>9</v>
      </c>
      <c r="M244" s="8">
        <v>13</v>
      </c>
      <c r="N244" s="10">
        <f t="shared" si="3"/>
        <v>0.48710990502035278</v>
      </c>
    </row>
    <row r="245" spans="1:14" ht="15" customHeight="1" x14ac:dyDescent="0.2">
      <c r="A245" s="7">
        <v>2022</v>
      </c>
      <c r="B245" s="7" t="s">
        <v>98</v>
      </c>
      <c r="C245" s="7" t="s">
        <v>87</v>
      </c>
      <c r="D245" s="7">
        <v>64</v>
      </c>
      <c r="E245" s="8">
        <v>97</v>
      </c>
      <c r="F245" s="8">
        <v>91</v>
      </c>
      <c r="G245" s="8">
        <v>41</v>
      </c>
      <c r="H245" s="8">
        <v>64</v>
      </c>
      <c r="I245" s="8">
        <v>57</v>
      </c>
      <c r="J245" s="8">
        <v>17</v>
      </c>
      <c r="K245" s="8">
        <v>25</v>
      </c>
      <c r="L245" s="8">
        <v>3</v>
      </c>
      <c r="M245" s="8">
        <v>3</v>
      </c>
      <c r="N245" s="10">
        <f t="shared" si="3"/>
        <v>0.39047619047619048</v>
      </c>
    </row>
    <row r="246" spans="1:14" ht="15" customHeight="1" x14ac:dyDescent="0.2">
      <c r="A246" s="7">
        <v>2022</v>
      </c>
      <c r="B246" s="7" t="s">
        <v>65</v>
      </c>
      <c r="C246" s="7" t="s">
        <v>87</v>
      </c>
      <c r="D246" s="7">
        <v>65</v>
      </c>
      <c r="E246" s="8">
        <v>3790</v>
      </c>
      <c r="F246" s="8">
        <v>3197</v>
      </c>
      <c r="G246" s="8">
        <v>1499</v>
      </c>
      <c r="H246" s="8">
        <v>2728</v>
      </c>
      <c r="I246" s="8">
        <v>2301</v>
      </c>
      <c r="J246" s="8">
        <v>831</v>
      </c>
      <c r="K246" s="8">
        <v>1109</v>
      </c>
      <c r="L246" s="8">
        <v>278</v>
      </c>
      <c r="M246" s="8">
        <v>221</v>
      </c>
      <c r="N246" s="10">
        <f t="shared" si="3"/>
        <v>0.35462502957180031</v>
      </c>
    </row>
    <row r="247" spans="1:14" ht="15" customHeight="1" x14ac:dyDescent="0.2">
      <c r="A247" s="7">
        <v>2022</v>
      </c>
      <c r="B247" s="7" t="s">
        <v>99</v>
      </c>
      <c r="C247" s="7" t="s">
        <v>87</v>
      </c>
      <c r="D247" s="7">
        <v>66</v>
      </c>
      <c r="E247" s="8">
        <v>1663</v>
      </c>
      <c r="F247" s="8">
        <v>1475</v>
      </c>
      <c r="G247" s="8">
        <v>727</v>
      </c>
      <c r="H247" s="8">
        <v>1100</v>
      </c>
      <c r="I247" s="8">
        <v>911</v>
      </c>
      <c r="J247" s="8">
        <v>310</v>
      </c>
      <c r="K247" s="8">
        <v>364</v>
      </c>
      <c r="L247" s="8">
        <v>40</v>
      </c>
      <c r="M247" s="8">
        <v>44</v>
      </c>
      <c r="N247" s="10">
        <f t="shared" si="3"/>
        <v>0.39792008757525998</v>
      </c>
    </row>
    <row r="248" spans="1:14" ht="15" customHeight="1" x14ac:dyDescent="0.2">
      <c r="A248" s="7">
        <v>2022</v>
      </c>
      <c r="B248" s="7" t="s">
        <v>57</v>
      </c>
      <c r="C248" s="7" t="s">
        <v>87</v>
      </c>
      <c r="D248" s="7">
        <v>67</v>
      </c>
      <c r="E248" s="8">
        <v>2273</v>
      </c>
      <c r="F248" s="8">
        <v>3897</v>
      </c>
      <c r="G248" s="8">
        <v>1116</v>
      </c>
      <c r="H248" s="8">
        <v>1540</v>
      </c>
      <c r="I248" s="8">
        <v>2715</v>
      </c>
      <c r="J248" s="8">
        <v>492</v>
      </c>
      <c r="K248" s="8">
        <v>605</v>
      </c>
      <c r="L248" s="8">
        <v>179</v>
      </c>
      <c r="M248" s="8">
        <v>63</v>
      </c>
      <c r="N248" s="10">
        <f t="shared" si="3"/>
        <v>0.42018072289156627</v>
      </c>
    </row>
    <row r="249" spans="1:14" ht="15" customHeight="1" x14ac:dyDescent="0.2">
      <c r="A249" s="7">
        <v>2022</v>
      </c>
      <c r="B249" s="7" t="s">
        <v>100</v>
      </c>
      <c r="C249" s="7" t="s">
        <v>87</v>
      </c>
      <c r="D249" s="7">
        <v>68</v>
      </c>
      <c r="E249" s="8">
        <v>587</v>
      </c>
      <c r="F249" s="8">
        <v>1061</v>
      </c>
      <c r="G249" s="8">
        <v>355</v>
      </c>
      <c r="H249" s="8">
        <v>401</v>
      </c>
      <c r="I249" s="8">
        <v>752</v>
      </c>
      <c r="J249" s="8">
        <v>169</v>
      </c>
      <c r="K249" s="8">
        <v>148</v>
      </c>
      <c r="L249" s="8">
        <v>67</v>
      </c>
      <c r="M249" s="8">
        <v>18</v>
      </c>
      <c r="N249" s="10">
        <f t="shared" si="3"/>
        <v>0.46957671957671959</v>
      </c>
    </row>
    <row r="250" spans="1:14" ht="15" customHeight="1" x14ac:dyDescent="0.2">
      <c r="A250" s="7">
        <v>2022</v>
      </c>
      <c r="B250" s="7" t="s">
        <v>101</v>
      </c>
      <c r="C250" s="7" t="s">
        <v>87</v>
      </c>
      <c r="D250" s="7">
        <v>69</v>
      </c>
      <c r="E250" s="8">
        <v>1710</v>
      </c>
      <c r="F250" s="8">
        <v>2244</v>
      </c>
      <c r="G250" s="8">
        <v>843</v>
      </c>
      <c r="H250" s="8">
        <v>1228</v>
      </c>
      <c r="I250" s="8">
        <v>1714</v>
      </c>
      <c r="J250" s="8">
        <v>484</v>
      </c>
      <c r="K250" s="8">
        <v>516</v>
      </c>
      <c r="L250" s="8">
        <v>180</v>
      </c>
      <c r="M250" s="8">
        <v>119</v>
      </c>
      <c r="N250" s="10">
        <f t="shared" si="3"/>
        <v>0.40704973442781267</v>
      </c>
    </row>
    <row r="251" spans="1:14" ht="15" customHeight="1" x14ac:dyDescent="0.2">
      <c r="A251" s="7">
        <v>2022</v>
      </c>
      <c r="B251" s="7" t="s">
        <v>102</v>
      </c>
      <c r="C251" s="7" t="s">
        <v>87</v>
      </c>
      <c r="D251" s="7">
        <v>70</v>
      </c>
      <c r="E251" s="8">
        <v>2898</v>
      </c>
      <c r="F251" s="8">
        <v>3490</v>
      </c>
      <c r="G251" s="8">
        <v>1413</v>
      </c>
      <c r="H251" s="8">
        <v>2095</v>
      </c>
      <c r="I251" s="8">
        <v>2520</v>
      </c>
      <c r="J251" s="8">
        <v>761</v>
      </c>
      <c r="K251" s="8">
        <v>822</v>
      </c>
      <c r="L251" s="8">
        <v>231</v>
      </c>
      <c r="M251" s="8">
        <v>146</v>
      </c>
      <c r="N251" s="10">
        <f t="shared" si="3"/>
        <v>0.40279361459521096</v>
      </c>
    </row>
    <row r="252" spans="1:14" ht="15" customHeight="1" x14ac:dyDescent="0.2">
      <c r="A252" s="7">
        <v>2022</v>
      </c>
      <c r="B252" s="7" t="s">
        <v>103</v>
      </c>
      <c r="C252" s="7" t="s">
        <v>87</v>
      </c>
      <c r="D252" s="7">
        <v>71</v>
      </c>
      <c r="E252" s="8">
        <v>1836</v>
      </c>
      <c r="F252" s="8">
        <v>3669</v>
      </c>
      <c r="G252" s="8">
        <v>1014</v>
      </c>
      <c r="H252" s="8">
        <v>1307</v>
      </c>
      <c r="I252" s="8">
        <v>2640</v>
      </c>
      <c r="J252" s="8">
        <v>477</v>
      </c>
      <c r="K252" s="8">
        <v>567</v>
      </c>
      <c r="L252" s="8">
        <v>187</v>
      </c>
      <c r="M252" s="8">
        <v>81</v>
      </c>
      <c r="N252" s="10">
        <f t="shared" si="3"/>
        <v>0.43688065489013356</v>
      </c>
    </row>
    <row r="253" spans="1:14" ht="15" customHeight="1" x14ac:dyDescent="0.2">
      <c r="A253" s="7">
        <v>2022</v>
      </c>
      <c r="B253" s="7" t="s">
        <v>104</v>
      </c>
      <c r="C253" s="7" t="s">
        <v>87</v>
      </c>
      <c r="D253" s="7">
        <v>72</v>
      </c>
      <c r="E253" s="8">
        <v>1523</v>
      </c>
      <c r="F253" s="8">
        <v>1507</v>
      </c>
      <c r="G253" s="8">
        <v>672</v>
      </c>
      <c r="H253" s="8">
        <v>1015</v>
      </c>
      <c r="I253" s="8">
        <v>963</v>
      </c>
      <c r="J253" s="8">
        <v>295</v>
      </c>
      <c r="K253" s="8">
        <v>352</v>
      </c>
      <c r="L253" s="8">
        <v>77</v>
      </c>
      <c r="M253" s="8">
        <v>36</v>
      </c>
      <c r="N253" s="10">
        <f t="shared" si="3"/>
        <v>0.39834024896265557</v>
      </c>
    </row>
    <row r="254" spans="1:14" ht="15" customHeight="1" x14ac:dyDescent="0.2">
      <c r="A254" s="7">
        <v>2022</v>
      </c>
      <c r="B254" s="7" t="s">
        <v>105</v>
      </c>
      <c r="C254" s="7" t="s">
        <v>87</v>
      </c>
      <c r="D254" s="7">
        <v>73</v>
      </c>
      <c r="E254" s="8">
        <v>864</v>
      </c>
      <c r="F254" s="8">
        <v>782</v>
      </c>
      <c r="G254" s="8">
        <v>342</v>
      </c>
      <c r="H254" s="8">
        <v>540</v>
      </c>
      <c r="I254" s="8">
        <v>502</v>
      </c>
      <c r="J254" s="8">
        <v>134</v>
      </c>
      <c r="K254" s="8">
        <v>137</v>
      </c>
      <c r="L254" s="8">
        <v>33</v>
      </c>
      <c r="M254" s="8">
        <v>17</v>
      </c>
      <c r="N254" s="10">
        <f t="shared" si="3"/>
        <v>0.38775510204081631</v>
      </c>
    </row>
    <row r="255" spans="1:14" ht="15" customHeight="1" x14ac:dyDescent="0.2">
      <c r="A255" s="7">
        <v>2022</v>
      </c>
      <c r="B255" s="7" t="s">
        <v>87</v>
      </c>
      <c r="C255" s="7" t="s">
        <v>87</v>
      </c>
      <c r="D255" s="7">
        <v>74</v>
      </c>
      <c r="E255" s="8">
        <v>2661</v>
      </c>
      <c r="F255" s="8">
        <v>2533</v>
      </c>
      <c r="G255" s="8">
        <v>1158</v>
      </c>
      <c r="H255" s="8">
        <v>1620</v>
      </c>
      <c r="I255" s="8">
        <v>1553</v>
      </c>
      <c r="J255" s="8">
        <v>403</v>
      </c>
      <c r="K255" s="8">
        <v>545</v>
      </c>
      <c r="L255" s="8">
        <v>121</v>
      </c>
      <c r="M255" s="8">
        <v>63</v>
      </c>
      <c r="N255" s="10">
        <f t="shared" si="3"/>
        <v>0.41684665226781858</v>
      </c>
    </row>
    <row r="256" spans="1:14" ht="15" customHeight="1" x14ac:dyDescent="0.2">
      <c r="A256" s="7">
        <v>2022</v>
      </c>
      <c r="B256" s="7" t="s">
        <v>106</v>
      </c>
      <c r="C256" s="7" t="s">
        <v>87</v>
      </c>
      <c r="D256" s="7">
        <v>75</v>
      </c>
      <c r="E256" s="8">
        <v>6393</v>
      </c>
      <c r="F256" s="8">
        <v>5754</v>
      </c>
      <c r="G256" s="8">
        <v>2900</v>
      </c>
      <c r="H256" s="8">
        <v>4250</v>
      </c>
      <c r="I256" s="8">
        <v>3883</v>
      </c>
      <c r="J256" s="8">
        <v>1398</v>
      </c>
      <c r="K256" s="8">
        <v>1992</v>
      </c>
      <c r="L256" s="8">
        <v>577</v>
      </c>
      <c r="M256" s="8">
        <v>372</v>
      </c>
      <c r="N256" s="10">
        <f t="shared" si="3"/>
        <v>0.40559440559440557</v>
      </c>
    </row>
    <row r="257" spans="1:14" ht="15" customHeight="1" x14ac:dyDescent="0.2">
      <c r="A257" s="7">
        <v>2022</v>
      </c>
      <c r="B257" s="7" t="s">
        <v>107</v>
      </c>
      <c r="C257" s="7" t="s">
        <v>87</v>
      </c>
      <c r="D257" s="7">
        <v>76</v>
      </c>
      <c r="E257" s="8">
        <v>667</v>
      </c>
      <c r="F257" s="8">
        <v>1031</v>
      </c>
      <c r="G257" s="8">
        <v>381</v>
      </c>
      <c r="H257" s="8">
        <v>404</v>
      </c>
      <c r="I257" s="8">
        <v>642</v>
      </c>
      <c r="J257" s="8">
        <v>130</v>
      </c>
      <c r="K257" s="8">
        <v>101</v>
      </c>
      <c r="L257" s="8">
        <v>34</v>
      </c>
      <c r="M257" s="8">
        <v>13</v>
      </c>
      <c r="N257" s="10">
        <f t="shared" si="3"/>
        <v>0.48535031847133758</v>
      </c>
    </row>
    <row r="258" spans="1:14" ht="15" customHeight="1" x14ac:dyDescent="0.2">
      <c r="A258" s="7">
        <v>2022</v>
      </c>
      <c r="B258" s="7" t="s">
        <v>108</v>
      </c>
      <c r="C258" s="7" t="s">
        <v>87</v>
      </c>
      <c r="D258" s="7">
        <v>77</v>
      </c>
      <c r="E258" s="8">
        <v>1226</v>
      </c>
      <c r="F258" s="8">
        <v>2319</v>
      </c>
      <c r="G258" s="8">
        <v>755</v>
      </c>
      <c r="H258" s="8">
        <v>863</v>
      </c>
      <c r="I258" s="8">
        <v>1671</v>
      </c>
      <c r="J258" s="8">
        <v>339</v>
      </c>
      <c r="K258" s="8">
        <v>329</v>
      </c>
      <c r="L258" s="8">
        <v>107</v>
      </c>
      <c r="M258" s="8">
        <v>48</v>
      </c>
      <c r="N258" s="10">
        <f t="shared" si="3"/>
        <v>0.46662546353522866</v>
      </c>
    </row>
    <row r="259" spans="1:14" ht="15" customHeight="1" x14ac:dyDescent="0.2">
      <c r="A259" s="7">
        <v>2022</v>
      </c>
      <c r="B259" s="7" t="s">
        <v>109</v>
      </c>
      <c r="C259" s="7" t="s">
        <v>87</v>
      </c>
      <c r="D259" s="7">
        <v>78</v>
      </c>
      <c r="E259" s="8">
        <v>74</v>
      </c>
      <c r="F259" s="8">
        <v>157</v>
      </c>
      <c r="G259" s="8">
        <v>69</v>
      </c>
      <c r="H259" s="8">
        <v>33</v>
      </c>
      <c r="I259" s="8">
        <v>93</v>
      </c>
      <c r="J259" s="8">
        <v>28</v>
      </c>
      <c r="K259" s="8">
        <v>8</v>
      </c>
      <c r="L259" s="8">
        <v>4</v>
      </c>
      <c r="M259" s="8">
        <v>1</v>
      </c>
      <c r="N259" s="10">
        <f t="shared" si="3"/>
        <v>0.67647058823529416</v>
      </c>
    </row>
    <row r="260" spans="1:14" ht="15" customHeight="1" x14ac:dyDescent="0.2">
      <c r="A260" s="7">
        <v>2022</v>
      </c>
      <c r="B260" s="7" t="s">
        <v>110</v>
      </c>
      <c r="C260" s="7" t="s">
        <v>87</v>
      </c>
      <c r="D260" s="7">
        <v>79</v>
      </c>
      <c r="E260" s="8">
        <v>355</v>
      </c>
      <c r="F260" s="8">
        <v>483</v>
      </c>
      <c r="G260" s="8">
        <v>215</v>
      </c>
      <c r="H260" s="8">
        <v>225</v>
      </c>
      <c r="I260" s="8">
        <v>316</v>
      </c>
      <c r="J260" s="8">
        <v>77</v>
      </c>
      <c r="K260" s="8">
        <v>70</v>
      </c>
      <c r="L260" s="8">
        <v>26</v>
      </c>
      <c r="M260" s="8">
        <v>6</v>
      </c>
      <c r="N260" s="10">
        <f t="shared" ref="N260:N323" si="4">IFERROR(G260/(G260+H260),"")</f>
        <v>0.48863636363636365</v>
      </c>
    </row>
    <row r="261" spans="1:14" ht="15" customHeight="1" x14ac:dyDescent="0.2">
      <c r="A261" s="7">
        <v>2022</v>
      </c>
      <c r="B261" s="7" t="s">
        <v>111</v>
      </c>
      <c r="C261" s="7" t="s">
        <v>87</v>
      </c>
      <c r="D261" s="7">
        <v>80</v>
      </c>
      <c r="E261" s="8">
        <v>195</v>
      </c>
      <c r="F261" s="8">
        <v>263</v>
      </c>
      <c r="G261" s="8">
        <v>100</v>
      </c>
      <c r="H261" s="8">
        <v>133</v>
      </c>
      <c r="I261" s="8">
        <v>173</v>
      </c>
      <c r="J261" s="8">
        <v>47</v>
      </c>
      <c r="K261" s="8">
        <v>43</v>
      </c>
      <c r="L261" s="8">
        <v>11</v>
      </c>
      <c r="M261" s="8">
        <v>5</v>
      </c>
      <c r="N261" s="10">
        <f t="shared" si="4"/>
        <v>0.42918454935622319</v>
      </c>
    </row>
    <row r="262" spans="1:14" ht="15" customHeight="1" x14ac:dyDescent="0.2">
      <c r="A262" s="7">
        <v>2022</v>
      </c>
      <c r="B262" s="7" t="s">
        <v>112</v>
      </c>
      <c r="C262" s="7" t="s">
        <v>87</v>
      </c>
      <c r="D262" s="7">
        <v>81</v>
      </c>
      <c r="E262" s="8">
        <v>297</v>
      </c>
      <c r="F262" s="8">
        <v>365</v>
      </c>
      <c r="G262" s="8">
        <v>193</v>
      </c>
      <c r="H262" s="8">
        <v>198</v>
      </c>
      <c r="I262" s="8">
        <v>247</v>
      </c>
      <c r="J262" s="8">
        <v>89</v>
      </c>
      <c r="K262" s="8">
        <v>46</v>
      </c>
      <c r="L262" s="8">
        <v>7</v>
      </c>
      <c r="M262" s="8">
        <v>8</v>
      </c>
      <c r="N262" s="10">
        <f t="shared" si="4"/>
        <v>0.49360613810741688</v>
      </c>
    </row>
    <row r="263" spans="1:14" ht="15" customHeight="1" x14ac:dyDescent="0.2">
      <c r="A263" s="7">
        <v>2022</v>
      </c>
      <c r="B263" s="7" t="s">
        <v>113</v>
      </c>
      <c r="C263" s="7" t="s">
        <v>87</v>
      </c>
      <c r="D263" s="7">
        <v>82</v>
      </c>
      <c r="E263" s="8">
        <v>1123</v>
      </c>
      <c r="F263" s="8">
        <v>2468</v>
      </c>
      <c r="G263" s="8">
        <v>778</v>
      </c>
      <c r="H263" s="8">
        <v>794</v>
      </c>
      <c r="I263" s="8">
        <v>1745</v>
      </c>
      <c r="J263" s="8">
        <v>367</v>
      </c>
      <c r="K263" s="8">
        <v>259</v>
      </c>
      <c r="L263" s="8">
        <v>82</v>
      </c>
      <c r="M263" s="8">
        <v>41</v>
      </c>
      <c r="N263" s="10">
        <f t="shared" si="4"/>
        <v>0.49491094147582698</v>
      </c>
    </row>
    <row r="264" spans="1:14" ht="15" customHeight="1" x14ac:dyDescent="0.2">
      <c r="A264" s="7">
        <v>2022</v>
      </c>
      <c r="B264" s="7" t="s">
        <v>114</v>
      </c>
      <c r="C264" s="7" t="s">
        <v>87</v>
      </c>
      <c r="D264" s="7">
        <v>83</v>
      </c>
      <c r="E264" s="8">
        <v>1665</v>
      </c>
      <c r="F264" s="8">
        <v>1935</v>
      </c>
      <c r="G264" s="8">
        <v>905</v>
      </c>
      <c r="H264" s="8">
        <v>1151</v>
      </c>
      <c r="I264" s="8">
        <v>1317</v>
      </c>
      <c r="J264" s="8">
        <v>466</v>
      </c>
      <c r="K264" s="8">
        <v>559</v>
      </c>
      <c r="L264" s="8">
        <v>186</v>
      </c>
      <c r="M264" s="8">
        <v>135</v>
      </c>
      <c r="N264" s="10">
        <f t="shared" si="4"/>
        <v>0.44017509727626458</v>
      </c>
    </row>
    <row r="265" spans="1:14" ht="15" customHeight="1" x14ac:dyDescent="0.2">
      <c r="A265" s="7">
        <v>2022</v>
      </c>
      <c r="B265" s="7" t="s">
        <v>115</v>
      </c>
      <c r="C265" s="7" t="s">
        <v>87</v>
      </c>
      <c r="D265" s="7">
        <v>84</v>
      </c>
      <c r="E265" s="8">
        <v>417</v>
      </c>
      <c r="F265" s="8">
        <v>586</v>
      </c>
      <c r="G265" s="8">
        <v>229</v>
      </c>
      <c r="H265" s="8">
        <v>257</v>
      </c>
      <c r="I265" s="8">
        <v>306</v>
      </c>
      <c r="J265" s="8">
        <v>65</v>
      </c>
      <c r="K265" s="8">
        <v>85</v>
      </c>
      <c r="L265" s="8">
        <v>21</v>
      </c>
      <c r="M265" s="8">
        <v>8</v>
      </c>
      <c r="N265" s="10">
        <f t="shared" si="4"/>
        <v>0.4711934156378601</v>
      </c>
    </row>
    <row r="266" spans="1:14" ht="15" customHeight="1" x14ac:dyDescent="0.2">
      <c r="A266" s="7">
        <v>2022</v>
      </c>
      <c r="B266" s="7" t="s">
        <v>79</v>
      </c>
      <c r="C266" s="7" t="s">
        <v>87</v>
      </c>
      <c r="D266" s="7">
        <v>85</v>
      </c>
      <c r="E266" s="8">
        <v>930</v>
      </c>
      <c r="F266" s="8">
        <v>1826</v>
      </c>
      <c r="G266" s="8">
        <v>627</v>
      </c>
      <c r="H266" s="8">
        <v>642</v>
      </c>
      <c r="I266" s="8">
        <v>1290</v>
      </c>
      <c r="J266" s="8">
        <v>300</v>
      </c>
      <c r="K266" s="8">
        <v>288</v>
      </c>
      <c r="L266" s="8">
        <v>110</v>
      </c>
      <c r="M266" s="8">
        <v>52</v>
      </c>
      <c r="N266" s="10">
        <f t="shared" si="4"/>
        <v>0.49408983451536642</v>
      </c>
    </row>
    <row r="267" spans="1:14" ht="15" customHeight="1" x14ac:dyDescent="0.2">
      <c r="A267" s="7">
        <v>2022</v>
      </c>
      <c r="B267" s="7" t="s">
        <v>117</v>
      </c>
      <c r="C267" s="7" t="s">
        <v>87</v>
      </c>
      <c r="D267" s="7">
        <v>86</v>
      </c>
      <c r="E267" s="8">
        <v>292</v>
      </c>
      <c r="F267" s="8">
        <v>279</v>
      </c>
      <c r="G267" s="8">
        <v>133</v>
      </c>
      <c r="H267" s="8">
        <v>164</v>
      </c>
      <c r="I267" s="8">
        <v>179</v>
      </c>
      <c r="J267" s="8">
        <v>47</v>
      </c>
      <c r="K267" s="8">
        <v>47</v>
      </c>
      <c r="L267" s="8">
        <v>12</v>
      </c>
      <c r="M267" s="8">
        <v>4</v>
      </c>
      <c r="N267" s="10">
        <f t="shared" si="4"/>
        <v>0.44781144781144783</v>
      </c>
    </row>
    <row r="268" spans="1:14" ht="15" customHeight="1" x14ac:dyDescent="0.2">
      <c r="A268" s="7">
        <v>2022</v>
      </c>
      <c r="B268" s="7" t="s">
        <v>118</v>
      </c>
      <c r="C268" s="7" t="s">
        <v>87</v>
      </c>
      <c r="D268" s="7">
        <v>87</v>
      </c>
      <c r="E268" s="8">
        <v>1541</v>
      </c>
      <c r="F268" s="8">
        <v>2109</v>
      </c>
      <c r="G268" s="8">
        <v>959</v>
      </c>
      <c r="H268" s="8">
        <v>1064</v>
      </c>
      <c r="I268" s="8">
        <v>1461</v>
      </c>
      <c r="J268" s="8">
        <v>532</v>
      </c>
      <c r="K268" s="8">
        <v>393</v>
      </c>
      <c r="L268" s="8">
        <v>149</v>
      </c>
      <c r="M268" s="8">
        <v>85</v>
      </c>
      <c r="N268" s="10">
        <f t="shared" si="4"/>
        <v>0.47404844290657439</v>
      </c>
    </row>
    <row r="269" spans="1:14" ht="15" customHeight="1" x14ac:dyDescent="0.2">
      <c r="A269" s="7">
        <v>2022</v>
      </c>
      <c r="B269" s="7" t="s">
        <v>119</v>
      </c>
      <c r="C269" s="7" t="s">
        <v>87</v>
      </c>
      <c r="D269" s="7">
        <v>88</v>
      </c>
      <c r="E269" s="8">
        <v>2040</v>
      </c>
      <c r="F269" s="8">
        <v>1235</v>
      </c>
      <c r="G269" s="8">
        <v>927</v>
      </c>
      <c r="H269" s="8">
        <v>1095</v>
      </c>
      <c r="I269" s="8">
        <v>691</v>
      </c>
      <c r="J269" s="8">
        <v>272</v>
      </c>
      <c r="K269" s="8">
        <v>367</v>
      </c>
      <c r="L269" s="8">
        <v>59</v>
      </c>
      <c r="M269" s="8">
        <v>57</v>
      </c>
      <c r="N269" s="10">
        <f t="shared" si="4"/>
        <v>0.45845697329376855</v>
      </c>
    </row>
    <row r="270" spans="1:14" ht="15" customHeight="1" x14ac:dyDescent="0.2">
      <c r="A270" s="7">
        <v>2022</v>
      </c>
      <c r="B270" s="7" t="s">
        <v>120</v>
      </c>
      <c r="C270" s="7" t="s">
        <v>87</v>
      </c>
      <c r="D270" s="7">
        <v>89</v>
      </c>
      <c r="E270" s="8">
        <v>670</v>
      </c>
      <c r="F270" s="8">
        <v>822</v>
      </c>
      <c r="G270" s="8">
        <v>330</v>
      </c>
      <c r="H270" s="8">
        <v>394</v>
      </c>
      <c r="I270" s="8">
        <v>489</v>
      </c>
      <c r="J270" s="8">
        <v>131</v>
      </c>
      <c r="K270" s="8">
        <v>146</v>
      </c>
      <c r="L270" s="8">
        <v>52</v>
      </c>
      <c r="M270" s="8">
        <v>18</v>
      </c>
      <c r="N270" s="10">
        <f t="shared" si="4"/>
        <v>0.45580110497237569</v>
      </c>
    </row>
    <row r="271" spans="1:14" ht="15" customHeight="1" x14ac:dyDescent="0.2">
      <c r="A271" s="7">
        <v>2020</v>
      </c>
      <c r="B271" s="7" t="s">
        <v>30</v>
      </c>
      <c r="C271" s="7" t="s">
        <v>31</v>
      </c>
      <c r="D271" s="7">
        <v>1</v>
      </c>
      <c r="E271" s="8">
        <v>249</v>
      </c>
      <c r="F271" s="8">
        <v>206</v>
      </c>
      <c r="G271" s="8">
        <v>73</v>
      </c>
      <c r="H271" s="8">
        <v>186</v>
      </c>
      <c r="I271" s="8">
        <v>171</v>
      </c>
      <c r="J271" s="8">
        <v>41</v>
      </c>
      <c r="K271" s="8">
        <v>54</v>
      </c>
      <c r="L271" s="8">
        <v>22</v>
      </c>
      <c r="M271" s="8">
        <v>5</v>
      </c>
      <c r="N271" s="10">
        <f t="shared" si="4"/>
        <v>0.28185328185328185</v>
      </c>
    </row>
    <row r="272" spans="1:14" ht="15" customHeight="1" x14ac:dyDescent="0.2">
      <c r="A272" s="7">
        <v>2020</v>
      </c>
      <c r="B272" s="7" t="s">
        <v>34</v>
      </c>
      <c r="C272" s="7" t="s">
        <v>31</v>
      </c>
      <c r="D272" s="7">
        <v>2</v>
      </c>
      <c r="E272" s="8">
        <v>149</v>
      </c>
      <c r="F272" s="8">
        <v>253</v>
      </c>
      <c r="G272" s="8">
        <v>75</v>
      </c>
      <c r="H272" s="8">
        <v>89</v>
      </c>
      <c r="I272" s="8">
        <v>194</v>
      </c>
      <c r="J272" s="8">
        <v>36</v>
      </c>
      <c r="K272" s="8">
        <v>20</v>
      </c>
      <c r="L272" s="8">
        <v>13</v>
      </c>
      <c r="M272" s="8">
        <v>6</v>
      </c>
      <c r="N272" s="10">
        <f t="shared" si="4"/>
        <v>0.45731707317073172</v>
      </c>
    </row>
    <row r="273" spans="1:14" ht="15" customHeight="1" x14ac:dyDescent="0.2">
      <c r="A273" s="7">
        <v>2020</v>
      </c>
      <c r="B273" s="7" t="s">
        <v>35</v>
      </c>
      <c r="C273" s="7" t="s">
        <v>31</v>
      </c>
      <c r="D273" s="7">
        <v>3</v>
      </c>
      <c r="E273" s="8">
        <v>143</v>
      </c>
      <c r="F273" s="8">
        <v>268</v>
      </c>
      <c r="G273" s="8">
        <v>66</v>
      </c>
      <c r="H273" s="8">
        <v>107</v>
      </c>
      <c r="I273" s="8">
        <v>214</v>
      </c>
      <c r="J273" s="8">
        <v>32</v>
      </c>
      <c r="K273" s="8">
        <v>28</v>
      </c>
      <c r="L273" s="8">
        <v>20</v>
      </c>
      <c r="M273" s="8">
        <v>4</v>
      </c>
      <c r="N273" s="10">
        <f t="shared" si="4"/>
        <v>0.38150289017341038</v>
      </c>
    </row>
    <row r="274" spans="1:14" ht="15" customHeight="1" x14ac:dyDescent="0.2">
      <c r="A274" s="7">
        <v>2020</v>
      </c>
      <c r="B274" s="7" t="s">
        <v>36</v>
      </c>
      <c r="C274" s="7" t="s">
        <v>31</v>
      </c>
      <c r="D274" s="7">
        <v>4</v>
      </c>
      <c r="E274" s="8">
        <v>464</v>
      </c>
      <c r="F274" s="8">
        <v>1092</v>
      </c>
      <c r="G274" s="8">
        <v>238</v>
      </c>
      <c r="H274" s="8">
        <v>365</v>
      </c>
      <c r="I274" s="8">
        <v>877</v>
      </c>
      <c r="J274" s="8">
        <v>142</v>
      </c>
      <c r="K274" s="8">
        <v>134</v>
      </c>
      <c r="L274" s="8">
        <v>93</v>
      </c>
      <c r="M274" s="8">
        <v>34</v>
      </c>
      <c r="N274" s="10">
        <f t="shared" si="4"/>
        <v>0.3946932006633499</v>
      </c>
    </row>
    <row r="275" spans="1:14" ht="15" customHeight="1" x14ac:dyDescent="0.2">
      <c r="A275" s="7">
        <v>2020</v>
      </c>
      <c r="B275" s="7" t="s">
        <v>37</v>
      </c>
      <c r="C275" s="7" t="s">
        <v>31</v>
      </c>
      <c r="D275" s="7">
        <v>5</v>
      </c>
      <c r="E275" s="8">
        <v>48</v>
      </c>
      <c r="F275" s="8">
        <v>69</v>
      </c>
      <c r="G275" s="8">
        <v>22</v>
      </c>
      <c r="H275" s="8">
        <v>39</v>
      </c>
      <c r="I275" s="8">
        <v>50</v>
      </c>
      <c r="J275" s="8">
        <v>16</v>
      </c>
      <c r="K275" s="8">
        <v>16</v>
      </c>
      <c r="L275" s="8">
        <v>10</v>
      </c>
      <c r="M275" s="8">
        <v>3</v>
      </c>
      <c r="N275" s="10">
        <f t="shared" si="4"/>
        <v>0.36065573770491804</v>
      </c>
    </row>
    <row r="276" spans="1:14" ht="15" customHeight="1" x14ac:dyDescent="0.2">
      <c r="A276" s="7">
        <v>2020</v>
      </c>
      <c r="B276" s="7" t="s">
        <v>38</v>
      </c>
      <c r="C276" s="7" t="s">
        <v>31</v>
      </c>
      <c r="D276" s="7">
        <v>6</v>
      </c>
      <c r="E276" s="8">
        <v>710</v>
      </c>
      <c r="F276" s="8">
        <v>1615</v>
      </c>
      <c r="G276" s="8">
        <v>330</v>
      </c>
      <c r="H276" s="8">
        <v>547</v>
      </c>
      <c r="I276" s="8">
        <v>1313</v>
      </c>
      <c r="J276" s="8">
        <v>193</v>
      </c>
      <c r="K276" s="8">
        <v>241</v>
      </c>
      <c r="L276" s="8">
        <v>132</v>
      </c>
      <c r="M276" s="8">
        <v>21</v>
      </c>
      <c r="N276" s="10">
        <f t="shared" si="4"/>
        <v>0.37628278221208666</v>
      </c>
    </row>
    <row r="277" spans="1:14" ht="15" customHeight="1" x14ac:dyDescent="0.2">
      <c r="A277" s="7">
        <v>2020</v>
      </c>
      <c r="B277" s="7" t="s">
        <v>39</v>
      </c>
      <c r="C277" s="7" t="s">
        <v>31</v>
      </c>
      <c r="D277" s="7">
        <v>7</v>
      </c>
      <c r="E277" s="8">
        <v>1152</v>
      </c>
      <c r="F277" s="8">
        <v>1267</v>
      </c>
      <c r="G277" s="8">
        <v>361</v>
      </c>
      <c r="H277" s="8">
        <v>904</v>
      </c>
      <c r="I277" s="8">
        <v>998</v>
      </c>
      <c r="J277" s="8">
        <v>231</v>
      </c>
      <c r="K277" s="8">
        <v>346</v>
      </c>
      <c r="L277" s="8">
        <v>114</v>
      </c>
      <c r="M277" s="8">
        <v>43</v>
      </c>
      <c r="N277" s="10">
        <f t="shared" si="4"/>
        <v>0.28537549407114626</v>
      </c>
    </row>
    <row r="278" spans="1:14" ht="15" customHeight="1" x14ac:dyDescent="0.2">
      <c r="A278" s="7">
        <v>2020</v>
      </c>
      <c r="B278" s="7" t="s">
        <v>40</v>
      </c>
      <c r="C278" s="7" t="s">
        <v>31</v>
      </c>
      <c r="D278" s="7">
        <v>8</v>
      </c>
      <c r="E278" s="8">
        <v>300</v>
      </c>
      <c r="F278" s="8">
        <v>629</v>
      </c>
      <c r="G278" s="8">
        <v>209</v>
      </c>
      <c r="H278" s="8">
        <v>202</v>
      </c>
      <c r="I278" s="8">
        <v>444</v>
      </c>
      <c r="J278" s="8">
        <v>118</v>
      </c>
      <c r="K278" s="8">
        <v>80</v>
      </c>
      <c r="L278" s="8">
        <v>43</v>
      </c>
      <c r="M278" s="8">
        <v>20</v>
      </c>
      <c r="N278" s="10">
        <f t="shared" si="4"/>
        <v>0.5085158150851582</v>
      </c>
    </row>
    <row r="279" spans="1:14" ht="15" customHeight="1" x14ac:dyDescent="0.2">
      <c r="A279" s="7">
        <v>2020</v>
      </c>
      <c r="B279" s="7" t="s">
        <v>41</v>
      </c>
      <c r="C279" s="7" t="s">
        <v>31</v>
      </c>
      <c r="D279" s="7">
        <v>9</v>
      </c>
      <c r="E279" s="8">
        <v>735</v>
      </c>
      <c r="F279" s="8">
        <v>806</v>
      </c>
      <c r="G279" s="8">
        <v>352</v>
      </c>
      <c r="H279" s="8">
        <v>462</v>
      </c>
      <c r="I279" s="8">
        <v>513</v>
      </c>
      <c r="J279" s="8">
        <v>152</v>
      </c>
      <c r="K279" s="8">
        <v>185</v>
      </c>
      <c r="L279" s="8">
        <v>63</v>
      </c>
      <c r="M279" s="8">
        <v>24</v>
      </c>
      <c r="N279" s="10">
        <f t="shared" si="4"/>
        <v>0.43243243243243246</v>
      </c>
    </row>
    <row r="280" spans="1:14" ht="15" customHeight="1" x14ac:dyDescent="0.2">
      <c r="A280" s="7">
        <v>2020</v>
      </c>
      <c r="B280" s="7" t="s">
        <v>42</v>
      </c>
      <c r="C280" s="7" t="s">
        <v>31</v>
      </c>
      <c r="D280" s="7">
        <v>10</v>
      </c>
      <c r="E280" s="8">
        <v>39</v>
      </c>
      <c r="F280" s="8">
        <v>90</v>
      </c>
      <c r="G280" s="8">
        <v>16</v>
      </c>
      <c r="H280" s="8">
        <v>29</v>
      </c>
      <c r="I280" s="8">
        <v>74</v>
      </c>
      <c r="J280" s="8">
        <v>11</v>
      </c>
      <c r="K280" s="8">
        <v>18</v>
      </c>
      <c r="L280" s="8">
        <v>15</v>
      </c>
      <c r="M280" s="8">
        <v>0</v>
      </c>
      <c r="N280" s="10">
        <f t="shared" si="4"/>
        <v>0.35555555555555557</v>
      </c>
    </row>
    <row r="281" spans="1:14" ht="15" customHeight="1" x14ac:dyDescent="0.2">
      <c r="A281" s="7">
        <v>2020</v>
      </c>
      <c r="B281" s="7" t="s">
        <v>43</v>
      </c>
      <c r="C281" s="7" t="s">
        <v>31</v>
      </c>
      <c r="D281" s="7">
        <v>11</v>
      </c>
      <c r="E281" s="8">
        <v>54</v>
      </c>
      <c r="F281" s="8">
        <v>216</v>
      </c>
      <c r="G281" s="8">
        <v>32</v>
      </c>
      <c r="H281" s="8">
        <v>41</v>
      </c>
      <c r="I281" s="8">
        <v>185</v>
      </c>
      <c r="J281" s="8">
        <v>24</v>
      </c>
      <c r="K281" s="8">
        <v>5</v>
      </c>
      <c r="L281" s="8">
        <v>25</v>
      </c>
      <c r="M281" s="8">
        <v>5</v>
      </c>
      <c r="N281" s="10">
        <f t="shared" si="4"/>
        <v>0.43835616438356162</v>
      </c>
    </row>
    <row r="282" spans="1:14" ht="15" customHeight="1" x14ac:dyDescent="0.2">
      <c r="A282" s="7">
        <v>2020</v>
      </c>
      <c r="B282" s="7" t="s">
        <v>44</v>
      </c>
      <c r="C282" s="7" t="s">
        <v>31</v>
      </c>
      <c r="D282" s="7">
        <v>12</v>
      </c>
      <c r="E282" s="8">
        <v>1004</v>
      </c>
      <c r="F282" s="8">
        <v>1377</v>
      </c>
      <c r="G282" s="8">
        <v>370</v>
      </c>
      <c r="H282" s="8">
        <v>706</v>
      </c>
      <c r="I282" s="8">
        <v>1004</v>
      </c>
      <c r="J282" s="8">
        <v>184</v>
      </c>
      <c r="K282" s="8">
        <v>314</v>
      </c>
      <c r="L282" s="8">
        <v>127</v>
      </c>
      <c r="M282" s="8">
        <v>52</v>
      </c>
      <c r="N282" s="10">
        <f t="shared" si="4"/>
        <v>0.34386617100371747</v>
      </c>
    </row>
    <row r="283" spans="1:14" ht="15" customHeight="1" x14ac:dyDescent="0.2">
      <c r="A283" s="7">
        <v>2020</v>
      </c>
      <c r="B283" s="7" t="s">
        <v>45</v>
      </c>
      <c r="C283" s="7" t="s">
        <v>31</v>
      </c>
      <c r="D283" s="7">
        <v>13</v>
      </c>
      <c r="E283" s="8">
        <v>535</v>
      </c>
      <c r="F283" s="8">
        <v>1094</v>
      </c>
      <c r="G283" s="8">
        <v>284</v>
      </c>
      <c r="H283" s="8">
        <v>410</v>
      </c>
      <c r="I283" s="8">
        <v>827</v>
      </c>
      <c r="J283" s="8">
        <v>181</v>
      </c>
      <c r="K283" s="8">
        <v>179</v>
      </c>
      <c r="L283" s="8">
        <v>68</v>
      </c>
      <c r="M283" s="8">
        <v>43</v>
      </c>
      <c r="N283" s="10">
        <f t="shared" si="4"/>
        <v>0.40922190201729108</v>
      </c>
    </row>
    <row r="284" spans="1:14" ht="15" customHeight="1" x14ac:dyDescent="0.2">
      <c r="A284" s="7">
        <v>2020</v>
      </c>
      <c r="B284" s="7" t="s">
        <v>46</v>
      </c>
      <c r="C284" s="7" t="s">
        <v>31</v>
      </c>
      <c r="D284" s="7">
        <v>14</v>
      </c>
      <c r="E284" s="8">
        <v>687</v>
      </c>
      <c r="F284" s="8">
        <v>1593</v>
      </c>
      <c r="G284" s="8">
        <v>335</v>
      </c>
      <c r="H284" s="8">
        <v>502</v>
      </c>
      <c r="I284" s="8">
        <v>1211</v>
      </c>
      <c r="J284" s="8">
        <v>179</v>
      </c>
      <c r="K284" s="8">
        <v>264</v>
      </c>
      <c r="L284" s="8">
        <v>187</v>
      </c>
      <c r="M284" s="8">
        <v>36</v>
      </c>
      <c r="N284" s="10">
        <f t="shared" si="4"/>
        <v>0.40023894862604542</v>
      </c>
    </row>
    <row r="285" spans="1:14" ht="15" customHeight="1" x14ac:dyDescent="0.2">
      <c r="A285" s="7">
        <v>2020</v>
      </c>
      <c r="B285" s="7" t="s">
        <v>47</v>
      </c>
      <c r="C285" s="7" t="s">
        <v>31</v>
      </c>
      <c r="D285" s="7">
        <v>15</v>
      </c>
      <c r="E285" s="8">
        <v>704</v>
      </c>
      <c r="F285" s="8">
        <v>826</v>
      </c>
      <c r="G285" s="8">
        <v>244</v>
      </c>
      <c r="H285" s="8">
        <v>502</v>
      </c>
      <c r="I285" s="8">
        <v>598</v>
      </c>
      <c r="J285" s="8">
        <v>128</v>
      </c>
      <c r="K285" s="8">
        <v>194</v>
      </c>
      <c r="L285" s="8">
        <v>74</v>
      </c>
      <c r="M285" s="8">
        <v>29</v>
      </c>
      <c r="N285" s="10">
        <f t="shared" si="4"/>
        <v>0.32707774798927614</v>
      </c>
    </row>
    <row r="286" spans="1:14" ht="15" customHeight="1" x14ac:dyDescent="0.2">
      <c r="A286" s="7">
        <v>2020</v>
      </c>
      <c r="B286" s="7" t="s">
        <v>48</v>
      </c>
      <c r="C286" s="7" t="s">
        <v>31</v>
      </c>
      <c r="D286" s="7">
        <v>16</v>
      </c>
      <c r="E286" s="8">
        <v>126</v>
      </c>
      <c r="F286" s="8">
        <v>477</v>
      </c>
      <c r="G286" s="8">
        <v>64</v>
      </c>
      <c r="H286" s="8">
        <v>107</v>
      </c>
      <c r="I286" s="8">
        <v>425</v>
      </c>
      <c r="J286" s="8">
        <v>48</v>
      </c>
      <c r="K286" s="8">
        <v>37</v>
      </c>
      <c r="L286" s="8">
        <v>34</v>
      </c>
      <c r="M286" s="8">
        <v>10</v>
      </c>
      <c r="N286" s="10">
        <f t="shared" si="4"/>
        <v>0.3742690058479532</v>
      </c>
    </row>
    <row r="287" spans="1:14" ht="15" customHeight="1" x14ac:dyDescent="0.2">
      <c r="A287" s="7">
        <v>2020</v>
      </c>
      <c r="B287" s="7" t="s">
        <v>49</v>
      </c>
      <c r="C287" s="7" t="s">
        <v>31</v>
      </c>
      <c r="D287" s="7">
        <v>17</v>
      </c>
      <c r="E287" s="8">
        <v>1029</v>
      </c>
      <c r="F287" s="8">
        <v>1496</v>
      </c>
      <c r="G287" s="8">
        <v>468</v>
      </c>
      <c r="H287" s="8">
        <v>725</v>
      </c>
      <c r="I287" s="8">
        <v>1096</v>
      </c>
      <c r="J287" s="8">
        <v>276</v>
      </c>
      <c r="K287" s="8">
        <v>311</v>
      </c>
      <c r="L287" s="8">
        <v>103</v>
      </c>
      <c r="M287" s="8">
        <v>58</v>
      </c>
      <c r="N287" s="10">
        <f t="shared" si="4"/>
        <v>0.39228834870075441</v>
      </c>
    </row>
    <row r="288" spans="1:14" ht="15" customHeight="1" x14ac:dyDescent="0.2">
      <c r="A288" s="7">
        <v>2020</v>
      </c>
      <c r="B288" s="7" t="s">
        <v>50</v>
      </c>
      <c r="C288" s="7" t="s">
        <v>31</v>
      </c>
      <c r="D288" s="7">
        <v>18</v>
      </c>
      <c r="E288" s="8">
        <v>84</v>
      </c>
      <c r="F288" s="8">
        <v>142</v>
      </c>
      <c r="G288" s="8">
        <v>43</v>
      </c>
      <c r="H288" s="8">
        <v>64</v>
      </c>
      <c r="I288" s="8">
        <v>110</v>
      </c>
      <c r="J288" s="8">
        <v>23</v>
      </c>
      <c r="K288" s="8">
        <v>29</v>
      </c>
      <c r="L288" s="8">
        <v>7</v>
      </c>
      <c r="M288" s="8">
        <v>1</v>
      </c>
      <c r="N288" s="10">
        <f t="shared" si="4"/>
        <v>0.40186915887850466</v>
      </c>
    </row>
    <row r="289" spans="1:14" ht="15" customHeight="1" x14ac:dyDescent="0.2">
      <c r="A289" s="7">
        <v>2020</v>
      </c>
      <c r="B289" s="7" t="s">
        <v>51</v>
      </c>
      <c r="C289" s="7" t="s">
        <v>31</v>
      </c>
      <c r="D289" s="7">
        <v>19</v>
      </c>
      <c r="E289" s="8">
        <v>2024</v>
      </c>
      <c r="F289" s="8">
        <v>3267</v>
      </c>
      <c r="G289" s="8">
        <v>1123</v>
      </c>
      <c r="H289" s="8">
        <v>1398</v>
      </c>
      <c r="I289" s="8">
        <v>2295</v>
      </c>
      <c r="J289" s="8">
        <v>656</v>
      </c>
      <c r="K289" s="8">
        <v>598</v>
      </c>
      <c r="L289" s="8">
        <v>239</v>
      </c>
      <c r="M289" s="8">
        <v>128</v>
      </c>
      <c r="N289" s="10">
        <f t="shared" si="4"/>
        <v>0.44545815152717178</v>
      </c>
    </row>
    <row r="290" spans="1:14" ht="15" customHeight="1" x14ac:dyDescent="0.2">
      <c r="A290" s="7">
        <v>2020</v>
      </c>
      <c r="B290" s="7" t="s">
        <v>52</v>
      </c>
      <c r="C290" s="7" t="s">
        <v>31</v>
      </c>
      <c r="D290" s="7">
        <v>20</v>
      </c>
      <c r="E290" s="8">
        <v>778</v>
      </c>
      <c r="F290" s="8">
        <v>748</v>
      </c>
      <c r="G290" s="8">
        <v>251</v>
      </c>
      <c r="H290" s="8">
        <v>594</v>
      </c>
      <c r="I290" s="8">
        <v>576</v>
      </c>
      <c r="J290" s="8">
        <v>127</v>
      </c>
      <c r="K290" s="8">
        <v>223</v>
      </c>
      <c r="L290" s="8">
        <v>55</v>
      </c>
      <c r="M290" s="8">
        <v>14</v>
      </c>
      <c r="N290" s="10">
        <f t="shared" si="4"/>
        <v>0.29704142011834317</v>
      </c>
    </row>
    <row r="291" spans="1:14" ht="15" customHeight="1" x14ac:dyDescent="0.2">
      <c r="A291" s="7">
        <v>2020</v>
      </c>
      <c r="B291" s="7" t="s">
        <v>53</v>
      </c>
      <c r="C291" s="7" t="s">
        <v>31</v>
      </c>
      <c r="D291" s="7">
        <v>21</v>
      </c>
      <c r="E291" s="8">
        <v>771</v>
      </c>
      <c r="F291" s="8">
        <v>1705</v>
      </c>
      <c r="G291" s="8">
        <v>443</v>
      </c>
      <c r="H291" s="8">
        <v>589</v>
      </c>
      <c r="I291" s="8">
        <v>1368</v>
      </c>
      <c r="J291" s="8">
        <v>303</v>
      </c>
      <c r="K291" s="8">
        <v>267</v>
      </c>
      <c r="L291" s="8">
        <v>148</v>
      </c>
      <c r="M291" s="8">
        <v>69</v>
      </c>
      <c r="N291" s="10">
        <f t="shared" si="4"/>
        <v>0.42926356589147285</v>
      </c>
    </row>
    <row r="292" spans="1:14" ht="15" customHeight="1" x14ac:dyDescent="0.2">
      <c r="A292" s="7">
        <v>2020</v>
      </c>
      <c r="B292" s="7" t="s">
        <v>54</v>
      </c>
      <c r="C292" s="7" t="s">
        <v>31</v>
      </c>
      <c r="D292" s="7">
        <v>22</v>
      </c>
      <c r="E292" s="8">
        <v>362</v>
      </c>
      <c r="F292" s="8">
        <v>779</v>
      </c>
      <c r="G292" s="8">
        <v>180</v>
      </c>
      <c r="H292" s="8">
        <v>261</v>
      </c>
      <c r="I292" s="8">
        <v>609</v>
      </c>
      <c r="J292" s="8">
        <v>116</v>
      </c>
      <c r="K292" s="8">
        <v>100</v>
      </c>
      <c r="L292" s="8">
        <v>59</v>
      </c>
      <c r="M292" s="8">
        <v>19</v>
      </c>
      <c r="N292" s="10">
        <f t="shared" si="4"/>
        <v>0.40816326530612246</v>
      </c>
    </row>
    <row r="293" spans="1:14" ht="15" customHeight="1" x14ac:dyDescent="0.2">
      <c r="A293" s="7">
        <v>2020</v>
      </c>
      <c r="B293" s="7" t="s">
        <v>55</v>
      </c>
      <c r="C293" s="7" t="s">
        <v>31</v>
      </c>
      <c r="D293" s="7">
        <v>23</v>
      </c>
      <c r="E293" s="8">
        <v>64</v>
      </c>
      <c r="F293" s="8">
        <v>98</v>
      </c>
      <c r="G293" s="8">
        <v>38</v>
      </c>
      <c r="H293" s="8">
        <v>37</v>
      </c>
      <c r="I293" s="8">
        <v>61</v>
      </c>
      <c r="J293" s="8">
        <v>20</v>
      </c>
      <c r="K293" s="8">
        <v>15</v>
      </c>
      <c r="L293" s="8">
        <v>8</v>
      </c>
      <c r="M293" s="8">
        <v>3</v>
      </c>
      <c r="N293" s="10">
        <f t="shared" si="4"/>
        <v>0.50666666666666671</v>
      </c>
    </row>
    <row r="294" spans="1:14" ht="15" customHeight="1" x14ac:dyDescent="0.2">
      <c r="A294" s="7">
        <v>2020</v>
      </c>
      <c r="B294" s="7" t="s">
        <v>56</v>
      </c>
      <c r="C294" s="7" t="s">
        <v>57</v>
      </c>
      <c r="D294" s="7">
        <v>24</v>
      </c>
      <c r="E294" s="8">
        <v>583</v>
      </c>
      <c r="F294" s="8">
        <v>609</v>
      </c>
      <c r="G294" s="8">
        <v>293</v>
      </c>
      <c r="H294" s="8">
        <v>462</v>
      </c>
      <c r="I294" s="8">
        <v>498</v>
      </c>
      <c r="J294" s="8">
        <v>197</v>
      </c>
      <c r="K294" s="8">
        <v>205</v>
      </c>
      <c r="L294" s="8">
        <v>72</v>
      </c>
      <c r="M294" s="8">
        <v>43</v>
      </c>
      <c r="N294" s="10">
        <f t="shared" si="4"/>
        <v>0.3880794701986755</v>
      </c>
    </row>
    <row r="295" spans="1:14" ht="15" customHeight="1" x14ac:dyDescent="0.2">
      <c r="A295" s="7">
        <v>2020</v>
      </c>
      <c r="B295" s="7" t="s">
        <v>58</v>
      </c>
      <c r="C295" s="7" t="s">
        <v>57</v>
      </c>
      <c r="D295" s="7">
        <v>25</v>
      </c>
      <c r="E295" s="8">
        <v>30337</v>
      </c>
      <c r="F295" s="8">
        <v>11238</v>
      </c>
      <c r="G295" s="8">
        <v>10972</v>
      </c>
      <c r="H295" s="8">
        <v>19659</v>
      </c>
      <c r="I295" s="8">
        <v>7536</v>
      </c>
      <c r="J295" s="8">
        <v>5095</v>
      </c>
      <c r="K295" s="8">
        <v>8316</v>
      </c>
      <c r="L295" s="8">
        <v>1583</v>
      </c>
      <c r="M295" s="8">
        <v>1479</v>
      </c>
      <c r="N295" s="10">
        <f t="shared" si="4"/>
        <v>0.35819920995070353</v>
      </c>
    </row>
    <row r="296" spans="1:14" ht="15" customHeight="1" x14ac:dyDescent="0.2">
      <c r="A296" s="7">
        <v>2020</v>
      </c>
      <c r="B296" s="7" t="s">
        <v>59</v>
      </c>
      <c r="C296" s="7" t="s">
        <v>57</v>
      </c>
      <c r="D296" s="7">
        <v>26</v>
      </c>
      <c r="E296" s="8">
        <v>6320</v>
      </c>
      <c r="F296" s="8">
        <v>3209</v>
      </c>
      <c r="G296" s="8">
        <v>2001</v>
      </c>
      <c r="H296" s="8">
        <v>4402</v>
      </c>
      <c r="I296" s="8">
        <v>2336</v>
      </c>
      <c r="J296" s="8">
        <v>1111</v>
      </c>
      <c r="K296" s="8">
        <v>2145</v>
      </c>
      <c r="L296" s="8">
        <v>428</v>
      </c>
      <c r="M296" s="8">
        <v>356</v>
      </c>
      <c r="N296" s="10">
        <f t="shared" si="4"/>
        <v>0.31250976104950806</v>
      </c>
    </row>
    <row r="297" spans="1:14" ht="15" customHeight="1" x14ac:dyDescent="0.2">
      <c r="A297" s="7">
        <v>2020</v>
      </c>
      <c r="B297" s="7" t="s">
        <v>60</v>
      </c>
      <c r="C297" s="7" t="s">
        <v>57</v>
      </c>
      <c r="D297" s="7">
        <v>27</v>
      </c>
      <c r="E297" s="8">
        <v>1572</v>
      </c>
      <c r="F297" s="8">
        <v>1210</v>
      </c>
      <c r="G297" s="8">
        <v>676</v>
      </c>
      <c r="H297" s="8">
        <v>1151</v>
      </c>
      <c r="I297" s="8">
        <v>926</v>
      </c>
      <c r="J297" s="8">
        <v>356</v>
      </c>
      <c r="K297" s="8">
        <v>520</v>
      </c>
      <c r="L297" s="8">
        <v>158</v>
      </c>
      <c r="M297" s="8">
        <v>81</v>
      </c>
      <c r="N297" s="10">
        <f t="shared" si="4"/>
        <v>0.37000547345374929</v>
      </c>
    </row>
    <row r="298" spans="1:14" ht="15" customHeight="1" x14ac:dyDescent="0.2">
      <c r="A298" s="7">
        <v>2020</v>
      </c>
      <c r="B298" s="7" t="s">
        <v>61</v>
      </c>
      <c r="C298" s="7" t="s">
        <v>57</v>
      </c>
      <c r="D298" s="7">
        <v>28</v>
      </c>
      <c r="E298" s="8">
        <v>632</v>
      </c>
      <c r="F298" s="8">
        <v>736</v>
      </c>
      <c r="G298" s="8">
        <v>264</v>
      </c>
      <c r="H298" s="8">
        <v>489</v>
      </c>
      <c r="I298" s="8">
        <v>579</v>
      </c>
      <c r="J298" s="8">
        <v>176</v>
      </c>
      <c r="K298" s="8">
        <v>241</v>
      </c>
      <c r="L298" s="8">
        <v>95</v>
      </c>
      <c r="M298" s="8">
        <v>42</v>
      </c>
      <c r="N298" s="10">
        <f t="shared" si="4"/>
        <v>0.35059760956175301</v>
      </c>
    </row>
    <row r="299" spans="1:14" ht="15" customHeight="1" x14ac:dyDescent="0.2">
      <c r="A299" s="7">
        <v>2020</v>
      </c>
      <c r="B299" s="7" t="s">
        <v>62</v>
      </c>
      <c r="C299" s="7" t="s">
        <v>57</v>
      </c>
      <c r="D299" s="7">
        <v>29</v>
      </c>
      <c r="E299" s="8">
        <v>932</v>
      </c>
      <c r="F299" s="8">
        <v>691</v>
      </c>
      <c r="G299" s="8">
        <v>341</v>
      </c>
      <c r="H299" s="8">
        <v>729</v>
      </c>
      <c r="I299" s="8">
        <v>553</v>
      </c>
      <c r="J299" s="8">
        <v>221</v>
      </c>
      <c r="K299" s="8">
        <v>254</v>
      </c>
      <c r="L299" s="8">
        <v>70</v>
      </c>
      <c r="M299" s="8">
        <v>38</v>
      </c>
      <c r="N299" s="10">
        <f t="shared" si="4"/>
        <v>0.31869158878504672</v>
      </c>
    </row>
    <row r="300" spans="1:14" ht="15" customHeight="1" x14ac:dyDescent="0.2">
      <c r="A300" s="7">
        <v>2020</v>
      </c>
      <c r="B300" s="7" t="s">
        <v>63</v>
      </c>
      <c r="C300" s="7" t="s">
        <v>57</v>
      </c>
      <c r="D300" s="7">
        <v>30</v>
      </c>
      <c r="E300" s="8">
        <v>3341</v>
      </c>
      <c r="F300" s="8">
        <v>2833</v>
      </c>
      <c r="G300" s="8">
        <v>1293</v>
      </c>
      <c r="H300" s="8">
        <v>2531</v>
      </c>
      <c r="I300" s="8">
        <v>2247</v>
      </c>
      <c r="J300" s="8">
        <v>845</v>
      </c>
      <c r="K300" s="8">
        <v>1341</v>
      </c>
      <c r="L300" s="8">
        <v>387</v>
      </c>
      <c r="M300" s="8">
        <v>241</v>
      </c>
      <c r="N300" s="10">
        <f t="shared" si="4"/>
        <v>0.33812761506276151</v>
      </c>
    </row>
    <row r="301" spans="1:14" ht="15" customHeight="1" x14ac:dyDescent="0.2">
      <c r="A301" s="7">
        <v>2020</v>
      </c>
      <c r="B301" s="7" t="s">
        <v>64</v>
      </c>
      <c r="C301" s="7" t="s">
        <v>57</v>
      </c>
      <c r="D301" s="7">
        <v>31</v>
      </c>
      <c r="E301" s="8">
        <v>1466</v>
      </c>
      <c r="F301" s="8">
        <v>587</v>
      </c>
      <c r="G301" s="8">
        <v>481</v>
      </c>
      <c r="H301" s="8">
        <v>994</v>
      </c>
      <c r="I301" s="8">
        <v>422</v>
      </c>
      <c r="J301" s="8">
        <v>280</v>
      </c>
      <c r="K301" s="8">
        <v>462</v>
      </c>
      <c r="L301" s="8">
        <v>70</v>
      </c>
      <c r="M301" s="8">
        <v>84</v>
      </c>
      <c r="N301" s="10">
        <f t="shared" si="4"/>
        <v>0.32610169491525426</v>
      </c>
    </row>
    <row r="302" spans="1:14" ht="15" customHeight="1" x14ac:dyDescent="0.2">
      <c r="A302" s="7">
        <v>2020</v>
      </c>
      <c r="B302" s="7" t="s">
        <v>65</v>
      </c>
      <c r="C302" s="7" t="s">
        <v>57</v>
      </c>
      <c r="D302" s="7">
        <v>32</v>
      </c>
      <c r="E302" s="8">
        <v>409</v>
      </c>
      <c r="F302" s="8">
        <v>246</v>
      </c>
      <c r="G302" s="8">
        <v>157</v>
      </c>
      <c r="H302" s="8">
        <v>286</v>
      </c>
      <c r="I302" s="8">
        <v>173</v>
      </c>
      <c r="J302" s="8">
        <v>84</v>
      </c>
      <c r="K302" s="8">
        <v>112</v>
      </c>
      <c r="L302" s="8">
        <v>32</v>
      </c>
      <c r="M302" s="8">
        <v>23</v>
      </c>
      <c r="N302" s="10">
        <f t="shared" si="4"/>
        <v>0.35440180586907449</v>
      </c>
    </row>
    <row r="303" spans="1:14" ht="15" customHeight="1" x14ac:dyDescent="0.2">
      <c r="A303" s="7">
        <v>2020</v>
      </c>
      <c r="B303" s="7" t="s">
        <v>66</v>
      </c>
      <c r="C303" s="7" t="s">
        <v>57</v>
      </c>
      <c r="D303" s="7">
        <v>33</v>
      </c>
      <c r="E303" s="8">
        <v>556</v>
      </c>
      <c r="F303" s="8">
        <v>1304</v>
      </c>
      <c r="G303" s="8">
        <v>299</v>
      </c>
      <c r="H303" s="8">
        <v>458</v>
      </c>
      <c r="I303" s="8">
        <v>1131</v>
      </c>
      <c r="J303" s="8">
        <v>197</v>
      </c>
      <c r="K303" s="8">
        <v>213</v>
      </c>
      <c r="L303" s="8">
        <v>125</v>
      </c>
      <c r="M303" s="8">
        <v>49</v>
      </c>
      <c r="N303" s="10">
        <f t="shared" si="4"/>
        <v>0.39498018494055481</v>
      </c>
    </row>
    <row r="304" spans="1:14" ht="15" customHeight="1" x14ac:dyDescent="0.2">
      <c r="A304" s="7">
        <v>2020</v>
      </c>
      <c r="B304" s="7" t="s">
        <v>67</v>
      </c>
      <c r="C304" s="7" t="s">
        <v>57</v>
      </c>
      <c r="D304" s="7">
        <v>34</v>
      </c>
      <c r="E304" s="8">
        <v>8117</v>
      </c>
      <c r="F304" s="8">
        <v>9082</v>
      </c>
      <c r="G304" s="8">
        <v>3594</v>
      </c>
      <c r="H304" s="8">
        <v>6768</v>
      </c>
      <c r="I304" s="8">
        <v>7696</v>
      </c>
      <c r="J304" s="8">
        <v>2664</v>
      </c>
      <c r="K304" s="8">
        <v>3862</v>
      </c>
      <c r="L304" s="8">
        <v>1724</v>
      </c>
      <c r="M304" s="8">
        <v>975</v>
      </c>
      <c r="N304" s="10">
        <f t="shared" si="4"/>
        <v>0.34684423856398378</v>
      </c>
    </row>
    <row r="305" spans="1:14" ht="15" customHeight="1" x14ac:dyDescent="0.2">
      <c r="A305" s="7">
        <v>2020</v>
      </c>
      <c r="B305" s="7" t="s">
        <v>68</v>
      </c>
      <c r="C305" s="7" t="s">
        <v>57</v>
      </c>
      <c r="D305" s="7">
        <v>35</v>
      </c>
      <c r="E305" s="8">
        <v>777</v>
      </c>
      <c r="F305" s="8">
        <v>1515</v>
      </c>
      <c r="G305" s="8">
        <v>428</v>
      </c>
      <c r="H305" s="8">
        <v>641</v>
      </c>
      <c r="I305" s="8">
        <v>1241</v>
      </c>
      <c r="J305" s="8">
        <v>301</v>
      </c>
      <c r="K305" s="8">
        <v>354</v>
      </c>
      <c r="L305" s="8">
        <v>208</v>
      </c>
      <c r="M305" s="8">
        <v>72</v>
      </c>
      <c r="N305" s="10">
        <f t="shared" si="4"/>
        <v>0.40037418147801684</v>
      </c>
    </row>
    <row r="306" spans="1:14" ht="15" customHeight="1" x14ac:dyDescent="0.2">
      <c r="A306" s="7">
        <v>2020</v>
      </c>
      <c r="B306" s="7" t="s">
        <v>69</v>
      </c>
      <c r="C306" s="7" t="s">
        <v>57</v>
      </c>
      <c r="D306" s="7">
        <v>36</v>
      </c>
      <c r="E306" s="8">
        <v>410</v>
      </c>
      <c r="F306" s="8">
        <v>918</v>
      </c>
      <c r="G306" s="8">
        <v>263</v>
      </c>
      <c r="H306" s="8">
        <v>355</v>
      </c>
      <c r="I306" s="8">
        <v>786</v>
      </c>
      <c r="J306" s="8">
        <v>195</v>
      </c>
      <c r="K306" s="8">
        <v>186</v>
      </c>
      <c r="L306" s="8">
        <v>99</v>
      </c>
      <c r="M306" s="8">
        <v>48</v>
      </c>
      <c r="N306" s="10">
        <f t="shared" si="4"/>
        <v>0.42556634304207119</v>
      </c>
    </row>
    <row r="307" spans="1:14" ht="15" customHeight="1" x14ac:dyDescent="0.2">
      <c r="A307" s="7">
        <v>2020</v>
      </c>
      <c r="B307" s="7" t="s">
        <v>70</v>
      </c>
      <c r="C307" s="7" t="s">
        <v>57</v>
      </c>
      <c r="D307" s="7">
        <v>37</v>
      </c>
      <c r="E307" s="8">
        <v>707</v>
      </c>
      <c r="F307" s="8">
        <v>1709</v>
      </c>
      <c r="G307" s="8">
        <v>388</v>
      </c>
      <c r="H307" s="8">
        <v>598</v>
      </c>
      <c r="I307" s="8">
        <v>1443</v>
      </c>
      <c r="J307" s="8">
        <v>287</v>
      </c>
      <c r="K307" s="8">
        <v>256</v>
      </c>
      <c r="L307" s="8">
        <v>128</v>
      </c>
      <c r="M307" s="8">
        <v>67</v>
      </c>
      <c r="N307" s="10">
        <f t="shared" si="4"/>
        <v>0.39350912778904668</v>
      </c>
    </row>
    <row r="308" spans="1:14" ht="15" customHeight="1" x14ac:dyDescent="0.2">
      <c r="A308" s="7">
        <v>2020</v>
      </c>
      <c r="B308" s="7" t="s">
        <v>71</v>
      </c>
      <c r="C308" s="7" t="s">
        <v>57</v>
      </c>
      <c r="D308" s="7">
        <v>38</v>
      </c>
      <c r="E308" s="8">
        <v>893</v>
      </c>
      <c r="F308" s="8">
        <v>837</v>
      </c>
      <c r="G308" s="8">
        <v>360</v>
      </c>
      <c r="H308" s="8">
        <v>689</v>
      </c>
      <c r="I308" s="8">
        <v>649</v>
      </c>
      <c r="J308" s="8">
        <v>208</v>
      </c>
      <c r="K308" s="8">
        <v>362</v>
      </c>
      <c r="L308" s="8">
        <v>114</v>
      </c>
      <c r="M308" s="8">
        <v>58</v>
      </c>
      <c r="N308" s="10">
        <f t="shared" si="4"/>
        <v>0.34318398474737843</v>
      </c>
    </row>
    <row r="309" spans="1:14" ht="15" customHeight="1" x14ac:dyDescent="0.2">
      <c r="A309" s="7">
        <v>2020</v>
      </c>
      <c r="B309" s="7" t="s">
        <v>72</v>
      </c>
      <c r="C309" s="7" t="s">
        <v>57</v>
      </c>
      <c r="D309" s="7">
        <v>39</v>
      </c>
      <c r="E309" s="8">
        <v>3468</v>
      </c>
      <c r="F309" s="8">
        <v>5266</v>
      </c>
      <c r="G309" s="8">
        <v>1710</v>
      </c>
      <c r="H309" s="8">
        <v>2871</v>
      </c>
      <c r="I309" s="8">
        <v>4488</v>
      </c>
      <c r="J309" s="8">
        <v>1223</v>
      </c>
      <c r="K309" s="8">
        <v>1536</v>
      </c>
      <c r="L309" s="8">
        <v>780</v>
      </c>
      <c r="M309" s="8">
        <v>371</v>
      </c>
      <c r="N309" s="10">
        <f t="shared" si="4"/>
        <v>0.37328094302554027</v>
      </c>
    </row>
    <row r="310" spans="1:14" ht="15" customHeight="1" x14ac:dyDescent="0.2">
      <c r="A310" s="7">
        <v>2020</v>
      </c>
      <c r="B310" s="7" t="s">
        <v>73</v>
      </c>
      <c r="C310" s="7" t="s">
        <v>57</v>
      </c>
      <c r="D310" s="7">
        <v>40</v>
      </c>
      <c r="E310" s="8">
        <v>3655</v>
      </c>
      <c r="F310" s="8">
        <v>3531</v>
      </c>
      <c r="G310" s="8">
        <v>1313</v>
      </c>
      <c r="H310" s="8">
        <v>3001</v>
      </c>
      <c r="I310" s="8">
        <v>3024</v>
      </c>
      <c r="J310" s="8">
        <v>931</v>
      </c>
      <c r="K310" s="8">
        <v>1557</v>
      </c>
      <c r="L310" s="8">
        <v>577</v>
      </c>
      <c r="M310" s="8">
        <v>301</v>
      </c>
      <c r="N310" s="10">
        <f t="shared" si="4"/>
        <v>0.30435790449698658</v>
      </c>
    </row>
    <row r="311" spans="1:14" ht="15" customHeight="1" x14ac:dyDescent="0.2">
      <c r="A311" s="7">
        <v>2020</v>
      </c>
      <c r="B311" s="7" t="s">
        <v>74</v>
      </c>
      <c r="C311" s="7" t="s">
        <v>57</v>
      </c>
      <c r="D311" s="7">
        <v>41</v>
      </c>
      <c r="E311" s="8">
        <v>805</v>
      </c>
      <c r="F311" s="8">
        <v>1008</v>
      </c>
      <c r="G311" s="8">
        <v>414</v>
      </c>
      <c r="H311" s="8">
        <v>547</v>
      </c>
      <c r="I311" s="8">
        <v>742</v>
      </c>
      <c r="J311" s="8">
        <v>220</v>
      </c>
      <c r="K311" s="8">
        <v>231</v>
      </c>
      <c r="L311" s="8">
        <v>73</v>
      </c>
      <c r="M311" s="8">
        <v>40</v>
      </c>
      <c r="N311" s="10">
        <f t="shared" si="4"/>
        <v>0.43080124869927161</v>
      </c>
    </row>
    <row r="312" spans="1:14" ht="15" customHeight="1" x14ac:dyDescent="0.2">
      <c r="A312" s="7">
        <v>2020</v>
      </c>
      <c r="B312" s="7" t="s">
        <v>75</v>
      </c>
      <c r="C312" s="7" t="s">
        <v>57</v>
      </c>
      <c r="D312" s="7">
        <v>42</v>
      </c>
      <c r="E312" s="8">
        <v>6037</v>
      </c>
      <c r="F312" s="8">
        <v>5370</v>
      </c>
      <c r="G312" s="8">
        <v>2271</v>
      </c>
      <c r="H312" s="8">
        <v>4993</v>
      </c>
      <c r="I312" s="8">
        <v>4503</v>
      </c>
      <c r="J312" s="8">
        <v>1636</v>
      </c>
      <c r="K312" s="8">
        <v>2939</v>
      </c>
      <c r="L312" s="8">
        <v>1056</v>
      </c>
      <c r="M312" s="8">
        <v>624</v>
      </c>
      <c r="N312" s="10">
        <f t="shared" si="4"/>
        <v>0.31263766519823788</v>
      </c>
    </row>
    <row r="313" spans="1:14" ht="15" customHeight="1" x14ac:dyDescent="0.2">
      <c r="A313" s="7">
        <v>2020</v>
      </c>
      <c r="B313" s="7" t="s">
        <v>76</v>
      </c>
      <c r="C313" s="7" t="s">
        <v>57</v>
      </c>
      <c r="D313" s="7">
        <v>43</v>
      </c>
      <c r="E313" s="8">
        <v>6487</v>
      </c>
      <c r="F313" s="8">
        <v>6400</v>
      </c>
      <c r="G313" s="8">
        <v>3078</v>
      </c>
      <c r="H313" s="8">
        <v>5104</v>
      </c>
      <c r="I313" s="8">
        <v>5295</v>
      </c>
      <c r="J313" s="8">
        <v>2205</v>
      </c>
      <c r="K313" s="8">
        <v>2988</v>
      </c>
      <c r="L313" s="8">
        <v>1158</v>
      </c>
      <c r="M313" s="8">
        <v>880</v>
      </c>
      <c r="N313" s="10">
        <f t="shared" si="4"/>
        <v>0.37619164018577367</v>
      </c>
    </row>
    <row r="314" spans="1:14" ht="15" customHeight="1" x14ac:dyDescent="0.2">
      <c r="A314" s="7">
        <v>2020</v>
      </c>
      <c r="B314" s="7" t="s">
        <v>77</v>
      </c>
      <c r="C314" s="7" t="s">
        <v>57</v>
      </c>
      <c r="D314" s="7">
        <v>44</v>
      </c>
      <c r="E314" s="8">
        <v>1918</v>
      </c>
      <c r="F314" s="8">
        <v>2893</v>
      </c>
      <c r="G314" s="8">
        <v>882</v>
      </c>
      <c r="H314" s="8">
        <v>1582</v>
      </c>
      <c r="I314" s="8">
        <v>2446</v>
      </c>
      <c r="J314" s="8">
        <v>647</v>
      </c>
      <c r="K314" s="8">
        <v>979</v>
      </c>
      <c r="L314" s="8">
        <v>506</v>
      </c>
      <c r="M314" s="8">
        <v>199</v>
      </c>
      <c r="N314" s="10">
        <f t="shared" si="4"/>
        <v>0.35795454545454547</v>
      </c>
    </row>
    <row r="315" spans="1:14" ht="15" customHeight="1" x14ac:dyDescent="0.2">
      <c r="A315" s="7">
        <v>2020</v>
      </c>
      <c r="B315" s="7" t="s">
        <v>78</v>
      </c>
      <c r="C315" s="7" t="s">
        <v>57</v>
      </c>
      <c r="D315" s="7">
        <v>45</v>
      </c>
      <c r="E315" s="8">
        <v>4153</v>
      </c>
      <c r="F315" s="8">
        <v>5121</v>
      </c>
      <c r="G315" s="8">
        <v>1960</v>
      </c>
      <c r="H315" s="8">
        <v>3232</v>
      </c>
      <c r="I315" s="8">
        <v>4115</v>
      </c>
      <c r="J315" s="8">
        <v>1336</v>
      </c>
      <c r="K315" s="8">
        <v>2015</v>
      </c>
      <c r="L315" s="8">
        <v>812</v>
      </c>
      <c r="M315" s="8">
        <v>491</v>
      </c>
      <c r="N315" s="10">
        <f t="shared" si="4"/>
        <v>0.37750385208012327</v>
      </c>
    </row>
    <row r="316" spans="1:14" ht="15" customHeight="1" x14ac:dyDescent="0.2">
      <c r="A316" s="7">
        <v>2020</v>
      </c>
      <c r="B316" s="7" t="s">
        <v>79</v>
      </c>
      <c r="C316" s="7" t="s">
        <v>57</v>
      </c>
      <c r="D316" s="7">
        <v>46</v>
      </c>
      <c r="E316" s="8">
        <v>1213</v>
      </c>
      <c r="F316" s="8">
        <v>2436</v>
      </c>
      <c r="G316" s="8">
        <v>620</v>
      </c>
      <c r="H316" s="8">
        <v>972</v>
      </c>
      <c r="I316" s="8">
        <v>2003</v>
      </c>
      <c r="J316" s="8">
        <v>420</v>
      </c>
      <c r="K316" s="8">
        <v>483</v>
      </c>
      <c r="L316" s="8">
        <v>255</v>
      </c>
      <c r="M316" s="8">
        <v>89</v>
      </c>
      <c r="N316" s="10">
        <f t="shared" si="4"/>
        <v>0.38944723618090454</v>
      </c>
    </row>
    <row r="317" spans="1:14" ht="15" customHeight="1" x14ac:dyDescent="0.2">
      <c r="A317" s="7">
        <v>2020</v>
      </c>
      <c r="B317" s="7" t="s">
        <v>80</v>
      </c>
      <c r="C317" s="7" t="s">
        <v>57</v>
      </c>
      <c r="D317" s="7">
        <v>47</v>
      </c>
      <c r="E317" s="8">
        <v>912</v>
      </c>
      <c r="F317" s="8">
        <v>2036</v>
      </c>
      <c r="G317" s="8">
        <v>480</v>
      </c>
      <c r="H317" s="8">
        <v>776</v>
      </c>
      <c r="I317" s="8">
        <v>1781</v>
      </c>
      <c r="J317" s="8">
        <v>371</v>
      </c>
      <c r="K317" s="8">
        <v>437</v>
      </c>
      <c r="L317" s="8">
        <v>238</v>
      </c>
      <c r="M317" s="8">
        <v>125</v>
      </c>
      <c r="N317" s="10">
        <f t="shared" si="4"/>
        <v>0.38216560509554143</v>
      </c>
    </row>
    <row r="318" spans="1:14" ht="15" customHeight="1" x14ac:dyDescent="0.2">
      <c r="A318" s="7">
        <v>2020</v>
      </c>
      <c r="B318" s="7" t="s">
        <v>81</v>
      </c>
      <c r="C318" s="7" t="s">
        <v>57</v>
      </c>
      <c r="D318" s="7">
        <v>48</v>
      </c>
      <c r="E318" s="8">
        <v>7394</v>
      </c>
      <c r="F318" s="8">
        <v>5637</v>
      </c>
      <c r="G318" s="8">
        <v>2501</v>
      </c>
      <c r="H318" s="8">
        <v>5737</v>
      </c>
      <c r="I318" s="8">
        <v>4483</v>
      </c>
      <c r="J318" s="8">
        <v>1568</v>
      </c>
      <c r="K318" s="8">
        <v>2752</v>
      </c>
      <c r="L318" s="8">
        <v>783</v>
      </c>
      <c r="M318" s="8">
        <v>452</v>
      </c>
      <c r="N318" s="10">
        <f t="shared" si="4"/>
        <v>0.30359310512260257</v>
      </c>
    </row>
    <row r="319" spans="1:14" ht="15" customHeight="1" x14ac:dyDescent="0.2">
      <c r="A319" s="7">
        <v>2020</v>
      </c>
      <c r="B319" s="7" t="s">
        <v>82</v>
      </c>
      <c r="C319" s="7" t="s">
        <v>83</v>
      </c>
      <c r="D319" s="7">
        <v>49</v>
      </c>
      <c r="E319" s="8">
        <v>469</v>
      </c>
      <c r="F319" s="8">
        <v>922</v>
      </c>
      <c r="G319" s="8">
        <v>277</v>
      </c>
      <c r="H319" s="8">
        <v>380</v>
      </c>
      <c r="I319" s="8">
        <v>697</v>
      </c>
      <c r="J319" s="8">
        <v>193</v>
      </c>
      <c r="K319" s="8">
        <v>186</v>
      </c>
      <c r="L319" s="8">
        <v>79</v>
      </c>
      <c r="M319" s="8">
        <v>36</v>
      </c>
      <c r="N319" s="10">
        <f t="shared" si="4"/>
        <v>0.42161339421613392</v>
      </c>
    </row>
    <row r="320" spans="1:14" ht="15" customHeight="1" x14ac:dyDescent="0.2">
      <c r="A320" s="7">
        <v>2020</v>
      </c>
      <c r="B320" s="7" t="s">
        <v>84</v>
      </c>
      <c r="C320" s="7" t="s">
        <v>83</v>
      </c>
      <c r="D320" s="7">
        <v>50</v>
      </c>
      <c r="E320" s="8">
        <v>1360</v>
      </c>
      <c r="F320" s="8">
        <v>2381</v>
      </c>
      <c r="G320" s="8">
        <v>800</v>
      </c>
      <c r="H320" s="8">
        <v>1010</v>
      </c>
      <c r="I320" s="8">
        <v>1827</v>
      </c>
      <c r="J320" s="8">
        <v>502</v>
      </c>
      <c r="K320" s="8">
        <v>447</v>
      </c>
      <c r="L320" s="8">
        <v>160</v>
      </c>
      <c r="M320" s="8">
        <v>101</v>
      </c>
      <c r="N320" s="10">
        <f t="shared" si="4"/>
        <v>0.44198895027624308</v>
      </c>
    </row>
    <row r="321" spans="1:14" ht="15" customHeight="1" x14ac:dyDescent="0.2">
      <c r="A321" s="7">
        <v>2020</v>
      </c>
      <c r="B321" s="7" t="s">
        <v>85</v>
      </c>
      <c r="C321" s="7" t="s">
        <v>83</v>
      </c>
      <c r="D321" s="7">
        <v>51</v>
      </c>
      <c r="E321" s="8">
        <v>440</v>
      </c>
      <c r="F321" s="8">
        <v>821</v>
      </c>
      <c r="G321" s="8">
        <v>271</v>
      </c>
      <c r="H321" s="8">
        <v>351</v>
      </c>
      <c r="I321" s="8">
        <v>592</v>
      </c>
      <c r="J321" s="8">
        <v>163</v>
      </c>
      <c r="K321" s="8">
        <v>199</v>
      </c>
      <c r="L321" s="8">
        <v>103</v>
      </c>
      <c r="M321" s="8">
        <v>60</v>
      </c>
      <c r="N321" s="10">
        <f t="shared" si="4"/>
        <v>0.43569131832797425</v>
      </c>
    </row>
    <row r="322" spans="1:14" ht="15" customHeight="1" x14ac:dyDescent="0.2">
      <c r="A322" s="7">
        <v>2020</v>
      </c>
      <c r="B322" s="7" t="s">
        <v>86</v>
      </c>
      <c r="C322" s="7" t="s">
        <v>87</v>
      </c>
      <c r="D322" s="7">
        <v>52</v>
      </c>
      <c r="E322" s="8">
        <v>1380</v>
      </c>
      <c r="F322" s="8">
        <v>1711</v>
      </c>
      <c r="G322" s="8">
        <v>617</v>
      </c>
      <c r="H322" s="8">
        <v>1069</v>
      </c>
      <c r="I322" s="8">
        <v>1370</v>
      </c>
      <c r="J322" s="8">
        <v>410</v>
      </c>
      <c r="K322" s="8">
        <v>653</v>
      </c>
      <c r="L322" s="8">
        <v>299</v>
      </c>
      <c r="M322" s="8">
        <v>156</v>
      </c>
      <c r="N322" s="10">
        <f t="shared" si="4"/>
        <v>0.36595492289442466</v>
      </c>
    </row>
    <row r="323" spans="1:14" ht="15" customHeight="1" x14ac:dyDescent="0.2">
      <c r="A323" s="7">
        <v>2020</v>
      </c>
      <c r="B323" s="7" t="s">
        <v>88</v>
      </c>
      <c r="C323" s="7" t="s">
        <v>87</v>
      </c>
      <c r="D323" s="7">
        <v>53</v>
      </c>
      <c r="E323" s="8">
        <v>884</v>
      </c>
      <c r="F323" s="8">
        <v>1177</v>
      </c>
      <c r="G323" s="8">
        <v>570</v>
      </c>
      <c r="H323" s="8">
        <v>648</v>
      </c>
      <c r="I323" s="8">
        <v>906</v>
      </c>
      <c r="J323" s="8">
        <v>344</v>
      </c>
      <c r="K323" s="8">
        <v>277</v>
      </c>
      <c r="L323" s="8">
        <v>130</v>
      </c>
      <c r="M323" s="8">
        <v>68</v>
      </c>
      <c r="N323" s="10">
        <f t="shared" si="4"/>
        <v>0.46798029556650245</v>
      </c>
    </row>
    <row r="324" spans="1:14" ht="15" customHeight="1" x14ac:dyDescent="0.2">
      <c r="A324" s="7">
        <v>2020</v>
      </c>
      <c r="B324" s="7" t="s">
        <v>89</v>
      </c>
      <c r="C324" s="7" t="s">
        <v>87</v>
      </c>
      <c r="D324" s="7">
        <v>54</v>
      </c>
      <c r="E324" s="8">
        <v>612</v>
      </c>
      <c r="F324" s="8">
        <v>631</v>
      </c>
      <c r="G324" s="8">
        <v>292</v>
      </c>
      <c r="H324" s="8">
        <v>436</v>
      </c>
      <c r="I324" s="8">
        <v>480</v>
      </c>
      <c r="J324" s="8">
        <v>169</v>
      </c>
      <c r="K324" s="8">
        <v>218</v>
      </c>
      <c r="L324" s="8">
        <v>76</v>
      </c>
      <c r="M324" s="8">
        <v>48</v>
      </c>
      <c r="N324" s="10">
        <f t="shared" ref="N324:N387" si="5">IFERROR(G324/(G324+H324),"")</f>
        <v>0.40109890109890112</v>
      </c>
    </row>
    <row r="325" spans="1:14" ht="15" customHeight="1" x14ac:dyDescent="0.2">
      <c r="A325" s="7">
        <v>2020</v>
      </c>
      <c r="B325" s="7" t="s">
        <v>59</v>
      </c>
      <c r="C325" s="7" t="s">
        <v>87</v>
      </c>
      <c r="D325" s="7">
        <v>55</v>
      </c>
      <c r="E325" s="8">
        <v>16555</v>
      </c>
      <c r="F325" s="8">
        <v>7118</v>
      </c>
      <c r="G325" s="8">
        <v>5634</v>
      </c>
      <c r="H325" s="8">
        <v>11608</v>
      </c>
      <c r="I325" s="8">
        <v>5111</v>
      </c>
      <c r="J325" s="8">
        <v>3219</v>
      </c>
      <c r="K325" s="8">
        <v>5805</v>
      </c>
      <c r="L325" s="8">
        <v>1140</v>
      </c>
      <c r="M325" s="8">
        <v>1096</v>
      </c>
      <c r="N325" s="10">
        <f t="shared" si="5"/>
        <v>0.32676023663148129</v>
      </c>
    </row>
    <row r="326" spans="1:14" ht="15" customHeight="1" x14ac:dyDescent="0.2">
      <c r="A326" s="7">
        <v>2020</v>
      </c>
      <c r="B326" s="7" t="s">
        <v>90</v>
      </c>
      <c r="C326" s="7" t="s">
        <v>87</v>
      </c>
      <c r="D326" s="7">
        <v>56</v>
      </c>
      <c r="E326" s="8">
        <v>7228</v>
      </c>
      <c r="F326" s="8">
        <v>6084</v>
      </c>
      <c r="G326" s="8">
        <v>3054</v>
      </c>
      <c r="H326" s="8">
        <v>5946</v>
      </c>
      <c r="I326" s="8">
        <v>5124</v>
      </c>
      <c r="J326" s="8">
        <v>2263</v>
      </c>
      <c r="K326" s="8">
        <v>3473</v>
      </c>
      <c r="L326" s="8">
        <v>1188</v>
      </c>
      <c r="M326" s="8">
        <v>878</v>
      </c>
      <c r="N326" s="10">
        <f t="shared" si="5"/>
        <v>0.33933333333333332</v>
      </c>
    </row>
    <row r="327" spans="1:14" ht="15" customHeight="1" x14ac:dyDescent="0.2">
      <c r="A327" s="7">
        <v>2020</v>
      </c>
      <c r="B327" s="7" t="s">
        <v>91</v>
      </c>
      <c r="C327" s="7" t="s">
        <v>87</v>
      </c>
      <c r="D327" s="7">
        <v>57</v>
      </c>
      <c r="E327" s="8">
        <v>1724</v>
      </c>
      <c r="F327" s="8">
        <v>2985</v>
      </c>
      <c r="G327" s="8">
        <v>959</v>
      </c>
      <c r="H327" s="8">
        <v>1488</v>
      </c>
      <c r="I327" s="8">
        <v>2630</v>
      </c>
      <c r="J327" s="8">
        <v>737</v>
      </c>
      <c r="K327" s="8">
        <v>916</v>
      </c>
      <c r="L327" s="8">
        <v>598</v>
      </c>
      <c r="M327" s="8">
        <v>253</v>
      </c>
      <c r="N327" s="10">
        <f t="shared" si="5"/>
        <v>0.39190845933796487</v>
      </c>
    </row>
    <row r="328" spans="1:14" ht="15" customHeight="1" x14ac:dyDescent="0.2">
      <c r="A328" s="7">
        <v>2020</v>
      </c>
      <c r="B328" s="7" t="s">
        <v>92</v>
      </c>
      <c r="C328" s="7" t="s">
        <v>87</v>
      </c>
      <c r="D328" s="7">
        <v>58</v>
      </c>
      <c r="E328" s="8">
        <v>39</v>
      </c>
      <c r="F328" s="8">
        <v>66</v>
      </c>
      <c r="G328" s="8">
        <v>22</v>
      </c>
      <c r="H328" s="8">
        <v>31</v>
      </c>
      <c r="I328" s="8">
        <v>49</v>
      </c>
      <c r="J328" s="8">
        <v>13</v>
      </c>
      <c r="K328" s="8">
        <v>12</v>
      </c>
      <c r="L328" s="8">
        <v>3</v>
      </c>
      <c r="M328" s="8">
        <v>1</v>
      </c>
      <c r="N328" s="10">
        <f t="shared" si="5"/>
        <v>0.41509433962264153</v>
      </c>
    </row>
    <row r="329" spans="1:14" ht="15" customHeight="1" x14ac:dyDescent="0.2">
      <c r="A329" s="7">
        <v>2020</v>
      </c>
      <c r="B329" s="7" t="s">
        <v>93</v>
      </c>
      <c r="C329" s="7" t="s">
        <v>87</v>
      </c>
      <c r="D329" s="7">
        <v>59</v>
      </c>
      <c r="E329" s="8">
        <v>1217</v>
      </c>
      <c r="F329" s="8">
        <v>1650</v>
      </c>
      <c r="G329" s="8">
        <v>563</v>
      </c>
      <c r="H329" s="8">
        <v>944</v>
      </c>
      <c r="I329" s="8">
        <v>1374</v>
      </c>
      <c r="J329" s="8">
        <v>372</v>
      </c>
      <c r="K329" s="8">
        <v>525</v>
      </c>
      <c r="L329" s="8">
        <v>269</v>
      </c>
      <c r="M329" s="8">
        <v>97</v>
      </c>
      <c r="N329" s="10">
        <f t="shared" si="5"/>
        <v>0.37358991373589912</v>
      </c>
    </row>
    <row r="330" spans="1:14" ht="15" customHeight="1" x14ac:dyDescent="0.2">
      <c r="A330" s="7">
        <v>2020</v>
      </c>
      <c r="B330" s="7" t="s">
        <v>94</v>
      </c>
      <c r="C330" s="7" t="s">
        <v>87</v>
      </c>
      <c r="D330" s="7">
        <v>60</v>
      </c>
      <c r="E330" s="8">
        <v>162</v>
      </c>
      <c r="F330" s="8">
        <v>249</v>
      </c>
      <c r="G330" s="8">
        <v>118</v>
      </c>
      <c r="H330" s="8">
        <v>135</v>
      </c>
      <c r="I330" s="8">
        <v>199</v>
      </c>
      <c r="J330" s="8">
        <v>83</v>
      </c>
      <c r="K330" s="8">
        <v>60</v>
      </c>
      <c r="L330" s="8">
        <v>21</v>
      </c>
      <c r="M330" s="8">
        <v>13</v>
      </c>
      <c r="N330" s="10">
        <f t="shared" si="5"/>
        <v>0.466403162055336</v>
      </c>
    </row>
    <row r="331" spans="1:14" ht="15" customHeight="1" x14ac:dyDescent="0.2">
      <c r="A331" s="7">
        <v>2020</v>
      </c>
      <c r="B331" s="7" t="s">
        <v>95</v>
      </c>
      <c r="C331" s="7" t="s">
        <v>87</v>
      </c>
      <c r="D331" s="7">
        <v>61</v>
      </c>
      <c r="E331" s="8">
        <v>6948</v>
      </c>
      <c r="F331" s="8">
        <v>2441</v>
      </c>
      <c r="G331" s="8">
        <v>2417</v>
      </c>
      <c r="H331" s="8">
        <v>5026</v>
      </c>
      <c r="I331" s="8">
        <v>1768</v>
      </c>
      <c r="J331" s="8">
        <v>1411</v>
      </c>
      <c r="K331" s="8">
        <v>2325</v>
      </c>
      <c r="L331" s="8">
        <v>337</v>
      </c>
      <c r="M331" s="8">
        <v>480</v>
      </c>
      <c r="N331" s="10">
        <f t="shared" si="5"/>
        <v>0.3247346500067177</v>
      </c>
    </row>
    <row r="332" spans="1:14" ht="15" customHeight="1" x14ac:dyDescent="0.2">
      <c r="A332" s="7">
        <v>2020</v>
      </c>
      <c r="B332" s="7" t="s">
        <v>96</v>
      </c>
      <c r="C332" s="7" t="s">
        <v>87</v>
      </c>
      <c r="D332" s="7">
        <v>62</v>
      </c>
      <c r="E332" s="8">
        <v>4342</v>
      </c>
      <c r="F332" s="8">
        <v>4020</v>
      </c>
      <c r="G332" s="8">
        <v>2034</v>
      </c>
      <c r="H332" s="8">
        <v>3683</v>
      </c>
      <c r="I332" s="8">
        <v>3487</v>
      </c>
      <c r="J332" s="8">
        <v>1562</v>
      </c>
      <c r="K332" s="8">
        <v>2347</v>
      </c>
      <c r="L332" s="8">
        <v>1021</v>
      </c>
      <c r="M332" s="8">
        <v>660</v>
      </c>
      <c r="N332" s="10">
        <f t="shared" si="5"/>
        <v>0.35578100402308904</v>
      </c>
    </row>
    <row r="333" spans="1:14" ht="15" customHeight="1" x14ac:dyDescent="0.2">
      <c r="A333" s="7">
        <v>2020</v>
      </c>
      <c r="B333" s="7" t="s">
        <v>97</v>
      </c>
      <c r="C333" s="7" t="s">
        <v>87</v>
      </c>
      <c r="D333" s="7">
        <v>63</v>
      </c>
      <c r="E333" s="8">
        <v>754</v>
      </c>
      <c r="F333" s="8">
        <v>356</v>
      </c>
      <c r="G333" s="8">
        <v>308</v>
      </c>
      <c r="H333" s="8">
        <v>520</v>
      </c>
      <c r="I333" s="8">
        <v>261</v>
      </c>
      <c r="J333" s="8">
        <v>180</v>
      </c>
      <c r="K333" s="8">
        <v>221</v>
      </c>
      <c r="L333" s="8">
        <v>33</v>
      </c>
      <c r="M333" s="8">
        <v>40</v>
      </c>
      <c r="N333" s="10">
        <f t="shared" si="5"/>
        <v>0.3719806763285024</v>
      </c>
    </row>
    <row r="334" spans="1:14" ht="15" customHeight="1" x14ac:dyDescent="0.2">
      <c r="A334" s="7">
        <v>2020</v>
      </c>
      <c r="B334" s="7" t="s">
        <v>98</v>
      </c>
      <c r="C334" s="7" t="s">
        <v>87</v>
      </c>
      <c r="D334" s="7">
        <v>64</v>
      </c>
      <c r="E334" s="8">
        <v>91</v>
      </c>
      <c r="F334" s="8">
        <v>89</v>
      </c>
      <c r="G334" s="8">
        <v>39</v>
      </c>
      <c r="H334" s="8">
        <v>81</v>
      </c>
      <c r="I334" s="8">
        <v>75</v>
      </c>
      <c r="J334" s="8">
        <v>27</v>
      </c>
      <c r="K334" s="8">
        <v>30</v>
      </c>
      <c r="L334" s="8">
        <v>9</v>
      </c>
      <c r="M334" s="8">
        <v>5</v>
      </c>
      <c r="N334" s="10">
        <f t="shared" si="5"/>
        <v>0.32500000000000001</v>
      </c>
    </row>
    <row r="335" spans="1:14" ht="15" customHeight="1" x14ac:dyDescent="0.2">
      <c r="A335" s="7">
        <v>2020</v>
      </c>
      <c r="B335" s="7" t="s">
        <v>65</v>
      </c>
      <c r="C335" s="7" t="s">
        <v>87</v>
      </c>
      <c r="D335" s="7">
        <v>65</v>
      </c>
      <c r="E335" s="8">
        <v>3627</v>
      </c>
      <c r="F335" s="8">
        <v>3081</v>
      </c>
      <c r="G335" s="8">
        <v>1383</v>
      </c>
      <c r="H335" s="8">
        <v>3013</v>
      </c>
      <c r="I335" s="8">
        <v>2620</v>
      </c>
      <c r="J335" s="8">
        <v>1084</v>
      </c>
      <c r="K335" s="8">
        <v>1836</v>
      </c>
      <c r="L335" s="8">
        <v>692</v>
      </c>
      <c r="M335" s="8">
        <v>459</v>
      </c>
      <c r="N335" s="10">
        <f t="shared" si="5"/>
        <v>0.3146041856232939</v>
      </c>
    </row>
    <row r="336" spans="1:14" ht="15" customHeight="1" x14ac:dyDescent="0.2">
      <c r="A336" s="7">
        <v>2020</v>
      </c>
      <c r="B336" s="7" t="s">
        <v>99</v>
      </c>
      <c r="C336" s="7" t="s">
        <v>87</v>
      </c>
      <c r="D336" s="7">
        <v>66</v>
      </c>
      <c r="E336" s="8">
        <v>1599</v>
      </c>
      <c r="F336" s="8">
        <v>1406</v>
      </c>
      <c r="G336" s="8">
        <v>662</v>
      </c>
      <c r="H336" s="8">
        <v>1216</v>
      </c>
      <c r="I336" s="8">
        <v>1070</v>
      </c>
      <c r="J336" s="8">
        <v>431</v>
      </c>
      <c r="K336" s="8">
        <v>619</v>
      </c>
      <c r="L336" s="8">
        <v>129</v>
      </c>
      <c r="M336" s="8">
        <v>95</v>
      </c>
      <c r="N336" s="10">
        <f t="shared" si="5"/>
        <v>0.35250266240681577</v>
      </c>
    </row>
    <row r="337" spans="1:14" ht="15" customHeight="1" x14ac:dyDescent="0.2">
      <c r="A337" s="7">
        <v>2020</v>
      </c>
      <c r="B337" s="7" t="s">
        <v>57</v>
      </c>
      <c r="C337" s="7" t="s">
        <v>87</v>
      </c>
      <c r="D337" s="7">
        <v>67</v>
      </c>
      <c r="E337" s="8">
        <v>2204</v>
      </c>
      <c r="F337" s="8">
        <v>3743</v>
      </c>
      <c r="G337" s="8">
        <v>1029</v>
      </c>
      <c r="H337" s="8">
        <v>1768</v>
      </c>
      <c r="I337" s="8">
        <v>3134</v>
      </c>
      <c r="J337" s="8">
        <v>709</v>
      </c>
      <c r="K337" s="8">
        <v>931</v>
      </c>
      <c r="L337" s="8">
        <v>441</v>
      </c>
      <c r="M337" s="8">
        <v>164</v>
      </c>
      <c r="N337" s="10">
        <f t="shared" si="5"/>
        <v>0.36789417232749372</v>
      </c>
    </row>
    <row r="338" spans="1:14" ht="15" customHeight="1" x14ac:dyDescent="0.2">
      <c r="A338" s="7">
        <v>2020</v>
      </c>
      <c r="B338" s="7" t="s">
        <v>100</v>
      </c>
      <c r="C338" s="7" t="s">
        <v>87</v>
      </c>
      <c r="D338" s="7">
        <v>68</v>
      </c>
      <c r="E338" s="8">
        <v>559</v>
      </c>
      <c r="F338" s="8">
        <v>1000</v>
      </c>
      <c r="G338" s="8">
        <v>317</v>
      </c>
      <c r="H338" s="8">
        <v>478</v>
      </c>
      <c r="I338" s="8">
        <v>872</v>
      </c>
      <c r="J338" s="8">
        <v>227</v>
      </c>
      <c r="K338" s="8">
        <v>228</v>
      </c>
      <c r="L338" s="8">
        <v>154</v>
      </c>
      <c r="M338" s="8">
        <v>43</v>
      </c>
      <c r="N338" s="10">
        <f t="shared" si="5"/>
        <v>0.3987421383647799</v>
      </c>
    </row>
    <row r="339" spans="1:14" ht="15" customHeight="1" x14ac:dyDescent="0.2">
      <c r="A339" s="7">
        <v>2020</v>
      </c>
      <c r="B339" s="7" t="s">
        <v>101</v>
      </c>
      <c r="C339" s="7" t="s">
        <v>87</v>
      </c>
      <c r="D339" s="7">
        <v>69</v>
      </c>
      <c r="E339" s="8">
        <v>1589</v>
      </c>
      <c r="F339" s="8">
        <v>2149</v>
      </c>
      <c r="G339" s="8">
        <v>766</v>
      </c>
      <c r="H339" s="8">
        <v>1339</v>
      </c>
      <c r="I339" s="8">
        <v>1895</v>
      </c>
      <c r="J339" s="8">
        <v>621</v>
      </c>
      <c r="K339" s="8">
        <v>838</v>
      </c>
      <c r="L339" s="8">
        <v>449</v>
      </c>
      <c r="M339" s="8">
        <v>250</v>
      </c>
      <c r="N339" s="10">
        <f t="shared" si="5"/>
        <v>0.36389548693586699</v>
      </c>
    </row>
    <row r="340" spans="1:14" ht="15" customHeight="1" x14ac:dyDescent="0.2">
      <c r="A340" s="7">
        <v>2020</v>
      </c>
      <c r="B340" s="7" t="s">
        <v>102</v>
      </c>
      <c r="C340" s="7" t="s">
        <v>87</v>
      </c>
      <c r="D340" s="7">
        <v>70</v>
      </c>
      <c r="E340" s="8">
        <v>2757</v>
      </c>
      <c r="F340" s="8">
        <v>3343</v>
      </c>
      <c r="G340" s="8">
        <v>1309</v>
      </c>
      <c r="H340" s="8">
        <v>2285</v>
      </c>
      <c r="I340" s="8">
        <v>2810</v>
      </c>
      <c r="J340" s="8">
        <v>1003</v>
      </c>
      <c r="K340" s="8">
        <v>1281</v>
      </c>
      <c r="L340" s="8">
        <v>491</v>
      </c>
      <c r="M340" s="8">
        <v>329</v>
      </c>
      <c r="N340" s="10">
        <f t="shared" si="5"/>
        <v>0.36421814134668895</v>
      </c>
    </row>
    <row r="341" spans="1:14" ht="15" customHeight="1" x14ac:dyDescent="0.2">
      <c r="A341" s="7">
        <v>2020</v>
      </c>
      <c r="B341" s="7" t="s">
        <v>103</v>
      </c>
      <c r="C341" s="7" t="s">
        <v>87</v>
      </c>
      <c r="D341" s="7">
        <v>71</v>
      </c>
      <c r="E341" s="8">
        <v>1771</v>
      </c>
      <c r="F341" s="8">
        <v>3531</v>
      </c>
      <c r="G341" s="8">
        <v>938</v>
      </c>
      <c r="H341" s="8">
        <v>1478</v>
      </c>
      <c r="I341" s="8">
        <v>3038</v>
      </c>
      <c r="J341" s="8">
        <v>671</v>
      </c>
      <c r="K341" s="8">
        <v>844</v>
      </c>
      <c r="L341" s="8">
        <v>515</v>
      </c>
      <c r="M341" s="8">
        <v>170</v>
      </c>
      <c r="N341" s="10">
        <f t="shared" si="5"/>
        <v>0.38824503311258279</v>
      </c>
    </row>
    <row r="342" spans="1:14" ht="15" customHeight="1" x14ac:dyDescent="0.2">
      <c r="A342" s="7">
        <v>2020</v>
      </c>
      <c r="B342" s="7" t="s">
        <v>104</v>
      </c>
      <c r="C342" s="7" t="s">
        <v>87</v>
      </c>
      <c r="D342" s="7">
        <v>72</v>
      </c>
      <c r="E342" s="8">
        <v>1443</v>
      </c>
      <c r="F342" s="8">
        <v>1443</v>
      </c>
      <c r="G342" s="8">
        <v>602</v>
      </c>
      <c r="H342" s="8">
        <v>1151</v>
      </c>
      <c r="I342" s="8">
        <v>1176</v>
      </c>
      <c r="J342" s="8">
        <v>395</v>
      </c>
      <c r="K342" s="8">
        <v>579</v>
      </c>
      <c r="L342" s="8">
        <v>219</v>
      </c>
      <c r="M342" s="8">
        <v>103</v>
      </c>
      <c r="N342" s="10">
        <f t="shared" si="5"/>
        <v>0.34341129492298916</v>
      </c>
    </row>
    <row r="343" spans="1:14" ht="15" customHeight="1" x14ac:dyDescent="0.2">
      <c r="A343" s="7">
        <v>2020</v>
      </c>
      <c r="B343" s="7" t="s">
        <v>105</v>
      </c>
      <c r="C343" s="7" t="s">
        <v>87</v>
      </c>
      <c r="D343" s="7">
        <v>73</v>
      </c>
      <c r="E343" s="8">
        <v>821</v>
      </c>
      <c r="F343" s="8">
        <v>740</v>
      </c>
      <c r="G343" s="8">
        <v>307</v>
      </c>
      <c r="H343" s="8">
        <v>584</v>
      </c>
      <c r="I343" s="8">
        <v>562</v>
      </c>
      <c r="J343" s="8">
        <v>177</v>
      </c>
      <c r="K343" s="8">
        <v>243</v>
      </c>
      <c r="L343" s="8">
        <v>67</v>
      </c>
      <c r="M343" s="8">
        <v>36</v>
      </c>
      <c r="N343" s="10">
        <f t="shared" si="5"/>
        <v>0.34455667789001121</v>
      </c>
    </row>
    <row r="344" spans="1:14" ht="15" customHeight="1" x14ac:dyDescent="0.2">
      <c r="A344" s="7">
        <v>2020</v>
      </c>
      <c r="B344" s="7" t="s">
        <v>87</v>
      </c>
      <c r="C344" s="7" t="s">
        <v>87</v>
      </c>
      <c r="D344" s="7">
        <v>74</v>
      </c>
      <c r="E344" s="8">
        <v>2538</v>
      </c>
      <c r="F344" s="8">
        <v>2427</v>
      </c>
      <c r="G344" s="8">
        <v>1051</v>
      </c>
      <c r="H344" s="8">
        <v>1846</v>
      </c>
      <c r="I344" s="8">
        <v>1865</v>
      </c>
      <c r="J344" s="8">
        <v>624</v>
      </c>
      <c r="K344" s="8">
        <v>923</v>
      </c>
      <c r="L344" s="8">
        <v>282</v>
      </c>
      <c r="M344" s="8">
        <v>175</v>
      </c>
      <c r="N344" s="10">
        <f t="shared" si="5"/>
        <v>0.36278909216430788</v>
      </c>
    </row>
    <row r="345" spans="1:14" ht="15" customHeight="1" x14ac:dyDescent="0.2">
      <c r="A345" s="7">
        <v>2020</v>
      </c>
      <c r="B345" s="7" t="s">
        <v>106</v>
      </c>
      <c r="C345" s="7" t="s">
        <v>87</v>
      </c>
      <c r="D345" s="7">
        <v>75</v>
      </c>
      <c r="E345" s="8">
        <v>6031</v>
      </c>
      <c r="F345" s="8">
        <v>5414</v>
      </c>
      <c r="G345" s="8">
        <v>2609</v>
      </c>
      <c r="H345" s="8">
        <v>4999</v>
      </c>
      <c r="I345" s="8">
        <v>4655</v>
      </c>
      <c r="J345" s="8">
        <v>1959</v>
      </c>
      <c r="K345" s="8">
        <v>3131</v>
      </c>
      <c r="L345" s="8">
        <v>1299</v>
      </c>
      <c r="M345" s="8">
        <v>830</v>
      </c>
      <c r="N345" s="10">
        <f t="shared" si="5"/>
        <v>0.34292849631966349</v>
      </c>
    </row>
    <row r="346" spans="1:14" ht="15" customHeight="1" x14ac:dyDescent="0.2">
      <c r="A346" s="7">
        <v>2020</v>
      </c>
      <c r="B346" s="7" t="s">
        <v>107</v>
      </c>
      <c r="C346" s="7" t="s">
        <v>87</v>
      </c>
      <c r="D346" s="7">
        <v>76</v>
      </c>
      <c r="E346" s="8">
        <v>623</v>
      </c>
      <c r="F346" s="8">
        <v>974</v>
      </c>
      <c r="G346" s="8">
        <v>352</v>
      </c>
      <c r="H346" s="8">
        <v>493</v>
      </c>
      <c r="I346" s="8">
        <v>793</v>
      </c>
      <c r="J346" s="8">
        <v>222</v>
      </c>
      <c r="K346" s="8">
        <v>180</v>
      </c>
      <c r="L346" s="8">
        <v>85</v>
      </c>
      <c r="M346" s="8">
        <v>37</v>
      </c>
      <c r="N346" s="10">
        <f t="shared" si="5"/>
        <v>0.41656804733727809</v>
      </c>
    </row>
    <row r="347" spans="1:14" ht="15" customHeight="1" x14ac:dyDescent="0.2">
      <c r="A347" s="7">
        <v>2020</v>
      </c>
      <c r="B347" s="7" t="s">
        <v>108</v>
      </c>
      <c r="C347" s="7" t="s">
        <v>87</v>
      </c>
      <c r="D347" s="7">
        <v>77</v>
      </c>
      <c r="E347" s="8">
        <v>1185</v>
      </c>
      <c r="F347" s="8">
        <v>2223</v>
      </c>
      <c r="G347" s="8">
        <v>710</v>
      </c>
      <c r="H347" s="8">
        <v>1007</v>
      </c>
      <c r="I347" s="8">
        <v>1947</v>
      </c>
      <c r="J347" s="8">
        <v>515</v>
      </c>
      <c r="K347" s="8">
        <v>543</v>
      </c>
      <c r="L347" s="8">
        <v>273</v>
      </c>
      <c r="M347" s="8">
        <v>159</v>
      </c>
      <c r="N347" s="10">
        <f t="shared" si="5"/>
        <v>0.41351193942923703</v>
      </c>
    </row>
    <row r="348" spans="1:14" ht="15" customHeight="1" x14ac:dyDescent="0.2">
      <c r="A348" s="7">
        <v>2020</v>
      </c>
      <c r="B348" s="7" t="s">
        <v>109</v>
      </c>
      <c r="C348" s="7" t="s">
        <v>87</v>
      </c>
      <c r="D348" s="7">
        <v>78</v>
      </c>
      <c r="E348" s="8">
        <v>72</v>
      </c>
      <c r="F348" s="8">
        <v>146</v>
      </c>
      <c r="G348" s="8">
        <v>61</v>
      </c>
      <c r="H348" s="8">
        <v>50</v>
      </c>
      <c r="I348" s="8">
        <v>113</v>
      </c>
      <c r="J348" s="8">
        <v>41</v>
      </c>
      <c r="K348" s="8">
        <v>17</v>
      </c>
      <c r="L348" s="8">
        <v>14</v>
      </c>
      <c r="M348" s="8">
        <v>5</v>
      </c>
      <c r="N348" s="10">
        <f t="shared" si="5"/>
        <v>0.5495495495495496</v>
      </c>
    </row>
    <row r="349" spans="1:14" ht="15" customHeight="1" x14ac:dyDescent="0.2">
      <c r="A349" s="7">
        <v>2020</v>
      </c>
      <c r="B349" s="7" t="s">
        <v>110</v>
      </c>
      <c r="C349" s="7" t="s">
        <v>87</v>
      </c>
      <c r="D349" s="7">
        <v>79</v>
      </c>
      <c r="E349" s="8">
        <v>339</v>
      </c>
      <c r="F349" s="8">
        <v>461</v>
      </c>
      <c r="G349" s="8">
        <v>191</v>
      </c>
      <c r="H349" s="8">
        <v>278</v>
      </c>
      <c r="I349" s="8">
        <v>398</v>
      </c>
      <c r="J349" s="8">
        <v>124</v>
      </c>
      <c r="K349" s="8">
        <v>101</v>
      </c>
      <c r="L349" s="8">
        <v>50</v>
      </c>
      <c r="M349" s="8">
        <v>22</v>
      </c>
      <c r="N349" s="10">
        <f t="shared" si="5"/>
        <v>0.40724946695095948</v>
      </c>
    </row>
    <row r="350" spans="1:14" ht="15" customHeight="1" x14ac:dyDescent="0.2">
      <c r="A350" s="7">
        <v>2020</v>
      </c>
      <c r="B350" s="7" t="s">
        <v>111</v>
      </c>
      <c r="C350" s="7" t="s">
        <v>87</v>
      </c>
      <c r="D350" s="7">
        <v>80</v>
      </c>
      <c r="E350" s="8">
        <v>191</v>
      </c>
      <c r="F350" s="8">
        <v>248</v>
      </c>
      <c r="G350" s="8">
        <v>95</v>
      </c>
      <c r="H350" s="8">
        <v>163</v>
      </c>
      <c r="I350" s="8">
        <v>206</v>
      </c>
      <c r="J350" s="8">
        <v>75</v>
      </c>
      <c r="K350" s="8">
        <v>70</v>
      </c>
      <c r="L350" s="8">
        <v>25</v>
      </c>
      <c r="M350" s="8">
        <v>21</v>
      </c>
      <c r="N350" s="10">
        <f t="shared" si="5"/>
        <v>0.36821705426356588</v>
      </c>
    </row>
    <row r="351" spans="1:14" ht="15" customHeight="1" x14ac:dyDescent="0.2">
      <c r="A351" s="7">
        <v>2020</v>
      </c>
      <c r="B351" s="7" t="s">
        <v>112</v>
      </c>
      <c r="C351" s="7" t="s">
        <v>87</v>
      </c>
      <c r="D351" s="7">
        <v>81</v>
      </c>
      <c r="E351" s="8">
        <v>277</v>
      </c>
      <c r="F351" s="8">
        <v>327</v>
      </c>
      <c r="G351" s="8">
        <v>170</v>
      </c>
      <c r="H351" s="8">
        <v>221</v>
      </c>
      <c r="I351" s="8">
        <v>285</v>
      </c>
      <c r="J351" s="8">
        <v>126</v>
      </c>
      <c r="K351" s="8">
        <v>77</v>
      </c>
      <c r="L351" s="8">
        <v>40</v>
      </c>
      <c r="M351" s="8">
        <v>32</v>
      </c>
      <c r="N351" s="10">
        <f t="shared" si="5"/>
        <v>0.43478260869565216</v>
      </c>
    </row>
    <row r="352" spans="1:14" ht="15" customHeight="1" x14ac:dyDescent="0.2">
      <c r="A352" s="7">
        <v>2020</v>
      </c>
      <c r="B352" s="7" t="s">
        <v>113</v>
      </c>
      <c r="C352" s="7" t="s">
        <v>87</v>
      </c>
      <c r="D352" s="7">
        <v>82</v>
      </c>
      <c r="E352" s="8">
        <v>1047</v>
      </c>
      <c r="F352" s="8">
        <v>2314</v>
      </c>
      <c r="G352" s="8">
        <v>695</v>
      </c>
      <c r="H352" s="8">
        <v>885</v>
      </c>
      <c r="I352" s="8">
        <v>1968</v>
      </c>
      <c r="J352" s="8">
        <v>502</v>
      </c>
      <c r="K352" s="8">
        <v>410</v>
      </c>
      <c r="L352" s="8">
        <v>209</v>
      </c>
      <c r="M352" s="8">
        <v>99</v>
      </c>
      <c r="N352" s="10">
        <f t="shared" si="5"/>
        <v>0.439873417721519</v>
      </c>
    </row>
    <row r="353" spans="1:14" ht="15" customHeight="1" x14ac:dyDescent="0.2">
      <c r="A353" s="7">
        <v>2020</v>
      </c>
      <c r="B353" s="7" t="s">
        <v>114</v>
      </c>
      <c r="C353" s="7" t="s">
        <v>87</v>
      </c>
      <c r="D353" s="7">
        <v>83</v>
      </c>
      <c r="E353" s="8">
        <v>1590</v>
      </c>
      <c r="F353" s="8">
        <v>1837</v>
      </c>
      <c r="G353" s="8">
        <v>830</v>
      </c>
      <c r="H353" s="8">
        <v>1322</v>
      </c>
      <c r="I353" s="8">
        <v>1526</v>
      </c>
      <c r="J353" s="8">
        <v>631</v>
      </c>
      <c r="K353" s="8">
        <v>872</v>
      </c>
      <c r="L353" s="8">
        <v>406</v>
      </c>
      <c r="M353" s="8">
        <v>263</v>
      </c>
      <c r="N353" s="10">
        <f t="shared" si="5"/>
        <v>0.38568773234200743</v>
      </c>
    </row>
    <row r="354" spans="1:14" ht="15" customHeight="1" x14ac:dyDescent="0.2">
      <c r="A354" s="7">
        <v>2020</v>
      </c>
      <c r="B354" s="7" t="s">
        <v>115</v>
      </c>
      <c r="C354" s="7" t="s">
        <v>87</v>
      </c>
      <c r="D354" s="7">
        <v>84</v>
      </c>
      <c r="E354" s="8">
        <v>401</v>
      </c>
      <c r="F354" s="8">
        <v>569</v>
      </c>
      <c r="G354" s="8">
        <v>203</v>
      </c>
      <c r="H354" s="8">
        <v>297</v>
      </c>
      <c r="I354" s="8">
        <v>399</v>
      </c>
      <c r="J354" s="8">
        <v>95</v>
      </c>
      <c r="K354" s="8">
        <v>130</v>
      </c>
      <c r="L354" s="8">
        <v>55</v>
      </c>
      <c r="M354" s="8">
        <v>17</v>
      </c>
      <c r="N354" s="10">
        <f t="shared" si="5"/>
        <v>0.40600000000000003</v>
      </c>
    </row>
    <row r="355" spans="1:14" ht="15" customHeight="1" x14ac:dyDescent="0.2">
      <c r="A355" s="7">
        <v>2020</v>
      </c>
      <c r="B355" s="7" t="s">
        <v>79</v>
      </c>
      <c r="C355" s="7" t="s">
        <v>87</v>
      </c>
      <c r="D355" s="7">
        <v>85</v>
      </c>
      <c r="E355" s="8">
        <v>894</v>
      </c>
      <c r="F355" s="8">
        <v>1745</v>
      </c>
      <c r="G355" s="8">
        <v>578</v>
      </c>
      <c r="H355" s="8">
        <v>759</v>
      </c>
      <c r="I355" s="8">
        <v>1525</v>
      </c>
      <c r="J355" s="8">
        <v>423</v>
      </c>
      <c r="K355" s="8">
        <v>414</v>
      </c>
      <c r="L355" s="8">
        <v>275</v>
      </c>
      <c r="M355" s="8">
        <v>123</v>
      </c>
      <c r="N355" s="10">
        <f t="shared" si="5"/>
        <v>0.4323111443530292</v>
      </c>
    </row>
    <row r="356" spans="1:14" ht="15" customHeight="1" x14ac:dyDescent="0.2">
      <c r="A356" s="7">
        <v>2020</v>
      </c>
      <c r="B356" s="7" t="s">
        <v>117</v>
      </c>
      <c r="C356" s="7" t="s">
        <v>87</v>
      </c>
      <c r="D356" s="7">
        <v>86</v>
      </c>
      <c r="E356" s="8">
        <v>279</v>
      </c>
      <c r="F356" s="8">
        <v>263</v>
      </c>
      <c r="G356" s="8">
        <v>113</v>
      </c>
      <c r="H356" s="8">
        <v>215</v>
      </c>
      <c r="I356" s="8">
        <v>205</v>
      </c>
      <c r="J356" s="8">
        <v>68</v>
      </c>
      <c r="K356" s="8">
        <v>89</v>
      </c>
      <c r="L356" s="8">
        <v>22</v>
      </c>
      <c r="M356" s="8">
        <v>11</v>
      </c>
      <c r="N356" s="10">
        <f t="shared" si="5"/>
        <v>0.34451219512195119</v>
      </c>
    </row>
    <row r="357" spans="1:14" ht="15" customHeight="1" x14ac:dyDescent="0.2">
      <c r="A357" s="7">
        <v>2020</v>
      </c>
      <c r="B357" s="7" t="s">
        <v>118</v>
      </c>
      <c r="C357" s="7" t="s">
        <v>87</v>
      </c>
      <c r="D357" s="7">
        <v>87</v>
      </c>
      <c r="E357" s="8">
        <v>1448</v>
      </c>
      <c r="F357" s="8">
        <v>1989</v>
      </c>
      <c r="G357" s="8">
        <v>880</v>
      </c>
      <c r="H357" s="8">
        <v>1209</v>
      </c>
      <c r="I357" s="8">
        <v>1689</v>
      </c>
      <c r="J357" s="8">
        <v>682</v>
      </c>
      <c r="K357" s="8">
        <v>646</v>
      </c>
      <c r="L357" s="8">
        <v>296</v>
      </c>
      <c r="M357" s="8">
        <v>196</v>
      </c>
      <c r="N357" s="10">
        <f t="shared" si="5"/>
        <v>0.42125418860698899</v>
      </c>
    </row>
    <row r="358" spans="1:14" ht="15" customHeight="1" x14ac:dyDescent="0.2">
      <c r="A358" s="7">
        <v>2020</v>
      </c>
      <c r="B358" s="7" t="s">
        <v>119</v>
      </c>
      <c r="C358" s="7" t="s">
        <v>87</v>
      </c>
      <c r="D358" s="7">
        <v>88</v>
      </c>
      <c r="E358" s="8">
        <v>1914</v>
      </c>
      <c r="F358" s="8">
        <v>1162</v>
      </c>
      <c r="G358" s="8">
        <v>832</v>
      </c>
      <c r="H358" s="8">
        <v>1421</v>
      </c>
      <c r="I358" s="8">
        <v>925</v>
      </c>
      <c r="J358" s="8">
        <v>506</v>
      </c>
      <c r="K358" s="8">
        <v>666</v>
      </c>
      <c r="L358" s="8">
        <v>183</v>
      </c>
      <c r="M358" s="8">
        <v>166</v>
      </c>
      <c r="N358" s="10">
        <f t="shared" si="5"/>
        <v>0.3692853972481136</v>
      </c>
    </row>
    <row r="359" spans="1:14" ht="15" customHeight="1" x14ac:dyDescent="0.2">
      <c r="A359" s="7">
        <v>2020</v>
      </c>
      <c r="B359" s="7" t="s">
        <v>120</v>
      </c>
      <c r="C359" s="7" t="s">
        <v>87</v>
      </c>
      <c r="D359" s="7">
        <v>89</v>
      </c>
      <c r="E359" s="8">
        <v>624</v>
      </c>
      <c r="F359" s="8">
        <v>770</v>
      </c>
      <c r="G359" s="8">
        <v>285</v>
      </c>
      <c r="H359" s="8">
        <v>462</v>
      </c>
      <c r="I359" s="8">
        <v>579</v>
      </c>
      <c r="J359" s="8">
        <v>170</v>
      </c>
      <c r="K359" s="8">
        <v>231</v>
      </c>
      <c r="L359" s="8">
        <v>91</v>
      </c>
      <c r="M359" s="8">
        <v>50</v>
      </c>
      <c r="N359" s="10">
        <f t="shared" si="5"/>
        <v>0.38152610441767071</v>
      </c>
    </row>
    <row r="360" spans="1:14" ht="15" customHeight="1" x14ac:dyDescent="0.2">
      <c r="A360" s="7">
        <v>2018</v>
      </c>
      <c r="B360" s="7" t="s">
        <v>30</v>
      </c>
      <c r="C360" s="7" t="s">
        <v>31</v>
      </c>
      <c r="D360" s="7">
        <v>1</v>
      </c>
      <c r="E360" s="8">
        <v>235</v>
      </c>
      <c r="F360" s="8">
        <v>188</v>
      </c>
      <c r="G360" s="8">
        <v>61</v>
      </c>
      <c r="H360" s="8">
        <v>151</v>
      </c>
      <c r="I360" s="8">
        <v>118</v>
      </c>
      <c r="J360" s="8">
        <v>21</v>
      </c>
      <c r="K360" s="8"/>
      <c r="L360" s="8"/>
      <c r="M360" s="8"/>
      <c r="N360" s="10">
        <f t="shared" si="5"/>
        <v>0.28773584905660377</v>
      </c>
    </row>
    <row r="361" spans="1:14" ht="15" customHeight="1" x14ac:dyDescent="0.2">
      <c r="A361" s="7">
        <v>2018</v>
      </c>
      <c r="B361" s="7" t="s">
        <v>34</v>
      </c>
      <c r="C361" s="7" t="s">
        <v>31</v>
      </c>
      <c r="D361" s="7">
        <v>2</v>
      </c>
      <c r="E361" s="8">
        <v>130</v>
      </c>
      <c r="F361" s="8">
        <v>224</v>
      </c>
      <c r="G361" s="8">
        <v>55</v>
      </c>
      <c r="H361" s="8">
        <v>65</v>
      </c>
      <c r="I361" s="8">
        <v>130</v>
      </c>
      <c r="J361" s="8">
        <v>20</v>
      </c>
      <c r="K361" s="8"/>
      <c r="L361" s="8"/>
      <c r="M361" s="8"/>
      <c r="N361" s="10">
        <f t="shared" si="5"/>
        <v>0.45833333333333331</v>
      </c>
    </row>
    <row r="362" spans="1:14" ht="15" customHeight="1" x14ac:dyDescent="0.2">
      <c r="A362" s="7">
        <v>2018</v>
      </c>
      <c r="B362" s="7" t="s">
        <v>35</v>
      </c>
      <c r="C362" s="7" t="s">
        <v>31</v>
      </c>
      <c r="D362" s="7">
        <v>3</v>
      </c>
      <c r="E362" s="8">
        <v>133</v>
      </c>
      <c r="F362" s="8">
        <v>236</v>
      </c>
      <c r="G362" s="8">
        <v>56</v>
      </c>
      <c r="H362" s="8">
        <v>85</v>
      </c>
      <c r="I362" s="8">
        <v>137</v>
      </c>
      <c r="J362" s="8">
        <v>20</v>
      </c>
      <c r="K362" s="8"/>
      <c r="L362" s="8"/>
      <c r="M362" s="8"/>
      <c r="N362" s="10">
        <f t="shared" si="5"/>
        <v>0.3971631205673759</v>
      </c>
    </row>
    <row r="363" spans="1:14" ht="15" customHeight="1" x14ac:dyDescent="0.2">
      <c r="A363" s="7">
        <v>2018</v>
      </c>
      <c r="B363" s="7" t="s">
        <v>36</v>
      </c>
      <c r="C363" s="7" t="s">
        <v>31</v>
      </c>
      <c r="D363" s="7">
        <v>4</v>
      </c>
      <c r="E363" s="8">
        <v>428</v>
      </c>
      <c r="F363" s="8">
        <v>977</v>
      </c>
      <c r="G363" s="8">
        <v>196</v>
      </c>
      <c r="H363" s="8">
        <v>256</v>
      </c>
      <c r="I363" s="8">
        <v>592</v>
      </c>
      <c r="J363" s="8">
        <v>69</v>
      </c>
      <c r="K363" s="8"/>
      <c r="L363" s="8"/>
      <c r="M363" s="8"/>
      <c r="N363" s="10">
        <f t="shared" si="5"/>
        <v>0.4336283185840708</v>
      </c>
    </row>
    <row r="364" spans="1:14" ht="15" customHeight="1" x14ac:dyDescent="0.2">
      <c r="A364" s="7">
        <v>2018</v>
      </c>
      <c r="B364" s="7" t="s">
        <v>37</v>
      </c>
      <c r="C364" s="7" t="s">
        <v>31</v>
      </c>
      <c r="D364" s="7">
        <v>5</v>
      </c>
      <c r="E364" s="8">
        <v>43</v>
      </c>
      <c r="F364" s="8">
        <v>62</v>
      </c>
      <c r="G364" s="8">
        <v>19</v>
      </c>
      <c r="H364" s="8">
        <v>28</v>
      </c>
      <c r="I364" s="8">
        <v>32</v>
      </c>
      <c r="J364" s="8">
        <v>5</v>
      </c>
      <c r="K364" s="8"/>
      <c r="L364" s="8"/>
      <c r="M364" s="8"/>
      <c r="N364" s="10">
        <f t="shared" si="5"/>
        <v>0.40425531914893614</v>
      </c>
    </row>
    <row r="365" spans="1:14" ht="15" customHeight="1" x14ac:dyDescent="0.2">
      <c r="A365" s="7">
        <v>2018</v>
      </c>
      <c r="B365" s="7" t="s">
        <v>38</v>
      </c>
      <c r="C365" s="7" t="s">
        <v>31</v>
      </c>
      <c r="D365" s="7">
        <v>6</v>
      </c>
      <c r="E365" s="8">
        <v>663</v>
      </c>
      <c r="F365" s="8">
        <v>1436</v>
      </c>
      <c r="G365" s="8">
        <v>272</v>
      </c>
      <c r="H365" s="8">
        <v>384</v>
      </c>
      <c r="I365" s="8">
        <v>849</v>
      </c>
      <c r="J365" s="8">
        <v>105</v>
      </c>
      <c r="K365" s="8"/>
      <c r="L365" s="8"/>
      <c r="M365" s="8"/>
      <c r="N365" s="10">
        <f t="shared" si="5"/>
        <v>0.41463414634146339</v>
      </c>
    </row>
    <row r="366" spans="1:14" ht="15" customHeight="1" x14ac:dyDescent="0.2">
      <c r="A366" s="7">
        <v>2018</v>
      </c>
      <c r="B366" s="7" t="s">
        <v>39</v>
      </c>
      <c r="C366" s="7" t="s">
        <v>31</v>
      </c>
      <c r="D366" s="7">
        <v>7</v>
      </c>
      <c r="E366" s="8">
        <v>1077</v>
      </c>
      <c r="F366" s="8">
        <v>1151</v>
      </c>
      <c r="G366" s="8">
        <v>303</v>
      </c>
      <c r="H366" s="8">
        <v>673</v>
      </c>
      <c r="I366" s="8">
        <v>696</v>
      </c>
      <c r="J366" s="8">
        <v>118</v>
      </c>
      <c r="K366" s="8"/>
      <c r="L366" s="8"/>
      <c r="M366" s="8"/>
      <c r="N366" s="10">
        <f t="shared" si="5"/>
        <v>0.31045081967213117</v>
      </c>
    </row>
    <row r="367" spans="1:14" ht="15" customHeight="1" x14ac:dyDescent="0.2">
      <c r="A367" s="7">
        <v>2018</v>
      </c>
      <c r="B367" s="7" t="s">
        <v>40</v>
      </c>
      <c r="C367" s="7" t="s">
        <v>31</v>
      </c>
      <c r="D367" s="7">
        <v>8</v>
      </c>
      <c r="E367" s="8">
        <v>266</v>
      </c>
      <c r="F367" s="8">
        <v>545</v>
      </c>
      <c r="G367" s="8">
        <v>159</v>
      </c>
      <c r="H367" s="8">
        <v>123</v>
      </c>
      <c r="I367" s="8">
        <v>283</v>
      </c>
      <c r="J367" s="8">
        <v>65</v>
      </c>
      <c r="K367" s="8"/>
      <c r="L367" s="8"/>
      <c r="M367" s="8"/>
      <c r="N367" s="10">
        <f t="shared" si="5"/>
        <v>0.56382978723404253</v>
      </c>
    </row>
    <row r="368" spans="1:14" ht="15" customHeight="1" x14ac:dyDescent="0.2">
      <c r="A368" s="7">
        <v>2018</v>
      </c>
      <c r="B368" s="7" t="s">
        <v>41</v>
      </c>
      <c r="C368" s="7" t="s">
        <v>31</v>
      </c>
      <c r="D368" s="7">
        <v>9</v>
      </c>
      <c r="E368" s="8">
        <v>662</v>
      </c>
      <c r="F368" s="8">
        <v>683</v>
      </c>
      <c r="G368" s="8">
        <v>282</v>
      </c>
      <c r="H368" s="8">
        <v>298</v>
      </c>
      <c r="I368" s="8">
        <v>304</v>
      </c>
      <c r="J368" s="8">
        <v>74</v>
      </c>
      <c r="K368" s="8"/>
      <c r="L368" s="8"/>
      <c r="M368" s="8"/>
      <c r="N368" s="10">
        <f t="shared" si="5"/>
        <v>0.48620689655172411</v>
      </c>
    </row>
    <row r="369" spans="1:14" ht="15" customHeight="1" x14ac:dyDescent="0.2">
      <c r="A369" s="7">
        <v>2018</v>
      </c>
      <c r="B369" s="7" t="s">
        <v>42</v>
      </c>
      <c r="C369" s="7" t="s">
        <v>31</v>
      </c>
      <c r="D369" s="7">
        <v>10</v>
      </c>
      <c r="E369" s="8">
        <v>36</v>
      </c>
      <c r="F369" s="8">
        <v>81</v>
      </c>
      <c r="G369" s="8">
        <v>13</v>
      </c>
      <c r="H369" s="8">
        <v>16</v>
      </c>
      <c r="I369" s="8">
        <v>45</v>
      </c>
      <c r="J369" s="8">
        <v>6</v>
      </c>
      <c r="K369" s="8"/>
      <c r="L369" s="8"/>
      <c r="M369" s="8"/>
      <c r="N369" s="10">
        <f t="shared" si="5"/>
        <v>0.44827586206896552</v>
      </c>
    </row>
    <row r="370" spans="1:14" ht="15" customHeight="1" x14ac:dyDescent="0.2">
      <c r="A370" s="7">
        <v>2018</v>
      </c>
      <c r="B370" s="7" t="s">
        <v>43</v>
      </c>
      <c r="C370" s="7" t="s">
        <v>31</v>
      </c>
      <c r="D370" s="7">
        <v>11</v>
      </c>
      <c r="E370" s="8">
        <v>52</v>
      </c>
      <c r="F370" s="8">
        <v>200</v>
      </c>
      <c r="G370" s="8">
        <v>30</v>
      </c>
      <c r="H370" s="8">
        <v>26</v>
      </c>
      <c r="I370" s="8">
        <v>140</v>
      </c>
      <c r="J370" s="8">
        <v>13</v>
      </c>
      <c r="K370" s="8"/>
      <c r="L370" s="8"/>
      <c r="M370" s="8"/>
      <c r="N370" s="10">
        <f t="shared" si="5"/>
        <v>0.5357142857142857</v>
      </c>
    </row>
    <row r="371" spans="1:14" ht="15" customHeight="1" x14ac:dyDescent="0.2">
      <c r="A371" s="7">
        <v>2018</v>
      </c>
      <c r="B371" s="7" t="s">
        <v>44</v>
      </c>
      <c r="C371" s="7" t="s">
        <v>31</v>
      </c>
      <c r="D371" s="7">
        <v>12</v>
      </c>
      <c r="E371" s="8">
        <v>906</v>
      </c>
      <c r="F371" s="8">
        <v>1214</v>
      </c>
      <c r="G371" s="8">
        <v>296</v>
      </c>
      <c r="H371" s="8">
        <v>470</v>
      </c>
      <c r="I371" s="8">
        <v>614</v>
      </c>
      <c r="J371" s="8">
        <v>79</v>
      </c>
      <c r="K371" s="8"/>
      <c r="L371" s="8"/>
      <c r="M371" s="8"/>
      <c r="N371" s="10">
        <f t="shared" si="5"/>
        <v>0.38642297650130547</v>
      </c>
    </row>
    <row r="372" spans="1:14" ht="15" customHeight="1" x14ac:dyDescent="0.2">
      <c r="A372" s="7">
        <v>2018</v>
      </c>
      <c r="B372" s="7" t="s">
        <v>45</v>
      </c>
      <c r="C372" s="7" t="s">
        <v>31</v>
      </c>
      <c r="D372" s="7">
        <v>13</v>
      </c>
      <c r="E372" s="8">
        <v>500</v>
      </c>
      <c r="F372" s="8">
        <v>952</v>
      </c>
      <c r="G372" s="8">
        <v>249</v>
      </c>
      <c r="H372" s="8">
        <v>276</v>
      </c>
      <c r="I372" s="8">
        <v>534</v>
      </c>
      <c r="J372" s="8">
        <v>101</v>
      </c>
      <c r="K372" s="8"/>
      <c r="L372" s="8"/>
      <c r="M372" s="8"/>
      <c r="N372" s="10">
        <f t="shared" si="5"/>
        <v>0.47428571428571431</v>
      </c>
    </row>
    <row r="373" spans="1:14" ht="15" customHeight="1" x14ac:dyDescent="0.2">
      <c r="A373" s="7">
        <v>2018</v>
      </c>
      <c r="B373" s="7" t="s">
        <v>46</v>
      </c>
      <c r="C373" s="7" t="s">
        <v>31</v>
      </c>
      <c r="D373" s="7">
        <v>14</v>
      </c>
      <c r="E373" s="8">
        <v>636</v>
      </c>
      <c r="F373" s="8">
        <v>1419</v>
      </c>
      <c r="G373" s="8">
        <v>283</v>
      </c>
      <c r="H373" s="8">
        <v>358</v>
      </c>
      <c r="I373" s="8">
        <v>819</v>
      </c>
      <c r="J373" s="8">
        <v>83</v>
      </c>
      <c r="K373" s="8"/>
      <c r="L373" s="8"/>
      <c r="M373" s="8"/>
      <c r="N373" s="10">
        <f t="shared" si="5"/>
        <v>0.44149765990639628</v>
      </c>
    </row>
    <row r="374" spans="1:14" ht="15" customHeight="1" x14ac:dyDescent="0.2">
      <c r="A374" s="7">
        <v>2018</v>
      </c>
      <c r="B374" s="7" t="s">
        <v>47</v>
      </c>
      <c r="C374" s="7" t="s">
        <v>31</v>
      </c>
      <c r="D374" s="7">
        <v>15</v>
      </c>
      <c r="E374" s="8">
        <v>659</v>
      </c>
      <c r="F374" s="8">
        <v>738</v>
      </c>
      <c r="G374" s="8">
        <v>192</v>
      </c>
      <c r="H374" s="8">
        <v>371</v>
      </c>
      <c r="I374" s="8">
        <v>380</v>
      </c>
      <c r="J374" s="8">
        <v>53</v>
      </c>
      <c r="K374" s="8"/>
      <c r="L374" s="8"/>
      <c r="M374" s="8"/>
      <c r="N374" s="10">
        <f t="shared" si="5"/>
        <v>0.34103019538188278</v>
      </c>
    </row>
    <row r="375" spans="1:14" ht="15" customHeight="1" x14ac:dyDescent="0.2">
      <c r="A375" s="7">
        <v>2018</v>
      </c>
      <c r="B375" s="7" t="s">
        <v>48</v>
      </c>
      <c r="C375" s="7" t="s">
        <v>31</v>
      </c>
      <c r="D375" s="7">
        <v>16</v>
      </c>
      <c r="E375" s="8">
        <v>116</v>
      </c>
      <c r="F375" s="8">
        <v>437</v>
      </c>
      <c r="G375" s="8">
        <v>53</v>
      </c>
      <c r="H375" s="8">
        <v>86</v>
      </c>
      <c r="I375" s="8">
        <v>314</v>
      </c>
      <c r="J375" s="8">
        <v>28</v>
      </c>
      <c r="K375" s="8"/>
      <c r="L375" s="8"/>
      <c r="M375" s="8"/>
      <c r="N375" s="10">
        <f t="shared" si="5"/>
        <v>0.38129496402877699</v>
      </c>
    </row>
    <row r="376" spans="1:14" ht="15" customHeight="1" x14ac:dyDescent="0.2">
      <c r="A376" s="7">
        <v>2018</v>
      </c>
      <c r="B376" s="7" t="s">
        <v>49</v>
      </c>
      <c r="C376" s="7" t="s">
        <v>31</v>
      </c>
      <c r="D376" s="7">
        <v>17</v>
      </c>
      <c r="E376" s="8">
        <v>935</v>
      </c>
      <c r="F376" s="8">
        <v>1298</v>
      </c>
      <c r="G376" s="8">
        <v>380</v>
      </c>
      <c r="H376" s="8">
        <v>480</v>
      </c>
      <c r="I376" s="8">
        <v>658</v>
      </c>
      <c r="J376" s="8">
        <v>122</v>
      </c>
      <c r="K376" s="8"/>
      <c r="L376" s="8"/>
      <c r="M376" s="8"/>
      <c r="N376" s="10">
        <f t="shared" si="5"/>
        <v>0.44186046511627908</v>
      </c>
    </row>
    <row r="377" spans="1:14" ht="15" customHeight="1" x14ac:dyDescent="0.2">
      <c r="A377" s="7">
        <v>2018</v>
      </c>
      <c r="B377" s="7" t="s">
        <v>50</v>
      </c>
      <c r="C377" s="7" t="s">
        <v>31</v>
      </c>
      <c r="D377" s="7">
        <v>18</v>
      </c>
      <c r="E377" s="8">
        <v>78</v>
      </c>
      <c r="F377" s="8">
        <v>126</v>
      </c>
      <c r="G377" s="8">
        <v>36</v>
      </c>
      <c r="H377" s="8">
        <v>45</v>
      </c>
      <c r="I377" s="8">
        <v>75</v>
      </c>
      <c r="J377" s="8">
        <v>10</v>
      </c>
      <c r="K377" s="8"/>
      <c r="L377" s="8"/>
      <c r="M377" s="8"/>
      <c r="N377" s="10">
        <f t="shared" si="5"/>
        <v>0.44444444444444442</v>
      </c>
    </row>
    <row r="378" spans="1:14" ht="15" customHeight="1" x14ac:dyDescent="0.2">
      <c r="A378" s="7">
        <v>2018</v>
      </c>
      <c r="B378" s="7" t="s">
        <v>51</v>
      </c>
      <c r="C378" s="7" t="s">
        <v>31</v>
      </c>
      <c r="D378" s="7">
        <v>19</v>
      </c>
      <c r="E378" s="8">
        <v>1812</v>
      </c>
      <c r="F378" s="8">
        <v>2860</v>
      </c>
      <c r="G378" s="8">
        <v>901</v>
      </c>
      <c r="H378" s="8">
        <v>885</v>
      </c>
      <c r="I378" s="8">
        <v>1420</v>
      </c>
      <c r="J378" s="8">
        <v>315</v>
      </c>
      <c r="K378" s="8"/>
      <c r="L378" s="8"/>
      <c r="M378" s="8"/>
      <c r="N378" s="10">
        <f t="shared" si="5"/>
        <v>0.50447928331466962</v>
      </c>
    </row>
    <row r="379" spans="1:14" ht="15" customHeight="1" x14ac:dyDescent="0.2">
      <c r="A379" s="7">
        <v>2018</v>
      </c>
      <c r="B379" s="7" t="s">
        <v>52</v>
      </c>
      <c r="C379" s="7" t="s">
        <v>31</v>
      </c>
      <c r="D379" s="7">
        <v>20</v>
      </c>
      <c r="E379" s="8">
        <v>724</v>
      </c>
      <c r="F379" s="8">
        <v>657</v>
      </c>
      <c r="G379" s="8">
        <v>195</v>
      </c>
      <c r="H379" s="8">
        <v>453</v>
      </c>
      <c r="I379" s="8">
        <v>367</v>
      </c>
      <c r="J379" s="8">
        <v>69</v>
      </c>
      <c r="K379" s="8"/>
      <c r="L379" s="8"/>
      <c r="M379" s="8"/>
      <c r="N379" s="10">
        <f t="shared" si="5"/>
        <v>0.30092592592592593</v>
      </c>
    </row>
    <row r="380" spans="1:14" ht="15" customHeight="1" x14ac:dyDescent="0.2">
      <c r="A380" s="7">
        <v>2018</v>
      </c>
      <c r="B380" s="7" t="s">
        <v>53</v>
      </c>
      <c r="C380" s="7" t="s">
        <v>31</v>
      </c>
      <c r="D380" s="7">
        <v>21</v>
      </c>
      <c r="E380" s="8">
        <v>716</v>
      </c>
      <c r="F380" s="8">
        <v>1504</v>
      </c>
      <c r="G380" s="8">
        <v>384</v>
      </c>
      <c r="H380" s="8">
        <v>407</v>
      </c>
      <c r="I380" s="8">
        <v>889</v>
      </c>
      <c r="J380" s="8">
        <v>159</v>
      </c>
      <c r="K380" s="8"/>
      <c r="L380" s="8"/>
      <c r="M380" s="8"/>
      <c r="N380" s="10">
        <f t="shared" si="5"/>
        <v>0.48546144121365359</v>
      </c>
    </row>
    <row r="381" spans="1:14" ht="15" customHeight="1" x14ac:dyDescent="0.2">
      <c r="A381" s="7">
        <v>2018</v>
      </c>
      <c r="B381" s="7" t="s">
        <v>54</v>
      </c>
      <c r="C381" s="7" t="s">
        <v>31</v>
      </c>
      <c r="D381" s="7">
        <v>22</v>
      </c>
      <c r="E381" s="8">
        <v>326</v>
      </c>
      <c r="F381" s="8">
        <v>695</v>
      </c>
      <c r="G381" s="8">
        <v>151</v>
      </c>
      <c r="H381" s="8">
        <v>176</v>
      </c>
      <c r="I381" s="8">
        <v>425</v>
      </c>
      <c r="J381" s="8">
        <v>46</v>
      </c>
      <c r="K381" s="8"/>
      <c r="L381" s="8"/>
      <c r="M381" s="8"/>
      <c r="N381" s="10">
        <f t="shared" si="5"/>
        <v>0.46177370030581039</v>
      </c>
    </row>
    <row r="382" spans="1:14" ht="15" customHeight="1" x14ac:dyDescent="0.2">
      <c r="A382" s="7">
        <v>2018</v>
      </c>
      <c r="B382" s="7" t="s">
        <v>55</v>
      </c>
      <c r="C382" s="7" t="s">
        <v>31</v>
      </c>
      <c r="D382" s="7">
        <v>23</v>
      </c>
      <c r="E382" s="8">
        <v>57</v>
      </c>
      <c r="F382" s="8">
        <v>85</v>
      </c>
      <c r="G382" s="8">
        <v>36</v>
      </c>
      <c r="H382" s="8">
        <v>25</v>
      </c>
      <c r="I382" s="8">
        <v>33</v>
      </c>
      <c r="J382" s="8">
        <v>12</v>
      </c>
      <c r="K382" s="8"/>
      <c r="L382" s="8"/>
      <c r="M382" s="8"/>
      <c r="N382" s="10">
        <f t="shared" si="5"/>
        <v>0.5901639344262295</v>
      </c>
    </row>
    <row r="383" spans="1:14" ht="15" customHeight="1" x14ac:dyDescent="0.2">
      <c r="A383" s="7">
        <v>2018</v>
      </c>
      <c r="B383" s="7" t="s">
        <v>56</v>
      </c>
      <c r="C383" s="7" t="s">
        <v>57</v>
      </c>
      <c r="D383" s="7">
        <v>24</v>
      </c>
      <c r="E383" s="8">
        <v>531</v>
      </c>
      <c r="F383" s="8">
        <v>543</v>
      </c>
      <c r="G383" s="8">
        <v>237</v>
      </c>
      <c r="H383" s="8">
        <v>329</v>
      </c>
      <c r="I383" s="8">
        <v>304</v>
      </c>
      <c r="J383" s="8">
        <v>91</v>
      </c>
      <c r="K383" s="8"/>
      <c r="L383" s="8"/>
      <c r="M383" s="8"/>
      <c r="N383" s="10">
        <f t="shared" si="5"/>
        <v>0.41872791519434627</v>
      </c>
    </row>
    <row r="384" spans="1:14" ht="15" customHeight="1" x14ac:dyDescent="0.2">
      <c r="A384" s="7">
        <v>2018</v>
      </c>
      <c r="B384" s="7" t="s">
        <v>58</v>
      </c>
      <c r="C384" s="7" t="s">
        <v>57</v>
      </c>
      <c r="D384" s="7">
        <v>25</v>
      </c>
      <c r="E384" s="8">
        <v>26530</v>
      </c>
      <c r="F384" s="8">
        <v>9954</v>
      </c>
      <c r="G384" s="8">
        <v>8772</v>
      </c>
      <c r="H384" s="8">
        <v>12817</v>
      </c>
      <c r="I384" s="8">
        <v>4801</v>
      </c>
      <c r="J384" s="8">
        <v>2365</v>
      </c>
      <c r="K384" s="8"/>
      <c r="L384" s="8"/>
      <c r="M384" s="8"/>
      <c r="N384" s="10">
        <f t="shared" si="5"/>
        <v>0.40631803233127983</v>
      </c>
    </row>
    <row r="385" spans="1:14" ht="15" customHeight="1" x14ac:dyDescent="0.2">
      <c r="A385" s="7">
        <v>2018</v>
      </c>
      <c r="B385" s="7" t="s">
        <v>59</v>
      </c>
      <c r="C385" s="7" t="s">
        <v>57</v>
      </c>
      <c r="D385" s="7">
        <v>26</v>
      </c>
      <c r="E385" s="8">
        <v>5720</v>
      </c>
      <c r="F385" s="8">
        <v>2882</v>
      </c>
      <c r="G385" s="8">
        <v>1656</v>
      </c>
      <c r="H385" s="8">
        <v>3114</v>
      </c>
      <c r="I385" s="8">
        <v>1553</v>
      </c>
      <c r="J385" s="8">
        <v>545</v>
      </c>
      <c r="K385" s="8"/>
      <c r="L385" s="8"/>
      <c r="M385" s="8"/>
      <c r="N385" s="10">
        <f t="shared" si="5"/>
        <v>0.3471698113207547</v>
      </c>
    </row>
    <row r="386" spans="1:14" ht="15" customHeight="1" x14ac:dyDescent="0.2">
      <c r="A386" s="7">
        <v>2018</v>
      </c>
      <c r="B386" s="7" t="s">
        <v>60</v>
      </c>
      <c r="C386" s="7" t="s">
        <v>57</v>
      </c>
      <c r="D386" s="7">
        <v>27</v>
      </c>
      <c r="E386" s="8">
        <v>1429</v>
      </c>
      <c r="F386" s="8">
        <v>1091</v>
      </c>
      <c r="G386" s="8">
        <v>544</v>
      </c>
      <c r="H386" s="8">
        <v>798</v>
      </c>
      <c r="I386" s="8">
        <v>570</v>
      </c>
      <c r="J386" s="8">
        <v>158</v>
      </c>
      <c r="K386" s="8"/>
      <c r="L386" s="8"/>
      <c r="M386" s="8"/>
      <c r="N386" s="10">
        <f t="shared" si="5"/>
        <v>0.40536512667660207</v>
      </c>
    </row>
    <row r="387" spans="1:14" ht="15" customHeight="1" x14ac:dyDescent="0.2">
      <c r="A387" s="7">
        <v>2018</v>
      </c>
      <c r="B387" s="7" t="s">
        <v>61</v>
      </c>
      <c r="C387" s="7" t="s">
        <v>57</v>
      </c>
      <c r="D387" s="7">
        <v>28</v>
      </c>
      <c r="E387" s="8">
        <v>583</v>
      </c>
      <c r="F387" s="8">
        <v>659</v>
      </c>
      <c r="G387" s="8">
        <v>219</v>
      </c>
      <c r="H387" s="8">
        <v>351</v>
      </c>
      <c r="I387" s="8">
        <v>352</v>
      </c>
      <c r="J387" s="8">
        <v>92</v>
      </c>
      <c r="K387" s="8"/>
      <c r="L387" s="8"/>
      <c r="M387" s="8"/>
      <c r="N387" s="10">
        <f t="shared" si="5"/>
        <v>0.38421052631578945</v>
      </c>
    </row>
    <row r="388" spans="1:14" ht="15" customHeight="1" x14ac:dyDescent="0.2">
      <c r="A388" s="7">
        <v>2018</v>
      </c>
      <c r="B388" s="7" t="s">
        <v>62</v>
      </c>
      <c r="C388" s="7" t="s">
        <v>57</v>
      </c>
      <c r="D388" s="7">
        <v>29</v>
      </c>
      <c r="E388" s="8">
        <v>853</v>
      </c>
      <c r="F388" s="8">
        <v>618</v>
      </c>
      <c r="G388" s="8">
        <v>297</v>
      </c>
      <c r="H388" s="8">
        <v>537</v>
      </c>
      <c r="I388" s="8">
        <v>360</v>
      </c>
      <c r="J388" s="8">
        <v>126</v>
      </c>
      <c r="K388" s="8"/>
      <c r="L388" s="8"/>
      <c r="M388" s="8"/>
      <c r="N388" s="10">
        <f t="shared" ref="N388:N448" si="6">IFERROR(G388/(G388+H388),"")</f>
        <v>0.35611510791366907</v>
      </c>
    </row>
    <row r="389" spans="1:14" ht="15" customHeight="1" x14ac:dyDescent="0.2">
      <c r="A389" s="7">
        <v>2018</v>
      </c>
      <c r="B389" s="7" t="s">
        <v>63</v>
      </c>
      <c r="C389" s="7" t="s">
        <v>57</v>
      </c>
      <c r="D389" s="7">
        <v>30</v>
      </c>
      <c r="E389" s="8">
        <v>3016</v>
      </c>
      <c r="F389" s="8">
        <v>2569</v>
      </c>
      <c r="G389" s="8">
        <v>1098</v>
      </c>
      <c r="H389" s="8">
        <v>1843</v>
      </c>
      <c r="I389" s="8">
        <v>1539</v>
      </c>
      <c r="J389" s="8">
        <v>432</v>
      </c>
      <c r="K389" s="8"/>
      <c r="L389" s="8"/>
      <c r="M389" s="8"/>
      <c r="N389" s="10">
        <f t="shared" si="6"/>
        <v>0.37334240054403262</v>
      </c>
    </row>
    <row r="390" spans="1:14" ht="15" customHeight="1" x14ac:dyDescent="0.2">
      <c r="A390" s="7">
        <v>2018</v>
      </c>
      <c r="B390" s="7" t="s">
        <v>64</v>
      </c>
      <c r="C390" s="7" t="s">
        <v>57</v>
      </c>
      <c r="D390" s="7">
        <v>31</v>
      </c>
      <c r="E390" s="8">
        <v>1306</v>
      </c>
      <c r="F390" s="8">
        <v>539</v>
      </c>
      <c r="G390" s="8">
        <v>396</v>
      </c>
      <c r="H390" s="8">
        <v>692</v>
      </c>
      <c r="I390" s="8">
        <v>285</v>
      </c>
      <c r="J390" s="8">
        <v>134</v>
      </c>
      <c r="K390" s="8"/>
      <c r="L390" s="8"/>
      <c r="M390" s="8"/>
      <c r="N390" s="10">
        <f t="shared" si="6"/>
        <v>0.3639705882352941</v>
      </c>
    </row>
    <row r="391" spans="1:14" ht="15" customHeight="1" x14ac:dyDescent="0.2">
      <c r="A391" s="7">
        <v>2018</v>
      </c>
      <c r="B391" s="7" t="s">
        <v>65</v>
      </c>
      <c r="C391" s="7" t="s">
        <v>57</v>
      </c>
      <c r="D391" s="7">
        <v>32</v>
      </c>
      <c r="E391" s="8">
        <v>359</v>
      </c>
      <c r="F391" s="8">
        <v>221</v>
      </c>
      <c r="G391" s="8">
        <v>133</v>
      </c>
      <c r="H391" s="8">
        <v>182</v>
      </c>
      <c r="I391" s="8">
        <v>111</v>
      </c>
      <c r="J391" s="8">
        <v>42</v>
      </c>
      <c r="K391" s="8"/>
      <c r="L391" s="8"/>
      <c r="M391" s="8"/>
      <c r="N391" s="10">
        <f t="shared" si="6"/>
        <v>0.42222222222222222</v>
      </c>
    </row>
    <row r="392" spans="1:14" ht="15" customHeight="1" x14ac:dyDescent="0.2">
      <c r="A392" s="7">
        <v>2018</v>
      </c>
      <c r="B392" s="7" t="s">
        <v>66</v>
      </c>
      <c r="C392" s="7" t="s">
        <v>57</v>
      </c>
      <c r="D392" s="7">
        <v>33</v>
      </c>
      <c r="E392" s="8">
        <v>522</v>
      </c>
      <c r="F392" s="8">
        <v>1177</v>
      </c>
      <c r="G392" s="8">
        <v>260</v>
      </c>
      <c r="H392" s="8">
        <v>342</v>
      </c>
      <c r="I392" s="8">
        <v>782</v>
      </c>
      <c r="J392" s="8">
        <v>94</v>
      </c>
      <c r="K392" s="8"/>
      <c r="L392" s="8"/>
      <c r="M392" s="8"/>
      <c r="N392" s="10">
        <f t="shared" si="6"/>
        <v>0.43189368770764119</v>
      </c>
    </row>
    <row r="393" spans="1:14" ht="15" customHeight="1" x14ac:dyDescent="0.2">
      <c r="A393" s="7">
        <v>2018</v>
      </c>
      <c r="B393" s="7" t="s">
        <v>67</v>
      </c>
      <c r="C393" s="7" t="s">
        <v>57</v>
      </c>
      <c r="D393" s="7">
        <v>34</v>
      </c>
      <c r="E393" s="8">
        <v>7404</v>
      </c>
      <c r="F393" s="8">
        <v>8346</v>
      </c>
      <c r="G393" s="8">
        <v>3064</v>
      </c>
      <c r="H393" s="8">
        <v>4937</v>
      </c>
      <c r="I393" s="8">
        <v>5497</v>
      </c>
      <c r="J393" s="8">
        <v>1470</v>
      </c>
      <c r="K393" s="8"/>
      <c r="L393" s="8"/>
      <c r="M393" s="8"/>
      <c r="N393" s="10">
        <f t="shared" si="6"/>
        <v>0.38295213098362707</v>
      </c>
    </row>
    <row r="394" spans="1:14" ht="15" customHeight="1" x14ac:dyDescent="0.2">
      <c r="A394" s="7">
        <v>2018</v>
      </c>
      <c r="B394" s="7" t="s">
        <v>68</v>
      </c>
      <c r="C394" s="7" t="s">
        <v>57</v>
      </c>
      <c r="D394" s="7">
        <v>35</v>
      </c>
      <c r="E394" s="8">
        <v>725</v>
      </c>
      <c r="F394" s="8">
        <v>1392</v>
      </c>
      <c r="G394" s="8">
        <v>364</v>
      </c>
      <c r="H394" s="8">
        <v>497</v>
      </c>
      <c r="I394" s="8">
        <v>928</v>
      </c>
      <c r="J394" s="8">
        <v>175</v>
      </c>
      <c r="K394" s="8"/>
      <c r="L394" s="8"/>
      <c r="M394" s="8"/>
      <c r="N394" s="10">
        <f t="shared" si="6"/>
        <v>0.42276422764227645</v>
      </c>
    </row>
    <row r="395" spans="1:14" ht="15" customHeight="1" x14ac:dyDescent="0.2">
      <c r="A395" s="7">
        <v>2018</v>
      </c>
      <c r="B395" s="7" t="s">
        <v>69</v>
      </c>
      <c r="C395" s="7" t="s">
        <v>57</v>
      </c>
      <c r="D395" s="7">
        <v>36</v>
      </c>
      <c r="E395" s="8">
        <v>387</v>
      </c>
      <c r="F395" s="8">
        <v>839</v>
      </c>
      <c r="G395" s="8">
        <v>230</v>
      </c>
      <c r="H395" s="8">
        <v>272</v>
      </c>
      <c r="I395" s="8">
        <v>563</v>
      </c>
      <c r="J395" s="8">
        <v>113</v>
      </c>
      <c r="K395" s="8"/>
      <c r="L395" s="8"/>
      <c r="M395" s="8"/>
      <c r="N395" s="10">
        <f t="shared" si="6"/>
        <v>0.45816733067729082</v>
      </c>
    </row>
    <row r="396" spans="1:14" ht="15" customHeight="1" x14ac:dyDescent="0.2">
      <c r="A396" s="7">
        <v>2018</v>
      </c>
      <c r="B396" s="7" t="s">
        <v>70</v>
      </c>
      <c r="C396" s="7" t="s">
        <v>57</v>
      </c>
      <c r="D396" s="7">
        <v>37</v>
      </c>
      <c r="E396" s="8">
        <v>652</v>
      </c>
      <c r="F396" s="8">
        <v>1550</v>
      </c>
      <c r="G396" s="8">
        <v>332</v>
      </c>
      <c r="H396" s="8">
        <v>445</v>
      </c>
      <c r="I396" s="8">
        <v>1033</v>
      </c>
      <c r="J396" s="8">
        <v>152</v>
      </c>
      <c r="K396" s="8"/>
      <c r="L396" s="8"/>
      <c r="M396" s="8"/>
      <c r="N396" s="10">
        <f t="shared" si="6"/>
        <v>0.42728442728442728</v>
      </c>
    </row>
    <row r="397" spans="1:14" ht="15" customHeight="1" x14ac:dyDescent="0.2">
      <c r="A397" s="7">
        <v>2018</v>
      </c>
      <c r="B397" s="7" t="s">
        <v>71</v>
      </c>
      <c r="C397" s="7" t="s">
        <v>57</v>
      </c>
      <c r="D397" s="7">
        <v>38</v>
      </c>
      <c r="E397" s="8">
        <v>804</v>
      </c>
      <c r="F397" s="8">
        <v>751</v>
      </c>
      <c r="G397" s="8">
        <v>293</v>
      </c>
      <c r="H397" s="8">
        <v>489</v>
      </c>
      <c r="I397" s="8">
        <v>458</v>
      </c>
      <c r="J397" s="8">
        <v>106</v>
      </c>
      <c r="K397" s="8"/>
      <c r="L397" s="8"/>
      <c r="M397" s="8"/>
      <c r="N397" s="10">
        <f t="shared" si="6"/>
        <v>0.37468030690537085</v>
      </c>
    </row>
    <row r="398" spans="1:14" ht="15" customHeight="1" x14ac:dyDescent="0.2">
      <c r="A398" s="7">
        <v>2018</v>
      </c>
      <c r="B398" s="7" t="s">
        <v>72</v>
      </c>
      <c r="C398" s="7" t="s">
        <v>57</v>
      </c>
      <c r="D398" s="7">
        <v>39</v>
      </c>
      <c r="E398" s="8">
        <v>3148</v>
      </c>
      <c r="F398" s="8">
        <v>4818</v>
      </c>
      <c r="G398" s="8">
        <v>1458</v>
      </c>
      <c r="H398" s="8">
        <v>2050</v>
      </c>
      <c r="I398" s="8">
        <v>3124</v>
      </c>
      <c r="J398" s="8">
        <v>622</v>
      </c>
      <c r="K398" s="8"/>
      <c r="L398" s="8"/>
      <c r="M398" s="8"/>
      <c r="N398" s="10">
        <f t="shared" si="6"/>
        <v>0.41562143671607754</v>
      </c>
    </row>
    <row r="399" spans="1:14" ht="15" customHeight="1" x14ac:dyDescent="0.2">
      <c r="A399" s="7">
        <v>2018</v>
      </c>
      <c r="B399" s="7" t="s">
        <v>73</v>
      </c>
      <c r="C399" s="7" t="s">
        <v>57</v>
      </c>
      <c r="D399" s="7">
        <v>40</v>
      </c>
      <c r="E399" s="8">
        <v>3345</v>
      </c>
      <c r="F399" s="8">
        <v>3276</v>
      </c>
      <c r="G399" s="8">
        <v>1125</v>
      </c>
      <c r="H399" s="8">
        <v>2198</v>
      </c>
      <c r="I399" s="8">
        <v>2154</v>
      </c>
      <c r="J399" s="8">
        <v>514</v>
      </c>
      <c r="K399" s="8"/>
      <c r="L399" s="8"/>
      <c r="M399" s="8"/>
      <c r="N399" s="10">
        <f t="shared" si="6"/>
        <v>0.33854950346072826</v>
      </c>
    </row>
    <row r="400" spans="1:14" ht="15" customHeight="1" x14ac:dyDescent="0.2">
      <c r="A400" s="7">
        <v>2018</v>
      </c>
      <c r="B400" s="7" t="s">
        <v>74</v>
      </c>
      <c r="C400" s="7" t="s">
        <v>57</v>
      </c>
      <c r="D400" s="7">
        <v>41</v>
      </c>
      <c r="E400" s="8">
        <v>718</v>
      </c>
      <c r="F400" s="8">
        <v>881</v>
      </c>
      <c r="G400" s="8">
        <v>332</v>
      </c>
      <c r="H400" s="8">
        <v>356</v>
      </c>
      <c r="I400" s="8">
        <v>443</v>
      </c>
      <c r="J400" s="8">
        <v>96</v>
      </c>
      <c r="K400" s="8"/>
      <c r="L400" s="8"/>
      <c r="M400" s="8"/>
      <c r="N400" s="10">
        <f t="shared" si="6"/>
        <v>0.48255813953488375</v>
      </c>
    </row>
    <row r="401" spans="1:14" ht="15" customHeight="1" x14ac:dyDescent="0.2">
      <c r="A401" s="7">
        <v>2018</v>
      </c>
      <c r="B401" s="7" t="s">
        <v>75</v>
      </c>
      <c r="C401" s="7" t="s">
        <v>57</v>
      </c>
      <c r="D401" s="7">
        <v>42</v>
      </c>
      <c r="E401" s="8">
        <v>5520</v>
      </c>
      <c r="F401" s="8">
        <v>4956</v>
      </c>
      <c r="G401" s="8">
        <v>1925</v>
      </c>
      <c r="H401" s="8">
        <v>3708</v>
      </c>
      <c r="I401" s="8">
        <v>3214</v>
      </c>
      <c r="J401" s="8">
        <v>907</v>
      </c>
      <c r="K401" s="8"/>
      <c r="L401" s="8"/>
      <c r="M401" s="8"/>
      <c r="N401" s="10">
        <f t="shared" si="6"/>
        <v>0.34173619740813066</v>
      </c>
    </row>
    <row r="402" spans="1:14" ht="15" customHeight="1" x14ac:dyDescent="0.2">
      <c r="A402" s="7">
        <v>2018</v>
      </c>
      <c r="B402" s="7" t="s">
        <v>76</v>
      </c>
      <c r="C402" s="7" t="s">
        <v>57</v>
      </c>
      <c r="D402" s="7">
        <v>43</v>
      </c>
      <c r="E402" s="8">
        <v>5706</v>
      </c>
      <c r="F402" s="8">
        <v>5730</v>
      </c>
      <c r="G402" s="8">
        <v>2573</v>
      </c>
      <c r="H402" s="8">
        <v>3528</v>
      </c>
      <c r="I402" s="8">
        <v>3541</v>
      </c>
      <c r="J402" s="8">
        <v>1194</v>
      </c>
      <c r="K402" s="8"/>
      <c r="L402" s="8"/>
      <c r="M402" s="8"/>
      <c r="N402" s="10">
        <f t="shared" si="6"/>
        <v>0.4217341419439436</v>
      </c>
    </row>
    <row r="403" spans="1:14" ht="15" customHeight="1" x14ac:dyDescent="0.2">
      <c r="A403" s="7">
        <v>2018</v>
      </c>
      <c r="B403" s="7" t="s">
        <v>77</v>
      </c>
      <c r="C403" s="7" t="s">
        <v>57</v>
      </c>
      <c r="D403" s="7">
        <v>44</v>
      </c>
      <c r="E403" s="8">
        <v>1762</v>
      </c>
      <c r="F403" s="8">
        <v>2646</v>
      </c>
      <c r="G403" s="8">
        <v>766</v>
      </c>
      <c r="H403" s="8">
        <v>1212</v>
      </c>
      <c r="I403" s="8">
        <v>1715</v>
      </c>
      <c r="J403" s="8">
        <v>377</v>
      </c>
      <c r="K403" s="8"/>
      <c r="L403" s="8"/>
      <c r="M403" s="8"/>
      <c r="N403" s="10">
        <f t="shared" si="6"/>
        <v>0.38725985844287159</v>
      </c>
    </row>
    <row r="404" spans="1:14" ht="15" customHeight="1" x14ac:dyDescent="0.2">
      <c r="A404" s="7">
        <v>2018</v>
      </c>
      <c r="B404" s="7" t="s">
        <v>78</v>
      </c>
      <c r="C404" s="7" t="s">
        <v>57</v>
      </c>
      <c r="D404" s="7">
        <v>45</v>
      </c>
      <c r="E404" s="8">
        <v>3791</v>
      </c>
      <c r="F404" s="8">
        <v>4687</v>
      </c>
      <c r="G404" s="8">
        <v>1670</v>
      </c>
      <c r="H404" s="8">
        <v>2387</v>
      </c>
      <c r="I404" s="8">
        <v>2983</v>
      </c>
      <c r="J404" s="8">
        <v>794</v>
      </c>
      <c r="K404" s="8"/>
      <c r="L404" s="8"/>
      <c r="M404" s="8"/>
      <c r="N404" s="10">
        <f t="shared" si="6"/>
        <v>0.41163421247227017</v>
      </c>
    </row>
    <row r="405" spans="1:14" ht="15" customHeight="1" x14ac:dyDescent="0.2">
      <c r="A405" s="7">
        <v>2018</v>
      </c>
      <c r="B405" s="7" t="s">
        <v>79</v>
      </c>
      <c r="C405" s="7" t="s">
        <v>57</v>
      </c>
      <c r="D405" s="7">
        <v>46</v>
      </c>
      <c r="E405" s="8">
        <v>1109</v>
      </c>
      <c r="F405" s="8">
        <v>2200</v>
      </c>
      <c r="G405" s="8">
        <v>516</v>
      </c>
      <c r="H405" s="8">
        <v>699</v>
      </c>
      <c r="I405" s="8">
        <v>1285</v>
      </c>
      <c r="J405" s="8">
        <v>207</v>
      </c>
      <c r="K405" s="8"/>
      <c r="L405" s="8"/>
      <c r="M405" s="8"/>
      <c r="N405" s="10">
        <f t="shared" si="6"/>
        <v>0.42469135802469138</v>
      </c>
    </row>
    <row r="406" spans="1:14" ht="15" customHeight="1" x14ac:dyDescent="0.2">
      <c r="A406" s="7">
        <v>2018</v>
      </c>
      <c r="B406" s="7" t="s">
        <v>80</v>
      </c>
      <c r="C406" s="7" t="s">
        <v>57</v>
      </c>
      <c r="D406" s="7">
        <v>47</v>
      </c>
      <c r="E406" s="8">
        <v>847</v>
      </c>
      <c r="F406" s="8">
        <v>1892</v>
      </c>
      <c r="G406" s="8">
        <v>425</v>
      </c>
      <c r="H406" s="8">
        <v>607</v>
      </c>
      <c r="I406" s="8">
        <v>1296</v>
      </c>
      <c r="J406" s="8">
        <v>220</v>
      </c>
      <c r="K406" s="8"/>
      <c r="L406" s="8"/>
      <c r="M406" s="8"/>
      <c r="N406" s="10">
        <f t="shared" si="6"/>
        <v>0.4118217054263566</v>
      </c>
    </row>
    <row r="407" spans="1:14" ht="15" customHeight="1" x14ac:dyDescent="0.2">
      <c r="A407" s="7">
        <v>2018</v>
      </c>
      <c r="B407" s="7" t="s">
        <v>81</v>
      </c>
      <c r="C407" s="7" t="s">
        <v>57</v>
      </c>
      <c r="D407" s="7">
        <v>48</v>
      </c>
      <c r="E407" s="8">
        <v>6560</v>
      </c>
      <c r="F407" s="8">
        <v>5048</v>
      </c>
      <c r="G407" s="8">
        <v>2036</v>
      </c>
      <c r="H407" s="8">
        <v>3832</v>
      </c>
      <c r="I407" s="8">
        <v>3014</v>
      </c>
      <c r="J407" s="8">
        <v>774</v>
      </c>
      <c r="K407" s="8"/>
      <c r="L407" s="8"/>
      <c r="M407" s="8"/>
      <c r="N407" s="10">
        <f t="shared" si="6"/>
        <v>0.34696659850034084</v>
      </c>
    </row>
    <row r="408" spans="1:14" ht="15" customHeight="1" x14ac:dyDescent="0.2">
      <c r="A408" s="7">
        <v>2018</v>
      </c>
      <c r="B408" s="7" t="s">
        <v>82</v>
      </c>
      <c r="C408" s="7" t="s">
        <v>83</v>
      </c>
      <c r="D408" s="7">
        <v>49</v>
      </c>
      <c r="E408" s="8">
        <v>422</v>
      </c>
      <c r="F408" s="8">
        <v>828</v>
      </c>
      <c r="G408" s="8">
        <v>225</v>
      </c>
      <c r="H408" s="8">
        <v>270</v>
      </c>
      <c r="I408" s="8">
        <v>465</v>
      </c>
      <c r="J408" s="8">
        <v>79</v>
      </c>
      <c r="K408" s="8"/>
      <c r="L408" s="8"/>
      <c r="M408" s="8"/>
      <c r="N408" s="10">
        <f t="shared" si="6"/>
        <v>0.45454545454545453</v>
      </c>
    </row>
    <row r="409" spans="1:14" ht="15" customHeight="1" x14ac:dyDescent="0.2">
      <c r="A409" s="7">
        <v>2018</v>
      </c>
      <c r="B409" s="7" t="s">
        <v>84</v>
      </c>
      <c r="C409" s="7" t="s">
        <v>83</v>
      </c>
      <c r="D409" s="7">
        <v>50</v>
      </c>
      <c r="E409" s="8">
        <v>1213</v>
      </c>
      <c r="F409" s="8">
        <v>2070</v>
      </c>
      <c r="G409" s="8">
        <v>666</v>
      </c>
      <c r="H409" s="8">
        <v>662</v>
      </c>
      <c r="I409" s="8">
        <v>1104</v>
      </c>
      <c r="J409" s="8">
        <v>246</v>
      </c>
      <c r="K409" s="8"/>
      <c r="L409" s="8"/>
      <c r="M409" s="8"/>
      <c r="N409" s="10">
        <f t="shared" si="6"/>
        <v>0.50150602409638556</v>
      </c>
    </row>
    <row r="410" spans="1:14" ht="15" customHeight="1" x14ac:dyDescent="0.2">
      <c r="A410" s="7">
        <v>2018</v>
      </c>
      <c r="B410" s="7" t="s">
        <v>85</v>
      </c>
      <c r="C410" s="7" t="s">
        <v>83</v>
      </c>
      <c r="D410" s="7">
        <v>51</v>
      </c>
      <c r="E410" s="8">
        <v>396</v>
      </c>
      <c r="F410" s="8">
        <v>728</v>
      </c>
      <c r="G410" s="8">
        <v>226</v>
      </c>
      <c r="H410" s="8">
        <v>241</v>
      </c>
      <c r="I410" s="8">
        <v>386</v>
      </c>
      <c r="J410" s="8">
        <v>91</v>
      </c>
      <c r="K410" s="8"/>
      <c r="L410" s="8"/>
      <c r="M410" s="8"/>
      <c r="N410" s="10">
        <f t="shared" si="6"/>
        <v>0.48394004282655245</v>
      </c>
    </row>
    <row r="411" spans="1:14" ht="15" customHeight="1" x14ac:dyDescent="0.2">
      <c r="A411" s="7">
        <v>2018</v>
      </c>
      <c r="B411" s="7" t="s">
        <v>86</v>
      </c>
      <c r="C411" s="7" t="s">
        <v>87</v>
      </c>
      <c r="D411" s="7">
        <v>52</v>
      </c>
      <c r="E411" s="8">
        <v>1220</v>
      </c>
      <c r="F411" s="8">
        <v>1532</v>
      </c>
      <c r="G411" s="8">
        <v>490</v>
      </c>
      <c r="H411" s="8">
        <v>726</v>
      </c>
      <c r="I411" s="8">
        <v>879</v>
      </c>
      <c r="J411" s="8">
        <v>178</v>
      </c>
      <c r="K411" s="8"/>
      <c r="L411" s="8"/>
      <c r="M411" s="8"/>
      <c r="N411" s="10">
        <f t="shared" si="6"/>
        <v>0.40296052631578949</v>
      </c>
    </row>
    <row r="412" spans="1:14" ht="15" customHeight="1" x14ac:dyDescent="0.2">
      <c r="A412" s="7">
        <v>2018</v>
      </c>
      <c r="B412" s="7" t="s">
        <v>88</v>
      </c>
      <c r="C412" s="7" t="s">
        <v>87</v>
      </c>
      <c r="D412" s="7">
        <v>53</v>
      </c>
      <c r="E412" s="8">
        <v>786</v>
      </c>
      <c r="F412" s="8">
        <v>1030</v>
      </c>
      <c r="G412" s="8">
        <v>454</v>
      </c>
      <c r="H412" s="8">
        <v>442</v>
      </c>
      <c r="I412" s="8">
        <v>536</v>
      </c>
      <c r="J412" s="8">
        <v>161</v>
      </c>
      <c r="K412" s="8"/>
      <c r="L412" s="8"/>
      <c r="M412" s="8"/>
      <c r="N412" s="10">
        <f t="shared" si="6"/>
        <v>0.5066964285714286</v>
      </c>
    </row>
    <row r="413" spans="1:14" ht="15" customHeight="1" x14ac:dyDescent="0.2">
      <c r="A413" s="7">
        <v>2018</v>
      </c>
      <c r="B413" s="7" t="s">
        <v>89</v>
      </c>
      <c r="C413" s="7" t="s">
        <v>87</v>
      </c>
      <c r="D413" s="7">
        <v>54</v>
      </c>
      <c r="E413" s="8">
        <v>540</v>
      </c>
      <c r="F413" s="8">
        <v>555</v>
      </c>
      <c r="G413" s="8">
        <v>236</v>
      </c>
      <c r="H413" s="8">
        <v>266</v>
      </c>
      <c r="I413" s="8">
        <v>295</v>
      </c>
      <c r="J413" s="8">
        <v>82</v>
      </c>
      <c r="K413" s="8"/>
      <c r="L413" s="8"/>
      <c r="M413" s="8"/>
      <c r="N413" s="10">
        <f t="shared" si="6"/>
        <v>0.47011952191235062</v>
      </c>
    </row>
    <row r="414" spans="1:14" ht="15" customHeight="1" x14ac:dyDescent="0.2">
      <c r="A414" s="7">
        <v>2018</v>
      </c>
      <c r="B414" s="7" t="s">
        <v>59</v>
      </c>
      <c r="C414" s="7" t="s">
        <v>87</v>
      </c>
      <c r="D414" s="7">
        <v>55</v>
      </c>
      <c r="E414" s="8">
        <v>14226</v>
      </c>
      <c r="F414" s="8">
        <v>6249</v>
      </c>
      <c r="G414" s="8">
        <v>4402</v>
      </c>
      <c r="H414" s="8">
        <v>7907</v>
      </c>
      <c r="I414" s="8">
        <v>3365</v>
      </c>
      <c r="J414" s="8">
        <v>1595</v>
      </c>
      <c r="K414" s="8"/>
      <c r="L414" s="8"/>
      <c r="M414" s="8"/>
      <c r="N414" s="10">
        <f t="shared" si="6"/>
        <v>0.35762450239662036</v>
      </c>
    </row>
    <row r="415" spans="1:14" ht="15" customHeight="1" x14ac:dyDescent="0.2">
      <c r="A415" s="7">
        <v>2018</v>
      </c>
      <c r="B415" s="7" t="s">
        <v>90</v>
      </c>
      <c r="C415" s="7" t="s">
        <v>87</v>
      </c>
      <c r="D415" s="7">
        <v>56</v>
      </c>
      <c r="E415" s="8">
        <v>6440</v>
      </c>
      <c r="F415" s="8">
        <v>5394</v>
      </c>
      <c r="G415" s="8">
        <v>2470</v>
      </c>
      <c r="H415" s="8">
        <v>4190</v>
      </c>
      <c r="I415" s="8">
        <v>3410</v>
      </c>
      <c r="J415" s="8">
        <v>1161</v>
      </c>
      <c r="K415" s="8"/>
      <c r="L415" s="8"/>
      <c r="M415" s="8"/>
      <c r="N415" s="10">
        <f t="shared" si="6"/>
        <v>0.37087087087087089</v>
      </c>
    </row>
    <row r="416" spans="1:14" ht="15" customHeight="1" x14ac:dyDescent="0.2">
      <c r="A416" s="7">
        <v>2018</v>
      </c>
      <c r="B416" s="7" t="s">
        <v>91</v>
      </c>
      <c r="C416" s="7" t="s">
        <v>87</v>
      </c>
      <c r="D416" s="7">
        <v>57</v>
      </c>
      <c r="E416" s="8">
        <v>1576</v>
      </c>
      <c r="F416" s="8">
        <v>2689</v>
      </c>
      <c r="G416" s="8">
        <v>798</v>
      </c>
      <c r="H416" s="8">
        <v>1048</v>
      </c>
      <c r="I416" s="8">
        <v>1725</v>
      </c>
      <c r="J416" s="8">
        <v>366</v>
      </c>
      <c r="K416" s="8"/>
      <c r="L416" s="8"/>
      <c r="M416" s="8"/>
      <c r="N416" s="10">
        <f t="shared" si="6"/>
        <v>0.43228602383531961</v>
      </c>
    </row>
    <row r="417" spans="1:14" ht="15" customHeight="1" x14ac:dyDescent="0.2">
      <c r="A417" s="7">
        <v>2018</v>
      </c>
      <c r="B417" s="7" t="s">
        <v>92</v>
      </c>
      <c r="C417" s="7" t="s">
        <v>87</v>
      </c>
      <c r="D417" s="7">
        <v>58</v>
      </c>
      <c r="E417" s="8">
        <v>32</v>
      </c>
      <c r="F417" s="8">
        <v>58</v>
      </c>
      <c r="G417" s="8">
        <v>20</v>
      </c>
      <c r="H417" s="8">
        <v>17</v>
      </c>
      <c r="I417" s="8">
        <v>30</v>
      </c>
      <c r="J417" s="8">
        <v>7</v>
      </c>
      <c r="K417" s="8"/>
      <c r="L417" s="8"/>
      <c r="M417" s="8"/>
      <c r="N417" s="10">
        <f t="shared" si="6"/>
        <v>0.54054054054054057</v>
      </c>
    </row>
    <row r="418" spans="1:14" ht="15" customHeight="1" x14ac:dyDescent="0.2">
      <c r="A418" s="7">
        <v>2018</v>
      </c>
      <c r="B418" s="7" t="s">
        <v>93</v>
      </c>
      <c r="C418" s="7" t="s">
        <v>87</v>
      </c>
      <c r="D418" s="7">
        <v>59</v>
      </c>
      <c r="E418" s="8">
        <v>1115</v>
      </c>
      <c r="F418" s="8">
        <v>1488</v>
      </c>
      <c r="G418" s="8">
        <v>467</v>
      </c>
      <c r="H418" s="8">
        <v>661</v>
      </c>
      <c r="I418" s="8">
        <v>929</v>
      </c>
      <c r="J418" s="8">
        <v>205</v>
      </c>
      <c r="K418" s="8"/>
      <c r="L418" s="8"/>
      <c r="M418" s="8"/>
      <c r="N418" s="10">
        <f t="shared" si="6"/>
        <v>0.41400709219858156</v>
      </c>
    </row>
    <row r="419" spans="1:14" ht="15" customHeight="1" x14ac:dyDescent="0.2">
      <c r="A419" s="7">
        <v>2018</v>
      </c>
      <c r="B419" s="7" t="s">
        <v>94</v>
      </c>
      <c r="C419" s="7" t="s">
        <v>87</v>
      </c>
      <c r="D419" s="7">
        <v>60</v>
      </c>
      <c r="E419" s="8">
        <v>150</v>
      </c>
      <c r="F419" s="8">
        <v>211</v>
      </c>
      <c r="G419" s="8">
        <v>94</v>
      </c>
      <c r="H419" s="8">
        <v>99</v>
      </c>
      <c r="I419" s="8">
        <v>124</v>
      </c>
      <c r="J419" s="8">
        <v>36</v>
      </c>
      <c r="K419" s="8"/>
      <c r="L419" s="8"/>
      <c r="M419" s="8"/>
      <c r="N419" s="10">
        <f t="shared" si="6"/>
        <v>0.48704663212435234</v>
      </c>
    </row>
    <row r="420" spans="1:14" ht="15" customHeight="1" x14ac:dyDescent="0.2">
      <c r="A420" s="7">
        <v>2018</v>
      </c>
      <c r="B420" s="7" t="s">
        <v>95</v>
      </c>
      <c r="C420" s="7" t="s">
        <v>87</v>
      </c>
      <c r="D420" s="7">
        <v>61</v>
      </c>
      <c r="E420" s="8">
        <v>5809</v>
      </c>
      <c r="F420" s="8">
        <v>2072</v>
      </c>
      <c r="G420" s="8">
        <v>1863</v>
      </c>
      <c r="H420" s="8">
        <v>3312</v>
      </c>
      <c r="I420" s="8">
        <v>1013</v>
      </c>
      <c r="J420" s="8">
        <v>640</v>
      </c>
      <c r="K420" s="8"/>
      <c r="L420" s="8"/>
      <c r="M420" s="8"/>
      <c r="N420" s="10">
        <f t="shared" si="6"/>
        <v>0.36</v>
      </c>
    </row>
    <row r="421" spans="1:14" ht="15" customHeight="1" x14ac:dyDescent="0.2">
      <c r="A421" s="7">
        <v>2018</v>
      </c>
      <c r="B421" s="7" t="s">
        <v>96</v>
      </c>
      <c r="C421" s="7" t="s">
        <v>87</v>
      </c>
      <c r="D421" s="7">
        <v>62</v>
      </c>
      <c r="E421" s="8">
        <v>3769</v>
      </c>
      <c r="F421" s="8">
        <v>3537</v>
      </c>
      <c r="G421" s="8">
        <v>1643</v>
      </c>
      <c r="H421" s="8">
        <v>2563</v>
      </c>
      <c r="I421" s="8">
        <v>2266</v>
      </c>
      <c r="J421" s="8">
        <v>838</v>
      </c>
      <c r="K421" s="8"/>
      <c r="L421" s="8"/>
      <c r="M421" s="8"/>
      <c r="N421" s="10">
        <f t="shared" si="6"/>
        <v>0.39063242986210178</v>
      </c>
    </row>
    <row r="422" spans="1:14" ht="15" customHeight="1" x14ac:dyDescent="0.2">
      <c r="A422" s="7">
        <v>2018</v>
      </c>
      <c r="B422" s="7" t="s">
        <v>97</v>
      </c>
      <c r="C422" s="7" t="s">
        <v>87</v>
      </c>
      <c r="D422" s="7">
        <v>63</v>
      </c>
      <c r="E422" s="8">
        <v>655</v>
      </c>
      <c r="F422" s="8">
        <v>318</v>
      </c>
      <c r="G422" s="8">
        <v>238</v>
      </c>
      <c r="H422" s="8">
        <v>310</v>
      </c>
      <c r="I422" s="8">
        <v>157</v>
      </c>
      <c r="J422" s="8">
        <v>93</v>
      </c>
      <c r="K422" s="8"/>
      <c r="L422" s="8"/>
      <c r="M422" s="8"/>
      <c r="N422" s="10">
        <f t="shared" si="6"/>
        <v>0.43430656934306572</v>
      </c>
    </row>
    <row r="423" spans="1:14" ht="15" customHeight="1" x14ac:dyDescent="0.2">
      <c r="A423" s="7">
        <v>2018</v>
      </c>
      <c r="B423" s="7" t="s">
        <v>98</v>
      </c>
      <c r="C423" s="7" t="s">
        <v>87</v>
      </c>
      <c r="D423" s="7">
        <v>64</v>
      </c>
      <c r="E423" s="8">
        <v>83</v>
      </c>
      <c r="F423" s="8">
        <v>74</v>
      </c>
      <c r="G423" s="8">
        <v>30</v>
      </c>
      <c r="H423" s="8">
        <v>53</v>
      </c>
      <c r="I423" s="8">
        <v>31</v>
      </c>
      <c r="J423" s="8">
        <v>11</v>
      </c>
      <c r="K423" s="8"/>
      <c r="L423" s="8"/>
      <c r="M423" s="8"/>
      <c r="N423" s="10">
        <f t="shared" si="6"/>
        <v>0.36144578313253012</v>
      </c>
    </row>
    <row r="424" spans="1:14" ht="15" customHeight="1" x14ac:dyDescent="0.2">
      <c r="A424" s="7">
        <v>2018</v>
      </c>
      <c r="B424" s="7" t="s">
        <v>65</v>
      </c>
      <c r="C424" s="7" t="s">
        <v>87</v>
      </c>
      <c r="D424" s="7">
        <v>65</v>
      </c>
      <c r="E424" s="8">
        <v>3266</v>
      </c>
      <c r="F424" s="8">
        <v>2822</v>
      </c>
      <c r="G424" s="8">
        <v>1174</v>
      </c>
      <c r="H424" s="8">
        <v>2226</v>
      </c>
      <c r="I424" s="8">
        <v>1919</v>
      </c>
      <c r="J424" s="8">
        <v>645</v>
      </c>
      <c r="K424" s="8"/>
      <c r="L424" s="8"/>
      <c r="M424" s="8"/>
      <c r="N424" s="10">
        <f t="shared" si="6"/>
        <v>0.34529411764705881</v>
      </c>
    </row>
    <row r="425" spans="1:14" ht="15" customHeight="1" x14ac:dyDescent="0.2">
      <c r="A425" s="7">
        <v>2018</v>
      </c>
      <c r="B425" s="7" t="s">
        <v>99</v>
      </c>
      <c r="C425" s="7" t="s">
        <v>87</v>
      </c>
      <c r="D425" s="7">
        <v>66</v>
      </c>
      <c r="E425" s="8">
        <v>1434</v>
      </c>
      <c r="F425" s="8">
        <v>1233</v>
      </c>
      <c r="G425" s="8">
        <v>545</v>
      </c>
      <c r="H425" s="8">
        <v>894</v>
      </c>
      <c r="I425" s="8">
        <v>682</v>
      </c>
      <c r="J425" s="8">
        <v>197</v>
      </c>
      <c r="K425" s="8"/>
      <c r="L425" s="8"/>
      <c r="M425" s="8"/>
      <c r="N425" s="10">
        <f t="shared" si="6"/>
        <v>0.37873523280055593</v>
      </c>
    </row>
    <row r="426" spans="1:14" ht="15" customHeight="1" x14ac:dyDescent="0.2">
      <c r="A426" s="7">
        <v>2018</v>
      </c>
      <c r="B426" s="7" t="s">
        <v>57</v>
      </c>
      <c r="C426" s="7" t="s">
        <v>87</v>
      </c>
      <c r="D426" s="7">
        <v>67</v>
      </c>
      <c r="E426" s="8">
        <v>2021</v>
      </c>
      <c r="F426" s="8">
        <v>3348</v>
      </c>
      <c r="G426" s="8">
        <v>865</v>
      </c>
      <c r="H426" s="8">
        <v>1223</v>
      </c>
      <c r="I426" s="8">
        <v>2084</v>
      </c>
      <c r="J426" s="8">
        <v>335</v>
      </c>
      <c r="K426" s="8"/>
      <c r="L426" s="8"/>
      <c r="M426" s="8"/>
      <c r="N426" s="10">
        <f t="shared" si="6"/>
        <v>0.41427203065134099</v>
      </c>
    </row>
    <row r="427" spans="1:14" ht="15" customHeight="1" x14ac:dyDescent="0.2">
      <c r="A427" s="7">
        <v>2018</v>
      </c>
      <c r="B427" s="7" t="s">
        <v>100</v>
      </c>
      <c r="C427" s="7" t="s">
        <v>87</v>
      </c>
      <c r="D427" s="7">
        <v>68</v>
      </c>
      <c r="E427" s="8">
        <v>509</v>
      </c>
      <c r="F427" s="8">
        <v>882</v>
      </c>
      <c r="G427" s="8">
        <v>268</v>
      </c>
      <c r="H427" s="8">
        <v>338</v>
      </c>
      <c r="I427" s="8">
        <v>566</v>
      </c>
      <c r="J427" s="8">
        <v>124</v>
      </c>
      <c r="K427" s="8"/>
      <c r="L427" s="8"/>
      <c r="M427" s="8"/>
      <c r="N427" s="10">
        <f t="shared" si="6"/>
        <v>0.44224422442244227</v>
      </c>
    </row>
    <row r="428" spans="1:14" ht="15" customHeight="1" x14ac:dyDescent="0.2">
      <c r="A428" s="7">
        <v>2018</v>
      </c>
      <c r="B428" s="7" t="s">
        <v>101</v>
      </c>
      <c r="C428" s="7" t="s">
        <v>87</v>
      </c>
      <c r="D428" s="7">
        <v>69</v>
      </c>
      <c r="E428" s="8">
        <v>1401</v>
      </c>
      <c r="F428" s="8">
        <v>1957</v>
      </c>
      <c r="G428" s="8">
        <v>634</v>
      </c>
      <c r="H428" s="8">
        <v>944</v>
      </c>
      <c r="I428" s="8">
        <v>1328</v>
      </c>
      <c r="J428" s="8">
        <v>331</v>
      </c>
      <c r="K428" s="8"/>
      <c r="L428" s="8"/>
      <c r="M428" s="8"/>
      <c r="N428" s="10">
        <f t="shared" si="6"/>
        <v>0.40177439797211661</v>
      </c>
    </row>
    <row r="429" spans="1:14" ht="15" customHeight="1" x14ac:dyDescent="0.2">
      <c r="A429" s="7">
        <v>2018</v>
      </c>
      <c r="B429" s="7" t="s">
        <v>102</v>
      </c>
      <c r="C429" s="7" t="s">
        <v>87</v>
      </c>
      <c r="D429" s="7">
        <v>70</v>
      </c>
      <c r="E429" s="8">
        <v>2492</v>
      </c>
      <c r="F429" s="8">
        <v>3009</v>
      </c>
      <c r="G429" s="8">
        <v>1076</v>
      </c>
      <c r="H429" s="8">
        <v>1733</v>
      </c>
      <c r="I429" s="8">
        <v>1930</v>
      </c>
      <c r="J429" s="8">
        <v>544</v>
      </c>
      <c r="K429" s="8"/>
      <c r="L429" s="8"/>
      <c r="M429" s="8"/>
      <c r="N429" s="10">
        <f t="shared" si="6"/>
        <v>0.38305446778212887</v>
      </c>
    </row>
    <row r="430" spans="1:14" ht="15" customHeight="1" x14ac:dyDescent="0.2">
      <c r="A430" s="7">
        <v>2018</v>
      </c>
      <c r="B430" s="7" t="s">
        <v>103</v>
      </c>
      <c r="C430" s="7" t="s">
        <v>87</v>
      </c>
      <c r="D430" s="7">
        <v>71</v>
      </c>
      <c r="E430" s="8">
        <v>1598</v>
      </c>
      <c r="F430" s="8">
        <v>3158</v>
      </c>
      <c r="G430" s="8">
        <v>783</v>
      </c>
      <c r="H430" s="8">
        <v>1061</v>
      </c>
      <c r="I430" s="8">
        <v>2016</v>
      </c>
      <c r="J430" s="8">
        <v>351</v>
      </c>
      <c r="K430" s="8"/>
      <c r="L430" s="8"/>
      <c r="M430" s="8"/>
      <c r="N430" s="10">
        <f t="shared" si="6"/>
        <v>0.42462039045553146</v>
      </c>
    </row>
    <row r="431" spans="1:14" ht="15" customHeight="1" x14ac:dyDescent="0.2">
      <c r="A431" s="7">
        <v>2018</v>
      </c>
      <c r="B431" s="7" t="s">
        <v>104</v>
      </c>
      <c r="C431" s="7" t="s">
        <v>87</v>
      </c>
      <c r="D431" s="7">
        <v>72</v>
      </c>
      <c r="E431" s="8">
        <v>1315</v>
      </c>
      <c r="F431" s="8">
        <v>1287</v>
      </c>
      <c r="G431" s="8">
        <v>496</v>
      </c>
      <c r="H431" s="8">
        <v>811</v>
      </c>
      <c r="I431" s="8">
        <v>807</v>
      </c>
      <c r="J431" s="8">
        <v>193</v>
      </c>
      <c r="K431" s="8"/>
      <c r="L431" s="8"/>
      <c r="M431" s="8"/>
      <c r="N431" s="10">
        <f t="shared" si="6"/>
        <v>0.37949502677888292</v>
      </c>
    </row>
    <row r="432" spans="1:14" ht="15" customHeight="1" x14ac:dyDescent="0.2">
      <c r="A432" s="7">
        <v>2018</v>
      </c>
      <c r="B432" s="7" t="s">
        <v>105</v>
      </c>
      <c r="C432" s="7" t="s">
        <v>87</v>
      </c>
      <c r="D432" s="7">
        <v>73</v>
      </c>
      <c r="E432" s="8">
        <v>750</v>
      </c>
      <c r="F432" s="8">
        <v>644</v>
      </c>
      <c r="G432" s="8">
        <v>253</v>
      </c>
      <c r="H432" s="8">
        <v>392</v>
      </c>
      <c r="I432" s="8">
        <v>350</v>
      </c>
      <c r="J432" s="8">
        <v>88</v>
      </c>
      <c r="K432" s="8"/>
      <c r="L432" s="8"/>
      <c r="M432" s="8"/>
      <c r="N432" s="10">
        <f t="shared" si="6"/>
        <v>0.39224806201550388</v>
      </c>
    </row>
    <row r="433" spans="1:14" ht="15" customHeight="1" x14ac:dyDescent="0.2">
      <c r="A433" s="7">
        <v>2018</v>
      </c>
      <c r="B433" s="7" t="s">
        <v>87</v>
      </c>
      <c r="C433" s="7" t="s">
        <v>87</v>
      </c>
      <c r="D433" s="7">
        <v>74</v>
      </c>
      <c r="E433" s="8">
        <v>2278</v>
      </c>
      <c r="F433" s="8">
        <v>2130</v>
      </c>
      <c r="G433" s="8">
        <v>880</v>
      </c>
      <c r="H433" s="8">
        <v>1254</v>
      </c>
      <c r="I433" s="8">
        <v>1136</v>
      </c>
      <c r="J433" s="8">
        <v>266</v>
      </c>
      <c r="K433" s="8"/>
      <c r="L433" s="8"/>
      <c r="M433" s="8"/>
      <c r="N433" s="10">
        <f t="shared" si="6"/>
        <v>0.41237113402061853</v>
      </c>
    </row>
    <row r="434" spans="1:14" ht="15" customHeight="1" x14ac:dyDescent="0.2">
      <c r="A434" s="7">
        <v>2018</v>
      </c>
      <c r="B434" s="7" t="s">
        <v>106</v>
      </c>
      <c r="C434" s="7" t="s">
        <v>87</v>
      </c>
      <c r="D434" s="7">
        <v>75</v>
      </c>
      <c r="E434" s="8">
        <v>5326</v>
      </c>
      <c r="F434" s="8">
        <v>4802</v>
      </c>
      <c r="G434" s="8">
        <v>2112</v>
      </c>
      <c r="H434" s="8">
        <v>3527</v>
      </c>
      <c r="I434" s="8">
        <v>3046</v>
      </c>
      <c r="J434" s="8">
        <v>1001</v>
      </c>
      <c r="K434" s="8"/>
      <c r="L434" s="8"/>
      <c r="M434" s="8"/>
      <c r="N434" s="10">
        <f t="shared" si="6"/>
        <v>0.37453449193119348</v>
      </c>
    </row>
    <row r="435" spans="1:14" ht="15" customHeight="1" x14ac:dyDescent="0.2">
      <c r="A435" s="7">
        <v>2018</v>
      </c>
      <c r="B435" s="7" t="s">
        <v>107</v>
      </c>
      <c r="C435" s="7" t="s">
        <v>87</v>
      </c>
      <c r="D435" s="7">
        <v>76</v>
      </c>
      <c r="E435" s="8">
        <v>560</v>
      </c>
      <c r="F435" s="8">
        <v>858</v>
      </c>
      <c r="G435" s="8">
        <v>285</v>
      </c>
      <c r="H435" s="8">
        <v>327</v>
      </c>
      <c r="I435" s="8">
        <v>514</v>
      </c>
      <c r="J435" s="8">
        <v>98</v>
      </c>
      <c r="K435" s="8"/>
      <c r="L435" s="8"/>
      <c r="M435" s="8"/>
      <c r="N435" s="10">
        <f t="shared" si="6"/>
        <v>0.46568627450980393</v>
      </c>
    </row>
    <row r="436" spans="1:14" ht="15" customHeight="1" x14ac:dyDescent="0.2">
      <c r="A436" s="7">
        <v>2018</v>
      </c>
      <c r="B436" s="7" t="s">
        <v>108</v>
      </c>
      <c r="C436" s="7" t="s">
        <v>87</v>
      </c>
      <c r="D436" s="7">
        <v>77</v>
      </c>
      <c r="E436" s="8">
        <v>1085</v>
      </c>
      <c r="F436" s="8">
        <v>1984</v>
      </c>
      <c r="G436" s="8">
        <v>585</v>
      </c>
      <c r="H436" s="8">
        <v>735</v>
      </c>
      <c r="I436" s="8">
        <v>1298</v>
      </c>
      <c r="J436" s="8">
        <v>252</v>
      </c>
      <c r="K436" s="8"/>
      <c r="L436" s="8"/>
      <c r="M436" s="8"/>
      <c r="N436" s="10">
        <f t="shared" si="6"/>
        <v>0.44318181818181818</v>
      </c>
    </row>
    <row r="437" spans="1:14" ht="15" customHeight="1" x14ac:dyDescent="0.2">
      <c r="A437" s="7">
        <v>2018</v>
      </c>
      <c r="B437" s="7" t="s">
        <v>109</v>
      </c>
      <c r="C437" s="7" t="s">
        <v>87</v>
      </c>
      <c r="D437" s="7">
        <v>78</v>
      </c>
      <c r="E437" s="8">
        <v>57</v>
      </c>
      <c r="F437" s="8">
        <v>127</v>
      </c>
      <c r="G437" s="8">
        <v>53</v>
      </c>
      <c r="H437" s="8">
        <v>27</v>
      </c>
      <c r="I437" s="8">
        <v>76</v>
      </c>
      <c r="J437" s="8">
        <v>24</v>
      </c>
      <c r="K437" s="8"/>
      <c r="L437" s="8"/>
      <c r="M437" s="8"/>
      <c r="N437" s="10">
        <f t="shared" si="6"/>
        <v>0.66249999999999998</v>
      </c>
    </row>
    <row r="438" spans="1:14" ht="15" customHeight="1" x14ac:dyDescent="0.2">
      <c r="A438" s="7">
        <v>2018</v>
      </c>
      <c r="B438" s="7" t="s">
        <v>110</v>
      </c>
      <c r="C438" s="7" t="s">
        <v>87</v>
      </c>
      <c r="D438" s="7">
        <v>79</v>
      </c>
      <c r="E438" s="8">
        <v>303</v>
      </c>
      <c r="F438" s="8">
        <v>400</v>
      </c>
      <c r="G438" s="8">
        <v>150</v>
      </c>
      <c r="H438" s="8">
        <v>190</v>
      </c>
      <c r="I438" s="8">
        <v>259</v>
      </c>
      <c r="J438" s="8">
        <v>48</v>
      </c>
      <c r="K438" s="8"/>
      <c r="L438" s="8"/>
      <c r="M438" s="8"/>
      <c r="N438" s="10">
        <f t="shared" si="6"/>
        <v>0.44117647058823528</v>
      </c>
    </row>
    <row r="439" spans="1:14" ht="15" customHeight="1" x14ac:dyDescent="0.2">
      <c r="A439" s="7">
        <v>2018</v>
      </c>
      <c r="B439" s="7" t="s">
        <v>111</v>
      </c>
      <c r="C439" s="7" t="s">
        <v>87</v>
      </c>
      <c r="D439" s="7">
        <v>80</v>
      </c>
      <c r="E439" s="8">
        <v>161</v>
      </c>
      <c r="F439" s="8">
        <v>222</v>
      </c>
      <c r="G439" s="8">
        <v>80</v>
      </c>
      <c r="H439" s="8">
        <v>105</v>
      </c>
      <c r="I439" s="8">
        <v>131</v>
      </c>
      <c r="J439" s="8">
        <v>35</v>
      </c>
      <c r="K439" s="8"/>
      <c r="L439" s="8"/>
      <c r="M439" s="8"/>
      <c r="N439" s="10">
        <f t="shared" si="6"/>
        <v>0.43243243243243246</v>
      </c>
    </row>
    <row r="440" spans="1:14" ht="15" customHeight="1" x14ac:dyDescent="0.2">
      <c r="A440" s="7">
        <v>2018</v>
      </c>
      <c r="B440" s="7" t="s">
        <v>112</v>
      </c>
      <c r="C440" s="7" t="s">
        <v>87</v>
      </c>
      <c r="D440" s="7">
        <v>81</v>
      </c>
      <c r="E440" s="8">
        <v>252</v>
      </c>
      <c r="F440" s="8">
        <v>304</v>
      </c>
      <c r="G440" s="8">
        <v>138</v>
      </c>
      <c r="H440" s="8">
        <v>154</v>
      </c>
      <c r="I440" s="8">
        <v>185</v>
      </c>
      <c r="J440" s="8">
        <v>65</v>
      </c>
      <c r="K440" s="8"/>
      <c r="L440" s="8"/>
      <c r="M440" s="8"/>
      <c r="N440" s="10">
        <f t="shared" si="6"/>
        <v>0.4726027397260274</v>
      </c>
    </row>
    <row r="441" spans="1:14" ht="15" customHeight="1" x14ac:dyDescent="0.2">
      <c r="A441" s="7">
        <v>2018</v>
      </c>
      <c r="B441" s="7" t="s">
        <v>113</v>
      </c>
      <c r="C441" s="7" t="s">
        <v>87</v>
      </c>
      <c r="D441" s="7">
        <v>82</v>
      </c>
      <c r="E441" s="8">
        <v>939</v>
      </c>
      <c r="F441" s="8">
        <v>2028</v>
      </c>
      <c r="G441" s="8">
        <v>566</v>
      </c>
      <c r="H441" s="8">
        <v>640</v>
      </c>
      <c r="I441" s="8">
        <v>1347</v>
      </c>
      <c r="J441" s="8">
        <v>259</v>
      </c>
      <c r="K441" s="8"/>
      <c r="L441" s="8"/>
      <c r="M441" s="8"/>
      <c r="N441" s="10">
        <f t="shared" si="6"/>
        <v>0.46932006633499168</v>
      </c>
    </row>
    <row r="442" spans="1:14" ht="15" customHeight="1" x14ac:dyDescent="0.2">
      <c r="A442" s="7">
        <v>2018</v>
      </c>
      <c r="B442" s="7" t="s">
        <v>114</v>
      </c>
      <c r="C442" s="7" t="s">
        <v>87</v>
      </c>
      <c r="D442" s="7">
        <v>83</v>
      </c>
      <c r="E442" s="8">
        <v>1410</v>
      </c>
      <c r="F442" s="8">
        <v>1616</v>
      </c>
      <c r="G442" s="8">
        <v>677</v>
      </c>
      <c r="H442" s="8">
        <v>922</v>
      </c>
      <c r="I442" s="8">
        <v>983</v>
      </c>
      <c r="J442" s="8">
        <v>312</v>
      </c>
      <c r="K442" s="8"/>
      <c r="L442" s="8"/>
      <c r="M442" s="8"/>
      <c r="N442" s="10">
        <f t="shared" si="6"/>
        <v>0.42338961851156975</v>
      </c>
    </row>
    <row r="443" spans="1:14" ht="15" customHeight="1" x14ac:dyDescent="0.2">
      <c r="A443" s="7">
        <v>2018</v>
      </c>
      <c r="B443" s="7" t="s">
        <v>115</v>
      </c>
      <c r="C443" s="7" t="s">
        <v>87</v>
      </c>
      <c r="D443" s="7">
        <v>84</v>
      </c>
      <c r="E443" s="8">
        <v>368</v>
      </c>
      <c r="F443" s="8">
        <v>498</v>
      </c>
      <c r="G443" s="8">
        <v>162</v>
      </c>
      <c r="H443" s="8">
        <v>181</v>
      </c>
      <c r="I443" s="8">
        <v>229</v>
      </c>
      <c r="J443" s="8">
        <v>39</v>
      </c>
      <c r="K443" s="8"/>
      <c r="L443" s="8"/>
      <c r="M443" s="8"/>
      <c r="N443" s="10">
        <f t="shared" si="6"/>
        <v>0.47230320699708456</v>
      </c>
    </row>
    <row r="444" spans="1:14" ht="15" customHeight="1" x14ac:dyDescent="0.2">
      <c r="A444" s="7">
        <v>2018</v>
      </c>
      <c r="B444" s="7" t="s">
        <v>79</v>
      </c>
      <c r="C444" s="7" t="s">
        <v>87</v>
      </c>
      <c r="D444" s="7">
        <v>85</v>
      </c>
      <c r="E444" s="8">
        <v>801</v>
      </c>
      <c r="F444" s="8">
        <v>1525</v>
      </c>
      <c r="G444" s="8">
        <v>486</v>
      </c>
      <c r="H444" s="8">
        <v>514</v>
      </c>
      <c r="I444" s="8">
        <v>939</v>
      </c>
      <c r="J444" s="8">
        <v>193</v>
      </c>
      <c r="K444" s="8"/>
      <c r="L444" s="8"/>
      <c r="M444" s="8"/>
      <c r="N444" s="10">
        <f t="shared" si="6"/>
        <v>0.48599999999999999</v>
      </c>
    </row>
    <row r="445" spans="1:14" ht="15" customHeight="1" x14ac:dyDescent="0.2">
      <c r="A445" s="7">
        <v>2018</v>
      </c>
      <c r="B445" s="7" t="s">
        <v>117</v>
      </c>
      <c r="C445" s="7" t="s">
        <v>87</v>
      </c>
      <c r="D445" s="7">
        <v>86</v>
      </c>
      <c r="E445" s="8">
        <v>259</v>
      </c>
      <c r="F445" s="8">
        <v>237</v>
      </c>
      <c r="G445" s="8">
        <v>91</v>
      </c>
      <c r="H445" s="8">
        <v>152</v>
      </c>
      <c r="I445" s="8">
        <v>119</v>
      </c>
      <c r="J445" s="8">
        <v>28</v>
      </c>
      <c r="K445" s="8"/>
      <c r="L445" s="8"/>
      <c r="M445" s="8"/>
      <c r="N445" s="10">
        <f t="shared" si="6"/>
        <v>0.37448559670781895</v>
      </c>
    </row>
    <row r="446" spans="1:14" ht="15" customHeight="1" x14ac:dyDescent="0.2">
      <c r="A446" s="7">
        <v>2018</v>
      </c>
      <c r="B446" s="7" t="s">
        <v>118</v>
      </c>
      <c r="C446" s="7" t="s">
        <v>87</v>
      </c>
      <c r="D446" s="7">
        <v>87</v>
      </c>
      <c r="E446" s="8">
        <v>1278</v>
      </c>
      <c r="F446" s="8">
        <v>1726</v>
      </c>
      <c r="G446" s="8">
        <v>711</v>
      </c>
      <c r="H446" s="8">
        <v>855</v>
      </c>
      <c r="I446" s="8">
        <v>1132</v>
      </c>
      <c r="J446" s="8">
        <v>372</v>
      </c>
      <c r="K446" s="8"/>
      <c r="L446" s="8"/>
      <c r="M446" s="8"/>
      <c r="N446" s="10">
        <f t="shared" si="6"/>
        <v>0.45402298850574713</v>
      </c>
    </row>
    <row r="447" spans="1:14" ht="15" customHeight="1" x14ac:dyDescent="0.2">
      <c r="A447" s="7">
        <v>2018</v>
      </c>
      <c r="B447" s="7" t="s">
        <v>119</v>
      </c>
      <c r="C447" s="7" t="s">
        <v>87</v>
      </c>
      <c r="D447" s="7">
        <v>88</v>
      </c>
      <c r="E447" s="8">
        <v>1645</v>
      </c>
      <c r="F447" s="8">
        <v>974</v>
      </c>
      <c r="G447" s="8">
        <v>652</v>
      </c>
      <c r="H447" s="8">
        <v>874</v>
      </c>
      <c r="I447" s="8">
        <v>504</v>
      </c>
      <c r="J447" s="8">
        <v>210</v>
      </c>
      <c r="K447" s="8"/>
      <c r="L447" s="8"/>
      <c r="M447" s="8"/>
      <c r="N447" s="10">
        <f t="shared" si="6"/>
        <v>0.42726081258191351</v>
      </c>
    </row>
    <row r="448" spans="1:14" ht="15" customHeight="1" x14ac:dyDescent="0.2">
      <c r="A448" s="7">
        <v>2018</v>
      </c>
      <c r="B448" s="7" t="s">
        <v>120</v>
      </c>
      <c r="C448" s="7" t="s">
        <v>87</v>
      </c>
      <c r="D448" s="7">
        <v>89</v>
      </c>
      <c r="E448" s="8">
        <v>560</v>
      </c>
      <c r="F448" s="8">
        <v>663</v>
      </c>
      <c r="G448" s="8">
        <v>239</v>
      </c>
      <c r="H448" s="8">
        <v>296</v>
      </c>
      <c r="I448" s="8">
        <v>343</v>
      </c>
      <c r="J448" s="8">
        <v>74</v>
      </c>
      <c r="K448" s="8"/>
      <c r="L448" s="8"/>
      <c r="M448" s="8"/>
      <c r="N448" s="10">
        <f t="shared" si="6"/>
        <v>0.44672897196261685</v>
      </c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17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3" width="8" customWidth="1"/>
    <col min="4" max="5" width="18" customWidth="1"/>
    <col min="6" max="7" width="11" customWidth="1"/>
    <col min="8" max="9" width="13" customWidth="1"/>
    <col min="10" max="11" width="11" customWidth="1"/>
    <col min="12" max="12" width="10" customWidth="1"/>
    <col min="13" max="14" width="11" customWidth="1"/>
    <col min="15" max="15" width="10" customWidth="1"/>
    <col min="16" max="16" width="26" customWidth="1"/>
    <col min="17" max="17" width="16" customWidth="1"/>
  </cols>
  <sheetData>
    <row r="1" spans="1:17" ht="27.75" customHeight="1" x14ac:dyDescent="0.2">
      <c r="A1" s="5" t="s">
        <v>139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3" spans="1:17" ht="39.75" customHeight="1" x14ac:dyDescent="0.2">
      <c r="A3" s="6" t="s">
        <v>140</v>
      </c>
      <c r="B3" s="6" t="s">
        <v>141</v>
      </c>
      <c r="C3" s="6" t="s">
        <v>142</v>
      </c>
      <c r="D3" s="6" t="s">
        <v>143</v>
      </c>
      <c r="E3" s="6" t="s">
        <v>144</v>
      </c>
      <c r="F3" s="6" t="s">
        <v>145</v>
      </c>
      <c r="G3" s="6" t="s">
        <v>146</v>
      </c>
      <c r="H3" s="6" t="s">
        <v>147</v>
      </c>
      <c r="I3" s="6" t="s">
        <v>148</v>
      </c>
      <c r="J3" s="6" t="s">
        <v>149</v>
      </c>
      <c r="K3" s="6" t="s">
        <v>150</v>
      </c>
      <c r="L3" s="6" t="s">
        <v>151</v>
      </c>
      <c r="M3" s="6" t="s">
        <v>152</v>
      </c>
      <c r="N3" s="6" t="s">
        <v>153</v>
      </c>
      <c r="O3" s="6" t="s">
        <v>154</v>
      </c>
      <c r="P3" s="6" t="s">
        <v>155</v>
      </c>
      <c r="Q3" s="6" t="s">
        <v>156</v>
      </c>
    </row>
    <row r="4" spans="1:17" ht="15" customHeight="1" x14ac:dyDescent="0.2">
      <c r="A4" s="7">
        <v>2018</v>
      </c>
      <c r="B4" s="7" t="s">
        <v>157</v>
      </c>
      <c r="C4" s="7">
        <v>1</v>
      </c>
      <c r="D4" s="7" t="s">
        <v>158</v>
      </c>
      <c r="E4" s="7" t="s">
        <v>159</v>
      </c>
      <c r="F4" s="8">
        <v>89226</v>
      </c>
      <c r="G4" s="8">
        <v>153228</v>
      </c>
      <c r="H4" s="8">
        <v>167707.07</v>
      </c>
      <c r="I4" s="8">
        <v>834780.43</v>
      </c>
      <c r="J4" s="13">
        <v>0.36801207651760798</v>
      </c>
      <c r="K4" s="13">
        <v>0.167290933802167</v>
      </c>
      <c r="L4" s="7">
        <v>-1</v>
      </c>
      <c r="M4" s="13">
        <v>0.351500973056598</v>
      </c>
      <c r="N4" s="13">
        <v>1.65111034610097</v>
      </c>
      <c r="O4" s="7">
        <v>1</v>
      </c>
      <c r="P4" s="7" t="s">
        <v>160</v>
      </c>
      <c r="Q4" s="7" t="str">
        <f t="shared" ref="Q4:Q67" si="0">IF(A4=2024,"No -- held out","Yes")</f>
        <v>Yes</v>
      </c>
    </row>
    <row r="5" spans="1:17" ht="15" customHeight="1" x14ac:dyDescent="0.2">
      <c r="A5" s="7">
        <v>2018</v>
      </c>
      <c r="B5" s="7" t="s">
        <v>157</v>
      </c>
      <c r="C5" s="7">
        <v>2</v>
      </c>
      <c r="D5" s="7" t="s">
        <v>161</v>
      </c>
      <c r="E5" s="7" t="s">
        <v>162</v>
      </c>
      <c r="F5" s="8">
        <v>86931</v>
      </c>
      <c r="G5" s="8">
        <v>138879</v>
      </c>
      <c r="H5" s="8">
        <v>526541.43000000005</v>
      </c>
      <c r="I5" s="8">
        <v>2648797.89</v>
      </c>
      <c r="J5" s="13">
        <v>0.38497409326424897</v>
      </c>
      <c r="K5" s="13">
        <v>0.165822098659995</v>
      </c>
      <c r="L5" s="7">
        <v>-1</v>
      </c>
      <c r="M5" s="13">
        <v>0.35101609349399598</v>
      </c>
      <c r="N5" s="13">
        <v>3.39579997702526</v>
      </c>
      <c r="O5" s="7">
        <v>1</v>
      </c>
      <c r="P5" s="7" t="s">
        <v>160</v>
      </c>
      <c r="Q5" s="7" t="str">
        <f t="shared" si="0"/>
        <v>Yes</v>
      </c>
    </row>
    <row r="6" spans="1:17" ht="15" customHeight="1" x14ac:dyDescent="0.2">
      <c r="A6" s="7">
        <v>2018</v>
      </c>
      <c r="B6" s="7" t="s">
        <v>157</v>
      </c>
      <c r="C6" s="7">
        <v>3</v>
      </c>
      <c r="D6" s="7" t="s">
        <v>163</v>
      </c>
      <c r="E6" s="7" t="s">
        <v>164</v>
      </c>
      <c r="F6" s="8">
        <v>83996</v>
      </c>
      <c r="G6" s="8">
        <v>147770</v>
      </c>
      <c r="H6" s="8">
        <v>464511.8</v>
      </c>
      <c r="I6" s="8">
        <v>1348278.3</v>
      </c>
      <c r="J6" s="13">
        <v>0.36241726569039501</v>
      </c>
      <c r="K6" s="13">
        <v>0.25624135965879302</v>
      </c>
      <c r="L6" s="7">
        <v>-1</v>
      </c>
      <c r="M6" s="13">
        <v>0.38086454310217999</v>
      </c>
      <c r="N6" s="13">
        <v>-1.8447277411784899</v>
      </c>
      <c r="O6" s="7">
        <v>1</v>
      </c>
      <c r="P6" s="7" t="s">
        <v>160</v>
      </c>
      <c r="Q6" s="7" t="str">
        <f t="shared" si="0"/>
        <v>Yes</v>
      </c>
    </row>
    <row r="7" spans="1:17" ht="15" customHeight="1" x14ac:dyDescent="0.2">
      <c r="A7" s="7">
        <v>2018</v>
      </c>
      <c r="B7" s="7" t="s">
        <v>157</v>
      </c>
      <c r="C7" s="7">
        <v>4</v>
      </c>
      <c r="D7" s="7" t="s">
        <v>165</v>
      </c>
      <c r="E7" s="7" t="s">
        <v>166</v>
      </c>
      <c r="F7" s="8">
        <v>46492</v>
      </c>
      <c r="G7" s="8">
        <v>184255</v>
      </c>
      <c r="H7" s="8">
        <v>78413.55</v>
      </c>
      <c r="I7" s="8">
        <v>1300365.01</v>
      </c>
      <c r="J7" s="13">
        <v>0.20148474303024499</v>
      </c>
      <c r="K7" s="13">
        <v>5.6871750312102301E-2</v>
      </c>
      <c r="L7" s="7">
        <v>-1</v>
      </c>
      <c r="M7" s="13">
        <v>0.31505031644015302</v>
      </c>
      <c r="N7" s="13">
        <v>-11.356557340990699</v>
      </c>
      <c r="O7" s="7">
        <v>1</v>
      </c>
      <c r="P7" s="7" t="s">
        <v>160</v>
      </c>
      <c r="Q7" s="7" t="str">
        <f t="shared" si="0"/>
        <v>Yes</v>
      </c>
    </row>
    <row r="8" spans="1:17" ht="15" customHeight="1" x14ac:dyDescent="0.2">
      <c r="A8" s="7">
        <v>2018</v>
      </c>
      <c r="B8" s="7" t="s">
        <v>157</v>
      </c>
      <c r="C8" s="7">
        <v>5</v>
      </c>
      <c r="D8" s="7" t="s">
        <v>167</v>
      </c>
      <c r="E8" s="7" t="s">
        <v>168</v>
      </c>
      <c r="F8" s="8">
        <v>101388</v>
      </c>
      <c r="G8" s="8">
        <v>159063</v>
      </c>
      <c r="H8" s="8">
        <v>587237.93000000005</v>
      </c>
      <c r="I8" s="8">
        <v>2010714.05</v>
      </c>
      <c r="J8" s="13">
        <v>0.38927859750970401</v>
      </c>
      <c r="K8" s="13">
        <v>0.22603879306499</v>
      </c>
      <c r="L8" s="7">
        <v>-1</v>
      </c>
      <c r="M8" s="13">
        <v>0.37089432462157401</v>
      </c>
      <c r="N8" s="13">
        <v>1.8384272888130699</v>
      </c>
      <c r="O8" s="7">
        <v>1</v>
      </c>
      <c r="P8" s="7" t="s">
        <v>160</v>
      </c>
      <c r="Q8" s="7" t="str">
        <f t="shared" si="0"/>
        <v>Yes</v>
      </c>
    </row>
    <row r="9" spans="1:17" ht="15" customHeight="1" x14ac:dyDescent="0.2">
      <c r="A9" s="7">
        <v>2018</v>
      </c>
      <c r="B9" s="7" t="s">
        <v>157</v>
      </c>
      <c r="C9" s="7">
        <v>6</v>
      </c>
      <c r="D9" s="7" t="s">
        <v>169</v>
      </c>
      <c r="E9" s="7" t="s">
        <v>170</v>
      </c>
      <c r="F9" s="8">
        <v>85644</v>
      </c>
      <c r="G9" s="8">
        <v>192542</v>
      </c>
      <c r="H9" s="8">
        <v>288294.09000000003</v>
      </c>
      <c r="I9" s="8">
        <v>1500555.39</v>
      </c>
      <c r="J9" s="13">
        <v>0.30786596018491202</v>
      </c>
      <c r="K9" s="13">
        <v>0.16116173731956501</v>
      </c>
      <c r="L9" s="7">
        <v>-1</v>
      </c>
      <c r="M9" s="13">
        <v>0.34947765401672998</v>
      </c>
      <c r="N9" s="13">
        <v>-4.1611693831818197</v>
      </c>
      <c r="O9" s="7">
        <v>1</v>
      </c>
      <c r="P9" s="7" t="s">
        <v>160</v>
      </c>
      <c r="Q9" s="7" t="str">
        <f t="shared" si="0"/>
        <v>Yes</v>
      </c>
    </row>
    <row r="10" spans="1:17" ht="15" customHeight="1" x14ac:dyDescent="0.2">
      <c r="A10" s="7">
        <v>2018</v>
      </c>
      <c r="B10" s="7" t="s">
        <v>171</v>
      </c>
      <c r="C10" s="7">
        <v>1</v>
      </c>
      <c r="D10" s="7" t="s">
        <v>172</v>
      </c>
      <c r="E10" s="7" t="s">
        <v>173</v>
      </c>
      <c r="F10" s="8">
        <v>57907</v>
      </c>
      <c r="G10" s="8">
        <v>138757</v>
      </c>
      <c r="H10" s="8">
        <v>137153.22</v>
      </c>
      <c r="I10" s="8">
        <v>966616.64</v>
      </c>
      <c r="J10" s="13">
        <v>0.29444636537444602</v>
      </c>
      <c r="K10" s="13">
        <v>0.12425889215710199</v>
      </c>
      <c r="L10" s="7">
        <v>-1</v>
      </c>
      <c r="M10" s="13">
        <v>0.33729559565811401</v>
      </c>
      <c r="N10" s="13">
        <v>-4.2849230283668103</v>
      </c>
      <c r="O10" s="7">
        <v>1</v>
      </c>
      <c r="P10" s="7" t="s">
        <v>160</v>
      </c>
      <c r="Q10" s="7" t="str">
        <f t="shared" si="0"/>
        <v>Yes</v>
      </c>
    </row>
    <row r="11" spans="1:17" ht="15" customHeight="1" x14ac:dyDescent="0.2">
      <c r="A11" s="7">
        <v>2018</v>
      </c>
      <c r="B11" s="7" t="s">
        <v>171</v>
      </c>
      <c r="C11" s="7">
        <v>2</v>
      </c>
      <c r="D11" s="7" t="s">
        <v>174</v>
      </c>
      <c r="E11" s="7" t="s">
        <v>175</v>
      </c>
      <c r="F11" s="8">
        <v>116135</v>
      </c>
      <c r="G11" s="8">
        <v>132125</v>
      </c>
      <c r="H11" s="8">
        <v>3251897.89</v>
      </c>
      <c r="I11" s="8">
        <v>4310765.13</v>
      </c>
      <c r="J11" s="13">
        <v>0.46779585917989203</v>
      </c>
      <c r="K11" s="13">
        <v>0.42999375767505799</v>
      </c>
      <c r="L11" s="7">
        <v>-1</v>
      </c>
      <c r="M11" s="13">
        <v>0.43822223038253</v>
      </c>
      <c r="N11" s="13">
        <v>2.9573628797361899</v>
      </c>
      <c r="O11" s="7">
        <v>1</v>
      </c>
      <c r="P11" s="7" t="s">
        <v>160</v>
      </c>
      <c r="Q11" s="7" t="str">
        <f t="shared" si="0"/>
        <v>Yes</v>
      </c>
    </row>
    <row r="12" spans="1:17" ht="15" customHeight="1" x14ac:dyDescent="0.2">
      <c r="A12" s="7">
        <v>2018</v>
      </c>
      <c r="B12" s="7" t="s">
        <v>171</v>
      </c>
      <c r="C12" s="7">
        <v>3</v>
      </c>
      <c r="D12" s="7" t="s">
        <v>176</v>
      </c>
      <c r="E12" s="7" t="s">
        <v>177</v>
      </c>
      <c r="F12" s="8">
        <v>74952</v>
      </c>
      <c r="G12" s="8">
        <v>148717</v>
      </c>
      <c r="H12" s="8">
        <v>266794.84000000003</v>
      </c>
      <c r="I12" s="8">
        <v>1218424.03</v>
      </c>
      <c r="J12" s="13">
        <v>0.33510231636927801</v>
      </c>
      <c r="K12" s="13">
        <v>0.17963334925848301</v>
      </c>
      <c r="L12" s="7">
        <v>-1</v>
      </c>
      <c r="M12" s="13">
        <v>0.35557534793780798</v>
      </c>
      <c r="N12" s="13">
        <v>-2.04730315685305</v>
      </c>
      <c r="O12" s="7">
        <v>1</v>
      </c>
      <c r="P12" s="7" t="s">
        <v>160</v>
      </c>
      <c r="Q12" s="7" t="str">
        <f t="shared" si="0"/>
        <v>Yes</v>
      </c>
    </row>
    <row r="13" spans="1:17" ht="15" customHeight="1" x14ac:dyDescent="0.2">
      <c r="A13" s="7">
        <v>2018</v>
      </c>
      <c r="B13" s="7" t="s">
        <v>171</v>
      </c>
      <c r="C13" s="7">
        <v>4</v>
      </c>
      <c r="D13" s="7" t="s">
        <v>178</v>
      </c>
      <c r="E13" s="7" t="s">
        <v>179</v>
      </c>
      <c r="F13" s="8">
        <v>63984</v>
      </c>
      <c r="G13" s="8">
        <v>136740</v>
      </c>
      <c r="H13" s="8">
        <v>155911.79999999999</v>
      </c>
      <c r="I13" s="8">
        <v>1297141.1100000001</v>
      </c>
      <c r="J13" s="13">
        <v>0.31876606683804598</v>
      </c>
      <c r="K13" s="13">
        <v>0.10729946509656001</v>
      </c>
      <c r="L13" s="7">
        <v>-1</v>
      </c>
      <c r="M13" s="13">
        <v>0.33169709155170501</v>
      </c>
      <c r="N13" s="13">
        <v>-1.2931024713658299</v>
      </c>
      <c r="O13" s="7">
        <v>1</v>
      </c>
      <c r="P13" s="7" t="s">
        <v>160</v>
      </c>
      <c r="Q13" s="7" t="str">
        <f t="shared" si="0"/>
        <v>Yes</v>
      </c>
    </row>
    <row r="14" spans="1:17" ht="15" customHeight="1" x14ac:dyDescent="0.2">
      <c r="A14" s="7">
        <v>2018</v>
      </c>
      <c r="B14" s="7" t="s">
        <v>180</v>
      </c>
      <c r="C14" s="7">
        <v>0</v>
      </c>
      <c r="D14" s="7" t="s">
        <v>181</v>
      </c>
      <c r="E14" s="7" t="s">
        <v>182</v>
      </c>
      <c r="F14" s="8">
        <v>637</v>
      </c>
      <c r="G14" s="8">
        <v>7194</v>
      </c>
      <c r="H14" s="8">
        <v>0</v>
      </c>
      <c r="I14" s="8">
        <v>168373.19</v>
      </c>
      <c r="J14" s="13">
        <v>8.1343378878815001E-2</v>
      </c>
      <c r="K14" s="13">
        <v>0</v>
      </c>
      <c r="L14" s="7">
        <v>-1</v>
      </c>
      <c r="M14" s="13">
        <v>0.29627629025846802</v>
      </c>
      <c r="N14" s="13">
        <v>-21.493291137965301</v>
      </c>
      <c r="O14" s="7">
        <v>1</v>
      </c>
      <c r="P14" s="7" t="s">
        <v>160</v>
      </c>
      <c r="Q14" s="7" t="str">
        <f t="shared" si="0"/>
        <v>Yes</v>
      </c>
    </row>
    <row r="15" spans="1:17" ht="15" customHeight="1" x14ac:dyDescent="0.2">
      <c r="A15" s="7">
        <v>2018</v>
      </c>
      <c r="B15" s="7" t="s">
        <v>183</v>
      </c>
      <c r="C15" s="7">
        <v>1</v>
      </c>
      <c r="D15" s="7" t="s">
        <v>184</v>
      </c>
      <c r="E15" s="7" t="s">
        <v>185</v>
      </c>
      <c r="F15" s="8">
        <v>143240</v>
      </c>
      <c r="G15" s="8">
        <v>122784</v>
      </c>
      <c r="H15" s="8">
        <v>4781453.18</v>
      </c>
      <c r="I15" s="8">
        <v>1895065.5</v>
      </c>
      <c r="J15" s="13">
        <v>0.53844765885784696</v>
      </c>
      <c r="K15" s="13">
        <v>0.71615963485928602</v>
      </c>
      <c r="L15" s="7">
        <v>1</v>
      </c>
      <c r="M15" s="13">
        <v>0.61191069497860995</v>
      </c>
      <c r="N15" s="13">
        <v>-7.3463036120762304</v>
      </c>
      <c r="O15" s="7">
        <v>1</v>
      </c>
      <c r="P15" s="7" t="s">
        <v>160</v>
      </c>
      <c r="Q15" s="7" t="str">
        <f t="shared" si="0"/>
        <v>Yes</v>
      </c>
    </row>
    <row r="16" spans="1:17" ht="15" customHeight="1" x14ac:dyDescent="0.2">
      <c r="A16" s="7">
        <v>2018</v>
      </c>
      <c r="B16" s="7" t="s">
        <v>183</v>
      </c>
      <c r="C16" s="7">
        <v>2</v>
      </c>
      <c r="D16" s="7" t="s">
        <v>186</v>
      </c>
      <c r="E16" s="7" t="s">
        <v>187</v>
      </c>
      <c r="F16" s="8">
        <v>161000</v>
      </c>
      <c r="G16" s="8">
        <v>133083</v>
      </c>
      <c r="H16" s="8">
        <v>6364664.7199999997</v>
      </c>
      <c r="I16" s="8">
        <v>1467392.64</v>
      </c>
      <c r="J16" s="13">
        <v>0.54746449131707697</v>
      </c>
      <c r="K16" s="13">
        <v>0.81264276133953095</v>
      </c>
      <c r="L16" s="7">
        <v>0</v>
      </c>
      <c r="M16" s="13">
        <v>0.60415000685196196</v>
      </c>
      <c r="N16" s="13">
        <v>-5.6685515534884701</v>
      </c>
      <c r="O16" s="7">
        <v>1</v>
      </c>
      <c r="P16" s="7" t="s">
        <v>160</v>
      </c>
      <c r="Q16" s="7" t="str">
        <f t="shared" si="0"/>
        <v>Yes</v>
      </c>
    </row>
    <row r="17" spans="1:17" ht="15" customHeight="1" x14ac:dyDescent="0.2">
      <c r="A17" s="7">
        <v>2018</v>
      </c>
      <c r="B17" s="7" t="s">
        <v>183</v>
      </c>
      <c r="C17" s="7">
        <v>3</v>
      </c>
      <c r="D17" s="7" t="s">
        <v>188</v>
      </c>
      <c r="E17" s="7" t="s">
        <v>189</v>
      </c>
      <c r="F17" s="8">
        <v>114650</v>
      </c>
      <c r="G17" s="8">
        <v>64868</v>
      </c>
      <c r="H17" s="8">
        <v>758026.69</v>
      </c>
      <c r="I17" s="8">
        <v>71640.5</v>
      </c>
      <c r="J17" s="13">
        <v>0.63865461959246395</v>
      </c>
      <c r="K17" s="13">
        <v>0.91365152091888802</v>
      </c>
      <c r="L17" s="7">
        <v>1</v>
      </c>
      <c r="M17" s="13">
        <v>0.67710506334613596</v>
      </c>
      <c r="N17" s="13">
        <v>-3.8450443753671202</v>
      </c>
      <c r="O17" s="7">
        <v>1</v>
      </c>
      <c r="P17" s="7" t="s">
        <v>160</v>
      </c>
      <c r="Q17" s="7" t="str">
        <f t="shared" si="0"/>
        <v>Yes</v>
      </c>
    </row>
    <row r="18" spans="1:17" ht="15" customHeight="1" x14ac:dyDescent="0.2">
      <c r="A18" s="7">
        <v>2018</v>
      </c>
      <c r="B18" s="7" t="s">
        <v>183</v>
      </c>
      <c r="C18" s="7">
        <v>4</v>
      </c>
      <c r="D18" s="7" t="s">
        <v>190</v>
      </c>
      <c r="E18" s="7" t="s">
        <v>191</v>
      </c>
      <c r="F18" s="8">
        <v>84521</v>
      </c>
      <c r="G18" s="8">
        <v>188842</v>
      </c>
      <c r="H18" s="8">
        <v>603998.76</v>
      </c>
      <c r="I18" s="8">
        <v>588253.1</v>
      </c>
      <c r="J18" s="13">
        <v>0.30918961234695302</v>
      </c>
      <c r="K18" s="13">
        <v>0.50660332792435303</v>
      </c>
      <c r="L18" s="7">
        <v>-1</v>
      </c>
      <c r="M18" s="13">
        <v>0.46351194047119199</v>
      </c>
      <c r="N18" s="13">
        <v>-15.432232812423999</v>
      </c>
      <c r="O18" s="7">
        <v>1</v>
      </c>
      <c r="P18" s="7" t="s">
        <v>160</v>
      </c>
      <c r="Q18" s="7" t="str">
        <f t="shared" si="0"/>
        <v>Yes</v>
      </c>
    </row>
    <row r="19" spans="1:17" ht="15" customHeight="1" x14ac:dyDescent="0.2">
      <c r="A19" s="7">
        <v>2018</v>
      </c>
      <c r="B19" s="7" t="s">
        <v>183</v>
      </c>
      <c r="C19" s="7">
        <v>5</v>
      </c>
      <c r="D19" s="7" t="s">
        <v>192</v>
      </c>
      <c r="E19" s="7" t="s">
        <v>193</v>
      </c>
      <c r="F19" s="8">
        <v>127027</v>
      </c>
      <c r="G19" s="8">
        <v>186037</v>
      </c>
      <c r="H19" s="8">
        <v>204625.18</v>
      </c>
      <c r="I19" s="8">
        <v>560664.82999999996</v>
      </c>
      <c r="J19" s="13">
        <v>0.40575409500932702</v>
      </c>
      <c r="K19" s="13">
        <v>0.267382531231526</v>
      </c>
      <c r="L19" s="7">
        <v>-1</v>
      </c>
      <c r="M19" s="13">
        <v>0.38454237340726499</v>
      </c>
      <c r="N19" s="13">
        <v>2.1211721602061901</v>
      </c>
      <c r="O19" s="7">
        <v>1</v>
      </c>
      <c r="P19" s="7" t="s">
        <v>160</v>
      </c>
      <c r="Q19" s="7" t="str">
        <f t="shared" si="0"/>
        <v>Yes</v>
      </c>
    </row>
    <row r="20" spans="1:17" ht="15" customHeight="1" x14ac:dyDescent="0.2">
      <c r="A20" s="7">
        <v>2018</v>
      </c>
      <c r="B20" s="7" t="s">
        <v>183</v>
      </c>
      <c r="C20" s="7">
        <v>6</v>
      </c>
      <c r="D20" s="7" t="s">
        <v>194</v>
      </c>
      <c r="E20" s="7" t="s">
        <v>195</v>
      </c>
      <c r="F20" s="8">
        <v>140559</v>
      </c>
      <c r="G20" s="8">
        <v>173140</v>
      </c>
      <c r="H20" s="8">
        <v>416383.86</v>
      </c>
      <c r="I20" s="8">
        <v>1806486.61</v>
      </c>
      <c r="J20" s="13">
        <v>0.44806964638076602</v>
      </c>
      <c r="K20" s="13">
        <v>0.18731809415777601</v>
      </c>
      <c r="L20" s="7">
        <v>-1</v>
      </c>
      <c r="M20" s="13">
        <v>0.35811217160064901</v>
      </c>
      <c r="N20" s="13">
        <v>8.9957474780117703</v>
      </c>
      <c r="O20" s="7">
        <v>1</v>
      </c>
      <c r="P20" s="7" t="s">
        <v>160</v>
      </c>
      <c r="Q20" s="7" t="str">
        <f t="shared" si="0"/>
        <v>Yes</v>
      </c>
    </row>
    <row r="21" spans="1:17" ht="15" customHeight="1" x14ac:dyDescent="0.2">
      <c r="A21" s="7">
        <v>2018</v>
      </c>
      <c r="B21" s="7" t="s">
        <v>183</v>
      </c>
      <c r="C21" s="7">
        <v>8</v>
      </c>
      <c r="D21" s="7" t="s">
        <v>196</v>
      </c>
      <c r="E21" s="7" t="s">
        <v>197</v>
      </c>
      <c r="F21" s="8">
        <v>135569</v>
      </c>
      <c r="G21" s="8">
        <v>168835</v>
      </c>
      <c r="H21" s="8">
        <v>4911757.46</v>
      </c>
      <c r="I21" s="8">
        <v>3544568.45</v>
      </c>
      <c r="J21" s="13">
        <v>0.445358799490151</v>
      </c>
      <c r="K21" s="13">
        <v>0.58083824018556496</v>
      </c>
      <c r="L21" s="7">
        <v>-1</v>
      </c>
      <c r="M21" s="13">
        <v>0.48801774834133299</v>
      </c>
      <c r="N21" s="13">
        <v>-4.2658948851182004</v>
      </c>
      <c r="O21" s="7">
        <v>1</v>
      </c>
      <c r="P21" s="7" t="s">
        <v>160</v>
      </c>
      <c r="Q21" s="7" t="str">
        <f t="shared" si="0"/>
        <v>Yes</v>
      </c>
    </row>
    <row r="22" spans="1:17" ht="15" customHeight="1" x14ac:dyDescent="0.2">
      <c r="A22" s="7">
        <v>2018</v>
      </c>
      <c r="B22" s="7" t="s">
        <v>183</v>
      </c>
      <c r="C22" s="7">
        <v>9</v>
      </c>
      <c r="D22" s="7" t="s">
        <v>198</v>
      </c>
      <c r="E22" s="7" t="s">
        <v>199</v>
      </c>
      <c r="F22" s="8">
        <v>159583</v>
      </c>
      <c r="G22" s="8">
        <v>101662</v>
      </c>
      <c r="H22" s="8">
        <v>2480227.54</v>
      </c>
      <c r="I22" s="8">
        <v>2492615.63</v>
      </c>
      <c r="J22" s="13">
        <v>0.61085571015713203</v>
      </c>
      <c r="K22" s="13">
        <v>0.49875442583080698</v>
      </c>
      <c r="L22" s="7">
        <v>0</v>
      </c>
      <c r="M22" s="13">
        <v>0.50053181686085801</v>
      </c>
      <c r="N22" s="13">
        <v>11.032389329627399</v>
      </c>
      <c r="O22" s="7">
        <v>1</v>
      </c>
      <c r="P22" s="7" t="s">
        <v>160</v>
      </c>
      <c r="Q22" s="7" t="str">
        <f t="shared" si="0"/>
        <v>Yes</v>
      </c>
    </row>
    <row r="23" spans="1:17" ht="15" customHeight="1" x14ac:dyDescent="0.2">
      <c r="A23" s="7">
        <v>2018</v>
      </c>
      <c r="B23" s="7" t="s">
        <v>200</v>
      </c>
      <c r="C23" s="7">
        <v>1</v>
      </c>
      <c r="D23" s="7" t="s">
        <v>201</v>
      </c>
      <c r="E23" s="7" t="s">
        <v>202</v>
      </c>
      <c r="F23" s="8">
        <v>131548</v>
      </c>
      <c r="G23" s="8">
        <v>160046</v>
      </c>
      <c r="H23" s="8">
        <v>1162812.1399999999</v>
      </c>
      <c r="I23" s="8">
        <v>1095659.9099999999</v>
      </c>
      <c r="J23" s="13">
        <v>0.45113411112711499</v>
      </c>
      <c r="K23" s="13">
        <v>0.51486673921866799</v>
      </c>
      <c r="L23" s="7">
        <v>-1</v>
      </c>
      <c r="M23" s="13">
        <v>0.46623978864076898</v>
      </c>
      <c r="N23" s="13">
        <v>-1.5105677513653699</v>
      </c>
      <c r="O23" s="7">
        <v>1</v>
      </c>
      <c r="P23" s="7" t="s">
        <v>160</v>
      </c>
      <c r="Q23" s="7" t="str">
        <f t="shared" si="0"/>
        <v>Yes</v>
      </c>
    </row>
    <row r="24" spans="1:17" ht="15" customHeight="1" x14ac:dyDescent="0.2">
      <c r="A24" s="7">
        <v>2018</v>
      </c>
      <c r="B24" s="7" t="s">
        <v>200</v>
      </c>
      <c r="C24" s="7">
        <v>2</v>
      </c>
      <c r="D24" s="7" t="s">
        <v>203</v>
      </c>
      <c r="E24" s="7" t="s">
        <v>204</v>
      </c>
      <c r="F24" s="8">
        <v>243081</v>
      </c>
      <c r="G24" s="8">
        <v>72576</v>
      </c>
      <c r="H24" s="8">
        <v>731485.96</v>
      </c>
      <c r="I24" s="8">
        <v>3729.25</v>
      </c>
      <c r="J24" s="13">
        <v>0.77007954837054204</v>
      </c>
      <c r="K24" s="13">
        <v>0.99492767566655804</v>
      </c>
      <c r="L24" s="7">
        <v>1</v>
      </c>
      <c r="M24" s="13">
        <v>0.70393526724887401</v>
      </c>
      <c r="N24" s="13">
        <v>6.6144281121667197</v>
      </c>
      <c r="O24" s="7">
        <v>1</v>
      </c>
      <c r="P24" s="7" t="s">
        <v>160</v>
      </c>
      <c r="Q24" s="7" t="str">
        <f t="shared" si="0"/>
        <v>Yes</v>
      </c>
    </row>
    <row r="25" spans="1:17" ht="15" customHeight="1" x14ac:dyDescent="0.2">
      <c r="A25" s="7">
        <v>2018</v>
      </c>
      <c r="B25" s="7" t="s">
        <v>200</v>
      </c>
      <c r="C25" s="7">
        <v>3</v>
      </c>
      <c r="D25" s="7" t="s">
        <v>205</v>
      </c>
      <c r="E25" s="7" t="s">
        <v>206</v>
      </c>
      <c r="F25" s="8">
        <v>134875</v>
      </c>
      <c r="G25" s="8">
        <v>97376</v>
      </c>
      <c r="H25" s="8">
        <v>839518.84</v>
      </c>
      <c r="I25" s="8">
        <v>27158.94</v>
      </c>
      <c r="J25" s="13">
        <v>0.58072946941025005</v>
      </c>
      <c r="K25" s="13">
        <v>0.96866316337312797</v>
      </c>
      <c r="L25" s="7">
        <v>1</v>
      </c>
      <c r="M25" s="13">
        <v>0.69526504629136898</v>
      </c>
      <c r="N25" s="13">
        <v>-11.4535576881119</v>
      </c>
      <c r="O25" s="7">
        <v>1</v>
      </c>
      <c r="P25" s="7" t="s">
        <v>160</v>
      </c>
      <c r="Q25" s="7" t="str">
        <f t="shared" si="0"/>
        <v>Yes</v>
      </c>
    </row>
    <row r="26" spans="1:17" ht="15" customHeight="1" x14ac:dyDescent="0.2">
      <c r="A26" s="7">
        <v>2018</v>
      </c>
      <c r="B26" s="7" t="s">
        <v>200</v>
      </c>
      <c r="C26" s="7">
        <v>4</v>
      </c>
      <c r="D26" s="7" t="s">
        <v>207</v>
      </c>
      <c r="E26" s="7" t="s">
        <v>208</v>
      </c>
      <c r="F26" s="8">
        <v>156253</v>
      </c>
      <c r="G26" s="8">
        <v>184401</v>
      </c>
      <c r="H26" s="8">
        <v>4578201.4400000004</v>
      </c>
      <c r="I26" s="8">
        <v>1800596.86</v>
      </c>
      <c r="J26" s="13">
        <v>0.45868535229294199</v>
      </c>
      <c r="K26" s="13">
        <v>0.71772161850610605</v>
      </c>
      <c r="L26" s="7">
        <v>-1</v>
      </c>
      <c r="M26" s="13">
        <v>0.53320454344301904</v>
      </c>
      <c r="N26" s="13">
        <v>-7.45191911500768</v>
      </c>
      <c r="O26" s="7">
        <v>0</v>
      </c>
      <c r="P26" s="7" t="s">
        <v>160</v>
      </c>
      <c r="Q26" s="7" t="str">
        <f t="shared" si="0"/>
        <v>Yes</v>
      </c>
    </row>
    <row r="27" spans="1:17" ht="15" customHeight="1" x14ac:dyDescent="0.2">
      <c r="A27" s="7">
        <v>2018</v>
      </c>
      <c r="B27" s="7" t="s">
        <v>200</v>
      </c>
      <c r="C27" s="7">
        <v>7</v>
      </c>
      <c r="D27" s="7" t="s">
        <v>209</v>
      </c>
      <c r="E27" s="7" t="s">
        <v>210</v>
      </c>
      <c r="F27" s="8">
        <v>155016</v>
      </c>
      <c r="G27" s="8">
        <v>126601</v>
      </c>
      <c r="H27" s="8">
        <v>1843457.93</v>
      </c>
      <c r="I27" s="8">
        <v>570771.44999999995</v>
      </c>
      <c r="J27" s="13">
        <v>0.55044972427090699</v>
      </c>
      <c r="K27" s="13">
        <v>0.76358027338727896</v>
      </c>
      <c r="L27" s="7">
        <v>1</v>
      </c>
      <c r="M27" s="13">
        <v>0.62756479924638797</v>
      </c>
      <c r="N27" s="13">
        <v>-7.7115074975481201</v>
      </c>
      <c r="O27" s="7">
        <v>1</v>
      </c>
      <c r="P27" s="7" t="s">
        <v>160</v>
      </c>
      <c r="Q27" s="7" t="str">
        <f t="shared" si="0"/>
        <v>Yes</v>
      </c>
    </row>
    <row r="28" spans="1:17" ht="15" customHeight="1" x14ac:dyDescent="0.2">
      <c r="A28" s="7">
        <v>2018</v>
      </c>
      <c r="B28" s="7" t="s">
        <v>200</v>
      </c>
      <c r="C28" s="7">
        <v>9</v>
      </c>
      <c r="D28" s="7" t="s">
        <v>211</v>
      </c>
      <c r="E28" s="7" t="s">
        <v>212</v>
      </c>
      <c r="F28" s="8">
        <v>113414</v>
      </c>
      <c r="G28" s="8">
        <v>87349</v>
      </c>
      <c r="H28" s="8">
        <v>1285898.03</v>
      </c>
      <c r="I28" s="8">
        <v>97462.93</v>
      </c>
      <c r="J28" s="13">
        <v>0.56491484984783102</v>
      </c>
      <c r="K28" s="13">
        <v>0.92954627691676395</v>
      </c>
      <c r="L28" s="7">
        <v>1</v>
      </c>
      <c r="M28" s="13">
        <v>0.68235210715291095</v>
      </c>
      <c r="N28" s="13">
        <v>-11.7437257305081</v>
      </c>
      <c r="O28" s="7">
        <v>1</v>
      </c>
      <c r="P28" s="7" t="s">
        <v>160</v>
      </c>
      <c r="Q28" s="7" t="str">
        <f t="shared" si="0"/>
        <v>Yes</v>
      </c>
    </row>
    <row r="29" spans="1:17" ht="15" customHeight="1" x14ac:dyDescent="0.2">
      <c r="A29" s="7">
        <v>2018</v>
      </c>
      <c r="B29" s="7" t="s">
        <v>200</v>
      </c>
      <c r="C29" s="7">
        <v>10</v>
      </c>
      <c r="D29" s="7" t="s">
        <v>213</v>
      </c>
      <c r="E29" s="7" t="s">
        <v>214</v>
      </c>
      <c r="F29" s="8">
        <v>115945</v>
      </c>
      <c r="G29" s="8">
        <v>105955</v>
      </c>
      <c r="H29" s="8">
        <v>9321684.9600000009</v>
      </c>
      <c r="I29" s="8">
        <v>11224030.74</v>
      </c>
      <c r="J29" s="13">
        <v>0.52251013970256899</v>
      </c>
      <c r="K29" s="13">
        <v>0.45370456284470101</v>
      </c>
      <c r="L29" s="7">
        <v>-1</v>
      </c>
      <c r="M29" s="13">
        <v>0.44604944291952398</v>
      </c>
      <c r="N29" s="13">
        <v>7.6460696783044604</v>
      </c>
      <c r="O29" s="7">
        <v>0</v>
      </c>
      <c r="P29" s="7" t="s">
        <v>160</v>
      </c>
      <c r="Q29" s="7" t="str">
        <f t="shared" si="0"/>
        <v>Yes</v>
      </c>
    </row>
    <row r="30" spans="1:17" ht="15" customHeight="1" x14ac:dyDescent="0.2">
      <c r="A30" s="7">
        <v>2018</v>
      </c>
      <c r="B30" s="7" t="s">
        <v>200</v>
      </c>
      <c r="C30" s="7">
        <v>12</v>
      </c>
      <c r="D30" s="7" t="s">
        <v>215</v>
      </c>
      <c r="E30" s="7" t="s">
        <v>216</v>
      </c>
      <c r="F30" s="8">
        <v>275292</v>
      </c>
      <c r="G30" s="8">
        <v>41780</v>
      </c>
      <c r="H30" s="8">
        <v>5438154.5800000001</v>
      </c>
      <c r="I30" s="8">
        <v>2089428.56</v>
      </c>
      <c r="J30" s="13">
        <v>0.86823182116364706</v>
      </c>
      <c r="K30" s="13">
        <v>0.72243035764065999</v>
      </c>
      <c r="L30" s="7">
        <v>1</v>
      </c>
      <c r="M30" s="13">
        <v>0.61398073349561599</v>
      </c>
      <c r="N30" s="13">
        <v>25.425108766803199</v>
      </c>
      <c r="O30" s="7">
        <v>1</v>
      </c>
      <c r="P30" s="7" t="s">
        <v>160</v>
      </c>
      <c r="Q30" s="7" t="str">
        <f t="shared" si="0"/>
        <v>Yes</v>
      </c>
    </row>
    <row r="31" spans="1:17" ht="15" customHeight="1" x14ac:dyDescent="0.2">
      <c r="A31" s="7">
        <v>2018</v>
      </c>
      <c r="B31" s="7" t="s">
        <v>200</v>
      </c>
      <c r="C31" s="7">
        <v>14</v>
      </c>
      <c r="D31" s="7" t="s">
        <v>217</v>
      </c>
      <c r="E31" s="7" t="s">
        <v>218</v>
      </c>
      <c r="F31" s="8">
        <v>211384</v>
      </c>
      <c r="G31" s="8">
        <v>55439</v>
      </c>
      <c r="H31" s="8">
        <v>748491.21</v>
      </c>
      <c r="I31" s="8">
        <v>0</v>
      </c>
      <c r="J31" s="13">
        <v>0.79222555776675896</v>
      </c>
      <c r="K31" s="13">
        <v>1</v>
      </c>
      <c r="L31" s="7">
        <v>1</v>
      </c>
      <c r="M31" s="13">
        <v>0.70560970050115601</v>
      </c>
      <c r="N31" s="13">
        <v>8.6615857265603395</v>
      </c>
      <c r="O31" s="7">
        <v>1</v>
      </c>
      <c r="P31" s="7" t="s">
        <v>160</v>
      </c>
      <c r="Q31" s="7" t="str">
        <f t="shared" si="0"/>
        <v>Yes</v>
      </c>
    </row>
    <row r="32" spans="1:17" ht="15" customHeight="1" x14ac:dyDescent="0.2">
      <c r="A32" s="7">
        <v>2018</v>
      </c>
      <c r="B32" s="7" t="s">
        <v>200</v>
      </c>
      <c r="C32" s="7">
        <v>15</v>
      </c>
      <c r="D32" s="7" t="s">
        <v>219</v>
      </c>
      <c r="E32" s="7" t="s">
        <v>220</v>
      </c>
      <c r="F32" s="8">
        <v>177989</v>
      </c>
      <c r="G32" s="8">
        <v>65940</v>
      </c>
      <c r="H32" s="8">
        <v>2462483.6</v>
      </c>
      <c r="I32" s="8">
        <v>56807.88</v>
      </c>
      <c r="J32" s="13">
        <v>0.729675438344764</v>
      </c>
      <c r="K32" s="13">
        <v>0.97745085058597503</v>
      </c>
      <c r="L32" s="7">
        <v>1</v>
      </c>
      <c r="M32" s="13">
        <v>0.69816596403884601</v>
      </c>
      <c r="N32" s="13">
        <v>3.1509474305918701</v>
      </c>
      <c r="O32" s="7">
        <v>1</v>
      </c>
      <c r="P32" s="7" t="s">
        <v>160</v>
      </c>
      <c r="Q32" s="7" t="str">
        <f t="shared" si="0"/>
        <v>Yes</v>
      </c>
    </row>
    <row r="33" spans="1:17" ht="15" customHeight="1" x14ac:dyDescent="0.2">
      <c r="A33" s="7">
        <v>2018</v>
      </c>
      <c r="B33" s="7" t="s">
        <v>200</v>
      </c>
      <c r="C33" s="7">
        <v>16</v>
      </c>
      <c r="D33" s="7" t="s">
        <v>221</v>
      </c>
      <c r="E33" s="7" t="s">
        <v>222</v>
      </c>
      <c r="F33" s="8">
        <v>82266</v>
      </c>
      <c r="G33" s="8">
        <v>60693</v>
      </c>
      <c r="H33" s="8">
        <v>2473748.0499999998</v>
      </c>
      <c r="I33" s="8">
        <v>1321413.23</v>
      </c>
      <c r="J33" s="13">
        <v>0.57545170293580705</v>
      </c>
      <c r="K33" s="13">
        <v>0.65181631754000202</v>
      </c>
      <c r="L33" s="7">
        <v>1</v>
      </c>
      <c r="M33" s="13">
        <v>0.590670217635475</v>
      </c>
      <c r="N33" s="13">
        <v>-1.5218514699668</v>
      </c>
      <c r="O33" s="7">
        <v>1</v>
      </c>
      <c r="P33" s="7" t="s">
        <v>160</v>
      </c>
      <c r="Q33" s="7" t="str">
        <f t="shared" si="0"/>
        <v>Yes</v>
      </c>
    </row>
    <row r="34" spans="1:17" ht="15" customHeight="1" x14ac:dyDescent="0.2">
      <c r="A34" s="7">
        <v>2018</v>
      </c>
      <c r="B34" s="7" t="s">
        <v>200</v>
      </c>
      <c r="C34" s="7">
        <v>17</v>
      </c>
      <c r="D34" s="7" t="s">
        <v>223</v>
      </c>
      <c r="E34" s="7" t="s">
        <v>224</v>
      </c>
      <c r="F34" s="8">
        <v>159105</v>
      </c>
      <c r="G34" s="8">
        <v>52057</v>
      </c>
      <c r="H34" s="8">
        <v>1923185.56</v>
      </c>
      <c r="I34" s="8">
        <v>3590</v>
      </c>
      <c r="J34" s="13">
        <v>0.75347363635502596</v>
      </c>
      <c r="K34" s="13">
        <v>0.99813678350788304</v>
      </c>
      <c r="L34" s="7">
        <v>1</v>
      </c>
      <c r="M34" s="13">
        <v>0.704994631068385</v>
      </c>
      <c r="N34" s="13">
        <v>4.8479005286641002</v>
      </c>
      <c r="O34" s="7">
        <v>1</v>
      </c>
      <c r="P34" s="7" t="s">
        <v>160</v>
      </c>
      <c r="Q34" s="7" t="str">
        <f t="shared" si="0"/>
        <v>Yes</v>
      </c>
    </row>
    <row r="35" spans="1:17" ht="15" customHeight="1" x14ac:dyDescent="0.2">
      <c r="A35" s="7">
        <v>2018</v>
      </c>
      <c r="B35" s="7" t="s">
        <v>200</v>
      </c>
      <c r="C35" s="7">
        <v>21</v>
      </c>
      <c r="D35" s="7" t="s">
        <v>225</v>
      </c>
      <c r="E35" s="7" t="s">
        <v>226</v>
      </c>
      <c r="F35" s="8">
        <v>57239</v>
      </c>
      <c r="G35" s="8">
        <v>56377</v>
      </c>
      <c r="H35" s="8">
        <v>4202592.37</v>
      </c>
      <c r="I35" s="8">
        <v>3596480.38</v>
      </c>
      <c r="J35" s="13">
        <v>0.50379347979157896</v>
      </c>
      <c r="K35" s="13">
        <v>0.53885795205590303</v>
      </c>
      <c r="L35" s="7">
        <v>-1</v>
      </c>
      <c r="M35" s="13">
        <v>0.47415956700990303</v>
      </c>
      <c r="N35" s="13">
        <v>2.96339127816753</v>
      </c>
      <c r="O35" s="7">
        <v>0</v>
      </c>
      <c r="P35" s="7" t="s">
        <v>160</v>
      </c>
      <c r="Q35" s="7" t="str">
        <f t="shared" si="0"/>
        <v>Yes</v>
      </c>
    </row>
    <row r="36" spans="1:17" ht="15" customHeight="1" x14ac:dyDescent="0.2">
      <c r="A36" s="7">
        <v>2018</v>
      </c>
      <c r="B36" s="7" t="s">
        <v>200</v>
      </c>
      <c r="C36" s="7">
        <v>22</v>
      </c>
      <c r="D36" s="7" t="s">
        <v>227</v>
      </c>
      <c r="E36" s="7" t="s">
        <v>228</v>
      </c>
      <c r="F36" s="8">
        <v>105136</v>
      </c>
      <c r="G36" s="8">
        <v>117243</v>
      </c>
      <c r="H36" s="8">
        <v>10171754.439999999</v>
      </c>
      <c r="I36" s="8">
        <v>11675077.060000001</v>
      </c>
      <c r="J36" s="13">
        <v>0.47277845480013903</v>
      </c>
      <c r="K36" s="13">
        <v>0.46559403545543898</v>
      </c>
      <c r="L36" s="7">
        <v>-1</v>
      </c>
      <c r="M36" s="13">
        <v>0.449974296099802</v>
      </c>
      <c r="N36" s="13">
        <v>2.2804158700336501</v>
      </c>
      <c r="O36" s="7">
        <v>1</v>
      </c>
      <c r="P36" s="7" t="s">
        <v>160</v>
      </c>
      <c r="Q36" s="7" t="str">
        <f t="shared" si="0"/>
        <v>Yes</v>
      </c>
    </row>
    <row r="37" spans="1:17" ht="15" customHeight="1" x14ac:dyDescent="0.2">
      <c r="A37" s="7">
        <v>2018</v>
      </c>
      <c r="B37" s="7" t="s">
        <v>200</v>
      </c>
      <c r="C37" s="7">
        <v>23</v>
      </c>
      <c r="D37" s="7" t="s">
        <v>229</v>
      </c>
      <c r="E37" s="7" t="s">
        <v>230</v>
      </c>
      <c r="F37" s="8">
        <v>74661</v>
      </c>
      <c r="G37" s="8">
        <v>131113</v>
      </c>
      <c r="H37" s="8">
        <v>114236.25</v>
      </c>
      <c r="I37" s="8">
        <v>8249321.5800000001</v>
      </c>
      <c r="J37" s="13">
        <v>0.36283009515293502</v>
      </c>
      <c r="K37" s="13">
        <v>1.3658810319961599E-2</v>
      </c>
      <c r="L37" s="7">
        <v>-1</v>
      </c>
      <c r="M37" s="13">
        <v>0.30078522239349798</v>
      </c>
      <c r="N37" s="13">
        <v>6.2044872759436798</v>
      </c>
      <c r="O37" s="7">
        <v>1</v>
      </c>
      <c r="P37" s="7" t="s">
        <v>160</v>
      </c>
      <c r="Q37" s="7" t="str">
        <f t="shared" si="0"/>
        <v>Yes</v>
      </c>
    </row>
    <row r="38" spans="1:17" ht="15" customHeight="1" x14ac:dyDescent="0.2">
      <c r="A38" s="7">
        <v>2018</v>
      </c>
      <c r="B38" s="7" t="s">
        <v>200</v>
      </c>
      <c r="C38" s="7">
        <v>24</v>
      </c>
      <c r="D38" s="7" t="s">
        <v>231</v>
      </c>
      <c r="E38" s="7" t="s">
        <v>232</v>
      </c>
      <c r="F38" s="8">
        <v>166550</v>
      </c>
      <c r="G38" s="8">
        <v>117881</v>
      </c>
      <c r="H38" s="8">
        <v>2125070.7000000002</v>
      </c>
      <c r="I38" s="8">
        <v>1605695.16</v>
      </c>
      <c r="J38" s="13">
        <v>0.58555502037400997</v>
      </c>
      <c r="K38" s="13">
        <v>0.56960709402438903</v>
      </c>
      <c r="L38" s="7">
        <v>1</v>
      </c>
      <c r="M38" s="13">
        <v>0.56353199688109101</v>
      </c>
      <c r="N38" s="13">
        <v>2.2023023492919198</v>
      </c>
      <c r="O38" s="7">
        <v>1</v>
      </c>
      <c r="P38" s="7" t="s">
        <v>160</v>
      </c>
      <c r="Q38" s="7" t="str">
        <f t="shared" si="0"/>
        <v>Yes</v>
      </c>
    </row>
    <row r="39" spans="1:17" ht="15" customHeight="1" x14ac:dyDescent="0.2">
      <c r="A39" s="7">
        <v>2018</v>
      </c>
      <c r="B39" s="7" t="s">
        <v>200</v>
      </c>
      <c r="C39" s="7">
        <v>25</v>
      </c>
      <c r="D39" s="7" t="s">
        <v>233</v>
      </c>
      <c r="E39" s="7" t="s">
        <v>234</v>
      </c>
      <c r="F39" s="8">
        <v>133209</v>
      </c>
      <c r="G39" s="8">
        <v>111813</v>
      </c>
      <c r="H39" s="8">
        <v>20906987.82</v>
      </c>
      <c r="I39" s="8">
        <v>10761670.869999999</v>
      </c>
      <c r="J39" s="13">
        <v>0.54366138550823995</v>
      </c>
      <c r="K39" s="13">
        <v>0.66017913877109702</v>
      </c>
      <c r="L39" s="7">
        <v>-1</v>
      </c>
      <c r="M39" s="13">
        <v>0.51420910167842504</v>
      </c>
      <c r="N39" s="13">
        <v>2.94522838298154</v>
      </c>
      <c r="O39" s="7">
        <v>1</v>
      </c>
      <c r="P39" s="7" t="s">
        <v>160</v>
      </c>
      <c r="Q39" s="7" t="str">
        <f t="shared" si="0"/>
        <v>Yes</v>
      </c>
    </row>
    <row r="40" spans="1:17" ht="15" customHeight="1" x14ac:dyDescent="0.2">
      <c r="A40" s="7">
        <v>2018</v>
      </c>
      <c r="B40" s="7" t="s">
        <v>200</v>
      </c>
      <c r="C40" s="7">
        <v>26</v>
      </c>
      <c r="D40" s="7" t="s">
        <v>235</v>
      </c>
      <c r="E40" s="7" t="s">
        <v>236</v>
      </c>
      <c r="F40" s="8">
        <v>158216</v>
      </c>
      <c r="G40" s="8">
        <v>97210</v>
      </c>
      <c r="H40" s="8">
        <v>1811787.37</v>
      </c>
      <c r="I40" s="8">
        <v>350222.64</v>
      </c>
      <c r="J40" s="13">
        <v>0.61942010601896402</v>
      </c>
      <c r="K40" s="13">
        <v>0.83801062974726903</v>
      </c>
      <c r="L40" s="7">
        <v>1</v>
      </c>
      <c r="M40" s="13">
        <v>0.65213512548649999</v>
      </c>
      <c r="N40" s="13">
        <v>-3.27150194675359</v>
      </c>
      <c r="O40" s="7">
        <v>1</v>
      </c>
      <c r="P40" s="7" t="s">
        <v>160</v>
      </c>
      <c r="Q40" s="7" t="str">
        <f t="shared" si="0"/>
        <v>Yes</v>
      </c>
    </row>
    <row r="41" spans="1:17" ht="15" customHeight="1" x14ac:dyDescent="0.2">
      <c r="A41" s="7">
        <v>2018</v>
      </c>
      <c r="B41" s="7" t="s">
        <v>200</v>
      </c>
      <c r="C41" s="7">
        <v>28</v>
      </c>
      <c r="D41" s="7" t="s">
        <v>237</v>
      </c>
      <c r="E41" s="7" t="s">
        <v>238</v>
      </c>
      <c r="F41" s="8">
        <v>196662</v>
      </c>
      <c r="G41" s="8">
        <v>54272</v>
      </c>
      <c r="H41" s="8">
        <v>3660948.12</v>
      </c>
      <c r="I41" s="8">
        <v>36332.559999999998</v>
      </c>
      <c r="J41" s="13">
        <v>0.78372002199781599</v>
      </c>
      <c r="K41" s="13">
        <v>0.99017316694495605</v>
      </c>
      <c r="L41" s="7">
        <v>1</v>
      </c>
      <c r="M41" s="13">
        <v>0.70236574862617396</v>
      </c>
      <c r="N41" s="13">
        <v>8.1354273371641899</v>
      </c>
      <c r="O41" s="7">
        <v>1</v>
      </c>
      <c r="P41" s="7" t="s">
        <v>160</v>
      </c>
      <c r="Q41" s="7" t="str">
        <f t="shared" si="0"/>
        <v>Yes</v>
      </c>
    </row>
    <row r="42" spans="1:17" ht="15" customHeight="1" x14ac:dyDescent="0.2">
      <c r="A42" s="7">
        <v>2018</v>
      </c>
      <c r="B42" s="7" t="s">
        <v>200</v>
      </c>
      <c r="C42" s="7">
        <v>29</v>
      </c>
      <c r="D42" s="7" t="s">
        <v>239</v>
      </c>
      <c r="E42" s="7" t="s">
        <v>240</v>
      </c>
      <c r="F42" s="8">
        <v>124697</v>
      </c>
      <c r="G42" s="8">
        <v>29995</v>
      </c>
      <c r="H42" s="8">
        <v>1484105.6</v>
      </c>
      <c r="I42" s="8">
        <v>8476</v>
      </c>
      <c r="J42" s="13">
        <v>0.80609857006179997</v>
      </c>
      <c r="K42" s="13">
        <v>0.99432124849991499</v>
      </c>
      <c r="L42" s="7">
        <v>1</v>
      </c>
      <c r="M42" s="13">
        <v>0.70373507858857498</v>
      </c>
      <c r="N42" s="13">
        <v>10.2363491473225</v>
      </c>
      <c r="O42" s="7">
        <v>1</v>
      </c>
      <c r="P42" s="7" t="s">
        <v>160</v>
      </c>
      <c r="Q42" s="7" t="str">
        <f t="shared" si="0"/>
        <v>Yes</v>
      </c>
    </row>
    <row r="43" spans="1:17" ht="15" customHeight="1" x14ac:dyDescent="0.2">
      <c r="A43" s="7">
        <v>2018</v>
      </c>
      <c r="B43" s="7" t="s">
        <v>200</v>
      </c>
      <c r="C43" s="7">
        <v>31</v>
      </c>
      <c r="D43" s="7" t="s">
        <v>241</v>
      </c>
      <c r="E43" s="7" t="s">
        <v>242</v>
      </c>
      <c r="F43" s="8">
        <v>110143</v>
      </c>
      <c r="G43" s="8">
        <v>77352</v>
      </c>
      <c r="H43" s="8">
        <v>2511926.0699999998</v>
      </c>
      <c r="I43" s="8">
        <v>1399623.05</v>
      </c>
      <c r="J43" s="13">
        <v>0.58744499853329402</v>
      </c>
      <c r="K43" s="13">
        <v>0.64218190618043403</v>
      </c>
      <c r="L43" s="7">
        <v>1</v>
      </c>
      <c r="M43" s="13">
        <v>0.58748978639998395</v>
      </c>
      <c r="N43" s="13">
        <v>-4.4787866689710602E-3</v>
      </c>
      <c r="O43" s="7">
        <v>1</v>
      </c>
      <c r="P43" s="7" t="s">
        <v>160</v>
      </c>
      <c r="Q43" s="7" t="str">
        <f t="shared" si="0"/>
        <v>Yes</v>
      </c>
    </row>
    <row r="44" spans="1:17" ht="15" customHeight="1" x14ac:dyDescent="0.2">
      <c r="A44" s="7">
        <v>2018</v>
      </c>
      <c r="B44" s="7" t="s">
        <v>200</v>
      </c>
      <c r="C44" s="7">
        <v>33</v>
      </c>
      <c r="D44" s="7" t="s">
        <v>243</v>
      </c>
      <c r="E44" s="7" t="s">
        <v>244</v>
      </c>
      <c r="F44" s="8">
        <v>219091</v>
      </c>
      <c r="G44" s="8">
        <v>93769</v>
      </c>
      <c r="H44" s="8">
        <v>974512.91</v>
      </c>
      <c r="I44" s="8">
        <v>161454.23000000001</v>
      </c>
      <c r="J44" s="13">
        <v>0.70028447228792401</v>
      </c>
      <c r="K44" s="13">
        <v>0.857870686294676</v>
      </c>
      <c r="L44" s="7">
        <v>1</v>
      </c>
      <c r="M44" s="13">
        <v>0.65869116112008896</v>
      </c>
      <c r="N44" s="13">
        <v>4.1593311167834903</v>
      </c>
      <c r="O44" s="7">
        <v>1</v>
      </c>
      <c r="P44" s="7" t="s">
        <v>160</v>
      </c>
      <c r="Q44" s="7" t="str">
        <f t="shared" si="0"/>
        <v>Yes</v>
      </c>
    </row>
    <row r="45" spans="1:17" ht="15" customHeight="1" x14ac:dyDescent="0.2">
      <c r="A45" s="7">
        <v>2018</v>
      </c>
      <c r="B45" s="7" t="s">
        <v>200</v>
      </c>
      <c r="C45" s="7">
        <v>35</v>
      </c>
      <c r="D45" s="7" t="s">
        <v>245</v>
      </c>
      <c r="E45" s="7" t="s">
        <v>246</v>
      </c>
      <c r="F45" s="8">
        <v>103420</v>
      </c>
      <c r="G45" s="8">
        <v>45604</v>
      </c>
      <c r="H45" s="8">
        <v>628495.17000000004</v>
      </c>
      <c r="I45" s="8">
        <v>8221.19</v>
      </c>
      <c r="J45" s="13">
        <v>0.69398217736740397</v>
      </c>
      <c r="K45" s="13">
        <v>0.98708814392644195</v>
      </c>
      <c r="L45" s="7">
        <v>1</v>
      </c>
      <c r="M45" s="13">
        <v>0.70134734664974796</v>
      </c>
      <c r="N45" s="13">
        <v>-0.73651692823438797</v>
      </c>
      <c r="O45" s="7">
        <v>1</v>
      </c>
      <c r="P45" s="7" t="s">
        <v>160</v>
      </c>
      <c r="Q45" s="7" t="str">
        <f t="shared" si="0"/>
        <v>Yes</v>
      </c>
    </row>
    <row r="46" spans="1:17" ht="15" customHeight="1" x14ac:dyDescent="0.2">
      <c r="A46" s="7">
        <v>2018</v>
      </c>
      <c r="B46" s="7" t="s">
        <v>200</v>
      </c>
      <c r="C46" s="7">
        <v>36</v>
      </c>
      <c r="D46" s="7" t="s">
        <v>247</v>
      </c>
      <c r="E46" s="7" t="s">
        <v>248</v>
      </c>
      <c r="F46" s="8">
        <v>122169</v>
      </c>
      <c r="G46" s="8">
        <v>84839</v>
      </c>
      <c r="H46" s="8">
        <v>2539000.38</v>
      </c>
      <c r="I46" s="8">
        <v>860201.6</v>
      </c>
      <c r="J46" s="13">
        <v>0.59016559746483199</v>
      </c>
      <c r="K46" s="13">
        <v>0.74694013328387199</v>
      </c>
      <c r="L46" s="7">
        <v>1</v>
      </c>
      <c r="M46" s="13">
        <v>0.62207169547775398</v>
      </c>
      <c r="N46" s="13">
        <v>-3.1906098012921298</v>
      </c>
      <c r="O46" s="7">
        <v>1</v>
      </c>
      <c r="P46" s="7" t="s">
        <v>160</v>
      </c>
      <c r="Q46" s="7" t="str">
        <f t="shared" si="0"/>
        <v>Yes</v>
      </c>
    </row>
    <row r="47" spans="1:17" ht="15" customHeight="1" x14ac:dyDescent="0.2">
      <c r="A47" s="7">
        <v>2018</v>
      </c>
      <c r="B47" s="7" t="s">
        <v>200</v>
      </c>
      <c r="C47" s="7">
        <v>37</v>
      </c>
      <c r="D47" s="7" t="s">
        <v>249</v>
      </c>
      <c r="E47" s="7" t="s">
        <v>250</v>
      </c>
      <c r="F47" s="8">
        <v>210555</v>
      </c>
      <c r="G47" s="8">
        <v>25823</v>
      </c>
      <c r="H47" s="8">
        <v>829715.22</v>
      </c>
      <c r="I47" s="8">
        <v>10251.09</v>
      </c>
      <c r="J47" s="13">
        <v>0.89075548485899703</v>
      </c>
      <c r="K47" s="13">
        <v>0.98779583195426002</v>
      </c>
      <c r="L47" s="7">
        <v>1</v>
      </c>
      <c r="M47" s="13">
        <v>0.701580962697958</v>
      </c>
      <c r="N47" s="13">
        <v>18.9174522161039</v>
      </c>
      <c r="O47" s="7">
        <v>1</v>
      </c>
      <c r="P47" s="7" t="s">
        <v>160</v>
      </c>
      <c r="Q47" s="7" t="str">
        <f t="shared" si="0"/>
        <v>Yes</v>
      </c>
    </row>
    <row r="48" spans="1:17" ht="15" customHeight="1" x14ac:dyDescent="0.2">
      <c r="A48" s="7">
        <v>2018</v>
      </c>
      <c r="B48" s="7" t="s">
        <v>200</v>
      </c>
      <c r="C48" s="7">
        <v>39</v>
      </c>
      <c r="D48" s="7" t="s">
        <v>251</v>
      </c>
      <c r="E48" s="7" t="s">
        <v>252</v>
      </c>
      <c r="F48" s="8">
        <v>126002</v>
      </c>
      <c r="G48" s="8">
        <v>118391</v>
      </c>
      <c r="H48" s="8">
        <v>20313743.760000002</v>
      </c>
      <c r="I48" s="8">
        <v>9777830.6799999997</v>
      </c>
      <c r="J48" s="13">
        <v>0.51557123158191898</v>
      </c>
      <c r="K48" s="13">
        <v>0.675064171218553</v>
      </c>
      <c r="L48" s="7">
        <v>0</v>
      </c>
      <c r="M48" s="13">
        <v>0.55873371424981899</v>
      </c>
      <c r="N48" s="13">
        <v>-4.3162482667899997</v>
      </c>
      <c r="O48" s="7">
        <v>1</v>
      </c>
      <c r="P48" s="7" t="s">
        <v>160</v>
      </c>
      <c r="Q48" s="7" t="str">
        <f t="shared" si="0"/>
        <v>Yes</v>
      </c>
    </row>
    <row r="49" spans="1:17" ht="15" customHeight="1" x14ac:dyDescent="0.2">
      <c r="A49" s="7">
        <v>2018</v>
      </c>
      <c r="B49" s="7" t="s">
        <v>200</v>
      </c>
      <c r="C49" s="7">
        <v>41</v>
      </c>
      <c r="D49" s="7" t="s">
        <v>253</v>
      </c>
      <c r="E49" s="7" t="s">
        <v>254</v>
      </c>
      <c r="F49" s="8">
        <v>108227</v>
      </c>
      <c r="G49" s="8">
        <v>58021</v>
      </c>
      <c r="H49" s="8">
        <v>1105805.22</v>
      </c>
      <c r="I49" s="8">
        <v>43652.160000000003</v>
      </c>
      <c r="J49" s="13">
        <v>0.65099730523073995</v>
      </c>
      <c r="K49" s="13">
        <v>0.96202368112160896</v>
      </c>
      <c r="L49" s="7">
        <v>1</v>
      </c>
      <c r="M49" s="13">
        <v>0.69307327598469104</v>
      </c>
      <c r="N49" s="13">
        <v>-4.2075970753951601</v>
      </c>
      <c r="O49" s="7">
        <v>1</v>
      </c>
      <c r="P49" s="7" t="s">
        <v>160</v>
      </c>
      <c r="Q49" s="7" t="str">
        <f t="shared" si="0"/>
        <v>Yes</v>
      </c>
    </row>
    <row r="50" spans="1:17" ht="15" customHeight="1" x14ac:dyDescent="0.2">
      <c r="A50" s="7">
        <v>2018</v>
      </c>
      <c r="B50" s="7" t="s">
        <v>200</v>
      </c>
      <c r="C50" s="7">
        <v>42</v>
      </c>
      <c r="D50" s="7" t="s">
        <v>255</v>
      </c>
      <c r="E50" s="7" t="s">
        <v>256</v>
      </c>
      <c r="F50" s="8">
        <v>100892</v>
      </c>
      <c r="G50" s="8">
        <v>131040</v>
      </c>
      <c r="H50" s="8">
        <v>157132.76999999999</v>
      </c>
      <c r="I50" s="8">
        <v>1620855.36</v>
      </c>
      <c r="J50" s="13">
        <v>0.43500681234154798</v>
      </c>
      <c r="K50" s="13">
        <v>8.8376726114588799E-2</v>
      </c>
      <c r="L50" s="7">
        <v>-1</v>
      </c>
      <c r="M50" s="13">
        <v>0.32545047534722499</v>
      </c>
      <c r="N50" s="13">
        <v>10.955633699432401</v>
      </c>
      <c r="O50" s="7">
        <v>1</v>
      </c>
      <c r="P50" s="7" t="s">
        <v>160</v>
      </c>
      <c r="Q50" s="7" t="str">
        <f t="shared" si="0"/>
        <v>Yes</v>
      </c>
    </row>
    <row r="51" spans="1:17" ht="15" customHeight="1" x14ac:dyDescent="0.2">
      <c r="A51" s="7">
        <v>2018</v>
      </c>
      <c r="B51" s="7" t="s">
        <v>200</v>
      </c>
      <c r="C51" s="7">
        <v>43</v>
      </c>
      <c r="D51" s="7" t="s">
        <v>257</v>
      </c>
      <c r="E51" s="7" t="s">
        <v>258</v>
      </c>
      <c r="F51" s="8">
        <v>152272</v>
      </c>
      <c r="G51" s="8">
        <v>43780</v>
      </c>
      <c r="H51" s="8">
        <v>1399096.88</v>
      </c>
      <c r="I51" s="8">
        <v>2074575.53</v>
      </c>
      <c r="J51" s="13">
        <v>0.77669189806785999</v>
      </c>
      <c r="K51" s="13">
        <v>0.40277168220361897</v>
      </c>
      <c r="L51" s="7">
        <v>1</v>
      </c>
      <c r="M51" s="13">
        <v>0.50845768718662299</v>
      </c>
      <c r="N51" s="13">
        <v>26.823421088123698</v>
      </c>
      <c r="O51" s="7">
        <v>1</v>
      </c>
      <c r="P51" s="7" t="s">
        <v>160</v>
      </c>
      <c r="Q51" s="7" t="str">
        <f t="shared" si="0"/>
        <v>Yes</v>
      </c>
    </row>
    <row r="52" spans="1:17" ht="15" customHeight="1" x14ac:dyDescent="0.2">
      <c r="A52" s="7">
        <v>2018</v>
      </c>
      <c r="B52" s="7" t="s">
        <v>200</v>
      </c>
      <c r="C52" s="7">
        <v>45</v>
      </c>
      <c r="D52" s="7" t="s">
        <v>259</v>
      </c>
      <c r="E52" s="7" t="s">
        <v>260</v>
      </c>
      <c r="F52" s="8">
        <v>158906</v>
      </c>
      <c r="G52" s="8">
        <v>146383</v>
      </c>
      <c r="H52" s="8">
        <v>15177779.15</v>
      </c>
      <c r="I52" s="8">
        <v>11607867.460000001</v>
      </c>
      <c r="J52" s="13">
        <v>0.52051007406097205</v>
      </c>
      <c r="K52" s="13">
        <v>0.56663851991288605</v>
      </c>
      <c r="L52" s="7">
        <v>-1</v>
      </c>
      <c r="M52" s="13">
        <v>0.48333025554026898</v>
      </c>
      <c r="N52" s="13">
        <v>3.7179818520702299</v>
      </c>
      <c r="O52" s="7">
        <v>0</v>
      </c>
      <c r="P52" s="7" t="s">
        <v>160</v>
      </c>
      <c r="Q52" s="7" t="str">
        <f t="shared" si="0"/>
        <v>Yes</v>
      </c>
    </row>
    <row r="53" spans="1:17" ht="15" customHeight="1" x14ac:dyDescent="0.2">
      <c r="A53" s="7">
        <v>2018</v>
      </c>
      <c r="B53" s="7" t="s">
        <v>200</v>
      </c>
      <c r="C53" s="7">
        <v>47</v>
      </c>
      <c r="D53" s="7" t="s">
        <v>261</v>
      </c>
      <c r="E53" s="7" t="s">
        <v>262</v>
      </c>
      <c r="F53" s="8">
        <v>143354</v>
      </c>
      <c r="G53" s="8">
        <v>77682</v>
      </c>
      <c r="H53" s="8">
        <v>634931.39</v>
      </c>
      <c r="I53" s="8">
        <v>48137.47</v>
      </c>
      <c r="J53" s="13">
        <v>0.64855498651803301</v>
      </c>
      <c r="K53" s="13">
        <v>0.92952764674413701</v>
      </c>
      <c r="L53" s="7">
        <v>1</v>
      </c>
      <c r="M53" s="13">
        <v>0.682345957116263</v>
      </c>
      <c r="N53" s="13">
        <v>-3.3790970598229402</v>
      </c>
      <c r="O53" s="7">
        <v>1</v>
      </c>
      <c r="P53" s="7" t="s">
        <v>160</v>
      </c>
      <c r="Q53" s="7" t="str">
        <f t="shared" si="0"/>
        <v>Yes</v>
      </c>
    </row>
    <row r="54" spans="1:17" ht="15" customHeight="1" x14ac:dyDescent="0.2">
      <c r="A54" s="7">
        <v>2018</v>
      </c>
      <c r="B54" s="7" t="s">
        <v>200</v>
      </c>
      <c r="C54" s="7">
        <v>48</v>
      </c>
      <c r="D54" s="7" t="s">
        <v>263</v>
      </c>
      <c r="E54" s="7" t="s">
        <v>264</v>
      </c>
      <c r="F54" s="8">
        <v>157837</v>
      </c>
      <c r="G54" s="8">
        <v>136899</v>
      </c>
      <c r="H54" s="8">
        <v>20503231.960000001</v>
      </c>
      <c r="I54" s="8">
        <v>7345137.3899999997</v>
      </c>
      <c r="J54" s="13">
        <v>0.53551992291406603</v>
      </c>
      <c r="K54" s="13">
        <v>0.73624533279899196</v>
      </c>
      <c r="L54" s="7">
        <v>-1</v>
      </c>
      <c r="M54" s="13">
        <v>0.53931943695707796</v>
      </c>
      <c r="N54" s="13">
        <v>-0.37995140430129298</v>
      </c>
      <c r="O54" s="7">
        <v>1</v>
      </c>
      <c r="P54" s="7" t="s">
        <v>160</v>
      </c>
      <c r="Q54" s="7" t="str">
        <f t="shared" si="0"/>
        <v>Yes</v>
      </c>
    </row>
    <row r="55" spans="1:17" ht="15" customHeight="1" x14ac:dyDescent="0.2">
      <c r="A55" s="7">
        <v>2018</v>
      </c>
      <c r="B55" s="7" t="s">
        <v>200</v>
      </c>
      <c r="C55" s="7">
        <v>49</v>
      </c>
      <c r="D55" s="7" t="s">
        <v>265</v>
      </c>
      <c r="E55" s="7" t="s">
        <v>266</v>
      </c>
      <c r="F55" s="8">
        <v>166453</v>
      </c>
      <c r="G55" s="8">
        <v>128577</v>
      </c>
      <c r="H55" s="8">
        <v>10707096.25</v>
      </c>
      <c r="I55" s="8">
        <v>2184331.91</v>
      </c>
      <c r="J55" s="13">
        <v>0.56419008236450496</v>
      </c>
      <c r="K55" s="13">
        <v>0.83055935441058204</v>
      </c>
      <c r="L55" s="7">
        <v>0</v>
      </c>
      <c r="M55" s="13">
        <v>0.61006448259003199</v>
      </c>
      <c r="N55" s="13">
        <v>-4.5874400225526397</v>
      </c>
      <c r="O55" s="7">
        <v>1</v>
      </c>
      <c r="P55" s="7" t="s">
        <v>160</v>
      </c>
      <c r="Q55" s="7" t="str">
        <f t="shared" si="0"/>
        <v>Yes</v>
      </c>
    </row>
    <row r="56" spans="1:17" ht="15" customHeight="1" x14ac:dyDescent="0.2">
      <c r="A56" s="7">
        <v>2018</v>
      </c>
      <c r="B56" s="7" t="s">
        <v>200</v>
      </c>
      <c r="C56" s="7">
        <v>50</v>
      </c>
      <c r="D56" s="7" t="s">
        <v>267</v>
      </c>
      <c r="E56" s="7" t="s">
        <v>268</v>
      </c>
      <c r="F56" s="8">
        <v>125448</v>
      </c>
      <c r="G56" s="8">
        <v>134362</v>
      </c>
      <c r="H56" s="8">
        <v>4576033.9400000004</v>
      </c>
      <c r="I56" s="8">
        <v>1830084.45</v>
      </c>
      <c r="J56" s="13">
        <v>0.48284515607559397</v>
      </c>
      <c r="K56" s="13">
        <v>0.71432241201524205</v>
      </c>
      <c r="L56" s="7">
        <v>-1</v>
      </c>
      <c r="M56" s="13">
        <v>0.53208242584849796</v>
      </c>
      <c r="N56" s="13">
        <v>-4.9237269772904204</v>
      </c>
      <c r="O56" s="7">
        <v>0</v>
      </c>
      <c r="P56" s="7" t="s">
        <v>160</v>
      </c>
      <c r="Q56" s="7" t="str">
        <f t="shared" si="0"/>
        <v>Yes</v>
      </c>
    </row>
    <row r="57" spans="1:17" ht="15" customHeight="1" x14ac:dyDescent="0.2">
      <c r="A57" s="7">
        <v>2018</v>
      </c>
      <c r="B57" s="7" t="s">
        <v>200</v>
      </c>
      <c r="C57" s="7">
        <v>51</v>
      </c>
      <c r="D57" s="7" t="s">
        <v>269</v>
      </c>
      <c r="E57" s="7" t="s">
        <v>270</v>
      </c>
      <c r="F57" s="8">
        <v>109527</v>
      </c>
      <c r="G57" s="8">
        <v>44301</v>
      </c>
      <c r="H57" s="8">
        <v>887194.47</v>
      </c>
      <c r="I57" s="8">
        <v>70579.679999999993</v>
      </c>
      <c r="J57" s="13">
        <v>0.71200951712302096</v>
      </c>
      <c r="K57" s="13">
        <v>0.92630863967251598</v>
      </c>
      <c r="L57" s="7">
        <v>1</v>
      </c>
      <c r="M57" s="13">
        <v>0.68128332544570602</v>
      </c>
      <c r="N57" s="13">
        <v>3.0726191677314501</v>
      </c>
      <c r="O57" s="7">
        <v>1</v>
      </c>
      <c r="P57" s="7" t="s">
        <v>160</v>
      </c>
      <c r="Q57" s="7" t="str">
        <f t="shared" si="0"/>
        <v>Yes</v>
      </c>
    </row>
    <row r="58" spans="1:17" ht="15" customHeight="1" x14ac:dyDescent="0.2">
      <c r="A58" s="7">
        <v>2018</v>
      </c>
      <c r="B58" s="7" t="s">
        <v>200</v>
      </c>
      <c r="C58" s="7">
        <v>52</v>
      </c>
      <c r="D58" s="7" t="s">
        <v>271</v>
      </c>
      <c r="E58" s="7" t="s">
        <v>272</v>
      </c>
      <c r="F58" s="8">
        <v>188992</v>
      </c>
      <c r="G58" s="8">
        <v>107015</v>
      </c>
      <c r="H58" s="8">
        <v>2065426.09</v>
      </c>
      <c r="I58" s="8">
        <v>372812.13</v>
      </c>
      <c r="J58" s="13">
        <v>0.63847138750097099</v>
      </c>
      <c r="K58" s="13">
        <v>0.84709774174567698</v>
      </c>
      <c r="L58" s="7">
        <v>1</v>
      </c>
      <c r="M58" s="13">
        <v>0.65513488683792298</v>
      </c>
      <c r="N58" s="13">
        <v>-1.6663499336951799</v>
      </c>
      <c r="O58" s="7">
        <v>1</v>
      </c>
      <c r="P58" s="7" t="s">
        <v>160</v>
      </c>
      <c r="Q58" s="7" t="str">
        <f t="shared" si="0"/>
        <v>Yes</v>
      </c>
    </row>
    <row r="59" spans="1:17" ht="15" customHeight="1" x14ac:dyDescent="0.2">
      <c r="A59" s="7">
        <v>2018</v>
      </c>
      <c r="B59" s="7" t="s">
        <v>200</v>
      </c>
      <c r="C59" s="7">
        <v>53</v>
      </c>
      <c r="D59" s="7" t="s">
        <v>273</v>
      </c>
      <c r="E59" s="7" t="s">
        <v>274</v>
      </c>
      <c r="F59" s="8">
        <v>185667</v>
      </c>
      <c r="G59" s="8">
        <v>83127</v>
      </c>
      <c r="H59" s="8">
        <v>466201.94</v>
      </c>
      <c r="I59" s="8">
        <v>94570.86</v>
      </c>
      <c r="J59" s="13">
        <v>0.69074086475144503</v>
      </c>
      <c r="K59" s="13">
        <v>0.83135619273973305</v>
      </c>
      <c r="L59" s="7">
        <v>1</v>
      </c>
      <c r="M59" s="13">
        <v>0.64993841844094202</v>
      </c>
      <c r="N59" s="13">
        <v>4.0802446310503804</v>
      </c>
      <c r="O59" s="7">
        <v>1</v>
      </c>
      <c r="P59" s="7" t="s">
        <v>160</v>
      </c>
      <c r="Q59" s="7" t="str">
        <f t="shared" si="0"/>
        <v>Yes</v>
      </c>
    </row>
    <row r="60" spans="1:17" ht="15" customHeight="1" x14ac:dyDescent="0.2">
      <c r="A60" s="7">
        <v>2018</v>
      </c>
      <c r="B60" s="7" t="s">
        <v>275</v>
      </c>
      <c r="C60" s="7">
        <v>1</v>
      </c>
      <c r="D60" s="7" t="s">
        <v>276</v>
      </c>
      <c r="E60" s="7" t="s">
        <v>277</v>
      </c>
      <c r="F60" s="8">
        <v>272886</v>
      </c>
      <c r="G60" s="8">
        <v>85207</v>
      </c>
      <c r="H60" s="8">
        <v>1210085.6000000001</v>
      </c>
      <c r="I60" s="8">
        <v>35566.449999999997</v>
      </c>
      <c r="J60" s="13">
        <v>0.76205343304672302</v>
      </c>
      <c r="K60" s="13">
        <v>0.971447524210312</v>
      </c>
      <c r="L60" s="7">
        <v>1</v>
      </c>
      <c r="M60" s="13">
        <v>0.69618419618511496</v>
      </c>
      <c r="N60" s="13">
        <v>6.5869236861607101</v>
      </c>
      <c r="O60" s="7">
        <v>1</v>
      </c>
      <c r="P60" s="7" t="s">
        <v>160</v>
      </c>
      <c r="Q60" s="7" t="str">
        <f t="shared" si="0"/>
        <v>Yes</v>
      </c>
    </row>
    <row r="61" spans="1:17" ht="15" customHeight="1" x14ac:dyDescent="0.2">
      <c r="A61" s="7">
        <v>2018</v>
      </c>
      <c r="B61" s="7" t="s">
        <v>275</v>
      </c>
      <c r="C61" s="7">
        <v>2</v>
      </c>
      <c r="D61" s="7" t="s">
        <v>278</v>
      </c>
      <c r="E61" s="7" t="s">
        <v>279</v>
      </c>
      <c r="F61" s="8">
        <v>259608</v>
      </c>
      <c r="G61" s="8">
        <v>144901</v>
      </c>
      <c r="H61" s="8">
        <v>1068324.69</v>
      </c>
      <c r="I61" s="8">
        <v>67708</v>
      </c>
      <c r="J61" s="13">
        <v>0.64178547325275803</v>
      </c>
      <c r="K61" s="13">
        <v>0.94039960240932896</v>
      </c>
      <c r="L61" s="7">
        <v>0</v>
      </c>
      <c r="M61" s="13">
        <v>0.64632402586792403</v>
      </c>
      <c r="N61" s="13">
        <v>-0.453855261516523</v>
      </c>
      <c r="O61" s="7">
        <v>1</v>
      </c>
      <c r="P61" s="7" t="s">
        <v>160</v>
      </c>
      <c r="Q61" s="7" t="str">
        <f t="shared" si="0"/>
        <v>Yes</v>
      </c>
    </row>
    <row r="62" spans="1:17" ht="15" customHeight="1" x14ac:dyDescent="0.2">
      <c r="A62" s="7">
        <v>2018</v>
      </c>
      <c r="B62" s="7" t="s">
        <v>275</v>
      </c>
      <c r="C62" s="7">
        <v>3</v>
      </c>
      <c r="D62" s="7" t="s">
        <v>280</v>
      </c>
      <c r="E62" s="7" t="s">
        <v>281</v>
      </c>
      <c r="F62" s="8">
        <v>146426</v>
      </c>
      <c r="G62" s="8">
        <v>173205</v>
      </c>
      <c r="H62" s="8">
        <v>1921475.66</v>
      </c>
      <c r="I62" s="8">
        <v>1671094.72</v>
      </c>
      <c r="J62" s="13">
        <v>0.45810950752586599</v>
      </c>
      <c r="K62" s="13">
        <v>0.53484704731101196</v>
      </c>
      <c r="L62" s="7">
        <v>-1</v>
      </c>
      <c r="M62" s="13">
        <v>0.47283552070783602</v>
      </c>
      <c r="N62" s="13">
        <v>-1.4726013181970301</v>
      </c>
      <c r="O62" s="7">
        <v>1</v>
      </c>
      <c r="P62" s="7" t="s">
        <v>160</v>
      </c>
      <c r="Q62" s="7" t="str">
        <f t="shared" si="0"/>
        <v>Yes</v>
      </c>
    </row>
    <row r="63" spans="1:17" ht="15" customHeight="1" x14ac:dyDescent="0.2">
      <c r="A63" s="7">
        <v>2018</v>
      </c>
      <c r="B63" s="7" t="s">
        <v>275</v>
      </c>
      <c r="C63" s="7">
        <v>4</v>
      </c>
      <c r="D63" s="7" t="s">
        <v>282</v>
      </c>
      <c r="E63" s="7" t="s">
        <v>283</v>
      </c>
      <c r="F63" s="8">
        <v>145544</v>
      </c>
      <c r="G63" s="8">
        <v>224038</v>
      </c>
      <c r="H63" s="8">
        <v>965825.72</v>
      </c>
      <c r="I63" s="8">
        <v>669445.18999999994</v>
      </c>
      <c r="J63" s="13">
        <v>0.39380705770302699</v>
      </c>
      <c r="K63" s="13">
        <v>0.59062123229477603</v>
      </c>
      <c r="L63" s="7">
        <v>-1</v>
      </c>
      <c r="M63" s="13">
        <v>0.491247227810237</v>
      </c>
      <c r="N63" s="13">
        <v>-9.7440170107210005</v>
      </c>
      <c r="O63" s="7">
        <v>1</v>
      </c>
      <c r="P63" s="7" t="s">
        <v>160</v>
      </c>
      <c r="Q63" s="7" t="str">
        <f t="shared" si="0"/>
        <v>Yes</v>
      </c>
    </row>
    <row r="64" spans="1:17" ht="15" customHeight="1" x14ac:dyDescent="0.2">
      <c r="A64" s="7">
        <v>2018</v>
      </c>
      <c r="B64" s="7" t="s">
        <v>275</v>
      </c>
      <c r="C64" s="7">
        <v>5</v>
      </c>
      <c r="D64" s="7" t="s">
        <v>284</v>
      </c>
      <c r="E64" s="7" t="s">
        <v>285</v>
      </c>
      <c r="F64" s="8">
        <v>126848</v>
      </c>
      <c r="G64" s="8">
        <v>184002</v>
      </c>
      <c r="H64" s="8">
        <v>394808.18</v>
      </c>
      <c r="I64" s="8">
        <v>780349.79</v>
      </c>
      <c r="J64" s="13">
        <v>0.40806820009651001</v>
      </c>
      <c r="K64" s="13">
        <v>0.335961794140749</v>
      </c>
      <c r="L64" s="7">
        <v>-1</v>
      </c>
      <c r="M64" s="13">
        <v>0.40718118565258399</v>
      </c>
      <c r="N64" s="13">
        <v>8.8701444392535994E-2</v>
      </c>
      <c r="O64" s="7">
        <v>1</v>
      </c>
      <c r="P64" s="7" t="s">
        <v>160</v>
      </c>
      <c r="Q64" s="7" t="str">
        <f t="shared" si="0"/>
        <v>Yes</v>
      </c>
    </row>
    <row r="65" spans="1:17" ht="15" customHeight="1" x14ac:dyDescent="0.2">
      <c r="A65" s="7">
        <v>2018</v>
      </c>
      <c r="B65" s="7" t="s">
        <v>275</v>
      </c>
      <c r="C65" s="7">
        <v>6</v>
      </c>
      <c r="D65" s="7" t="s">
        <v>286</v>
      </c>
      <c r="E65" s="7" t="s">
        <v>287</v>
      </c>
      <c r="F65" s="8">
        <v>187639</v>
      </c>
      <c r="G65" s="8">
        <v>148685</v>
      </c>
      <c r="H65" s="8">
        <v>16028531.800000001</v>
      </c>
      <c r="I65" s="8">
        <v>9571023.5800000001</v>
      </c>
      <c r="J65" s="13">
        <v>0.55791141875096595</v>
      </c>
      <c r="K65" s="13">
        <v>0.62612539796384503</v>
      </c>
      <c r="L65" s="7">
        <v>-1</v>
      </c>
      <c r="M65" s="13">
        <v>0.50296756580180602</v>
      </c>
      <c r="N65" s="13">
        <v>5.4943852949160696</v>
      </c>
      <c r="O65" s="7">
        <v>1</v>
      </c>
      <c r="P65" s="7" t="s">
        <v>160</v>
      </c>
      <c r="Q65" s="7" t="str">
        <f t="shared" si="0"/>
        <v>Yes</v>
      </c>
    </row>
    <row r="66" spans="1:17" ht="15" customHeight="1" x14ac:dyDescent="0.2">
      <c r="A66" s="7">
        <v>2018</v>
      </c>
      <c r="B66" s="7" t="s">
        <v>275</v>
      </c>
      <c r="C66" s="7">
        <v>7</v>
      </c>
      <c r="D66" s="7" t="s">
        <v>288</v>
      </c>
      <c r="E66" s="7" t="s">
        <v>289</v>
      </c>
      <c r="F66" s="8">
        <v>204260</v>
      </c>
      <c r="G66" s="8">
        <v>119734</v>
      </c>
      <c r="H66" s="8">
        <v>1462912.73</v>
      </c>
      <c r="I66" s="8">
        <v>54976.959999999999</v>
      </c>
      <c r="J66" s="13">
        <v>0.63044377365012905</v>
      </c>
      <c r="K66" s="13">
        <v>0.96378066182134803</v>
      </c>
      <c r="L66" s="7">
        <v>1</v>
      </c>
      <c r="M66" s="13">
        <v>0.69365327574690305</v>
      </c>
      <c r="N66" s="13">
        <v>-6.3209502096774104</v>
      </c>
      <c r="O66" s="7">
        <v>1</v>
      </c>
      <c r="P66" s="7" t="s">
        <v>160</v>
      </c>
      <c r="Q66" s="7" t="str">
        <f t="shared" si="0"/>
        <v>Yes</v>
      </c>
    </row>
    <row r="67" spans="1:17" ht="15" customHeight="1" x14ac:dyDescent="0.2">
      <c r="A67" s="7">
        <v>2018</v>
      </c>
      <c r="B67" s="7" t="s">
        <v>290</v>
      </c>
      <c r="C67" s="7">
        <v>4</v>
      </c>
      <c r="D67" s="7" t="s">
        <v>291</v>
      </c>
      <c r="E67" s="7" t="s">
        <v>292</v>
      </c>
      <c r="F67" s="8">
        <v>168726</v>
      </c>
      <c r="G67" s="8">
        <v>106921</v>
      </c>
      <c r="H67" s="8">
        <v>1706389.92</v>
      </c>
      <c r="I67" s="8">
        <v>754776.65</v>
      </c>
      <c r="J67" s="13">
        <v>0.61210896545219096</v>
      </c>
      <c r="K67" s="13">
        <v>0.69332565328969198</v>
      </c>
      <c r="L67" s="7">
        <v>1</v>
      </c>
      <c r="M67" s="13">
        <v>0.60437293210922205</v>
      </c>
      <c r="N67" s="13">
        <v>0.77360333429684602</v>
      </c>
      <c r="O67" s="7">
        <v>1</v>
      </c>
      <c r="P67" s="7" t="s">
        <v>160</v>
      </c>
      <c r="Q67" s="7" t="str">
        <f t="shared" si="0"/>
        <v>Yes</v>
      </c>
    </row>
    <row r="68" spans="1:17" ht="15" customHeight="1" x14ac:dyDescent="0.2">
      <c r="A68" s="7">
        <v>2018</v>
      </c>
      <c r="B68" s="7" t="s">
        <v>290</v>
      </c>
      <c r="C68" s="7">
        <v>5</v>
      </c>
      <c r="D68" s="7" t="s">
        <v>293</v>
      </c>
      <c r="E68" s="7" t="s">
        <v>294</v>
      </c>
      <c r="F68" s="8">
        <v>151225</v>
      </c>
      <c r="G68" s="8">
        <v>119426</v>
      </c>
      <c r="H68" s="8">
        <v>1403669.71</v>
      </c>
      <c r="I68" s="8">
        <v>77185.509999999995</v>
      </c>
      <c r="J68" s="13">
        <v>0.55874539536155399</v>
      </c>
      <c r="K68" s="13">
        <v>0.94787774729254104</v>
      </c>
      <c r="L68" s="7">
        <v>0</v>
      </c>
      <c r="M68" s="13">
        <v>0.64879264846275098</v>
      </c>
      <c r="N68" s="13">
        <v>-9.00472531011971</v>
      </c>
      <c r="O68" s="7">
        <v>1</v>
      </c>
      <c r="P68" s="7" t="s">
        <v>160</v>
      </c>
      <c r="Q68" s="7" t="str">
        <f t="shared" ref="Q68:Q131" si="1">IF(A68=2024,"No -- held out","Yes")</f>
        <v>Yes</v>
      </c>
    </row>
    <row r="69" spans="1:17" ht="15" customHeight="1" x14ac:dyDescent="0.2">
      <c r="A69" s="7">
        <v>2018</v>
      </c>
      <c r="B69" s="7" t="s">
        <v>295</v>
      </c>
      <c r="C69" s="7">
        <v>0</v>
      </c>
      <c r="D69" s="7" t="s">
        <v>296</v>
      </c>
      <c r="E69" s="7" t="s">
        <v>297</v>
      </c>
      <c r="F69" s="8">
        <v>199124</v>
      </c>
      <c r="G69" s="8">
        <v>9700</v>
      </c>
      <c r="H69" s="8">
        <v>489514.36</v>
      </c>
      <c r="I69" s="8">
        <v>8438.98</v>
      </c>
      <c r="J69" s="13">
        <v>0.95354940045205505</v>
      </c>
      <c r="K69" s="13">
        <v>0.98305266915169198</v>
      </c>
      <c r="L69" s="7">
        <v>1</v>
      </c>
      <c r="M69" s="13">
        <v>0.70001518949508101</v>
      </c>
      <c r="N69" s="13">
        <v>25.353421095697399</v>
      </c>
      <c r="O69" s="7">
        <v>1</v>
      </c>
      <c r="P69" s="7" t="s">
        <v>160</v>
      </c>
      <c r="Q69" s="7" t="str">
        <f t="shared" si="1"/>
        <v>Yes</v>
      </c>
    </row>
    <row r="70" spans="1:17" ht="15" customHeight="1" x14ac:dyDescent="0.2">
      <c r="A70" s="7">
        <v>2018</v>
      </c>
      <c r="B70" s="7" t="s">
        <v>298</v>
      </c>
      <c r="C70" s="7">
        <v>1</v>
      </c>
      <c r="D70" s="7" t="s">
        <v>299</v>
      </c>
      <c r="E70" s="7" t="s">
        <v>300</v>
      </c>
      <c r="F70" s="8">
        <v>106199</v>
      </c>
      <c r="G70" s="8">
        <v>216189</v>
      </c>
      <c r="H70" s="8">
        <v>77835.820000000007</v>
      </c>
      <c r="I70" s="8">
        <v>1308856.93</v>
      </c>
      <c r="J70" s="13">
        <v>0.32941362581733802</v>
      </c>
      <c r="K70" s="13">
        <v>5.6130545140587199E-2</v>
      </c>
      <c r="L70" s="7">
        <v>-1</v>
      </c>
      <c r="M70" s="13">
        <v>0.31480563599301198</v>
      </c>
      <c r="N70" s="13">
        <v>1.4607989824326</v>
      </c>
      <c r="O70" s="7">
        <v>1</v>
      </c>
      <c r="P70" s="7" t="s">
        <v>160</v>
      </c>
      <c r="Q70" s="7" t="str">
        <f t="shared" si="1"/>
        <v>Yes</v>
      </c>
    </row>
    <row r="71" spans="1:17" ht="15" customHeight="1" x14ac:dyDescent="0.2">
      <c r="A71" s="7">
        <v>2018</v>
      </c>
      <c r="B71" s="7" t="s">
        <v>298</v>
      </c>
      <c r="C71" s="7">
        <v>2</v>
      </c>
      <c r="D71" s="7" t="s">
        <v>301</v>
      </c>
      <c r="E71" s="7" t="s">
        <v>302</v>
      </c>
      <c r="F71" s="8">
        <v>96233</v>
      </c>
      <c r="G71" s="8">
        <v>199335</v>
      </c>
      <c r="H71" s="8">
        <v>258099.44</v>
      </c>
      <c r="I71" s="8">
        <v>1005375.67</v>
      </c>
      <c r="J71" s="13">
        <v>0.32558666702755401</v>
      </c>
      <c r="K71" s="13">
        <v>0.20427742339934199</v>
      </c>
      <c r="L71" s="7">
        <v>-1</v>
      </c>
      <c r="M71" s="13">
        <v>0.363710643415876</v>
      </c>
      <c r="N71" s="13">
        <v>-3.81239763883223</v>
      </c>
      <c r="O71" s="7">
        <v>1</v>
      </c>
      <c r="P71" s="7" t="s">
        <v>160</v>
      </c>
      <c r="Q71" s="7" t="str">
        <f t="shared" si="1"/>
        <v>Yes</v>
      </c>
    </row>
    <row r="72" spans="1:17" ht="15" customHeight="1" x14ac:dyDescent="0.2">
      <c r="A72" s="7">
        <v>2018</v>
      </c>
      <c r="B72" s="7" t="s">
        <v>298</v>
      </c>
      <c r="C72" s="7">
        <v>3</v>
      </c>
      <c r="D72" s="7" t="s">
        <v>303</v>
      </c>
      <c r="E72" s="7" t="s">
        <v>304</v>
      </c>
      <c r="F72" s="8">
        <v>129880</v>
      </c>
      <c r="G72" s="8">
        <v>176616</v>
      </c>
      <c r="H72" s="8">
        <v>84612.29</v>
      </c>
      <c r="I72" s="8">
        <v>803231.46</v>
      </c>
      <c r="J72" s="13">
        <v>0.42375756942994403</v>
      </c>
      <c r="K72" s="13">
        <v>9.5300879236915298E-2</v>
      </c>
      <c r="L72" s="7">
        <v>-1</v>
      </c>
      <c r="M72" s="13">
        <v>0.327736218819004</v>
      </c>
      <c r="N72" s="13">
        <v>9.60213506109395</v>
      </c>
      <c r="O72" s="7">
        <v>1</v>
      </c>
      <c r="P72" s="7" t="s">
        <v>160</v>
      </c>
      <c r="Q72" s="7" t="str">
        <f t="shared" si="1"/>
        <v>Yes</v>
      </c>
    </row>
    <row r="73" spans="1:17" ht="15" customHeight="1" x14ac:dyDescent="0.2">
      <c r="A73" s="7">
        <v>2018</v>
      </c>
      <c r="B73" s="7" t="s">
        <v>298</v>
      </c>
      <c r="C73" s="7">
        <v>4</v>
      </c>
      <c r="D73" s="7" t="s">
        <v>305</v>
      </c>
      <c r="E73" s="7" t="s">
        <v>306</v>
      </c>
      <c r="F73" s="8">
        <v>123351</v>
      </c>
      <c r="G73" s="8">
        <v>248420</v>
      </c>
      <c r="H73" s="8">
        <v>115164.59</v>
      </c>
      <c r="I73" s="8">
        <v>535363.72</v>
      </c>
      <c r="J73" s="13">
        <v>0.33179295856858099</v>
      </c>
      <c r="K73" s="13">
        <v>0.17703240309403301</v>
      </c>
      <c r="L73" s="7">
        <v>-1</v>
      </c>
      <c r="M73" s="13">
        <v>0.354716745360596</v>
      </c>
      <c r="N73" s="13">
        <v>-2.29237867920149</v>
      </c>
      <c r="O73" s="7">
        <v>1</v>
      </c>
      <c r="P73" s="7" t="s">
        <v>160</v>
      </c>
      <c r="Q73" s="7" t="str">
        <f t="shared" si="1"/>
        <v>Yes</v>
      </c>
    </row>
    <row r="74" spans="1:17" ht="15" customHeight="1" x14ac:dyDescent="0.2">
      <c r="A74" s="7">
        <v>2018</v>
      </c>
      <c r="B74" s="7" t="s">
        <v>298</v>
      </c>
      <c r="C74" s="7">
        <v>5</v>
      </c>
      <c r="D74" s="7" t="s">
        <v>307</v>
      </c>
      <c r="E74" s="7" t="s">
        <v>308</v>
      </c>
      <c r="F74" s="8">
        <v>180527</v>
      </c>
      <c r="G74" s="8">
        <v>89799</v>
      </c>
      <c r="H74" s="8">
        <v>726039.39</v>
      </c>
      <c r="I74" s="8">
        <v>40413</v>
      </c>
      <c r="J74" s="13">
        <v>0.66781219712495299</v>
      </c>
      <c r="K74" s="13">
        <v>0.94727265446977105</v>
      </c>
      <c r="L74" s="7">
        <v>1</v>
      </c>
      <c r="M74" s="13">
        <v>0.68820379053631697</v>
      </c>
      <c r="N74" s="13">
        <v>-2.0391593411364499</v>
      </c>
      <c r="O74" s="7">
        <v>1</v>
      </c>
      <c r="P74" s="7" t="s">
        <v>160</v>
      </c>
      <c r="Q74" s="7" t="str">
        <f t="shared" si="1"/>
        <v>Yes</v>
      </c>
    </row>
    <row r="75" spans="1:17" ht="15" customHeight="1" x14ac:dyDescent="0.2">
      <c r="A75" s="7">
        <v>2018</v>
      </c>
      <c r="B75" s="7" t="s">
        <v>298</v>
      </c>
      <c r="C75" s="7">
        <v>6</v>
      </c>
      <c r="D75" s="7" t="s">
        <v>309</v>
      </c>
      <c r="E75" s="7" t="s">
        <v>310</v>
      </c>
      <c r="F75" s="8">
        <v>145758</v>
      </c>
      <c r="G75" s="8">
        <v>187891</v>
      </c>
      <c r="H75" s="8">
        <v>5492507.6699999999</v>
      </c>
      <c r="I75" s="8">
        <v>4798692.83</v>
      </c>
      <c r="J75" s="13">
        <v>0.43686029330224302</v>
      </c>
      <c r="K75" s="13">
        <v>0.53370913043624002</v>
      </c>
      <c r="L75" s="7">
        <v>0</v>
      </c>
      <c r="M75" s="13">
        <v>0.51207077136523205</v>
      </c>
      <c r="N75" s="13">
        <v>-7.5210478062988697</v>
      </c>
      <c r="O75" s="7">
        <v>0</v>
      </c>
      <c r="P75" s="7" t="s">
        <v>160</v>
      </c>
      <c r="Q75" s="7" t="str">
        <f t="shared" si="1"/>
        <v>Yes</v>
      </c>
    </row>
    <row r="76" spans="1:17" ht="15" customHeight="1" x14ac:dyDescent="0.2">
      <c r="A76" s="7">
        <v>2018</v>
      </c>
      <c r="B76" s="7" t="s">
        <v>298</v>
      </c>
      <c r="C76" s="7">
        <v>7</v>
      </c>
      <c r="D76" s="7" t="s">
        <v>311</v>
      </c>
      <c r="E76" s="7" t="s">
        <v>312</v>
      </c>
      <c r="F76" s="8">
        <v>183113</v>
      </c>
      <c r="G76" s="8">
        <v>134285</v>
      </c>
      <c r="H76" s="8">
        <v>4338144.82</v>
      </c>
      <c r="I76" s="8">
        <v>1148121.6299999999</v>
      </c>
      <c r="J76" s="13">
        <v>0.57691919923881096</v>
      </c>
      <c r="K76" s="13">
        <v>0.790728058787593</v>
      </c>
      <c r="L76" s="7">
        <v>1</v>
      </c>
      <c r="M76" s="13">
        <v>0.63652659892871299</v>
      </c>
      <c r="N76" s="13">
        <v>-5.9607399689902403</v>
      </c>
      <c r="O76" s="7">
        <v>1</v>
      </c>
      <c r="P76" s="7" t="s">
        <v>160</v>
      </c>
      <c r="Q76" s="7" t="str">
        <f t="shared" si="1"/>
        <v>Yes</v>
      </c>
    </row>
    <row r="77" spans="1:17" ht="15" customHeight="1" x14ac:dyDescent="0.2">
      <c r="A77" s="7">
        <v>2018</v>
      </c>
      <c r="B77" s="7" t="s">
        <v>298</v>
      </c>
      <c r="C77" s="7">
        <v>8</v>
      </c>
      <c r="D77" s="7" t="s">
        <v>313</v>
      </c>
      <c r="E77" s="7" t="s">
        <v>314</v>
      </c>
      <c r="F77" s="8">
        <v>142415</v>
      </c>
      <c r="G77" s="8">
        <v>218112</v>
      </c>
      <c r="H77" s="8">
        <v>338834.47</v>
      </c>
      <c r="I77" s="8">
        <v>1091017.19</v>
      </c>
      <c r="J77" s="13">
        <v>0.39501895835818102</v>
      </c>
      <c r="K77" s="13">
        <v>0.23697176391011099</v>
      </c>
      <c r="L77" s="7">
        <v>-1</v>
      </c>
      <c r="M77" s="13">
        <v>0.37450342544515502</v>
      </c>
      <c r="N77" s="13">
        <v>2.0515532913026799</v>
      </c>
      <c r="O77" s="7">
        <v>1</v>
      </c>
      <c r="P77" s="7" t="s">
        <v>160</v>
      </c>
      <c r="Q77" s="7" t="str">
        <f t="shared" si="1"/>
        <v>Yes</v>
      </c>
    </row>
    <row r="78" spans="1:17" ht="15" customHeight="1" x14ac:dyDescent="0.2">
      <c r="A78" s="7">
        <v>2018</v>
      </c>
      <c r="B78" s="7" t="s">
        <v>298</v>
      </c>
      <c r="C78" s="7">
        <v>9</v>
      </c>
      <c r="D78" s="7" t="s">
        <v>315</v>
      </c>
      <c r="E78" s="7" t="s">
        <v>316</v>
      </c>
      <c r="F78" s="8">
        <v>172172</v>
      </c>
      <c r="G78" s="8">
        <v>124565</v>
      </c>
      <c r="H78" s="8">
        <v>2467677.33</v>
      </c>
      <c r="I78" s="8">
        <v>98071.3</v>
      </c>
      <c r="J78" s="13">
        <v>0.58021749899742903</v>
      </c>
      <c r="K78" s="13">
        <v>0.96177673102762196</v>
      </c>
      <c r="L78" s="7">
        <v>1</v>
      </c>
      <c r="M78" s="13">
        <v>0.69299175488670095</v>
      </c>
      <c r="N78" s="13">
        <v>-11.277425588927199</v>
      </c>
      <c r="O78" s="7">
        <v>1</v>
      </c>
      <c r="P78" s="7" t="s">
        <v>160</v>
      </c>
      <c r="Q78" s="7" t="str">
        <f t="shared" si="1"/>
        <v>Yes</v>
      </c>
    </row>
    <row r="79" spans="1:17" ht="15" customHeight="1" x14ac:dyDescent="0.2">
      <c r="A79" s="7">
        <v>2018</v>
      </c>
      <c r="B79" s="7" t="s">
        <v>298</v>
      </c>
      <c r="C79" s="7">
        <v>11</v>
      </c>
      <c r="D79" s="7" t="s">
        <v>317</v>
      </c>
      <c r="E79" s="7" t="s">
        <v>318</v>
      </c>
      <c r="F79" s="8">
        <v>128053</v>
      </c>
      <c r="G79" s="8">
        <v>239395</v>
      </c>
      <c r="H79" s="8">
        <v>87364.23</v>
      </c>
      <c r="I79" s="8">
        <v>524574.92000000004</v>
      </c>
      <c r="J79" s="13">
        <v>0.34849284796760399</v>
      </c>
      <c r="K79" s="13">
        <v>0.14276620477706001</v>
      </c>
      <c r="L79" s="7">
        <v>-1</v>
      </c>
      <c r="M79" s="13">
        <v>0.34340507478919202</v>
      </c>
      <c r="N79" s="13">
        <v>0.508777317841136</v>
      </c>
      <c r="O79" s="7">
        <v>1</v>
      </c>
      <c r="P79" s="7" t="s">
        <v>160</v>
      </c>
      <c r="Q79" s="7" t="str">
        <f t="shared" si="1"/>
        <v>Yes</v>
      </c>
    </row>
    <row r="80" spans="1:17" ht="15" customHeight="1" x14ac:dyDescent="0.2">
      <c r="A80" s="7">
        <v>2018</v>
      </c>
      <c r="B80" s="7" t="s">
        <v>298</v>
      </c>
      <c r="C80" s="7">
        <v>12</v>
      </c>
      <c r="D80" s="7" t="s">
        <v>319</v>
      </c>
      <c r="E80" s="7" t="s">
        <v>320</v>
      </c>
      <c r="F80" s="8">
        <v>132844</v>
      </c>
      <c r="G80" s="8">
        <v>194564</v>
      </c>
      <c r="H80" s="8">
        <v>796281.02</v>
      </c>
      <c r="I80" s="8">
        <v>2097991.7999999998</v>
      </c>
      <c r="J80" s="13">
        <v>0.405744514489567</v>
      </c>
      <c r="K80" s="13">
        <v>0.27512299963484399</v>
      </c>
      <c r="L80" s="7">
        <v>-1</v>
      </c>
      <c r="M80" s="13">
        <v>0.38709759204683403</v>
      </c>
      <c r="N80" s="13">
        <v>1.8646922442732301</v>
      </c>
      <c r="O80" s="7">
        <v>1</v>
      </c>
      <c r="P80" s="7" t="s">
        <v>160</v>
      </c>
      <c r="Q80" s="7" t="str">
        <f t="shared" si="1"/>
        <v>Yes</v>
      </c>
    </row>
    <row r="81" spans="1:17" ht="15" customHeight="1" x14ac:dyDescent="0.2">
      <c r="A81" s="7">
        <v>2018</v>
      </c>
      <c r="B81" s="7" t="s">
        <v>298</v>
      </c>
      <c r="C81" s="7">
        <v>13</v>
      </c>
      <c r="D81" s="7" t="s">
        <v>321</v>
      </c>
      <c r="E81" s="7" t="s">
        <v>322</v>
      </c>
      <c r="F81" s="8">
        <v>182717</v>
      </c>
      <c r="G81" s="8">
        <v>134254</v>
      </c>
      <c r="H81" s="8">
        <v>1790412.75</v>
      </c>
      <c r="I81" s="8">
        <v>42519.44</v>
      </c>
      <c r="J81" s="13">
        <v>0.57644705667079998</v>
      </c>
      <c r="K81" s="13">
        <v>0.97680250244282096</v>
      </c>
      <c r="L81" s="7">
        <v>1</v>
      </c>
      <c r="M81" s="13">
        <v>0.69795193677667</v>
      </c>
      <c r="N81" s="13">
        <v>-12.1504880105871</v>
      </c>
      <c r="O81" s="7">
        <v>1</v>
      </c>
      <c r="P81" s="7" t="s">
        <v>160</v>
      </c>
      <c r="Q81" s="7" t="str">
        <f t="shared" si="1"/>
        <v>Yes</v>
      </c>
    </row>
    <row r="82" spans="1:17" ht="15" customHeight="1" x14ac:dyDescent="0.2">
      <c r="A82" s="7">
        <v>2018</v>
      </c>
      <c r="B82" s="7" t="s">
        <v>298</v>
      </c>
      <c r="C82" s="7">
        <v>15</v>
      </c>
      <c r="D82" s="7" t="s">
        <v>323</v>
      </c>
      <c r="E82" s="7" t="s">
        <v>324</v>
      </c>
      <c r="F82" s="8">
        <v>134132</v>
      </c>
      <c r="G82" s="8">
        <v>151380</v>
      </c>
      <c r="H82" s="8">
        <v>2882891.85</v>
      </c>
      <c r="I82" s="8">
        <v>3464745.26</v>
      </c>
      <c r="J82" s="13">
        <v>0.46979461458712801</v>
      </c>
      <c r="K82" s="13">
        <v>0.45416771627639602</v>
      </c>
      <c r="L82" s="7">
        <v>0</v>
      </c>
      <c r="M82" s="13">
        <v>0.48581322550511502</v>
      </c>
      <c r="N82" s="13">
        <v>-1.6018610917987699</v>
      </c>
      <c r="O82" s="7">
        <v>1</v>
      </c>
      <c r="P82" s="7" t="s">
        <v>160</v>
      </c>
      <c r="Q82" s="7" t="str">
        <f t="shared" si="1"/>
        <v>Yes</v>
      </c>
    </row>
    <row r="83" spans="1:17" ht="15" customHeight="1" x14ac:dyDescent="0.2">
      <c r="A83" s="7">
        <v>2018</v>
      </c>
      <c r="B83" s="7" t="s">
        <v>298</v>
      </c>
      <c r="C83" s="7">
        <v>16</v>
      </c>
      <c r="D83" s="7" t="s">
        <v>325</v>
      </c>
      <c r="E83" s="7" t="s">
        <v>326</v>
      </c>
      <c r="F83" s="8">
        <v>164463</v>
      </c>
      <c r="G83" s="8">
        <v>197483</v>
      </c>
      <c r="H83" s="8">
        <v>3723364.82</v>
      </c>
      <c r="I83" s="8">
        <v>4479745.32</v>
      </c>
      <c r="J83" s="13">
        <v>0.45438546081459702</v>
      </c>
      <c r="K83" s="13">
        <v>0.45389672410274401</v>
      </c>
      <c r="L83" s="7">
        <v>-1</v>
      </c>
      <c r="M83" s="13">
        <v>0.44611287758558998</v>
      </c>
      <c r="N83" s="13">
        <v>0.82725832290069301</v>
      </c>
      <c r="O83" s="7">
        <v>1</v>
      </c>
      <c r="P83" s="7" t="s">
        <v>160</v>
      </c>
      <c r="Q83" s="7" t="str">
        <f t="shared" si="1"/>
        <v>Yes</v>
      </c>
    </row>
    <row r="84" spans="1:17" ht="15" customHeight="1" x14ac:dyDescent="0.2">
      <c r="A84" s="7">
        <v>2018</v>
      </c>
      <c r="B84" s="7" t="s">
        <v>298</v>
      </c>
      <c r="C84" s="7">
        <v>17</v>
      </c>
      <c r="D84" s="7" t="s">
        <v>327</v>
      </c>
      <c r="E84" s="7" t="s">
        <v>328</v>
      </c>
      <c r="F84" s="8">
        <v>117194</v>
      </c>
      <c r="G84" s="8">
        <v>193326</v>
      </c>
      <c r="H84" s="8">
        <v>204189.53</v>
      </c>
      <c r="I84" s="8">
        <v>1633625.49</v>
      </c>
      <c r="J84" s="13">
        <v>0.37741208295762002</v>
      </c>
      <c r="K84" s="13">
        <v>0.111104506045445</v>
      </c>
      <c r="L84" s="7">
        <v>0</v>
      </c>
      <c r="M84" s="13">
        <v>0.37256407007200298</v>
      </c>
      <c r="N84" s="13">
        <v>0.48480128856169302</v>
      </c>
      <c r="O84" s="7">
        <v>1</v>
      </c>
      <c r="P84" s="7" t="s">
        <v>160</v>
      </c>
      <c r="Q84" s="7" t="str">
        <f t="shared" si="1"/>
        <v>Yes</v>
      </c>
    </row>
    <row r="85" spans="1:17" ht="15" customHeight="1" x14ac:dyDescent="0.2">
      <c r="A85" s="7">
        <v>2018</v>
      </c>
      <c r="B85" s="7" t="s">
        <v>298</v>
      </c>
      <c r="C85" s="7">
        <v>18</v>
      </c>
      <c r="D85" s="7" t="s">
        <v>329</v>
      </c>
      <c r="E85" s="7" t="s">
        <v>330</v>
      </c>
      <c r="F85" s="8">
        <v>156454</v>
      </c>
      <c r="G85" s="8">
        <v>185905</v>
      </c>
      <c r="H85" s="8">
        <v>6156073.1100000003</v>
      </c>
      <c r="I85" s="8">
        <v>8218680.6799999997</v>
      </c>
      <c r="J85" s="13">
        <v>0.45698813234061297</v>
      </c>
      <c r="K85" s="13">
        <v>0.42825589919199603</v>
      </c>
      <c r="L85" s="7">
        <v>-1</v>
      </c>
      <c r="M85" s="13">
        <v>0.43764854308642898</v>
      </c>
      <c r="N85" s="13">
        <v>1.93395892541838</v>
      </c>
      <c r="O85" s="7">
        <v>1</v>
      </c>
      <c r="P85" s="7" t="s">
        <v>160</v>
      </c>
      <c r="Q85" s="7" t="str">
        <f t="shared" si="1"/>
        <v>Yes</v>
      </c>
    </row>
    <row r="86" spans="1:17" ht="15" customHeight="1" x14ac:dyDescent="0.2">
      <c r="A86" s="7">
        <v>2018</v>
      </c>
      <c r="B86" s="7" t="s">
        <v>298</v>
      </c>
      <c r="C86" s="7">
        <v>19</v>
      </c>
      <c r="D86" s="7" t="s">
        <v>331</v>
      </c>
      <c r="E86" s="7" t="s">
        <v>332</v>
      </c>
      <c r="F86" s="8">
        <v>128106</v>
      </c>
      <c r="G86" s="8">
        <v>211465</v>
      </c>
      <c r="H86" s="8">
        <v>557132.71</v>
      </c>
      <c r="I86" s="8">
        <v>1216112</v>
      </c>
      <c r="J86" s="13">
        <v>0.37725836423016101</v>
      </c>
      <c r="K86" s="13">
        <v>0.31418828256366299</v>
      </c>
      <c r="L86" s="7">
        <v>-1</v>
      </c>
      <c r="M86" s="13">
        <v>0.39999349626071401</v>
      </c>
      <c r="N86" s="13">
        <v>-2.2735132030552601</v>
      </c>
      <c r="O86" s="7">
        <v>1</v>
      </c>
      <c r="P86" s="7" t="s">
        <v>160</v>
      </c>
      <c r="Q86" s="7" t="str">
        <f t="shared" si="1"/>
        <v>Yes</v>
      </c>
    </row>
    <row r="87" spans="1:17" ht="15" customHeight="1" x14ac:dyDescent="0.2">
      <c r="A87" s="7">
        <v>2018</v>
      </c>
      <c r="B87" s="7" t="s">
        <v>298</v>
      </c>
      <c r="C87" s="7">
        <v>22</v>
      </c>
      <c r="D87" s="7" t="s">
        <v>333</v>
      </c>
      <c r="E87" s="7" t="s">
        <v>334</v>
      </c>
      <c r="F87" s="8">
        <v>184634</v>
      </c>
      <c r="G87" s="8">
        <v>113049</v>
      </c>
      <c r="H87" s="8">
        <v>1275324.46</v>
      </c>
      <c r="I87" s="8">
        <v>202834.66</v>
      </c>
      <c r="J87" s="13">
        <v>0.62023696348128698</v>
      </c>
      <c r="K87" s="13">
        <v>0.86277887322442004</v>
      </c>
      <c r="L87" s="7">
        <v>1</v>
      </c>
      <c r="M87" s="13">
        <v>0.66031141070653498</v>
      </c>
      <c r="N87" s="13">
        <v>-4.0074447225248004</v>
      </c>
      <c r="O87" s="7">
        <v>1</v>
      </c>
      <c r="P87" s="7" t="s">
        <v>160</v>
      </c>
      <c r="Q87" s="7" t="str">
        <f t="shared" si="1"/>
        <v>Yes</v>
      </c>
    </row>
    <row r="88" spans="1:17" ht="15" customHeight="1" x14ac:dyDescent="0.2">
      <c r="A88" s="7">
        <v>2018</v>
      </c>
      <c r="B88" s="7" t="s">
        <v>298</v>
      </c>
      <c r="C88" s="7">
        <v>23</v>
      </c>
      <c r="D88" s="7" t="s">
        <v>335</v>
      </c>
      <c r="E88" s="7" t="s">
        <v>336</v>
      </c>
      <c r="F88" s="8">
        <v>161611</v>
      </c>
      <c r="G88" s="8">
        <v>99446</v>
      </c>
      <c r="H88" s="8">
        <v>1987023.69</v>
      </c>
      <c r="I88" s="8">
        <v>477047.12</v>
      </c>
      <c r="J88" s="13">
        <v>0.61906403582359404</v>
      </c>
      <c r="K88" s="13">
        <v>0.80639877796368997</v>
      </c>
      <c r="L88" s="7">
        <v>1</v>
      </c>
      <c r="M88" s="13">
        <v>0.64169968557512902</v>
      </c>
      <c r="N88" s="13">
        <v>-2.2635649751535301</v>
      </c>
      <c r="O88" s="7">
        <v>1</v>
      </c>
      <c r="P88" s="7" t="s">
        <v>160</v>
      </c>
      <c r="Q88" s="7" t="str">
        <f t="shared" si="1"/>
        <v>Yes</v>
      </c>
    </row>
    <row r="89" spans="1:17" ht="15" customHeight="1" x14ac:dyDescent="0.2">
      <c r="A89" s="7">
        <v>2018</v>
      </c>
      <c r="B89" s="7" t="s">
        <v>298</v>
      </c>
      <c r="C89" s="7">
        <v>25</v>
      </c>
      <c r="D89" s="7" t="s">
        <v>337</v>
      </c>
      <c r="E89" s="7" t="s">
        <v>338</v>
      </c>
      <c r="F89" s="8">
        <v>84173</v>
      </c>
      <c r="G89" s="8">
        <v>128672</v>
      </c>
      <c r="H89" s="8">
        <v>2559895.38</v>
      </c>
      <c r="I89" s="8">
        <v>2639470.7599999998</v>
      </c>
      <c r="J89" s="13">
        <v>0.395466184312528</v>
      </c>
      <c r="K89" s="13">
        <v>0.49234758835429898</v>
      </c>
      <c r="L89" s="7">
        <v>-1</v>
      </c>
      <c r="M89" s="13">
        <v>0.45880595504857502</v>
      </c>
      <c r="N89" s="13">
        <v>-6.3339770736047196</v>
      </c>
      <c r="O89" s="7">
        <v>1</v>
      </c>
      <c r="P89" s="7" t="s">
        <v>160</v>
      </c>
      <c r="Q89" s="7" t="str">
        <f t="shared" si="1"/>
        <v>Yes</v>
      </c>
    </row>
    <row r="90" spans="1:17" ht="15" customHeight="1" x14ac:dyDescent="0.2">
      <c r="A90" s="7">
        <v>2018</v>
      </c>
      <c r="B90" s="7" t="s">
        <v>298</v>
      </c>
      <c r="C90" s="7">
        <v>26</v>
      </c>
      <c r="D90" s="7" t="s">
        <v>339</v>
      </c>
      <c r="E90" s="7" t="s">
        <v>340</v>
      </c>
      <c r="F90" s="8">
        <v>119797</v>
      </c>
      <c r="G90" s="8">
        <v>115678</v>
      </c>
      <c r="H90" s="8">
        <v>13056685.220000001</v>
      </c>
      <c r="I90" s="8">
        <v>12776466.98</v>
      </c>
      <c r="J90" s="13">
        <v>0.50874615139611401</v>
      </c>
      <c r="K90" s="13">
        <v>0.50542361686701198</v>
      </c>
      <c r="L90" s="7">
        <v>-1</v>
      </c>
      <c r="M90" s="13">
        <v>0.46312250413143102</v>
      </c>
      <c r="N90" s="13">
        <v>4.5623647264683198</v>
      </c>
      <c r="O90" s="7">
        <v>0</v>
      </c>
      <c r="P90" s="7" t="s">
        <v>160</v>
      </c>
      <c r="Q90" s="7" t="str">
        <f t="shared" si="1"/>
        <v>Yes</v>
      </c>
    </row>
    <row r="91" spans="1:17" ht="15" customHeight="1" x14ac:dyDescent="0.2">
      <c r="A91" s="7">
        <v>2018</v>
      </c>
      <c r="B91" s="7" t="s">
        <v>298</v>
      </c>
      <c r="C91" s="7">
        <v>27</v>
      </c>
      <c r="D91" s="7" t="s">
        <v>341</v>
      </c>
      <c r="E91" s="7" t="s">
        <v>342</v>
      </c>
      <c r="F91" s="8">
        <v>130743</v>
      </c>
      <c r="G91" s="8">
        <v>115588</v>
      </c>
      <c r="H91" s="8">
        <v>6834448.46</v>
      </c>
      <c r="I91" s="8">
        <v>4119999.68</v>
      </c>
      <c r="J91" s="13">
        <v>0.53076145511527195</v>
      </c>
      <c r="K91" s="13">
        <v>0.62389710304475499</v>
      </c>
      <c r="L91" s="7">
        <v>0</v>
      </c>
      <c r="M91" s="13">
        <v>0.54184286998595799</v>
      </c>
      <c r="N91" s="13">
        <v>-1.1081414870686599</v>
      </c>
      <c r="O91" s="7">
        <v>1</v>
      </c>
      <c r="P91" s="7" t="s">
        <v>160</v>
      </c>
      <c r="Q91" s="7" t="str">
        <f t="shared" si="1"/>
        <v>Yes</v>
      </c>
    </row>
    <row r="92" spans="1:17" ht="15" customHeight="1" x14ac:dyDescent="0.2">
      <c r="A92" s="7">
        <v>2018</v>
      </c>
      <c r="B92" s="7" t="s">
        <v>343</v>
      </c>
      <c r="C92" s="7">
        <v>1</v>
      </c>
      <c r="D92" s="7" t="s">
        <v>344</v>
      </c>
      <c r="E92" s="7" t="s">
        <v>345</v>
      </c>
      <c r="F92" s="8">
        <v>105942</v>
      </c>
      <c r="G92" s="8">
        <v>144741</v>
      </c>
      <c r="H92" s="8">
        <v>208044.52</v>
      </c>
      <c r="I92" s="8">
        <v>1471407.53</v>
      </c>
      <c r="J92" s="13">
        <v>0.42261342013618802</v>
      </c>
      <c r="K92" s="13">
        <v>0.123876427433579</v>
      </c>
      <c r="L92" s="7">
        <v>-1</v>
      </c>
      <c r="M92" s="13">
        <v>0.33716933960491302</v>
      </c>
      <c r="N92" s="13">
        <v>8.5444080531274498</v>
      </c>
      <c r="O92" s="7">
        <v>1</v>
      </c>
      <c r="P92" s="7" t="s">
        <v>160</v>
      </c>
      <c r="Q92" s="7" t="str">
        <f t="shared" si="1"/>
        <v>Yes</v>
      </c>
    </row>
    <row r="93" spans="1:17" ht="15" customHeight="1" x14ac:dyDescent="0.2">
      <c r="A93" s="7">
        <v>2018</v>
      </c>
      <c r="B93" s="7" t="s">
        <v>343</v>
      </c>
      <c r="C93" s="7">
        <v>2</v>
      </c>
      <c r="D93" s="7" t="s">
        <v>346</v>
      </c>
      <c r="E93" s="7" t="s">
        <v>347</v>
      </c>
      <c r="F93" s="8">
        <v>136699</v>
      </c>
      <c r="G93" s="8">
        <v>92472</v>
      </c>
      <c r="H93" s="8">
        <v>1273067.28</v>
      </c>
      <c r="I93" s="8">
        <v>17971.38</v>
      </c>
      <c r="J93" s="13">
        <v>0.59649344812389005</v>
      </c>
      <c r="K93" s="13">
        <v>0.98607990561645897</v>
      </c>
      <c r="L93" s="7">
        <v>1</v>
      </c>
      <c r="M93" s="13">
        <v>0.70101451545807303</v>
      </c>
      <c r="N93" s="13">
        <v>-10.452106733418301</v>
      </c>
      <c r="O93" s="7">
        <v>1</v>
      </c>
      <c r="P93" s="7" t="s">
        <v>160</v>
      </c>
      <c r="Q93" s="7" t="str">
        <f t="shared" si="1"/>
        <v>Yes</v>
      </c>
    </row>
    <row r="94" spans="1:17" ht="15" customHeight="1" x14ac:dyDescent="0.2">
      <c r="A94" s="7">
        <v>2018</v>
      </c>
      <c r="B94" s="7" t="s">
        <v>343</v>
      </c>
      <c r="C94" s="7">
        <v>3</v>
      </c>
      <c r="D94" s="7" t="s">
        <v>348</v>
      </c>
      <c r="E94" s="7" t="s">
        <v>349</v>
      </c>
      <c r="F94" s="8">
        <v>101010</v>
      </c>
      <c r="G94" s="8">
        <v>191996</v>
      </c>
      <c r="H94" s="8">
        <v>56508.99</v>
      </c>
      <c r="I94" s="8">
        <v>1186339.75</v>
      </c>
      <c r="J94" s="13">
        <v>0.34473696784366198</v>
      </c>
      <c r="K94" s="13">
        <v>4.5467310849106199E-2</v>
      </c>
      <c r="L94" s="7">
        <v>-1</v>
      </c>
      <c r="M94" s="13">
        <v>0.311285578342754</v>
      </c>
      <c r="N94" s="13">
        <v>3.34513895009081</v>
      </c>
      <c r="O94" s="7">
        <v>1</v>
      </c>
      <c r="P94" s="7" t="s">
        <v>160</v>
      </c>
      <c r="Q94" s="7" t="str">
        <f t="shared" si="1"/>
        <v>Yes</v>
      </c>
    </row>
    <row r="95" spans="1:17" ht="15" customHeight="1" x14ac:dyDescent="0.2">
      <c r="A95" s="7">
        <v>2018</v>
      </c>
      <c r="B95" s="7" t="s">
        <v>343</v>
      </c>
      <c r="C95" s="7">
        <v>4</v>
      </c>
      <c r="D95" s="7" t="s">
        <v>350</v>
      </c>
      <c r="E95" s="7" t="s">
        <v>351</v>
      </c>
      <c r="F95" s="8">
        <v>227717</v>
      </c>
      <c r="G95" s="8">
        <v>61092</v>
      </c>
      <c r="H95" s="8">
        <v>508529.13</v>
      </c>
      <c r="I95" s="8">
        <v>82033.52</v>
      </c>
      <c r="J95" s="13">
        <v>0.78846919590455999</v>
      </c>
      <c r="K95" s="13">
        <v>0.86109260380757202</v>
      </c>
      <c r="L95" s="7">
        <v>1</v>
      </c>
      <c r="M95" s="13">
        <v>0.65975475356115898</v>
      </c>
      <c r="N95" s="13">
        <v>12.8714442343401</v>
      </c>
      <c r="O95" s="7">
        <v>1</v>
      </c>
      <c r="P95" s="7" t="s">
        <v>160</v>
      </c>
      <c r="Q95" s="7" t="str">
        <f t="shared" si="1"/>
        <v>Yes</v>
      </c>
    </row>
    <row r="96" spans="1:17" ht="15" customHeight="1" x14ac:dyDescent="0.2">
      <c r="A96" s="7">
        <v>2018</v>
      </c>
      <c r="B96" s="7" t="s">
        <v>343</v>
      </c>
      <c r="C96" s="7">
        <v>6</v>
      </c>
      <c r="D96" s="7" t="s">
        <v>352</v>
      </c>
      <c r="E96" s="7" t="s">
        <v>353</v>
      </c>
      <c r="F96" s="8">
        <v>160139</v>
      </c>
      <c r="G96" s="8">
        <v>156875</v>
      </c>
      <c r="H96" s="8">
        <v>14047061.27</v>
      </c>
      <c r="I96" s="8">
        <v>14059523.779999999</v>
      </c>
      <c r="J96" s="13">
        <v>0.50514803762609894</v>
      </c>
      <c r="K96" s="13">
        <v>0.49977829910716998</v>
      </c>
      <c r="L96" s="7">
        <v>-1</v>
      </c>
      <c r="M96" s="13">
        <v>0.46125891908533101</v>
      </c>
      <c r="N96" s="13">
        <v>4.3889118540767997</v>
      </c>
      <c r="O96" s="7">
        <v>0</v>
      </c>
      <c r="P96" s="7" t="s">
        <v>160</v>
      </c>
      <c r="Q96" s="7" t="str">
        <f t="shared" si="1"/>
        <v>Yes</v>
      </c>
    </row>
    <row r="97" spans="1:17" ht="15" customHeight="1" x14ac:dyDescent="0.2">
      <c r="A97" s="7">
        <v>2018</v>
      </c>
      <c r="B97" s="7" t="s">
        <v>343</v>
      </c>
      <c r="C97" s="7">
        <v>7</v>
      </c>
      <c r="D97" s="7" t="s">
        <v>354</v>
      </c>
      <c r="E97" s="7" t="s">
        <v>355</v>
      </c>
      <c r="F97" s="8">
        <v>140011</v>
      </c>
      <c r="G97" s="8">
        <v>140430</v>
      </c>
      <c r="H97" s="8">
        <v>3888316.73</v>
      </c>
      <c r="I97" s="8">
        <v>1514361.52</v>
      </c>
      <c r="J97" s="13">
        <v>0.499252962298665</v>
      </c>
      <c r="K97" s="13">
        <v>0.71970170165139902</v>
      </c>
      <c r="L97" s="7">
        <v>-1</v>
      </c>
      <c r="M97" s="13">
        <v>0.53385819191713202</v>
      </c>
      <c r="N97" s="13">
        <v>-3.4605229618466602</v>
      </c>
      <c r="O97" s="7">
        <v>0</v>
      </c>
      <c r="P97" s="7" t="s">
        <v>160</v>
      </c>
      <c r="Q97" s="7" t="str">
        <f t="shared" si="1"/>
        <v>Yes</v>
      </c>
    </row>
    <row r="98" spans="1:17" ht="15" customHeight="1" x14ac:dyDescent="0.2">
      <c r="A98" s="7">
        <v>2018</v>
      </c>
      <c r="B98" s="7" t="s">
        <v>343</v>
      </c>
      <c r="C98" s="7">
        <v>9</v>
      </c>
      <c r="D98" s="7" t="s">
        <v>356</v>
      </c>
      <c r="E98" s="7" t="s">
        <v>357</v>
      </c>
      <c r="F98" s="8">
        <v>57912</v>
      </c>
      <c r="G98" s="8">
        <v>224661</v>
      </c>
      <c r="H98" s="8">
        <v>96666</v>
      </c>
      <c r="I98" s="8">
        <v>758333.4</v>
      </c>
      <c r="J98" s="13">
        <v>0.20494527077958599</v>
      </c>
      <c r="K98" s="13">
        <v>0.113059728462967</v>
      </c>
      <c r="L98" s="7">
        <v>-1</v>
      </c>
      <c r="M98" s="13">
        <v>0.33359862147932001</v>
      </c>
      <c r="N98" s="13">
        <v>-12.865335069973399</v>
      </c>
      <c r="O98" s="7">
        <v>1</v>
      </c>
      <c r="P98" s="7" t="s">
        <v>160</v>
      </c>
      <c r="Q98" s="7" t="str">
        <f t="shared" si="1"/>
        <v>Yes</v>
      </c>
    </row>
    <row r="99" spans="1:17" ht="15" customHeight="1" x14ac:dyDescent="0.2">
      <c r="A99" s="7">
        <v>2018</v>
      </c>
      <c r="B99" s="7" t="s">
        <v>343</v>
      </c>
      <c r="C99" s="7">
        <v>10</v>
      </c>
      <c r="D99" s="7" t="s">
        <v>358</v>
      </c>
      <c r="E99" s="7" t="s">
        <v>359</v>
      </c>
      <c r="F99" s="8">
        <v>112339</v>
      </c>
      <c r="G99" s="8">
        <v>190396</v>
      </c>
      <c r="H99" s="8">
        <v>24453.3</v>
      </c>
      <c r="I99" s="8">
        <v>627414.02</v>
      </c>
      <c r="J99" s="13">
        <v>0.37108031776966699</v>
      </c>
      <c r="K99" s="13">
        <v>3.751269506807E-2</v>
      </c>
      <c r="L99" s="7">
        <v>-1</v>
      </c>
      <c r="M99" s="13">
        <v>0.30865966716332199</v>
      </c>
      <c r="N99" s="13">
        <v>6.2420650606344701</v>
      </c>
      <c r="O99" s="7">
        <v>1</v>
      </c>
      <c r="P99" s="7" t="s">
        <v>160</v>
      </c>
      <c r="Q99" s="7" t="str">
        <f t="shared" si="1"/>
        <v>Yes</v>
      </c>
    </row>
    <row r="100" spans="1:17" ht="15" customHeight="1" x14ac:dyDescent="0.2">
      <c r="A100" s="7">
        <v>2018</v>
      </c>
      <c r="B100" s="7" t="s">
        <v>343</v>
      </c>
      <c r="C100" s="7">
        <v>11</v>
      </c>
      <c r="D100" s="7" t="s">
        <v>360</v>
      </c>
      <c r="E100" s="7" t="s">
        <v>361</v>
      </c>
      <c r="F100" s="8">
        <v>118653</v>
      </c>
      <c r="G100" s="8">
        <v>191887</v>
      </c>
      <c r="H100" s="8">
        <v>47967.87</v>
      </c>
      <c r="I100" s="8">
        <v>664052.54</v>
      </c>
      <c r="J100" s="13">
        <v>0.38208604366587201</v>
      </c>
      <c r="K100" s="13">
        <v>6.7368672760377807E-2</v>
      </c>
      <c r="L100" s="7">
        <v>-1</v>
      </c>
      <c r="M100" s="13">
        <v>0.31851547261680502</v>
      </c>
      <c r="N100" s="13">
        <v>6.3570571049067199</v>
      </c>
      <c r="O100" s="7">
        <v>1</v>
      </c>
      <c r="P100" s="7" t="s">
        <v>160</v>
      </c>
      <c r="Q100" s="7" t="str">
        <f t="shared" si="1"/>
        <v>Yes</v>
      </c>
    </row>
    <row r="101" spans="1:17" ht="15" customHeight="1" x14ac:dyDescent="0.2">
      <c r="A101" s="7">
        <v>2018</v>
      </c>
      <c r="B101" s="7" t="s">
        <v>343</v>
      </c>
      <c r="C101" s="7">
        <v>12</v>
      </c>
      <c r="D101" s="7" t="s">
        <v>362</v>
      </c>
      <c r="E101" s="7" t="s">
        <v>363</v>
      </c>
      <c r="F101" s="8">
        <v>101503</v>
      </c>
      <c r="G101" s="8">
        <v>148986</v>
      </c>
      <c r="H101" s="8">
        <v>283229.3</v>
      </c>
      <c r="I101" s="8">
        <v>1149262.52</v>
      </c>
      <c r="J101" s="13">
        <v>0.40521939087145498</v>
      </c>
      <c r="K101" s="13">
        <v>0.197717917858686</v>
      </c>
      <c r="L101" s="7">
        <v>-1</v>
      </c>
      <c r="M101" s="13">
        <v>0.36154527435156297</v>
      </c>
      <c r="N101" s="13">
        <v>4.3674116519892596</v>
      </c>
      <c r="O101" s="7">
        <v>1</v>
      </c>
      <c r="P101" s="7" t="s">
        <v>160</v>
      </c>
      <c r="Q101" s="7" t="str">
        <f t="shared" si="1"/>
        <v>Yes</v>
      </c>
    </row>
    <row r="102" spans="1:17" ht="15" customHeight="1" x14ac:dyDescent="0.2">
      <c r="A102" s="7">
        <v>2018</v>
      </c>
      <c r="B102" s="7" t="s">
        <v>343</v>
      </c>
      <c r="C102" s="7">
        <v>13</v>
      </c>
      <c r="D102" s="7" t="s">
        <v>364</v>
      </c>
      <c r="E102" s="7" t="s">
        <v>365</v>
      </c>
      <c r="F102" s="8">
        <v>223157</v>
      </c>
      <c r="G102" s="8">
        <v>69760</v>
      </c>
      <c r="H102" s="8">
        <v>1082438.3400000001</v>
      </c>
      <c r="I102" s="8">
        <v>18513</v>
      </c>
      <c r="J102" s="13">
        <v>0.76184379875527897</v>
      </c>
      <c r="K102" s="13">
        <v>0.98318454292448598</v>
      </c>
      <c r="L102" s="7">
        <v>1</v>
      </c>
      <c r="M102" s="13">
        <v>0.70005872256113799</v>
      </c>
      <c r="N102" s="13">
        <v>6.1785076194140904</v>
      </c>
      <c r="O102" s="7">
        <v>1</v>
      </c>
      <c r="P102" s="7" t="s">
        <v>160</v>
      </c>
      <c r="Q102" s="7" t="str">
        <f t="shared" si="1"/>
        <v>Yes</v>
      </c>
    </row>
    <row r="103" spans="1:17" ht="15" customHeight="1" x14ac:dyDescent="0.2">
      <c r="A103" s="7">
        <v>2018</v>
      </c>
      <c r="B103" s="7" t="s">
        <v>343</v>
      </c>
      <c r="C103" s="7">
        <v>14</v>
      </c>
      <c r="D103" s="7" t="s">
        <v>366</v>
      </c>
      <c r="E103" s="7" t="s">
        <v>367</v>
      </c>
      <c r="F103" s="8">
        <v>53981</v>
      </c>
      <c r="G103" s="8">
        <v>175743</v>
      </c>
      <c r="H103" s="8">
        <v>8086</v>
      </c>
      <c r="I103" s="8">
        <v>1019273.24</v>
      </c>
      <c r="J103" s="13">
        <v>0.23498197837404899</v>
      </c>
      <c r="K103" s="13">
        <v>7.8706645982957197E-3</v>
      </c>
      <c r="L103" s="7">
        <v>-1</v>
      </c>
      <c r="M103" s="13">
        <v>0.29887448817614698</v>
      </c>
      <c r="N103" s="13">
        <v>-6.3892509802098498</v>
      </c>
      <c r="O103" s="7">
        <v>1</v>
      </c>
      <c r="P103" s="7" t="s">
        <v>160</v>
      </c>
      <c r="Q103" s="7" t="str">
        <f t="shared" si="1"/>
        <v>Yes</v>
      </c>
    </row>
    <row r="104" spans="1:17" ht="15" customHeight="1" x14ac:dyDescent="0.2">
      <c r="A104" s="7">
        <v>2018</v>
      </c>
      <c r="B104" s="7" t="s">
        <v>368</v>
      </c>
      <c r="C104" s="7">
        <v>0</v>
      </c>
      <c r="D104" s="7" t="s">
        <v>369</v>
      </c>
      <c r="E104" s="7" t="s">
        <v>370</v>
      </c>
      <c r="F104" s="8">
        <v>19193</v>
      </c>
      <c r="G104" s="8">
        <v>15398</v>
      </c>
      <c r="H104" s="8">
        <v>93485.68</v>
      </c>
      <c r="I104" s="8">
        <v>138694.66</v>
      </c>
      <c r="J104" s="13">
        <v>0.55485530918447001</v>
      </c>
      <c r="K104" s="13">
        <v>0.40264253209380302</v>
      </c>
      <c r="L104" s="7">
        <v>0</v>
      </c>
      <c r="M104" s="13">
        <v>0.46880416298195499</v>
      </c>
      <c r="N104" s="13">
        <v>8.6051146202514595</v>
      </c>
      <c r="O104" s="7">
        <v>0</v>
      </c>
      <c r="P104" s="7" t="s">
        <v>160</v>
      </c>
      <c r="Q104" s="7" t="str">
        <f t="shared" si="1"/>
        <v>Yes</v>
      </c>
    </row>
    <row r="105" spans="1:17" ht="15" customHeight="1" x14ac:dyDescent="0.2">
      <c r="A105" s="7">
        <v>2018</v>
      </c>
      <c r="B105" s="7" t="s">
        <v>371</v>
      </c>
      <c r="C105" s="7">
        <v>1</v>
      </c>
      <c r="D105" s="7" t="s">
        <v>372</v>
      </c>
      <c r="E105" s="7" t="s">
        <v>373</v>
      </c>
      <c r="F105" s="8">
        <v>134650</v>
      </c>
      <c r="G105" s="8">
        <v>42498</v>
      </c>
      <c r="H105" s="8">
        <v>482824.33</v>
      </c>
      <c r="I105" s="8">
        <v>155400.37</v>
      </c>
      <c r="J105" s="13">
        <v>0.760098900354506</v>
      </c>
      <c r="K105" s="13">
        <v>0.75651150762419594</v>
      </c>
      <c r="L105" s="7">
        <v>0</v>
      </c>
      <c r="M105" s="13">
        <v>0.58562042720865304</v>
      </c>
      <c r="N105" s="13">
        <v>17.447847314585299</v>
      </c>
      <c r="O105" s="7">
        <v>1</v>
      </c>
      <c r="P105" s="7" t="s">
        <v>160</v>
      </c>
      <c r="Q105" s="7" t="str">
        <f t="shared" si="1"/>
        <v>Yes</v>
      </c>
    </row>
    <row r="106" spans="1:17" ht="15" customHeight="1" x14ac:dyDescent="0.2">
      <c r="A106" s="7">
        <v>2018</v>
      </c>
      <c r="B106" s="7" t="s">
        <v>371</v>
      </c>
      <c r="C106" s="7">
        <v>2</v>
      </c>
      <c r="D106" s="7" t="s">
        <v>374</v>
      </c>
      <c r="E106" s="7" t="s">
        <v>375</v>
      </c>
      <c r="F106" s="8">
        <v>153271</v>
      </c>
      <c r="G106" s="8">
        <v>44850</v>
      </c>
      <c r="H106" s="8">
        <v>1452838</v>
      </c>
      <c r="I106" s="8">
        <v>0</v>
      </c>
      <c r="J106" s="13">
        <v>0.77362318986881795</v>
      </c>
      <c r="K106" s="13">
        <v>1</v>
      </c>
      <c r="L106" s="7">
        <v>1</v>
      </c>
      <c r="M106" s="13">
        <v>0.70560970050115601</v>
      </c>
      <c r="N106" s="13">
        <v>6.8013489367661597</v>
      </c>
      <c r="O106" s="7">
        <v>1</v>
      </c>
      <c r="P106" s="7" t="s">
        <v>160</v>
      </c>
      <c r="Q106" s="7" t="str">
        <f t="shared" si="1"/>
        <v>Yes</v>
      </c>
    </row>
    <row r="107" spans="1:17" ht="15" customHeight="1" x14ac:dyDescent="0.2">
      <c r="A107" s="7">
        <v>2018</v>
      </c>
      <c r="B107" s="7" t="s">
        <v>376</v>
      </c>
      <c r="C107" s="7">
        <v>1</v>
      </c>
      <c r="D107" s="7" t="s">
        <v>377</v>
      </c>
      <c r="E107" s="7" t="s">
        <v>378</v>
      </c>
      <c r="F107" s="8">
        <v>170342</v>
      </c>
      <c r="G107" s="8">
        <v>153442</v>
      </c>
      <c r="H107" s="8">
        <v>6916333.1299999999</v>
      </c>
      <c r="I107" s="8">
        <v>4120124.78</v>
      </c>
      <c r="J107" s="13">
        <v>0.52609764534380898</v>
      </c>
      <c r="K107" s="13">
        <v>0.62668051528862301</v>
      </c>
      <c r="L107" s="7">
        <v>-1</v>
      </c>
      <c r="M107" s="13">
        <v>0.503150816486585</v>
      </c>
      <c r="N107" s="13">
        <v>2.2946828857224699</v>
      </c>
      <c r="O107" s="7">
        <v>1</v>
      </c>
      <c r="P107" s="7" t="s">
        <v>160</v>
      </c>
      <c r="Q107" s="7" t="str">
        <f t="shared" si="1"/>
        <v>Yes</v>
      </c>
    </row>
    <row r="108" spans="1:17" ht="15" customHeight="1" x14ac:dyDescent="0.2">
      <c r="A108" s="7">
        <v>2018</v>
      </c>
      <c r="B108" s="7" t="s">
        <v>376</v>
      </c>
      <c r="C108" s="7">
        <v>2</v>
      </c>
      <c r="D108" s="7" t="s">
        <v>379</v>
      </c>
      <c r="E108" s="7" t="s">
        <v>380</v>
      </c>
      <c r="F108" s="8">
        <v>171446</v>
      </c>
      <c r="G108" s="8">
        <v>133287</v>
      </c>
      <c r="H108" s="8">
        <v>2357320.16</v>
      </c>
      <c r="I108" s="8">
        <v>853952.41</v>
      </c>
      <c r="J108" s="13">
        <v>0.56261054759412299</v>
      </c>
      <c r="K108" s="13">
        <v>0.73407663429828396</v>
      </c>
      <c r="L108" s="7">
        <v>1</v>
      </c>
      <c r="M108" s="13">
        <v>0.61782530486346499</v>
      </c>
      <c r="N108" s="13">
        <v>-5.5214757269341304</v>
      </c>
      <c r="O108" s="7">
        <v>1</v>
      </c>
      <c r="P108" s="7" t="s">
        <v>160</v>
      </c>
      <c r="Q108" s="7" t="str">
        <f t="shared" si="1"/>
        <v>Yes</v>
      </c>
    </row>
    <row r="109" spans="1:17" ht="15" customHeight="1" x14ac:dyDescent="0.2">
      <c r="A109" s="7">
        <v>2018</v>
      </c>
      <c r="B109" s="7" t="s">
        <v>376</v>
      </c>
      <c r="C109" s="7">
        <v>3</v>
      </c>
      <c r="D109" s="7" t="s">
        <v>381</v>
      </c>
      <c r="E109" s="7" t="s">
        <v>382</v>
      </c>
      <c r="F109" s="8">
        <v>175642</v>
      </c>
      <c r="G109" s="8">
        <v>167933</v>
      </c>
      <c r="H109" s="8">
        <v>9846183.2699999996</v>
      </c>
      <c r="I109" s="8">
        <v>7077557.04</v>
      </c>
      <c r="J109" s="13">
        <v>0.51121880229935202</v>
      </c>
      <c r="K109" s="13">
        <v>0.58179711397379597</v>
      </c>
      <c r="L109" s="7">
        <v>-1</v>
      </c>
      <c r="M109" s="13">
        <v>0.48833428373028098</v>
      </c>
      <c r="N109" s="13">
        <v>2.2884518569071401</v>
      </c>
      <c r="O109" s="7">
        <v>0</v>
      </c>
      <c r="P109" s="7" t="s">
        <v>160</v>
      </c>
      <c r="Q109" s="7" t="str">
        <f t="shared" si="1"/>
        <v>Yes</v>
      </c>
    </row>
    <row r="110" spans="1:17" ht="15" customHeight="1" x14ac:dyDescent="0.2">
      <c r="A110" s="7">
        <v>2018</v>
      </c>
      <c r="B110" s="7" t="s">
        <v>376</v>
      </c>
      <c r="C110" s="7">
        <v>4</v>
      </c>
      <c r="D110" s="7" t="s">
        <v>383</v>
      </c>
      <c r="E110" s="7" t="s">
        <v>384</v>
      </c>
      <c r="F110" s="8">
        <v>147246</v>
      </c>
      <c r="G110" s="8">
        <v>157676</v>
      </c>
      <c r="H110" s="8">
        <v>3819075.64</v>
      </c>
      <c r="I110" s="8">
        <v>989970.62</v>
      </c>
      <c r="J110" s="13">
        <v>0.48289726553020101</v>
      </c>
      <c r="K110" s="13">
        <v>0.794144084611072</v>
      </c>
      <c r="L110" s="7">
        <v>-1</v>
      </c>
      <c r="M110" s="13">
        <v>0.55843248827766601</v>
      </c>
      <c r="N110" s="13">
        <v>-7.5535222747464301</v>
      </c>
      <c r="O110" s="7">
        <v>0</v>
      </c>
      <c r="P110" s="7" t="s">
        <v>160</v>
      </c>
      <c r="Q110" s="7" t="str">
        <f t="shared" si="1"/>
        <v>Yes</v>
      </c>
    </row>
    <row r="111" spans="1:17" ht="15" customHeight="1" x14ac:dyDescent="0.2">
      <c r="A111" s="7">
        <v>2018</v>
      </c>
      <c r="B111" s="7" t="s">
        <v>385</v>
      </c>
      <c r="C111" s="7">
        <v>1</v>
      </c>
      <c r="D111" s="7" t="s">
        <v>386</v>
      </c>
      <c r="E111" s="7" t="s">
        <v>387</v>
      </c>
      <c r="F111" s="8">
        <v>96922</v>
      </c>
      <c r="G111" s="8">
        <v>197719</v>
      </c>
      <c r="H111" s="8">
        <v>22192.799999999999</v>
      </c>
      <c r="I111" s="8">
        <v>1475090.89</v>
      </c>
      <c r="J111" s="13">
        <v>0.32894946731785502</v>
      </c>
      <c r="K111" s="13">
        <v>1.48220408385E-2</v>
      </c>
      <c r="L111" s="7">
        <v>0</v>
      </c>
      <c r="M111" s="13">
        <v>0.340780108567171</v>
      </c>
      <c r="N111" s="13">
        <v>-1.1830641249315901</v>
      </c>
      <c r="O111" s="7">
        <v>1</v>
      </c>
      <c r="P111" s="7" t="s">
        <v>160</v>
      </c>
      <c r="Q111" s="7" t="str">
        <f t="shared" si="1"/>
        <v>Yes</v>
      </c>
    </row>
    <row r="112" spans="1:17" ht="15" customHeight="1" x14ac:dyDescent="0.2">
      <c r="A112" s="7">
        <v>2018</v>
      </c>
      <c r="B112" s="7" t="s">
        <v>385</v>
      </c>
      <c r="C112" s="7">
        <v>2</v>
      </c>
      <c r="D112" s="7" t="s">
        <v>388</v>
      </c>
      <c r="E112" s="7" t="s">
        <v>389</v>
      </c>
      <c r="F112" s="8">
        <v>110381</v>
      </c>
      <c r="G112" s="8">
        <v>170274</v>
      </c>
      <c r="H112" s="8">
        <v>126694.17</v>
      </c>
      <c r="I112" s="8">
        <v>993766.72</v>
      </c>
      <c r="J112" s="13">
        <v>0.393297821168338</v>
      </c>
      <c r="K112" s="13">
        <v>0.113073263985145</v>
      </c>
      <c r="L112" s="7">
        <v>-1</v>
      </c>
      <c r="M112" s="13">
        <v>0.33360308971260499</v>
      </c>
      <c r="N112" s="13">
        <v>5.9694731455733203</v>
      </c>
      <c r="O112" s="7">
        <v>1</v>
      </c>
      <c r="P112" s="7" t="s">
        <v>160</v>
      </c>
      <c r="Q112" s="7" t="str">
        <f t="shared" si="1"/>
        <v>Yes</v>
      </c>
    </row>
    <row r="113" spans="1:17" ht="15" customHeight="1" x14ac:dyDescent="0.2">
      <c r="A113" s="7">
        <v>2018</v>
      </c>
      <c r="B113" s="7" t="s">
        <v>390</v>
      </c>
      <c r="C113" s="7">
        <v>1</v>
      </c>
      <c r="D113" s="7" t="s">
        <v>391</v>
      </c>
      <c r="E113" s="7" t="s">
        <v>392</v>
      </c>
      <c r="F113" s="8">
        <v>189560</v>
      </c>
      <c r="G113" s="8">
        <v>50960</v>
      </c>
      <c r="H113" s="8">
        <v>320513.02</v>
      </c>
      <c r="I113" s="8">
        <v>0</v>
      </c>
      <c r="J113" s="13">
        <v>0.78812572759022104</v>
      </c>
      <c r="K113" s="13">
        <v>1</v>
      </c>
      <c r="L113" s="7">
        <v>1</v>
      </c>
      <c r="M113" s="13">
        <v>0.70560970050115601</v>
      </c>
      <c r="N113" s="13">
        <v>8.25160270890653</v>
      </c>
      <c r="O113" s="7">
        <v>1</v>
      </c>
      <c r="P113" s="7" t="s">
        <v>160</v>
      </c>
      <c r="Q113" s="7" t="str">
        <f t="shared" si="1"/>
        <v>Yes</v>
      </c>
    </row>
    <row r="114" spans="1:17" ht="15" customHeight="1" x14ac:dyDescent="0.2">
      <c r="A114" s="7">
        <v>2018</v>
      </c>
      <c r="B114" s="7" t="s">
        <v>390</v>
      </c>
      <c r="C114" s="7">
        <v>2</v>
      </c>
      <c r="D114" s="7" t="s">
        <v>393</v>
      </c>
      <c r="E114" s="7" t="s">
        <v>394</v>
      </c>
      <c r="F114" s="8">
        <v>190684</v>
      </c>
      <c r="G114" s="8">
        <v>44567</v>
      </c>
      <c r="H114" s="8">
        <v>914674.85</v>
      </c>
      <c r="I114" s="8">
        <v>0</v>
      </c>
      <c r="J114" s="13">
        <v>0.81055553430166105</v>
      </c>
      <c r="K114" s="13">
        <v>1</v>
      </c>
      <c r="L114" s="7">
        <v>1</v>
      </c>
      <c r="M114" s="13">
        <v>0.70560970050115601</v>
      </c>
      <c r="N114" s="13">
        <v>10.4945833800505</v>
      </c>
      <c r="O114" s="7">
        <v>1</v>
      </c>
      <c r="P114" s="7" t="s">
        <v>160</v>
      </c>
      <c r="Q114" s="7" t="str">
        <f t="shared" si="1"/>
        <v>Yes</v>
      </c>
    </row>
    <row r="115" spans="1:17" ht="15" customHeight="1" x14ac:dyDescent="0.2">
      <c r="A115" s="7">
        <v>2018</v>
      </c>
      <c r="B115" s="7" t="s">
        <v>390</v>
      </c>
      <c r="C115" s="7">
        <v>4</v>
      </c>
      <c r="D115" s="7" t="s">
        <v>395</v>
      </c>
      <c r="E115" s="7" t="s">
        <v>396</v>
      </c>
      <c r="F115" s="8">
        <v>143895</v>
      </c>
      <c r="G115" s="8">
        <v>22294</v>
      </c>
      <c r="H115" s="8">
        <v>861606.21</v>
      </c>
      <c r="I115" s="8">
        <v>8109.36</v>
      </c>
      <c r="J115" s="13">
        <v>0.86585153048637398</v>
      </c>
      <c r="K115" s="13">
        <v>0.99067584819712995</v>
      </c>
      <c r="L115" s="7">
        <v>0</v>
      </c>
      <c r="M115" s="13">
        <v>0.66292079930213399</v>
      </c>
      <c r="N115" s="13">
        <v>20.293073118424001</v>
      </c>
      <c r="O115" s="7">
        <v>1</v>
      </c>
      <c r="P115" s="7" t="s">
        <v>160</v>
      </c>
      <c r="Q115" s="7" t="str">
        <f t="shared" si="1"/>
        <v>Yes</v>
      </c>
    </row>
    <row r="116" spans="1:17" ht="15" customHeight="1" x14ac:dyDescent="0.2">
      <c r="A116" s="7">
        <v>2018</v>
      </c>
      <c r="B116" s="7" t="s">
        <v>390</v>
      </c>
      <c r="C116" s="7">
        <v>5</v>
      </c>
      <c r="D116" s="7" t="s">
        <v>397</v>
      </c>
      <c r="E116" s="7" t="s">
        <v>398</v>
      </c>
      <c r="F116" s="8">
        <v>213992</v>
      </c>
      <c r="G116" s="8">
        <v>65134</v>
      </c>
      <c r="H116" s="8">
        <v>1249890.77</v>
      </c>
      <c r="I116" s="8">
        <v>0</v>
      </c>
      <c r="J116" s="13">
        <v>0.76665018665405604</v>
      </c>
      <c r="K116" s="13">
        <v>1</v>
      </c>
      <c r="L116" s="7">
        <v>1</v>
      </c>
      <c r="M116" s="13">
        <v>0.70560970050115601</v>
      </c>
      <c r="N116" s="13">
        <v>6.1040486152899902</v>
      </c>
      <c r="O116" s="7">
        <v>1</v>
      </c>
      <c r="P116" s="7" t="s">
        <v>160</v>
      </c>
      <c r="Q116" s="7" t="str">
        <f t="shared" si="1"/>
        <v>Yes</v>
      </c>
    </row>
    <row r="117" spans="1:17" ht="15" customHeight="1" x14ac:dyDescent="0.2">
      <c r="A117" s="7">
        <v>2018</v>
      </c>
      <c r="B117" s="7" t="s">
        <v>390</v>
      </c>
      <c r="C117" s="7">
        <v>6</v>
      </c>
      <c r="D117" s="7" t="s">
        <v>399</v>
      </c>
      <c r="E117" s="7" t="s">
        <v>400</v>
      </c>
      <c r="F117" s="8">
        <v>169001</v>
      </c>
      <c r="G117" s="8">
        <v>146445</v>
      </c>
      <c r="H117" s="8">
        <v>12523648.460000001</v>
      </c>
      <c r="I117" s="8">
        <v>11284627.390000001</v>
      </c>
      <c r="J117" s="13">
        <v>0.53575255352738704</v>
      </c>
      <c r="K117" s="13">
        <v>0.52602080633234904</v>
      </c>
      <c r="L117" s="7">
        <v>-1</v>
      </c>
      <c r="M117" s="13">
        <v>0.46992187591389301</v>
      </c>
      <c r="N117" s="13">
        <v>6.5830677613493203</v>
      </c>
      <c r="O117" s="7">
        <v>0</v>
      </c>
      <c r="P117" s="7" t="s">
        <v>160</v>
      </c>
      <c r="Q117" s="7" t="str">
        <f t="shared" si="1"/>
        <v>Yes</v>
      </c>
    </row>
    <row r="118" spans="1:17" ht="15" customHeight="1" x14ac:dyDescent="0.2">
      <c r="A118" s="7">
        <v>2018</v>
      </c>
      <c r="B118" s="7" t="s">
        <v>390</v>
      </c>
      <c r="C118" s="7">
        <v>7</v>
      </c>
      <c r="D118" s="7" t="s">
        <v>401</v>
      </c>
      <c r="E118" s="7" t="s">
        <v>402</v>
      </c>
      <c r="F118" s="8">
        <v>215746</v>
      </c>
      <c r="G118" s="8">
        <v>30497</v>
      </c>
      <c r="H118" s="8">
        <v>551799.96</v>
      </c>
      <c r="I118" s="8">
        <v>0</v>
      </c>
      <c r="J118" s="13">
        <v>0.87615079413425001</v>
      </c>
      <c r="K118" s="13">
        <v>1</v>
      </c>
      <c r="L118" s="7">
        <v>1</v>
      </c>
      <c r="M118" s="13">
        <v>0.70560970050115601</v>
      </c>
      <c r="N118" s="13">
        <v>17.054109363309401</v>
      </c>
      <c r="O118" s="7">
        <v>1</v>
      </c>
      <c r="P118" s="7" t="s">
        <v>160</v>
      </c>
      <c r="Q118" s="7" t="str">
        <f t="shared" si="1"/>
        <v>Yes</v>
      </c>
    </row>
    <row r="119" spans="1:17" ht="15" customHeight="1" x14ac:dyDescent="0.2">
      <c r="A119" s="7">
        <v>2018</v>
      </c>
      <c r="B119" s="7" t="s">
        <v>390</v>
      </c>
      <c r="C119" s="7">
        <v>8</v>
      </c>
      <c r="D119" s="7" t="s">
        <v>403</v>
      </c>
      <c r="E119" s="7" t="s">
        <v>404</v>
      </c>
      <c r="F119" s="8">
        <v>130054</v>
      </c>
      <c r="G119" s="8">
        <v>67073</v>
      </c>
      <c r="H119" s="8">
        <v>1964604.25</v>
      </c>
      <c r="I119" s="8">
        <v>51858.55</v>
      </c>
      <c r="J119" s="13">
        <v>0.659747269526752</v>
      </c>
      <c r="K119" s="13">
        <v>0.974282416715052</v>
      </c>
      <c r="L119" s="7">
        <v>1</v>
      </c>
      <c r="M119" s="13">
        <v>0.697120027169992</v>
      </c>
      <c r="N119" s="13">
        <v>-3.73727576432404</v>
      </c>
      <c r="O119" s="7">
        <v>1</v>
      </c>
      <c r="P119" s="7" t="s">
        <v>160</v>
      </c>
      <c r="Q119" s="7" t="str">
        <f t="shared" si="1"/>
        <v>Yes</v>
      </c>
    </row>
    <row r="120" spans="1:17" ht="15" customHeight="1" x14ac:dyDescent="0.2">
      <c r="A120" s="7">
        <v>2018</v>
      </c>
      <c r="B120" s="7" t="s">
        <v>390</v>
      </c>
      <c r="C120" s="7">
        <v>9</v>
      </c>
      <c r="D120" s="7" t="s">
        <v>405</v>
      </c>
      <c r="E120" s="7" t="s">
        <v>406</v>
      </c>
      <c r="F120" s="8">
        <v>213368</v>
      </c>
      <c r="G120" s="8">
        <v>76983</v>
      </c>
      <c r="H120" s="8">
        <v>1479860.74</v>
      </c>
      <c r="I120" s="8">
        <v>74669.83</v>
      </c>
      <c r="J120" s="13">
        <v>0.73486228736942505</v>
      </c>
      <c r="K120" s="13">
        <v>0.95196631610789095</v>
      </c>
      <c r="L120" s="7">
        <v>1</v>
      </c>
      <c r="M120" s="13">
        <v>0.68975322282912499</v>
      </c>
      <c r="N120" s="13">
        <v>4.5109064540300698</v>
      </c>
      <c r="O120" s="7">
        <v>1</v>
      </c>
      <c r="P120" s="7" t="s">
        <v>160</v>
      </c>
      <c r="Q120" s="7" t="str">
        <f t="shared" si="1"/>
        <v>Yes</v>
      </c>
    </row>
    <row r="121" spans="1:17" ht="15" customHeight="1" x14ac:dyDescent="0.2">
      <c r="A121" s="7">
        <v>2018</v>
      </c>
      <c r="B121" s="7" t="s">
        <v>390</v>
      </c>
      <c r="C121" s="7">
        <v>10</v>
      </c>
      <c r="D121" s="7" t="s">
        <v>407</v>
      </c>
      <c r="E121" s="7" t="s">
        <v>408</v>
      </c>
      <c r="F121" s="8">
        <v>156540</v>
      </c>
      <c r="G121" s="8">
        <v>82124</v>
      </c>
      <c r="H121" s="8">
        <v>3423531.37</v>
      </c>
      <c r="I121" s="8">
        <v>292260.64</v>
      </c>
      <c r="J121" s="13">
        <v>0.65590118325344404</v>
      </c>
      <c r="K121" s="13">
        <v>0.92134634037280305</v>
      </c>
      <c r="L121" s="7">
        <v>1</v>
      </c>
      <c r="M121" s="13">
        <v>0.67964521273662104</v>
      </c>
      <c r="N121" s="13">
        <v>-2.3744029483176701</v>
      </c>
      <c r="O121" s="7">
        <v>1</v>
      </c>
      <c r="P121" s="7" t="s">
        <v>160</v>
      </c>
      <c r="Q121" s="7" t="str">
        <f t="shared" si="1"/>
        <v>Yes</v>
      </c>
    </row>
    <row r="122" spans="1:17" ht="15" customHeight="1" x14ac:dyDescent="0.2">
      <c r="A122" s="7">
        <v>2018</v>
      </c>
      <c r="B122" s="7" t="s">
        <v>390</v>
      </c>
      <c r="C122" s="7">
        <v>11</v>
      </c>
      <c r="D122" s="7" t="s">
        <v>409</v>
      </c>
      <c r="E122" s="7" t="s">
        <v>410</v>
      </c>
      <c r="F122" s="8">
        <v>145407</v>
      </c>
      <c r="G122" s="8">
        <v>82358</v>
      </c>
      <c r="H122" s="8">
        <v>1768094.98</v>
      </c>
      <c r="I122" s="8">
        <v>291449.89</v>
      </c>
      <c r="J122" s="13">
        <v>0.63840800825412203</v>
      </c>
      <c r="K122" s="13">
        <v>0.85848820569760098</v>
      </c>
      <c r="L122" s="7">
        <v>1</v>
      </c>
      <c r="M122" s="13">
        <v>0.65889501145658502</v>
      </c>
      <c r="N122" s="13">
        <v>-2.0487003202463701</v>
      </c>
      <c r="O122" s="7">
        <v>1</v>
      </c>
      <c r="P122" s="7" t="s">
        <v>160</v>
      </c>
      <c r="Q122" s="7" t="str">
        <f t="shared" si="1"/>
        <v>Yes</v>
      </c>
    </row>
    <row r="123" spans="1:17" ht="15" customHeight="1" x14ac:dyDescent="0.2">
      <c r="A123" s="7">
        <v>2018</v>
      </c>
      <c r="B123" s="7" t="s">
        <v>390</v>
      </c>
      <c r="C123" s="7">
        <v>12</v>
      </c>
      <c r="D123" s="7" t="s">
        <v>411</v>
      </c>
      <c r="E123" s="7" t="s">
        <v>412</v>
      </c>
      <c r="F123" s="8">
        <v>118724</v>
      </c>
      <c r="G123" s="8">
        <v>134884</v>
      </c>
      <c r="H123" s="8">
        <v>6514088.79</v>
      </c>
      <c r="I123" s="8">
        <v>6547185.5199999996</v>
      </c>
      <c r="J123" s="13">
        <v>0.46813980631525798</v>
      </c>
      <c r="K123" s="13">
        <v>0.49873302063740199</v>
      </c>
      <c r="L123" s="7">
        <v>-1</v>
      </c>
      <c r="M123" s="13">
        <v>0.46091386050614402</v>
      </c>
      <c r="N123" s="13">
        <v>0.722594580911462</v>
      </c>
      <c r="O123" s="7">
        <v>1</v>
      </c>
      <c r="P123" s="7" t="s">
        <v>160</v>
      </c>
      <c r="Q123" s="7" t="str">
        <f t="shared" si="1"/>
        <v>Yes</v>
      </c>
    </row>
    <row r="124" spans="1:17" ht="15" customHeight="1" x14ac:dyDescent="0.2">
      <c r="A124" s="7">
        <v>2018</v>
      </c>
      <c r="B124" s="7" t="s">
        <v>390</v>
      </c>
      <c r="C124" s="7">
        <v>13</v>
      </c>
      <c r="D124" s="7" t="s">
        <v>413</v>
      </c>
      <c r="E124" s="7" t="s">
        <v>414</v>
      </c>
      <c r="F124" s="8">
        <v>134458</v>
      </c>
      <c r="G124" s="8">
        <v>136516</v>
      </c>
      <c r="H124" s="8">
        <v>9822982.1799999997</v>
      </c>
      <c r="I124" s="8">
        <v>5962444.0800000001</v>
      </c>
      <c r="J124" s="13">
        <v>0.49620258770214098</v>
      </c>
      <c r="K124" s="13">
        <v>0.62228171847923197</v>
      </c>
      <c r="L124" s="7">
        <v>-1</v>
      </c>
      <c r="M124" s="13">
        <v>0.50169872250294301</v>
      </c>
      <c r="N124" s="13">
        <v>-0.54961348008013</v>
      </c>
      <c r="O124" s="7">
        <v>0</v>
      </c>
      <c r="P124" s="7" t="s">
        <v>160</v>
      </c>
      <c r="Q124" s="7" t="str">
        <f t="shared" si="1"/>
        <v>Yes</v>
      </c>
    </row>
    <row r="125" spans="1:17" ht="15" customHeight="1" x14ac:dyDescent="0.2">
      <c r="A125" s="7">
        <v>2018</v>
      </c>
      <c r="B125" s="7" t="s">
        <v>390</v>
      </c>
      <c r="C125" s="7">
        <v>14</v>
      </c>
      <c r="D125" s="7" t="s">
        <v>415</v>
      </c>
      <c r="E125" s="7" t="s">
        <v>416</v>
      </c>
      <c r="F125" s="8">
        <v>156035</v>
      </c>
      <c r="G125" s="8">
        <v>141164</v>
      </c>
      <c r="H125" s="8">
        <v>9762880.6400000006</v>
      </c>
      <c r="I125" s="8">
        <v>3337049.41</v>
      </c>
      <c r="J125" s="13">
        <v>0.52501859023751796</v>
      </c>
      <c r="K125" s="13">
        <v>0.74526204359388903</v>
      </c>
      <c r="L125" s="7">
        <v>-1</v>
      </c>
      <c r="M125" s="13">
        <v>0.54229595805247499</v>
      </c>
      <c r="N125" s="13">
        <v>-1.7277367814956901</v>
      </c>
      <c r="O125" s="7">
        <v>1</v>
      </c>
      <c r="P125" s="7" t="s">
        <v>160</v>
      </c>
      <c r="Q125" s="7" t="str">
        <f t="shared" si="1"/>
        <v>Yes</v>
      </c>
    </row>
    <row r="126" spans="1:17" ht="15" customHeight="1" x14ac:dyDescent="0.2">
      <c r="A126" s="7">
        <v>2018</v>
      </c>
      <c r="B126" s="7" t="s">
        <v>390</v>
      </c>
      <c r="C126" s="7">
        <v>15</v>
      </c>
      <c r="D126" s="7" t="s">
        <v>417</v>
      </c>
      <c r="E126" s="7" t="s">
        <v>418</v>
      </c>
      <c r="F126" s="8">
        <v>74309</v>
      </c>
      <c r="G126" s="8">
        <v>181294</v>
      </c>
      <c r="H126" s="8">
        <v>53529.79</v>
      </c>
      <c r="I126" s="8">
        <v>1810378.75</v>
      </c>
      <c r="J126" s="13">
        <v>0.29072037495647601</v>
      </c>
      <c r="K126" s="13">
        <v>2.87191076446272E-2</v>
      </c>
      <c r="L126" s="7">
        <v>-1</v>
      </c>
      <c r="M126" s="13">
        <v>0.30575680168771002</v>
      </c>
      <c r="N126" s="13">
        <v>-1.50364267312341</v>
      </c>
      <c r="O126" s="7">
        <v>1</v>
      </c>
      <c r="P126" s="7" t="s">
        <v>160</v>
      </c>
      <c r="Q126" s="7" t="str">
        <f t="shared" si="1"/>
        <v>Yes</v>
      </c>
    </row>
    <row r="127" spans="1:17" ht="15" customHeight="1" x14ac:dyDescent="0.2">
      <c r="A127" s="7">
        <v>2018</v>
      </c>
      <c r="B127" s="7" t="s">
        <v>390</v>
      </c>
      <c r="C127" s="7">
        <v>16</v>
      </c>
      <c r="D127" s="7" t="s">
        <v>419</v>
      </c>
      <c r="E127" s="7" t="s">
        <v>420</v>
      </c>
      <c r="F127" s="8">
        <v>104569</v>
      </c>
      <c r="G127" s="8">
        <v>151254</v>
      </c>
      <c r="H127" s="8">
        <v>398834.33</v>
      </c>
      <c r="I127" s="8">
        <v>2378057.88</v>
      </c>
      <c r="J127" s="13">
        <v>0.40875527219991997</v>
      </c>
      <c r="K127" s="13">
        <v>0.143626147447761</v>
      </c>
      <c r="L127" s="7">
        <v>-1</v>
      </c>
      <c r="M127" s="13">
        <v>0.34368895186569998</v>
      </c>
      <c r="N127" s="13">
        <v>6.5066320334219103</v>
      </c>
      <c r="O127" s="7">
        <v>1</v>
      </c>
      <c r="P127" s="7" t="s">
        <v>160</v>
      </c>
      <c r="Q127" s="7" t="str">
        <f t="shared" si="1"/>
        <v>Yes</v>
      </c>
    </row>
    <row r="128" spans="1:17" ht="15" customHeight="1" x14ac:dyDescent="0.2">
      <c r="A128" s="7">
        <v>2018</v>
      </c>
      <c r="B128" s="7" t="s">
        <v>390</v>
      </c>
      <c r="C128" s="7">
        <v>17</v>
      </c>
      <c r="D128" s="7" t="s">
        <v>421</v>
      </c>
      <c r="E128" s="7" t="s">
        <v>422</v>
      </c>
      <c r="F128" s="8">
        <v>142659</v>
      </c>
      <c r="G128" s="8">
        <v>87090</v>
      </c>
      <c r="H128" s="8">
        <v>3153795.82</v>
      </c>
      <c r="I128" s="8">
        <v>30126</v>
      </c>
      <c r="J128" s="13">
        <v>0.620934149876604</v>
      </c>
      <c r="K128" s="13">
        <v>0.99053808425484502</v>
      </c>
      <c r="L128" s="7">
        <v>1</v>
      </c>
      <c r="M128" s="13">
        <v>0.70248621207406203</v>
      </c>
      <c r="N128" s="13">
        <v>-8.1552062197457609</v>
      </c>
      <c r="O128" s="7">
        <v>1</v>
      </c>
      <c r="P128" s="7" t="s">
        <v>160</v>
      </c>
      <c r="Q128" s="7" t="str">
        <f t="shared" si="1"/>
        <v>Yes</v>
      </c>
    </row>
    <row r="129" spans="1:17" ht="15" customHeight="1" x14ac:dyDescent="0.2">
      <c r="A129" s="7">
        <v>2018</v>
      </c>
      <c r="B129" s="7" t="s">
        <v>390</v>
      </c>
      <c r="C129" s="7">
        <v>18</v>
      </c>
      <c r="D129" s="7" t="s">
        <v>423</v>
      </c>
      <c r="E129" s="7" t="s">
        <v>424</v>
      </c>
      <c r="F129" s="8">
        <v>95486</v>
      </c>
      <c r="G129" s="8">
        <v>195927</v>
      </c>
      <c r="H129" s="8">
        <v>74267.75</v>
      </c>
      <c r="I129" s="8">
        <v>1233441.55</v>
      </c>
      <c r="J129" s="13">
        <v>0.32766554683559102</v>
      </c>
      <c r="K129" s="13">
        <v>5.67922473289744E-2</v>
      </c>
      <c r="L129" s="7">
        <v>-1</v>
      </c>
      <c r="M129" s="13">
        <v>0.31502407158082302</v>
      </c>
      <c r="N129" s="13">
        <v>1.26414752547678</v>
      </c>
      <c r="O129" s="7">
        <v>1</v>
      </c>
      <c r="P129" s="7" t="s">
        <v>160</v>
      </c>
      <c r="Q129" s="7" t="str">
        <f t="shared" si="1"/>
        <v>Yes</v>
      </c>
    </row>
    <row r="130" spans="1:17" ht="15" customHeight="1" x14ac:dyDescent="0.2">
      <c r="A130" s="7">
        <v>2018</v>
      </c>
      <c r="B130" s="7" t="s">
        <v>425</v>
      </c>
      <c r="C130" s="7">
        <v>2</v>
      </c>
      <c r="D130" s="7" t="s">
        <v>426</v>
      </c>
      <c r="E130" s="7" t="s">
        <v>427</v>
      </c>
      <c r="F130" s="8">
        <v>103363</v>
      </c>
      <c r="G130" s="8">
        <v>125499</v>
      </c>
      <c r="H130" s="8">
        <v>4127794.25</v>
      </c>
      <c r="I130" s="8">
        <v>2869423.74</v>
      </c>
      <c r="J130" s="13">
        <v>0.45163897894801203</v>
      </c>
      <c r="K130" s="13">
        <v>0.58991934450222805</v>
      </c>
      <c r="L130" s="7">
        <v>-1</v>
      </c>
      <c r="M130" s="13">
        <v>0.49101552648714403</v>
      </c>
      <c r="N130" s="13">
        <v>-3.9376547539131801</v>
      </c>
      <c r="O130" s="7">
        <v>1</v>
      </c>
      <c r="P130" s="7" t="s">
        <v>160</v>
      </c>
      <c r="Q130" s="7" t="str">
        <f t="shared" si="1"/>
        <v>Yes</v>
      </c>
    </row>
    <row r="131" spans="1:17" ht="15" customHeight="1" x14ac:dyDescent="0.2">
      <c r="A131" s="7">
        <v>2018</v>
      </c>
      <c r="B131" s="7" t="s">
        <v>425</v>
      </c>
      <c r="C131" s="7">
        <v>3</v>
      </c>
      <c r="D131" s="7" t="s">
        <v>428</v>
      </c>
      <c r="E131" s="7" t="s">
        <v>429</v>
      </c>
      <c r="F131" s="8">
        <v>86610</v>
      </c>
      <c r="G131" s="8">
        <v>158927</v>
      </c>
      <c r="H131" s="8">
        <v>853083.46</v>
      </c>
      <c r="I131" s="8">
        <v>1145926.53</v>
      </c>
      <c r="J131" s="13">
        <v>0.352737062031384</v>
      </c>
      <c r="K131" s="13">
        <v>0.42675297485631902</v>
      </c>
      <c r="L131" s="7">
        <v>-1</v>
      </c>
      <c r="M131" s="13">
        <v>0.437152410284603</v>
      </c>
      <c r="N131" s="13">
        <v>-8.4415348253219094</v>
      </c>
      <c r="O131" s="7">
        <v>1</v>
      </c>
      <c r="P131" s="7" t="s">
        <v>160</v>
      </c>
      <c r="Q131" s="7" t="str">
        <f t="shared" si="1"/>
        <v>Yes</v>
      </c>
    </row>
    <row r="132" spans="1:17" ht="15" customHeight="1" x14ac:dyDescent="0.2">
      <c r="A132" s="7">
        <v>2018</v>
      </c>
      <c r="B132" s="7" t="s">
        <v>425</v>
      </c>
      <c r="C132" s="7">
        <v>4</v>
      </c>
      <c r="D132" s="7" t="s">
        <v>430</v>
      </c>
      <c r="E132" s="7" t="s">
        <v>431</v>
      </c>
      <c r="F132" s="8">
        <v>87824</v>
      </c>
      <c r="G132" s="8">
        <v>156539</v>
      </c>
      <c r="H132" s="8">
        <v>138014</v>
      </c>
      <c r="I132" s="8">
        <v>464682.35</v>
      </c>
      <c r="J132" s="13">
        <v>0.35939974546064701</v>
      </c>
      <c r="K132" s="13">
        <v>0.22899425224659201</v>
      </c>
      <c r="L132" s="7">
        <v>0</v>
      </c>
      <c r="M132" s="13">
        <v>0.41148084632007598</v>
      </c>
      <c r="N132" s="13">
        <v>-5.2081100859429696</v>
      </c>
      <c r="O132" s="7">
        <v>1</v>
      </c>
      <c r="P132" s="7" t="s">
        <v>160</v>
      </c>
      <c r="Q132" s="7" t="str">
        <f t="shared" ref="Q132:Q195" si="2">IF(A132=2024,"No -- held out","Yes")</f>
        <v>Yes</v>
      </c>
    </row>
    <row r="133" spans="1:17" ht="15" customHeight="1" x14ac:dyDescent="0.2">
      <c r="A133" s="7">
        <v>2018</v>
      </c>
      <c r="B133" s="7" t="s">
        <v>425</v>
      </c>
      <c r="C133" s="7">
        <v>5</v>
      </c>
      <c r="D133" s="7" t="s">
        <v>432</v>
      </c>
      <c r="E133" s="7" t="s">
        <v>433</v>
      </c>
      <c r="F133" s="8">
        <v>137142</v>
      </c>
      <c r="G133" s="8">
        <v>180035</v>
      </c>
      <c r="H133" s="8">
        <v>170792.8</v>
      </c>
      <c r="I133" s="8">
        <v>1928338.06</v>
      </c>
      <c r="J133" s="13">
        <v>0.432383180369321</v>
      </c>
      <c r="K133" s="13">
        <v>8.1363579210111794E-2</v>
      </c>
      <c r="L133" s="7">
        <v>-1</v>
      </c>
      <c r="M133" s="13">
        <v>0.32313535399298299</v>
      </c>
      <c r="N133" s="13">
        <v>10.924782637633699</v>
      </c>
      <c r="O133" s="7">
        <v>1</v>
      </c>
      <c r="P133" s="7" t="s">
        <v>160</v>
      </c>
      <c r="Q133" s="7" t="str">
        <f t="shared" si="2"/>
        <v>Yes</v>
      </c>
    </row>
    <row r="134" spans="1:17" ht="15" customHeight="1" x14ac:dyDescent="0.2">
      <c r="A134" s="7">
        <v>2018</v>
      </c>
      <c r="B134" s="7" t="s">
        <v>425</v>
      </c>
      <c r="C134" s="7">
        <v>7</v>
      </c>
      <c r="D134" s="7" t="s">
        <v>434</v>
      </c>
      <c r="E134" s="7" t="s">
        <v>435</v>
      </c>
      <c r="F134" s="8">
        <v>141139</v>
      </c>
      <c r="G134" s="8">
        <v>76457</v>
      </c>
      <c r="H134" s="8">
        <v>968961.18</v>
      </c>
      <c r="I134" s="8">
        <v>346</v>
      </c>
      <c r="J134" s="13">
        <v>0.648628651261972</v>
      </c>
      <c r="K134" s="13">
        <v>0.99964304401417903</v>
      </c>
      <c r="L134" s="7">
        <v>1</v>
      </c>
      <c r="M134" s="13">
        <v>0.70549186517893103</v>
      </c>
      <c r="N134" s="13">
        <v>-5.6863213916959499</v>
      </c>
      <c r="O134" s="7">
        <v>1</v>
      </c>
      <c r="P134" s="7" t="s">
        <v>160</v>
      </c>
      <c r="Q134" s="7" t="str">
        <f t="shared" si="2"/>
        <v>Yes</v>
      </c>
    </row>
    <row r="135" spans="1:17" ht="15" customHeight="1" x14ac:dyDescent="0.2">
      <c r="A135" s="7">
        <v>2018</v>
      </c>
      <c r="B135" s="7" t="s">
        <v>425</v>
      </c>
      <c r="C135" s="7">
        <v>8</v>
      </c>
      <c r="D135" s="7" t="s">
        <v>436</v>
      </c>
      <c r="E135" s="7" t="s">
        <v>437</v>
      </c>
      <c r="F135" s="8">
        <v>86895</v>
      </c>
      <c r="G135" s="8">
        <v>157396</v>
      </c>
      <c r="H135" s="8">
        <v>229896.74</v>
      </c>
      <c r="I135" s="8">
        <v>1059608.7</v>
      </c>
      <c r="J135" s="13">
        <v>0.35570282982181101</v>
      </c>
      <c r="K135" s="13">
        <v>0.178282877193601</v>
      </c>
      <c r="L135" s="7">
        <v>-1</v>
      </c>
      <c r="M135" s="13">
        <v>0.35512954140355202</v>
      </c>
      <c r="N135" s="13">
        <v>5.7328841825909901E-2</v>
      </c>
      <c r="O135" s="7">
        <v>1</v>
      </c>
      <c r="P135" s="7" t="s">
        <v>160</v>
      </c>
      <c r="Q135" s="7" t="str">
        <f t="shared" si="2"/>
        <v>Yes</v>
      </c>
    </row>
    <row r="136" spans="1:17" ht="15" customHeight="1" x14ac:dyDescent="0.2">
      <c r="A136" s="7">
        <v>2018</v>
      </c>
      <c r="B136" s="7" t="s">
        <v>425</v>
      </c>
      <c r="C136" s="7">
        <v>9</v>
      </c>
      <c r="D136" s="7" t="s">
        <v>438</v>
      </c>
      <c r="E136" s="7" t="s">
        <v>439</v>
      </c>
      <c r="F136" s="8">
        <v>118090</v>
      </c>
      <c r="G136" s="8">
        <v>153271</v>
      </c>
      <c r="H136" s="8">
        <v>2724837.39</v>
      </c>
      <c r="I136" s="8">
        <v>1504316.06</v>
      </c>
      <c r="J136" s="13">
        <v>0.43517675716112503</v>
      </c>
      <c r="K136" s="13">
        <v>0.64429853922656799</v>
      </c>
      <c r="L136" s="7">
        <v>-1</v>
      </c>
      <c r="M136" s="13">
        <v>0.50896673108153501</v>
      </c>
      <c r="N136" s="13">
        <v>-7.3789973920409997</v>
      </c>
      <c r="O136" s="7">
        <v>0</v>
      </c>
      <c r="P136" s="7" t="s">
        <v>160</v>
      </c>
      <c r="Q136" s="7" t="str">
        <f t="shared" si="2"/>
        <v>Yes</v>
      </c>
    </row>
    <row r="137" spans="1:17" ht="15" customHeight="1" x14ac:dyDescent="0.2">
      <c r="A137" s="7">
        <v>2018</v>
      </c>
      <c r="B137" s="7" t="s">
        <v>440</v>
      </c>
      <c r="C137" s="7">
        <v>1</v>
      </c>
      <c r="D137" s="7" t="s">
        <v>441</v>
      </c>
      <c r="E137" s="7" t="s">
        <v>442</v>
      </c>
      <c r="F137" s="8">
        <v>71558</v>
      </c>
      <c r="G137" s="8">
        <v>153082</v>
      </c>
      <c r="H137" s="8">
        <v>351119.97</v>
      </c>
      <c r="I137" s="8">
        <v>754120.17</v>
      </c>
      <c r="J137" s="13">
        <v>0.31854522792022799</v>
      </c>
      <c r="K137" s="13">
        <v>0.31768658890727602</v>
      </c>
      <c r="L137" s="7">
        <v>-1</v>
      </c>
      <c r="M137" s="13">
        <v>0.40114832786913301</v>
      </c>
      <c r="N137" s="13">
        <v>-8.2603099948904894</v>
      </c>
      <c r="O137" s="7">
        <v>1</v>
      </c>
      <c r="P137" s="7" t="s">
        <v>160</v>
      </c>
      <c r="Q137" s="7" t="str">
        <f t="shared" si="2"/>
        <v>Yes</v>
      </c>
    </row>
    <row r="138" spans="1:17" ht="15" customHeight="1" x14ac:dyDescent="0.2">
      <c r="A138" s="7">
        <v>2018</v>
      </c>
      <c r="B138" s="7" t="s">
        <v>440</v>
      </c>
      <c r="C138" s="7">
        <v>2</v>
      </c>
      <c r="D138" s="7" t="s">
        <v>443</v>
      </c>
      <c r="E138" s="7" t="s">
        <v>444</v>
      </c>
      <c r="F138" s="8">
        <v>123859</v>
      </c>
      <c r="G138" s="8">
        <v>126098</v>
      </c>
      <c r="H138" s="8">
        <v>8497264.1699999999</v>
      </c>
      <c r="I138" s="8">
        <v>6203617.5300000003</v>
      </c>
      <c r="J138" s="13">
        <v>0.49552122965149997</v>
      </c>
      <c r="K138" s="13">
        <v>0.57801051279801796</v>
      </c>
      <c r="L138" s="7">
        <v>0</v>
      </c>
      <c r="M138" s="13">
        <v>0.526695172896405</v>
      </c>
      <c r="N138" s="13">
        <v>-3.1173943244904798</v>
      </c>
      <c r="O138" s="7">
        <v>0</v>
      </c>
      <c r="P138" s="7" t="s">
        <v>160</v>
      </c>
      <c r="Q138" s="7" t="str">
        <f t="shared" si="2"/>
        <v>Yes</v>
      </c>
    </row>
    <row r="139" spans="1:17" ht="15" customHeight="1" x14ac:dyDescent="0.2">
      <c r="A139" s="7">
        <v>2018</v>
      </c>
      <c r="B139" s="7" t="s">
        <v>440</v>
      </c>
      <c r="C139" s="7">
        <v>3</v>
      </c>
      <c r="D139" s="7" t="s">
        <v>445</v>
      </c>
      <c r="E139" s="7" t="s">
        <v>446</v>
      </c>
      <c r="F139" s="8">
        <v>170518</v>
      </c>
      <c r="G139" s="8">
        <v>139762</v>
      </c>
      <c r="H139" s="8">
        <v>9371139.5399999991</v>
      </c>
      <c r="I139" s="8">
        <v>7901027.5700000003</v>
      </c>
      <c r="J139" s="13">
        <v>0.549561686218899</v>
      </c>
      <c r="K139" s="13">
        <v>0.542557252967662</v>
      </c>
      <c r="L139" s="7">
        <v>-1</v>
      </c>
      <c r="M139" s="13">
        <v>0.47538074926278201</v>
      </c>
      <c r="N139" s="13">
        <v>7.4180936956116899</v>
      </c>
      <c r="O139" s="7">
        <v>0</v>
      </c>
      <c r="P139" s="7" t="s">
        <v>160</v>
      </c>
      <c r="Q139" s="7" t="str">
        <f t="shared" si="2"/>
        <v>Yes</v>
      </c>
    </row>
    <row r="140" spans="1:17" ht="15" customHeight="1" x14ac:dyDescent="0.2">
      <c r="A140" s="7">
        <v>2018</v>
      </c>
      <c r="B140" s="7" t="s">
        <v>440</v>
      </c>
      <c r="C140" s="7">
        <v>4</v>
      </c>
      <c r="D140" s="7" t="s">
        <v>447</v>
      </c>
      <c r="E140" s="7" t="s">
        <v>448</v>
      </c>
      <c r="F140" s="8">
        <v>98445</v>
      </c>
      <c r="G140" s="8">
        <v>144248</v>
      </c>
      <c r="H140" s="8">
        <v>1493050.34</v>
      </c>
      <c r="I140" s="8">
        <v>1775493.83</v>
      </c>
      <c r="J140" s="13">
        <v>0.40563592687057298</v>
      </c>
      <c r="K140" s="13">
        <v>0.45679368622391903</v>
      </c>
      <c r="L140" s="7">
        <v>-1</v>
      </c>
      <c r="M140" s="13">
        <v>0.44706919847270499</v>
      </c>
      <c r="N140" s="13">
        <v>-4.1433271602132304</v>
      </c>
      <c r="O140" s="7">
        <v>1</v>
      </c>
      <c r="P140" s="7" t="s">
        <v>160</v>
      </c>
      <c r="Q140" s="7" t="str">
        <f t="shared" si="2"/>
        <v>Yes</v>
      </c>
    </row>
    <row r="141" spans="1:17" ht="15" customHeight="1" x14ac:dyDescent="0.2">
      <c r="A141" s="7">
        <v>2018</v>
      </c>
      <c r="B141" s="7" t="s">
        <v>449</v>
      </c>
      <c r="C141" s="7">
        <v>1</v>
      </c>
      <c r="D141" s="7" t="s">
        <v>450</v>
      </c>
      <c r="E141" s="7" t="s">
        <v>451</v>
      </c>
      <c r="F141" s="8">
        <v>78849</v>
      </c>
      <c r="G141" s="8">
        <v>172167</v>
      </c>
      <c r="H141" s="8">
        <v>52021.36</v>
      </c>
      <c r="I141" s="8">
        <v>637459.1</v>
      </c>
      <c r="J141" s="13">
        <v>0.31411941868247401</v>
      </c>
      <c r="K141" s="13">
        <v>7.5450085996635802E-2</v>
      </c>
      <c r="L141" s="7">
        <v>-1</v>
      </c>
      <c r="M141" s="13">
        <v>0.32118324111082702</v>
      </c>
      <c r="N141" s="13">
        <v>-0.70638224283528495</v>
      </c>
      <c r="O141" s="7">
        <v>1</v>
      </c>
      <c r="P141" s="7" t="s">
        <v>160</v>
      </c>
      <c r="Q141" s="7" t="str">
        <f t="shared" si="2"/>
        <v>Yes</v>
      </c>
    </row>
    <row r="142" spans="1:17" ht="15" customHeight="1" x14ac:dyDescent="0.2">
      <c r="A142" s="7">
        <v>2018</v>
      </c>
      <c r="B142" s="7" t="s">
        <v>449</v>
      </c>
      <c r="C142" s="7">
        <v>2</v>
      </c>
      <c r="D142" s="7" t="s">
        <v>452</v>
      </c>
      <c r="E142" s="7" t="s">
        <v>453</v>
      </c>
      <c r="F142" s="8">
        <v>79964</v>
      </c>
      <c r="G142" s="8">
        <v>171700</v>
      </c>
      <c r="H142" s="8">
        <v>174941.76</v>
      </c>
      <c r="I142" s="8">
        <v>1742416.4</v>
      </c>
      <c r="J142" s="13">
        <v>0.31774111513764403</v>
      </c>
      <c r="K142" s="13">
        <v>9.1241043874661407E-2</v>
      </c>
      <c r="L142" s="7">
        <v>-1</v>
      </c>
      <c r="M142" s="13">
        <v>0.32639601995109502</v>
      </c>
      <c r="N142" s="13">
        <v>-0.86549048134512696</v>
      </c>
      <c r="O142" s="7">
        <v>1</v>
      </c>
      <c r="P142" s="7" t="s">
        <v>160</v>
      </c>
      <c r="Q142" s="7" t="str">
        <f t="shared" si="2"/>
        <v>Yes</v>
      </c>
    </row>
    <row r="143" spans="1:17" ht="15" customHeight="1" x14ac:dyDescent="0.2">
      <c r="A143" s="7">
        <v>2018</v>
      </c>
      <c r="B143" s="7" t="s">
        <v>449</v>
      </c>
      <c r="C143" s="7">
        <v>3</v>
      </c>
      <c r="D143" s="7" t="s">
        <v>454</v>
      </c>
      <c r="E143" s="7" t="s">
        <v>455</v>
      </c>
      <c r="F143" s="8">
        <v>173002</v>
      </c>
      <c r="G143" s="8">
        <v>101930</v>
      </c>
      <c r="H143" s="8">
        <v>1167056.27</v>
      </c>
      <c r="I143" s="8">
        <v>713682.86</v>
      </c>
      <c r="J143" s="13">
        <v>0.62925377911629099</v>
      </c>
      <c r="K143" s="13">
        <v>0.62053064743753195</v>
      </c>
      <c r="L143" s="7">
        <v>1</v>
      </c>
      <c r="M143" s="13">
        <v>0.58034245409044605</v>
      </c>
      <c r="N143" s="13">
        <v>4.8911325025844601</v>
      </c>
      <c r="O143" s="7">
        <v>1</v>
      </c>
      <c r="P143" s="7" t="s">
        <v>160</v>
      </c>
      <c r="Q143" s="7" t="str">
        <f t="shared" si="2"/>
        <v>Yes</v>
      </c>
    </row>
    <row r="144" spans="1:17" ht="15" customHeight="1" x14ac:dyDescent="0.2">
      <c r="A144" s="7">
        <v>2018</v>
      </c>
      <c r="B144" s="7" t="s">
        <v>449</v>
      </c>
      <c r="C144" s="7">
        <v>4</v>
      </c>
      <c r="D144" s="7" t="s">
        <v>456</v>
      </c>
      <c r="E144" s="7" t="s">
        <v>457</v>
      </c>
      <c r="F144" s="8">
        <v>90536</v>
      </c>
      <c r="G144" s="8">
        <v>162946</v>
      </c>
      <c r="H144" s="8">
        <v>44815.47</v>
      </c>
      <c r="I144" s="8">
        <v>395996.29</v>
      </c>
      <c r="J144" s="13">
        <v>0.35716934535785599</v>
      </c>
      <c r="K144" s="13">
        <v>0.10166577679325101</v>
      </c>
      <c r="L144" s="7">
        <v>-1</v>
      </c>
      <c r="M144" s="13">
        <v>0.32983734552445299</v>
      </c>
      <c r="N144" s="13">
        <v>2.7331999833402798</v>
      </c>
      <c r="O144" s="7">
        <v>1</v>
      </c>
      <c r="P144" s="7" t="s">
        <v>160</v>
      </c>
      <c r="Q144" s="7" t="str">
        <f t="shared" si="2"/>
        <v>Yes</v>
      </c>
    </row>
    <row r="145" spans="1:17" ht="15" customHeight="1" x14ac:dyDescent="0.2">
      <c r="A145" s="7">
        <v>2018</v>
      </c>
      <c r="B145" s="7" t="s">
        <v>449</v>
      </c>
      <c r="C145" s="7">
        <v>5</v>
      </c>
      <c r="D145" s="7" t="s">
        <v>458</v>
      </c>
      <c r="E145" s="7" t="s">
        <v>459</v>
      </c>
      <c r="F145" s="8">
        <v>45890</v>
      </c>
      <c r="G145" s="8">
        <v>172093</v>
      </c>
      <c r="H145" s="8">
        <v>3076.86</v>
      </c>
      <c r="I145" s="8">
        <v>983380.8</v>
      </c>
      <c r="J145" s="13">
        <v>0.210521003931499</v>
      </c>
      <c r="K145" s="13">
        <v>3.1190999114954401E-3</v>
      </c>
      <c r="L145" s="7">
        <v>-1</v>
      </c>
      <c r="M145" s="13">
        <v>0.29730594141357403</v>
      </c>
      <c r="N145" s="13">
        <v>-8.6784937482074191</v>
      </c>
      <c r="O145" s="7">
        <v>1</v>
      </c>
      <c r="P145" s="7" t="s">
        <v>160</v>
      </c>
      <c r="Q145" s="7" t="str">
        <f t="shared" si="2"/>
        <v>Yes</v>
      </c>
    </row>
    <row r="146" spans="1:17" ht="15" customHeight="1" x14ac:dyDescent="0.2">
      <c r="A146" s="7">
        <v>2018</v>
      </c>
      <c r="B146" s="7" t="s">
        <v>449</v>
      </c>
      <c r="C146" s="7">
        <v>6</v>
      </c>
      <c r="D146" s="7" t="s">
        <v>460</v>
      </c>
      <c r="E146" s="7" t="s">
        <v>461</v>
      </c>
      <c r="F146" s="8">
        <v>144736</v>
      </c>
      <c r="G146" s="8">
        <v>154468</v>
      </c>
      <c r="H146" s="8">
        <v>9919036.6999999993</v>
      </c>
      <c r="I146" s="8">
        <v>3522401.19</v>
      </c>
      <c r="J146" s="13">
        <v>0.48373684843785503</v>
      </c>
      <c r="K146" s="13">
        <v>0.73794461434661296</v>
      </c>
      <c r="L146" s="7">
        <v>-1</v>
      </c>
      <c r="M146" s="13">
        <v>0.53988038955814999</v>
      </c>
      <c r="N146" s="13">
        <v>-5.6143541120295204</v>
      </c>
      <c r="O146" s="7">
        <v>0</v>
      </c>
      <c r="P146" s="7" t="s">
        <v>160</v>
      </c>
      <c r="Q146" s="7" t="str">
        <f t="shared" si="2"/>
        <v>Yes</v>
      </c>
    </row>
    <row r="147" spans="1:17" ht="15" customHeight="1" x14ac:dyDescent="0.2">
      <c r="A147" s="7">
        <v>2018</v>
      </c>
      <c r="B147" s="7" t="s">
        <v>462</v>
      </c>
      <c r="C147" s="7">
        <v>1</v>
      </c>
      <c r="D147" s="7" t="s">
        <v>463</v>
      </c>
      <c r="E147" s="7" t="s">
        <v>464</v>
      </c>
      <c r="F147" s="8">
        <v>44273</v>
      </c>
      <c r="G147" s="8">
        <v>192555</v>
      </c>
      <c r="H147" s="8">
        <v>272479.69</v>
      </c>
      <c r="I147" s="8">
        <v>12199006.279999999</v>
      </c>
      <c r="J147" s="13">
        <v>0.18694157785397</v>
      </c>
      <c r="K147" s="13">
        <v>2.1848213649556001E-2</v>
      </c>
      <c r="L147" s="7">
        <v>-1</v>
      </c>
      <c r="M147" s="13">
        <v>0.30348863967322698</v>
      </c>
      <c r="N147" s="13">
        <v>-11.6547061819257</v>
      </c>
      <c r="O147" s="7">
        <v>1</v>
      </c>
      <c r="P147" s="7" t="s">
        <v>160</v>
      </c>
      <c r="Q147" s="7" t="str">
        <f t="shared" si="2"/>
        <v>Yes</v>
      </c>
    </row>
    <row r="148" spans="1:17" ht="15" customHeight="1" x14ac:dyDescent="0.2">
      <c r="A148" s="7">
        <v>2018</v>
      </c>
      <c r="B148" s="7" t="s">
        <v>462</v>
      </c>
      <c r="C148" s="7">
        <v>3</v>
      </c>
      <c r="D148" s="7" t="s">
        <v>465</v>
      </c>
      <c r="E148" s="7" t="s">
        <v>466</v>
      </c>
      <c r="F148" s="8">
        <v>43729</v>
      </c>
      <c r="G148" s="8">
        <v>136876</v>
      </c>
      <c r="H148" s="8">
        <v>263125.48</v>
      </c>
      <c r="I148" s="8">
        <v>882833.82</v>
      </c>
      <c r="J148" s="13">
        <v>0.24212507959358801</v>
      </c>
      <c r="K148" s="13">
        <v>0.22961154030514</v>
      </c>
      <c r="L148" s="7">
        <v>-1</v>
      </c>
      <c r="M148" s="13">
        <v>0.37207373003566802</v>
      </c>
      <c r="N148" s="13">
        <v>-12.994865044208</v>
      </c>
      <c r="O148" s="7">
        <v>1</v>
      </c>
      <c r="P148" s="7" t="s">
        <v>160</v>
      </c>
      <c r="Q148" s="7" t="str">
        <f t="shared" si="2"/>
        <v>Yes</v>
      </c>
    </row>
    <row r="149" spans="1:17" ht="15" customHeight="1" x14ac:dyDescent="0.2">
      <c r="A149" s="7">
        <v>2018</v>
      </c>
      <c r="B149" s="7" t="s">
        <v>462</v>
      </c>
      <c r="C149" s="7">
        <v>4</v>
      </c>
      <c r="D149" s="7" t="s">
        <v>467</v>
      </c>
      <c r="E149" s="7" t="s">
        <v>468</v>
      </c>
      <c r="F149" s="8">
        <v>72934</v>
      </c>
      <c r="G149" s="8">
        <v>139326</v>
      </c>
      <c r="H149" s="8">
        <v>25043.46</v>
      </c>
      <c r="I149" s="8">
        <v>930529.81</v>
      </c>
      <c r="J149" s="13">
        <v>0.34360689720154503</v>
      </c>
      <c r="K149" s="13">
        <v>2.6207786243330099E-2</v>
      </c>
      <c r="L149" s="7">
        <v>-1</v>
      </c>
      <c r="M149" s="13">
        <v>0.304927785287127</v>
      </c>
      <c r="N149" s="13">
        <v>3.86791119144184</v>
      </c>
      <c r="O149" s="7">
        <v>1</v>
      </c>
      <c r="P149" s="7" t="s">
        <v>160</v>
      </c>
      <c r="Q149" s="7" t="str">
        <f t="shared" si="2"/>
        <v>Yes</v>
      </c>
    </row>
    <row r="150" spans="1:17" ht="15" customHeight="1" x14ac:dyDescent="0.2">
      <c r="A150" s="7">
        <v>2018</v>
      </c>
      <c r="B150" s="7" t="s">
        <v>462</v>
      </c>
      <c r="C150" s="7">
        <v>5</v>
      </c>
      <c r="D150" s="7" t="s">
        <v>469</v>
      </c>
      <c r="E150" s="7" t="s">
        <v>470</v>
      </c>
      <c r="F150" s="8">
        <v>67118</v>
      </c>
      <c r="G150" s="8">
        <v>149018</v>
      </c>
      <c r="H150" s="8">
        <v>21918.33</v>
      </c>
      <c r="I150" s="8">
        <v>1037554.78</v>
      </c>
      <c r="J150" s="13">
        <v>0.31053595884072999</v>
      </c>
      <c r="K150" s="13">
        <v>2.0687953090192199E-2</v>
      </c>
      <c r="L150" s="7">
        <v>-1</v>
      </c>
      <c r="M150" s="13">
        <v>0.30310562416905301</v>
      </c>
      <c r="N150" s="13">
        <v>0.743033467167725</v>
      </c>
      <c r="O150" s="7">
        <v>1</v>
      </c>
      <c r="P150" s="7" t="s">
        <v>160</v>
      </c>
      <c r="Q150" s="7" t="str">
        <f t="shared" si="2"/>
        <v>Yes</v>
      </c>
    </row>
    <row r="151" spans="1:17" ht="15" customHeight="1" x14ac:dyDescent="0.2">
      <c r="A151" s="7">
        <v>2018</v>
      </c>
      <c r="B151" s="7" t="s">
        <v>462</v>
      </c>
      <c r="C151" s="7">
        <v>6</v>
      </c>
      <c r="D151" s="7" t="s">
        <v>471</v>
      </c>
      <c r="E151" s="7" t="s">
        <v>472</v>
      </c>
      <c r="F151" s="8">
        <v>55089</v>
      </c>
      <c r="G151" s="8">
        <v>186553</v>
      </c>
      <c r="H151" s="8">
        <v>31820.99</v>
      </c>
      <c r="I151" s="8">
        <v>1818217.45</v>
      </c>
      <c r="J151" s="13">
        <v>0.22797775221194999</v>
      </c>
      <c r="K151" s="13">
        <v>1.7200177743333801E-2</v>
      </c>
      <c r="L151" s="7">
        <v>-1</v>
      </c>
      <c r="M151" s="13">
        <v>0.301954268965135</v>
      </c>
      <c r="N151" s="13">
        <v>-7.3976516753185004</v>
      </c>
      <c r="O151" s="7">
        <v>1</v>
      </c>
      <c r="P151" s="7" t="s">
        <v>160</v>
      </c>
      <c r="Q151" s="7" t="str">
        <f t="shared" si="2"/>
        <v>Yes</v>
      </c>
    </row>
    <row r="152" spans="1:17" ht="15" customHeight="1" x14ac:dyDescent="0.2">
      <c r="A152" s="7">
        <v>2018</v>
      </c>
      <c r="B152" s="7" t="s">
        <v>473</v>
      </c>
      <c r="C152" s="7">
        <v>2</v>
      </c>
      <c r="D152" s="7" t="s">
        <v>474</v>
      </c>
      <c r="E152" s="7" t="s">
        <v>475</v>
      </c>
      <c r="F152" s="8">
        <v>191332</v>
      </c>
      <c r="G152" s="8">
        <v>93391</v>
      </c>
      <c r="H152" s="8">
        <v>1300543.99</v>
      </c>
      <c r="I152" s="8">
        <v>36419.65</v>
      </c>
      <c r="J152" s="13">
        <v>0.671993481383661</v>
      </c>
      <c r="K152" s="13">
        <v>0.972759431213851</v>
      </c>
      <c r="L152" s="7">
        <v>1</v>
      </c>
      <c r="M152" s="13">
        <v>0.69661727194412104</v>
      </c>
      <c r="N152" s="13">
        <v>-2.4623790560460201</v>
      </c>
      <c r="O152" s="7">
        <v>1</v>
      </c>
      <c r="P152" s="7" t="s">
        <v>160</v>
      </c>
      <c r="Q152" s="7" t="str">
        <f t="shared" si="2"/>
        <v>Yes</v>
      </c>
    </row>
    <row r="153" spans="1:17" ht="15" customHeight="1" x14ac:dyDescent="0.2">
      <c r="A153" s="7">
        <v>2018</v>
      </c>
      <c r="B153" s="7" t="s">
        <v>473</v>
      </c>
      <c r="C153" s="7">
        <v>3</v>
      </c>
      <c r="D153" s="7" t="s">
        <v>476</v>
      </c>
      <c r="E153" s="7" t="s">
        <v>477</v>
      </c>
      <c r="F153" s="8">
        <v>173175</v>
      </c>
      <c r="G153" s="8">
        <v>93445</v>
      </c>
      <c r="H153" s="8">
        <v>2574631.67</v>
      </c>
      <c r="I153" s="8">
        <v>975353.48</v>
      </c>
      <c r="J153" s="13">
        <v>0.64951991598529801</v>
      </c>
      <c r="K153" s="13">
        <v>0.72525139154455298</v>
      </c>
      <c r="L153" s="7">
        <v>0</v>
      </c>
      <c r="M153" s="13">
        <v>0.57530109934374696</v>
      </c>
      <c r="N153" s="13">
        <v>7.4218816641550802</v>
      </c>
      <c r="O153" s="7">
        <v>1</v>
      </c>
      <c r="P153" s="7" t="s">
        <v>160</v>
      </c>
      <c r="Q153" s="7" t="str">
        <f t="shared" si="2"/>
        <v>Yes</v>
      </c>
    </row>
    <row r="154" spans="1:17" ht="15" customHeight="1" x14ac:dyDescent="0.2">
      <c r="A154" s="7">
        <v>2018</v>
      </c>
      <c r="B154" s="7" t="s">
        <v>473</v>
      </c>
      <c r="C154" s="7">
        <v>5</v>
      </c>
      <c r="D154" s="7" t="s">
        <v>478</v>
      </c>
      <c r="E154" s="7" t="s">
        <v>479</v>
      </c>
      <c r="F154" s="8">
        <v>236243</v>
      </c>
      <c r="G154" s="8">
        <v>74856</v>
      </c>
      <c r="H154" s="8">
        <v>1425360.68</v>
      </c>
      <c r="I154" s="8">
        <v>0</v>
      </c>
      <c r="J154" s="13">
        <v>0.75938206165882904</v>
      </c>
      <c r="K154" s="13">
        <v>1</v>
      </c>
      <c r="L154" s="7">
        <v>1</v>
      </c>
      <c r="M154" s="13">
        <v>0.70560970050115601</v>
      </c>
      <c r="N154" s="13">
        <v>5.3772361157672899</v>
      </c>
      <c r="O154" s="7">
        <v>1</v>
      </c>
      <c r="P154" s="7" t="s">
        <v>160</v>
      </c>
      <c r="Q154" s="7" t="str">
        <f t="shared" si="2"/>
        <v>Yes</v>
      </c>
    </row>
    <row r="155" spans="1:17" ht="15" customHeight="1" x14ac:dyDescent="0.2">
      <c r="A155" s="7">
        <v>2018</v>
      </c>
      <c r="B155" s="7" t="s">
        <v>473</v>
      </c>
      <c r="C155" s="7">
        <v>6</v>
      </c>
      <c r="D155" s="7" t="s">
        <v>480</v>
      </c>
      <c r="E155" s="7" t="s">
        <v>481</v>
      </c>
      <c r="F155" s="8">
        <v>217703</v>
      </c>
      <c r="G155" s="8">
        <v>104798</v>
      </c>
      <c r="H155" s="8">
        <v>2691195.83</v>
      </c>
      <c r="I155" s="8">
        <v>263794.8</v>
      </c>
      <c r="J155" s="13">
        <v>0.67504596884970902</v>
      </c>
      <c r="K155" s="13">
        <v>0.91072905703257701</v>
      </c>
      <c r="L155" s="7">
        <v>1</v>
      </c>
      <c r="M155" s="13">
        <v>0.67614032402976998</v>
      </c>
      <c r="N155" s="13">
        <v>-0.109435518006051</v>
      </c>
      <c r="O155" s="7">
        <v>1</v>
      </c>
      <c r="P155" s="7" t="s">
        <v>160</v>
      </c>
      <c r="Q155" s="7" t="str">
        <f t="shared" si="2"/>
        <v>Yes</v>
      </c>
    </row>
    <row r="156" spans="1:17" ht="15" customHeight="1" x14ac:dyDescent="0.2">
      <c r="A156" s="7">
        <v>2018</v>
      </c>
      <c r="B156" s="7" t="s">
        <v>473</v>
      </c>
      <c r="C156" s="7">
        <v>9</v>
      </c>
      <c r="D156" s="7" t="s">
        <v>482</v>
      </c>
      <c r="E156" s="7" t="s">
        <v>483</v>
      </c>
      <c r="F156" s="8">
        <v>192347</v>
      </c>
      <c r="G156" s="8">
        <v>131463</v>
      </c>
      <c r="H156" s="8">
        <v>569786.25</v>
      </c>
      <c r="I156" s="8">
        <v>856535.25</v>
      </c>
      <c r="J156" s="13">
        <v>0.59401192057070495</v>
      </c>
      <c r="K156" s="13">
        <v>0.39947953529411201</v>
      </c>
      <c r="L156" s="7">
        <v>1</v>
      </c>
      <c r="M156" s="13">
        <v>0.50737091120498201</v>
      </c>
      <c r="N156" s="13">
        <v>8.6641009365722805</v>
      </c>
      <c r="O156" s="7">
        <v>1</v>
      </c>
      <c r="P156" s="7" t="s">
        <v>160</v>
      </c>
      <c r="Q156" s="7" t="str">
        <f t="shared" si="2"/>
        <v>Yes</v>
      </c>
    </row>
    <row r="157" spans="1:17" ht="15" customHeight="1" x14ac:dyDescent="0.2">
      <c r="A157" s="7">
        <v>2018</v>
      </c>
      <c r="B157" s="7" t="s">
        <v>484</v>
      </c>
      <c r="C157" s="7">
        <v>1</v>
      </c>
      <c r="D157" s="7" t="s">
        <v>485</v>
      </c>
      <c r="E157" s="7" t="s">
        <v>486</v>
      </c>
      <c r="F157" s="8">
        <v>116631</v>
      </c>
      <c r="G157" s="8">
        <v>183662</v>
      </c>
      <c r="H157" s="8">
        <v>1864432.02</v>
      </c>
      <c r="I157" s="8">
        <v>1936636.59</v>
      </c>
      <c r="J157" s="13">
        <v>0.38839067177723102</v>
      </c>
      <c r="K157" s="13">
        <v>0.490502069627204</v>
      </c>
      <c r="L157" s="7">
        <v>-1</v>
      </c>
      <c r="M157" s="13">
        <v>0.45819672785385901</v>
      </c>
      <c r="N157" s="13">
        <v>-6.9806056076627598</v>
      </c>
      <c r="O157" s="7">
        <v>1</v>
      </c>
      <c r="P157" s="7" t="s">
        <v>160</v>
      </c>
      <c r="Q157" s="7" t="str">
        <f t="shared" si="2"/>
        <v>Yes</v>
      </c>
    </row>
    <row r="158" spans="1:17" ht="15" customHeight="1" x14ac:dyDescent="0.2">
      <c r="A158" s="7">
        <v>2018</v>
      </c>
      <c r="B158" s="7" t="s">
        <v>484</v>
      </c>
      <c r="C158" s="7">
        <v>2</v>
      </c>
      <c r="D158" s="7" t="s">
        <v>487</v>
      </c>
      <c r="E158" s="7" t="s">
        <v>488</v>
      </c>
      <c r="F158" s="8">
        <v>167201</v>
      </c>
      <c r="G158" s="8">
        <v>77782</v>
      </c>
      <c r="H158" s="8">
        <v>972207.67</v>
      </c>
      <c r="I158" s="8">
        <v>37409.68</v>
      </c>
      <c r="J158" s="13">
        <v>0.68250041839637898</v>
      </c>
      <c r="K158" s="13">
        <v>0.96294667479714002</v>
      </c>
      <c r="L158" s="7">
        <v>1</v>
      </c>
      <c r="M158" s="13">
        <v>0.69337796693116005</v>
      </c>
      <c r="N158" s="13">
        <v>-1.08775485347817</v>
      </c>
      <c r="O158" s="7">
        <v>1</v>
      </c>
      <c r="P158" s="7" t="s">
        <v>160</v>
      </c>
      <c r="Q158" s="7" t="str">
        <f t="shared" si="2"/>
        <v>Yes</v>
      </c>
    </row>
    <row r="159" spans="1:17" ht="15" customHeight="1" x14ac:dyDescent="0.2">
      <c r="A159" s="7">
        <v>2018</v>
      </c>
      <c r="B159" s="7" t="s">
        <v>484</v>
      </c>
      <c r="C159" s="7">
        <v>4</v>
      </c>
      <c r="D159" s="7" t="s">
        <v>489</v>
      </c>
      <c r="E159" s="7" t="s">
        <v>490</v>
      </c>
      <c r="F159" s="8">
        <v>209642</v>
      </c>
      <c r="G159" s="8">
        <v>53327</v>
      </c>
      <c r="H159" s="8">
        <v>556384.77</v>
      </c>
      <c r="I159" s="8">
        <v>0</v>
      </c>
      <c r="J159" s="13">
        <v>0.797211838657789</v>
      </c>
      <c r="K159" s="13">
        <v>1</v>
      </c>
      <c r="L159" s="7">
        <v>1</v>
      </c>
      <c r="M159" s="13">
        <v>0.70560970050115601</v>
      </c>
      <c r="N159" s="13">
        <v>9.1602138156632709</v>
      </c>
      <c r="O159" s="7">
        <v>1</v>
      </c>
      <c r="P159" s="7" t="s">
        <v>160</v>
      </c>
      <c r="Q159" s="7" t="str">
        <f t="shared" si="2"/>
        <v>Yes</v>
      </c>
    </row>
    <row r="160" spans="1:17" ht="15" customHeight="1" x14ac:dyDescent="0.2">
      <c r="A160" s="7">
        <v>2018</v>
      </c>
      <c r="B160" s="7" t="s">
        <v>484</v>
      </c>
      <c r="C160" s="7">
        <v>6</v>
      </c>
      <c r="D160" s="7" t="s">
        <v>491</v>
      </c>
      <c r="E160" s="7" t="s">
        <v>492</v>
      </c>
      <c r="F160" s="8">
        <v>163346</v>
      </c>
      <c r="G160" s="8">
        <v>105209</v>
      </c>
      <c r="H160" s="8">
        <v>18360116.699999999</v>
      </c>
      <c r="I160" s="8">
        <v>2137187.5099999998</v>
      </c>
      <c r="J160" s="13">
        <v>0.60824039768390104</v>
      </c>
      <c r="K160" s="13">
        <v>0.89573323944924699</v>
      </c>
      <c r="L160" s="7">
        <v>0</v>
      </c>
      <c r="M160" s="13">
        <v>0.63157913999662096</v>
      </c>
      <c r="N160" s="13">
        <v>-2.3338742312719898</v>
      </c>
      <c r="O160" s="7">
        <v>1</v>
      </c>
      <c r="P160" s="7" t="s">
        <v>160</v>
      </c>
      <c r="Q160" s="7" t="str">
        <f t="shared" si="2"/>
        <v>Yes</v>
      </c>
    </row>
    <row r="161" spans="1:17" ht="15" customHeight="1" x14ac:dyDescent="0.2">
      <c r="A161" s="7">
        <v>2018</v>
      </c>
      <c r="B161" s="7" t="s">
        <v>484</v>
      </c>
      <c r="C161" s="7">
        <v>7</v>
      </c>
      <c r="D161" s="7" t="s">
        <v>493</v>
      </c>
      <c r="E161" s="7" t="s">
        <v>494</v>
      </c>
      <c r="F161" s="8">
        <v>202345</v>
      </c>
      <c r="G161" s="8">
        <v>56266</v>
      </c>
      <c r="H161" s="8">
        <v>1142206.92</v>
      </c>
      <c r="I161" s="8">
        <v>17539.8</v>
      </c>
      <c r="J161" s="13">
        <v>0.78242998170998102</v>
      </c>
      <c r="K161" s="13">
        <v>0.98487618055087101</v>
      </c>
      <c r="L161" s="7">
        <v>1</v>
      </c>
      <c r="M161" s="13">
        <v>0.70061715181491302</v>
      </c>
      <c r="N161" s="13">
        <v>8.1812829895068209</v>
      </c>
      <c r="O161" s="7">
        <v>1</v>
      </c>
      <c r="P161" s="7" t="s">
        <v>160</v>
      </c>
      <c r="Q161" s="7" t="str">
        <f t="shared" si="2"/>
        <v>Yes</v>
      </c>
    </row>
    <row r="162" spans="1:17" ht="15" customHeight="1" x14ac:dyDescent="0.2">
      <c r="A162" s="7">
        <v>2018</v>
      </c>
      <c r="B162" s="7" t="s">
        <v>495</v>
      </c>
      <c r="C162" s="7">
        <v>1</v>
      </c>
      <c r="D162" s="7" t="s">
        <v>496</v>
      </c>
      <c r="E162" s="7" t="s">
        <v>497</v>
      </c>
      <c r="F162" s="8">
        <v>201195</v>
      </c>
      <c r="G162" s="8">
        <v>111188</v>
      </c>
      <c r="H162" s="8">
        <v>1149350.48</v>
      </c>
      <c r="I162" s="8">
        <v>96922.09</v>
      </c>
      <c r="J162" s="13">
        <v>0.64406513798766296</v>
      </c>
      <c r="K162" s="13">
        <v>0.92223042347790696</v>
      </c>
      <c r="L162" s="7">
        <v>1</v>
      </c>
      <c r="M162" s="13">
        <v>0.67993705885127198</v>
      </c>
      <c r="N162" s="13">
        <v>-3.5871920863609801</v>
      </c>
      <c r="O162" s="7">
        <v>1</v>
      </c>
      <c r="P162" s="7" t="s">
        <v>160</v>
      </c>
      <c r="Q162" s="7" t="str">
        <f t="shared" si="2"/>
        <v>Yes</v>
      </c>
    </row>
    <row r="163" spans="1:17" ht="15" customHeight="1" x14ac:dyDescent="0.2">
      <c r="A163" s="7">
        <v>2018</v>
      </c>
      <c r="B163" s="7" t="s">
        <v>495</v>
      </c>
      <c r="C163" s="7">
        <v>2</v>
      </c>
      <c r="D163" s="7" t="s">
        <v>498</v>
      </c>
      <c r="E163" s="7" t="s">
        <v>499</v>
      </c>
      <c r="F163" s="8">
        <v>132013</v>
      </c>
      <c r="G163" s="8">
        <v>134184</v>
      </c>
      <c r="H163" s="8">
        <v>12809332.84</v>
      </c>
      <c r="I163" s="8">
        <v>9893543.4800000004</v>
      </c>
      <c r="J163" s="13">
        <v>0.49592219296235501</v>
      </c>
      <c r="K163" s="13">
        <v>0.56421629838663601</v>
      </c>
      <c r="L163" s="7">
        <v>-1</v>
      </c>
      <c r="M163" s="13">
        <v>0.48253065204464801</v>
      </c>
      <c r="N163" s="13">
        <v>1.3391540917706799</v>
      </c>
      <c r="O163" s="7">
        <v>1</v>
      </c>
      <c r="P163" s="7" t="s">
        <v>160</v>
      </c>
      <c r="Q163" s="7" t="str">
        <f t="shared" si="2"/>
        <v>Yes</v>
      </c>
    </row>
    <row r="164" spans="1:17" ht="15" customHeight="1" x14ac:dyDescent="0.2">
      <c r="A164" s="7">
        <v>2018</v>
      </c>
      <c r="B164" s="7" t="s">
        <v>500</v>
      </c>
      <c r="C164" s="7">
        <v>1</v>
      </c>
      <c r="D164" s="7" t="s">
        <v>501</v>
      </c>
      <c r="E164" s="7" t="s">
        <v>502</v>
      </c>
      <c r="F164" s="8">
        <v>145246</v>
      </c>
      <c r="G164" s="8">
        <v>187251</v>
      </c>
      <c r="H164" s="8">
        <v>1461132.69</v>
      </c>
      <c r="I164" s="8">
        <v>1488156.74</v>
      </c>
      <c r="J164" s="13">
        <v>0.43683401654751802</v>
      </c>
      <c r="K164" s="13">
        <v>0.495418549002836</v>
      </c>
      <c r="L164" s="7">
        <v>-1</v>
      </c>
      <c r="M164" s="13">
        <v>0.45981971487313</v>
      </c>
      <c r="N164" s="13">
        <v>-2.2985698325612698</v>
      </c>
      <c r="O164" s="7">
        <v>1</v>
      </c>
      <c r="P164" s="7" t="s">
        <v>160</v>
      </c>
      <c r="Q164" s="7" t="str">
        <f t="shared" si="2"/>
        <v>Yes</v>
      </c>
    </row>
    <row r="165" spans="1:17" ht="15" customHeight="1" x14ac:dyDescent="0.2">
      <c r="A165" s="7">
        <v>2018</v>
      </c>
      <c r="B165" s="7" t="s">
        <v>500</v>
      </c>
      <c r="C165" s="7">
        <v>2</v>
      </c>
      <c r="D165" s="7" t="s">
        <v>503</v>
      </c>
      <c r="E165" s="7" t="s">
        <v>504</v>
      </c>
      <c r="F165" s="8">
        <v>131254</v>
      </c>
      <c r="G165" s="8">
        <v>168970</v>
      </c>
      <c r="H165" s="8">
        <v>1287824.1200000001</v>
      </c>
      <c r="I165" s="8">
        <v>2180713.6</v>
      </c>
      <c r="J165" s="13">
        <v>0.437186900447666</v>
      </c>
      <c r="K165" s="13">
        <v>0.37128733315317702</v>
      </c>
      <c r="L165" s="7">
        <v>-1</v>
      </c>
      <c r="M165" s="13">
        <v>0.41884255690741401</v>
      </c>
      <c r="N165" s="13">
        <v>1.83443435402513</v>
      </c>
      <c r="O165" s="7">
        <v>1</v>
      </c>
      <c r="P165" s="7" t="s">
        <v>160</v>
      </c>
      <c r="Q165" s="7" t="str">
        <f t="shared" si="2"/>
        <v>Yes</v>
      </c>
    </row>
    <row r="166" spans="1:17" ht="15" customHeight="1" x14ac:dyDescent="0.2">
      <c r="A166" s="7">
        <v>2018</v>
      </c>
      <c r="B166" s="7" t="s">
        <v>500</v>
      </c>
      <c r="C166" s="7">
        <v>3</v>
      </c>
      <c r="D166" s="7" t="s">
        <v>505</v>
      </c>
      <c r="E166" s="7" t="s">
        <v>506</v>
      </c>
      <c r="F166" s="8">
        <v>134185</v>
      </c>
      <c r="G166" s="8">
        <v>169107</v>
      </c>
      <c r="H166" s="8">
        <v>162145.12</v>
      </c>
      <c r="I166" s="8">
        <v>774811.38</v>
      </c>
      <c r="J166" s="13">
        <v>0.44242841881750899</v>
      </c>
      <c r="K166" s="13">
        <v>0.17305512048851801</v>
      </c>
      <c r="L166" s="7">
        <v>-1</v>
      </c>
      <c r="M166" s="13">
        <v>0.35340379811775402</v>
      </c>
      <c r="N166" s="13">
        <v>8.9024620699755594</v>
      </c>
      <c r="O166" s="7">
        <v>1</v>
      </c>
      <c r="P166" s="7" t="s">
        <v>160</v>
      </c>
      <c r="Q166" s="7" t="str">
        <f t="shared" si="2"/>
        <v>Yes</v>
      </c>
    </row>
    <row r="167" spans="1:17" ht="15" customHeight="1" x14ac:dyDescent="0.2">
      <c r="A167" s="7">
        <v>2018</v>
      </c>
      <c r="B167" s="7" t="s">
        <v>500</v>
      </c>
      <c r="C167" s="7">
        <v>6</v>
      </c>
      <c r="D167" s="7" t="s">
        <v>507</v>
      </c>
      <c r="E167" s="7" t="s">
        <v>508</v>
      </c>
      <c r="F167" s="8">
        <v>134082</v>
      </c>
      <c r="G167" s="8">
        <v>147436</v>
      </c>
      <c r="H167" s="8">
        <v>3281748.39</v>
      </c>
      <c r="I167" s="8">
        <v>4931837.92</v>
      </c>
      <c r="J167" s="13">
        <v>0.47628215602554702</v>
      </c>
      <c r="K167" s="13">
        <v>0.399551215040437</v>
      </c>
      <c r="L167" s="7">
        <v>-1</v>
      </c>
      <c r="M167" s="13">
        <v>0.428172793019992</v>
      </c>
      <c r="N167" s="13">
        <v>4.8109363005555599</v>
      </c>
      <c r="O167" s="7">
        <v>1</v>
      </c>
      <c r="P167" s="7" t="s">
        <v>160</v>
      </c>
      <c r="Q167" s="7" t="str">
        <f t="shared" si="2"/>
        <v>Yes</v>
      </c>
    </row>
    <row r="168" spans="1:17" ht="15" customHeight="1" x14ac:dyDescent="0.2">
      <c r="A168" s="7">
        <v>2018</v>
      </c>
      <c r="B168" s="7" t="s">
        <v>500</v>
      </c>
      <c r="C168" s="7">
        <v>7</v>
      </c>
      <c r="D168" s="7" t="s">
        <v>509</v>
      </c>
      <c r="E168" s="7" t="s">
        <v>510</v>
      </c>
      <c r="F168" s="8">
        <v>136330</v>
      </c>
      <c r="G168" s="8">
        <v>158730</v>
      </c>
      <c r="H168" s="8">
        <v>2816500.52</v>
      </c>
      <c r="I168" s="8">
        <v>2293761.4900000002</v>
      </c>
      <c r="J168" s="13">
        <v>0.46204161865383298</v>
      </c>
      <c r="K168" s="13">
        <v>0.55114601061325996</v>
      </c>
      <c r="L168" s="7">
        <v>-1</v>
      </c>
      <c r="M168" s="13">
        <v>0.47821599804661102</v>
      </c>
      <c r="N168" s="13">
        <v>-1.61743793927777</v>
      </c>
      <c r="O168" s="7">
        <v>1</v>
      </c>
      <c r="P168" s="7" t="s">
        <v>160</v>
      </c>
      <c r="Q168" s="7" t="str">
        <f t="shared" si="2"/>
        <v>Yes</v>
      </c>
    </row>
    <row r="169" spans="1:17" ht="15" customHeight="1" x14ac:dyDescent="0.2">
      <c r="A169" s="7">
        <v>2018</v>
      </c>
      <c r="B169" s="7" t="s">
        <v>500</v>
      </c>
      <c r="C169" s="7">
        <v>8</v>
      </c>
      <c r="D169" s="7" t="s">
        <v>511</v>
      </c>
      <c r="E169" s="7" t="s">
        <v>512</v>
      </c>
      <c r="F169" s="8">
        <v>172880</v>
      </c>
      <c r="G169" s="8">
        <v>159782</v>
      </c>
      <c r="H169" s="8">
        <v>17040537.91</v>
      </c>
      <c r="I169" s="8">
        <v>10375484.18</v>
      </c>
      <c r="J169" s="13">
        <v>0.51968664891090699</v>
      </c>
      <c r="K169" s="13">
        <v>0.62155398963643005</v>
      </c>
      <c r="L169" s="7">
        <v>-1</v>
      </c>
      <c r="M169" s="13">
        <v>0.50145849074863602</v>
      </c>
      <c r="N169" s="13">
        <v>1.82281581622702</v>
      </c>
      <c r="O169" s="7">
        <v>1</v>
      </c>
      <c r="P169" s="7" t="s">
        <v>160</v>
      </c>
      <c r="Q169" s="7" t="str">
        <f t="shared" si="2"/>
        <v>Yes</v>
      </c>
    </row>
    <row r="170" spans="1:17" ht="15" customHeight="1" x14ac:dyDescent="0.2">
      <c r="A170" s="7">
        <v>2018</v>
      </c>
      <c r="B170" s="7" t="s">
        <v>500</v>
      </c>
      <c r="C170" s="7">
        <v>9</v>
      </c>
      <c r="D170" s="7" t="s">
        <v>513</v>
      </c>
      <c r="E170" s="7" t="s">
        <v>514</v>
      </c>
      <c r="F170" s="8">
        <v>181734</v>
      </c>
      <c r="G170" s="8">
        <v>112123</v>
      </c>
      <c r="H170" s="8">
        <v>1606253.19</v>
      </c>
      <c r="I170" s="8">
        <v>247415.99</v>
      </c>
      <c r="J170" s="13">
        <v>0.61844366477572399</v>
      </c>
      <c r="K170" s="13">
        <v>0.86652635072672501</v>
      </c>
      <c r="L170" s="7">
        <v>0</v>
      </c>
      <c r="M170" s="13">
        <v>0.62193760636079898</v>
      </c>
      <c r="N170" s="13">
        <v>-0.34939415850752098</v>
      </c>
      <c r="O170" s="7">
        <v>1</v>
      </c>
      <c r="P170" s="7" t="s">
        <v>160</v>
      </c>
      <c r="Q170" s="7" t="str">
        <f t="shared" si="2"/>
        <v>Yes</v>
      </c>
    </row>
    <row r="171" spans="1:17" ht="15" customHeight="1" x14ac:dyDescent="0.2">
      <c r="A171" s="7">
        <v>2018</v>
      </c>
      <c r="B171" s="7" t="s">
        <v>500</v>
      </c>
      <c r="C171" s="7">
        <v>10</v>
      </c>
      <c r="D171" s="7" t="s">
        <v>515</v>
      </c>
      <c r="E171" s="7" t="s">
        <v>516</v>
      </c>
      <c r="F171" s="8">
        <v>106061</v>
      </c>
      <c r="G171" s="8">
        <v>182808</v>
      </c>
      <c r="H171" s="8">
        <v>50157.33</v>
      </c>
      <c r="I171" s="8">
        <v>705902.7</v>
      </c>
      <c r="J171" s="13">
        <v>0.367159508289225</v>
      </c>
      <c r="K171" s="13">
        <v>6.6340406858963294E-2</v>
      </c>
      <c r="L171" s="7">
        <v>-1</v>
      </c>
      <c r="M171" s="13">
        <v>0.31817603008428302</v>
      </c>
      <c r="N171" s="13">
        <v>4.8983478204941102</v>
      </c>
      <c r="O171" s="7">
        <v>1</v>
      </c>
      <c r="P171" s="7" t="s">
        <v>160</v>
      </c>
      <c r="Q171" s="7" t="str">
        <f t="shared" si="2"/>
        <v>Yes</v>
      </c>
    </row>
    <row r="172" spans="1:17" ht="15" customHeight="1" x14ac:dyDescent="0.2">
      <c r="A172" s="7">
        <v>2018</v>
      </c>
      <c r="B172" s="7" t="s">
        <v>500</v>
      </c>
      <c r="C172" s="7">
        <v>11</v>
      </c>
      <c r="D172" s="7" t="s">
        <v>517</v>
      </c>
      <c r="E172" s="7" t="s">
        <v>518</v>
      </c>
      <c r="F172" s="8">
        <v>181912</v>
      </c>
      <c r="G172" s="8">
        <v>158463</v>
      </c>
      <c r="H172" s="8">
        <v>9882404.9100000001</v>
      </c>
      <c r="I172" s="8">
        <v>3928428.02</v>
      </c>
      <c r="J172" s="13">
        <v>0.53444583180315797</v>
      </c>
      <c r="K172" s="13">
        <v>0.71555459110169695</v>
      </c>
      <c r="L172" s="7">
        <v>0</v>
      </c>
      <c r="M172" s="13">
        <v>0.57210007274629404</v>
      </c>
      <c r="N172" s="13">
        <v>-3.76542409431352</v>
      </c>
      <c r="O172" s="7">
        <v>1</v>
      </c>
      <c r="P172" s="7" t="s">
        <v>160</v>
      </c>
      <c r="Q172" s="7" t="str">
        <f t="shared" si="2"/>
        <v>Yes</v>
      </c>
    </row>
    <row r="173" spans="1:17" ht="15" customHeight="1" x14ac:dyDescent="0.2">
      <c r="A173" s="7">
        <v>2018</v>
      </c>
      <c r="B173" s="7" t="s">
        <v>500</v>
      </c>
      <c r="C173" s="7">
        <v>12</v>
      </c>
      <c r="D173" s="7" t="s">
        <v>519</v>
      </c>
      <c r="E173" s="7" t="s">
        <v>520</v>
      </c>
      <c r="F173" s="8">
        <v>200588</v>
      </c>
      <c r="G173" s="8">
        <v>85115</v>
      </c>
      <c r="H173" s="8">
        <v>1251914.46</v>
      </c>
      <c r="I173" s="8">
        <v>82670.990000000005</v>
      </c>
      <c r="J173" s="13">
        <v>0.70208573238642902</v>
      </c>
      <c r="K173" s="13">
        <v>0.938054929341542</v>
      </c>
      <c r="L173" s="7">
        <v>1</v>
      </c>
      <c r="M173" s="13">
        <v>0.68516091227174403</v>
      </c>
      <c r="N173" s="13">
        <v>1.69248201146851</v>
      </c>
      <c r="O173" s="7">
        <v>1</v>
      </c>
      <c r="P173" s="7" t="s">
        <v>160</v>
      </c>
      <c r="Q173" s="7" t="str">
        <f t="shared" si="2"/>
        <v>Yes</v>
      </c>
    </row>
    <row r="174" spans="1:17" ht="15" customHeight="1" x14ac:dyDescent="0.2">
      <c r="A174" s="7">
        <v>2018</v>
      </c>
      <c r="B174" s="7" t="s">
        <v>500</v>
      </c>
      <c r="C174" s="7">
        <v>14</v>
      </c>
      <c r="D174" s="7" t="s">
        <v>521</v>
      </c>
      <c r="E174" s="7" t="s">
        <v>522</v>
      </c>
      <c r="F174" s="8">
        <v>214334</v>
      </c>
      <c r="G174" s="8">
        <v>45899</v>
      </c>
      <c r="H174" s="8">
        <v>583778.81000000006</v>
      </c>
      <c r="I174" s="8">
        <v>0</v>
      </c>
      <c r="J174" s="13">
        <v>0.82362344514339103</v>
      </c>
      <c r="K174" s="13">
        <v>1</v>
      </c>
      <c r="L174" s="7">
        <v>1</v>
      </c>
      <c r="M174" s="13">
        <v>0.70560970050115601</v>
      </c>
      <c r="N174" s="13">
        <v>11.8013744642235</v>
      </c>
      <c r="O174" s="7">
        <v>1</v>
      </c>
      <c r="P174" s="7" t="s">
        <v>160</v>
      </c>
      <c r="Q174" s="7" t="str">
        <f t="shared" si="2"/>
        <v>Yes</v>
      </c>
    </row>
    <row r="175" spans="1:17" ht="15" customHeight="1" x14ac:dyDescent="0.2">
      <c r="A175" s="7">
        <v>2018</v>
      </c>
      <c r="B175" s="7" t="s">
        <v>523</v>
      </c>
      <c r="C175" s="7">
        <v>1</v>
      </c>
      <c r="D175" s="7" t="s">
        <v>524</v>
      </c>
      <c r="E175" s="7" t="s">
        <v>525</v>
      </c>
      <c r="F175" s="8">
        <v>144885</v>
      </c>
      <c r="G175" s="8">
        <v>146200</v>
      </c>
      <c r="H175" s="8">
        <v>10891106.220000001</v>
      </c>
      <c r="I175" s="8">
        <v>8703097.2799999993</v>
      </c>
      <c r="J175" s="13">
        <v>0.497741209612313</v>
      </c>
      <c r="K175" s="13">
        <v>0.55583306665157395</v>
      </c>
      <c r="L175" s="7">
        <v>0</v>
      </c>
      <c r="M175" s="13">
        <v>0.51937414000553495</v>
      </c>
      <c r="N175" s="13">
        <v>-2.16329303932226</v>
      </c>
      <c r="O175" s="7">
        <v>0</v>
      </c>
      <c r="P175" s="7" t="s">
        <v>160</v>
      </c>
      <c r="Q175" s="7" t="str">
        <f t="shared" si="2"/>
        <v>Yes</v>
      </c>
    </row>
    <row r="176" spans="1:17" ht="15" customHeight="1" x14ac:dyDescent="0.2">
      <c r="A176" s="7">
        <v>2018</v>
      </c>
      <c r="B176" s="7" t="s">
        <v>523</v>
      </c>
      <c r="C176" s="7">
        <v>2</v>
      </c>
      <c r="D176" s="7" t="s">
        <v>526</v>
      </c>
      <c r="E176" s="7" t="s">
        <v>527</v>
      </c>
      <c r="F176" s="8">
        <v>177958</v>
      </c>
      <c r="G176" s="8">
        <v>159344</v>
      </c>
      <c r="H176" s="8">
        <v>11013495.880000001</v>
      </c>
      <c r="I176" s="8">
        <v>6005828.3499999996</v>
      </c>
      <c r="J176" s="13">
        <v>0.52759248388684299</v>
      </c>
      <c r="K176" s="13">
        <v>0.64711710824490198</v>
      </c>
      <c r="L176" s="7">
        <v>-1</v>
      </c>
      <c r="M176" s="13">
        <v>0.509897173493711</v>
      </c>
      <c r="N176" s="13">
        <v>1.76953103931318</v>
      </c>
      <c r="O176" s="7">
        <v>1</v>
      </c>
      <c r="P176" s="7" t="s">
        <v>160</v>
      </c>
      <c r="Q176" s="7" t="str">
        <f t="shared" si="2"/>
        <v>Yes</v>
      </c>
    </row>
    <row r="177" spans="1:17" ht="15" customHeight="1" x14ac:dyDescent="0.2">
      <c r="A177" s="7">
        <v>2018</v>
      </c>
      <c r="B177" s="7" t="s">
        <v>523</v>
      </c>
      <c r="C177" s="7">
        <v>3</v>
      </c>
      <c r="D177" s="7" t="s">
        <v>528</v>
      </c>
      <c r="E177" s="7" t="s">
        <v>529</v>
      </c>
      <c r="F177" s="8">
        <v>202404</v>
      </c>
      <c r="G177" s="8">
        <v>160839</v>
      </c>
      <c r="H177" s="8">
        <v>12161245.859999999</v>
      </c>
      <c r="I177" s="8">
        <v>9736103.6799999997</v>
      </c>
      <c r="J177" s="13">
        <v>0.55721376599136097</v>
      </c>
      <c r="K177" s="13">
        <v>0.55537524474297595</v>
      </c>
      <c r="L177" s="7">
        <v>-1</v>
      </c>
      <c r="M177" s="13">
        <v>0.47961211741772303</v>
      </c>
      <c r="N177" s="13">
        <v>7.7601648573638498</v>
      </c>
      <c r="O177" s="7">
        <v>0</v>
      </c>
      <c r="P177" s="7" t="s">
        <v>160</v>
      </c>
      <c r="Q177" s="7" t="str">
        <f t="shared" si="2"/>
        <v>Yes</v>
      </c>
    </row>
    <row r="178" spans="1:17" ht="15" customHeight="1" x14ac:dyDescent="0.2">
      <c r="A178" s="7">
        <v>2018</v>
      </c>
      <c r="B178" s="7" t="s">
        <v>523</v>
      </c>
      <c r="C178" s="7">
        <v>4</v>
      </c>
      <c r="D178" s="7" t="s">
        <v>530</v>
      </c>
      <c r="E178" s="7" t="s">
        <v>531</v>
      </c>
      <c r="F178" s="8">
        <v>216865</v>
      </c>
      <c r="G178" s="8">
        <v>97747</v>
      </c>
      <c r="H178" s="8">
        <v>962489.78</v>
      </c>
      <c r="I178" s="8">
        <v>34135.519999999997</v>
      </c>
      <c r="J178" s="13">
        <v>0.68930937154336103</v>
      </c>
      <c r="K178" s="13">
        <v>0.96574889278849296</v>
      </c>
      <c r="L178" s="7">
        <v>1</v>
      </c>
      <c r="M178" s="13">
        <v>0.69430301167917197</v>
      </c>
      <c r="N178" s="13">
        <v>-0.49936401358108301</v>
      </c>
      <c r="O178" s="7">
        <v>1</v>
      </c>
      <c r="P178" s="7" t="s">
        <v>160</v>
      </c>
      <c r="Q178" s="7" t="str">
        <f t="shared" si="2"/>
        <v>Yes</v>
      </c>
    </row>
    <row r="179" spans="1:17" ht="15" customHeight="1" x14ac:dyDescent="0.2">
      <c r="A179" s="7">
        <v>2018</v>
      </c>
      <c r="B179" s="7" t="s">
        <v>523</v>
      </c>
      <c r="C179" s="7">
        <v>5</v>
      </c>
      <c r="D179" s="7" t="s">
        <v>532</v>
      </c>
      <c r="E179" s="7" t="s">
        <v>533</v>
      </c>
      <c r="F179" s="8">
        <v>267703</v>
      </c>
      <c r="G179" s="8">
        <v>74440</v>
      </c>
      <c r="H179" s="8">
        <v>1060999.21</v>
      </c>
      <c r="I179" s="8">
        <v>33479.65</v>
      </c>
      <c r="J179" s="13">
        <v>0.78243015347384004</v>
      </c>
      <c r="K179" s="13">
        <v>0.96941041876313605</v>
      </c>
      <c r="L179" s="7">
        <v>0</v>
      </c>
      <c r="M179" s="13">
        <v>0.65590083373456198</v>
      </c>
      <c r="N179" s="13">
        <v>12.652931973927799</v>
      </c>
      <c r="O179" s="7">
        <v>1</v>
      </c>
      <c r="P179" s="7" t="s">
        <v>160</v>
      </c>
      <c r="Q179" s="7" t="str">
        <f t="shared" si="2"/>
        <v>Yes</v>
      </c>
    </row>
    <row r="180" spans="1:17" ht="15" customHeight="1" x14ac:dyDescent="0.2">
      <c r="A180" s="7">
        <v>2018</v>
      </c>
      <c r="B180" s="7" t="s">
        <v>523</v>
      </c>
      <c r="C180" s="7">
        <v>6</v>
      </c>
      <c r="D180" s="7" t="s">
        <v>534</v>
      </c>
      <c r="E180" s="7" t="s">
        <v>535</v>
      </c>
      <c r="F180" s="8">
        <v>122332</v>
      </c>
      <c r="G180" s="8">
        <v>192931</v>
      </c>
      <c r="H180" s="8">
        <v>82498.289999999994</v>
      </c>
      <c r="I180" s="8">
        <v>2202775.7200000002</v>
      </c>
      <c r="J180" s="13">
        <v>0.38803157998242699</v>
      </c>
      <c r="K180" s="13">
        <v>3.6099955470985302E-2</v>
      </c>
      <c r="L180" s="7">
        <v>-1</v>
      </c>
      <c r="M180" s="13">
        <v>0.30819330539252998</v>
      </c>
      <c r="N180" s="13">
        <v>7.9838274589897198</v>
      </c>
      <c r="O180" s="7">
        <v>1</v>
      </c>
      <c r="P180" s="7" t="s">
        <v>160</v>
      </c>
      <c r="Q180" s="7" t="str">
        <f t="shared" si="2"/>
        <v>Yes</v>
      </c>
    </row>
    <row r="181" spans="1:17" ht="15" customHeight="1" x14ac:dyDescent="0.2">
      <c r="A181" s="7">
        <v>2018</v>
      </c>
      <c r="B181" s="7" t="s">
        <v>523</v>
      </c>
      <c r="C181" s="7">
        <v>7</v>
      </c>
      <c r="D181" s="7" t="s">
        <v>536</v>
      </c>
      <c r="E181" s="7" t="s">
        <v>537</v>
      </c>
      <c r="F181" s="8">
        <v>146672</v>
      </c>
      <c r="G181" s="8">
        <v>134668</v>
      </c>
      <c r="H181" s="8">
        <v>1505209.55</v>
      </c>
      <c r="I181" s="8">
        <v>315975.19</v>
      </c>
      <c r="J181" s="13">
        <v>0.52133361768678499</v>
      </c>
      <c r="K181" s="13">
        <v>0.82650019898585403</v>
      </c>
      <c r="L181" s="7">
        <v>1</v>
      </c>
      <c r="M181" s="13">
        <v>0.64833539842884202</v>
      </c>
      <c r="N181" s="13">
        <v>-12.7001780742057</v>
      </c>
      <c r="O181" s="7">
        <v>1</v>
      </c>
      <c r="P181" s="7" t="s">
        <v>160</v>
      </c>
      <c r="Q181" s="7" t="str">
        <f t="shared" si="2"/>
        <v>Yes</v>
      </c>
    </row>
    <row r="182" spans="1:17" ht="15" customHeight="1" x14ac:dyDescent="0.2">
      <c r="A182" s="7">
        <v>2018</v>
      </c>
      <c r="B182" s="7" t="s">
        <v>523</v>
      </c>
      <c r="C182" s="7">
        <v>8</v>
      </c>
      <c r="D182" s="7" t="s">
        <v>538</v>
      </c>
      <c r="E182" s="7" t="s">
        <v>539</v>
      </c>
      <c r="F182" s="8">
        <v>141950</v>
      </c>
      <c r="G182" s="8">
        <v>159364</v>
      </c>
      <c r="H182" s="8">
        <v>4506919.25</v>
      </c>
      <c r="I182" s="8">
        <v>9232643.0099999998</v>
      </c>
      <c r="J182" s="13">
        <v>0.47110323449955899</v>
      </c>
      <c r="K182" s="13">
        <v>0.32802495193904402</v>
      </c>
      <c r="L182" s="7">
        <v>0</v>
      </c>
      <c r="M182" s="13">
        <v>0.44417203198982602</v>
      </c>
      <c r="N182" s="13">
        <v>2.6931202509732199</v>
      </c>
      <c r="O182" s="7">
        <v>1</v>
      </c>
      <c r="P182" s="7" t="s">
        <v>160</v>
      </c>
      <c r="Q182" s="7" t="str">
        <f t="shared" si="2"/>
        <v>Yes</v>
      </c>
    </row>
    <row r="183" spans="1:17" ht="15" customHeight="1" x14ac:dyDescent="0.2">
      <c r="A183" s="7">
        <v>2018</v>
      </c>
      <c r="B183" s="7" t="s">
        <v>540</v>
      </c>
      <c r="C183" s="7">
        <v>1</v>
      </c>
      <c r="D183" s="7" t="s">
        <v>541</v>
      </c>
      <c r="E183" s="7" t="s">
        <v>542</v>
      </c>
      <c r="F183" s="8">
        <v>219781</v>
      </c>
      <c r="G183" s="8">
        <v>45867</v>
      </c>
      <c r="H183" s="8">
        <v>709166.97</v>
      </c>
      <c r="I183" s="8">
        <v>0</v>
      </c>
      <c r="J183" s="13">
        <v>0.82733918568933296</v>
      </c>
      <c r="K183" s="13">
        <v>1</v>
      </c>
      <c r="L183" s="7">
        <v>1</v>
      </c>
      <c r="M183" s="13">
        <v>0.70560970050115601</v>
      </c>
      <c r="N183" s="13">
        <v>12.1729485188177</v>
      </c>
      <c r="O183" s="7">
        <v>1</v>
      </c>
      <c r="P183" s="7" t="s">
        <v>160</v>
      </c>
      <c r="Q183" s="7" t="str">
        <f t="shared" si="2"/>
        <v>Yes</v>
      </c>
    </row>
    <row r="184" spans="1:17" ht="15" customHeight="1" x14ac:dyDescent="0.2">
      <c r="A184" s="7">
        <v>2018</v>
      </c>
      <c r="B184" s="7" t="s">
        <v>540</v>
      </c>
      <c r="C184" s="7">
        <v>2</v>
      </c>
      <c r="D184" s="7" t="s">
        <v>543</v>
      </c>
      <c r="E184" s="7" t="s">
        <v>544</v>
      </c>
      <c r="F184" s="8">
        <v>177611</v>
      </c>
      <c r="G184" s="8">
        <v>192477</v>
      </c>
      <c r="H184" s="8">
        <v>2387303.7599999998</v>
      </c>
      <c r="I184" s="8">
        <v>4272146.07</v>
      </c>
      <c r="J184" s="13">
        <v>0.47991558764401998</v>
      </c>
      <c r="K184" s="13">
        <v>0.35848363167261799</v>
      </c>
      <c r="L184" s="7">
        <v>-1</v>
      </c>
      <c r="M184" s="13">
        <v>0.41461590614496502</v>
      </c>
      <c r="N184" s="13">
        <v>6.5299681499054696</v>
      </c>
      <c r="O184" s="7">
        <v>1</v>
      </c>
      <c r="P184" s="7" t="s">
        <v>160</v>
      </c>
      <c r="Q184" s="7" t="str">
        <f t="shared" si="2"/>
        <v>Yes</v>
      </c>
    </row>
    <row r="185" spans="1:17" ht="15" customHeight="1" x14ac:dyDescent="0.2">
      <c r="A185" s="7">
        <v>2018</v>
      </c>
      <c r="B185" s="7" t="s">
        <v>540</v>
      </c>
      <c r="C185" s="7">
        <v>3</v>
      </c>
      <c r="D185" s="7" t="s">
        <v>545</v>
      </c>
      <c r="E185" s="7" t="s">
        <v>546</v>
      </c>
      <c r="F185" s="8">
        <v>106589</v>
      </c>
      <c r="G185" s="8">
        <v>211243</v>
      </c>
      <c r="H185" s="8">
        <v>35096.339999999997</v>
      </c>
      <c r="I185" s="8">
        <v>1939201.74</v>
      </c>
      <c r="J185" s="13">
        <v>0.33536270734224399</v>
      </c>
      <c r="K185" s="13">
        <v>1.77766165887169E-2</v>
      </c>
      <c r="L185" s="7">
        <v>-1</v>
      </c>
      <c r="M185" s="13">
        <v>0.30214455813183</v>
      </c>
      <c r="N185" s="13">
        <v>3.3218149210414101</v>
      </c>
      <c r="O185" s="7">
        <v>1</v>
      </c>
      <c r="P185" s="7" t="s">
        <v>160</v>
      </c>
      <c r="Q185" s="7" t="str">
        <f t="shared" si="2"/>
        <v>Yes</v>
      </c>
    </row>
    <row r="186" spans="1:17" ht="15" customHeight="1" x14ac:dyDescent="0.2">
      <c r="A186" s="7">
        <v>2018</v>
      </c>
      <c r="B186" s="7" t="s">
        <v>540</v>
      </c>
      <c r="C186" s="7">
        <v>4</v>
      </c>
      <c r="D186" s="7" t="s">
        <v>547</v>
      </c>
      <c r="E186" s="7" t="s">
        <v>548</v>
      </c>
      <c r="F186" s="8">
        <v>95968</v>
      </c>
      <c r="G186" s="8">
        <v>190138</v>
      </c>
      <c r="H186" s="8">
        <v>453357.81</v>
      </c>
      <c r="I186" s="8">
        <v>1366012.62</v>
      </c>
      <c r="J186" s="13">
        <v>0.33542812803646199</v>
      </c>
      <c r="K186" s="13">
        <v>0.24918389489269699</v>
      </c>
      <c r="L186" s="7">
        <v>-1</v>
      </c>
      <c r="M186" s="13">
        <v>0.37853479190641198</v>
      </c>
      <c r="N186" s="13">
        <v>-4.3106663869949999</v>
      </c>
      <c r="O186" s="7">
        <v>1</v>
      </c>
      <c r="P186" s="7" t="s">
        <v>160</v>
      </c>
      <c r="Q186" s="7" t="str">
        <f t="shared" si="2"/>
        <v>Yes</v>
      </c>
    </row>
    <row r="187" spans="1:17" ht="15" customHeight="1" x14ac:dyDescent="0.2">
      <c r="A187" s="7">
        <v>2018</v>
      </c>
      <c r="B187" s="7" t="s">
        <v>540</v>
      </c>
      <c r="C187" s="7">
        <v>5</v>
      </c>
      <c r="D187" s="7" t="s">
        <v>549</v>
      </c>
      <c r="E187" s="7" t="s">
        <v>550</v>
      </c>
      <c r="F187" s="8">
        <v>175019</v>
      </c>
      <c r="G187" s="8">
        <v>101069</v>
      </c>
      <c r="H187" s="8">
        <v>1156894.43</v>
      </c>
      <c r="I187" s="8">
        <v>105363.41</v>
      </c>
      <c r="J187" s="13">
        <v>0.63392469067833501</v>
      </c>
      <c r="K187" s="13">
        <v>0.91652782287333601</v>
      </c>
      <c r="L187" s="7">
        <v>1</v>
      </c>
      <c r="M187" s="13">
        <v>0.67805456407194198</v>
      </c>
      <c r="N187" s="13">
        <v>-4.4129873393607699</v>
      </c>
      <c r="O187" s="7">
        <v>1</v>
      </c>
      <c r="P187" s="7" t="s">
        <v>160</v>
      </c>
      <c r="Q187" s="7" t="str">
        <f t="shared" si="2"/>
        <v>Yes</v>
      </c>
    </row>
    <row r="188" spans="1:17" ht="15" customHeight="1" x14ac:dyDescent="0.2">
      <c r="A188" s="7">
        <v>2018</v>
      </c>
      <c r="B188" s="7" t="s">
        <v>540</v>
      </c>
      <c r="C188" s="7">
        <v>6</v>
      </c>
      <c r="D188" s="7" t="s">
        <v>551</v>
      </c>
      <c r="E188" s="7" t="s">
        <v>552</v>
      </c>
      <c r="F188" s="8">
        <v>97660</v>
      </c>
      <c r="G188" s="8">
        <v>199796</v>
      </c>
      <c r="H188" s="8">
        <v>43757.17</v>
      </c>
      <c r="I188" s="8">
        <v>1622026.44</v>
      </c>
      <c r="J188" s="13">
        <v>0.32831746544026702</v>
      </c>
      <c r="K188" s="13">
        <v>2.6268219795967399E-2</v>
      </c>
      <c r="L188" s="7">
        <v>-1</v>
      </c>
      <c r="M188" s="13">
        <v>0.30494773510567902</v>
      </c>
      <c r="N188" s="13">
        <v>2.3369730334587802</v>
      </c>
      <c r="O188" s="7">
        <v>1</v>
      </c>
      <c r="P188" s="7" t="s">
        <v>160</v>
      </c>
      <c r="Q188" s="7" t="str">
        <f t="shared" si="2"/>
        <v>Yes</v>
      </c>
    </row>
    <row r="189" spans="1:17" ht="15" customHeight="1" x14ac:dyDescent="0.2">
      <c r="A189" s="7">
        <v>2018</v>
      </c>
      <c r="B189" s="7" t="s">
        <v>540</v>
      </c>
      <c r="C189" s="7">
        <v>7</v>
      </c>
      <c r="D189" s="7" t="s">
        <v>553</v>
      </c>
      <c r="E189" s="7" t="s">
        <v>554</v>
      </c>
      <c r="F189" s="8">
        <v>89190</v>
      </c>
      <c r="G189" s="8">
        <v>196343</v>
      </c>
      <c r="H189" s="8">
        <v>57835.07</v>
      </c>
      <c r="I189" s="8">
        <v>1249942</v>
      </c>
      <c r="J189" s="13">
        <v>0.31236319444687699</v>
      </c>
      <c r="K189" s="13">
        <v>4.42239517167861E-2</v>
      </c>
      <c r="L189" s="7">
        <v>-1</v>
      </c>
      <c r="M189" s="13">
        <v>0.310875131033232</v>
      </c>
      <c r="N189" s="13">
        <v>0.14880634136448301</v>
      </c>
      <c r="O189" s="7">
        <v>1</v>
      </c>
      <c r="P189" s="7" t="s">
        <v>160</v>
      </c>
      <c r="Q189" s="7" t="str">
        <f t="shared" si="2"/>
        <v>Yes</v>
      </c>
    </row>
    <row r="190" spans="1:17" ht="15" customHeight="1" x14ac:dyDescent="0.2">
      <c r="A190" s="7">
        <v>2018</v>
      </c>
      <c r="B190" s="7" t="s">
        <v>540</v>
      </c>
      <c r="C190" s="7">
        <v>8</v>
      </c>
      <c r="D190" s="7" t="s">
        <v>555</v>
      </c>
      <c r="E190" s="7" t="s">
        <v>556</v>
      </c>
      <c r="F190" s="8">
        <v>66151</v>
      </c>
      <c r="G190" s="8">
        <v>194042</v>
      </c>
      <c r="H190" s="8">
        <v>192147.02</v>
      </c>
      <c r="I190" s="8">
        <v>1367647.8</v>
      </c>
      <c r="J190" s="13">
        <v>0.25423820010530701</v>
      </c>
      <c r="K190" s="13">
        <v>0.12318736896433601</v>
      </c>
      <c r="L190" s="7">
        <v>-1</v>
      </c>
      <c r="M190" s="13">
        <v>0.33694187339064602</v>
      </c>
      <c r="N190" s="13">
        <v>-8.2703673285339203</v>
      </c>
      <c r="O190" s="7">
        <v>1</v>
      </c>
      <c r="P190" s="7" t="s">
        <v>160</v>
      </c>
      <c r="Q190" s="7" t="str">
        <f t="shared" si="2"/>
        <v>Yes</v>
      </c>
    </row>
    <row r="191" spans="1:17" ht="15" customHeight="1" x14ac:dyDescent="0.2">
      <c r="A191" s="7">
        <v>2018</v>
      </c>
      <c r="B191" s="7" t="s">
        <v>557</v>
      </c>
      <c r="C191" s="7">
        <v>1</v>
      </c>
      <c r="D191" s="7" t="s">
        <v>558</v>
      </c>
      <c r="E191" s="7" t="s">
        <v>559</v>
      </c>
      <c r="F191" s="8">
        <v>76601</v>
      </c>
      <c r="G191" s="8">
        <v>158245</v>
      </c>
      <c r="H191" s="8">
        <v>157827.37</v>
      </c>
      <c r="I191" s="8">
        <v>897506.74</v>
      </c>
      <c r="J191" s="13">
        <v>0.32617545114670898</v>
      </c>
      <c r="K191" s="13">
        <v>0.14955204091716501</v>
      </c>
      <c r="L191" s="7">
        <v>-1</v>
      </c>
      <c r="M191" s="13">
        <v>0.34564515821655001</v>
      </c>
      <c r="N191" s="13">
        <v>-1.94697070698408</v>
      </c>
      <c r="O191" s="7">
        <v>1</v>
      </c>
      <c r="P191" s="7" t="s">
        <v>160</v>
      </c>
      <c r="Q191" s="7" t="str">
        <f t="shared" si="2"/>
        <v>Yes</v>
      </c>
    </row>
    <row r="192" spans="1:17" ht="15" customHeight="1" x14ac:dyDescent="0.2">
      <c r="A192" s="7">
        <v>2018</v>
      </c>
      <c r="B192" s="7" t="s">
        <v>557</v>
      </c>
      <c r="C192" s="7">
        <v>4</v>
      </c>
      <c r="D192" s="7" t="s">
        <v>560</v>
      </c>
      <c r="E192" s="7" t="s">
        <v>561</v>
      </c>
      <c r="F192" s="8">
        <v>68787</v>
      </c>
      <c r="G192" s="8">
        <v>152633</v>
      </c>
      <c r="H192" s="8">
        <v>156403.13</v>
      </c>
      <c r="I192" s="8">
        <v>772587.71</v>
      </c>
      <c r="J192" s="13">
        <v>0.31066299340619602</v>
      </c>
      <c r="K192" s="13">
        <v>0.16835809705077401</v>
      </c>
      <c r="L192" s="7">
        <v>-1</v>
      </c>
      <c r="M192" s="13">
        <v>0.35185325605579398</v>
      </c>
      <c r="N192" s="13">
        <v>-4.11902626495975</v>
      </c>
      <c r="O192" s="7">
        <v>1</v>
      </c>
      <c r="P192" s="7" t="s">
        <v>160</v>
      </c>
      <c r="Q192" s="7" t="str">
        <f t="shared" si="2"/>
        <v>Yes</v>
      </c>
    </row>
    <row r="193" spans="1:17" ht="15" customHeight="1" x14ac:dyDescent="0.2">
      <c r="A193" s="7">
        <v>2018</v>
      </c>
      <c r="B193" s="7" t="s">
        <v>562</v>
      </c>
      <c r="C193" s="7">
        <v>0</v>
      </c>
      <c r="D193" s="7" t="s">
        <v>563</v>
      </c>
      <c r="E193" s="7" t="s">
        <v>564</v>
      </c>
      <c r="F193" s="8">
        <v>233284</v>
      </c>
      <c r="G193" s="8">
        <v>256661</v>
      </c>
      <c r="H193" s="8">
        <v>5098659.3899999997</v>
      </c>
      <c r="I193" s="8">
        <v>10439031.640000001</v>
      </c>
      <c r="J193" s="13">
        <v>0.47614324056781898</v>
      </c>
      <c r="K193" s="13">
        <v>0.328147816825265</v>
      </c>
      <c r="L193" s="7">
        <v>-1</v>
      </c>
      <c r="M193" s="13">
        <v>0.40460170086621999</v>
      </c>
      <c r="N193" s="13">
        <v>7.1541539701598902</v>
      </c>
      <c r="O193" s="7">
        <v>1</v>
      </c>
      <c r="P193" s="7" t="s">
        <v>160</v>
      </c>
      <c r="Q193" s="7" t="str">
        <f t="shared" si="2"/>
        <v>Yes</v>
      </c>
    </row>
    <row r="194" spans="1:17" ht="15" customHeight="1" x14ac:dyDescent="0.2">
      <c r="A194" s="7">
        <v>2018</v>
      </c>
      <c r="B194" s="7" t="s">
        <v>565</v>
      </c>
      <c r="C194" s="7">
        <v>1</v>
      </c>
      <c r="D194" s="7" t="s">
        <v>566</v>
      </c>
      <c r="E194" s="7" t="s">
        <v>567</v>
      </c>
      <c r="F194" s="8">
        <v>190457</v>
      </c>
      <c r="G194" s="8">
        <v>82218</v>
      </c>
      <c r="H194" s="8">
        <v>904489.41</v>
      </c>
      <c r="I194" s="8">
        <v>30384.46</v>
      </c>
      <c r="J194" s="13">
        <v>0.69847620793985499</v>
      </c>
      <c r="K194" s="13">
        <v>0.96749886698619603</v>
      </c>
      <c r="L194" s="7">
        <v>1</v>
      </c>
      <c r="M194" s="13">
        <v>0.69488069851357903</v>
      </c>
      <c r="N194" s="13">
        <v>0.35955094262766202</v>
      </c>
      <c r="O194" s="7">
        <v>1</v>
      </c>
      <c r="P194" s="7" t="s">
        <v>160</v>
      </c>
      <c r="Q194" s="7" t="str">
        <f t="shared" si="2"/>
        <v>Yes</v>
      </c>
    </row>
    <row r="195" spans="1:17" ht="15" customHeight="1" x14ac:dyDescent="0.2">
      <c r="A195" s="7">
        <v>2018</v>
      </c>
      <c r="B195" s="7" t="s">
        <v>565</v>
      </c>
      <c r="C195" s="7">
        <v>2</v>
      </c>
      <c r="D195" s="7" t="s">
        <v>568</v>
      </c>
      <c r="E195" s="7" t="s">
        <v>569</v>
      </c>
      <c r="F195" s="8">
        <v>151977</v>
      </c>
      <c r="G195" s="8">
        <v>170072</v>
      </c>
      <c r="H195" s="8">
        <v>3478506.76</v>
      </c>
      <c r="I195" s="8">
        <v>4988260.13</v>
      </c>
      <c r="J195" s="13">
        <v>0.47190644901862799</v>
      </c>
      <c r="K195" s="13">
        <v>0.41084239181173399</v>
      </c>
      <c r="L195" s="7">
        <v>-1</v>
      </c>
      <c r="M195" s="13">
        <v>0.43190014178564501</v>
      </c>
      <c r="N195" s="13">
        <v>4.0006307232982703</v>
      </c>
      <c r="O195" s="7">
        <v>1</v>
      </c>
      <c r="P195" s="7" t="s">
        <v>160</v>
      </c>
      <c r="Q195" s="7" t="str">
        <f t="shared" si="2"/>
        <v>Yes</v>
      </c>
    </row>
    <row r="196" spans="1:17" ht="15" customHeight="1" x14ac:dyDescent="0.2">
      <c r="A196" s="7">
        <v>2018</v>
      </c>
      <c r="B196" s="7" t="s">
        <v>565</v>
      </c>
      <c r="C196" s="7">
        <v>4</v>
      </c>
      <c r="D196" s="7" t="s">
        <v>570</v>
      </c>
      <c r="E196" s="7" t="s">
        <v>571</v>
      </c>
      <c r="F196" s="8">
        <v>247067</v>
      </c>
      <c r="G196" s="8">
        <v>82052</v>
      </c>
      <c r="H196" s="8">
        <v>969649.26</v>
      </c>
      <c r="I196" s="8">
        <v>0</v>
      </c>
      <c r="J196" s="13">
        <v>0.75069199894263205</v>
      </c>
      <c r="K196" s="13">
        <v>1</v>
      </c>
      <c r="L196" s="7">
        <v>1</v>
      </c>
      <c r="M196" s="13">
        <v>0.70560970050115601</v>
      </c>
      <c r="N196" s="13">
        <v>4.5082298441475803</v>
      </c>
      <c r="O196" s="7">
        <v>1</v>
      </c>
      <c r="P196" s="7" t="s">
        <v>160</v>
      </c>
      <c r="Q196" s="7" t="str">
        <f t="shared" ref="Q196:Q259" si="3">IF(A196=2024,"No -- held out","Yes")</f>
        <v>Yes</v>
      </c>
    </row>
    <row r="197" spans="1:17" ht="15" customHeight="1" x14ac:dyDescent="0.2">
      <c r="A197" s="7">
        <v>2018</v>
      </c>
      <c r="B197" s="7" t="s">
        <v>565</v>
      </c>
      <c r="C197" s="7">
        <v>5</v>
      </c>
      <c r="D197" s="7" t="s">
        <v>572</v>
      </c>
      <c r="E197" s="7" t="s">
        <v>573</v>
      </c>
      <c r="F197" s="8">
        <v>120468</v>
      </c>
      <c r="G197" s="8">
        <v>159917</v>
      </c>
      <c r="H197" s="8">
        <v>364473.8</v>
      </c>
      <c r="I197" s="8">
        <v>2363141.44</v>
      </c>
      <c r="J197" s="13">
        <v>0.42965208552526002</v>
      </c>
      <c r="K197" s="13">
        <v>0.13362361181117299</v>
      </c>
      <c r="L197" s="7">
        <v>-1</v>
      </c>
      <c r="M197" s="13">
        <v>0.34038699852517601</v>
      </c>
      <c r="N197" s="13">
        <v>8.92650870000843</v>
      </c>
      <c r="O197" s="7">
        <v>1</v>
      </c>
      <c r="P197" s="7" t="s">
        <v>160</v>
      </c>
      <c r="Q197" s="7" t="str">
        <f t="shared" si="3"/>
        <v>Yes</v>
      </c>
    </row>
    <row r="198" spans="1:17" ht="15" customHeight="1" x14ac:dyDescent="0.2">
      <c r="A198" s="7">
        <v>2018</v>
      </c>
      <c r="B198" s="7" t="s">
        <v>565</v>
      </c>
      <c r="C198" s="7">
        <v>6</v>
      </c>
      <c r="D198" s="7" t="s">
        <v>574</v>
      </c>
      <c r="E198" s="7" t="s">
        <v>575</v>
      </c>
      <c r="F198" s="8">
        <v>123651</v>
      </c>
      <c r="G198" s="8">
        <v>160709</v>
      </c>
      <c r="H198" s="8">
        <v>314345.59000000003</v>
      </c>
      <c r="I198" s="8">
        <v>820098.14</v>
      </c>
      <c r="J198" s="13">
        <v>0.43483963989309299</v>
      </c>
      <c r="K198" s="13">
        <v>0.27709227146947202</v>
      </c>
      <c r="L198" s="7">
        <v>-1</v>
      </c>
      <c r="M198" s="13">
        <v>0.38774767158156398</v>
      </c>
      <c r="N198" s="13">
        <v>4.7091968311529504</v>
      </c>
      <c r="O198" s="7">
        <v>1</v>
      </c>
      <c r="P198" s="7" t="s">
        <v>160</v>
      </c>
      <c r="Q198" s="7" t="str">
        <f t="shared" si="3"/>
        <v>Yes</v>
      </c>
    </row>
    <row r="199" spans="1:17" ht="15" customHeight="1" x14ac:dyDescent="0.2">
      <c r="A199" s="7">
        <v>2018</v>
      </c>
      <c r="B199" s="7" t="s">
        <v>565</v>
      </c>
      <c r="C199" s="7">
        <v>7</v>
      </c>
      <c r="D199" s="7" t="s">
        <v>576</v>
      </c>
      <c r="E199" s="7" t="s">
        <v>577</v>
      </c>
      <c r="F199" s="8">
        <v>120838</v>
      </c>
      <c r="G199" s="8">
        <v>156809</v>
      </c>
      <c r="H199" s="8">
        <v>873855.58</v>
      </c>
      <c r="I199" s="8">
        <v>1399071.35</v>
      </c>
      <c r="J199" s="13">
        <v>0.43522170237747898</v>
      </c>
      <c r="K199" s="13">
        <v>0.384462680461092</v>
      </c>
      <c r="L199" s="7">
        <v>-1</v>
      </c>
      <c r="M199" s="13">
        <v>0.42319189227961801</v>
      </c>
      <c r="N199" s="13">
        <v>1.2029810097861</v>
      </c>
      <c r="O199" s="7">
        <v>1</v>
      </c>
      <c r="P199" s="7" t="s">
        <v>160</v>
      </c>
      <c r="Q199" s="7" t="str">
        <f t="shared" si="3"/>
        <v>Yes</v>
      </c>
    </row>
    <row r="200" spans="1:17" ht="15" customHeight="1" x14ac:dyDescent="0.2">
      <c r="A200" s="7">
        <v>2018</v>
      </c>
      <c r="B200" s="7" t="s">
        <v>565</v>
      </c>
      <c r="C200" s="7">
        <v>8</v>
      </c>
      <c r="D200" s="7" t="s">
        <v>578</v>
      </c>
      <c r="E200" s="7" t="s">
        <v>579</v>
      </c>
      <c r="F200" s="8">
        <v>114119</v>
      </c>
      <c r="G200" s="8">
        <v>141402</v>
      </c>
      <c r="H200" s="8">
        <v>715717.94</v>
      </c>
      <c r="I200" s="8">
        <v>2142318.5</v>
      </c>
      <c r="J200" s="13">
        <v>0.44661299854023701</v>
      </c>
      <c r="K200" s="13">
        <v>0.25042295821812499</v>
      </c>
      <c r="L200" s="7">
        <v>-1</v>
      </c>
      <c r="M200" s="13">
        <v>0.37894382112011998</v>
      </c>
      <c r="N200" s="13">
        <v>6.7669177420117199</v>
      </c>
      <c r="O200" s="7">
        <v>1</v>
      </c>
      <c r="P200" s="7" t="s">
        <v>160</v>
      </c>
      <c r="Q200" s="7" t="str">
        <f t="shared" si="3"/>
        <v>Yes</v>
      </c>
    </row>
    <row r="201" spans="1:17" ht="15" customHeight="1" x14ac:dyDescent="0.2">
      <c r="A201" s="7">
        <v>2018</v>
      </c>
      <c r="B201" s="7" t="s">
        <v>565</v>
      </c>
      <c r="C201" s="7">
        <v>9</v>
      </c>
      <c r="D201" s="7" t="s">
        <v>580</v>
      </c>
      <c r="E201" s="7" t="s">
        <v>581</v>
      </c>
      <c r="F201" s="8">
        <v>138341</v>
      </c>
      <c r="G201" s="8">
        <v>139246</v>
      </c>
      <c r="H201" s="8">
        <v>9844066.9299999997</v>
      </c>
      <c r="I201" s="8">
        <v>4904095.42</v>
      </c>
      <c r="J201" s="13">
        <v>0.49836988043388197</v>
      </c>
      <c r="K201" s="13">
        <v>0.66747752678488803</v>
      </c>
      <c r="L201" s="7">
        <v>0</v>
      </c>
      <c r="M201" s="13">
        <v>0.55622927469156602</v>
      </c>
      <c r="N201" s="13">
        <v>-5.7859394257683601</v>
      </c>
      <c r="O201" s="7">
        <v>0</v>
      </c>
      <c r="P201" s="7" t="s">
        <v>160</v>
      </c>
      <c r="Q201" s="7" t="str">
        <f t="shared" si="3"/>
        <v>Yes</v>
      </c>
    </row>
    <row r="202" spans="1:17" ht="15" customHeight="1" x14ac:dyDescent="0.2">
      <c r="A202" s="7">
        <v>2018</v>
      </c>
      <c r="B202" s="7" t="s">
        <v>565</v>
      </c>
      <c r="C202" s="7">
        <v>10</v>
      </c>
      <c r="D202" s="7" t="s">
        <v>582</v>
      </c>
      <c r="E202" s="7" t="s">
        <v>583</v>
      </c>
      <c r="F202" s="8">
        <v>113259</v>
      </c>
      <c r="G202" s="8">
        <v>164969</v>
      </c>
      <c r="H202" s="8">
        <v>130358.02</v>
      </c>
      <c r="I202" s="8">
        <v>3897873.1</v>
      </c>
      <c r="J202" s="13">
        <v>0.407072616702848</v>
      </c>
      <c r="K202" s="13">
        <v>3.2361107423250303E-2</v>
      </c>
      <c r="L202" s="7">
        <v>-1</v>
      </c>
      <c r="M202" s="13">
        <v>0.30695906817014301</v>
      </c>
      <c r="N202" s="13">
        <v>10.0113548532705</v>
      </c>
      <c r="O202" s="7">
        <v>1</v>
      </c>
      <c r="P202" s="7" t="s">
        <v>160</v>
      </c>
      <c r="Q202" s="7" t="str">
        <f t="shared" si="3"/>
        <v>Yes</v>
      </c>
    </row>
    <row r="203" spans="1:17" ht="15" customHeight="1" x14ac:dyDescent="0.2">
      <c r="A203" s="7">
        <v>2018</v>
      </c>
      <c r="B203" s="7" t="s">
        <v>565</v>
      </c>
      <c r="C203" s="7">
        <v>11</v>
      </c>
      <c r="D203" s="7" t="s">
        <v>584</v>
      </c>
      <c r="E203" s="7" t="s">
        <v>585</v>
      </c>
      <c r="F203" s="8">
        <v>116508</v>
      </c>
      <c r="G203" s="8">
        <v>178012</v>
      </c>
      <c r="H203" s="8">
        <v>234574.64</v>
      </c>
      <c r="I203" s="8">
        <v>1437161.54</v>
      </c>
      <c r="J203" s="13">
        <v>0.39558603829960598</v>
      </c>
      <c r="K203" s="13">
        <v>0.140317977684733</v>
      </c>
      <c r="L203" s="7">
        <v>-1</v>
      </c>
      <c r="M203" s="13">
        <v>0.34259688655377102</v>
      </c>
      <c r="N203" s="13">
        <v>5.2989151745835201</v>
      </c>
      <c r="O203" s="7">
        <v>1</v>
      </c>
      <c r="P203" s="7" t="s">
        <v>160</v>
      </c>
      <c r="Q203" s="7" t="str">
        <f t="shared" si="3"/>
        <v>Yes</v>
      </c>
    </row>
    <row r="204" spans="1:17" ht="15" customHeight="1" x14ac:dyDescent="0.2">
      <c r="A204" s="7">
        <v>2018</v>
      </c>
      <c r="B204" s="7" t="s">
        <v>565</v>
      </c>
      <c r="C204" s="7">
        <v>13</v>
      </c>
      <c r="D204" s="7" t="s">
        <v>586</v>
      </c>
      <c r="E204" s="7" t="s">
        <v>587</v>
      </c>
      <c r="F204" s="8">
        <v>130402</v>
      </c>
      <c r="G204" s="8">
        <v>147570</v>
      </c>
      <c r="H204" s="8">
        <v>6009923.4699999997</v>
      </c>
      <c r="I204" s="8">
        <v>5205143.6399999997</v>
      </c>
      <c r="J204" s="13">
        <v>0.469119191861051</v>
      </c>
      <c r="K204" s="13">
        <v>0.535879403221868</v>
      </c>
      <c r="L204" s="7">
        <v>-1</v>
      </c>
      <c r="M204" s="13">
        <v>0.47317631340004002</v>
      </c>
      <c r="N204" s="13">
        <v>-0.40571215389896298</v>
      </c>
      <c r="O204" s="7">
        <v>1</v>
      </c>
      <c r="P204" s="7" t="s">
        <v>160</v>
      </c>
      <c r="Q204" s="7" t="str">
        <f t="shared" si="3"/>
        <v>Yes</v>
      </c>
    </row>
    <row r="205" spans="1:17" ht="15" customHeight="1" x14ac:dyDescent="0.2">
      <c r="A205" s="7">
        <v>2018</v>
      </c>
      <c r="B205" s="7" t="s">
        <v>588</v>
      </c>
      <c r="C205" s="7">
        <v>0</v>
      </c>
      <c r="D205" s="7" t="s">
        <v>589</v>
      </c>
      <c r="E205" s="7" t="s">
        <v>590</v>
      </c>
      <c r="F205" s="8">
        <v>114377</v>
      </c>
      <c r="G205" s="8">
        <v>193568</v>
      </c>
      <c r="H205" s="8">
        <v>1036340.78</v>
      </c>
      <c r="I205" s="8">
        <v>1709262.31</v>
      </c>
      <c r="J205" s="13">
        <v>0.37142022114338602</v>
      </c>
      <c r="K205" s="13">
        <v>0.37745469611924098</v>
      </c>
      <c r="L205" s="7">
        <v>0</v>
      </c>
      <c r="M205" s="13">
        <v>0.460489365398774</v>
      </c>
      <c r="N205" s="13">
        <v>-8.9069144255387709</v>
      </c>
      <c r="O205" s="7">
        <v>1</v>
      </c>
      <c r="P205" s="7" t="s">
        <v>160</v>
      </c>
      <c r="Q205" s="7" t="str">
        <f t="shared" si="3"/>
        <v>Yes</v>
      </c>
    </row>
    <row r="206" spans="1:17" ht="15" customHeight="1" x14ac:dyDescent="0.2">
      <c r="A206" s="7">
        <v>2018</v>
      </c>
      <c r="B206" s="7" t="s">
        <v>591</v>
      </c>
      <c r="C206" s="7">
        <v>1</v>
      </c>
      <c r="D206" s="7" t="s">
        <v>592</v>
      </c>
      <c r="E206" s="7" t="s">
        <v>593</v>
      </c>
      <c r="F206" s="8">
        <v>93069</v>
      </c>
      <c r="G206" s="8">
        <v>141712</v>
      </c>
      <c r="H206" s="8">
        <v>76929.17</v>
      </c>
      <c r="I206" s="8">
        <v>651911.56000000006</v>
      </c>
      <c r="J206" s="13">
        <v>0.39640771612694398</v>
      </c>
      <c r="K206" s="13">
        <v>0.10555004246263799</v>
      </c>
      <c r="L206" s="7">
        <v>-1</v>
      </c>
      <c r="M206" s="13">
        <v>0.33111958679491699</v>
      </c>
      <c r="N206" s="13">
        <v>6.5288129332027003</v>
      </c>
      <c r="O206" s="7">
        <v>1</v>
      </c>
      <c r="P206" s="7" t="s">
        <v>160</v>
      </c>
      <c r="Q206" s="7" t="str">
        <f t="shared" si="3"/>
        <v>Yes</v>
      </c>
    </row>
    <row r="207" spans="1:17" ht="15" customHeight="1" x14ac:dyDescent="0.2">
      <c r="A207" s="7">
        <v>2018</v>
      </c>
      <c r="B207" s="7" t="s">
        <v>591</v>
      </c>
      <c r="C207" s="7">
        <v>2</v>
      </c>
      <c r="D207" s="7" t="s">
        <v>594</v>
      </c>
      <c r="E207" s="7" t="s">
        <v>595</v>
      </c>
      <c r="F207" s="8">
        <v>121770</v>
      </c>
      <c r="G207" s="8">
        <v>126715</v>
      </c>
      <c r="H207" s="8">
        <v>2878920.53</v>
      </c>
      <c r="I207" s="8">
        <v>4545484.71</v>
      </c>
      <c r="J207" s="13">
        <v>0.49004970118920699</v>
      </c>
      <c r="K207" s="13">
        <v>0.38776446556141902</v>
      </c>
      <c r="L207" s="7">
        <v>-1</v>
      </c>
      <c r="M207" s="13">
        <v>0.42428184994013801</v>
      </c>
      <c r="N207" s="13">
        <v>6.5767851249068503</v>
      </c>
      <c r="O207" s="7">
        <v>1</v>
      </c>
      <c r="P207" s="7" t="s">
        <v>160</v>
      </c>
      <c r="Q207" s="7" t="str">
        <f t="shared" si="3"/>
        <v>Yes</v>
      </c>
    </row>
    <row r="208" spans="1:17" ht="15" customHeight="1" x14ac:dyDescent="0.2">
      <c r="A208" s="7">
        <v>2018</v>
      </c>
      <c r="B208" s="7" t="s">
        <v>591</v>
      </c>
      <c r="C208" s="7">
        <v>3</v>
      </c>
      <c r="D208" s="7" t="s">
        <v>596</v>
      </c>
      <c r="E208" s="7" t="s">
        <v>597</v>
      </c>
      <c r="F208" s="8">
        <v>49654</v>
      </c>
      <c r="G208" s="8">
        <v>163650</v>
      </c>
      <c r="H208" s="8">
        <v>74351.929999999993</v>
      </c>
      <c r="I208" s="8">
        <v>1612145.02</v>
      </c>
      <c r="J208" s="13">
        <v>0.23278513295578099</v>
      </c>
      <c r="K208" s="13">
        <v>4.4086608042783602E-2</v>
      </c>
      <c r="L208" s="7">
        <v>-1</v>
      </c>
      <c r="M208" s="13">
        <v>0.31082979228917201</v>
      </c>
      <c r="N208" s="13">
        <v>-7.80446593333909</v>
      </c>
      <c r="O208" s="7">
        <v>1</v>
      </c>
      <c r="P208" s="7" t="s">
        <v>160</v>
      </c>
      <c r="Q208" s="7" t="str">
        <f t="shared" si="3"/>
        <v>Yes</v>
      </c>
    </row>
    <row r="209" spans="1:17" ht="15" customHeight="1" x14ac:dyDescent="0.2">
      <c r="A209" s="7">
        <v>2018</v>
      </c>
      <c r="B209" s="7" t="s">
        <v>598</v>
      </c>
      <c r="C209" s="7">
        <v>1</v>
      </c>
      <c r="D209" s="7" t="s">
        <v>599</v>
      </c>
      <c r="E209" s="7" t="s">
        <v>600</v>
      </c>
      <c r="F209" s="8">
        <v>155884</v>
      </c>
      <c r="G209" s="8">
        <v>130996</v>
      </c>
      <c r="H209" s="8">
        <v>3146965.14</v>
      </c>
      <c r="I209" s="8">
        <v>1284461.54</v>
      </c>
      <c r="J209" s="13">
        <v>0.54337702175125502</v>
      </c>
      <c r="K209" s="13">
        <v>0.71014717544644101</v>
      </c>
      <c r="L209" s="7">
        <v>0</v>
      </c>
      <c r="M209" s="13">
        <v>0.57031502195165595</v>
      </c>
      <c r="N209" s="13">
        <v>-2.69380002004015</v>
      </c>
      <c r="O209" s="7">
        <v>1</v>
      </c>
      <c r="P209" s="7" t="s">
        <v>160</v>
      </c>
      <c r="Q209" s="7" t="str">
        <f t="shared" si="3"/>
        <v>Yes</v>
      </c>
    </row>
    <row r="210" spans="1:17" ht="15" customHeight="1" x14ac:dyDescent="0.2">
      <c r="A210" s="7">
        <v>2018</v>
      </c>
      <c r="B210" s="7" t="s">
        <v>598</v>
      </c>
      <c r="C210" s="7">
        <v>2</v>
      </c>
      <c r="D210" s="7" t="s">
        <v>601</v>
      </c>
      <c r="E210" s="7" t="s">
        <v>602</v>
      </c>
      <c r="F210" s="8">
        <v>155358</v>
      </c>
      <c r="G210" s="8">
        <v>117990</v>
      </c>
      <c r="H210" s="8">
        <v>3359787.13</v>
      </c>
      <c r="I210" s="8">
        <v>460918.66</v>
      </c>
      <c r="J210" s="13">
        <v>0.56835242986961698</v>
      </c>
      <c r="K210" s="13">
        <v>0.87936295403682496</v>
      </c>
      <c r="L210" s="7">
        <v>1</v>
      </c>
      <c r="M210" s="13">
        <v>0.66578600865125503</v>
      </c>
      <c r="N210" s="13">
        <v>-9.7433578781638097</v>
      </c>
      <c r="O210" s="7">
        <v>1</v>
      </c>
      <c r="P210" s="7" t="s">
        <v>160</v>
      </c>
      <c r="Q210" s="7" t="str">
        <f t="shared" si="3"/>
        <v>Yes</v>
      </c>
    </row>
    <row r="211" spans="1:17" ht="15" customHeight="1" x14ac:dyDescent="0.2">
      <c r="A211" s="7">
        <v>2018</v>
      </c>
      <c r="B211" s="7" t="s">
        <v>603</v>
      </c>
      <c r="C211" s="7">
        <v>1</v>
      </c>
      <c r="D211" s="7" t="s">
        <v>604</v>
      </c>
      <c r="E211" s="7" t="s">
        <v>605</v>
      </c>
      <c r="F211" s="8">
        <v>169628</v>
      </c>
      <c r="G211" s="8">
        <v>87617</v>
      </c>
      <c r="H211" s="8">
        <v>1503796.62</v>
      </c>
      <c r="I211" s="8">
        <v>13985.83</v>
      </c>
      <c r="J211" s="13">
        <v>0.65940251511205294</v>
      </c>
      <c r="K211" s="13">
        <v>0.99078535267027201</v>
      </c>
      <c r="L211" s="7">
        <v>1</v>
      </c>
      <c r="M211" s="13">
        <v>0.70256783825366198</v>
      </c>
      <c r="N211" s="13">
        <v>-4.3165323141609298</v>
      </c>
      <c r="O211" s="7">
        <v>1</v>
      </c>
      <c r="P211" s="7" t="s">
        <v>160</v>
      </c>
      <c r="Q211" s="7" t="str">
        <f t="shared" si="3"/>
        <v>Yes</v>
      </c>
    </row>
    <row r="212" spans="1:17" ht="15" customHeight="1" x14ac:dyDescent="0.2">
      <c r="A212" s="7">
        <v>2018</v>
      </c>
      <c r="B212" s="7" t="s">
        <v>603</v>
      </c>
      <c r="C212" s="7">
        <v>2</v>
      </c>
      <c r="D212" s="7" t="s">
        <v>606</v>
      </c>
      <c r="E212" s="7" t="s">
        <v>607</v>
      </c>
      <c r="F212" s="8">
        <v>136685</v>
      </c>
      <c r="G212" s="8">
        <v>116866</v>
      </c>
      <c r="H212" s="8">
        <v>2847801.71</v>
      </c>
      <c r="I212" s="8">
        <v>308650.87</v>
      </c>
      <c r="J212" s="13">
        <v>0.539082866957732</v>
      </c>
      <c r="K212" s="13">
        <v>0.902215901497877</v>
      </c>
      <c r="L212" s="7">
        <v>0</v>
      </c>
      <c r="M212" s="13">
        <v>0.63371914213054703</v>
      </c>
      <c r="N212" s="13">
        <v>-9.4636275172814308</v>
      </c>
      <c r="O212" s="7">
        <v>1</v>
      </c>
      <c r="P212" s="7" t="s">
        <v>160</v>
      </c>
      <c r="Q212" s="7" t="str">
        <f t="shared" si="3"/>
        <v>Yes</v>
      </c>
    </row>
    <row r="213" spans="1:17" ht="15" customHeight="1" x14ac:dyDescent="0.2">
      <c r="A213" s="7">
        <v>2018</v>
      </c>
      <c r="B213" s="7" t="s">
        <v>603</v>
      </c>
      <c r="C213" s="7">
        <v>3</v>
      </c>
      <c r="D213" s="7" t="s">
        <v>608</v>
      </c>
      <c r="E213" s="7" t="s">
        <v>609</v>
      </c>
      <c r="F213" s="8">
        <v>153473</v>
      </c>
      <c r="G213" s="8">
        <v>149500</v>
      </c>
      <c r="H213" s="8">
        <v>13131865.33</v>
      </c>
      <c r="I213" s="8">
        <v>9623840.6300000008</v>
      </c>
      <c r="J213" s="13">
        <v>0.50655668987005398</v>
      </c>
      <c r="K213" s="13">
        <v>0.57708011138319404</v>
      </c>
      <c r="L213" s="7">
        <v>-1</v>
      </c>
      <c r="M213" s="13">
        <v>0.48677714631760999</v>
      </c>
      <c r="N213" s="13">
        <v>1.9779543552444301</v>
      </c>
      <c r="O213" s="7">
        <v>0</v>
      </c>
      <c r="P213" s="7" t="s">
        <v>160</v>
      </c>
      <c r="Q213" s="7" t="str">
        <f t="shared" si="3"/>
        <v>Yes</v>
      </c>
    </row>
    <row r="214" spans="1:17" ht="15" customHeight="1" x14ac:dyDescent="0.2">
      <c r="A214" s="7">
        <v>2018</v>
      </c>
      <c r="B214" s="7" t="s">
        <v>603</v>
      </c>
      <c r="C214" s="7">
        <v>4</v>
      </c>
      <c r="D214" s="7" t="s">
        <v>610</v>
      </c>
      <c r="E214" s="7" t="s">
        <v>611</v>
      </c>
      <c r="F214" s="8">
        <v>126766</v>
      </c>
      <c r="G214" s="8">
        <v>163065</v>
      </c>
      <c r="H214" s="8">
        <v>1854267.67</v>
      </c>
      <c r="I214" s="8">
        <v>1602107.4</v>
      </c>
      <c r="J214" s="13">
        <v>0.43737902432796999</v>
      </c>
      <c r="K214" s="13">
        <v>0.53647756173637695</v>
      </c>
      <c r="L214" s="7">
        <v>-1</v>
      </c>
      <c r="M214" s="13">
        <v>0.47337377248210799</v>
      </c>
      <c r="N214" s="13">
        <v>-3.5994748154137302</v>
      </c>
      <c r="O214" s="7">
        <v>1</v>
      </c>
      <c r="P214" s="7" t="s">
        <v>160</v>
      </c>
      <c r="Q214" s="7" t="str">
        <f t="shared" si="3"/>
        <v>Yes</v>
      </c>
    </row>
    <row r="215" spans="1:17" ht="15" customHeight="1" x14ac:dyDescent="0.2">
      <c r="A215" s="7">
        <v>2018</v>
      </c>
      <c r="B215" s="7" t="s">
        <v>603</v>
      </c>
      <c r="C215" s="7">
        <v>5</v>
      </c>
      <c r="D215" s="7" t="s">
        <v>612</v>
      </c>
      <c r="E215" s="7" t="s">
        <v>613</v>
      </c>
      <c r="F215" s="8">
        <v>169546</v>
      </c>
      <c r="G215" s="8">
        <v>128255</v>
      </c>
      <c r="H215" s="8">
        <v>3973875.11</v>
      </c>
      <c r="I215" s="8">
        <v>949757.06</v>
      </c>
      <c r="J215" s="13">
        <v>0.569326496553067</v>
      </c>
      <c r="K215" s="13">
        <v>0.80710235305819</v>
      </c>
      <c r="L215" s="7">
        <v>1</v>
      </c>
      <c r="M215" s="13">
        <v>0.64193194389621899</v>
      </c>
      <c r="N215" s="13">
        <v>-7.2605447343151601</v>
      </c>
      <c r="O215" s="7">
        <v>1</v>
      </c>
      <c r="P215" s="7" t="s">
        <v>160</v>
      </c>
      <c r="Q215" s="7" t="str">
        <f t="shared" si="3"/>
        <v>Yes</v>
      </c>
    </row>
    <row r="216" spans="1:17" ht="15" customHeight="1" x14ac:dyDescent="0.2">
      <c r="A216" s="7">
        <v>2018</v>
      </c>
      <c r="B216" s="7" t="s">
        <v>603</v>
      </c>
      <c r="C216" s="7">
        <v>6</v>
      </c>
      <c r="D216" s="7" t="s">
        <v>614</v>
      </c>
      <c r="E216" s="7" t="s">
        <v>615</v>
      </c>
      <c r="F216" s="8">
        <v>140752</v>
      </c>
      <c r="G216" s="8">
        <v>80443</v>
      </c>
      <c r="H216" s="8">
        <v>1728166.69</v>
      </c>
      <c r="I216" s="8">
        <v>51964.55</v>
      </c>
      <c r="J216" s="13">
        <v>0.63632541422726596</v>
      </c>
      <c r="K216" s="13">
        <v>0.97080858487714705</v>
      </c>
      <c r="L216" s="7">
        <v>1</v>
      </c>
      <c r="M216" s="13">
        <v>0.69597327488053895</v>
      </c>
      <c r="N216" s="13">
        <v>-5.9647860653273703</v>
      </c>
      <c r="O216" s="7">
        <v>1</v>
      </c>
      <c r="P216" s="7" t="s">
        <v>160</v>
      </c>
      <c r="Q216" s="7" t="str">
        <f t="shared" si="3"/>
        <v>Yes</v>
      </c>
    </row>
    <row r="217" spans="1:17" ht="15" customHeight="1" x14ac:dyDescent="0.2">
      <c r="A217" s="7">
        <v>2018</v>
      </c>
      <c r="B217" s="7" t="s">
        <v>603</v>
      </c>
      <c r="C217" s="7">
        <v>7</v>
      </c>
      <c r="D217" s="7" t="s">
        <v>616</v>
      </c>
      <c r="E217" s="7" t="s">
        <v>617</v>
      </c>
      <c r="F217" s="8">
        <v>166985</v>
      </c>
      <c r="G217" s="8">
        <v>150785</v>
      </c>
      <c r="H217" s="8">
        <v>10702942.189999999</v>
      </c>
      <c r="I217" s="8">
        <v>8956964.0500000007</v>
      </c>
      <c r="J217" s="13">
        <v>0.52549013437391801</v>
      </c>
      <c r="K217" s="13">
        <v>0.54440453882856399</v>
      </c>
      <c r="L217" s="7">
        <v>-1</v>
      </c>
      <c r="M217" s="13">
        <v>0.47599055980892002</v>
      </c>
      <c r="N217" s="13">
        <v>4.9499574564998703</v>
      </c>
      <c r="O217" s="7">
        <v>0</v>
      </c>
      <c r="P217" s="7" t="s">
        <v>160</v>
      </c>
      <c r="Q217" s="7" t="str">
        <f t="shared" si="3"/>
        <v>Yes</v>
      </c>
    </row>
    <row r="218" spans="1:17" ht="15" customHeight="1" x14ac:dyDescent="0.2">
      <c r="A218" s="7">
        <v>2018</v>
      </c>
      <c r="B218" s="7" t="s">
        <v>603</v>
      </c>
      <c r="C218" s="7">
        <v>8</v>
      </c>
      <c r="D218" s="7" t="s">
        <v>618</v>
      </c>
      <c r="E218" s="7" t="s">
        <v>619</v>
      </c>
      <c r="F218" s="8">
        <v>119881</v>
      </c>
      <c r="G218" s="8">
        <v>28725</v>
      </c>
      <c r="H218" s="8">
        <v>605624.93999999994</v>
      </c>
      <c r="I218" s="8">
        <v>5953.72</v>
      </c>
      <c r="J218" s="13">
        <v>0.80670363242399401</v>
      </c>
      <c r="K218" s="13">
        <v>0.99026499714689198</v>
      </c>
      <c r="L218" s="7">
        <v>1</v>
      </c>
      <c r="M218" s="13">
        <v>0.70239606284379497</v>
      </c>
      <c r="N218" s="13">
        <v>10.4307569580199</v>
      </c>
      <c r="O218" s="7">
        <v>1</v>
      </c>
      <c r="P218" s="7" t="s">
        <v>160</v>
      </c>
      <c r="Q218" s="7" t="str">
        <f t="shared" si="3"/>
        <v>Yes</v>
      </c>
    </row>
    <row r="219" spans="1:17" ht="15" customHeight="1" x14ac:dyDescent="0.2">
      <c r="A219" s="7">
        <v>2018</v>
      </c>
      <c r="B219" s="7" t="s">
        <v>603</v>
      </c>
      <c r="C219" s="7">
        <v>10</v>
      </c>
      <c r="D219" s="7" t="s">
        <v>620</v>
      </c>
      <c r="E219" s="7" t="s">
        <v>621</v>
      </c>
      <c r="F219" s="8">
        <v>175253</v>
      </c>
      <c r="G219" s="8">
        <v>20191</v>
      </c>
      <c r="H219" s="8">
        <v>568683.43999999994</v>
      </c>
      <c r="I219" s="8">
        <v>0</v>
      </c>
      <c r="J219" s="13">
        <v>0.89669163545567998</v>
      </c>
      <c r="K219" s="13">
        <v>1</v>
      </c>
      <c r="L219" s="7">
        <v>1</v>
      </c>
      <c r="M219" s="13">
        <v>0.70560970050115601</v>
      </c>
      <c r="N219" s="13">
        <v>19.1081934954525</v>
      </c>
      <c r="O219" s="7">
        <v>1</v>
      </c>
      <c r="P219" s="7" t="s">
        <v>160</v>
      </c>
      <c r="Q219" s="7" t="str">
        <f t="shared" si="3"/>
        <v>Yes</v>
      </c>
    </row>
    <row r="220" spans="1:17" ht="15" customHeight="1" x14ac:dyDescent="0.2">
      <c r="A220" s="7">
        <v>2018</v>
      </c>
      <c r="B220" s="7" t="s">
        <v>603</v>
      </c>
      <c r="C220" s="7">
        <v>11</v>
      </c>
      <c r="D220" s="7" t="s">
        <v>622</v>
      </c>
      <c r="E220" s="7" t="s">
        <v>623</v>
      </c>
      <c r="F220" s="8">
        <v>183684</v>
      </c>
      <c r="G220" s="8">
        <v>136322</v>
      </c>
      <c r="H220" s="8">
        <v>12995759.210000001</v>
      </c>
      <c r="I220" s="8">
        <v>1994034.73</v>
      </c>
      <c r="J220" s="13">
        <v>0.574001737467422</v>
      </c>
      <c r="K220" s="13">
        <v>0.86697383980182996</v>
      </c>
      <c r="L220" s="7">
        <v>0</v>
      </c>
      <c r="M220" s="13">
        <v>0.62208532770867297</v>
      </c>
      <c r="N220" s="13">
        <v>-4.8083590241250604</v>
      </c>
      <c r="O220" s="7">
        <v>1</v>
      </c>
      <c r="P220" s="7" t="s">
        <v>160</v>
      </c>
      <c r="Q220" s="7" t="str">
        <f t="shared" si="3"/>
        <v>Yes</v>
      </c>
    </row>
    <row r="221" spans="1:17" ht="15" customHeight="1" x14ac:dyDescent="0.2">
      <c r="A221" s="7">
        <v>2018</v>
      </c>
      <c r="B221" s="7" t="s">
        <v>603</v>
      </c>
      <c r="C221" s="7">
        <v>12</v>
      </c>
      <c r="D221" s="7" t="s">
        <v>624</v>
      </c>
      <c r="E221" s="7" t="s">
        <v>625</v>
      </c>
      <c r="F221" s="8">
        <v>173334</v>
      </c>
      <c r="G221" s="8">
        <v>79041</v>
      </c>
      <c r="H221" s="8">
        <v>846072.5</v>
      </c>
      <c r="I221" s="8">
        <v>24708.35</v>
      </c>
      <c r="J221" s="13">
        <v>0.68681129271916797</v>
      </c>
      <c r="K221" s="13">
        <v>0.97162506502066504</v>
      </c>
      <c r="L221" s="7">
        <v>1</v>
      </c>
      <c r="M221" s="13">
        <v>0.69624280447136599</v>
      </c>
      <c r="N221" s="13">
        <v>-0.94315117521985903</v>
      </c>
      <c r="O221" s="7">
        <v>1</v>
      </c>
      <c r="P221" s="7" t="s">
        <v>160</v>
      </c>
      <c r="Q221" s="7" t="str">
        <f t="shared" si="3"/>
        <v>Yes</v>
      </c>
    </row>
    <row r="222" spans="1:17" ht="15" customHeight="1" x14ac:dyDescent="0.2">
      <c r="A222" s="7">
        <v>2018</v>
      </c>
      <c r="B222" s="7" t="s">
        <v>626</v>
      </c>
      <c r="C222" s="7">
        <v>1</v>
      </c>
      <c r="D222" s="7" t="s">
        <v>627</v>
      </c>
      <c r="E222" s="7" t="s">
        <v>628</v>
      </c>
      <c r="F222" s="8">
        <v>147336</v>
      </c>
      <c r="G222" s="8">
        <v>90507</v>
      </c>
      <c r="H222" s="8">
        <v>2643225.87</v>
      </c>
      <c r="I222" s="8">
        <v>338975.02</v>
      </c>
      <c r="J222" s="13">
        <v>0.61946746383118301</v>
      </c>
      <c r="K222" s="13">
        <v>0.88633394177546498</v>
      </c>
      <c r="L222" s="7">
        <v>0</v>
      </c>
      <c r="M222" s="13">
        <v>0.62847632252311902</v>
      </c>
      <c r="N222" s="13">
        <v>-0.90088586919361302</v>
      </c>
      <c r="O222" s="7">
        <v>1</v>
      </c>
      <c r="P222" s="7" t="s">
        <v>160</v>
      </c>
      <c r="Q222" s="7" t="str">
        <f t="shared" si="3"/>
        <v>Yes</v>
      </c>
    </row>
    <row r="223" spans="1:17" ht="15" customHeight="1" x14ac:dyDescent="0.2">
      <c r="A223" s="7">
        <v>2018</v>
      </c>
      <c r="B223" s="7" t="s">
        <v>626</v>
      </c>
      <c r="C223" s="7">
        <v>2</v>
      </c>
      <c r="D223" s="7" t="s">
        <v>629</v>
      </c>
      <c r="E223" s="7" t="s">
        <v>630</v>
      </c>
      <c r="F223" s="8">
        <v>101489</v>
      </c>
      <c r="G223" s="8">
        <v>97767</v>
      </c>
      <c r="H223" s="8">
        <v>8738295.9399999995</v>
      </c>
      <c r="I223" s="8">
        <v>4934224.93</v>
      </c>
      <c r="J223" s="13">
        <v>0.509339743847111</v>
      </c>
      <c r="K223" s="13">
        <v>0.63911373938169802</v>
      </c>
      <c r="L223" s="7">
        <v>0</v>
      </c>
      <c r="M223" s="13">
        <v>0.54686605860630499</v>
      </c>
      <c r="N223" s="13">
        <v>-3.75263147591934</v>
      </c>
      <c r="O223" s="7">
        <v>1</v>
      </c>
      <c r="P223" s="7" t="s">
        <v>160</v>
      </c>
      <c r="Q223" s="7" t="str">
        <f t="shared" si="3"/>
        <v>Yes</v>
      </c>
    </row>
    <row r="224" spans="1:17" ht="15" customHeight="1" x14ac:dyDescent="0.2">
      <c r="A224" s="7">
        <v>2018</v>
      </c>
      <c r="B224" s="7" t="s">
        <v>631</v>
      </c>
      <c r="C224" s="7">
        <v>2</v>
      </c>
      <c r="D224" s="7" t="s">
        <v>632</v>
      </c>
      <c r="E224" s="7" t="s">
        <v>633</v>
      </c>
      <c r="F224" s="8">
        <v>120102</v>
      </c>
      <c r="G224" s="8">
        <v>167435</v>
      </c>
      <c r="H224" s="8">
        <v>173675.95</v>
      </c>
      <c r="I224" s="8">
        <v>1192805.26</v>
      </c>
      <c r="J224" s="13">
        <v>0.41769233176947701</v>
      </c>
      <c r="K224" s="13">
        <v>0.12709721050610001</v>
      </c>
      <c r="L224" s="7">
        <v>-1</v>
      </c>
      <c r="M224" s="13">
        <v>0.33823255755402198</v>
      </c>
      <c r="N224" s="13">
        <v>7.9459774215454901</v>
      </c>
      <c r="O224" s="7">
        <v>1</v>
      </c>
      <c r="P224" s="7" t="s">
        <v>160</v>
      </c>
      <c r="Q224" s="7" t="str">
        <f t="shared" si="3"/>
        <v>Yes</v>
      </c>
    </row>
    <row r="225" spans="1:17" ht="15" customHeight="1" x14ac:dyDescent="0.2">
      <c r="A225" s="7">
        <v>2018</v>
      </c>
      <c r="B225" s="7" t="s">
        <v>631</v>
      </c>
      <c r="C225" s="7">
        <v>3</v>
      </c>
      <c r="D225" s="7" t="s">
        <v>634</v>
      </c>
      <c r="E225" s="7" t="s">
        <v>635</v>
      </c>
      <c r="F225" s="8">
        <v>148501</v>
      </c>
      <c r="G225" s="8">
        <v>122566</v>
      </c>
      <c r="H225" s="8">
        <v>5348936.26</v>
      </c>
      <c r="I225" s="8">
        <v>7206392.54</v>
      </c>
      <c r="J225" s="13">
        <v>0.547838726218979</v>
      </c>
      <c r="K225" s="13">
        <v>0.426029166197543</v>
      </c>
      <c r="L225" s="7">
        <v>0</v>
      </c>
      <c r="M225" s="13">
        <v>0.47652436288007</v>
      </c>
      <c r="N225" s="13">
        <v>7.1314363338909201</v>
      </c>
      <c r="O225" s="7">
        <v>0</v>
      </c>
      <c r="P225" s="7" t="s">
        <v>160</v>
      </c>
      <c r="Q225" s="7" t="str">
        <f t="shared" si="3"/>
        <v>Yes</v>
      </c>
    </row>
    <row r="226" spans="1:17" ht="15" customHeight="1" x14ac:dyDescent="0.2">
      <c r="A226" s="7">
        <v>2018</v>
      </c>
      <c r="B226" s="7" t="s">
        <v>631</v>
      </c>
      <c r="C226" s="7">
        <v>4</v>
      </c>
      <c r="D226" s="7" t="s">
        <v>636</v>
      </c>
      <c r="E226" s="7" t="s">
        <v>637</v>
      </c>
      <c r="F226" s="8">
        <v>121962</v>
      </c>
      <c r="G226" s="8">
        <v>102748</v>
      </c>
      <c r="H226" s="8">
        <v>9968090.5999999996</v>
      </c>
      <c r="I226" s="8">
        <v>3791166.33</v>
      </c>
      <c r="J226" s="13">
        <v>0.54275288149169998</v>
      </c>
      <c r="K226" s="13">
        <v>0.72446431160581604</v>
      </c>
      <c r="L226" s="7">
        <v>0</v>
      </c>
      <c r="M226" s="13">
        <v>0.57504127510243397</v>
      </c>
      <c r="N226" s="13">
        <v>-3.2288393610733999</v>
      </c>
      <c r="O226" s="7">
        <v>1</v>
      </c>
      <c r="P226" s="7" t="s">
        <v>160</v>
      </c>
      <c r="Q226" s="7" t="str">
        <f t="shared" si="3"/>
        <v>Yes</v>
      </c>
    </row>
    <row r="227" spans="1:17" ht="15" customHeight="1" x14ac:dyDescent="0.2">
      <c r="A227" s="7">
        <v>2018</v>
      </c>
      <c r="B227" s="7" t="s">
        <v>638</v>
      </c>
      <c r="C227" s="7">
        <v>1</v>
      </c>
      <c r="D227" s="7" t="s">
        <v>639</v>
      </c>
      <c r="E227" s="7" t="s">
        <v>640</v>
      </c>
      <c r="F227" s="8">
        <v>127991</v>
      </c>
      <c r="G227" s="8">
        <v>139027</v>
      </c>
      <c r="H227" s="8">
        <v>5843211.3200000003</v>
      </c>
      <c r="I227" s="8">
        <v>5326953.05</v>
      </c>
      <c r="J227" s="13">
        <v>0.47933472649783898</v>
      </c>
      <c r="K227" s="13">
        <v>0.52310880363526802</v>
      </c>
      <c r="L227" s="7">
        <v>-1</v>
      </c>
      <c r="M227" s="13">
        <v>0.46896058995775303</v>
      </c>
      <c r="N227" s="13">
        <v>1.0374136540085701</v>
      </c>
      <c r="O227" s="7">
        <v>1</v>
      </c>
      <c r="P227" s="7" t="s">
        <v>160</v>
      </c>
      <c r="Q227" s="7" t="str">
        <f t="shared" si="3"/>
        <v>Yes</v>
      </c>
    </row>
    <row r="228" spans="1:17" ht="15" customHeight="1" x14ac:dyDescent="0.2">
      <c r="A228" s="7">
        <v>2018</v>
      </c>
      <c r="B228" s="7" t="s">
        <v>638</v>
      </c>
      <c r="C228" s="7">
        <v>3</v>
      </c>
      <c r="D228" s="7" t="s">
        <v>641</v>
      </c>
      <c r="E228" s="7" t="s">
        <v>642</v>
      </c>
      <c r="F228" s="8">
        <v>157456</v>
      </c>
      <c r="G228" s="8">
        <v>109514</v>
      </c>
      <c r="H228" s="8">
        <v>1531374.87</v>
      </c>
      <c r="I228" s="8">
        <v>454227.34</v>
      </c>
      <c r="J228" s="13">
        <v>0.58978911488182195</v>
      </c>
      <c r="K228" s="13">
        <v>0.77123950723241796</v>
      </c>
      <c r="L228" s="7">
        <v>1</v>
      </c>
      <c r="M228" s="13">
        <v>0.63009320141356595</v>
      </c>
      <c r="N228" s="13">
        <v>-4.0304086531743701</v>
      </c>
      <c r="O228" s="7">
        <v>1</v>
      </c>
      <c r="P228" s="7" t="s">
        <v>160</v>
      </c>
      <c r="Q228" s="7" t="str">
        <f t="shared" si="3"/>
        <v>Yes</v>
      </c>
    </row>
    <row r="229" spans="1:17" ht="15" customHeight="1" x14ac:dyDescent="0.2">
      <c r="A229" s="7">
        <v>2018</v>
      </c>
      <c r="B229" s="7" t="s">
        <v>638</v>
      </c>
      <c r="C229" s="7">
        <v>4</v>
      </c>
      <c r="D229" s="7" t="s">
        <v>643</v>
      </c>
      <c r="E229" s="7" t="s">
        <v>644</v>
      </c>
      <c r="F229" s="8">
        <v>159535</v>
      </c>
      <c r="G229" s="8">
        <v>100571</v>
      </c>
      <c r="H229" s="8">
        <v>1626673.42</v>
      </c>
      <c r="I229" s="8">
        <v>50315.21</v>
      </c>
      <c r="J229" s="13">
        <v>0.61334609736030699</v>
      </c>
      <c r="K229" s="13">
        <v>0.96999668984040799</v>
      </c>
      <c r="L229" s="7">
        <v>1</v>
      </c>
      <c r="M229" s="13">
        <v>0.69570525888678403</v>
      </c>
      <c r="N229" s="13">
        <v>-8.2359161526476594</v>
      </c>
      <c r="O229" s="7">
        <v>1</v>
      </c>
      <c r="P229" s="7" t="s">
        <v>160</v>
      </c>
      <c r="Q229" s="7" t="str">
        <f t="shared" si="3"/>
        <v>Yes</v>
      </c>
    </row>
    <row r="230" spans="1:17" ht="15" customHeight="1" x14ac:dyDescent="0.2">
      <c r="A230" s="7">
        <v>2018</v>
      </c>
      <c r="B230" s="7" t="s">
        <v>638</v>
      </c>
      <c r="C230" s="7">
        <v>9</v>
      </c>
      <c r="D230" s="7" t="s">
        <v>645</v>
      </c>
      <c r="E230" s="7" t="s">
        <v>646</v>
      </c>
      <c r="F230" s="8">
        <v>181455</v>
      </c>
      <c r="G230" s="8">
        <v>20901</v>
      </c>
      <c r="H230" s="8">
        <v>1111553.25</v>
      </c>
      <c r="I230" s="8">
        <v>3609.13</v>
      </c>
      <c r="J230" s="13">
        <v>0.89671173575283203</v>
      </c>
      <c r="K230" s="13">
        <v>0.99676358343436999</v>
      </c>
      <c r="L230" s="7">
        <v>1</v>
      </c>
      <c r="M230" s="13">
        <v>0.70454132175415896</v>
      </c>
      <c r="N230" s="13">
        <v>19.217041399867298</v>
      </c>
      <c r="O230" s="7">
        <v>1</v>
      </c>
      <c r="P230" s="7" t="s">
        <v>160</v>
      </c>
      <c r="Q230" s="7" t="str">
        <f t="shared" si="3"/>
        <v>Yes</v>
      </c>
    </row>
    <row r="231" spans="1:17" ht="15" customHeight="1" x14ac:dyDescent="0.2">
      <c r="A231" s="7">
        <v>2018</v>
      </c>
      <c r="B231" s="7" t="s">
        <v>638</v>
      </c>
      <c r="C231" s="7">
        <v>10</v>
      </c>
      <c r="D231" s="7" t="s">
        <v>647</v>
      </c>
      <c r="E231" s="7" t="s">
        <v>648</v>
      </c>
      <c r="F231" s="8">
        <v>173095</v>
      </c>
      <c r="G231" s="8">
        <v>37619</v>
      </c>
      <c r="H231" s="8">
        <v>1544550.69</v>
      </c>
      <c r="I231" s="8">
        <v>79218.12</v>
      </c>
      <c r="J231" s="13">
        <v>0.82146891046631898</v>
      </c>
      <c r="K231" s="13">
        <v>0.95121342428051703</v>
      </c>
      <c r="L231" s="7">
        <v>1</v>
      </c>
      <c r="M231" s="13">
        <v>0.68950468448097202</v>
      </c>
      <c r="N231" s="13">
        <v>13.196422598534699</v>
      </c>
      <c r="O231" s="7">
        <v>1</v>
      </c>
      <c r="P231" s="7" t="s">
        <v>160</v>
      </c>
      <c r="Q231" s="7" t="str">
        <f t="shared" si="3"/>
        <v>Yes</v>
      </c>
    </row>
    <row r="232" spans="1:17" ht="15" customHeight="1" x14ac:dyDescent="0.2">
      <c r="A232" s="7">
        <v>2018</v>
      </c>
      <c r="B232" s="7" t="s">
        <v>638</v>
      </c>
      <c r="C232" s="7">
        <v>11</v>
      </c>
      <c r="D232" s="7" t="s">
        <v>649</v>
      </c>
      <c r="E232" s="7" t="s">
        <v>650</v>
      </c>
      <c r="F232" s="8">
        <v>101823</v>
      </c>
      <c r="G232" s="8">
        <v>89441</v>
      </c>
      <c r="H232" s="8">
        <v>5105745.46</v>
      </c>
      <c r="I232" s="8">
        <v>3757224.11</v>
      </c>
      <c r="J232" s="13">
        <v>0.532368872343985</v>
      </c>
      <c r="K232" s="13">
        <v>0.57607615818543301</v>
      </c>
      <c r="L232" s="7">
        <v>-1</v>
      </c>
      <c r="M232" s="13">
        <v>0.486445729691315</v>
      </c>
      <c r="N232" s="13">
        <v>4.5923142652670297</v>
      </c>
      <c r="O232" s="7">
        <v>0</v>
      </c>
      <c r="P232" s="7" t="s">
        <v>160</v>
      </c>
      <c r="Q232" s="7" t="str">
        <f t="shared" si="3"/>
        <v>Yes</v>
      </c>
    </row>
    <row r="233" spans="1:17" ht="15" customHeight="1" x14ac:dyDescent="0.2">
      <c r="A233" s="7">
        <v>2018</v>
      </c>
      <c r="B233" s="7" t="s">
        <v>638</v>
      </c>
      <c r="C233" s="7">
        <v>12</v>
      </c>
      <c r="D233" s="7" t="s">
        <v>651</v>
      </c>
      <c r="E233" s="7" t="s">
        <v>652</v>
      </c>
      <c r="F233" s="8">
        <v>217430</v>
      </c>
      <c r="G233" s="8">
        <v>30446</v>
      </c>
      <c r="H233" s="8">
        <v>2415962.38</v>
      </c>
      <c r="I233" s="8">
        <v>35435.160000000003</v>
      </c>
      <c r="J233" s="13">
        <v>0.87717245719633996</v>
      </c>
      <c r="K233" s="13">
        <v>0.98554491492228602</v>
      </c>
      <c r="L233" s="7">
        <v>1</v>
      </c>
      <c r="M233" s="13">
        <v>0.70083790880812402</v>
      </c>
      <c r="N233" s="13">
        <v>17.633454838821599</v>
      </c>
      <c r="O233" s="7">
        <v>1</v>
      </c>
      <c r="P233" s="7" t="s">
        <v>160</v>
      </c>
      <c r="Q233" s="7" t="str">
        <f t="shared" si="3"/>
        <v>Yes</v>
      </c>
    </row>
    <row r="234" spans="1:17" ht="15" customHeight="1" x14ac:dyDescent="0.2">
      <c r="A234" s="7">
        <v>2018</v>
      </c>
      <c r="B234" s="7" t="s">
        <v>638</v>
      </c>
      <c r="C234" s="7">
        <v>13</v>
      </c>
      <c r="D234" s="7" t="s">
        <v>653</v>
      </c>
      <c r="E234" s="7" t="s">
        <v>654</v>
      </c>
      <c r="F234" s="8">
        <v>180035</v>
      </c>
      <c r="G234" s="8">
        <v>10268</v>
      </c>
      <c r="H234" s="8">
        <v>592959.68000000005</v>
      </c>
      <c r="I234" s="8">
        <v>5826</v>
      </c>
      <c r="J234" s="13">
        <v>0.946043940452857</v>
      </c>
      <c r="K234" s="13">
        <v>0.99027030840149699</v>
      </c>
      <c r="L234" s="7">
        <v>1</v>
      </c>
      <c r="M234" s="13">
        <v>0.70239781615070795</v>
      </c>
      <c r="N234" s="13">
        <v>24.364612430214901</v>
      </c>
      <c r="O234" s="7">
        <v>1</v>
      </c>
      <c r="P234" s="7" t="s">
        <v>160</v>
      </c>
      <c r="Q234" s="7" t="str">
        <f t="shared" si="3"/>
        <v>Yes</v>
      </c>
    </row>
    <row r="235" spans="1:17" ht="15" customHeight="1" x14ac:dyDescent="0.2">
      <c r="A235" s="7">
        <v>2018</v>
      </c>
      <c r="B235" s="7" t="s">
        <v>638</v>
      </c>
      <c r="C235" s="7">
        <v>14</v>
      </c>
      <c r="D235" s="7" t="s">
        <v>655</v>
      </c>
      <c r="E235" s="7" t="s">
        <v>656</v>
      </c>
      <c r="F235" s="8">
        <v>110318</v>
      </c>
      <c r="G235" s="8">
        <v>19202</v>
      </c>
      <c r="H235" s="8">
        <v>1784216.7</v>
      </c>
      <c r="I235" s="8">
        <v>635803.11</v>
      </c>
      <c r="J235" s="13">
        <v>0.85174490426188998</v>
      </c>
      <c r="K235" s="13">
        <v>0.73727359281410199</v>
      </c>
      <c r="L235" s="7">
        <v>0</v>
      </c>
      <c r="M235" s="13">
        <v>0.57926976779789696</v>
      </c>
      <c r="N235" s="13">
        <v>27.247513646399302</v>
      </c>
      <c r="O235" s="7">
        <v>1</v>
      </c>
      <c r="P235" s="7" t="s">
        <v>160</v>
      </c>
      <c r="Q235" s="7" t="str">
        <f t="shared" si="3"/>
        <v>Yes</v>
      </c>
    </row>
    <row r="236" spans="1:17" ht="15" customHeight="1" x14ac:dyDescent="0.2">
      <c r="A236" s="7">
        <v>2018</v>
      </c>
      <c r="B236" s="7" t="s">
        <v>638</v>
      </c>
      <c r="C236" s="7">
        <v>15</v>
      </c>
      <c r="D236" s="7" t="s">
        <v>657</v>
      </c>
      <c r="E236" s="7" t="s">
        <v>658</v>
      </c>
      <c r="F236" s="8">
        <v>124469</v>
      </c>
      <c r="G236" s="8">
        <v>5205</v>
      </c>
      <c r="H236" s="8">
        <v>238245.31</v>
      </c>
      <c r="I236" s="8">
        <v>0</v>
      </c>
      <c r="J236" s="13">
        <v>0.95986088190385099</v>
      </c>
      <c r="K236" s="13">
        <v>1</v>
      </c>
      <c r="L236" s="7">
        <v>1</v>
      </c>
      <c r="M236" s="13">
        <v>0.70560970050115601</v>
      </c>
      <c r="N236" s="13">
        <v>25.4251181402695</v>
      </c>
      <c r="O236" s="7">
        <v>1</v>
      </c>
      <c r="P236" s="7" t="s">
        <v>160</v>
      </c>
      <c r="Q236" s="7" t="str">
        <f t="shared" si="3"/>
        <v>Yes</v>
      </c>
    </row>
    <row r="237" spans="1:17" ht="15" customHeight="1" x14ac:dyDescent="0.2">
      <c r="A237" s="7">
        <v>2018</v>
      </c>
      <c r="B237" s="7" t="s">
        <v>638</v>
      </c>
      <c r="C237" s="7">
        <v>18</v>
      </c>
      <c r="D237" s="7" t="s">
        <v>659</v>
      </c>
      <c r="E237" s="7" t="s">
        <v>660</v>
      </c>
      <c r="F237" s="8">
        <v>139564</v>
      </c>
      <c r="G237" s="8">
        <v>112035</v>
      </c>
      <c r="H237" s="8">
        <v>4441185.6100000003</v>
      </c>
      <c r="I237" s="8">
        <v>281216.14</v>
      </c>
      <c r="J237" s="13">
        <v>0.55470808707506802</v>
      </c>
      <c r="K237" s="13">
        <v>0.94045061075119296</v>
      </c>
      <c r="L237" s="7">
        <v>1</v>
      </c>
      <c r="M237" s="13">
        <v>0.68595175456622104</v>
      </c>
      <c r="N237" s="13">
        <v>-13.1243667491153</v>
      </c>
      <c r="O237" s="7">
        <v>1</v>
      </c>
      <c r="P237" s="7" t="s">
        <v>160</v>
      </c>
      <c r="Q237" s="7" t="str">
        <f t="shared" si="3"/>
        <v>Yes</v>
      </c>
    </row>
    <row r="238" spans="1:17" ht="15" customHeight="1" x14ac:dyDescent="0.2">
      <c r="A238" s="7">
        <v>2018</v>
      </c>
      <c r="B238" s="7" t="s">
        <v>638</v>
      </c>
      <c r="C238" s="7">
        <v>19</v>
      </c>
      <c r="D238" s="7" t="s">
        <v>661</v>
      </c>
      <c r="E238" s="7" t="s">
        <v>662</v>
      </c>
      <c r="F238" s="8">
        <v>147873</v>
      </c>
      <c r="G238" s="8">
        <v>132873</v>
      </c>
      <c r="H238" s="8">
        <v>15132677.060000001</v>
      </c>
      <c r="I238" s="8">
        <v>11491231.289999999</v>
      </c>
      <c r="J238" s="13">
        <v>0.52671453912077104</v>
      </c>
      <c r="K238" s="13">
        <v>0.56838676204352301</v>
      </c>
      <c r="L238" s="7">
        <v>-1</v>
      </c>
      <c r="M238" s="13">
        <v>0.48390737059919398</v>
      </c>
      <c r="N238" s="13">
        <v>4.2807168521577204</v>
      </c>
      <c r="O238" s="7">
        <v>0</v>
      </c>
      <c r="P238" s="7" t="s">
        <v>160</v>
      </c>
      <c r="Q238" s="7" t="str">
        <f t="shared" si="3"/>
        <v>Yes</v>
      </c>
    </row>
    <row r="239" spans="1:17" ht="15" customHeight="1" x14ac:dyDescent="0.2">
      <c r="A239" s="7">
        <v>2018</v>
      </c>
      <c r="B239" s="7" t="s">
        <v>638</v>
      </c>
      <c r="C239" s="7">
        <v>21</v>
      </c>
      <c r="D239" s="7" t="s">
        <v>663</v>
      </c>
      <c r="E239" s="7" t="s">
        <v>664</v>
      </c>
      <c r="F239" s="8">
        <v>99791</v>
      </c>
      <c r="G239" s="8">
        <v>131981</v>
      </c>
      <c r="H239" s="8">
        <v>1512960.16</v>
      </c>
      <c r="I239" s="8">
        <v>3103633.22</v>
      </c>
      <c r="J239" s="13">
        <v>0.43055675405139499</v>
      </c>
      <c r="K239" s="13">
        <v>0.32772220454901801</v>
      </c>
      <c r="L239" s="7">
        <v>-1</v>
      </c>
      <c r="M239" s="13">
        <v>0.40446120130407098</v>
      </c>
      <c r="N239" s="13">
        <v>2.60955527473247</v>
      </c>
      <c r="O239" s="7">
        <v>1</v>
      </c>
      <c r="P239" s="7" t="s">
        <v>160</v>
      </c>
      <c r="Q239" s="7" t="str">
        <f t="shared" si="3"/>
        <v>Yes</v>
      </c>
    </row>
    <row r="240" spans="1:17" ht="15" customHeight="1" x14ac:dyDescent="0.2">
      <c r="A240" s="7">
        <v>2018</v>
      </c>
      <c r="B240" s="7" t="s">
        <v>638</v>
      </c>
      <c r="C240" s="7">
        <v>22</v>
      </c>
      <c r="D240" s="7" t="s">
        <v>665</v>
      </c>
      <c r="E240" s="7" t="s">
        <v>666</v>
      </c>
      <c r="F240" s="8">
        <v>127715</v>
      </c>
      <c r="G240" s="8">
        <v>123242</v>
      </c>
      <c r="H240" s="8">
        <v>12445182.33</v>
      </c>
      <c r="I240" s="8">
        <v>10561411.58</v>
      </c>
      <c r="J240" s="13">
        <v>0.50891188530305997</v>
      </c>
      <c r="K240" s="13">
        <v>0.54093980094074701</v>
      </c>
      <c r="L240" s="7">
        <v>-1</v>
      </c>
      <c r="M240" s="13">
        <v>0.474846809538151</v>
      </c>
      <c r="N240" s="13">
        <v>3.4065075764908701</v>
      </c>
      <c r="O240" s="7">
        <v>0</v>
      </c>
      <c r="P240" s="7" t="s">
        <v>160</v>
      </c>
      <c r="Q240" s="7" t="str">
        <f t="shared" si="3"/>
        <v>Yes</v>
      </c>
    </row>
    <row r="241" spans="1:17" ht="15" customHeight="1" x14ac:dyDescent="0.2">
      <c r="A241" s="7">
        <v>2018</v>
      </c>
      <c r="B241" s="7" t="s">
        <v>638</v>
      </c>
      <c r="C241" s="7">
        <v>23</v>
      </c>
      <c r="D241" s="7" t="s">
        <v>667</v>
      </c>
      <c r="E241" s="7" t="s">
        <v>668</v>
      </c>
      <c r="F241" s="8">
        <v>109932</v>
      </c>
      <c r="G241" s="8">
        <v>130323</v>
      </c>
      <c r="H241" s="8">
        <v>1786653.85</v>
      </c>
      <c r="I241" s="8">
        <v>3861652.48</v>
      </c>
      <c r="J241" s="13">
        <v>0.45756383842167703</v>
      </c>
      <c r="K241" s="13">
        <v>0.31631674091585599</v>
      </c>
      <c r="L241" s="7">
        <v>-1</v>
      </c>
      <c r="M241" s="13">
        <v>0.40069612511619002</v>
      </c>
      <c r="N241" s="13">
        <v>5.6867713305487504</v>
      </c>
      <c r="O241" s="7">
        <v>1</v>
      </c>
      <c r="P241" s="7" t="s">
        <v>160</v>
      </c>
      <c r="Q241" s="7" t="str">
        <f t="shared" si="3"/>
        <v>Yes</v>
      </c>
    </row>
    <row r="242" spans="1:17" ht="15" customHeight="1" x14ac:dyDescent="0.2">
      <c r="A242" s="7">
        <v>2018</v>
      </c>
      <c r="B242" s="7" t="s">
        <v>638</v>
      </c>
      <c r="C242" s="7">
        <v>24</v>
      </c>
      <c r="D242" s="7" t="s">
        <v>669</v>
      </c>
      <c r="E242" s="7" t="s">
        <v>670</v>
      </c>
      <c r="F242" s="8">
        <v>123226</v>
      </c>
      <c r="G242" s="8">
        <v>136920</v>
      </c>
      <c r="H242" s="8">
        <v>5319836.07</v>
      </c>
      <c r="I242" s="8">
        <v>4390653.6100000003</v>
      </c>
      <c r="J242" s="13">
        <v>0.47368016421547898</v>
      </c>
      <c r="K242" s="13">
        <v>0.54784426381265705</v>
      </c>
      <c r="L242" s="7">
        <v>-1</v>
      </c>
      <c r="M242" s="13">
        <v>0.47712605302927502</v>
      </c>
      <c r="N242" s="13">
        <v>-0.344588881379637</v>
      </c>
      <c r="O242" s="7">
        <v>1</v>
      </c>
      <c r="P242" s="7" t="s">
        <v>160</v>
      </c>
      <c r="Q242" s="7" t="str">
        <f t="shared" si="3"/>
        <v>Yes</v>
      </c>
    </row>
    <row r="243" spans="1:17" ht="15" customHeight="1" x14ac:dyDescent="0.2">
      <c r="A243" s="7">
        <v>2018</v>
      </c>
      <c r="B243" s="7" t="s">
        <v>638</v>
      </c>
      <c r="C243" s="7">
        <v>25</v>
      </c>
      <c r="D243" s="7" t="s">
        <v>671</v>
      </c>
      <c r="E243" s="7" t="s">
        <v>672</v>
      </c>
      <c r="F243" s="8">
        <v>159244</v>
      </c>
      <c r="G243" s="8">
        <v>110736</v>
      </c>
      <c r="H243" s="8">
        <v>1837236.87</v>
      </c>
      <c r="I243" s="8">
        <v>1001987.55</v>
      </c>
      <c r="J243" s="13">
        <v>0.58983628416919798</v>
      </c>
      <c r="K243" s="13">
        <v>0.647091105957732</v>
      </c>
      <c r="L243" s="7">
        <v>0</v>
      </c>
      <c r="M243" s="13">
        <v>0.54949948008775096</v>
      </c>
      <c r="N243" s="13">
        <v>4.0336804081446402</v>
      </c>
      <c r="O243" s="7">
        <v>1</v>
      </c>
      <c r="P243" s="7" t="s">
        <v>160</v>
      </c>
      <c r="Q243" s="7" t="str">
        <f t="shared" si="3"/>
        <v>Yes</v>
      </c>
    </row>
    <row r="244" spans="1:17" ht="15" customHeight="1" x14ac:dyDescent="0.2">
      <c r="A244" s="7">
        <v>2018</v>
      </c>
      <c r="B244" s="7" t="s">
        <v>638</v>
      </c>
      <c r="C244" s="7">
        <v>27</v>
      </c>
      <c r="D244" s="7" t="s">
        <v>673</v>
      </c>
      <c r="E244" s="7" t="s">
        <v>674</v>
      </c>
      <c r="F244" s="8">
        <v>139059</v>
      </c>
      <c r="G244" s="8">
        <v>140146</v>
      </c>
      <c r="H244" s="8">
        <v>1413433.71</v>
      </c>
      <c r="I244" s="8">
        <v>1816387.79</v>
      </c>
      <c r="J244" s="13">
        <v>0.49805340162246398</v>
      </c>
      <c r="K244" s="13">
        <v>0.437619760101294</v>
      </c>
      <c r="L244" s="7">
        <v>-1</v>
      </c>
      <c r="M244" s="13">
        <v>0.44073966247185498</v>
      </c>
      <c r="N244" s="13">
        <v>5.7313739150609102</v>
      </c>
      <c r="O244" s="7">
        <v>1</v>
      </c>
      <c r="P244" s="7" t="s">
        <v>160</v>
      </c>
      <c r="Q244" s="7" t="str">
        <f t="shared" si="3"/>
        <v>Yes</v>
      </c>
    </row>
    <row r="245" spans="1:17" ht="15" customHeight="1" x14ac:dyDescent="0.2">
      <c r="A245" s="7">
        <v>2018</v>
      </c>
      <c r="B245" s="7" t="s">
        <v>675</v>
      </c>
      <c r="C245" s="7">
        <v>1</v>
      </c>
      <c r="D245" s="7" t="s">
        <v>676</v>
      </c>
      <c r="E245" s="7" t="s">
        <v>677</v>
      </c>
      <c r="F245" s="8">
        <v>141118</v>
      </c>
      <c r="G245" s="8">
        <v>154409</v>
      </c>
      <c r="H245" s="8">
        <v>6614434.6799999997</v>
      </c>
      <c r="I245" s="8">
        <v>7640379.4000000004</v>
      </c>
      <c r="J245" s="13">
        <v>0.47751305295286101</v>
      </c>
      <c r="K245" s="13">
        <v>0.464014096773123</v>
      </c>
      <c r="L245" s="7">
        <v>-1</v>
      </c>
      <c r="M245" s="13">
        <v>0.44945273996649399</v>
      </c>
      <c r="N245" s="13">
        <v>2.80603129863667</v>
      </c>
      <c r="O245" s="7">
        <v>1</v>
      </c>
      <c r="P245" s="7" t="s">
        <v>160</v>
      </c>
      <c r="Q245" s="7" t="str">
        <f t="shared" si="3"/>
        <v>Yes</v>
      </c>
    </row>
    <row r="246" spans="1:17" ht="15" customHeight="1" x14ac:dyDescent="0.2">
      <c r="A246" s="7">
        <v>2018</v>
      </c>
      <c r="B246" s="7" t="s">
        <v>675</v>
      </c>
      <c r="C246" s="7">
        <v>2</v>
      </c>
      <c r="D246" s="7" t="s">
        <v>678</v>
      </c>
      <c r="E246" s="7" t="s">
        <v>679</v>
      </c>
      <c r="F246" s="8">
        <v>119333</v>
      </c>
      <c r="G246" s="8">
        <v>166714</v>
      </c>
      <c r="H246" s="8">
        <v>587518.86</v>
      </c>
      <c r="I246" s="8">
        <v>1604750.76</v>
      </c>
      <c r="J246" s="13">
        <v>0.41717969424605</v>
      </c>
      <c r="K246" s="13">
        <v>0.26799571304555098</v>
      </c>
      <c r="L246" s="7">
        <v>-1</v>
      </c>
      <c r="M246" s="13">
        <v>0.38474479185521998</v>
      </c>
      <c r="N246" s="13">
        <v>3.24349023908304</v>
      </c>
      <c r="O246" s="7">
        <v>1</v>
      </c>
      <c r="P246" s="7" t="s">
        <v>160</v>
      </c>
      <c r="Q246" s="7" t="str">
        <f t="shared" si="3"/>
        <v>Yes</v>
      </c>
    </row>
    <row r="247" spans="1:17" ht="15" customHeight="1" x14ac:dyDescent="0.2">
      <c r="A247" s="7">
        <v>2018</v>
      </c>
      <c r="B247" s="7" t="s">
        <v>675</v>
      </c>
      <c r="C247" s="7">
        <v>4</v>
      </c>
      <c r="D247" s="7" t="s">
        <v>680</v>
      </c>
      <c r="E247" s="7" t="s">
        <v>681</v>
      </c>
      <c r="F247" s="8">
        <v>89412</v>
      </c>
      <c r="G247" s="8">
        <v>167993</v>
      </c>
      <c r="H247" s="8">
        <v>726842.44</v>
      </c>
      <c r="I247" s="8">
        <v>1821117.85</v>
      </c>
      <c r="J247" s="13">
        <v>0.34735921990637297</v>
      </c>
      <c r="K247" s="13">
        <v>0.28526443008262098</v>
      </c>
      <c r="L247" s="7">
        <v>-1</v>
      </c>
      <c r="M247" s="13">
        <v>0.39044539617984297</v>
      </c>
      <c r="N247" s="13">
        <v>-4.3086176273469601</v>
      </c>
      <c r="O247" s="7">
        <v>1</v>
      </c>
      <c r="P247" s="7" t="s">
        <v>160</v>
      </c>
      <c r="Q247" s="7" t="str">
        <f t="shared" si="3"/>
        <v>Yes</v>
      </c>
    </row>
    <row r="248" spans="1:17" ht="15" customHeight="1" x14ac:dyDescent="0.2">
      <c r="A248" s="7">
        <v>2018</v>
      </c>
      <c r="B248" s="7" t="s">
        <v>675</v>
      </c>
      <c r="C248" s="7">
        <v>5</v>
      </c>
      <c r="D248" s="7" t="s">
        <v>682</v>
      </c>
      <c r="E248" s="7" t="s">
        <v>683</v>
      </c>
      <c r="F248" s="8">
        <v>99655</v>
      </c>
      <c r="G248" s="8">
        <v>176569</v>
      </c>
      <c r="H248" s="8">
        <v>213442.6</v>
      </c>
      <c r="I248" s="8">
        <v>1757637.58</v>
      </c>
      <c r="J248" s="13">
        <v>0.36077603683966603</v>
      </c>
      <c r="K248" s="13">
        <v>0.108287122038841</v>
      </c>
      <c r="L248" s="7">
        <v>-1</v>
      </c>
      <c r="M248" s="13">
        <v>0.33202312859454503</v>
      </c>
      <c r="N248" s="13">
        <v>2.8752908245121702</v>
      </c>
      <c r="O248" s="7">
        <v>1</v>
      </c>
      <c r="P248" s="7" t="s">
        <v>160</v>
      </c>
      <c r="Q248" s="7" t="str">
        <f t="shared" si="3"/>
        <v>Yes</v>
      </c>
    </row>
    <row r="249" spans="1:17" ht="15" customHeight="1" x14ac:dyDescent="0.2">
      <c r="A249" s="7">
        <v>2018</v>
      </c>
      <c r="B249" s="7" t="s">
        <v>675</v>
      </c>
      <c r="C249" s="7">
        <v>6</v>
      </c>
      <c r="D249" s="7" t="s">
        <v>684</v>
      </c>
      <c r="E249" s="7" t="s">
        <v>685</v>
      </c>
      <c r="F249" s="8">
        <v>76716</v>
      </c>
      <c r="G249" s="8">
        <v>172774</v>
      </c>
      <c r="H249" s="8">
        <v>29045.13</v>
      </c>
      <c r="I249" s="8">
        <v>1793722.02</v>
      </c>
      <c r="J249" s="13">
        <v>0.30749128221571997</v>
      </c>
      <c r="K249" s="13">
        <v>1.59346354250459E-2</v>
      </c>
      <c r="L249" s="7">
        <v>-1</v>
      </c>
      <c r="M249" s="13">
        <v>0.30153649872794003</v>
      </c>
      <c r="N249" s="13">
        <v>0.59547834877799499</v>
      </c>
      <c r="O249" s="7">
        <v>1</v>
      </c>
      <c r="P249" s="7" t="s">
        <v>160</v>
      </c>
      <c r="Q249" s="7" t="str">
        <f t="shared" si="3"/>
        <v>Yes</v>
      </c>
    </row>
    <row r="250" spans="1:17" ht="15" customHeight="1" x14ac:dyDescent="0.2">
      <c r="A250" s="7">
        <v>2018</v>
      </c>
      <c r="B250" s="7" t="s">
        <v>675</v>
      </c>
      <c r="C250" s="7">
        <v>7</v>
      </c>
      <c r="D250" s="7" t="s">
        <v>686</v>
      </c>
      <c r="E250" s="7" t="s">
        <v>687</v>
      </c>
      <c r="F250" s="8">
        <v>107536</v>
      </c>
      <c r="G250" s="8">
        <v>153117</v>
      </c>
      <c r="H250" s="8">
        <v>3285573.59</v>
      </c>
      <c r="I250" s="8">
        <v>1936841.01</v>
      </c>
      <c r="J250" s="13">
        <v>0.41256383007293201</v>
      </c>
      <c r="K250" s="13">
        <v>0.62912921352509998</v>
      </c>
      <c r="L250" s="7">
        <v>-1</v>
      </c>
      <c r="M250" s="13">
        <v>0.50395916025216903</v>
      </c>
      <c r="N250" s="13">
        <v>-9.1395330179237</v>
      </c>
      <c r="O250" s="7">
        <v>0</v>
      </c>
      <c r="P250" s="7" t="s">
        <v>160</v>
      </c>
      <c r="Q250" s="7" t="str">
        <f t="shared" si="3"/>
        <v>Yes</v>
      </c>
    </row>
    <row r="251" spans="1:17" ht="15" customHeight="1" x14ac:dyDescent="0.2">
      <c r="A251" s="7">
        <v>2018</v>
      </c>
      <c r="B251" s="7" t="s">
        <v>675</v>
      </c>
      <c r="C251" s="7">
        <v>8</v>
      </c>
      <c r="D251" s="7" t="s">
        <v>688</v>
      </c>
      <c r="E251" s="7" t="s">
        <v>689</v>
      </c>
      <c r="F251" s="8">
        <v>89451</v>
      </c>
      <c r="G251" s="8">
        <v>177892</v>
      </c>
      <c r="H251" s="8">
        <v>53046</v>
      </c>
      <c r="I251" s="8">
        <v>667146.53</v>
      </c>
      <c r="J251" s="13">
        <v>0.334592639418275</v>
      </c>
      <c r="K251" s="13">
        <v>7.3655304367014202E-2</v>
      </c>
      <c r="L251" s="7">
        <v>-1</v>
      </c>
      <c r="M251" s="13">
        <v>0.32059076282204602</v>
      </c>
      <c r="N251" s="13">
        <v>1.4001876596229601</v>
      </c>
      <c r="O251" s="7">
        <v>1</v>
      </c>
      <c r="P251" s="7" t="s">
        <v>160</v>
      </c>
      <c r="Q251" s="7" t="str">
        <f t="shared" si="3"/>
        <v>Yes</v>
      </c>
    </row>
    <row r="252" spans="1:17" ht="15" customHeight="1" x14ac:dyDescent="0.2">
      <c r="A252" s="7">
        <v>2018</v>
      </c>
      <c r="B252" s="7" t="s">
        <v>675</v>
      </c>
      <c r="C252" s="7">
        <v>9</v>
      </c>
      <c r="D252" s="7" t="s">
        <v>690</v>
      </c>
      <c r="E252" s="7" t="s">
        <v>691</v>
      </c>
      <c r="F252" s="8">
        <v>157219</v>
      </c>
      <c r="G252" s="8">
        <v>74670</v>
      </c>
      <c r="H252" s="8">
        <v>677489.53</v>
      </c>
      <c r="I252" s="8">
        <v>40950.160000000003</v>
      </c>
      <c r="J252" s="13">
        <v>0.67799248778510401</v>
      </c>
      <c r="K252" s="13">
        <v>0.94300125595789397</v>
      </c>
      <c r="L252" s="7">
        <v>1</v>
      </c>
      <c r="M252" s="13">
        <v>0.686793752212294</v>
      </c>
      <c r="N252" s="13">
        <v>-0.88012644271894303</v>
      </c>
      <c r="O252" s="7">
        <v>1</v>
      </c>
      <c r="P252" s="7" t="s">
        <v>160</v>
      </c>
      <c r="Q252" s="7" t="str">
        <f t="shared" si="3"/>
        <v>Yes</v>
      </c>
    </row>
    <row r="253" spans="1:17" ht="15" customHeight="1" x14ac:dyDescent="0.2">
      <c r="A253" s="7">
        <v>2018</v>
      </c>
      <c r="B253" s="7" t="s">
        <v>675</v>
      </c>
      <c r="C253" s="7">
        <v>10</v>
      </c>
      <c r="D253" s="7" t="s">
        <v>692</v>
      </c>
      <c r="E253" s="7" t="s">
        <v>693</v>
      </c>
      <c r="F253" s="8">
        <v>118785</v>
      </c>
      <c r="G253" s="8">
        <v>157554</v>
      </c>
      <c r="H253" s="8">
        <v>1232428.32</v>
      </c>
      <c r="I253" s="8">
        <v>1472293.72</v>
      </c>
      <c r="J253" s="13">
        <v>0.42985246382161002</v>
      </c>
      <c r="K253" s="13">
        <v>0.45565803131474503</v>
      </c>
      <c r="L253" s="7">
        <v>-1</v>
      </c>
      <c r="M253" s="13">
        <v>0.44669430557981599</v>
      </c>
      <c r="N253" s="13">
        <v>-1.68418417582054</v>
      </c>
      <c r="O253" s="7">
        <v>1</v>
      </c>
      <c r="P253" s="7" t="s">
        <v>160</v>
      </c>
      <c r="Q253" s="7" t="str">
        <f t="shared" si="3"/>
        <v>Yes</v>
      </c>
    </row>
    <row r="254" spans="1:17" ht="15" customHeight="1" x14ac:dyDescent="0.2">
      <c r="A254" s="7">
        <v>2018</v>
      </c>
      <c r="B254" s="7" t="s">
        <v>675</v>
      </c>
      <c r="C254" s="7">
        <v>11</v>
      </c>
      <c r="D254" s="7" t="s">
        <v>694</v>
      </c>
      <c r="E254" s="7" t="s">
        <v>695</v>
      </c>
      <c r="F254" s="8">
        <v>206138</v>
      </c>
      <c r="G254" s="8">
        <v>44486</v>
      </c>
      <c r="H254" s="8">
        <v>616190.65</v>
      </c>
      <c r="I254" s="8">
        <v>21855.88</v>
      </c>
      <c r="J254" s="13">
        <v>0.822499042390194</v>
      </c>
      <c r="K254" s="13">
        <v>0.96574563300265903</v>
      </c>
      <c r="L254" s="7">
        <v>1</v>
      </c>
      <c r="M254" s="13">
        <v>0.69430193558595799</v>
      </c>
      <c r="N254" s="13">
        <v>12.819710680423601</v>
      </c>
      <c r="O254" s="7">
        <v>1</v>
      </c>
      <c r="P254" s="7" t="s">
        <v>160</v>
      </c>
      <c r="Q254" s="7" t="str">
        <f t="shared" si="3"/>
        <v>Yes</v>
      </c>
    </row>
    <row r="255" spans="1:17" ht="15" customHeight="1" x14ac:dyDescent="0.2">
      <c r="A255" s="7">
        <v>2018</v>
      </c>
      <c r="B255" s="7" t="s">
        <v>675</v>
      </c>
      <c r="C255" s="7">
        <v>12</v>
      </c>
      <c r="D255" s="7" t="s">
        <v>696</v>
      </c>
      <c r="E255" s="7" t="s">
        <v>697</v>
      </c>
      <c r="F255" s="8">
        <v>161251</v>
      </c>
      <c r="G255" s="8">
        <v>175677</v>
      </c>
      <c r="H255" s="8">
        <v>9918631.7100000009</v>
      </c>
      <c r="I255" s="8">
        <v>9592985.8900000006</v>
      </c>
      <c r="J255" s="13">
        <v>0.478591865324342</v>
      </c>
      <c r="K255" s="13">
        <v>0.50834492113047602</v>
      </c>
      <c r="L255" s="7">
        <v>0</v>
      </c>
      <c r="M255" s="13">
        <v>0.50369775089424396</v>
      </c>
      <c r="N255" s="13">
        <v>-2.5105885569901498</v>
      </c>
      <c r="O255" s="7">
        <v>0</v>
      </c>
      <c r="P255" s="7" t="s">
        <v>160</v>
      </c>
      <c r="Q255" s="7" t="str">
        <f t="shared" si="3"/>
        <v>Yes</v>
      </c>
    </row>
    <row r="256" spans="1:17" ht="15" customHeight="1" x14ac:dyDescent="0.2">
      <c r="A256" s="7">
        <v>2018</v>
      </c>
      <c r="B256" s="7" t="s">
        <v>675</v>
      </c>
      <c r="C256" s="7">
        <v>13</v>
      </c>
      <c r="D256" s="7" t="s">
        <v>698</v>
      </c>
      <c r="E256" s="7" t="s">
        <v>699</v>
      </c>
      <c r="F256" s="8">
        <v>153323</v>
      </c>
      <c r="G256" s="8">
        <v>98047</v>
      </c>
      <c r="H256" s="8">
        <v>1653509.9</v>
      </c>
      <c r="I256" s="8">
        <v>116710.9</v>
      </c>
      <c r="J256" s="13">
        <v>0.60994947686677004</v>
      </c>
      <c r="K256" s="13">
        <v>0.93406986292331495</v>
      </c>
      <c r="L256" s="7">
        <v>1</v>
      </c>
      <c r="M256" s="13">
        <v>0.68384539550180201</v>
      </c>
      <c r="N256" s="13">
        <v>-7.3895918635031501</v>
      </c>
      <c r="O256" s="7">
        <v>1</v>
      </c>
      <c r="P256" s="7" t="s">
        <v>160</v>
      </c>
      <c r="Q256" s="7" t="str">
        <f t="shared" si="3"/>
        <v>Yes</v>
      </c>
    </row>
    <row r="257" spans="1:17" ht="15" customHeight="1" x14ac:dyDescent="0.2">
      <c r="A257" s="7">
        <v>2018</v>
      </c>
      <c r="B257" s="7" t="s">
        <v>675</v>
      </c>
      <c r="C257" s="7">
        <v>14</v>
      </c>
      <c r="D257" s="7" t="s">
        <v>700</v>
      </c>
      <c r="E257" s="7" t="s">
        <v>701</v>
      </c>
      <c r="F257" s="8">
        <v>137549</v>
      </c>
      <c r="G257" s="8">
        <v>169809</v>
      </c>
      <c r="H257" s="8">
        <v>2309904.83</v>
      </c>
      <c r="I257" s="8">
        <v>3056359.61</v>
      </c>
      <c r="J257" s="13">
        <v>0.44752048100260899</v>
      </c>
      <c r="K257" s="13">
        <v>0.43044931084313098</v>
      </c>
      <c r="L257" s="7">
        <v>-1</v>
      </c>
      <c r="M257" s="13">
        <v>0.43837261378127601</v>
      </c>
      <c r="N257" s="13">
        <v>0.914786722133343</v>
      </c>
      <c r="O257" s="7">
        <v>1</v>
      </c>
      <c r="P257" s="7" t="s">
        <v>160</v>
      </c>
      <c r="Q257" s="7" t="str">
        <f t="shared" si="3"/>
        <v>Yes</v>
      </c>
    </row>
    <row r="258" spans="1:17" ht="15" customHeight="1" x14ac:dyDescent="0.2">
      <c r="A258" s="7">
        <v>2018</v>
      </c>
      <c r="B258" s="7" t="s">
        <v>675</v>
      </c>
      <c r="C258" s="7">
        <v>15</v>
      </c>
      <c r="D258" s="7" t="s">
        <v>702</v>
      </c>
      <c r="E258" s="7" t="s">
        <v>703</v>
      </c>
      <c r="F258" s="8">
        <v>116112</v>
      </c>
      <c r="G258" s="8">
        <v>170593</v>
      </c>
      <c r="H258" s="8">
        <v>1449672.89</v>
      </c>
      <c r="I258" s="8">
        <v>5002670.68</v>
      </c>
      <c r="J258" s="13">
        <v>0.40498770513245302</v>
      </c>
      <c r="K258" s="13">
        <v>0.224673852883504</v>
      </c>
      <c r="L258" s="7">
        <v>-1</v>
      </c>
      <c r="M258" s="13">
        <v>0.37044374199376601</v>
      </c>
      <c r="N258" s="13">
        <v>3.4543963138687399</v>
      </c>
      <c r="O258" s="7">
        <v>1</v>
      </c>
      <c r="P258" s="7" t="s">
        <v>160</v>
      </c>
      <c r="Q258" s="7" t="str">
        <f t="shared" si="3"/>
        <v>Yes</v>
      </c>
    </row>
    <row r="259" spans="1:17" ht="15" customHeight="1" x14ac:dyDescent="0.2">
      <c r="A259" s="7">
        <v>2018</v>
      </c>
      <c r="B259" s="7" t="s">
        <v>675</v>
      </c>
      <c r="C259" s="7">
        <v>16</v>
      </c>
      <c r="D259" s="7" t="s">
        <v>704</v>
      </c>
      <c r="E259" s="7" t="s">
        <v>705</v>
      </c>
      <c r="F259" s="8">
        <v>129681</v>
      </c>
      <c r="G259" s="8">
        <v>170029</v>
      </c>
      <c r="H259" s="8">
        <v>473098.14</v>
      </c>
      <c r="I259" s="8">
        <v>2225895.89</v>
      </c>
      <c r="J259" s="13">
        <v>0.43268826532314603</v>
      </c>
      <c r="K259" s="13">
        <v>0.17528684196459701</v>
      </c>
      <c r="L259" s="7">
        <v>0</v>
      </c>
      <c r="M259" s="13">
        <v>0.39375140558278199</v>
      </c>
      <c r="N259" s="13">
        <v>3.8936859740363601</v>
      </c>
      <c r="O259" s="7">
        <v>1</v>
      </c>
      <c r="P259" s="7" t="s">
        <v>160</v>
      </c>
      <c r="Q259" s="7" t="str">
        <f t="shared" si="3"/>
        <v>Yes</v>
      </c>
    </row>
    <row r="260" spans="1:17" ht="15" customHeight="1" x14ac:dyDescent="0.2">
      <c r="A260" s="7">
        <v>2018</v>
      </c>
      <c r="B260" s="7" t="s">
        <v>706</v>
      </c>
      <c r="C260" s="7">
        <v>1</v>
      </c>
      <c r="D260" s="7" t="s">
        <v>707</v>
      </c>
      <c r="E260" s="7" t="s">
        <v>708</v>
      </c>
      <c r="F260" s="8">
        <v>103042</v>
      </c>
      <c r="G260" s="8">
        <v>150129</v>
      </c>
      <c r="H260" s="8">
        <v>746228.18</v>
      </c>
      <c r="I260" s="8">
        <v>2874702.46</v>
      </c>
      <c r="J260" s="13">
        <v>0.40700554170896402</v>
      </c>
      <c r="K260" s="13">
        <v>0.20608739967468701</v>
      </c>
      <c r="L260" s="7">
        <v>0</v>
      </c>
      <c r="M260" s="13">
        <v>0.403919027885355</v>
      </c>
      <c r="N260" s="13">
        <v>0.30865138236082501</v>
      </c>
      <c r="O260" s="7">
        <v>1</v>
      </c>
      <c r="P260" s="7" t="s">
        <v>160</v>
      </c>
      <c r="Q260" s="7" t="str">
        <f t="shared" ref="Q260:Q323" si="4">IF(A260=2024,"No -- held out","Yes")</f>
        <v>Yes</v>
      </c>
    </row>
    <row r="261" spans="1:17" ht="15" customHeight="1" x14ac:dyDescent="0.2">
      <c r="A261" s="7">
        <v>2018</v>
      </c>
      <c r="B261" s="7" t="s">
        <v>706</v>
      </c>
      <c r="C261" s="7">
        <v>2</v>
      </c>
      <c r="D261" s="7" t="s">
        <v>709</v>
      </c>
      <c r="E261" s="7" t="s">
        <v>710</v>
      </c>
      <c r="F261" s="8">
        <v>65021</v>
      </c>
      <c r="G261" s="8">
        <v>140451</v>
      </c>
      <c r="H261" s="8">
        <v>128789.04</v>
      </c>
      <c r="I261" s="8">
        <v>1704272.83</v>
      </c>
      <c r="J261" s="13">
        <v>0.31644700981155599</v>
      </c>
      <c r="K261" s="13">
        <v>7.0258970582373195E-2</v>
      </c>
      <c r="L261" s="7">
        <v>-1</v>
      </c>
      <c r="M261" s="13">
        <v>0.31946959354125798</v>
      </c>
      <c r="N261" s="13">
        <v>-0.30225837297017699</v>
      </c>
      <c r="O261" s="7">
        <v>1</v>
      </c>
      <c r="P261" s="7" t="s">
        <v>160</v>
      </c>
      <c r="Q261" s="7" t="str">
        <f t="shared" si="4"/>
        <v>Yes</v>
      </c>
    </row>
    <row r="262" spans="1:17" ht="15" customHeight="1" x14ac:dyDescent="0.2">
      <c r="A262" s="7">
        <v>2018</v>
      </c>
      <c r="B262" s="7" t="s">
        <v>706</v>
      </c>
      <c r="C262" s="7">
        <v>4</v>
      </c>
      <c r="D262" s="7" t="s">
        <v>711</v>
      </c>
      <c r="E262" s="7" t="s">
        <v>712</v>
      </c>
      <c r="F262" s="8">
        <v>78088</v>
      </c>
      <c r="G262" s="8">
        <v>149227</v>
      </c>
      <c r="H262" s="8">
        <v>11619.58</v>
      </c>
      <c r="I262" s="8">
        <v>1995074.47</v>
      </c>
      <c r="J262" s="13">
        <v>0.34352330466533199</v>
      </c>
      <c r="K262" s="13">
        <v>5.7904093551281498E-3</v>
      </c>
      <c r="L262" s="7">
        <v>-1</v>
      </c>
      <c r="M262" s="13">
        <v>0.29818777172755101</v>
      </c>
      <c r="N262" s="13">
        <v>4.5335532937781799</v>
      </c>
      <c r="O262" s="7">
        <v>1</v>
      </c>
      <c r="P262" s="7" t="s">
        <v>160</v>
      </c>
      <c r="Q262" s="7" t="str">
        <f t="shared" si="4"/>
        <v>Yes</v>
      </c>
    </row>
    <row r="263" spans="1:17" ht="15" customHeight="1" x14ac:dyDescent="0.2">
      <c r="A263" s="7">
        <v>2018</v>
      </c>
      <c r="B263" s="7" t="s">
        <v>706</v>
      </c>
      <c r="C263" s="7">
        <v>5</v>
      </c>
      <c r="D263" s="7" t="s">
        <v>713</v>
      </c>
      <c r="E263" s="7" t="s">
        <v>714</v>
      </c>
      <c r="F263" s="8">
        <v>121149</v>
      </c>
      <c r="G263" s="8">
        <v>117811</v>
      </c>
      <c r="H263" s="8">
        <v>1615637.6</v>
      </c>
      <c r="I263" s="8">
        <v>1005249.88</v>
      </c>
      <c r="J263" s="13">
        <v>0.506984432541011</v>
      </c>
      <c r="K263" s="13">
        <v>0.61644676176636204</v>
      </c>
      <c r="L263" s="7">
        <v>-1</v>
      </c>
      <c r="M263" s="13">
        <v>0.49977253543299599</v>
      </c>
      <c r="N263" s="13">
        <v>0.72118971080155103</v>
      </c>
      <c r="O263" s="7">
        <v>0</v>
      </c>
      <c r="P263" s="7" t="s">
        <v>160</v>
      </c>
      <c r="Q263" s="7" t="str">
        <f t="shared" si="4"/>
        <v>Yes</v>
      </c>
    </row>
    <row r="264" spans="1:17" ht="15" customHeight="1" x14ac:dyDescent="0.2">
      <c r="A264" s="7">
        <v>2018</v>
      </c>
      <c r="B264" s="7" t="s">
        <v>715</v>
      </c>
      <c r="C264" s="7">
        <v>1</v>
      </c>
      <c r="D264" s="7" t="s">
        <v>716</v>
      </c>
      <c r="E264" s="7" t="s">
        <v>717</v>
      </c>
      <c r="F264" s="8">
        <v>160745</v>
      </c>
      <c r="G264" s="8">
        <v>169053</v>
      </c>
      <c r="H264" s="8">
        <v>16399480.23</v>
      </c>
      <c r="I264" s="8">
        <v>14517626.449999999</v>
      </c>
      <c r="J264" s="13">
        <v>0.48740441118502797</v>
      </c>
      <c r="K264" s="13">
        <v>0.53043385979609403</v>
      </c>
      <c r="L264" s="7">
        <v>-1</v>
      </c>
      <c r="M264" s="13">
        <v>0.47137867618493901</v>
      </c>
      <c r="N264" s="13">
        <v>1.6025735000089201</v>
      </c>
      <c r="O264" s="7">
        <v>1</v>
      </c>
      <c r="P264" s="7" t="s">
        <v>160</v>
      </c>
      <c r="Q264" s="7" t="str">
        <f t="shared" si="4"/>
        <v>Yes</v>
      </c>
    </row>
    <row r="265" spans="1:17" ht="15" customHeight="1" x14ac:dyDescent="0.2">
      <c r="A265" s="7">
        <v>2018</v>
      </c>
      <c r="B265" s="7" t="s">
        <v>715</v>
      </c>
      <c r="C265" s="7">
        <v>2</v>
      </c>
      <c r="D265" s="7" t="s">
        <v>718</v>
      </c>
      <c r="E265" s="7" t="s">
        <v>719</v>
      </c>
      <c r="F265" s="8">
        <v>159600</v>
      </c>
      <c r="G265" s="8">
        <v>42382</v>
      </c>
      <c r="H265" s="8">
        <v>977105.08</v>
      </c>
      <c r="I265" s="8">
        <v>73</v>
      </c>
      <c r="J265" s="13">
        <v>0.79016942103751797</v>
      </c>
      <c r="K265" s="13">
        <v>0.99992529509053296</v>
      </c>
      <c r="L265" s="7">
        <v>0</v>
      </c>
      <c r="M265" s="13">
        <v>0.66597414929030696</v>
      </c>
      <c r="N265" s="13">
        <v>12.4195271747211</v>
      </c>
      <c r="O265" s="7">
        <v>1</v>
      </c>
      <c r="P265" s="7" t="s">
        <v>160</v>
      </c>
      <c r="Q265" s="7" t="str">
        <f t="shared" si="4"/>
        <v>Yes</v>
      </c>
    </row>
    <row r="266" spans="1:17" ht="15" customHeight="1" x14ac:dyDescent="0.2">
      <c r="A266" s="7">
        <v>2018</v>
      </c>
      <c r="B266" s="7" t="s">
        <v>715</v>
      </c>
      <c r="C266" s="7">
        <v>3</v>
      </c>
      <c r="D266" s="7" t="s">
        <v>720</v>
      </c>
      <c r="E266" s="7" t="s">
        <v>721</v>
      </c>
      <c r="F266" s="8">
        <v>287610</v>
      </c>
      <c r="G266" s="8">
        <v>20387</v>
      </c>
      <c r="H266" s="8">
        <v>1139949.18</v>
      </c>
      <c r="I266" s="8">
        <v>11110.39</v>
      </c>
      <c r="J266" s="13">
        <v>0.93380779682919002</v>
      </c>
      <c r="K266" s="13">
        <v>0.99034768461201395</v>
      </c>
      <c r="L266" s="7">
        <v>1</v>
      </c>
      <c r="M266" s="13">
        <v>0.70242335893766505</v>
      </c>
      <c r="N266" s="13">
        <v>23.1384437891525</v>
      </c>
      <c r="O266" s="7">
        <v>1</v>
      </c>
      <c r="P266" s="7" t="s">
        <v>160</v>
      </c>
      <c r="Q266" s="7" t="str">
        <f t="shared" si="4"/>
        <v>Yes</v>
      </c>
    </row>
    <row r="267" spans="1:17" ht="15" customHeight="1" x14ac:dyDescent="0.2">
      <c r="A267" s="7">
        <v>2018</v>
      </c>
      <c r="B267" s="7" t="s">
        <v>715</v>
      </c>
      <c r="C267" s="7">
        <v>4</v>
      </c>
      <c r="D267" s="7" t="s">
        <v>722</v>
      </c>
      <c r="E267" s="7" t="s">
        <v>723</v>
      </c>
      <c r="F267" s="8">
        <v>211524</v>
      </c>
      <c r="G267" s="8">
        <v>121467</v>
      </c>
      <c r="H267" s="8">
        <v>1591429.27</v>
      </c>
      <c r="I267" s="8">
        <v>608337.27</v>
      </c>
      <c r="J267" s="13">
        <v>0.63522437543357002</v>
      </c>
      <c r="K267" s="13">
        <v>0.72345371250169099</v>
      </c>
      <c r="L267" s="7">
        <v>0</v>
      </c>
      <c r="M267" s="13">
        <v>0.57470766458515798</v>
      </c>
      <c r="N267" s="13">
        <v>6.0516710848411996</v>
      </c>
      <c r="O267" s="7">
        <v>1</v>
      </c>
      <c r="P267" s="7" t="s">
        <v>160</v>
      </c>
      <c r="Q267" s="7" t="str">
        <f t="shared" si="4"/>
        <v>Yes</v>
      </c>
    </row>
    <row r="268" spans="1:17" ht="15" customHeight="1" x14ac:dyDescent="0.2">
      <c r="A268" s="7">
        <v>2018</v>
      </c>
      <c r="B268" s="7" t="s">
        <v>715</v>
      </c>
      <c r="C268" s="7">
        <v>5</v>
      </c>
      <c r="D268" s="7" t="s">
        <v>724</v>
      </c>
      <c r="E268" s="7" t="s">
        <v>725</v>
      </c>
      <c r="F268" s="8">
        <v>198639</v>
      </c>
      <c r="G268" s="8">
        <v>106075</v>
      </c>
      <c r="H268" s="8">
        <v>1871634.83</v>
      </c>
      <c r="I268" s="8">
        <v>521352.29</v>
      </c>
      <c r="J268" s="13">
        <v>0.65188668718864295</v>
      </c>
      <c r="K268" s="13">
        <v>0.78213326530566496</v>
      </c>
      <c r="L268" s="7">
        <v>0</v>
      </c>
      <c r="M268" s="13">
        <v>0.59407846739368197</v>
      </c>
      <c r="N268" s="13">
        <v>5.7808219794960598</v>
      </c>
      <c r="O268" s="7">
        <v>1</v>
      </c>
      <c r="P268" s="7" t="s">
        <v>160</v>
      </c>
      <c r="Q268" s="7" t="str">
        <f t="shared" si="4"/>
        <v>Yes</v>
      </c>
    </row>
    <row r="269" spans="1:17" ht="15" customHeight="1" x14ac:dyDescent="0.2">
      <c r="A269" s="7">
        <v>2018</v>
      </c>
      <c r="B269" s="7" t="s">
        <v>715</v>
      </c>
      <c r="C269" s="7">
        <v>6</v>
      </c>
      <c r="D269" s="7" t="s">
        <v>726</v>
      </c>
      <c r="E269" s="7" t="s">
        <v>727</v>
      </c>
      <c r="F269" s="8">
        <v>177704</v>
      </c>
      <c r="G269" s="8">
        <v>124124</v>
      </c>
      <c r="H269" s="8">
        <v>3685331.85</v>
      </c>
      <c r="I269" s="8">
        <v>215091.85</v>
      </c>
      <c r="J269" s="13">
        <v>0.58875916084657498</v>
      </c>
      <c r="K269" s="13">
        <v>0.94485423468224805</v>
      </c>
      <c r="L269" s="7">
        <v>0</v>
      </c>
      <c r="M269" s="13">
        <v>0.64779455178742795</v>
      </c>
      <c r="N269" s="13">
        <v>-5.9035390940853496</v>
      </c>
      <c r="O269" s="7">
        <v>1</v>
      </c>
      <c r="P269" s="7" t="s">
        <v>160</v>
      </c>
      <c r="Q269" s="7" t="str">
        <f t="shared" si="4"/>
        <v>Yes</v>
      </c>
    </row>
    <row r="270" spans="1:17" ht="15" customHeight="1" x14ac:dyDescent="0.2">
      <c r="A270" s="7">
        <v>2018</v>
      </c>
      <c r="B270" s="7" t="s">
        <v>715</v>
      </c>
      <c r="C270" s="7">
        <v>7</v>
      </c>
      <c r="D270" s="7" t="s">
        <v>728</v>
      </c>
      <c r="E270" s="7" t="s">
        <v>729</v>
      </c>
      <c r="F270" s="8">
        <v>140813</v>
      </c>
      <c r="G270" s="8">
        <v>114437</v>
      </c>
      <c r="H270" s="8">
        <v>5575117.4000000004</v>
      </c>
      <c r="I270" s="8">
        <v>1312421.3600000001</v>
      </c>
      <c r="J270" s="13">
        <v>0.55166699314397705</v>
      </c>
      <c r="K270" s="13">
        <v>0.80944987669296298</v>
      </c>
      <c r="L270" s="7">
        <v>0</v>
      </c>
      <c r="M270" s="13">
        <v>0.603095998497712</v>
      </c>
      <c r="N270" s="13">
        <v>-5.1429005353735304</v>
      </c>
      <c r="O270" s="7">
        <v>1</v>
      </c>
      <c r="P270" s="7" t="s">
        <v>160</v>
      </c>
      <c r="Q270" s="7" t="str">
        <f t="shared" si="4"/>
        <v>Yes</v>
      </c>
    </row>
    <row r="271" spans="1:17" ht="15" customHeight="1" x14ac:dyDescent="0.2">
      <c r="A271" s="7">
        <v>2018</v>
      </c>
      <c r="B271" s="7" t="s">
        <v>715</v>
      </c>
      <c r="C271" s="7">
        <v>8</v>
      </c>
      <c r="D271" s="7" t="s">
        <v>730</v>
      </c>
      <c r="E271" s="7" t="s">
        <v>731</v>
      </c>
      <c r="F271" s="8">
        <v>135603</v>
      </c>
      <c r="G271" s="8">
        <v>112563</v>
      </c>
      <c r="H271" s="8">
        <v>2637563.15</v>
      </c>
      <c r="I271" s="8">
        <v>3544920.08</v>
      </c>
      <c r="J271" s="13">
        <v>0.54642054108943205</v>
      </c>
      <c r="K271" s="13">
        <v>0.426618730998159</v>
      </c>
      <c r="L271" s="7">
        <v>1</v>
      </c>
      <c r="M271" s="13">
        <v>0.51632987532867303</v>
      </c>
      <c r="N271" s="13">
        <v>3.0090665760758801</v>
      </c>
      <c r="O271" s="7">
        <v>1</v>
      </c>
      <c r="P271" s="7" t="s">
        <v>160</v>
      </c>
      <c r="Q271" s="7" t="str">
        <f t="shared" si="4"/>
        <v>Yes</v>
      </c>
    </row>
    <row r="272" spans="1:17" ht="15" customHeight="1" x14ac:dyDescent="0.2">
      <c r="A272" s="7">
        <v>2018</v>
      </c>
      <c r="B272" s="7" t="s">
        <v>715</v>
      </c>
      <c r="C272" s="7">
        <v>9</v>
      </c>
      <c r="D272" s="7" t="s">
        <v>732</v>
      </c>
      <c r="E272" s="7" t="s">
        <v>733</v>
      </c>
      <c r="F272" s="8">
        <v>100204</v>
      </c>
      <c r="G272" s="8">
        <v>148723</v>
      </c>
      <c r="H272" s="8">
        <v>1589354.88</v>
      </c>
      <c r="I272" s="8">
        <v>2393824.79</v>
      </c>
      <c r="J272" s="13">
        <v>0.40254371763609398</v>
      </c>
      <c r="K272" s="13">
        <v>0.399016617796706</v>
      </c>
      <c r="L272" s="7">
        <v>0</v>
      </c>
      <c r="M272" s="13">
        <v>0.46760720650404403</v>
      </c>
      <c r="N272" s="13">
        <v>-6.5063488867949797</v>
      </c>
      <c r="O272" s="7">
        <v>1</v>
      </c>
      <c r="P272" s="7" t="s">
        <v>160</v>
      </c>
      <c r="Q272" s="7" t="str">
        <f t="shared" si="4"/>
        <v>Yes</v>
      </c>
    </row>
    <row r="273" spans="1:17" ht="15" customHeight="1" x14ac:dyDescent="0.2">
      <c r="A273" s="7">
        <v>2018</v>
      </c>
      <c r="B273" s="7" t="s">
        <v>715</v>
      </c>
      <c r="C273" s="7">
        <v>10</v>
      </c>
      <c r="D273" s="7" t="s">
        <v>734</v>
      </c>
      <c r="E273" s="7" t="s">
        <v>735</v>
      </c>
      <c r="F273" s="8">
        <v>141668</v>
      </c>
      <c r="G273" s="8">
        <v>149365</v>
      </c>
      <c r="H273" s="8">
        <v>3370842.95</v>
      </c>
      <c r="I273" s="8">
        <v>3500135.54</v>
      </c>
      <c r="J273" s="13">
        <v>0.48677641367130198</v>
      </c>
      <c r="K273" s="13">
        <v>0.490591399013389</v>
      </c>
      <c r="L273" s="7">
        <v>-1</v>
      </c>
      <c r="M273" s="13">
        <v>0.45822621652311601</v>
      </c>
      <c r="N273" s="13">
        <v>2.8550197148186398</v>
      </c>
      <c r="O273" s="7">
        <v>1</v>
      </c>
      <c r="P273" s="7" t="s">
        <v>160</v>
      </c>
      <c r="Q273" s="7" t="str">
        <f t="shared" si="4"/>
        <v>Yes</v>
      </c>
    </row>
    <row r="274" spans="1:17" ht="15" customHeight="1" x14ac:dyDescent="0.2">
      <c r="A274" s="7">
        <v>2018</v>
      </c>
      <c r="B274" s="7" t="s">
        <v>715</v>
      </c>
      <c r="C274" s="7">
        <v>11</v>
      </c>
      <c r="D274" s="7" t="s">
        <v>736</v>
      </c>
      <c r="E274" s="7" t="s">
        <v>737</v>
      </c>
      <c r="F274" s="8">
        <v>113876</v>
      </c>
      <c r="G274" s="8">
        <v>163708</v>
      </c>
      <c r="H274" s="8">
        <v>2067315.97</v>
      </c>
      <c r="I274" s="8">
        <v>1914928.58</v>
      </c>
      <c r="J274" s="13">
        <v>0.41023978327281102</v>
      </c>
      <c r="K274" s="13">
        <v>0.51913335407791605</v>
      </c>
      <c r="L274" s="7">
        <v>-1</v>
      </c>
      <c r="M274" s="13">
        <v>0.46764824782542702</v>
      </c>
      <c r="N274" s="13">
        <v>-5.7408464552616101</v>
      </c>
      <c r="O274" s="7">
        <v>1</v>
      </c>
      <c r="P274" s="7" t="s">
        <v>160</v>
      </c>
      <c r="Q274" s="7" t="str">
        <f t="shared" si="4"/>
        <v>Yes</v>
      </c>
    </row>
    <row r="275" spans="1:17" ht="15" customHeight="1" x14ac:dyDescent="0.2">
      <c r="A275" s="7">
        <v>2018</v>
      </c>
      <c r="B275" s="7" t="s">
        <v>715</v>
      </c>
      <c r="C275" s="7">
        <v>12</v>
      </c>
      <c r="D275" s="7" t="s">
        <v>738</v>
      </c>
      <c r="E275" s="7" t="s">
        <v>739</v>
      </c>
      <c r="F275" s="8">
        <v>82825</v>
      </c>
      <c r="G275" s="8">
        <v>161047</v>
      </c>
      <c r="H275" s="8">
        <v>95828.26</v>
      </c>
      <c r="I275" s="8">
        <v>897952.71</v>
      </c>
      <c r="J275" s="13">
        <v>0.33962488518567102</v>
      </c>
      <c r="K275" s="13">
        <v>9.6427948303336897E-2</v>
      </c>
      <c r="L275" s="7">
        <v>-1</v>
      </c>
      <c r="M275" s="13">
        <v>0.32810827742534998</v>
      </c>
      <c r="N275" s="13">
        <v>1.15166077603213</v>
      </c>
      <c r="O275" s="7">
        <v>1</v>
      </c>
      <c r="P275" s="7" t="s">
        <v>160</v>
      </c>
      <c r="Q275" s="7" t="str">
        <f t="shared" si="4"/>
        <v>Yes</v>
      </c>
    </row>
    <row r="276" spans="1:17" ht="15" customHeight="1" x14ac:dyDescent="0.2">
      <c r="A276" s="7">
        <v>2018</v>
      </c>
      <c r="B276" s="7" t="s">
        <v>715</v>
      </c>
      <c r="C276" s="7">
        <v>13</v>
      </c>
      <c r="D276" s="7" t="s">
        <v>740</v>
      </c>
      <c r="E276" s="7" t="s">
        <v>741</v>
      </c>
      <c r="F276" s="8">
        <v>74733</v>
      </c>
      <c r="G276" s="8">
        <v>178533</v>
      </c>
      <c r="H276" s="8">
        <v>379903.09</v>
      </c>
      <c r="I276" s="8">
        <v>1498568.63</v>
      </c>
      <c r="J276" s="13">
        <v>0.29507711260098102</v>
      </c>
      <c r="K276" s="13">
        <v>0.202240516029701</v>
      </c>
      <c r="L276" s="7">
        <v>0</v>
      </c>
      <c r="M276" s="13">
        <v>0.40264912685588999</v>
      </c>
      <c r="N276" s="13">
        <v>-10.7572014254909</v>
      </c>
      <c r="O276" s="7">
        <v>1</v>
      </c>
      <c r="P276" s="7" t="s">
        <v>160</v>
      </c>
      <c r="Q276" s="7" t="str">
        <f t="shared" si="4"/>
        <v>Yes</v>
      </c>
    </row>
    <row r="277" spans="1:17" ht="15" customHeight="1" x14ac:dyDescent="0.2">
      <c r="A277" s="7">
        <v>2018</v>
      </c>
      <c r="B277" s="7" t="s">
        <v>715</v>
      </c>
      <c r="C277" s="7">
        <v>14</v>
      </c>
      <c r="D277" s="7" t="s">
        <v>742</v>
      </c>
      <c r="E277" s="7" t="s">
        <v>743</v>
      </c>
      <c r="F277" s="8">
        <v>110051</v>
      </c>
      <c r="G277" s="8">
        <v>151386</v>
      </c>
      <c r="H277" s="8">
        <v>666975.32999999996</v>
      </c>
      <c r="I277" s="8">
        <v>1419740.36</v>
      </c>
      <c r="J277" s="13">
        <v>0.42094653778921898</v>
      </c>
      <c r="K277" s="13">
        <v>0.31962923037205898</v>
      </c>
      <c r="L277" s="7">
        <v>0</v>
      </c>
      <c r="M277" s="13">
        <v>0.44140050666050701</v>
      </c>
      <c r="N277" s="13">
        <v>-2.0453968871288501</v>
      </c>
      <c r="O277" s="7">
        <v>1</v>
      </c>
      <c r="P277" s="7" t="s">
        <v>160</v>
      </c>
      <c r="Q277" s="7" t="str">
        <f t="shared" si="4"/>
        <v>Yes</v>
      </c>
    </row>
    <row r="278" spans="1:17" ht="15" customHeight="1" x14ac:dyDescent="0.2">
      <c r="A278" s="7">
        <v>2018</v>
      </c>
      <c r="B278" s="7" t="s">
        <v>715</v>
      </c>
      <c r="C278" s="7">
        <v>15</v>
      </c>
      <c r="D278" s="7" t="s">
        <v>744</v>
      </c>
      <c r="E278" s="7" t="s">
        <v>745</v>
      </c>
      <c r="F278" s="8">
        <v>78327</v>
      </c>
      <c r="G278" s="8">
        <v>165245</v>
      </c>
      <c r="H278" s="8">
        <v>147702.78</v>
      </c>
      <c r="I278" s="8">
        <v>1444397.39</v>
      </c>
      <c r="J278" s="13">
        <v>0.32157637166833603</v>
      </c>
      <c r="K278" s="13">
        <v>9.2772290828911905E-2</v>
      </c>
      <c r="L278" s="7">
        <v>-1</v>
      </c>
      <c r="M278" s="13">
        <v>0.32690150237869697</v>
      </c>
      <c r="N278" s="13">
        <v>-0.53251307103606205</v>
      </c>
      <c r="O278" s="7">
        <v>1</v>
      </c>
      <c r="P278" s="7" t="s">
        <v>160</v>
      </c>
      <c r="Q278" s="7" t="str">
        <f t="shared" si="4"/>
        <v>Yes</v>
      </c>
    </row>
    <row r="279" spans="1:17" ht="15" customHeight="1" x14ac:dyDescent="0.2">
      <c r="A279" s="7">
        <v>2018</v>
      </c>
      <c r="B279" s="7" t="s">
        <v>715</v>
      </c>
      <c r="C279" s="7">
        <v>16</v>
      </c>
      <c r="D279" s="7" t="s">
        <v>746</v>
      </c>
      <c r="E279" s="7" t="s">
        <v>747</v>
      </c>
      <c r="F279" s="8">
        <v>124109</v>
      </c>
      <c r="G279" s="8">
        <v>135348</v>
      </c>
      <c r="H279" s="8">
        <v>2661901.4900000002</v>
      </c>
      <c r="I279" s="8">
        <v>3295435.02</v>
      </c>
      <c r="J279" s="13">
        <v>0.478341305110288</v>
      </c>
      <c r="K279" s="13">
        <v>0.44682745141754598</v>
      </c>
      <c r="L279" s="7">
        <v>-1</v>
      </c>
      <c r="M279" s="13">
        <v>0.44377922845840401</v>
      </c>
      <c r="N279" s="13">
        <v>3.4562076651883999</v>
      </c>
      <c r="O279" s="7">
        <v>1</v>
      </c>
      <c r="P279" s="7" t="s">
        <v>160</v>
      </c>
      <c r="Q279" s="7" t="str">
        <f t="shared" si="4"/>
        <v>Yes</v>
      </c>
    </row>
    <row r="280" spans="1:17" ht="15" customHeight="1" x14ac:dyDescent="0.2">
      <c r="A280" s="7">
        <v>2018</v>
      </c>
      <c r="B280" s="7" t="s">
        <v>715</v>
      </c>
      <c r="C280" s="7">
        <v>17</v>
      </c>
      <c r="D280" s="7" t="s">
        <v>748</v>
      </c>
      <c r="E280" s="7" t="s">
        <v>749</v>
      </c>
      <c r="F280" s="8">
        <v>183162</v>
      </c>
      <c r="G280" s="8">
        <v>142417</v>
      </c>
      <c r="H280" s="8">
        <v>10455121.130000001</v>
      </c>
      <c r="I280" s="8">
        <v>11801568.390000001</v>
      </c>
      <c r="J280" s="13">
        <v>0.56257313893095096</v>
      </c>
      <c r="K280" s="13">
        <v>0.46975185238599698</v>
      </c>
      <c r="L280" s="7">
        <v>0</v>
      </c>
      <c r="M280" s="13">
        <v>0.49095773007434301</v>
      </c>
      <c r="N280" s="13">
        <v>7.1615408856607798</v>
      </c>
      <c r="O280" s="7">
        <v>0</v>
      </c>
      <c r="P280" s="7" t="s">
        <v>160</v>
      </c>
      <c r="Q280" s="7" t="str">
        <f t="shared" si="4"/>
        <v>Yes</v>
      </c>
    </row>
    <row r="281" spans="1:17" ht="15" customHeight="1" x14ac:dyDescent="0.2">
      <c r="A281" s="7">
        <v>2018</v>
      </c>
      <c r="B281" s="7" t="s">
        <v>750</v>
      </c>
      <c r="C281" s="7">
        <v>2</v>
      </c>
      <c r="D281" s="7" t="s">
        <v>751</v>
      </c>
      <c r="E281" s="7" t="s">
        <v>752</v>
      </c>
      <c r="F281" s="8">
        <v>126476</v>
      </c>
      <c r="G281" s="8">
        <v>72271</v>
      </c>
      <c r="H281" s="8">
        <v>767826.25</v>
      </c>
      <c r="I281" s="8">
        <v>3525.33</v>
      </c>
      <c r="J281" s="13">
        <v>0.63636683824158402</v>
      </c>
      <c r="K281" s="13">
        <v>0.99542967164208096</v>
      </c>
      <c r="L281" s="7">
        <v>1</v>
      </c>
      <c r="M281" s="13">
        <v>0.70410098195847703</v>
      </c>
      <c r="N281" s="13">
        <v>-6.77341437168936</v>
      </c>
      <c r="O281" s="7">
        <v>1</v>
      </c>
      <c r="P281" s="7" t="s">
        <v>160</v>
      </c>
      <c r="Q281" s="7" t="str">
        <f t="shared" si="4"/>
        <v>Yes</v>
      </c>
    </row>
    <row r="282" spans="1:17" ht="15" customHeight="1" x14ac:dyDescent="0.2">
      <c r="A282" s="7">
        <v>2018</v>
      </c>
      <c r="B282" s="7" t="s">
        <v>753</v>
      </c>
      <c r="C282" s="7">
        <v>1</v>
      </c>
      <c r="D282" s="7" t="s">
        <v>754</v>
      </c>
      <c r="E282" s="7" t="s">
        <v>755</v>
      </c>
      <c r="F282" s="8">
        <v>145455</v>
      </c>
      <c r="G282" s="8">
        <v>141473</v>
      </c>
      <c r="H282" s="8">
        <v>2973849.97</v>
      </c>
      <c r="I282" s="8">
        <v>1995780.01</v>
      </c>
      <c r="J282" s="13">
        <v>0.50693902303016802</v>
      </c>
      <c r="K282" s="13">
        <v>0.598404706581394</v>
      </c>
      <c r="L282" s="7">
        <v>0</v>
      </c>
      <c r="M282" s="13">
        <v>0.53342753344346505</v>
      </c>
      <c r="N282" s="13">
        <v>-2.6488510413297002</v>
      </c>
      <c r="O282" s="7">
        <v>1</v>
      </c>
      <c r="P282" s="7" t="s">
        <v>160</v>
      </c>
      <c r="Q282" s="7" t="str">
        <f t="shared" si="4"/>
        <v>Yes</v>
      </c>
    </row>
    <row r="283" spans="1:17" ht="15" customHeight="1" x14ac:dyDescent="0.2">
      <c r="A283" s="7">
        <v>2018</v>
      </c>
      <c r="B283" s="7" t="s">
        <v>753</v>
      </c>
      <c r="C283" s="7">
        <v>2</v>
      </c>
      <c r="D283" s="7" t="s">
        <v>756</v>
      </c>
      <c r="E283" s="7" t="s">
        <v>757</v>
      </c>
      <c r="F283" s="8">
        <v>109199</v>
      </c>
      <c r="G283" s="8">
        <v>144642</v>
      </c>
      <c r="H283" s="8">
        <v>165223.76</v>
      </c>
      <c r="I283" s="8">
        <v>1747837.39</v>
      </c>
      <c r="J283" s="13">
        <v>0.43018661287971599</v>
      </c>
      <c r="K283" s="13">
        <v>8.6366167647071806E-2</v>
      </c>
      <c r="L283" s="7">
        <v>-1</v>
      </c>
      <c r="M283" s="13">
        <v>0.32478676661482597</v>
      </c>
      <c r="N283" s="13">
        <v>10.539984626489</v>
      </c>
      <c r="O283" s="7">
        <v>1</v>
      </c>
      <c r="P283" s="7" t="s">
        <v>160</v>
      </c>
      <c r="Q283" s="7" t="str">
        <f t="shared" si="4"/>
        <v>Yes</v>
      </c>
    </row>
    <row r="284" spans="1:17" ht="15" customHeight="1" x14ac:dyDescent="0.2">
      <c r="A284" s="7">
        <v>2018</v>
      </c>
      <c r="B284" s="7" t="s">
        <v>753</v>
      </c>
      <c r="C284" s="7">
        <v>3</v>
      </c>
      <c r="D284" s="7" t="s">
        <v>758</v>
      </c>
      <c r="E284" s="7" t="s">
        <v>759</v>
      </c>
      <c r="F284" s="8">
        <v>70046</v>
      </c>
      <c r="G284" s="8">
        <v>153338</v>
      </c>
      <c r="H284" s="8">
        <v>311320.81</v>
      </c>
      <c r="I284" s="8">
        <v>718704.36</v>
      </c>
      <c r="J284" s="13">
        <v>0.31356766823049098</v>
      </c>
      <c r="K284" s="13">
        <v>0.302245827643222</v>
      </c>
      <c r="L284" s="7">
        <v>-1</v>
      </c>
      <c r="M284" s="13">
        <v>0.39605115300383298</v>
      </c>
      <c r="N284" s="13">
        <v>-8.2483484773341509</v>
      </c>
      <c r="O284" s="7">
        <v>1</v>
      </c>
      <c r="P284" s="7" t="s">
        <v>160</v>
      </c>
      <c r="Q284" s="7" t="str">
        <f t="shared" si="4"/>
        <v>Yes</v>
      </c>
    </row>
    <row r="285" spans="1:17" ht="15" customHeight="1" x14ac:dyDescent="0.2">
      <c r="A285" s="7">
        <v>2018</v>
      </c>
      <c r="B285" s="7" t="s">
        <v>753</v>
      </c>
      <c r="C285" s="7">
        <v>4</v>
      </c>
      <c r="D285" s="7" t="s">
        <v>760</v>
      </c>
      <c r="E285" s="7" t="s">
        <v>761</v>
      </c>
      <c r="F285" s="8">
        <v>89182</v>
      </c>
      <c r="G285" s="8">
        <v>145321</v>
      </c>
      <c r="H285" s="8">
        <v>541155.27</v>
      </c>
      <c r="I285" s="8">
        <v>1946302.85</v>
      </c>
      <c r="J285" s="13">
        <v>0.38030217097435898</v>
      </c>
      <c r="K285" s="13">
        <v>0.217553520056852</v>
      </c>
      <c r="L285" s="7">
        <v>0</v>
      </c>
      <c r="M285" s="13">
        <v>0.40770412757150498</v>
      </c>
      <c r="N285" s="13">
        <v>-2.74019565971463</v>
      </c>
      <c r="O285" s="7">
        <v>1</v>
      </c>
      <c r="P285" s="7" t="s">
        <v>160</v>
      </c>
      <c r="Q285" s="7" t="str">
        <f t="shared" si="4"/>
        <v>Yes</v>
      </c>
    </row>
    <row r="286" spans="1:17" ht="15" customHeight="1" x14ac:dyDescent="0.2">
      <c r="A286" s="7">
        <v>2018</v>
      </c>
      <c r="B286" s="7" t="s">
        <v>753</v>
      </c>
      <c r="C286" s="7">
        <v>5</v>
      </c>
      <c r="D286" s="7" t="s">
        <v>762</v>
      </c>
      <c r="E286" s="7" t="s">
        <v>763</v>
      </c>
      <c r="F286" s="8">
        <v>103129</v>
      </c>
      <c r="G286" s="8">
        <v>141757</v>
      </c>
      <c r="H286" s="8">
        <v>2381795.96</v>
      </c>
      <c r="I286" s="8">
        <v>2109490.84</v>
      </c>
      <c r="J286" s="13">
        <v>0.42113064854667098</v>
      </c>
      <c r="K286" s="13">
        <v>0.53031482202383495</v>
      </c>
      <c r="L286" s="7">
        <v>-1</v>
      </c>
      <c r="M286" s="13">
        <v>0.47133938043193802</v>
      </c>
      <c r="N286" s="13">
        <v>-5.0208731885267497</v>
      </c>
      <c r="O286" s="7">
        <v>1</v>
      </c>
      <c r="P286" s="7" t="s">
        <v>160</v>
      </c>
      <c r="Q286" s="7" t="str">
        <f t="shared" si="4"/>
        <v>Yes</v>
      </c>
    </row>
    <row r="287" spans="1:17" ht="15" customHeight="1" x14ac:dyDescent="0.2">
      <c r="A287" s="7">
        <v>2018</v>
      </c>
      <c r="B287" s="7" t="s">
        <v>753</v>
      </c>
      <c r="C287" s="7">
        <v>6</v>
      </c>
      <c r="D287" s="7" t="s">
        <v>764</v>
      </c>
      <c r="E287" s="7" t="s">
        <v>765</v>
      </c>
      <c r="F287" s="8">
        <v>144765</v>
      </c>
      <c r="G287" s="8">
        <v>58282</v>
      </c>
      <c r="H287" s="8">
        <v>2004887.08</v>
      </c>
      <c r="I287" s="8">
        <v>1666.28</v>
      </c>
      <c r="J287" s="13">
        <v>0.71296300856452</v>
      </c>
      <c r="K287" s="13">
        <v>0.99916958101727205</v>
      </c>
      <c r="L287" s="7">
        <v>1</v>
      </c>
      <c r="M287" s="13">
        <v>0.70533556953740095</v>
      </c>
      <c r="N287" s="13">
        <v>0.76274390271187098</v>
      </c>
      <c r="O287" s="7">
        <v>1</v>
      </c>
      <c r="P287" s="7" t="s">
        <v>160</v>
      </c>
      <c r="Q287" s="7" t="str">
        <f t="shared" si="4"/>
        <v>Yes</v>
      </c>
    </row>
    <row r="288" spans="1:17" ht="15" customHeight="1" x14ac:dyDescent="0.2">
      <c r="A288" s="7">
        <v>2018</v>
      </c>
      <c r="B288" s="7" t="s">
        <v>753</v>
      </c>
      <c r="C288" s="7">
        <v>7</v>
      </c>
      <c r="D288" s="7" t="s">
        <v>766</v>
      </c>
      <c r="E288" s="7" t="s">
        <v>767</v>
      </c>
      <c r="F288" s="8">
        <v>96564</v>
      </c>
      <c r="G288" s="8">
        <v>142681</v>
      </c>
      <c r="H288" s="8">
        <v>27529.15</v>
      </c>
      <c r="I288" s="8">
        <v>1134451.26</v>
      </c>
      <c r="J288" s="13">
        <v>0.403619720370332</v>
      </c>
      <c r="K288" s="13">
        <v>2.3691578414820301E-2</v>
      </c>
      <c r="L288" s="7">
        <v>-1</v>
      </c>
      <c r="M288" s="13">
        <v>0.304097155820093</v>
      </c>
      <c r="N288" s="13">
        <v>9.9522564550238197</v>
      </c>
      <c r="O288" s="7">
        <v>1</v>
      </c>
      <c r="P288" s="7" t="s">
        <v>160</v>
      </c>
      <c r="Q288" s="7" t="str">
        <f t="shared" si="4"/>
        <v>Yes</v>
      </c>
    </row>
    <row r="289" spans="1:17" ht="15" customHeight="1" x14ac:dyDescent="0.2">
      <c r="A289" s="7">
        <v>2018</v>
      </c>
      <c r="B289" s="7" t="s">
        <v>768</v>
      </c>
      <c r="C289" s="7">
        <v>0</v>
      </c>
      <c r="D289" s="7" t="s">
        <v>769</v>
      </c>
      <c r="E289" s="7" t="s">
        <v>770</v>
      </c>
      <c r="F289" s="8">
        <v>121033</v>
      </c>
      <c r="G289" s="8">
        <v>202695</v>
      </c>
      <c r="H289" s="8">
        <v>923824.02</v>
      </c>
      <c r="I289" s="8">
        <v>1788129.73</v>
      </c>
      <c r="J289" s="13">
        <v>0.37387251025552298</v>
      </c>
      <c r="K289" s="13">
        <v>0.34064888459104398</v>
      </c>
      <c r="L289" s="7">
        <v>0</v>
      </c>
      <c r="M289" s="13">
        <v>0.44833933897130401</v>
      </c>
      <c r="N289" s="13">
        <v>-7.4466828715780897</v>
      </c>
      <c r="O289" s="7">
        <v>1</v>
      </c>
      <c r="P289" s="7" t="s">
        <v>160</v>
      </c>
      <c r="Q289" s="7" t="str">
        <f t="shared" si="4"/>
        <v>Yes</v>
      </c>
    </row>
    <row r="290" spans="1:17" ht="15" customHeight="1" x14ac:dyDescent="0.2">
      <c r="A290" s="7">
        <v>2018</v>
      </c>
      <c r="B290" s="7" t="s">
        <v>771</v>
      </c>
      <c r="C290" s="7">
        <v>1</v>
      </c>
      <c r="D290" s="7" t="s">
        <v>772</v>
      </c>
      <c r="E290" s="7" t="s">
        <v>773</v>
      </c>
      <c r="F290" s="8">
        <v>47138</v>
      </c>
      <c r="G290" s="8">
        <v>172835</v>
      </c>
      <c r="H290" s="8">
        <v>163213.41</v>
      </c>
      <c r="I290" s="8">
        <v>615406.9</v>
      </c>
      <c r="J290" s="13">
        <v>0.21428993558300299</v>
      </c>
      <c r="K290" s="13">
        <v>0.20961874215688001</v>
      </c>
      <c r="L290" s="7">
        <v>-1</v>
      </c>
      <c r="M290" s="13">
        <v>0.365473874855887</v>
      </c>
      <c r="N290" s="13">
        <v>-15.118393927288301</v>
      </c>
      <c r="O290" s="7">
        <v>1</v>
      </c>
      <c r="P290" s="7" t="s">
        <v>160</v>
      </c>
      <c r="Q290" s="7" t="str">
        <f t="shared" si="4"/>
        <v>Yes</v>
      </c>
    </row>
    <row r="291" spans="1:17" ht="15" customHeight="1" x14ac:dyDescent="0.2">
      <c r="A291" s="7">
        <v>2018</v>
      </c>
      <c r="B291" s="7" t="s">
        <v>771</v>
      </c>
      <c r="C291" s="7">
        <v>2</v>
      </c>
      <c r="D291" s="7" t="s">
        <v>774</v>
      </c>
      <c r="E291" s="7" t="s">
        <v>775</v>
      </c>
      <c r="F291" s="8">
        <v>86668</v>
      </c>
      <c r="G291" s="8">
        <v>172856</v>
      </c>
      <c r="H291" s="8">
        <v>349061.94</v>
      </c>
      <c r="I291" s="8">
        <v>962214.66</v>
      </c>
      <c r="J291" s="13">
        <v>0.33394984664231397</v>
      </c>
      <c r="K291" s="13">
        <v>0.26620008318610999</v>
      </c>
      <c r="L291" s="7">
        <v>0</v>
      </c>
      <c r="M291" s="13">
        <v>0.42376292380734498</v>
      </c>
      <c r="N291" s="13">
        <v>-8.9813077165030695</v>
      </c>
      <c r="O291" s="7">
        <v>1</v>
      </c>
      <c r="P291" s="7" t="s">
        <v>160</v>
      </c>
      <c r="Q291" s="7" t="str">
        <f t="shared" si="4"/>
        <v>Yes</v>
      </c>
    </row>
    <row r="292" spans="1:17" ht="15" customHeight="1" x14ac:dyDescent="0.2">
      <c r="A292" s="7">
        <v>2018</v>
      </c>
      <c r="B292" s="7" t="s">
        <v>771</v>
      </c>
      <c r="C292" s="7">
        <v>3</v>
      </c>
      <c r="D292" s="7" t="s">
        <v>776</v>
      </c>
      <c r="E292" s="7" t="s">
        <v>777</v>
      </c>
      <c r="F292" s="8">
        <v>84731</v>
      </c>
      <c r="G292" s="8">
        <v>156512</v>
      </c>
      <c r="H292" s="8">
        <v>287917.21000000002</v>
      </c>
      <c r="I292" s="8">
        <v>603265.21</v>
      </c>
      <c r="J292" s="13">
        <v>0.35122677134673302</v>
      </c>
      <c r="K292" s="13">
        <v>0.32307326035448503</v>
      </c>
      <c r="L292" s="7">
        <v>-1</v>
      </c>
      <c r="M292" s="13">
        <v>0.40292653075944401</v>
      </c>
      <c r="N292" s="13">
        <v>-5.16997594127107</v>
      </c>
      <c r="O292" s="7">
        <v>1</v>
      </c>
      <c r="P292" s="7" t="s">
        <v>160</v>
      </c>
      <c r="Q292" s="7" t="str">
        <f t="shared" si="4"/>
        <v>Yes</v>
      </c>
    </row>
    <row r="293" spans="1:17" ht="15" customHeight="1" x14ac:dyDescent="0.2">
      <c r="A293" s="7">
        <v>2018</v>
      </c>
      <c r="B293" s="7" t="s">
        <v>771</v>
      </c>
      <c r="C293" s="7">
        <v>4</v>
      </c>
      <c r="D293" s="7" t="s">
        <v>778</v>
      </c>
      <c r="E293" s="7" t="s">
        <v>779</v>
      </c>
      <c r="F293" s="8">
        <v>78065</v>
      </c>
      <c r="G293" s="8">
        <v>147323</v>
      </c>
      <c r="H293" s="8">
        <v>579376.54</v>
      </c>
      <c r="I293" s="8">
        <v>277327</v>
      </c>
      <c r="J293" s="13">
        <v>0.34635827994391899</v>
      </c>
      <c r="K293" s="13">
        <v>0.67628591799679005</v>
      </c>
      <c r="L293" s="7">
        <v>-1</v>
      </c>
      <c r="M293" s="13">
        <v>0.51952613681847803</v>
      </c>
      <c r="N293" s="13">
        <v>-17.316785687455901</v>
      </c>
      <c r="O293" s="7">
        <v>0</v>
      </c>
      <c r="P293" s="7" t="s">
        <v>160</v>
      </c>
      <c r="Q293" s="7" t="str">
        <f t="shared" si="4"/>
        <v>Yes</v>
      </c>
    </row>
    <row r="294" spans="1:17" ht="15" customHeight="1" x14ac:dyDescent="0.2">
      <c r="A294" s="7">
        <v>2018</v>
      </c>
      <c r="B294" s="7" t="s">
        <v>771</v>
      </c>
      <c r="C294" s="7">
        <v>6</v>
      </c>
      <c r="D294" s="7" t="s">
        <v>780</v>
      </c>
      <c r="E294" s="7" t="s">
        <v>781</v>
      </c>
      <c r="F294" s="8">
        <v>70370</v>
      </c>
      <c r="G294" s="8">
        <v>172810</v>
      </c>
      <c r="H294" s="8">
        <v>43317.14</v>
      </c>
      <c r="I294" s="8">
        <v>5218355.24</v>
      </c>
      <c r="J294" s="13">
        <v>0.289374126161691</v>
      </c>
      <c r="K294" s="13">
        <v>8.23258022765758E-3</v>
      </c>
      <c r="L294" s="7">
        <v>0</v>
      </c>
      <c r="M294" s="13">
        <v>0.33860485098581899</v>
      </c>
      <c r="N294" s="13">
        <v>-4.9230724824127998</v>
      </c>
      <c r="O294" s="7">
        <v>1</v>
      </c>
      <c r="P294" s="7" t="s">
        <v>160</v>
      </c>
      <c r="Q294" s="7" t="str">
        <f t="shared" si="4"/>
        <v>Yes</v>
      </c>
    </row>
    <row r="295" spans="1:17" ht="15" customHeight="1" x14ac:dyDescent="0.2">
      <c r="A295" s="7">
        <v>2018</v>
      </c>
      <c r="B295" s="7" t="s">
        <v>771</v>
      </c>
      <c r="C295" s="7">
        <v>7</v>
      </c>
      <c r="D295" s="7" t="s">
        <v>782</v>
      </c>
      <c r="E295" s="7" t="s">
        <v>783</v>
      </c>
      <c r="F295" s="8">
        <v>81661</v>
      </c>
      <c r="G295" s="8">
        <v>170071</v>
      </c>
      <c r="H295" s="8">
        <v>492039.94</v>
      </c>
      <c r="I295" s="8">
        <v>2510949.13</v>
      </c>
      <c r="J295" s="13">
        <v>0.32439658049036302</v>
      </c>
      <c r="K295" s="13">
        <v>0.163850060233486</v>
      </c>
      <c r="L295" s="7">
        <v>0</v>
      </c>
      <c r="M295" s="13">
        <v>0.389975990926547</v>
      </c>
      <c r="N295" s="13">
        <v>-6.5579410436183796</v>
      </c>
      <c r="O295" s="7">
        <v>1</v>
      </c>
      <c r="P295" s="7" t="s">
        <v>160</v>
      </c>
      <c r="Q295" s="7" t="str">
        <f t="shared" si="4"/>
        <v>Yes</v>
      </c>
    </row>
    <row r="296" spans="1:17" ht="15" customHeight="1" x14ac:dyDescent="0.2">
      <c r="A296" s="7">
        <v>2018</v>
      </c>
      <c r="B296" s="7" t="s">
        <v>771</v>
      </c>
      <c r="C296" s="7">
        <v>8</v>
      </c>
      <c r="D296" s="7" t="s">
        <v>784</v>
      </c>
      <c r="E296" s="7" t="s">
        <v>785</v>
      </c>
      <c r="F296" s="8">
        <v>74755</v>
      </c>
      <c r="G296" s="8">
        <v>168030</v>
      </c>
      <c r="H296" s="8">
        <v>8093.54</v>
      </c>
      <c r="I296" s="8">
        <v>1862669.03</v>
      </c>
      <c r="J296" s="13">
        <v>0.30790617212760302</v>
      </c>
      <c r="K296" s="13">
        <v>4.3263320155053102E-3</v>
      </c>
      <c r="L296" s="7">
        <v>-1</v>
      </c>
      <c r="M296" s="13">
        <v>0.29770446277090201</v>
      </c>
      <c r="N296" s="13">
        <v>1.0201709356700199</v>
      </c>
      <c r="O296" s="7">
        <v>1</v>
      </c>
      <c r="P296" s="7" t="s">
        <v>160</v>
      </c>
      <c r="Q296" s="7" t="str">
        <f t="shared" si="4"/>
        <v>Yes</v>
      </c>
    </row>
    <row r="297" spans="1:17" ht="15" customHeight="1" x14ac:dyDescent="0.2">
      <c r="A297" s="7">
        <v>2018</v>
      </c>
      <c r="B297" s="7" t="s">
        <v>771</v>
      </c>
      <c r="C297" s="7">
        <v>9</v>
      </c>
      <c r="D297" s="7" t="s">
        <v>786</v>
      </c>
      <c r="E297" s="7" t="s">
        <v>787</v>
      </c>
      <c r="F297" s="8">
        <v>145139</v>
      </c>
      <c r="G297" s="8">
        <v>34901</v>
      </c>
      <c r="H297" s="8">
        <v>408236.66</v>
      </c>
      <c r="I297" s="8">
        <v>0</v>
      </c>
      <c r="J297" s="13">
        <v>0.80614863363696998</v>
      </c>
      <c r="K297" s="13">
        <v>1</v>
      </c>
      <c r="L297" s="7">
        <v>1</v>
      </c>
      <c r="M297" s="13">
        <v>0.70560970050115601</v>
      </c>
      <c r="N297" s="13">
        <v>10.053893313581399</v>
      </c>
      <c r="O297" s="7">
        <v>1</v>
      </c>
      <c r="P297" s="7" t="s">
        <v>160</v>
      </c>
      <c r="Q297" s="7" t="str">
        <f t="shared" si="4"/>
        <v>Yes</v>
      </c>
    </row>
    <row r="298" spans="1:17" ht="15" customHeight="1" x14ac:dyDescent="0.2">
      <c r="A298" s="7">
        <v>2018</v>
      </c>
      <c r="B298" s="7" t="s">
        <v>788</v>
      </c>
      <c r="C298" s="7">
        <v>1</v>
      </c>
      <c r="D298" s="7" t="s">
        <v>789</v>
      </c>
      <c r="E298" s="7" t="s">
        <v>790</v>
      </c>
      <c r="F298" s="8">
        <v>61263</v>
      </c>
      <c r="G298" s="8">
        <v>168165</v>
      </c>
      <c r="H298" s="8">
        <v>54332.69</v>
      </c>
      <c r="I298" s="8">
        <v>807821.44</v>
      </c>
      <c r="J298" s="13">
        <v>0.26702494900360901</v>
      </c>
      <c r="K298" s="13">
        <v>6.3019694633951406E-2</v>
      </c>
      <c r="L298" s="7">
        <v>-1</v>
      </c>
      <c r="M298" s="13">
        <v>0.31707982435978799</v>
      </c>
      <c r="N298" s="13">
        <v>-5.0054875356178803</v>
      </c>
      <c r="O298" s="7">
        <v>1</v>
      </c>
      <c r="P298" s="7" t="s">
        <v>160</v>
      </c>
      <c r="Q298" s="7" t="str">
        <f t="shared" si="4"/>
        <v>Yes</v>
      </c>
    </row>
    <row r="299" spans="1:17" ht="15" customHeight="1" x14ac:dyDescent="0.2">
      <c r="A299" s="7">
        <v>2018</v>
      </c>
      <c r="B299" s="7" t="s">
        <v>788</v>
      </c>
      <c r="C299" s="7">
        <v>2</v>
      </c>
      <c r="D299" s="7" t="s">
        <v>791</v>
      </c>
      <c r="E299" s="7" t="s">
        <v>792</v>
      </c>
      <c r="F299" s="8">
        <v>119992</v>
      </c>
      <c r="G299" s="8">
        <v>139188</v>
      </c>
      <c r="H299" s="8">
        <v>2146071.29</v>
      </c>
      <c r="I299" s="8">
        <v>3248020.12</v>
      </c>
      <c r="J299" s="13">
        <v>0.462967821591172</v>
      </c>
      <c r="K299" s="13">
        <v>0.39785593659414797</v>
      </c>
      <c r="L299" s="7">
        <v>0</v>
      </c>
      <c r="M299" s="13">
        <v>0.46722405214065899</v>
      </c>
      <c r="N299" s="13">
        <v>-0.42562305494869801</v>
      </c>
      <c r="O299" s="7">
        <v>1</v>
      </c>
      <c r="P299" s="7" t="s">
        <v>160</v>
      </c>
      <c r="Q299" s="7" t="str">
        <f t="shared" si="4"/>
        <v>Yes</v>
      </c>
    </row>
    <row r="300" spans="1:17" ht="15" customHeight="1" x14ac:dyDescent="0.2">
      <c r="A300" s="7">
        <v>2018</v>
      </c>
      <c r="B300" s="7" t="s">
        <v>788</v>
      </c>
      <c r="C300" s="7">
        <v>3</v>
      </c>
      <c r="D300" s="7" t="s">
        <v>793</v>
      </c>
      <c r="E300" s="7" t="s">
        <v>794</v>
      </c>
      <c r="F300" s="8">
        <v>138234</v>
      </c>
      <c r="G300" s="8">
        <v>169520</v>
      </c>
      <c r="H300" s="8">
        <v>323981.98</v>
      </c>
      <c r="I300" s="8">
        <v>4509090.59</v>
      </c>
      <c r="J300" s="13">
        <v>0.44917044132651401</v>
      </c>
      <c r="K300" s="13">
        <v>6.7034371056423001E-2</v>
      </c>
      <c r="L300" s="7">
        <v>0</v>
      </c>
      <c r="M300" s="13">
        <v>0.35801600598792299</v>
      </c>
      <c r="N300" s="13">
        <v>9.1154435338591409</v>
      </c>
      <c r="O300" s="7">
        <v>1</v>
      </c>
      <c r="P300" s="7" t="s">
        <v>160</v>
      </c>
      <c r="Q300" s="7" t="str">
        <f t="shared" si="4"/>
        <v>Yes</v>
      </c>
    </row>
    <row r="301" spans="1:17" ht="15" customHeight="1" x14ac:dyDescent="0.2">
      <c r="A301" s="7">
        <v>2018</v>
      </c>
      <c r="B301" s="7" t="s">
        <v>788</v>
      </c>
      <c r="C301" s="7">
        <v>4</v>
      </c>
      <c r="D301" s="7" t="s">
        <v>795</v>
      </c>
      <c r="E301" s="7" t="s">
        <v>796</v>
      </c>
      <c r="F301" s="8">
        <v>57400</v>
      </c>
      <c r="G301" s="8">
        <v>188667</v>
      </c>
      <c r="H301" s="8">
        <v>34031.58</v>
      </c>
      <c r="I301" s="8">
        <v>844334.99</v>
      </c>
      <c r="J301" s="13">
        <v>0.23326980050148899</v>
      </c>
      <c r="K301" s="13">
        <v>3.8744165775799103E-2</v>
      </c>
      <c r="L301" s="7">
        <v>-1</v>
      </c>
      <c r="M301" s="13">
        <v>0.30906618996562701</v>
      </c>
      <c r="N301" s="13">
        <v>-7.5796389464137697</v>
      </c>
      <c r="O301" s="7">
        <v>1</v>
      </c>
      <c r="P301" s="7" t="s">
        <v>160</v>
      </c>
      <c r="Q301" s="7" t="str">
        <f t="shared" si="4"/>
        <v>Yes</v>
      </c>
    </row>
    <row r="302" spans="1:17" ht="15" customHeight="1" x14ac:dyDescent="0.2">
      <c r="A302" s="7">
        <v>2018</v>
      </c>
      <c r="B302" s="7" t="s">
        <v>788</v>
      </c>
      <c r="C302" s="7">
        <v>5</v>
      </c>
      <c r="D302" s="7" t="s">
        <v>797</v>
      </c>
      <c r="E302" s="7" t="s">
        <v>798</v>
      </c>
      <c r="F302" s="8">
        <v>78666</v>
      </c>
      <c r="G302" s="8">
        <v>130617</v>
      </c>
      <c r="H302" s="8">
        <v>665257.56000000006</v>
      </c>
      <c r="I302" s="8">
        <v>1192819.4099999999</v>
      </c>
      <c r="J302" s="13">
        <v>0.37588337323146198</v>
      </c>
      <c r="K302" s="13">
        <v>0.35803552314627801</v>
      </c>
      <c r="L302" s="7">
        <v>0</v>
      </c>
      <c r="M302" s="13">
        <v>0.45407887056046897</v>
      </c>
      <c r="N302" s="13">
        <v>-7.8195497329007404</v>
      </c>
      <c r="O302" s="7">
        <v>1</v>
      </c>
      <c r="P302" s="7" t="s">
        <v>160</v>
      </c>
      <c r="Q302" s="7" t="str">
        <f t="shared" si="4"/>
        <v>Yes</v>
      </c>
    </row>
    <row r="303" spans="1:17" ht="15" customHeight="1" x14ac:dyDescent="0.2">
      <c r="A303" s="7">
        <v>2018</v>
      </c>
      <c r="B303" s="7" t="s">
        <v>788</v>
      </c>
      <c r="C303" s="7">
        <v>6</v>
      </c>
      <c r="D303" s="7" t="s">
        <v>799</v>
      </c>
      <c r="E303" s="7" t="s">
        <v>800</v>
      </c>
      <c r="F303" s="8">
        <v>116350</v>
      </c>
      <c r="G303" s="8">
        <v>135961</v>
      </c>
      <c r="H303" s="8">
        <v>721544.71</v>
      </c>
      <c r="I303" s="8">
        <v>843013.6</v>
      </c>
      <c r="J303" s="13">
        <v>0.46113724728608702</v>
      </c>
      <c r="K303" s="13">
        <v>0.461181092061695</v>
      </c>
      <c r="L303" s="7">
        <v>0</v>
      </c>
      <c r="M303" s="13">
        <v>0.48812842241557802</v>
      </c>
      <c r="N303" s="13">
        <v>-2.6991175129490999</v>
      </c>
      <c r="O303" s="7">
        <v>1</v>
      </c>
      <c r="P303" s="7" t="s">
        <v>160</v>
      </c>
      <c r="Q303" s="7" t="str">
        <f t="shared" si="4"/>
        <v>Yes</v>
      </c>
    </row>
    <row r="304" spans="1:17" ht="15" customHeight="1" x14ac:dyDescent="0.2">
      <c r="A304" s="7">
        <v>2018</v>
      </c>
      <c r="B304" s="7" t="s">
        <v>788</v>
      </c>
      <c r="C304" s="7">
        <v>7</v>
      </c>
      <c r="D304" s="7" t="s">
        <v>801</v>
      </c>
      <c r="E304" s="7" t="s">
        <v>802</v>
      </c>
      <c r="F304" s="8">
        <v>127959</v>
      </c>
      <c r="G304" s="8">
        <v>115642</v>
      </c>
      <c r="H304" s="8">
        <v>14273358.300000001</v>
      </c>
      <c r="I304" s="8">
        <v>9517732.6999999993</v>
      </c>
      <c r="J304" s="13">
        <v>0.52528109490519304</v>
      </c>
      <c r="K304" s="13">
        <v>0.59994551321753198</v>
      </c>
      <c r="L304" s="7">
        <v>-1</v>
      </c>
      <c r="M304" s="13">
        <v>0.49432528138179899</v>
      </c>
      <c r="N304" s="13">
        <v>3.0955813523393898</v>
      </c>
      <c r="O304" s="7">
        <v>0</v>
      </c>
      <c r="P304" s="7" t="s">
        <v>160</v>
      </c>
      <c r="Q304" s="7" t="str">
        <f t="shared" si="4"/>
        <v>Yes</v>
      </c>
    </row>
    <row r="305" spans="1:17" ht="15" customHeight="1" x14ac:dyDescent="0.2">
      <c r="A305" s="7">
        <v>2018</v>
      </c>
      <c r="B305" s="7" t="s">
        <v>788</v>
      </c>
      <c r="C305" s="7">
        <v>8</v>
      </c>
      <c r="D305" s="7" t="s">
        <v>803</v>
      </c>
      <c r="E305" s="7" t="s">
        <v>804</v>
      </c>
      <c r="F305" s="8">
        <v>67930</v>
      </c>
      <c r="G305" s="8">
        <v>200619</v>
      </c>
      <c r="H305" s="8">
        <v>31124.86</v>
      </c>
      <c r="I305" s="8">
        <v>6027150.1100000003</v>
      </c>
      <c r="J305" s="13">
        <v>0.252951975244741</v>
      </c>
      <c r="K305" s="13">
        <v>5.1375779663563204E-3</v>
      </c>
      <c r="L305" s="7">
        <v>-1</v>
      </c>
      <c r="M305" s="13">
        <v>0.297972264493858</v>
      </c>
      <c r="N305" s="13">
        <v>-4.5020289249116496</v>
      </c>
      <c r="O305" s="7">
        <v>1</v>
      </c>
      <c r="P305" s="7" t="s">
        <v>160</v>
      </c>
      <c r="Q305" s="7" t="str">
        <f t="shared" si="4"/>
        <v>Yes</v>
      </c>
    </row>
    <row r="306" spans="1:17" ht="15" customHeight="1" x14ac:dyDescent="0.2">
      <c r="A306" s="7">
        <v>2018</v>
      </c>
      <c r="B306" s="7" t="s">
        <v>788</v>
      </c>
      <c r="C306" s="7">
        <v>10</v>
      </c>
      <c r="D306" s="7" t="s">
        <v>805</v>
      </c>
      <c r="E306" s="7" t="s">
        <v>806</v>
      </c>
      <c r="F306" s="8">
        <v>144034</v>
      </c>
      <c r="G306" s="8">
        <v>157166</v>
      </c>
      <c r="H306" s="8">
        <v>499080</v>
      </c>
      <c r="I306" s="8">
        <v>1872464.93</v>
      </c>
      <c r="J306" s="13">
        <v>0.47820053120849898</v>
      </c>
      <c r="K306" s="13">
        <v>0.210445095805122</v>
      </c>
      <c r="L306" s="7">
        <v>-1</v>
      </c>
      <c r="M306" s="13">
        <v>0.36574666380544901</v>
      </c>
      <c r="N306" s="13">
        <v>11.245386740304999</v>
      </c>
      <c r="O306" s="7">
        <v>1</v>
      </c>
      <c r="P306" s="7" t="s">
        <v>160</v>
      </c>
      <c r="Q306" s="7" t="str">
        <f t="shared" si="4"/>
        <v>Yes</v>
      </c>
    </row>
    <row r="307" spans="1:17" ht="15" customHeight="1" x14ac:dyDescent="0.2">
      <c r="A307" s="7">
        <v>2018</v>
      </c>
      <c r="B307" s="7" t="s">
        <v>788</v>
      </c>
      <c r="C307" s="7">
        <v>11</v>
      </c>
      <c r="D307" s="7" t="s">
        <v>807</v>
      </c>
      <c r="E307" s="7" t="s">
        <v>808</v>
      </c>
      <c r="F307" s="8">
        <v>40631</v>
      </c>
      <c r="G307" s="8">
        <v>176603</v>
      </c>
      <c r="H307" s="8">
        <v>85913.37</v>
      </c>
      <c r="I307" s="8">
        <v>2487412.92</v>
      </c>
      <c r="J307" s="13">
        <v>0.18703794065385701</v>
      </c>
      <c r="K307" s="13">
        <v>3.3386115990755298E-2</v>
      </c>
      <c r="L307" s="7">
        <v>-1</v>
      </c>
      <c r="M307" s="13">
        <v>0.30729743541885901</v>
      </c>
      <c r="N307" s="13">
        <v>-12.0259494765002</v>
      </c>
      <c r="O307" s="7">
        <v>1</v>
      </c>
      <c r="P307" s="7" t="s">
        <v>160</v>
      </c>
      <c r="Q307" s="7" t="str">
        <f t="shared" si="4"/>
        <v>Yes</v>
      </c>
    </row>
    <row r="308" spans="1:17" ht="15" customHeight="1" x14ac:dyDescent="0.2">
      <c r="A308" s="7">
        <v>2018</v>
      </c>
      <c r="B308" s="7" t="s">
        <v>788</v>
      </c>
      <c r="C308" s="7">
        <v>12</v>
      </c>
      <c r="D308" s="7" t="s">
        <v>809</v>
      </c>
      <c r="E308" s="7" t="s">
        <v>810</v>
      </c>
      <c r="F308" s="8">
        <v>90994</v>
      </c>
      <c r="G308" s="8">
        <v>172557</v>
      </c>
      <c r="H308" s="8">
        <v>199315.04</v>
      </c>
      <c r="I308" s="8">
        <v>2115619.33</v>
      </c>
      <c r="J308" s="13">
        <v>0.34526144844830797</v>
      </c>
      <c r="K308" s="13">
        <v>8.6099650419031101E-2</v>
      </c>
      <c r="L308" s="7">
        <v>-1</v>
      </c>
      <c r="M308" s="13">
        <v>0.32469878617832298</v>
      </c>
      <c r="N308" s="13">
        <v>2.05626622699846</v>
      </c>
      <c r="O308" s="7">
        <v>1</v>
      </c>
      <c r="P308" s="7" t="s">
        <v>160</v>
      </c>
      <c r="Q308" s="7" t="str">
        <f t="shared" si="4"/>
        <v>Yes</v>
      </c>
    </row>
    <row r="309" spans="1:17" ht="15" customHeight="1" x14ac:dyDescent="0.2">
      <c r="A309" s="7">
        <v>2018</v>
      </c>
      <c r="B309" s="7" t="s">
        <v>788</v>
      </c>
      <c r="C309" s="7">
        <v>13</v>
      </c>
      <c r="D309" s="7" t="s">
        <v>811</v>
      </c>
      <c r="E309" s="7" t="s">
        <v>812</v>
      </c>
      <c r="F309" s="8">
        <v>35083</v>
      </c>
      <c r="G309" s="8">
        <v>169027</v>
      </c>
      <c r="H309" s="8">
        <v>46655.41</v>
      </c>
      <c r="I309" s="8">
        <v>1421352.26</v>
      </c>
      <c r="J309" s="13">
        <v>0.171882808289648</v>
      </c>
      <c r="K309" s="13">
        <v>3.1781448389843897E-2</v>
      </c>
      <c r="L309" s="7">
        <v>-1</v>
      </c>
      <c r="M309" s="13">
        <v>0.30676771598193198</v>
      </c>
      <c r="N309" s="13">
        <v>-13.488490769228401</v>
      </c>
      <c r="O309" s="7">
        <v>1</v>
      </c>
      <c r="P309" s="7" t="s">
        <v>160</v>
      </c>
      <c r="Q309" s="7" t="str">
        <f t="shared" si="4"/>
        <v>Yes</v>
      </c>
    </row>
    <row r="310" spans="1:17" ht="15" customHeight="1" x14ac:dyDescent="0.2">
      <c r="A310" s="7">
        <v>2018</v>
      </c>
      <c r="B310" s="7" t="s">
        <v>788</v>
      </c>
      <c r="C310" s="7">
        <v>14</v>
      </c>
      <c r="D310" s="7" t="s">
        <v>813</v>
      </c>
      <c r="E310" s="7" t="s">
        <v>814</v>
      </c>
      <c r="F310" s="8">
        <v>92212</v>
      </c>
      <c r="G310" s="8">
        <v>138942</v>
      </c>
      <c r="H310" s="8">
        <v>207745.09</v>
      </c>
      <c r="I310" s="8">
        <v>720259.46</v>
      </c>
      <c r="J310" s="13">
        <v>0.39892020038588999</v>
      </c>
      <c r="K310" s="13">
        <v>0.223862145934522</v>
      </c>
      <c r="L310" s="7">
        <v>-1</v>
      </c>
      <c r="M310" s="13">
        <v>0.37017578808996598</v>
      </c>
      <c r="N310" s="13">
        <v>2.8744412295923598</v>
      </c>
      <c r="O310" s="7">
        <v>1</v>
      </c>
      <c r="P310" s="7" t="s">
        <v>160</v>
      </c>
      <c r="Q310" s="7" t="str">
        <f t="shared" si="4"/>
        <v>Yes</v>
      </c>
    </row>
    <row r="311" spans="1:17" ht="15" customHeight="1" x14ac:dyDescent="0.2">
      <c r="A311" s="7">
        <v>2018</v>
      </c>
      <c r="B311" s="7" t="s">
        <v>788</v>
      </c>
      <c r="C311" s="7">
        <v>15</v>
      </c>
      <c r="D311" s="7" t="s">
        <v>815</v>
      </c>
      <c r="E311" s="7" t="s">
        <v>816</v>
      </c>
      <c r="F311" s="8">
        <v>98333</v>
      </c>
      <c r="G311" s="8">
        <v>63862</v>
      </c>
      <c r="H311" s="8">
        <v>457835.01</v>
      </c>
      <c r="I311" s="8">
        <v>22942</v>
      </c>
      <c r="J311" s="13">
        <v>0.60626406486019901</v>
      </c>
      <c r="K311" s="13">
        <v>0.95228141212492701</v>
      </c>
      <c r="L311" s="7">
        <v>1</v>
      </c>
      <c r="M311" s="13">
        <v>0.68985723968883295</v>
      </c>
      <c r="N311" s="13">
        <v>-8.3593174828633607</v>
      </c>
      <c r="O311" s="7">
        <v>1</v>
      </c>
      <c r="P311" s="7" t="s">
        <v>160</v>
      </c>
      <c r="Q311" s="7" t="str">
        <f t="shared" si="4"/>
        <v>Yes</v>
      </c>
    </row>
    <row r="312" spans="1:17" ht="15" customHeight="1" x14ac:dyDescent="0.2">
      <c r="A312" s="7">
        <v>2018</v>
      </c>
      <c r="B312" s="7" t="s">
        <v>788</v>
      </c>
      <c r="C312" s="7">
        <v>16</v>
      </c>
      <c r="D312" s="7" t="s">
        <v>817</v>
      </c>
      <c r="E312" s="7" t="s">
        <v>818</v>
      </c>
      <c r="F312" s="8">
        <v>124437</v>
      </c>
      <c r="G312" s="8">
        <v>49127</v>
      </c>
      <c r="H312" s="8">
        <v>1541462.14</v>
      </c>
      <c r="I312" s="8">
        <v>244816.83</v>
      </c>
      <c r="J312" s="13">
        <v>0.71695167200571597</v>
      </c>
      <c r="K312" s="13">
        <v>0.86294591488136896</v>
      </c>
      <c r="L312" s="7">
        <v>0</v>
      </c>
      <c r="M312" s="13">
        <v>0.62075566284870998</v>
      </c>
      <c r="N312" s="13">
        <v>9.61960091570052</v>
      </c>
      <c r="O312" s="7">
        <v>1</v>
      </c>
      <c r="P312" s="7" t="s">
        <v>160</v>
      </c>
      <c r="Q312" s="7" t="str">
        <f t="shared" si="4"/>
        <v>Yes</v>
      </c>
    </row>
    <row r="313" spans="1:17" ht="15" customHeight="1" x14ac:dyDescent="0.2">
      <c r="A313" s="7">
        <v>2018</v>
      </c>
      <c r="B313" s="7" t="s">
        <v>788</v>
      </c>
      <c r="C313" s="7">
        <v>17</v>
      </c>
      <c r="D313" s="7" t="s">
        <v>819</v>
      </c>
      <c r="E313" s="7" t="s">
        <v>820</v>
      </c>
      <c r="F313" s="8">
        <v>98070</v>
      </c>
      <c r="G313" s="8">
        <v>134841</v>
      </c>
      <c r="H313" s="8">
        <v>130830.84</v>
      </c>
      <c r="I313" s="8">
        <v>1358333.22</v>
      </c>
      <c r="J313" s="13">
        <v>0.421062122441619</v>
      </c>
      <c r="K313" s="13">
        <v>8.7855222613954301E-2</v>
      </c>
      <c r="L313" s="7">
        <v>-1</v>
      </c>
      <c r="M313" s="13">
        <v>0.325278320976715</v>
      </c>
      <c r="N313" s="13">
        <v>9.5783801464903995</v>
      </c>
      <c r="O313" s="7">
        <v>1</v>
      </c>
      <c r="P313" s="7" t="s">
        <v>160</v>
      </c>
      <c r="Q313" s="7" t="str">
        <f t="shared" si="4"/>
        <v>Yes</v>
      </c>
    </row>
    <row r="314" spans="1:17" ht="15" customHeight="1" x14ac:dyDescent="0.2">
      <c r="A314" s="7">
        <v>2018</v>
      </c>
      <c r="B314" s="7" t="s">
        <v>788</v>
      </c>
      <c r="C314" s="7">
        <v>18</v>
      </c>
      <c r="D314" s="7" t="s">
        <v>821</v>
      </c>
      <c r="E314" s="7" t="s">
        <v>822</v>
      </c>
      <c r="F314" s="8">
        <v>138704</v>
      </c>
      <c r="G314" s="8">
        <v>38368</v>
      </c>
      <c r="H314" s="8">
        <v>782558.08</v>
      </c>
      <c r="I314" s="8">
        <v>10287.27</v>
      </c>
      <c r="J314" s="13">
        <v>0.78331977952471299</v>
      </c>
      <c r="K314" s="13">
        <v>0.98702487187444599</v>
      </c>
      <c r="L314" s="7">
        <v>1</v>
      </c>
      <c r="M314" s="13">
        <v>0.701326459809546</v>
      </c>
      <c r="N314" s="13">
        <v>8.1993319715166795</v>
      </c>
      <c r="O314" s="7">
        <v>1</v>
      </c>
      <c r="P314" s="7" t="s">
        <v>160</v>
      </c>
      <c r="Q314" s="7" t="str">
        <f t="shared" si="4"/>
        <v>Yes</v>
      </c>
    </row>
    <row r="315" spans="1:17" ht="15" customHeight="1" x14ac:dyDescent="0.2">
      <c r="A315" s="7">
        <v>2018</v>
      </c>
      <c r="B315" s="7" t="s">
        <v>788</v>
      </c>
      <c r="C315" s="7">
        <v>19</v>
      </c>
      <c r="D315" s="7" t="s">
        <v>823</v>
      </c>
      <c r="E315" s="7" t="s">
        <v>824</v>
      </c>
      <c r="F315" s="8">
        <v>50039</v>
      </c>
      <c r="G315" s="8">
        <v>151946</v>
      </c>
      <c r="H315" s="8">
        <v>104056.9</v>
      </c>
      <c r="I315" s="8">
        <v>1091343.43</v>
      </c>
      <c r="J315" s="13">
        <v>0.24773621803599299</v>
      </c>
      <c r="K315" s="13">
        <v>8.7047742407767303E-2</v>
      </c>
      <c r="L315" s="7">
        <v>-1</v>
      </c>
      <c r="M315" s="13">
        <v>0.32501176236986801</v>
      </c>
      <c r="N315" s="13">
        <v>-7.7275544333875601</v>
      </c>
      <c r="O315" s="7">
        <v>1</v>
      </c>
      <c r="P315" s="7" t="s">
        <v>160</v>
      </c>
      <c r="Q315" s="7" t="str">
        <f t="shared" si="4"/>
        <v>Yes</v>
      </c>
    </row>
    <row r="316" spans="1:17" ht="15" customHeight="1" x14ac:dyDescent="0.2">
      <c r="A316" s="7">
        <v>2018</v>
      </c>
      <c r="B316" s="7" t="s">
        <v>788</v>
      </c>
      <c r="C316" s="7">
        <v>21</v>
      </c>
      <c r="D316" s="7" t="s">
        <v>825</v>
      </c>
      <c r="E316" s="7" t="s">
        <v>826</v>
      </c>
      <c r="F316" s="8">
        <v>168421</v>
      </c>
      <c r="G316" s="8">
        <v>177654</v>
      </c>
      <c r="H316" s="8">
        <v>3636557.53</v>
      </c>
      <c r="I316" s="8">
        <v>3264633.15</v>
      </c>
      <c r="J316" s="13">
        <v>0.48666040598136201</v>
      </c>
      <c r="K316" s="13">
        <v>0.52694639209708105</v>
      </c>
      <c r="L316" s="7">
        <v>0</v>
      </c>
      <c r="M316" s="13">
        <v>0.509838312790588</v>
      </c>
      <c r="N316" s="13">
        <v>-2.3177906809225299</v>
      </c>
      <c r="O316" s="7">
        <v>0</v>
      </c>
      <c r="P316" s="7" t="s">
        <v>160</v>
      </c>
      <c r="Q316" s="7" t="str">
        <f t="shared" si="4"/>
        <v>Yes</v>
      </c>
    </row>
    <row r="317" spans="1:17" ht="15" customHeight="1" x14ac:dyDescent="0.2">
      <c r="A317" s="7">
        <v>2018</v>
      </c>
      <c r="B317" s="7" t="s">
        <v>788</v>
      </c>
      <c r="C317" s="7">
        <v>22</v>
      </c>
      <c r="D317" s="7" t="s">
        <v>827</v>
      </c>
      <c r="E317" s="7" t="s">
        <v>828</v>
      </c>
      <c r="F317" s="8">
        <v>138153</v>
      </c>
      <c r="G317" s="8">
        <v>152750</v>
      </c>
      <c r="H317" s="8">
        <v>1647831.79</v>
      </c>
      <c r="I317" s="8">
        <v>1961074.06</v>
      </c>
      <c r="J317" s="13">
        <v>0.47491088094657002</v>
      </c>
      <c r="K317" s="13">
        <v>0.45660149044896797</v>
      </c>
      <c r="L317" s="7">
        <v>-1</v>
      </c>
      <c r="M317" s="13">
        <v>0.44700575241220702</v>
      </c>
      <c r="N317" s="13">
        <v>2.79051285343626</v>
      </c>
      <c r="O317" s="7">
        <v>1</v>
      </c>
      <c r="P317" s="7" t="s">
        <v>160</v>
      </c>
      <c r="Q317" s="7" t="str">
        <f t="shared" si="4"/>
        <v>Yes</v>
      </c>
    </row>
    <row r="318" spans="1:17" ht="15" customHeight="1" x14ac:dyDescent="0.2">
      <c r="A318" s="7">
        <v>2018</v>
      </c>
      <c r="B318" s="7" t="s">
        <v>788</v>
      </c>
      <c r="C318" s="7">
        <v>23</v>
      </c>
      <c r="D318" s="7" t="s">
        <v>829</v>
      </c>
      <c r="E318" s="7" t="s">
        <v>830</v>
      </c>
      <c r="F318" s="8">
        <v>102359</v>
      </c>
      <c r="G318" s="8">
        <v>103285</v>
      </c>
      <c r="H318" s="8">
        <v>9363324.0500000007</v>
      </c>
      <c r="I318" s="8">
        <v>9993159.0399999991</v>
      </c>
      <c r="J318" s="13">
        <v>0.49774853630546001</v>
      </c>
      <c r="K318" s="13">
        <v>0.48373064499703999</v>
      </c>
      <c r="L318" s="7">
        <v>-1</v>
      </c>
      <c r="M318" s="13">
        <v>0.45596140183353501</v>
      </c>
      <c r="N318" s="13">
        <v>4.1787134471925196</v>
      </c>
      <c r="O318" s="7">
        <v>1</v>
      </c>
      <c r="P318" s="7" t="s">
        <v>160</v>
      </c>
      <c r="Q318" s="7" t="str">
        <f t="shared" si="4"/>
        <v>Yes</v>
      </c>
    </row>
    <row r="319" spans="1:17" ht="15" customHeight="1" x14ac:dyDescent="0.2">
      <c r="A319" s="7">
        <v>2018</v>
      </c>
      <c r="B319" s="7" t="s">
        <v>788</v>
      </c>
      <c r="C319" s="7">
        <v>24</v>
      </c>
      <c r="D319" s="7" t="s">
        <v>831</v>
      </c>
      <c r="E319" s="7" t="s">
        <v>832</v>
      </c>
      <c r="F319" s="8">
        <v>125231</v>
      </c>
      <c r="G319" s="8">
        <v>133317</v>
      </c>
      <c r="H319" s="8">
        <v>95507.42</v>
      </c>
      <c r="I319" s="8">
        <v>1106791.83</v>
      </c>
      <c r="J319" s="13">
        <v>0.484362671534879</v>
      </c>
      <c r="K319" s="13">
        <v>7.9437311468006006E-2</v>
      </c>
      <c r="L319" s="7">
        <v>-1</v>
      </c>
      <c r="M319" s="13">
        <v>0.32249947060932099</v>
      </c>
      <c r="N319" s="13">
        <v>16.1863200925558</v>
      </c>
      <c r="O319" s="7">
        <v>1</v>
      </c>
      <c r="P319" s="7" t="s">
        <v>160</v>
      </c>
      <c r="Q319" s="7" t="str">
        <f t="shared" si="4"/>
        <v>Yes</v>
      </c>
    </row>
    <row r="320" spans="1:17" ht="15" customHeight="1" x14ac:dyDescent="0.2">
      <c r="A320" s="7">
        <v>2018</v>
      </c>
      <c r="B320" s="7" t="s">
        <v>788</v>
      </c>
      <c r="C320" s="7">
        <v>25</v>
      </c>
      <c r="D320" s="7" t="s">
        <v>833</v>
      </c>
      <c r="E320" s="7" t="s">
        <v>834</v>
      </c>
      <c r="F320" s="8">
        <v>136385</v>
      </c>
      <c r="G320" s="8">
        <v>163023</v>
      </c>
      <c r="H320" s="8">
        <v>663235.66</v>
      </c>
      <c r="I320" s="8">
        <v>1649622.9</v>
      </c>
      <c r="J320" s="13">
        <v>0.45551555068668798</v>
      </c>
      <c r="K320" s="13">
        <v>0.286760146716451</v>
      </c>
      <c r="L320" s="7">
        <v>-1</v>
      </c>
      <c r="M320" s="13">
        <v>0.390939149635465</v>
      </c>
      <c r="N320" s="13">
        <v>6.4576401051222998</v>
      </c>
      <c r="O320" s="7">
        <v>1</v>
      </c>
      <c r="P320" s="7" t="s">
        <v>160</v>
      </c>
      <c r="Q320" s="7" t="str">
        <f t="shared" si="4"/>
        <v>Yes</v>
      </c>
    </row>
    <row r="321" spans="1:17" ht="15" customHeight="1" x14ac:dyDescent="0.2">
      <c r="A321" s="7">
        <v>2018</v>
      </c>
      <c r="B321" s="7" t="s">
        <v>788</v>
      </c>
      <c r="C321" s="7">
        <v>26</v>
      </c>
      <c r="D321" s="7" t="s">
        <v>835</v>
      </c>
      <c r="E321" s="7" t="s">
        <v>836</v>
      </c>
      <c r="F321" s="8">
        <v>121938</v>
      </c>
      <c r="G321" s="8">
        <v>185551</v>
      </c>
      <c r="H321" s="8">
        <v>107054.16</v>
      </c>
      <c r="I321" s="8">
        <v>1747028.74</v>
      </c>
      <c r="J321" s="13">
        <v>0.39656052736845898</v>
      </c>
      <c r="K321" s="13">
        <v>5.7739683592357198E-2</v>
      </c>
      <c r="L321" s="7">
        <v>-1</v>
      </c>
      <c r="M321" s="13">
        <v>0.315336831309803</v>
      </c>
      <c r="N321" s="13">
        <v>8.1223696058655808</v>
      </c>
      <c r="O321" s="7">
        <v>1</v>
      </c>
      <c r="P321" s="7" t="s">
        <v>160</v>
      </c>
      <c r="Q321" s="7" t="str">
        <f t="shared" si="4"/>
        <v>Yes</v>
      </c>
    </row>
    <row r="322" spans="1:17" ht="15" customHeight="1" x14ac:dyDescent="0.2">
      <c r="A322" s="7">
        <v>2018</v>
      </c>
      <c r="B322" s="7" t="s">
        <v>788</v>
      </c>
      <c r="C322" s="7">
        <v>27</v>
      </c>
      <c r="D322" s="7" t="s">
        <v>837</v>
      </c>
      <c r="E322" s="7" t="s">
        <v>838</v>
      </c>
      <c r="F322" s="8">
        <v>75929</v>
      </c>
      <c r="G322" s="8">
        <v>125118</v>
      </c>
      <c r="H322" s="8">
        <v>198801.62</v>
      </c>
      <c r="I322" s="8">
        <v>1238425.95</v>
      </c>
      <c r="J322" s="13">
        <v>0.377667908499008</v>
      </c>
      <c r="K322" s="13">
        <v>0.138322993623063</v>
      </c>
      <c r="L322" s="7">
        <v>0</v>
      </c>
      <c r="M322" s="13">
        <v>0.38154920936530301</v>
      </c>
      <c r="N322" s="13">
        <v>-0.38813008662951198</v>
      </c>
      <c r="O322" s="7">
        <v>1</v>
      </c>
      <c r="P322" s="7" t="s">
        <v>160</v>
      </c>
      <c r="Q322" s="7" t="str">
        <f t="shared" si="4"/>
        <v>Yes</v>
      </c>
    </row>
    <row r="323" spans="1:17" ht="15" customHeight="1" x14ac:dyDescent="0.2">
      <c r="A323" s="7">
        <v>2018</v>
      </c>
      <c r="B323" s="7" t="s">
        <v>788</v>
      </c>
      <c r="C323" s="7">
        <v>29</v>
      </c>
      <c r="D323" s="7" t="s">
        <v>839</v>
      </c>
      <c r="E323" s="7" t="s">
        <v>840</v>
      </c>
      <c r="F323" s="8">
        <v>88188</v>
      </c>
      <c r="G323" s="8">
        <v>28098</v>
      </c>
      <c r="H323" s="8">
        <v>1215868.57</v>
      </c>
      <c r="I323" s="8">
        <v>98484.59</v>
      </c>
      <c r="J323" s="13">
        <v>0.75837160105257695</v>
      </c>
      <c r="K323" s="13">
        <v>0.925069918042423</v>
      </c>
      <c r="L323" s="7">
        <v>0</v>
      </c>
      <c r="M323" s="13">
        <v>0.64126351877816801</v>
      </c>
      <c r="N323" s="13">
        <v>11.710808227440999</v>
      </c>
      <c r="O323" s="7">
        <v>1</v>
      </c>
      <c r="P323" s="7" t="s">
        <v>160</v>
      </c>
      <c r="Q323" s="7" t="str">
        <f t="shared" si="4"/>
        <v>Yes</v>
      </c>
    </row>
    <row r="324" spans="1:17" ht="15" customHeight="1" x14ac:dyDescent="0.2">
      <c r="A324" s="7">
        <v>2018</v>
      </c>
      <c r="B324" s="7" t="s">
        <v>788</v>
      </c>
      <c r="C324" s="7">
        <v>31</v>
      </c>
      <c r="D324" s="7" t="s">
        <v>841</v>
      </c>
      <c r="E324" s="7" t="s">
        <v>842</v>
      </c>
      <c r="F324" s="8">
        <v>136362</v>
      </c>
      <c r="G324" s="8">
        <v>144680</v>
      </c>
      <c r="H324" s="8">
        <v>5325461.18</v>
      </c>
      <c r="I324" s="8">
        <v>1982384.48</v>
      </c>
      <c r="J324" s="13">
        <v>0.48520150013165297</v>
      </c>
      <c r="K324" s="13">
        <v>0.72873202688848204</v>
      </c>
      <c r="L324" s="7">
        <v>-1</v>
      </c>
      <c r="M324" s="13">
        <v>0.53683920729822598</v>
      </c>
      <c r="N324" s="13">
        <v>-5.1637707166573401</v>
      </c>
      <c r="O324" s="7">
        <v>0</v>
      </c>
      <c r="P324" s="7" t="s">
        <v>160</v>
      </c>
      <c r="Q324" s="7" t="str">
        <f t="shared" ref="Q324:Q387" si="5">IF(A324=2024,"No -- held out","Yes")</f>
        <v>Yes</v>
      </c>
    </row>
    <row r="325" spans="1:17" ht="15" customHeight="1" x14ac:dyDescent="0.2">
      <c r="A325" s="7">
        <v>2018</v>
      </c>
      <c r="B325" s="7" t="s">
        <v>788</v>
      </c>
      <c r="C325" s="7">
        <v>32</v>
      </c>
      <c r="D325" s="7" t="s">
        <v>843</v>
      </c>
      <c r="E325" s="7" t="s">
        <v>844</v>
      </c>
      <c r="F325" s="8">
        <v>144067</v>
      </c>
      <c r="G325" s="8">
        <v>126101</v>
      </c>
      <c r="H325" s="8">
        <v>14174736.34</v>
      </c>
      <c r="I325" s="8">
        <v>11187668.949999999</v>
      </c>
      <c r="J325" s="13">
        <v>0.533249681679548</v>
      </c>
      <c r="K325" s="13">
        <v>0.55888769925102</v>
      </c>
      <c r="L325" s="7">
        <v>-1</v>
      </c>
      <c r="M325" s="13">
        <v>0.48077161949975999</v>
      </c>
      <c r="N325" s="13">
        <v>5.2478062179787601</v>
      </c>
      <c r="O325" s="7">
        <v>0</v>
      </c>
      <c r="P325" s="7" t="s">
        <v>160</v>
      </c>
      <c r="Q325" s="7" t="str">
        <f t="shared" si="5"/>
        <v>Yes</v>
      </c>
    </row>
    <row r="326" spans="1:17" ht="15" customHeight="1" x14ac:dyDescent="0.2">
      <c r="A326" s="7">
        <v>2018</v>
      </c>
      <c r="B326" s="7" t="s">
        <v>788</v>
      </c>
      <c r="C326" s="7">
        <v>33</v>
      </c>
      <c r="D326" s="7" t="s">
        <v>845</v>
      </c>
      <c r="E326" s="7" t="s">
        <v>846</v>
      </c>
      <c r="F326" s="8">
        <v>90805</v>
      </c>
      <c r="G326" s="8">
        <v>26120</v>
      </c>
      <c r="H326" s="8">
        <v>1495925.07</v>
      </c>
      <c r="I326" s="8">
        <v>60106.18</v>
      </c>
      <c r="J326" s="13">
        <v>0.77660893735300396</v>
      </c>
      <c r="K326" s="13">
        <v>0.96137212539915295</v>
      </c>
      <c r="L326" s="7">
        <v>1</v>
      </c>
      <c r="M326" s="13">
        <v>0.69285818986328496</v>
      </c>
      <c r="N326" s="13">
        <v>8.3750747489719206</v>
      </c>
      <c r="O326" s="7">
        <v>1</v>
      </c>
      <c r="P326" s="7" t="s">
        <v>160</v>
      </c>
      <c r="Q326" s="7" t="str">
        <f t="shared" si="5"/>
        <v>Yes</v>
      </c>
    </row>
    <row r="327" spans="1:17" ht="15" customHeight="1" x14ac:dyDescent="0.2">
      <c r="A327" s="7">
        <v>2018</v>
      </c>
      <c r="B327" s="7" t="s">
        <v>788</v>
      </c>
      <c r="C327" s="7">
        <v>34</v>
      </c>
      <c r="D327" s="7" t="s">
        <v>847</v>
      </c>
      <c r="E327" s="7" t="s">
        <v>848</v>
      </c>
      <c r="F327" s="8">
        <v>85825</v>
      </c>
      <c r="G327" s="8">
        <v>57243</v>
      </c>
      <c r="H327" s="8">
        <v>726644.62</v>
      </c>
      <c r="I327" s="8">
        <v>95421.53</v>
      </c>
      <c r="J327" s="13">
        <v>0.59988956300500496</v>
      </c>
      <c r="K327" s="13">
        <v>0.88392475471712295</v>
      </c>
      <c r="L327" s="7">
        <v>1</v>
      </c>
      <c r="M327" s="13">
        <v>0.66729191210837702</v>
      </c>
      <c r="N327" s="13">
        <v>-6.7402349103371799</v>
      </c>
      <c r="O327" s="7">
        <v>1</v>
      </c>
      <c r="P327" s="7" t="s">
        <v>160</v>
      </c>
      <c r="Q327" s="7" t="str">
        <f t="shared" si="5"/>
        <v>Yes</v>
      </c>
    </row>
    <row r="328" spans="1:17" ht="15" customHeight="1" x14ac:dyDescent="0.2">
      <c r="A328" s="7">
        <v>2018</v>
      </c>
      <c r="B328" s="7" t="s">
        <v>788</v>
      </c>
      <c r="C328" s="7">
        <v>35</v>
      </c>
      <c r="D328" s="7" t="s">
        <v>849</v>
      </c>
      <c r="E328" s="7" t="s">
        <v>850</v>
      </c>
      <c r="F328" s="8">
        <v>138278</v>
      </c>
      <c r="G328" s="8">
        <v>50553</v>
      </c>
      <c r="H328" s="8">
        <v>513721.58</v>
      </c>
      <c r="I328" s="8">
        <v>46370.89</v>
      </c>
      <c r="J328" s="13">
        <v>0.732284423638068</v>
      </c>
      <c r="K328" s="13">
        <v>0.91720851023046301</v>
      </c>
      <c r="L328" s="7">
        <v>1</v>
      </c>
      <c r="M328" s="13">
        <v>0.67827926688474705</v>
      </c>
      <c r="N328" s="13">
        <v>5.4005156753321399</v>
      </c>
      <c r="O328" s="7">
        <v>1</v>
      </c>
      <c r="P328" s="7" t="s">
        <v>160</v>
      </c>
      <c r="Q328" s="7" t="str">
        <f t="shared" si="5"/>
        <v>Yes</v>
      </c>
    </row>
    <row r="329" spans="1:17" ht="15" customHeight="1" x14ac:dyDescent="0.2">
      <c r="A329" s="7">
        <v>2018</v>
      </c>
      <c r="B329" s="7" t="s">
        <v>788</v>
      </c>
      <c r="C329" s="7">
        <v>36</v>
      </c>
      <c r="D329" s="7" t="s">
        <v>851</v>
      </c>
      <c r="E329" s="7" t="s">
        <v>852</v>
      </c>
      <c r="F329" s="8">
        <v>60908</v>
      </c>
      <c r="G329" s="8">
        <v>161048</v>
      </c>
      <c r="H329" s="8">
        <v>902764.18</v>
      </c>
      <c r="I329" s="8">
        <v>1003546.7</v>
      </c>
      <c r="J329" s="13">
        <v>0.27441474886914502</v>
      </c>
      <c r="K329" s="13">
        <v>0.47356608487698498</v>
      </c>
      <c r="L329" s="7">
        <v>-1</v>
      </c>
      <c r="M329" s="13">
        <v>0.45260596232671502</v>
      </c>
      <c r="N329" s="13">
        <v>-17.819121345757001</v>
      </c>
      <c r="O329" s="7">
        <v>1</v>
      </c>
      <c r="P329" s="7" t="s">
        <v>160</v>
      </c>
      <c r="Q329" s="7" t="str">
        <f t="shared" si="5"/>
        <v>Yes</v>
      </c>
    </row>
    <row r="330" spans="1:17" ht="15" customHeight="1" x14ac:dyDescent="0.2">
      <c r="A330" s="7">
        <v>2018</v>
      </c>
      <c r="B330" s="7" t="s">
        <v>853</v>
      </c>
      <c r="C330" s="7">
        <v>1</v>
      </c>
      <c r="D330" s="7" t="s">
        <v>854</v>
      </c>
      <c r="E330" s="7" t="s">
        <v>855</v>
      </c>
      <c r="F330" s="8">
        <v>63308</v>
      </c>
      <c r="G330" s="8">
        <v>156692</v>
      </c>
      <c r="H330" s="8">
        <v>26047</v>
      </c>
      <c r="I330" s="8">
        <v>1043801.42</v>
      </c>
      <c r="J330" s="13">
        <v>0.287763636363636</v>
      </c>
      <c r="K330" s="13">
        <v>2.4346439657311501E-2</v>
      </c>
      <c r="L330" s="7">
        <v>-1</v>
      </c>
      <c r="M330" s="13">
        <v>0.30431333313210601</v>
      </c>
      <c r="N330" s="13">
        <v>-1.65496967684692</v>
      </c>
      <c r="O330" s="7">
        <v>1</v>
      </c>
      <c r="P330" s="7" t="s">
        <v>160</v>
      </c>
      <c r="Q330" s="7" t="str">
        <f t="shared" si="5"/>
        <v>Yes</v>
      </c>
    </row>
    <row r="331" spans="1:17" ht="15" customHeight="1" x14ac:dyDescent="0.2">
      <c r="A331" s="7">
        <v>2018</v>
      </c>
      <c r="B331" s="7" t="s">
        <v>853</v>
      </c>
      <c r="C331" s="7">
        <v>2</v>
      </c>
      <c r="D331" s="7" t="s">
        <v>856</v>
      </c>
      <c r="E331" s="7" t="s">
        <v>857</v>
      </c>
      <c r="F331" s="8">
        <v>105051</v>
      </c>
      <c r="G331" s="8">
        <v>151489</v>
      </c>
      <c r="H331" s="8">
        <v>443610.65</v>
      </c>
      <c r="I331" s="8">
        <v>938943.7</v>
      </c>
      <c r="J331" s="13">
        <v>0.40949169720121598</v>
      </c>
      <c r="K331" s="13">
        <v>0.32086308216382198</v>
      </c>
      <c r="L331" s="7">
        <v>-1</v>
      </c>
      <c r="M331" s="13">
        <v>0.40219692523490902</v>
      </c>
      <c r="N331" s="13">
        <v>0.72947719663072297</v>
      </c>
      <c r="O331" s="7">
        <v>1</v>
      </c>
      <c r="P331" s="7" t="s">
        <v>160</v>
      </c>
      <c r="Q331" s="7" t="str">
        <f t="shared" si="5"/>
        <v>Yes</v>
      </c>
    </row>
    <row r="332" spans="1:17" ht="15" customHeight="1" x14ac:dyDescent="0.2">
      <c r="A332" s="7">
        <v>2018</v>
      </c>
      <c r="B332" s="7" t="s">
        <v>853</v>
      </c>
      <c r="C332" s="7">
        <v>3</v>
      </c>
      <c r="D332" s="7" t="s">
        <v>858</v>
      </c>
      <c r="E332" s="7" t="s">
        <v>859</v>
      </c>
      <c r="F332" s="8">
        <v>70686</v>
      </c>
      <c r="G332" s="8">
        <v>174856</v>
      </c>
      <c r="H332" s="8">
        <v>281832.5</v>
      </c>
      <c r="I332" s="8">
        <v>1463994.23</v>
      </c>
      <c r="J332" s="13">
        <v>0.28787743033778301</v>
      </c>
      <c r="K332" s="13">
        <v>0.16143211417091799</v>
      </c>
      <c r="L332" s="7">
        <v>-1</v>
      </c>
      <c r="M332" s="13">
        <v>0.34956690855977501</v>
      </c>
      <c r="N332" s="13">
        <v>-6.1689478221991099</v>
      </c>
      <c r="O332" s="7">
        <v>1</v>
      </c>
      <c r="P332" s="7" t="s">
        <v>160</v>
      </c>
      <c r="Q332" s="7" t="str">
        <f t="shared" si="5"/>
        <v>Yes</v>
      </c>
    </row>
    <row r="333" spans="1:17" ht="15" customHeight="1" x14ac:dyDescent="0.2">
      <c r="A333" s="7">
        <v>2018</v>
      </c>
      <c r="B333" s="7" t="s">
        <v>853</v>
      </c>
      <c r="C333" s="7">
        <v>4</v>
      </c>
      <c r="D333" s="7" t="s">
        <v>860</v>
      </c>
      <c r="E333" s="7" t="s">
        <v>861</v>
      </c>
      <c r="F333" s="8">
        <v>134964</v>
      </c>
      <c r="G333" s="8">
        <v>134270</v>
      </c>
      <c r="H333" s="8">
        <v>4303272.8600000003</v>
      </c>
      <c r="I333" s="8">
        <v>7731583.6100000003</v>
      </c>
      <c r="J333" s="13">
        <v>0.50128884167675702</v>
      </c>
      <c r="K333" s="13">
        <v>0.35756744342793201</v>
      </c>
      <c r="L333" s="7">
        <v>-1</v>
      </c>
      <c r="M333" s="13">
        <v>0.41431346175036299</v>
      </c>
      <c r="N333" s="13">
        <v>8.6975379926393899</v>
      </c>
      <c r="O333" s="7">
        <v>0</v>
      </c>
      <c r="P333" s="7" t="s">
        <v>160</v>
      </c>
      <c r="Q333" s="7" t="str">
        <f t="shared" si="5"/>
        <v>Yes</v>
      </c>
    </row>
    <row r="334" spans="1:17" ht="15" customHeight="1" x14ac:dyDescent="0.2">
      <c r="A334" s="7">
        <v>2018</v>
      </c>
      <c r="B334" s="7" t="s">
        <v>862</v>
      </c>
      <c r="C334" s="7">
        <v>1</v>
      </c>
      <c r="D334" s="7" t="s">
        <v>863</v>
      </c>
      <c r="E334" s="7" t="s">
        <v>864</v>
      </c>
      <c r="F334" s="8">
        <v>148464</v>
      </c>
      <c r="G334" s="8">
        <v>183250</v>
      </c>
      <c r="H334" s="8">
        <v>382805.6</v>
      </c>
      <c r="I334" s="8">
        <v>2108338.52</v>
      </c>
      <c r="J334" s="13">
        <v>0.44756627697353801</v>
      </c>
      <c r="K334" s="13">
        <v>0.15366658112096701</v>
      </c>
      <c r="L334" s="7">
        <v>-1</v>
      </c>
      <c r="M334" s="13">
        <v>0.34700341578885702</v>
      </c>
      <c r="N334" s="13">
        <v>10.056286118468099</v>
      </c>
      <c r="O334" s="7">
        <v>1</v>
      </c>
      <c r="P334" s="7" t="s">
        <v>160</v>
      </c>
      <c r="Q334" s="7" t="str">
        <f t="shared" si="5"/>
        <v>Yes</v>
      </c>
    </row>
    <row r="335" spans="1:17" ht="15" customHeight="1" x14ac:dyDescent="0.2">
      <c r="A335" s="7">
        <v>2018</v>
      </c>
      <c r="B335" s="7" t="s">
        <v>862</v>
      </c>
      <c r="C335" s="7">
        <v>2</v>
      </c>
      <c r="D335" s="7" t="s">
        <v>865</v>
      </c>
      <c r="E335" s="7" t="s">
        <v>866</v>
      </c>
      <c r="F335" s="8">
        <v>139571</v>
      </c>
      <c r="G335" s="8">
        <v>133458</v>
      </c>
      <c r="H335" s="8">
        <v>8106190.8600000003</v>
      </c>
      <c r="I335" s="8">
        <v>6688899.5499999998</v>
      </c>
      <c r="J335" s="13">
        <v>0.51119478150672604</v>
      </c>
      <c r="K335" s="13">
        <v>0.54789735211898605</v>
      </c>
      <c r="L335" s="7">
        <v>-1</v>
      </c>
      <c r="M335" s="13">
        <v>0.47714357809659802</v>
      </c>
      <c r="N335" s="13">
        <v>3.4051203410128599</v>
      </c>
      <c r="O335" s="7">
        <v>0</v>
      </c>
      <c r="P335" s="7" t="s">
        <v>160</v>
      </c>
      <c r="Q335" s="7" t="str">
        <f t="shared" si="5"/>
        <v>Yes</v>
      </c>
    </row>
    <row r="336" spans="1:17" ht="15" customHeight="1" x14ac:dyDescent="0.2">
      <c r="A336" s="7">
        <v>2018</v>
      </c>
      <c r="B336" s="7" t="s">
        <v>862</v>
      </c>
      <c r="C336" s="7">
        <v>4</v>
      </c>
      <c r="D336" s="7" t="s">
        <v>867</v>
      </c>
      <c r="E336" s="7" t="s">
        <v>868</v>
      </c>
      <c r="F336" s="8">
        <v>187642</v>
      </c>
      <c r="G336" s="8">
        <v>107706</v>
      </c>
      <c r="H336" s="8">
        <v>931434.78</v>
      </c>
      <c r="I336" s="8">
        <v>238960.01</v>
      </c>
      <c r="J336" s="13">
        <v>0.63532510800817998</v>
      </c>
      <c r="K336" s="13">
        <v>0.79582956790161397</v>
      </c>
      <c r="L336" s="7">
        <v>1</v>
      </c>
      <c r="M336" s="13">
        <v>0.63821066641647495</v>
      </c>
      <c r="N336" s="13">
        <v>-0.28855584082946301</v>
      </c>
      <c r="O336" s="7">
        <v>1</v>
      </c>
      <c r="P336" s="7" t="s">
        <v>160</v>
      </c>
      <c r="Q336" s="7" t="str">
        <f t="shared" si="5"/>
        <v>Yes</v>
      </c>
    </row>
    <row r="337" spans="1:17" ht="15" customHeight="1" x14ac:dyDescent="0.2">
      <c r="A337" s="7">
        <v>2018</v>
      </c>
      <c r="B337" s="7" t="s">
        <v>862</v>
      </c>
      <c r="C337" s="7">
        <v>5</v>
      </c>
      <c r="D337" s="7" t="s">
        <v>869</v>
      </c>
      <c r="E337" s="7" t="s">
        <v>870</v>
      </c>
      <c r="F337" s="8">
        <v>145040</v>
      </c>
      <c r="G337" s="8">
        <v>165339</v>
      </c>
      <c r="H337" s="8">
        <v>4216236.63</v>
      </c>
      <c r="I337" s="8">
        <v>3372566.18</v>
      </c>
      <c r="J337" s="13">
        <v>0.46729965622674202</v>
      </c>
      <c r="K337" s="13">
        <v>0.55558653130954105</v>
      </c>
      <c r="L337" s="7">
        <v>0</v>
      </c>
      <c r="M337" s="13">
        <v>0.51929275582198797</v>
      </c>
      <c r="N337" s="13">
        <v>-5.1993099595246202</v>
      </c>
      <c r="O337" s="7">
        <v>0</v>
      </c>
      <c r="P337" s="7" t="s">
        <v>160</v>
      </c>
      <c r="Q337" s="7" t="str">
        <f t="shared" si="5"/>
        <v>Yes</v>
      </c>
    </row>
    <row r="338" spans="1:17" ht="15" customHeight="1" x14ac:dyDescent="0.2">
      <c r="A338" s="7">
        <v>2018</v>
      </c>
      <c r="B338" s="7" t="s">
        <v>862</v>
      </c>
      <c r="C338" s="7">
        <v>6</v>
      </c>
      <c r="D338" s="7" t="s">
        <v>871</v>
      </c>
      <c r="E338" s="7" t="s">
        <v>872</v>
      </c>
      <c r="F338" s="8">
        <v>113133</v>
      </c>
      <c r="G338" s="8">
        <v>167957</v>
      </c>
      <c r="H338" s="8">
        <v>440539.36</v>
      </c>
      <c r="I338" s="8">
        <v>985939.45</v>
      </c>
      <c r="J338" s="13">
        <v>0.40247963285780403</v>
      </c>
      <c r="K338" s="13">
        <v>0.30882993628205402</v>
      </c>
      <c r="L338" s="7">
        <v>0</v>
      </c>
      <c r="M338" s="13">
        <v>0.43783553408841602</v>
      </c>
      <c r="N338" s="13">
        <v>-3.5355901230612599</v>
      </c>
      <c r="O338" s="7">
        <v>1</v>
      </c>
      <c r="P338" s="7" t="s">
        <v>160</v>
      </c>
      <c r="Q338" s="7" t="str">
        <f t="shared" si="5"/>
        <v>Yes</v>
      </c>
    </row>
    <row r="339" spans="1:17" ht="15" customHeight="1" x14ac:dyDescent="0.2">
      <c r="A339" s="7">
        <v>2018</v>
      </c>
      <c r="B339" s="7" t="s">
        <v>862</v>
      </c>
      <c r="C339" s="7">
        <v>7</v>
      </c>
      <c r="D339" s="7" t="s">
        <v>873</v>
      </c>
      <c r="E339" s="7" t="s">
        <v>874</v>
      </c>
      <c r="F339" s="8">
        <v>176079</v>
      </c>
      <c r="G339" s="8">
        <v>169295</v>
      </c>
      <c r="H339" s="8">
        <v>11060495.050000001</v>
      </c>
      <c r="I339" s="8">
        <v>8028328.7199999997</v>
      </c>
      <c r="J339" s="13">
        <v>0.50982123726742601</v>
      </c>
      <c r="K339" s="13">
        <v>0.579422555484151</v>
      </c>
      <c r="L339" s="7">
        <v>-1</v>
      </c>
      <c r="M339" s="13">
        <v>0.48755041435735202</v>
      </c>
      <c r="N339" s="13">
        <v>2.2270822910074402</v>
      </c>
      <c r="O339" s="7">
        <v>0</v>
      </c>
      <c r="P339" s="7" t="s">
        <v>160</v>
      </c>
      <c r="Q339" s="7" t="str">
        <f t="shared" si="5"/>
        <v>Yes</v>
      </c>
    </row>
    <row r="340" spans="1:17" ht="15" customHeight="1" x14ac:dyDescent="0.2">
      <c r="A340" s="7">
        <v>2018</v>
      </c>
      <c r="B340" s="7" t="s">
        <v>862</v>
      </c>
      <c r="C340" s="7">
        <v>8</v>
      </c>
      <c r="D340" s="7" t="s">
        <v>875</v>
      </c>
      <c r="E340" s="7" t="s">
        <v>876</v>
      </c>
      <c r="F340" s="8">
        <v>247137</v>
      </c>
      <c r="G340" s="8">
        <v>76899</v>
      </c>
      <c r="H340" s="8">
        <v>1831372.59</v>
      </c>
      <c r="I340" s="8">
        <v>74602.45</v>
      </c>
      <c r="J340" s="13">
        <v>0.76268377587675396</v>
      </c>
      <c r="K340" s="13">
        <v>0.96085864272388399</v>
      </c>
      <c r="L340" s="7">
        <v>1</v>
      </c>
      <c r="M340" s="13">
        <v>0.69268868326050903</v>
      </c>
      <c r="N340" s="13">
        <v>6.99950926162456</v>
      </c>
      <c r="O340" s="7">
        <v>1</v>
      </c>
      <c r="P340" s="7" t="s">
        <v>160</v>
      </c>
      <c r="Q340" s="7" t="str">
        <f t="shared" si="5"/>
        <v>Yes</v>
      </c>
    </row>
    <row r="341" spans="1:17" ht="15" customHeight="1" x14ac:dyDescent="0.2">
      <c r="A341" s="7">
        <v>2018</v>
      </c>
      <c r="B341" s="7" t="s">
        <v>862</v>
      </c>
      <c r="C341" s="7">
        <v>9</v>
      </c>
      <c r="D341" s="7" t="s">
        <v>877</v>
      </c>
      <c r="E341" s="7" t="s">
        <v>878</v>
      </c>
      <c r="F341" s="8">
        <v>85833</v>
      </c>
      <c r="G341" s="8">
        <v>160933</v>
      </c>
      <c r="H341" s="8">
        <v>1066668.28</v>
      </c>
      <c r="I341" s="8">
        <v>1247053.99</v>
      </c>
      <c r="J341" s="13">
        <v>0.34783154891678802</v>
      </c>
      <c r="K341" s="13">
        <v>0.46101828807655498</v>
      </c>
      <c r="L341" s="7">
        <v>-1</v>
      </c>
      <c r="M341" s="13">
        <v>0.44846378867528103</v>
      </c>
      <c r="N341" s="13">
        <v>-10.063223975849301</v>
      </c>
      <c r="O341" s="7">
        <v>1</v>
      </c>
      <c r="P341" s="7" t="s">
        <v>160</v>
      </c>
      <c r="Q341" s="7" t="str">
        <f t="shared" si="5"/>
        <v>Yes</v>
      </c>
    </row>
    <row r="342" spans="1:17" ht="15" customHeight="1" x14ac:dyDescent="0.2">
      <c r="A342" s="7">
        <v>2018</v>
      </c>
      <c r="B342" s="7" t="s">
        <v>862</v>
      </c>
      <c r="C342" s="7">
        <v>10</v>
      </c>
      <c r="D342" s="7" t="s">
        <v>879</v>
      </c>
      <c r="E342" s="7" t="s">
        <v>880</v>
      </c>
      <c r="F342" s="8">
        <v>206356</v>
      </c>
      <c r="G342" s="8">
        <v>160841</v>
      </c>
      <c r="H342" s="8">
        <v>12035748.48</v>
      </c>
      <c r="I342" s="8">
        <v>11985013.83</v>
      </c>
      <c r="J342" s="13">
        <v>0.56197626886929897</v>
      </c>
      <c r="K342" s="13">
        <v>0.50105605828293998</v>
      </c>
      <c r="L342" s="7">
        <v>-1</v>
      </c>
      <c r="M342" s="13">
        <v>0.46168072224925899</v>
      </c>
      <c r="N342" s="13">
        <v>10.029554662003999</v>
      </c>
      <c r="O342" s="7">
        <v>0</v>
      </c>
      <c r="P342" s="7" t="s">
        <v>160</v>
      </c>
      <c r="Q342" s="7" t="str">
        <f t="shared" si="5"/>
        <v>Yes</v>
      </c>
    </row>
    <row r="343" spans="1:17" ht="15" customHeight="1" x14ac:dyDescent="0.2">
      <c r="A343" s="7">
        <v>2018</v>
      </c>
      <c r="B343" s="7" t="s">
        <v>862</v>
      </c>
      <c r="C343" s="7">
        <v>11</v>
      </c>
      <c r="D343" s="7" t="s">
        <v>881</v>
      </c>
      <c r="E343" s="7" t="s">
        <v>882</v>
      </c>
      <c r="F343" s="8">
        <v>219191</v>
      </c>
      <c r="G343" s="8">
        <v>83023</v>
      </c>
      <c r="H343" s="8">
        <v>1672970.46</v>
      </c>
      <c r="I343" s="8">
        <v>657964.85</v>
      </c>
      <c r="J343" s="13">
        <v>0.72528407022838104</v>
      </c>
      <c r="K343" s="13">
        <v>0.71772496337532399</v>
      </c>
      <c r="L343" s="7">
        <v>1</v>
      </c>
      <c r="M343" s="13">
        <v>0.61242742812611695</v>
      </c>
      <c r="N343" s="13">
        <v>11.2856642102264</v>
      </c>
      <c r="O343" s="7">
        <v>1</v>
      </c>
      <c r="P343" s="7" t="s">
        <v>160</v>
      </c>
      <c r="Q343" s="7" t="str">
        <f t="shared" si="5"/>
        <v>Yes</v>
      </c>
    </row>
    <row r="344" spans="1:17" ht="15" customHeight="1" x14ac:dyDescent="0.2">
      <c r="A344" s="7">
        <v>2018</v>
      </c>
      <c r="B344" s="7" t="s">
        <v>883</v>
      </c>
      <c r="C344" s="7">
        <v>0</v>
      </c>
      <c r="D344" s="7" t="s">
        <v>884</v>
      </c>
      <c r="E344" s="7" t="s">
        <v>885</v>
      </c>
      <c r="F344" s="8">
        <v>188547</v>
      </c>
      <c r="G344" s="8">
        <v>70705</v>
      </c>
      <c r="H344" s="8">
        <v>670726.51</v>
      </c>
      <c r="I344" s="8">
        <v>11470.24</v>
      </c>
      <c r="J344" s="13">
        <v>0.72727307793189599</v>
      </c>
      <c r="K344" s="13">
        <v>0.98318631685067404</v>
      </c>
      <c r="L344" s="7">
        <v>1</v>
      </c>
      <c r="M344" s="13">
        <v>0.700059308154803</v>
      </c>
      <c r="N344" s="13">
        <v>2.7213769777093302</v>
      </c>
      <c r="O344" s="7">
        <v>1</v>
      </c>
      <c r="P344" s="7" t="s">
        <v>160</v>
      </c>
      <c r="Q344" s="7" t="str">
        <f t="shared" si="5"/>
        <v>Yes</v>
      </c>
    </row>
    <row r="345" spans="1:17" ht="15" customHeight="1" x14ac:dyDescent="0.2">
      <c r="A345" s="7">
        <v>2018</v>
      </c>
      <c r="B345" s="7" t="s">
        <v>886</v>
      </c>
      <c r="C345" s="7">
        <v>1</v>
      </c>
      <c r="D345" s="7" t="s">
        <v>887</v>
      </c>
      <c r="E345" s="7" t="s">
        <v>888</v>
      </c>
      <c r="F345" s="8">
        <v>197209</v>
      </c>
      <c r="G345" s="8">
        <v>135534</v>
      </c>
      <c r="H345" s="8">
        <v>1560832.78</v>
      </c>
      <c r="I345" s="8">
        <v>18808.39</v>
      </c>
      <c r="J345" s="13">
        <v>0.59267663031228301</v>
      </c>
      <c r="K345" s="13">
        <v>0.98809325158320604</v>
      </c>
      <c r="L345" s="7">
        <v>1</v>
      </c>
      <c r="M345" s="13">
        <v>0.70167914437638601</v>
      </c>
      <c r="N345" s="13">
        <v>-10.9002514064103</v>
      </c>
      <c r="O345" s="7">
        <v>1</v>
      </c>
      <c r="P345" s="7" t="s">
        <v>160</v>
      </c>
      <c r="Q345" s="7" t="str">
        <f t="shared" si="5"/>
        <v>Yes</v>
      </c>
    </row>
    <row r="346" spans="1:17" ht="15" customHeight="1" x14ac:dyDescent="0.2">
      <c r="A346" s="7">
        <v>2018</v>
      </c>
      <c r="B346" s="7" t="s">
        <v>886</v>
      </c>
      <c r="C346" s="7">
        <v>3</v>
      </c>
      <c r="D346" s="7" t="s">
        <v>889</v>
      </c>
      <c r="E346" s="7" t="s">
        <v>890</v>
      </c>
      <c r="F346" s="8">
        <v>145407</v>
      </c>
      <c r="G346" s="8">
        <v>161819</v>
      </c>
      <c r="H346" s="8">
        <v>5969999.7000000002</v>
      </c>
      <c r="I346" s="8">
        <v>4100938.04</v>
      </c>
      <c r="J346" s="13">
        <v>0.47329002102686601</v>
      </c>
      <c r="K346" s="13">
        <v>0.59279481753602803</v>
      </c>
      <c r="L346" s="7">
        <v>-1</v>
      </c>
      <c r="M346" s="13">
        <v>0.49196475357660502</v>
      </c>
      <c r="N346" s="13">
        <v>-1.86747325497385</v>
      </c>
      <c r="O346" s="7">
        <v>1</v>
      </c>
      <c r="P346" s="7" t="s">
        <v>160</v>
      </c>
      <c r="Q346" s="7" t="str">
        <f t="shared" si="5"/>
        <v>Yes</v>
      </c>
    </row>
    <row r="347" spans="1:17" ht="15" customHeight="1" x14ac:dyDescent="0.2">
      <c r="A347" s="7">
        <v>2018</v>
      </c>
      <c r="B347" s="7" t="s">
        <v>886</v>
      </c>
      <c r="C347" s="7">
        <v>4</v>
      </c>
      <c r="D347" s="7" t="s">
        <v>891</v>
      </c>
      <c r="E347" s="7" t="s">
        <v>892</v>
      </c>
      <c r="F347" s="8">
        <v>83785</v>
      </c>
      <c r="G347" s="8">
        <v>141551</v>
      </c>
      <c r="H347" s="8">
        <v>497658.72</v>
      </c>
      <c r="I347" s="8">
        <v>1077766.47</v>
      </c>
      <c r="J347" s="13">
        <v>0.37182252281038097</v>
      </c>
      <c r="K347" s="13">
        <v>0.31588851261163298</v>
      </c>
      <c r="L347" s="7">
        <v>-1</v>
      </c>
      <c r="M347" s="13">
        <v>0.400554761972782</v>
      </c>
      <c r="N347" s="13">
        <v>-2.8732239162400899</v>
      </c>
      <c r="O347" s="7">
        <v>1</v>
      </c>
      <c r="P347" s="7" t="s">
        <v>160</v>
      </c>
      <c r="Q347" s="7" t="str">
        <f t="shared" si="5"/>
        <v>Yes</v>
      </c>
    </row>
    <row r="348" spans="1:17" ht="15" customHeight="1" x14ac:dyDescent="0.2">
      <c r="A348" s="7">
        <v>2018</v>
      </c>
      <c r="B348" s="7" t="s">
        <v>886</v>
      </c>
      <c r="C348" s="7">
        <v>5</v>
      </c>
      <c r="D348" s="7" t="s">
        <v>893</v>
      </c>
      <c r="E348" s="7" t="s">
        <v>894</v>
      </c>
      <c r="F348" s="8">
        <v>144925</v>
      </c>
      <c r="G348" s="8">
        <v>175422</v>
      </c>
      <c r="H348" s="8">
        <v>5842151.3899999997</v>
      </c>
      <c r="I348" s="8">
        <v>5841767.5300000003</v>
      </c>
      <c r="J348" s="13">
        <v>0.45240005369177799</v>
      </c>
      <c r="K348" s="13">
        <v>0.50001642685141101</v>
      </c>
      <c r="L348" s="7">
        <v>-1</v>
      </c>
      <c r="M348" s="13">
        <v>0.46133752782306803</v>
      </c>
      <c r="N348" s="13">
        <v>-0.89374741312903705</v>
      </c>
      <c r="O348" s="7">
        <v>1</v>
      </c>
      <c r="P348" s="7" t="s">
        <v>160</v>
      </c>
      <c r="Q348" s="7" t="str">
        <f t="shared" si="5"/>
        <v>Yes</v>
      </c>
    </row>
    <row r="349" spans="1:17" ht="15" customHeight="1" x14ac:dyDescent="0.2">
      <c r="A349" s="7">
        <v>2018</v>
      </c>
      <c r="B349" s="7" t="s">
        <v>886</v>
      </c>
      <c r="C349" s="7">
        <v>6</v>
      </c>
      <c r="D349" s="7" t="s">
        <v>895</v>
      </c>
      <c r="E349" s="7" t="s">
        <v>896</v>
      </c>
      <c r="F349" s="8">
        <v>206409</v>
      </c>
      <c r="G349" s="8">
        <v>116677</v>
      </c>
      <c r="H349" s="8">
        <v>1361758.29</v>
      </c>
      <c r="I349" s="8">
        <v>42423.040000000001</v>
      </c>
      <c r="J349" s="13">
        <v>0.63886705087809403</v>
      </c>
      <c r="K349" s="13">
        <v>0.96978806148918095</v>
      </c>
      <c r="L349" s="7">
        <v>1</v>
      </c>
      <c r="M349" s="13">
        <v>0.69563638824175</v>
      </c>
      <c r="N349" s="13">
        <v>-5.6769337363655898</v>
      </c>
      <c r="O349" s="7">
        <v>1</v>
      </c>
      <c r="P349" s="7" t="s">
        <v>160</v>
      </c>
      <c r="Q349" s="7" t="str">
        <f t="shared" si="5"/>
        <v>Yes</v>
      </c>
    </row>
    <row r="350" spans="1:17" ht="15" customHeight="1" x14ac:dyDescent="0.2">
      <c r="A350" s="7">
        <v>2018</v>
      </c>
      <c r="B350" s="7" t="s">
        <v>886</v>
      </c>
      <c r="C350" s="7">
        <v>7</v>
      </c>
      <c r="D350" s="7" t="s">
        <v>897</v>
      </c>
      <c r="E350" s="7" t="s">
        <v>898</v>
      </c>
      <c r="F350" s="8">
        <v>329800</v>
      </c>
      <c r="G350" s="8">
        <v>64881</v>
      </c>
      <c r="H350" s="8">
        <v>1557838.61</v>
      </c>
      <c r="I350" s="8">
        <v>6780</v>
      </c>
      <c r="J350" s="13">
        <v>0.835611544513164</v>
      </c>
      <c r="K350" s="13">
        <v>0.99566667559962097</v>
      </c>
      <c r="L350" s="7">
        <v>1</v>
      </c>
      <c r="M350" s="13">
        <v>0.70417921972115605</v>
      </c>
      <c r="N350" s="13">
        <v>13.143232479200799</v>
      </c>
      <c r="O350" s="7">
        <v>1</v>
      </c>
      <c r="P350" s="7" t="s">
        <v>160</v>
      </c>
      <c r="Q350" s="7" t="str">
        <f t="shared" si="5"/>
        <v>Yes</v>
      </c>
    </row>
    <row r="351" spans="1:17" ht="15" customHeight="1" x14ac:dyDescent="0.2">
      <c r="A351" s="7">
        <v>2018</v>
      </c>
      <c r="B351" s="7" t="s">
        <v>886</v>
      </c>
      <c r="C351" s="7">
        <v>10</v>
      </c>
      <c r="D351" s="7" t="s">
        <v>899</v>
      </c>
      <c r="E351" s="7" t="s">
        <v>900</v>
      </c>
      <c r="F351" s="8">
        <v>166215</v>
      </c>
      <c r="G351" s="8">
        <v>103860</v>
      </c>
      <c r="H351" s="8">
        <v>1223406.43</v>
      </c>
      <c r="I351" s="8">
        <v>6071.52</v>
      </c>
      <c r="J351" s="13">
        <v>0.61544015551235798</v>
      </c>
      <c r="K351" s="13">
        <v>0.99506170891474699</v>
      </c>
      <c r="L351" s="7">
        <v>1</v>
      </c>
      <c r="M351" s="13">
        <v>0.703979513182873</v>
      </c>
      <c r="N351" s="13">
        <v>-8.8539357670515795</v>
      </c>
      <c r="O351" s="7">
        <v>1</v>
      </c>
      <c r="P351" s="7" t="s">
        <v>160</v>
      </c>
      <c r="Q351" s="7" t="str">
        <f t="shared" si="5"/>
        <v>Yes</v>
      </c>
    </row>
    <row r="352" spans="1:17" ht="15" customHeight="1" x14ac:dyDescent="0.2">
      <c r="A352" s="7">
        <v>2018</v>
      </c>
      <c r="B352" s="7" t="s">
        <v>901</v>
      </c>
      <c r="C352" s="7">
        <v>1</v>
      </c>
      <c r="D352" s="7" t="s">
        <v>902</v>
      </c>
      <c r="E352" s="7" t="s">
        <v>903</v>
      </c>
      <c r="F352" s="8">
        <v>137508</v>
      </c>
      <c r="G352" s="8">
        <v>177492</v>
      </c>
      <c r="H352" s="8">
        <v>8940553.8000000007</v>
      </c>
      <c r="I352" s="8">
        <v>5104428.9400000004</v>
      </c>
      <c r="J352" s="13">
        <v>0.436533333333333</v>
      </c>
      <c r="K352" s="13">
        <v>0.63656566658052005</v>
      </c>
      <c r="L352" s="7">
        <v>0</v>
      </c>
      <c r="M352" s="13">
        <v>0.54602491014121202</v>
      </c>
      <c r="N352" s="13">
        <v>-10.9491576807879</v>
      </c>
      <c r="O352" s="7">
        <v>0</v>
      </c>
      <c r="P352" s="7" t="s">
        <v>160</v>
      </c>
      <c r="Q352" s="7" t="str">
        <f t="shared" si="5"/>
        <v>Yes</v>
      </c>
    </row>
    <row r="353" spans="1:17" ht="15" customHeight="1" x14ac:dyDescent="0.2">
      <c r="A353" s="7">
        <v>2018</v>
      </c>
      <c r="B353" s="7" t="s">
        <v>901</v>
      </c>
      <c r="C353" s="7">
        <v>3</v>
      </c>
      <c r="D353" s="7" t="s">
        <v>904</v>
      </c>
      <c r="E353" s="7" t="s">
        <v>905</v>
      </c>
      <c r="F353" s="8">
        <v>187888</v>
      </c>
      <c r="G353" s="8">
        <v>126980</v>
      </c>
      <c r="H353" s="8">
        <v>2250865.84</v>
      </c>
      <c r="I353" s="8">
        <v>305779.62</v>
      </c>
      <c r="J353" s="13">
        <v>0.59671989532121394</v>
      </c>
      <c r="K353" s="13">
        <v>0.88039811354993303</v>
      </c>
      <c r="L353" s="7">
        <v>1</v>
      </c>
      <c r="M353" s="13">
        <v>0.66612772684516797</v>
      </c>
      <c r="N353" s="13">
        <v>-6.94078315239536</v>
      </c>
      <c r="O353" s="7">
        <v>1</v>
      </c>
      <c r="P353" s="7" t="s">
        <v>160</v>
      </c>
      <c r="Q353" s="7" t="str">
        <f t="shared" si="5"/>
        <v>Yes</v>
      </c>
    </row>
    <row r="354" spans="1:17" ht="15" customHeight="1" x14ac:dyDescent="0.2">
      <c r="A354" s="7">
        <v>2018</v>
      </c>
      <c r="B354" s="7" t="s">
        <v>901</v>
      </c>
      <c r="C354" s="7">
        <v>4</v>
      </c>
      <c r="D354" s="7" t="s">
        <v>906</v>
      </c>
      <c r="E354" s="7" t="s">
        <v>907</v>
      </c>
      <c r="F354" s="8">
        <v>206487</v>
      </c>
      <c r="G354" s="8">
        <v>7170</v>
      </c>
      <c r="H354" s="8">
        <v>1070522.97</v>
      </c>
      <c r="I354" s="8">
        <v>0</v>
      </c>
      <c r="J354" s="13">
        <v>0.96644153947682498</v>
      </c>
      <c r="K354" s="13">
        <v>1</v>
      </c>
      <c r="L354" s="7">
        <v>1</v>
      </c>
      <c r="M354" s="13">
        <v>0.70560970050115601</v>
      </c>
      <c r="N354" s="13">
        <v>26.083183897566901</v>
      </c>
      <c r="O354" s="7">
        <v>1</v>
      </c>
      <c r="P354" s="7" t="s">
        <v>160</v>
      </c>
      <c r="Q354" s="7" t="str">
        <f t="shared" si="5"/>
        <v>Yes</v>
      </c>
    </row>
    <row r="355" spans="1:17" ht="15" customHeight="1" x14ac:dyDescent="0.2">
      <c r="A355" s="7">
        <v>2018</v>
      </c>
      <c r="B355" s="7" t="s">
        <v>901</v>
      </c>
      <c r="C355" s="7">
        <v>5</v>
      </c>
      <c r="D355" s="7" t="s">
        <v>908</v>
      </c>
      <c r="E355" s="7" t="s">
        <v>909</v>
      </c>
      <c r="F355" s="8">
        <v>138385</v>
      </c>
      <c r="G355" s="8">
        <v>225619</v>
      </c>
      <c r="H355" s="8">
        <v>303207.28999999998</v>
      </c>
      <c r="I355" s="8">
        <v>484029.44</v>
      </c>
      <c r="J355" s="13">
        <v>0.380174393687981</v>
      </c>
      <c r="K355" s="13">
        <v>0.38515389138410799</v>
      </c>
      <c r="L355" s="7">
        <v>-1</v>
      </c>
      <c r="M355" s="13">
        <v>0.423420069043909</v>
      </c>
      <c r="N355" s="13">
        <v>-4.3245675355927604</v>
      </c>
      <c r="O355" s="7">
        <v>1</v>
      </c>
      <c r="P355" s="7" t="s">
        <v>160</v>
      </c>
      <c r="Q355" s="7" t="str">
        <f t="shared" si="5"/>
        <v>Yes</v>
      </c>
    </row>
    <row r="356" spans="1:17" ht="15" customHeight="1" x14ac:dyDescent="0.2">
      <c r="A356" s="7">
        <v>2018</v>
      </c>
      <c r="B356" s="7" t="s">
        <v>901</v>
      </c>
      <c r="C356" s="7">
        <v>6</v>
      </c>
      <c r="D356" s="7" t="s">
        <v>910</v>
      </c>
      <c r="E356" s="7" t="s">
        <v>911</v>
      </c>
      <c r="F356" s="8">
        <v>144536</v>
      </c>
      <c r="G356" s="8">
        <v>180311</v>
      </c>
      <c r="H356" s="8">
        <v>3758320.21</v>
      </c>
      <c r="I356" s="8">
        <v>1898260.49</v>
      </c>
      <c r="J356" s="13">
        <v>0.44493561584376701</v>
      </c>
      <c r="K356" s="13">
        <v>0.66441555584984402</v>
      </c>
      <c r="L356" s="7">
        <v>-1</v>
      </c>
      <c r="M356" s="13">
        <v>0.51560759222454799</v>
      </c>
      <c r="N356" s="13">
        <v>-7.0671976380781096</v>
      </c>
      <c r="O356" s="7">
        <v>0</v>
      </c>
      <c r="P356" s="7" t="s">
        <v>160</v>
      </c>
      <c r="Q356" s="7" t="str">
        <f t="shared" si="5"/>
        <v>Yes</v>
      </c>
    </row>
    <row r="357" spans="1:17" ht="15" customHeight="1" x14ac:dyDescent="0.2">
      <c r="A357" s="7">
        <v>2018</v>
      </c>
      <c r="B357" s="7" t="s">
        <v>901</v>
      </c>
      <c r="C357" s="7">
        <v>7</v>
      </c>
      <c r="D357" s="7" t="s">
        <v>912</v>
      </c>
      <c r="E357" s="7" t="s">
        <v>913</v>
      </c>
      <c r="F357" s="8">
        <v>124307</v>
      </c>
      <c r="G357" s="8">
        <v>194061</v>
      </c>
      <c r="H357" s="8">
        <v>128566.74</v>
      </c>
      <c r="I357" s="8">
        <v>2840082.5</v>
      </c>
      <c r="J357" s="13">
        <v>0.390450673434516</v>
      </c>
      <c r="K357" s="13">
        <v>4.3308161256531599E-2</v>
      </c>
      <c r="L357" s="7">
        <v>-1</v>
      </c>
      <c r="M357" s="13">
        <v>0.31057281795189701</v>
      </c>
      <c r="N357" s="13">
        <v>7.9877855482619102</v>
      </c>
      <c r="O357" s="7">
        <v>1</v>
      </c>
      <c r="P357" s="7" t="s">
        <v>160</v>
      </c>
      <c r="Q357" s="7" t="str">
        <f t="shared" si="5"/>
        <v>Yes</v>
      </c>
    </row>
    <row r="358" spans="1:17" ht="15" customHeight="1" x14ac:dyDescent="0.2">
      <c r="A358" s="7">
        <v>2018</v>
      </c>
      <c r="B358" s="7" t="s">
        <v>901</v>
      </c>
      <c r="C358" s="7">
        <v>8</v>
      </c>
      <c r="D358" s="7" t="s">
        <v>914</v>
      </c>
      <c r="E358" s="7" t="s">
        <v>915</v>
      </c>
      <c r="F358" s="8">
        <v>119265</v>
      </c>
      <c r="G358" s="8">
        <v>209410</v>
      </c>
      <c r="H358" s="8">
        <v>344335.78</v>
      </c>
      <c r="I358" s="8">
        <v>2147781.33</v>
      </c>
      <c r="J358" s="13">
        <v>0.36286605309196002</v>
      </c>
      <c r="K358" s="13">
        <v>0.13816998351253201</v>
      </c>
      <c r="L358" s="7">
        <v>-1</v>
      </c>
      <c r="M358" s="13">
        <v>0.34188780869691399</v>
      </c>
      <c r="N358" s="13">
        <v>2.0978244395045902</v>
      </c>
      <c r="O358" s="7">
        <v>1</v>
      </c>
      <c r="P358" s="7" t="s">
        <v>160</v>
      </c>
      <c r="Q358" s="7" t="str">
        <f t="shared" si="5"/>
        <v>Yes</v>
      </c>
    </row>
    <row r="359" spans="1:17" ht="15" customHeight="1" x14ac:dyDescent="0.2">
      <c r="A359" s="7">
        <v>2018</v>
      </c>
      <c r="B359" s="7" t="s">
        <v>916</v>
      </c>
      <c r="C359" s="7">
        <v>1</v>
      </c>
      <c r="D359" s="7" t="s">
        <v>917</v>
      </c>
      <c r="E359" s="7" t="s">
        <v>918</v>
      </c>
      <c r="F359" s="8">
        <v>70217</v>
      </c>
      <c r="G359" s="8">
        <v>127997</v>
      </c>
      <c r="H359" s="8">
        <v>278481.06</v>
      </c>
      <c r="I359" s="8">
        <v>1948635.92</v>
      </c>
      <c r="J359" s="13">
        <v>0.354248438556308</v>
      </c>
      <c r="K359" s="13">
        <v>0.12504105644239699</v>
      </c>
      <c r="L359" s="7">
        <v>-1</v>
      </c>
      <c r="M359" s="13">
        <v>0.33755379718505701</v>
      </c>
      <c r="N359" s="13">
        <v>1.66946413712513</v>
      </c>
      <c r="O359" s="7">
        <v>1</v>
      </c>
      <c r="P359" s="7" t="s">
        <v>160</v>
      </c>
      <c r="Q359" s="7" t="str">
        <f t="shared" si="5"/>
        <v>Yes</v>
      </c>
    </row>
    <row r="360" spans="1:17" ht="15" customHeight="1" x14ac:dyDescent="0.2">
      <c r="A360" s="7">
        <v>2018</v>
      </c>
      <c r="B360" s="7" t="s">
        <v>916</v>
      </c>
      <c r="C360" s="7">
        <v>2</v>
      </c>
      <c r="D360" s="7" t="s">
        <v>919</v>
      </c>
      <c r="E360" s="7" t="s">
        <v>920</v>
      </c>
      <c r="F360" s="8">
        <v>88011</v>
      </c>
      <c r="G360" s="8">
        <v>110504</v>
      </c>
      <c r="H360" s="8">
        <v>684882.04</v>
      </c>
      <c r="I360" s="8">
        <v>1259935.58</v>
      </c>
      <c r="J360" s="13">
        <v>0.44334685036395199</v>
      </c>
      <c r="K360" s="13">
        <v>0.35215746348493099</v>
      </c>
      <c r="L360" s="7">
        <v>-1</v>
      </c>
      <c r="M360" s="13">
        <v>0.41252756445451899</v>
      </c>
      <c r="N360" s="13">
        <v>3.0819285909433001</v>
      </c>
      <c r="O360" s="7">
        <v>1</v>
      </c>
      <c r="P360" s="7" t="s">
        <v>160</v>
      </c>
      <c r="Q360" s="7" t="str">
        <f t="shared" si="5"/>
        <v>Yes</v>
      </c>
    </row>
    <row r="361" spans="1:17" ht="15" customHeight="1" x14ac:dyDescent="0.2">
      <c r="A361" s="7">
        <v>2018</v>
      </c>
      <c r="B361" s="7" t="s">
        <v>916</v>
      </c>
      <c r="C361" s="7">
        <v>3</v>
      </c>
      <c r="D361" s="7" t="s">
        <v>921</v>
      </c>
      <c r="E361" s="7" t="s">
        <v>922</v>
      </c>
      <c r="F361" s="8">
        <v>76340</v>
      </c>
      <c r="G361" s="8">
        <v>98645</v>
      </c>
      <c r="H361" s="8">
        <v>4833223.18</v>
      </c>
      <c r="I361" s="8">
        <v>3177041.02</v>
      </c>
      <c r="J361" s="13">
        <v>0.43626596565419901</v>
      </c>
      <c r="K361" s="13">
        <v>0.60337874748251097</v>
      </c>
      <c r="L361" s="7">
        <v>0</v>
      </c>
      <c r="M361" s="13">
        <v>0.53506952219172499</v>
      </c>
      <c r="N361" s="13">
        <v>-9.8803556537526092</v>
      </c>
      <c r="O361" s="7">
        <v>0</v>
      </c>
      <c r="P361" s="7" t="s">
        <v>160</v>
      </c>
      <c r="Q361" s="7" t="str">
        <f t="shared" si="5"/>
        <v>Yes</v>
      </c>
    </row>
    <row r="362" spans="1:17" ht="15" customHeight="1" x14ac:dyDescent="0.2">
      <c r="A362" s="7">
        <v>2018</v>
      </c>
      <c r="B362" s="7" t="s">
        <v>923</v>
      </c>
      <c r="C362" s="7">
        <v>0</v>
      </c>
      <c r="D362" s="7" t="s">
        <v>924</v>
      </c>
      <c r="E362" s="7" t="s">
        <v>925</v>
      </c>
      <c r="F362" s="8">
        <v>59903</v>
      </c>
      <c r="G362" s="8">
        <v>127963</v>
      </c>
      <c r="H362" s="8">
        <v>126267.25</v>
      </c>
      <c r="I362" s="8">
        <v>715739.91</v>
      </c>
      <c r="J362" s="13">
        <v>0.31886025145582497</v>
      </c>
      <c r="K362" s="13">
        <v>0.14995982932021601</v>
      </c>
      <c r="L362" s="7">
        <v>-1</v>
      </c>
      <c r="M362" s="13">
        <v>0.34577977391087</v>
      </c>
      <c r="N362" s="13">
        <v>-2.6919522455045</v>
      </c>
      <c r="O362" s="7">
        <v>1</v>
      </c>
      <c r="P362" s="7" t="s">
        <v>160</v>
      </c>
      <c r="Q362" s="7" t="str">
        <f t="shared" si="5"/>
        <v>Yes</v>
      </c>
    </row>
    <row r="363" spans="1:17" ht="15" customHeight="1" x14ac:dyDescent="0.2">
      <c r="A363" s="7">
        <v>2020</v>
      </c>
      <c r="B363" s="7" t="s">
        <v>157</v>
      </c>
      <c r="C363" s="7">
        <v>1</v>
      </c>
      <c r="D363" s="7" t="s">
        <v>926</v>
      </c>
      <c r="E363" s="7" t="s">
        <v>927</v>
      </c>
      <c r="F363" s="8">
        <v>116949</v>
      </c>
      <c r="G363" s="8">
        <v>211825</v>
      </c>
      <c r="H363" s="8">
        <v>1238136.3700000001</v>
      </c>
      <c r="I363" s="8">
        <v>2353816.5299999998</v>
      </c>
      <c r="J363" s="13">
        <v>0.35571243468157498</v>
      </c>
      <c r="K363" s="13">
        <v>0.34469727317415599</v>
      </c>
      <c r="L363" s="7">
        <v>0</v>
      </c>
      <c r="M363" s="13">
        <v>0.44967575912429503</v>
      </c>
      <c r="N363" s="13">
        <v>-9.39633244427203</v>
      </c>
      <c r="O363" s="7">
        <v>1</v>
      </c>
      <c r="P363" s="7" t="s">
        <v>160</v>
      </c>
      <c r="Q363" s="7" t="str">
        <f t="shared" si="5"/>
        <v>Yes</v>
      </c>
    </row>
    <row r="364" spans="1:17" ht="15" customHeight="1" x14ac:dyDescent="0.2">
      <c r="A364" s="7">
        <v>2020</v>
      </c>
      <c r="B364" s="7" t="s">
        <v>157</v>
      </c>
      <c r="C364" s="7">
        <v>2</v>
      </c>
      <c r="D364" s="7" t="s">
        <v>928</v>
      </c>
      <c r="E364" s="7" t="s">
        <v>929</v>
      </c>
      <c r="F364" s="8">
        <v>105286</v>
      </c>
      <c r="G364" s="8">
        <v>197996</v>
      </c>
      <c r="H364" s="8">
        <v>57661.16</v>
      </c>
      <c r="I364" s="8">
        <v>1164215.54</v>
      </c>
      <c r="J364" s="13">
        <v>0.34715545268100301</v>
      </c>
      <c r="K364" s="13">
        <v>4.7190653525024301E-2</v>
      </c>
      <c r="L364" s="7">
        <v>0</v>
      </c>
      <c r="M364" s="13">
        <v>0.35146536405353601</v>
      </c>
      <c r="N364" s="13">
        <v>-0.43099113725327798</v>
      </c>
      <c r="O364" s="7">
        <v>1</v>
      </c>
      <c r="P364" s="7" t="s">
        <v>160</v>
      </c>
      <c r="Q364" s="7" t="str">
        <f t="shared" si="5"/>
        <v>Yes</v>
      </c>
    </row>
    <row r="365" spans="1:17" ht="15" customHeight="1" x14ac:dyDescent="0.2">
      <c r="A365" s="7">
        <v>2020</v>
      </c>
      <c r="B365" s="7" t="s">
        <v>157</v>
      </c>
      <c r="C365" s="7">
        <v>3</v>
      </c>
      <c r="D365" s="7" t="s">
        <v>930</v>
      </c>
      <c r="E365" s="7" t="s">
        <v>164</v>
      </c>
      <c r="F365" s="8">
        <v>104595</v>
      </c>
      <c r="G365" s="8">
        <v>217384</v>
      </c>
      <c r="H365" s="8">
        <v>41971.09</v>
      </c>
      <c r="I365" s="8">
        <v>1228340.3999999999</v>
      </c>
      <c r="J365" s="13">
        <v>0.32485037844082998</v>
      </c>
      <c r="K365" s="13">
        <v>3.3039998717165002E-2</v>
      </c>
      <c r="L365" s="7">
        <v>-1</v>
      </c>
      <c r="M365" s="13">
        <v>0.30718317808159301</v>
      </c>
      <c r="N365" s="13">
        <v>1.7667200359236801</v>
      </c>
      <c r="O365" s="7">
        <v>1</v>
      </c>
      <c r="P365" s="7" t="s">
        <v>160</v>
      </c>
      <c r="Q365" s="7" t="str">
        <f t="shared" si="5"/>
        <v>Yes</v>
      </c>
    </row>
    <row r="366" spans="1:17" ht="15" customHeight="1" x14ac:dyDescent="0.2">
      <c r="A366" s="7">
        <v>2020</v>
      </c>
      <c r="B366" s="7" t="s">
        <v>157</v>
      </c>
      <c r="C366" s="7">
        <v>4</v>
      </c>
      <c r="D366" s="7" t="s">
        <v>931</v>
      </c>
      <c r="E366" s="7" t="s">
        <v>166</v>
      </c>
      <c r="F366" s="8">
        <v>56237</v>
      </c>
      <c r="G366" s="8">
        <v>261553</v>
      </c>
      <c r="H366" s="8">
        <v>48658.58</v>
      </c>
      <c r="I366" s="8">
        <v>1352138.08</v>
      </c>
      <c r="J366" s="13">
        <v>0.176962774159036</v>
      </c>
      <c r="K366" s="13">
        <v>3.47363620926966E-2</v>
      </c>
      <c r="L366" s="7">
        <v>-1</v>
      </c>
      <c r="M366" s="13">
        <v>0.30774316736012097</v>
      </c>
      <c r="N366" s="13">
        <v>-13.0780393201085</v>
      </c>
      <c r="O366" s="7">
        <v>1</v>
      </c>
      <c r="P366" s="7" t="s">
        <v>160</v>
      </c>
      <c r="Q366" s="7" t="str">
        <f t="shared" si="5"/>
        <v>Yes</v>
      </c>
    </row>
    <row r="367" spans="1:17" ht="15" customHeight="1" x14ac:dyDescent="0.2">
      <c r="A367" s="7">
        <v>2020</v>
      </c>
      <c r="B367" s="7" t="s">
        <v>171</v>
      </c>
      <c r="C367" s="7">
        <v>2</v>
      </c>
      <c r="D367" s="7" t="s">
        <v>932</v>
      </c>
      <c r="E367" s="7" t="s">
        <v>175</v>
      </c>
      <c r="F367" s="8">
        <v>148410</v>
      </c>
      <c r="G367" s="8">
        <v>184093</v>
      </c>
      <c r="H367" s="8">
        <v>7017721.5899999999</v>
      </c>
      <c r="I367" s="8">
        <v>4988970.3600000003</v>
      </c>
      <c r="J367" s="13">
        <v>0.44634183751725598</v>
      </c>
      <c r="K367" s="13">
        <v>0.58448418758674003</v>
      </c>
      <c r="L367" s="7">
        <v>-1</v>
      </c>
      <c r="M367" s="13">
        <v>0.489221317979881</v>
      </c>
      <c r="N367" s="13">
        <v>-4.2879480462625201</v>
      </c>
      <c r="O367" s="7">
        <v>1</v>
      </c>
      <c r="P367" s="7" t="s">
        <v>160</v>
      </c>
      <c r="Q367" s="7" t="str">
        <f t="shared" si="5"/>
        <v>Yes</v>
      </c>
    </row>
    <row r="368" spans="1:17" ht="15" customHeight="1" x14ac:dyDescent="0.2">
      <c r="A368" s="7">
        <v>2020</v>
      </c>
      <c r="B368" s="7" t="s">
        <v>171</v>
      </c>
      <c r="C368" s="7">
        <v>3</v>
      </c>
      <c r="D368" s="7" t="s">
        <v>933</v>
      </c>
      <c r="E368" s="7" t="s">
        <v>177</v>
      </c>
      <c r="F368" s="8">
        <v>106325</v>
      </c>
      <c r="G368" s="8">
        <v>214960</v>
      </c>
      <c r="H368" s="8">
        <v>356072.84</v>
      </c>
      <c r="I368" s="8">
        <v>924120.94</v>
      </c>
      <c r="J368" s="13">
        <v>0.33093670728481001</v>
      </c>
      <c r="K368" s="13">
        <v>0.27813979849206899</v>
      </c>
      <c r="L368" s="7">
        <v>-1</v>
      </c>
      <c r="M368" s="13">
        <v>0.38809347243419001</v>
      </c>
      <c r="N368" s="13">
        <v>-5.7156765149380497</v>
      </c>
      <c r="O368" s="7">
        <v>1</v>
      </c>
      <c r="P368" s="7" t="s">
        <v>160</v>
      </c>
      <c r="Q368" s="7" t="str">
        <f t="shared" si="5"/>
        <v>Yes</v>
      </c>
    </row>
    <row r="369" spans="1:17" ht="15" customHeight="1" x14ac:dyDescent="0.2">
      <c r="A369" s="7">
        <v>2020</v>
      </c>
      <c r="B369" s="7" t="s">
        <v>171</v>
      </c>
      <c r="C369" s="7">
        <v>4</v>
      </c>
      <c r="D369" s="7" t="s">
        <v>934</v>
      </c>
      <c r="E369" s="7" t="s">
        <v>179</v>
      </c>
      <c r="F369" s="8">
        <v>75750</v>
      </c>
      <c r="G369" s="8">
        <v>191617</v>
      </c>
      <c r="H369" s="8">
        <v>111682.66</v>
      </c>
      <c r="I369" s="8">
        <v>1123311.93</v>
      </c>
      <c r="J369" s="13">
        <v>0.28331843496018599</v>
      </c>
      <c r="K369" s="13">
        <v>9.0431699785826603E-2</v>
      </c>
      <c r="L369" s="7">
        <v>-1</v>
      </c>
      <c r="M369" s="13">
        <v>0.32612884605490999</v>
      </c>
      <c r="N369" s="13">
        <v>-4.2810411094723797</v>
      </c>
      <c r="O369" s="7">
        <v>1</v>
      </c>
      <c r="P369" s="7" t="s">
        <v>160</v>
      </c>
      <c r="Q369" s="7" t="str">
        <f t="shared" si="5"/>
        <v>Yes</v>
      </c>
    </row>
    <row r="370" spans="1:17" ht="15" customHeight="1" x14ac:dyDescent="0.2">
      <c r="A370" s="7">
        <v>2020</v>
      </c>
      <c r="B370" s="7" t="s">
        <v>180</v>
      </c>
      <c r="C370" s="7">
        <v>0</v>
      </c>
      <c r="D370" s="7" t="s">
        <v>935</v>
      </c>
      <c r="E370" s="7" t="s">
        <v>182</v>
      </c>
      <c r="F370" s="8">
        <v>1709</v>
      </c>
      <c r="G370" s="8">
        <v>9790</v>
      </c>
      <c r="H370" s="8">
        <v>20451.12</v>
      </c>
      <c r="I370" s="8">
        <v>76126.16</v>
      </c>
      <c r="J370" s="13">
        <v>0.14862161927124101</v>
      </c>
      <c r="K370" s="13">
        <v>0.21175912181415801</v>
      </c>
      <c r="L370" s="7">
        <v>-1</v>
      </c>
      <c r="M370" s="13">
        <v>0.366180439072813</v>
      </c>
      <c r="N370" s="13">
        <v>-21.755881980157199</v>
      </c>
      <c r="O370" s="7">
        <v>1</v>
      </c>
      <c r="P370" s="7" t="s">
        <v>160</v>
      </c>
      <c r="Q370" s="7" t="str">
        <f t="shared" si="5"/>
        <v>Yes</v>
      </c>
    </row>
    <row r="371" spans="1:17" ht="15" customHeight="1" x14ac:dyDescent="0.2">
      <c r="A371" s="7">
        <v>2020</v>
      </c>
      <c r="B371" s="7" t="s">
        <v>183</v>
      </c>
      <c r="C371" s="7">
        <v>1</v>
      </c>
      <c r="D371" s="7" t="s">
        <v>184</v>
      </c>
      <c r="E371" s="7" t="s">
        <v>936</v>
      </c>
      <c r="F371" s="8">
        <v>188469</v>
      </c>
      <c r="G371" s="8">
        <v>176709</v>
      </c>
      <c r="H371" s="8">
        <v>6011760.2999999998</v>
      </c>
      <c r="I371" s="8">
        <v>2934637.5</v>
      </c>
      <c r="J371" s="13">
        <v>0.51610173668731396</v>
      </c>
      <c r="K371" s="13">
        <v>0.67197551845950798</v>
      </c>
      <c r="L371" s="7">
        <v>1</v>
      </c>
      <c r="M371" s="13">
        <v>0.59732500430526503</v>
      </c>
      <c r="N371" s="13">
        <v>-8.1223267617950992</v>
      </c>
      <c r="O371" s="7">
        <v>1</v>
      </c>
      <c r="P371" s="7" t="s">
        <v>160</v>
      </c>
      <c r="Q371" s="7" t="str">
        <f t="shared" si="5"/>
        <v>Yes</v>
      </c>
    </row>
    <row r="372" spans="1:17" ht="15" customHeight="1" x14ac:dyDescent="0.2">
      <c r="A372" s="7">
        <v>2020</v>
      </c>
      <c r="B372" s="7" t="s">
        <v>183</v>
      </c>
      <c r="C372" s="7">
        <v>2</v>
      </c>
      <c r="D372" s="7" t="s">
        <v>186</v>
      </c>
      <c r="E372" s="7" t="s">
        <v>937</v>
      </c>
      <c r="F372" s="8">
        <v>209945</v>
      </c>
      <c r="G372" s="8">
        <v>170975</v>
      </c>
      <c r="H372" s="8">
        <v>1435615.2</v>
      </c>
      <c r="I372" s="8">
        <v>387527.04</v>
      </c>
      <c r="J372" s="13">
        <v>0.55115247296020198</v>
      </c>
      <c r="K372" s="13">
        <v>0.78744004088238295</v>
      </c>
      <c r="L372" s="7">
        <v>1</v>
      </c>
      <c r="M372" s="13">
        <v>0.63544118597941102</v>
      </c>
      <c r="N372" s="13">
        <v>-8.4288713019208803</v>
      </c>
      <c r="O372" s="7">
        <v>1</v>
      </c>
      <c r="P372" s="7" t="s">
        <v>160</v>
      </c>
      <c r="Q372" s="7" t="str">
        <f t="shared" si="5"/>
        <v>Yes</v>
      </c>
    </row>
    <row r="373" spans="1:17" ht="15" customHeight="1" x14ac:dyDescent="0.2">
      <c r="A373" s="7">
        <v>2020</v>
      </c>
      <c r="B373" s="7" t="s">
        <v>183</v>
      </c>
      <c r="C373" s="7">
        <v>3</v>
      </c>
      <c r="D373" s="7" t="s">
        <v>938</v>
      </c>
      <c r="E373" s="7" t="s">
        <v>939</v>
      </c>
      <c r="F373" s="8">
        <v>174243</v>
      </c>
      <c r="G373" s="8">
        <v>95594</v>
      </c>
      <c r="H373" s="8">
        <v>693480.29</v>
      </c>
      <c r="I373" s="8">
        <v>42480.94</v>
      </c>
      <c r="J373" s="13">
        <v>0.64573427661884797</v>
      </c>
      <c r="K373" s="13">
        <v>0.94227829093660298</v>
      </c>
      <c r="L373" s="7">
        <v>1</v>
      </c>
      <c r="M373" s="13">
        <v>0.68655509305087004</v>
      </c>
      <c r="N373" s="13">
        <v>-4.08208164320226</v>
      </c>
      <c r="O373" s="7">
        <v>1</v>
      </c>
      <c r="P373" s="7" t="s">
        <v>160</v>
      </c>
      <c r="Q373" s="7" t="str">
        <f t="shared" si="5"/>
        <v>Yes</v>
      </c>
    </row>
    <row r="374" spans="1:17" ht="15" customHeight="1" x14ac:dyDescent="0.2">
      <c r="A374" s="7">
        <v>2020</v>
      </c>
      <c r="B374" s="7" t="s">
        <v>183</v>
      </c>
      <c r="C374" s="7">
        <v>4</v>
      </c>
      <c r="D374" s="7" t="s">
        <v>940</v>
      </c>
      <c r="E374" s="7" t="s">
        <v>191</v>
      </c>
      <c r="F374" s="8">
        <v>120484</v>
      </c>
      <c r="G374" s="8">
        <v>278002</v>
      </c>
      <c r="H374" s="8">
        <v>80828.070000000007</v>
      </c>
      <c r="I374" s="8">
        <v>799603.59</v>
      </c>
      <c r="J374" s="13">
        <v>0.302354411447328</v>
      </c>
      <c r="K374" s="13">
        <v>9.1805047083381802E-2</v>
      </c>
      <c r="L374" s="7">
        <v>-1</v>
      </c>
      <c r="M374" s="13">
        <v>0.32658220396950399</v>
      </c>
      <c r="N374" s="13">
        <v>-2.4227792522176199</v>
      </c>
      <c r="O374" s="7">
        <v>1</v>
      </c>
      <c r="P374" s="7" t="s">
        <v>160</v>
      </c>
      <c r="Q374" s="7" t="str">
        <f t="shared" si="5"/>
        <v>Yes</v>
      </c>
    </row>
    <row r="375" spans="1:17" ht="15" customHeight="1" x14ac:dyDescent="0.2">
      <c r="A375" s="7">
        <v>2020</v>
      </c>
      <c r="B375" s="7" t="s">
        <v>183</v>
      </c>
      <c r="C375" s="7">
        <v>5</v>
      </c>
      <c r="D375" s="7" t="s">
        <v>192</v>
      </c>
      <c r="E375" s="7" t="s">
        <v>193</v>
      </c>
      <c r="F375" s="8">
        <v>183171</v>
      </c>
      <c r="G375" s="8">
        <v>262414</v>
      </c>
      <c r="H375" s="8">
        <v>226076.82</v>
      </c>
      <c r="I375" s="8">
        <v>1353917.65</v>
      </c>
      <c r="J375" s="13">
        <v>0.41107981642110902</v>
      </c>
      <c r="K375" s="13">
        <v>0.14308709574154399</v>
      </c>
      <c r="L375" s="7">
        <v>-1</v>
      </c>
      <c r="M375" s="13">
        <v>0.34351100462844703</v>
      </c>
      <c r="N375" s="13">
        <v>6.75688117926624</v>
      </c>
      <c r="O375" s="7">
        <v>1</v>
      </c>
      <c r="P375" s="7" t="s">
        <v>160</v>
      </c>
      <c r="Q375" s="7" t="str">
        <f t="shared" si="5"/>
        <v>Yes</v>
      </c>
    </row>
    <row r="376" spans="1:17" ht="15" customHeight="1" x14ac:dyDescent="0.2">
      <c r="A376" s="7">
        <v>2020</v>
      </c>
      <c r="B376" s="7" t="s">
        <v>183</v>
      </c>
      <c r="C376" s="7">
        <v>6</v>
      </c>
      <c r="D376" s="7" t="s">
        <v>196</v>
      </c>
      <c r="E376" s="7" t="s">
        <v>195</v>
      </c>
      <c r="F376" s="8">
        <v>199644</v>
      </c>
      <c r="G376" s="8">
        <v>217783</v>
      </c>
      <c r="H376" s="8">
        <v>11915261.220000001</v>
      </c>
      <c r="I376" s="8">
        <v>5598832.9800000004</v>
      </c>
      <c r="J376" s="13">
        <v>0.478272847707503</v>
      </c>
      <c r="K376" s="13">
        <v>0.68032414830793797</v>
      </c>
      <c r="L376" s="7">
        <v>-1</v>
      </c>
      <c r="M376" s="13">
        <v>0.52085920360775595</v>
      </c>
      <c r="N376" s="13">
        <v>-4.2586355900252197</v>
      </c>
      <c r="O376" s="7">
        <v>0</v>
      </c>
      <c r="P376" s="7" t="s">
        <v>160</v>
      </c>
      <c r="Q376" s="7" t="str">
        <f t="shared" si="5"/>
        <v>Yes</v>
      </c>
    </row>
    <row r="377" spans="1:17" ht="15" customHeight="1" x14ac:dyDescent="0.2">
      <c r="A377" s="7">
        <v>2020</v>
      </c>
      <c r="B377" s="7" t="s">
        <v>183</v>
      </c>
      <c r="C377" s="7">
        <v>7</v>
      </c>
      <c r="D377" s="7" t="s">
        <v>941</v>
      </c>
      <c r="E377" s="7" t="s">
        <v>942</v>
      </c>
      <c r="F377" s="8">
        <v>165452</v>
      </c>
      <c r="G377" s="8">
        <v>50226</v>
      </c>
      <c r="H377" s="8">
        <v>1674707.47</v>
      </c>
      <c r="I377" s="8">
        <v>17882.669999999998</v>
      </c>
      <c r="J377" s="13">
        <v>0.76712506607071695</v>
      </c>
      <c r="K377" s="13">
        <v>0.98943473108026003</v>
      </c>
      <c r="L377" s="7">
        <v>1</v>
      </c>
      <c r="M377" s="13">
        <v>0.70212198235942103</v>
      </c>
      <c r="N377" s="13">
        <v>6.5003083711295302</v>
      </c>
      <c r="O377" s="7">
        <v>1</v>
      </c>
      <c r="P377" s="7" t="s">
        <v>160</v>
      </c>
      <c r="Q377" s="7" t="str">
        <f t="shared" si="5"/>
        <v>Yes</v>
      </c>
    </row>
    <row r="378" spans="1:17" ht="15" customHeight="1" x14ac:dyDescent="0.2">
      <c r="A378" s="7">
        <v>2020</v>
      </c>
      <c r="B378" s="7" t="s">
        <v>183</v>
      </c>
      <c r="C378" s="7">
        <v>8</v>
      </c>
      <c r="D378" s="7" t="s">
        <v>943</v>
      </c>
      <c r="E378" s="7" t="s">
        <v>944</v>
      </c>
      <c r="F378" s="8">
        <v>170816</v>
      </c>
      <c r="G378" s="8">
        <v>251633</v>
      </c>
      <c r="H378" s="8">
        <v>400227.33</v>
      </c>
      <c r="I378" s="8">
        <v>1013949.04</v>
      </c>
      <c r="J378" s="13">
        <v>0.40434703360642399</v>
      </c>
      <c r="K378" s="13">
        <v>0.283010901957017</v>
      </c>
      <c r="L378" s="7">
        <v>-1</v>
      </c>
      <c r="M378" s="13">
        <v>0.38970148033763502</v>
      </c>
      <c r="N378" s="13">
        <v>1.46455532687884</v>
      </c>
      <c r="O378" s="7">
        <v>1</v>
      </c>
      <c r="P378" s="7" t="s">
        <v>160</v>
      </c>
      <c r="Q378" s="7" t="str">
        <f t="shared" si="5"/>
        <v>Yes</v>
      </c>
    </row>
    <row r="379" spans="1:17" ht="15" customHeight="1" x14ac:dyDescent="0.2">
      <c r="A379" s="7">
        <v>2020</v>
      </c>
      <c r="B379" s="7" t="s">
        <v>183</v>
      </c>
      <c r="C379" s="7">
        <v>9</v>
      </c>
      <c r="D379" s="7" t="s">
        <v>198</v>
      </c>
      <c r="E379" s="7" t="s">
        <v>945</v>
      </c>
      <c r="F379" s="8">
        <v>217094</v>
      </c>
      <c r="G379" s="8">
        <v>135180</v>
      </c>
      <c r="H379" s="8">
        <v>1020491.95</v>
      </c>
      <c r="I379" s="8">
        <v>129934.54</v>
      </c>
      <c r="J379" s="13">
        <v>0.61626461220527196</v>
      </c>
      <c r="K379" s="13">
        <v>0.88705533023670202</v>
      </c>
      <c r="L379" s="7">
        <v>1</v>
      </c>
      <c r="M379" s="13">
        <v>0.66832535149516803</v>
      </c>
      <c r="N379" s="13">
        <v>-5.2060739289896096</v>
      </c>
      <c r="O379" s="7">
        <v>1</v>
      </c>
      <c r="P379" s="7" t="s">
        <v>160</v>
      </c>
      <c r="Q379" s="7" t="str">
        <f t="shared" si="5"/>
        <v>Yes</v>
      </c>
    </row>
    <row r="380" spans="1:17" ht="15" customHeight="1" x14ac:dyDescent="0.2">
      <c r="A380" s="7">
        <v>2020</v>
      </c>
      <c r="B380" s="7" t="s">
        <v>200</v>
      </c>
      <c r="C380" s="7">
        <v>1</v>
      </c>
      <c r="D380" s="7" t="s">
        <v>201</v>
      </c>
      <c r="E380" s="7" t="s">
        <v>946</v>
      </c>
      <c r="F380" s="8">
        <v>154073</v>
      </c>
      <c r="G380" s="8">
        <v>204190</v>
      </c>
      <c r="H380" s="8">
        <v>2499467.96</v>
      </c>
      <c r="I380" s="8">
        <v>1209113.42</v>
      </c>
      <c r="J380" s="13">
        <v>0.43005557369865199</v>
      </c>
      <c r="K380" s="13">
        <v>0.67396875082191099</v>
      </c>
      <c r="L380" s="7">
        <v>-1</v>
      </c>
      <c r="M380" s="13">
        <v>0.51876121298599898</v>
      </c>
      <c r="N380" s="13">
        <v>-8.8705639287347395</v>
      </c>
      <c r="O380" s="7">
        <v>0</v>
      </c>
      <c r="P380" s="7" t="s">
        <v>160</v>
      </c>
      <c r="Q380" s="7" t="str">
        <f t="shared" si="5"/>
        <v>Yes</v>
      </c>
    </row>
    <row r="381" spans="1:17" ht="15" customHeight="1" x14ac:dyDescent="0.2">
      <c r="A381" s="7">
        <v>2020</v>
      </c>
      <c r="B381" s="7" t="s">
        <v>200</v>
      </c>
      <c r="C381" s="7">
        <v>2</v>
      </c>
      <c r="D381" s="7" t="s">
        <v>947</v>
      </c>
      <c r="E381" s="7" t="s">
        <v>204</v>
      </c>
      <c r="F381" s="8">
        <v>294435</v>
      </c>
      <c r="G381" s="8">
        <v>94320</v>
      </c>
      <c r="H381" s="8">
        <v>823937.3</v>
      </c>
      <c r="I381" s="8">
        <v>2235.73</v>
      </c>
      <c r="J381" s="13">
        <v>0.75737932631091598</v>
      </c>
      <c r="K381" s="13">
        <v>0.997293871962874</v>
      </c>
      <c r="L381" s="7">
        <v>1</v>
      </c>
      <c r="M381" s="13">
        <v>0.70471637616453597</v>
      </c>
      <c r="N381" s="13">
        <v>5.2662950146379801</v>
      </c>
      <c r="O381" s="7">
        <v>1</v>
      </c>
      <c r="P381" s="7" t="s">
        <v>160</v>
      </c>
      <c r="Q381" s="7" t="str">
        <f t="shared" si="5"/>
        <v>Yes</v>
      </c>
    </row>
    <row r="382" spans="1:17" ht="15" customHeight="1" x14ac:dyDescent="0.2">
      <c r="A382" s="7">
        <v>2020</v>
      </c>
      <c r="B382" s="7" t="s">
        <v>200</v>
      </c>
      <c r="C382" s="7">
        <v>3</v>
      </c>
      <c r="D382" s="7" t="s">
        <v>205</v>
      </c>
      <c r="E382" s="7" t="s">
        <v>948</v>
      </c>
      <c r="F382" s="8">
        <v>176043</v>
      </c>
      <c r="G382" s="8">
        <v>145945</v>
      </c>
      <c r="H382" s="8">
        <v>718371.25</v>
      </c>
      <c r="I382" s="8">
        <v>384583.7</v>
      </c>
      <c r="J382" s="13">
        <v>0.54673776662484297</v>
      </c>
      <c r="K382" s="13">
        <v>0.65131513304328503</v>
      </c>
      <c r="L382" s="7">
        <v>1</v>
      </c>
      <c r="M382" s="13">
        <v>0.59050477080446295</v>
      </c>
      <c r="N382" s="13">
        <v>-4.3767004179619997</v>
      </c>
      <c r="O382" s="7">
        <v>1</v>
      </c>
      <c r="P382" s="7" t="s">
        <v>160</v>
      </c>
      <c r="Q382" s="7" t="str">
        <f t="shared" si="5"/>
        <v>Yes</v>
      </c>
    </row>
    <row r="383" spans="1:17" ht="15" customHeight="1" x14ac:dyDescent="0.2">
      <c r="A383" s="7">
        <v>2020</v>
      </c>
      <c r="B383" s="7" t="s">
        <v>200</v>
      </c>
      <c r="C383" s="7">
        <v>4</v>
      </c>
      <c r="D383" s="7" t="s">
        <v>949</v>
      </c>
      <c r="E383" s="7" t="s">
        <v>208</v>
      </c>
      <c r="F383" s="8">
        <v>194731</v>
      </c>
      <c r="G383" s="8">
        <v>247291</v>
      </c>
      <c r="H383" s="8">
        <v>3170188.14</v>
      </c>
      <c r="I383" s="8">
        <v>2342302.13</v>
      </c>
      <c r="J383" s="13">
        <v>0.44054594567691202</v>
      </c>
      <c r="K383" s="13">
        <v>0.57509183413034903</v>
      </c>
      <c r="L383" s="7">
        <v>-1</v>
      </c>
      <c r="M383" s="13">
        <v>0.48612079287329901</v>
      </c>
      <c r="N383" s="13">
        <v>-4.5574847196386896</v>
      </c>
      <c r="O383" s="7">
        <v>1</v>
      </c>
      <c r="P383" s="7" t="s">
        <v>160</v>
      </c>
      <c r="Q383" s="7" t="str">
        <f t="shared" si="5"/>
        <v>Yes</v>
      </c>
    </row>
    <row r="384" spans="1:17" ht="15" customHeight="1" x14ac:dyDescent="0.2">
      <c r="A384" s="7">
        <v>2020</v>
      </c>
      <c r="B384" s="7" t="s">
        <v>200</v>
      </c>
      <c r="C384" s="7">
        <v>5</v>
      </c>
      <c r="D384" s="7" t="s">
        <v>950</v>
      </c>
      <c r="E384" s="7" t="s">
        <v>951</v>
      </c>
      <c r="F384" s="8">
        <v>271233</v>
      </c>
      <c r="G384" s="8">
        <v>85227</v>
      </c>
      <c r="H384" s="8">
        <v>2046847.71</v>
      </c>
      <c r="I384" s="8">
        <v>593.86</v>
      </c>
      <c r="J384" s="13">
        <v>0.76090725467093101</v>
      </c>
      <c r="K384" s="13">
        <v>0.99970995020873799</v>
      </c>
      <c r="L384" s="7">
        <v>1</v>
      </c>
      <c r="M384" s="13">
        <v>0.70551395169185704</v>
      </c>
      <c r="N384" s="13">
        <v>5.5393302979074104</v>
      </c>
      <c r="O384" s="7">
        <v>1</v>
      </c>
      <c r="P384" s="7" t="s">
        <v>160</v>
      </c>
      <c r="Q384" s="7" t="str">
        <f t="shared" si="5"/>
        <v>Yes</v>
      </c>
    </row>
    <row r="385" spans="1:17" ht="15" customHeight="1" x14ac:dyDescent="0.2">
      <c r="A385" s="7">
        <v>2020</v>
      </c>
      <c r="B385" s="7" t="s">
        <v>200</v>
      </c>
      <c r="C385" s="7">
        <v>6</v>
      </c>
      <c r="D385" s="7" t="s">
        <v>952</v>
      </c>
      <c r="E385" s="7" t="s">
        <v>953</v>
      </c>
      <c r="F385" s="8">
        <v>229648</v>
      </c>
      <c r="G385" s="8">
        <v>83466</v>
      </c>
      <c r="H385" s="8">
        <v>1080005.21</v>
      </c>
      <c r="I385" s="8">
        <v>45285.82</v>
      </c>
      <c r="J385" s="13">
        <v>0.73343255172237598</v>
      </c>
      <c r="K385" s="13">
        <v>0.959756348542119</v>
      </c>
      <c r="L385" s="7">
        <v>1</v>
      </c>
      <c r="M385" s="13">
        <v>0.69232480313171396</v>
      </c>
      <c r="N385" s="13">
        <v>4.1107748590662201</v>
      </c>
      <c r="O385" s="7">
        <v>1</v>
      </c>
      <c r="P385" s="7" t="s">
        <v>160</v>
      </c>
      <c r="Q385" s="7" t="str">
        <f t="shared" si="5"/>
        <v>Yes</v>
      </c>
    </row>
    <row r="386" spans="1:17" ht="15" customHeight="1" x14ac:dyDescent="0.2">
      <c r="A386" s="7">
        <v>2020</v>
      </c>
      <c r="B386" s="7" t="s">
        <v>200</v>
      </c>
      <c r="C386" s="7">
        <v>7</v>
      </c>
      <c r="D386" s="7" t="s">
        <v>209</v>
      </c>
      <c r="E386" s="7" t="s">
        <v>954</v>
      </c>
      <c r="F386" s="8">
        <v>217416</v>
      </c>
      <c r="G386" s="8">
        <v>166549</v>
      </c>
      <c r="H386" s="8">
        <v>1134190.69</v>
      </c>
      <c r="I386" s="8">
        <v>67330.19</v>
      </c>
      <c r="J386" s="13">
        <v>0.56623911033557806</v>
      </c>
      <c r="K386" s="13">
        <v>0.94396253022252896</v>
      </c>
      <c r="L386" s="7">
        <v>1</v>
      </c>
      <c r="M386" s="13">
        <v>0.68711108002641896</v>
      </c>
      <c r="N386" s="13">
        <v>-12.0871969690842</v>
      </c>
      <c r="O386" s="7">
        <v>1</v>
      </c>
      <c r="P386" s="7" t="s">
        <v>160</v>
      </c>
      <c r="Q386" s="7" t="str">
        <f t="shared" si="5"/>
        <v>Yes</v>
      </c>
    </row>
    <row r="387" spans="1:17" ht="15" customHeight="1" x14ac:dyDescent="0.2">
      <c r="A387" s="7">
        <v>2020</v>
      </c>
      <c r="B387" s="7" t="s">
        <v>200</v>
      </c>
      <c r="C387" s="7">
        <v>8</v>
      </c>
      <c r="D387" s="7" t="s">
        <v>955</v>
      </c>
      <c r="E387" s="7" t="s">
        <v>956</v>
      </c>
      <c r="F387" s="8">
        <v>124400</v>
      </c>
      <c r="G387" s="8">
        <v>158711</v>
      </c>
      <c r="H387" s="8">
        <v>1882888.89</v>
      </c>
      <c r="I387" s="8">
        <v>2323792.11</v>
      </c>
      <c r="J387" s="13">
        <v>0.43940362613957101</v>
      </c>
      <c r="K387" s="13">
        <v>0.44759488299683298</v>
      </c>
      <c r="L387" s="7">
        <v>0</v>
      </c>
      <c r="M387" s="13">
        <v>0.48364345679919102</v>
      </c>
      <c r="N387" s="13">
        <v>-4.4239830659620196</v>
      </c>
      <c r="O387" s="7">
        <v>1</v>
      </c>
      <c r="P387" s="7" t="s">
        <v>160</v>
      </c>
      <c r="Q387" s="7" t="str">
        <f t="shared" si="5"/>
        <v>Yes</v>
      </c>
    </row>
    <row r="388" spans="1:17" ht="15" customHeight="1" x14ac:dyDescent="0.2">
      <c r="A388" s="7">
        <v>2020</v>
      </c>
      <c r="B388" s="7" t="s">
        <v>200</v>
      </c>
      <c r="C388" s="7">
        <v>9</v>
      </c>
      <c r="D388" s="7" t="s">
        <v>211</v>
      </c>
      <c r="E388" s="7" t="s">
        <v>957</v>
      </c>
      <c r="F388" s="8">
        <v>174252</v>
      </c>
      <c r="G388" s="8">
        <v>128358</v>
      </c>
      <c r="H388" s="8">
        <v>1128979.99</v>
      </c>
      <c r="I388" s="8">
        <v>52225</v>
      </c>
      <c r="J388" s="13">
        <v>0.57583027659363495</v>
      </c>
      <c r="K388" s="13">
        <v>0.95578667509692805</v>
      </c>
      <c r="L388" s="7">
        <v>1</v>
      </c>
      <c r="M388" s="13">
        <v>0.69101436776118697</v>
      </c>
      <c r="N388" s="13">
        <v>-11.5184091167551</v>
      </c>
      <c r="O388" s="7">
        <v>1</v>
      </c>
      <c r="P388" s="7" t="s">
        <v>160</v>
      </c>
      <c r="Q388" s="7" t="str">
        <f t="shared" ref="Q388:Q451" si="6">IF(A388=2024,"No -- held out","Yes")</f>
        <v>Yes</v>
      </c>
    </row>
    <row r="389" spans="1:17" ht="15" customHeight="1" x14ac:dyDescent="0.2">
      <c r="A389" s="7">
        <v>2020</v>
      </c>
      <c r="B389" s="7" t="s">
        <v>200</v>
      </c>
      <c r="C389" s="7">
        <v>10</v>
      </c>
      <c r="D389" s="7" t="s">
        <v>213</v>
      </c>
      <c r="E389" s="7" t="s">
        <v>958</v>
      </c>
      <c r="F389" s="8">
        <v>166865</v>
      </c>
      <c r="G389" s="8">
        <v>135629</v>
      </c>
      <c r="H389" s="8">
        <v>4177577</v>
      </c>
      <c r="I389" s="8">
        <v>1879308.2</v>
      </c>
      <c r="J389" s="13">
        <v>0.55163077614762601</v>
      </c>
      <c r="K389" s="13">
        <v>0.68972365532039503</v>
      </c>
      <c r="L389" s="7">
        <v>1</v>
      </c>
      <c r="M389" s="13">
        <v>0.60318387068925805</v>
      </c>
      <c r="N389" s="13">
        <v>-5.1553094541631799</v>
      </c>
      <c r="O389" s="7">
        <v>1</v>
      </c>
      <c r="P389" s="7" t="s">
        <v>160</v>
      </c>
      <c r="Q389" s="7" t="str">
        <f t="shared" si="6"/>
        <v>Yes</v>
      </c>
    </row>
    <row r="390" spans="1:17" ht="15" customHeight="1" x14ac:dyDescent="0.2">
      <c r="A390" s="7">
        <v>2020</v>
      </c>
      <c r="B390" s="7" t="s">
        <v>200</v>
      </c>
      <c r="C390" s="7">
        <v>11</v>
      </c>
      <c r="D390" s="7" t="s">
        <v>959</v>
      </c>
      <c r="E390" s="7" t="s">
        <v>960</v>
      </c>
      <c r="F390" s="8">
        <v>271063</v>
      </c>
      <c r="G390" s="8">
        <v>100293</v>
      </c>
      <c r="H390" s="8">
        <v>443907.39</v>
      </c>
      <c r="I390" s="8">
        <v>182994.64</v>
      </c>
      <c r="J390" s="13">
        <v>0.72992761662663297</v>
      </c>
      <c r="K390" s="13">
        <v>0.70809690949636905</v>
      </c>
      <c r="L390" s="7">
        <v>1</v>
      </c>
      <c r="M390" s="13">
        <v>0.60924909556891305</v>
      </c>
      <c r="N390" s="13">
        <v>12.067852105772101</v>
      </c>
      <c r="O390" s="7">
        <v>1</v>
      </c>
      <c r="P390" s="7" t="s">
        <v>160</v>
      </c>
      <c r="Q390" s="7" t="str">
        <f t="shared" si="6"/>
        <v>Yes</v>
      </c>
    </row>
    <row r="391" spans="1:17" ht="15" customHeight="1" x14ac:dyDescent="0.2">
      <c r="A391" s="7">
        <v>2020</v>
      </c>
      <c r="B391" s="7" t="s">
        <v>200</v>
      </c>
      <c r="C391" s="7">
        <v>13</v>
      </c>
      <c r="D391" s="7" t="s">
        <v>961</v>
      </c>
      <c r="E391" s="7" t="s">
        <v>962</v>
      </c>
      <c r="F391" s="8">
        <v>327863</v>
      </c>
      <c r="G391" s="8">
        <v>34955</v>
      </c>
      <c r="H391" s="8">
        <v>1813242.71</v>
      </c>
      <c r="I391" s="8">
        <v>9943.82</v>
      </c>
      <c r="J391" s="13">
        <v>0.90365692992078706</v>
      </c>
      <c r="K391" s="13">
        <v>0.99454591187660901</v>
      </c>
      <c r="L391" s="7">
        <v>1</v>
      </c>
      <c r="M391" s="13">
        <v>0.70380924258199895</v>
      </c>
      <c r="N391" s="13">
        <v>19.984768733878798</v>
      </c>
      <c r="O391" s="7">
        <v>1</v>
      </c>
      <c r="P391" s="7" t="s">
        <v>160</v>
      </c>
      <c r="Q391" s="7" t="str">
        <f t="shared" si="6"/>
        <v>Yes</v>
      </c>
    </row>
    <row r="392" spans="1:17" ht="15" customHeight="1" x14ac:dyDescent="0.2">
      <c r="A392" s="7">
        <v>2020</v>
      </c>
      <c r="B392" s="7" t="s">
        <v>200</v>
      </c>
      <c r="C392" s="7">
        <v>14</v>
      </c>
      <c r="D392" s="7" t="s">
        <v>217</v>
      </c>
      <c r="E392" s="7" t="s">
        <v>963</v>
      </c>
      <c r="F392" s="8">
        <v>278300</v>
      </c>
      <c r="G392" s="8">
        <v>72705</v>
      </c>
      <c r="H392" s="8">
        <v>922862.76</v>
      </c>
      <c r="I392" s="8">
        <v>0</v>
      </c>
      <c r="J392" s="13">
        <v>0.79286619848720097</v>
      </c>
      <c r="K392" s="13">
        <v>1</v>
      </c>
      <c r="L392" s="7">
        <v>1</v>
      </c>
      <c r="M392" s="13">
        <v>0.70560970050115601</v>
      </c>
      <c r="N392" s="13">
        <v>8.7256497986045201</v>
      </c>
      <c r="O392" s="7">
        <v>1</v>
      </c>
      <c r="P392" s="7" t="s">
        <v>160</v>
      </c>
      <c r="Q392" s="7" t="str">
        <f t="shared" si="6"/>
        <v>Yes</v>
      </c>
    </row>
    <row r="393" spans="1:17" ht="15" customHeight="1" x14ac:dyDescent="0.2">
      <c r="A393" s="7">
        <v>2020</v>
      </c>
      <c r="B393" s="7" t="s">
        <v>200</v>
      </c>
      <c r="C393" s="7">
        <v>15</v>
      </c>
      <c r="D393" s="7" t="s">
        <v>219</v>
      </c>
      <c r="E393" s="7" t="s">
        <v>964</v>
      </c>
      <c r="F393" s="8">
        <v>242991</v>
      </c>
      <c r="G393" s="8">
        <v>99710</v>
      </c>
      <c r="H393" s="8">
        <v>4115659.37</v>
      </c>
      <c r="I393" s="8">
        <v>8357.65</v>
      </c>
      <c r="J393" s="13">
        <v>0.70904666166716801</v>
      </c>
      <c r="K393" s="13">
        <v>0.99797342009999801</v>
      </c>
      <c r="L393" s="7">
        <v>1</v>
      </c>
      <c r="M393" s="13">
        <v>0.70494070290756805</v>
      </c>
      <c r="N393" s="13">
        <v>0.41059587595992902</v>
      </c>
      <c r="O393" s="7">
        <v>1</v>
      </c>
      <c r="P393" s="7" t="s">
        <v>160</v>
      </c>
      <c r="Q393" s="7" t="str">
        <f t="shared" si="6"/>
        <v>Yes</v>
      </c>
    </row>
    <row r="394" spans="1:17" ht="15" customHeight="1" x14ac:dyDescent="0.2">
      <c r="A394" s="7">
        <v>2020</v>
      </c>
      <c r="B394" s="7" t="s">
        <v>200</v>
      </c>
      <c r="C394" s="7">
        <v>16</v>
      </c>
      <c r="D394" s="7" t="s">
        <v>221</v>
      </c>
      <c r="E394" s="7" t="s">
        <v>965</v>
      </c>
      <c r="F394" s="8">
        <v>128690</v>
      </c>
      <c r="G394" s="8">
        <v>88039</v>
      </c>
      <c r="H394" s="8">
        <v>2141246.64</v>
      </c>
      <c r="I394" s="8">
        <v>278988.34999999998</v>
      </c>
      <c r="J394" s="13">
        <v>0.59378301934674205</v>
      </c>
      <c r="K394" s="13">
        <v>0.88472675126475997</v>
      </c>
      <c r="L394" s="7">
        <v>1</v>
      </c>
      <c r="M394" s="13">
        <v>0.66755666049576301</v>
      </c>
      <c r="N394" s="13">
        <v>-7.3773641149020701</v>
      </c>
      <c r="O394" s="7">
        <v>1</v>
      </c>
      <c r="P394" s="7" t="s">
        <v>160</v>
      </c>
      <c r="Q394" s="7" t="str">
        <f t="shared" si="6"/>
        <v>Yes</v>
      </c>
    </row>
    <row r="395" spans="1:17" ht="15" customHeight="1" x14ac:dyDescent="0.2">
      <c r="A395" s="7">
        <v>2020</v>
      </c>
      <c r="B395" s="7" t="s">
        <v>200</v>
      </c>
      <c r="C395" s="7">
        <v>17</v>
      </c>
      <c r="D395" s="7" t="s">
        <v>223</v>
      </c>
      <c r="E395" s="7" t="s">
        <v>966</v>
      </c>
      <c r="F395" s="8">
        <v>212137</v>
      </c>
      <c r="G395" s="8">
        <v>85199</v>
      </c>
      <c r="H395" s="8">
        <v>2545770.17</v>
      </c>
      <c r="I395" s="8">
        <v>178622.27</v>
      </c>
      <c r="J395" s="13">
        <v>0.71345884790270897</v>
      </c>
      <c r="K395" s="13">
        <v>0.93443592509748696</v>
      </c>
      <c r="L395" s="7">
        <v>1</v>
      </c>
      <c r="M395" s="13">
        <v>0.68396623688270397</v>
      </c>
      <c r="N395" s="13">
        <v>2.9492611020005399</v>
      </c>
      <c r="O395" s="7">
        <v>1</v>
      </c>
      <c r="P395" s="7" t="s">
        <v>160</v>
      </c>
      <c r="Q395" s="7" t="str">
        <f t="shared" si="6"/>
        <v>Yes</v>
      </c>
    </row>
    <row r="396" spans="1:17" ht="15" customHeight="1" x14ac:dyDescent="0.2">
      <c r="A396" s="7">
        <v>2020</v>
      </c>
      <c r="B396" s="7" t="s">
        <v>200</v>
      </c>
      <c r="C396" s="7">
        <v>19</v>
      </c>
      <c r="D396" s="7" t="s">
        <v>967</v>
      </c>
      <c r="E396" s="7" t="s">
        <v>968</v>
      </c>
      <c r="F396" s="8">
        <v>224385</v>
      </c>
      <c r="G396" s="8">
        <v>88642</v>
      </c>
      <c r="H396" s="8">
        <v>1774212.61</v>
      </c>
      <c r="I396" s="8">
        <v>11542.18</v>
      </c>
      <c r="J396" s="13">
        <v>0.71682314944078296</v>
      </c>
      <c r="K396" s="13">
        <v>0.99353652580710705</v>
      </c>
      <c r="L396" s="7">
        <v>1</v>
      </c>
      <c r="M396" s="13">
        <v>0.70347603250155899</v>
      </c>
      <c r="N396" s="13">
        <v>1.3347116939224299</v>
      </c>
      <c r="O396" s="7">
        <v>1</v>
      </c>
      <c r="P396" s="7" t="s">
        <v>160</v>
      </c>
      <c r="Q396" s="7" t="str">
        <f t="shared" si="6"/>
        <v>Yes</v>
      </c>
    </row>
    <row r="397" spans="1:17" ht="15" customHeight="1" x14ac:dyDescent="0.2">
      <c r="A397" s="7">
        <v>2020</v>
      </c>
      <c r="B397" s="7" t="s">
        <v>200</v>
      </c>
      <c r="C397" s="7">
        <v>20</v>
      </c>
      <c r="D397" s="7" t="s">
        <v>969</v>
      </c>
      <c r="E397" s="7" t="s">
        <v>970</v>
      </c>
      <c r="F397" s="8">
        <v>236896</v>
      </c>
      <c r="G397" s="8">
        <v>71658</v>
      </c>
      <c r="H397" s="8">
        <v>1605255.48</v>
      </c>
      <c r="I397" s="8">
        <v>65047.32</v>
      </c>
      <c r="J397" s="13">
        <v>0.76776188284708702</v>
      </c>
      <c r="K397" s="13">
        <v>0.96105657010213996</v>
      </c>
      <c r="L397" s="7">
        <v>1</v>
      </c>
      <c r="M397" s="13">
        <v>0.69275402138991504</v>
      </c>
      <c r="N397" s="13">
        <v>7.50078614571719</v>
      </c>
      <c r="O397" s="7">
        <v>1</v>
      </c>
      <c r="P397" s="7" t="s">
        <v>160</v>
      </c>
      <c r="Q397" s="7" t="str">
        <f t="shared" si="6"/>
        <v>Yes</v>
      </c>
    </row>
    <row r="398" spans="1:17" ht="15" customHeight="1" x14ac:dyDescent="0.2">
      <c r="A398" s="7">
        <v>2020</v>
      </c>
      <c r="B398" s="7" t="s">
        <v>200</v>
      </c>
      <c r="C398" s="7">
        <v>21</v>
      </c>
      <c r="D398" s="7" t="s">
        <v>225</v>
      </c>
      <c r="E398" s="7" t="s">
        <v>971</v>
      </c>
      <c r="F398" s="8">
        <v>84406</v>
      </c>
      <c r="G398" s="8">
        <v>85928</v>
      </c>
      <c r="H398" s="8">
        <v>13517427.310000001</v>
      </c>
      <c r="I398" s="8">
        <v>7445147.3600000003</v>
      </c>
      <c r="J398" s="13">
        <v>0.495532307114258</v>
      </c>
      <c r="K398" s="13">
        <v>0.64483621514990197</v>
      </c>
      <c r="L398" s="7">
        <v>1</v>
      </c>
      <c r="M398" s="13">
        <v>0.58836600465972799</v>
      </c>
      <c r="N398" s="13">
        <v>-9.2833697545469995</v>
      </c>
      <c r="O398" s="7">
        <v>0</v>
      </c>
      <c r="P398" s="7" t="s">
        <v>160</v>
      </c>
      <c r="Q398" s="7" t="str">
        <f t="shared" si="6"/>
        <v>Yes</v>
      </c>
    </row>
    <row r="399" spans="1:17" ht="15" customHeight="1" x14ac:dyDescent="0.2">
      <c r="A399" s="7">
        <v>2020</v>
      </c>
      <c r="B399" s="7" t="s">
        <v>200</v>
      </c>
      <c r="C399" s="7">
        <v>22</v>
      </c>
      <c r="D399" s="7" t="s">
        <v>972</v>
      </c>
      <c r="E399" s="7" t="s">
        <v>228</v>
      </c>
      <c r="F399" s="8">
        <v>144251</v>
      </c>
      <c r="G399" s="8">
        <v>170888</v>
      </c>
      <c r="H399" s="8">
        <v>5229346.28</v>
      </c>
      <c r="I399" s="8">
        <v>20202581.219999999</v>
      </c>
      <c r="J399" s="13">
        <v>0.45773769669891701</v>
      </c>
      <c r="K399" s="13">
        <v>0.20562131124351499</v>
      </c>
      <c r="L399" s="7">
        <v>-1</v>
      </c>
      <c r="M399" s="13">
        <v>0.36415427642230302</v>
      </c>
      <c r="N399" s="13">
        <v>9.3583420276613598</v>
      </c>
      <c r="O399" s="7">
        <v>1</v>
      </c>
      <c r="P399" s="7" t="s">
        <v>160</v>
      </c>
      <c r="Q399" s="7" t="str">
        <f t="shared" si="6"/>
        <v>Yes</v>
      </c>
    </row>
    <row r="400" spans="1:17" ht="15" customHeight="1" x14ac:dyDescent="0.2">
      <c r="A400" s="7">
        <v>2020</v>
      </c>
      <c r="B400" s="7" t="s">
        <v>200</v>
      </c>
      <c r="C400" s="7">
        <v>23</v>
      </c>
      <c r="D400" s="7" t="s">
        <v>973</v>
      </c>
      <c r="E400" s="7" t="s">
        <v>230</v>
      </c>
      <c r="F400" s="8">
        <v>115896</v>
      </c>
      <c r="G400" s="8">
        <v>190222</v>
      </c>
      <c r="H400" s="8">
        <v>1708246.98</v>
      </c>
      <c r="I400" s="8">
        <v>25149812.66</v>
      </c>
      <c r="J400" s="13">
        <v>0.37859910230695398</v>
      </c>
      <c r="K400" s="13">
        <v>6.3602769630308295E-2</v>
      </c>
      <c r="L400" s="7">
        <v>-1</v>
      </c>
      <c r="M400" s="13">
        <v>0.31727230419709601</v>
      </c>
      <c r="N400" s="13">
        <v>6.1326798109857901</v>
      </c>
      <c r="O400" s="7">
        <v>1</v>
      </c>
      <c r="P400" s="7" t="s">
        <v>160</v>
      </c>
      <c r="Q400" s="7" t="str">
        <f t="shared" si="6"/>
        <v>Yes</v>
      </c>
    </row>
    <row r="401" spans="1:17" ht="15" customHeight="1" x14ac:dyDescent="0.2">
      <c r="A401" s="7">
        <v>2020</v>
      </c>
      <c r="B401" s="7" t="s">
        <v>200</v>
      </c>
      <c r="C401" s="7">
        <v>24</v>
      </c>
      <c r="D401" s="7" t="s">
        <v>231</v>
      </c>
      <c r="E401" s="7" t="s">
        <v>974</v>
      </c>
      <c r="F401" s="8">
        <v>212564</v>
      </c>
      <c r="G401" s="8">
        <v>149781</v>
      </c>
      <c r="H401" s="8">
        <v>1552431.99</v>
      </c>
      <c r="I401" s="8">
        <v>1288902.8400000001</v>
      </c>
      <c r="J401" s="13">
        <v>0.586634285004623</v>
      </c>
      <c r="K401" s="13">
        <v>0.54637418075785205</v>
      </c>
      <c r="L401" s="7">
        <v>1</v>
      </c>
      <c r="M401" s="13">
        <v>0.55586254201907004</v>
      </c>
      <c r="N401" s="13">
        <v>3.0771742985552399</v>
      </c>
      <c r="O401" s="7">
        <v>1</v>
      </c>
      <c r="P401" s="7" t="s">
        <v>160</v>
      </c>
      <c r="Q401" s="7" t="str">
        <f t="shared" si="6"/>
        <v>Yes</v>
      </c>
    </row>
    <row r="402" spans="1:17" ht="15" customHeight="1" x14ac:dyDescent="0.2">
      <c r="A402" s="7">
        <v>2020</v>
      </c>
      <c r="B402" s="7" t="s">
        <v>200</v>
      </c>
      <c r="C402" s="7">
        <v>25</v>
      </c>
      <c r="D402" s="7" t="s">
        <v>975</v>
      </c>
      <c r="E402" s="7" t="s">
        <v>976</v>
      </c>
      <c r="F402" s="8">
        <v>169305</v>
      </c>
      <c r="G402" s="8">
        <v>169638</v>
      </c>
      <c r="H402" s="8">
        <v>16393649.4</v>
      </c>
      <c r="I402" s="8">
        <v>21432642.370000001</v>
      </c>
      <c r="J402" s="13">
        <v>0.49950876696081598</v>
      </c>
      <c r="K402" s="13">
        <v>0.43339298231189</v>
      </c>
      <c r="L402" s="7">
        <v>0</v>
      </c>
      <c r="M402" s="13">
        <v>0.47895524421868102</v>
      </c>
      <c r="N402" s="13">
        <v>2.0553522742135102</v>
      </c>
      <c r="O402" s="7">
        <v>1</v>
      </c>
      <c r="P402" s="7" t="s">
        <v>160</v>
      </c>
      <c r="Q402" s="7" t="str">
        <f t="shared" si="6"/>
        <v>Yes</v>
      </c>
    </row>
    <row r="403" spans="1:17" ht="15" customHeight="1" x14ac:dyDescent="0.2">
      <c r="A403" s="7">
        <v>2020</v>
      </c>
      <c r="B403" s="7" t="s">
        <v>200</v>
      </c>
      <c r="C403" s="7">
        <v>26</v>
      </c>
      <c r="D403" s="7" t="s">
        <v>235</v>
      </c>
      <c r="E403" s="7" t="s">
        <v>977</v>
      </c>
      <c r="F403" s="8">
        <v>208856</v>
      </c>
      <c r="G403" s="8">
        <v>135877</v>
      </c>
      <c r="H403" s="8">
        <v>1413507.66</v>
      </c>
      <c r="I403" s="8">
        <v>134605.10999999999</v>
      </c>
      <c r="J403" s="13">
        <v>0.60584858426666399</v>
      </c>
      <c r="K403" s="13">
        <v>0.91305212862497098</v>
      </c>
      <c r="L403" s="7">
        <v>1</v>
      </c>
      <c r="M403" s="13">
        <v>0.67690719697913704</v>
      </c>
      <c r="N403" s="13">
        <v>-7.10586127124727</v>
      </c>
      <c r="O403" s="7">
        <v>1</v>
      </c>
      <c r="P403" s="7" t="s">
        <v>160</v>
      </c>
      <c r="Q403" s="7" t="str">
        <f t="shared" si="6"/>
        <v>Yes</v>
      </c>
    </row>
    <row r="404" spans="1:17" ht="15" customHeight="1" x14ac:dyDescent="0.2">
      <c r="A404" s="7">
        <v>2020</v>
      </c>
      <c r="B404" s="7" t="s">
        <v>200</v>
      </c>
      <c r="C404" s="7">
        <v>27</v>
      </c>
      <c r="D404" s="7" t="s">
        <v>978</v>
      </c>
      <c r="E404" s="7" t="s">
        <v>238</v>
      </c>
      <c r="F404" s="8">
        <v>221411</v>
      </c>
      <c r="G404" s="8">
        <v>95907</v>
      </c>
      <c r="H404" s="8">
        <v>965000.56</v>
      </c>
      <c r="I404" s="8">
        <v>39170.47</v>
      </c>
      <c r="J404" s="13">
        <v>0.69775745466692696</v>
      </c>
      <c r="K404" s="13">
        <v>0.960992232568191</v>
      </c>
      <c r="L404" s="7">
        <v>1</v>
      </c>
      <c r="M404" s="13">
        <v>0.69273278282173001</v>
      </c>
      <c r="N404" s="13">
        <v>0.50246718451973904</v>
      </c>
      <c r="O404" s="7">
        <v>1</v>
      </c>
      <c r="P404" s="7" t="s">
        <v>160</v>
      </c>
      <c r="Q404" s="7" t="str">
        <f t="shared" si="6"/>
        <v>Yes</v>
      </c>
    </row>
    <row r="405" spans="1:17" ht="15" customHeight="1" x14ac:dyDescent="0.2">
      <c r="A405" s="7">
        <v>2020</v>
      </c>
      <c r="B405" s="7" t="s">
        <v>200</v>
      </c>
      <c r="C405" s="7">
        <v>28</v>
      </c>
      <c r="D405" s="7" t="s">
        <v>237</v>
      </c>
      <c r="E405" s="7" t="s">
        <v>979</v>
      </c>
      <c r="F405" s="8">
        <v>244271</v>
      </c>
      <c r="G405" s="8">
        <v>91928</v>
      </c>
      <c r="H405" s="8">
        <v>10405873.83</v>
      </c>
      <c r="I405" s="8">
        <v>3840801.16</v>
      </c>
      <c r="J405" s="13">
        <v>0.726566706028275</v>
      </c>
      <c r="K405" s="13">
        <v>0.73040718885663303</v>
      </c>
      <c r="L405" s="7">
        <v>1</v>
      </c>
      <c r="M405" s="13">
        <v>0.61661397824847997</v>
      </c>
      <c r="N405" s="13">
        <v>10.995272777979499</v>
      </c>
      <c r="O405" s="7">
        <v>1</v>
      </c>
      <c r="P405" s="7" t="s">
        <v>160</v>
      </c>
      <c r="Q405" s="7" t="str">
        <f t="shared" si="6"/>
        <v>Yes</v>
      </c>
    </row>
    <row r="406" spans="1:17" ht="15" customHeight="1" x14ac:dyDescent="0.2">
      <c r="A406" s="7">
        <v>2020</v>
      </c>
      <c r="B406" s="7" t="s">
        <v>200</v>
      </c>
      <c r="C406" s="7">
        <v>31</v>
      </c>
      <c r="D406" s="7" t="s">
        <v>241</v>
      </c>
      <c r="E406" s="7" t="s">
        <v>980</v>
      </c>
      <c r="F406" s="8">
        <v>175315</v>
      </c>
      <c r="G406" s="8">
        <v>110735</v>
      </c>
      <c r="H406" s="8">
        <v>1917354.64</v>
      </c>
      <c r="I406" s="8">
        <v>130107.43</v>
      </c>
      <c r="J406" s="13">
        <v>0.61288236322321299</v>
      </c>
      <c r="K406" s="13">
        <v>0.93645429045725903</v>
      </c>
      <c r="L406" s="7">
        <v>1</v>
      </c>
      <c r="M406" s="13">
        <v>0.68463252276102904</v>
      </c>
      <c r="N406" s="13">
        <v>-7.1750159537815801</v>
      </c>
      <c r="O406" s="7">
        <v>1</v>
      </c>
      <c r="P406" s="7" t="s">
        <v>160</v>
      </c>
      <c r="Q406" s="7" t="str">
        <f t="shared" si="6"/>
        <v>Yes</v>
      </c>
    </row>
    <row r="407" spans="1:17" ht="15" customHeight="1" x14ac:dyDescent="0.2">
      <c r="A407" s="7">
        <v>2020</v>
      </c>
      <c r="B407" s="7" t="s">
        <v>200</v>
      </c>
      <c r="C407" s="7">
        <v>32</v>
      </c>
      <c r="D407" s="7" t="s">
        <v>981</v>
      </c>
      <c r="E407" s="7" t="s">
        <v>982</v>
      </c>
      <c r="F407" s="8">
        <v>172942</v>
      </c>
      <c r="G407" s="8">
        <v>86818</v>
      </c>
      <c r="H407" s="8">
        <v>263115.27</v>
      </c>
      <c r="I407" s="8">
        <v>14247.84</v>
      </c>
      <c r="J407" s="13">
        <v>0.66577610101632301</v>
      </c>
      <c r="K407" s="13">
        <v>0.94863109228909404</v>
      </c>
      <c r="L407" s="7">
        <v>1</v>
      </c>
      <c r="M407" s="13">
        <v>0.68865222665875403</v>
      </c>
      <c r="N407" s="13">
        <v>-2.2876125642431502</v>
      </c>
      <c r="O407" s="7">
        <v>1</v>
      </c>
      <c r="P407" s="7" t="s">
        <v>160</v>
      </c>
      <c r="Q407" s="7" t="str">
        <f t="shared" si="6"/>
        <v>Yes</v>
      </c>
    </row>
    <row r="408" spans="1:17" ht="15" customHeight="1" x14ac:dyDescent="0.2">
      <c r="A408" s="7">
        <v>2020</v>
      </c>
      <c r="B408" s="7" t="s">
        <v>200</v>
      </c>
      <c r="C408" s="7">
        <v>33</v>
      </c>
      <c r="D408" s="7" t="s">
        <v>243</v>
      </c>
      <c r="E408" s="7" t="s">
        <v>983</v>
      </c>
      <c r="F408" s="8">
        <v>257094</v>
      </c>
      <c r="G408" s="8">
        <v>123334</v>
      </c>
      <c r="H408" s="8">
        <v>1603951.01</v>
      </c>
      <c r="I408" s="8">
        <v>100974.8</v>
      </c>
      <c r="J408" s="13">
        <v>0.675801991441219</v>
      </c>
      <c r="K408" s="13">
        <v>0.94077466631817797</v>
      </c>
      <c r="L408" s="7">
        <v>1</v>
      </c>
      <c r="M408" s="13">
        <v>0.68605872907756504</v>
      </c>
      <c r="N408" s="13">
        <v>-1.02567376363464</v>
      </c>
      <c r="O408" s="7">
        <v>1</v>
      </c>
      <c r="P408" s="7" t="s">
        <v>160</v>
      </c>
      <c r="Q408" s="7" t="str">
        <f t="shared" si="6"/>
        <v>Yes</v>
      </c>
    </row>
    <row r="409" spans="1:17" ht="15" customHeight="1" x14ac:dyDescent="0.2">
      <c r="A409" s="7">
        <v>2020</v>
      </c>
      <c r="B409" s="7" t="s">
        <v>200</v>
      </c>
      <c r="C409" s="7">
        <v>35</v>
      </c>
      <c r="D409" s="7" t="s">
        <v>245</v>
      </c>
      <c r="E409" s="7" t="s">
        <v>984</v>
      </c>
      <c r="F409" s="8">
        <v>169405</v>
      </c>
      <c r="G409" s="8">
        <v>74941</v>
      </c>
      <c r="H409" s="8">
        <v>672500.24</v>
      </c>
      <c r="I409" s="8">
        <v>36175.06</v>
      </c>
      <c r="J409" s="13">
        <v>0.69329966522881503</v>
      </c>
      <c r="K409" s="13">
        <v>0.94895397088059896</v>
      </c>
      <c r="L409" s="7">
        <v>1</v>
      </c>
      <c r="M409" s="13">
        <v>0.68875881263680405</v>
      </c>
      <c r="N409" s="13">
        <v>0.45408525920105403</v>
      </c>
      <c r="O409" s="7">
        <v>1</v>
      </c>
      <c r="P409" s="7" t="s">
        <v>160</v>
      </c>
      <c r="Q409" s="7" t="str">
        <f t="shared" si="6"/>
        <v>Yes</v>
      </c>
    </row>
    <row r="410" spans="1:17" ht="15" customHeight="1" x14ac:dyDescent="0.2">
      <c r="A410" s="7">
        <v>2020</v>
      </c>
      <c r="B410" s="7" t="s">
        <v>200</v>
      </c>
      <c r="C410" s="7">
        <v>36</v>
      </c>
      <c r="D410" s="7" t="s">
        <v>247</v>
      </c>
      <c r="E410" s="7" t="s">
        <v>985</v>
      </c>
      <c r="F410" s="8">
        <v>185151</v>
      </c>
      <c r="G410" s="8">
        <v>121698</v>
      </c>
      <c r="H410" s="8">
        <v>1806125.22</v>
      </c>
      <c r="I410" s="8">
        <v>53981.04</v>
      </c>
      <c r="J410" s="13">
        <v>0.603394503485428</v>
      </c>
      <c r="K410" s="13">
        <v>0.97097959339161599</v>
      </c>
      <c r="L410" s="7">
        <v>1</v>
      </c>
      <c r="M410" s="13">
        <v>0.69602972677995001</v>
      </c>
      <c r="N410" s="13">
        <v>-9.2635223294522593</v>
      </c>
      <c r="O410" s="7">
        <v>1</v>
      </c>
      <c r="P410" s="7" t="s">
        <v>160</v>
      </c>
      <c r="Q410" s="7" t="str">
        <f t="shared" si="6"/>
        <v>Yes</v>
      </c>
    </row>
    <row r="411" spans="1:17" ht="15" customHeight="1" x14ac:dyDescent="0.2">
      <c r="A411" s="7">
        <v>2020</v>
      </c>
      <c r="B411" s="7" t="s">
        <v>200</v>
      </c>
      <c r="C411" s="7">
        <v>37</v>
      </c>
      <c r="D411" s="7" t="s">
        <v>249</v>
      </c>
      <c r="E411" s="7" t="s">
        <v>986</v>
      </c>
      <c r="F411" s="8">
        <v>254916</v>
      </c>
      <c r="G411" s="8">
        <v>41705</v>
      </c>
      <c r="H411" s="8">
        <v>1220519.56</v>
      </c>
      <c r="I411" s="8">
        <v>176111.56</v>
      </c>
      <c r="J411" s="13">
        <v>0.859399705347902</v>
      </c>
      <c r="K411" s="13">
        <v>0.87390259498155798</v>
      </c>
      <c r="L411" s="7">
        <v>1</v>
      </c>
      <c r="M411" s="13">
        <v>0.66398348062455603</v>
      </c>
      <c r="N411" s="13">
        <v>19.541622472334598</v>
      </c>
      <c r="O411" s="7">
        <v>1</v>
      </c>
      <c r="P411" s="7" t="s">
        <v>160</v>
      </c>
      <c r="Q411" s="7" t="str">
        <f t="shared" si="6"/>
        <v>Yes</v>
      </c>
    </row>
    <row r="412" spans="1:17" ht="15" customHeight="1" x14ac:dyDescent="0.2">
      <c r="A412" s="7">
        <v>2020</v>
      </c>
      <c r="B412" s="7" t="s">
        <v>200</v>
      </c>
      <c r="C412" s="7">
        <v>39</v>
      </c>
      <c r="D412" s="7" t="s">
        <v>251</v>
      </c>
      <c r="E412" s="7" t="s">
        <v>252</v>
      </c>
      <c r="F412" s="8">
        <v>169837</v>
      </c>
      <c r="G412" s="8">
        <v>173946</v>
      </c>
      <c r="H412" s="8">
        <v>8482541.4700000007</v>
      </c>
      <c r="I412" s="8">
        <v>6170583.21</v>
      </c>
      <c r="J412" s="13">
        <v>0.494023846438015</v>
      </c>
      <c r="K412" s="13">
        <v>0.57888959899302495</v>
      </c>
      <c r="L412" s="7">
        <v>1</v>
      </c>
      <c r="M412" s="13">
        <v>0.56659625972435501</v>
      </c>
      <c r="N412" s="13">
        <v>-7.2572413286340502</v>
      </c>
      <c r="O412" s="7">
        <v>0</v>
      </c>
      <c r="P412" s="7" t="s">
        <v>160</v>
      </c>
      <c r="Q412" s="7" t="str">
        <f t="shared" si="6"/>
        <v>Yes</v>
      </c>
    </row>
    <row r="413" spans="1:17" ht="15" customHeight="1" x14ac:dyDescent="0.2">
      <c r="A413" s="7">
        <v>2020</v>
      </c>
      <c r="B413" s="7" t="s">
        <v>200</v>
      </c>
      <c r="C413" s="7">
        <v>40</v>
      </c>
      <c r="D413" s="7" t="s">
        <v>987</v>
      </c>
      <c r="E413" s="7" t="s">
        <v>988</v>
      </c>
      <c r="F413" s="8">
        <v>135572</v>
      </c>
      <c r="G413" s="8">
        <v>50809</v>
      </c>
      <c r="H413" s="8">
        <v>752950.46</v>
      </c>
      <c r="I413" s="8">
        <v>79270.37</v>
      </c>
      <c r="J413" s="13">
        <v>0.72739174057441502</v>
      </c>
      <c r="K413" s="13">
        <v>0.90474839472595303</v>
      </c>
      <c r="L413" s="7">
        <v>1</v>
      </c>
      <c r="M413" s="13">
        <v>0.67416603784880602</v>
      </c>
      <c r="N413" s="13">
        <v>5.3225702725608501</v>
      </c>
      <c r="O413" s="7">
        <v>1</v>
      </c>
      <c r="P413" s="7" t="s">
        <v>160</v>
      </c>
      <c r="Q413" s="7" t="str">
        <f t="shared" si="6"/>
        <v>Yes</v>
      </c>
    </row>
    <row r="414" spans="1:17" ht="15" customHeight="1" x14ac:dyDescent="0.2">
      <c r="A414" s="7">
        <v>2020</v>
      </c>
      <c r="B414" s="7" t="s">
        <v>200</v>
      </c>
      <c r="C414" s="7">
        <v>41</v>
      </c>
      <c r="D414" s="7" t="s">
        <v>253</v>
      </c>
      <c r="E414" s="7" t="s">
        <v>254</v>
      </c>
      <c r="F414" s="8">
        <v>168126</v>
      </c>
      <c r="G414" s="8">
        <v>94447</v>
      </c>
      <c r="H414" s="8">
        <v>965769.69</v>
      </c>
      <c r="I414" s="8">
        <v>667305.82999999996</v>
      </c>
      <c r="J414" s="13">
        <v>0.64030193508091104</v>
      </c>
      <c r="K414" s="13">
        <v>0.59138091176579499</v>
      </c>
      <c r="L414" s="7">
        <v>1</v>
      </c>
      <c r="M414" s="13">
        <v>0.57071978734136397</v>
      </c>
      <c r="N414" s="13">
        <v>6.95821477395467</v>
      </c>
      <c r="O414" s="7">
        <v>1</v>
      </c>
      <c r="P414" s="7" t="s">
        <v>160</v>
      </c>
      <c r="Q414" s="7" t="str">
        <f t="shared" si="6"/>
        <v>Yes</v>
      </c>
    </row>
    <row r="415" spans="1:17" ht="15" customHeight="1" x14ac:dyDescent="0.2">
      <c r="A415" s="7">
        <v>2020</v>
      </c>
      <c r="B415" s="7" t="s">
        <v>200</v>
      </c>
      <c r="C415" s="7">
        <v>42</v>
      </c>
      <c r="D415" s="7" t="s">
        <v>989</v>
      </c>
      <c r="E415" s="7" t="s">
        <v>256</v>
      </c>
      <c r="F415" s="8">
        <v>157773</v>
      </c>
      <c r="G415" s="8">
        <v>210274</v>
      </c>
      <c r="H415" s="8">
        <v>137236.15</v>
      </c>
      <c r="I415" s="8">
        <v>1552252.09</v>
      </c>
      <c r="J415" s="13">
        <v>0.42867622885120699</v>
      </c>
      <c r="K415" s="13">
        <v>8.1229420099426103E-2</v>
      </c>
      <c r="L415" s="7">
        <v>-1</v>
      </c>
      <c r="M415" s="13">
        <v>0.32309106651031</v>
      </c>
      <c r="N415" s="13">
        <v>10.5585162340896</v>
      </c>
      <c r="O415" s="7">
        <v>1</v>
      </c>
      <c r="P415" s="7" t="s">
        <v>160</v>
      </c>
      <c r="Q415" s="7" t="str">
        <f t="shared" si="6"/>
        <v>Yes</v>
      </c>
    </row>
    <row r="416" spans="1:17" ht="15" customHeight="1" x14ac:dyDescent="0.2">
      <c r="A416" s="7">
        <v>2020</v>
      </c>
      <c r="B416" s="7" t="s">
        <v>200</v>
      </c>
      <c r="C416" s="7">
        <v>43</v>
      </c>
      <c r="D416" s="7" t="s">
        <v>257</v>
      </c>
      <c r="E416" s="7" t="s">
        <v>990</v>
      </c>
      <c r="F416" s="8">
        <v>199210</v>
      </c>
      <c r="G416" s="8">
        <v>78688</v>
      </c>
      <c r="H416" s="8">
        <v>2201772.36</v>
      </c>
      <c r="I416" s="8">
        <v>10015396.92</v>
      </c>
      <c r="J416" s="13">
        <v>0.71684574915976396</v>
      </c>
      <c r="K416" s="13">
        <v>0.18021951808463399</v>
      </c>
      <c r="L416" s="7">
        <v>1</v>
      </c>
      <c r="M416" s="13">
        <v>0.43499062958718099</v>
      </c>
      <c r="N416" s="13">
        <v>28.185511957258299</v>
      </c>
      <c r="O416" s="7">
        <v>0</v>
      </c>
      <c r="P416" s="7" t="s">
        <v>160</v>
      </c>
      <c r="Q416" s="7" t="str">
        <f t="shared" si="6"/>
        <v>Yes</v>
      </c>
    </row>
    <row r="417" spans="1:17" ht="15" customHeight="1" x14ac:dyDescent="0.2">
      <c r="A417" s="7">
        <v>2020</v>
      </c>
      <c r="B417" s="7" t="s">
        <v>200</v>
      </c>
      <c r="C417" s="7">
        <v>45</v>
      </c>
      <c r="D417" s="7" t="s">
        <v>259</v>
      </c>
      <c r="E417" s="7" t="s">
        <v>991</v>
      </c>
      <c r="F417" s="8">
        <v>221843</v>
      </c>
      <c r="G417" s="8">
        <v>193096</v>
      </c>
      <c r="H417" s="8">
        <v>8306192.1100000003</v>
      </c>
      <c r="I417" s="8">
        <v>1554029.9</v>
      </c>
      <c r="J417" s="13">
        <v>0.53464003142630601</v>
      </c>
      <c r="K417" s="13">
        <v>0.84239402536535801</v>
      </c>
      <c r="L417" s="7">
        <v>1</v>
      </c>
      <c r="M417" s="13">
        <v>0.65358213535778198</v>
      </c>
      <c r="N417" s="13">
        <v>-11.894210393147601</v>
      </c>
      <c r="O417" s="7">
        <v>1</v>
      </c>
      <c r="P417" s="7" t="s">
        <v>160</v>
      </c>
      <c r="Q417" s="7" t="str">
        <f t="shared" si="6"/>
        <v>Yes</v>
      </c>
    </row>
    <row r="418" spans="1:17" ht="15" customHeight="1" x14ac:dyDescent="0.2">
      <c r="A418" s="7">
        <v>2020</v>
      </c>
      <c r="B418" s="7" t="s">
        <v>200</v>
      </c>
      <c r="C418" s="7">
        <v>46</v>
      </c>
      <c r="D418" s="7" t="s">
        <v>992</v>
      </c>
      <c r="E418" s="7" t="s">
        <v>993</v>
      </c>
      <c r="F418" s="8">
        <v>157803</v>
      </c>
      <c r="G418" s="8">
        <v>71716</v>
      </c>
      <c r="H418" s="8">
        <v>668667.85</v>
      </c>
      <c r="I418" s="8">
        <v>7048.08</v>
      </c>
      <c r="J418" s="13">
        <v>0.68753785089687602</v>
      </c>
      <c r="K418" s="13">
        <v>0.98956946301384396</v>
      </c>
      <c r="L418" s="7">
        <v>1</v>
      </c>
      <c r="M418" s="13">
        <v>0.702166458937594</v>
      </c>
      <c r="N418" s="13">
        <v>-1.46286080407188</v>
      </c>
      <c r="O418" s="7">
        <v>1</v>
      </c>
      <c r="P418" s="7" t="s">
        <v>160</v>
      </c>
      <c r="Q418" s="7" t="str">
        <f t="shared" si="6"/>
        <v>Yes</v>
      </c>
    </row>
    <row r="419" spans="1:17" ht="15" customHeight="1" x14ac:dyDescent="0.2">
      <c r="A419" s="7">
        <v>2020</v>
      </c>
      <c r="B419" s="7" t="s">
        <v>200</v>
      </c>
      <c r="C419" s="7">
        <v>47</v>
      </c>
      <c r="D419" s="7" t="s">
        <v>261</v>
      </c>
      <c r="E419" s="7" t="s">
        <v>262</v>
      </c>
      <c r="F419" s="8">
        <v>197028</v>
      </c>
      <c r="G419" s="8">
        <v>114371</v>
      </c>
      <c r="H419" s="8">
        <v>861722.67</v>
      </c>
      <c r="I419" s="8">
        <v>61538.47</v>
      </c>
      <c r="J419" s="13">
        <v>0.63271879485804405</v>
      </c>
      <c r="K419" s="13">
        <v>0.93334662606941299</v>
      </c>
      <c r="L419" s="7">
        <v>1</v>
      </c>
      <c r="M419" s="13">
        <v>0.68360664660527204</v>
      </c>
      <c r="N419" s="13">
        <v>-5.0887851747228598</v>
      </c>
      <c r="O419" s="7">
        <v>1</v>
      </c>
      <c r="P419" s="7" t="s">
        <v>160</v>
      </c>
      <c r="Q419" s="7" t="str">
        <f t="shared" si="6"/>
        <v>Yes</v>
      </c>
    </row>
    <row r="420" spans="1:17" ht="15" customHeight="1" x14ac:dyDescent="0.2">
      <c r="A420" s="7">
        <v>2020</v>
      </c>
      <c r="B420" s="7" t="s">
        <v>200</v>
      </c>
      <c r="C420" s="7">
        <v>48</v>
      </c>
      <c r="D420" s="7" t="s">
        <v>263</v>
      </c>
      <c r="E420" s="7" t="s">
        <v>994</v>
      </c>
      <c r="F420" s="8">
        <v>193362</v>
      </c>
      <c r="G420" s="8">
        <v>201738</v>
      </c>
      <c r="H420" s="8">
        <v>17494950.280000001</v>
      </c>
      <c r="I420" s="8">
        <v>9365926.3499999996</v>
      </c>
      <c r="J420" s="13">
        <v>0.48940015186028901</v>
      </c>
      <c r="K420" s="13">
        <v>0.65131717482595097</v>
      </c>
      <c r="L420" s="7">
        <v>1</v>
      </c>
      <c r="M420" s="13">
        <v>0.59050544482066603</v>
      </c>
      <c r="N420" s="13">
        <v>-10.1105292960378</v>
      </c>
      <c r="O420" s="7">
        <v>0</v>
      </c>
      <c r="P420" s="7" t="s">
        <v>160</v>
      </c>
      <c r="Q420" s="7" t="str">
        <f t="shared" si="6"/>
        <v>Yes</v>
      </c>
    </row>
    <row r="421" spans="1:17" ht="15" customHeight="1" x14ac:dyDescent="0.2">
      <c r="A421" s="7">
        <v>2020</v>
      </c>
      <c r="B421" s="7" t="s">
        <v>200</v>
      </c>
      <c r="C421" s="7">
        <v>49</v>
      </c>
      <c r="D421" s="7" t="s">
        <v>265</v>
      </c>
      <c r="E421" s="7" t="s">
        <v>995</v>
      </c>
      <c r="F421" s="8">
        <v>205349</v>
      </c>
      <c r="G421" s="8">
        <v>181157</v>
      </c>
      <c r="H421" s="8">
        <v>3005710.86</v>
      </c>
      <c r="I421" s="8">
        <v>3444349.84</v>
      </c>
      <c r="J421" s="13">
        <v>0.53129576254961097</v>
      </c>
      <c r="K421" s="13">
        <v>0.465997298288991</v>
      </c>
      <c r="L421" s="7">
        <v>1</v>
      </c>
      <c r="M421" s="13">
        <v>0.52932919835386905</v>
      </c>
      <c r="N421" s="13">
        <v>0.19665641957421501</v>
      </c>
      <c r="O421" s="7">
        <v>1</v>
      </c>
      <c r="P421" s="7" t="s">
        <v>160</v>
      </c>
      <c r="Q421" s="7" t="str">
        <f t="shared" si="6"/>
        <v>Yes</v>
      </c>
    </row>
    <row r="422" spans="1:17" ht="15" customHeight="1" x14ac:dyDescent="0.2">
      <c r="A422" s="7">
        <v>2020</v>
      </c>
      <c r="B422" s="7" t="s">
        <v>200</v>
      </c>
      <c r="C422" s="7">
        <v>50</v>
      </c>
      <c r="D422" s="7" t="s">
        <v>267</v>
      </c>
      <c r="E422" s="7" t="s">
        <v>996</v>
      </c>
      <c r="F422" s="8">
        <v>166869</v>
      </c>
      <c r="G422" s="8">
        <v>195521</v>
      </c>
      <c r="H422" s="8">
        <v>7614728.6299999999</v>
      </c>
      <c r="I422" s="8">
        <v>16582267.189999999</v>
      </c>
      <c r="J422" s="13">
        <v>0.46046800408399802</v>
      </c>
      <c r="K422" s="13">
        <v>0.31469727426683503</v>
      </c>
      <c r="L422" s="7">
        <v>0</v>
      </c>
      <c r="M422" s="13">
        <v>0.43977241059280697</v>
      </c>
      <c r="N422" s="13">
        <v>2.0695593491191402</v>
      </c>
      <c r="O422" s="7">
        <v>1</v>
      </c>
      <c r="P422" s="7" t="s">
        <v>160</v>
      </c>
      <c r="Q422" s="7" t="str">
        <f t="shared" si="6"/>
        <v>Yes</v>
      </c>
    </row>
    <row r="423" spans="1:17" ht="15" customHeight="1" x14ac:dyDescent="0.2">
      <c r="A423" s="7">
        <v>2020</v>
      </c>
      <c r="B423" s="7" t="s">
        <v>200</v>
      </c>
      <c r="C423" s="7">
        <v>51</v>
      </c>
      <c r="D423" s="7" t="s">
        <v>997</v>
      </c>
      <c r="E423" s="7" t="s">
        <v>270</v>
      </c>
      <c r="F423" s="8">
        <v>165596</v>
      </c>
      <c r="G423" s="8">
        <v>76841</v>
      </c>
      <c r="H423" s="8">
        <v>803806.16</v>
      </c>
      <c r="I423" s="8">
        <v>81181.7</v>
      </c>
      <c r="J423" s="13">
        <v>0.68304755462243805</v>
      </c>
      <c r="K423" s="13">
        <v>0.908268007201816</v>
      </c>
      <c r="L423" s="7">
        <v>1</v>
      </c>
      <c r="M423" s="13">
        <v>0.67532790285926603</v>
      </c>
      <c r="N423" s="13">
        <v>0.77196517631717998</v>
      </c>
      <c r="O423" s="7">
        <v>1</v>
      </c>
      <c r="P423" s="7" t="s">
        <v>160</v>
      </c>
      <c r="Q423" s="7" t="str">
        <f t="shared" si="6"/>
        <v>Yes</v>
      </c>
    </row>
    <row r="424" spans="1:17" ht="15" customHeight="1" x14ac:dyDescent="0.2">
      <c r="A424" s="7">
        <v>2020</v>
      </c>
      <c r="B424" s="7" t="s">
        <v>200</v>
      </c>
      <c r="C424" s="7">
        <v>52</v>
      </c>
      <c r="D424" s="7" t="s">
        <v>271</v>
      </c>
      <c r="E424" s="7" t="s">
        <v>998</v>
      </c>
      <c r="F424" s="8">
        <v>244145</v>
      </c>
      <c r="G424" s="8">
        <v>152350</v>
      </c>
      <c r="H424" s="8">
        <v>2279638.3199999998</v>
      </c>
      <c r="I424" s="8">
        <v>424649.57</v>
      </c>
      <c r="J424" s="13">
        <v>0.61575808017755596</v>
      </c>
      <c r="K424" s="13">
        <v>0.84297175919387801</v>
      </c>
      <c r="L424" s="7">
        <v>1</v>
      </c>
      <c r="M424" s="13">
        <v>0.65377285201347102</v>
      </c>
      <c r="N424" s="13">
        <v>-3.80147718359146</v>
      </c>
      <c r="O424" s="7">
        <v>1</v>
      </c>
      <c r="P424" s="7" t="s">
        <v>160</v>
      </c>
      <c r="Q424" s="7" t="str">
        <f t="shared" si="6"/>
        <v>Yes</v>
      </c>
    </row>
    <row r="425" spans="1:17" ht="15" customHeight="1" x14ac:dyDescent="0.2">
      <c r="A425" s="7">
        <v>2020</v>
      </c>
      <c r="B425" s="7" t="s">
        <v>275</v>
      </c>
      <c r="C425" s="7">
        <v>1</v>
      </c>
      <c r="D425" s="7" t="s">
        <v>276</v>
      </c>
      <c r="E425" s="7" t="s">
        <v>999</v>
      </c>
      <c r="F425" s="8">
        <v>331621</v>
      </c>
      <c r="G425" s="8">
        <v>105955</v>
      </c>
      <c r="H425" s="8">
        <v>1081606.08</v>
      </c>
      <c r="I425" s="8">
        <v>13657.96</v>
      </c>
      <c r="J425" s="13">
        <v>0.75785920617218505</v>
      </c>
      <c r="K425" s="13">
        <v>0.98752998409406401</v>
      </c>
      <c r="L425" s="7">
        <v>1</v>
      </c>
      <c r="M425" s="13">
        <v>0.70149320322756603</v>
      </c>
      <c r="N425" s="13">
        <v>5.6366002944618998</v>
      </c>
      <c r="O425" s="7">
        <v>1</v>
      </c>
      <c r="P425" s="7" t="s">
        <v>160</v>
      </c>
      <c r="Q425" s="7" t="str">
        <f t="shared" si="6"/>
        <v>Yes</v>
      </c>
    </row>
    <row r="426" spans="1:17" ht="15" customHeight="1" x14ac:dyDescent="0.2">
      <c r="A426" s="7">
        <v>2020</v>
      </c>
      <c r="B426" s="7" t="s">
        <v>275</v>
      </c>
      <c r="C426" s="7">
        <v>2</v>
      </c>
      <c r="D426" s="7" t="s">
        <v>278</v>
      </c>
      <c r="E426" s="7" t="s">
        <v>1000</v>
      </c>
      <c r="F426" s="8">
        <v>316925</v>
      </c>
      <c r="G426" s="8">
        <v>182547</v>
      </c>
      <c r="H426" s="8">
        <v>696705.31</v>
      </c>
      <c r="I426" s="8">
        <v>100537.58</v>
      </c>
      <c r="J426" s="13">
        <v>0.63452005317615401</v>
      </c>
      <c r="K426" s="13">
        <v>0.87389341283432498</v>
      </c>
      <c r="L426" s="7">
        <v>1</v>
      </c>
      <c r="M426" s="13">
        <v>0.66398044949096902</v>
      </c>
      <c r="N426" s="13">
        <v>-2.9460396314814501</v>
      </c>
      <c r="O426" s="7">
        <v>1</v>
      </c>
      <c r="P426" s="7" t="s">
        <v>160</v>
      </c>
      <c r="Q426" s="7" t="str">
        <f t="shared" si="6"/>
        <v>Yes</v>
      </c>
    </row>
    <row r="427" spans="1:17" ht="15" customHeight="1" x14ac:dyDescent="0.2">
      <c r="A427" s="7">
        <v>2020</v>
      </c>
      <c r="B427" s="7" t="s">
        <v>275</v>
      </c>
      <c r="C427" s="7">
        <v>3</v>
      </c>
      <c r="D427" s="7" t="s">
        <v>1001</v>
      </c>
      <c r="E427" s="7" t="s">
        <v>1002</v>
      </c>
      <c r="F427" s="8">
        <v>194122</v>
      </c>
      <c r="G427" s="8">
        <v>220634</v>
      </c>
      <c r="H427" s="8">
        <v>9114387.0399999991</v>
      </c>
      <c r="I427" s="8">
        <v>7717178.75</v>
      </c>
      <c r="J427" s="13">
        <v>0.46803903982100298</v>
      </c>
      <c r="K427" s="13">
        <v>0.54150559453090596</v>
      </c>
      <c r="L427" s="7">
        <v>0</v>
      </c>
      <c r="M427" s="13">
        <v>0.51464447483372999</v>
      </c>
      <c r="N427" s="13">
        <v>-4.6605435012726399</v>
      </c>
      <c r="O427" s="7">
        <v>0</v>
      </c>
      <c r="P427" s="7" t="s">
        <v>160</v>
      </c>
      <c r="Q427" s="7" t="str">
        <f t="shared" si="6"/>
        <v>Yes</v>
      </c>
    </row>
    <row r="428" spans="1:17" ht="15" customHeight="1" x14ac:dyDescent="0.2">
      <c r="A428" s="7">
        <v>2020</v>
      </c>
      <c r="B428" s="7" t="s">
        <v>275</v>
      </c>
      <c r="C428" s="7">
        <v>4</v>
      </c>
      <c r="D428" s="7" t="s">
        <v>1003</v>
      </c>
      <c r="E428" s="7" t="s">
        <v>283</v>
      </c>
      <c r="F428" s="8">
        <v>173945</v>
      </c>
      <c r="G428" s="8">
        <v>285606</v>
      </c>
      <c r="H428" s="8">
        <v>385517.12</v>
      </c>
      <c r="I428" s="8">
        <v>540824.13</v>
      </c>
      <c r="J428" s="13">
        <v>0.37851076376724202</v>
      </c>
      <c r="K428" s="13">
        <v>0.41617181573205297</v>
      </c>
      <c r="L428" s="7">
        <v>-1</v>
      </c>
      <c r="M428" s="13">
        <v>0.43365944660155598</v>
      </c>
      <c r="N428" s="13">
        <v>-5.5148682834313503</v>
      </c>
      <c r="O428" s="7">
        <v>1</v>
      </c>
      <c r="P428" s="7" t="s">
        <v>160</v>
      </c>
      <c r="Q428" s="7" t="str">
        <f t="shared" si="6"/>
        <v>Yes</v>
      </c>
    </row>
    <row r="429" spans="1:17" ht="15" customHeight="1" x14ac:dyDescent="0.2">
      <c r="A429" s="7">
        <v>2020</v>
      </c>
      <c r="B429" s="7" t="s">
        <v>275</v>
      </c>
      <c r="C429" s="7">
        <v>5</v>
      </c>
      <c r="D429" s="7" t="s">
        <v>1004</v>
      </c>
      <c r="E429" s="7" t="s">
        <v>285</v>
      </c>
      <c r="F429" s="8">
        <v>161600</v>
      </c>
      <c r="G429" s="8">
        <v>249013</v>
      </c>
      <c r="H429" s="8">
        <v>181689.21</v>
      </c>
      <c r="I429" s="8">
        <v>399914.27</v>
      </c>
      <c r="J429" s="13">
        <v>0.39355792437161002</v>
      </c>
      <c r="K429" s="13">
        <v>0.312393608786522</v>
      </c>
      <c r="L429" s="7">
        <v>-1</v>
      </c>
      <c r="M429" s="13">
        <v>0.39940105357529099</v>
      </c>
      <c r="N429" s="13">
        <v>-0.58431292036802396</v>
      </c>
      <c r="O429" s="7">
        <v>1</v>
      </c>
      <c r="P429" s="7" t="s">
        <v>160</v>
      </c>
      <c r="Q429" s="7" t="str">
        <f t="shared" si="6"/>
        <v>Yes</v>
      </c>
    </row>
    <row r="430" spans="1:17" ht="15" customHeight="1" x14ac:dyDescent="0.2">
      <c r="A430" s="7">
        <v>2020</v>
      </c>
      <c r="B430" s="7" t="s">
        <v>275</v>
      </c>
      <c r="C430" s="7">
        <v>6</v>
      </c>
      <c r="D430" s="7" t="s">
        <v>286</v>
      </c>
      <c r="E430" s="7" t="s">
        <v>1005</v>
      </c>
      <c r="F430" s="8">
        <v>250314</v>
      </c>
      <c r="G430" s="8">
        <v>175192</v>
      </c>
      <c r="H430" s="8">
        <v>3007536.79</v>
      </c>
      <c r="I430" s="8">
        <v>1257933.3600000001</v>
      </c>
      <c r="J430" s="13">
        <v>0.58827372586990601</v>
      </c>
      <c r="K430" s="13">
        <v>0.70508916584494197</v>
      </c>
      <c r="L430" s="7">
        <v>1</v>
      </c>
      <c r="M430" s="13">
        <v>0.60825620441030104</v>
      </c>
      <c r="N430" s="13">
        <v>-1.9982478540395101</v>
      </c>
      <c r="O430" s="7">
        <v>1</v>
      </c>
      <c r="P430" s="7" t="s">
        <v>160</v>
      </c>
      <c r="Q430" s="7" t="str">
        <f t="shared" si="6"/>
        <v>Yes</v>
      </c>
    </row>
    <row r="431" spans="1:17" ht="15" customHeight="1" x14ac:dyDescent="0.2">
      <c r="A431" s="7">
        <v>2020</v>
      </c>
      <c r="B431" s="7" t="s">
        <v>275</v>
      </c>
      <c r="C431" s="7">
        <v>7</v>
      </c>
      <c r="D431" s="7" t="s">
        <v>288</v>
      </c>
      <c r="E431" s="7" t="s">
        <v>1006</v>
      </c>
      <c r="F431" s="8">
        <v>250525</v>
      </c>
      <c r="G431" s="8">
        <v>159301</v>
      </c>
      <c r="H431" s="8">
        <v>1345865.73</v>
      </c>
      <c r="I431" s="8">
        <v>163104.35</v>
      </c>
      <c r="J431" s="13">
        <v>0.61129601343008999</v>
      </c>
      <c r="K431" s="13">
        <v>0.89191014973603699</v>
      </c>
      <c r="L431" s="7">
        <v>1</v>
      </c>
      <c r="M431" s="13">
        <v>0.66992798387218599</v>
      </c>
      <c r="N431" s="13">
        <v>-5.8631970442096497</v>
      </c>
      <c r="O431" s="7">
        <v>1</v>
      </c>
      <c r="P431" s="7" t="s">
        <v>160</v>
      </c>
      <c r="Q431" s="7" t="str">
        <f t="shared" si="6"/>
        <v>Yes</v>
      </c>
    </row>
    <row r="432" spans="1:17" ht="15" customHeight="1" x14ac:dyDescent="0.2">
      <c r="A432" s="7">
        <v>2020</v>
      </c>
      <c r="B432" s="7" t="s">
        <v>290</v>
      </c>
      <c r="C432" s="7">
        <v>3</v>
      </c>
      <c r="D432" s="7" t="s">
        <v>1007</v>
      </c>
      <c r="E432" s="7" t="s">
        <v>1008</v>
      </c>
      <c r="F432" s="8">
        <v>203265</v>
      </c>
      <c r="G432" s="8">
        <v>137598</v>
      </c>
      <c r="H432" s="8">
        <v>2119251.5099999998</v>
      </c>
      <c r="I432" s="8">
        <v>2012375.17</v>
      </c>
      <c r="J432" s="13">
        <v>0.59632462308904199</v>
      </c>
      <c r="K432" s="13">
        <v>0.5129339299358</v>
      </c>
      <c r="L432" s="7">
        <v>1</v>
      </c>
      <c r="M432" s="13">
        <v>0.54482352632129405</v>
      </c>
      <c r="N432" s="13">
        <v>5.1501096767747301</v>
      </c>
      <c r="O432" s="7">
        <v>1</v>
      </c>
      <c r="P432" s="7" t="s">
        <v>160</v>
      </c>
      <c r="Q432" s="7" t="str">
        <f t="shared" si="6"/>
        <v>Yes</v>
      </c>
    </row>
    <row r="433" spans="1:17" ht="15" customHeight="1" x14ac:dyDescent="0.2">
      <c r="A433" s="7">
        <v>2020</v>
      </c>
      <c r="B433" s="7" t="s">
        <v>290</v>
      </c>
      <c r="C433" s="7">
        <v>5</v>
      </c>
      <c r="D433" s="7" t="s">
        <v>293</v>
      </c>
      <c r="E433" s="7" t="s">
        <v>1009</v>
      </c>
      <c r="F433" s="8">
        <v>192484</v>
      </c>
      <c r="G433" s="8">
        <v>151988</v>
      </c>
      <c r="H433" s="8">
        <v>1610049.49</v>
      </c>
      <c r="I433" s="8">
        <v>485357.16</v>
      </c>
      <c r="J433" s="13">
        <v>0.55877981374393304</v>
      </c>
      <c r="K433" s="13">
        <v>0.76837089831703997</v>
      </c>
      <c r="L433" s="7">
        <v>1</v>
      </c>
      <c r="M433" s="13">
        <v>0.629146240249424</v>
      </c>
      <c r="N433" s="13">
        <v>-7.0366426505491404</v>
      </c>
      <c r="O433" s="7">
        <v>1</v>
      </c>
      <c r="P433" s="7" t="s">
        <v>160</v>
      </c>
      <c r="Q433" s="7" t="str">
        <f t="shared" si="6"/>
        <v>Yes</v>
      </c>
    </row>
    <row r="434" spans="1:17" ht="15" customHeight="1" x14ac:dyDescent="0.2">
      <c r="A434" s="7">
        <v>2020</v>
      </c>
      <c r="B434" s="7" t="s">
        <v>1010</v>
      </c>
      <c r="C434" s="7">
        <v>0</v>
      </c>
      <c r="D434" s="7" t="s">
        <v>1011</v>
      </c>
      <c r="E434" s="7" t="s">
        <v>1012</v>
      </c>
      <c r="F434" s="8">
        <v>281382</v>
      </c>
      <c r="G434" s="8">
        <v>196392</v>
      </c>
      <c r="H434" s="8">
        <v>1338483.47</v>
      </c>
      <c r="I434" s="8">
        <v>131862.44</v>
      </c>
      <c r="J434" s="13">
        <v>0.58894372653179095</v>
      </c>
      <c r="K434" s="13">
        <v>0.91031876301815295</v>
      </c>
      <c r="L434" s="7">
        <v>1</v>
      </c>
      <c r="M434" s="13">
        <v>0.67600488120399604</v>
      </c>
      <c r="N434" s="13">
        <v>-8.7061154672204299</v>
      </c>
      <c r="O434" s="7">
        <v>1</v>
      </c>
      <c r="P434" s="7" t="s">
        <v>160</v>
      </c>
      <c r="Q434" s="7" t="str">
        <f t="shared" si="6"/>
        <v>Yes</v>
      </c>
    </row>
    <row r="435" spans="1:17" ht="15" customHeight="1" x14ac:dyDescent="0.2">
      <c r="A435" s="7">
        <v>2020</v>
      </c>
      <c r="B435" s="7" t="s">
        <v>298</v>
      </c>
      <c r="C435" s="7">
        <v>1</v>
      </c>
      <c r="D435" s="7" t="s">
        <v>1013</v>
      </c>
      <c r="E435" s="7" t="s">
        <v>300</v>
      </c>
      <c r="F435" s="8">
        <v>149172</v>
      </c>
      <c r="G435" s="8">
        <v>283352</v>
      </c>
      <c r="H435" s="8">
        <v>1949194.01</v>
      </c>
      <c r="I435" s="8">
        <v>4614349.13</v>
      </c>
      <c r="J435" s="13">
        <v>0.34488722013113698</v>
      </c>
      <c r="K435" s="13">
        <v>0.29697283440114602</v>
      </c>
      <c r="L435" s="7">
        <v>-1</v>
      </c>
      <c r="M435" s="13">
        <v>0.39431047661108398</v>
      </c>
      <c r="N435" s="13">
        <v>-4.9423256479946804</v>
      </c>
      <c r="O435" s="7">
        <v>1</v>
      </c>
      <c r="P435" s="7" t="s">
        <v>160</v>
      </c>
      <c r="Q435" s="7" t="str">
        <f t="shared" si="6"/>
        <v>Yes</v>
      </c>
    </row>
    <row r="436" spans="1:17" ht="15" customHeight="1" x14ac:dyDescent="0.2">
      <c r="A436" s="7">
        <v>2020</v>
      </c>
      <c r="B436" s="7" t="s">
        <v>298</v>
      </c>
      <c r="C436" s="7">
        <v>3</v>
      </c>
      <c r="D436" s="7" t="s">
        <v>1014</v>
      </c>
      <c r="E436" s="7" t="s">
        <v>1015</v>
      </c>
      <c r="F436" s="8">
        <v>167326</v>
      </c>
      <c r="G436" s="8">
        <v>223075</v>
      </c>
      <c r="H436" s="8">
        <v>271520.75</v>
      </c>
      <c r="I436" s="8">
        <v>1478170.48</v>
      </c>
      <c r="J436" s="13">
        <v>0.42860033657700702</v>
      </c>
      <c r="K436" s="13">
        <v>0.15518209461448801</v>
      </c>
      <c r="L436" s="7">
        <v>0</v>
      </c>
      <c r="M436" s="13">
        <v>0.38711459466953002</v>
      </c>
      <c r="N436" s="13">
        <v>4.1485741907476301</v>
      </c>
      <c r="O436" s="7">
        <v>1</v>
      </c>
      <c r="P436" s="7" t="s">
        <v>160</v>
      </c>
      <c r="Q436" s="7" t="str">
        <f t="shared" si="6"/>
        <v>Yes</v>
      </c>
    </row>
    <row r="437" spans="1:17" ht="15" customHeight="1" x14ac:dyDescent="0.2">
      <c r="A437" s="7">
        <v>2020</v>
      </c>
      <c r="B437" s="7" t="s">
        <v>298</v>
      </c>
      <c r="C437" s="7">
        <v>4</v>
      </c>
      <c r="D437" s="7" t="s">
        <v>1016</v>
      </c>
      <c r="E437" s="7" t="s">
        <v>306</v>
      </c>
      <c r="F437" s="8">
        <v>196423</v>
      </c>
      <c r="G437" s="8">
        <v>308497</v>
      </c>
      <c r="H437" s="8">
        <v>1047798.18</v>
      </c>
      <c r="I437" s="8">
        <v>1441232.25</v>
      </c>
      <c r="J437" s="13">
        <v>0.38901806226729002</v>
      </c>
      <c r="K437" s="13">
        <v>0.42096640015767101</v>
      </c>
      <c r="L437" s="7">
        <v>-1</v>
      </c>
      <c r="M437" s="13">
        <v>0.43524219468022202</v>
      </c>
      <c r="N437" s="13">
        <v>-4.62241324129318</v>
      </c>
      <c r="O437" s="7">
        <v>1</v>
      </c>
      <c r="P437" s="7" t="s">
        <v>160</v>
      </c>
      <c r="Q437" s="7" t="str">
        <f t="shared" si="6"/>
        <v>Yes</v>
      </c>
    </row>
    <row r="438" spans="1:17" ht="15" customHeight="1" x14ac:dyDescent="0.2">
      <c r="A438" s="7">
        <v>2020</v>
      </c>
      <c r="B438" s="7" t="s">
        <v>298</v>
      </c>
      <c r="C438" s="7">
        <v>5</v>
      </c>
      <c r="D438" s="7" t="s">
        <v>307</v>
      </c>
      <c r="E438" s="7" t="s">
        <v>1017</v>
      </c>
      <c r="F438" s="8">
        <v>219463</v>
      </c>
      <c r="G438" s="8">
        <v>117510</v>
      </c>
      <c r="H438" s="8">
        <v>732355.6</v>
      </c>
      <c r="I438" s="8">
        <v>146944.18</v>
      </c>
      <c r="J438" s="13">
        <v>0.65127769880672903</v>
      </c>
      <c r="K438" s="13">
        <v>0.83288500311008795</v>
      </c>
      <c r="L438" s="7">
        <v>1</v>
      </c>
      <c r="M438" s="13">
        <v>0.65044309652386301</v>
      </c>
      <c r="N438" s="13">
        <v>8.3460228286680302E-2</v>
      </c>
      <c r="O438" s="7">
        <v>1</v>
      </c>
      <c r="P438" s="7" t="s">
        <v>160</v>
      </c>
      <c r="Q438" s="7" t="str">
        <f t="shared" si="6"/>
        <v>Yes</v>
      </c>
    </row>
    <row r="439" spans="1:17" ht="15" customHeight="1" x14ac:dyDescent="0.2">
      <c r="A439" s="7">
        <v>2020</v>
      </c>
      <c r="B439" s="7" t="s">
        <v>298</v>
      </c>
      <c r="C439" s="7">
        <v>6</v>
      </c>
      <c r="D439" s="7" t="s">
        <v>1018</v>
      </c>
      <c r="E439" s="7" t="s">
        <v>310</v>
      </c>
      <c r="F439" s="8">
        <v>172305</v>
      </c>
      <c r="G439" s="8">
        <v>265393</v>
      </c>
      <c r="H439" s="8">
        <v>24846.78</v>
      </c>
      <c r="I439" s="8">
        <v>2087164.06</v>
      </c>
      <c r="J439" s="13">
        <v>0.39366183989874298</v>
      </c>
      <c r="K439" s="13">
        <v>1.1764513481379701E-2</v>
      </c>
      <c r="L439" s="7">
        <v>-1</v>
      </c>
      <c r="M439" s="13">
        <v>0.30015989297690299</v>
      </c>
      <c r="N439" s="13">
        <v>9.3501946921840293</v>
      </c>
      <c r="O439" s="7">
        <v>1</v>
      </c>
      <c r="P439" s="7" t="s">
        <v>160</v>
      </c>
      <c r="Q439" s="7" t="str">
        <f t="shared" si="6"/>
        <v>Yes</v>
      </c>
    </row>
    <row r="440" spans="1:17" ht="15" customHeight="1" x14ac:dyDescent="0.2">
      <c r="A440" s="7">
        <v>2020</v>
      </c>
      <c r="B440" s="7" t="s">
        <v>298</v>
      </c>
      <c r="C440" s="7">
        <v>7</v>
      </c>
      <c r="D440" s="7" t="s">
        <v>311</v>
      </c>
      <c r="E440" s="7" t="s">
        <v>1019</v>
      </c>
      <c r="F440" s="8">
        <v>224946</v>
      </c>
      <c r="G440" s="8">
        <v>175750</v>
      </c>
      <c r="H440" s="8">
        <v>1970644.14</v>
      </c>
      <c r="I440" s="8">
        <v>1206225.56</v>
      </c>
      <c r="J440" s="13">
        <v>0.56138818455886796</v>
      </c>
      <c r="K440" s="13">
        <v>0.62031003034213195</v>
      </c>
      <c r="L440" s="7">
        <v>1</v>
      </c>
      <c r="M440" s="13">
        <v>0.58026962582153496</v>
      </c>
      <c r="N440" s="13">
        <v>-1.88814412626676</v>
      </c>
      <c r="O440" s="7">
        <v>1</v>
      </c>
      <c r="P440" s="7" t="s">
        <v>160</v>
      </c>
      <c r="Q440" s="7" t="str">
        <f t="shared" si="6"/>
        <v>Yes</v>
      </c>
    </row>
    <row r="441" spans="1:17" ht="15" customHeight="1" x14ac:dyDescent="0.2">
      <c r="A441" s="7">
        <v>2020</v>
      </c>
      <c r="B441" s="7" t="s">
        <v>298</v>
      </c>
      <c r="C441" s="7">
        <v>8</v>
      </c>
      <c r="D441" s="7" t="s">
        <v>1020</v>
      </c>
      <c r="E441" s="7" t="s">
        <v>314</v>
      </c>
      <c r="F441" s="8">
        <v>177695</v>
      </c>
      <c r="G441" s="8">
        <v>282093</v>
      </c>
      <c r="H441" s="8">
        <v>143819.60999999999</v>
      </c>
      <c r="I441" s="8">
        <v>1145836.26</v>
      </c>
      <c r="J441" s="13">
        <v>0.3864715912551</v>
      </c>
      <c r="K441" s="13">
        <v>0.111517819090763</v>
      </c>
      <c r="L441" s="7">
        <v>-1</v>
      </c>
      <c r="M441" s="13">
        <v>0.33308961926355002</v>
      </c>
      <c r="N441" s="13">
        <v>5.3381971991549904</v>
      </c>
      <c r="O441" s="7">
        <v>1</v>
      </c>
      <c r="P441" s="7" t="s">
        <v>160</v>
      </c>
      <c r="Q441" s="7" t="str">
        <f t="shared" si="6"/>
        <v>Yes</v>
      </c>
    </row>
    <row r="442" spans="1:17" ht="15" customHeight="1" x14ac:dyDescent="0.2">
      <c r="A442" s="7">
        <v>2020</v>
      </c>
      <c r="B442" s="7" t="s">
        <v>298</v>
      </c>
      <c r="C442" s="7">
        <v>9</v>
      </c>
      <c r="D442" s="7" t="s">
        <v>315</v>
      </c>
      <c r="E442" s="7" t="s">
        <v>1021</v>
      </c>
      <c r="F442" s="8">
        <v>240724</v>
      </c>
      <c r="G442" s="8">
        <v>188889</v>
      </c>
      <c r="H442" s="8">
        <v>960245.57</v>
      </c>
      <c r="I442" s="8">
        <v>405959.36</v>
      </c>
      <c r="J442" s="13">
        <v>0.56032755060950201</v>
      </c>
      <c r="K442" s="13">
        <v>0.70285617400019196</v>
      </c>
      <c r="L442" s="7">
        <v>1</v>
      </c>
      <c r="M442" s="13">
        <v>0.60751906783323395</v>
      </c>
      <c r="N442" s="13">
        <v>-4.7191517223732298</v>
      </c>
      <c r="O442" s="7">
        <v>1</v>
      </c>
      <c r="P442" s="7" t="s">
        <v>160</v>
      </c>
      <c r="Q442" s="7" t="str">
        <f t="shared" si="6"/>
        <v>Yes</v>
      </c>
    </row>
    <row r="443" spans="1:17" ht="15" customHeight="1" x14ac:dyDescent="0.2">
      <c r="A443" s="7">
        <v>2020</v>
      </c>
      <c r="B443" s="7" t="s">
        <v>298</v>
      </c>
      <c r="C443" s="7">
        <v>10</v>
      </c>
      <c r="D443" s="7" t="s">
        <v>1022</v>
      </c>
      <c r="E443" s="7" t="s">
        <v>1023</v>
      </c>
      <c r="F443" s="8">
        <v>239434</v>
      </c>
      <c r="G443" s="8">
        <v>136889</v>
      </c>
      <c r="H443" s="8">
        <v>1313266.93</v>
      </c>
      <c r="I443" s="8">
        <v>597464.94999999995</v>
      </c>
      <c r="J443" s="13">
        <v>0.63624599081108502</v>
      </c>
      <c r="K443" s="13">
        <v>0.68731094286237604</v>
      </c>
      <c r="L443" s="7">
        <v>1</v>
      </c>
      <c r="M443" s="13">
        <v>0.60238740624764797</v>
      </c>
      <c r="N443" s="13">
        <v>3.3858584563437399</v>
      </c>
      <c r="O443" s="7">
        <v>1</v>
      </c>
      <c r="P443" s="7" t="s">
        <v>160</v>
      </c>
      <c r="Q443" s="7" t="str">
        <f t="shared" si="6"/>
        <v>Yes</v>
      </c>
    </row>
    <row r="444" spans="1:17" ht="15" customHeight="1" x14ac:dyDescent="0.2">
      <c r="A444" s="7">
        <v>2020</v>
      </c>
      <c r="B444" s="7" t="s">
        <v>298</v>
      </c>
      <c r="C444" s="7">
        <v>11</v>
      </c>
      <c r="D444" s="7" t="s">
        <v>1024</v>
      </c>
      <c r="E444" s="7" t="s">
        <v>318</v>
      </c>
      <c r="F444" s="8">
        <v>158094</v>
      </c>
      <c r="G444" s="8">
        <v>316979</v>
      </c>
      <c r="H444" s="8">
        <v>62379.69</v>
      </c>
      <c r="I444" s="8">
        <v>598663.94999999995</v>
      </c>
      <c r="J444" s="13">
        <v>0.33277833090914499</v>
      </c>
      <c r="K444" s="13">
        <v>9.43654642831145E-2</v>
      </c>
      <c r="L444" s="7">
        <v>-1</v>
      </c>
      <c r="M444" s="13">
        <v>0.32742742746412201</v>
      </c>
      <c r="N444" s="13">
        <v>0.53509034450225401</v>
      </c>
      <c r="O444" s="7">
        <v>1</v>
      </c>
      <c r="P444" s="7" t="s">
        <v>160</v>
      </c>
      <c r="Q444" s="7" t="str">
        <f t="shared" si="6"/>
        <v>Yes</v>
      </c>
    </row>
    <row r="445" spans="1:17" ht="15" customHeight="1" x14ac:dyDescent="0.2">
      <c r="A445" s="7">
        <v>2020</v>
      </c>
      <c r="B445" s="7" t="s">
        <v>298</v>
      </c>
      <c r="C445" s="7">
        <v>12</v>
      </c>
      <c r="D445" s="7" t="s">
        <v>1025</v>
      </c>
      <c r="E445" s="7" t="s">
        <v>320</v>
      </c>
      <c r="F445" s="8">
        <v>168194</v>
      </c>
      <c r="G445" s="8">
        <v>284941</v>
      </c>
      <c r="H445" s="8">
        <v>33543.839999999997</v>
      </c>
      <c r="I445" s="8">
        <v>1610150.48</v>
      </c>
      <c r="J445" s="13">
        <v>0.37117856709369201</v>
      </c>
      <c r="K445" s="13">
        <v>2.04075901412131E-2</v>
      </c>
      <c r="L445" s="7">
        <v>-1</v>
      </c>
      <c r="M445" s="13">
        <v>0.30301307309904701</v>
      </c>
      <c r="N445" s="13">
        <v>6.8165493994645203</v>
      </c>
      <c r="O445" s="7">
        <v>1</v>
      </c>
      <c r="P445" s="7" t="s">
        <v>160</v>
      </c>
      <c r="Q445" s="7" t="str">
        <f t="shared" si="6"/>
        <v>Yes</v>
      </c>
    </row>
    <row r="446" spans="1:17" ht="15" customHeight="1" x14ac:dyDescent="0.2">
      <c r="A446" s="7">
        <v>2020</v>
      </c>
      <c r="B446" s="7" t="s">
        <v>298</v>
      </c>
      <c r="C446" s="7">
        <v>13</v>
      </c>
      <c r="D446" s="7" t="s">
        <v>321</v>
      </c>
      <c r="E446" s="7" t="s">
        <v>1026</v>
      </c>
      <c r="F446" s="8">
        <v>215405</v>
      </c>
      <c r="G446" s="8">
        <v>190713</v>
      </c>
      <c r="H446" s="8">
        <v>4222712.1900000004</v>
      </c>
      <c r="I446" s="8">
        <v>3705902.26</v>
      </c>
      <c r="J446" s="13">
        <v>0.53040003151793302</v>
      </c>
      <c r="K446" s="13">
        <v>0.53259144036194095</v>
      </c>
      <c r="L446" s="7">
        <v>1</v>
      </c>
      <c r="M446" s="13">
        <v>0.55131269912469505</v>
      </c>
      <c r="N446" s="13">
        <v>-2.0912667606762101</v>
      </c>
      <c r="O446" s="7">
        <v>1</v>
      </c>
      <c r="P446" s="7" t="s">
        <v>160</v>
      </c>
      <c r="Q446" s="7" t="str">
        <f t="shared" si="6"/>
        <v>Yes</v>
      </c>
    </row>
    <row r="447" spans="1:17" ht="15" customHeight="1" x14ac:dyDescent="0.2">
      <c r="A447" s="7">
        <v>2020</v>
      </c>
      <c r="B447" s="7" t="s">
        <v>298</v>
      </c>
      <c r="C447" s="7">
        <v>14</v>
      </c>
      <c r="D447" s="7" t="s">
        <v>1027</v>
      </c>
      <c r="E447" s="7" t="s">
        <v>1028</v>
      </c>
      <c r="F447" s="8">
        <v>224240</v>
      </c>
      <c r="G447" s="8">
        <v>147896</v>
      </c>
      <c r="H447" s="8">
        <v>1232661.3600000001</v>
      </c>
      <c r="I447" s="8">
        <v>241291.87</v>
      </c>
      <c r="J447" s="13">
        <v>0.60257540254100705</v>
      </c>
      <c r="K447" s="13">
        <v>0.83629611504023105</v>
      </c>
      <c r="L447" s="7">
        <v>1</v>
      </c>
      <c r="M447" s="13">
        <v>0.65156914424234702</v>
      </c>
      <c r="N447" s="13">
        <v>-4.8993741701340401</v>
      </c>
      <c r="O447" s="7">
        <v>1</v>
      </c>
      <c r="P447" s="7" t="s">
        <v>160</v>
      </c>
      <c r="Q447" s="7" t="str">
        <f t="shared" si="6"/>
        <v>Yes</v>
      </c>
    </row>
    <row r="448" spans="1:17" ht="15" customHeight="1" x14ac:dyDescent="0.2">
      <c r="A448" s="7">
        <v>2020</v>
      </c>
      <c r="B448" s="7" t="s">
        <v>298</v>
      </c>
      <c r="C448" s="7">
        <v>15</v>
      </c>
      <c r="D448" s="7" t="s">
        <v>1029</v>
      </c>
      <c r="E448" s="7" t="s">
        <v>1030</v>
      </c>
      <c r="F448" s="8">
        <v>174297</v>
      </c>
      <c r="G448" s="8">
        <v>216374</v>
      </c>
      <c r="H448" s="8">
        <v>2790282.67</v>
      </c>
      <c r="I448" s="8">
        <v>2670174.31</v>
      </c>
      <c r="J448" s="13">
        <v>0.44614778163723401</v>
      </c>
      <c r="K448" s="13">
        <v>0.51099801357651198</v>
      </c>
      <c r="L448" s="7">
        <v>0</v>
      </c>
      <c r="M448" s="13">
        <v>0.50457356756545502</v>
      </c>
      <c r="N448" s="13">
        <v>-5.8425785928220799</v>
      </c>
      <c r="O448" s="7">
        <v>0</v>
      </c>
      <c r="P448" s="7" t="s">
        <v>160</v>
      </c>
      <c r="Q448" s="7" t="str">
        <f t="shared" si="6"/>
        <v>Yes</v>
      </c>
    </row>
    <row r="449" spans="1:17" ht="15" customHeight="1" x14ac:dyDescent="0.2">
      <c r="A449" s="7">
        <v>2020</v>
      </c>
      <c r="B449" s="7" t="s">
        <v>298</v>
      </c>
      <c r="C449" s="7">
        <v>16</v>
      </c>
      <c r="D449" s="7" t="s">
        <v>1031</v>
      </c>
      <c r="E449" s="7" t="s">
        <v>326</v>
      </c>
      <c r="F449" s="8">
        <v>215683</v>
      </c>
      <c r="G449" s="8">
        <v>269001</v>
      </c>
      <c r="H449" s="8">
        <v>3506308.4</v>
      </c>
      <c r="I449" s="8">
        <v>3657532.91</v>
      </c>
      <c r="J449" s="13">
        <v>0.44499715278408197</v>
      </c>
      <c r="K449" s="13">
        <v>0.48944529174669799</v>
      </c>
      <c r="L449" s="7">
        <v>-1</v>
      </c>
      <c r="M449" s="13">
        <v>0.457847873185452</v>
      </c>
      <c r="N449" s="13">
        <v>-1.28507204013698</v>
      </c>
      <c r="O449" s="7">
        <v>1</v>
      </c>
      <c r="P449" s="7" t="s">
        <v>160</v>
      </c>
      <c r="Q449" s="7" t="str">
        <f t="shared" si="6"/>
        <v>Yes</v>
      </c>
    </row>
    <row r="450" spans="1:17" ht="15" customHeight="1" x14ac:dyDescent="0.2">
      <c r="A450" s="7">
        <v>2020</v>
      </c>
      <c r="B450" s="7" t="s">
        <v>298</v>
      </c>
      <c r="C450" s="7">
        <v>18</v>
      </c>
      <c r="D450" s="7" t="s">
        <v>1032</v>
      </c>
      <c r="E450" s="7" t="s">
        <v>330</v>
      </c>
      <c r="F450" s="8">
        <v>186674</v>
      </c>
      <c r="G450" s="8">
        <v>253286</v>
      </c>
      <c r="H450" s="8">
        <v>2030910.52</v>
      </c>
      <c r="I450" s="8">
        <v>5565843.0300000003</v>
      </c>
      <c r="J450" s="13">
        <v>0.42429766342394798</v>
      </c>
      <c r="K450" s="13">
        <v>0.26733926625801901</v>
      </c>
      <c r="L450" s="7">
        <v>-1</v>
      </c>
      <c r="M450" s="13">
        <v>0.38452809113635</v>
      </c>
      <c r="N450" s="13">
        <v>3.9769572287597499</v>
      </c>
      <c r="O450" s="7">
        <v>1</v>
      </c>
      <c r="P450" s="7" t="s">
        <v>160</v>
      </c>
      <c r="Q450" s="7" t="str">
        <f t="shared" si="6"/>
        <v>Yes</v>
      </c>
    </row>
    <row r="451" spans="1:17" ht="15" customHeight="1" x14ac:dyDescent="0.2">
      <c r="A451" s="7">
        <v>2020</v>
      </c>
      <c r="B451" s="7" t="s">
        <v>298</v>
      </c>
      <c r="C451" s="7">
        <v>19</v>
      </c>
      <c r="D451" s="7" t="s">
        <v>1033</v>
      </c>
      <c r="E451" s="7" t="s">
        <v>1034</v>
      </c>
      <c r="F451" s="8">
        <v>172146</v>
      </c>
      <c r="G451" s="8">
        <v>272440</v>
      </c>
      <c r="H451" s="8">
        <v>203430.45</v>
      </c>
      <c r="I451" s="8">
        <v>2769646.89</v>
      </c>
      <c r="J451" s="13">
        <v>0.38720517515171399</v>
      </c>
      <c r="K451" s="13">
        <v>6.8424203858753294E-2</v>
      </c>
      <c r="L451" s="7">
        <v>0</v>
      </c>
      <c r="M451" s="13">
        <v>0.35847480595936598</v>
      </c>
      <c r="N451" s="13">
        <v>2.8730369192348499</v>
      </c>
      <c r="O451" s="7">
        <v>1</v>
      </c>
      <c r="P451" s="7" t="s">
        <v>160</v>
      </c>
      <c r="Q451" s="7" t="str">
        <f t="shared" si="6"/>
        <v>Yes</v>
      </c>
    </row>
    <row r="452" spans="1:17" ht="15" customHeight="1" x14ac:dyDescent="0.2">
      <c r="A452" s="7">
        <v>2020</v>
      </c>
      <c r="B452" s="7" t="s">
        <v>298</v>
      </c>
      <c r="C452" s="7">
        <v>20</v>
      </c>
      <c r="D452" s="7" t="s">
        <v>1035</v>
      </c>
      <c r="E452" s="7" t="s">
        <v>1036</v>
      </c>
      <c r="F452" s="8">
        <v>253661</v>
      </c>
      <c r="G452" s="8">
        <v>68748</v>
      </c>
      <c r="H452" s="8">
        <v>621627.97</v>
      </c>
      <c r="I452" s="8">
        <v>27537.64</v>
      </c>
      <c r="J452" s="13">
        <v>0.78676773911398301</v>
      </c>
      <c r="K452" s="13">
        <v>0.95757994635606203</v>
      </c>
      <c r="L452" s="7">
        <v>1</v>
      </c>
      <c r="M452" s="13">
        <v>0.69160634745910499</v>
      </c>
      <c r="N452" s="13">
        <v>9.5161391654877594</v>
      </c>
      <c r="O452" s="7">
        <v>1</v>
      </c>
      <c r="P452" s="7" t="s">
        <v>160</v>
      </c>
      <c r="Q452" s="7" t="str">
        <f t="shared" ref="Q452:Q515" si="7">IF(A452=2024,"No -- held out","Yes")</f>
        <v>Yes</v>
      </c>
    </row>
    <row r="453" spans="1:17" ht="15" customHeight="1" x14ac:dyDescent="0.2">
      <c r="A453" s="7">
        <v>2020</v>
      </c>
      <c r="B453" s="7" t="s">
        <v>298</v>
      </c>
      <c r="C453" s="7">
        <v>21</v>
      </c>
      <c r="D453" s="7" t="s">
        <v>1037</v>
      </c>
      <c r="E453" s="7" t="s">
        <v>1038</v>
      </c>
      <c r="F453" s="8">
        <v>237925</v>
      </c>
      <c r="G453" s="8">
        <v>157612</v>
      </c>
      <c r="H453" s="8">
        <v>1367192.9</v>
      </c>
      <c r="I453" s="8">
        <v>2894568.55</v>
      </c>
      <c r="J453" s="13">
        <v>0.60152400407547202</v>
      </c>
      <c r="K453" s="13">
        <v>0.320804652264148</v>
      </c>
      <c r="L453" s="7">
        <v>1</v>
      </c>
      <c r="M453" s="13">
        <v>0.48139941734837099</v>
      </c>
      <c r="N453" s="13">
        <v>12.0124586727101</v>
      </c>
      <c r="O453" s="7">
        <v>0</v>
      </c>
      <c r="P453" s="7" t="s">
        <v>160</v>
      </c>
      <c r="Q453" s="7" t="str">
        <f t="shared" si="7"/>
        <v>Yes</v>
      </c>
    </row>
    <row r="454" spans="1:17" ht="15" customHeight="1" x14ac:dyDescent="0.2">
      <c r="A454" s="7">
        <v>2020</v>
      </c>
      <c r="B454" s="7" t="s">
        <v>298</v>
      </c>
      <c r="C454" s="7">
        <v>22</v>
      </c>
      <c r="D454" s="7" t="s">
        <v>333</v>
      </c>
      <c r="E454" s="7" t="s">
        <v>1039</v>
      </c>
      <c r="F454" s="8">
        <v>235764</v>
      </c>
      <c r="G454" s="8">
        <v>166553</v>
      </c>
      <c r="H454" s="8">
        <v>1298183.76</v>
      </c>
      <c r="I454" s="8">
        <v>278998.83</v>
      </c>
      <c r="J454" s="13">
        <v>0.58601550518620904</v>
      </c>
      <c r="K454" s="13">
        <v>0.82310302448874995</v>
      </c>
      <c r="L454" s="7">
        <v>1</v>
      </c>
      <c r="M454" s="13">
        <v>0.64721395161909301</v>
      </c>
      <c r="N454" s="13">
        <v>-6.1198446432883502</v>
      </c>
      <c r="O454" s="7">
        <v>1</v>
      </c>
      <c r="P454" s="7" t="s">
        <v>160</v>
      </c>
      <c r="Q454" s="7" t="str">
        <f t="shared" si="7"/>
        <v>Yes</v>
      </c>
    </row>
    <row r="455" spans="1:17" ht="15" customHeight="1" x14ac:dyDescent="0.2">
      <c r="A455" s="7">
        <v>2020</v>
      </c>
      <c r="B455" s="7" t="s">
        <v>298</v>
      </c>
      <c r="C455" s="7">
        <v>23</v>
      </c>
      <c r="D455" s="7" t="s">
        <v>335</v>
      </c>
      <c r="E455" s="7" t="s">
        <v>1040</v>
      </c>
      <c r="F455" s="8">
        <v>221239</v>
      </c>
      <c r="G455" s="8">
        <v>158874</v>
      </c>
      <c r="H455" s="8">
        <v>2005324.48</v>
      </c>
      <c r="I455" s="8">
        <v>931190.64</v>
      </c>
      <c r="J455" s="13">
        <v>0.58203481596262197</v>
      </c>
      <c r="K455" s="13">
        <v>0.68289261183848404</v>
      </c>
      <c r="L455" s="7">
        <v>1</v>
      </c>
      <c r="M455" s="13">
        <v>0.600928863792621</v>
      </c>
      <c r="N455" s="13">
        <v>-1.8894047829999301</v>
      </c>
      <c r="O455" s="7">
        <v>1</v>
      </c>
      <c r="P455" s="7" t="s">
        <v>160</v>
      </c>
      <c r="Q455" s="7" t="str">
        <f t="shared" si="7"/>
        <v>Yes</v>
      </c>
    </row>
    <row r="456" spans="1:17" ht="15" customHeight="1" x14ac:dyDescent="0.2">
      <c r="A456" s="7">
        <v>2020</v>
      </c>
      <c r="B456" s="7" t="s">
        <v>298</v>
      </c>
      <c r="C456" s="7">
        <v>24</v>
      </c>
      <c r="D456" s="7" t="s">
        <v>1041</v>
      </c>
      <c r="E456" s="7" t="s">
        <v>1042</v>
      </c>
      <c r="F456" s="8">
        <v>218825</v>
      </c>
      <c r="G456" s="8">
        <v>59084</v>
      </c>
      <c r="H456" s="8">
        <v>355786.37</v>
      </c>
      <c r="I456" s="8">
        <v>39561.160000000003</v>
      </c>
      <c r="J456" s="13">
        <v>0.78739803316913104</v>
      </c>
      <c r="K456" s="13">
        <v>0.89993320560267598</v>
      </c>
      <c r="L456" s="7">
        <v>1</v>
      </c>
      <c r="M456" s="13">
        <v>0.67257648791981595</v>
      </c>
      <c r="N456" s="13">
        <v>11.4821545249315</v>
      </c>
      <c r="O456" s="7">
        <v>1</v>
      </c>
      <c r="P456" s="7" t="s">
        <v>160</v>
      </c>
      <c r="Q456" s="7" t="str">
        <f t="shared" si="7"/>
        <v>Yes</v>
      </c>
    </row>
    <row r="457" spans="1:17" ht="15" customHeight="1" x14ac:dyDescent="0.2">
      <c r="A457" s="7">
        <v>2020</v>
      </c>
      <c r="B457" s="7" t="s">
        <v>298</v>
      </c>
      <c r="C457" s="7">
        <v>26</v>
      </c>
      <c r="D457" s="7" t="s">
        <v>339</v>
      </c>
      <c r="E457" s="7" t="s">
        <v>1043</v>
      </c>
      <c r="F457" s="8">
        <v>165407</v>
      </c>
      <c r="G457" s="8">
        <v>177223</v>
      </c>
      <c r="H457" s="8">
        <v>15752991.99</v>
      </c>
      <c r="I457" s="8">
        <v>11941793.16</v>
      </c>
      <c r="J457" s="13">
        <v>0.482756909786067</v>
      </c>
      <c r="K457" s="13">
        <v>0.56880715646209001</v>
      </c>
      <c r="L457" s="7">
        <v>1</v>
      </c>
      <c r="M457" s="13">
        <v>0.56326792818870997</v>
      </c>
      <c r="N457" s="13">
        <v>-8.0511018402643302</v>
      </c>
      <c r="O457" s="7">
        <v>0</v>
      </c>
      <c r="P457" s="7" t="s">
        <v>160</v>
      </c>
      <c r="Q457" s="7" t="str">
        <f t="shared" si="7"/>
        <v>Yes</v>
      </c>
    </row>
    <row r="458" spans="1:17" ht="15" customHeight="1" x14ac:dyDescent="0.2">
      <c r="A458" s="7">
        <v>2020</v>
      </c>
      <c r="B458" s="7" t="s">
        <v>298</v>
      </c>
      <c r="C458" s="7">
        <v>27</v>
      </c>
      <c r="D458" s="7" t="s">
        <v>341</v>
      </c>
      <c r="E458" s="7" t="s">
        <v>342</v>
      </c>
      <c r="F458" s="8">
        <v>166758</v>
      </c>
      <c r="G458" s="8">
        <v>176141</v>
      </c>
      <c r="H458" s="8">
        <v>3911428.38</v>
      </c>
      <c r="I458" s="8">
        <v>4032481.41</v>
      </c>
      <c r="J458" s="13">
        <v>0.48631812866179303</v>
      </c>
      <c r="K458" s="13">
        <v>0.49238076506404999</v>
      </c>
      <c r="L458" s="7">
        <v>1</v>
      </c>
      <c r="M458" s="13">
        <v>0.53803868756916995</v>
      </c>
      <c r="N458" s="13">
        <v>-5.1720558907377496</v>
      </c>
      <c r="O458" s="7">
        <v>0</v>
      </c>
      <c r="P458" s="7" t="s">
        <v>160</v>
      </c>
      <c r="Q458" s="7" t="str">
        <f t="shared" si="7"/>
        <v>Yes</v>
      </c>
    </row>
    <row r="459" spans="1:17" ht="15" customHeight="1" x14ac:dyDescent="0.2">
      <c r="A459" s="7">
        <v>2020</v>
      </c>
      <c r="B459" s="7" t="s">
        <v>343</v>
      </c>
      <c r="C459" s="7">
        <v>1</v>
      </c>
      <c r="D459" s="7" t="s">
        <v>1044</v>
      </c>
      <c r="E459" s="7" t="s">
        <v>345</v>
      </c>
      <c r="F459" s="8">
        <v>135238</v>
      </c>
      <c r="G459" s="8">
        <v>189457</v>
      </c>
      <c r="H459" s="8">
        <v>130550.33</v>
      </c>
      <c r="I459" s="8">
        <v>1772192.69</v>
      </c>
      <c r="J459" s="13">
        <v>0.41650779962734302</v>
      </c>
      <c r="K459" s="13">
        <v>6.8611645728176199E-2</v>
      </c>
      <c r="L459" s="7">
        <v>-1</v>
      </c>
      <c r="M459" s="13">
        <v>0.31892579244892799</v>
      </c>
      <c r="N459" s="13">
        <v>9.7582007178414898</v>
      </c>
      <c r="O459" s="7">
        <v>1</v>
      </c>
      <c r="P459" s="7" t="s">
        <v>160</v>
      </c>
      <c r="Q459" s="7" t="str">
        <f t="shared" si="7"/>
        <v>Yes</v>
      </c>
    </row>
    <row r="460" spans="1:17" ht="15" customHeight="1" x14ac:dyDescent="0.2">
      <c r="A460" s="7">
        <v>2020</v>
      </c>
      <c r="B460" s="7" t="s">
        <v>343</v>
      </c>
      <c r="C460" s="7">
        <v>2</v>
      </c>
      <c r="D460" s="7" t="s">
        <v>346</v>
      </c>
      <c r="E460" s="7" t="s">
        <v>1045</v>
      </c>
      <c r="F460" s="8">
        <v>161397</v>
      </c>
      <c r="G460" s="8">
        <v>111620</v>
      </c>
      <c r="H460" s="8">
        <v>1466034.08</v>
      </c>
      <c r="I460" s="8">
        <v>163543.92000000001</v>
      </c>
      <c r="J460" s="13">
        <v>0.59116098997498301</v>
      </c>
      <c r="K460" s="13">
        <v>0.89964032405935801</v>
      </c>
      <c r="L460" s="7">
        <v>1</v>
      </c>
      <c r="M460" s="13">
        <v>0.672479804316231</v>
      </c>
      <c r="N460" s="13">
        <v>-8.1318814341247307</v>
      </c>
      <c r="O460" s="7">
        <v>1</v>
      </c>
      <c r="P460" s="7" t="s">
        <v>160</v>
      </c>
      <c r="Q460" s="7" t="str">
        <f t="shared" si="7"/>
        <v>Yes</v>
      </c>
    </row>
    <row r="461" spans="1:17" ht="15" customHeight="1" x14ac:dyDescent="0.2">
      <c r="A461" s="7">
        <v>2020</v>
      </c>
      <c r="B461" s="7" t="s">
        <v>343</v>
      </c>
      <c r="C461" s="7">
        <v>3</v>
      </c>
      <c r="D461" s="7" t="s">
        <v>1046</v>
      </c>
      <c r="E461" s="7" t="s">
        <v>349</v>
      </c>
      <c r="F461" s="8">
        <v>129792</v>
      </c>
      <c r="G461" s="8">
        <v>241526</v>
      </c>
      <c r="H461" s="8">
        <v>37696.44</v>
      </c>
      <c r="I461" s="8">
        <v>2173919.7999999998</v>
      </c>
      <c r="J461" s="13">
        <v>0.34954405657684301</v>
      </c>
      <c r="K461" s="13">
        <v>1.7044747329220199E-2</v>
      </c>
      <c r="L461" s="7">
        <v>-1</v>
      </c>
      <c r="M461" s="13">
        <v>0.30190295957782098</v>
      </c>
      <c r="N461" s="13">
        <v>4.7641096999021801</v>
      </c>
      <c r="O461" s="7">
        <v>1</v>
      </c>
      <c r="P461" s="7" t="s">
        <v>160</v>
      </c>
      <c r="Q461" s="7" t="str">
        <f t="shared" si="7"/>
        <v>Yes</v>
      </c>
    </row>
    <row r="462" spans="1:17" ht="15" customHeight="1" x14ac:dyDescent="0.2">
      <c r="A462" s="7">
        <v>2020</v>
      </c>
      <c r="B462" s="7" t="s">
        <v>343</v>
      </c>
      <c r="C462" s="7">
        <v>4</v>
      </c>
      <c r="D462" s="7" t="s">
        <v>350</v>
      </c>
      <c r="E462" s="7" t="s">
        <v>1047</v>
      </c>
      <c r="F462" s="8">
        <v>278906</v>
      </c>
      <c r="G462" s="8">
        <v>69393</v>
      </c>
      <c r="H462" s="8">
        <v>499118.1</v>
      </c>
      <c r="I462" s="8">
        <v>23646.23</v>
      </c>
      <c r="J462" s="13">
        <v>0.80076600851567203</v>
      </c>
      <c r="K462" s="13">
        <v>0.95476694058295797</v>
      </c>
      <c r="L462" s="7">
        <v>1</v>
      </c>
      <c r="M462" s="13">
        <v>0.69067774153887795</v>
      </c>
      <c r="N462" s="13">
        <v>11.0088266976794</v>
      </c>
      <c r="O462" s="7">
        <v>1</v>
      </c>
      <c r="P462" s="7" t="s">
        <v>160</v>
      </c>
      <c r="Q462" s="7" t="str">
        <f t="shared" si="7"/>
        <v>Yes</v>
      </c>
    </row>
    <row r="463" spans="1:17" ht="15" customHeight="1" x14ac:dyDescent="0.2">
      <c r="A463" s="7">
        <v>2020</v>
      </c>
      <c r="B463" s="7" t="s">
        <v>343</v>
      </c>
      <c r="C463" s="7">
        <v>5</v>
      </c>
      <c r="D463" s="7" t="s">
        <v>1048</v>
      </c>
      <c r="E463" s="7" t="s">
        <v>1049</v>
      </c>
      <c r="F463" s="8">
        <v>301857</v>
      </c>
      <c r="G463" s="8">
        <v>52646</v>
      </c>
      <c r="H463" s="8">
        <v>387028.38</v>
      </c>
      <c r="I463" s="8">
        <v>309313.34999999998</v>
      </c>
      <c r="J463" s="13">
        <v>0.85149349934979401</v>
      </c>
      <c r="K463" s="13">
        <v>0.55580236445114395</v>
      </c>
      <c r="L463" s="7">
        <v>0</v>
      </c>
      <c r="M463" s="13">
        <v>0.51936400485211498</v>
      </c>
      <c r="N463" s="13">
        <v>33.212949449767898</v>
      </c>
      <c r="O463" s="7">
        <v>1</v>
      </c>
      <c r="P463" s="7" t="s">
        <v>160</v>
      </c>
      <c r="Q463" s="7" t="str">
        <f t="shared" si="7"/>
        <v>Yes</v>
      </c>
    </row>
    <row r="464" spans="1:17" ht="15" customHeight="1" x14ac:dyDescent="0.2">
      <c r="A464" s="7">
        <v>2020</v>
      </c>
      <c r="B464" s="7" t="s">
        <v>343</v>
      </c>
      <c r="C464" s="7">
        <v>6</v>
      </c>
      <c r="D464" s="7" t="s">
        <v>352</v>
      </c>
      <c r="E464" s="7" t="s">
        <v>353</v>
      </c>
      <c r="F464" s="8">
        <v>216775</v>
      </c>
      <c r="G464" s="8">
        <v>180329</v>
      </c>
      <c r="H464" s="8">
        <v>13855039.369999999</v>
      </c>
      <c r="I464" s="8">
        <v>5067770.54</v>
      </c>
      <c r="J464" s="13">
        <v>0.54588974173012605</v>
      </c>
      <c r="K464" s="13">
        <v>0.73218720876533905</v>
      </c>
      <c r="L464" s="7">
        <v>1</v>
      </c>
      <c r="M464" s="13">
        <v>0.617201583521512</v>
      </c>
      <c r="N464" s="13">
        <v>-7.1311841791386197</v>
      </c>
      <c r="O464" s="7">
        <v>1</v>
      </c>
      <c r="P464" s="7" t="s">
        <v>160</v>
      </c>
      <c r="Q464" s="7" t="str">
        <f t="shared" si="7"/>
        <v>Yes</v>
      </c>
    </row>
    <row r="465" spans="1:17" ht="15" customHeight="1" x14ac:dyDescent="0.2">
      <c r="A465" s="7">
        <v>2020</v>
      </c>
      <c r="B465" s="7" t="s">
        <v>343</v>
      </c>
      <c r="C465" s="7">
        <v>7</v>
      </c>
      <c r="D465" s="7" t="s">
        <v>354</v>
      </c>
      <c r="E465" s="7" t="s">
        <v>1050</v>
      </c>
      <c r="F465" s="8">
        <v>190900</v>
      </c>
      <c r="G465" s="8">
        <v>180564</v>
      </c>
      <c r="H465" s="8">
        <v>5553946.8499999996</v>
      </c>
      <c r="I465" s="8">
        <v>7192790.4299999997</v>
      </c>
      <c r="J465" s="13">
        <v>0.51391251911356195</v>
      </c>
      <c r="K465" s="13">
        <v>0.43571517385192399</v>
      </c>
      <c r="L465" s="7">
        <v>0</v>
      </c>
      <c r="M465" s="13">
        <v>0.47972182665252999</v>
      </c>
      <c r="N465" s="13">
        <v>3.41906924610316</v>
      </c>
      <c r="O465" s="7">
        <v>0</v>
      </c>
      <c r="P465" s="7" t="s">
        <v>160</v>
      </c>
      <c r="Q465" s="7" t="str">
        <f t="shared" si="7"/>
        <v>Yes</v>
      </c>
    </row>
    <row r="466" spans="1:17" ht="15" customHeight="1" x14ac:dyDescent="0.2">
      <c r="A466" s="7">
        <v>2020</v>
      </c>
      <c r="B466" s="7" t="s">
        <v>343</v>
      </c>
      <c r="C466" s="7">
        <v>8</v>
      </c>
      <c r="D466" s="7" t="s">
        <v>1051</v>
      </c>
      <c r="E466" s="7" t="s">
        <v>1052</v>
      </c>
      <c r="F466" s="8">
        <v>109264</v>
      </c>
      <c r="G466" s="8">
        <v>198701</v>
      </c>
      <c r="H466" s="8">
        <v>5220</v>
      </c>
      <c r="I466" s="8">
        <v>737335.42</v>
      </c>
      <c r="J466" s="13">
        <v>0.35479356420372399</v>
      </c>
      <c r="K466" s="13">
        <v>7.0297783295420599E-3</v>
      </c>
      <c r="L466" s="7">
        <v>-1</v>
      </c>
      <c r="M466" s="13">
        <v>0.29859690183954302</v>
      </c>
      <c r="N466" s="13">
        <v>5.61966623641813</v>
      </c>
      <c r="O466" s="7">
        <v>1</v>
      </c>
      <c r="P466" s="7" t="s">
        <v>160</v>
      </c>
      <c r="Q466" s="7" t="str">
        <f t="shared" si="7"/>
        <v>Yes</v>
      </c>
    </row>
    <row r="467" spans="1:17" ht="15" customHeight="1" x14ac:dyDescent="0.2">
      <c r="A467" s="7">
        <v>2020</v>
      </c>
      <c r="B467" s="7" t="s">
        <v>343</v>
      </c>
      <c r="C467" s="7">
        <v>9</v>
      </c>
      <c r="D467" s="7" t="s">
        <v>1053</v>
      </c>
      <c r="E467" s="7" t="s">
        <v>1054</v>
      </c>
      <c r="F467" s="8">
        <v>79797</v>
      </c>
      <c r="G467" s="8">
        <v>292750</v>
      </c>
      <c r="H467" s="8">
        <v>1114149.0900000001</v>
      </c>
      <c r="I467" s="8">
        <v>1986239.61</v>
      </c>
      <c r="J467" s="13">
        <v>0.214193108520536</v>
      </c>
      <c r="K467" s="13">
        <v>0.35935787341761399</v>
      </c>
      <c r="L467" s="7">
        <v>0</v>
      </c>
      <c r="M467" s="13">
        <v>0.45451539376362698</v>
      </c>
      <c r="N467" s="13">
        <v>-24.032228524309101</v>
      </c>
      <c r="O467" s="7">
        <v>1</v>
      </c>
      <c r="P467" s="7" t="s">
        <v>160</v>
      </c>
      <c r="Q467" s="7" t="str">
        <f t="shared" si="7"/>
        <v>Yes</v>
      </c>
    </row>
    <row r="468" spans="1:17" ht="15" customHeight="1" x14ac:dyDescent="0.2">
      <c r="A468" s="7">
        <v>2020</v>
      </c>
      <c r="B468" s="7" t="s">
        <v>343</v>
      </c>
      <c r="C468" s="7">
        <v>10</v>
      </c>
      <c r="D468" s="7" t="s">
        <v>1055</v>
      </c>
      <c r="E468" s="7" t="s">
        <v>359</v>
      </c>
      <c r="F468" s="8">
        <v>142636</v>
      </c>
      <c r="G468" s="8">
        <v>235810</v>
      </c>
      <c r="H468" s="8">
        <v>13213.57</v>
      </c>
      <c r="I468" s="8">
        <v>471465.86</v>
      </c>
      <c r="J468" s="13">
        <v>0.37689921415472799</v>
      </c>
      <c r="K468" s="13">
        <v>2.7262493892096899E-2</v>
      </c>
      <c r="L468" s="7">
        <v>-1</v>
      </c>
      <c r="M468" s="13">
        <v>0.30527595654796003</v>
      </c>
      <c r="N468" s="13">
        <v>7.1623257606767101</v>
      </c>
      <c r="O468" s="7">
        <v>1</v>
      </c>
      <c r="P468" s="7" t="s">
        <v>160</v>
      </c>
      <c r="Q468" s="7" t="str">
        <f t="shared" si="7"/>
        <v>Yes</v>
      </c>
    </row>
    <row r="469" spans="1:17" ht="15" customHeight="1" x14ac:dyDescent="0.2">
      <c r="A469" s="7">
        <v>2020</v>
      </c>
      <c r="B469" s="7" t="s">
        <v>343</v>
      </c>
      <c r="C469" s="7">
        <v>11</v>
      </c>
      <c r="D469" s="7" t="s">
        <v>1056</v>
      </c>
      <c r="E469" s="7" t="s">
        <v>361</v>
      </c>
      <c r="F469" s="8">
        <v>160623</v>
      </c>
      <c r="G469" s="8">
        <v>245259</v>
      </c>
      <c r="H469" s="8">
        <v>395876.88</v>
      </c>
      <c r="I469" s="8">
        <v>736448.31</v>
      </c>
      <c r="J469" s="13">
        <v>0.395738170207105</v>
      </c>
      <c r="K469" s="13">
        <v>0.349614124543145</v>
      </c>
      <c r="L469" s="7">
        <v>-1</v>
      </c>
      <c r="M469" s="13">
        <v>0.41168797869146601</v>
      </c>
      <c r="N469" s="13">
        <v>-1.5949808484361201</v>
      </c>
      <c r="O469" s="7">
        <v>1</v>
      </c>
      <c r="P469" s="7" t="s">
        <v>160</v>
      </c>
      <c r="Q469" s="7" t="str">
        <f t="shared" si="7"/>
        <v>Yes</v>
      </c>
    </row>
    <row r="470" spans="1:17" ht="15" customHeight="1" x14ac:dyDescent="0.2">
      <c r="A470" s="7">
        <v>2020</v>
      </c>
      <c r="B470" s="7" t="s">
        <v>343</v>
      </c>
      <c r="C470" s="7">
        <v>12</v>
      </c>
      <c r="D470" s="7" t="s">
        <v>1057</v>
      </c>
      <c r="E470" s="7" t="s">
        <v>363</v>
      </c>
      <c r="F470" s="8">
        <v>129061</v>
      </c>
      <c r="G470" s="8">
        <v>181038</v>
      </c>
      <c r="H470" s="8">
        <v>73110.98</v>
      </c>
      <c r="I470" s="8">
        <v>671696.88</v>
      </c>
      <c r="J470" s="13">
        <v>0.416192893237321</v>
      </c>
      <c r="K470" s="13">
        <v>9.8160859902847994E-2</v>
      </c>
      <c r="L470" s="7">
        <v>-1</v>
      </c>
      <c r="M470" s="13">
        <v>0.32868033169765998</v>
      </c>
      <c r="N470" s="13">
        <v>8.7512561539661498</v>
      </c>
      <c r="O470" s="7">
        <v>1</v>
      </c>
      <c r="P470" s="7" t="s">
        <v>160</v>
      </c>
      <c r="Q470" s="7" t="str">
        <f t="shared" si="7"/>
        <v>Yes</v>
      </c>
    </row>
    <row r="471" spans="1:17" ht="15" customHeight="1" x14ac:dyDescent="0.2">
      <c r="A471" s="7">
        <v>2020</v>
      </c>
      <c r="B471" s="7" t="s">
        <v>343</v>
      </c>
      <c r="C471" s="7">
        <v>13</v>
      </c>
      <c r="D471" s="7" t="s">
        <v>364</v>
      </c>
      <c r="E471" s="7" t="s">
        <v>1058</v>
      </c>
      <c r="F471" s="8">
        <v>279045</v>
      </c>
      <c r="G471" s="8">
        <v>81476</v>
      </c>
      <c r="H471" s="8">
        <v>1194833.6200000001</v>
      </c>
      <c r="I471" s="8">
        <v>63306.05</v>
      </c>
      <c r="J471" s="13">
        <v>0.77400484299111605</v>
      </c>
      <c r="K471" s="13">
        <v>0.94968281224293605</v>
      </c>
      <c r="L471" s="7">
        <v>1</v>
      </c>
      <c r="M471" s="13">
        <v>0.68899941164674705</v>
      </c>
      <c r="N471" s="13">
        <v>8.5005431344368301</v>
      </c>
      <c r="O471" s="7">
        <v>1</v>
      </c>
      <c r="P471" s="7" t="s">
        <v>160</v>
      </c>
      <c r="Q471" s="7" t="str">
        <f t="shared" si="7"/>
        <v>Yes</v>
      </c>
    </row>
    <row r="472" spans="1:17" ht="15" customHeight="1" x14ac:dyDescent="0.2">
      <c r="A472" s="7">
        <v>2020</v>
      </c>
      <c r="B472" s="7" t="s">
        <v>343</v>
      </c>
      <c r="C472" s="7">
        <v>14</v>
      </c>
      <c r="D472" s="7" t="s">
        <v>1059</v>
      </c>
      <c r="E472" s="7" t="s">
        <v>1060</v>
      </c>
      <c r="F472" s="8">
        <v>77798</v>
      </c>
      <c r="G472" s="8">
        <v>229827</v>
      </c>
      <c r="H472" s="8">
        <v>192154.5</v>
      </c>
      <c r="I472" s="8">
        <v>2346830.46</v>
      </c>
      <c r="J472" s="13">
        <v>0.25289882161722899</v>
      </c>
      <c r="K472" s="13">
        <v>7.56816219974773E-2</v>
      </c>
      <c r="L472" s="7">
        <v>0</v>
      </c>
      <c r="M472" s="13">
        <v>0.36087056408884299</v>
      </c>
      <c r="N472" s="13">
        <v>-10.7971742471615</v>
      </c>
      <c r="O472" s="7">
        <v>1</v>
      </c>
      <c r="P472" s="7" t="s">
        <v>160</v>
      </c>
      <c r="Q472" s="7" t="str">
        <f t="shared" si="7"/>
        <v>Yes</v>
      </c>
    </row>
    <row r="473" spans="1:17" ht="15" customHeight="1" x14ac:dyDescent="0.2">
      <c r="A473" s="7">
        <v>2020</v>
      </c>
      <c r="B473" s="7" t="s">
        <v>368</v>
      </c>
      <c r="C473" s="7">
        <v>0</v>
      </c>
      <c r="D473" s="7" t="s">
        <v>369</v>
      </c>
      <c r="E473" s="7" t="s">
        <v>1061</v>
      </c>
      <c r="F473" s="8">
        <v>13326</v>
      </c>
      <c r="G473" s="8">
        <v>5932</v>
      </c>
      <c r="H473" s="8">
        <v>107135.99</v>
      </c>
      <c r="I473" s="8">
        <v>43889.67</v>
      </c>
      <c r="J473" s="13">
        <v>0.69197216741094603</v>
      </c>
      <c r="K473" s="13">
        <v>0.70938931834497498</v>
      </c>
      <c r="L473" s="7">
        <v>1</v>
      </c>
      <c r="M473" s="13">
        <v>0.60967573476021597</v>
      </c>
      <c r="N473" s="13">
        <v>8.2296432650729798</v>
      </c>
      <c r="O473" s="7">
        <v>1</v>
      </c>
      <c r="P473" s="7" t="s">
        <v>160</v>
      </c>
      <c r="Q473" s="7" t="str">
        <f t="shared" si="7"/>
        <v>Yes</v>
      </c>
    </row>
    <row r="474" spans="1:17" ht="15" customHeight="1" x14ac:dyDescent="0.2">
      <c r="A474" s="7">
        <v>2020</v>
      </c>
      <c r="B474" s="7" t="s">
        <v>371</v>
      </c>
      <c r="C474" s="7">
        <v>1</v>
      </c>
      <c r="D474" s="7" t="s">
        <v>372</v>
      </c>
      <c r="E474" s="7" t="s">
        <v>1062</v>
      </c>
      <c r="F474" s="8">
        <v>183245</v>
      </c>
      <c r="G474" s="8">
        <v>71188</v>
      </c>
      <c r="H474" s="8">
        <v>575267.77</v>
      </c>
      <c r="I474" s="8">
        <v>15609.17</v>
      </c>
      <c r="J474" s="13">
        <v>0.72020924958633503</v>
      </c>
      <c r="K474" s="13">
        <v>0.97358304421221797</v>
      </c>
      <c r="L474" s="7">
        <v>1</v>
      </c>
      <c r="M474" s="13">
        <v>0.69688915617328595</v>
      </c>
      <c r="N474" s="13">
        <v>2.3320093413048801</v>
      </c>
      <c r="O474" s="7">
        <v>1</v>
      </c>
      <c r="P474" s="7" t="s">
        <v>160</v>
      </c>
      <c r="Q474" s="7" t="str">
        <f t="shared" si="7"/>
        <v>Yes</v>
      </c>
    </row>
    <row r="475" spans="1:17" ht="15" customHeight="1" x14ac:dyDescent="0.2">
      <c r="A475" s="7">
        <v>2020</v>
      </c>
      <c r="B475" s="7" t="s">
        <v>371</v>
      </c>
      <c r="C475" s="7">
        <v>2</v>
      </c>
      <c r="D475" s="7" t="s">
        <v>1063</v>
      </c>
      <c r="E475" s="7" t="s">
        <v>1064</v>
      </c>
      <c r="F475" s="8">
        <v>171517</v>
      </c>
      <c r="G475" s="8">
        <v>84027</v>
      </c>
      <c r="H475" s="8">
        <v>1325588.79</v>
      </c>
      <c r="I475" s="8">
        <v>66938.149999999994</v>
      </c>
      <c r="J475" s="13">
        <v>0.67118382744263205</v>
      </c>
      <c r="K475" s="13">
        <v>0.95193044523792103</v>
      </c>
      <c r="L475" s="7">
        <v>0</v>
      </c>
      <c r="M475" s="13">
        <v>0.65013049118634403</v>
      </c>
      <c r="N475" s="13">
        <v>2.10533362562883</v>
      </c>
      <c r="O475" s="7">
        <v>1</v>
      </c>
      <c r="P475" s="7" t="s">
        <v>160</v>
      </c>
      <c r="Q475" s="7" t="str">
        <f t="shared" si="7"/>
        <v>Yes</v>
      </c>
    </row>
    <row r="476" spans="1:17" ht="15" customHeight="1" x14ac:dyDescent="0.2">
      <c r="A476" s="7">
        <v>2020</v>
      </c>
      <c r="B476" s="7" t="s">
        <v>376</v>
      </c>
      <c r="C476" s="7">
        <v>1</v>
      </c>
      <c r="D476" s="7" t="s">
        <v>377</v>
      </c>
      <c r="E476" s="7" t="s">
        <v>1065</v>
      </c>
      <c r="F476" s="8">
        <v>201347</v>
      </c>
      <c r="G476" s="8">
        <v>212088</v>
      </c>
      <c r="H476" s="8">
        <v>10128059.08</v>
      </c>
      <c r="I476" s="8">
        <v>11023058.43</v>
      </c>
      <c r="J476" s="13">
        <v>0.487010049947392</v>
      </c>
      <c r="K476" s="13">
        <v>0.478842740824998</v>
      </c>
      <c r="L476" s="7">
        <v>1</v>
      </c>
      <c r="M476" s="13">
        <v>0.533569628324159</v>
      </c>
      <c r="N476" s="13">
        <v>-4.6559578376767199</v>
      </c>
      <c r="O476" s="7">
        <v>0</v>
      </c>
      <c r="P476" s="7" t="s">
        <v>160</v>
      </c>
      <c r="Q476" s="7" t="str">
        <f t="shared" si="7"/>
        <v>Yes</v>
      </c>
    </row>
    <row r="477" spans="1:17" ht="15" customHeight="1" x14ac:dyDescent="0.2">
      <c r="A477" s="7">
        <v>2020</v>
      </c>
      <c r="B477" s="7" t="s">
        <v>376</v>
      </c>
      <c r="C477" s="7">
        <v>2</v>
      </c>
      <c r="D477" s="7" t="s">
        <v>1066</v>
      </c>
      <c r="E477" s="7" t="s">
        <v>1067</v>
      </c>
      <c r="F477" s="8">
        <v>196958</v>
      </c>
      <c r="G477" s="8">
        <v>196964</v>
      </c>
      <c r="H477" s="8">
        <v>11565854.890000001</v>
      </c>
      <c r="I477" s="8">
        <v>9657412.2799999993</v>
      </c>
      <c r="J477" s="13">
        <v>0.49999238427912102</v>
      </c>
      <c r="K477" s="13">
        <v>0.54496109375416202</v>
      </c>
      <c r="L477" s="7">
        <v>0</v>
      </c>
      <c r="M477" s="13">
        <v>0.51578517531388302</v>
      </c>
      <c r="N477" s="13">
        <v>-1.5792791034762099</v>
      </c>
      <c r="O477" s="7">
        <v>0</v>
      </c>
      <c r="P477" s="7" t="s">
        <v>160</v>
      </c>
      <c r="Q477" s="7" t="str">
        <f t="shared" si="7"/>
        <v>Yes</v>
      </c>
    </row>
    <row r="478" spans="1:17" ht="15" customHeight="1" x14ac:dyDescent="0.2">
      <c r="A478" s="7">
        <v>2020</v>
      </c>
      <c r="B478" s="7" t="s">
        <v>376</v>
      </c>
      <c r="C478" s="7">
        <v>3</v>
      </c>
      <c r="D478" s="7" t="s">
        <v>381</v>
      </c>
      <c r="E478" s="7" t="s">
        <v>382</v>
      </c>
      <c r="F478" s="8">
        <v>219205</v>
      </c>
      <c r="G478" s="8">
        <v>212997</v>
      </c>
      <c r="H478" s="8">
        <v>8957535.4600000009</v>
      </c>
      <c r="I478" s="8">
        <v>4801847.16</v>
      </c>
      <c r="J478" s="13">
        <v>0.50718182701607095</v>
      </c>
      <c r="K478" s="13">
        <v>0.65101289115833905</v>
      </c>
      <c r="L478" s="7">
        <v>1</v>
      </c>
      <c r="M478" s="13">
        <v>0.59040499724324802</v>
      </c>
      <c r="N478" s="13">
        <v>-8.3223170227176695</v>
      </c>
      <c r="O478" s="7">
        <v>1</v>
      </c>
      <c r="P478" s="7" t="s">
        <v>160</v>
      </c>
      <c r="Q478" s="7" t="str">
        <f t="shared" si="7"/>
        <v>Yes</v>
      </c>
    </row>
    <row r="479" spans="1:17" ht="15" customHeight="1" x14ac:dyDescent="0.2">
      <c r="A479" s="7">
        <v>2020</v>
      </c>
      <c r="B479" s="7" t="s">
        <v>376</v>
      </c>
      <c r="C479" s="7">
        <v>4</v>
      </c>
      <c r="D479" s="7" t="s">
        <v>383</v>
      </c>
      <c r="E479" s="7" t="s">
        <v>1068</v>
      </c>
      <c r="F479" s="8">
        <v>144761</v>
      </c>
      <c r="G479" s="8">
        <v>237369</v>
      </c>
      <c r="H479" s="8">
        <v>2929877</v>
      </c>
      <c r="I479" s="8">
        <v>2369729.61</v>
      </c>
      <c r="J479" s="13">
        <v>0.37882657734278902</v>
      </c>
      <c r="K479" s="13">
        <v>0.55284801601528699</v>
      </c>
      <c r="L479" s="7">
        <v>0</v>
      </c>
      <c r="M479" s="13">
        <v>0.51838874007513502</v>
      </c>
      <c r="N479" s="13">
        <v>-13.956216273234601</v>
      </c>
      <c r="O479" s="7">
        <v>0</v>
      </c>
      <c r="P479" s="7" t="s">
        <v>160</v>
      </c>
      <c r="Q479" s="7" t="str">
        <f t="shared" si="7"/>
        <v>Yes</v>
      </c>
    </row>
    <row r="480" spans="1:17" ht="15" customHeight="1" x14ac:dyDescent="0.2">
      <c r="A480" s="7">
        <v>2020</v>
      </c>
      <c r="B480" s="7" t="s">
        <v>385</v>
      </c>
      <c r="C480" s="7">
        <v>1</v>
      </c>
      <c r="D480" s="7" t="s">
        <v>1069</v>
      </c>
      <c r="E480" s="7" t="s">
        <v>387</v>
      </c>
      <c r="F480" s="8">
        <v>131380</v>
      </c>
      <c r="G480" s="8">
        <v>310736</v>
      </c>
      <c r="H480" s="8">
        <v>306918.95</v>
      </c>
      <c r="I480" s="8">
        <v>516772.46</v>
      </c>
      <c r="J480" s="13">
        <v>0.29716183083172698</v>
      </c>
      <c r="K480" s="13">
        <v>0.372613998730423</v>
      </c>
      <c r="L480" s="7">
        <v>-1</v>
      </c>
      <c r="M480" s="13">
        <v>0.41928050464323902</v>
      </c>
      <c r="N480" s="13">
        <v>-12.2118673811511</v>
      </c>
      <c r="O480" s="7">
        <v>1</v>
      </c>
      <c r="P480" s="7" t="s">
        <v>160</v>
      </c>
      <c r="Q480" s="7" t="str">
        <f t="shared" si="7"/>
        <v>Yes</v>
      </c>
    </row>
    <row r="481" spans="1:17" ht="15" customHeight="1" x14ac:dyDescent="0.2">
      <c r="A481" s="7">
        <v>2020</v>
      </c>
      <c r="B481" s="7" t="s">
        <v>385</v>
      </c>
      <c r="C481" s="7">
        <v>2</v>
      </c>
      <c r="D481" s="7" t="s">
        <v>1070</v>
      </c>
      <c r="E481" s="7" t="s">
        <v>389</v>
      </c>
      <c r="F481" s="8">
        <v>124151</v>
      </c>
      <c r="G481" s="8">
        <v>250669</v>
      </c>
      <c r="H481" s="8">
        <v>74268.320000000007</v>
      </c>
      <c r="I481" s="8">
        <v>1199189.6299999999</v>
      </c>
      <c r="J481" s="13">
        <v>0.33122832292833898</v>
      </c>
      <c r="K481" s="13">
        <v>5.8320198165946503E-2</v>
      </c>
      <c r="L481" s="7">
        <v>-1</v>
      </c>
      <c r="M481" s="13">
        <v>0.31552846592177802</v>
      </c>
      <c r="N481" s="13">
        <v>1.56998570065607</v>
      </c>
      <c r="O481" s="7">
        <v>1</v>
      </c>
      <c r="P481" s="7" t="s">
        <v>160</v>
      </c>
      <c r="Q481" s="7" t="str">
        <f t="shared" si="7"/>
        <v>Yes</v>
      </c>
    </row>
    <row r="482" spans="1:17" ht="15" customHeight="1" x14ac:dyDescent="0.2">
      <c r="A482" s="7">
        <v>2020</v>
      </c>
      <c r="B482" s="7" t="s">
        <v>390</v>
      </c>
      <c r="C482" s="7">
        <v>1</v>
      </c>
      <c r="D482" s="7" t="s">
        <v>391</v>
      </c>
      <c r="E482" s="7" t="s">
        <v>1071</v>
      </c>
      <c r="F482" s="8">
        <v>239943</v>
      </c>
      <c r="G482" s="8">
        <v>85027</v>
      </c>
      <c r="H482" s="8">
        <v>500849.12</v>
      </c>
      <c r="I482" s="8">
        <v>5047.8500000000004</v>
      </c>
      <c r="J482" s="13">
        <v>0.73835430962858095</v>
      </c>
      <c r="K482" s="13">
        <v>0.99002198016722698</v>
      </c>
      <c r="L482" s="7">
        <v>1</v>
      </c>
      <c r="M482" s="13">
        <v>0.70231584011258297</v>
      </c>
      <c r="N482" s="13">
        <v>3.6038469515998202</v>
      </c>
      <c r="O482" s="7">
        <v>1</v>
      </c>
      <c r="P482" s="7" t="s">
        <v>160</v>
      </c>
      <c r="Q482" s="7" t="str">
        <f t="shared" si="7"/>
        <v>Yes</v>
      </c>
    </row>
    <row r="483" spans="1:17" ht="15" customHeight="1" x14ac:dyDescent="0.2">
      <c r="A483" s="7">
        <v>2020</v>
      </c>
      <c r="B483" s="7" t="s">
        <v>390</v>
      </c>
      <c r="C483" s="7">
        <v>2</v>
      </c>
      <c r="D483" s="7" t="s">
        <v>393</v>
      </c>
      <c r="E483" s="7" t="s">
        <v>1072</v>
      </c>
      <c r="F483" s="8">
        <v>234896</v>
      </c>
      <c r="G483" s="8">
        <v>63142</v>
      </c>
      <c r="H483" s="8">
        <v>1113837.1299999999</v>
      </c>
      <c r="I483" s="8">
        <v>0</v>
      </c>
      <c r="J483" s="13">
        <v>0.78814110952294703</v>
      </c>
      <c r="K483" s="13">
        <v>1</v>
      </c>
      <c r="L483" s="7">
        <v>1</v>
      </c>
      <c r="M483" s="13">
        <v>0.70560970050115601</v>
      </c>
      <c r="N483" s="13">
        <v>8.25314090217908</v>
      </c>
      <c r="O483" s="7">
        <v>1</v>
      </c>
      <c r="P483" s="7" t="s">
        <v>160</v>
      </c>
      <c r="Q483" s="7" t="str">
        <f t="shared" si="7"/>
        <v>Yes</v>
      </c>
    </row>
    <row r="484" spans="1:17" ht="15" customHeight="1" x14ac:dyDescent="0.2">
      <c r="A484" s="7">
        <v>2020</v>
      </c>
      <c r="B484" s="7" t="s">
        <v>390</v>
      </c>
      <c r="C484" s="7">
        <v>3</v>
      </c>
      <c r="D484" s="7" t="s">
        <v>1073</v>
      </c>
      <c r="E484" s="7" t="s">
        <v>1074</v>
      </c>
      <c r="F484" s="8">
        <v>172997</v>
      </c>
      <c r="G484" s="8">
        <v>133851</v>
      </c>
      <c r="H484" s="8">
        <v>3706864.26</v>
      </c>
      <c r="I484" s="8">
        <v>137747.57</v>
      </c>
      <c r="J484" s="13">
        <v>0.56378728230263797</v>
      </c>
      <c r="K484" s="13">
        <v>0.96417126719396296</v>
      </c>
      <c r="L484" s="7">
        <v>0</v>
      </c>
      <c r="M484" s="13">
        <v>0.654171328871608</v>
      </c>
      <c r="N484" s="13">
        <v>-9.0384046568969403</v>
      </c>
      <c r="O484" s="7">
        <v>1</v>
      </c>
      <c r="P484" s="7" t="s">
        <v>160</v>
      </c>
      <c r="Q484" s="7" t="str">
        <f t="shared" si="7"/>
        <v>Yes</v>
      </c>
    </row>
    <row r="485" spans="1:17" ht="15" customHeight="1" x14ac:dyDescent="0.2">
      <c r="A485" s="7">
        <v>2020</v>
      </c>
      <c r="B485" s="7" t="s">
        <v>390</v>
      </c>
      <c r="C485" s="7">
        <v>4</v>
      </c>
      <c r="D485" s="7" t="s">
        <v>395</v>
      </c>
      <c r="E485" s="7" t="s">
        <v>1075</v>
      </c>
      <c r="F485" s="8">
        <v>187219</v>
      </c>
      <c r="G485" s="8">
        <v>35518</v>
      </c>
      <c r="H485" s="8">
        <v>727447.86</v>
      </c>
      <c r="I485" s="8">
        <v>843.27</v>
      </c>
      <c r="J485" s="13">
        <v>0.84053839281304898</v>
      </c>
      <c r="K485" s="13">
        <v>0.99884212512652704</v>
      </c>
      <c r="L485" s="7">
        <v>1</v>
      </c>
      <c r="M485" s="13">
        <v>0.70522747253963902</v>
      </c>
      <c r="N485" s="13">
        <v>13.5310920273409</v>
      </c>
      <c r="O485" s="7">
        <v>1</v>
      </c>
      <c r="P485" s="7" t="s">
        <v>160</v>
      </c>
      <c r="Q485" s="7" t="str">
        <f t="shared" si="7"/>
        <v>Yes</v>
      </c>
    </row>
    <row r="486" spans="1:17" ht="15" customHeight="1" x14ac:dyDescent="0.2">
      <c r="A486" s="7">
        <v>2020</v>
      </c>
      <c r="B486" s="7" t="s">
        <v>390</v>
      </c>
      <c r="C486" s="7">
        <v>6</v>
      </c>
      <c r="D486" s="7" t="s">
        <v>399</v>
      </c>
      <c r="E486" s="7" t="s">
        <v>1076</v>
      </c>
      <c r="F486" s="8">
        <v>213777</v>
      </c>
      <c r="G486" s="8">
        <v>183891</v>
      </c>
      <c r="H486" s="8">
        <v>5438612.8200000003</v>
      </c>
      <c r="I486" s="8">
        <v>3838049.07</v>
      </c>
      <c r="J486" s="13">
        <v>0.53757657141132797</v>
      </c>
      <c r="K486" s="13">
        <v>0.58626830259521301</v>
      </c>
      <c r="L486" s="7">
        <v>1</v>
      </c>
      <c r="M486" s="13">
        <v>0.56903205559584003</v>
      </c>
      <c r="N486" s="13">
        <v>-3.1455484184512299</v>
      </c>
      <c r="O486" s="7">
        <v>1</v>
      </c>
      <c r="P486" s="7" t="s">
        <v>160</v>
      </c>
      <c r="Q486" s="7" t="str">
        <f t="shared" si="7"/>
        <v>Yes</v>
      </c>
    </row>
    <row r="487" spans="1:17" ht="15" customHeight="1" x14ac:dyDescent="0.2">
      <c r="A487" s="7">
        <v>2020</v>
      </c>
      <c r="B487" s="7" t="s">
        <v>390</v>
      </c>
      <c r="C487" s="7">
        <v>7</v>
      </c>
      <c r="D487" s="7" t="s">
        <v>401</v>
      </c>
      <c r="E487" s="7" t="s">
        <v>402</v>
      </c>
      <c r="F487" s="8">
        <v>249383</v>
      </c>
      <c r="G487" s="8">
        <v>41390</v>
      </c>
      <c r="H487" s="8">
        <v>510816.2</v>
      </c>
      <c r="I487" s="8">
        <v>0</v>
      </c>
      <c r="J487" s="13">
        <v>0.85765528436271599</v>
      </c>
      <c r="K487" s="13">
        <v>1</v>
      </c>
      <c r="L487" s="7">
        <v>1</v>
      </c>
      <c r="M487" s="13">
        <v>0.70560970050115601</v>
      </c>
      <c r="N487" s="13">
        <v>15.204558386156</v>
      </c>
      <c r="O487" s="7">
        <v>1</v>
      </c>
      <c r="P487" s="7" t="s">
        <v>160</v>
      </c>
      <c r="Q487" s="7" t="str">
        <f t="shared" si="7"/>
        <v>Yes</v>
      </c>
    </row>
    <row r="488" spans="1:17" ht="15" customHeight="1" x14ac:dyDescent="0.2">
      <c r="A488" s="7">
        <v>2020</v>
      </c>
      <c r="B488" s="7" t="s">
        <v>390</v>
      </c>
      <c r="C488" s="7">
        <v>9</v>
      </c>
      <c r="D488" s="7" t="s">
        <v>405</v>
      </c>
      <c r="E488" s="7" t="s">
        <v>1077</v>
      </c>
      <c r="F488" s="8">
        <v>262045</v>
      </c>
      <c r="G488" s="8">
        <v>107125</v>
      </c>
      <c r="H488" s="8">
        <v>1538558.94</v>
      </c>
      <c r="I488" s="8">
        <v>34714.620000000003</v>
      </c>
      <c r="J488" s="13">
        <v>0.709822033209632</v>
      </c>
      <c r="K488" s="13">
        <v>0.97793478459016403</v>
      </c>
      <c r="L488" s="7">
        <v>1</v>
      </c>
      <c r="M488" s="13">
        <v>0.69832571628165496</v>
      </c>
      <c r="N488" s="13">
        <v>1.1496316927977701</v>
      </c>
      <c r="O488" s="7">
        <v>1</v>
      </c>
      <c r="P488" s="7" t="s">
        <v>160</v>
      </c>
      <c r="Q488" s="7" t="str">
        <f t="shared" si="7"/>
        <v>Yes</v>
      </c>
    </row>
    <row r="489" spans="1:17" ht="15" customHeight="1" x14ac:dyDescent="0.2">
      <c r="A489" s="7">
        <v>2020</v>
      </c>
      <c r="B489" s="7" t="s">
        <v>390</v>
      </c>
      <c r="C489" s="7">
        <v>10</v>
      </c>
      <c r="D489" s="7" t="s">
        <v>407</v>
      </c>
      <c r="E489" s="7" t="s">
        <v>1078</v>
      </c>
      <c r="F489" s="8">
        <v>202402</v>
      </c>
      <c r="G489" s="8">
        <v>114442</v>
      </c>
      <c r="H489" s="8">
        <v>3024881.2</v>
      </c>
      <c r="I489" s="8">
        <v>1074784.26</v>
      </c>
      <c r="J489" s="13">
        <v>0.63880647889813302</v>
      </c>
      <c r="K489" s="13">
        <v>0.73783610626609497</v>
      </c>
      <c r="L489" s="7">
        <v>1</v>
      </c>
      <c r="M489" s="13">
        <v>0.61906635028171997</v>
      </c>
      <c r="N489" s="13">
        <v>1.97401286164126</v>
      </c>
      <c r="O489" s="7">
        <v>1</v>
      </c>
      <c r="P489" s="7" t="s">
        <v>160</v>
      </c>
      <c r="Q489" s="7" t="str">
        <f t="shared" si="7"/>
        <v>Yes</v>
      </c>
    </row>
    <row r="490" spans="1:17" ht="15" customHeight="1" x14ac:dyDescent="0.2">
      <c r="A490" s="7">
        <v>2020</v>
      </c>
      <c r="B490" s="7" t="s">
        <v>390</v>
      </c>
      <c r="C490" s="7">
        <v>11</v>
      </c>
      <c r="D490" s="7" t="s">
        <v>409</v>
      </c>
      <c r="E490" s="7" t="s">
        <v>1079</v>
      </c>
      <c r="F490" s="8">
        <v>194557</v>
      </c>
      <c r="G490" s="8">
        <v>112807</v>
      </c>
      <c r="H490" s="8">
        <v>1861172.51</v>
      </c>
      <c r="I490" s="8">
        <v>20064.12</v>
      </c>
      <c r="J490" s="13">
        <v>0.632985645683945</v>
      </c>
      <c r="K490" s="13">
        <v>0.98933461124452005</v>
      </c>
      <c r="L490" s="7">
        <v>1</v>
      </c>
      <c r="M490" s="13">
        <v>0.70208893163727604</v>
      </c>
      <c r="N490" s="13">
        <v>-6.9103285953330804</v>
      </c>
      <c r="O490" s="7">
        <v>1</v>
      </c>
      <c r="P490" s="7" t="s">
        <v>160</v>
      </c>
      <c r="Q490" s="7" t="str">
        <f t="shared" si="7"/>
        <v>Yes</v>
      </c>
    </row>
    <row r="491" spans="1:17" ht="15" customHeight="1" x14ac:dyDescent="0.2">
      <c r="A491" s="7">
        <v>2020</v>
      </c>
      <c r="B491" s="7" t="s">
        <v>390</v>
      </c>
      <c r="C491" s="7">
        <v>12</v>
      </c>
      <c r="D491" s="7" t="s">
        <v>1080</v>
      </c>
      <c r="E491" s="7" t="s">
        <v>412</v>
      </c>
      <c r="F491" s="8">
        <v>127577</v>
      </c>
      <c r="G491" s="8">
        <v>194839</v>
      </c>
      <c r="H491" s="8">
        <v>162711.57999999999</v>
      </c>
      <c r="I491" s="8">
        <v>1585738.52</v>
      </c>
      <c r="J491" s="13">
        <v>0.39569066051312601</v>
      </c>
      <c r="K491" s="13">
        <v>9.3060465380167295E-2</v>
      </c>
      <c r="L491" s="7">
        <v>-1</v>
      </c>
      <c r="M491" s="13">
        <v>0.32699663214946101</v>
      </c>
      <c r="N491" s="13">
        <v>6.8694028363664597</v>
      </c>
      <c r="O491" s="7">
        <v>1</v>
      </c>
      <c r="P491" s="7" t="s">
        <v>160</v>
      </c>
      <c r="Q491" s="7" t="str">
        <f t="shared" si="7"/>
        <v>Yes</v>
      </c>
    </row>
    <row r="492" spans="1:17" ht="15" customHeight="1" x14ac:dyDescent="0.2">
      <c r="A492" s="7">
        <v>2020</v>
      </c>
      <c r="B492" s="7" t="s">
        <v>390</v>
      </c>
      <c r="C492" s="7">
        <v>13</v>
      </c>
      <c r="D492" s="7" t="s">
        <v>1081</v>
      </c>
      <c r="E492" s="7" t="s">
        <v>414</v>
      </c>
      <c r="F492" s="8">
        <v>151648</v>
      </c>
      <c r="G492" s="8">
        <v>181373</v>
      </c>
      <c r="H492" s="8">
        <v>11859243.119999999</v>
      </c>
      <c r="I492" s="8">
        <v>10725500.9</v>
      </c>
      <c r="J492" s="13">
        <v>0.45537068232934302</v>
      </c>
      <c r="K492" s="13">
        <v>0.52509973588799597</v>
      </c>
      <c r="L492" s="7">
        <v>-1</v>
      </c>
      <c r="M492" s="13">
        <v>0.46961781984840301</v>
      </c>
      <c r="N492" s="13">
        <v>-1.42471375190603</v>
      </c>
      <c r="O492" s="7">
        <v>1</v>
      </c>
      <c r="P492" s="7" t="s">
        <v>160</v>
      </c>
      <c r="Q492" s="7" t="str">
        <f t="shared" si="7"/>
        <v>Yes</v>
      </c>
    </row>
    <row r="493" spans="1:17" ht="15" customHeight="1" x14ac:dyDescent="0.2">
      <c r="A493" s="7">
        <v>2020</v>
      </c>
      <c r="B493" s="7" t="s">
        <v>390</v>
      </c>
      <c r="C493" s="7">
        <v>14</v>
      </c>
      <c r="D493" s="7" t="s">
        <v>415</v>
      </c>
      <c r="E493" s="7" t="s">
        <v>1082</v>
      </c>
      <c r="F493" s="8">
        <v>203209</v>
      </c>
      <c r="G493" s="8">
        <v>197835</v>
      </c>
      <c r="H493" s="8">
        <v>9267031.0299999993</v>
      </c>
      <c r="I493" s="8">
        <v>3451077.73</v>
      </c>
      <c r="J493" s="13">
        <v>0.50670001296615796</v>
      </c>
      <c r="K493" s="13">
        <v>0.72864851251673102</v>
      </c>
      <c r="L493" s="7">
        <v>1</v>
      </c>
      <c r="M493" s="13">
        <v>0.61603341873573003</v>
      </c>
      <c r="N493" s="13">
        <v>-10.9333405769572</v>
      </c>
      <c r="O493" s="7">
        <v>1</v>
      </c>
      <c r="P493" s="7" t="s">
        <v>160</v>
      </c>
      <c r="Q493" s="7" t="str">
        <f t="shared" si="7"/>
        <v>Yes</v>
      </c>
    </row>
    <row r="494" spans="1:17" ht="15" customHeight="1" x14ac:dyDescent="0.2">
      <c r="A494" s="7">
        <v>2020</v>
      </c>
      <c r="B494" s="7" t="s">
        <v>390</v>
      </c>
      <c r="C494" s="7">
        <v>15</v>
      </c>
      <c r="D494" s="7" t="s">
        <v>1083</v>
      </c>
      <c r="E494" s="7" t="s">
        <v>1084</v>
      </c>
      <c r="F494" s="8">
        <v>88559</v>
      </c>
      <c r="G494" s="8">
        <v>244947</v>
      </c>
      <c r="H494" s="8">
        <v>32133.75</v>
      </c>
      <c r="I494" s="8">
        <v>1122335.81</v>
      </c>
      <c r="J494" s="13">
        <v>0.26553945056460798</v>
      </c>
      <c r="K494" s="13">
        <v>2.7834211583716399E-2</v>
      </c>
      <c r="L494" s="7">
        <v>0</v>
      </c>
      <c r="M494" s="13">
        <v>0.34507557745832701</v>
      </c>
      <c r="N494" s="13">
        <v>-7.9536126893719103</v>
      </c>
      <c r="O494" s="7">
        <v>1</v>
      </c>
      <c r="P494" s="7" t="s">
        <v>160</v>
      </c>
      <c r="Q494" s="7" t="str">
        <f t="shared" si="7"/>
        <v>Yes</v>
      </c>
    </row>
    <row r="495" spans="1:17" ht="15" customHeight="1" x14ac:dyDescent="0.2">
      <c r="A495" s="7">
        <v>2020</v>
      </c>
      <c r="B495" s="7" t="s">
        <v>390</v>
      </c>
      <c r="C495" s="7">
        <v>16</v>
      </c>
      <c r="D495" s="7" t="s">
        <v>1085</v>
      </c>
      <c r="E495" s="7" t="s">
        <v>420</v>
      </c>
      <c r="F495" s="8">
        <v>119313</v>
      </c>
      <c r="G495" s="8">
        <v>218839</v>
      </c>
      <c r="H495" s="8">
        <v>436942.71</v>
      </c>
      <c r="I495" s="8">
        <v>1730019.27</v>
      </c>
      <c r="J495" s="13">
        <v>0.35283836854432299</v>
      </c>
      <c r="K495" s="13">
        <v>0.20163838315243501</v>
      </c>
      <c r="L495" s="7">
        <v>-1</v>
      </c>
      <c r="M495" s="13">
        <v>0.36283946553902102</v>
      </c>
      <c r="N495" s="13">
        <v>-1.00010969946975</v>
      </c>
      <c r="O495" s="7">
        <v>1</v>
      </c>
      <c r="P495" s="7" t="s">
        <v>160</v>
      </c>
      <c r="Q495" s="7" t="str">
        <f t="shared" si="7"/>
        <v>Yes</v>
      </c>
    </row>
    <row r="496" spans="1:17" ht="15" customHeight="1" x14ac:dyDescent="0.2">
      <c r="A496" s="7">
        <v>2020</v>
      </c>
      <c r="B496" s="7" t="s">
        <v>390</v>
      </c>
      <c r="C496" s="7">
        <v>17</v>
      </c>
      <c r="D496" s="7" t="s">
        <v>421</v>
      </c>
      <c r="E496" s="7" t="s">
        <v>1086</v>
      </c>
      <c r="F496" s="8">
        <v>156011</v>
      </c>
      <c r="G496" s="8">
        <v>143863</v>
      </c>
      <c r="H496" s="8">
        <v>7533524.7800000003</v>
      </c>
      <c r="I496" s="8">
        <v>2823437.85</v>
      </c>
      <c r="J496" s="13">
        <v>0.52025517383967901</v>
      </c>
      <c r="K496" s="13">
        <v>0.72738746378966102</v>
      </c>
      <c r="L496" s="7">
        <v>1</v>
      </c>
      <c r="M496" s="13">
        <v>0.61561713188525602</v>
      </c>
      <c r="N496" s="13">
        <v>-9.5361958045576607</v>
      </c>
      <c r="O496" s="7">
        <v>1</v>
      </c>
      <c r="P496" s="7" t="s">
        <v>160</v>
      </c>
      <c r="Q496" s="7" t="str">
        <f t="shared" si="7"/>
        <v>Yes</v>
      </c>
    </row>
    <row r="497" spans="1:17" ht="15" customHeight="1" x14ac:dyDescent="0.2">
      <c r="A497" s="7">
        <v>2020</v>
      </c>
      <c r="B497" s="7" t="s">
        <v>425</v>
      </c>
      <c r="C497" s="7">
        <v>2</v>
      </c>
      <c r="D497" s="7" t="s">
        <v>1087</v>
      </c>
      <c r="E497" s="7" t="s">
        <v>427</v>
      </c>
      <c r="F497" s="8">
        <v>114967</v>
      </c>
      <c r="G497" s="8">
        <v>183601</v>
      </c>
      <c r="H497" s="8">
        <v>870971.75</v>
      </c>
      <c r="I497" s="8">
        <v>1697852.24</v>
      </c>
      <c r="J497" s="13">
        <v>0.38506135955628201</v>
      </c>
      <c r="K497" s="13">
        <v>0.33905466212965402</v>
      </c>
      <c r="L497" s="7">
        <v>-1</v>
      </c>
      <c r="M497" s="13">
        <v>0.40820217734497199</v>
      </c>
      <c r="N497" s="13">
        <v>-2.31408177886899</v>
      </c>
      <c r="O497" s="7">
        <v>1</v>
      </c>
      <c r="P497" s="7" t="s">
        <v>160</v>
      </c>
      <c r="Q497" s="7" t="str">
        <f t="shared" si="7"/>
        <v>Yes</v>
      </c>
    </row>
    <row r="498" spans="1:17" ht="15" customHeight="1" x14ac:dyDescent="0.2">
      <c r="A498" s="7">
        <v>2020</v>
      </c>
      <c r="B498" s="7" t="s">
        <v>425</v>
      </c>
      <c r="C498" s="7">
        <v>3</v>
      </c>
      <c r="D498" s="7" t="s">
        <v>1088</v>
      </c>
      <c r="E498" s="7" t="s">
        <v>429</v>
      </c>
      <c r="F498" s="8">
        <v>104762</v>
      </c>
      <c r="G498" s="8">
        <v>220989</v>
      </c>
      <c r="H498" s="8">
        <v>93091.48</v>
      </c>
      <c r="I498" s="8">
        <v>815328.04</v>
      </c>
      <c r="J498" s="13">
        <v>0.32160146860639</v>
      </c>
      <c r="K498" s="13">
        <v>0.102476309623994</v>
      </c>
      <c r="L498" s="7">
        <v>-1</v>
      </c>
      <c r="M498" s="13">
        <v>0.33010491183816698</v>
      </c>
      <c r="N498" s="13">
        <v>-0.85034432317777098</v>
      </c>
      <c r="O498" s="7">
        <v>1</v>
      </c>
      <c r="P498" s="7" t="s">
        <v>160</v>
      </c>
      <c r="Q498" s="7" t="str">
        <f t="shared" si="7"/>
        <v>Yes</v>
      </c>
    </row>
    <row r="499" spans="1:17" ht="15" customHeight="1" x14ac:dyDescent="0.2">
      <c r="A499" s="7">
        <v>2020</v>
      </c>
      <c r="B499" s="7" t="s">
        <v>425</v>
      </c>
      <c r="C499" s="7">
        <v>4</v>
      </c>
      <c r="D499" s="7" t="s">
        <v>1089</v>
      </c>
      <c r="E499" s="7" t="s">
        <v>431</v>
      </c>
      <c r="F499" s="8">
        <v>112984</v>
      </c>
      <c r="G499" s="8">
        <v>225531</v>
      </c>
      <c r="H499" s="8">
        <v>43780.07</v>
      </c>
      <c r="I499" s="8">
        <v>250666.62</v>
      </c>
      <c r="J499" s="13">
        <v>0.33376364415166199</v>
      </c>
      <c r="K499" s="13">
        <v>0.14868589624831599</v>
      </c>
      <c r="L499" s="7">
        <v>-1</v>
      </c>
      <c r="M499" s="13">
        <v>0.345359233788325</v>
      </c>
      <c r="N499" s="13">
        <v>-1.1595589636663</v>
      </c>
      <c r="O499" s="7">
        <v>1</v>
      </c>
      <c r="P499" s="7" t="s">
        <v>160</v>
      </c>
      <c r="Q499" s="7" t="str">
        <f t="shared" si="7"/>
        <v>Yes</v>
      </c>
    </row>
    <row r="500" spans="1:17" ht="15" customHeight="1" x14ac:dyDescent="0.2">
      <c r="A500" s="7">
        <v>2020</v>
      </c>
      <c r="B500" s="7" t="s">
        <v>425</v>
      </c>
      <c r="C500" s="7">
        <v>5</v>
      </c>
      <c r="D500" s="7" t="s">
        <v>1090</v>
      </c>
      <c r="E500" s="7" t="s">
        <v>1091</v>
      </c>
      <c r="F500" s="8">
        <v>191226</v>
      </c>
      <c r="G500" s="8">
        <v>208212</v>
      </c>
      <c r="H500" s="8">
        <v>9562141.3300000001</v>
      </c>
      <c r="I500" s="8">
        <v>9245804.9600000009</v>
      </c>
      <c r="J500" s="13">
        <v>0.47873762636504302</v>
      </c>
      <c r="K500" s="13">
        <v>0.50840964678233402</v>
      </c>
      <c r="L500" s="7">
        <v>0</v>
      </c>
      <c r="M500" s="13">
        <v>0.50371911758466503</v>
      </c>
      <c r="N500" s="13">
        <v>-2.4981491219621601</v>
      </c>
      <c r="O500" s="7">
        <v>0</v>
      </c>
      <c r="P500" s="7" t="s">
        <v>160</v>
      </c>
      <c r="Q500" s="7" t="str">
        <f t="shared" si="7"/>
        <v>Yes</v>
      </c>
    </row>
    <row r="501" spans="1:17" ht="15" customHeight="1" x14ac:dyDescent="0.2">
      <c r="A501" s="7">
        <v>2020</v>
      </c>
      <c r="B501" s="7" t="s">
        <v>425</v>
      </c>
      <c r="C501" s="7">
        <v>7</v>
      </c>
      <c r="D501" s="7" t="s">
        <v>1092</v>
      </c>
      <c r="E501" s="7" t="s">
        <v>1093</v>
      </c>
      <c r="F501" s="8">
        <v>176422</v>
      </c>
      <c r="G501" s="8">
        <v>106146</v>
      </c>
      <c r="H501" s="8">
        <v>882871.6</v>
      </c>
      <c r="I501" s="8">
        <v>59843.39</v>
      </c>
      <c r="J501" s="13">
        <v>0.62435236827949403</v>
      </c>
      <c r="K501" s="13">
        <v>0.93652016713980601</v>
      </c>
      <c r="L501" s="7">
        <v>1</v>
      </c>
      <c r="M501" s="13">
        <v>0.68465426942006602</v>
      </c>
      <c r="N501" s="13">
        <v>-6.0301901140572101</v>
      </c>
      <c r="O501" s="7">
        <v>1</v>
      </c>
      <c r="P501" s="7" t="s">
        <v>160</v>
      </c>
      <c r="Q501" s="7" t="str">
        <f t="shared" si="7"/>
        <v>Yes</v>
      </c>
    </row>
    <row r="502" spans="1:17" ht="15" customHeight="1" x14ac:dyDescent="0.2">
      <c r="A502" s="7">
        <v>2020</v>
      </c>
      <c r="B502" s="7" t="s">
        <v>425</v>
      </c>
      <c r="C502" s="7">
        <v>8</v>
      </c>
      <c r="D502" s="7" t="s">
        <v>1094</v>
      </c>
      <c r="E502" s="7" t="s">
        <v>437</v>
      </c>
      <c r="F502" s="8">
        <v>95691</v>
      </c>
      <c r="G502" s="8">
        <v>214643</v>
      </c>
      <c r="H502" s="8">
        <v>70442.2</v>
      </c>
      <c r="I502" s="8">
        <v>1093042.02</v>
      </c>
      <c r="J502" s="13">
        <v>0.30834842460059197</v>
      </c>
      <c r="K502" s="13">
        <v>6.0544181682154703E-2</v>
      </c>
      <c r="L502" s="7">
        <v>-1</v>
      </c>
      <c r="M502" s="13">
        <v>0.31626262874482802</v>
      </c>
      <c r="N502" s="13">
        <v>-0.79142041442364897</v>
      </c>
      <c r="O502" s="7">
        <v>1</v>
      </c>
      <c r="P502" s="7" t="s">
        <v>160</v>
      </c>
      <c r="Q502" s="7" t="str">
        <f t="shared" si="7"/>
        <v>Yes</v>
      </c>
    </row>
    <row r="503" spans="1:17" ht="15" customHeight="1" x14ac:dyDescent="0.2">
      <c r="A503" s="7">
        <v>2020</v>
      </c>
      <c r="B503" s="7" t="s">
        <v>425</v>
      </c>
      <c r="C503" s="7">
        <v>9</v>
      </c>
      <c r="D503" s="7" t="s">
        <v>1095</v>
      </c>
      <c r="E503" s="7" t="s">
        <v>439</v>
      </c>
      <c r="F503" s="8">
        <v>122566</v>
      </c>
      <c r="G503" s="8">
        <v>222057</v>
      </c>
      <c r="H503" s="8">
        <v>136422.35</v>
      </c>
      <c r="I503" s="8">
        <v>516660.35</v>
      </c>
      <c r="J503" s="13">
        <v>0.35565240857400698</v>
      </c>
      <c r="K503" s="13">
        <v>0.20888985422520001</v>
      </c>
      <c r="L503" s="7">
        <v>-1</v>
      </c>
      <c r="M503" s="13">
        <v>0.36523326047286198</v>
      </c>
      <c r="N503" s="13">
        <v>-0.95808518988552105</v>
      </c>
      <c r="O503" s="7">
        <v>1</v>
      </c>
      <c r="P503" s="7" t="s">
        <v>160</v>
      </c>
      <c r="Q503" s="7" t="str">
        <f t="shared" si="7"/>
        <v>Yes</v>
      </c>
    </row>
    <row r="504" spans="1:17" ht="15" customHeight="1" x14ac:dyDescent="0.2">
      <c r="A504" s="7">
        <v>2020</v>
      </c>
      <c r="B504" s="7" t="s">
        <v>440</v>
      </c>
      <c r="C504" s="7">
        <v>1</v>
      </c>
      <c r="D504" s="7" t="s">
        <v>1096</v>
      </c>
      <c r="E504" s="7" t="s">
        <v>1097</v>
      </c>
      <c r="F504" s="8">
        <v>84393</v>
      </c>
      <c r="G504" s="8">
        <v>208229</v>
      </c>
      <c r="H504" s="8">
        <v>702273.83</v>
      </c>
      <c r="I504" s="8">
        <v>1450247.54</v>
      </c>
      <c r="J504" s="13">
        <v>0.28840278584658702</v>
      </c>
      <c r="K504" s="13">
        <v>0.32625637997731</v>
      </c>
      <c r="L504" s="7">
        <v>0</v>
      </c>
      <c r="M504" s="13">
        <v>0.44358820581722602</v>
      </c>
      <c r="N504" s="13">
        <v>-15.518541997063901</v>
      </c>
      <c r="O504" s="7">
        <v>1</v>
      </c>
      <c r="P504" s="7" t="s">
        <v>160</v>
      </c>
      <c r="Q504" s="7" t="str">
        <f t="shared" si="7"/>
        <v>Yes</v>
      </c>
    </row>
    <row r="505" spans="1:17" ht="15" customHeight="1" x14ac:dyDescent="0.2">
      <c r="A505" s="7">
        <v>2020</v>
      </c>
      <c r="B505" s="7" t="s">
        <v>440</v>
      </c>
      <c r="C505" s="7">
        <v>2</v>
      </c>
      <c r="D505" s="7" t="s">
        <v>1098</v>
      </c>
      <c r="E505" s="7" t="s">
        <v>1099</v>
      </c>
      <c r="F505" s="8">
        <v>136650</v>
      </c>
      <c r="G505" s="8">
        <v>185464</v>
      </c>
      <c r="H505" s="8">
        <v>2004421.48</v>
      </c>
      <c r="I505" s="8">
        <v>1955112.61</v>
      </c>
      <c r="J505" s="13">
        <v>0.42422868922182799</v>
      </c>
      <c r="K505" s="13">
        <v>0.50622660000889097</v>
      </c>
      <c r="L505" s="7">
        <v>0</v>
      </c>
      <c r="M505" s="13">
        <v>0.50299846845648499</v>
      </c>
      <c r="N505" s="13">
        <v>-7.8769779234657102</v>
      </c>
      <c r="O505" s="7">
        <v>0</v>
      </c>
      <c r="P505" s="7" t="s">
        <v>160</v>
      </c>
      <c r="Q505" s="7" t="str">
        <f t="shared" si="7"/>
        <v>Yes</v>
      </c>
    </row>
    <row r="506" spans="1:17" ht="15" customHeight="1" x14ac:dyDescent="0.2">
      <c r="A506" s="7">
        <v>2020</v>
      </c>
      <c r="B506" s="7" t="s">
        <v>440</v>
      </c>
      <c r="C506" s="7">
        <v>3</v>
      </c>
      <c r="D506" s="7" t="s">
        <v>1100</v>
      </c>
      <c r="E506" s="7" t="s">
        <v>1101</v>
      </c>
      <c r="F506" s="8">
        <v>220049</v>
      </c>
      <c r="G506" s="8">
        <v>178773</v>
      </c>
      <c r="H506" s="8">
        <v>5668883.7800000003</v>
      </c>
      <c r="I506" s="8">
        <v>2600503.7999999998</v>
      </c>
      <c r="J506" s="13">
        <v>0.55174739608145995</v>
      </c>
      <c r="K506" s="13">
        <v>0.68552643411109804</v>
      </c>
      <c r="L506" s="7">
        <v>1</v>
      </c>
      <c r="M506" s="13">
        <v>0.60179831915547799</v>
      </c>
      <c r="N506" s="13">
        <v>-5.0050923074018403</v>
      </c>
      <c r="O506" s="7">
        <v>1</v>
      </c>
      <c r="P506" s="7" t="s">
        <v>160</v>
      </c>
      <c r="Q506" s="7" t="str">
        <f t="shared" si="7"/>
        <v>Yes</v>
      </c>
    </row>
    <row r="507" spans="1:17" ht="15" customHeight="1" x14ac:dyDescent="0.2">
      <c r="A507" s="7">
        <v>2020</v>
      </c>
      <c r="B507" s="7" t="s">
        <v>440</v>
      </c>
      <c r="C507" s="7">
        <v>4</v>
      </c>
      <c r="D507" s="7" t="s">
        <v>1102</v>
      </c>
      <c r="E507" s="7" t="s">
        <v>448</v>
      </c>
      <c r="F507" s="8">
        <v>116166</v>
      </c>
      <c r="G507" s="8">
        <v>203432</v>
      </c>
      <c r="H507" s="8">
        <v>271037.67</v>
      </c>
      <c r="I507" s="8">
        <v>1437403.33</v>
      </c>
      <c r="J507" s="13">
        <v>0.36347536592844798</v>
      </c>
      <c r="K507" s="13">
        <v>0.15864619849324599</v>
      </c>
      <c r="L507" s="7">
        <v>-1</v>
      </c>
      <c r="M507" s="13">
        <v>0.348647245395101</v>
      </c>
      <c r="N507" s="13">
        <v>1.4828120533347</v>
      </c>
      <c r="O507" s="7">
        <v>1</v>
      </c>
      <c r="P507" s="7" t="s">
        <v>160</v>
      </c>
      <c r="Q507" s="7" t="str">
        <f t="shared" si="7"/>
        <v>Yes</v>
      </c>
    </row>
    <row r="508" spans="1:17" ht="15" customHeight="1" x14ac:dyDescent="0.2">
      <c r="A508" s="7">
        <v>2020</v>
      </c>
      <c r="B508" s="7" t="s">
        <v>449</v>
      </c>
      <c r="C508" s="7">
        <v>2</v>
      </c>
      <c r="D508" s="7" t="s">
        <v>452</v>
      </c>
      <c r="E508" s="7" t="s">
        <v>453</v>
      </c>
      <c r="F508" s="8">
        <v>94643</v>
      </c>
      <c r="G508" s="8">
        <v>255735</v>
      </c>
      <c r="H508" s="8">
        <v>71871.97</v>
      </c>
      <c r="I508" s="8">
        <v>1588331</v>
      </c>
      <c r="J508" s="13">
        <v>0.270116845235717</v>
      </c>
      <c r="K508" s="13">
        <v>4.3291074223292099E-2</v>
      </c>
      <c r="L508" s="7">
        <v>-1</v>
      </c>
      <c r="M508" s="13">
        <v>0.31056717732350703</v>
      </c>
      <c r="N508" s="13">
        <v>-4.0450332087790004</v>
      </c>
      <c r="O508" s="7">
        <v>1</v>
      </c>
      <c r="P508" s="7" t="s">
        <v>160</v>
      </c>
      <c r="Q508" s="7" t="str">
        <f t="shared" si="7"/>
        <v>Yes</v>
      </c>
    </row>
    <row r="509" spans="1:17" ht="15" customHeight="1" x14ac:dyDescent="0.2">
      <c r="A509" s="7">
        <v>2020</v>
      </c>
      <c r="B509" s="7" t="s">
        <v>449</v>
      </c>
      <c r="C509" s="7">
        <v>3</v>
      </c>
      <c r="D509" s="7" t="s">
        <v>454</v>
      </c>
      <c r="E509" s="7" t="s">
        <v>1103</v>
      </c>
      <c r="F509" s="8">
        <v>230672</v>
      </c>
      <c r="G509" s="8">
        <v>137425</v>
      </c>
      <c r="H509" s="8">
        <v>696101.15</v>
      </c>
      <c r="I509" s="8">
        <v>46126.3</v>
      </c>
      <c r="J509" s="13">
        <v>0.62666090731519097</v>
      </c>
      <c r="K509" s="13">
        <v>0.93785422514351902</v>
      </c>
      <c r="L509" s="7">
        <v>1</v>
      </c>
      <c r="M509" s="13">
        <v>0.68509465748183895</v>
      </c>
      <c r="N509" s="13">
        <v>-5.8433750166647798</v>
      </c>
      <c r="O509" s="7">
        <v>1</v>
      </c>
      <c r="P509" s="7" t="s">
        <v>160</v>
      </c>
      <c r="Q509" s="7" t="str">
        <f t="shared" si="7"/>
        <v>Yes</v>
      </c>
    </row>
    <row r="510" spans="1:17" ht="15" customHeight="1" x14ac:dyDescent="0.2">
      <c r="A510" s="7">
        <v>2020</v>
      </c>
      <c r="B510" s="7" t="s">
        <v>449</v>
      </c>
      <c r="C510" s="7">
        <v>4</v>
      </c>
      <c r="D510" s="7" t="s">
        <v>1104</v>
      </c>
      <c r="E510" s="7" t="s">
        <v>457</v>
      </c>
      <c r="F510" s="8">
        <v>125896</v>
      </c>
      <c r="G510" s="8">
        <v>256613</v>
      </c>
      <c r="H510" s="8">
        <v>291862.02</v>
      </c>
      <c r="I510" s="8">
        <v>1980581.85</v>
      </c>
      <c r="J510" s="13">
        <v>0.32913212499575201</v>
      </c>
      <c r="K510" s="13">
        <v>0.12843530432283001</v>
      </c>
      <c r="L510" s="7">
        <v>-1</v>
      </c>
      <c r="M510" s="13">
        <v>0.33867427788460702</v>
      </c>
      <c r="N510" s="13">
        <v>-0.95421528888556795</v>
      </c>
      <c r="O510" s="7">
        <v>1</v>
      </c>
      <c r="P510" s="7" t="s">
        <v>160</v>
      </c>
      <c r="Q510" s="7" t="str">
        <f t="shared" si="7"/>
        <v>Yes</v>
      </c>
    </row>
    <row r="511" spans="1:17" ht="15" customHeight="1" x14ac:dyDescent="0.2">
      <c r="A511" s="7">
        <v>2020</v>
      </c>
      <c r="B511" s="7" t="s">
        <v>449</v>
      </c>
      <c r="C511" s="7">
        <v>5</v>
      </c>
      <c r="D511" s="7" t="s">
        <v>1105</v>
      </c>
      <c r="E511" s="7" t="s">
        <v>459</v>
      </c>
      <c r="F511" s="8">
        <v>47056</v>
      </c>
      <c r="G511" s="8">
        <v>250914</v>
      </c>
      <c r="H511" s="8">
        <v>750</v>
      </c>
      <c r="I511" s="8">
        <v>852391.79</v>
      </c>
      <c r="J511" s="13">
        <v>0.15792193845017999</v>
      </c>
      <c r="K511" s="13">
        <v>8.7910357784724196E-4</v>
      </c>
      <c r="L511" s="7">
        <v>-1</v>
      </c>
      <c r="M511" s="13">
        <v>0.29656649257326201</v>
      </c>
      <c r="N511" s="13">
        <v>-13.8644554123082</v>
      </c>
      <c r="O511" s="7">
        <v>1</v>
      </c>
      <c r="P511" s="7" t="s">
        <v>160</v>
      </c>
      <c r="Q511" s="7" t="str">
        <f t="shared" si="7"/>
        <v>Yes</v>
      </c>
    </row>
    <row r="512" spans="1:17" ht="15" customHeight="1" x14ac:dyDescent="0.2">
      <c r="A512" s="7">
        <v>2020</v>
      </c>
      <c r="B512" s="7" t="s">
        <v>449</v>
      </c>
      <c r="C512" s="7">
        <v>6</v>
      </c>
      <c r="D512" s="7" t="s">
        <v>1106</v>
      </c>
      <c r="E512" s="7" t="s">
        <v>461</v>
      </c>
      <c r="F512" s="8">
        <v>155011</v>
      </c>
      <c r="G512" s="8">
        <v>216948</v>
      </c>
      <c r="H512" s="8">
        <v>3261413.83</v>
      </c>
      <c r="I512" s="8">
        <v>4407036.9800000004</v>
      </c>
      <c r="J512" s="13">
        <v>0.41674216781957202</v>
      </c>
      <c r="K512" s="13">
        <v>0.425302829842368</v>
      </c>
      <c r="L512" s="7">
        <v>-1</v>
      </c>
      <c r="M512" s="13">
        <v>0.43667370055068899</v>
      </c>
      <c r="N512" s="13">
        <v>-1.99315327311176</v>
      </c>
      <c r="O512" s="7">
        <v>1</v>
      </c>
      <c r="P512" s="7" t="s">
        <v>160</v>
      </c>
      <c r="Q512" s="7" t="str">
        <f t="shared" si="7"/>
        <v>Yes</v>
      </c>
    </row>
    <row r="513" spans="1:17" ht="15" customHeight="1" x14ac:dyDescent="0.2">
      <c r="A513" s="7">
        <v>2020</v>
      </c>
      <c r="B513" s="7" t="s">
        <v>462</v>
      </c>
      <c r="C513" s="7">
        <v>2</v>
      </c>
      <c r="D513" s="7" t="s">
        <v>1107</v>
      </c>
      <c r="E513" s="7" t="s">
        <v>1108</v>
      </c>
      <c r="F513" s="8">
        <v>201636</v>
      </c>
      <c r="G513" s="8">
        <v>47575</v>
      </c>
      <c r="H513" s="8">
        <v>1305414.75</v>
      </c>
      <c r="I513" s="8">
        <v>0</v>
      </c>
      <c r="J513" s="13">
        <v>0.80909751174707401</v>
      </c>
      <c r="K513" s="13">
        <v>1</v>
      </c>
      <c r="L513" s="7">
        <v>1</v>
      </c>
      <c r="M513" s="13">
        <v>0.70560970050115601</v>
      </c>
      <c r="N513" s="13">
        <v>10.348781124591801</v>
      </c>
      <c r="O513" s="7">
        <v>1</v>
      </c>
      <c r="P513" s="7" t="s">
        <v>160</v>
      </c>
      <c r="Q513" s="7" t="str">
        <f t="shared" si="7"/>
        <v>Yes</v>
      </c>
    </row>
    <row r="514" spans="1:17" ht="15" customHeight="1" x14ac:dyDescent="0.2">
      <c r="A514" s="7">
        <v>2020</v>
      </c>
      <c r="B514" s="7" t="s">
        <v>462</v>
      </c>
      <c r="C514" s="7">
        <v>3</v>
      </c>
      <c r="D514" s="7" t="s">
        <v>1109</v>
      </c>
      <c r="E514" s="7" t="s">
        <v>466</v>
      </c>
      <c r="F514" s="8">
        <v>60852</v>
      </c>
      <c r="G514" s="8">
        <v>230480</v>
      </c>
      <c r="H514" s="8">
        <v>15879.93</v>
      </c>
      <c r="I514" s="8">
        <v>736240.91</v>
      </c>
      <c r="J514" s="13">
        <v>0.20887509782653499</v>
      </c>
      <c r="K514" s="13">
        <v>2.1113535426036101E-2</v>
      </c>
      <c r="L514" s="7">
        <v>-1</v>
      </c>
      <c r="M514" s="13">
        <v>0.30324611384752698</v>
      </c>
      <c r="N514" s="13">
        <v>-9.4371016020991902</v>
      </c>
      <c r="O514" s="7">
        <v>1</v>
      </c>
      <c r="P514" s="7" t="s">
        <v>160</v>
      </c>
      <c r="Q514" s="7" t="str">
        <f t="shared" si="7"/>
        <v>Yes</v>
      </c>
    </row>
    <row r="515" spans="1:17" ht="15" customHeight="1" x14ac:dyDescent="0.2">
      <c r="A515" s="7">
        <v>2020</v>
      </c>
      <c r="B515" s="7" t="s">
        <v>462</v>
      </c>
      <c r="C515" s="7">
        <v>4</v>
      </c>
      <c r="D515" s="7" t="s">
        <v>1110</v>
      </c>
      <c r="E515" s="7" t="s">
        <v>468</v>
      </c>
      <c r="F515" s="8">
        <v>78157</v>
      </c>
      <c r="G515" s="8">
        <v>185265</v>
      </c>
      <c r="H515" s="8">
        <v>34707.32</v>
      </c>
      <c r="I515" s="8">
        <v>1063539.7</v>
      </c>
      <c r="J515" s="13">
        <v>0.29669883305115002</v>
      </c>
      <c r="K515" s="13">
        <v>3.1602471363864897E-2</v>
      </c>
      <c r="L515" s="7">
        <v>-1</v>
      </c>
      <c r="M515" s="13">
        <v>0.30670863358419997</v>
      </c>
      <c r="N515" s="13">
        <v>-1.000980053305</v>
      </c>
      <c r="O515" s="7">
        <v>1</v>
      </c>
      <c r="P515" s="7" t="s">
        <v>160</v>
      </c>
      <c r="Q515" s="7" t="str">
        <f t="shared" si="7"/>
        <v>Yes</v>
      </c>
    </row>
    <row r="516" spans="1:17" ht="15" customHeight="1" x14ac:dyDescent="0.2">
      <c r="A516" s="7">
        <v>2020</v>
      </c>
      <c r="B516" s="7" t="s">
        <v>462</v>
      </c>
      <c r="C516" s="7">
        <v>5</v>
      </c>
      <c r="D516" s="7" t="s">
        <v>1111</v>
      </c>
      <c r="E516" s="7" t="s">
        <v>1112</v>
      </c>
      <c r="F516" s="8">
        <v>50812</v>
      </c>
      <c r="G516" s="8">
        <v>102533</v>
      </c>
      <c r="H516" s="8">
        <v>99229.8</v>
      </c>
      <c r="I516" s="8">
        <v>1345688.75</v>
      </c>
      <c r="J516" s="13">
        <v>0.33135739671981501</v>
      </c>
      <c r="K516" s="13">
        <v>6.8675012857991199E-2</v>
      </c>
      <c r="L516" s="7">
        <v>0</v>
      </c>
      <c r="M516" s="13">
        <v>0.35855760092685801</v>
      </c>
      <c r="N516" s="13">
        <v>-2.7200204207042802</v>
      </c>
      <c r="O516" s="7">
        <v>1</v>
      </c>
      <c r="P516" s="7" t="s">
        <v>160</v>
      </c>
      <c r="Q516" s="7" t="str">
        <f t="shared" ref="Q516:Q579" si="8">IF(A516=2024,"No -- held out","Yes")</f>
        <v>Yes</v>
      </c>
    </row>
    <row r="517" spans="1:17" ht="15" customHeight="1" x14ac:dyDescent="0.2">
      <c r="A517" s="7">
        <v>2020</v>
      </c>
      <c r="B517" s="7" t="s">
        <v>462</v>
      </c>
      <c r="C517" s="7">
        <v>6</v>
      </c>
      <c r="D517" s="7" t="s">
        <v>1113</v>
      </c>
      <c r="E517" s="7" t="s">
        <v>472</v>
      </c>
      <c r="F517" s="8">
        <v>95541</v>
      </c>
      <c r="G517" s="8">
        <v>265706</v>
      </c>
      <c r="H517" s="8">
        <v>98863.62</v>
      </c>
      <c r="I517" s="8">
        <v>1329322.57</v>
      </c>
      <c r="J517" s="13">
        <v>0.26447555273815399</v>
      </c>
      <c r="K517" s="13">
        <v>6.9223201213001503E-2</v>
      </c>
      <c r="L517" s="7">
        <v>-1</v>
      </c>
      <c r="M517" s="13">
        <v>0.3191276740267</v>
      </c>
      <c r="N517" s="13">
        <v>-5.4652121288545503</v>
      </c>
      <c r="O517" s="7">
        <v>1</v>
      </c>
      <c r="P517" s="7" t="s">
        <v>160</v>
      </c>
      <c r="Q517" s="7" t="str">
        <f t="shared" si="8"/>
        <v>Yes</v>
      </c>
    </row>
    <row r="518" spans="1:17" ht="15" customHeight="1" x14ac:dyDescent="0.2">
      <c r="A518" s="7">
        <v>2020</v>
      </c>
      <c r="B518" s="7" t="s">
        <v>473</v>
      </c>
      <c r="C518" s="7">
        <v>2</v>
      </c>
      <c r="D518" s="7" t="s">
        <v>474</v>
      </c>
      <c r="E518" s="7" t="s">
        <v>475</v>
      </c>
      <c r="F518" s="8">
        <v>249854</v>
      </c>
      <c r="G518" s="8">
        <v>132220</v>
      </c>
      <c r="H518" s="8">
        <v>1093214.78</v>
      </c>
      <c r="I518" s="8">
        <v>22318.6</v>
      </c>
      <c r="J518" s="13">
        <v>0.65394138308285799</v>
      </c>
      <c r="K518" s="13">
        <v>0.97999288914151494</v>
      </c>
      <c r="L518" s="7">
        <v>1</v>
      </c>
      <c r="M518" s="13">
        <v>0.69900512052927599</v>
      </c>
      <c r="N518" s="13">
        <v>-4.5063737446418104</v>
      </c>
      <c r="O518" s="7">
        <v>1</v>
      </c>
      <c r="P518" s="7" t="s">
        <v>160</v>
      </c>
      <c r="Q518" s="7" t="str">
        <f t="shared" si="8"/>
        <v>Yes</v>
      </c>
    </row>
    <row r="519" spans="1:17" ht="15" customHeight="1" x14ac:dyDescent="0.2">
      <c r="A519" s="7">
        <v>2020</v>
      </c>
      <c r="B519" s="7" t="s">
        <v>473</v>
      </c>
      <c r="C519" s="7">
        <v>4</v>
      </c>
      <c r="D519" s="7" t="s">
        <v>1114</v>
      </c>
      <c r="E519" s="7" t="s">
        <v>1115</v>
      </c>
      <c r="F519" s="8">
        <v>251102</v>
      </c>
      <c r="G519" s="8">
        <v>160474</v>
      </c>
      <c r="H519" s="8">
        <v>2967429.55</v>
      </c>
      <c r="I519" s="8">
        <v>577705.39</v>
      </c>
      <c r="J519" s="13">
        <v>0.61009874239508599</v>
      </c>
      <c r="K519" s="13">
        <v>0.83704276430166002</v>
      </c>
      <c r="L519" s="7">
        <v>0</v>
      </c>
      <c r="M519" s="13">
        <v>0.61220473159544697</v>
      </c>
      <c r="N519" s="13">
        <v>-0.210598920036043</v>
      </c>
      <c r="O519" s="7">
        <v>1</v>
      </c>
      <c r="P519" s="7" t="s">
        <v>160</v>
      </c>
      <c r="Q519" s="7" t="str">
        <f t="shared" si="8"/>
        <v>Yes</v>
      </c>
    </row>
    <row r="520" spans="1:17" ht="15" customHeight="1" x14ac:dyDescent="0.2">
      <c r="A520" s="7">
        <v>2020</v>
      </c>
      <c r="B520" s="7" t="s">
        <v>473</v>
      </c>
      <c r="C520" s="7">
        <v>5</v>
      </c>
      <c r="D520" s="7" t="s">
        <v>478</v>
      </c>
      <c r="E520" s="7" t="s">
        <v>1116</v>
      </c>
      <c r="F520" s="8">
        <v>294427</v>
      </c>
      <c r="G520" s="8">
        <v>101351</v>
      </c>
      <c r="H520" s="8">
        <v>1542108.78</v>
      </c>
      <c r="I520" s="8">
        <v>150639.04999999999</v>
      </c>
      <c r="J520" s="13">
        <v>0.74391957107267204</v>
      </c>
      <c r="K520" s="13">
        <v>0.91100916076791005</v>
      </c>
      <c r="L520" s="7">
        <v>1</v>
      </c>
      <c r="M520" s="13">
        <v>0.67623278953033605</v>
      </c>
      <c r="N520" s="13">
        <v>6.7686781542335703</v>
      </c>
      <c r="O520" s="7">
        <v>1</v>
      </c>
      <c r="P520" s="7" t="s">
        <v>160</v>
      </c>
      <c r="Q520" s="7" t="str">
        <f t="shared" si="8"/>
        <v>Yes</v>
      </c>
    </row>
    <row r="521" spans="1:17" ht="15" customHeight="1" x14ac:dyDescent="0.2">
      <c r="A521" s="7">
        <v>2020</v>
      </c>
      <c r="B521" s="7" t="s">
        <v>473</v>
      </c>
      <c r="C521" s="7">
        <v>6</v>
      </c>
      <c r="D521" s="7" t="s">
        <v>480</v>
      </c>
      <c r="E521" s="7" t="s">
        <v>1117</v>
      </c>
      <c r="F521" s="8">
        <v>286377</v>
      </c>
      <c r="G521" s="8">
        <v>150695</v>
      </c>
      <c r="H521" s="8">
        <v>1844294.27</v>
      </c>
      <c r="I521" s="8">
        <v>304261.03999999998</v>
      </c>
      <c r="J521" s="13">
        <v>0.65521698942050699</v>
      </c>
      <c r="K521" s="13">
        <v>0.85838808124515997</v>
      </c>
      <c r="L521" s="7">
        <v>1</v>
      </c>
      <c r="M521" s="13">
        <v>0.65886195921041302</v>
      </c>
      <c r="N521" s="13">
        <v>-0.36449697899056899</v>
      </c>
      <c r="O521" s="7">
        <v>1</v>
      </c>
      <c r="P521" s="7" t="s">
        <v>160</v>
      </c>
      <c r="Q521" s="7" t="str">
        <f t="shared" si="8"/>
        <v>Yes</v>
      </c>
    </row>
    <row r="522" spans="1:17" ht="15" customHeight="1" x14ac:dyDescent="0.2">
      <c r="A522" s="7">
        <v>2020</v>
      </c>
      <c r="B522" s="7" t="s">
        <v>473</v>
      </c>
      <c r="C522" s="7">
        <v>9</v>
      </c>
      <c r="D522" s="7" t="s">
        <v>482</v>
      </c>
      <c r="E522" s="7" t="s">
        <v>1118</v>
      </c>
      <c r="F522" s="8">
        <v>260262</v>
      </c>
      <c r="G522" s="8">
        <v>154261</v>
      </c>
      <c r="H522" s="8">
        <v>652607.94999999995</v>
      </c>
      <c r="I522" s="8">
        <v>24135.31</v>
      </c>
      <c r="J522" s="13">
        <v>0.62785900902965597</v>
      </c>
      <c r="K522" s="13">
        <v>0.96433609106058904</v>
      </c>
      <c r="L522" s="7">
        <v>1</v>
      </c>
      <c r="M522" s="13">
        <v>0.69383662939827495</v>
      </c>
      <c r="N522" s="13">
        <v>-6.5977620368618801</v>
      </c>
      <c r="O522" s="7">
        <v>1</v>
      </c>
      <c r="P522" s="7" t="s">
        <v>160</v>
      </c>
      <c r="Q522" s="7" t="str">
        <f t="shared" si="8"/>
        <v>Yes</v>
      </c>
    </row>
    <row r="523" spans="1:17" ht="15" customHeight="1" x14ac:dyDescent="0.2">
      <c r="A523" s="7">
        <v>2020</v>
      </c>
      <c r="B523" s="7" t="s">
        <v>484</v>
      </c>
      <c r="C523" s="7">
        <v>2</v>
      </c>
      <c r="D523" s="7" t="s">
        <v>1119</v>
      </c>
      <c r="E523" s="7" t="s">
        <v>1120</v>
      </c>
      <c r="F523" s="8">
        <v>224836</v>
      </c>
      <c r="G523" s="8">
        <v>106355</v>
      </c>
      <c r="H523" s="8">
        <v>947303.93</v>
      </c>
      <c r="I523" s="8">
        <v>66895.399999999994</v>
      </c>
      <c r="J523" s="13">
        <v>0.67887110458919497</v>
      </c>
      <c r="K523" s="13">
        <v>0.93404117117687302</v>
      </c>
      <c r="L523" s="7">
        <v>1</v>
      </c>
      <c r="M523" s="13">
        <v>0.68383592402262405</v>
      </c>
      <c r="N523" s="13">
        <v>-0.49648194334290802</v>
      </c>
      <c r="O523" s="7">
        <v>1</v>
      </c>
      <c r="P523" s="7" t="s">
        <v>160</v>
      </c>
      <c r="Q523" s="7" t="str">
        <f t="shared" si="8"/>
        <v>Yes</v>
      </c>
    </row>
    <row r="524" spans="1:17" ht="15" customHeight="1" x14ac:dyDescent="0.2">
      <c r="A524" s="7">
        <v>2020</v>
      </c>
      <c r="B524" s="7" t="s">
        <v>484</v>
      </c>
      <c r="C524" s="7">
        <v>3</v>
      </c>
      <c r="D524" s="7" t="s">
        <v>1121</v>
      </c>
      <c r="E524" s="7" t="s">
        <v>1122</v>
      </c>
      <c r="F524" s="8">
        <v>260358</v>
      </c>
      <c r="G524" s="8">
        <v>112117</v>
      </c>
      <c r="H524" s="8">
        <v>701372.41</v>
      </c>
      <c r="I524" s="8">
        <v>6741.99</v>
      </c>
      <c r="J524" s="13">
        <v>0.69899456339351596</v>
      </c>
      <c r="K524" s="13">
        <v>0.99047895368319006</v>
      </c>
      <c r="L524" s="7">
        <v>1</v>
      </c>
      <c r="M524" s="13">
        <v>0.70246669238468595</v>
      </c>
      <c r="N524" s="13">
        <v>-0.34721289911693298</v>
      </c>
      <c r="O524" s="7">
        <v>1</v>
      </c>
      <c r="P524" s="7" t="s">
        <v>160</v>
      </c>
      <c r="Q524" s="7" t="str">
        <f t="shared" si="8"/>
        <v>Yes</v>
      </c>
    </row>
    <row r="525" spans="1:17" ht="15" customHeight="1" x14ac:dyDescent="0.2">
      <c r="A525" s="7">
        <v>2020</v>
      </c>
      <c r="B525" s="7" t="s">
        <v>484</v>
      </c>
      <c r="C525" s="7">
        <v>4</v>
      </c>
      <c r="D525" s="7" t="s">
        <v>489</v>
      </c>
      <c r="E525" s="7" t="s">
        <v>1123</v>
      </c>
      <c r="F525" s="8">
        <v>282119</v>
      </c>
      <c r="G525" s="8">
        <v>71671</v>
      </c>
      <c r="H525" s="8">
        <v>862877.78</v>
      </c>
      <c r="I525" s="8">
        <v>0</v>
      </c>
      <c r="J525" s="13">
        <v>0.79741937307442301</v>
      </c>
      <c r="K525" s="13">
        <v>1</v>
      </c>
      <c r="L525" s="7">
        <v>1</v>
      </c>
      <c r="M525" s="13">
        <v>0.70560970050115601</v>
      </c>
      <c r="N525" s="13">
        <v>9.1809672573266798</v>
      </c>
      <c r="O525" s="7">
        <v>1</v>
      </c>
      <c r="P525" s="7" t="s">
        <v>160</v>
      </c>
      <c r="Q525" s="7" t="str">
        <f t="shared" si="8"/>
        <v>Yes</v>
      </c>
    </row>
    <row r="526" spans="1:17" ht="15" customHeight="1" x14ac:dyDescent="0.2">
      <c r="A526" s="7">
        <v>2020</v>
      </c>
      <c r="B526" s="7" t="s">
        <v>484</v>
      </c>
      <c r="C526" s="7">
        <v>5</v>
      </c>
      <c r="D526" s="7" t="s">
        <v>1124</v>
      </c>
      <c r="E526" s="7" t="s">
        <v>1125</v>
      </c>
      <c r="F526" s="8">
        <v>274210</v>
      </c>
      <c r="G526" s="8">
        <v>123525</v>
      </c>
      <c r="H526" s="8">
        <v>4367910.26</v>
      </c>
      <c r="I526" s="8">
        <v>45695.38</v>
      </c>
      <c r="J526" s="13">
        <v>0.68942889109583005</v>
      </c>
      <c r="K526" s="13">
        <v>0.98964670074148298</v>
      </c>
      <c r="L526" s="7">
        <v>1</v>
      </c>
      <c r="M526" s="13">
        <v>0.70219195600974305</v>
      </c>
      <c r="N526" s="13">
        <v>-1.2763064913912601</v>
      </c>
      <c r="O526" s="7">
        <v>1</v>
      </c>
      <c r="P526" s="7" t="s">
        <v>160</v>
      </c>
      <c r="Q526" s="7" t="str">
        <f t="shared" si="8"/>
        <v>Yes</v>
      </c>
    </row>
    <row r="527" spans="1:17" ht="15" customHeight="1" x14ac:dyDescent="0.2">
      <c r="A527" s="7">
        <v>2020</v>
      </c>
      <c r="B527" s="7" t="s">
        <v>484</v>
      </c>
      <c r="C527" s="7">
        <v>6</v>
      </c>
      <c r="D527" s="7" t="s">
        <v>1126</v>
      </c>
      <c r="E527" s="7" t="s">
        <v>1127</v>
      </c>
      <c r="F527" s="8">
        <v>215540</v>
      </c>
      <c r="G527" s="8">
        <v>143599</v>
      </c>
      <c r="H527" s="8">
        <v>2980058.01</v>
      </c>
      <c r="I527" s="8">
        <v>264171.21000000002</v>
      </c>
      <c r="J527" s="13">
        <v>0.60015759914684796</v>
      </c>
      <c r="K527" s="13">
        <v>0.91857196514616202</v>
      </c>
      <c r="L527" s="7">
        <v>1</v>
      </c>
      <c r="M527" s="13">
        <v>0.67872935920904498</v>
      </c>
      <c r="N527" s="13">
        <v>-7.8571760062196399</v>
      </c>
      <c r="O527" s="7">
        <v>1</v>
      </c>
      <c r="P527" s="7" t="s">
        <v>160</v>
      </c>
      <c r="Q527" s="7" t="str">
        <f t="shared" si="8"/>
        <v>Yes</v>
      </c>
    </row>
    <row r="528" spans="1:17" ht="15" customHeight="1" x14ac:dyDescent="0.2">
      <c r="A528" s="7">
        <v>2020</v>
      </c>
      <c r="B528" s="7" t="s">
        <v>484</v>
      </c>
      <c r="C528" s="7">
        <v>7</v>
      </c>
      <c r="D528" s="7" t="s">
        <v>1128</v>
      </c>
      <c r="E528" s="7" t="s">
        <v>1129</v>
      </c>
      <c r="F528" s="8">
        <v>237084</v>
      </c>
      <c r="G528" s="8">
        <v>92825</v>
      </c>
      <c r="H528" s="8">
        <v>724393.87</v>
      </c>
      <c r="I528" s="8">
        <v>7568416.9500000002</v>
      </c>
      <c r="J528" s="13">
        <v>0.71863453255291598</v>
      </c>
      <c r="K528" s="13">
        <v>8.7352031262181898E-2</v>
      </c>
      <c r="L528" s="7">
        <v>0</v>
      </c>
      <c r="M528" s="13">
        <v>0.36472310191094598</v>
      </c>
      <c r="N528" s="13">
        <v>35.391143064197102</v>
      </c>
      <c r="O528" s="7">
        <v>0</v>
      </c>
      <c r="P528" s="7" t="s">
        <v>160</v>
      </c>
      <c r="Q528" s="7" t="str">
        <f t="shared" si="8"/>
        <v>Yes</v>
      </c>
    </row>
    <row r="529" spans="1:17" ht="15" customHeight="1" x14ac:dyDescent="0.2">
      <c r="A529" s="7">
        <v>2020</v>
      </c>
      <c r="B529" s="7" t="s">
        <v>484</v>
      </c>
      <c r="C529" s="7">
        <v>8</v>
      </c>
      <c r="D529" s="7" t="s">
        <v>1130</v>
      </c>
      <c r="E529" s="7" t="s">
        <v>1131</v>
      </c>
      <c r="F529" s="8">
        <v>274716</v>
      </c>
      <c r="G529" s="8">
        <v>127157</v>
      </c>
      <c r="H529" s="8">
        <v>1438211.64</v>
      </c>
      <c r="I529" s="8">
        <v>27502.25</v>
      </c>
      <c r="J529" s="13">
        <v>0.68358909406703094</v>
      </c>
      <c r="K529" s="13">
        <v>0.981236276610574</v>
      </c>
      <c r="L529" s="7">
        <v>1</v>
      </c>
      <c r="M529" s="13">
        <v>0.699415577193085</v>
      </c>
      <c r="N529" s="13">
        <v>-1.5826483126054101</v>
      </c>
      <c r="O529" s="7">
        <v>1</v>
      </c>
      <c r="P529" s="7" t="s">
        <v>160</v>
      </c>
      <c r="Q529" s="7" t="str">
        <f t="shared" si="8"/>
        <v>Yes</v>
      </c>
    </row>
    <row r="530" spans="1:17" ht="15" customHeight="1" x14ac:dyDescent="0.2">
      <c r="A530" s="7">
        <v>2020</v>
      </c>
      <c r="B530" s="7" t="s">
        <v>495</v>
      </c>
      <c r="C530" s="7">
        <v>1</v>
      </c>
      <c r="D530" s="7" t="s">
        <v>1132</v>
      </c>
      <c r="E530" s="7" t="s">
        <v>1133</v>
      </c>
      <c r="F530" s="8">
        <v>271004</v>
      </c>
      <c r="G530" s="8">
        <v>165008</v>
      </c>
      <c r="H530" s="8">
        <v>277696.61</v>
      </c>
      <c r="I530" s="8">
        <v>69853.31</v>
      </c>
      <c r="J530" s="13">
        <v>0.62155170041191499</v>
      </c>
      <c r="K530" s="13">
        <v>0.79901215341957199</v>
      </c>
      <c r="L530" s="7">
        <v>1</v>
      </c>
      <c r="M530" s="13">
        <v>0.63926127490859397</v>
      </c>
      <c r="N530" s="13">
        <v>-1.7709574496679099</v>
      </c>
      <c r="O530" s="7">
        <v>1</v>
      </c>
      <c r="P530" s="7" t="s">
        <v>160</v>
      </c>
      <c r="Q530" s="7" t="str">
        <f t="shared" si="8"/>
        <v>Yes</v>
      </c>
    </row>
    <row r="531" spans="1:17" ht="15" customHeight="1" x14ac:dyDescent="0.2">
      <c r="A531" s="7">
        <v>2020</v>
      </c>
      <c r="B531" s="7" t="s">
        <v>500</v>
      </c>
      <c r="C531" s="7">
        <v>1</v>
      </c>
      <c r="D531" s="7" t="s">
        <v>1134</v>
      </c>
      <c r="E531" s="7" t="s">
        <v>502</v>
      </c>
      <c r="F531" s="8">
        <v>153328</v>
      </c>
      <c r="G531" s="8">
        <v>256581</v>
      </c>
      <c r="H531" s="8">
        <v>540677.14</v>
      </c>
      <c r="I531" s="8">
        <v>5513404.8099999996</v>
      </c>
      <c r="J531" s="13">
        <v>0.37405375339404601</v>
      </c>
      <c r="K531" s="13">
        <v>8.9307866075384101E-2</v>
      </c>
      <c r="L531" s="7">
        <v>-1</v>
      </c>
      <c r="M531" s="13">
        <v>0.32575785547719899</v>
      </c>
      <c r="N531" s="13">
        <v>4.8295897916847101</v>
      </c>
      <c r="O531" s="7">
        <v>1</v>
      </c>
      <c r="P531" s="7" t="s">
        <v>160</v>
      </c>
      <c r="Q531" s="7" t="str">
        <f t="shared" si="8"/>
        <v>Yes</v>
      </c>
    </row>
    <row r="532" spans="1:17" ht="15" customHeight="1" x14ac:dyDescent="0.2">
      <c r="A532" s="7">
        <v>2020</v>
      </c>
      <c r="B532" s="7" t="s">
        <v>500</v>
      </c>
      <c r="C532" s="7">
        <v>2</v>
      </c>
      <c r="D532" s="7" t="s">
        <v>1135</v>
      </c>
      <c r="E532" s="7" t="s">
        <v>504</v>
      </c>
      <c r="F532" s="8">
        <v>154122</v>
      </c>
      <c r="G532" s="8">
        <v>238711</v>
      </c>
      <c r="H532" s="8">
        <v>669930.93000000005</v>
      </c>
      <c r="I532" s="8">
        <v>1926736.2</v>
      </c>
      <c r="J532" s="13">
        <v>0.39233465620250901</v>
      </c>
      <c r="K532" s="13">
        <v>0.25799646102502199</v>
      </c>
      <c r="L532" s="7">
        <v>-1</v>
      </c>
      <c r="M532" s="13">
        <v>0.38144392247454401</v>
      </c>
      <c r="N532" s="13">
        <v>1.0890733727964601</v>
      </c>
      <c r="O532" s="7">
        <v>1</v>
      </c>
      <c r="P532" s="7" t="s">
        <v>160</v>
      </c>
      <c r="Q532" s="7" t="str">
        <f t="shared" si="8"/>
        <v>Yes</v>
      </c>
    </row>
    <row r="533" spans="1:17" ht="15" customHeight="1" x14ac:dyDescent="0.2">
      <c r="A533" s="7">
        <v>2020</v>
      </c>
      <c r="B533" s="7" t="s">
        <v>500</v>
      </c>
      <c r="C533" s="7">
        <v>3</v>
      </c>
      <c r="D533" s="7" t="s">
        <v>1136</v>
      </c>
      <c r="E533" s="7" t="s">
        <v>1137</v>
      </c>
      <c r="F533" s="8">
        <v>189769</v>
      </c>
      <c r="G533" s="8">
        <v>213649</v>
      </c>
      <c r="H533" s="8">
        <v>7248436.5700000003</v>
      </c>
      <c r="I533" s="8">
        <v>6405983.1500000004</v>
      </c>
      <c r="J533" s="13">
        <v>0.470402907158332</v>
      </c>
      <c r="K533" s="13">
        <v>0.53084911103054899</v>
      </c>
      <c r="L533" s="7">
        <v>0</v>
      </c>
      <c r="M533" s="13">
        <v>0.51112664569813104</v>
      </c>
      <c r="N533" s="13">
        <v>-4.0723738539799301</v>
      </c>
      <c r="O533" s="7">
        <v>0</v>
      </c>
      <c r="P533" s="7" t="s">
        <v>160</v>
      </c>
      <c r="Q533" s="7" t="str">
        <f t="shared" si="8"/>
        <v>Yes</v>
      </c>
    </row>
    <row r="534" spans="1:17" ht="15" customHeight="1" x14ac:dyDescent="0.2">
      <c r="A534" s="7">
        <v>2020</v>
      </c>
      <c r="B534" s="7" t="s">
        <v>500</v>
      </c>
      <c r="C534" s="7">
        <v>4</v>
      </c>
      <c r="D534" s="7" t="s">
        <v>1138</v>
      </c>
      <c r="E534" s="7" t="s">
        <v>1139</v>
      </c>
      <c r="F534" s="8">
        <v>120802</v>
      </c>
      <c r="G534" s="8">
        <v>242621</v>
      </c>
      <c r="H534" s="8">
        <v>41517.22</v>
      </c>
      <c r="I534" s="8">
        <v>1051296.03</v>
      </c>
      <c r="J534" s="13">
        <v>0.33240053601450698</v>
      </c>
      <c r="K534" s="13">
        <v>3.7991138925154898E-2</v>
      </c>
      <c r="L534" s="7">
        <v>-1</v>
      </c>
      <c r="M534" s="13">
        <v>0.308817607044723</v>
      </c>
      <c r="N534" s="13">
        <v>2.3582928969783401</v>
      </c>
      <c r="O534" s="7">
        <v>1</v>
      </c>
      <c r="P534" s="7" t="s">
        <v>160</v>
      </c>
      <c r="Q534" s="7" t="str">
        <f t="shared" si="8"/>
        <v>Yes</v>
      </c>
    </row>
    <row r="535" spans="1:17" ht="15" customHeight="1" x14ac:dyDescent="0.2">
      <c r="A535" s="7">
        <v>2020</v>
      </c>
      <c r="B535" s="7" t="s">
        <v>500</v>
      </c>
      <c r="C535" s="7">
        <v>5</v>
      </c>
      <c r="D535" s="7" t="s">
        <v>1140</v>
      </c>
      <c r="E535" s="7" t="s">
        <v>1141</v>
      </c>
      <c r="F535" s="8">
        <v>196599</v>
      </c>
      <c r="G535" s="8">
        <v>150772</v>
      </c>
      <c r="H535" s="8">
        <v>1513572.34</v>
      </c>
      <c r="I535" s="8">
        <v>72722.44</v>
      </c>
      <c r="J535" s="13">
        <v>0.56596261633815204</v>
      </c>
      <c r="K535" s="13">
        <v>0.95415578433662895</v>
      </c>
      <c r="L535" s="7">
        <v>1</v>
      </c>
      <c r="M535" s="13">
        <v>0.69047599175437702</v>
      </c>
      <c r="N535" s="13">
        <v>-12.4513375416225</v>
      </c>
      <c r="O535" s="7">
        <v>1</v>
      </c>
      <c r="P535" s="7" t="s">
        <v>160</v>
      </c>
      <c r="Q535" s="7" t="str">
        <f t="shared" si="8"/>
        <v>Yes</v>
      </c>
    </row>
    <row r="536" spans="1:17" ht="15" customHeight="1" x14ac:dyDescent="0.2">
      <c r="A536" s="7">
        <v>2020</v>
      </c>
      <c r="B536" s="7" t="s">
        <v>500</v>
      </c>
      <c r="C536" s="7">
        <v>6</v>
      </c>
      <c r="D536" s="7" t="s">
        <v>1142</v>
      </c>
      <c r="E536" s="7" t="s">
        <v>508</v>
      </c>
      <c r="F536" s="8">
        <v>152085</v>
      </c>
      <c r="G536" s="8">
        <v>211496</v>
      </c>
      <c r="H536" s="8">
        <v>3733244.36</v>
      </c>
      <c r="I536" s="8">
        <v>5629346.3200000003</v>
      </c>
      <c r="J536" s="13">
        <v>0.41829743578459799</v>
      </c>
      <c r="K536" s="13">
        <v>0.39874052894086398</v>
      </c>
      <c r="L536" s="7">
        <v>-1</v>
      </c>
      <c r="M536" s="13">
        <v>0.42790517611045398</v>
      </c>
      <c r="N536" s="13">
        <v>-0.96077403258557603</v>
      </c>
      <c r="O536" s="7">
        <v>1</v>
      </c>
      <c r="P536" s="7" t="s">
        <v>160</v>
      </c>
      <c r="Q536" s="7" t="str">
        <f t="shared" si="8"/>
        <v>Yes</v>
      </c>
    </row>
    <row r="537" spans="1:17" ht="15" customHeight="1" x14ac:dyDescent="0.2">
      <c r="A537" s="7">
        <v>2020</v>
      </c>
      <c r="B537" s="7" t="s">
        <v>500</v>
      </c>
      <c r="C537" s="7">
        <v>7</v>
      </c>
      <c r="D537" s="7" t="s">
        <v>1143</v>
      </c>
      <c r="E537" s="7" t="s">
        <v>510</v>
      </c>
      <c r="F537" s="8">
        <v>159743</v>
      </c>
      <c r="G537" s="8">
        <v>227524</v>
      </c>
      <c r="H537" s="8">
        <v>1763184.73</v>
      </c>
      <c r="I537" s="8">
        <v>1609917.4399999999</v>
      </c>
      <c r="J537" s="13">
        <v>0.41248802505764798</v>
      </c>
      <c r="K537" s="13">
        <v>0.52271904055607099</v>
      </c>
      <c r="L537" s="7">
        <v>-1</v>
      </c>
      <c r="M537" s="13">
        <v>0.46883192463246698</v>
      </c>
      <c r="N537" s="13">
        <v>-5.6343899574819503</v>
      </c>
      <c r="O537" s="7">
        <v>1</v>
      </c>
      <c r="P537" s="7" t="s">
        <v>160</v>
      </c>
      <c r="Q537" s="7" t="str">
        <f t="shared" si="8"/>
        <v>Yes</v>
      </c>
    </row>
    <row r="538" spans="1:17" ht="15" customHeight="1" x14ac:dyDescent="0.2">
      <c r="A538" s="7">
        <v>2020</v>
      </c>
      <c r="B538" s="7" t="s">
        <v>500</v>
      </c>
      <c r="C538" s="7">
        <v>8</v>
      </c>
      <c r="D538" s="7" t="s">
        <v>511</v>
      </c>
      <c r="E538" s="7" t="s">
        <v>1144</v>
      </c>
      <c r="F538" s="8">
        <v>217922</v>
      </c>
      <c r="G538" s="8">
        <v>202525</v>
      </c>
      <c r="H538" s="8">
        <v>8604437.9199999999</v>
      </c>
      <c r="I538" s="8">
        <v>2275091.7999999998</v>
      </c>
      <c r="J538" s="13">
        <v>0.51831027454114298</v>
      </c>
      <c r="K538" s="13">
        <v>0.79088325887674504</v>
      </c>
      <c r="L538" s="7">
        <v>1</v>
      </c>
      <c r="M538" s="13">
        <v>0.63657783228307896</v>
      </c>
      <c r="N538" s="13">
        <v>-11.8267557741936</v>
      </c>
      <c r="O538" s="7">
        <v>1</v>
      </c>
      <c r="P538" s="7" t="s">
        <v>160</v>
      </c>
      <c r="Q538" s="7" t="str">
        <f t="shared" si="8"/>
        <v>Yes</v>
      </c>
    </row>
    <row r="539" spans="1:17" ht="15" customHeight="1" x14ac:dyDescent="0.2">
      <c r="A539" s="7">
        <v>2020</v>
      </c>
      <c r="B539" s="7" t="s">
        <v>500</v>
      </c>
      <c r="C539" s="7">
        <v>10</v>
      </c>
      <c r="D539" s="7" t="s">
        <v>515</v>
      </c>
      <c r="E539" s="7" t="s">
        <v>1145</v>
      </c>
      <c r="F539" s="8">
        <v>138179</v>
      </c>
      <c r="G539" s="8">
        <v>271607</v>
      </c>
      <c r="H539" s="8">
        <v>842346.48</v>
      </c>
      <c r="I539" s="8">
        <v>2561256.9</v>
      </c>
      <c r="J539" s="13">
        <v>0.33719795210182901</v>
      </c>
      <c r="K539" s="13">
        <v>0.247486673961406</v>
      </c>
      <c r="L539" s="7">
        <v>0</v>
      </c>
      <c r="M539" s="13">
        <v>0.41758540979018999</v>
      </c>
      <c r="N539" s="13">
        <v>-8.0387457688361206</v>
      </c>
      <c r="O539" s="7">
        <v>1</v>
      </c>
      <c r="P539" s="7" t="s">
        <v>160</v>
      </c>
      <c r="Q539" s="7" t="str">
        <f t="shared" si="8"/>
        <v>Yes</v>
      </c>
    </row>
    <row r="540" spans="1:17" ht="15" customHeight="1" x14ac:dyDescent="0.2">
      <c r="A540" s="7">
        <v>2020</v>
      </c>
      <c r="B540" s="7" t="s">
        <v>500</v>
      </c>
      <c r="C540" s="7">
        <v>11</v>
      </c>
      <c r="D540" s="7" t="s">
        <v>517</v>
      </c>
      <c r="E540" s="7" t="s">
        <v>1146</v>
      </c>
      <c r="F540" s="8">
        <v>226128</v>
      </c>
      <c r="G540" s="8">
        <v>215405</v>
      </c>
      <c r="H540" s="8">
        <v>7079146.8700000001</v>
      </c>
      <c r="I540" s="8">
        <v>4028915.91</v>
      </c>
      <c r="J540" s="13">
        <v>0.51214292023472796</v>
      </c>
      <c r="K540" s="13">
        <v>0.63729806089554697</v>
      </c>
      <c r="L540" s="7">
        <v>1</v>
      </c>
      <c r="M540" s="13">
        <v>0.58587757227359305</v>
      </c>
      <c r="N540" s="13">
        <v>-7.3734652038865098</v>
      </c>
      <c r="O540" s="7">
        <v>1</v>
      </c>
      <c r="P540" s="7" t="s">
        <v>160</v>
      </c>
      <c r="Q540" s="7" t="str">
        <f t="shared" si="8"/>
        <v>Yes</v>
      </c>
    </row>
    <row r="541" spans="1:17" ht="15" customHeight="1" x14ac:dyDescent="0.2">
      <c r="A541" s="7">
        <v>2020</v>
      </c>
      <c r="B541" s="7" t="s">
        <v>500</v>
      </c>
      <c r="C541" s="7">
        <v>12</v>
      </c>
      <c r="D541" s="7" t="s">
        <v>519</v>
      </c>
      <c r="E541" s="7" t="s">
        <v>520</v>
      </c>
      <c r="F541" s="8">
        <v>254957</v>
      </c>
      <c r="G541" s="8">
        <v>117719</v>
      </c>
      <c r="H541" s="8">
        <v>1699875.02</v>
      </c>
      <c r="I541" s="8">
        <v>9656.82</v>
      </c>
      <c r="J541" s="13">
        <v>0.68412508452382204</v>
      </c>
      <c r="K541" s="13">
        <v>0.99435119032354502</v>
      </c>
      <c r="L541" s="7">
        <v>1</v>
      </c>
      <c r="M541" s="13">
        <v>0.70374496273277098</v>
      </c>
      <c r="N541" s="13">
        <v>-1.96198782089491</v>
      </c>
      <c r="O541" s="7">
        <v>1</v>
      </c>
      <c r="P541" s="7" t="s">
        <v>160</v>
      </c>
      <c r="Q541" s="7" t="str">
        <f t="shared" si="8"/>
        <v>Yes</v>
      </c>
    </row>
    <row r="542" spans="1:17" ht="15" customHeight="1" x14ac:dyDescent="0.2">
      <c r="A542" s="7">
        <v>2020</v>
      </c>
      <c r="B542" s="7" t="s">
        <v>500</v>
      </c>
      <c r="C542" s="7">
        <v>13</v>
      </c>
      <c r="D542" s="7" t="s">
        <v>1147</v>
      </c>
      <c r="E542" s="7" t="s">
        <v>1148</v>
      </c>
      <c r="F542" s="8">
        <v>223205</v>
      </c>
      <c r="G542" s="8">
        <v>53311</v>
      </c>
      <c r="H542" s="8">
        <v>3865528.67</v>
      </c>
      <c r="I542" s="8">
        <v>18080.09</v>
      </c>
      <c r="J542" s="13">
        <v>0.80720464638574296</v>
      </c>
      <c r="K542" s="13">
        <v>0.99534451302452998</v>
      </c>
      <c r="L542" s="7">
        <v>1</v>
      </c>
      <c r="M542" s="13">
        <v>0.70407287010845099</v>
      </c>
      <c r="N542" s="13">
        <v>10.3131776277292</v>
      </c>
      <c r="O542" s="7">
        <v>1</v>
      </c>
      <c r="P542" s="7" t="s">
        <v>160</v>
      </c>
      <c r="Q542" s="7" t="str">
        <f t="shared" si="8"/>
        <v>Yes</v>
      </c>
    </row>
    <row r="543" spans="1:17" ht="15" customHeight="1" x14ac:dyDescent="0.2">
      <c r="A543" s="7">
        <v>2020</v>
      </c>
      <c r="B543" s="7" t="s">
        <v>500</v>
      </c>
      <c r="C543" s="7">
        <v>14</v>
      </c>
      <c r="D543" s="7" t="s">
        <v>521</v>
      </c>
      <c r="E543" s="7" t="s">
        <v>1149</v>
      </c>
      <c r="F543" s="8">
        <v>271370</v>
      </c>
      <c r="G543" s="8">
        <v>62664</v>
      </c>
      <c r="H543" s="8">
        <v>792475.49</v>
      </c>
      <c r="I543" s="8">
        <v>41973.26</v>
      </c>
      <c r="J543" s="13">
        <v>0.81240233030170605</v>
      </c>
      <c r="K543" s="13">
        <v>0.94969941533257696</v>
      </c>
      <c r="L543" s="7">
        <v>1</v>
      </c>
      <c r="M543" s="13">
        <v>0.68900489251972696</v>
      </c>
      <c r="N543" s="13">
        <v>12.3397437781978</v>
      </c>
      <c r="O543" s="7">
        <v>1</v>
      </c>
      <c r="P543" s="7" t="s">
        <v>160</v>
      </c>
      <c r="Q543" s="7" t="str">
        <f t="shared" si="8"/>
        <v>Yes</v>
      </c>
    </row>
    <row r="544" spans="1:17" ht="15" customHeight="1" x14ac:dyDescent="0.2">
      <c r="A544" s="7">
        <v>2020</v>
      </c>
      <c r="B544" s="7" t="s">
        <v>523</v>
      </c>
      <c r="C544" s="7">
        <v>1</v>
      </c>
      <c r="D544" s="7" t="s">
        <v>524</v>
      </c>
      <c r="E544" s="7" t="s">
        <v>525</v>
      </c>
      <c r="F544" s="8">
        <v>167890</v>
      </c>
      <c r="G544" s="8">
        <v>179234</v>
      </c>
      <c r="H544" s="8">
        <v>10924441.439999999</v>
      </c>
      <c r="I544" s="8">
        <v>6585885.1799999997</v>
      </c>
      <c r="J544" s="13">
        <v>0.48366001774582001</v>
      </c>
      <c r="K544" s="13">
        <v>0.62388564628613397</v>
      </c>
      <c r="L544" s="7">
        <v>-1</v>
      </c>
      <c r="M544" s="13">
        <v>0.50222819772526395</v>
      </c>
      <c r="N544" s="13">
        <v>-1.8568179979443999</v>
      </c>
      <c r="O544" s="7">
        <v>0</v>
      </c>
      <c r="P544" s="7" t="s">
        <v>160</v>
      </c>
      <c r="Q544" s="7" t="str">
        <f t="shared" si="8"/>
        <v>Yes</v>
      </c>
    </row>
    <row r="545" spans="1:17" ht="15" customHeight="1" x14ac:dyDescent="0.2">
      <c r="A545" s="7">
        <v>2020</v>
      </c>
      <c r="B545" s="7" t="s">
        <v>523</v>
      </c>
      <c r="C545" s="7">
        <v>2</v>
      </c>
      <c r="D545" s="7" t="s">
        <v>526</v>
      </c>
      <c r="E545" s="7" t="s">
        <v>1150</v>
      </c>
      <c r="F545" s="8">
        <v>204534</v>
      </c>
      <c r="G545" s="8">
        <v>194954</v>
      </c>
      <c r="H545" s="8">
        <v>5214383.3099999996</v>
      </c>
      <c r="I545" s="8">
        <v>3131549</v>
      </c>
      <c r="J545" s="13">
        <v>0.51199034764498597</v>
      </c>
      <c r="K545" s="13">
        <v>0.62478140443964403</v>
      </c>
      <c r="L545" s="7">
        <v>1</v>
      </c>
      <c r="M545" s="13">
        <v>0.58174567841204095</v>
      </c>
      <c r="N545" s="13">
        <v>-6.9755330767055401</v>
      </c>
      <c r="O545" s="7">
        <v>1</v>
      </c>
      <c r="P545" s="7" t="s">
        <v>160</v>
      </c>
      <c r="Q545" s="7" t="str">
        <f t="shared" si="8"/>
        <v>Yes</v>
      </c>
    </row>
    <row r="546" spans="1:17" ht="15" customHeight="1" x14ac:dyDescent="0.2">
      <c r="A546" s="7">
        <v>2020</v>
      </c>
      <c r="B546" s="7" t="s">
        <v>523</v>
      </c>
      <c r="C546" s="7">
        <v>3</v>
      </c>
      <c r="D546" s="7" t="s">
        <v>528</v>
      </c>
      <c r="E546" s="7" t="s">
        <v>1151</v>
      </c>
      <c r="F546" s="8">
        <v>246666</v>
      </c>
      <c r="G546" s="8">
        <v>196625</v>
      </c>
      <c r="H546" s="8">
        <v>2294795</v>
      </c>
      <c r="I546" s="8">
        <v>1845637.82</v>
      </c>
      <c r="J546" s="13">
        <v>0.55644260767757503</v>
      </c>
      <c r="K546" s="13">
        <v>0.55424036562438395</v>
      </c>
      <c r="L546" s="7">
        <v>1</v>
      </c>
      <c r="M546" s="13">
        <v>0.55845926112519595</v>
      </c>
      <c r="N546" s="13">
        <v>-0.20166534476206999</v>
      </c>
      <c r="O546" s="7">
        <v>1</v>
      </c>
      <c r="P546" s="7" t="s">
        <v>160</v>
      </c>
      <c r="Q546" s="7" t="str">
        <f t="shared" si="8"/>
        <v>Yes</v>
      </c>
    </row>
    <row r="547" spans="1:17" ht="15" customHeight="1" x14ac:dyDescent="0.2">
      <c r="A547" s="7">
        <v>2020</v>
      </c>
      <c r="B547" s="7" t="s">
        <v>523</v>
      </c>
      <c r="C547" s="7">
        <v>5</v>
      </c>
      <c r="D547" s="7" t="s">
        <v>532</v>
      </c>
      <c r="E547" s="7" t="s">
        <v>1152</v>
      </c>
      <c r="F547" s="8">
        <v>255924</v>
      </c>
      <c r="G547" s="8">
        <v>102878</v>
      </c>
      <c r="H547" s="8">
        <v>5947563.1200000001</v>
      </c>
      <c r="I547" s="8">
        <v>14605703.960000001</v>
      </c>
      <c r="J547" s="13">
        <v>0.71327361608909701</v>
      </c>
      <c r="K547" s="13">
        <v>0.28937312481028699</v>
      </c>
      <c r="L547" s="7">
        <v>1</v>
      </c>
      <c r="M547" s="13">
        <v>0.47102350459536502</v>
      </c>
      <c r="N547" s="13">
        <v>24.225011149373099</v>
      </c>
      <c r="O547" s="7">
        <v>0</v>
      </c>
      <c r="P547" s="7" t="s">
        <v>160</v>
      </c>
      <c r="Q547" s="7" t="str">
        <f t="shared" si="8"/>
        <v>Yes</v>
      </c>
    </row>
    <row r="548" spans="1:17" ht="15" customHeight="1" x14ac:dyDescent="0.2">
      <c r="A548" s="7">
        <v>2020</v>
      </c>
      <c r="B548" s="7" t="s">
        <v>523</v>
      </c>
      <c r="C548" s="7">
        <v>6</v>
      </c>
      <c r="D548" s="7" t="s">
        <v>1153</v>
      </c>
      <c r="E548" s="7" t="s">
        <v>535</v>
      </c>
      <c r="F548" s="8">
        <v>140853</v>
      </c>
      <c r="G548" s="8">
        <v>270901</v>
      </c>
      <c r="H548" s="8">
        <v>54842.46</v>
      </c>
      <c r="I548" s="8">
        <v>2586198.13</v>
      </c>
      <c r="J548" s="13">
        <v>0.342080465520675</v>
      </c>
      <c r="K548" s="13">
        <v>2.07654741118538E-2</v>
      </c>
      <c r="L548" s="7">
        <v>-1</v>
      </c>
      <c r="M548" s="13">
        <v>0.303131214759852</v>
      </c>
      <c r="N548" s="13">
        <v>3.89492507608225</v>
      </c>
      <c r="O548" s="7">
        <v>1</v>
      </c>
      <c r="P548" s="7" t="s">
        <v>160</v>
      </c>
      <c r="Q548" s="7" t="str">
        <f t="shared" si="8"/>
        <v>Yes</v>
      </c>
    </row>
    <row r="549" spans="1:17" ht="15" customHeight="1" x14ac:dyDescent="0.2">
      <c r="A549" s="7">
        <v>2020</v>
      </c>
      <c r="B549" s="7" t="s">
        <v>523</v>
      </c>
      <c r="C549" s="7">
        <v>7</v>
      </c>
      <c r="D549" s="7" t="s">
        <v>536</v>
      </c>
      <c r="E549" s="7" t="s">
        <v>1154</v>
      </c>
      <c r="F549" s="8">
        <v>144840</v>
      </c>
      <c r="G549" s="8">
        <v>194066</v>
      </c>
      <c r="H549" s="8">
        <v>8521206.2200000007</v>
      </c>
      <c r="I549" s="8">
        <v>10889909.73</v>
      </c>
      <c r="J549" s="13">
        <v>0.42737514236986102</v>
      </c>
      <c r="K549" s="13">
        <v>0.43898590075652</v>
      </c>
      <c r="L549" s="7">
        <v>1</v>
      </c>
      <c r="M549" s="13">
        <v>0.52041242189287495</v>
      </c>
      <c r="N549" s="13">
        <v>-9.30372795230139</v>
      </c>
      <c r="O549" s="7">
        <v>0</v>
      </c>
      <c r="P549" s="7" t="s">
        <v>160</v>
      </c>
      <c r="Q549" s="7" t="str">
        <f t="shared" si="8"/>
        <v>Yes</v>
      </c>
    </row>
    <row r="550" spans="1:17" ht="15" customHeight="1" x14ac:dyDescent="0.2">
      <c r="A550" s="7">
        <v>2020</v>
      </c>
      <c r="B550" s="7" t="s">
        <v>523</v>
      </c>
      <c r="C550" s="7">
        <v>8</v>
      </c>
      <c r="D550" s="7" t="s">
        <v>1155</v>
      </c>
      <c r="E550" s="7" t="s">
        <v>539</v>
      </c>
      <c r="F550" s="8">
        <v>147853</v>
      </c>
      <c r="G550" s="8">
        <v>223432</v>
      </c>
      <c r="H550" s="8">
        <v>1565627.24</v>
      </c>
      <c r="I550" s="8">
        <v>2628767.04</v>
      </c>
      <c r="J550" s="13">
        <v>0.39821969645959299</v>
      </c>
      <c r="K550" s="13">
        <v>0.37326658761321801</v>
      </c>
      <c r="L550" s="7">
        <v>-1</v>
      </c>
      <c r="M550" s="13">
        <v>0.41949593182288802</v>
      </c>
      <c r="N550" s="13">
        <v>-2.1276235363295299</v>
      </c>
      <c r="O550" s="7">
        <v>1</v>
      </c>
      <c r="P550" s="7" t="s">
        <v>160</v>
      </c>
      <c r="Q550" s="7" t="str">
        <f t="shared" si="8"/>
        <v>Yes</v>
      </c>
    </row>
    <row r="551" spans="1:17" ht="15" customHeight="1" x14ac:dyDescent="0.2">
      <c r="A551" s="7">
        <v>2020</v>
      </c>
      <c r="B551" s="7" t="s">
        <v>540</v>
      </c>
      <c r="C551" s="7">
        <v>1</v>
      </c>
      <c r="D551" s="7" t="s">
        <v>1156</v>
      </c>
      <c r="E551" s="7" t="s">
        <v>1157</v>
      </c>
      <c r="F551" s="8">
        <v>249087</v>
      </c>
      <c r="G551" s="8">
        <v>59940</v>
      </c>
      <c r="H551" s="8">
        <v>1505368.64</v>
      </c>
      <c r="I551" s="8">
        <v>20849.12</v>
      </c>
      <c r="J551" s="13">
        <v>0.80603636575444904</v>
      </c>
      <c r="K551" s="13">
        <v>0.98633935435268405</v>
      </c>
      <c r="L551" s="7">
        <v>0</v>
      </c>
      <c r="M551" s="13">
        <v>0.661489272251788</v>
      </c>
      <c r="N551" s="13">
        <v>14.4547093502661</v>
      </c>
      <c r="O551" s="7">
        <v>1</v>
      </c>
      <c r="P551" s="7" t="s">
        <v>160</v>
      </c>
      <c r="Q551" s="7" t="str">
        <f t="shared" si="8"/>
        <v>Yes</v>
      </c>
    </row>
    <row r="552" spans="1:17" ht="15" customHeight="1" x14ac:dyDescent="0.2">
      <c r="A552" s="7">
        <v>2020</v>
      </c>
      <c r="B552" s="7" t="s">
        <v>540</v>
      </c>
      <c r="C552" s="7">
        <v>2</v>
      </c>
      <c r="D552" s="7" t="s">
        <v>1158</v>
      </c>
      <c r="E552" s="7" t="s">
        <v>544</v>
      </c>
      <c r="F552" s="8">
        <v>204540</v>
      </c>
      <c r="G552" s="8">
        <v>233157</v>
      </c>
      <c r="H552" s="8">
        <v>10425402.5</v>
      </c>
      <c r="I552" s="8">
        <v>12151897.380000001</v>
      </c>
      <c r="J552" s="13">
        <v>0.46730957717325</v>
      </c>
      <c r="K552" s="13">
        <v>0.46176480604021602</v>
      </c>
      <c r="L552" s="7">
        <v>-1</v>
      </c>
      <c r="M552" s="13">
        <v>0.448710222936895</v>
      </c>
      <c r="N552" s="13">
        <v>1.8599354236354799</v>
      </c>
      <c r="O552" s="7">
        <v>1</v>
      </c>
      <c r="P552" s="7" t="s">
        <v>160</v>
      </c>
      <c r="Q552" s="7" t="str">
        <f t="shared" si="8"/>
        <v>Yes</v>
      </c>
    </row>
    <row r="553" spans="1:17" ht="15" customHeight="1" x14ac:dyDescent="0.2">
      <c r="A553" s="7">
        <v>2020</v>
      </c>
      <c r="B553" s="7" t="s">
        <v>540</v>
      </c>
      <c r="C553" s="7">
        <v>4</v>
      </c>
      <c r="D553" s="7" t="s">
        <v>1159</v>
      </c>
      <c r="E553" s="7" t="s">
        <v>548</v>
      </c>
      <c r="F553" s="8">
        <v>107635</v>
      </c>
      <c r="G553" s="8">
        <v>245247</v>
      </c>
      <c r="H553" s="8">
        <v>392002.41</v>
      </c>
      <c r="I553" s="8">
        <v>1343412.65</v>
      </c>
      <c r="J553" s="13">
        <v>0.30501697451272702</v>
      </c>
      <c r="K553" s="13">
        <v>0.22588395078235601</v>
      </c>
      <c r="L553" s="7">
        <v>-1</v>
      </c>
      <c r="M553" s="13">
        <v>0.37084320938330101</v>
      </c>
      <c r="N553" s="13">
        <v>-6.5826234870574298</v>
      </c>
      <c r="O553" s="7">
        <v>1</v>
      </c>
      <c r="P553" s="7" t="s">
        <v>160</v>
      </c>
      <c r="Q553" s="7" t="str">
        <f t="shared" si="8"/>
        <v>Yes</v>
      </c>
    </row>
    <row r="554" spans="1:17" ht="15" customHeight="1" x14ac:dyDescent="0.2">
      <c r="A554" s="7">
        <v>2020</v>
      </c>
      <c r="B554" s="7" t="s">
        <v>540</v>
      </c>
      <c r="C554" s="7">
        <v>5</v>
      </c>
      <c r="D554" s="7" t="s">
        <v>549</v>
      </c>
      <c r="E554" s="7" t="s">
        <v>1160</v>
      </c>
      <c r="F554" s="8">
        <v>207180</v>
      </c>
      <c r="G554" s="8">
        <v>135934</v>
      </c>
      <c r="H554" s="8">
        <v>953773.15</v>
      </c>
      <c r="I554" s="8">
        <v>76947.69</v>
      </c>
      <c r="J554" s="13">
        <v>0.60382263620837395</v>
      </c>
      <c r="K554" s="13">
        <v>0.92534575123173002</v>
      </c>
      <c r="L554" s="7">
        <v>1</v>
      </c>
      <c r="M554" s="13">
        <v>0.68096546477326103</v>
      </c>
      <c r="N554" s="13">
        <v>-7.7142828564886798</v>
      </c>
      <c r="O554" s="7">
        <v>1</v>
      </c>
      <c r="P554" s="7" t="s">
        <v>160</v>
      </c>
      <c r="Q554" s="7" t="str">
        <f t="shared" si="8"/>
        <v>Yes</v>
      </c>
    </row>
    <row r="555" spans="1:17" ht="15" customHeight="1" x14ac:dyDescent="0.2">
      <c r="A555" s="7">
        <v>2020</v>
      </c>
      <c r="B555" s="7" t="s">
        <v>540</v>
      </c>
      <c r="C555" s="7">
        <v>6</v>
      </c>
      <c r="D555" s="7" t="s">
        <v>1161</v>
      </c>
      <c r="E555" s="7" t="s">
        <v>552</v>
      </c>
      <c r="F555" s="8">
        <v>118926</v>
      </c>
      <c r="G555" s="8">
        <v>258709</v>
      </c>
      <c r="H555" s="8">
        <v>10530.02</v>
      </c>
      <c r="I555" s="8">
        <v>1655961.71</v>
      </c>
      <c r="J555" s="13">
        <v>0.31492314006911398</v>
      </c>
      <c r="K555" s="13">
        <v>6.31867522078853E-3</v>
      </c>
      <c r="L555" s="7">
        <v>-1</v>
      </c>
      <c r="M555" s="13">
        <v>0.29836215843340003</v>
      </c>
      <c r="N555" s="13">
        <v>1.65609816357148</v>
      </c>
      <c r="O555" s="7">
        <v>1</v>
      </c>
      <c r="P555" s="7" t="s">
        <v>160</v>
      </c>
      <c r="Q555" s="7" t="str">
        <f t="shared" si="8"/>
        <v>Yes</v>
      </c>
    </row>
    <row r="556" spans="1:17" ht="15" customHeight="1" x14ac:dyDescent="0.2">
      <c r="A556" s="7">
        <v>2020</v>
      </c>
      <c r="B556" s="7" t="s">
        <v>540</v>
      </c>
      <c r="C556" s="7">
        <v>8</v>
      </c>
      <c r="D556" s="7" t="s">
        <v>555</v>
      </c>
      <c r="E556" s="7" t="s">
        <v>556</v>
      </c>
      <c r="F556" s="8">
        <v>70561</v>
      </c>
      <c r="G556" s="8">
        <v>253811</v>
      </c>
      <c r="H556" s="8">
        <v>307265.73</v>
      </c>
      <c r="I556" s="8">
        <v>1516961.3</v>
      </c>
      <c r="J556" s="13">
        <v>0.21753110626071301</v>
      </c>
      <c r="K556" s="13">
        <v>0.16843612387434001</v>
      </c>
      <c r="L556" s="7">
        <v>-1</v>
      </c>
      <c r="M556" s="13">
        <v>0.35187901361768498</v>
      </c>
      <c r="N556" s="13">
        <v>-13.434790735697201</v>
      </c>
      <c r="O556" s="7">
        <v>1</v>
      </c>
      <c r="P556" s="7" t="s">
        <v>160</v>
      </c>
      <c r="Q556" s="7" t="str">
        <f t="shared" si="8"/>
        <v>Yes</v>
      </c>
    </row>
    <row r="557" spans="1:17" ht="15" customHeight="1" x14ac:dyDescent="0.2">
      <c r="A557" s="7">
        <v>2020</v>
      </c>
      <c r="B557" s="7" t="s">
        <v>557</v>
      </c>
      <c r="C557" s="7">
        <v>1</v>
      </c>
      <c r="D557" s="7" t="s">
        <v>1162</v>
      </c>
      <c r="E557" s="7" t="s">
        <v>559</v>
      </c>
      <c r="F557" s="8">
        <v>104008</v>
      </c>
      <c r="G557" s="8">
        <v>228787</v>
      </c>
      <c r="H557" s="8">
        <v>18424.09</v>
      </c>
      <c r="I557" s="8">
        <v>837435.66</v>
      </c>
      <c r="J557" s="13">
        <v>0.31252873390525698</v>
      </c>
      <c r="K557" s="13">
        <v>2.1526996683743999E-2</v>
      </c>
      <c r="L557" s="7">
        <v>-1</v>
      </c>
      <c r="M557" s="13">
        <v>0.30338260221714303</v>
      </c>
      <c r="N557" s="13">
        <v>0.91461316881141796</v>
      </c>
      <c r="O557" s="7">
        <v>1</v>
      </c>
      <c r="P557" s="7" t="s">
        <v>160</v>
      </c>
      <c r="Q557" s="7" t="str">
        <f t="shared" si="8"/>
        <v>Yes</v>
      </c>
    </row>
    <row r="558" spans="1:17" ht="15" customHeight="1" x14ac:dyDescent="0.2">
      <c r="A558" s="7">
        <v>2020</v>
      </c>
      <c r="B558" s="7" t="s">
        <v>557</v>
      </c>
      <c r="C558" s="7">
        <v>2</v>
      </c>
      <c r="D558" s="7" t="s">
        <v>1163</v>
      </c>
      <c r="E558" s="7" t="s">
        <v>1164</v>
      </c>
      <c r="F558" s="8">
        <v>196224</v>
      </c>
      <c r="G558" s="8">
        <v>101010</v>
      </c>
      <c r="H558" s="8">
        <v>1099473.8700000001</v>
      </c>
      <c r="I558" s="8">
        <v>18074.46</v>
      </c>
      <c r="J558" s="13">
        <v>0.66016673731807296</v>
      </c>
      <c r="K558" s="13">
        <v>0.98382668604587298</v>
      </c>
      <c r="L558" s="7">
        <v>1</v>
      </c>
      <c r="M558" s="13">
        <v>0.70027070147346604</v>
      </c>
      <c r="N558" s="13">
        <v>-4.0103964155392902</v>
      </c>
      <c r="O558" s="7">
        <v>1</v>
      </c>
      <c r="P558" s="7" t="s">
        <v>160</v>
      </c>
      <c r="Q558" s="7" t="str">
        <f t="shared" si="8"/>
        <v>Yes</v>
      </c>
    </row>
    <row r="559" spans="1:17" ht="15" customHeight="1" x14ac:dyDescent="0.2">
      <c r="A559" s="7">
        <v>2020</v>
      </c>
      <c r="B559" s="7" t="s">
        <v>562</v>
      </c>
      <c r="C559" s="7">
        <v>0</v>
      </c>
      <c r="D559" s="7" t="s">
        <v>563</v>
      </c>
      <c r="E559" s="7" t="s">
        <v>1165</v>
      </c>
      <c r="F559" s="8">
        <v>262340</v>
      </c>
      <c r="G559" s="8">
        <v>339169</v>
      </c>
      <c r="H559" s="8">
        <v>10744064.74</v>
      </c>
      <c r="I559" s="8">
        <v>8717689.7699999996</v>
      </c>
      <c r="J559" s="13">
        <v>0.43613645016117802</v>
      </c>
      <c r="K559" s="13">
        <v>0.55206043907703195</v>
      </c>
      <c r="L559" s="7">
        <v>0</v>
      </c>
      <c r="M559" s="13">
        <v>0.51812875176850204</v>
      </c>
      <c r="N559" s="13">
        <v>-8.1992301607323608</v>
      </c>
      <c r="O559" s="7">
        <v>0</v>
      </c>
      <c r="P559" s="7" t="s">
        <v>160</v>
      </c>
      <c r="Q559" s="7" t="str">
        <f t="shared" si="8"/>
        <v>Yes</v>
      </c>
    </row>
    <row r="560" spans="1:17" ht="15" customHeight="1" x14ac:dyDescent="0.2">
      <c r="A560" s="7">
        <v>2020</v>
      </c>
      <c r="B560" s="7" t="s">
        <v>565</v>
      </c>
      <c r="C560" s="7">
        <v>1</v>
      </c>
      <c r="D560" s="7" t="s">
        <v>1166</v>
      </c>
      <c r="E560" s="7" t="s">
        <v>1167</v>
      </c>
      <c r="F560" s="8">
        <v>188870</v>
      </c>
      <c r="G560" s="8">
        <v>159748</v>
      </c>
      <c r="H560" s="8">
        <v>887890.2</v>
      </c>
      <c r="I560" s="8">
        <v>1683098.91</v>
      </c>
      <c r="J560" s="13">
        <v>0.54176778020641503</v>
      </c>
      <c r="K560" s="13">
        <v>0.345349654164813</v>
      </c>
      <c r="L560" s="7">
        <v>1</v>
      </c>
      <c r="M560" s="13">
        <v>0.48950200792776699</v>
      </c>
      <c r="N560" s="13">
        <v>5.2265772278648299</v>
      </c>
      <c r="O560" s="7">
        <v>0</v>
      </c>
      <c r="P560" s="7" t="s">
        <v>160</v>
      </c>
      <c r="Q560" s="7" t="str">
        <f t="shared" si="8"/>
        <v>Yes</v>
      </c>
    </row>
    <row r="561" spans="1:17" ht="15" customHeight="1" x14ac:dyDescent="0.2">
      <c r="A561" s="7">
        <v>2020</v>
      </c>
      <c r="B561" s="7" t="s">
        <v>565</v>
      </c>
      <c r="C561" s="7">
        <v>2</v>
      </c>
      <c r="D561" s="7" t="s">
        <v>1168</v>
      </c>
      <c r="E561" s="7" t="s">
        <v>1169</v>
      </c>
      <c r="F561" s="8">
        <v>311887</v>
      </c>
      <c r="G561" s="8">
        <v>172544</v>
      </c>
      <c r="H561" s="8">
        <v>1840379.99</v>
      </c>
      <c r="I561" s="8">
        <v>119441.48</v>
      </c>
      <c r="J561" s="13">
        <v>0.64382130788492098</v>
      </c>
      <c r="K561" s="13">
        <v>0.93905491809924901</v>
      </c>
      <c r="L561" s="7">
        <v>0</v>
      </c>
      <c r="M561" s="13">
        <v>0.64588012993883803</v>
      </c>
      <c r="N561" s="13">
        <v>-0.20588220539170499</v>
      </c>
      <c r="O561" s="7">
        <v>1</v>
      </c>
      <c r="P561" s="7" t="s">
        <v>160</v>
      </c>
      <c r="Q561" s="7" t="str">
        <f t="shared" si="8"/>
        <v>Yes</v>
      </c>
    </row>
    <row r="562" spans="1:17" ht="15" customHeight="1" x14ac:dyDescent="0.2">
      <c r="A562" s="7">
        <v>2020</v>
      </c>
      <c r="B562" s="7" t="s">
        <v>565</v>
      </c>
      <c r="C562" s="7">
        <v>5</v>
      </c>
      <c r="D562" s="7" t="s">
        <v>582</v>
      </c>
      <c r="E562" s="7" t="s">
        <v>573</v>
      </c>
      <c r="F562" s="8">
        <v>119846</v>
      </c>
      <c r="G562" s="8">
        <v>257843</v>
      </c>
      <c r="H562" s="8">
        <v>60667.5</v>
      </c>
      <c r="I562" s="8">
        <v>1973237.27</v>
      </c>
      <c r="J562" s="13">
        <v>0.31731398055013499</v>
      </c>
      <c r="K562" s="13">
        <v>2.9828092688921701E-2</v>
      </c>
      <c r="L562" s="7">
        <v>-1</v>
      </c>
      <c r="M562" s="13">
        <v>0.30612289054803898</v>
      </c>
      <c r="N562" s="13">
        <v>1.11910900020965</v>
      </c>
      <c r="O562" s="7">
        <v>1</v>
      </c>
      <c r="P562" s="7" t="s">
        <v>160</v>
      </c>
      <c r="Q562" s="7" t="str">
        <f t="shared" si="8"/>
        <v>Yes</v>
      </c>
    </row>
    <row r="563" spans="1:17" ht="15" customHeight="1" x14ac:dyDescent="0.2">
      <c r="A563" s="7">
        <v>2020</v>
      </c>
      <c r="B563" s="7" t="s">
        <v>565</v>
      </c>
      <c r="C563" s="7">
        <v>6</v>
      </c>
      <c r="D563" s="7" t="s">
        <v>586</v>
      </c>
      <c r="E563" s="7" t="s">
        <v>1170</v>
      </c>
      <c r="F563" s="8">
        <v>253531</v>
      </c>
      <c r="G563" s="8">
        <v>153598</v>
      </c>
      <c r="H563" s="8">
        <v>1771576.68</v>
      </c>
      <c r="I563" s="8">
        <v>58341.56</v>
      </c>
      <c r="J563" s="13">
        <v>0.62272891393145702</v>
      </c>
      <c r="K563" s="13">
        <v>0.96811794170651</v>
      </c>
      <c r="L563" s="7">
        <v>0</v>
      </c>
      <c r="M563" s="13">
        <v>0.65547417202699698</v>
      </c>
      <c r="N563" s="13">
        <v>-3.2745258095540901</v>
      </c>
      <c r="O563" s="7">
        <v>1</v>
      </c>
      <c r="P563" s="7" t="s">
        <v>160</v>
      </c>
      <c r="Q563" s="7" t="str">
        <f t="shared" si="8"/>
        <v>Yes</v>
      </c>
    </row>
    <row r="564" spans="1:17" ht="15" customHeight="1" x14ac:dyDescent="0.2">
      <c r="A564" s="7">
        <v>2020</v>
      </c>
      <c r="B564" s="7" t="s">
        <v>565</v>
      </c>
      <c r="C564" s="7">
        <v>7</v>
      </c>
      <c r="D564" s="7" t="s">
        <v>1171</v>
      </c>
      <c r="E564" s="7" t="s">
        <v>577</v>
      </c>
      <c r="F564" s="8">
        <v>179045</v>
      </c>
      <c r="G564" s="8">
        <v>272443</v>
      </c>
      <c r="H564" s="8">
        <v>4138.0600000000004</v>
      </c>
      <c r="I564" s="8">
        <v>1060989.2</v>
      </c>
      <c r="J564" s="13">
        <v>0.39656646466794199</v>
      </c>
      <c r="K564" s="13">
        <v>3.8850381127227898E-3</v>
      </c>
      <c r="L564" s="7">
        <v>-1</v>
      </c>
      <c r="M564" s="13">
        <v>0.29755878652146101</v>
      </c>
      <c r="N564" s="13">
        <v>9.9007678146481801</v>
      </c>
      <c r="O564" s="7">
        <v>1</v>
      </c>
      <c r="P564" s="7" t="s">
        <v>160</v>
      </c>
      <c r="Q564" s="7" t="str">
        <f t="shared" si="8"/>
        <v>Yes</v>
      </c>
    </row>
    <row r="565" spans="1:17" ht="15" customHeight="1" x14ac:dyDescent="0.2">
      <c r="A565" s="7">
        <v>2020</v>
      </c>
      <c r="B565" s="7" t="s">
        <v>565</v>
      </c>
      <c r="C565" s="7">
        <v>8</v>
      </c>
      <c r="D565" s="7" t="s">
        <v>1172</v>
      </c>
      <c r="E565" s="7" t="s">
        <v>579</v>
      </c>
      <c r="F565" s="8">
        <v>177781</v>
      </c>
      <c r="G565" s="8">
        <v>202774</v>
      </c>
      <c r="H565" s="8">
        <v>6526161.96</v>
      </c>
      <c r="I565" s="8">
        <v>8324558.2400000002</v>
      </c>
      <c r="J565" s="13">
        <v>0.46716243381377198</v>
      </c>
      <c r="K565" s="13">
        <v>0.43945087323105098</v>
      </c>
      <c r="L565" s="7">
        <v>-1</v>
      </c>
      <c r="M565" s="13">
        <v>0.44134413421135699</v>
      </c>
      <c r="N565" s="13">
        <v>2.5818299602415302</v>
      </c>
      <c r="O565" s="7">
        <v>1</v>
      </c>
      <c r="P565" s="7" t="s">
        <v>160</v>
      </c>
      <c r="Q565" s="7" t="str">
        <f t="shared" si="8"/>
        <v>Yes</v>
      </c>
    </row>
    <row r="566" spans="1:17" ht="15" customHeight="1" x14ac:dyDescent="0.2">
      <c r="A566" s="7">
        <v>2020</v>
      </c>
      <c r="B566" s="7" t="s">
        <v>565</v>
      </c>
      <c r="C566" s="7">
        <v>9</v>
      </c>
      <c r="D566" s="7" t="s">
        <v>1173</v>
      </c>
      <c r="E566" s="7" t="s">
        <v>1174</v>
      </c>
      <c r="F566" s="8">
        <v>179463</v>
      </c>
      <c r="G566" s="8">
        <v>224661</v>
      </c>
      <c r="H566" s="8">
        <v>2398699.2400000002</v>
      </c>
      <c r="I566" s="8">
        <v>5982931.4299999997</v>
      </c>
      <c r="J566" s="13">
        <v>0.44407904504557999</v>
      </c>
      <c r="K566" s="13">
        <v>0.28618527043735797</v>
      </c>
      <c r="L566" s="7">
        <v>-1</v>
      </c>
      <c r="M566" s="13">
        <v>0.390749376290075</v>
      </c>
      <c r="N566" s="13">
        <v>5.3329668755504898</v>
      </c>
      <c r="O566" s="7">
        <v>1</v>
      </c>
      <c r="P566" s="7" t="s">
        <v>160</v>
      </c>
      <c r="Q566" s="7" t="str">
        <f t="shared" si="8"/>
        <v>Yes</v>
      </c>
    </row>
    <row r="567" spans="1:17" ht="15" customHeight="1" x14ac:dyDescent="0.2">
      <c r="A567" s="7">
        <v>2020</v>
      </c>
      <c r="B567" s="7" t="s">
        <v>565</v>
      </c>
      <c r="C567" s="7">
        <v>10</v>
      </c>
      <c r="D567" s="7" t="s">
        <v>1175</v>
      </c>
      <c r="E567" s="7" t="s">
        <v>583</v>
      </c>
      <c r="F567" s="8">
        <v>128189</v>
      </c>
      <c r="G567" s="8">
        <v>284095</v>
      </c>
      <c r="H567" s="8">
        <v>32121.46</v>
      </c>
      <c r="I567" s="8">
        <v>2361106.98</v>
      </c>
      <c r="J567" s="13">
        <v>0.31092402324611201</v>
      </c>
      <c r="K567" s="13">
        <v>1.3421811082940299E-2</v>
      </c>
      <c r="L567" s="7">
        <v>-1</v>
      </c>
      <c r="M567" s="13">
        <v>0.30070698618911801</v>
      </c>
      <c r="N567" s="13">
        <v>1.02170370569941</v>
      </c>
      <c r="O567" s="7">
        <v>1</v>
      </c>
      <c r="P567" s="7" t="s">
        <v>160</v>
      </c>
      <c r="Q567" s="7" t="str">
        <f t="shared" si="8"/>
        <v>Yes</v>
      </c>
    </row>
    <row r="568" spans="1:17" ht="15" customHeight="1" x14ac:dyDescent="0.2">
      <c r="A568" s="7">
        <v>2020</v>
      </c>
      <c r="B568" s="7" t="s">
        <v>565</v>
      </c>
      <c r="C568" s="7">
        <v>11</v>
      </c>
      <c r="D568" s="7" t="s">
        <v>1176</v>
      </c>
      <c r="E568" s="7" t="s">
        <v>1177</v>
      </c>
      <c r="F568" s="8">
        <v>190609</v>
      </c>
      <c r="G568" s="8">
        <v>245351</v>
      </c>
      <c r="H568" s="8">
        <v>2663054.02</v>
      </c>
      <c r="I568" s="8">
        <v>7218824.8899999997</v>
      </c>
      <c r="J568" s="13">
        <v>0.43721671713001198</v>
      </c>
      <c r="K568" s="13">
        <v>0.269488631084632</v>
      </c>
      <c r="L568" s="7">
        <v>0</v>
      </c>
      <c r="M568" s="13">
        <v>0.42484851171360399</v>
      </c>
      <c r="N568" s="13">
        <v>1.23682054164082</v>
      </c>
      <c r="O568" s="7">
        <v>1</v>
      </c>
      <c r="P568" s="7" t="s">
        <v>160</v>
      </c>
      <c r="Q568" s="7" t="str">
        <f t="shared" si="8"/>
        <v>Yes</v>
      </c>
    </row>
    <row r="569" spans="1:17" ht="15" customHeight="1" x14ac:dyDescent="0.2">
      <c r="A569" s="7">
        <v>2020</v>
      </c>
      <c r="B569" s="7" t="s">
        <v>565</v>
      </c>
      <c r="C569" s="7">
        <v>13</v>
      </c>
      <c r="D569" s="7" t="s">
        <v>1178</v>
      </c>
      <c r="E569" s="7" t="s">
        <v>587</v>
      </c>
      <c r="F569" s="8">
        <v>124684</v>
      </c>
      <c r="G569" s="8">
        <v>267181</v>
      </c>
      <c r="H569" s="8">
        <v>190966.87</v>
      </c>
      <c r="I569" s="8">
        <v>1538077.3</v>
      </c>
      <c r="J569" s="13">
        <v>0.31818100621387502</v>
      </c>
      <c r="K569" s="13">
        <v>0.110446495996687</v>
      </c>
      <c r="L569" s="7">
        <v>-1</v>
      </c>
      <c r="M569" s="13">
        <v>0.33273596305098702</v>
      </c>
      <c r="N569" s="13">
        <v>-1.4554956837112401</v>
      </c>
      <c r="O569" s="7">
        <v>1</v>
      </c>
      <c r="P569" s="7" t="s">
        <v>160</v>
      </c>
      <c r="Q569" s="7" t="str">
        <f t="shared" si="8"/>
        <v>Yes</v>
      </c>
    </row>
    <row r="570" spans="1:17" ht="15" customHeight="1" x14ac:dyDescent="0.2">
      <c r="A570" s="7">
        <v>2020</v>
      </c>
      <c r="B570" s="7" t="s">
        <v>588</v>
      </c>
      <c r="C570" s="7">
        <v>0</v>
      </c>
      <c r="D570" s="7" t="s">
        <v>1179</v>
      </c>
      <c r="E570" s="7" t="s">
        <v>590</v>
      </c>
      <c r="F570" s="8">
        <v>98089</v>
      </c>
      <c r="G570" s="8">
        <v>245394</v>
      </c>
      <c r="H570" s="8">
        <v>27059.58</v>
      </c>
      <c r="I570" s="8">
        <v>1084623.3999999999</v>
      </c>
      <c r="J570" s="13">
        <v>0.28557162945473302</v>
      </c>
      <c r="K570" s="13">
        <v>2.4341094077018299E-2</v>
      </c>
      <c r="L570" s="7">
        <v>-1</v>
      </c>
      <c r="M570" s="13">
        <v>0.30431156849388302</v>
      </c>
      <c r="N570" s="13">
        <v>-1.87399390391503</v>
      </c>
      <c r="O570" s="7">
        <v>1</v>
      </c>
      <c r="P570" s="7" t="s">
        <v>160</v>
      </c>
      <c r="Q570" s="7" t="str">
        <f t="shared" si="8"/>
        <v>Yes</v>
      </c>
    </row>
    <row r="571" spans="1:17" ht="15" customHeight="1" x14ac:dyDescent="0.2">
      <c r="A571" s="7">
        <v>2020</v>
      </c>
      <c r="B571" s="7" t="s">
        <v>591</v>
      </c>
      <c r="C571" s="7">
        <v>1</v>
      </c>
      <c r="D571" s="7" t="s">
        <v>1180</v>
      </c>
      <c r="E571" s="7" t="s">
        <v>593</v>
      </c>
      <c r="F571" s="8">
        <v>119622</v>
      </c>
      <c r="G571" s="8">
        <v>189006</v>
      </c>
      <c r="H571" s="8">
        <v>1145896.56</v>
      </c>
      <c r="I571" s="8">
        <v>2465446.06</v>
      </c>
      <c r="J571" s="13">
        <v>0.387592830203352</v>
      </c>
      <c r="K571" s="13">
        <v>0.31730485876745801</v>
      </c>
      <c r="L571" s="7">
        <v>-1</v>
      </c>
      <c r="M571" s="13">
        <v>0.40102231431055702</v>
      </c>
      <c r="N571" s="13">
        <v>-1.3429484107205001</v>
      </c>
      <c r="O571" s="7">
        <v>1</v>
      </c>
      <c r="P571" s="7" t="s">
        <v>160</v>
      </c>
      <c r="Q571" s="7" t="str">
        <f t="shared" si="8"/>
        <v>Yes</v>
      </c>
    </row>
    <row r="572" spans="1:17" ht="15" customHeight="1" x14ac:dyDescent="0.2">
      <c r="A572" s="7">
        <v>2020</v>
      </c>
      <c r="B572" s="7" t="s">
        <v>591</v>
      </c>
      <c r="C572" s="7">
        <v>2</v>
      </c>
      <c r="D572" s="7" t="s">
        <v>594</v>
      </c>
      <c r="E572" s="7" t="s">
        <v>1181</v>
      </c>
      <c r="F572" s="8">
        <v>155706</v>
      </c>
      <c r="G572" s="8">
        <v>171071</v>
      </c>
      <c r="H572" s="8">
        <v>10444805.26</v>
      </c>
      <c r="I572" s="8">
        <v>11190369.9</v>
      </c>
      <c r="J572" s="13">
        <v>0.47649008345140598</v>
      </c>
      <c r="K572" s="13">
        <v>0.48276961858440498</v>
      </c>
      <c r="L572" s="7">
        <v>-1</v>
      </c>
      <c r="M572" s="13">
        <v>0.45564415583823697</v>
      </c>
      <c r="N572" s="13">
        <v>2.0845927613168902</v>
      </c>
      <c r="O572" s="7">
        <v>1</v>
      </c>
      <c r="P572" s="7" t="s">
        <v>160</v>
      </c>
      <c r="Q572" s="7" t="str">
        <f t="shared" si="8"/>
        <v>Yes</v>
      </c>
    </row>
    <row r="573" spans="1:17" ht="15" customHeight="1" x14ac:dyDescent="0.2">
      <c r="A573" s="7">
        <v>2020</v>
      </c>
      <c r="B573" s="7" t="s">
        <v>591</v>
      </c>
      <c r="C573" s="7">
        <v>3</v>
      </c>
      <c r="D573" s="7" t="s">
        <v>1182</v>
      </c>
      <c r="E573" s="7" t="s">
        <v>597</v>
      </c>
      <c r="F573" s="8">
        <v>50690</v>
      </c>
      <c r="G573" s="8">
        <v>225157</v>
      </c>
      <c r="H573" s="8">
        <v>0</v>
      </c>
      <c r="I573" s="8">
        <v>1153644.4099999999</v>
      </c>
      <c r="J573" s="13">
        <v>0.18376128796035501</v>
      </c>
      <c r="K573" s="13">
        <v>0</v>
      </c>
      <c r="L573" s="7">
        <v>-1</v>
      </c>
      <c r="M573" s="13">
        <v>0.29627629025846802</v>
      </c>
      <c r="N573" s="13">
        <v>-11.2515002298114</v>
      </c>
      <c r="O573" s="7">
        <v>1</v>
      </c>
      <c r="P573" s="7" t="s">
        <v>160</v>
      </c>
      <c r="Q573" s="7" t="str">
        <f t="shared" si="8"/>
        <v>Yes</v>
      </c>
    </row>
    <row r="574" spans="1:17" ht="15" customHeight="1" x14ac:dyDescent="0.2">
      <c r="A574" s="7">
        <v>2020</v>
      </c>
      <c r="B574" s="7" t="s">
        <v>598</v>
      </c>
      <c r="C574" s="7">
        <v>1</v>
      </c>
      <c r="D574" s="7" t="s">
        <v>599</v>
      </c>
      <c r="E574" s="7" t="s">
        <v>1183</v>
      </c>
      <c r="F574" s="8">
        <v>205606</v>
      </c>
      <c r="G574" s="8">
        <v>185159</v>
      </c>
      <c r="H574" s="8">
        <v>3147074.23</v>
      </c>
      <c r="I574" s="8">
        <v>2171993.9900000002</v>
      </c>
      <c r="J574" s="13">
        <v>0.52616278325847998</v>
      </c>
      <c r="K574" s="13">
        <v>0.59165893345131804</v>
      </c>
      <c r="L574" s="7">
        <v>1</v>
      </c>
      <c r="M574" s="13">
        <v>0.57081156553307499</v>
      </c>
      <c r="N574" s="13">
        <v>-4.4648782274594803</v>
      </c>
      <c r="O574" s="7">
        <v>1</v>
      </c>
      <c r="P574" s="7" t="s">
        <v>160</v>
      </c>
      <c r="Q574" s="7" t="str">
        <f t="shared" si="8"/>
        <v>Yes</v>
      </c>
    </row>
    <row r="575" spans="1:17" ht="15" customHeight="1" x14ac:dyDescent="0.2">
      <c r="A575" s="7">
        <v>2020</v>
      </c>
      <c r="B575" s="7" t="s">
        <v>598</v>
      </c>
      <c r="C575" s="7">
        <v>2</v>
      </c>
      <c r="D575" s="7" t="s">
        <v>1184</v>
      </c>
      <c r="E575" s="7" t="s">
        <v>602</v>
      </c>
      <c r="F575" s="8">
        <v>208289</v>
      </c>
      <c r="G575" s="8">
        <v>168886</v>
      </c>
      <c r="H575" s="8">
        <v>3063266.48</v>
      </c>
      <c r="I575" s="8">
        <v>465898.83</v>
      </c>
      <c r="J575" s="13">
        <v>0.55223437396434005</v>
      </c>
      <c r="K575" s="13">
        <v>0.86798611312429597</v>
      </c>
      <c r="L575" s="7">
        <v>1</v>
      </c>
      <c r="M575" s="13">
        <v>0.66203038115632895</v>
      </c>
      <c r="N575" s="13">
        <v>-10.979600719198899</v>
      </c>
      <c r="O575" s="7">
        <v>1</v>
      </c>
      <c r="P575" s="7" t="s">
        <v>160</v>
      </c>
      <c r="Q575" s="7" t="str">
        <f t="shared" si="8"/>
        <v>Yes</v>
      </c>
    </row>
    <row r="576" spans="1:17" ht="15" customHeight="1" x14ac:dyDescent="0.2">
      <c r="A576" s="7">
        <v>2020</v>
      </c>
      <c r="B576" s="7" t="s">
        <v>603</v>
      </c>
      <c r="C576" s="7">
        <v>1</v>
      </c>
      <c r="D576" s="7" t="s">
        <v>604</v>
      </c>
      <c r="E576" s="7" t="s">
        <v>1185</v>
      </c>
      <c r="F576" s="8">
        <v>240567</v>
      </c>
      <c r="G576" s="8">
        <v>144463</v>
      </c>
      <c r="H576" s="8">
        <v>1108026.67</v>
      </c>
      <c r="I576" s="8">
        <v>21761.17</v>
      </c>
      <c r="J576" s="13">
        <v>0.62480066488325603</v>
      </c>
      <c r="K576" s="13">
        <v>0.980738711084021</v>
      </c>
      <c r="L576" s="7">
        <v>1</v>
      </c>
      <c r="M576" s="13">
        <v>0.69925132502621301</v>
      </c>
      <c r="N576" s="13">
        <v>-7.4450660142956897</v>
      </c>
      <c r="O576" s="7">
        <v>1</v>
      </c>
      <c r="P576" s="7" t="s">
        <v>160</v>
      </c>
      <c r="Q576" s="7" t="str">
        <f t="shared" si="8"/>
        <v>Yes</v>
      </c>
    </row>
    <row r="577" spans="1:17" ht="15" customHeight="1" x14ac:dyDescent="0.2">
      <c r="A577" s="7">
        <v>2020</v>
      </c>
      <c r="B577" s="7" t="s">
        <v>603</v>
      </c>
      <c r="C577" s="7">
        <v>2</v>
      </c>
      <c r="D577" s="7" t="s">
        <v>1186</v>
      </c>
      <c r="E577" s="7" t="s">
        <v>606</v>
      </c>
      <c r="F577" s="8">
        <v>173849</v>
      </c>
      <c r="G577" s="8">
        <v>195526</v>
      </c>
      <c r="H577" s="8">
        <v>12079958.84</v>
      </c>
      <c r="I577" s="8">
        <v>9489331.2100000009</v>
      </c>
      <c r="J577" s="13">
        <v>0.47065719120135402</v>
      </c>
      <c r="K577" s="13">
        <v>0.56005361381841101</v>
      </c>
      <c r="L577" s="7">
        <v>-1</v>
      </c>
      <c r="M577" s="13">
        <v>0.48115650145773903</v>
      </c>
      <c r="N577" s="13">
        <v>-1.0499310256385199</v>
      </c>
      <c r="O577" s="7">
        <v>1</v>
      </c>
      <c r="P577" s="7" t="s">
        <v>160</v>
      </c>
      <c r="Q577" s="7" t="str">
        <f t="shared" si="8"/>
        <v>Yes</v>
      </c>
    </row>
    <row r="578" spans="1:17" ht="15" customHeight="1" x14ac:dyDescent="0.2">
      <c r="A578" s="7">
        <v>2020</v>
      </c>
      <c r="B578" s="7" t="s">
        <v>603</v>
      </c>
      <c r="C578" s="7">
        <v>3</v>
      </c>
      <c r="D578" s="7" t="s">
        <v>608</v>
      </c>
      <c r="E578" s="7" t="s">
        <v>1187</v>
      </c>
      <c r="F578" s="8">
        <v>229840</v>
      </c>
      <c r="G578" s="8">
        <v>196327</v>
      </c>
      <c r="H578" s="8">
        <v>10405836.24</v>
      </c>
      <c r="I578" s="8">
        <v>2164627.63</v>
      </c>
      <c r="J578" s="13">
        <v>0.53931909321932503</v>
      </c>
      <c r="K578" s="13">
        <v>0.82780049707107595</v>
      </c>
      <c r="L578" s="7">
        <v>1</v>
      </c>
      <c r="M578" s="13">
        <v>0.64876464194890204</v>
      </c>
      <c r="N578" s="13">
        <v>-10.944554872957699</v>
      </c>
      <c r="O578" s="7">
        <v>1</v>
      </c>
      <c r="P578" s="7" t="s">
        <v>160</v>
      </c>
      <c r="Q578" s="7" t="str">
        <f t="shared" si="8"/>
        <v>Yes</v>
      </c>
    </row>
    <row r="579" spans="1:17" ht="15" customHeight="1" x14ac:dyDescent="0.2">
      <c r="A579" s="7">
        <v>2020</v>
      </c>
      <c r="B579" s="7" t="s">
        <v>603</v>
      </c>
      <c r="C579" s="7">
        <v>4</v>
      </c>
      <c r="D579" s="7" t="s">
        <v>1188</v>
      </c>
      <c r="E579" s="7" t="s">
        <v>611</v>
      </c>
      <c r="F579" s="8">
        <v>162420</v>
      </c>
      <c r="G579" s="8">
        <v>254103</v>
      </c>
      <c r="H579" s="8">
        <v>766927.93</v>
      </c>
      <c r="I579" s="8">
        <v>1326704.1399999999</v>
      </c>
      <c r="J579" s="13">
        <v>0.389942452157504</v>
      </c>
      <c r="K579" s="13">
        <v>0.36631456930252299</v>
      </c>
      <c r="L579" s="7">
        <v>-1</v>
      </c>
      <c r="M579" s="13">
        <v>0.417200989728364</v>
      </c>
      <c r="N579" s="13">
        <v>-2.725853757086</v>
      </c>
      <c r="O579" s="7">
        <v>1</v>
      </c>
      <c r="P579" s="7" t="s">
        <v>160</v>
      </c>
      <c r="Q579" s="7" t="str">
        <f t="shared" si="8"/>
        <v>Yes</v>
      </c>
    </row>
    <row r="580" spans="1:17" ht="15" customHeight="1" x14ac:dyDescent="0.2">
      <c r="A580" s="7">
        <v>2020</v>
      </c>
      <c r="B580" s="7" t="s">
        <v>603</v>
      </c>
      <c r="C580" s="7">
        <v>5</v>
      </c>
      <c r="D580" s="7" t="s">
        <v>612</v>
      </c>
      <c r="E580" s="7" t="s">
        <v>1189</v>
      </c>
      <c r="F580" s="8">
        <v>225175</v>
      </c>
      <c r="G580" s="8">
        <v>193333</v>
      </c>
      <c r="H580" s="8">
        <v>4119342.59</v>
      </c>
      <c r="I580" s="8">
        <v>2101402.69</v>
      </c>
      <c r="J580" s="13">
        <v>0.53804228354057804</v>
      </c>
      <c r="K580" s="13">
        <v>0.66219438420728904</v>
      </c>
      <c r="L580" s="7">
        <v>1</v>
      </c>
      <c r="M580" s="13">
        <v>0.59409613813656104</v>
      </c>
      <c r="N580" s="13">
        <v>-5.6053854595983896</v>
      </c>
      <c r="O580" s="7">
        <v>1</v>
      </c>
      <c r="P580" s="7" t="s">
        <v>160</v>
      </c>
      <c r="Q580" s="7" t="str">
        <f t="shared" ref="Q580:Q643" si="9">IF(A580=2024,"No -- held out","Yes")</f>
        <v>Yes</v>
      </c>
    </row>
    <row r="581" spans="1:17" ht="15" customHeight="1" x14ac:dyDescent="0.2">
      <c r="A581" s="7">
        <v>2020</v>
      </c>
      <c r="B581" s="7" t="s">
        <v>603</v>
      </c>
      <c r="C581" s="7">
        <v>7</v>
      </c>
      <c r="D581" s="7" t="s">
        <v>616</v>
      </c>
      <c r="E581" s="7" t="s">
        <v>1190</v>
      </c>
      <c r="F581" s="8">
        <v>219688</v>
      </c>
      <c r="G581" s="8">
        <v>214359</v>
      </c>
      <c r="H581" s="8">
        <v>11604619.949999999</v>
      </c>
      <c r="I581" s="8">
        <v>8280678.0499999998</v>
      </c>
      <c r="J581" s="13">
        <v>0.50613873612765403</v>
      </c>
      <c r="K581" s="13">
        <v>0.58357787497074498</v>
      </c>
      <c r="L581" s="7">
        <v>1</v>
      </c>
      <c r="M581" s="13">
        <v>0.56814391414803</v>
      </c>
      <c r="N581" s="13">
        <v>-6.2005178020375897</v>
      </c>
      <c r="O581" s="7">
        <v>1</v>
      </c>
      <c r="P581" s="7" t="s">
        <v>160</v>
      </c>
      <c r="Q581" s="7" t="str">
        <f t="shared" si="9"/>
        <v>Yes</v>
      </c>
    </row>
    <row r="582" spans="1:17" ht="15" customHeight="1" x14ac:dyDescent="0.2">
      <c r="A582" s="7">
        <v>2020</v>
      </c>
      <c r="B582" s="7" t="s">
        <v>603</v>
      </c>
      <c r="C582" s="7">
        <v>8</v>
      </c>
      <c r="D582" s="7" t="s">
        <v>618</v>
      </c>
      <c r="E582" s="7" t="s">
        <v>1191</v>
      </c>
      <c r="F582" s="8">
        <v>176758</v>
      </c>
      <c r="G582" s="8">
        <v>58686</v>
      </c>
      <c r="H582" s="8">
        <v>595584.77</v>
      </c>
      <c r="I582" s="8">
        <v>0</v>
      </c>
      <c r="J582" s="13">
        <v>0.750743276532849</v>
      </c>
      <c r="K582" s="13">
        <v>1</v>
      </c>
      <c r="L582" s="7">
        <v>1</v>
      </c>
      <c r="M582" s="13">
        <v>0.70560970050115601</v>
      </c>
      <c r="N582" s="13">
        <v>4.5133576031692701</v>
      </c>
      <c r="O582" s="7">
        <v>1</v>
      </c>
      <c r="P582" s="7" t="s">
        <v>160</v>
      </c>
      <c r="Q582" s="7" t="str">
        <f t="shared" si="9"/>
        <v>Yes</v>
      </c>
    </row>
    <row r="583" spans="1:17" ht="15" customHeight="1" x14ac:dyDescent="0.2">
      <c r="A583" s="7">
        <v>2020</v>
      </c>
      <c r="B583" s="7" t="s">
        <v>603</v>
      </c>
      <c r="C583" s="7">
        <v>9</v>
      </c>
      <c r="D583" s="7" t="s">
        <v>1192</v>
      </c>
      <c r="E583" s="7" t="s">
        <v>1193</v>
      </c>
      <c r="F583" s="8">
        <v>203674</v>
      </c>
      <c r="G583" s="8">
        <v>98629</v>
      </c>
      <c r="H583" s="8">
        <v>1843078.47</v>
      </c>
      <c r="I583" s="8">
        <v>35900.67</v>
      </c>
      <c r="J583" s="13">
        <v>0.673741246365402</v>
      </c>
      <c r="K583" s="13">
        <v>0.98089352391639695</v>
      </c>
      <c r="L583" s="7">
        <v>1</v>
      </c>
      <c r="M583" s="13">
        <v>0.69930243054261298</v>
      </c>
      <c r="N583" s="13">
        <v>-2.55611841772112</v>
      </c>
      <c r="O583" s="7">
        <v>1</v>
      </c>
      <c r="P583" s="7" t="s">
        <v>160</v>
      </c>
      <c r="Q583" s="7" t="str">
        <f t="shared" si="9"/>
        <v>Yes</v>
      </c>
    </row>
    <row r="584" spans="1:17" ht="15" customHeight="1" x14ac:dyDescent="0.2">
      <c r="A584" s="7">
        <v>2020</v>
      </c>
      <c r="B584" s="7" t="s">
        <v>603</v>
      </c>
      <c r="C584" s="7">
        <v>10</v>
      </c>
      <c r="D584" s="7" t="s">
        <v>620</v>
      </c>
      <c r="E584" s="7" t="s">
        <v>1194</v>
      </c>
      <c r="F584" s="8">
        <v>241522</v>
      </c>
      <c r="G584" s="8">
        <v>40298</v>
      </c>
      <c r="H584" s="8">
        <v>465596.65</v>
      </c>
      <c r="I584" s="8">
        <v>825.66</v>
      </c>
      <c r="J584" s="13">
        <v>0.857008019303101</v>
      </c>
      <c r="K584" s="13">
        <v>0.99822980165764397</v>
      </c>
      <c r="L584" s="7">
        <v>1</v>
      </c>
      <c r="M584" s="13">
        <v>0.70502533744139795</v>
      </c>
      <c r="N584" s="13">
        <v>15.198268186170299</v>
      </c>
      <c r="O584" s="7">
        <v>1</v>
      </c>
      <c r="P584" s="7" t="s">
        <v>160</v>
      </c>
      <c r="Q584" s="7" t="str">
        <f t="shared" si="9"/>
        <v>Yes</v>
      </c>
    </row>
    <row r="585" spans="1:17" ht="15" customHeight="1" x14ac:dyDescent="0.2">
      <c r="A585" s="7">
        <v>2020</v>
      </c>
      <c r="B585" s="7" t="s">
        <v>603</v>
      </c>
      <c r="C585" s="7">
        <v>11</v>
      </c>
      <c r="D585" s="7" t="s">
        <v>622</v>
      </c>
      <c r="E585" s="7" t="s">
        <v>1195</v>
      </c>
      <c r="F585" s="8">
        <v>235163</v>
      </c>
      <c r="G585" s="8">
        <v>206013</v>
      </c>
      <c r="H585" s="8">
        <v>3959998.74</v>
      </c>
      <c r="I585" s="8">
        <v>1736411.77</v>
      </c>
      <c r="J585" s="13">
        <v>0.53303670190581498</v>
      </c>
      <c r="K585" s="13">
        <v>0.69517439676235704</v>
      </c>
      <c r="L585" s="7">
        <v>1</v>
      </c>
      <c r="M585" s="13">
        <v>0.60498322382995395</v>
      </c>
      <c r="N585" s="13">
        <v>-7.1946521924139102</v>
      </c>
      <c r="O585" s="7">
        <v>1</v>
      </c>
      <c r="P585" s="7" t="s">
        <v>160</v>
      </c>
      <c r="Q585" s="7" t="str">
        <f t="shared" si="9"/>
        <v>Yes</v>
      </c>
    </row>
    <row r="586" spans="1:17" ht="15" customHeight="1" x14ac:dyDescent="0.2">
      <c r="A586" s="7">
        <v>2020</v>
      </c>
      <c r="B586" s="7" t="s">
        <v>603</v>
      </c>
      <c r="C586" s="7">
        <v>12</v>
      </c>
      <c r="D586" s="7" t="s">
        <v>1196</v>
      </c>
      <c r="E586" s="7" t="s">
        <v>1197</v>
      </c>
      <c r="F586" s="8">
        <v>230883</v>
      </c>
      <c r="G586" s="8">
        <v>114591</v>
      </c>
      <c r="H586" s="8">
        <v>849011.62</v>
      </c>
      <c r="I586" s="8">
        <v>1142.4100000000001</v>
      </c>
      <c r="J586" s="13">
        <v>0.66830789002935098</v>
      </c>
      <c r="K586" s="13">
        <v>0.99865623174191198</v>
      </c>
      <c r="L586" s="7">
        <v>1</v>
      </c>
      <c r="M586" s="13">
        <v>0.70516610697148596</v>
      </c>
      <c r="N586" s="13">
        <v>-3.6858216942134798</v>
      </c>
      <c r="O586" s="7">
        <v>1</v>
      </c>
      <c r="P586" s="7" t="s">
        <v>160</v>
      </c>
      <c r="Q586" s="7" t="str">
        <f t="shared" si="9"/>
        <v>Yes</v>
      </c>
    </row>
    <row r="587" spans="1:17" ht="15" customHeight="1" x14ac:dyDescent="0.2">
      <c r="A587" s="7">
        <v>2020</v>
      </c>
      <c r="B587" s="7" t="s">
        <v>626</v>
      </c>
      <c r="C587" s="7">
        <v>1</v>
      </c>
      <c r="D587" s="7" t="s">
        <v>1198</v>
      </c>
      <c r="E587" s="7" t="s">
        <v>1199</v>
      </c>
      <c r="F587" s="8">
        <v>186953</v>
      </c>
      <c r="G587" s="8">
        <v>134337</v>
      </c>
      <c r="H587" s="8">
        <v>1906898.8</v>
      </c>
      <c r="I587" s="8">
        <v>383583.73</v>
      </c>
      <c r="J587" s="13">
        <v>0.58188241152852604</v>
      </c>
      <c r="K587" s="13">
        <v>0.83253147536558603</v>
      </c>
      <c r="L587" s="7">
        <v>1</v>
      </c>
      <c r="M587" s="13">
        <v>0.65032639290396699</v>
      </c>
      <c r="N587" s="13">
        <v>-6.8443981375441103</v>
      </c>
      <c r="O587" s="7">
        <v>1</v>
      </c>
      <c r="P587" s="7" t="s">
        <v>160</v>
      </c>
      <c r="Q587" s="7" t="str">
        <f t="shared" si="9"/>
        <v>Yes</v>
      </c>
    </row>
    <row r="588" spans="1:17" ht="15" customHeight="1" x14ac:dyDescent="0.2">
      <c r="A588" s="7">
        <v>2020</v>
      </c>
      <c r="B588" s="7" t="s">
        <v>626</v>
      </c>
      <c r="C588" s="7">
        <v>2</v>
      </c>
      <c r="D588" s="7" t="s">
        <v>629</v>
      </c>
      <c r="E588" s="7" t="s">
        <v>630</v>
      </c>
      <c r="F588" s="8">
        <v>122546</v>
      </c>
      <c r="G588" s="8">
        <v>142283</v>
      </c>
      <c r="H588" s="8">
        <v>20040989.09</v>
      </c>
      <c r="I588" s="8">
        <v>15560700.550000001</v>
      </c>
      <c r="J588" s="13">
        <v>0.46273633174614598</v>
      </c>
      <c r="K588" s="13">
        <v>0.56292241443178903</v>
      </c>
      <c r="L588" s="7">
        <v>1</v>
      </c>
      <c r="M588" s="13">
        <v>0.56132530640648903</v>
      </c>
      <c r="N588" s="13">
        <v>-9.85889746603433</v>
      </c>
      <c r="O588" s="7">
        <v>0</v>
      </c>
      <c r="P588" s="7" t="s">
        <v>160</v>
      </c>
      <c r="Q588" s="7" t="str">
        <f t="shared" si="9"/>
        <v>Yes</v>
      </c>
    </row>
    <row r="589" spans="1:17" ht="15" customHeight="1" x14ac:dyDescent="0.2">
      <c r="A589" s="7">
        <v>2020</v>
      </c>
      <c r="B589" s="7" t="s">
        <v>626</v>
      </c>
      <c r="C589" s="7">
        <v>3</v>
      </c>
      <c r="D589" s="7" t="s">
        <v>1200</v>
      </c>
      <c r="E589" s="7" t="s">
        <v>1201</v>
      </c>
      <c r="F589" s="8">
        <v>186282</v>
      </c>
      <c r="G589" s="8">
        <v>131166</v>
      </c>
      <c r="H589" s="8">
        <v>3271081.81</v>
      </c>
      <c r="I589" s="8">
        <v>156175.45000000001</v>
      </c>
      <c r="J589" s="13">
        <v>0.58681106826944895</v>
      </c>
      <c r="K589" s="13">
        <v>0.95443136066184897</v>
      </c>
      <c r="L589" s="7">
        <v>0</v>
      </c>
      <c r="M589" s="13">
        <v>0.65095607245277798</v>
      </c>
      <c r="N589" s="13">
        <v>-6.4145004183329402</v>
      </c>
      <c r="O589" s="7">
        <v>1</v>
      </c>
      <c r="P589" s="7" t="s">
        <v>160</v>
      </c>
      <c r="Q589" s="7" t="str">
        <f t="shared" si="9"/>
        <v>Yes</v>
      </c>
    </row>
    <row r="590" spans="1:17" ht="15" customHeight="1" x14ac:dyDescent="0.2">
      <c r="A590" s="7">
        <v>2020</v>
      </c>
      <c r="B590" s="7" t="s">
        <v>631</v>
      </c>
      <c r="C590" s="7">
        <v>2</v>
      </c>
      <c r="D590" s="7" t="s">
        <v>1202</v>
      </c>
      <c r="E590" s="7" t="s">
        <v>633</v>
      </c>
      <c r="F590" s="8">
        <v>155780</v>
      </c>
      <c r="G590" s="8">
        <v>216078</v>
      </c>
      <c r="H590" s="8">
        <v>492920.19</v>
      </c>
      <c r="I590" s="8">
        <v>1048739.27</v>
      </c>
      <c r="J590" s="13">
        <v>0.41892335246249901</v>
      </c>
      <c r="K590" s="13">
        <v>0.31973350975967202</v>
      </c>
      <c r="L590" s="7">
        <v>-1</v>
      </c>
      <c r="M590" s="13">
        <v>0.40182404024766599</v>
      </c>
      <c r="N590" s="13">
        <v>1.70993122148335</v>
      </c>
      <c r="O590" s="7">
        <v>1</v>
      </c>
      <c r="P590" s="7" t="s">
        <v>160</v>
      </c>
      <c r="Q590" s="7" t="str">
        <f t="shared" si="9"/>
        <v>Yes</v>
      </c>
    </row>
    <row r="591" spans="1:17" ht="15" customHeight="1" x14ac:dyDescent="0.2">
      <c r="A591" s="7">
        <v>2020</v>
      </c>
      <c r="B591" s="7" t="s">
        <v>631</v>
      </c>
      <c r="C591" s="7">
        <v>3</v>
      </c>
      <c r="D591" s="7" t="s">
        <v>634</v>
      </c>
      <c r="E591" s="7" t="s">
        <v>1203</v>
      </c>
      <c r="F591" s="8">
        <v>203421</v>
      </c>
      <c r="G591" s="8">
        <v>190975</v>
      </c>
      <c r="H591" s="8">
        <v>8380783.2999999998</v>
      </c>
      <c r="I591" s="8">
        <v>6201433.79</v>
      </c>
      <c r="J591" s="13">
        <v>0.51577855759186197</v>
      </c>
      <c r="K591" s="13">
        <v>0.574726274356954</v>
      </c>
      <c r="L591" s="7">
        <v>1</v>
      </c>
      <c r="M591" s="13">
        <v>0.56522189784360599</v>
      </c>
      <c r="N591" s="13">
        <v>-4.9443340251743697</v>
      </c>
      <c r="O591" s="7">
        <v>1</v>
      </c>
      <c r="P591" s="7" t="s">
        <v>160</v>
      </c>
      <c r="Q591" s="7" t="str">
        <f t="shared" si="9"/>
        <v>Yes</v>
      </c>
    </row>
    <row r="592" spans="1:17" ht="15" customHeight="1" x14ac:dyDescent="0.2">
      <c r="A592" s="7">
        <v>2020</v>
      </c>
      <c r="B592" s="7" t="s">
        <v>631</v>
      </c>
      <c r="C592" s="7">
        <v>4</v>
      </c>
      <c r="D592" s="7" t="s">
        <v>1204</v>
      </c>
      <c r="E592" s="7" t="s">
        <v>1205</v>
      </c>
      <c r="F592" s="8">
        <v>168457</v>
      </c>
      <c r="G592" s="8">
        <v>152284</v>
      </c>
      <c r="H592" s="8">
        <v>4187256.3</v>
      </c>
      <c r="I592" s="8">
        <v>1847964.12</v>
      </c>
      <c r="J592" s="13">
        <v>0.52521193112199605</v>
      </c>
      <c r="K592" s="13">
        <v>0.69380337561888095</v>
      </c>
      <c r="L592" s="7">
        <v>1</v>
      </c>
      <c r="M592" s="13">
        <v>0.60453063380587402</v>
      </c>
      <c r="N592" s="13">
        <v>-7.9318702683878204</v>
      </c>
      <c r="O592" s="7">
        <v>1</v>
      </c>
      <c r="P592" s="7" t="s">
        <v>160</v>
      </c>
      <c r="Q592" s="7" t="str">
        <f t="shared" si="9"/>
        <v>Yes</v>
      </c>
    </row>
    <row r="593" spans="1:17" ht="15" customHeight="1" x14ac:dyDescent="0.2">
      <c r="A593" s="7">
        <v>2020</v>
      </c>
      <c r="B593" s="7" t="s">
        <v>638</v>
      </c>
      <c r="C593" s="7">
        <v>1</v>
      </c>
      <c r="D593" s="7" t="s">
        <v>1206</v>
      </c>
      <c r="E593" s="7" t="s">
        <v>640</v>
      </c>
      <c r="F593" s="8">
        <v>169294</v>
      </c>
      <c r="G593" s="8">
        <v>205715</v>
      </c>
      <c r="H593" s="8">
        <v>13536529.76</v>
      </c>
      <c r="I593" s="8">
        <v>12641896.92</v>
      </c>
      <c r="J593" s="13">
        <v>0.45143983211069599</v>
      </c>
      <c r="K593" s="13">
        <v>0.51708721557135195</v>
      </c>
      <c r="L593" s="7">
        <v>-1</v>
      </c>
      <c r="M593" s="13">
        <v>0.46697279370835199</v>
      </c>
      <c r="N593" s="13">
        <v>-1.5532961597656201</v>
      </c>
      <c r="O593" s="7">
        <v>1</v>
      </c>
      <c r="P593" s="7" t="s">
        <v>160</v>
      </c>
      <c r="Q593" s="7" t="str">
        <f t="shared" si="9"/>
        <v>Yes</v>
      </c>
    </row>
    <row r="594" spans="1:17" ht="15" customHeight="1" x14ac:dyDescent="0.2">
      <c r="A594" s="7">
        <v>2020</v>
      </c>
      <c r="B594" s="7" t="s">
        <v>638</v>
      </c>
      <c r="C594" s="7">
        <v>2</v>
      </c>
      <c r="D594" s="7" t="s">
        <v>1207</v>
      </c>
      <c r="E594" s="7" t="s">
        <v>1208</v>
      </c>
      <c r="F594" s="8">
        <v>154246</v>
      </c>
      <c r="G594" s="8">
        <v>177379</v>
      </c>
      <c r="H594" s="8">
        <v>12847954.82</v>
      </c>
      <c r="I594" s="8">
        <v>6785578.9400000004</v>
      </c>
      <c r="J594" s="13">
        <v>0.465121748963438</v>
      </c>
      <c r="K594" s="13">
        <v>0.654388302027194</v>
      </c>
      <c r="L594" s="7">
        <v>0</v>
      </c>
      <c r="M594" s="13">
        <v>0.55190836937477294</v>
      </c>
      <c r="N594" s="13">
        <v>-8.6786620411334994</v>
      </c>
      <c r="O594" s="7">
        <v>0</v>
      </c>
      <c r="P594" s="7" t="s">
        <v>160</v>
      </c>
      <c r="Q594" s="7" t="str">
        <f t="shared" si="9"/>
        <v>Yes</v>
      </c>
    </row>
    <row r="595" spans="1:17" ht="15" customHeight="1" x14ac:dyDescent="0.2">
      <c r="A595" s="7">
        <v>2020</v>
      </c>
      <c r="B595" s="7" t="s">
        <v>638</v>
      </c>
      <c r="C595" s="7">
        <v>3</v>
      </c>
      <c r="D595" s="7" t="s">
        <v>641</v>
      </c>
      <c r="E595" s="7" t="s">
        <v>1209</v>
      </c>
      <c r="F595" s="8">
        <v>208555</v>
      </c>
      <c r="G595" s="8">
        <v>161931</v>
      </c>
      <c r="H595" s="8">
        <v>2390850.41</v>
      </c>
      <c r="I595" s="8">
        <v>691612.62</v>
      </c>
      <c r="J595" s="13">
        <v>0.56292275551572801</v>
      </c>
      <c r="K595" s="13">
        <v>0.77562987349113499</v>
      </c>
      <c r="L595" s="7">
        <v>1</v>
      </c>
      <c r="M595" s="13">
        <v>0.63154251237438497</v>
      </c>
      <c r="N595" s="13">
        <v>-6.8619756858657297</v>
      </c>
      <c r="O595" s="7">
        <v>1</v>
      </c>
      <c r="P595" s="7" t="s">
        <v>160</v>
      </c>
      <c r="Q595" s="7" t="str">
        <f t="shared" si="9"/>
        <v>Yes</v>
      </c>
    </row>
    <row r="596" spans="1:17" ht="15" customHeight="1" x14ac:dyDescent="0.2">
      <c r="A596" s="7">
        <v>2020</v>
      </c>
      <c r="B596" s="7" t="s">
        <v>638</v>
      </c>
      <c r="C596" s="7">
        <v>4</v>
      </c>
      <c r="D596" s="7" t="s">
        <v>643</v>
      </c>
      <c r="E596" s="7" t="s">
        <v>1210</v>
      </c>
      <c r="F596" s="8">
        <v>199762</v>
      </c>
      <c r="G596" s="8">
        <v>153007</v>
      </c>
      <c r="H596" s="8">
        <v>1228501.97</v>
      </c>
      <c r="I596" s="8">
        <v>132223.76</v>
      </c>
      <c r="J596" s="13">
        <v>0.56626857802131103</v>
      </c>
      <c r="K596" s="13">
        <v>0.90282850020040395</v>
      </c>
      <c r="L596" s="7">
        <v>1</v>
      </c>
      <c r="M596" s="13">
        <v>0.67353225833804897</v>
      </c>
      <c r="N596" s="13">
        <v>-10.7263680316738</v>
      </c>
      <c r="O596" s="7">
        <v>1</v>
      </c>
      <c r="P596" s="7" t="s">
        <v>160</v>
      </c>
      <c r="Q596" s="7" t="str">
        <f t="shared" si="9"/>
        <v>Yes</v>
      </c>
    </row>
    <row r="597" spans="1:17" ht="15" customHeight="1" x14ac:dyDescent="0.2">
      <c r="A597" s="7">
        <v>2020</v>
      </c>
      <c r="B597" s="7" t="s">
        <v>638</v>
      </c>
      <c r="C597" s="7">
        <v>6</v>
      </c>
      <c r="D597" s="7" t="s">
        <v>1211</v>
      </c>
      <c r="E597" s="7" t="s">
        <v>1212</v>
      </c>
      <c r="F597" s="8">
        <v>158862</v>
      </c>
      <c r="G597" s="8">
        <v>74829</v>
      </c>
      <c r="H597" s="8">
        <v>1880597.69</v>
      </c>
      <c r="I597" s="8">
        <v>133178.45000000001</v>
      </c>
      <c r="J597" s="13">
        <v>0.67979511406087501</v>
      </c>
      <c r="K597" s="13">
        <v>0.93386630849643504</v>
      </c>
      <c r="L597" s="7">
        <v>1</v>
      </c>
      <c r="M597" s="13">
        <v>0.68377819981820398</v>
      </c>
      <c r="N597" s="13">
        <v>-0.398308575732853</v>
      </c>
      <c r="O597" s="7">
        <v>1</v>
      </c>
      <c r="P597" s="7" t="s">
        <v>160</v>
      </c>
      <c r="Q597" s="7" t="str">
        <f t="shared" si="9"/>
        <v>Yes</v>
      </c>
    </row>
    <row r="598" spans="1:17" ht="15" customHeight="1" x14ac:dyDescent="0.2">
      <c r="A598" s="7">
        <v>2020</v>
      </c>
      <c r="B598" s="7" t="s">
        <v>638</v>
      </c>
      <c r="C598" s="7">
        <v>7</v>
      </c>
      <c r="D598" s="7" t="s">
        <v>1213</v>
      </c>
      <c r="E598" s="7" t="s">
        <v>1214</v>
      </c>
      <c r="F598" s="8">
        <v>191073</v>
      </c>
      <c r="G598" s="8">
        <v>32520</v>
      </c>
      <c r="H598" s="8">
        <v>694812.59</v>
      </c>
      <c r="I598" s="8">
        <v>0</v>
      </c>
      <c r="J598" s="13">
        <v>0.85455716413304506</v>
      </c>
      <c r="K598" s="13">
        <v>1</v>
      </c>
      <c r="L598" s="7">
        <v>1</v>
      </c>
      <c r="M598" s="13">
        <v>0.70560970050115601</v>
      </c>
      <c r="N598" s="13">
        <v>14.894746363188901</v>
      </c>
      <c r="O598" s="7">
        <v>1</v>
      </c>
      <c r="P598" s="7" t="s">
        <v>160</v>
      </c>
      <c r="Q598" s="7" t="str">
        <f t="shared" si="9"/>
        <v>Yes</v>
      </c>
    </row>
    <row r="599" spans="1:17" ht="15" customHeight="1" x14ac:dyDescent="0.2">
      <c r="A599" s="7">
        <v>2020</v>
      </c>
      <c r="B599" s="7" t="s">
        <v>638</v>
      </c>
      <c r="C599" s="7">
        <v>8</v>
      </c>
      <c r="D599" s="7" t="s">
        <v>1215</v>
      </c>
      <c r="E599" s="7" t="s">
        <v>1216</v>
      </c>
      <c r="F599" s="8">
        <v>234933</v>
      </c>
      <c r="G599" s="8">
        <v>42007</v>
      </c>
      <c r="H599" s="8">
        <v>3332370.1</v>
      </c>
      <c r="I599" s="8">
        <v>0</v>
      </c>
      <c r="J599" s="13">
        <v>0.84831732505235802</v>
      </c>
      <c r="K599" s="13">
        <v>1</v>
      </c>
      <c r="L599" s="7">
        <v>1</v>
      </c>
      <c r="M599" s="13">
        <v>0.70560970050115601</v>
      </c>
      <c r="N599" s="13">
        <v>14.270762455120201</v>
      </c>
      <c r="O599" s="7">
        <v>1</v>
      </c>
      <c r="P599" s="7" t="s">
        <v>160</v>
      </c>
      <c r="Q599" s="7" t="str">
        <f t="shared" si="9"/>
        <v>Yes</v>
      </c>
    </row>
    <row r="600" spans="1:17" ht="15" customHeight="1" x14ac:dyDescent="0.2">
      <c r="A600" s="7">
        <v>2020</v>
      </c>
      <c r="B600" s="7" t="s">
        <v>638</v>
      </c>
      <c r="C600" s="7">
        <v>9</v>
      </c>
      <c r="D600" s="7" t="s">
        <v>645</v>
      </c>
      <c r="E600" s="7" t="s">
        <v>1217</v>
      </c>
      <c r="F600" s="8">
        <v>230221</v>
      </c>
      <c r="G600" s="8">
        <v>43950</v>
      </c>
      <c r="H600" s="8">
        <v>1205274.42</v>
      </c>
      <c r="I600" s="8">
        <v>0</v>
      </c>
      <c r="J600" s="13">
        <v>0.83969858227164795</v>
      </c>
      <c r="K600" s="13">
        <v>1</v>
      </c>
      <c r="L600" s="7">
        <v>1</v>
      </c>
      <c r="M600" s="13">
        <v>0.70560970050115601</v>
      </c>
      <c r="N600" s="13">
        <v>13.408888177049199</v>
      </c>
      <c r="O600" s="7">
        <v>1</v>
      </c>
      <c r="P600" s="7" t="s">
        <v>160</v>
      </c>
      <c r="Q600" s="7" t="str">
        <f t="shared" si="9"/>
        <v>Yes</v>
      </c>
    </row>
    <row r="601" spans="1:17" ht="15" customHeight="1" x14ac:dyDescent="0.2">
      <c r="A601" s="7">
        <v>2020</v>
      </c>
      <c r="B601" s="7" t="s">
        <v>638</v>
      </c>
      <c r="C601" s="7">
        <v>10</v>
      </c>
      <c r="D601" s="7" t="s">
        <v>647</v>
      </c>
      <c r="E601" s="7" t="s">
        <v>1218</v>
      </c>
      <c r="F601" s="8">
        <v>206310</v>
      </c>
      <c r="G601" s="8">
        <v>66889</v>
      </c>
      <c r="H601" s="8">
        <v>1966879.59</v>
      </c>
      <c r="I601" s="8">
        <v>28384.03</v>
      </c>
      <c r="J601" s="13">
        <v>0.75516381831558699</v>
      </c>
      <c r="K601" s="13">
        <v>0.98577429582964105</v>
      </c>
      <c r="L601" s="7">
        <v>1</v>
      </c>
      <c r="M601" s="13">
        <v>0.700913630113282</v>
      </c>
      <c r="N601" s="13">
        <v>5.4250188202304699</v>
      </c>
      <c r="O601" s="7">
        <v>1</v>
      </c>
      <c r="P601" s="7" t="s">
        <v>160</v>
      </c>
      <c r="Q601" s="7" t="str">
        <f t="shared" si="9"/>
        <v>Yes</v>
      </c>
    </row>
    <row r="602" spans="1:17" ht="15" customHeight="1" x14ac:dyDescent="0.2">
      <c r="A602" s="7">
        <v>2020</v>
      </c>
      <c r="B602" s="7" t="s">
        <v>638</v>
      </c>
      <c r="C602" s="7">
        <v>11</v>
      </c>
      <c r="D602" s="7" t="s">
        <v>649</v>
      </c>
      <c r="E602" s="7" t="s">
        <v>1219</v>
      </c>
      <c r="F602" s="8">
        <v>137198</v>
      </c>
      <c r="G602" s="8">
        <v>155608</v>
      </c>
      <c r="H602" s="8">
        <v>20999598.43</v>
      </c>
      <c r="I602" s="8">
        <v>10362046.59</v>
      </c>
      <c r="J602" s="13">
        <v>0.46856280267480899</v>
      </c>
      <c r="K602" s="13">
        <v>0.66959492770892903</v>
      </c>
      <c r="L602" s="7">
        <v>1</v>
      </c>
      <c r="M602" s="13">
        <v>0.59653914361284799</v>
      </c>
      <c r="N602" s="13">
        <v>-12.797634093804</v>
      </c>
      <c r="O602" s="7">
        <v>0</v>
      </c>
      <c r="P602" s="7" t="s">
        <v>160</v>
      </c>
      <c r="Q602" s="7" t="str">
        <f t="shared" si="9"/>
        <v>Yes</v>
      </c>
    </row>
    <row r="603" spans="1:17" ht="15" customHeight="1" x14ac:dyDescent="0.2">
      <c r="A603" s="7">
        <v>2020</v>
      </c>
      <c r="B603" s="7" t="s">
        <v>638</v>
      </c>
      <c r="C603" s="7">
        <v>12</v>
      </c>
      <c r="D603" s="7" t="s">
        <v>651</v>
      </c>
      <c r="E603" s="7" t="s">
        <v>1220</v>
      </c>
      <c r="F603" s="8">
        <v>265172</v>
      </c>
      <c r="G603" s="8">
        <v>53061</v>
      </c>
      <c r="H603" s="8">
        <v>3063334.73</v>
      </c>
      <c r="I603" s="8">
        <v>0</v>
      </c>
      <c r="J603" s="13">
        <v>0.833263677871245</v>
      </c>
      <c r="K603" s="13">
        <v>1</v>
      </c>
      <c r="L603" s="7">
        <v>1</v>
      </c>
      <c r="M603" s="13">
        <v>0.70560970050115601</v>
      </c>
      <c r="N603" s="13">
        <v>12.7653977370089</v>
      </c>
      <c r="O603" s="7">
        <v>1</v>
      </c>
      <c r="P603" s="7" t="s">
        <v>160</v>
      </c>
      <c r="Q603" s="7" t="str">
        <f t="shared" si="9"/>
        <v>Yes</v>
      </c>
    </row>
    <row r="604" spans="1:17" ht="15" customHeight="1" x14ac:dyDescent="0.2">
      <c r="A604" s="7">
        <v>2020</v>
      </c>
      <c r="B604" s="7" t="s">
        <v>638</v>
      </c>
      <c r="C604" s="7">
        <v>13</v>
      </c>
      <c r="D604" s="7" t="s">
        <v>653</v>
      </c>
      <c r="E604" s="7" t="s">
        <v>1221</v>
      </c>
      <c r="F604" s="8">
        <v>231841</v>
      </c>
      <c r="G604" s="8">
        <v>19829</v>
      </c>
      <c r="H604" s="8">
        <v>1263308.0900000001</v>
      </c>
      <c r="I604" s="8">
        <v>41348.199999999997</v>
      </c>
      <c r="J604" s="13">
        <v>0.92121031509516405</v>
      </c>
      <c r="K604" s="13">
        <v>0.96830720832994299</v>
      </c>
      <c r="L604" s="7">
        <v>1</v>
      </c>
      <c r="M604" s="13">
        <v>0.69514754139194901</v>
      </c>
      <c r="N604" s="13">
        <v>22.6062773703216</v>
      </c>
      <c r="O604" s="7">
        <v>1</v>
      </c>
      <c r="P604" s="7" t="s">
        <v>160</v>
      </c>
      <c r="Q604" s="7" t="str">
        <f t="shared" si="9"/>
        <v>Yes</v>
      </c>
    </row>
    <row r="605" spans="1:17" ht="15" customHeight="1" x14ac:dyDescent="0.2">
      <c r="A605" s="7">
        <v>2020</v>
      </c>
      <c r="B605" s="7" t="s">
        <v>638</v>
      </c>
      <c r="C605" s="7">
        <v>14</v>
      </c>
      <c r="D605" s="7" t="s">
        <v>655</v>
      </c>
      <c r="E605" s="7" t="s">
        <v>1222</v>
      </c>
      <c r="F605" s="8">
        <v>152661</v>
      </c>
      <c r="G605" s="8">
        <v>58440</v>
      </c>
      <c r="H605" s="8">
        <v>17506560.379999999</v>
      </c>
      <c r="I605" s="8">
        <v>11161159.890000001</v>
      </c>
      <c r="J605" s="13">
        <v>0.72316568846192097</v>
      </c>
      <c r="K605" s="13">
        <v>0.61067152236448097</v>
      </c>
      <c r="L605" s="7">
        <v>1</v>
      </c>
      <c r="M605" s="13">
        <v>0.57708784224477305</v>
      </c>
      <c r="N605" s="13">
        <v>14.607784621714901</v>
      </c>
      <c r="O605" s="7">
        <v>1</v>
      </c>
      <c r="P605" s="7" t="s">
        <v>160</v>
      </c>
      <c r="Q605" s="7" t="str">
        <f t="shared" si="9"/>
        <v>Yes</v>
      </c>
    </row>
    <row r="606" spans="1:17" ht="15" customHeight="1" x14ac:dyDescent="0.2">
      <c r="A606" s="7">
        <v>2020</v>
      </c>
      <c r="B606" s="7" t="s">
        <v>638</v>
      </c>
      <c r="C606" s="7">
        <v>15</v>
      </c>
      <c r="D606" s="7" t="s">
        <v>1223</v>
      </c>
      <c r="E606" s="7" t="s">
        <v>1224</v>
      </c>
      <c r="F606" s="8">
        <v>169533</v>
      </c>
      <c r="G606" s="8">
        <v>21221</v>
      </c>
      <c r="H606" s="8">
        <v>2316689.8199999998</v>
      </c>
      <c r="I606" s="8">
        <v>0</v>
      </c>
      <c r="J606" s="13">
        <v>0.88875200520041497</v>
      </c>
      <c r="K606" s="13">
        <v>1</v>
      </c>
      <c r="L606" s="7">
        <v>0</v>
      </c>
      <c r="M606" s="13">
        <v>0.66599881024972096</v>
      </c>
      <c r="N606" s="13">
        <v>22.2753194950694</v>
      </c>
      <c r="O606" s="7">
        <v>1</v>
      </c>
      <c r="P606" s="7" t="s">
        <v>160</v>
      </c>
      <c r="Q606" s="7" t="str">
        <f t="shared" si="9"/>
        <v>Yes</v>
      </c>
    </row>
    <row r="607" spans="1:17" ht="15" customHeight="1" x14ac:dyDescent="0.2">
      <c r="A607" s="7">
        <v>2020</v>
      </c>
      <c r="B607" s="7" t="s">
        <v>638</v>
      </c>
      <c r="C607" s="7">
        <v>17</v>
      </c>
      <c r="D607" s="7" t="s">
        <v>1225</v>
      </c>
      <c r="E607" s="7" t="s">
        <v>1226</v>
      </c>
      <c r="F607" s="8">
        <v>197354</v>
      </c>
      <c r="G607" s="8">
        <v>117309</v>
      </c>
      <c r="H607" s="8">
        <v>2791067.22</v>
      </c>
      <c r="I607" s="8">
        <v>60083.7</v>
      </c>
      <c r="J607" s="13">
        <v>0.62719163041094805</v>
      </c>
      <c r="K607" s="13">
        <v>0.97892651014068399</v>
      </c>
      <c r="L607" s="7">
        <v>0</v>
      </c>
      <c r="M607" s="13">
        <v>0.65904220616795695</v>
      </c>
      <c r="N607" s="13">
        <v>-3.1850575757009199</v>
      </c>
      <c r="O607" s="7">
        <v>1</v>
      </c>
      <c r="P607" s="7" t="s">
        <v>160</v>
      </c>
      <c r="Q607" s="7" t="str">
        <f t="shared" si="9"/>
        <v>Yes</v>
      </c>
    </row>
    <row r="608" spans="1:17" ht="15" customHeight="1" x14ac:dyDescent="0.2">
      <c r="A608" s="7">
        <v>2020</v>
      </c>
      <c r="B608" s="7" t="s">
        <v>638</v>
      </c>
      <c r="C608" s="7">
        <v>18</v>
      </c>
      <c r="D608" s="7" t="s">
        <v>659</v>
      </c>
      <c r="E608" s="7" t="s">
        <v>1227</v>
      </c>
      <c r="F608" s="8">
        <v>187444</v>
      </c>
      <c r="G608" s="8">
        <v>145145</v>
      </c>
      <c r="H608" s="8">
        <v>1778190.71</v>
      </c>
      <c r="I608" s="8">
        <v>1152906.3700000001</v>
      </c>
      <c r="J608" s="13">
        <v>0.56359049758109903</v>
      </c>
      <c r="K608" s="13">
        <v>0.60666387412865896</v>
      </c>
      <c r="L608" s="7">
        <v>1</v>
      </c>
      <c r="M608" s="13">
        <v>0.57576487095422102</v>
      </c>
      <c r="N608" s="13">
        <v>-1.21743733731228</v>
      </c>
      <c r="O608" s="7">
        <v>1</v>
      </c>
      <c r="P608" s="7" t="s">
        <v>160</v>
      </c>
      <c r="Q608" s="7" t="str">
        <f t="shared" si="9"/>
        <v>Yes</v>
      </c>
    </row>
    <row r="609" spans="1:17" ht="15" customHeight="1" x14ac:dyDescent="0.2">
      <c r="A609" s="7">
        <v>2020</v>
      </c>
      <c r="B609" s="7" t="s">
        <v>638</v>
      </c>
      <c r="C609" s="7">
        <v>19</v>
      </c>
      <c r="D609" s="7" t="s">
        <v>661</v>
      </c>
      <c r="E609" s="7" t="s">
        <v>1228</v>
      </c>
      <c r="F609" s="8">
        <v>192100</v>
      </c>
      <c r="G609" s="8">
        <v>151475</v>
      </c>
      <c r="H609" s="8">
        <v>3039276.01</v>
      </c>
      <c r="I609" s="8">
        <v>125466.5</v>
      </c>
      <c r="J609" s="13">
        <v>0.55912100705813905</v>
      </c>
      <c r="K609" s="13">
        <v>0.96035491051687505</v>
      </c>
      <c r="L609" s="7">
        <v>1</v>
      </c>
      <c r="M609" s="13">
        <v>0.69252239540070104</v>
      </c>
      <c r="N609" s="13">
        <v>-13.3401388342562</v>
      </c>
      <c r="O609" s="7">
        <v>1</v>
      </c>
      <c r="P609" s="7" t="s">
        <v>160</v>
      </c>
      <c r="Q609" s="7" t="str">
        <f t="shared" si="9"/>
        <v>Yes</v>
      </c>
    </row>
    <row r="610" spans="1:17" ht="15" customHeight="1" x14ac:dyDescent="0.2">
      <c r="A610" s="7">
        <v>2020</v>
      </c>
      <c r="B610" s="7" t="s">
        <v>638</v>
      </c>
      <c r="C610" s="7">
        <v>20</v>
      </c>
      <c r="D610" s="7" t="s">
        <v>1229</v>
      </c>
      <c r="E610" s="7" t="s">
        <v>1230</v>
      </c>
      <c r="F610" s="8">
        <v>219705</v>
      </c>
      <c r="G610" s="8">
        <v>139446</v>
      </c>
      <c r="H610" s="8">
        <v>1425104.59</v>
      </c>
      <c r="I610" s="8">
        <v>346623.66</v>
      </c>
      <c r="J610" s="13">
        <v>0.61173434015219197</v>
      </c>
      <c r="K610" s="13">
        <v>0.80435845056938104</v>
      </c>
      <c r="L610" s="7">
        <v>1</v>
      </c>
      <c r="M610" s="13">
        <v>0.64102614977379102</v>
      </c>
      <c r="N610" s="13">
        <v>-2.9291809621598701</v>
      </c>
      <c r="O610" s="7">
        <v>1</v>
      </c>
      <c r="P610" s="7" t="s">
        <v>160</v>
      </c>
      <c r="Q610" s="7" t="str">
        <f t="shared" si="9"/>
        <v>Yes</v>
      </c>
    </row>
    <row r="611" spans="1:17" ht="15" customHeight="1" x14ac:dyDescent="0.2">
      <c r="A611" s="7">
        <v>2020</v>
      </c>
      <c r="B611" s="7" t="s">
        <v>638</v>
      </c>
      <c r="C611" s="7">
        <v>21</v>
      </c>
      <c r="D611" s="7" t="s">
        <v>663</v>
      </c>
      <c r="E611" s="7" t="s">
        <v>664</v>
      </c>
      <c r="F611" s="8">
        <v>131995</v>
      </c>
      <c r="G611" s="8">
        <v>188655</v>
      </c>
      <c r="H611" s="8">
        <v>5706543.6699999999</v>
      </c>
      <c r="I611" s="8">
        <v>11804709.52</v>
      </c>
      <c r="J611" s="13">
        <v>0.411648214564167</v>
      </c>
      <c r="K611" s="13">
        <v>0.32587865688897599</v>
      </c>
      <c r="L611" s="7">
        <v>-1</v>
      </c>
      <c r="M611" s="13">
        <v>0.40385262478151102</v>
      </c>
      <c r="N611" s="13">
        <v>0.77955897826551601</v>
      </c>
      <c r="O611" s="7">
        <v>1</v>
      </c>
      <c r="P611" s="7" t="s">
        <v>160</v>
      </c>
      <c r="Q611" s="7" t="str">
        <f t="shared" si="9"/>
        <v>Yes</v>
      </c>
    </row>
    <row r="612" spans="1:17" ht="15" customHeight="1" x14ac:dyDescent="0.2">
      <c r="A612" s="7">
        <v>2020</v>
      </c>
      <c r="B612" s="7" t="s">
        <v>638</v>
      </c>
      <c r="C612" s="7">
        <v>22</v>
      </c>
      <c r="D612" s="7" t="s">
        <v>665</v>
      </c>
      <c r="E612" s="7" t="s">
        <v>1231</v>
      </c>
      <c r="F612" s="8">
        <v>155989</v>
      </c>
      <c r="G612" s="8">
        <v>156098</v>
      </c>
      <c r="H612" s="8">
        <v>13859832.91</v>
      </c>
      <c r="I612" s="8">
        <v>13679929.48</v>
      </c>
      <c r="J612" s="13">
        <v>0.49982536920794501</v>
      </c>
      <c r="K612" s="13">
        <v>0.50326624876882198</v>
      </c>
      <c r="L612" s="7">
        <v>1</v>
      </c>
      <c r="M612" s="13">
        <v>0.54163211233545905</v>
      </c>
      <c r="N612" s="13">
        <v>-4.1806743127513402</v>
      </c>
      <c r="O612" s="7">
        <v>0</v>
      </c>
      <c r="P612" s="7" t="s">
        <v>160</v>
      </c>
      <c r="Q612" s="7" t="str">
        <f t="shared" si="9"/>
        <v>Yes</v>
      </c>
    </row>
    <row r="613" spans="1:17" ht="15" customHeight="1" x14ac:dyDescent="0.2">
      <c r="A613" s="7">
        <v>2020</v>
      </c>
      <c r="B613" s="7" t="s">
        <v>638</v>
      </c>
      <c r="C613" s="7">
        <v>23</v>
      </c>
      <c r="D613" s="7" t="s">
        <v>667</v>
      </c>
      <c r="E613" s="7" t="s">
        <v>1232</v>
      </c>
      <c r="F613" s="8">
        <v>128976</v>
      </c>
      <c r="G613" s="8">
        <v>181021</v>
      </c>
      <c r="H613" s="8">
        <v>1564613.53</v>
      </c>
      <c r="I613" s="8">
        <v>3380956.52</v>
      </c>
      <c r="J613" s="13">
        <v>0.416055639248122</v>
      </c>
      <c r="K613" s="13">
        <v>0.31636667041042099</v>
      </c>
      <c r="L613" s="7">
        <v>-1</v>
      </c>
      <c r="M613" s="13">
        <v>0.40071260742301201</v>
      </c>
      <c r="N613" s="13">
        <v>1.5343031825109399</v>
      </c>
      <c r="O613" s="7">
        <v>1</v>
      </c>
      <c r="P613" s="7" t="s">
        <v>160</v>
      </c>
      <c r="Q613" s="7" t="str">
        <f t="shared" si="9"/>
        <v>Yes</v>
      </c>
    </row>
    <row r="614" spans="1:17" ht="15" customHeight="1" x14ac:dyDescent="0.2">
      <c r="A614" s="7">
        <v>2020</v>
      </c>
      <c r="B614" s="7" t="s">
        <v>638</v>
      </c>
      <c r="C614" s="7">
        <v>24</v>
      </c>
      <c r="D614" s="7" t="s">
        <v>669</v>
      </c>
      <c r="E614" s="7" t="s">
        <v>670</v>
      </c>
      <c r="F614" s="8">
        <v>147877</v>
      </c>
      <c r="G614" s="8">
        <v>182809</v>
      </c>
      <c r="H614" s="8">
        <v>8898670.4199999999</v>
      </c>
      <c r="I614" s="8">
        <v>9437342.1699999999</v>
      </c>
      <c r="J614" s="13">
        <v>0.44718252360245098</v>
      </c>
      <c r="K614" s="13">
        <v>0.48531109892742502</v>
      </c>
      <c r="L614" s="7">
        <v>-1</v>
      </c>
      <c r="M614" s="13">
        <v>0.45648312805622299</v>
      </c>
      <c r="N614" s="13">
        <v>-0.930060445377212</v>
      </c>
      <c r="O614" s="7">
        <v>1</v>
      </c>
      <c r="P614" s="7" t="s">
        <v>160</v>
      </c>
      <c r="Q614" s="7" t="str">
        <f t="shared" si="9"/>
        <v>Yes</v>
      </c>
    </row>
    <row r="615" spans="1:17" ht="15" customHeight="1" x14ac:dyDescent="0.2">
      <c r="A615" s="7">
        <v>2020</v>
      </c>
      <c r="B615" s="7" t="s">
        <v>638</v>
      </c>
      <c r="C615" s="7">
        <v>25</v>
      </c>
      <c r="D615" s="7" t="s">
        <v>671</v>
      </c>
      <c r="E615" s="7" t="s">
        <v>1233</v>
      </c>
      <c r="F615" s="8">
        <v>206396</v>
      </c>
      <c r="G615" s="8">
        <v>136198</v>
      </c>
      <c r="H615" s="8">
        <v>1317834.6499999999</v>
      </c>
      <c r="I615" s="8">
        <v>279047.05</v>
      </c>
      <c r="J615" s="13">
        <v>0.60245071425652497</v>
      </c>
      <c r="K615" s="13">
        <v>0.82525502671863504</v>
      </c>
      <c r="L615" s="7">
        <v>1</v>
      </c>
      <c r="M615" s="13">
        <v>0.647924352582404</v>
      </c>
      <c r="N615" s="13">
        <v>-4.54736383258785</v>
      </c>
      <c r="O615" s="7">
        <v>1</v>
      </c>
      <c r="P615" s="7" t="s">
        <v>160</v>
      </c>
      <c r="Q615" s="7" t="str">
        <f t="shared" si="9"/>
        <v>Yes</v>
      </c>
    </row>
    <row r="616" spans="1:17" ht="15" customHeight="1" x14ac:dyDescent="0.2">
      <c r="A616" s="7">
        <v>2020</v>
      </c>
      <c r="B616" s="7" t="s">
        <v>638</v>
      </c>
      <c r="C616" s="7">
        <v>27</v>
      </c>
      <c r="D616" s="7" t="s">
        <v>673</v>
      </c>
      <c r="E616" s="7" t="s">
        <v>1234</v>
      </c>
      <c r="F616" s="8">
        <v>149449</v>
      </c>
      <c r="G616" s="8">
        <v>228885</v>
      </c>
      <c r="H616" s="8">
        <v>1258051.76</v>
      </c>
      <c r="I616" s="8">
        <v>2092398.64</v>
      </c>
      <c r="J616" s="13">
        <v>0.39501868719174099</v>
      </c>
      <c r="K616" s="13">
        <v>0.37548735537168398</v>
      </c>
      <c r="L616" s="7">
        <v>0</v>
      </c>
      <c r="M616" s="13">
        <v>0.459839923338344</v>
      </c>
      <c r="N616" s="13">
        <v>-6.4821236146603196</v>
      </c>
      <c r="O616" s="7">
        <v>1</v>
      </c>
      <c r="P616" s="7" t="s">
        <v>160</v>
      </c>
      <c r="Q616" s="7" t="str">
        <f t="shared" si="9"/>
        <v>Yes</v>
      </c>
    </row>
    <row r="617" spans="1:17" ht="15" customHeight="1" x14ac:dyDescent="0.2">
      <c r="A617" s="7">
        <v>2020</v>
      </c>
      <c r="B617" s="7" t="s">
        <v>675</v>
      </c>
      <c r="C617" s="7">
        <v>1</v>
      </c>
      <c r="D617" s="7" t="s">
        <v>1235</v>
      </c>
      <c r="E617" s="7" t="s">
        <v>677</v>
      </c>
      <c r="F617" s="8">
        <v>172022</v>
      </c>
      <c r="G617" s="8">
        <v>199560</v>
      </c>
      <c r="H617" s="8">
        <v>10105161.949999999</v>
      </c>
      <c r="I617" s="8">
        <v>7606344.1900000004</v>
      </c>
      <c r="J617" s="13">
        <v>0.46294492198222698</v>
      </c>
      <c r="K617" s="13">
        <v>0.57054221533302096</v>
      </c>
      <c r="L617" s="7">
        <v>-1</v>
      </c>
      <c r="M617" s="13">
        <v>0.48461891079741798</v>
      </c>
      <c r="N617" s="13">
        <v>-2.1673988815190799</v>
      </c>
      <c r="O617" s="7">
        <v>1</v>
      </c>
      <c r="P617" s="7" t="s">
        <v>160</v>
      </c>
      <c r="Q617" s="7" t="str">
        <f t="shared" si="9"/>
        <v>Yes</v>
      </c>
    </row>
    <row r="618" spans="1:17" ht="15" customHeight="1" x14ac:dyDescent="0.2">
      <c r="A618" s="7">
        <v>2020</v>
      </c>
      <c r="B618" s="7" t="s">
        <v>675</v>
      </c>
      <c r="C618" s="7">
        <v>2</v>
      </c>
      <c r="D618" s="7" t="s">
        <v>1236</v>
      </c>
      <c r="E618" s="7" t="s">
        <v>679</v>
      </c>
      <c r="F618" s="8">
        <v>146781</v>
      </c>
      <c r="G618" s="8">
        <v>230430</v>
      </c>
      <c r="H618" s="8">
        <v>279714.21000000002</v>
      </c>
      <c r="I618" s="8">
        <v>1764297.55</v>
      </c>
      <c r="J618" s="13">
        <v>0.38912173823138801</v>
      </c>
      <c r="K618" s="13">
        <v>0.13684569505607899</v>
      </c>
      <c r="L618" s="7">
        <v>-1</v>
      </c>
      <c r="M618" s="13">
        <v>0.34145064567630901</v>
      </c>
      <c r="N618" s="13">
        <v>4.7671092555078802</v>
      </c>
      <c r="O618" s="7">
        <v>1</v>
      </c>
      <c r="P618" s="7" t="s">
        <v>160</v>
      </c>
      <c r="Q618" s="7" t="str">
        <f t="shared" si="9"/>
        <v>Yes</v>
      </c>
    </row>
    <row r="619" spans="1:17" ht="15" customHeight="1" x14ac:dyDescent="0.2">
      <c r="A619" s="7">
        <v>2020</v>
      </c>
      <c r="B619" s="7" t="s">
        <v>675</v>
      </c>
      <c r="C619" s="7">
        <v>5</v>
      </c>
      <c r="D619" s="7" t="s">
        <v>1237</v>
      </c>
      <c r="E619" s="7" t="s">
        <v>683</v>
      </c>
      <c r="F619" s="8">
        <v>120962</v>
      </c>
      <c r="G619" s="8">
        <v>257019</v>
      </c>
      <c r="H619" s="8">
        <v>254708.36</v>
      </c>
      <c r="I619" s="8">
        <v>1491485.88</v>
      </c>
      <c r="J619" s="13">
        <v>0.320021376735868</v>
      </c>
      <c r="K619" s="13">
        <v>0.14586484949119999</v>
      </c>
      <c r="L619" s="7">
        <v>-1</v>
      </c>
      <c r="M619" s="13">
        <v>0.34442797344576198</v>
      </c>
      <c r="N619" s="13">
        <v>-2.4406596709894002</v>
      </c>
      <c r="O619" s="7">
        <v>1</v>
      </c>
      <c r="P619" s="7" t="s">
        <v>160</v>
      </c>
      <c r="Q619" s="7" t="str">
        <f t="shared" si="9"/>
        <v>Yes</v>
      </c>
    </row>
    <row r="620" spans="1:17" ht="15" customHeight="1" x14ac:dyDescent="0.2">
      <c r="A620" s="7">
        <v>2020</v>
      </c>
      <c r="B620" s="7" t="s">
        <v>675</v>
      </c>
      <c r="C620" s="7">
        <v>6</v>
      </c>
      <c r="D620" s="7" t="s">
        <v>684</v>
      </c>
      <c r="E620" s="7" t="s">
        <v>685</v>
      </c>
      <c r="F620" s="8">
        <v>85661</v>
      </c>
      <c r="G620" s="8">
        <v>249130</v>
      </c>
      <c r="H620" s="8">
        <v>1324.4</v>
      </c>
      <c r="I620" s="8">
        <v>1861524.89</v>
      </c>
      <c r="J620" s="13">
        <v>0.25586410626331102</v>
      </c>
      <c r="K620" s="13">
        <v>7.10953917265095E-4</v>
      </c>
      <c r="L620" s="7">
        <v>-1</v>
      </c>
      <c r="M620" s="13">
        <v>0.29651098441476698</v>
      </c>
      <c r="N620" s="13">
        <v>-4.0646878151456196</v>
      </c>
      <c r="O620" s="7">
        <v>1</v>
      </c>
      <c r="P620" s="7" t="s">
        <v>160</v>
      </c>
      <c r="Q620" s="7" t="str">
        <f t="shared" si="9"/>
        <v>Yes</v>
      </c>
    </row>
    <row r="621" spans="1:17" ht="15" customHeight="1" x14ac:dyDescent="0.2">
      <c r="A621" s="7">
        <v>2020</v>
      </c>
      <c r="B621" s="7" t="s">
        <v>675</v>
      </c>
      <c r="C621" s="7">
        <v>8</v>
      </c>
      <c r="D621" s="7" t="s">
        <v>688</v>
      </c>
      <c r="E621" s="7" t="s">
        <v>689</v>
      </c>
      <c r="F621" s="8">
        <v>110766</v>
      </c>
      <c r="G621" s="8">
        <v>246277</v>
      </c>
      <c r="H621" s="8">
        <v>44292.85</v>
      </c>
      <c r="I621" s="8">
        <v>856017.88</v>
      </c>
      <c r="J621" s="13">
        <v>0.310231540738791</v>
      </c>
      <c r="K621" s="13">
        <v>4.9197292139348398E-2</v>
      </c>
      <c r="L621" s="7">
        <v>-1</v>
      </c>
      <c r="M621" s="13">
        <v>0.31251688854537502</v>
      </c>
      <c r="N621" s="13">
        <v>-0.22853478065840699</v>
      </c>
      <c r="O621" s="7">
        <v>1</v>
      </c>
      <c r="P621" s="7" t="s">
        <v>160</v>
      </c>
      <c r="Q621" s="7" t="str">
        <f t="shared" si="9"/>
        <v>Yes</v>
      </c>
    </row>
    <row r="622" spans="1:17" ht="15" customHeight="1" x14ac:dyDescent="0.2">
      <c r="A622" s="7">
        <v>2020</v>
      </c>
      <c r="B622" s="7" t="s">
        <v>675</v>
      </c>
      <c r="C622" s="7">
        <v>9</v>
      </c>
      <c r="D622" s="7" t="s">
        <v>690</v>
      </c>
      <c r="E622" s="7" t="s">
        <v>1238</v>
      </c>
      <c r="F622" s="8">
        <v>190328</v>
      </c>
      <c r="G622" s="8">
        <v>111385</v>
      </c>
      <c r="H622" s="8">
        <v>987307.77</v>
      </c>
      <c r="I622" s="8">
        <v>123262.38</v>
      </c>
      <c r="J622" s="13">
        <v>0.63082465787022801</v>
      </c>
      <c r="K622" s="13">
        <v>0.88900982076638801</v>
      </c>
      <c r="L622" s="7">
        <v>1</v>
      </c>
      <c r="M622" s="13">
        <v>0.66897055154923402</v>
      </c>
      <c r="N622" s="13">
        <v>-3.8145893679006</v>
      </c>
      <c r="O622" s="7">
        <v>1</v>
      </c>
      <c r="P622" s="7" t="s">
        <v>160</v>
      </c>
      <c r="Q622" s="7" t="str">
        <f t="shared" si="9"/>
        <v>Yes</v>
      </c>
    </row>
    <row r="623" spans="1:17" ht="15" customHeight="1" x14ac:dyDescent="0.2">
      <c r="A623" s="7">
        <v>2020</v>
      </c>
      <c r="B623" s="7" t="s">
        <v>675</v>
      </c>
      <c r="C623" s="7">
        <v>10</v>
      </c>
      <c r="D623" s="7" t="s">
        <v>1239</v>
      </c>
      <c r="E623" s="7" t="s">
        <v>693</v>
      </c>
      <c r="F623" s="8">
        <v>151976</v>
      </c>
      <c r="G623" s="8">
        <v>212972</v>
      </c>
      <c r="H623" s="8">
        <v>2079531.63</v>
      </c>
      <c r="I623" s="8">
        <v>1752814.75</v>
      </c>
      <c r="J623" s="13">
        <v>0.41643193002838802</v>
      </c>
      <c r="K623" s="13">
        <v>0.54262622002346295</v>
      </c>
      <c r="L623" s="7">
        <v>-1</v>
      </c>
      <c r="M623" s="13">
        <v>0.475403516089971</v>
      </c>
      <c r="N623" s="13">
        <v>-5.8971586061583201</v>
      </c>
      <c r="O623" s="7">
        <v>1</v>
      </c>
      <c r="P623" s="7" t="s">
        <v>160</v>
      </c>
      <c r="Q623" s="7" t="str">
        <f t="shared" si="9"/>
        <v>Yes</v>
      </c>
    </row>
    <row r="624" spans="1:17" ht="15" customHeight="1" x14ac:dyDescent="0.2">
      <c r="A624" s="7">
        <v>2020</v>
      </c>
      <c r="B624" s="7" t="s">
        <v>675</v>
      </c>
      <c r="C624" s="7">
        <v>11</v>
      </c>
      <c r="D624" s="7" t="s">
        <v>694</v>
      </c>
      <c r="E624" s="7" t="s">
        <v>1240</v>
      </c>
      <c r="F624" s="8">
        <v>242098</v>
      </c>
      <c r="G624" s="8">
        <v>60323</v>
      </c>
      <c r="H624" s="8">
        <v>526604.97</v>
      </c>
      <c r="I624" s="8">
        <v>164194.91</v>
      </c>
      <c r="J624" s="13">
        <v>0.80053303176697399</v>
      </c>
      <c r="K624" s="13">
        <v>0.76231190138597005</v>
      </c>
      <c r="L624" s="7">
        <v>1</v>
      </c>
      <c r="M624" s="13">
        <v>0.62714609489791995</v>
      </c>
      <c r="N624" s="13">
        <v>17.338693686905401</v>
      </c>
      <c r="O624" s="7">
        <v>1</v>
      </c>
      <c r="P624" s="7" t="s">
        <v>160</v>
      </c>
      <c r="Q624" s="7" t="str">
        <f t="shared" si="9"/>
        <v>Yes</v>
      </c>
    </row>
    <row r="625" spans="1:17" ht="15" customHeight="1" x14ac:dyDescent="0.2">
      <c r="A625" s="7">
        <v>2020</v>
      </c>
      <c r="B625" s="7" t="s">
        <v>675</v>
      </c>
      <c r="C625" s="7">
        <v>12</v>
      </c>
      <c r="D625" s="7" t="s">
        <v>1241</v>
      </c>
      <c r="E625" s="7" t="s">
        <v>697</v>
      </c>
      <c r="F625" s="8">
        <v>182847</v>
      </c>
      <c r="G625" s="8">
        <v>241790</v>
      </c>
      <c r="H625" s="8">
        <v>1037442.82</v>
      </c>
      <c r="I625" s="8">
        <v>2004991.48</v>
      </c>
      <c r="J625" s="13">
        <v>0.43059601494923899</v>
      </c>
      <c r="K625" s="13">
        <v>0.340991034711908</v>
      </c>
      <c r="L625" s="7">
        <v>-1</v>
      </c>
      <c r="M625" s="13">
        <v>0.40884139645388301</v>
      </c>
      <c r="N625" s="13">
        <v>2.1754618495355702</v>
      </c>
      <c r="O625" s="7">
        <v>1</v>
      </c>
      <c r="P625" s="7" t="s">
        <v>160</v>
      </c>
      <c r="Q625" s="7" t="str">
        <f t="shared" si="9"/>
        <v>Yes</v>
      </c>
    </row>
    <row r="626" spans="1:17" ht="15" customHeight="1" x14ac:dyDescent="0.2">
      <c r="A626" s="7">
        <v>2020</v>
      </c>
      <c r="B626" s="7" t="s">
        <v>675</v>
      </c>
      <c r="C626" s="7">
        <v>13</v>
      </c>
      <c r="D626" s="7" t="s">
        <v>698</v>
      </c>
      <c r="E626" s="7" t="s">
        <v>1242</v>
      </c>
      <c r="F626" s="8">
        <v>173631</v>
      </c>
      <c r="G626" s="8">
        <v>148648</v>
      </c>
      <c r="H626" s="8">
        <v>2189544.91</v>
      </c>
      <c r="I626" s="8">
        <v>1173934.1100000001</v>
      </c>
      <c r="J626" s="13">
        <v>0.53875989437723204</v>
      </c>
      <c r="K626" s="13">
        <v>0.65097623531482596</v>
      </c>
      <c r="L626" s="7">
        <v>1</v>
      </c>
      <c r="M626" s="13">
        <v>0.59039289672300599</v>
      </c>
      <c r="N626" s="13">
        <v>-5.1633002345774202</v>
      </c>
      <c r="O626" s="7">
        <v>1</v>
      </c>
      <c r="P626" s="7" t="s">
        <v>160</v>
      </c>
      <c r="Q626" s="7" t="str">
        <f t="shared" si="9"/>
        <v>Yes</v>
      </c>
    </row>
    <row r="627" spans="1:17" ht="15" customHeight="1" x14ac:dyDescent="0.2">
      <c r="A627" s="7">
        <v>2020</v>
      </c>
      <c r="B627" s="7" t="s">
        <v>675</v>
      </c>
      <c r="C627" s="7">
        <v>14</v>
      </c>
      <c r="D627" s="7" t="s">
        <v>1243</v>
      </c>
      <c r="E627" s="7" t="s">
        <v>701</v>
      </c>
      <c r="F627" s="8">
        <v>158586</v>
      </c>
      <c r="G627" s="8">
        <v>233864</v>
      </c>
      <c r="H627" s="8">
        <v>579947.59</v>
      </c>
      <c r="I627" s="8">
        <v>2612326.17</v>
      </c>
      <c r="J627" s="13">
        <v>0.404092241049815</v>
      </c>
      <c r="K627" s="13">
        <v>0.18167226046427801</v>
      </c>
      <c r="L627" s="7">
        <v>-1</v>
      </c>
      <c r="M627" s="13">
        <v>0.35624841623884801</v>
      </c>
      <c r="N627" s="13">
        <v>4.7843824810967304</v>
      </c>
      <c r="O627" s="7">
        <v>1</v>
      </c>
      <c r="P627" s="7" t="s">
        <v>160</v>
      </c>
      <c r="Q627" s="7" t="str">
        <f t="shared" si="9"/>
        <v>Yes</v>
      </c>
    </row>
    <row r="628" spans="1:17" ht="15" customHeight="1" x14ac:dyDescent="0.2">
      <c r="A628" s="7">
        <v>2020</v>
      </c>
      <c r="B628" s="7" t="s">
        <v>675</v>
      </c>
      <c r="C628" s="7">
        <v>15</v>
      </c>
      <c r="D628" s="7" t="s">
        <v>1244</v>
      </c>
      <c r="E628" s="7" t="s">
        <v>703</v>
      </c>
      <c r="F628" s="8">
        <v>140183</v>
      </c>
      <c r="G628" s="8">
        <v>243103</v>
      </c>
      <c r="H628" s="8">
        <v>56016.959999999999</v>
      </c>
      <c r="I628" s="8">
        <v>2305320.33</v>
      </c>
      <c r="J628" s="13">
        <v>0.36573994354085498</v>
      </c>
      <c r="K628" s="13">
        <v>2.3722557652913701E-2</v>
      </c>
      <c r="L628" s="7">
        <v>-1</v>
      </c>
      <c r="M628" s="13">
        <v>0.30410738242686902</v>
      </c>
      <c r="N628" s="13">
        <v>6.16325611139861</v>
      </c>
      <c r="O628" s="7">
        <v>1</v>
      </c>
      <c r="P628" s="7" t="s">
        <v>160</v>
      </c>
      <c r="Q628" s="7" t="str">
        <f t="shared" si="9"/>
        <v>Yes</v>
      </c>
    </row>
    <row r="629" spans="1:17" ht="15" customHeight="1" x14ac:dyDescent="0.2">
      <c r="A629" s="7">
        <v>2020</v>
      </c>
      <c r="B629" s="7" t="s">
        <v>675</v>
      </c>
      <c r="C629" s="7">
        <v>16</v>
      </c>
      <c r="D629" s="7" t="s">
        <v>1245</v>
      </c>
      <c r="E629" s="7" t="s">
        <v>705</v>
      </c>
      <c r="F629" s="8">
        <v>144071</v>
      </c>
      <c r="G629" s="8">
        <v>247335</v>
      </c>
      <c r="H629" s="8">
        <v>61179.54</v>
      </c>
      <c r="I629" s="8">
        <v>1895208.47</v>
      </c>
      <c r="J629" s="13">
        <v>0.36808582392707301</v>
      </c>
      <c r="K629" s="13">
        <v>3.1271680099900001E-2</v>
      </c>
      <c r="L629" s="7">
        <v>-1</v>
      </c>
      <c r="M629" s="13">
        <v>0.30659943554094898</v>
      </c>
      <c r="N629" s="13">
        <v>6.1486388386124498</v>
      </c>
      <c r="O629" s="7">
        <v>1</v>
      </c>
      <c r="P629" s="7" t="s">
        <v>160</v>
      </c>
      <c r="Q629" s="7" t="str">
        <f t="shared" si="9"/>
        <v>Yes</v>
      </c>
    </row>
    <row r="630" spans="1:17" ht="15" customHeight="1" x14ac:dyDescent="0.2">
      <c r="A630" s="7">
        <v>2020</v>
      </c>
      <c r="B630" s="7" t="s">
        <v>706</v>
      </c>
      <c r="C630" s="7">
        <v>1</v>
      </c>
      <c r="D630" s="7" t="s">
        <v>1246</v>
      </c>
      <c r="E630" s="7" t="s">
        <v>708</v>
      </c>
      <c r="F630" s="8">
        <v>109641</v>
      </c>
      <c r="G630" s="8">
        <v>213700</v>
      </c>
      <c r="H630" s="8">
        <v>211678.26</v>
      </c>
      <c r="I630" s="8">
        <v>1160066.4099999999</v>
      </c>
      <c r="J630" s="13">
        <v>0.33908783606161902</v>
      </c>
      <c r="K630" s="13">
        <v>0.154313163833908</v>
      </c>
      <c r="L630" s="7">
        <v>-1</v>
      </c>
      <c r="M630" s="13">
        <v>0.347216860261987</v>
      </c>
      <c r="N630" s="13">
        <v>-0.81290242003682101</v>
      </c>
      <c r="O630" s="7">
        <v>1</v>
      </c>
      <c r="P630" s="7" t="s">
        <v>160</v>
      </c>
      <c r="Q630" s="7" t="str">
        <f t="shared" si="9"/>
        <v>Yes</v>
      </c>
    </row>
    <row r="631" spans="1:17" ht="15" customHeight="1" x14ac:dyDescent="0.2">
      <c r="A631" s="7">
        <v>2020</v>
      </c>
      <c r="B631" s="7" t="s">
        <v>706</v>
      </c>
      <c r="C631" s="7">
        <v>2</v>
      </c>
      <c r="D631" s="7" t="s">
        <v>1247</v>
      </c>
      <c r="E631" s="7" t="s">
        <v>710</v>
      </c>
      <c r="F631" s="8">
        <v>63472</v>
      </c>
      <c r="G631" s="8">
        <v>216511</v>
      </c>
      <c r="H631" s="8">
        <v>42015.27</v>
      </c>
      <c r="I631" s="8">
        <v>1088383.8799999999</v>
      </c>
      <c r="J631" s="13">
        <v>0.226699478182604</v>
      </c>
      <c r="K631" s="13">
        <v>3.716852582559E-2</v>
      </c>
      <c r="L631" s="7">
        <v>-1</v>
      </c>
      <c r="M631" s="13">
        <v>0.30854605289378101</v>
      </c>
      <c r="N631" s="13">
        <v>-8.1846574711176494</v>
      </c>
      <c r="O631" s="7">
        <v>1</v>
      </c>
      <c r="P631" s="7" t="s">
        <v>160</v>
      </c>
      <c r="Q631" s="7" t="str">
        <f t="shared" si="9"/>
        <v>Yes</v>
      </c>
    </row>
    <row r="632" spans="1:17" ht="15" customHeight="1" x14ac:dyDescent="0.2">
      <c r="A632" s="7">
        <v>2020</v>
      </c>
      <c r="B632" s="7" t="s">
        <v>706</v>
      </c>
      <c r="C632" s="7">
        <v>3</v>
      </c>
      <c r="D632" s="7" t="s">
        <v>1248</v>
      </c>
      <c r="E632" s="7" t="s">
        <v>1249</v>
      </c>
      <c r="F632" s="8">
        <v>66501</v>
      </c>
      <c r="G632" s="8">
        <v>242677</v>
      </c>
      <c r="H632" s="8">
        <v>0</v>
      </c>
      <c r="I632" s="8">
        <v>1045125.94</v>
      </c>
      <c r="J632" s="13">
        <v>0.215089689434565</v>
      </c>
      <c r="K632" s="13">
        <v>0</v>
      </c>
      <c r="L632" s="7">
        <v>-1</v>
      </c>
      <c r="M632" s="13">
        <v>0.29627629025846802</v>
      </c>
      <c r="N632" s="13">
        <v>-8.1186600823903206</v>
      </c>
      <c r="O632" s="7">
        <v>1</v>
      </c>
      <c r="P632" s="7" t="s">
        <v>160</v>
      </c>
      <c r="Q632" s="7" t="str">
        <f t="shared" si="9"/>
        <v>Yes</v>
      </c>
    </row>
    <row r="633" spans="1:17" ht="15" customHeight="1" x14ac:dyDescent="0.2">
      <c r="A633" s="7">
        <v>2020</v>
      </c>
      <c r="B633" s="7" t="s">
        <v>706</v>
      </c>
      <c r="C633" s="7">
        <v>4</v>
      </c>
      <c r="D633" s="7" t="s">
        <v>711</v>
      </c>
      <c r="E633" s="7" t="s">
        <v>712</v>
      </c>
      <c r="F633" s="8">
        <v>90459</v>
      </c>
      <c r="G633" s="8">
        <v>213096</v>
      </c>
      <c r="H633" s="8">
        <v>6638.97</v>
      </c>
      <c r="I633" s="8">
        <v>1757230.27</v>
      </c>
      <c r="J633" s="13">
        <v>0.29799871522458898</v>
      </c>
      <c r="K633" s="13">
        <v>3.7638674395160999E-3</v>
      </c>
      <c r="L633" s="7">
        <v>-1</v>
      </c>
      <c r="M633" s="13">
        <v>0.29751878667305198</v>
      </c>
      <c r="N633" s="13">
        <v>4.79928551536946E-2</v>
      </c>
      <c r="O633" s="7">
        <v>1</v>
      </c>
      <c r="P633" s="7" t="s">
        <v>160</v>
      </c>
      <c r="Q633" s="7" t="str">
        <f t="shared" si="9"/>
        <v>Yes</v>
      </c>
    </row>
    <row r="634" spans="1:17" ht="15" customHeight="1" x14ac:dyDescent="0.2">
      <c r="A634" s="7">
        <v>2020</v>
      </c>
      <c r="B634" s="7" t="s">
        <v>706</v>
      </c>
      <c r="C634" s="7">
        <v>5</v>
      </c>
      <c r="D634" s="7" t="s">
        <v>1250</v>
      </c>
      <c r="E634" s="7" t="s">
        <v>1251</v>
      </c>
      <c r="F634" s="8">
        <v>145658</v>
      </c>
      <c r="G634" s="8">
        <v>158191</v>
      </c>
      <c r="H634" s="8">
        <v>13729946.74</v>
      </c>
      <c r="I634" s="8">
        <v>12260045</v>
      </c>
      <c r="J634" s="13">
        <v>0.47937626913368198</v>
      </c>
      <c r="K634" s="13">
        <v>0.52827822637853605</v>
      </c>
      <c r="L634" s="7">
        <v>1</v>
      </c>
      <c r="M634" s="13">
        <v>0.54988885702721702</v>
      </c>
      <c r="N634" s="13">
        <v>-7.0512587893535397</v>
      </c>
      <c r="O634" s="7">
        <v>0</v>
      </c>
      <c r="P634" s="7" t="s">
        <v>160</v>
      </c>
      <c r="Q634" s="7" t="str">
        <f t="shared" si="9"/>
        <v>Yes</v>
      </c>
    </row>
    <row r="635" spans="1:17" ht="15" customHeight="1" x14ac:dyDescent="0.2">
      <c r="A635" s="7">
        <v>2020</v>
      </c>
      <c r="B635" s="7" t="s">
        <v>1252</v>
      </c>
      <c r="C635" s="7">
        <v>2</v>
      </c>
      <c r="D635" s="7" t="s">
        <v>1253</v>
      </c>
      <c r="E635" s="7" t="s">
        <v>1254</v>
      </c>
      <c r="F635" s="8">
        <v>168881</v>
      </c>
      <c r="G635" s="8">
        <v>273835</v>
      </c>
      <c r="H635" s="8">
        <v>79666.55</v>
      </c>
      <c r="I635" s="8">
        <v>1589765.88</v>
      </c>
      <c r="J635" s="13">
        <v>0.38146577038101198</v>
      </c>
      <c r="K635" s="13">
        <v>4.77207394371751E-2</v>
      </c>
      <c r="L635" s="7">
        <v>0</v>
      </c>
      <c r="M635" s="13">
        <v>0.35164035157789802</v>
      </c>
      <c r="N635" s="13">
        <v>2.9825418803113601</v>
      </c>
      <c r="O635" s="7">
        <v>1</v>
      </c>
      <c r="P635" s="7" t="s">
        <v>160</v>
      </c>
      <c r="Q635" s="7" t="str">
        <f t="shared" si="9"/>
        <v>Yes</v>
      </c>
    </row>
    <row r="636" spans="1:17" ht="15" customHeight="1" x14ac:dyDescent="0.2">
      <c r="A636" s="7">
        <v>2020</v>
      </c>
      <c r="B636" s="7" t="s">
        <v>1252</v>
      </c>
      <c r="C636" s="7">
        <v>5</v>
      </c>
      <c r="D636" s="7" t="s">
        <v>1255</v>
      </c>
      <c r="E636" s="7" t="s">
        <v>1256</v>
      </c>
      <c r="F636" s="8">
        <v>234863</v>
      </c>
      <c r="G636" s="8">
        <v>204372</v>
      </c>
      <c r="H636" s="8">
        <v>2042387.5</v>
      </c>
      <c r="I636" s="8">
        <v>221566.86</v>
      </c>
      <c r="J636" s="13">
        <v>0.53470921033159902</v>
      </c>
      <c r="K636" s="13">
        <v>0.902132806246147</v>
      </c>
      <c r="L636" s="7">
        <v>1</v>
      </c>
      <c r="M636" s="13">
        <v>0.67330260167300904</v>
      </c>
      <c r="N636" s="13">
        <v>-13.859339134141001</v>
      </c>
      <c r="O636" s="7">
        <v>1</v>
      </c>
      <c r="P636" s="7" t="s">
        <v>160</v>
      </c>
      <c r="Q636" s="7" t="str">
        <f t="shared" si="9"/>
        <v>Yes</v>
      </c>
    </row>
    <row r="637" spans="1:17" ht="15" customHeight="1" x14ac:dyDescent="0.2">
      <c r="A637" s="7">
        <v>2020</v>
      </c>
      <c r="B637" s="7" t="s">
        <v>715</v>
      </c>
      <c r="C637" s="7">
        <v>1</v>
      </c>
      <c r="D637" s="7" t="s">
        <v>1257</v>
      </c>
      <c r="E637" s="7" t="s">
        <v>717</v>
      </c>
      <c r="F637" s="8">
        <v>191875</v>
      </c>
      <c r="G637" s="8">
        <v>249804</v>
      </c>
      <c r="H637" s="8">
        <v>5329499.9800000004</v>
      </c>
      <c r="I637" s="8">
        <v>10508478.869999999</v>
      </c>
      <c r="J637" s="13">
        <v>0.43442183123943001</v>
      </c>
      <c r="K637" s="13">
        <v>0.336501268910332</v>
      </c>
      <c r="L637" s="7">
        <v>-1</v>
      </c>
      <c r="M637" s="13">
        <v>0.40735927254797499</v>
      </c>
      <c r="N637" s="13">
        <v>2.7062558691454699</v>
      </c>
      <c r="O637" s="7">
        <v>1</v>
      </c>
      <c r="P637" s="7" t="s">
        <v>160</v>
      </c>
      <c r="Q637" s="7" t="str">
        <f t="shared" si="9"/>
        <v>Yes</v>
      </c>
    </row>
    <row r="638" spans="1:17" ht="15" customHeight="1" x14ac:dyDescent="0.2">
      <c r="A638" s="7">
        <v>2020</v>
      </c>
      <c r="B638" s="7" t="s">
        <v>715</v>
      </c>
      <c r="C638" s="7">
        <v>3</v>
      </c>
      <c r="D638" s="7" t="s">
        <v>720</v>
      </c>
      <c r="E638" s="7" t="s">
        <v>1258</v>
      </c>
      <c r="F638" s="8">
        <v>341708</v>
      </c>
      <c r="G638" s="8">
        <v>33671</v>
      </c>
      <c r="H638" s="8">
        <v>798350.11</v>
      </c>
      <c r="I638" s="8">
        <v>159.71</v>
      </c>
      <c r="J638" s="13">
        <v>0.91030132213043402</v>
      </c>
      <c r="K638" s="13">
        <v>0.99979998993625396</v>
      </c>
      <c r="L638" s="7">
        <v>1</v>
      </c>
      <c r="M638" s="13">
        <v>0.70554367485304803</v>
      </c>
      <c r="N638" s="13">
        <v>20.4757647277385</v>
      </c>
      <c r="O638" s="7">
        <v>1</v>
      </c>
      <c r="P638" s="7" t="s">
        <v>160</v>
      </c>
      <c r="Q638" s="7" t="str">
        <f t="shared" si="9"/>
        <v>Yes</v>
      </c>
    </row>
    <row r="639" spans="1:17" ht="15" customHeight="1" x14ac:dyDescent="0.2">
      <c r="A639" s="7">
        <v>2020</v>
      </c>
      <c r="B639" s="7" t="s">
        <v>715</v>
      </c>
      <c r="C639" s="7">
        <v>4</v>
      </c>
      <c r="D639" s="7" t="s">
        <v>722</v>
      </c>
      <c r="E639" s="7" t="s">
        <v>1259</v>
      </c>
      <c r="F639" s="8">
        <v>264637</v>
      </c>
      <c r="G639" s="8">
        <v>179926</v>
      </c>
      <c r="H639" s="8">
        <v>1159473.08</v>
      </c>
      <c r="I639" s="8">
        <v>999326.67</v>
      </c>
      <c r="J639" s="13">
        <v>0.59527446053765198</v>
      </c>
      <c r="K639" s="13">
        <v>0.53709153894426798</v>
      </c>
      <c r="L639" s="7">
        <v>1</v>
      </c>
      <c r="M639" s="13">
        <v>0.55279823400169703</v>
      </c>
      <c r="N639" s="13">
        <v>4.2476226535954504</v>
      </c>
      <c r="O639" s="7">
        <v>1</v>
      </c>
      <c r="P639" s="7" t="s">
        <v>160</v>
      </c>
      <c r="Q639" s="7" t="str">
        <f t="shared" si="9"/>
        <v>Yes</v>
      </c>
    </row>
    <row r="640" spans="1:17" ht="15" customHeight="1" x14ac:dyDescent="0.2">
      <c r="A640" s="7">
        <v>2020</v>
      </c>
      <c r="B640" s="7" t="s">
        <v>715</v>
      </c>
      <c r="C640" s="7">
        <v>5</v>
      </c>
      <c r="D640" s="7" t="s">
        <v>724</v>
      </c>
      <c r="E640" s="7" t="s">
        <v>1260</v>
      </c>
      <c r="F640" s="8">
        <v>255743</v>
      </c>
      <c r="G640" s="8">
        <v>139552</v>
      </c>
      <c r="H640" s="8">
        <v>1389644.39</v>
      </c>
      <c r="I640" s="8">
        <v>86055.96</v>
      </c>
      <c r="J640" s="13">
        <v>0.64696745468574102</v>
      </c>
      <c r="K640" s="13">
        <v>0.94168466518287397</v>
      </c>
      <c r="L640" s="7">
        <v>1</v>
      </c>
      <c r="M640" s="13">
        <v>0.68635913028585105</v>
      </c>
      <c r="N640" s="13">
        <v>-3.9391675600110401</v>
      </c>
      <c r="O640" s="7">
        <v>1</v>
      </c>
      <c r="P640" s="7" t="s">
        <v>160</v>
      </c>
      <c r="Q640" s="7" t="str">
        <f t="shared" si="9"/>
        <v>Yes</v>
      </c>
    </row>
    <row r="641" spans="1:17" ht="15" customHeight="1" x14ac:dyDescent="0.2">
      <c r="A641" s="7">
        <v>2020</v>
      </c>
      <c r="B641" s="7" t="s">
        <v>715</v>
      </c>
      <c r="C641" s="7">
        <v>6</v>
      </c>
      <c r="D641" s="7" t="s">
        <v>726</v>
      </c>
      <c r="E641" s="7" t="s">
        <v>1261</v>
      </c>
      <c r="F641" s="8">
        <v>226440</v>
      </c>
      <c r="G641" s="8">
        <v>177526</v>
      </c>
      <c r="H641" s="8">
        <v>1484415.08</v>
      </c>
      <c r="I641" s="8">
        <v>806522.45</v>
      </c>
      <c r="J641" s="13">
        <v>0.56054222385052199</v>
      </c>
      <c r="K641" s="13">
        <v>0.64795091990133802</v>
      </c>
      <c r="L641" s="7">
        <v>1</v>
      </c>
      <c r="M641" s="13">
        <v>0.58939420492138295</v>
      </c>
      <c r="N641" s="13">
        <v>-2.8851981070860799</v>
      </c>
      <c r="O641" s="7">
        <v>1</v>
      </c>
      <c r="P641" s="7" t="s">
        <v>160</v>
      </c>
      <c r="Q641" s="7" t="str">
        <f t="shared" si="9"/>
        <v>Yes</v>
      </c>
    </row>
    <row r="642" spans="1:17" ht="15" customHeight="1" x14ac:dyDescent="0.2">
      <c r="A642" s="7">
        <v>2020</v>
      </c>
      <c r="B642" s="7" t="s">
        <v>715</v>
      </c>
      <c r="C642" s="7">
        <v>7</v>
      </c>
      <c r="D642" s="7" t="s">
        <v>728</v>
      </c>
      <c r="E642" s="7" t="s">
        <v>1262</v>
      </c>
      <c r="F642" s="8">
        <v>195475</v>
      </c>
      <c r="G642" s="8">
        <v>181407</v>
      </c>
      <c r="H642" s="8">
        <v>4642800.6100000003</v>
      </c>
      <c r="I642" s="8">
        <v>4389479.57</v>
      </c>
      <c r="J642" s="13">
        <v>0.51866366661183105</v>
      </c>
      <c r="K642" s="13">
        <v>0.51402309466445295</v>
      </c>
      <c r="L642" s="7">
        <v>1</v>
      </c>
      <c r="M642" s="13">
        <v>0.54518307226492502</v>
      </c>
      <c r="N642" s="13">
        <v>-2.6519405653094399</v>
      </c>
      <c r="O642" s="7">
        <v>1</v>
      </c>
      <c r="P642" s="7" t="s">
        <v>160</v>
      </c>
      <c r="Q642" s="7" t="str">
        <f t="shared" si="9"/>
        <v>Yes</v>
      </c>
    </row>
    <row r="643" spans="1:17" ht="15" customHeight="1" x14ac:dyDescent="0.2">
      <c r="A643" s="7">
        <v>2020</v>
      </c>
      <c r="B643" s="7" t="s">
        <v>715</v>
      </c>
      <c r="C643" s="7">
        <v>8</v>
      </c>
      <c r="D643" s="7" t="s">
        <v>1263</v>
      </c>
      <c r="E643" s="7" t="s">
        <v>1264</v>
      </c>
      <c r="F643" s="8">
        <v>178004</v>
      </c>
      <c r="G643" s="8">
        <v>165783</v>
      </c>
      <c r="H643" s="8">
        <v>5724485.54</v>
      </c>
      <c r="I643" s="8">
        <v>1791594.01</v>
      </c>
      <c r="J643" s="13">
        <v>0.51777408686192306</v>
      </c>
      <c r="K643" s="13">
        <v>0.76163184568742404</v>
      </c>
      <c r="L643" s="7">
        <v>1</v>
      </c>
      <c r="M643" s="13">
        <v>0.62692160060295898</v>
      </c>
      <c r="N643" s="13">
        <v>-10.9147513741036</v>
      </c>
      <c r="O643" s="7">
        <v>1</v>
      </c>
      <c r="P643" s="7" t="s">
        <v>160</v>
      </c>
      <c r="Q643" s="7" t="str">
        <f t="shared" si="9"/>
        <v>Yes</v>
      </c>
    </row>
    <row r="644" spans="1:17" ht="15" customHeight="1" x14ac:dyDescent="0.2">
      <c r="A644" s="7">
        <v>2020</v>
      </c>
      <c r="B644" s="7" t="s">
        <v>715</v>
      </c>
      <c r="C644" s="7">
        <v>9</v>
      </c>
      <c r="D644" s="7" t="s">
        <v>1265</v>
      </c>
      <c r="E644" s="7" t="s">
        <v>733</v>
      </c>
      <c r="F644" s="8">
        <v>118266</v>
      </c>
      <c r="G644" s="8">
        <v>232988</v>
      </c>
      <c r="H644" s="8">
        <v>225393.71</v>
      </c>
      <c r="I644" s="8">
        <v>954344.95</v>
      </c>
      <c r="J644" s="13">
        <v>0.336696521605448</v>
      </c>
      <c r="K644" s="13">
        <v>0.19105393223275399</v>
      </c>
      <c r="L644" s="7">
        <v>-1</v>
      </c>
      <c r="M644" s="13">
        <v>0.35934541519602398</v>
      </c>
      <c r="N644" s="13">
        <v>-2.2648893590575701</v>
      </c>
      <c r="O644" s="7">
        <v>1</v>
      </c>
      <c r="P644" s="7" t="s">
        <v>160</v>
      </c>
      <c r="Q644" s="7" t="str">
        <f t="shared" ref="Q644:Q707" si="10">IF(A644=2024,"No -- held out","Yes")</f>
        <v>Yes</v>
      </c>
    </row>
    <row r="645" spans="1:17" ht="15" customHeight="1" x14ac:dyDescent="0.2">
      <c r="A645" s="7">
        <v>2020</v>
      </c>
      <c r="B645" s="7" t="s">
        <v>715</v>
      </c>
      <c r="C645" s="7">
        <v>10</v>
      </c>
      <c r="D645" s="7" t="s">
        <v>1266</v>
      </c>
      <c r="E645" s="7" t="s">
        <v>735</v>
      </c>
      <c r="F645" s="8">
        <v>182938</v>
      </c>
      <c r="G645" s="8">
        <v>208896</v>
      </c>
      <c r="H645" s="8">
        <v>10295235.07</v>
      </c>
      <c r="I645" s="8">
        <v>9812133.8100000005</v>
      </c>
      <c r="J645" s="13">
        <v>0.46687627924069902</v>
      </c>
      <c r="K645" s="13">
        <v>0.51201304016659599</v>
      </c>
      <c r="L645" s="7">
        <v>-1</v>
      </c>
      <c r="M645" s="13">
        <v>0.46529774939590202</v>
      </c>
      <c r="N645" s="13">
        <v>0.15785298447965601</v>
      </c>
      <c r="O645" s="7">
        <v>1</v>
      </c>
      <c r="P645" s="7" t="s">
        <v>160</v>
      </c>
      <c r="Q645" s="7" t="str">
        <f t="shared" si="10"/>
        <v>Yes</v>
      </c>
    </row>
    <row r="646" spans="1:17" ht="15" customHeight="1" x14ac:dyDescent="0.2">
      <c r="A646" s="7">
        <v>2020</v>
      </c>
      <c r="B646" s="7" t="s">
        <v>715</v>
      </c>
      <c r="C646" s="7">
        <v>11</v>
      </c>
      <c r="D646" s="7" t="s">
        <v>1267</v>
      </c>
      <c r="E646" s="7" t="s">
        <v>737</v>
      </c>
      <c r="F646" s="8">
        <v>141325</v>
      </c>
      <c r="G646" s="8">
        <v>241915</v>
      </c>
      <c r="H646" s="8">
        <v>35212.58</v>
      </c>
      <c r="I646" s="8">
        <v>681153.59</v>
      </c>
      <c r="J646" s="13">
        <v>0.36876369898757999</v>
      </c>
      <c r="K646" s="13">
        <v>4.9154442901735602E-2</v>
      </c>
      <c r="L646" s="7">
        <v>-1</v>
      </c>
      <c r="M646" s="13">
        <v>0.31250274351371299</v>
      </c>
      <c r="N646" s="13">
        <v>5.6260955473866501</v>
      </c>
      <c r="O646" s="7">
        <v>1</v>
      </c>
      <c r="P646" s="7" t="s">
        <v>160</v>
      </c>
      <c r="Q646" s="7" t="str">
        <f t="shared" si="10"/>
        <v>Yes</v>
      </c>
    </row>
    <row r="647" spans="1:17" ht="15" customHeight="1" x14ac:dyDescent="0.2">
      <c r="A647" s="7">
        <v>2020</v>
      </c>
      <c r="B647" s="7" t="s">
        <v>715</v>
      </c>
      <c r="C647" s="7">
        <v>12</v>
      </c>
      <c r="D647" s="7" t="s">
        <v>1268</v>
      </c>
      <c r="E647" s="7" t="s">
        <v>1269</v>
      </c>
      <c r="F647" s="8">
        <v>99199</v>
      </c>
      <c r="G647" s="8">
        <v>241035</v>
      </c>
      <c r="H647" s="8">
        <v>72796.320000000007</v>
      </c>
      <c r="I647" s="8">
        <v>1168402.28</v>
      </c>
      <c r="J647" s="13">
        <v>0.29156110206504898</v>
      </c>
      <c r="K647" s="13">
        <v>5.8650017813426499E-2</v>
      </c>
      <c r="L647" s="7">
        <v>-1</v>
      </c>
      <c r="M647" s="13">
        <v>0.31563734322312798</v>
      </c>
      <c r="N647" s="13">
        <v>-2.40762411580786</v>
      </c>
      <c r="O647" s="7">
        <v>1</v>
      </c>
      <c r="P647" s="7" t="s">
        <v>160</v>
      </c>
      <c r="Q647" s="7" t="str">
        <f t="shared" si="10"/>
        <v>Yes</v>
      </c>
    </row>
    <row r="648" spans="1:17" ht="15" customHeight="1" x14ac:dyDescent="0.2">
      <c r="A648" s="7">
        <v>2020</v>
      </c>
      <c r="B648" s="7" t="s">
        <v>715</v>
      </c>
      <c r="C648" s="7">
        <v>13</v>
      </c>
      <c r="D648" s="7" t="s">
        <v>1270</v>
      </c>
      <c r="E648" s="7" t="s">
        <v>741</v>
      </c>
      <c r="F648" s="8">
        <v>96612</v>
      </c>
      <c r="G648" s="8">
        <v>267789</v>
      </c>
      <c r="H648" s="8">
        <v>79281.38</v>
      </c>
      <c r="I648" s="8">
        <v>488747.93</v>
      </c>
      <c r="J648" s="13">
        <v>0.26512550733944201</v>
      </c>
      <c r="K648" s="13">
        <v>0.13957269212041201</v>
      </c>
      <c r="L648" s="7">
        <v>-1</v>
      </c>
      <c r="M648" s="13">
        <v>0.34235085912151098</v>
      </c>
      <c r="N648" s="13">
        <v>-7.7225351782069396</v>
      </c>
      <c r="O648" s="7">
        <v>1</v>
      </c>
      <c r="P648" s="7" t="s">
        <v>160</v>
      </c>
      <c r="Q648" s="7" t="str">
        <f t="shared" si="10"/>
        <v>Yes</v>
      </c>
    </row>
    <row r="649" spans="1:17" ht="15" customHeight="1" x14ac:dyDescent="0.2">
      <c r="A649" s="7">
        <v>2020</v>
      </c>
      <c r="B649" s="7" t="s">
        <v>715</v>
      </c>
      <c r="C649" s="7">
        <v>14</v>
      </c>
      <c r="D649" s="7" t="s">
        <v>1271</v>
      </c>
      <c r="E649" s="7" t="s">
        <v>743</v>
      </c>
      <c r="F649" s="8">
        <v>131895</v>
      </c>
      <c r="G649" s="8">
        <v>241688</v>
      </c>
      <c r="H649" s="8">
        <v>57713.35</v>
      </c>
      <c r="I649" s="8">
        <v>1606208.63</v>
      </c>
      <c r="J649" s="13">
        <v>0.35305407365966901</v>
      </c>
      <c r="K649" s="13">
        <v>3.4685129888121301E-2</v>
      </c>
      <c r="L649" s="7">
        <v>-1</v>
      </c>
      <c r="M649" s="13">
        <v>0.30772625501357298</v>
      </c>
      <c r="N649" s="13">
        <v>4.5327818646095297</v>
      </c>
      <c r="O649" s="7">
        <v>1</v>
      </c>
      <c r="P649" s="7" t="s">
        <v>160</v>
      </c>
      <c r="Q649" s="7" t="str">
        <f t="shared" si="10"/>
        <v>Yes</v>
      </c>
    </row>
    <row r="650" spans="1:17" ht="15" customHeight="1" x14ac:dyDescent="0.2">
      <c r="A650" s="7">
        <v>2020</v>
      </c>
      <c r="B650" s="7" t="s">
        <v>715</v>
      </c>
      <c r="C650" s="7">
        <v>16</v>
      </c>
      <c r="D650" s="7" t="s">
        <v>1272</v>
      </c>
      <c r="E650" s="7" t="s">
        <v>747</v>
      </c>
      <c r="F650" s="8">
        <v>143962</v>
      </c>
      <c r="G650" s="8">
        <v>210088</v>
      </c>
      <c r="H650" s="8">
        <v>601893.51</v>
      </c>
      <c r="I650" s="8">
        <v>1517562.11</v>
      </c>
      <c r="J650" s="13">
        <v>0.40661488490326197</v>
      </c>
      <c r="K650" s="13">
        <v>0.28398495553306302</v>
      </c>
      <c r="L650" s="7">
        <v>-1</v>
      </c>
      <c r="M650" s="13">
        <v>0.39002302675107797</v>
      </c>
      <c r="N650" s="13">
        <v>1.65918581521847</v>
      </c>
      <c r="O650" s="7">
        <v>1</v>
      </c>
      <c r="P650" s="7" t="s">
        <v>160</v>
      </c>
      <c r="Q650" s="7" t="str">
        <f t="shared" si="10"/>
        <v>Yes</v>
      </c>
    </row>
    <row r="651" spans="1:17" ht="15" customHeight="1" x14ac:dyDescent="0.2">
      <c r="A651" s="7">
        <v>2020</v>
      </c>
      <c r="B651" s="7" t="s">
        <v>715</v>
      </c>
      <c r="C651" s="7">
        <v>17</v>
      </c>
      <c r="D651" s="7" t="s">
        <v>748</v>
      </c>
      <c r="E651" s="7" t="s">
        <v>1273</v>
      </c>
      <c r="F651" s="8">
        <v>222253</v>
      </c>
      <c r="G651" s="8">
        <v>212284</v>
      </c>
      <c r="H651" s="8">
        <v>4333018.26</v>
      </c>
      <c r="I651" s="8">
        <v>4111815</v>
      </c>
      <c r="J651" s="13">
        <v>0.51147082987179504</v>
      </c>
      <c r="K651" s="13">
        <v>0.513096958411705</v>
      </c>
      <c r="L651" s="7">
        <v>1</v>
      </c>
      <c r="M651" s="13">
        <v>0.54487734391716902</v>
      </c>
      <c r="N651" s="13">
        <v>-3.3406514045374802</v>
      </c>
      <c r="O651" s="7">
        <v>1</v>
      </c>
      <c r="P651" s="7" t="s">
        <v>160</v>
      </c>
      <c r="Q651" s="7" t="str">
        <f t="shared" si="10"/>
        <v>Yes</v>
      </c>
    </row>
    <row r="652" spans="1:17" ht="15" customHeight="1" x14ac:dyDescent="0.2">
      <c r="A652" s="7">
        <v>2020</v>
      </c>
      <c r="B652" s="7" t="s">
        <v>715</v>
      </c>
      <c r="C652" s="7">
        <v>18</v>
      </c>
      <c r="D652" s="7" t="s">
        <v>1274</v>
      </c>
      <c r="E652" s="7" t="s">
        <v>1275</v>
      </c>
      <c r="F652" s="8">
        <v>266084</v>
      </c>
      <c r="G652" s="8">
        <v>118163</v>
      </c>
      <c r="H652" s="8">
        <v>1012726.86</v>
      </c>
      <c r="I652" s="8">
        <v>61656.56</v>
      </c>
      <c r="J652" s="13">
        <v>0.69248165893292601</v>
      </c>
      <c r="K652" s="13">
        <v>0.942612144926808</v>
      </c>
      <c r="L652" s="7">
        <v>1</v>
      </c>
      <c r="M652" s="13">
        <v>0.68666530213567201</v>
      </c>
      <c r="N652" s="13">
        <v>0.58163567972536701</v>
      </c>
      <c r="O652" s="7">
        <v>1</v>
      </c>
      <c r="P652" s="7" t="s">
        <v>160</v>
      </c>
      <c r="Q652" s="7" t="str">
        <f t="shared" si="10"/>
        <v>Yes</v>
      </c>
    </row>
    <row r="653" spans="1:17" ht="15" customHeight="1" x14ac:dyDescent="0.2">
      <c r="A653" s="7">
        <v>2020</v>
      </c>
      <c r="B653" s="7" t="s">
        <v>750</v>
      </c>
      <c r="C653" s="7">
        <v>2</v>
      </c>
      <c r="D653" s="7" t="s">
        <v>751</v>
      </c>
      <c r="E653" s="7" t="s">
        <v>1276</v>
      </c>
      <c r="F653" s="8">
        <v>154086</v>
      </c>
      <c r="G653" s="8">
        <v>109894</v>
      </c>
      <c r="H653" s="8">
        <v>1428507.99</v>
      </c>
      <c r="I653" s="8">
        <v>49260.5</v>
      </c>
      <c r="J653" s="13">
        <v>0.58370331085688298</v>
      </c>
      <c r="K653" s="13">
        <v>0.96666561756232905</v>
      </c>
      <c r="L653" s="7">
        <v>1</v>
      </c>
      <c r="M653" s="13">
        <v>0.69460563318828605</v>
      </c>
      <c r="N653" s="13">
        <v>-11.0902322331403</v>
      </c>
      <c r="O653" s="7">
        <v>1</v>
      </c>
      <c r="P653" s="7" t="s">
        <v>160</v>
      </c>
      <c r="Q653" s="7" t="str">
        <f t="shared" si="10"/>
        <v>Yes</v>
      </c>
    </row>
    <row r="654" spans="1:17" ht="15" customHeight="1" x14ac:dyDescent="0.2">
      <c r="A654" s="7">
        <v>2020</v>
      </c>
      <c r="B654" s="7" t="s">
        <v>753</v>
      </c>
      <c r="C654" s="7">
        <v>1</v>
      </c>
      <c r="D654" s="7" t="s">
        <v>754</v>
      </c>
      <c r="E654" s="7" t="s">
        <v>1277</v>
      </c>
      <c r="F654" s="8">
        <v>210627</v>
      </c>
      <c r="G654" s="8">
        <v>216042</v>
      </c>
      <c r="H654" s="8">
        <v>13725685.9</v>
      </c>
      <c r="I654" s="8">
        <v>13916355.720000001</v>
      </c>
      <c r="J654" s="13">
        <v>0.49365433157787397</v>
      </c>
      <c r="K654" s="13">
        <v>0.496551090136156</v>
      </c>
      <c r="L654" s="7">
        <v>1</v>
      </c>
      <c r="M654" s="13">
        <v>0.53941536037526805</v>
      </c>
      <c r="N654" s="13">
        <v>-4.5761028797393504</v>
      </c>
      <c r="O654" s="7">
        <v>0</v>
      </c>
      <c r="P654" s="7" t="s">
        <v>160</v>
      </c>
      <c r="Q654" s="7" t="str">
        <f t="shared" si="10"/>
        <v>Yes</v>
      </c>
    </row>
    <row r="655" spans="1:17" ht="15" customHeight="1" x14ac:dyDescent="0.2">
      <c r="A655" s="7">
        <v>2020</v>
      </c>
      <c r="B655" s="7" t="s">
        <v>753</v>
      </c>
      <c r="C655" s="7">
        <v>2</v>
      </c>
      <c r="D655" s="7" t="s">
        <v>1278</v>
      </c>
      <c r="E655" s="7" t="s">
        <v>757</v>
      </c>
      <c r="F655" s="8">
        <v>155118</v>
      </c>
      <c r="G655" s="8">
        <v>202715</v>
      </c>
      <c r="H655" s="8">
        <v>2545983.86</v>
      </c>
      <c r="I655" s="8">
        <v>1767566.42</v>
      </c>
      <c r="J655" s="13">
        <v>0.43349271867044098</v>
      </c>
      <c r="K655" s="13">
        <v>0.590229322654377</v>
      </c>
      <c r="L655" s="7">
        <v>-1</v>
      </c>
      <c r="M655" s="13">
        <v>0.49111785388013401</v>
      </c>
      <c r="N655" s="13">
        <v>-5.7625135209692697</v>
      </c>
      <c r="O655" s="7">
        <v>1</v>
      </c>
      <c r="P655" s="7" t="s">
        <v>160</v>
      </c>
      <c r="Q655" s="7" t="str">
        <f t="shared" si="10"/>
        <v>Yes</v>
      </c>
    </row>
    <row r="656" spans="1:17" ht="15" customHeight="1" x14ac:dyDescent="0.2">
      <c r="A656" s="7">
        <v>2020</v>
      </c>
      <c r="B656" s="7" t="s">
        <v>753</v>
      </c>
      <c r="C656" s="7">
        <v>3</v>
      </c>
      <c r="D656" s="7" t="s">
        <v>1279</v>
      </c>
      <c r="E656" s="7" t="s">
        <v>759</v>
      </c>
      <c r="F656" s="8">
        <v>95712</v>
      </c>
      <c r="G656" s="8">
        <v>237544</v>
      </c>
      <c r="H656" s="8">
        <v>45856.65</v>
      </c>
      <c r="I656" s="8">
        <v>1300346.2</v>
      </c>
      <c r="J656" s="13">
        <v>0.287202631010394</v>
      </c>
      <c r="K656" s="13">
        <v>3.40636999839957E-2</v>
      </c>
      <c r="L656" s="7">
        <v>-1</v>
      </c>
      <c r="M656" s="13">
        <v>0.30752111377515401</v>
      </c>
      <c r="N656" s="13">
        <v>-2.0318482764759098</v>
      </c>
      <c r="O656" s="7">
        <v>1</v>
      </c>
      <c r="P656" s="7" t="s">
        <v>160</v>
      </c>
      <c r="Q656" s="7" t="str">
        <f t="shared" si="10"/>
        <v>Yes</v>
      </c>
    </row>
    <row r="657" spans="1:17" ht="15" customHeight="1" x14ac:dyDescent="0.2">
      <c r="A657" s="7">
        <v>2020</v>
      </c>
      <c r="B657" s="7" t="s">
        <v>753</v>
      </c>
      <c r="C657" s="7">
        <v>4</v>
      </c>
      <c r="D657" s="7" t="s">
        <v>1280</v>
      </c>
      <c r="E657" s="7" t="s">
        <v>761</v>
      </c>
      <c r="F657" s="8">
        <v>133023</v>
      </c>
      <c r="G657" s="8">
        <v>222126</v>
      </c>
      <c r="H657" s="8">
        <v>169293.26</v>
      </c>
      <c r="I657" s="8">
        <v>1374442.53</v>
      </c>
      <c r="J657" s="13">
        <v>0.37455546826824798</v>
      </c>
      <c r="K657" s="13">
        <v>0.109664659650082</v>
      </c>
      <c r="L657" s="7">
        <v>-1</v>
      </c>
      <c r="M657" s="13">
        <v>0.33247786978041899</v>
      </c>
      <c r="N657" s="13">
        <v>4.2077598487828602</v>
      </c>
      <c r="O657" s="7">
        <v>1</v>
      </c>
      <c r="P657" s="7" t="s">
        <v>160</v>
      </c>
      <c r="Q657" s="7" t="str">
        <f t="shared" si="10"/>
        <v>Yes</v>
      </c>
    </row>
    <row r="658" spans="1:17" ht="15" customHeight="1" x14ac:dyDescent="0.2">
      <c r="A658" s="7">
        <v>2020</v>
      </c>
      <c r="B658" s="7" t="s">
        <v>753</v>
      </c>
      <c r="C658" s="7">
        <v>5</v>
      </c>
      <c r="D658" s="7" t="s">
        <v>1281</v>
      </c>
      <c r="E658" s="7" t="s">
        <v>1282</v>
      </c>
      <c r="F658" s="8">
        <v>145979</v>
      </c>
      <c r="G658" s="8">
        <v>220006</v>
      </c>
      <c r="H658" s="8">
        <v>520528.53</v>
      </c>
      <c r="I658" s="8">
        <v>910733.38</v>
      </c>
      <c r="J658" s="13">
        <v>0.39886607374619198</v>
      </c>
      <c r="K658" s="13">
        <v>0.363685029527545</v>
      </c>
      <c r="L658" s="7">
        <v>-1</v>
      </c>
      <c r="M658" s="13">
        <v>0.41633294806777998</v>
      </c>
      <c r="N658" s="13">
        <v>-1.7466874321588299</v>
      </c>
      <c r="O658" s="7">
        <v>1</v>
      </c>
      <c r="P658" s="7" t="s">
        <v>160</v>
      </c>
      <c r="Q658" s="7" t="str">
        <f t="shared" si="10"/>
        <v>Yes</v>
      </c>
    </row>
    <row r="659" spans="1:17" ht="15" customHeight="1" x14ac:dyDescent="0.2">
      <c r="A659" s="7">
        <v>2020</v>
      </c>
      <c r="B659" s="7" t="s">
        <v>753</v>
      </c>
      <c r="C659" s="7">
        <v>7</v>
      </c>
      <c r="D659" s="7" t="s">
        <v>1283</v>
      </c>
      <c r="E659" s="7" t="s">
        <v>767</v>
      </c>
      <c r="F659" s="8">
        <v>138863</v>
      </c>
      <c r="G659" s="8">
        <v>224993</v>
      </c>
      <c r="H659" s="8">
        <v>162140.54</v>
      </c>
      <c r="I659" s="8">
        <v>1257252.47</v>
      </c>
      <c r="J659" s="13">
        <v>0.38164273778637697</v>
      </c>
      <c r="K659" s="13">
        <v>0.114232308358345</v>
      </c>
      <c r="L659" s="7">
        <v>-1</v>
      </c>
      <c r="M659" s="13">
        <v>0.33398570373958297</v>
      </c>
      <c r="N659" s="13">
        <v>4.76570340467938</v>
      </c>
      <c r="O659" s="7">
        <v>1</v>
      </c>
      <c r="P659" s="7" t="s">
        <v>160</v>
      </c>
      <c r="Q659" s="7" t="str">
        <f t="shared" si="10"/>
        <v>Yes</v>
      </c>
    </row>
    <row r="660" spans="1:17" ht="15" customHeight="1" x14ac:dyDescent="0.2">
      <c r="A660" s="7">
        <v>2020</v>
      </c>
      <c r="B660" s="7" t="s">
        <v>771</v>
      </c>
      <c r="C660" s="7">
        <v>1</v>
      </c>
      <c r="D660" s="7" t="s">
        <v>1284</v>
      </c>
      <c r="E660" s="7" t="s">
        <v>1285</v>
      </c>
      <c r="F660" s="8">
        <v>68617</v>
      </c>
      <c r="G660" s="8">
        <v>228181</v>
      </c>
      <c r="H660" s="8">
        <v>558732.82999999996</v>
      </c>
      <c r="I660" s="8">
        <v>1870825.67</v>
      </c>
      <c r="J660" s="13">
        <v>0.231190910989966</v>
      </c>
      <c r="K660" s="13">
        <v>0.229972988919592</v>
      </c>
      <c r="L660" s="7">
        <v>0</v>
      </c>
      <c r="M660" s="13">
        <v>0.41180393867828702</v>
      </c>
      <c r="N660" s="13">
        <v>-18.061302768832</v>
      </c>
      <c r="O660" s="7">
        <v>1</v>
      </c>
      <c r="P660" s="7" t="s">
        <v>160</v>
      </c>
      <c r="Q660" s="7" t="str">
        <f t="shared" si="10"/>
        <v>Yes</v>
      </c>
    </row>
    <row r="661" spans="1:17" ht="15" customHeight="1" x14ac:dyDescent="0.2">
      <c r="A661" s="7">
        <v>2020</v>
      </c>
      <c r="B661" s="7" t="s">
        <v>771</v>
      </c>
      <c r="C661" s="7">
        <v>2</v>
      </c>
      <c r="D661" s="7" t="s">
        <v>774</v>
      </c>
      <c r="E661" s="7" t="s">
        <v>775</v>
      </c>
      <c r="F661" s="8">
        <v>109684</v>
      </c>
      <c r="G661" s="8">
        <v>238907</v>
      </c>
      <c r="H661" s="8">
        <v>823994.42</v>
      </c>
      <c r="I661" s="8">
        <v>889218.07</v>
      </c>
      <c r="J661" s="13">
        <v>0.31464954631645697</v>
      </c>
      <c r="K661" s="13">
        <v>0.480964518300938</v>
      </c>
      <c r="L661" s="7">
        <v>-1</v>
      </c>
      <c r="M661" s="13">
        <v>0.45504827124181801</v>
      </c>
      <c r="N661" s="13">
        <v>-14.0398724925361</v>
      </c>
      <c r="O661" s="7">
        <v>1</v>
      </c>
      <c r="P661" s="7" t="s">
        <v>160</v>
      </c>
      <c r="Q661" s="7" t="str">
        <f t="shared" si="10"/>
        <v>Yes</v>
      </c>
    </row>
    <row r="662" spans="1:17" ht="15" customHeight="1" x14ac:dyDescent="0.2">
      <c r="A662" s="7">
        <v>2020</v>
      </c>
      <c r="B662" s="7" t="s">
        <v>771</v>
      </c>
      <c r="C662" s="7">
        <v>3</v>
      </c>
      <c r="D662" s="7" t="s">
        <v>1286</v>
      </c>
      <c r="E662" s="7" t="s">
        <v>777</v>
      </c>
      <c r="F662" s="8">
        <v>97687</v>
      </c>
      <c r="G662" s="8">
        <v>215571</v>
      </c>
      <c r="H662" s="8">
        <v>79331.05</v>
      </c>
      <c r="I662" s="8">
        <v>387211.2</v>
      </c>
      <c r="J662" s="13">
        <v>0.31184199605437102</v>
      </c>
      <c r="K662" s="13">
        <v>0.17004044113903899</v>
      </c>
      <c r="L662" s="7">
        <v>-1</v>
      </c>
      <c r="M662" s="13">
        <v>0.35240861740455398</v>
      </c>
      <c r="N662" s="13">
        <v>-4.0566621350183798</v>
      </c>
      <c r="O662" s="7">
        <v>1</v>
      </c>
      <c r="P662" s="7" t="s">
        <v>160</v>
      </c>
      <c r="Q662" s="7" t="str">
        <f t="shared" si="10"/>
        <v>Yes</v>
      </c>
    </row>
    <row r="663" spans="1:17" ht="15" customHeight="1" x14ac:dyDescent="0.2">
      <c r="A663" s="7">
        <v>2020</v>
      </c>
      <c r="B663" s="7" t="s">
        <v>771</v>
      </c>
      <c r="C663" s="7">
        <v>4</v>
      </c>
      <c r="D663" s="7" t="s">
        <v>1287</v>
      </c>
      <c r="E663" s="7" t="s">
        <v>779</v>
      </c>
      <c r="F663" s="8">
        <v>111908</v>
      </c>
      <c r="G663" s="8">
        <v>223802</v>
      </c>
      <c r="H663" s="8">
        <v>310770.83</v>
      </c>
      <c r="I663" s="8">
        <v>402791.26</v>
      </c>
      <c r="J663" s="13">
        <v>0.333347234220011</v>
      </c>
      <c r="K663" s="13">
        <v>0.43552037636976998</v>
      </c>
      <c r="L663" s="7">
        <v>-1</v>
      </c>
      <c r="M663" s="13">
        <v>0.44004663148679202</v>
      </c>
      <c r="N663" s="13">
        <v>-10.6699397266781</v>
      </c>
      <c r="O663" s="7">
        <v>1</v>
      </c>
      <c r="P663" s="7" t="s">
        <v>160</v>
      </c>
      <c r="Q663" s="7" t="str">
        <f t="shared" si="10"/>
        <v>Yes</v>
      </c>
    </row>
    <row r="664" spans="1:17" ht="15" customHeight="1" x14ac:dyDescent="0.2">
      <c r="A664" s="7">
        <v>2020</v>
      </c>
      <c r="B664" s="7" t="s">
        <v>771</v>
      </c>
      <c r="C664" s="7">
        <v>6</v>
      </c>
      <c r="D664" s="7" t="s">
        <v>1288</v>
      </c>
      <c r="E664" s="7" t="s">
        <v>781</v>
      </c>
      <c r="F664" s="8">
        <v>83852</v>
      </c>
      <c r="G664" s="8">
        <v>257572</v>
      </c>
      <c r="H664" s="8">
        <v>750</v>
      </c>
      <c r="I664" s="8">
        <v>1158294.3899999999</v>
      </c>
      <c r="J664" s="13">
        <v>0.245594920099349</v>
      </c>
      <c r="K664" s="13">
        <v>6.4708479370665002E-4</v>
      </c>
      <c r="L664" s="7">
        <v>-1</v>
      </c>
      <c r="M664" s="13">
        <v>0.29648990047429902</v>
      </c>
      <c r="N664" s="13">
        <v>-5.0894980374950096</v>
      </c>
      <c r="O664" s="7">
        <v>1</v>
      </c>
      <c r="P664" s="7" t="s">
        <v>160</v>
      </c>
      <c r="Q664" s="7" t="str">
        <f t="shared" si="10"/>
        <v>Yes</v>
      </c>
    </row>
    <row r="665" spans="1:17" ht="15" customHeight="1" x14ac:dyDescent="0.2">
      <c r="A665" s="7">
        <v>2020</v>
      </c>
      <c r="B665" s="7" t="s">
        <v>771</v>
      </c>
      <c r="C665" s="7">
        <v>8</v>
      </c>
      <c r="D665" s="7" t="s">
        <v>784</v>
      </c>
      <c r="E665" s="7" t="s">
        <v>785</v>
      </c>
      <c r="F665" s="8">
        <v>97890</v>
      </c>
      <c r="G665" s="8">
        <v>227216</v>
      </c>
      <c r="H665" s="8">
        <v>16835.009999999998</v>
      </c>
      <c r="I665" s="8">
        <v>1076429.6399999999</v>
      </c>
      <c r="J665" s="13">
        <v>0.30110179449164298</v>
      </c>
      <c r="K665" s="13">
        <v>1.53988423571548E-2</v>
      </c>
      <c r="L665" s="7">
        <v>-1</v>
      </c>
      <c r="M665" s="13">
        <v>0.30135962720509502</v>
      </c>
      <c r="N665" s="13">
        <v>-2.5783271345258801E-2</v>
      </c>
      <c r="O665" s="7">
        <v>1</v>
      </c>
      <c r="P665" s="7" t="s">
        <v>160</v>
      </c>
      <c r="Q665" s="7" t="str">
        <f t="shared" si="10"/>
        <v>Yes</v>
      </c>
    </row>
    <row r="666" spans="1:17" ht="15" customHeight="1" x14ac:dyDescent="0.2">
      <c r="A666" s="7">
        <v>2020</v>
      </c>
      <c r="B666" s="7" t="s">
        <v>771</v>
      </c>
      <c r="C666" s="7">
        <v>9</v>
      </c>
      <c r="D666" s="7" t="s">
        <v>786</v>
      </c>
      <c r="E666" s="7" t="s">
        <v>787</v>
      </c>
      <c r="F666" s="8">
        <v>187905</v>
      </c>
      <c r="G666" s="8">
        <v>48818</v>
      </c>
      <c r="H666" s="8">
        <v>459431.14</v>
      </c>
      <c r="I666" s="8">
        <v>15685.2</v>
      </c>
      <c r="J666" s="13">
        <v>0.79377584772075405</v>
      </c>
      <c r="K666" s="13">
        <v>0.966986612163244</v>
      </c>
      <c r="L666" s="7">
        <v>1</v>
      </c>
      <c r="M666" s="13">
        <v>0.69471159723913201</v>
      </c>
      <c r="N666" s="13">
        <v>9.9064250481622</v>
      </c>
      <c r="O666" s="7">
        <v>1</v>
      </c>
      <c r="P666" s="7" t="s">
        <v>160</v>
      </c>
      <c r="Q666" s="7" t="str">
        <f t="shared" si="10"/>
        <v>Yes</v>
      </c>
    </row>
    <row r="667" spans="1:17" ht="15" customHeight="1" x14ac:dyDescent="0.2">
      <c r="A667" s="7">
        <v>2020</v>
      </c>
      <c r="B667" s="7" t="s">
        <v>788</v>
      </c>
      <c r="C667" s="7">
        <v>1</v>
      </c>
      <c r="D667" s="7" t="s">
        <v>1289</v>
      </c>
      <c r="E667" s="7" t="s">
        <v>790</v>
      </c>
      <c r="F667" s="8">
        <v>83016</v>
      </c>
      <c r="G667" s="8">
        <v>219726</v>
      </c>
      <c r="H667" s="8">
        <v>792152.11</v>
      </c>
      <c r="I667" s="8">
        <v>604982.99</v>
      </c>
      <c r="J667" s="13">
        <v>0.27421368690171799</v>
      </c>
      <c r="K667" s="13">
        <v>0.56698318580644103</v>
      </c>
      <c r="L667" s="7">
        <v>-1</v>
      </c>
      <c r="M667" s="13">
        <v>0.48344403376010697</v>
      </c>
      <c r="N667" s="13">
        <v>-20.9230346858388</v>
      </c>
      <c r="O667" s="7">
        <v>1</v>
      </c>
      <c r="P667" s="7" t="s">
        <v>160</v>
      </c>
      <c r="Q667" s="7" t="str">
        <f t="shared" si="10"/>
        <v>Yes</v>
      </c>
    </row>
    <row r="668" spans="1:17" ht="15" customHeight="1" x14ac:dyDescent="0.2">
      <c r="A668" s="7">
        <v>2020</v>
      </c>
      <c r="B668" s="7" t="s">
        <v>788</v>
      </c>
      <c r="C668" s="7">
        <v>2</v>
      </c>
      <c r="D668" s="7" t="s">
        <v>1290</v>
      </c>
      <c r="E668" s="7" t="s">
        <v>792</v>
      </c>
      <c r="F668" s="8">
        <v>148374</v>
      </c>
      <c r="G668" s="8">
        <v>192828</v>
      </c>
      <c r="H668" s="8">
        <v>4198005.4800000004</v>
      </c>
      <c r="I668" s="8">
        <v>17850033.43</v>
      </c>
      <c r="J668" s="13">
        <v>0.43485677106230303</v>
      </c>
      <c r="K668" s="13">
        <v>0.190402670148408</v>
      </c>
      <c r="L668" s="7">
        <v>-1</v>
      </c>
      <c r="M668" s="13">
        <v>0.35913042600797301</v>
      </c>
      <c r="N668" s="13">
        <v>7.5726345054330801</v>
      </c>
      <c r="O668" s="7">
        <v>1</v>
      </c>
      <c r="P668" s="7" t="s">
        <v>160</v>
      </c>
      <c r="Q668" s="7" t="str">
        <f t="shared" si="10"/>
        <v>Yes</v>
      </c>
    </row>
    <row r="669" spans="1:17" ht="15" customHeight="1" x14ac:dyDescent="0.2">
      <c r="A669" s="7">
        <v>2020</v>
      </c>
      <c r="B669" s="7" t="s">
        <v>788</v>
      </c>
      <c r="C669" s="7">
        <v>3</v>
      </c>
      <c r="D669" s="7" t="s">
        <v>1291</v>
      </c>
      <c r="E669" s="7" t="s">
        <v>794</v>
      </c>
      <c r="F669" s="8">
        <v>179458</v>
      </c>
      <c r="G669" s="8">
        <v>230512</v>
      </c>
      <c r="H669" s="8">
        <v>1659874.04</v>
      </c>
      <c r="I669" s="8">
        <v>3848445.07</v>
      </c>
      <c r="J669" s="13">
        <v>0.43773446837573499</v>
      </c>
      <c r="K669" s="13">
        <v>0.30133948430594798</v>
      </c>
      <c r="L669" s="7">
        <v>-1</v>
      </c>
      <c r="M669" s="13">
        <v>0.39575195852766099</v>
      </c>
      <c r="N669" s="13">
        <v>4.1982509848073502</v>
      </c>
      <c r="O669" s="7">
        <v>1</v>
      </c>
      <c r="P669" s="7" t="s">
        <v>160</v>
      </c>
      <c r="Q669" s="7" t="str">
        <f t="shared" si="10"/>
        <v>Yes</v>
      </c>
    </row>
    <row r="670" spans="1:17" ht="15" customHeight="1" x14ac:dyDescent="0.2">
      <c r="A670" s="7">
        <v>2020</v>
      </c>
      <c r="B670" s="7" t="s">
        <v>788</v>
      </c>
      <c r="C670" s="7">
        <v>4</v>
      </c>
      <c r="D670" s="7" t="s">
        <v>1292</v>
      </c>
      <c r="E670" s="7" t="s">
        <v>1293</v>
      </c>
      <c r="F670" s="8">
        <v>76326</v>
      </c>
      <c r="G670" s="8">
        <v>253837</v>
      </c>
      <c r="H670" s="8">
        <v>0</v>
      </c>
      <c r="I670" s="8">
        <v>106263.67</v>
      </c>
      <c r="J670" s="13">
        <v>0.23117672180105001</v>
      </c>
      <c r="K670" s="13">
        <v>0</v>
      </c>
      <c r="L670" s="7">
        <v>0</v>
      </c>
      <c r="M670" s="13">
        <v>0.33588718050990302</v>
      </c>
      <c r="N670" s="13">
        <v>-10.4710458708853</v>
      </c>
      <c r="O670" s="7">
        <v>1</v>
      </c>
      <c r="P670" s="7" t="s">
        <v>160</v>
      </c>
      <c r="Q670" s="7" t="str">
        <f t="shared" si="10"/>
        <v>Yes</v>
      </c>
    </row>
    <row r="671" spans="1:17" ht="15" customHeight="1" x14ac:dyDescent="0.2">
      <c r="A671" s="7">
        <v>2020</v>
      </c>
      <c r="B671" s="7" t="s">
        <v>788</v>
      </c>
      <c r="C671" s="7">
        <v>5</v>
      </c>
      <c r="D671" s="7" t="s">
        <v>1294</v>
      </c>
      <c r="E671" s="7" t="s">
        <v>798</v>
      </c>
      <c r="F671" s="8">
        <v>100743</v>
      </c>
      <c r="G671" s="8">
        <v>173836</v>
      </c>
      <c r="H671" s="8">
        <v>291011.65000000002</v>
      </c>
      <c r="I671" s="8">
        <v>1319937.6399999999</v>
      </c>
      <c r="J671" s="13">
        <v>0.36689987216793701</v>
      </c>
      <c r="K671" s="13">
        <v>0.18064606490499799</v>
      </c>
      <c r="L671" s="7">
        <v>-1</v>
      </c>
      <c r="M671" s="13">
        <v>0.35590965715034201</v>
      </c>
      <c r="N671" s="13">
        <v>1.09902150175949</v>
      </c>
      <c r="O671" s="7">
        <v>1</v>
      </c>
      <c r="P671" s="7" t="s">
        <v>160</v>
      </c>
      <c r="Q671" s="7" t="str">
        <f t="shared" si="10"/>
        <v>Yes</v>
      </c>
    </row>
    <row r="672" spans="1:17" ht="15" customHeight="1" x14ac:dyDescent="0.2">
      <c r="A672" s="7">
        <v>2020</v>
      </c>
      <c r="B672" s="7" t="s">
        <v>788</v>
      </c>
      <c r="C672" s="7">
        <v>6</v>
      </c>
      <c r="D672" s="7" t="s">
        <v>1295</v>
      </c>
      <c r="E672" s="7" t="s">
        <v>800</v>
      </c>
      <c r="F672" s="8">
        <v>149530</v>
      </c>
      <c r="G672" s="8">
        <v>179507</v>
      </c>
      <c r="H672" s="8">
        <v>679988.59</v>
      </c>
      <c r="I672" s="8">
        <v>1183382.58</v>
      </c>
      <c r="J672" s="13">
        <v>0.45444737218002801</v>
      </c>
      <c r="K672" s="13">
        <v>0.36492385464995702</v>
      </c>
      <c r="L672" s="7">
        <v>-1</v>
      </c>
      <c r="M672" s="13">
        <v>0.41674189864790201</v>
      </c>
      <c r="N672" s="13">
        <v>3.7705473532126299</v>
      </c>
      <c r="O672" s="7">
        <v>1</v>
      </c>
      <c r="P672" s="7" t="s">
        <v>160</v>
      </c>
      <c r="Q672" s="7" t="str">
        <f t="shared" si="10"/>
        <v>Yes</v>
      </c>
    </row>
    <row r="673" spans="1:17" ht="15" customHeight="1" x14ac:dyDescent="0.2">
      <c r="A673" s="7">
        <v>2020</v>
      </c>
      <c r="B673" s="7" t="s">
        <v>788</v>
      </c>
      <c r="C673" s="7">
        <v>7</v>
      </c>
      <c r="D673" s="7" t="s">
        <v>1296</v>
      </c>
      <c r="E673" s="7" t="s">
        <v>1297</v>
      </c>
      <c r="F673" s="8">
        <v>159529</v>
      </c>
      <c r="G673" s="8">
        <v>149054</v>
      </c>
      <c r="H673" s="8">
        <v>7826567.8300000001</v>
      </c>
      <c r="I673" s="8">
        <v>11569514.199999999</v>
      </c>
      <c r="J673" s="13">
        <v>0.51697274315176101</v>
      </c>
      <c r="K673" s="13">
        <v>0.40351282377000802</v>
      </c>
      <c r="L673" s="7">
        <v>1</v>
      </c>
      <c r="M673" s="13">
        <v>0.508702346636971</v>
      </c>
      <c r="N673" s="13">
        <v>0.82703965147904501</v>
      </c>
      <c r="O673" s="7">
        <v>1</v>
      </c>
      <c r="P673" s="7" t="s">
        <v>160</v>
      </c>
      <c r="Q673" s="7" t="str">
        <f t="shared" si="10"/>
        <v>Yes</v>
      </c>
    </row>
    <row r="674" spans="1:17" ht="15" customHeight="1" x14ac:dyDescent="0.2">
      <c r="A674" s="7">
        <v>2020</v>
      </c>
      <c r="B674" s="7" t="s">
        <v>788</v>
      </c>
      <c r="C674" s="7">
        <v>8</v>
      </c>
      <c r="D674" s="7" t="s">
        <v>1298</v>
      </c>
      <c r="E674" s="7" t="s">
        <v>804</v>
      </c>
      <c r="F674" s="8">
        <v>97409</v>
      </c>
      <c r="G674" s="8">
        <v>277327</v>
      </c>
      <c r="H674" s="8">
        <v>15910.97</v>
      </c>
      <c r="I674" s="8">
        <v>3207957.35</v>
      </c>
      <c r="J674" s="13">
        <v>0.259940331326587</v>
      </c>
      <c r="K674" s="13">
        <v>4.9353659705307102E-3</v>
      </c>
      <c r="L674" s="7">
        <v>-1</v>
      </c>
      <c r="M674" s="13">
        <v>0.29790551196236298</v>
      </c>
      <c r="N674" s="13">
        <v>-3.7965180635775502</v>
      </c>
      <c r="O674" s="7">
        <v>1</v>
      </c>
      <c r="P674" s="7" t="s">
        <v>160</v>
      </c>
      <c r="Q674" s="7" t="str">
        <f t="shared" si="10"/>
        <v>Yes</v>
      </c>
    </row>
    <row r="675" spans="1:17" ht="15" customHeight="1" x14ac:dyDescent="0.2">
      <c r="A675" s="7">
        <v>2020</v>
      </c>
      <c r="B675" s="7" t="s">
        <v>788</v>
      </c>
      <c r="C675" s="7">
        <v>9</v>
      </c>
      <c r="D675" s="7" t="s">
        <v>1299</v>
      </c>
      <c r="E675" s="7" t="s">
        <v>1300</v>
      </c>
      <c r="F675" s="8">
        <v>172938</v>
      </c>
      <c r="G675" s="8">
        <v>49575</v>
      </c>
      <c r="H675" s="8">
        <v>503387.56</v>
      </c>
      <c r="I675" s="8">
        <v>88886.19</v>
      </c>
      <c r="J675" s="13">
        <v>0.77720402852866999</v>
      </c>
      <c r="K675" s="13">
        <v>0.84992380634799403</v>
      </c>
      <c r="L675" s="7">
        <v>1</v>
      </c>
      <c r="M675" s="13">
        <v>0.65606780362954398</v>
      </c>
      <c r="N675" s="13">
        <v>12.1136224899127</v>
      </c>
      <c r="O675" s="7">
        <v>1</v>
      </c>
      <c r="P675" s="7" t="s">
        <v>160</v>
      </c>
      <c r="Q675" s="7" t="str">
        <f t="shared" si="10"/>
        <v>Yes</v>
      </c>
    </row>
    <row r="676" spans="1:17" ht="15" customHeight="1" x14ac:dyDescent="0.2">
      <c r="A676" s="7">
        <v>2020</v>
      </c>
      <c r="B676" s="7" t="s">
        <v>788</v>
      </c>
      <c r="C676" s="7">
        <v>10</v>
      </c>
      <c r="D676" s="7" t="s">
        <v>805</v>
      </c>
      <c r="E676" s="7" t="s">
        <v>1301</v>
      </c>
      <c r="F676" s="8">
        <v>187686</v>
      </c>
      <c r="G676" s="8">
        <v>217216</v>
      </c>
      <c r="H676" s="8">
        <v>3199724.2</v>
      </c>
      <c r="I676" s="8">
        <v>4291030.26</v>
      </c>
      <c r="J676" s="13">
        <v>0.463534386098365</v>
      </c>
      <c r="K676" s="13">
        <v>0.42715646562522602</v>
      </c>
      <c r="L676" s="7">
        <v>-1</v>
      </c>
      <c r="M676" s="13">
        <v>0.437285607279912</v>
      </c>
      <c r="N676" s="13">
        <v>2.6248778818452099</v>
      </c>
      <c r="O676" s="7">
        <v>1</v>
      </c>
      <c r="P676" s="7" t="s">
        <v>160</v>
      </c>
      <c r="Q676" s="7" t="str">
        <f t="shared" si="10"/>
        <v>Yes</v>
      </c>
    </row>
    <row r="677" spans="1:17" ht="15" customHeight="1" x14ac:dyDescent="0.2">
      <c r="A677" s="7">
        <v>2020</v>
      </c>
      <c r="B677" s="7" t="s">
        <v>788</v>
      </c>
      <c r="C677" s="7">
        <v>11</v>
      </c>
      <c r="D677" s="7" t="s">
        <v>1302</v>
      </c>
      <c r="E677" s="7" t="s">
        <v>1303</v>
      </c>
      <c r="F677" s="8">
        <v>53394</v>
      </c>
      <c r="G677" s="8">
        <v>232568</v>
      </c>
      <c r="H677" s="8">
        <v>135733.04999999999</v>
      </c>
      <c r="I677" s="8">
        <v>2484872.63</v>
      </c>
      <c r="J677" s="13">
        <v>0.18671711626020199</v>
      </c>
      <c r="K677" s="13">
        <v>5.1794534002536398E-2</v>
      </c>
      <c r="L677" s="7">
        <v>0</v>
      </c>
      <c r="M677" s="13">
        <v>0.35298515854109502</v>
      </c>
      <c r="N677" s="13">
        <v>-16.626804228089298</v>
      </c>
      <c r="O677" s="7">
        <v>1</v>
      </c>
      <c r="P677" s="7" t="s">
        <v>160</v>
      </c>
      <c r="Q677" s="7" t="str">
        <f t="shared" si="10"/>
        <v>Yes</v>
      </c>
    </row>
    <row r="678" spans="1:17" ht="15" customHeight="1" x14ac:dyDescent="0.2">
      <c r="A678" s="7">
        <v>2020</v>
      </c>
      <c r="B678" s="7" t="s">
        <v>788</v>
      </c>
      <c r="C678" s="7">
        <v>12</v>
      </c>
      <c r="D678" s="7" t="s">
        <v>1304</v>
      </c>
      <c r="E678" s="7" t="s">
        <v>810</v>
      </c>
      <c r="F678" s="8">
        <v>121250</v>
      </c>
      <c r="G678" s="8">
        <v>233853</v>
      </c>
      <c r="H678" s="8">
        <v>2388821.62</v>
      </c>
      <c r="I678" s="8">
        <v>4329609.8600000003</v>
      </c>
      <c r="J678" s="13">
        <v>0.34145022711720302</v>
      </c>
      <c r="K678" s="13">
        <v>0.35556239981180798</v>
      </c>
      <c r="L678" s="7">
        <v>-1</v>
      </c>
      <c r="M678" s="13">
        <v>0.41365157353454501</v>
      </c>
      <c r="N678" s="13">
        <v>-7.22013464173427</v>
      </c>
      <c r="O678" s="7">
        <v>1</v>
      </c>
      <c r="P678" s="7" t="s">
        <v>160</v>
      </c>
      <c r="Q678" s="7" t="str">
        <f t="shared" si="10"/>
        <v>Yes</v>
      </c>
    </row>
    <row r="679" spans="1:17" ht="15" customHeight="1" x14ac:dyDescent="0.2">
      <c r="A679" s="7">
        <v>2020</v>
      </c>
      <c r="B679" s="7" t="s">
        <v>788</v>
      </c>
      <c r="C679" s="7">
        <v>13</v>
      </c>
      <c r="D679" s="7" t="s">
        <v>1305</v>
      </c>
      <c r="E679" s="7" t="s">
        <v>1306</v>
      </c>
      <c r="F679" s="8">
        <v>50477</v>
      </c>
      <c r="G679" s="8">
        <v>217124</v>
      </c>
      <c r="H679" s="8">
        <v>182361.54</v>
      </c>
      <c r="I679" s="8">
        <v>2758806.58</v>
      </c>
      <c r="J679" s="13">
        <v>0.18862784518742501</v>
      </c>
      <c r="K679" s="13">
        <v>6.2003099639200497E-2</v>
      </c>
      <c r="L679" s="7">
        <v>0</v>
      </c>
      <c r="M679" s="13">
        <v>0.35635512478072001</v>
      </c>
      <c r="N679" s="13">
        <v>-16.772727959329501</v>
      </c>
      <c r="O679" s="7">
        <v>1</v>
      </c>
      <c r="P679" s="7" t="s">
        <v>160</v>
      </c>
      <c r="Q679" s="7" t="str">
        <f t="shared" si="10"/>
        <v>Yes</v>
      </c>
    </row>
    <row r="680" spans="1:17" ht="15" customHeight="1" x14ac:dyDescent="0.2">
      <c r="A680" s="7">
        <v>2020</v>
      </c>
      <c r="B680" s="7" t="s">
        <v>788</v>
      </c>
      <c r="C680" s="7">
        <v>14</v>
      </c>
      <c r="D680" s="7" t="s">
        <v>813</v>
      </c>
      <c r="E680" s="7" t="s">
        <v>814</v>
      </c>
      <c r="F680" s="8">
        <v>118574</v>
      </c>
      <c r="G680" s="8">
        <v>190541</v>
      </c>
      <c r="H680" s="8">
        <v>246424.73</v>
      </c>
      <c r="I680" s="8">
        <v>936770.36</v>
      </c>
      <c r="J680" s="13">
        <v>0.38359186710447601</v>
      </c>
      <c r="K680" s="13">
        <v>0.20827058198830101</v>
      </c>
      <c r="L680" s="7">
        <v>-1</v>
      </c>
      <c r="M680" s="13">
        <v>0.36502883150548698</v>
      </c>
      <c r="N680" s="13">
        <v>1.85630355989889</v>
      </c>
      <c r="O680" s="7">
        <v>1</v>
      </c>
      <c r="P680" s="7" t="s">
        <v>160</v>
      </c>
      <c r="Q680" s="7" t="str">
        <f t="shared" si="10"/>
        <v>Yes</v>
      </c>
    </row>
    <row r="681" spans="1:17" ht="15" customHeight="1" x14ac:dyDescent="0.2">
      <c r="A681" s="7">
        <v>2020</v>
      </c>
      <c r="B681" s="7" t="s">
        <v>788</v>
      </c>
      <c r="C681" s="7">
        <v>15</v>
      </c>
      <c r="D681" s="7" t="s">
        <v>815</v>
      </c>
      <c r="E681" s="7" t="s">
        <v>1307</v>
      </c>
      <c r="F681" s="8">
        <v>115605</v>
      </c>
      <c r="G681" s="8">
        <v>109017</v>
      </c>
      <c r="H681" s="8">
        <v>908991.45</v>
      </c>
      <c r="I681" s="8">
        <v>426551.57</v>
      </c>
      <c r="J681" s="13">
        <v>0.51466463658947004</v>
      </c>
      <c r="K681" s="13">
        <v>0.68061562704284895</v>
      </c>
      <c r="L681" s="7">
        <v>1</v>
      </c>
      <c r="M681" s="13">
        <v>0.60017720463084101</v>
      </c>
      <c r="N681" s="13">
        <v>-8.5512568041370702</v>
      </c>
      <c r="O681" s="7">
        <v>1</v>
      </c>
      <c r="P681" s="7" t="s">
        <v>160</v>
      </c>
      <c r="Q681" s="7" t="str">
        <f t="shared" si="10"/>
        <v>Yes</v>
      </c>
    </row>
    <row r="682" spans="1:17" ht="15" customHeight="1" x14ac:dyDescent="0.2">
      <c r="A682" s="7">
        <v>2020</v>
      </c>
      <c r="B682" s="7" t="s">
        <v>788</v>
      </c>
      <c r="C682" s="7">
        <v>16</v>
      </c>
      <c r="D682" s="7" t="s">
        <v>817</v>
      </c>
      <c r="E682" s="7" t="s">
        <v>1308</v>
      </c>
      <c r="F682" s="8">
        <v>154108</v>
      </c>
      <c r="G682" s="8">
        <v>84006</v>
      </c>
      <c r="H682" s="8">
        <v>1090747.1100000001</v>
      </c>
      <c r="I682" s="8">
        <v>161419.07999999999</v>
      </c>
      <c r="J682" s="13">
        <v>0.64720260043508604</v>
      </c>
      <c r="K682" s="13">
        <v>0.87108813407587704</v>
      </c>
      <c r="L682" s="7">
        <v>1</v>
      </c>
      <c r="M682" s="13">
        <v>0.66305439434814295</v>
      </c>
      <c r="N682" s="13">
        <v>-1.58517939130571</v>
      </c>
      <c r="O682" s="7">
        <v>1</v>
      </c>
      <c r="P682" s="7" t="s">
        <v>160</v>
      </c>
      <c r="Q682" s="7" t="str">
        <f t="shared" si="10"/>
        <v>Yes</v>
      </c>
    </row>
    <row r="683" spans="1:17" ht="15" customHeight="1" x14ac:dyDescent="0.2">
      <c r="A683" s="7">
        <v>2020</v>
      </c>
      <c r="B683" s="7" t="s">
        <v>788</v>
      </c>
      <c r="C683" s="7">
        <v>17</v>
      </c>
      <c r="D683" s="7" t="s">
        <v>819</v>
      </c>
      <c r="E683" s="7" t="s">
        <v>844</v>
      </c>
      <c r="F683" s="8">
        <v>125565</v>
      </c>
      <c r="G683" s="8">
        <v>171390</v>
      </c>
      <c r="H683" s="8">
        <v>218522.96</v>
      </c>
      <c r="I683" s="8">
        <v>1742758.6</v>
      </c>
      <c r="J683" s="13">
        <v>0.42284184472394798</v>
      </c>
      <c r="K683" s="13">
        <v>0.111418454370213</v>
      </c>
      <c r="L683" s="7">
        <v>0</v>
      </c>
      <c r="M683" s="13">
        <v>0.37266770806514599</v>
      </c>
      <c r="N683" s="13">
        <v>5.0174136658802402</v>
      </c>
      <c r="O683" s="7">
        <v>1</v>
      </c>
      <c r="P683" s="7" t="s">
        <v>160</v>
      </c>
      <c r="Q683" s="7" t="str">
        <f t="shared" si="10"/>
        <v>Yes</v>
      </c>
    </row>
    <row r="684" spans="1:17" ht="15" customHeight="1" x14ac:dyDescent="0.2">
      <c r="A684" s="7">
        <v>2020</v>
      </c>
      <c r="B684" s="7" t="s">
        <v>788</v>
      </c>
      <c r="C684" s="7">
        <v>18</v>
      </c>
      <c r="D684" s="7" t="s">
        <v>821</v>
      </c>
      <c r="E684" s="7" t="s">
        <v>1309</v>
      </c>
      <c r="F684" s="8">
        <v>180952</v>
      </c>
      <c r="G684" s="8">
        <v>58033</v>
      </c>
      <c r="H684" s="8">
        <v>891381.09</v>
      </c>
      <c r="I684" s="8">
        <v>274172.2</v>
      </c>
      <c r="J684" s="13">
        <v>0.75716885997029104</v>
      </c>
      <c r="K684" s="13">
        <v>0.76477077251439995</v>
      </c>
      <c r="L684" s="7">
        <v>1</v>
      </c>
      <c r="M684" s="13">
        <v>0.62795779685344599</v>
      </c>
      <c r="N684" s="13">
        <v>12.9211063116845</v>
      </c>
      <c r="O684" s="7">
        <v>1</v>
      </c>
      <c r="P684" s="7" t="s">
        <v>160</v>
      </c>
      <c r="Q684" s="7" t="str">
        <f t="shared" si="10"/>
        <v>Yes</v>
      </c>
    </row>
    <row r="685" spans="1:17" ht="15" customHeight="1" x14ac:dyDescent="0.2">
      <c r="A685" s="7">
        <v>2020</v>
      </c>
      <c r="B685" s="7" t="s">
        <v>788</v>
      </c>
      <c r="C685" s="7">
        <v>19</v>
      </c>
      <c r="D685" s="7" t="s">
        <v>1310</v>
      </c>
      <c r="E685" s="7" t="s">
        <v>1311</v>
      </c>
      <c r="F685" s="8">
        <v>60583</v>
      </c>
      <c r="G685" s="8">
        <v>198198</v>
      </c>
      <c r="H685" s="8">
        <v>61555.62</v>
      </c>
      <c r="I685" s="8">
        <v>1978419.17</v>
      </c>
      <c r="J685" s="13">
        <v>0.234109150208091</v>
      </c>
      <c r="K685" s="13">
        <v>3.01746964235769E-2</v>
      </c>
      <c r="L685" s="7">
        <v>-1</v>
      </c>
      <c r="M685" s="13">
        <v>0.30623730847176001</v>
      </c>
      <c r="N685" s="13">
        <v>-7.2128158263668603</v>
      </c>
      <c r="O685" s="7">
        <v>1</v>
      </c>
      <c r="P685" s="7" t="s">
        <v>160</v>
      </c>
      <c r="Q685" s="7" t="str">
        <f t="shared" si="10"/>
        <v>Yes</v>
      </c>
    </row>
    <row r="686" spans="1:17" ht="15" customHeight="1" x14ac:dyDescent="0.2">
      <c r="A686" s="7">
        <v>2020</v>
      </c>
      <c r="B686" s="7" t="s">
        <v>788</v>
      </c>
      <c r="C686" s="7">
        <v>20</v>
      </c>
      <c r="D686" s="7" t="s">
        <v>1312</v>
      </c>
      <c r="E686" s="7" t="s">
        <v>1313</v>
      </c>
      <c r="F686" s="8">
        <v>175078</v>
      </c>
      <c r="G686" s="8">
        <v>89628</v>
      </c>
      <c r="H686" s="8">
        <v>726911.73</v>
      </c>
      <c r="I686" s="8">
        <v>291173.40000000002</v>
      </c>
      <c r="J686" s="13">
        <v>0.66140548381978503</v>
      </c>
      <c r="K686" s="13">
        <v>0.71399896588215594</v>
      </c>
      <c r="L686" s="7">
        <v>1</v>
      </c>
      <c r="M686" s="13">
        <v>0.61119743302124097</v>
      </c>
      <c r="N686" s="13">
        <v>5.02080507985439</v>
      </c>
      <c r="O686" s="7">
        <v>1</v>
      </c>
      <c r="P686" s="7" t="s">
        <v>160</v>
      </c>
      <c r="Q686" s="7" t="str">
        <f t="shared" si="10"/>
        <v>Yes</v>
      </c>
    </row>
    <row r="687" spans="1:17" ht="15" customHeight="1" x14ac:dyDescent="0.2">
      <c r="A687" s="7">
        <v>2020</v>
      </c>
      <c r="B687" s="7" t="s">
        <v>788</v>
      </c>
      <c r="C687" s="7">
        <v>21</v>
      </c>
      <c r="D687" s="7" t="s">
        <v>1314</v>
      </c>
      <c r="E687" s="7" t="s">
        <v>826</v>
      </c>
      <c r="F687" s="8">
        <v>205780</v>
      </c>
      <c r="G687" s="8">
        <v>235740</v>
      </c>
      <c r="H687" s="8">
        <v>15017360.09</v>
      </c>
      <c r="I687" s="8">
        <v>13767405.529999999</v>
      </c>
      <c r="J687" s="13">
        <v>0.46607175212900898</v>
      </c>
      <c r="K687" s="13">
        <v>0.52171208507481304</v>
      </c>
      <c r="L687" s="7">
        <v>-1</v>
      </c>
      <c r="M687" s="13">
        <v>0.46849951691747399</v>
      </c>
      <c r="N687" s="13">
        <v>-0.24277647884648501</v>
      </c>
      <c r="O687" s="7">
        <v>1</v>
      </c>
      <c r="P687" s="7" t="s">
        <v>160</v>
      </c>
      <c r="Q687" s="7" t="str">
        <f t="shared" si="10"/>
        <v>Yes</v>
      </c>
    </row>
    <row r="688" spans="1:17" ht="15" customHeight="1" x14ac:dyDescent="0.2">
      <c r="A688" s="7">
        <v>2020</v>
      </c>
      <c r="B688" s="7" t="s">
        <v>788</v>
      </c>
      <c r="C688" s="7">
        <v>22</v>
      </c>
      <c r="D688" s="7" t="s">
        <v>827</v>
      </c>
      <c r="E688" s="7" t="s">
        <v>1315</v>
      </c>
      <c r="F688" s="8">
        <v>181998</v>
      </c>
      <c r="G688" s="8">
        <v>210259</v>
      </c>
      <c r="H688" s="8">
        <v>13969427.140000001</v>
      </c>
      <c r="I688" s="8">
        <v>8821890.0700000003</v>
      </c>
      <c r="J688" s="13">
        <v>0.46397642362022901</v>
      </c>
      <c r="K688" s="13">
        <v>0.61292759041898304</v>
      </c>
      <c r="L688" s="7">
        <v>0</v>
      </c>
      <c r="M688" s="13">
        <v>0.53822170629561294</v>
      </c>
      <c r="N688" s="13">
        <v>-7.4245282675384798</v>
      </c>
      <c r="O688" s="7">
        <v>0</v>
      </c>
      <c r="P688" s="7" t="s">
        <v>160</v>
      </c>
      <c r="Q688" s="7" t="str">
        <f t="shared" si="10"/>
        <v>Yes</v>
      </c>
    </row>
    <row r="689" spans="1:17" ht="15" customHeight="1" x14ac:dyDescent="0.2">
      <c r="A689" s="7">
        <v>2020</v>
      </c>
      <c r="B689" s="7" t="s">
        <v>788</v>
      </c>
      <c r="C689" s="7">
        <v>23</v>
      </c>
      <c r="D689" s="7" t="s">
        <v>829</v>
      </c>
      <c r="E689" s="7" t="s">
        <v>1316</v>
      </c>
      <c r="F689" s="8">
        <v>137693</v>
      </c>
      <c r="G689" s="8">
        <v>149395</v>
      </c>
      <c r="H689" s="8">
        <v>14216289.029999999</v>
      </c>
      <c r="I689" s="8">
        <v>7516668.96</v>
      </c>
      <c r="J689" s="13">
        <v>0.47961948949451</v>
      </c>
      <c r="K689" s="13">
        <v>0.654135025546976</v>
      </c>
      <c r="L689" s="7">
        <v>0</v>
      </c>
      <c r="M689" s="13">
        <v>0.55182475986311297</v>
      </c>
      <c r="N689" s="13">
        <v>-7.2205270368602497</v>
      </c>
      <c r="O689" s="7">
        <v>0</v>
      </c>
      <c r="P689" s="7" t="s">
        <v>160</v>
      </c>
      <c r="Q689" s="7" t="str">
        <f t="shared" si="10"/>
        <v>Yes</v>
      </c>
    </row>
    <row r="690" spans="1:17" ht="15" customHeight="1" x14ac:dyDescent="0.2">
      <c r="A690" s="7">
        <v>2020</v>
      </c>
      <c r="B690" s="7" t="s">
        <v>788</v>
      </c>
      <c r="C690" s="7">
        <v>24</v>
      </c>
      <c r="D690" s="7" t="s">
        <v>1317</v>
      </c>
      <c r="E690" s="7" t="s">
        <v>1318</v>
      </c>
      <c r="F690" s="8">
        <v>163326</v>
      </c>
      <c r="G690" s="8">
        <v>167910</v>
      </c>
      <c r="H690" s="8">
        <v>13994980.949999999</v>
      </c>
      <c r="I690" s="8">
        <v>11777768.220000001</v>
      </c>
      <c r="J690" s="13">
        <v>0.49308046226859398</v>
      </c>
      <c r="K690" s="13">
        <v>0.54301467250107904</v>
      </c>
      <c r="L690" s="7">
        <v>0</v>
      </c>
      <c r="M690" s="13">
        <v>0.51514263902186797</v>
      </c>
      <c r="N690" s="13">
        <v>-2.2062176753273901</v>
      </c>
      <c r="O690" s="7">
        <v>0</v>
      </c>
      <c r="P690" s="7" t="s">
        <v>160</v>
      </c>
      <c r="Q690" s="7" t="str">
        <f t="shared" si="10"/>
        <v>Yes</v>
      </c>
    </row>
    <row r="691" spans="1:17" ht="15" customHeight="1" x14ac:dyDescent="0.2">
      <c r="A691" s="7">
        <v>2020</v>
      </c>
      <c r="B691" s="7" t="s">
        <v>788</v>
      </c>
      <c r="C691" s="7">
        <v>25</v>
      </c>
      <c r="D691" s="7" t="s">
        <v>833</v>
      </c>
      <c r="E691" s="7" t="s">
        <v>834</v>
      </c>
      <c r="F691" s="8">
        <v>165697</v>
      </c>
      <c r="G691" s="8">
        <v>220088</v>
      </c>
      <c r="H691" s="8">
        <v>2216995.2200000002</v>
      </c>
      <c r="I691" s="8">
        <v>3624886.66</v>
      </c>
      <c r="J691" s="13">
        <v>0.42950607203494201</v>
      </c>
      <c r="K691" s="13">
        <v>0.37950017914432699</v>
      </c>
      <c r="L691" s="7">
        <v>-1</v>
      </c>
      <c r="M691" s="13">
        <v>0.42155371288235499</v>
      </c>
      <c r="N691" s="13">
        <v>0.795235915258652</v>
      </c>
      <c r="O691" s="7">
        <v>1</v>
      </c>
      <c r="P691" s="7" t="s">
        <v>160</v>
      </c>
      <c r="Q691" s="7" t="str">
        <f t="shared" si="10"/>
        <v>Yes</v>
      </c>
    </row>
    <row r="692" spans="1:17" ht="15" customHeight="1" x14ac:dyDescent="0.2">
      <c r="A692" s="7">
        <v>2020</v>
      </c>
      <c r="B692" s="7" t="s">
        <v>788</v>
      </c>
      <c r="C692" s="7">
        <v>26</v>
      </c>
      <c r="D692" s="7" t="s">
        <v>1319</v>
      </c>
      <c r="E692" s="7" t="s">
        <v>836</v>
      </c>
      <c r="F692" s="8">
        <v>161009</v>
      </c>
      <c r="G692" s="8">
        <v>261963</v>
      </c>
      <c r="H692" s="8">
        <v>122250.58</v>
      </c>
      <c r="I692" s="8">
        <v>2121445.71</v>
      </c>
      <c r="J692" s="13">
        <v>0.380661131233273</v>
      </c>
      <c r="K692" s="13">
        <v>5.4486242431679599E-2</v>
      </c>
      <c r="L692" s="7">
        <v>-1</v>
      </c>
      <c r="M692" s="13">
        <v>0.31426283254598902</v>
      </c>
      <c r="N692" s="13">
        <v>6.6398298687284099</v>
      </c>
      <c r="O692" s="7">
        <v>1</v>
      </c>
      <c r="P692" s="7" t="s">
        <v>160</v>
      </c>
      <c r="Q692" s="7" t="str">
        <f t="shared" si="10"/>
        <v>Yes</v>
      </c>
    </row>
    <row r="693" spans="1:17" ht="15" customHeight="1" x14ac:dyDescent="0.2">
      <c r="A693" s="7">
        <v>2020</v>
      </c>
      <c r="B693" s="7" t="s">
        <v>788</v>
      </c>
      <c r="C693" s="7">
        <v>27</v>
      </c>
      <c r="D693" s="7" t="s">
        <v>1320</v>
      </c>
      <c r="E693" s="7" t="s">
        <v>838</v>
      </c>
      <c r="F693" s="8">
        <v>95466</v>
      </c>
      <c r="G693" s="8">
        <v>172305</v>
      </c>
      <c r="H693" s="8">
        <v>1263157.8400000001</v>
      </c>
      <c r="I693" s="8">
        <v>841986.64</v>
      </c>
      <c r="J693" s="13">
        <v>0.35652105717198701</v>
      </c>
      <c r="K693" s="13">
        <v>0.60003379910532295</v>
      </c>
      <c r="L693" s="7">
        <v>-1</v>
      </c>
      <c r="M693" s="13">
        <v>0.49435442558010101</v>
      </c>
      <c r="N693" s="13">
        <v>-13.783336840811501</v>
      </c>
      <c r="O693" s="7">
        <v>1</v>
      </c>
      <c r="P693" s="7" t="s">
        <v>160</v>
      </c>
      <c r="Q693" s="7" t="str">
        <f t="shared" si="10"/>
        <v>Yes</v>
      </c>
    </row>
    <row r="694" spans="1:17" ht="15" customHeight="1" x14ac:dyDescent="0.2">
      <c r="A694" s="7">
        <v>2020</v>
      </c>
      <c r="B694" s="7" t="s">
        <v>788</v>
      </c>
      <c r="C694" s="7">
        <v>28</v>
      </c>
      <c r="D694" s="7" t="s">
        <v>1321</v>
      </c>
      <c r="E694" s="7" t="s">
        <v>1322</v>
      </c>
      <c r="F694" s="8">
        <v>137494</v>
      </c>
      <c r="G694" s="8">
        <v>91925</v>
      </c>
      <c r="H694" s="8">
        <v>4057497.94</v>
      </c>
      <c r="I694" s="8">
        <v>976219.79</v>
      </c>
      <c r="J694" s="13">
        <v>0.59931391907383402</v>
      </c>
      <c r="K694" s="13">
        <v>0.80606385928596802</v>
      </c>
      <c r="L694" s="7">
        <v>1</v>
      </c>
      <c r="M694" s="13">
        <v>0.64158912502459597</v>
      </c>
      <c r="N694" s="13">
        <v>-4.2275205950761601</v>
      </c>
      <c r="O694" s="7">
        <v>1</v>
      </c>
      <c r="P694" s="7" t="s">
        <v>160</v>
      </c>
      <c r="Q694" s="7" t="str">
        <f t="shared" si="10"/>
        <v>Yes</v>
      </c>
    </row>
    <row r="695" spans="1:17" ht="15" customHeight="1" x14ac:dyDescent="0.2">
      <c r="A695" s="7">
        <v>2020</v>
      </c>
      <c r="B695" s="7" t="s">
        <v>788</v>
      </c>
      <c r="C695" s="7">
        <v>29</v>
      </c>
      <c r="D695" s="7" t="s">
        <v>1323</v>
      </c>
      <c r="E695" s="7" t="s">
        <v>1324</v>
      </c>
      <c r="F695" s="8">
        <v>111305</v>
      </c>
      <c r="G695" s="8">
        <v>42840</v>
      </c>
      <c r="H695" s="8">
        <v>799518.62</v>
      </c>
      <c r="I695" s="8">
        <v>20055.2</v>
      </c>
      <c r="J695" s="13">
        <v>0.72207985987219803</v>
      </c>
      <c r="K695" s="13">
        <v>0.97552972104452995</v>
      </c>
      <c r="L695" s="7">
        <v>1</v>
      </c>
      <c r="M695" s="13">
        <v>0.69753177683497802</v>
      </c>
      <c r="N695" s="13">
        <v>2.4548083037220501</v>
      </c>
      <c r="O695" s="7">
        <v>1</v>
      </c>
      <c r="P695" s="7" t="s">
        <v>160</v>
      </c>
      <c r="Q695" s="7" t="str">
        <f t="shared" si="10"/>
        <v>Yes</v>
      </c>
    </row>
    <row r="696" spans="1:17" ht="15" customHeight="1" x14ac:dyDescent="0.2">
      <c r="A696" s="7">
        <v>2020</v>
      </c>
      <c r="B696" s="7" t="s">
        <v>788</v>
      </c>
      <c r="C696" s="7">
        <v>30</v>
      </c>
      <c r="D696" s="7" t="s">
        <v>1325</v>
      </c>
      <c r="E696" s="7" t="s">
        <v>1326</v>
      </c>
      <c r="F696" s="8">
        <v>204928</v>
      </c>
      <c r="G696" s="8">
        <v>48685</v>
      </c>
      <c r="H696" s="8">
        <v>497366.74</v>
      </c>
      <c r="I696" s="8">
        <v>310102.93</v>
      </c>
      <c r="J696" s="13">
        <v>0.80803428846313097</v>
      </c>
      <c r="K696" s="13">
        <v>0.61595717892413204</v>
      </c>
      <c r="L696" s="7">
        <v>1</v>
      </c>
      <c r="M696" s="13">
        <v>0.57883269894592404</v>
      </c>
      <c r="N696" s="13">
        <v>22.920158951720701</v>
      </c>
      <c r="O696" s="7">
        <v>1</v>
      </c>
      <c r="P696" s="7" t="s">
        <v>160</v>
      </c>
      <c r="Q696" s="7" t="str">
        <f t="shared" si="10"/>
        <v>Yes</v>
      </c>
    </row>
    <row r="697" spans="1:17" ht="15" customHeight="1" x14ac:dyDescent="0.2">
      <c r="A697" s="7">
        <v>2020</v>
      </c>
      <c r="B697" s="7" t="s">
        <v>788</v>
      </c>
      <c r="C697" s="7">
        <v>31</v>
      </c>
      <c r="D697" s="7" t="s">
        <v>1327</v>
      </c>
      <c r="E697" s="7" t="s">
        <v>842</v>
      </c>
      <c r="F697" s="8">
        <v>176293</v>
      </c>
      <c r="G697" s="8">
        <v>212695</v>
      </c>
      <c r="H697" s="8">
        <v>1270965.6599999999</v>
      </c>
      <c r="I697" s="8">
        <v>2311301.9300000002</v>
      </c>
      <c r="J697" s="13">
        <v>0.453209353501908</v>
      </c>
      <c r="K697" s="13">
        <v>0.354793612723945</v>
      </c>
      <c r="L697" s="7">
        <v>-1</v>
      </c>
      <c r="M697" s="13">
        <v>0.41339778797604798</v>
      </c>
      <c r="N697" s="13">
        <v>3.9811565525859698</v>
      </c>
      <c r="O697" s="7">
        <v>1</v>
      </c>
      <c r="P697" s="7" t="s">
        <v>160</v>
      </c>
      <c r="Q697" s="7" t="str">
        <f t="shared" si="10"/>
        <v>Yes</v>
      </c>
    </row>
    <row r="698" spans="1:17" ht="15" customHeight="1" x14ac:dyDescent="0.2">
      <c r="A698" s="7">
        <v>2020</v>
      </c>
      <c r="B698" s="7" t="s">
        <v>788</v>
      </c>
      <c r="C698" s="7">
        <v>32</v>
      </c>
      <c r="D698" s="7" t="s">
        <v>843</v>
      </c>
      <c r="E698" s="7" t="s">
        <v>1328</v>
      </c>
      <c r="F698" s="8">
        <v>178542</v>
      </c>
      <c r="G698" s="8">
        <v>157867</v>
      </c>
      <c r="H698" s="8">
        <v>5880937.9800000004</v>
      </c>
      <c r="I698" s="8">
        <v>7048019.0700000003</v>
      </c>
      <c r="J698" s="13">
        <v>0.53072896385055102</v>
      </c>
      <c r="K698" s="13">
        <v>0.45486561346415799</v>
      </c>
      <c r="L698" s="7">
        <v>1</v>
      </c>
      <c r="M698" s="13">
        <v>0.52565449973459299</v>
      </c>
      <c r="N698" s="13">
        <v>0.50744641159577997</v>
      </c>
      <c r="O698" s="7">
        <v>1</v>
      </c>
      <c r="P698" s="7" t="s">
        <v>160</v>
      </c>
      <c r="Q698" s="7" t="str">
        <f t="shared" si="10"/>
        <v>Yes</v>
      </c>
    </row>
    <row r="699" spans="1:17" ht="15" customHeight="1" x14ac:dyDescent="0.2">
      <c r="A699" s="7">
        <v>2020</v>
      </c>
      <c r="B699" s="7" t="s">
        <v>788</v>
      </c>
      <c r="C699" s="7">
        <v>33</v>
      </c>
      <c r="D699" s="7" t="s">
        <v>845</v>
      </c>
      <c r="E699" s="7" t="s">
        <v>1329</v>
      </c>
      <c r="F699" s="8">
        <v>105317</v>
      </c>
      <c r="G699" s="8">
        <v>39638</v>
      </c>
      <c r="H699" s="8">
        <v>1632270.38</v>
      </c>
      <c r="I699" s="8">
        <v>27299.96</v>
      </c>
      <c r="J699" s="13">
        <v>0.72654961884722902</v>
      </c>
      <c r="K699" s="13">
        <v>0.98354998318420195</v>
      </c>
      <c r="L699" s="7">
        <v>1</v>
      </c>
      <c r="M699" s="13">
        <v>0.70017935864084502</v>
      </c>
      <c r="N699" s="13">
        <v>2.6370260206383098</v>
      </c>
      <c r="O699" s="7">
        <v>1</v>
      </c>
      <c r="P699" s="7" t="s">
        <v>160</v>
      </c>
      <c r="Q699" s="7" t="str">
        <f t="shared" si="10"/>
        <v>Yes</v>
      </c>
    </row>
    <row r="700" spans="1:17" ht="15" customHeight="1" x14ac:dyDescent="0.2">
      <c r="A700" s="7">
        <v>2020</v>
      </c>
      <c r="B700" s="7" t="s">
        <v>788</v>
      </c>
      <c r="C700" s="7">
        <v>34</v>
      </c>
      <c r="D700" s="7" t="s">
        <v>847</v>
      </c>
      <c r="E700" s="7" t="s">
        <v>848</v>
      </c>
      <c r="F700" s="8">
        <v>111439</v>
      </c>
      <c r="G700" s="8">
        <v>84119</v>
      </c>
      <c r="H700" s="8">
        <v>1035151.22</v>
      </c>
      <c r="I700" s="8">
        <v>37445.83</v>
      </c>
      <c r="J700" s="13">
        <v>0.56985139958477804</v>
      </c>
      <c r="K700" s="13">
        <v>0.96508863230604602</v>
      </c>
      <c r="L700" s="7">
        <v>1</v>
      </c>
      <c r="M700" s="13">
        <v>0.69408505201525905</v>
      </c>
      <c r="N700" s="13">
        <v>-12.423365243048099</v>
      </c>
      <c r="O700" s="7">
        <v>1</v>
      </c>
      <c r="P700" s="7" t="s">
        <v>160</v>
      </c>
      <c r="Q700" s="7" t="str">
        <f t="shared" si="10"/>
        <v>Yes</v>
      </c>
    </row>
    <row r="701" spans="1:17" ht="15" customHeight="1" x14ac:dyDescent="0.2">
      <c r="A701" s="7">
        <v>2020</v>
      </c>
      <c r="B701" s="7" t="s">
        <v>788</v>
      </c>
      <c r="C701" s="7">
        <v>35</v>
      </c>
      <c r="D701" s="7" t="s">
        <v>849</v>
      </c>
      <c r="E701" s="7" t="s">
        <v>1330</v>
      </c>
      <c r="F701" s="8">
        <v>176373</v>
      </c>
      <c r="G701" s="8">
        <v>80795</v>
      </c>
      <c r="H701" s="8">
        <v>426738.64</v>
      </c>
      <c r="I701" s="8">
        <v>14442.45</v>
      </c>
      <c r="J701" s="13">
        <v>0.68582794126796498</v>
      </c>
      <c r="K701" s="13">
        <v>0.96726412276645901</v>
      </c>
      <c r="L701" s="7">
        <v>1</v>
      </c>
      <c r="M701" s="13">
        <v>0.69480320671662898</v>
      </c>
      <c r="N701" s="13">
        <v>-0.89752654486641203</v>
      </c>
      <c r="O701" s="7">
        <v>1</v>
      </c>
      <c r="P701" s="7" t="s">
        <v>160</v>
      </c>
      <c r="Q701" s="7" t="str">
        <f t="shared" si="10"/>
        <v>Yes</v>
      </c>
    </row>
    <row r="702" spans="1:17" ht="15" customHeight="1" x14ac:dyDescent="0.2">
      <c r="A702" s="7">
        <v>2020</v>
      </c>
      <c r="B702" s="7" t="s">
        <v>788</v>
      </c>
      <c r="C702" s="7">
        <v>36</v>
      </c>
      <c r="D702" s="7" t="s">
        <v>1331</v>
      </c>
      <c r="E702" s="7" t="s">
        <v>852</v>
      </c>
      <c r="F702" s="8">
        <v>73418</v>
      </c>
      <c r="G702" s="8">
        <v>222712</v>
      </c>
      <c r="H702" s="8">
        <v>13027.65</v>
      </c>
      <c r="I702" s="8">
        <v>1326543.81</v>
      </c>
      <c r="J702" s="13">
        <v>0.247924897848918</v>
      </c>
      <c r="K702" s="13">
        <v>9.7252370545428003E-3</v>
      </c>
      <c r="L702" s="7">
        <v>-1</v>
      </c>
      <c r="M702" s="13">
        <v>0.29948670411215</v>
      </c>
      <c r="N702" s="13">
        <v>-5.1561806263231897</v>
      </c>
      <c r="O702" s="7">
        <v>1</v>
      </c>
      <c r="P702" s="7" t="s">
        <v>160</v>
      </c>
      <c r="Q702" s="7" t="str">
        <f t="shared" si="10"/>
        <v>Yes</v>
      </c>
    </row>
    <row r="703" spans="1:17" ht="15" customHeight="1" x14ac:dyDescent="0.2">
      <c r="A703" s="7">
        <v>2020</v>
      </c>
      <c r="B703" s="7" t="s">
        <v>853</v>
      </c>
      <c r="C703" s="7">
        <v>1</v>
      </c>
      <c r="D703" s="7" t="s">
        <v>1332</v>
      </c>
      <c r="E703" s="7" t="s">
        <v>1333</v>
      </c>
      <c r="F703" s="8">
        <v>104194</v>
      </c>
      <c r="G703" s="8">
        <v>237988</v>
      </c>
      <c r="H703" s="8">
        <v>57866.63</v>
      </c>
      <c r="I703" s="8">
        <v>835324.01</v>
      </c>
      <c r="J703" s="13">
        <v>0.30449877550543297</v>
      </c>
      <c r="K703" s="13">
        <v>6.4786426781185305E-2</v>
      </c>
      <c r="L703" s="7">
        <v>0</v>
      </c>
      <c r="M703" s="13">
        <v>0.35727393343966002</v>
      </c>
      <c r="N703" s="13">
        <v>-5.2775157934226797</v>
      </c>
      <c r="O703" s="7">
        <v>1</v>
      </c>
      <c r="P703" s="7" t="s">
        <v>160</v>
      </c>
      <c r="Q703" s="7" t="str">
        <f t="shared" si="10"/>
        <v>Yes</v>
      </c>
    </row>
    <row r="704" spans="1:17" ht="15" customHeight="1" x14ac:dyDescent="0.2">
      <c r="A704" s="7">
        <v>2020</v>
      </c>
      <c r="B704" s="7" t="s">
        <v>853</v>
      </c>
      <c r="C704" s="7">
        <v>2</v>
      </c>
      <c r="D704" s="7" t="s">
        <v>1334</v>
      </c>
      <c r="E704" s="7" t="s">
        <v>857</v>
      </c>
      <c r="F704" s="8">
        <v>129762</v>
      </c>
      <c r="G704" s="8">
        <v>208997</v>
      </c>
      <c r="H704" s="8">
        <v>308474.07</v>
      </c>
      <c r="I704" s="8">
        <v>937210.17</v>
      </c>
      <c r="J704" s="13">
        <v>0.38305107760974599</v>
      </c>
      <c r="K704" s="13">
        <v>0.247634239957953</v>
      </c>
      <c r="L704" s="7">
        <v>-1</v>
      </c>
      <c r="M704" s="13">
        <v>0.37802323279036898</v>
      </c>
      <c r="N704" s="13">
        <v>0.502784481937679</v>
      </c>
      <c r="O704" s="7">
        <v>1</v>
      </c>
      <c r="P704" s="7" t="s">
        <v>160</v>
      </c>
      <c r="Q704" s="7" t="str">
        <f t="shared" si="10"/>
        <v>Yes</v>
      </c>
    </row>
    <row r="705" spans="1:17" ht="15" customHeight="1" x14ac:dyDescent="0.2">
      <c r="A705" s="7">
        <v>2020</v>
      </c>
      <c r="B705" s="7" t="s">
        <v>853</v>
      </c>
      <c r="C705" s="7">
        <v>3</v>
      </c>
      <c r="D705" s="7" t="s">
        <v>1335</v>
      </c>
      <c r="E705" s="7" t="s">
        <v>859</v>
      </c>
      <c r="F705" s="8">
        <v>96067</v>
      </c>
      <c r="G705" s="8">
        <v>246674</v>
      </c>
      <c r="H705" s="8">
        <v>191838.2</v>
      </c>
      <c r="I705" s="8">
        <v>718455.03</v>
      </c>
      <c r="J705" s="13">
        <v>0.28029036502782001</v>
      </c>
      <c r="K705" s="13">
        <v>0.21074330081527701</v>
      </c>
      <c r="L705" s="7">
        <v>-1</v>
      </c>
      <c r="M705" s="13">
        <v>0.36584510474734799</v>
      </c>
      <c r="N705" s="13">
        <v>-8.5554739719528392</v>
      </c>
      <c r="O705" s="7">
        <v>1</v>
      </c>
      <c r="P705" s="7" t="s">
        <v>160</v>
      </c>
      <c r="Q705" s="7" t="str">
        <f t="shared" si="10"/>
        <v>Yes</v>
      </c>
    </row>
    <row r="706" spans="1:17" ht="15" customHeight="1" x14ac:dyDescent="0.2">
      <c r="A706" s="7">
        <v>2020</v>
      </c>
      <c r="B706" s="7" t="s">
        <v>853</v>
      </c>
      <c r="C706" s="7">
        <v>4</v>
      </c>
      <c r="D706" s="7" t="s">
        <v>860</v>
      </c>
      <c r="E706" s="7" t="s">
        <v>1336</v>
      </c>
      <c r="F706" s="8">
        <v>175923</v>
      </c>
      <c r="G706" s="8">
        <v>179688</v>
      </c>
      <c r="H706" s="8">
        <v>12772325.77</v>
      </c>
      <c r="I706" s="8">
        <v>11922621.77</v>
      </c>
      <c r="J706" s="13">
        <v>0.49470629423724199</v>
      </c>
      <c r="K706" s="13">
        <v>0.51720400496141306</v>
      </c>
      <c r="L706" s="7">
        <v>1</v>
      </c>
      <c r="M706" s="13">
        <v>0.54623312774711097</v>
      </c>
      <c r="N706" s="13">
        <v>-5.1526833509868597</v>
      </c>
      <c r="O706" s="7">
        <v>0</v>
      </c>
      <c r="P706" s="7" t="s">
        <v>160</v>
      </c>
      <c r="Q706" s="7" t="str">
        <f t="shared" si="10"/>
        <v>Yes</v>
      </c>
    </row>
    <row r="707" spans="1:17" ht="15" customHeight="1" x14ac:dyDescent="0.2">
      <c r="A707" s="7">
        <v>2020</v>
      </c>
      <c r="B707" s="7" t="s">
        <v>862</v>
      </c>
      <c r="C707" s="7">
        <v>1</v>
      </c>
      <c r="D707" s="7" t="s">
        <v>1337</v>
      </c>
      <c r="E707" s="7" t="s">
        <v>1338</v>
      </c>
      <c r="F707" s="8">
        <v>186923</v>
      </c>
      <c r="G707" s="8">
        <v>260614</v>
      </c>
      <c r="H707" s="8">
        <v>1673359.15</v>
      </c>
      <c r="I707" s="8">
        <v>2191992.86</v>
      </c>
      <c r="J707" s="13">
        <v>0.417670494283154</v>
      </c>
      <c r="K707" s="13">
        <v>0.432912486539615</v>
      </c>
      <c r="L707" s="7">
        <v>-1</v>
      </c>
      <c r="M707" s="13">
        <v>0.43918573672477801</v>
      </c>
      <c r="N707" s="13">
        <v>-2.1515242441623701</v>
      </c>
      <c r="O707" s="7">
        <v>1</v>
      </c>
      <c r="P707" s="7" t="s">
        <v>160</v>
      </c>
      <c r="Q707" s="7" t="str">
        <f t="shared" si="10"/>
        <v>Yes</v>
      </c>
    </row>
    <row r="708" spans="1:17" ht="15" customHeight="1" x14ac:dyDescent="0.2">
      <c r="A708" s="7">
        <v>2020</v>
      </c>
      <c r="B708" s="7" t="s">
        <v>862</v>
      </c>
      <c r="C708" s="7">
        <v>2</v>
      </c>
      <c r="D708" s="7" t="s">
        <v>865</v>
      </c>
      <c r="E708" s="7" t="s">
        <v>866</v>
      </c>
      <c r="F708" s="8">
        <v>185733</v>
      </c>
      <c r="G708" s="8">
        <v>165031</v>
      </c>
      <c r="H708" s="8">
        <v>9445656.7100000009</v>
      </c>
      <c r="I708" s="8">
        <v>5951974.5999999996</v>
      </c>
      <c r="J708" s="13">
        <v>0.52950986988402504</v>
      </c>
      <c r="K708" s="13">
        <v>0.61344868699807797</v>
      </c>
      <c r="L708" s="7">
        <v>1</v>
      </c>
      <c r="M708" s="13">
        <v>0.57800461658802504</v>
      </c>
      <c r="N708" s="13">
        <v>-4.84947467040005</v>
      </c>
      <c r="O708" s="7">
        <v>1</v>
      </c>
      <c r="P708" s="7" t="s">
        <v>160</v>
      </c>
      <c r="Q708" s="7" t="str">
        <f t="shared" ref="Q708:Q771" si="11">IF(A708=2024,"No -- held out","Yes")</f>
        <v>Yes</v>
      </c>
    </row>
    <row r="709" spans="1:17" ht="15" customHeight="1" x14ac:dyDescent="0.2">
      <c r="A709" s="7">
        <v>2020</v>
      </c>
      <c r="B709" s="7" t="s">
        <v>862</v>
      </c>
      <c r="C709" s="7">
        <v>3</v>
      </c>
      <c r="D709" s="7" t="s">
        <v>1339</v>
      </c>
      <c r="E709" s="7" t="s">
        <v>1340</v>
      </c>
      <c r="F709" s="8">
        <v>233326</v>
      </c>
      <c r="G709" s="8">
        <v>107299</v>
      </c>
      <c r="H709" s="8">
        <v>837969.09</v>
      </c>
      <c r="I709" s="8">
        <v>173057.41</v>
      </c>
      <c r="J709" s="13">
        <v>0.68499376146789004</v>
      </c>
      <c r="K709" s="13">
        <v>0.82882999604856999</v>
      </c>
      <c r="L709" s="7">
        <v>1</v>
      </c>
      <c r="M709" s="13">
        <v>0.64910449153417804</v>
      </c>
      <c r="N709" s="13">
        <v>3.5889269933711598</v>
      </c>
      <c r="O709" s="7">
        <v>1</v>
      </c>
      <c r="P709" s="7" t="s">
        <v>160</v>
      </c>
      <c r="Q709" s="7" t="str">
        <f t="shared" si="11"/>
        <v>Yes</v>
      </c>
    </row>
    <row r="710" spans="1:17" ht="15" customHeight="1" x14ac:dyDescent="0.2">
      <c r="A710" s="7">
        <v>2020</v>
      </c>
      <c r="B710" s="7" t="s">
        <v>862</v>
      </c>
      <c r="C710" s="7">
        <v>4</v>
      </c>
      <c r="D710" s="7" t="s">
        <v>867</v>
      </c>
      <c r="E710" s="7" t="s">
        <v>1341</v>
      </c>
      <c r="F710" s="8">
        <v>241142</v>
      </c>
      <c r="G710" s="8">
        <v>149625</v>
      </c>
      <c r="H710" s="8">
        <v>989584.65</v>
      </c>
      <c r="I710" s="8">
        <v>565563.87</v>
      </c>
      <c r="J710" s="13">
        <v>0.61709919210168696</v>
      </c>
      <c r="K710" s="13">
        <v>0.63632806595218305</v>
      </c>
      <c r="L710" s="7">
        <v>1</v>
      </c>
      <c r="M710" s="13">
        <v>0.58555736566200001</v>
      </c>
      <c r="N710" s="13">
        <v>3.1541826439687699</v>
      </c>
      <c r="O710" s="7">
        <v>1</v>
      </c>
      <c r="P710" s="7" t="s">
        <v>160</v>
      </c>
      <c r="Q710" s="7" t="str">
        <f t="shared" si="11"/>
        <v>Yes</v>
      </c>
    </row>
    <row r="711" spans="1:17" ht="15" customHeight="1" x14ac:dyDescent="0.2">
      <c r="A711" s="7">
        <v>2020</v>
      </c>
      <c r="B711" s="7" t="s">
        <v>862</v>
      </c>
      <c r="C711" s="7">
        <v>5</v>
      </c>
      <c r="D711" s="7" t="s">
        <v>1342</v>
      </c>
      <c r="E711" s="7" t="s">
        <v>1343</v>
      </c>
      <c r="F711" s="8">
        <v>190315</v>
      </c>
      <c r="G711" s="8">
        <v>210988</v>
      </c>
      <c r="H711" s="8">
        <v>11510761.289999999</v>
      </c>
      <c r="I711" s="8">
        <v>4397668.7</v>
      </c>
      <c r="J711" s="13">
        <v>0.47424265455279402</v>
      </c>
      <c r="K711" s="13">
        <v>0.72356362615516701</v>
      </c>
      <c r="L711" s="7">
        <v>0</v>
      </c>
      <c r="M711" s="13">
        <v>0.57474394836043796</v>
      </c>
      <c r="N711" s="13">
        <v>-10.0501293807643</v>
      </c>
      <c r="O711" s="7">
        <v>0</v>
      </c>
      <c r="P711" s="7" t="s">
        <v>160</v>
      </c>
      <c r="Q711" s="7" t="str">
        <f t="shared" si="11"/>
        <v>Yes</v>
      </c>
    </row>
    <row r="712" spans="1:17" ht="15" customHeight="1" x14ac:dyDescent="0.2">
      <c r="A712" s="7">
        <v>2020</v>
      </c>
      <c r="B712" s="7" t="s">
        <v>862</v>
      </c>
      <c r="C712" s="7">
        <v>6</v>
      </c>
      <c r="D712" s="7" t="s">
        <v>1344</v>
      </c>
      <c r="E712" s="7" t="s">
        <v>872</v>
      </c>
      <c r="F712" s="8">
        <v>134729</v>
      </c>
      <c r="G712" s="8">
        <v>246606</v>
      </c>
      <c r="H712" s="8">
        <v>58455.360000000001</v>
      </c>
      <c r="I712" s="8">
        <v>689019.79</v>
      </c>
      <c r="J712" s="13">
        <v>0.35330877050362502</v>
      </c>
      <c r="K712" s="13">
        <v>7.8203750318656104E-2</v>
      </c>
      <c r="L712" s="7">
        <v>-1</v>
      </c>
      <c r="M712" s="13">
        <v>0.32209225772792599</v>
      </c>
      <c r="N712" s="13">
        <v>3.1216512775699599</v>
      </c>
      <c r="O712" s="7">
        <v>1</v>
      </c>
      <c r="P712" s="7" t="s">
        <v>160</v>
      </c>
      <c r="Q712" s="7" t="str">
        <f t="shared" si="11"/>
        <v>Yes</v>
      </c>
    </row>
    <row r="713" spans="1:17" ht="15" customHeight="1" x14ac:dyDescent="0.2">
      <c r="A713" s="7">
        <v>2020</v>
      </c>
      <c r="B713" s="7" t="s">
        <v>862</v>
      </c>
      <c r="C713" s="7">
        <v>7</v>
      </c>
      <c r="D713" s="7" t="s">
        <v>873</v>
      </c>
      <c r="E713" s="7" t="s">
        <v>1345</v>
      </c>
      <c r="F713" s="8">
        <v>230893</v>
      </c>
      <c r="G713" s="8">
        <v>222623</v>
      </c>
      <c r="H713" s="8">
        <v>14399323.359999999</v>
      </c>
      <c r="I713" s="8">
        <v>12958105.289999999</v>
      </c>
      <c r="J713" s="13">
        <v>0.50911764965293405</v>
      </c>
      <c r="K713" s="13">
        <v>0.52634052506246798</v>
      </c>
      <c r="L713" s="7">
        <v>1</v>
      </c>
      <c r="M713" s="13">
        <v>0.54924919928782101</v>
      </c>
      <c r="N713" s="13">
        <v>-4.0131549634886703</v>
      </c>
      <c r="O713" s="7">
        <v>1</v>
      </c>
      <c r="P713" s="7" t="s">
        <v>160</v>
      </c>
      <c r="Q713" s="7" t="str">
        <f t="shared" si="11"/>
        <v>Yes</v>
      </c>
    </row>
    <row r="714" spans="1:17" ht="15" customHeight="1" x14ac:dyDescent="0.2">
      <c r="A714" s="7">
        <v>2020</v>
      </c>
      <c r="B714" s="7" t="s">
        <v>862</v>
      </c>
      <c r="C714" s="7">
        <v>8</v>
      </c>
      <c r="D714" s="7" t="s">
        <v>875</v>
      </c>
      <c r="E714" s="7" t="s">
        <v>1346</v>
      </c>
      <c r="F714" s="8">
        <v>301454</v>
      </c>
      <c r="G714" s="8">
        <v>95365</v>
      </c>
      <c r="H714" s="8">
        <v>2077892.28</v>
      </c>
      <c r="I714" s="8">
        <v>103259.95</v>
      </c>
      <c r="J714" s="13">
        <v>0.759676325982375</v>
      </c>
      <c r="K714" s="13">
        <v>0.95265807283886805</v>
      </c>
      <c r="L714" s="7">
        <v>1</v>
      </c>
      <c r="M714" s="13">
        <v>0.68998157977097097</v>
      </c>
      <c r="N714" s="13">
        <v>6.9694746211403897</v>
      </c>
      <c r="O714" s="7">
        <v>1</v>
      </c>
      <c r="P714" s="7" t="s">
        <v>160</v>
      </c>
      <c r="Q714" s="7" t="str">
        <f t="shared" si="11"/>
        <v>Yes</v>
      </c>
    </row>
    <row r="715" spans="1:17" ht="15" customHeight="1" x14ac:dyDescent="0.2">
      <c r="A715" s="7">
        <v>2020</v>
      </c>
      <c r="B715" s="7" t="s">
        <v>862</v>
      </c>
      <c r="C715" s="7">
        <v>10</v>
      </c>
      <c r="D715" s="7" t="s">
        <v>879</v>
      </c>
      <c r="E715" s="7" t="s">
        <v>1347</v>
      </c>
      <c r="F715" s="8">
        <v>268734</v>
      </c>
      <c r="G715" s="8">
        <v>206253</v>
      </c>
      <c r="H715" s="8">
        <v>1902973.37</v>
      </c>
      <c r="I715" s="8">
        <v>1434836.86</v>
      </c>
      <c r="J715" s="13">
        <v>0.56577127374012304</v>
      </c>
      <c r="K715" s="13">
        <v>0.57012629205106102</v>
      </c>
      <c r="L715" s="7">
        <v>1</v>
      </c>
      <c r="M715" s="13">
        <v>0.563703390187833</v>
      </c>
      <c r="N715" s="13">
        <v>0.20678835522901501</v>
      </c>
      <c r="O715" s="7">
        <v>1</v>
      </c>
      <c r="P715" s="7" t="s">
        <v>160</v>
      </c>
      <c r="Q715" s="7" t="str">
        <f t="shared" si="11"/>
        <v>Yes</v>
      </c>
    </row>
    <row r="716" spans="1:17" ht="15" customHeight="1" x14ac:dyDescent="0.2">
      <c r="A716" s="7">
        <v>2020</v>
      </c>
      <c r="B716" s="7" t="s">
        <v>862</v>
      </c>
      <c r="C716" s="7">
        <v>11</v>
      </c>
      <c r="D716" s="7" t="s">
        <v>1348</v>
      </c>
      <c r="E716" s="7" t="s">
        <v>1349</v>
      </c>
      <c r="F716" s="8">
        <v>280725</v>
      </c>
      <c r="G716" s="8">
        <v>111380</v>
      </c>
      <c r="H716" s="8">
        <v>1833691.47</v>
      </c>
      <c r="I716" s="8">
        <v>268325.5</v>
      </c>
      <c r="J716" s="13">
        <v>0.71594343351908296</v>
      </c>
      <c r="K716" s="13">
        <v>0.872348556729302</v>
      </c>
      <c r="L716" s="7">
        <v>1</v>
      </c>
      <c r="M716" s="13">
        <v>0.66347047452442598</v>
      </c>
      <c r="N716" s="13">
        <v>5.2472958994657004</v>
      </c>
      <c r="O716" s="7">
        <v>1</v>
      </c>
      <c r="P716" s="7" t="s">
        <v>160</v>
      </c>
      <c r="Q716" s="7" t="str">
        <f t="shared" si="11"/>
        <v>Yes</v>
      </c>
    </row>
    <row r="717" spans="1:17" ht="15" customHeight="1" x14ac:dyDescent="0.2">
      <c r="A717" s="7">
        <v>2020</v>
      </c>
      <c r="B717" s="7" t="s">
        <v>886</v>
      </c>
      <c r="C717" s="7">
        <v>1</v>
      </c>
      <c r="D717" s="7" t="s">
        <v>887</v>
      </c>
      <c r="E717" s="7" t="s">
        <v>1350</v>
      </c>
      <c r="F717" s="8">
        <v>249944</v>
      </c>
      <c r="G717" s="8">
        <v>176407</v>
      </c>
      <c r="H717" s="8">
        <v>1905569.33</v>
      </c>
      <c r="I717" s="8">
        <v>62279.24</v>
      </c>
      <c r="J717" s="13">
        <v>0.58623997598223099</v>
      </c>
      <c r="K717" s="13">
        <v>0.968351609494017</v>
      </c>
      <c r="L717" s="7">
        <v>1</v>
      </c>
      <c r="M717" s="13">
        <v>0.695162198732584</v>
      </c>
      <c r="N717" s="13">
        <v>-10.8922222750353</v>
      </c>
      <c r="O717" s="7">
        <v>1</v>
      </c>
      <c r="P717" s="7" t="s">
        <v>160</v>
      </c>
      <c r="Q717" s="7" t="str">
        <f t="shared" si="11"/>
        <v>Yes</v>
      </c>
    </row>
    <row r="718" spans="1:17" ht="15" customHeight="1" x14ac:dyDescent="0.2">
      <c r="A718" s="7">
        <v>2020</v>
      </c>
      <c r="B718" s="7" t="s">
        <v>886</v>
      </c>
      <c r="C718" s="7">
        <v>2</v>
      </c>
      <c r="D718" s="7" t="s">
        <v>1351</v>
      </c>
      <c r="E718" s="7" t="s">
        <v>1352</v>
      </c>
      <c r="F718" s="8">
        <v>255252</v>
      </c>
      <c r="G718" s="8">
        <v>148384</v>
      </c>
      <c r="H718" s="8">
        <v>1229518.9099999999</v>
      </c>
      <c r="I718" s="8">
        <v>49322.02</v>
      </c>
      <c r="J718" s="13">
        <v>0.63238165079427999</v>
      </c>
      <c r="K718" s="13">
        <v>0.96143224787151604</v>
      </c>
      <c r="L718" s="7">
        <v>1</v>
      </c>
      <c r="M718" s="13">
        <v>0.692878036990621</v>
      </c>
      <c r="N718" s="13">
        <v>-6.0496386196340701</v>
      </c>
      <c r="O718" s="7">
        <v>1</v>
      </c>
      <c r="P718" s="7" t="s">
        <v>160</v>
      </c>
      <c r="Q718" s="7" t="str">
        <f t="shared" si="11"/>
        <v>Yes</v>
      </c>
    </row>
    <row r="719" spans="1:17" ht="15" customHeight="1" x14ac:dyDescent="0.2">
      <c r="A719" s="7">
        <v>2020</v>
      </c>
      <c r="B719" s="7" t="s">
        <v>886</v>
      </c>
      <c r="C719" s="7">
        <v>3</v>
      </c>
      <c r="D719" s="7" t="s">
        <v>889</v>
      </c>
      <c r="E719" s="7" t="s">
        <v>1353</v>
      </c>
      <c r="F719" s="8">
        <v>181347</v>
      </c>
      <c r="G719" s="8">
        <v>235579</v>
      </c>
      <c r="H719" s="8">
        <v>5325653.33</v>
      </c>
      <c r="I719" s="8">
        <v>7252294.71</v>
      </c>
      <c r="J719" s="13">
        <v>0.434962079601656</v>
      </c>
      <c r="K719" s="13">
        <v>0.42341193595835502</v>
      </c>
      <c r="L719" s="7">
        <v>-1</v>
      </c>
      <c r="M719" s="13">
        <v>0.43604949448897301</v>
      </c>
      <c r="N719" s="13">
        <v>-0.10874148873166201</v>
      </c>
      <c r="O719" s="7">
        <v>1</v>
      </c>
      <c r="P719" s="7" t="s">
        <v>160</v>
      </c>
      <c r="Q719" s="7" t="str">
        <f t="shared" si="11"/>
        <v>Yes</v>
      </c>
    </row>
    <row r="720" spans="1:17" ht="15" customHeight="1" x14ac:dyDescent="0.2">
      <c r="A720" s="7">
        <v>2020</v>
      </c>
      <c r="B720" s="7" t="s">
        <v>886</v>
      </c>
      <c r="C720" s="7">
        <v>4</v>
      </c>
      <c r="D720" s="7" t="s">
        <v>1354</v>
      </c>
      <c r="E720" s="7" t="s">
        <v>892</v>
      </c>
      <c r="F720" s="8">
        <v>102667</v>
      </c>
      <c r="G720" s="8">
        <v>202108</v>
      </c>
      <c r="H720" s="8">
        <v>67624.960000000006</v>
      </c>
      <c r="I720" s="8">
        <v>1002967.57</v>
      </c>
      <c r="J720" s="13">
        <v>0.33686161922729901</v>
      </c>
      <c r="K720" s="13">
        <v>6.3165918036061794E-2</v>
      </c>
      <c r="L720" s="7">
        <v>-1</v>
      </c>
      <c r="M720" s="13">
        <v>0.31712809440536499</v>
      </c>
      <c r="N720" s="13">
        <v>1.9733524821934301</v>
      </c>
      <c r="O720" s="7">
        <v>1</v>
      </c>
      <c r="P720" s="7" t="s">
        <v>160</v>
      </c>
      <c r="Q720" s="7" t="str">
        <f t="shared" si="11"/>
        <v>Yes</v>
      </c>
    </row>
    <row r="721" spans="1:17" ht="15" customHeight="1" x14ac:dyDescent="0.2">
      <c r="A721" s="7">
        <v>2020</v>
      </c>
      <c r="B721" s="7" t="s">
        <v>886</v>
      </c>
      <c r="C721" s="7">
        <v>5</v>
      </c>
      <c r="D721" s="7" t="s">
        <v>1355</v>
      </c>
      <c r="E721" s="7" t="s">
        <v>894</v>
      </c>
      <c r="F721" s="8">
        <v>155737</v>
      </c>
      <c r="G721" s="8">
        <v>247815</v>
      </c>
      <c r="H721" s="8">
        <v>113861.55</v>
      </c>
      <c r="I721" s="8">
        <v>3656620.23</v>
      </c>
      <c r="J721" s="13">
        <v>0.38591556974070301</v>
      </c>
      <c r="K721" s="13">
        <v>3.0198143538038801E-2</v>
      </c>
      <c r="L721" s="7">
        <v>-1</v>
      </c>
      <c r="M721" s="13">
        <v>0.30624504863692698</v>
      </c>
      <c r="N721" s="13">
        <v>7.9670521103775203</v>
      </c>
      <c r="O721" s="7">
        <v>1</v>
      </c>
      <c r="P721" s="7" t="s">
        <v>160</v>
      </c>
      <c r="Q721" s="7" t="str">
        <f t="shared" si="11"/>
        <v>Yes</v>
      </c>
    </row>
    <row r="722" spans="1:17" ht="15" customHeight="1" x14ac:dyDescent="0.2">
      <c r="A722" s="7">
        <v>2020</v>
      </c>
      <c r="B722" s="7" t="s">
        <v>886</v>
      </c>
      <c r="C722" s="7">
        <v>6</v>
      </c>
      <c r="D722" s="7" t="s">
        <v>895</v>
      </c>
      <c r="E722" s="7" t="s">
        <v>1356</v>
      </c>
      <c r="F722" s="8">
        <v>247429</v>
      </c>
      <c r="G722" s="8">
        <v>168783</v>
      </c>
      <c r="H722" s="8">
        <v>2566723.5099999998</v>
      </c>
      <c r="I722" s="8">
        <v>145108.01</v>
      </c>
      <c r="J722" s="13">
        <v>0.59447829471519298</v>
      </c>
      <c r="K722" s="13">
        <v>0.94649077240609703</v>
      </c>
      <c r="L722" s="7">
        <v>1</v>
      </c>
      <c r="M722" s="13">
        <v>0.68794568217401397</v>
      </c>
      <c r="N722" s="13">
        <v>-9.3467387458820603</v>
      </c>
      <c r="O722" s="7">
        <v>1</v>
      </c>
      <c r="P722" s="7" t="s">
        <v>160</v>
      </c>
      <c r="Q722" s="7" t="str">
        <f t="shared" si="11"/>
        <v>Yes</v>
      </c>
    </row>
    <row r="723" spans="1:17" ht="15" customHeight="1" x14ac:dyDescent="0.2">
      <c r="A723" s="7">
        <v>2020</v>
      </c>
      <c r="B723" s="7" t="s">
        <v>886</v>
      </c>
      <c r="C723" s="7">
        <v>7</v>
      </c>
      <c r="D723" s="7" t="s">
        <v>897</v>
      </c>
      <c r="E723" s="7" t="s">
        <v>898</v>
      </c>
      <c r="F723" s="8">
        <v>387109</v>
      </c>
      <c r="G723" s="8">
        <v>78240</v>
      </c>
      <c r="H723" s="8">
        <v>1557412.86</v>
      </c>
      <c r="I723" s="8">
        <v>5443</v>
      </c>
      <c r="J723" s="13">
        <v>0.83186812478376504</v>
      </c>
      <c r="K723" s="13">
        <v>0.996517273192424</v>
      </c>
      <c r="L723" s="7">
        <v>1</v>
      </c>
      <c r="M723" s="13">
        <v>0.70446001187876806</v>
      </c>
      <c r="N723" s="13">
        <v>12.7408112904996</v>
      </c>
      <c r="O723" s="7">
        <v>1</v>
      </c>
      <c r="P723" s="7" t="s">
        <v>160</v>
      </c>
      <c r="Q723" s="7" t="str">
        <f t="shared" si="11"/>
        <v>Yes</v>
      </c>
    </row>
    <row r="724" spans="1:17" ht="15" customHeight="1" x14ac:dyDescent="0.2">
      <c r="A724" s="7">
        <v>2020</v>
      </c>
      <c r="B724" s="7" t="s">
        <v>886</v>
      </c>
      <c r="C724" s="7">
        <v>8</v>
      </c>
      <c r="D724" s="7" t="s">
        <v>1357</v>
      </c>
      <c r="E724" s="7" t="s">
        <v>1358</v>
      </c>
      <c r="F724" s="8">
        <v>213123</v>
      </c>
      <c r="G724" s="8">
        <v>198423</v>
      </c>
      <c r="H724" s="8">
        <v>3876955.74</v>
      </c>
      <c r="I724" s="8">
        <v>897966.89</v>
      </c>
      <c r="J724" s="13">
        <v>0.51785948593838804</v>
      </c>
      <c r="K724" s="13">
        <v>0.81194105966068797</v>
      </c>
      <c r="L724" s="7">
        <v>1</v>
      </c>
      <c r="M724" s="13">
        <v>0.64352925721860199</v>
      </c>
      <c r="N724" s="13">
        <v>-12.566977128021399</v>
      </c>
      <c r="O724" s="7">
        <v>1</v>
      </c>
      <c r="P724" s="7" t="s">
        <v>160</v>
      </c>
      <c r="Q724" s="7" t="str">
        <f t="shared" si="11"/>
        <v>Yes</v>
      </c>
    </row>
    <row r="725" spans="1:17" ht="15" customHeight="1" x14ac:dyDescent="0.2">
      <c r="A725" s="7">
        <v>2020</v>
      </c>
      <c r="B725" s="7" t="s">
        <v>886</v>
      </c>
      <c r="C725" s="7">
        <v>9</v>
      </c>
      <c r="D725" s="7" t="s">
        <v>1359</v>
      </c>
      <c r="E725" s="7" t="s">
        <v>1360</v>
      </c>
      <c r="F725" s="8">
        <v>258771</v>
      </c>
      <c r="G725" s="8">
        <v>89697</v>
      </c>
      <c r="H725" s="8">
        <v>934577.84</v>
      </c>
      <c r="I725" s="8">
        <v>18521.68</v>
      </c>
      <c r="J725" s="13">
        <v>0.74259616377974502</v>
      </c>
      <c r="K725" s="13">
        <v>0.98056689819757803</v>
      </c>
      <c r="L725" s="7">
        <v>1</v>
      </c>
      <c r="M725" s="13">
        <v>0.699194607594258</v>
      </c>
      <c r="N725" s="13">
        <v>4.3401556185486001</v>
      </c>
      <c r="O725" s="7">
        <v>1</v>
      </c>
      <c r="P725" s="7" t="s">
        <v>160</v>
      </c>
      <c r="Q725" s="7" t="str">
        <f t="shared" si="11"/>
        <v>Yes</v>
      </c>
    </row>
    <row r="726" spans="1:17" ht="15" customHeight="1" x14ac:dyDescent="0.2">
      <c r="A726" s="7">
        <v>2020</v>
      </c>
      <c r="B726" s="7" t="s">
        <v>901</v>
      </c>
      <c r="C726" s="7">
        <v>1</v>
      </c>
      <c r="D726" s="7" t="s">
        <v>1361</v>
      </c>
      <c r="E726" s="7" t="s">
        <v>903</v>
      </c>
      <c r="F726" s="8">
        <v>163170</v>
      </c>
      <c r="G726" s="8">
        <v>238271</v>
      </c>
      <c r="H726" s="8">
        <v>538310.56000000006</v>
      </c>
      <c r="I726" s="8">
        <v>3172844.5</v>
      </c>
      <c r="J726" s="13">
        <v>0.40646072523733301</v>
      </c>
      <c r="K726" s="13">
        <v>0.14505202593178601</v>
      </c>
      <c r="L726" s="7">
        <v>-1</v>
      </c>
      <c r="M726" s="13">
        <v>0.34415965093587297</v>
      </c>
      <c r="N726" s="13">
        <v>6.2301074301459796</v>
      </c>
      <c r="O726" s="7">
        <v>1</v>
      </c>
      <c r="P726" s="7" t="s">
        <v>160</v>
      </c>
      <c r="Q726" s="7" t="str">
        <f t="shared" si="11"/>
        <v>Yes</v>
      </c>
    </row>
    <row r="727" spans="1:17" ht="15" customHeight="1" x14ac:dyDescent="0.2">
      <c r="A727" s="7">
        <v>2020</v>
      </c>
      <c r="B727" s="7" t="s">
        <v>901</v>
      </c>
      <c r="C727" s="7">
        <v>2</v>
      </c>
      <c r="D727" s="7" t="s">
        <v>1362</v>
      </c>
      <c r="E727" s="7" t="s">
        <v>1363</v>
      </c>
      <c r="F727" s="8">
        <v>318523</v>
      </c>
      <c r="G727" s="8">
        <v>138306</v>
      </c>
      <c r="H727" s="8">
        <v>1027368.33</v>
      </c>
      <c r="I727" s="8">
        <v>46122.41</v>
      </c>
      <c r="J727" s="13">
        <v>0.69724776666980404</v>
      </c>
      <c r="K727" s="13">
        <v>0.95703511145331299</v>
      </c>
      <c r="L727" s="7">
        <v>1</v>
      </c>
      <c r="M727" s="13">
        <v>0.69142649112141996</v>
      </c>
      <c r="N727" s="13">
        <v>0.58212755483846301</v>
      </c>
      <c r="O727" s="7">
        <v>1</v>
      </c>
      <c r="P727" s="7" t="s">
        <v>160</v>
      </c>
      <c r="Q727" s="7" t="str">
        <f t="shared" si="11"/>
        <v>Yes</v>
      </c>
    </row>
    <row r="728" spans="1:17" ht="15" customHeight="1" x14ac:dyDescent="0.2">
      <c r="A728" s="7">
        <v>2020</v>
      </c>
      <c r="B728" s="7" t="s">
        <v>901</v>
      </c>
      <c r="C728" s="7">
        <v>3</v>
      </c>
      <c r="D728" s="7" t="s">
        <v>904</v>
      </c>
      <c r="E728" s="7" t="s">
        <v>1364</v>
      </c>
      <c r="F728" s="8">
        <v>199870</v>
      </c>
      <c r="G728" s="8">
        <v>189524</v>
      </c>
      <c r="H728" s="8">
        <v>5560600.1799999997</v>
      </c>
      <c r="I728" s="8">
        <v>4156931.48</v>
      </c>
      <c r="J728" s="13">
        <v>0.51328474501404697</v>
      </c>
      <c r="K728" s="13">
        <v>0.57222352080301797</v>
      </c>
      <c r="L728" s="7">
        <v>1</v>
      </c>
      <c r="M728" s="13">
        <v>0.56439570978907905</v>
      </c>
      <c r="N728" s="13">
        <v>-5.1110964775031498</v>
      </c>
      <c r="O728" s="7">
        <v>1</v>
      </c>
      <c r="P728" s="7" t="s">
        <v>160</v>
      </c>
      <c r="Q728" s="7" t="str">
        <f t="shared" si="11"/>
        <v>Yes</v>
      </c>
    </row>
    <row r="729" spans="1:17" ht="15" customHeight="1" x14ac:dyDescent="0.2">
      <c r="A729" s="7">
        <v>2020</v>
      </c>
      <c r="B729" s="7" t="s">
        <v>901</v>
      </c>
      <c r="C729" s="7">
        <v>4</v>
      </c>
      <c r="D729" s="7" t="s">
        <v>906</v>
      </c>
      <c r="E729" s="7" t="s">
        <v>907</v>
      </c>
      <c r="F729" s="8">
        <v>232668</v>
      </c>
      <c r="G729" s="8">
        <v>70769</v>
      </c>
      <c r="H729" s="8">
        <v>1189137.48</v>
      </c>
      <c r="I729" s="8">
        <v>0</v>
      </c>
      <c r="J729" s="13">
        <v>0.76677531085530104</v>
      </c>
      <c r="K729" s="13">
        <v>1</v>
      </c>
      <c r="L729" s="7">
        <v>1</v>
      </c>
      <c r="M729" s="13">
        <v>0.70560970050115601</v>
      </c>
      <c r="N729" s="13">
        <v>6.1165610354145299</v>
      </c>
      <c r="O729" s="7">
        <v>1</v>
      </c>
      <c r="P729" s="7" t="s">
        <v>160</v>
      </c>
      <c r="Q729" s="7" t="str">
        <f t="shared" si="11"/>
        <v>Yes</v>
      </c>
    </row>
    <row r="730" spans="1:17" ht="15" customHeight="1" x14ac:dyDescent="0.2">
      <c r="A730" s="7">
        <v>2020</v>
      </c>
      <c r="B730" s="7" t="s">
        <v>901</v>
      </c>
      <c r="C730" s="7">
        <v>5</v>
      </c>
      <c r="D730" s="7" t="s">
        <v>908</v>
      </c>
      <c r="E730" s="7" t="s">
        <v>1365</v>
      </c>
      <c r="F730" s="8">
        <v>175902</v>
      </c>
      <c r="G730" s="8">
        <v>265434</v>
      </c>
      <c r="H730" s="8">
        <v>414709.3</v>
      </c>
      <c r="I730" s="8">
        <v>975991.11</v>
      </c>
      <c r="J730" s="13">
        <v>0.39856707814454301</v>
      </c>
      <c r="K730" s="13">
        <v>0.29820175288508</v>
      </c>
      <c r="L730" s="7">
        <v>0</v>
      </c>
      <c r="M730" s="13">
        <v>0.43432704714606801</v>
      </c>
      <c r="N730" s="13">
        <v>-3.5759969001524601</v>
      </c>
      <c r="O730" s="7">
        <v>1</v>
      </c>
      <c r="P730" s="7" t="s">
        <v>160</v>
      </c>
      <c r="Q730" s="7" t="str">
        <f t="shared" si="11"/>
        <v>Yes</v>
      </c>
    </row>
    <row r="731" spans="1:17" ht="15" customHeight="1" x14ac:dyDescent="0.2">
      <c r="A731" s="7">
        <v>2020</v>
      </c>
      <c r="B731" s="7" t="s">
        <v>901</v>
      </c>
      <c r="C731" s="7">
        <v>6</v>
      </c>
      <c r="D731" s="7" t="s">
        <v>1366</v>
      </c>
      <c r="E731" s="7" t="s">
        <v>911</v>
      </c>
      <c r="F731" s="8">
        <v>164239</v>
      </c>
      <c r="G731" s="8">
        <v>238874</v>
      </c>
      <c r="H731" s="8">
        <v>253595.16</v>
      </c>
      <c r="I731" s="8">
        <v>1750819.12</v>
      </c>
      <c r="J731" s="13">
        <v>0.40742670169406597</v>
      </c>
      <c r="K731" s="13">
        <v>0.126518336319177</v>
      </c>
      <c r="L731" s="7">
        <v>-1</v>
      </c>
      <c r="M731" s="13">
        <v>0.33804146445276201</v>
      </c>
      <c r="N731" s="13">
        <v>6.9385237241303699</v>
      </c>
      <c r="O731" s="7">
        <v>1</v>
      </c>
      <c r="P731" s="7" t="s">
        <v>160</v>
      </c>
      <c r="Q731" s="7" t="str">
        <f t="shared" si="11"/>
        <v>Yes</v>
      </c>
    </row>
    <row r="732" spans="1:17" ht="15" customHeight="1" x14ac:dyDescent="0.2">
      <c r="A732" s="7">
        <v>2020</v>
      </c>
      <c r="B732" s="7" t="s">
        <v>901</v>
      </c>
      <c r="C732" s="7">
        <v>7</v>
      </c>
      <c r="D732" s="7" t="s">
        <v>1367</v>
      </c>
      <c r="E732" s="7" t="s">
        <v>1368</v>
      </c>
      <c r="F732" s="8">
        <v>162741</v>
      </c>
      <c r="G732" s="8">
        <v>252048</v>
      </c>
      <c r="H732" s="8">
        <v>1357451.46</v>
      </c>
      <c r="I732" s="8">
        <v>4073455.95</v>
      </c>
      <c r="J732" s="13">
        <v>0.392346470133007</v>
      </c>
      <c r="K732" s="13">
        <v>0.249949291623073</v>
      </c>
      <c r="L732" s="7">
        <v>-1</v>
      </c>
      <c r="M732" s="13">
        <v>0.37878745826847399</v>
      </c>
      <c r="N732" s="13">
        <v>1.3559011864533199</v>
      </c>
      <c r="O732" s="7">
        <v>1</v>
      </c>
      <c r="P732" s="7" t="s">
        <v>160</v>
      </c>
      <c r="Q732" s="7" t="str">
        <f t="shared" si="11"/>
        <v>Yes</v>
      </c>
    </row>
    <row r="733" spans="1:17" ht="15" customHeight="1" x14ac:dyDescent="0.2">
      <c r="A733" s="7">
        <v>2020</v>
      </c>
      <c r="B733" s="7" t="s">
        <v>901</v>
      </c>
      <c r="C733" s="7">
        <v>8</v>
      </c>
      <c r="D733" s="7" t="s">
        <v>1369</v>
      </c>
      <c r="E733" s="7" t="s">
        <v>915</v>
      </c>
      <c r="F733" s="8">
        <v>149558</v>
      </c>
      <c r="G733" s="8">
        <v>268173</v>
      </c>
      <c r="H733" s="8">
        <v>409354.3</v>
      </c>
      <c r="I733" s="8">
        <v>3073780.61</v>
      </c>
      <c r="J733" s="13">
        <v>0.35802466180388798</v>
      </c>
      <c r="K733" s="13">
        <v>0.117524675494123</v>
      </c>
      <c r="L733" s="7">
        <v>-1</v>
      </c>
      <c r="M733" s="13">
        <v>0.33507255242047701</v>
      </c>
      <c r="N733" s="13">
        <v>2.2952109383411599</v>
      </c>
      <c r="O733" s="7">
        <v>1</v>
      </c>
      <c r="P733" s="7" t="s">
        <v>160</v>
      </c>
      <c r="Q733" s="7" t="str">
        <f t="shared" si="11"/>
        <v>Yes</v>
      </c>
    </row>
    <row r="734" spans="1:17" ht="15" customHeight="1" x14ac:dyDescent="0.2">
      <c r="A734" s="7">
        <v>2020</v>
      </c>
      <c r="B734" s="7" t="s">
        <v>916</v>
      </c>
      <c r="C734" s="7">
        <v>1</v>
      </c>
      <c r="D734" s="7" t="s">
        <v>1370</v>
      </c>
      <c r="E734" s="7" t="s">
        <v>918</v>
      </c>
      <c r="F734" s="8">
        <v>81177</v>
      </c>
      <c r="G734" s="8">
        <v>180488</v>
      </c>
      <c r="H734" s="8">
        <v>82802.28</v>
      </c>
      <c r="I734" s="8">
        <v>1088611.3400000001</v>
      </c>
      <c r="J734" s="13">
        <v>0.31023254925190602</v>
      </c>
      <c r="K734" s="13">
        <v>7.0685775362591394E-2</v>
      </c>
      <c r="L734" s="7">
        <v>-1</v>
      </c>
      <c r="M734" s="13">
        <v>0.31961048676283599</v>
      </c>
      <c r="N734" s="13">
        <v>-0.937793751093008</v>
      </c>
      <c r="O734" s="7">
        <v>1</v>
      </c>
      <c r="P734" s="7" t="s">
        <v>160</v>
      </c>
      <c r="Q734" s="7" t="str">
        <f t="shared" si="11"/>
        <v>Yes</v>
      </c>
    </row>
    <row r="735" spans="1:17" ht="15" customHeight="1" x14ac:dyDescent="0.2">
      <c r="A735" s="7">
        <v>2020</v>
      </c>
      <c r="B735" s="7" t="s">
        <v>916</v>
      </c>
      <c r="C735" s="7">
        <v>2</v>
      </c>
      <c r="D735" s="7" t="s">
        <v>1371</v>
      </c>
      <c r="E735" s="7" t="s">
        <v>920</v>
      </c>
      <c r="F735" s="8">
        <v>100799</v>
      </c>
      <c r="G735" s="8">
        <v>172195</v>
      </c>
      <c r="H735" s="8">
        <v>650315.39</v>
      </c>
      <c r="I735" s="8">
        <v>862612.56</v>
      </c>
      <c r="J735" s="13">
        <v>0.36923522128691499</v>
      </c>
      <c r="K735" s="13">
        <v>0.42983896886827999</v>
      </c>
      <c r="L735" s="7">
        <v>-1</v>
      </c>
      <c r="M735" s="13">
        <v>0.438171132797259</v>
      </c>
      <c r="N735" s="13">
        <v>-6.8935911510344301</v>
      </c>
      <c r="O735" s="7">
        <v>1</v>
      </c>
      <c r="P735" s="7" t="s">
        <v>160</v>
      </c>
      <c r="Q735" s="7" t="str">
        <f t="shared" si="11"/>
        <v>Yes</v>
      </c>
    </row>
    <row r="736" spans="1:17" ht="15" customHeight="1" x14ac:dyDescent="0.2">
      <c r="A736" s="7">
        <v>2020</v>
      </c>
      <c r="B736" s="7" t="s">
        <v>916</v>
      </c>
      <c r="C736" s="7">
        <v>3</v>
      </c>
      <c r="D736" s="7" t="s">
        <v>1372</v>
      </c>
      <c r="E736" s="7" t="s">
        <v>922</v>
      </c>
      <c r="F736" s="8">
        <v>64927</v>
      </c>
      <c r="G736" s="8">
        <v>161585</v>
      </c>
      <c r="H736" s="8">
        <v>98768.58</v>
      </c>
      <c r="I736" s="8">
        <v>765201.55</v>
      </c>
      <c r="J736" s="13">
        <v>0.28663823550187201</v>
      </c>
      <c r="K736" s="13">
        <v>0.11431943833521201</v>
      </c>
      <c r="L736" s="7">
        <v>-1</v>
      </c>
      <c r="M736" s="13">
        <v>0.334014466358246</v>
      </c>
      <c r="N736" s="13">
        <v>-4.7376230856374004</v>
      </c>
      <c r="O736" s="7">
        <v>1</v>
      </c>
      <c r="P736" s="7" t="s">
        <v>160</v>
      </c>
      <c r="Q736" s="7" t="str">
        <f t="shared" si="11"/>
        <v>Yes</v>
      </c>
    </row>
    <row r="737" spans="1:17" ht="15" customHeight="1" x14ac:dyDescent="0.2">
      <c r="A737" s="7">
        <v>2020</v>
      </c>
      <c r="B737" s="7" t="s">
        <v>923</v>
      </c>
      <c r="C737" s="7">
        <v>0</v>
      </c>
      <c r="D737" s="7" t="s">
        <v>1373</v>
      </c>
      <c r="E737" s="7" t="s">
        <v>925</v>
      </c>
      <c r="F737" s="8">
        <v>66576</v>
      </c>
      <c r="G737" s="8">
        <v>185732</v>
      </c>
      <c r="H737" s="8">
        <v>132295.65</v>
      </c>
      <c r="I737" s="8">
        <v>3068155.43</v>
      </c>
      <c r="J737" s="13">
        <v>0.26386797089271802</v>
      </c>
      <c r="K737" s="13">
        <v>4.1336563719636697E-2</v>
      </c>
      <c r="L737" s="7">
        <v>-1</v>
      </c>
      <c r="M737" s="13">
        <v>0.30992197067580202</v>
      </c>
      <c r="N737" s="13">
        <v>-4.6053999783083102</v>
      </c>
      <c r="O737" s="7">
        <v>1</v>
      </c>
      <c r="P737" s="7" t="s">
        <v>160</v>
      </c>
      <c r="Q737" s="7" t="str">
        <f t="shared" si="11"/>
        <v>Yes</v>
      </c>
    </row>
    <row r="738" spans="1:17" ht="15" customHeight="1" x14ac:dyDescent="0.2">
      <c r="A738" s="7">
        <v>2022</v>
      </c>
      <c r="B738" s="7" t="s">
        <v>1374</v>
      </c>
      <c r="C738" s="7">
        <v>0</v>
      </c>
      <c r="D738" s="7" t="s">
        <v>1375</v>
      </c>
      <c r="E738" s="7" t="s">
        <v>1376</v>
      </c>
      <c r="F738" s="8">
        <v>128553</v>
      </c>
      <c r="G738" s="8">
        <v>67866</v>
      </c>
      <c r="H738" s="8">
        <v>10256417.140000001</v>
      </c>
      <c r="I738" s="8">
        <v>2524193.31</v>
      </c>
      <c r="J738" s="13">
        <v>0.65448352756097905</v>
      </c>
      <c r="K738" s="13">
        <v>0.80249822026302398</v>
      </c>
      <c r="L738" s="7">
        <v>1</v>
      </c>
      <c r="M738" s="13">
        <v>0.64041206611566803</v>
      </c>
      <c r="N738" s="13">
        <v>1.40714614453114</v>
      </c>
      <c r="O738" s="7">
        <v>1</v>
      </c>
      <c r="P738" s="7" t="s">
        <v>160</v>
      </c>
      <c r="Q738" s="7" t="str">
        <f t="shared" si="11"/>
        <v>Yes</v>
      </c>
    </row>
    <row r="739" spans="1:17" ht="15" customHeight="1" x14ac:dyDescent="0.2">
      <c r="A739" s="7">
        <v>2022</v>
      </c>
      <c r="B739" s="7" t="s">
        <v>157</v>
      </c>
      <c r="C739" s="7">
        <v>2</v>
      </c>
      <c r="D739" s="7" t="s">
        <v>928</v>
      </c>
      <c r="E739" s="7" t="s">
        <v>929</v>
      </c>
      <c r="F739" s="8">
        <v>58014</v>
      </c>
      <c r="G739" s="8">
        <v>137460</v>
      </c>
      <c r="H739" s="8">
        <v>60219.66</v>
      </c>
      <c r="I739" s="8">
        <v>439427.19</v>
      </c>
      <c r="J739" s="13">
        <v>0.296786273366279</v>
      </c>
      <c r="K739" s="13">
        <v>0.12052444641650401</v>
      </c>
      <c r="L739" s="7">
        <v>-1</v>
      </c>
      <c r="M739" s="13">
        <v>0.33606281168850999</v>
      </c>
      <c r="N739" s="13">
        <v>-3.9276538322231098</v>
      </c>
      <c r="O739" s="7">
        <v>1</v>
      </c>
      <c r="P739" s="7" t="s">
        <v>160</v>
      </c>
      <c r="Q739" s="7" t="str">
        <f t="shared" si="11"/>
        <v>Yes</v>
      </c>
    </row>
    <row r="740" spans="1:17" ht="15" customHeight="1" x14ac:dyDescent="0.2">
      <c r="A740" s="7">
        <v>2022</v>
      </c>
      <c r="B740" s="7" t="s">
        <v>157</v>
      </c>
      <c r="C740" s="7">
        <v>3</v>
      </c>
      <c r="D740" s="7" t="s">
        <v>1377</v>
      </c>
      <c r="E740" s="7" t="s">
        <v>164</v>
      </c>
      <c r="F740" s="8">
        <v>47859</v>
      </c>
      <c r="G740" s="8">
        <v>135602</v>
      </c>
      <c r="H740" s="8">
        <v>13237.7</v>
      </c>
      <c r="I740" s="8">
        <v>1737893.91</v>
      </c>
      <c r="J740" s="13">
        <v>0.26086743231531501</v>
      </c>
      <c r="K740" s="13">
        <v>7.5595117605123897E-3</v>
      </c>
      <c r="L740" s="7">
        <v>-1</v>
      </c>
      <c r="M740" s="13">
        <v>0.29877177300576901</v>
      </c>
      <c r="N740" s="13">
        <v>-3.7904340690453502</v>
      </c>
      <c r="O740" s="7">
        <v>1</v>
      </c>
      <c r="P740" s="7" t="s">
        <v>160</v>
      </c>
      <c r="Q740" s="7" t="str">
        <f t="shared" si="11"/>
        <v>Yes</v>
      </c>
    </row>
    <row r="741" spans="1:17" ht="15" customHeight="1" x14ac:dyDescent="0.2">
      <c r="A741" s="7">
        <v>2022</v>
      </c>
      <c r="B741" s="7" t="s">
        <v>157</v>
      </c>
      <c r="C741" s="7">
        <v>4</v>
      </c>
      <c r="D741" s="7" t="s">
        <v>931</v>
      </c>
      <c r="E741" s="7" t="s">
        <v>1378</v>
      </c>
      <c r="F741" s="8">
        <v>26694</v>
      </c>
      <c r="G741" s="8">
        <v>164655</v>
      </c>
      <c r="H741" s="8">
        <v>23619.51</v>
      </c>
      <c r="I741" s="8">
        <v>1028366.36</v>
      </c>
      <c r="J741" s="13">
        <v>0.13950425662010299</v>
      </c>
      <c r="K741" s="13">
        <v>2.24523072729104E-2</v>
      </c>
      <c r="L741" s="7">
        <v>-1</v>
      </c>
      <c r="M741" s="13">
        <v>0.30368805800374798</v>
      </c>
      <c r="N741" s="13">
        <v>-16.418380138364601</v>
      </c>
      <c r="O741" s="7">
        <v>1</v>
      </c>
      <c r="P741" s="7" t="s">
        <v>160</v>
      </c>
      <c r="Q741" s="7" t="str">
        <f t="shared" si="11"/>
        <v>Yes</v>
      </c>
    </row>
    <row r="742" spans="1:17" ht="15" customHeight="1" x14ac:dyDescent="0.2">
      <c r="A742" s="7">
        <v>2022</v>
      </c>
      <c r="B742" s="7" t="s">
        <v>157</v>
      </c>
      <c r="C742" s="7">
        <v>5</v>
      </c>
      <c r="D742" s="7" t="s">
        <v>1379</v>
      </c>
      <c r="E742" s="7" t="s">
        <v>1380</v>
      </c>
      <c r="F742" s="8">
        <v>62740</v>
      </c>
      <c r="G742" s="8">
        <v>142435</v>
      </c>
      <c r="H742" s="8">
        <v>576607.97</v>
      </c>
      <c r="I742" s="8">
        <v>2405070.6</v>
      </c>
      <c r="J742" s="13">
        <v>0.30578774217131699</v>
      </c>
      <c r="K742" s="13">
        <v>0.19338367850965199</v>
      </c>
      <c r="L742" s="7">
        <v>0</v>
      </c>
      <c r="M742" s="13">
        <v>0.39972538178780598</v>
      </c>
      <c r="N742" s="13">
        <v>-9.3937639616488298</v>
      </c>
      <c r="O742" s="7">
        <v>1</v>
      </c>
      <c r="P742" s="7" t="s">
        <v>160</v>
      </c>
      <c r="Q742" s="7" t="str">
        <f t="shared" si="11"/>
        <v>Yes</v>
      </c>
    </row>
    <row r="743" spans="1:17" ht="15" customHeight="1" x14ac:dyDescent="0.2">
      <c r="A743" s="7">
        <v>2022</v>
      </c>
      <c r="B743" s="7" t="s">
        <v>157</v>
      </c>
      <c r="C743" s="7">
        <v>7</v>
      </c>
      <c r="D743" s="7" t="s">
        <v>1381</v>
      </c>
      <c r="E743" s="7" t="s">
        <v>1382</v>
      </c>
      <c r="F743" s="8">
        <v>123233</v>
      </c>
      <c r="G743" s="8">
        <v>67416</v>
      </c>
      <c r="H743" s="8">
        <v>1826381.98</v>
      </c>
      <c r="I743" s="8">
        <v>47821.88</v>
      </c>
      <c r="J743" s="13">
        <v>0.64638681556158195</v>
      </c>
      <c r="K743" s="13">
        <v>0.97448416310486097</v>
      </c>
      <c r="L743" s="7">
        <v>1</v>
      </c>
      <c r="M743" s="13">
        <v>0.69718662599952597</v>
      </c>
      <c r="N743" s="13">
        <v>-5.0799810437944597</v>
      </c>
      <c r="O743" s="7">
        <v>1</v>
      </c>
      <c r="P743" s="7" t="s">
        <v>160</v>
      </c>
      <c r="Q743" s="7" t="str">
        <f t="shared" si="11"/>
        <v>Yes</v>
      </c>
    </row>
    <row r="744" spans="1:17" ht="15" customHeight="1" x14ac:dyDescent="0.2">
      <c r="A744" s="7">
        <v>2022</v>
      </c>
      <c r="B744" s="7" t="s">
        <v>171</v>
      </c>
      <c r="C744" s="7">
        <v>1</v>
      </c>
      <c r="D744" s="7" t="s">
        <v>1383</v>
      </c>
      <c r="E744" s="7" t="s">
        <v>173</v>
      </c>
      <c r="F744" s="8">
        <v>54598</v>
      </c>
      <c r="G744" s="8">
        <v>153774</v>
      </c>
      <c r="H744" s="8">
        <v>64098.32</v>
      </c>
      <c r="I744" s="8">
        <v>647616.25</v>
      </c>
      <c r="J744" s="13">
        <v>0.262021768759718</v>
      </c>
      <c r="K744" s="13">
        <v>9.0061834760527704E-2</v>
      </c>
      <c r="L744" s="7">
        <v>-1</v>
      </c>
      <c r="M744" s="13">
        <v>0.326006749308624</v>
      </c>
      <c r="N744" s="13">
        <v>-6.3984980548906201</v>
      </c>
      <c r="O744" s="7">
        <v>1</v>
      </c>
      <c r="P744" s="7" t="s">
        <v>160</v>
      </c>
      <c r="Q744" s="7" t="str">
        <f t="shared" si="11"/>
        <v>Yes</v>
      </c>
    </row>
    <row r="745" spans="1:17" ht="15" customHeight="1" x14ac:dyDescent="0.2">
      <c r="A745" s="7">
        <v>2022</v>
      </c>
      <c r="B745" s="7" t="s">
        <v>171</v>
      </c>
      <c r="C745" s="7">
        <v>2</v>
      </c>
      <c r="D745" s="7" t="s">
        <v>1384</v>
      </c>
      <c r="E745" s="7" t="s">
        <v>175</v>
      </c>
      <c r="F745" s="8">
        <v>86887</v>
      </c>
      <c r="G745" s="8">
        <v>147975</v>
      </c>
      <c r="H745" s="8">
        <v>64545.7</v>
      </c>
      <c r="I745" s="8">
        <v>2941944.38</v>
      </c>
      <c r="J745" s="13">
        <v>0.36994916163534303</v>
      </c>
      <c r="K745" s="13">
        <v>2.1468788614795599E-2</v>
      </c>
      <c r="L745" s="7">
        <v>-1</v>
      </c>
      <c r="M745" s="13">
        <v>0.30336338705663801</v>
      </c>
      <c r="N745" s="13">
        <v>6.6585774578705097</v>
      </c>
      <c r="O745" s="7">
        <v>1</v>
      </c>
      <c r="P745" s="7" t="s">
        <v>160</v>
      </c>
      <c r="Q745" s="7" t="str">
        <f t="shared" si="11"/>
        <v>Yes</v>
      </c>
    </row>
    <row r="746" spans="1:17" ht="15" customHeight="1" x14ac:dyDescent="0.2">
      <c r="A746" s="7">
        <v>2022</v>
      </c>
      <c r="B746" s="7" t="s">
        <v>171</v>
      </c>
      <c r="C746" s="7">
        <v>3</v>
      </c>
      <c r="D746" s="7" t="s">
        <v>1385</v>
      </c>
      <c r="E746" s="7" t="s">
        <v>177</v>
      </c>
      <c r="F746" s="8">
        <v>73541</v>
      </c>
      <c r="G746" s="8">
        <v>142401</v>
      </c>
      <c r="H746" s="8">
        <v>65750.570000000007</v>
      </c>
      <c r="I746" s="8">
        <v>1083110.5900000001</v>
      </c>
      <c r="J746" s="13">
        <v>0.34055903900121298</v>
      </c>
      <c r="K746" s="13">
        <v>5.7231084389692502E-2</v>
      </c>
      <c r="L746" s="7">
        <v>-1</v>
      </c>
      <c r="M746" s="13">
        <v>0.31516893679812702</v>
      </c>
      <c r="N746" s="13">
        <v>2.5390102203086502</v>
      </c>
      <c r="O746" s="7">
        <v>1</v>
      </c>
      <c r="P746" s="7" t="s">
        <v>160</v>
      </c>
      <c r="Q746" s="7" t="str">
        <f t="shared" si="11"/>
        <v>Yes</v>
      </c>
    </row>
    <row r="747" spans="1:17" ht="15" customHeight="1" x14ac:dyDescent="0.2">
      <c r="A747" s="7">
        <v>2022</v>
      </c>
      <c r="B747" s="7" t="s">
        <v>183</v>
      </c>
      <c r="C747" s="7">
        <v>1</v>
      </c>
      <c r="D747" s="7" t="s">
        <v>1386</v>
      </c>
      <c r="E747" s="7" t="s">
        <v>195</v>
      </c>
      <c r="F747" s="8">
        <v>179141</v>
      </c>
      <c r="G747" s="8">
        <v>182336</v>
      </c>
      <c r="H747" s="8">
        <v>4584656.97</v>
      </c>
      <c r="I747" s="8">
        <v>4765357.3499999996</v>
      </c>
      <c r="J747" s="13">
        <v>0.49558063168611</v>
      </c>
      <c r="K747" s="13">
        <v>0.49033689287440602</v>
      </c>
      <c r="L747" s="7">
        <v>-1</v>
      </c>
      <c r="M747" s="13">
        <v>0.45814220108679699</v>
      </c>
      <c r="N747" s="13">
        <v>3.7438430599313</v>
      </c>
      <c r="O747" s="7">
        <v>1</v>
      </c>
      <c r="P747" s="7" t="s">
        <v>160</v>
      </c>
      <c r="Q747" s="7" t="str">
        <f t="shared" si="11"/>
        <v>Yes</v>
      </c>
    </row>
    <row r="748" spans="1:17" ht="15" customHeight="1" x14ac:dyDescent="0.2">
      <c r="A748" s="7">
        <v>2022</v>
      </c>
      <c r="B748" s="7" t="s">
        <v>183</v>
      </c>
      <c r="C748" s="7">
        <v>2</v>
      </c>
      <c r="D748" s="7" t="s">
        <v>184</v>
      </c>
      <c r="E748" s="7" t="s">
        <v>1387</v>
      </c>
      <c r="F748" s="8">
        <v>149151</v>
      </c>
      <c r="G748" s="8">
        <v>174169</v>
      </c>
      <c r="H748" s="8">
        <v>5848901.54</v>
      </c>
      <c r="I748" s="8">
        <v>7777683.2599999998</v>
      </c>
      <c r="J748" s="13">
        <v>0.461310775702091</v>
      </c>
      <c r="K748" s="13">
        <v>0.42922725142399598</v>
      </c>
      <c r="L748" s="7">
        <v>1</v>
      </c>
      <c r="M748" s="13">
        <v>0.51719097825765603</v>
      </c>
      <c r="N748" s="13">
        <v>-5.5880202555564997</v>
      </c>
      <c r="O748" s="7">
        <v>0</v>
      </c>
      <c r="P748" s="7" t="s">
        <v>160</v>
      </c>
      <c r="Q748" s="7" t="str">
        <f t="shared" si="11"/>
        <v>Yes</v>
      </c>
    </row>
    <row r="749" spans="1:17" ht="15" customHeight="1" x14ac:dyDescent="0.2">
      <c r="A749" s="7">
        <v>2022</v>
      </c>
      <c r="B749" s="7" t="s">
        <v>183</v>
      </c>
      <c r="C749" s="7">
        <v>3</v>
      </c>
      <c r="D749" s="7" t="s">
        <v>941</v>
      </c>
      <c r="E749" s="7" t="s">
        <v>1388</v>
      </c>
      <c r="F749" s="8">
        <v>108599</v>
      </c>
      <c r="G749" s="8">
        <v>32475</v>
      </c>
      <c r="H749" s="8">
        <v>2275433.9900000002</v>
      </c>
      <c r="I749" s="8">
        <v>54677.95</v>
      </c>
      <c r="J749" s="13">
        <v>0.76980166437472497</v>
      </c>
      <c r="K749" s="13">
        <v>0.97653419603523395</v>
      </c>
      <c r="L749" s="7">
        <v>1</v>
      </c>
      <c r="M749" s="13">
        <v>0.69786336571119201</v>
      </c>
      <c r="N749" s="13">
        <v>7.1938298663533304</v>
      </c>
      <c r="O749" s="7">
        <v>1</v>
      </c>
      <c r="P749" s="7" t="s">
        <v>160</v>
      </c>
      <c r="Q749" s="7" t="str">
        <f t="shared" si="11"/>
        <v>Yes</v>
      </c>
    </row>
    <row r="750" spans="1:17" ht="15" customHeight="1" x14ac:dyDescent="0.2">
      <c r="A750" s="7">
        <v>2022</v>
      </c>
      <c r="B750" s="7" t="s">
        <v>183</v>
      </c>
      <c r="C750" s="7">
        <v>4</v>
      </c>
      <c r="D750" s="7" t="s">
        <v>198</v>
      </c>
      <c r="E750" s="7" t="s">
        <v>1389</v>
      </c>
      <c r="F750" s="8">
        <v>148941</v>
      </c>
      <c r="G750" s="8">
        <v>116521</v>
      </c>
      <c r="H750" s="8">
        <v>9183802.6300000008</v>
      </c>
      <c r="I750" s="8">
        <v>2367833.7799999998</v>
      </c>
      <c r="J750" s="13">
        <v>0.56106335370034099</v>
      </c>
      <c r="K750" s="13">
        <v>0.79502178773994203</v>
      </c>
      <c r="L750" s="7">
        <v>1</v>
      </c>
      <c r="M750" s="13">
        <v>0.63794400879083402</v>
      </c>
      <c r="N750" s="13">
        <v>-7.68806550904924</v>
      </c>
      <c r="O750" s="7">
        <v>1</v>
      </c>
      <c r="P750" s="7" t="s">
        <v>160</v>
      </c>
      <c r="Q750" s="7" t="str">
        <f t="shared" si="11"/>
        <v>Yes</v>
      </c>
    </row>
    <row r="751" spans="1:17" ht="15" customHeight="1" x14ac:dyDescent="0.2">
      <c r="A751" s="7">
        <v>2022</v>
      </c>
      <c r="B751" s="7" t="s">
        <v>183</v>
      </c>
      <c r="C751" s="7">
        <v>5</v>
      </c>
      <c r="D751" s="7" t="s">
        <v>1390</v>
      </c>
      <c r="E751" s="7" t="s">
        <v>193</v>
      </c>
      <c r="F751" s="8">
        <v>120243</v>
      </c>
      <c r="G751" s="8">
        <v>182464</v>
      </c>
      <c r="H751" s="8">
        <v>24236.06</v>
      </c>
      <c r="I751" s="8">
        <v>2536369.63</v>
      </c>
      <c r="J751" s="13">
        <v>0.39722570009943597</v>
      </c>
      <c r="K751" s="13">
        <v>9.4649715474154107E-3</v>
      </c>
      <c r="L751" s="7">
        <v>-1</v>
      </c>
      <c r="M751" s="13">
        <v>0.29940078744142701</v>
      </c>
      <c r="N751" s="13">
        <v>9.7824912658009406</v>
      </c>
      <c r="O751" s="7">
        <v>1</v>
      </c>
      <c r="P751" s="7" t="s">
        <v>160</v>
      </c>
      <c r="Q751" s="7" t="str">
        <f t="shared" si="11"/>
        <v>Yes</v>
      </c>
    </row>
    <row r="752" spans="1:17" ht="15" customHeight="1" x14ac:dyDescent="0.2">
      <c r="A752" s="7">
        <v>2022</v>
      </c>
      <c r="B752" s="7" t="s">
        <v>183</v>
      </c>
      <c r="C752" s="7">
        <v>6</v>
      </c>
      <c r="D752" s="7" t="s">
        <v>1391</v>
      </c>
      <c r="E752" s="7" t="s">
        <v>1392</v>
      </c>
      <c r="F752" s="8">
        <v>171969</v>
      </c>
      <c r="G752" s="8">
        <v>177201</v>
      </c>
      <c r="H752" s="8">
        <v>2611503.84</v>
      </c>
      <c r="I752" s="8">
        <v>10034117.01</v>
      </c>
      <c r="J752" s="13">
        <v>0.49250794741816301</v>
      </c>
      <c r="K752" s="13">
        <v>0.20651448204696099</v>
      </c>
      <c r="L752" s="7">
        <v>0</v>
      </c>
      <c r="M752" s="13">
        <v>0.4040600127433</v>
      </c>
      <c r="N752" s="13">
        <v>8.8447934674863191</v>
      </c>
      <c r="O752" s="7">
        <v>1</v>
      </c>
      <c r="P752" s="7" t="s">
        <v>160</v>
      </c>
      <c r="Q752" s="7" t="str">
        <f t="shared" si="11"/>
        <v>Yes</v>
      </c>
    </row>
    <row r="753" spans="1:17" ht="15" customHeight="1" x14ac:dyDescent="0.2">
      <c r="A753" s="7">
        <v>2022</v>
      </c>
      <c r="B753" s="7" t="s">
        <v>183</v>
      </c>
      <c r="C753" s="7">
        <v>7</v>
      </c>
      <c r="D753" s="7" t="s">
        <v>188</v>
      </c>
      <c r="E753" s="7" t="s">
        <v>1393</v>
      </c>
      <c r="F753" s="8">
        <v>126418</v>
      </c>
      <c r="G753" s="8">
        <v>69444</v>
      </c>
      <c r="H753" s="8">
        <v>682610.94</v>
      </c>
      <c r="I753" s="8">
        <v>268102.03999999998</v>
      </c>
      <c r="J753" s="13">
        <v>0.64544424135360601</v>
      </c>
      <c r="K753" s="13">
        <v>0.71799896957334097</v>
      </c>
      <c r="L753" s="7">
        <v>1</v>
      </c>
      <c r="M753" s="13">
        <v>0.61251788075870295</v>
      </c>
      <c r="N753" s="13">
        <v>3.2926360594902699</v>
      </c>
      <c r="O753" s="7">
        <v>1</v>
      </c>
      <c r="P753" s="7" t="s">
        <v>160</v>
      </c>
      <c r="Q753" s="7" t="str">
        <f t="shared" si="11"/>
        <v>Yes</v>
      </c>
    </row>
    <row r="754" spans="1:17" ht="15" customHeight="1" x14ac:dyDescent="0.2">
      <c r="A754" s="7">
        <v>2022</v>
      </c>
      <c r="B754" s="7" t="s">
        <v>200</v>
      </c>
      <c r="C754" s="7">
        <v>1</v>
      </c>
      <c r="D754" s="7" t="s">
        <v>1394</v>
      </c>
      <c r="E754" s="7" t="s">
        <v>946</v>
      </c>
      <c r="F754" s="8">
        <v>93386</v>
      </c>
      <c r="G754" s="8">
        <v>152839</v>
      </c>
      <c r="H754" s="8">
        <v>611948.14</v>
      </c>
      <c r="I754" s="8">
        <v>685660.72</v>
      </c>
      <c r="J754" s="13">
        <v>0.37927099197888098</v>
      </c>
      <c r="K754" s="13">
        <v>0.471596764528874</v>
      </c>
      <c r="L754" s="7">
        <v>-1</v>
      </c>
      <c r="M754" s="13">
        <v>0.45195586677712002</v>
      </c>
      <c r="N754" s="13">
        <v>-7.2684874798239001</v>
      </c>
      <c r="O754" s="7">
        <v>1</v>
      </c>
      <c r="P754" s="7" t="s">
        <v>160</v>
      </c>
      <c r="Q754" s="7" t="str">
        <f t="shared" si="11"/>
        <v>Yes</v>
      </c>
    </row>
    <row r="755" spans="1:17" ht="15" customHeight="1" x14ac:dyDescent="0.2">
      <c r="A755" s="7">
        <v>2022</v>
      </c>
      <c r="B755" s="7" t="s">
        <v>200</v>
      </c>
      <c r="C755" s="7">
        <v>3</v>
      </c>
      <c r="D755" s="7" t="s">
        <v>1395</v>
      </c>
      <c r="E755" s="7" t="s">
        <v>1396</v>
      </c>
      <c r="F755" s="8">
        <v>156761</v>
      </c>
      <c r="G755" s="8">
        <v>181438</v>
      </c>
      <c r="H755" s="8">
        <v>3339991.43</v>
      </c>
      <c r="I755" s="8">
        <v>3468979.71</v>
      </c>
      <c r="J755" s="13">
        <v>0.463517041741696</v>
      </c>
      <c r="K755" s="13">
        <v>0.49052806383315101</v>
      </c>
      <c r="L755" s="7">
        <v>0</v>
      </c>
      <c r="M755" s="13">
        <v>0.49781619909498198</v>
      </c>
      <c r="N755" s="13">
        <v>-3.4299157353285499</v>
      </c>
      <c r="O755" s="7">
        <v>1</v>
      </c>
      <c r="P755" s="7" t="s">
        <v>160</v>
      </c>
      <c r="Q755" s="7" t="str">
        <f t="shared" si="11"/>
        <v>Yes</v>
      </c>
    </row>
    <row r="756" spans="1:17" ht="15" customHeight="1" x14ac:dyDescent="0.2">
      <c r="A756" s="7">
        <v>2022</v>
      </c>
      <c r="B756" s="7" t="s">
        <v>200</v>
      </c>
      <c r="C756" s="7">
        <v>4</v>
      </c>
      <c r="D756" s="7" t="s">
        <v>950</v>
      </c>
      <c r="E756" s="7" t="s">
        <v>1397</v>
      </c>
      <c r="F756" s="8">
        <v>176900</v>
      </c>
      <c r="G756" s="8">
        <v>84007</v>
      </c>
      <c r="H756" s="8">
        <v>2398080.0299999998</v>
      </c>
      <c r="I756" s="8">
        <v>11242.15</v>
      </c>
      <c r="J756" s="13">
        <v>0.67801937088694397</v>
      </c>
      <c r="K756" s="13">
        <v>0.99533389511235904</v>
      </c>
      <c r="L756" s="7">
        <v>1</v>
      </c>
      <c r="M756" s="13">
        <v>0.70406936501216</v>
      </c>
      <c r="N756" s="13">
        <v>-2.6049994125215501</v>
      </c>
      <c r="O756" s="7">
        <v>1</v>
      </c>
      <c r="P756" s="7" t="s">
        <v>160</v>
      </c>
      <c r="Q756" s="7" t="str">
        <f t="shared" si="11"/>
        <v>Yes</v>
      </c>
    </row>
    <row r="757" spans="1:17" ht="15" customHeight="1" x14ac:dyDescent="0.2">
      <c r="A757" s="7">
        <v>2022</v>
      </c>
      <c r="B757" s="7" t="s">
        <v>200</v>
      </c>
      <c r="C757" s="7">
        <v>5</v>
      </c>
      <c r="D757" s="7" t="s">
        <v>1398</v>
      </c>
      <c r="E757" s="7" t="s">
        <v>208</v>
      </c>
      <c r="F757" s="8">
        <v>109506</v>
      </c>
      <c r="G757" s="8">
        <v>173524</v>
      </c>
      <c r="H757" s="8">
        <v>462117.66</v>
      </c>
      <c r="I757" s="8">
        <v>1707421.09</v>
      </c>
      <c r="J757" s="13">
        <v>0.38690598169805301</v>
      </c>
      <c r="K757" s="13">
        <v>0.21300272235285</v>
      </c>
      <c r="L757" s="7">
        <v>-1</v>
      </c>
      <c r="M757" s="13">
        <v>0.36659096607338598</v>
      </c>
      <c r="N757" s="13">
        <v>2.0315015624667399</v>
      </c>
      <c r="O757" s="7">
        <v>1</v>
      </c>
      <c r="P757" s="7" t="s">
        <v>160</v>
      </c>
      <c r="Q757" s="7" t="str">
        <f t="shared" si="11"/>
        <v>Yes</v>
      </c>
    </row>
    <row r="758" spans="1:17" ht="15" customHeight="1" x14ac:dyDescent="0.2">
      <c r="A758" s="7">
        <v>2022</v>
      </c>
      <c r="B758" s="7" t="s">
        <v>200</v>
      </c>
      <c r="C758" s="7">
        <v>6</v>
      </c>
      <c r="D758" s="7" t="s">
        <v>209</v>
      </c>
      <c r="E758" s="7" t="s">
        <v>948</v>
      </c>
      <c r="F758" s="8">
        <v>121058</v>
      </c>
      <c r="G758" s="8">
        <v>95325</v>
      </c>
      <c r="H758" s="8">
        <v>2169277.63</v>
      </c>
      <c r="I758" s="8">
        <v>1157631.44</v>
      </c>
      <c r="J758" s="13">
        <v>0.55946169523483802</v>
      </c>
      <c r="K758" s="13">
        <v>0.65203995190647002</v>
      </c>
      <c r="L758" s="7">
        <v>1</v>
      </c>
      <c r="M758" s="13">
        <v>0.590744041940655</v>
      </c>
      <c r="N758" s="13">
        <v>-3.1282346705817101</v>
      </c>
      <c r="O758" s="7">
        <v>1</v>
      </c>
      <c r="P758" s="7" t="s">
        <v>160</v>
      </c>
      <c r="Q758" s="7" t="str">
        <f t="shared" si="11"/>
        <v>Yes</v>
      </c>
    </row>
    <row r="759" spans="1:17" ht="15" customHeight="1" x14ac:dyDescent="0.2">
      <c r="A759" s="7">
        <v>2022</v>
      </c>
      <c r="B759" s="7" t="s">
        <v>200</v>
      </c>
      <c r="C759" s="7">
        <v>7</v>
      </c>
      <c r="D759" s="7" t="s">
        <v>952</v>
      </c>
      <c r="E759" s="7" t="s">
        <v>1399</v>
      </c>
      <c r="F759" s="8">
        <v>150618</v>
      </c>
      <c r="G759" s="8">
        <v>70033</v>
      </c>
      <c r="H759" s="8">
        <v>1489579.22</v>
      </c>
      <c r="I759" s="8">
        <v>48486.15</v>
      </c>
      <c r="J759" s="13">
        <v>0.68260737544810601</v>
      </c>
      <c r="K759" s="13">
        <v>0.96847588474084201</v>
      </c>
      <c r="L759" s="7">
        <v>1</v>
      </c>
      <c r="M759" s="13">
        <v>0.69520322343684904</v>
      </c>
      <c r="N759" s="13">
        <v>-1.25958479887435</v>
      </c>
      <c r="O759" s="7">
        <v>1</v>
      </c>
      <c r="P759" s="7" t="s">
        <v>160</v>
      </c>
      <c r="Q759" s="7" t="str">
        <f t="shared" si="11"/>
        <v>Yes</v>
      </c>
    </row>
    <row r="760" spans="1:17" ht="15" customHeight="1" x14ac:dyDescent="0.2">
      <c r="A760" s="7">
        <v>2022</v>
      </c>
      <c r="B760" s="7" t="s">
        <v>200</v>
      </c>
      <c r="C760" s="7">
        <v>8</v>
      </c>
      <c r="D760" s="7" t="s">
        <v>205</v>
      </c>
      <c r="E760" s="7" t="s">
        <v>1400</v>
      </c>
      <c r="F760" s="8">
        <v>145501</v>
      </c>
      <c r="G760" s="8">
        <v>46634</v>
      </c>
      <c r="H760" s="8">
        <v>1137447.18</v>
      </c>
      <c r="I760" s="8">
        <v>60457.13</v>
      </c>
      <c r="J760" s="13">
        <v>0.75728524214744797</v>
      </c>
      <c r="K760" s="13">
        <v>0.94953091870919204</v>
      </c>
      <c r="L760" s="7">
        <v>1</v>
      </c>
      <c r="M760" s="13">
        <v>0.688949269824776</v>
      </c>
      <c r="N760" s="13">
        <v>6.8335972322672598</v>
      </c>
      <c r="O760" s="7">
        <v>1</v>
      </c>
      <c r="P760" s="7" t="s">
        <v>160</v>
      </c>
      <c r="Q760" s="7" t="str">
        <f t="shared" si="11"/>
        <v>Yes</v>
      </c>
    </row>
    <row r="761" spans="1:17" ht="15" customHeight="1" x14ac:dyDescent="0.2">
      <c r="A761" s="7">
        <v>2022</v>
      </c>
      <c r="B761" s="7" t="s">
        <v>200</v>
      </c>
      <c r="C761" s="7">
        <v>9</v>
      </c>
      <c r="D761" s="7" t="s">
        <v>213</v>
      </c>
      <c r="E761" s="7" t="s">
        <v>1401</v>
      </c>
      <c r="F761" s="8">
        <v>95598</v>
      </c>
      <c r="G761" s="8">
        <v>78802</v>
      </c>
      <c r="H761" s="8">
        <v>9048212.0800000001</v>
      </c>
      <c r="I761" s="8">
        <v>1585048.49</v>
      </c>
      <c r="J761" s="13">
        <v>0.54815366972477098</v>
      </c>
      <c r="K761" s="13">
        <v>0.85093485863856699</v>
      </c>
      <c r="L761" s="7">
        <v>1</v>
      </c>
      <c r="M761" s="13">
        <v>0.65640156374893699</v>
      </c>
      <c r="N761" s="13">
        <v>-10.8247894024166</v>
      </c>
      <c r="O761" s="7">
        <v>1</v>
      </c>
      <c r="P761" s="7" t="s">
        <v>160</v>
      </c>
      <c r="Q761" s="7" t="str">
        <f t="shared" si="11"/>
        <v>Yes</v>
      </c>
    </row>
    <row r="762" spans="1:17" ht="15" customHeight="1" x14ac:dyDescent="0.2">
      <c r="A762" s="7">
        <v>2022</v>
      </c>
      <c r="B762" s="7" t="s">
        <v>200</v>
      </c>
      <c r="C762" s="7">
        <v>11</v>
      </c>
      <c r="D762" s="7" t="s">
        <v>215</v>
      </c>
      <c r="E762" s="7" t="s">
        <v>1402</v>
      </c>
      <c r="F762" s="8">
        <v>220848</v>
      </c>
      <c r="G762" s="8">
        <v>42217</v>
      </c>
      <c r="H762" s="8">
        <v>28293487.600000001</v>
      </c>
      <c r="I762" s="8">
        <v>993806.68</v>
      </c>
      <c r="J762" s="13">
        <v>0.83951875011879196</v>
      </c>
      <c r="K762" s="13">
        <v>0.96606696847790896</v>
      </c>
      <c r="L762" s="7">
        <v>1</v>
      </c>
      <c r="M762" s="13">
        <v>0.69440801216338599</v>
      </c>
      <c r="N762" s="13">
        <v>14.5110737955406</v>
      </c>
      <c r="O762" s="7">
        <v>1</v>
      </c>
      <c r="P762" s="7" t="s">
        <v>160</v>
      </c>
      <c r="Q762" s="7" t="str">
        <f t="shared" si="11"/>
        <v>Yes</v>
      </c>
    </row>
    <row r="763" spans="1:17" ht="15" customHeight="1" x14ac:dyDescent="0.2">
      <c r="A763" s="7">
        <v>2022</v>
      </c>
      <c r="B763" s="7" t="s">
        <v>200</v>
      </c>
      <c r="C763" s="7">
        <v>12</v>
      </c>
      <c r="D763" s="7" t="s">
        <v>961</v>
      </c>
      <c r="E763" s="7" t="s">
        <v>1403</v>
      </c>
      <c r="F763" s="8">
        <v>217110</v>
      </c>
      <c r="G763" s="8">
        <v>22859</v>
      </c>
      <c r="H763" s="8">
        <v>2342247.12</v>
      </c>
      <c r="I763" s="8">
        <v>1050</v>
      </c>
      <c r="J763" s="13">
        <v>0.90474186249057198</v>
      </c>
      <c r="K763" s="13">
        <v>0.99955191341676697</v>
      </c>
      <c r="L763" s="7">
        <v>1</v>
      </c>
      <c r="M763" s="13">
        <v>0.70546178190889997</v>
      </c>
      <c r="N763" s="13">
        <v>19.928008058167102</v>
      </c>
      <c r="O763" s="7">
        <v>1</v>
      </c>
      <c r="P763" s="7" t="s">
        <v>160</v>
      </c>
      <c r="Q763" s="7" t="str">
        <f t="shared" si="11"/>
        <v>Yes</v>
      </c>
    </row>
    <row r="764" spans="1:17" ht="15" customHeight="1" x14ac:dyDescent="0.2">
      <c r="A764" s="7">
        <v>2022</v>
      </c>
      <c r="B764" s="7" t="s">
        <v>200</v>
      </c>
      <c r="C764" s="7">
        <v>13</v>
      </c>
      <c r="D764" s="7" t="s">
        <v>1404</v>
      </c>
      <c r="E764" s="7" t="s">
        <v>1405</v>
      </c>
      <c r="F764" s="8">
        <v>66496</v>
      </c>
      <c r="G764" s="8">
        <v>67060</v>
      </c>
      <c r="H764" s="8">
        <v>10444983.119999999</v>
      </c>
      <c r="I764" s="8">
        <v>9962140.4700000007</v>
      </c>
      <c r="J764" s="13">
        <v>0.49788852616131102</v>
      </c>
      <c r="K764" s="13">
        <v>0.511830247606199</v>
      </c>
      <c r="L764" s="7">
        <v>0</v>
      </c>
      <c r="M764" s="13">
        <v>0.50484829769731998</v>
      </c>
      <c r="N764" s="13">
        <v>-0.69597715360094603</v>
      </c>
      <c r="O764" s="7">
        <v>0</v>
      </c>
      <c r="P764" s="7" t="s">
        <v>160</v>
      </c>
      <c r="Q764" s="7" t="str">
        <f t="shared" si="11"/>
        <v>Yes</v>
      </c>
    </row>
    <row r="765" spans="1:17" ht="15" customHeight="1" x14ac:dyDescent="0.2">
      <c r="A765" s="7">
        <v>2022</v>
      </c>
      <c r="B765" s="7" t="s">
        <v>200</v>
      </c>
      <c r="C765" s="7">
        <v>17</v>
      </c>
      <c r="D765" s="7" t="s">
        <v>223</v>
      </c>
      <c r="E765" s="7" t="s">
        <v>966</v>
      </c>
      <c r="F765" s="8">
        <v>127853</v>
      </c>
      <c r="G765" s="8">
        <v>52400</v>
      </c>
      <c r="H765" s="8">
        <v>2923616.94</v>
      </c>
      <c r="I765" s="8">
        <v>116697.57</v>
      </c>
      <c r="J765" s="13">
        <v>0.70929748742045895</v>
      </c>
      <c r="K765" s="13">
        <v>0.96161661248658103</v>
      </c>
      <c r="L765" s="7">
        <v>1</v>
      </c>
      <c r="M765" s="13">
        <v>0.69293889789416596</v>
      </c>
      <c r="N765" s="13">
        <v>1.6358589526292799</v>
      </c>
      <c r="O765" s="7">
        <v>1</v>
      </c>
      <c r="P765" s="7" t="s">
        <v>160</v>
      </c>
      <c r="Q765" s="7" t="str">
        <f t="shared" si="11"/>
        <v>Yes</v>
      </c>
    </row>
    <row r="766" spans="1:17" ht="15" customHeight="1" x14ac:dyDescent="0.2">
      <c r="A766" s="7">
        <v>2022</v>
      </c>
      <c r="B766" s="7" t="s">
        <v>200</v>
      </c>
      <c r="C766" s="7">
        <v>18</v>
      </c>
      <c r="D766" s="7" t="s">
        <v>967</v>
      </c>
      <c r="E766" s="7" t="s">
        <v>1406</v>
      </c>
      <c r="F766" s="8">
        <v>99776</v>
      </c>
      <c r="G766" s="8">
        <v>51737</v>
      </c>
      <c r="H766" s="8">
        <v>2774443.15</v>
      </c>
      <c r="I766" s="8">
        <v>248690.33</v>
      </c>
      <c r="J766" s="13">
        <v>0.65853095113950599</v>
      </c>
      <c r="K766" s="13">
        <v>0.91773756215355695</v>
      </c>
      <c r="L766" s="7">
        <v>1</v>
      </c>
      <c r="M766" s="13">
        <v>0.67845391307729597</v>
      </c>
      <c r="N766" s="13">
        <v>-1.992296193779</v>
      </c>
      <c r="O766" s="7">
        <v>1</v>
      </c>
      <c r="P766" s="7" t="s">
        <v>160</v>
      </c>
      <c r="Q766" s="7" t="str">
        <f t="shared" si="11"/>
        <v>Yes</v>
      </c>
    </row>
    <row r="767" spans="1:17" ht="15" customHeight="1" x14ac:dyDescent="0.2">
      <c r="A767" s="7">
        <v>2022</v>
      </c>
      <c r="B767" s="7" t="s">
        <v>200</v>
      </c>
      <c r="C767" s="7">
        <v>19</v>
      </c>
      <c r="D767" s="7" t="s">
        <v>969</v>
      </c>
      <c r="E767" s="7" t="s">
        <v>970</v>
      </c>
      <c r="F767" s="8">
        <v>194494</v>
      </c>
      <c r="G767" s="8">
        <v>88816</v>
      </c>
      <c r="H767" s="8">
        <v>1690471.77</v>
      </c>
      <c r="I767" s="8">
        <v>58955.07</v>
      </c>
      <c r="J767" s="13">
        <v>0.68650594754862204</v>
      </c>
      <c r="K767" s="13">
        <v>0.96630035126247404</v>
      </c>
      <c r="L767" s="7">
        <v>1</v>
      </c>
      <c r="M767" s="13">
        <v>0.69448505453475196</v>
      </c>
      <c r="N767" s="13">
        <v>-0.79791069861302499</v>
      </c>
      <c r="O767" s="7">
        <v>1</v>
      </c>
      <c r="P767" s="7" t="s">
        <v>160</v>
      </c>
      <c r="Q767" s="7" t="str">
        <f t="shared" si="11"/>
        <v>Yes</v>
      </c>
    </row>
    <row r="768" spans="1:17" ht="15" customHeight="1" x14ac:dyDescent="0.2">
      <c r="A768" s="7">
        <v>2022</v>
      </c>
      <c r="B768" s="7" t="s">
        <v>200</v>
      </c>
      <c r="C768" s="7">
        <v>20</v>
      </c>
      <c r="D768" s="7" t="s">
        <v>1407</v>
      </c>
      <c r="E768" s="7" t="s">
        <v>230</v>
      </c>
      <c r="F768" s="8">
        <v>74934</v>
      </c>
      <c r="G768" s="8">
        <v>153847</v>
      </c>
      <c r="H768" s="8">
        <v>1163939.3500000001</v>
      </c>
      <c r="I768" s="8">
        <v>27616199.739999998</v>
      </c>
      <c r="J768" s="13">
        <v>0.32753594048456802</v>
      </c>
      <c r="K768" s="13">
        <v>4.0442450481569199E-2</v>
      </c>
      <c r="L768" s="7">
        <v>-1</v>
      </c>
      <c r="M768" s="13">
        <v>0.30962681349761101</v>
      </c>
      <c r="N768" s="13">
        <v>1.79091269869571</v>
      </c>
      <c r="O768" s="7">
        <v>1</v>
      </c>
      <c r="P768" s="7" t="s">
        <v>160</v>
      </c>
      <c r="Q768" s="7" t="str">
        <f t="shared" si="11"/>
        <v>Yes</v>
      </c>
    </row>
    <row r="769" spans="1:17" ht="15" customHeight="1" x14ac:dyDescent="0.2">
      <c r="A769" s="7">
        <v>2022</v>
      </c>
      <c r="B769" s="7" t="s">
        <v>200</v>
      </c>
      <c r="C769" s="7">
        <v>21</v>
      </c>
      <c r="D769" s="7" t="s">
        <v>221</v>
      </c>
      <c r="E769" s="7" t="s">
        <v>1408</v>
      </c>
      <c r="F769" s="8">
        <v>68074</v>
      </c>
      <c r="G769" s="8">
        <v>57573</v>
      </c>
      <c r="H769" s="8">
        <v>2088968.22</v>
      </c>
      <c r="I769" s="8">
        <v>309564.78999999998</v>
      </c>
      <c r="J769" s="13">
        <v>0.54178770682945099</v>
      </c>
      <c r="K769" s="13">
        <v>0.87093578086715595</v>
      </c>
      <c r="L769" s="7">
        <v>1</v>
      </c>
      <c r="M769" s="13">
        <v>0.66300410078211602</v>
      </c>
      <c r="N769" s="13">
        <v>-12.1216393952665</v>
      </c>
      <c r="O769" s="7">
        <v>1</v>
      </c>
      <c r="P769" s="7" t="s">
        <v>160</v>
      </c>
      <c r="Q769" s="7" t="str">
        <f t="shared" si="11"/>
        <v>Yes</v>
      </c>
    </row>
    <row r="770" spans="1:17" ht="15" customHeight="1" x14ac:dyDescent="0.2">
      <c r="A770" s="7">
        <v>2022</v>
      </c>
      <c r="B770" s="7" t="s">
        <v>200</v>
      </c>
      <c r="C770" s="7">
        <v>22</v>
      </c>
      <c r="D770" s="7" t="s">
        <v>1409</v>
      </c>
      <c r="E770" s="7" t="s">
        <v>971</v>
      </c>
      <c r="F770" s="8">
        <v>49862</v>
      </c>
      <c r="G770" s="8">
        <v>52994</v>
      </c>
      <c r="H770" s="8">
        <v>14094303.279999999</v>
      </c>
      <c r="I770" s="8">
        <v>17979180.59</v>
      </c>
      <c r="J770" s="13">
        <v>0.48477483083145401</v>
      </c>
      <c r="K770" s="13">
        <v>0.43943786515761502</v>
      </c>
      <c r="L770" s="7">
        <v>-1</v>
      </c>
      <c r="M770" s="13">
        <v>0.44133984009503502</v>
      </c>
      <c r="N770" s="13">
        <v>4.3434990736418602</v>
      </c>
      <c r="O770" s="7">
        <v>1</v>
      </c>
      <c r="P770" s="7" t="s">
        <v>160</v>
      </c>
      <c r="Q770" s="7" t="str">
        <f t="shared" si="11"/>
        <v>Yes</v>
      </c>
    </row>
    <row r="771" spans="1:17" ht="15" customHeight="1" x14ac:dyDescent="0.2">
      <c r="A771" s="7">
        <v>2022</v>
      </c>
      <c r="B771" s="7" t="s">
        <v>200</v>
      </c>
      <c r="C771" s="7">
        <v>23</v>
      </c>
      <c r="D771" s="7" t="s">
        <v>1410</v>
      </c>
      <c r="E771" s="7" t="s">
        <v>956</v>
      </c>
      <c r="F771" s="8">
        <v>65908</v>
      </c>
      <c r="G771" s="8">
        <v>103197</v>
      </c>
      <c r="H771" s="8">
        <v>945031.85</v>
      </c>
      <c r="I771" s="8">
        <v>810115.45</v>
      </c>
      <c r="J771" s="13">
        <v>0.38974601578900703</v>
      </c>
      <c r="K771" s="13">
        <v>0.53843449492814699</v>
      </c>
      <c r="L771" s="7">
        <v>-1</v>
      </c>
      <c r="M771" s="13">
        <v>0.47401977888733499</v>
      </c>
      <c r="N771" s="13">
        <v>-8.4273763098327894</v>
      </c>
      <c r="O771" s="7">
        <v>1</v>
      </c>
      <c r="P771" s="7" t="s">
        <v>160</v>
      </c>
      <c r="Q771" s="7" t="str">
        <f t="shared" si="11"/>
        <v>Yes</v>
      </c>
    </row>
    <row r="772" spans="1:17" ht="15" customHeight="1" x14ac:dyDescent="0.2">
      <c r="A772" s="7">
        <v>2022</v>
      </c>
      <c r="B772" s="7" t="s">
        <v>200</v>
      </c>
      <c r="C772" s="7">
        <v>24</v>
      </c>
      <c r="D772" s="7" t="s">
        <v>231</v>
      </c>
      <c r="E772" s="7" t="s">
        <v>1411</v>
      </c>
      <c r="F772" s="8">
        <v>159019</v>
      </c>
      <c r="G772" s="8">
        <v>103533</v>
      </c>
      <c r="H772" s="8">
        <v>1854733.31</v>
      </c>
      <c r="I772" s="8">
        <v>40665.769999999997</v>
      </c>
      <c r="J772" s="13">
        <v>0.60566668698010295</v>
      </c>
      <c r="K772" s="13">
        <v>0.97854500910700004</v>
      </c>
      <c r="L772" s="7">
        <v>1</v>
      </c>
      <c r="M772" s="13">
        <v>0.698527158491415</v>
      </c>
      <c r="N772" s="13">
        <v>-9.2860471511311804</v>
      </c>
      <c r="O772" s="7">
        <v>1</v>
      </c>
      <c r="P772" s="7" t="s">
        <v>160</v>
      </c>
      <c r="Q772" s="7" t="str">
        <f t="shared" ref="Q772:Q835" si="12">IF(A772=2024,"No -- held out","Yes")</f>
        <v>Yes</v>
      </c>
    </row>
    <row r="773" spans="1:17" ht="15" customHeight="1" x14ac:dyDescent="0.2">
      <c r="A773" s="7">
        <v>2022</v>
      </c>
      <c r="B773" s="7" t="s">
        <v>200</v>
      </c>
      <c r="C773" s="7">
        <v>25</v>
      </c>
      <c r="D773" s="7" t="s">
        <v>1412</v>
      </c>
      <c r="E773" s="7" t="s">
        <v>1413</v>
      </c>
      <c r="F773" s="8">
        <v>87641</v>
      </c>
      <c r="G773" s="8">
        <v>65101</v>
      </c>
      <c r="H773" s="8">
        <v>3037628.15</v>
      </c>
      <c r="I773" s="8">
        <v>546916.6</v>
      </c>
      <c r="J773" s="13">
        <v>0.57378455172775</v>
      </c>
      <c r="K773" s="13">
        <v>0.84742369306451004</v>
      </c>
      <c r="L773" s="7">
        <v>1</v>
      </c>
      <c r="M773" s="13">
        <v>0.65524248715899902</v>
      </c>
      <c r="N773" s="13">
        <v>-8.1457935431248494</v>
      </c>
      <c r="O773" s="7">
        <v>1</v>
      </c>
      <c r="P773" s="7" t="s">
        <v>160</v>
      </c>
      <c r="Q773" s="7" t="str">
        <f t="shared" si="12"/>
        <v>Yes</v>
      </c>
    </row>
    <row r="774" spans="1:17" ht="15" customHeight="1" x14ac:dyDescent="0.2">
      <c r="A774" s="7">
        <v>2022</v>
      </c>
      <c r="B774" s="7" t="s">
        <v>200</v>
      </c>
      <c r="C774" s="7">
        <v>26</v>
      </c>
      <c r="D774" s="7" t="s">
        <v>235</v>
      </c>
      <c r="E774" s="7" t="s">
        <v>1414</v>
      </c>
      <c r="F774" s="8">
        <v>134575</v>
      </c>
      <c r="G774" s="8">
        <v>112214</v>
      </c>
      <c r="H774" s="8">
        <v>6117504.46</v>
      </c>
      <c r="I774" s="8">
        <v>2667232.38</v>
      </c>
      <c r="J774" s="13">
        <v>0.54530388307420496</v>
      </c>
      <c r="K774" s="13">
        <v>0.696378795565605</v>
      </c>
      <c r="L774" s="7">
        <v>1</v>
      </c>
      <c r="M774" s="13">
        <v>0.60538080988175103</v>
      </c>
      <c r="N774" s="13">
        <v>-6.00769268075463</v>
      </c>
      <c r="O774" s="7">
        <v>1</v>
      </c>
      <c r="P774" s="7" t="s">
        <v>160</v>
      </c>
      <c r="Q774" s="7" t="str">
        <f t="shared" si="12"/>
        <v>Yes</v>
      </c>
    </row>
    <row r="775" spans="1:17" ht="15" customHeight="1" x14ac:dyDescent="0.2">
      <c r="A775" s="7">
        <v>2022</v>
      </c>
      <c r="B775" s="7" t="s">
        <v>200</v>
      </c>
      <c r="C775" s="7">
        <v>27</v>
      </c>
      <c r="D775" s="7" t="s">
        <v>975</v>
      </c>
      <c r="E775" s="7" t="s">
        <v>976</v>
      </c>
      <c r="F775" s="8">
        <v>91892</v>
      </c>
      <c r="G775" s="8">
        <v>104624</v>
      </c>
      <c r="H775" s="8">
        <v>4542793.51</v>
      </c>
      <c r="I775" s="8">
        <v>14317344.52</v>
      </c>
      <c r="J775" s="13">
        <v>0.467605691139653</v>
      </c>
      <c r="K775" s="13">
        <v>0.24086745827490599</v>
      </c>
      <c r="L775" s="7">
        <v>-1</v>
      </c>
      <c r="M775" s="13">
        <v>0.375789439460885</v>
      </c>
      <c r="N775" s="13">
        <v>9.1816251678767298</v>
      </c>
      <c r="O775" s="7">
        <v>1</v>
      </c>
      <c r="P775" s="7" t="s">
        <v>160</v>
      </c>
      <c r="Q775" s="7" t="str">
        <f t="shared" si="12"/>
        <v>Yes</v>
      </c>
    </row>
    <row r="776" spans="1:17" ht="15" customHeight="1" x14ac:dyDescent="0.2">
      <c r="A776" s="7">
        <v>2022</v>
      </c>
      <c r="B776" s="7" t="s">
        <v>200</v>
      </c>
      <c r="C776" s="7">
        <v>28</v>
      </c>
      <c r="D776" s="7" t="s">
        <v>978</v>
      </c>
      <c r="E776" s="7" t="s">
        <v>1415</v>
      </c>
      <c r="F776" s="8">
        <v>150062</v>
      </c>
      <c r="G776" s="8">
        <v>76495</v>
      </c>
      <c r="H776" s="8">
        <v>1028295.35</v>
      </c>
      <c r="I776" s="8">
        <v>107987.18</v>
      </c>
      <c r="J776" s="13">
        <v>0.66235870001809705</v>
      </c>
      <c r="K776" s="13">
        <v>0.90496449857413497</v>
      </c>
      <c r="L776" s="7">
        <v>1</v>
      </c>
      <c r="M776" s="13">
        <v>0.67423737624232305</v>
      </c>
      <c r="N776" s="13">
        <v>-1.1878676224225999</v>
      </c>
      <c r="O776" s="7">
        <v>1</v>
      </c>
      <c r="P776" s="7" t="s">
        <v>160</v>
      </c>
      <c r="Q776" s="7" t="str">
        <f t="shared" si="12"/>
        <v>Yes</v>
      </c>
    </row>
    <row r="777" spans="1:17" ht="15" customHeight="1" x14ac:dyDescent="0.2">
      <c r="A777" s="7">
        <v>2022</v>
      </c>
      <c r="B777" s="7" t="s">
        <v>200</v>
      </c>
      <c r="C777" s="7">
        <v>31</v>
      </c>
      <c r="D777" s="7" t="s">
        <v>981</v>
      </c>
      <c r="E777" s="7" t="s">
        <v>1416</v>
      </c>
      <c r="F777" s="8">
        <v>91472</v>
      </c>
      <c r="G777" s="8">
        <v>62153</v>
      </c>
      <c r="H777" s="8">
        <v>241143.87</v>
      </c>
      <c r="I777" s="8">
        <v>2114.3000000000002</v>
      </c>
      <c r="J777" s="13">
        <v>0.59542392188771398</v>
      </c>
      <c r="K777" s="13">
        <v>0.991308411141957</v>
      </c>
      <c r="L777" s="7">
        <v>1</v>
      </c>
      <c r="M777" s="13">
        <v>0.70274050593819903</v>
      </c>
      <c r="N777" s="13">
        <v>-10.731658405048501</v>
      </c>
      <c r="O777" s="7">
        <v>1</v>
      </c>
      <c r="P777" s="7" t="s">
        <v>160</v>
      </c>
      <c r="Q777" s="7" t="str">
        <f t="shared" si="12"/>
        <v>Yes</v>
      </c>
    </row>
    <row r="778" spans="1:17" ht="15" customHeight="1" x14ac:dyDescent="0.2">
      <c r="A778" s="7">
        <v>2022</v>
      </c>
      <c r="B778" s="7" t="s">
        <v>200</v>
      </c>
      <c r="C778" s="7">
        <v>32</v>
      </c>
      <c r="D778" s="7" t="s">
        <v>1417</v>
      </c>
      <c r="E778" s="7" t="s">
        <v>1418</v>
      </c>
      <c r="F778" s="8">
        <v>167411</v>
      </c>
      <c r="G778" s="8">
        <v>74618</v>
      </c>
      <c r="H778" s="8">
        <v>2308803.9300000002</v>
      </c>
      <c r="I778" s="8">
        <v>51615.73</v>
      </c>
      <c r="J778" s="13">
        <v>0.69169810229352702</v>
      </c>
      <c r="K778" s="13">
        <v>0.97813281643315897</v>
      </c>
      <c r="L778" s="7">
        <v>1</v>
      </c>
      <c r="M778" s="13">
        <v>0.69839108889608603</v>
      </c>
      <c r="N778" s="13">
        <v>-0.66929866025595697</v>
      </c>
      <c r="O778" s="7">
        <v>1</v>
      </c>
      <c r="P778" s="7" t="s">
        <v>160</v>
      </c>
      <c r="Q778" s="7" t="str">
        <f t="shared" si="12"/>
        <v>Yes</v>
      </c>
    </row>
    <row r="779" spans="1:17" ht="15" customHeight="1" x14ac:dyDescent="0.2">
      <c r="A779" s="7">
        <v>2022</v>
      </c>
      <c r="B779" s="7" t="s">
        <v>200</v>
      </c>
      <c r="C779" s="7">
        <v>33</v>
      </c>
      <c r="D779" s="7" t="s">
        <v>241</v>
      </c>
      <c r="E779" s="7" t="s">
        <v>1419</v>
      </c>
      <c r="F779" s="8">
        <v>76588</v>
      </c>
      <c r="G779" s="8">
        <v>56119</v>
      </c>
      <c r="H779" s="8">
        <v>3515805.85</v>
      </c>
      <c r="I779" s="8">
        <v>67.17</v>
      </c>
      <c r="J779" s="13">
        <v>0.57712102601972803</v>
      </c>
      <c r="K779" s="13">
        <v>0.99998089521446898</v>
      </c>
      <c r="L779" s="7">
        <v>1</v>
      </c>
      <c r="M779" s="13">
        <v>0.70560339378926895</v>
      </c>
      <c r="N779" s="13">
        <v>-12.848236776954099</v>
      </c>
      <c r="O779" s="7">
        <v>1</v>
      </c>
      <c r="P779" s="7" t="s">
        <v>160</v>
      </c>
      <c r="Q779" s="7" t="str">
        <f t="shared" si="12"/>
        <v>Yes</v>
      </c>
    </row>
    <row r="780" spans="1:17" ht="15" customHeight="1" x14ac:dyDescent="0.2">
      <c r="A780" s="7">
        <v>2022</v>
      </c>
      <c r="B780" s="7" t="s">
        <v>200</v>
      </c>
      <c r="C780" s="7">
        <v>35</v>
      </c>
      <c r="D780" s="7" t="s">
        <v>245</v>
      </c>
      <c r="E780" s="7" t="s">
        <v>984</v>
      </c>
      <c r="F780" s="8">
        <v>75121</v>
      </c>
      <c r="G780" s="8">
        <v>55832</v>
      </c>
      <c r="H780" s="8">
        <v>645356.25</v>
      </c>
      <c r="I780" s="8">
        <v>65802.87</v>
      </c>
      <c r="J780" s="13">
        <v>0.57364856093407601</v>
      </c>
      <c r="K780" s="13">
        <v>0.90747096092924995</v>
      </c>
      <c r="L780" s="7">
        <v>1</v>
      </c>
      <c r="M780" s="13">
        <v>0.67506478861525099</v>
      </c>
      <c r="N780" s="13">
        <v>-10.1416227681176</v>
      </c>
      <c r="O780" s="7">
        <v>1</v>
      </c>
      <c r="P780" s="7" t="s">
        <v>160</v>
      </c>
      <c r="Q780" s="7" t="str">
        <f t="shared" si="12"/>
        <v>Yes</v>
      </c>
    </row>
    <row r="781" spans="1:17" ht="15" customHeight="1" x14ac:dyDescent="0.2">
      <c r="A781" s="7">
        <v>2022</v>
      </c>
      <c r="B781" s="7" t="s">
        <v>200</v>
      </c>
      <c r="C781" s="7">
        <v>36</v>
      </c>
      <c r="D781" s="7" t="s">
        <v>243</v>
      </c>
      <c r="E781" s="7" t="s">
        <v>990</v>
      </c>
      <c r="F781" s="8">
        <v>194299</v>
      </c>
      <c r="G781" s="8">
        <v>84264</v>
      </c>
      <c r="H781" s="8">
        <v>2661262.23</v>
      </c>
      <c r="I781" s="8">
        <v>3142196.76</v>
      </c>
      <c r="J781" s="13">
        <v>0.69750469373175905</v>
      </c>
      <c r="K781" s="13">
        <v>0.45856483772619899</v>
      </c>
      <c r="L781" s="7">
        <v>1</v>
      </c>
      <c r="M781" s="13">
        <v>0.52687565668450898</v>
      </c>
      <c r="N781" s="13">
        <v>17.062903704725102</v>
      </c>
      <c r="O781" s="7">
        <v>1</v>
      </c>
      <c r="P781" s="7" t="s">
        <v>160</v>
      </c>
      <c r="Q781" s="7" t="str">
        <f t="shared" si="12"/>
        <v>Yes</v>
      </c>
    </row>
    <row r="782" spans="1:17" ht="15" customHeight="1" x14ac:dyDescent="0.2">
      <c r="A782" s="7">
        <v>2022</v>
      </c>
      <c r="B782" s="7" t="s">
        <v>200</v>
      </c>
      <c r="C782" s="7">
        <v>38</v>
      </c>
      <c r="D782" s="7" t="s">
        <v>1420</v>
      </c>
      <c r="E782" s="7" t="s">
        <v>1421</v>
      </c>
      <c r="F782" s="8">
        <v>101260</v>
      </c>
      <c r="G782" s="8">
        <v>73051</v>
      </c>
      <c r="H782" s="8">
        <v>1918162.08</v>
      </c>
      <c r="I782" s="8">
        <v>275725.65999999997</v>
      </c>
      <c r="J782" s="13">
        <v>0.58091571960461497</v>
      </c>
      <c r="K782" s="13">
        <v>0.87432098052564899</v>
      </c>
      <c r="L782" s="7">
        <v>1</v>
      </c>
      <c r="M782" s="13">
        <v>0.66412159455837605</v>
      </c>
      <c r="N782" s="13">
        <v>-8.3205874953760901</v>
      </c>
      <c r="O782" s="7">
        <v>1</v>
      </c>
      <c r="P782" s="7" t="s">
        <v>160</v>
      </c>
      <c r="Q782" s="7" t="str">
        <f t="shared" si="12"/>
        <v>Yes</v>
      </c>
    </row>
    <row r="783" spans="1:17" ht="15" customHeight="1" x14ac:dyDescent="0.2">
      <c r="A783" s="7">
        <v>2022</v>
      </c>
      <c r="B783" s="7" t="s">
        <v>200</v>
      </c>
      <c r="C783" s="7">
        <v>39</v>
      </c>
      <c r="D783" s="7" t="s">
        <v>253</v>
      </c>
      <c r="E783" s="7" t="s">
        <v>254</v>
      </c>
      <c r="F783" s="8">
        <v>75896</v>
      </c>
      <c r="G783" s="8">
        <v>55701</v>
      </c>
      <c r="H783" s="8">
        <v>928316.19</v>
      </c>
      <c r="I783" s="8">
        <v>153521.04</v>
      </c>
      <c r="J783" s="13">
        <v>0.57673047257916199</v>
      </c>
      <c r="K783" s="13">
        <v>0.85809229360686701</v>
      </c>
      <c r="L783" s="7">
        <v>1</v>
      </c>
      <c r="M783" s="13">
        <v>0.65876431627107901</v>
      </c>
      <c r="N783" s="13">
        <v>-8.2033843691917099</v>
      </c>
      <c r="O783" s="7">
        <v>1</v>
      </c>
      <c r="P783" s="7" t="s">
        <v>160</v>
      </c>
      <c r="Q783" s="7" t="str">
        <f t="shared" si="12"/>
        <v>Yes</v>
      </c>
    </row>
    <row r="784" spans="1:17" ht="15" customHeight="1" x14ac:dyDescent="0.2">
      <c r="A784" s="7">
        <v>2022</v>
      </c>
      <c r="B784" s="7" t="s">
        <v>200</v>
      </c>
      <c r="C784" s="7">
        <v>40</v>
      </c>
      <c r="D784" s="7" t="s">
        <v>1422</v>
      </c>
      <c r="E784" s="7" t="s">
        <v>252</v>
      </c>
      <c r="F784" s="8">
        <v>122722</v>
      </c>
      <c r="G784" s="8">
        <v>161589</v>
      </c>
      <c r="H784" s="8">
        <v>3883569</v>
      </c>
      <c r="I784" s="8">
        <v>11409285.68</v>
      </c>
      <c r="J784" s="13">
        <v>0.43164703440950197</v>
      </c>
      <c r="K784" s="13">
        <v>0.25394663594619299</v>
      </c>
      <c r="L784" s="7">
        <v>-1</v>
      </c>
      <c r="M784" s="13">
        <v>0.38010702811761099</v>
      </c>
      <c r="N784" s="13">
        <v>5.15400062918917</v>
      </c>
      <c r="O784" s="7">
        <v>1</v>
      </c>
      <c r="P784" s="7" t="s">
        <v>160</v>
      </c>
      <c r="Q784" s="7" t="str">
        <f t="shared" si="12"/>
        <v>Yes</v>
      </c>
    </row>
    <row r="785" spans="1:17" ht="15" customHeight="1" x14ac:dyDescent="0.2">
      <c r="A785" s="7">
        <v>2022</v>
      </c>
      <c r="B785" s="7" t="s">
        <v>200</v>
      </c>
      <c r="C785" s="7">
        <v>41</v>
      </c>
      <c r="D785" s="7" t="s">
        <v>1423</v>
      </c>
      <c r="E785" s="7" t="s">
        <v>256</v>
      </c>
      <c r="F785" s="8">
        <v>112769</v>
      </c>
      <c r="G785" s="8">
        <v>123869</v>
      </c>
      <c r="H785" s="8">
        <v>4740868.83</v>
      </c>
      <c r="I785" s="8">
        <v>4179470.9</v>
      </c>
      <c r="J785" s="13">
        <v>0.47654645492270897</v>
      </c>
      <c r="K785" s="13">
        <v>0.53146729536050996</v>
      </c>
      <c r="L785" s="7">
        <v>-1</v>
      </c>
      <c r="M785" s="13">
        <v>0.47171982528334</v>
      </c>
      <c r="N785" s="13">
        <v>0.48266296393694202</v>
      </c>
      <c r="O785" s="7">
        <v>1</v>
      </c>
      <c r="P785" s="7" t="s">
        <v>160</v>
      </c>
      <c r="Q785" s="7" t="str">
        <f t="shared" si="12"/>
        <v>Yes</v>
      </c>
    </row>
    <row r="786" spans="1:17" ht="15" customHeight="1" x14ac:dyDescent="0.2">
      <c r="A786" s="7">
        <v>2022</v>
      </c>
      <c r="B786" s="7" t="s">
        <v>200</v>
      </c>
      <c r="C786" s="7">
        <v>42</v>
      </c>
      <c r="D786" s="7" t="s">
        <v>1424</v>
      </c>
      <c r="E786" s="7" t="s">
        <v>262</v>
      </c>
      <c r="F786" s="8">
        <v>99217</v>
      </c>
      <c r="G786" s="8">
        <v>45903</v>
      </c>
      <c r="H786" s="8">
        <v>2679031.84</v>
      </c>
      <c r="I786" s="8">
        <v>298767.96999999997</v>
      </c>
      <c r="J786" s="13">
        <v>0.68368936052921703</v>
      </c>
      <c r="K786" s="13">
        <v>0.89966821510409101</v>
      </c>
      <c r="L786" s="7">
        <v>0</v>
      </c>
      <c r="M786" s="13">
        <v>0.632878121223028</v>
      </c>
      <c r="N786" s="13">
        <v>5.0811239306189604</v>
      </c>
      <c r="O786" s="7">
        <v>1</v>
      </c>
      <c r="P786" s="7" t="s">
        <v>160</v>
      </c>
      <c r="Q786" s="7" t="str">
        <f t="shared" si="12"/>
        <v>Yes</v>
      </c>
    </row>
    <row r="787" spans="1:17" ht="15" customHeight="1" x14ac:dyDescent="0.2">
      <c r="A787" s="7">
        <v>2022</v>
      </c>
      <c r="B787" s="7" t="s">
        <v>200</v>
      </c>
      <c r="C787" s="7">
        <v>43</v>
      </c>
      <c r="D787" s="7" t="s">
        <v>257</v>
      </c>
      <c r="E787" s="7" t="s">
        <v>258</v>
      </c>
      <c r="F787" s="8">
        <v>95462</v>
      </c>
      <c r="G787" s="8">
        <v>27985</v>
      </c>
      <c r="H787" s="8">
        <v>1368627.03</v>
      </c>
      <c r="I787" s="8">
        <v>89751.81</v>
      </c>
      <c r="J787" s="13">
        <v>0.77330352296937099</v>
      </c>
      <c r="K787" s="13">
        <v>0.93845782211157203</v>
      </c>
      <c r="L787" s="7">
        <v>1</v>
      </c>
      <c r="M787" s="13">
        <v>0.68529391186066901</v>
      </c>
      <c r="N787" s="13">
        <v>8.8009611108702401</v>
      </c>
      <c r="O787" s="7">
        <v>1</v>
      </c>
      <c r="P787" s="7" t="s">
        <v>160</v>
      </c>
      <c r="Q787" s="7" t="str">
        <f t="shared" si="12"/>
        <v>Yes</v>
      </c>
    </row>
    <row r="788" spans="1:17" ht="15" customHeight="1" x14ac:dyDescent="0.2">
      <c r="A788" s="7">
        <v>2022</v>
      </c>
      <c r="B788" s="7" t="s">
        <v>200</v>
      </c>
      <c r="C788" s="7">
        <v>44</v>
      </c>
      <c r="D788" s="7" t="s">
        <v>1425</v>
      </c>
      <c r="E788" s="7" t="s">
        <v>1426</v>
      </c>
      <c r="F788" s="8">
        <v>100160</v>
      </c>
      <c r="G788" s="8">
        <v>38554</v>
      </c>
      <c r="H788" s="8">
        <v>860283.73</v>
      </c>
      <c r="I788" s="8">
        <v>673750.66</v>
      </c>
      <c r="J788" s="13">
        <v>0.72206121948757895</v>
      </c>
      <c r="K788" s="13">
        <v>0.560798203487472</v>
      </c>
      <c r="L788" s="7">
        <v>1</v>
      </c>
      <c r="M788" s="13">
        <v>0.56062407966974903</v>
      </c>
      <c r="N788" s="13">
        <v>16.143713981782899</v>
      </c>
      <c r="O788" s="7">
        <v>1</v>
      </c>
      <c r="P788" s="7" t="s">
        <v>160</v>
      </c>
      <c r="Q788" s="7" t="str">
        <f t="shared" si="12"/>
        <v>Yes</v>
      </c>
    </row>
    <row r="789" spans="1:17" ht="15" customHeight="1" x14ac:dyDescent="0.2">
      <c r="A789" s="7">
        <v>2022</v>
      </c>
      <c r="B789" s="7" t="s">
        <v>200</v>
      </c>
      <c r="C789" s="7">
        <v>45</v>
      </c>
      <c r="D789" s="7" t="s">
        <v>1427</v>
      </c>
      <c r="E789" s="7" t="s">
        <v>994</v>
      </c>
      <c r="F789" s="8">
        <v>103466</v>
      </c>
      <c r="G789" s="8">
        <v>113960</v>
      </c>
      <c r="H789" s="8">
        <v>5568477.6399999997</v>
      </c>
      <c r="I789" s="8">
        <v>12315517.689999999</v>
      </c>
      <c r="J789" s="13">
        <v>0.47586765152281701</v>
      </c>
      <c r="K789" s="13">
        <v>0.31136653400143799</v>
      </c>
      <c r="L789" s="7">
        <v>-1</v>
      </c>
      <c r="M789" s="13">
        <v>0.39906200424412203</v>
      </c>
      <c r="N789" s="13">
        <v>7.6805647278695401</v>
      </c>
      <c r="O789" s="7">
        <v>1</v>
      </c>
      <c r="P789" s="7" t="s">
        <v>160</v>
      </c>
      <c r="Q789" s="7" t="str">
        <f t="shared" si="12"/>
        <v>Yes</v>
      </c>
    </row>
    <row r="790" spans="1:17" ht="15" customHeight="1" x14ac:dyDescent="0.2">
      <c r="A790" s="7">
        <v>2022</v>
      </c>
      <c r="B790" s="7" t="s">
        <v>200</v>
      </c>
      <c r="C790" s="7">
        <v>46</v>
      </c>
      <c r="D790" s="7" t="s">
        <v>992</v>
      </c>
      <c r="E790" s="7" t="s">
        <v>1428</v>
      </c>
      <c r="F790" s="8">
        <v>78041</v>
      </c>
      <c r="G790" s="8">
        <v>48257</v>
      </c>
      <c r="H790" s="8">
        <v>918777.3</v>
      </c>
      <c r="I790" s="8">
        <v>49194.3</v>
      </c>
      <c r="J790" s="13">
        <v>0.61791160588449601</v>
      </c>
      <c r="K790" s="13">
        <v>0.949177951088648</v>
      </c>
      <c r="L790" s="7">
        <v>1</v>
      </c>
      <c r="M790" s="13">
        <v>0.68883275110831299</v>
      </c>
      <c r="N790" s="13">
        <v>-7.0921145223817197</v>
      </c>
      <c r="O790" s="7">
        <v>1</v>
      </c>
      <c r="P790" s="7" t="s">
        <v>160</v>
      </c>
      <c r="Q790" s="7" t="str">
        <f t="shared" si="12"/>
        <v>Yes</v>
      </c>
    </row>
    <row r="791" spans="1:17" ht="15" customHeight="1" x14ac:dyDescent="0.2">
      <c r="A791" s="7">
        <v>2022</v>
      </c>
      <c r="B791" s="7" t="s">
        <v>200</v>
      </c>
      <c r="C791" s="7">
        <v>47</v>
      </c>
      <c r="D791" s="7" t="s">
        <v>259</v>
      </c>
      <c r="E791" s="7" t="s">
        <v>1429</v>
      </c>
      <c r="F791" s="8">
        <v>137374</v>
      </c>
      <c r="G791" s="8">
        <v>128261</v>
      </c>
      <c r="H791" s="8">
        <v>29554313.719999999</v>
      </c>
      <c r="I791" s="8">
        <v>12269451.26</v>
      </c>
      <c r="J791" s="13">
        <v>0.517153236584034</v>
      </c>
      <c r="K791" s="13">
        <v>0.70663924527437405</v>
      </c>
      <c r="L791" s="7">
        <v>1</v>
      </c>
      <c r="M791" s="13">
        <v>0.60876790365697697</v>
      </c>
      <c r="N791" s="13">
        <v>-9.1614667072942098</v>
      </c>
      <c r="O791" s="7">
        <v>1</v>
      </c>
      <c r="P791" s="7" t="s">
        <v>160</v>
      </c>
      <c r="Q791" s="7" t="str">
        <f t="shared" si="12"/>
        <v>Yes</v>
      </c>
    </row>
    <row r="792" spans="1:17" ht="15" customHeight="1" x14ac:dyDescent="0.2">
      <c r="A792" s="7">
        <v>2022</v>
      </c>
      <c r="B792" s="7" t="s">
        <v>200</v>
      </c>
      <c r="C792" s="7">
        <v>48</v>
      </c>
      <c r="D792" s="7" t="s">
        <v>1430</v>
      </c>
      <c r="E792" s="7" t="s">
        <v>996</v>
      </c>
      <c r="F792" s="8">
        <v>101900</v>
      </c>
      <c r="G792" s="8">
        <v>155171</v>
      </c>
      <c r="H792" s="8">
        <v>61614.239999999998</v>
      </c>
      <c r="I792" s="8">
        <v>2227605.58</v>
      </c>
      <c r="J792" s="13">
        <v>0.39638854635489801</v>
      </c>
      <c r="K792" s="13">
        <v>2.6914951312976099E-2</v>
      </c>
      <c r="L792" s="7">
        <v>-1</v>
      </c>
      <c r="M792" s="13">
        <v>0.30516122870076301</v>
      </c>
      <c r="N792" s="13">
        <v>9.1227317654135192</v>
      </c>
      <c r="O792" s="7">
        <v>1</v>
      </c>
      <c r="P792" s="7" t="s">
        <v>160</v>
      </c>
      <c r="Q792" s="7" t="str">
        <f t="shared" si="12"/>
        <v>Yes</v>
      </c>
    </row>
    <row r="793" spans="1:17" ht="15" customHeight="1" x14ac:dyDescent="0.2">
      <c r="A793" s="7">
        <v>2022</v>
      </c>
      <c r="B793" s="7" t="s">
        <v>200</v>
      </c>
      <c r="C793" s="7">
        <v>49</v>
      </c>
      <c r="D793" s="7" t="s">
        <v>265</v>
      </c>
      <c r="E793" s="7" t="s">
        <v>995</v>
      </c>
      <c r="F793" s="8">
        <v>153541</v>
      </c>
      <c r="G793" s="8">
        <v>138194</v>
      </c>
      <c r="H793" s="8">
        <v>15696871.84</v>
      </c>
      <c r="I793" s="8">
        <v>11766929.77</v>
      </c>
      <c r="J793" s="13">
        <v>0.52630298044458201</v>
      </c>
      <c r="K793" s="13">
        <v>0.57154767074506296</v>
      </c>
      <c r="L793" s="7">
        <v>1</v>
      </c>
      <c r="M793" s="13">
        <v>0.56417260382498802</v>
      </c>
      <c r="N793" s="13">
        <v>-3.7869623380405901</v>
      </c>
      <c r="O793" s="7">
        <v>1</v>
      </c>
      <c r="P793" s="7" t="s">
        <v>160</v>
      </c>
      <c r="Q793" s="7" t="str">
        <f t="shared" si="12"/>
        <v>Yes</v>
      </c>
    </row>
    <row r="794" spans="1:17" ht="15" customHeight="1" x14ac:dyDescent="0.2">
      <c r="A794" s="7">
        <v>2022</v>
      </c>
      <c r="B794" s="7" t="s">
        <v>200</v>
      </c>
      <c r="C794" s="7">
        <v>50</v>
      </c>
      <c r="D794" s="7" t="s">
        <v>271</v>
      </c>
      <c r="E794" s="7" t="s">
        <v>1431</v>
      </c>
      <c r="F794" s="8">
        <v>168816</v>
      </c>
      <c r="G794" s="8">
        <v>99819</v>
      </c>
      <c r="H794" s="8">
        <v>2306972.46</v>
      </c>
      <c r="I794" s="8">
        <v>94112.24</v>
      </c>
      <c r="J794" s="13">
        <v>0.62842146406834598</v>
      </c>
      <c r="K794" s="13">
        <v>0.96080428149827501</v>
      </c>
      <c r="L794" s="7">
        <v>1</v>
      </c>
      <c r="M794" s="13">
        <v>0.69267073798772805</v>
      </c>
      <c r="N794" s="13">
        <v>-6.4249273919382599</v>
      </c>
      <c r="O794" s="7">
        <v>1</v>
      </c>
      <c r="P794" s="7" t="s">
        <v>160</v>
      </c>
      <c r="Q794" s="7" t="str">
        <f t="shared" si="12"/>
        <v>Yes</v>
      </c>
    </row>
    <row r="795" spans="1:17" ht="15" customHeight="1" x14ac:dyDescent="0.2">
      <c r="A795" s="7">
        <v>2022</v>
      </c>
      <c r="B795" s="7" t="s">
        <v>200</v>
      </c>
      <c r="C795" s="7">
        <v>51</v>
      </c>
      <c r="D795" s="7" t="s">
        <v>1432</v>
      </c>
      <c r="E795" s="7" t="s">
        <v>1433</v>
      </c>
      <c r="F795" s="8">
        <v>144186</v>
      </c>
      <c r="G795" s="8">
        <v>88886</v>
      </c>
      <c r="H795" s="8">
        <v>1725459.93</v>
      </c>
      <c r="I795" s="8">
        <v>135385.49</v>
      </c>
      <c r="J795" s="13">
        <v>0.618632868813071</v>
      </c>
      <c r="K795" s="13">
        <v>0.92724517117601302</v>
      </c>
      <c r="L795" s="7">
        <v>1</v>
      </c>
      <c r="M795" s="13">
        <v>0.68159248538662798</v>
      </c>
      <c r="N795" s="13">
        <v>-6.2959616573557504</v>
      </c>
      <c r="O795" s="7">
        <v>1</v>
      </c>
      <c r="P795" s="7" t="s">
        <v>160</v>
      </c>
      <c r="Q795" s="7" t="str">
        <f t="shared" si="12"/>
        <v>Yes</v>
      </c>
    </row>
    <row r="796" spans="1:17" ht="15" customHeight="1" x14ac:dyDescent="0.2">
      <c r="A796" s="7">
        <v>2022</v>
      </c>
      <c r="B796" s="7" t="s">
        <v>200</v>
      </c>
      <c r="C796" s="7">
        <v>52</v>
      </c>
      <c r="D796" s="7" t="s">
        <v>269</v>
      </c>
      <c r="E796" s="7" t="s">
        <v>1434</v>
      </c>
      <c r="F796" s="8">
        <v>100686</v>
      </c>
      <c r="G796" s="8">
        <v>50330</v>
      </c>
      <c r="H796" s="8">
        <v>793945.8</v>
      </c>
      <c r="I796" s="8">
        <v>29229.21</v>
      </c>
      <c r="J796" s="13">
        <v>0.66672405572919402</v>
      </c>
      <c r="K796" s="13">
        <v>0.96449210721302203</v>
      </c>
      <c r="L796" s="7">
        <v>1</v>
      </c>
      <c r="M796" s="13">
        <v>0.69388813214461997</v>
      </c>
      <c r="N796" s="13">
        <v>-2.71640764154255</v>
      </c>
      <c r="O796" s="7">
        <v>1</v>
      </c>
      <c r="P796" s="7" t="s">
        <v>160</v>
      </c>
      <c r="Q796" s="7" t="str">
        <f t="shared" si="12"/>
        <v>Yes</v>
      </c>
    </row>
    <row r="797" spans="1:17" ht="15" customHeight="1" x14ac:dyDescent="0.2">
      <c r="A797" s="7">
        <v>2022</v>
      </c>
      <c r="B797" s="7" t="s">
        <v>275</v>
      </c>
      <c r="C797" s="7">
        <v>1</v>
      </c>
      <c r="D797" s="7" t="s">
        <v>276</v>
      </c>
      <c r="E797" s="7" t="s">
        <v>1435</v>
      </c>
      <c r="F797" s="8">
        <v>226929</v>
      </c>
      <c r="G797" s="8">
        <v>49530</v>
      </c>
      <c r="H797" s="8">
        <v>1079651.54</v>
      </c>
      <c r="I797" s="8">
        <v>0</v>
      </c>
      <c r="J797" s="13">
        <v>0.82084142675767502</v>
      </c>
      <c r="K797" s="13">
        <v>1</v>
      </c>
      <c r="L797" s="7">
        <v>1</v>
      </c>
      <c r="M797" s="13">
        <v>0.70560970050115601</v>
      </c>
      <c r="N797" s="13">
        <v>11.523172625651901</v>
      </c>
      <c r="O797" s="7">
        <v>1</v>
      </c>
      <c r="P797" s="7" t="s">
        <v>160</v>
      </c>
      <c r="Q797" s="7" t="str">
        <f t="shared" si="12"/>
        <v>Yes</v>
      </c>
    </row>
    <row r="798" spans="1:17" ht="15" customHeight="1" x14ac:dyDescent="0.2">
      <c r="A798" s="7">
        <v>2022</v>
      </c>
      <c r="B798" s="7" t="s">
        <v>275</v>
      </c>
      <c r="C798" s="7">
        <v>2</v>
      </c>
      <c r="D798" s="7" t="s">
        <v>278</v>
      </c>
      <c r="E798" s="7" t="s">
        <v>1436</v>
      </c>
      <c r="F798" s="8">
        <v>244107</v>
      </c>
      <c r="G798" s="8">
        <v>97700</v>
      </c>
      <c r="H798" s="8">
        <v>1384075.8</v>
      </c>
      <c r="I798" s="8">
        <v>34886.379999999997</v>
      </c>
      <c r="J798" s="13">
        <v>0.71416618150008604</v>
      </c>
      <c r="K798" s="13">
        <v>0.97541415797283604</v>
      </c>
      <c r="L798" s="7">
        <v>1</v>
      </c>
      <c r="M798" s="13">
        <v>0.69749362812104299</v>
      </c>
      <c r="N798" s="13">
        <v>1.66725533790431</v>
      </c>
      <c r="O798" s="7">
        <v>1</v>
      </c>
      <c r="P798" s="7" t="s">
        <v>160</v>
      </c>
      <c r="Q798" s="7" t="str">
        <f t="shared" si="12"/>
        <v>Yes</v>
      </c>
    </row>
    <row r="799" spans="1:17" ht="15" customHeight="1" x14ac:dyDescent="0.2">
      <c r="A799" s="7">
        <v>2022</v>
      </c>
      <c r="B799" s="7" t="s">
        <v>275</v>
      </c>
      <c r="C799" s="7">
        <v>3</v>
      </c>
      <c r="D799" s="7" t="s">
        <v>1437</v>
      </c>
      <c r="E799" s="7" t="s">
        <v>1002</v>
      </c>
      <c r="F799" s="8">
        <v>163293</v>
      </c>
      <c r="G799" s="8">
        <v>163839</v>
      </c>
      <c r="H799" s="8">
        <v>7034498.6399999997</v>
      </c>
      <c r="I799" s="8">
        <v>7997551.9100000001</v>
      </c>
      <c r="J799" s="13">
        <v>0.49916547448736298</v>
      </c>
      <c r="K799" s="13">
        <v>0.46796667005620202</v>
      </c>
      <c r="L799" s="7">
        <v>-1</v>
      </c>
      <c r="M799" s="13">
        <v>0.45075753037463701</v>
      </c>
      <c r="N799" s="13">
        <v>4.8407944112725998</v>
      </c>
      <c r="O799" s="7">
        <v>1</v>
      </c>
      <c r="P799" s="7" t="s">
        <v>160</v>
      </c>
      <c r="Q799" s="7" t="str">
        <f t="shared" si="12"/>
        <v>Yes</v>
      </c>
    </row>
    <row r="800" spans="1:17" ht="15" customHeight="1" x14ac:dyDescent="0.2">
      <c r="A800" s="7">
        <v>2022</v>
      </c>
      <c r="B800" s="7" t="s">
        <v>275</v>
      </c>
      <c r="C800" s="7">
        <v>4</v>
      </c>
      <c r="D800" s="7" t="s">
        <v>1003</v>
      </c>
      <c r="E800" s="7" t="s">
        <v>283</v>
      </c>
      <c r="F800" s="8">
        <v>129619</v>
      </c>
      <c r="G800" s="8">
        <v>216024</v>
      </c>
      <c r="H800" s="8">
        <v>283634.48</v>
      </c>
      <c r="I800" s="8">
        <v>1390773.84</v>
      </c>
      <c r="J800" s="13">
        <v>0.375008317830825</v>
      </c>
      <c r="K800" s="13">
        <v>0.16939385489914399</v>
      </c>
      <c r="L800" s="7">
        <v>-1</v>
      </c>
      <c r="M800" s="13">
        <v>0.352195171767135</v>
      </c>
      <c r="N800" s="13">
        <v>2.2813146063690199</v>
      </c>
      <c r="O800" s="7">
        <v>1</v>
      </c>
      <c r="P800" s="7" t="s">
        <v>160</v>
      </c>
      <c r="Q800" s="7" t="str">
        <f t="shared" si="12"/>
        <v>Yes</v>
      </c>
    </row>
    <row r="801" spans="1:17" ht="15" customHeight="1" x14ac:dyDescent="0.2">
      <c r="A801" s="7">
        <v>2022</v>
      </c>
      <c r="B801" s="7" t="s">
        <v>275</v>
      </c>
      <c r="C801" s="7">
        <v>5</v>
      </c>
      <c r="D801" s="7" t="s">
        <v>719</v>
      </c>
      <c r="E801" s="7" t="s">
        <v>285</v>
      </c>
      <c r="F801" s="8">
        <v>111978</v>
      </c>
      <c r="G801" s="8">
        <v>155528</v>
      </c>
      <c r="H801" s="8">
        <v>23826.83</v>
      </c>
      <c r="I801" s="8">
        <v>729903.02</v>
      </c>
      <c r="J801" s="13">
        <v>0.41859995663648703</v>
      </c>
      <c r="K801" s="13">
        <v>3.1611896490499898E-2</v>
      </c>
      <c r="L801" s="7">
        <v>-1</v>
      </c>
      <c r="M801" s="13">
        <v>0.30671174492811398</v>
      </c>
      <c r="N801" s="13">
        <v>11.188821170837301</v>
      </c>
      <c r="O801" s="7">
        <v>1</v>
      </c>
      <c r="P801" s="7" t="s">
        <v>160</v>
      </c>
      <c r="Q801" s="7" t="str">
        <f t="shared" si="12"/>
        <v>Yes</v>
      </c>
    </row>
    <row r="802" spans="1:17" ht="15" customHeight="1" x14ac:dyDescent="0.2">
      <c r="A802" s="7">
        <v>2022</v>
      </c>
      <c r="B802" s="7" t="s">
        <v>275</v>
      </c>
      <c r="C802" s="7">
        <v>6</v>
      </c>
      <c r="D802" s="7" t="s">
        <v>286</v>
      </c>
      <c r="E802" s="7" t="s">
        <v>1438</v>
      </c>
      <c r="F802" s="8">
        <v>170140</v>
      </c>
      <c r="G802" s="8">
        <v>105084</v>
      </c>
      <c r="H802" s="8">
        <v>2450884.2200000002</v>
      </c>
      <c r="I802" s="8">
        <v>258207.39</v>
      </c>
      <c r="J802" s="13">
        <v>0.61818736738075197</v>
      </c>
      <c r="K802" s="13">
        <v>0.90468857197486896</v>
      </c>
      <c r="L802" s="7">
        <v>1</v>
      </c>
      <c r="M802" s="13">
        <v>0.67414628966295098</v>
      </c>
      <c r="N802" s="13">
        <v>-5.5958922282199</v>
      </c>
      <c r="O802" s="7">
        <v>1</v>
      </c>
      <c r="P802" s="7" t="s">
        <v>160</v>
      </c>
      <c r="Q802" s="7" t="str">
        <f t="shared" si="12"/>
        <v>Yes</v>
      </c>
    </row>
    <row r="803" spans="1:17" ht="15" customHeight="1" x14ac:dyDescent="0.2">
      <c r="A803" s="7">
        <v>2022</v>
      </c>
      <c r="B803" s="7" t="s">
        <v>275</v>
      </c>
      <c r="C803" s="7">
        <v>7</v>
      </c>
      <c r="D803" s="7" t="s">
        <v>1439</v>
      </c>
      <c r="E803" s="7" t="s">
        <v>1440</v>
      </c>
      <c r="F803" s="8">
        <v>204984</v>
      </c>
      <c r="G803" s="8">
        <v>150510</v>
      </c>
      <c r="H803" s="8">
        <v>3966642.79</v>
      </c>
      <c r="I803" s="8">
        <v>1766131.08</v>
      </c>
      <c r="J803" s="13">
        <v>0.57661732687471501</v>
      </c>
      <c r="K803" s="13">
        <v>0.69192381907085398</v>
      </c>
      <c r="L803" s="7">
        <v>0</v>
      </c>
      <c r="M803" s="13">
        <v>0.56429928007918195</v>
      </c>
      <c r="N803" s="13">
        <v>1.2318046795533399</v>
      </c>
      <c r="O803" s="7">
        <v>1</v>
      </c>
      <c r="P803" s="7" t="s">
        <v>160</v>
      </c>
      <c r="Q803" s="7" t="str">
        <f t="shared" si="12"/>
        <v>Yes</v>
      </c>
    </row>
    <row r="804" spans="1:17" ht="15" customHeight="1" x14ac:dyDescent="0.2">
      <c r="A804" s="7">
        <v>2022</v>
      </c>
      <c r="B804" s="7" t="s">
        <v>275</v>
      </c>
      <c r="C804" s="7">
        <v>8</v>
      </c>
      <c r="D804" s="7" t="s">
        <v>1441</v>
      </c>
      <c r="E804" s="7" t="s">
        <v>1442</v>
      </c>
      <c r="F804" s="8">
        <v>114377</v>
      </c>
      <c r="G804" s="8">
        <v>112745</v>
      </c>
      <c r="H804" s="8">
        <v>8538820.7300000004</v>
      </c>
      <c r="I804" s="8">
        <v>12835077.9</v>
      </c>
      <c r="J804" s="13">
        <v>0.50359278273350905</v>
      </c>
      <c r="K804" s="13">
        <v>0.39949757776127298</v>
      </c>
      <c r="L804" s="7">
        <v>0</v>
      </c>
      <c r="M804" s="13">
        <v>0.46776597698178701</v>
      </c>
      <c r="N804" s="13">
        <v>3.5826805751722</v>
      </c>
      <c r="O804" s="7">
        <v>0</v>
      </c>
      <c r="P804" s="7" t="s">
        <v>160</v>
      </c>
      <c r="Q804" s="7" t="str">
        <f t="shared" si="12"/>
        <v>Yes</v>
      </c>
    </row>
    <row r="805" spans="1:17" ht="15" customHeight="1" x14ac:dyDescent="0.2">
      <c r="A805" s="7">
        <v>2022</v>
      </c>
      <c r="B805" s="7" t="s">
        <v>290</v>
      </c>
      <c r="C805" s="7">
        <v>1</v>
      </c>
      <c r="D805" s="7" t="s">
        <v>1443</v>
      </c>
      <c r="E805" s="7" t="s">
        <v>1444</v>
      </c>
      <c r="F805" s="8">
        <v>149556</v>
      </c>
      <c r="G805" s="8">
        <v>91506</v>
      </c>
      <c r="H805" s="8">
        <v>1893790.7</v>
      </c>
      <c r="I805" s="8">
        <v>190652.21</v>
      </c>
      <c r="J805" s="13">
        <v>0.620404709161958</v>
      </c>
      <c r="K805" s="13">
        <v>0.90853565281862303</v>
      </c>
      <c r="L805" s="7">
        <v>1</v>
      </c>
      <c r="M805" s="13">
        <v>0.67541625579002296</v>
      </c>
      <c r="N805" s="13">
        <v>-5.50115466280646</v>
      </c>
      <c r="O805" s="7">
        <v>1</v>
      </c>
      <c r="P805" s="7" t="s">
        <v>160</v>
      </c>
      <c r="Q805" s="7" t="str">
        <f t="shared" si="12"/>
        <v>Yes</v>
      </c>
    </row>
    <row r="806" spans="1:17" ht="15" customHeight="1" x14ac:dyDescent="0.2">
      <c r="A806" s="7">
        <v>2022</v>
      </c>
      <c r="B806" s="7" t="s">
        <v>290</v>
      </c>
      <c r="C806" s="7">
        <v>2</v>
      </c>
      <c r="D806" s="7" t="s">
        <v>1445</v>
      </c>
      <c r="E806" s="7" t="s">
        <v>1446</v>
      </c>
      <c r="F806" s="8">
        <v>165946</v>
      </c>
      <c r="G806" s="8">
        <v>114506</v>
      </c>
      <c r="H806" s="8">
        <v>2539280.5299999998</v>
      </c>
      <c r="I806" s="8">
        <v>1106519.1100000001</v>
      </c>
      <c r="J806" s="13">
        <v>0.59170909817009698</v>
      </c>
      <c r="K806" s="13">
        <v>0.69649481066929897</v>
      </c>
      <c r="L806" s="7">
        <v>1</v>
      </c>
      <c r="M806" s="13">
        <v>0.60541910781670605</v>
      </c>
      <c r="N806" s="13">
        <v>-1.37100096466095</v>
      </c>
      <c r="O806" s="7">
        <v>1</v>
      </c>
      <c r="P806" s="7" t="s">
        <v>160</v>
      </c>
      <c r="Q806" s="7" t="str">
        <f t="shared" si="12"/>
        <v>Yes</v>
      </c>
    </row>
    <row r="807" spans="1:17" ht="15" customHeight="1" x14ac:dyDescent="0.2">
      <c r="A807" s="7">
        <v>2022</v>
      </c>
      <c r="B807" s="7" t="s">
        <v>290</v>
      </c>
      <c r="C807" s="7">
        <v>3</v>
      </c>
      <c r="D807" s="7" t="s">
        <v>1007</v>
      </c>
      <c r="E807" s="7" t="s">
        <v>1447</v>
      </c>
      <c r="F807" s="8">
        <v>137924</v>
      </c>
      <c r="G807" s="8">
        <v>98704</v>
      </c>
      <c r="H807" s="8">
        <v>2228841.14</v>
      </c>
      <c r="I807" s="8">
        <v>46977.86</v>
      </c>
      <c r="J807" s="13">
        <v>0.582872694693781</v>
      </c>
      <c r="K807" s="13">
        <v>0.97935782239272995</v>
      </c>
      <c r="L807" s="7">
        <v>1</v>
      </c>
      <c r="M807" s="13">
        <v>0.69879547760984095</v>
      </c>
      <c r="N807" s="13">
        <v>-11.592278291606</v>
      </c>
      <c r="O807" s="7">
        <v>1</v>
      </c>
      <c r="P807" s="7" t="s">
        <v>160</v>
      </c>
      <c r="Q807" s="7" t="str">
        <f t="shared" si="12"/>
        <v>Yes</v>
      </c>
    </row>
    <row r="808" spans="1:17" ht="15" customHeight="1" x14ac:dyDescent="0.2">
      <c r="A808" s="7">
        <v>2022</v>
      </c>
      <c r="B808" s="7" t="s">
        <v>290</v>
      </c>
      <c r="C808" s="7">
        <v>5</v>
      </c>
      <c r="D808" s="7" t="s">
        <v>293</v>
      </c>
      <c r="E808" s="7" t="s">
        <v>1448</v>
      </c>
      <c r="F808" s="8">
        <v>127838</v>
      </c>
      <c r="G808" s="8">
        <v>125834</v>
      </c>
      <c r="H808" s="8">
        <v>10027743.6</v>
      </c>
      <c r="I808" s="8">
        <v>5891156.4800000004</v>
      </c>
      <c r="J808" s="13">
        <v>0.50394998265476698</v>
      </c>
      <c r="K808" s="13">
        <v>0.62992691389517197</v>
      </c>
      <c r="L808" s="7">
        <v>1</v>
      </c>
      <c r="M808" s="13">
        <v>0.583444270924247</v>
      </c>
      <c r="N808" s="13">
        <v>-7.9494288269480204</v>
      </c>
      <c r="O808" s="7">
        <v>1</v>
      </c>
      <c r="P808" s="7" t="s">
        <v>160</v>
      </c>
      <c r="Q808" s="7" t="str">
        <f t="shared" si="12"/>
        <v>Yes</v>
      </c>
    </row>
    <row r="809" spans="1:17" ht="15" customHeight="1" x14ac:dyDescent="0.2">
      <c r="A809" s="7">
        <v>2022</v>
      </c>
      <c r="B809" s="7" t="s">
        <v>295</v>
      </c>
      <c r="C809" s="7">
        <v>0</v>
      </c>
      <c r="D809" s="7" t="s">
        <v>1449</v>
      </c>
      <c r="E809" s="7" t="s">
        <v>297</v>
      </c>
      <c r="F809" s="8">
        <v>174238</v>
      </c>
      <c r="G809" s="8">
        <v>11701</v>
      </c>
      <c r="H809" s="8">
        <v>346681.43</v>
      </c>
      <c r="I809" s="8">
        <v>0</v>
      </c>
      <c r="J809" s="13">
        <v>0.93707075976529897</v>
      </c>
      <c r="K809" s="13">
        <v>1</v>
      </c>
      <c r="L809" s="7">
        <v>1</v>
      </c>
      <c r="M809" s="13">
        <v>0.70560970050115601</v>
      </c>
      <c r="N809" s="13">
        <v>23.1461059264144</v>
      </c>
      <c r="O809" s="7">
        <v>1</v>
      </c>
      <c r="P809" s="7" t="s">
        <v>160</v>
      </c>
      <c r="Q809" s="7" t="str">
        <f t="shared" si="12"/>
        <v>Yes</v>
      </c>
    </row>
    <row r="810" spans="1:17" ht="15" customHeight="1" x14ac:dyDescent="0.2">
      <c r="A810" s="7">
        <v>2022</v>
      </c>
      <c r="B810" s="7" t="s">
        <v>1010</v>
      </c>
      <c r="C810" s="7">
        <v>0</v>
      </c>
      <c r="D810" s="7" t="s">
        <v>1011</v>
      </c>
      <c r="E810" s="7" t="s">
        <v>1012</v>
      </c>
      <c r="F810" s="8">
        <v>178416</v>
      </c>
      <c r="G810" s="8">
        <v>138201</v>
      </c>
      <c r="H810" s="8">
        <v>3280523.58</v>
      </c>
      <c r="I810" s="8">
        <v>568021.98</v>
      </c>
      <c r="J810" s="13">
        <v>0.56350732904423995</v>
      </c>
      <c r="K810" s="13">
        <v>0.85240606583854495</v>
      </c>
      <c r="L810" s="7">
        <v>1</v>
      </c>
      <c r="M810" s="13">
        <v>0.65688722635540697</v>
      </c>
      <c r="N810" s="13">
        <v>-9.3379897311166999</v>
      </c>
      <c r="O810" s="7">
        <v>1</v>
      </c>
      <c r="P810" s="7" t="s">
        <v>160</v>
      </c>
      <c r="Q810" s="7" t="str">
        <f t="shared" si="12"/>
        <v>Yes</v>
      </c>
    </row>
    <row r="811" spans="1:17" ht="15" customHeight="1" x14ac:dyDescent="0.2">
      <c r="A811" s="7">
        <v>2022</v>
      </c>
      <c r="B811" s="7" t="s">
        <v>298</v>
      </c>
      <c r="C811" s="7">
        <v>1</v>
      </c>
      <c r="D811" s="7" t="s">
        <v>1450</v>
      </c>
      <c r="E811" s="7" t="s">
        <v>300</v>
      </c>
      <c r="F811" s="8">
        <v>93467</v>
      </c>
      <c r="G811" s="8">
        <v>197349</v>
      </c>
      <c r="H811" s="8">
        <v>1012422.97</v>
      </c>
      <c r="I811" s="8">
        <v>7808157.54</v>
      </c>
      <c r="J811" s="13">
        <v>0.321395659110916</v>
      </c>
      <c r="K811" s="13">
        <v>0.114779630303494</v>
      </c>
      <c r="L811" s="7">
        <v>-1</v>
      </c>
      <c r="M811" s="13">
        <v>0.33416638107888902</v>
      </c>
      <c r="N811" s="13">
        <v>-1.2770721967973</v>
      </c>
      <c r="O811" s="7">
        <v>1</v>
      </c>
      <c r="P811" s="7" t="s">
        <v>160</v>
      </c>
      <c r="Q811" s="7" t="str">
        <f t="shared" si="12"/>
        <v>Yes</v>
      </c>
    </row>
    <row r="812" spans="1:17" ht="15" customHeight="1" x14ac:dyDescent="0.2">
      <c r="A812" s="7">
        <v>2022</v>
      </c>
      <c r="B812" s="7" t="s">
        <v>298</v>
      </c>
      <c r="C812" s="7">
        <v>2</v>
      </c>
      <c r="D812" s="7" t="s">
        <v>307</v>
      </c>
      <c r="E812" s="7" t="s">
        <v>302</v>
      </c>
      <c r="F812" s="8">
        <v>121153</v>
      </c>
      <c r="G812" s="8">
        <v>180236</v>
      </c>
      <c r="H812" s="8">
        <v>946859.33</v>
      </c>
      <c r="I812" s="8">
        <v>2014151.76</v>
      </c>
      <c r="J812" s="13">
        <v>0.40198215595127901</v>
      </c>
      <c r="K812" s="13">
        <v>0.31977567838153598</v>
      </c>
      <c r="L812" s="7">
        <v>0</v>
      </c>
      <c r="M812" s="13">
        <v>0.44144885085158803</v>
      </c>
      <c r="N812" s="13">
        <v>-3.9466694900308901</v>
      </c>
      <c r="O812" s="7">
        <v>1</v>
      </c>
      <c r="P812" s="7" t="s">
        <v>160</v>
      </c>
      <c r="Q812" s="7" t="str">
        <f t="shared" si="12"/>
        <v>Yes</v>
      </c>
    </row>
    <row r="813" spans="1:17" ht="15" customHeight="1" x14ac:dyDescent="0.2">
      <c r="A813" s="7">
        <v>2022</v>
      </c>
      <c r="B813" s="7" t="s">
        <v>298</v>
      </c>
      <c r="C813" s="7">
        <v>3</v>
      </c>
      <c r="D813" s="7" t="s">
        <v>1451</v>
      </c>
      <c r="E813" s="7" t="s">
        <v>1015</v>
      </c>
      <c r="F813" s="8">
        <v>103382</v>
      </c>
      <c r="G813" s="8">
        <v>178101</v>
      </c>
      <c r="H813" s="8">
        <v>71460.899999999994</v>
      </c>
      <c r="I813" s="8">
        <v>2934507.58</v>
      </c>
      <c r="J813" s="13">
        <v>0.36727617653641598</v>
      </c>
      <c r="K813" s="13">
        <v>2.3773003767491301E-2</v>
      </c>
      <c r="L813" s="7">
        <v>-1</v>
      </c>
      <c r="M813" s="13">
        <v>0.30412403527596599</v>
      </c>
      <c r="N813" s="13">
        <v>6.3152141260450296</v>
      </c>
      <c r="O813" s="7">
        <v>1</v>
      </c>
      <c r="P813" s="7" t="s">
        <v>160</v>
      </c>
      <c r="Q813" s="7" t="str">
        <f t="shared" si="12"/>
        <v>Yes</v>
      </c>
    </row>
    <row r="814" spans="1:17" ht="15" customHeight="1" x14ac:dyDescent="0.2">
      <c r="A814" s="7">
        <v>2022</v>
      </c>
      <c r="B814" s="7" t="s">
        <v>298</v>
      </c>
      <c r="C814" s="7">
        <v>7</v>
      </c>
      <c r="D814" s="7" t="s">
        <v>1452</v>
      </c>
      <c r="E814" s="7" t="s">
        <v>1453</v>
      </c>
      <c r="F814" s="8">
        <v>126079</v>
      </c>
      <c r="G814" s="8">
        <v>177966</v>
      </c>
      <c r="H814" s="8">
        <v>81174.899999999994</v>
      </c>
      <c r="I814" s="8">
        <v>2633430.33</v>
      </c>
      <c r="J814" s="13">
        <v>0.41467217023795799</v>
      </c>
      <c r="K814" s="13">
        <v>2.9903022031678599E-2</v>
      </c>
      <c r="L814" s="7">
        <v>0</v>
      </c>
      <c r="M814" s="13">
        <v>0.34575851584692602</v>
      </c>
      <c r="N814" s="13">
        <v>6.8913654391032004</v>
      </c>
      <c r="O814" s="7">
        <v>1</v>
      </c>
      <c r="P814" s="7" t="s">
        <v>160</v>
      </c>
      <c r="Q814" s="7" t="str">
        <f t="shared" si="12"/>
        <v>Yes</v>
      </c>
    </row>
    <row r="815" spans="1:17" ht="15" customHeight="1" x14ac:dyDescent="0.2">
      <c r="A815" s="7">
        <v>2022</v>
      </c>
      <c r="B815" s="7" t="s">
        <v>298</v>
      </c>
      <c r="C815" s="7">
        <v>8</v>
      </c>
      <c r="D815" s="7" t="s">
        <v>1454</v>
      </c>
      <c r="E815" s="7" t="s">
        <v>314</v>
      </c>
      <c r="F815" s="8">
        <v>120080</v>
      </c>
      <c r="G815" s="8">
        <v>222128</v>
      </c>
      <c r="H815" s="8">
        <v>89159.95</v>
      </c>
      <c r="I815" s="8">
        <v>829285.48</v>
      </c>
      <c r="J815" s="13">
        <v>0.350897699644661</v>
      </c>
      <c r="K815" s="13">
        <v>9.7077025033485101E-2</v>
      </c>
      <c r="L815" s="7">
        <v>-1</v>
      </c>
      <c r="M815" s="13">
        <v>0.32832254520256499</v>
      </c>
      <c r="N815" s="13">
        <v>2.25751544420952</v>
      </c>
      <c r="O815" s="7">
        <v>1</v>
      </c>
      <c r="P815" s="7" t="s">
        <v>160</v>
      </c>
      <c r="Q815" s="7" t="str">
        <f t="shared" si="12"/>
        <v>Yes</v>
      </c>
    </row>
    <row r="816" spans="1:17" ht="15" customHeight="1" x14ac:dyDescent="0.2">
      <c r="A816" s="7">
        <v>2022</v>
      </c>
      <c r="B816" s="7" t="s">
        <v>298</v>
      </c>
      <c r="C816" s="7">
        <v>9</v>
      </c>
      <c r="D816" s="7" t="s">
        <v>315</v>
      </c>
      <c r="E816" s="7" t="s">
        <v>1455</v>
      </c>
      <c r="F816" s="8">
        <v>108541</v>
      </c>
      <c r="G816" s="8">
        <v>93827</v>
      </c>
      <c r="H816" s="8">
        <v>1453632.92</v>
      </c>
      <c r="I816" s="8">
        <v>631154.29</v>
      </c>
      <c r="J816" s="13">
        <v>0.536354561986085</v>
      </c>
      <c r="K816" s="13">
        <v>0.69725721312344402</v>
      </c>
      <c r="L816" s="7">
        <v>1</v>
      </c>
      <c r="M816" s="13">
        <v>0.60567078573336197</v>
      </c>
      <c r="N816" s="13">
        <v>-6.9316223747276897</v>
      </c>
      <c r="O816" s="7">
        <v>1</v>
      </c>
      <c r="P816" s="7" t="s">
        <v>160</v>
      </c>
      <c r="Q816" s="7" t="str">
        <f t="shared" si="12"/>
        <v>Yes</v>
      </c>
    </row>
    <row r="817" spans="1:17" ht="15" customHeight="1" x14ac:dyDescent="0.2">
      <c r="A817" s="7">
        <v>2022</v>
      </c>
      <c r="B817" s="7" t="s">
        <v>298</v>
      </c>
      <c r="C817" s="7">
        <v>10</v>
      </c>
      <c r="D817" s="7" t="s">
        <v>1456</v>
      </c>
      <c r="E817" s="7" t="s">
        <v>1457</v>
      </c>
      <c r="F817" s="8">
        <v>117955</v>
      </c>
      <c r="G817" s="8">
        <v>78844</v>
      </c>
      <c r="H817" s="8">
        <v>4145039.95</v>
      </c>
      <c r="I817" s="8">
        <v>249144.76</v>
      </c>
      <c r="J817" s="13">
        <v>0.59936788296688503</v>
      </c>
      <c r="K817" s="13">
        <v>0.94330125462568504</v>
      </c>
      <c r="L817" s="7">
        <v>0</v>
      </c>
      <c r="M817" s="13">
        <v>0.64728189501000299</v>
      </c>
      <c r="N817" s="13">
        <v>-4.7914012043117999</v>
      </c>
      <c r="O817" s="7">
        <v>1</v>
      </c>
      <c r="P817" s="7" t="s">
        <v>160</v>
      </c>
      <c r="Q817" s="7" t="str">
        <f t="shared" si="12"/>
        <v>Yes</v>
      </c>
    </row>
    <row r="818" spans="1:17" ht="15" customHeight="1" x14ac:dyDescent="0.2">
      <c r="A818" s="7">
        <v>2022</v>
      </c>
      <c r="B818" s="7" t="s">
        <v>298</v>
      </c>
      <c r="C818" s="7">
        <v>11</v>
      </c>
      <c r="D818" s="7" t="s">
        <v>1458</v>
      </c>
      <c r="E818" s="7" t="s">
        <v>318</v>
      </c>
      <c r="F818" s="8">
        <v>115647</v>
      </c>
      <c r="G818" s="8">
        <v>205995</v>
      </c>
      <c r="H818" s="8">
        <v>28512.07</v>
      </c>
      <c r="I818" s="8">
        <v>808098.68</v>
      </c>
      <c r="J818" s="13">
        <v>0.359551924189005</v>
      </c>
      <c r="K818" s="13">
        <v>3.4080449002119602E-2</v>
      </c>
      <c r="L818" s="7">
        <v>-1</v>
      </c>
      <c r="M818" s="13">
        <v>0.30752664282082298</v>
      </c>
      <c r="N818" s="13">
        <v>5.2025281368182297</v>
      </c>
      <c r="O818" s="7">
        <v>1</v>
      </c>
      <c r="P818" s="7" t="s">
        <v>160</v>
      </c>
      <c r="Q818" s="7" t="str">
        <f t="shared" si="12"/>
        <v>Yes</v>
      </c>
    </row>
    <row r="819" spans="1:17" ht="15" customHeight="1" x14ac:dyDescent="0.2">
      <c r="A819" s="7">
        <v>2022</v>
      </c>
      <c r="B819" s="7" t="s">
        <v>298</v>
      </c>
      <c r="C819" s="7">
        <v>12</v>
      </c>
      <c r="D819" s="7" t="s">
        <v>1025</v>
      </c>
      <c r="E819" s="7" t="s">
        <v>320</v>
      </c>
      <c r="F819" s="8">
        <v>95390</v>
      </c>
      <c r="G819" s="8">
        <v>226601</v>
      </c>
      <c r="H819" s="8">
        <v>23760.7</v>
      </c>
      <c r="I819" s="8">
        <v>2064446.17</v>
      </c>
      <c r="J819" s="13">
        <v>0.29625051631877902</v>
      </c>
      <c r="K819" s="13">
        <v>1.1378518259543899E-2</v>
      </c>
      <c r="L819" s="7">
        <v>-1</v>
      </c>
      <c r="M819" s="13">
        <v>0.300032471465151</v>
      </c>
      <c r="N819" s="13">
        <v>-0.378195514637164</v>
      </c>
      <c r="O819" s="7">
        <v>1</v>
      </c>
      <c r="P819" s="7" t="s">
        <v>160</v>
      </c>
      <c r="Q819" s="7" t="str">
        <f t="shared" si="12"/>
        <v>Yes</v>
      </c>
    </row>
    <row r="820" spans="1:17" ht="15" customHeight="1" x14ac:dyDescent="0.2">
      <c r="A820" s="7">
        <v>2022</v>
      </c>
      <c r="B820" s="7" t="s">
        <v>298</v>
      </c>
      <c r="C820" s="7">
        <v>13</v>
      </c>
      <c r="D820" s="7" t="s">
        <v>1459</v>
      </c>
      <c r="E820" s="7" t="s">
        <v>1026</v>
      </c>
      <c r="F820" s="8">
        <v>153876</v>
      </c>
      <c r="G820" s="8">
        <v>181487</v>
      </c>
      <c r="H820" s="8">
        <v>12809317.460000001</v>
      </c>
      <c r="I820" s="8">
        <v>4790930.95</v>
      </c>
      <c r="J820" s="13">
        <v>0.458834158807024</v>
      </c>
      <c r="K820" s="13">
        <v>0.72779185620596598</v>
      </c>
      <c r="L820" s="7">
        <v>0</v>
      </c>
      <c r="M820" s="13">
        <v>0.57613973627342197</v>
      </c>
      <c r="N820" s="13">
        <v>-11.7305577466398</v>
      </c>
      <c r="O820" s="7">
        <v>0</v>
      </c>
      <c r="P820" s="7" t="s">
        <v>160</v>
      </c>
      <c r="Q820" s="7" t="str">
        <f t="shared" si="12"/>
        <v>Yes</v>
      </c>
    </row>
    <row r="821" spans="1:17" ht="15" customHeight="1" x14ac:dyDescent="0.2">
      <c r="A821" s="7">
        <v>2022</v>
      </c>
      <c r="B821" s="7" t="s">
        <v>298</v>
      </c>
      <c r="C821" s="7">
        <v>14</v>
      </c>
      <c r="D821" s="7" t="s">
        <v>1027</v>
      </c>
      <c r="E821" s="7" t="s">
        <v>1460</v>
      </c>
      <c r="F821" s="8">
        <v>149737</v>
      </c>
      <c r="G821" s="8">
        <v>113427</v>
      </c>
      <c r="H821" s="8">
        <v>1659250.23</v>
      </c>
      <c r="I821" s="8">
        <v>214963.79</v>
      </c>
      <c r="J821" s="13">
        <v>0.56898739949233201</v>
      </c>
      <c r="K821" s="13">
        <v>0.88530456623091502</v>
      </c>
      <c r="L821" s="7">
        <v>1</v>
      </c>
      <c r="M821" s="13">
        <v>0.66774740393592802</v>
      </c>
      <c r="N821" s="13">
        <v>-9.8760004443596205</v>
      </c>
      <c r="O821" s="7">
        <v>1</v>
      </c>
      <c r="P821" s="7" t="s">
        <v>160</v>
      </c>
      <c r="Q821" s="7" t="str">
        <f t="shared" si="12"/>
        <v>Yes</v>
      </c>
    </row>
    <row r="822" spans="1:17" ht="15" customHeight="1" x14ac:dyDescent="0.2">
      <c r="A822" s="7">
        <v>2022</v>
      </c>
      <c r="B822" s="7" t="s">
        <v>298</v>
      </c>
      <c r="C822" s="7">
        <v>15</v>
      </c>
      <c r="D822" s="7" t="s">
        <v>1461</v>
      </c>
      <c r="E822" s="7" t="s">
        <v>1462</v>
      </c>
      <c r="F822" s="8">
        <v>102835</v>
      </c>
      <c r="G822" s="8">
        <v>145219</v>
      </c>
      <c r="H822" s="8">
        <v>935223.82</v>
      </c>
      <c r="I822" s="8">
        <v>2961170.86</v>
      </c>
      <c r="J822" s="13">
        <v>0.41456698944584702</v>
      </c>
      <c r="K822" s="13">
        <v>0.24002286647203799</v>
      </c>
      <c r="L822" s="7">
        <v>0</v>
      </c>
      <c r="M822" s="13">
        <v>0.41512152013581</v>
      </c>
      <c r="N822" s="13">
        <v>-5.54530689963917E-2</v>
      </c>
      <c r="O822" s="7">
        <v>1</v>
      </c>
      <c r="P822" s="7" t="s">
        <v>160</v>
      </c>
      <c r="Q822" s="7" t="str">
        <f t="shared" si="12"/>
        <v>Yes</v>
      </c>
    </row>
    <row r="823" spans="1:17" ht="15" customHeight="1" x14ac:dyDescent="0.2">
      <c r="A823" s="7">
        <v>2022</v>
      </c>
      <c r="B823" s="7" t="s">
        <v>298</v>
      </c>
      <c r="C823" s="7">
        <v>16</v>
      </c>
      <c r="D823" s="7" t="s">
        <v>1463</v>
      </c>
      <c r="E823" s="7" t="s">
        <v>326</v>
      </c>
      <c r="F823" s="8">
        <v>115575</v>
      </c>
      <c r="G823" s="8">
        <v>189762</v>
      </c>
      <c r="H823" s="8">
        <v>47599.68</v>
      </c>
      <c r="I823" s="8">
        <v>3493292.96</v>
      </c>
      <c r="J823" s="13">
        <v>0.378516196857898</v>
      </c>
      <c r="K823" s="13">
        <v>1.3442847563997299E-2</v>
      </c>
      <c r="L823" s="7">
        <v>-1</v>
      </c>
      <c r="M823" s="13">
        <v>0.30071393057616402</v>
      </c>
      <c r="N823" s="13">
        <v>7.78022662817345</v>
      </c>
      <c r="O823" s="7">
        <v>1</v>
      </c>
      <c r="P823" s="7" t="s">
        <v>160</v>
      </c>
      <c r="Q823" s="7" t="str">
        <f t="shared" si="12"/>
        <v>Yes</v>
      </c>
    </row>
    <row r="824" spans="1:17" ht="15" customHeight="1" x14ac:dyDescent="0.2">
      <c r="A824" s="7">
        <v>2022</v>
      </c>
      <c r="B824" s="7" t="s">
        <v>298</v>
      </c>
      <c r="C824" s="7">
        <v>17</v>
      </c>
      <c r="D824" s="7" t="s">
        <v>1464</v>
      </c>
      <c r="E824" s="7" t="s">
        <v>328</v>
      </c>
      <c r="F824" s="8">
        <v>123798</v>
      </c>
      <c r="G824" s="8">
        <v>222483</v>
      </c>
      <c r="H824" s="8">
        <v>28102.92</v>
      </c>
      <c r="I824" s="8">
        <v>1003638.45</v>
      </c>
      <c r="J824" s="13">
        <v>0.35750734230292702</v>
      </c>
      <c r="K824" s="13">
        <v>2.7238337840422198E-2</v>
      </c>
      <c r="L824" s="7">
        <v>-1</v>
      </c>
      <c r="M824" s="13">
        <v>0.30526798235437402</v>
      </c>
      <c r="N824" s="13">
        <v>5.2239359948553501</v>
      </c>
      <c r="O824" s="7">
        <v>1</v>
      </c>
      <c r="P824" s="7" t="s">
        <v>160</v>
      </c>
      <c r="Q824" s="7" t="str">
        <f t="shared" si="12"/>
        <v>Yes</v>
      </c>
    </row>
    <row r="825" spans="1:17" ht="15" customHeight="1" x14ac:dyDescent="0.2">
      <c r="A825" s="7">
        <v>2022</v>
      </c>
      <c r="B825" s="7" t="s">
        <v>298</v>
      </c>
      <c r="C825" s="7">
        <v>19</v>
      </c>
      <c r="D825" s="7" t="s">
        <v>1465</v>
      </c>
      <c r="E825" s="7" t="s">
        <v>1034</v>
      </c>
      <c r="F825" s="8">
        <v>100226</v>
      </c>
      <c r="G825" s="8">
        <v>213035</v>
      </c>
      <c r="H825" s="8">
        <v>106718.46</v>
      </c>
      <c r="I825" s="8">
        <v>5682865.0899999999</v>
      </c>
      <c r="J825" s="13">
        <v>0.31994407219539001</v>
      </c>
      <c r="K825" s="13">
        <v>1.8432838748824999E-2</v>
      </c>
      <c r="L825" s="7">
        <v>-1</v>
      </c>
      <c r="M825" s="13">
        <v>0.30236118469857398</v>
      </c>
      <c r="N825" s="13">
        <v>1.75828874968155</v>
      </c>
      <c r="O825" s="7">
        <v>1</v>
      </c>
      <c r="P825" s="7" t="s">
        <v>160</v>
      </c>
      <c r="Q825" s="7" t="str">
        <f t="shared" si="12"/>
        <v>Yes</v>
      </c>
    </row>
    <row r="826" spans="1:17" ht="15" customHeight="1" x14ac:dyDescent="0.2">
      <c r="A826" s="7">
        <v>2022</v>
      </c>
      <c r="B826" s="7" t="s">
        <v>298</v>
      </c>
      <c r="C826" s="7">
        <v>20</v>
      </c>
      <c r="D826" s="7" t="s">
        <v>1466</v>
      </c>
      <c r="E826" s="7" t="s">
        <v>1467</v>
      </c>
      <c r="F826" s="8">
        <v>136215</v>
      </c>
      <c r="G826" s="8">
        <v>52151</v>
      </c>
      <c r="H826" s="8">
        <v>6883042.7699999996</v>
      </c>
      <c r="I826" s="8">
        <v>234999.67999999999</v>
      </c>
      <c r="J826" s="13">
        <v>0.72314005712283502</v>
      </c>
      <c r="K826" s="13">
        <v>0.96698535002414898</v>
      </c>
      <c r="L826" s="7">
        <v>1</v>
      </c>
      <c r="M826" s="13">
        <v>0.69471118059233805</v>
      </c>
      <c r="N826" s="13">
        <v>2.84288765304973</v>
      </c>
      <c r="O826" s="7">
        <v>1</v>
      </c>
      <c r="P826" s="7" t="s">
        <v>160</v>
      </c>
      <c r="Q826" s="7" t="str">
        <f t="shared" si="12"/>
        <v>Yes</v>
      </c>
    </row>
    <row r="827" spans="1:17" ht="15" customHeight="1" x14ac:dyDescent="0.2">
      <c r="A827" s="7">
        <v>2022</v>
      </c>
      <c r="B827" s="7" t="s">
        <v>298</v>
      </c>
      <c r="C827" s="7">
        <v>21</v>
      </c>
      <c r="D827" s="7" t="s">
        <v>1468</v>
      </c>
      <c r="E827" s="7" t="s">
        <v>330</v>
      </c>
      <c r="F827" s="8">
        <v>119891</v>
      </c>
      <c r="G827" s="8">
        <v>208614</v>
      </c>
      <c r="H827" s="8">
        <v>80338.81</v>
      </c>
      <c r="I827" s="8">
        <v>5318178.4800000004</v>
      </c>
      <c r="J827" s="13">
        <v>0.36495943745148501</v>
      </c>
      <c r="K827" s="13">
        <v>1.4881643548464E-2</v>
      </c>
      <c r="L827" s="7">
        <v>-1</v>
      </c>
      <c r="M827" s="13">
        <v>0.30118889386345898</v>
      </c>
      <c r="N827" s="13">
        <v>6.3770543588025799</v>
      </c>
      <c r="O827" s="7">
        <v>1</v>
      </c>
      <c r="P827" s="7" t="s">
        <v>160</v>
      </c>
      <c r="Q827" s="7" t="str">
        <f t="shared" si="12"/>
        <v>Yes</v>
      </c>
    </row>
    <row r="828" spans="1:17" ht="15" customHeight="1" x14ac:dyDescent="0.2">
      <c r="A828" s="7">
        <v>2022</v>
      </c>
      <c r="B828" s="7" t="s">
        <v>298</v>
      </c>
      <c r="C828" s="7">
        <v>22</v>
      </c>
      <c r="D828" s="7" t="s">
        <v>1037</v>
      </c>
      <c r="E828" s="7" t="s">
        <v>1469</v>
      </c>
      <c r="F828" s="8">
        <v>150010</v>
      </c>
      <c r="G828" s="8">
        <v>122194</v>
      </c>
      <c r="H828" s="8">
        <v>1887684.97</v>
      </c>
      <c r="I828" s="8">
        <v>1630217.92</v>
      </c>
      <c r="J828" s="13">
        <v>0.55109403241686405</v>
      </c>
      <c r="K828" s="13">
        <v>0.53659382564707503</v>
      </c>
      <c r="L828" s="7">
        <v>1</v>
      </c>
      <c r="M828" s="13">
        <v>0.55263393305401798</v>
      </c>
      <c r="N828" s="13">
        <v>-0.15399006371537</v>
      </c>
      <c r="O828" s="7">
        <v>1</v>
      </c>
      <c r="P828" s="7" t="s">
        <v>160</v>
      </c>
      <c r="Q828" s="7" t="str">
        <f t="shared" si="12"/>
        <v>Yes</v>
      </c>
    </row>
    <row r="829" spans="1:17" ht="15" customHeight="1" x14ac:dyDescent="0.2">
      <c r="A829" s="7">
        <v>2022</v>
      </c>
      <c r="B829" s="7" t="s">
        <v>298</v>
      </c>
      <c r="C829" s="7">
        <v>23</v>
      </c>
      <c r="D829" s="7" t="s">
        <v>1470</v>
      </c>
      <c r="E829" s="7" t="s">
        <v>1471</v>
      </c>
      <c r="F829" s="8">
        <v>143951</v>
      </c>
      <c r="G829" s="8">
        <v>130681</v>
      </c>
      <c r="H829" s="8">
        <v>2347904.96</v>
      </c>
      <c r="I829" s="8">
        <v>171126.62</v>
      </c>
      <c r="J829" s="13">
        <v>0.52415960266829797</v>
      </c>
      <c r="K829" s="13">
        <v>0.93206650470019103</v>
      </c>
      <c r="L829" s="7">
        <v>0</v>
      </c>
      <c r="M829" s="13">
        <v>0.64357317340237896</v>
      </c>
      <c r="N829" s="13">
        <v>-11.941357073408099</v>
      </c>
      <c r="O829" s="7">
        <v>1</v>
      </c>
      <c r="P829" s="7" t="s">
        <v>160</v>
      </c>
      <c r="Q829" s="7" t="str">
        <f t="shared" si="12"/>
        <v>Yes</v>
      </c>
    </row>
    <row r="830" spans="1:17" ht="15" customHeight="1" x14ac:dyDescent="0.2">
      <c r="A830" s="7">
        <v>2022</v>
      </c>
      <c r="B830" s="7" t="s">
        <v>298</v>
      </c>
      <c r="C830" s="7">
        <v>24</v>
      </c>
      <c r="D830" s="7" t="s">
        <v>1041</v>
      </c>
      <c r="E830" s="7" t="s">
        <v>1472</v>
      </c>
      <c r="F830" s="8">
        <v>133442</v>
      </c>
      <c r="G830" s="8">
        <v>52449</v>
      </c>
      <c r="H830" s="8">
        <v>482039.41</v>
      </c>
      <c r="I830" s="8">
        <v>15910.7</v>
      </c>
      <c r="J830" s="13">
        <v>0.71785078352367804</v>
      </c>
      <c r="K830" s="13">
        <v>0.96804760219854202</v>
      </c>
      <c r="L830" s="7">
        <v>1</v>
      </c>
      <c r="M830" s="13">
        <v>0.69506184238882196</v>
      </c>
      <c r="N830" s="13">
        <v>2.27889411348563</v>
      </c>
      <c r="O830" s="7">
        <v>1</v>
      </c>
      <c r="P830" s="7" t="s">
        <v>160</v>
      </c>
      <c r="Q830" s="7" t="str">
        <f t="shared" si="12"/>
        <v>Yes</v>
      </c>
    </row>
    <row r="831" spans="1:17" ht="15" customHeight="1" x14ac:dyDescent="0.2">
      <c r="A831" s="7">
        <v>2022</v>
      </c>
      <c r="B831" s="7" t="s">
        <v>298</v>
      </c>
      <c r="C831" s="7">
        <v>25</v>
      </c>
      <c r="D831" s="7" t="s">
        <v>1473</v>
      </c>
      <c r="E831" s="7" t="s">
        <v>1040</v>
      </c>
      <c r="F831" s="8">
        <v>129113</v>
      </c>
      <c r="G831" s="8">
        <v>105239</v>
      </c>
      <c r="H831" s="8">
        <v>1921551.64</v>
      </c>
      <c r="I831" s="8">
        <v>2023469.94</v>
      </c>
      <c r="J831" s="13">
        <v>0.55093619853895004</v>
      </c>
      <c r="K831" s="13">
        <v>0.48708266888618601</v>
      </c>
      <c r="L831" s="7">
        <v>1</v>
      </c>
      <c r="M831" s="13">
        <v>0.53628972440537703</v>
      </c>
      <c r="N831" s="13">
        <v>1.46464741335729</v>
      </c>
      <c r="O831" s="7">
        <v>1</v>
      </c>
      <c r="P831" s="7" t="s">
        <v>160</v>
      </c>
      <c r="Q831" s="7" t="str">
        <f t="shared" si="12"/>
        <v>Yes</v>
      </c>
    </row>
    <row r="832" spans="1:17" ht="15" customHeight="1" x14ac:dyDescent="0.2">
      <c r="A832" s="7">
        <v>2022</v>
      </c>
      <c r="B832" s="7" t="s">
        <v>298</v>
      </c>
      <c r="C832" s="7">
        <v>26</v>
      </c>
      <c r="D832" s="7" t="s">
        <v>1474</v>
      </c>
      <c r="E832" s="7" t="s">
        <v>338</v>
      </c>
      <c r="F832" s="8">
        <v>58868</v>
      </c>
      <c r="G832" s="8">
        <v>143240</v>
      </c>
      <c r="H832" s="8">
        <v>136665.35999999999</v>
      </c>
      <c r="I832" s="8">
        <v>1921542.96</v>
      </c>
      <c r="J832" s="13">
        <v>0.29127001405189301</v>
      </c>
      <c r="K832" s="13">
        <v>6.6400159144240606E-2</v>
      </c>
      <c r="L832" s="7">
        <v>-1</v>
      </c>
      <c r="M832" s="13">
        <v>0.31819575500855701</v>
      </c>
      <c r="N832" s="13">
        <v>-2.6925740956663899</v>
      </c>
      <c r="O832" s="7">
        <v>1</v>
      </c>
      <c r="P832" s="7" t="s">
        <v>160</v>
      </c>
      <c r="Q832" s="7" t="str">
        <f t="shared" si="12"/>
        <v>Yes</v>
      </c>
    </row>
    <row r="833" spans="1:17" ht="15" customHeight="1" x14ac:dyDescent="0.2">
      <c r="A833" s="7">
        <v>2022</v>
      </c>
      <c r="B833" s="7" t="s">
        <v>298</v>
      </c>
      <c r="C833" s="7">
        <v>27</v>
      </c>
      <c r="D833" s="7" t="s">
        <v>1475</v>
      </c>
      <c r="E833" s="7" t="s">
        <v>1476</v>
      </c>
      <c r="F833" s="8">
        <v>101404</v>
      </c>
      <c r="G833" s="8">
        <v>136038</v>
      </c>
      <c r="H833" s="8">
        <v>2269704.83</v>
      </c>
      <c r="I833" s="8">
        <v>3605384.54</v>
      </c>
      <c r="J833" s="13">
        <v>0.42706850515073203</v>
      </c>
      <c r="K833" s="13">
        <v>0.38632686024995699</v>
      </c>
      <c r="L833" s="7">
        <v>-1</v>
      </c>
      <c r="M833" s="13">
        <v>0.42380727970784898</v>
      </c>
      <c r="N833" s="13">
        <v>0.32612254428827098</v>
      </c>
      <c r="O833" s="7">
        <v>1</v>
      </c>
      <c r="P833" s="7" t="s">
        <v>160</v>
      </c>
      <c r="Q833" s="7" t="str">
        <f t="shared" si="12"/>
        <v>Yes</v>
      </c>
    </row>
    <row r="834" spans="1:17" ht="15" customHeight="1" x14ac:dyDescent="0.2">
      <c r="A834" s="7">
        <v>2022</v>
      </c>
      <c r="B834" s="7" t="s">
        <v>298</v>
      </c>
      <c r="C834" s="7">
        <v>28</v>
      </c>
      <c r="D834" s="7" t="s">
        <v>1477</v>
      </c>
      <c r="E834" s="7" t="s">
        <v>1478</v>
      </c>
      <c r="F834" s="8">
        <v>76665</v>
      </c>
      <c r="G834" s="8">
        <v>134457</v>
      </c>
      <c r="H834" s="8">
        <v>173604.61</v>
      </c>
      <c r="I834" s="8">
        <v>1481146.6</v>
      </c>
      <c r="J834" s="13">
        <v>0.363131270071333</v>
      </c>
      <c r="K834" s="13">
        <v>0.104912816471063</v>
      </c>
      <c r="L834" s="7">
        <v>-1</v>
      </c>
      <c r="M834" s="13">
        <v>0.33090923108432602</v>
      </c>
      <c r="N834" s="13">
        <v>3.22220389870076</v>
      </c>
      <c r="O834" s="7">
        <v>1</v>
      </c>
      <c r="P834" s="7" t="s">
        <v>160</v>
      </c>
      <c r="Q834" s="7" t="str">
        <f t="shared" si="12"/>
        <v>Yes</v>
      </c>
    </row>
    <row r="835" spans="1:17" ht="15" customHeight="1" x14ac:dyDescent="0.2">
      <c r="A835" s="7">
        <v>2022</v>
      </c>
      <c r="B835" s="7" t="s">
        <v>343</v>
      </c>
      <c r="C835" s="7">
        <v>1</v>
      </c>
      <c r="D835" s="7" t="s">
        <v>1479</v>
      </c>
      <c r="E835" s="7" t="s">
        <v>345</v>
      </c>
      <c r="F835" s="8">
        <v>107837</v>
      </c>
      <c r="G835" s="8">
        <v>156128</v>
      </c>
      <c r="H835" s="8">
        <v>1391337.48</v>
      </c>
      <c r="I835" s="8">
        <v>2019601.57</v>
      </c>
      <c r="J835" s="13">
        <v>0.40852764571060601</v>
      </c>
      <c r="K835" s="13">
        <v>0.407904527053921</v>
      </c>
      <c r="L835" s="7">
        <v>-1</v>
      </c>
      <c r="M835" s="13">
        <v>0.43093031846248803</v>
      </c>
      <c r="N835" s="13">
        <v>-2.24026727518824</v>
      </c>
      <c r="O835" s="7">
        <v>1</v>
      </c>
      <c r="P835" s="7" t="s">
        <v>160</v>
      </c>
      <c r="Q835" s="7" t="str">
        <f t="shared" si="12"/>
        <v>Yes</v>
      </c>
    </row>
    <row r="836" spans="1:17" ht="15" customHeight="1" x14ac:dyDescent="0.2">
      <c r="A836" s="7">
        <v>2022</v>
      </c>
      <c r="B836" s="7" t="s">
        <v>343</v>
      </c>
      <c r="C836" s="7">
        <v>2</v>
      </c>
      <c r="D836" s="7" t="s">
        <v>346</v>
      </c>
      <c r="E836" s="7" t="s">
        <v>1480</v>
      </c>
      <c r="F836" s="8">
        <v>132675</v>
      </c>
      <c r="G836" s="8">
        <v>108665</v>
      </c>
      <c r="H836" s="8">
        <v>6578953.0499999998</v>
      </c>
      <c r="I836" s="8">
        <v>1099933.99</v>
      </c>
      <c r="J836" s="13">
        <v>0.54974310101930901</v>
      </c>
      <c r="K836" s="13">
        <v>0.85675867032939201</v>
      </c>
      <c r="L836" s="7">
        <v>1</v>
      </c>
      <c r="M836" s="13">
        <v>0.65832407171749296</v>
      </c>
      <c r="N836" s="13">
        <v>-10.858097069818401</v>
      </c>
      <c r="O836" s="7">
        <v>1</v>
      </c>
      <c r="P836" s="7" t="s">
        <v>160</v>
      </c>
      <c r="Q836" s="7" t="str">
        <f t="shared" ref="Q836:Q899" si="13">IF(A836=2024,"No -- held out","Yes")</f>
        <v>Yes</v>
      </c>
    </row>
    <row r="837" spans="1:17" ht="15" customHeight="1" x14ac:dyDescent="0.2">
      <c r="A837" s="7">
        <v>2022</v>
      </c>
      <c r="B837" s="7" t="s">
        <v>343</v>
      </c>
      <c r="C837" s="7">
        <v>3</v>
      </c>
      <c r="D837" s="7" t="s">
        <v>1046</v>
      </c>
      <c r="E837" s="7" t="s">
        <v>349</v>
      </c>
      <c r="F837" s="8">
        <v>97057</v>
      </c>
      <c r="G837" s="8">
        <v>213524</v>
      </c>
      <c r="H837" s="8">
        <v>55152.46</v>
      </c>
      <c r="I837" s="8">
        <v>3364199.83</v>
      </c>
      <c r="J837" s="13">
        <v>0.31250140865023901</v>
      </c>
      <c r="K837" s="13">
        <v>1.6129505041435802E-2</v>
      </c>
      <c r="L837" s="7">
        <v>-1</v>
      </c>
      <c r="M837" s="13">
        <v>0.30160082745459299</v>
      </c>
      <c r="N837" s="13">
        <v>1.0900581195646</v>
      </c>
      <c r="O837" s="7">
        <v>1</v>
      </c>
      <c r="P837" s="7" t="s">
        <v>160</v>
      </c>
      <c r="Q837" s="7" t="str">
        <f t="shared" si="13"/>
        <v>Yes</v>
      </c>
    </row>
    <row r="838" spans="1:17" ht="15" customHeight="1" x14ac:dyDescent="0.2">
      <c r="A838" s="7">
        <v>2022</v>
      </c>
      <c r="B838" s="7" t="s">
        <v>343</v>
      </c>
      <c r="C838" s="7">
        <v>4</v>
      </c>
      <c r="D838" s="7" t="s">
        <v>1481</v>
      </c>
      <c r="E838" s="7" t="s">
        <v>1482</v>
      </c>
      <c r="F838" s="8">
        <v>216332</v>
      </c>
      <c r="G838" s="8">
        <v>59302</v>
      </c>
      <c r="H838" s="8">
        <v>686140.7</v>
      </c>
      <c r="I838" s="8">
        <v>0</v>
      </c>
      <c r="J838" s="13">
        <v>0.78485237670243901</v>
      </c>
      <c r="K838" s="13">
        <v>1</v>
      </c>
      <c r="L838" s="7">
        <v>1</v>
      </c>
      <c r="M838" s="13">
        <v>0.70560970050115601</v>
      </c>
      <c r="N838" s="13">
        <v>7.9242676201282896</v>
      </c>
      <c r="O838" s="7">
        <v>1</v>
      </c>
      <c r="P838" s="7" t="s">
        <v>160</v>
      </c>
      <c r="Q838" s="7" t="str">
        <f t="shared" si="13"/>
        <v>Yes</v>
      </c>
    </row>
    <row r="839" spans="1:17" ht="15" customHeight="1" x14ac:dyDescent="0.2">
      <c r="A839" s="7">
        <v>2022</v>
      </c>
      <c r="B839" s="7" t="s">
        <v>343</v>
      </c>
      <c r="C839" s="7">
        <v>5</v>
      </c>
      <c r="D839" s="7" t="s">
        <v>1048</v>
      </c>
      <c r="E839" s="7" t="s">
        <v>1483</v>
      </c>
      <c r="F839" s="8">
        <v>243687</v>
      </c>
      <c r="G839" s="8">
        <v>51769</v>
      </c>
      <c r="H839" s="8">
        <v>1398166.9</v>
      </c>
      <c r="I839" s="8">
        <v>24556.62</v>
      </c>
      <c r="J839" s="13">
        <v>0.82478270876204896</v>
      </c>
      <c r="K839" s="13">
        <v>0.98273971038308305</v>
      </c>
      <c r="L839" s="7">
        <v>1</v>
      </c>
      <c r="M839" s="13">
        <v>0.69991187816593403</v>
      </c>
      <c r="N839" s="13">
        <v>12.4870830596115</v>
      </c>
      <c r="O839" s="7">
        <v>1</v>
      </c>
      <c r="P839" s="7" t="s">
        <v>160</v>
      </c>
      <c r="Q839" s="7" t="str">
        <f t="shared" si="13"/>
        <v>Yes</v>
      </c>
    </row>
    <row r="840" spans="1:17" ht="15" customHeight="1" x14ac:dyDescent="0.2">
      <c r="A840" s="7">
        <v>2022</v>
      </c>
      <c r="B840" s="7" t="s">
        <v>343</v>
      </c>
      <c r="C840" s="7">
        <v>6</v>
      </c>
      <c r="D840" s="7" t="s">
        <v>1484</v>
      </c>
      <c r="E840" s="7" t="s">
        <v>1050</v>
      </c>
      <c r="F840" s="8">
        <v>125612</v>
      </c>
      <c r="G840" s="8">
        <v>206886</v>
      </c>
      <c r="H840" s="8">
        <v>812131.69</v>
      </c>
      <c r="I840" s="8">
        <v>5170983.0599999996</v>
      </c>
      <c r="J840" s="13">
        <v>0.377782723505104</v>
      </c>
      <c r="K840" s="13">
        <v>0.135737274636092</v>
      </c>
      <c r="L840" s="7">
        <v>0</v>
      </c>
      <c r="M840" s="13">
        <v>0.38069563345646501</v>
      </c>
      <c r="N840" s="13">
        <v>-0.29129099513607898</v>
      </c>
      <c r="O840" s="7">
        <v>1</v>
      </c>
      <c r="P840" s="7" t="s">
        <v>160</v>
      </c>
      <c r="Q840" s="7" t="str">
        <f t="shared" si="13"/>
        <v>Yes</v>
      </c>
    </row>
    <row r="841" spans="1:17" ht="15" customHeight="1" x14ac:dyDescent="0.2">
      <c r="A841" s="7">
        <v>2022</v>
      </c>
      <c r="B841" s="7" t="s">
        <v>343</v>
      </c>
      <c r="C841" s="7">
        <v>7</v>
      </c>
      <c r="D841" s="7" t="s">
        <v>352</v>
      </c>
      <c r="E841" s="7" t="s">
        <v>1485</v>
      </c>
      <c r="F841" s="8">
        <v>143063</v>
      </c>
      <c r="G841" s="8">
        <v>91262</v>
      </c>
      <c r="H841" s="8">
        <v>10148582.619999999</v>
      </c>
      <c r="I841" s="8">
        <v>606951.17000000004</v>
      </c>
      <c r="J841" s="13">
        <v>0.610532380241118</v>
      </c>
      <c r="K841" s="13">
        <v>0.94356847536806399</v>
      </c>
      <c r="L841" s="7">
        <v>1</v>
      </c>
      <c r="M841" s="13">
        <v>0.68698099793620504</v>
      </c>
      <c r="N841" s="13">
        <v>-7.6448617695086902</v>
      </c>
      <c r="O841" s="7">
        <v>1</v>
      </c>
      <c r="P841" s="7" t="s">
        <v>160</v>
      </c>
      <c r="Q841" s="7" t="str">
        <f t="shared" si="13"/>
        <v>Yes</v>
      </c>
    </row>
    <row r="842" spans="1:17" ht="15" customHeight="1" x14ac:dyDescent="0.2">
      <c r="A842" s="7">
        <v>2022</v>
      </c>
      <c r="B842" s="7" t="s">
        <v>343</v>
      </c>
      <c r="C842" s="7">
        <v>8</v>
      </c>
      <c r="D842" s="7" t="s">
        <v>1486</v>
      </c>
      <c r="E842" s="7" t="s">
        <v>1052</v>
      </c>
      <c r="F842" s="8">
        <v>81886</v>
      </c>
      <c r="G842" s="8">
        <v>178700</v>
      </c>
      <c r="H842" s="8">
        <v>24345.37</v>
      </c>
      <c r="I842" s="8">
        <v>771811.53</v>
      </c>
      <c r="J842" s="13">
        <v>0.31423790994144002</v>
      </c>
      <c r="K842" s="13">
        <v>3.0578608312004801E-2</v>
      </c>
      <c r="L842" s="7">
        <v>-1</v>
      </c>
      <c r="M842" s="13">
        <v>0.30637064448352003</v>
      </c>
      <c r="N842" s="13">
        <v>0.78672654579198298</v>
      </c>
      <c r="O842" s="7">
        <v>1</v>
      </c>
      <c r="P842" s="7" t="s">
        <v>160</v>
      </c>
      <c r="Q842" s="7" t="str">
        <f t="shared" si="13"/>
        <v>Yes</v>
      </c>
    </row>
    <row r="843" spans="1:17" ht="15" customHeight="1" x14ac:dyDescent="0.2">
      <c r="A843" s="7">
        <v>2022</v>
      </c>
      <c r="B843" s="7" t="s">
        <v>343</v>
      </c>
      <c r="C843" s="7">
        <v>9</v>
      </c>
      <c r="D843" s="7" t="s">
        <v>1487</v>
      </c>
      <c r="E843" s="7" t="s">
        <v>1054</v>
      </c>
      <c r="F843" s="8">
        <v>81318</v>
      </c>
      <c r="G843" s="8">
        <v>212820</v>
      </c>
      <c r="H843" s="8">
        <v>38718.49</v>
      </c>
      <c r="I843" s="8">
        <v>808893.43999999994</v>
      </c>
      <c r="J843" s="13">
        <v>0.27646206882483698</v>
      </c>
      <c r="K843" s="13">
        <v>4.5679500995225497E-2</v>
      </c>
      <c r="L843" s="7">
        <v>-1</v>
      </c>
      <c r="M843" s="13">
        <v>0.31135562477770401</v>
      </c>
      <c r="N843" s="13">
        <v>-3.4893555952866602</v>
      </c>
      <c r="O843" s="7">
        <v>1</v>
      </c>
      <c r="P843" s="7" t="s">
        <v>160</v>
      </c>
      <c r="Q843" s="7" t="str">
        <f t="shared" si="13"/>
        <v>Yes</v>
      </c>
    </row>
    <row r="844" spans="1:17" ht="15" customHeight="1" x14ac:dyDescent="0.2">
      <c r="A844" s="7">
        <v>2022</v>
      </c>
      <c r="B844" s="7" t="s">
        <v>343</v>
      </c>
      <c r="C844" s="7">
        <v>10</v>
      </c>
      <c r="D844" s="7" t="s">
        <v>1055</v>
      </c>
      <c r="E844" s="7" t="s">
        <v>1488</v>
      </c>
      <c r="F844" s="8">
        <v>109107</v>
      </c>
      <c r="G844" s="8">
        <v>198523</v>
      </c>
      <c r="H844" s="8">
        <v>48652.44</v>
      </c>
      <c r="I844" s="8">
        <v>1380835.68</v>
      </c>
      <c r="J844" s="13">
        <v>0.35466957058804399</v>
      </c>
      <c r="K844" s="13">
        <v>3.4034868369525198E-2</v>
      </c>
      <c r="L844" s="7">
        <v>0</v>
      </c>
      <c r="M844" s="13">
        <v>0.34712248637534698</v>
      </c>
      <c r="N844" s="13">
        <v>0.75470842126968396</v>
      </c>
      <c r="O844" s="7">
        <v>1</v>
      </c>
      <c r="P844" s="7" t="s">
        <v>160</v>
      </c>
      <c r="Q844" s="7" t="str">
        <f t="shared" si="13"/>
        <v>Yes</v>
      </c>
    </row>
    <row r="845" spans="1:17" ht="15" customHeight="1" x14ac:dyDescent="0.2">
      <c r="A845" s="7">
        <v>2022</v>
      </c>
      <c r="B845" s="7" t="s">
        <v>343</v>
      </c>
      <c r="C845" s="7">
        <v>11</v>
      </c>
      <c r="D845" s="7" t="s">
        <v>1489</v>
      </c>
      <c r="E845" s="7" t="s">
        <v>361</v>
      </c>
      <c r="F845" s="8">
        <v>113571</v>
      </c>
      <c r="G845" s="8">
        <v>190086</v>
      </c>
      <c r="H845" s="8">
        <v>102289.39</v>
      </c>
      <c r="I845" s="8">
        <v>903099.29</v>
      </c>
      <c r="J845" s="13">
        <v>0.37401080824746302</v>
      </c>
      <c r="K845" s="13">
        <v>0.101741139556097</v>
      </c>
      <c r="L845" s="7">
        <v>-1</v>
      </c>
      <c r="M845" s="13">
        <v>0.32986222364891798</v>
      </c>
      <c r="N845" s="13">
        <v>4.4148584598545604</v>
      </c>
      <c r="O845" s="7">
        <v>1</v>
      </c>
      <c r="P845" s="7" t="s">
        <v>160</v>
      </c>
      <c r="Q845" s="7" t="str">
        <f t="shared" si="13"/>
        <v>Yes</v>
      </c>
    </row>
    <row r="846" spans="1:17" ht="15" customHeight="1" x14ac:dyDescent="0.2">
      <c r="A846" s="7">
        <v>2022</v>
      </c>
      <c r="B846" s="7" t="s">
        <v>343</v>
      </c>
      <c r="C846" s="7">
        <v>12</v>
      </c>
      <c r="D846" s="7" t="s">
        <v>1490</v>
      </c>
      <c r="E846" s="7" t="s">
        <v>363</v>
      </c>
      <c r="F846" s="8">
        <v>107148</v>
      </c>
      <c r="G846" s="8">
        <v>158047</v>
      </c>
      <c r="H846" s="8">
        <v>193938.25</v>
      </c>
      <c r="I846" s="8">
        <v>781548.1</v>
      </c>
      <c r="J846" s="13">
        <v>0.404034766869662</v>
      </c>
      <c r="K846" s="13">
        <v>0.19881185420995401</v>
      </c>
      <c r="L846" s="7">
        <v>-1</v>
      </c>
      <c r="M846" s="13">
        <v>0.36190639546331099</v>
      </c>
      <c r="N846" s="13">
        <v>4.2128371406350604</v>
      </c>
      <c r="O846" s="7">
        <v>1</v>
      </c>
      <c r="P846" s="7" t="s">
        <v>160</v>
      </c>
      <c r="Q846" s="7" t="str">
        <f t="shared" si="13"/>
        <v>Yes</v>
      </c>
    </row>
    <row r="847" spans="1:17" ht="15" customHeight="1" x14ac:dyDescent="0.2">
      <c r="A847" s="7">
        <v>2022</v>
      </c>
      <c r="B847" s="7" t="s">
        <v>343</v>
      </c>
      <c r="C847" s="7">
        <v>13</v>
      </c>
      <c r="D847" s="7" t="s">
        <v>364</v>
      </c>
      <c r="E847" s="7" t="s">
        <v>1491</v>
      </c>
      <c r="F847" s="8">
        <v>216388</v>
      </c>
      <c r="G847" s="8">
        <v>48228</v>
      </c>
      <c r="H847" s="8">
        <v>2012329.1</v>
      </c>
      <c r="I847" s="8">
        <v>18511.88</v>
      </c>
      <c r="J847" s="13">
        <v>0.81774344710826297</v>
      </c>
      <c r="K847" s="13">
        <v>0.99088462357106899</v>
      </c>
      <c r="L847" s="7">
        <v>1</v>
      </c>
      <c r="M847" s="13">
        <v>0.70260060873250996</v>
      </c>
      <c r="N847" s="13">
        <v>11.5142838375753</v>
      </c>
      <c r="O847" s="7">
        <v>1</v>
      </c>
      <c r="P847" s="7" t="s">
        <v>160</v>
      </c>
      <c r="Q847" s="7" t="str">
        <f t="shared" si="13"/>
        <v>Yes</v>
      </c>
    </row>
    <row r="848" spans="1:17" ht="15" customHeight="1" x14ac:dyDescent="0.2">
      <c r="A848" s="7">
        <v>2022</v>
      </c>
      <c r="B848" s="7" t="s">
        <v>343</v>
      </c>
      <c r="C848" s="7">
        <v>14</v>
      </c>
      <c r="D848" s="7" t="s">
        <v>1492</v>
      </c>
      <c r="E848" s="7" t="s">
        <v>1060</v>
      </c>
      <c r="F848" s="8">
        <v>88189</v>
      </c>
      <c r="G848" s="8">
        <v>170162</v>
      </c>
      <c r="H848" s="8">
        <v>16701719.130000001</v>
      </c>
      <c r="I848" s="8">
        <v>11034745.15</v>
      </c>
      <c r="J848" s="13">
        <v>0.341353430023495</v>
      </c>
      <c r="K848" s="13">
        <v>0.602157469005274</v>
      </c>
      <c r="L848" s="7">
        <v>-1</v>
      </c>
      <c r="M848" s="13">
        <v>0.49505547371180397</v>
      </c>
      <c r="N848" s="13">
        <v>-15.3702043688308</v>
      </c>
      <c r="O848" s="7">
        <v>1</v>
      </c>
      <c r="P848" s="7" t="s">
        <v>160</v>
      </c>
      <c r="Q848" s="7" t="str">
        <f t="shared" si="13"/>
        <v>Yes</v>
      </c>
    </row>
    <row r="849" spans="1:17" ht="15" customHeight="1" x14ac:dyDescent="0.2">
      <c r="A849" s="7">
        <v>2022</v>
      </c>
      <c r="B849" s="7" t="s">
        <v>368</v>
      </c>
      <c r="C849" s="7">
        <v>0</v>
      </c>
      <c r="D849" s="7" t="s">
        <v>1493</v>
      </c>
      <c r="E849" s="7" t="s">
        <v>1494</v>
      </c>
      <c r="F849" s="8">
        <v>15636</v>
      </c>
      <c r="G849" s="8">
        <v>17260</v>
      </c>
      <c r="H849" s="8">
        <v>88547.3</v>
      </c>
      <c r="I849" s="8">
        <v>109641.16</v>
      </c>
      <c r="J849" s="13">
        <v>0.47531614785992199</v>
      </c>
      <c r="K849" s="13">
        <v>0.44678332936236598</v>
      </c>
      <c r="L849" s="7">
        <v>0</v>
      </c>
      <c r="M849" s="13">
        <v>0.48337555350629602</v>
      </c>
      <c r="N849" s="13">
        <v>-0.80594056463733599</v>
      </c>
      <c r="O849" s="7">
        <v>1</v>
      </c>
      <c r="P849" s="7" t="s">
        <v>160</v>
      </c>
      <c r="Q849" s="7" t="str">
        <f t="shared" si="13"/>
        <v>Yes</v>
      </c>
    </row>
    <row r="850" spans="1:17" ht="15" customHeight="1" x14ac:dyDescent="0.2">
      <c r="A850" s="7">
        <v>2022</v>
      </c>
      <c r="B850" s="7" t="s">
        <v>371</v>
      </c>
      <c r="C850" s="7">
        <v>1</v>
      </c>
      <c r="D850" s="7" t="s">
        <v>372</v>
      </c>
      <c r="E850" s="7" t="s">
        <v>1495</v>
      </c>
      <c r="F850" s="8">
        <v>143546</v>
      </c>
      <c r="G850" s="8">
        <v>51217</v>
      </c>
      <c r="H850" s="8">
        <v>668139.06999999995</v>
      </c>
      <c r="I850" s="8">
        <v>82409.58</v>
      </c>
      <c r="J850" s="13">
        <v>0.73702910717128001</v>
      </c>
      <c r="K850" s="13">
        <v>0.89020088171499601</v>
      </c>
      <c r="L850" s="7">
        <v>1</v>
      </c>
      <c r="M850" s="13">
        <v>0.66936373462009802</v>
      </c>
      <c r="N850" s="13">
        <v>6.7665372551181804</v>
      </c>
      <c r="O850" s="7">
        <v>1</v>
      </c>
      <c r="P850" s="7" t="s">
        <v>160</v>
      </c>
      <c r="Q850" s="7" t="str">
        <f t="shared" si="13"/>
        <v>Yes</v>
      </c>
    </row>
    <row r="851" spans="1:17" ht="15" customHeight="1" x14ac:dyDescent="0.2">
      <c r="A851" s="7">
        <v>2022</v>
      </c>
      <c r="B851" s="7" t="s">
        <v>371</v>
      </c>
      <c r="C851" s="7">
        <v>2</v>
      </c>
      <c r="D851" s="7" t="s">
        <v>1496</v>
      </c>
      <c r="E851" s="7" t="s">
        <v>1064</v>
      </c>
      <c r="F851" s="8">
        <v>128407</v>
      </c>
      <c r="G851" s="8">
        <v>72874</v>
      </c>
      <c r="H851" s="8">
        <v>1079817.31</v>
      </c>
      <c r="I851" s="8">
        <v>674001.17</v>
      </c>
      <c r="J851" s="13">
        <v>0.63794893705814304</v>
      </c>
      <c r="K851" s="13">
        <v>0.61569502335270199</v>
      </c>
      <c r="L851" s="7">
        <v>0</v>
      </c>
      <c r="M851" s="13">
        <v>0.53913526809155898</v>
      </c>
      <c r="N851" s="13">
        <v>9.8813668966583705</v>
      </c>
      <c r="O851" s="7">
        <v>1</v>
      </c>
      <c r="P851" s="7" t="s">
        <v>160</v>
      </c>
      <c r="Q851" s="7" t="str">
        <f t="shared" si="13"/>
        <v>Yes</v>
      </c>
    </row>
    <row r="852" spans="1:17" ht="15" customHeight="1" x14ac:dyDescent="0.2">
      <c r="A852" s="7">
        <v>2022</v>
      </c>
      <c r="B852" s="7" t="s">
        <v>376</v>
      </c>
      <c r="C852" s="7">
        <v>1</v>
      </c>
      <c r="D852" s="7" t="s">
        <v>1497</v>
      </c>
      <c r="E852" s="7" t="s">
        <v>1067</v>
      </c>
      <c r="F852" s="8">
        <v>142173</v>
      </c>
      <c r="G852" s="8">
        <v>162947</v>
      </c>
      <c r="H852" s="8">
        <v>3230603.04</v>
      </c>
      <c r="I852" s="8">
        <v>7619221.54</v>
      </c>
      <c r="J852" s="13">
        <v>0.46595765600419498</v>
      </c>
      <c r="K852" s="13">
        <v>0.29775624630421399</v>
      </c>
      <c r="L852" s="7">
        <v>-1</v>
      </c>
      <c r="M852" s="13">
        <v>0.39456908999116302</v>
      </c>
      <c r="N852" s="13">
        <v>7.1388566013031696</v>
      </c>
      <c r="O852" s="7">
        <v>1</v>
      </c>
      <c r="P852" s="7" t="s">
        <v>160</v>
      </c>
      <c r="Q852" s="7" t="str">
        <f t="shared" si="13"/>
        <v>Yes</v>
      </c>
    </row>
    <row r="853" spans="1:17" ht="15" customHeight="1" x14ac:dyDescent="0.2">
      <c r="A853" s="7">
        <v>2022</v>
      </c>
      <c r="B853" s="7" t="s">
        <v>376</v>
      </c>
      <c r="C853" s="7">
        <v>2</v>
      </c>
      <c r="D853" s="7" t="s">
        <v>1498</v>
      </c>
      <c r="E853" s="7" t="s">
        <v>1065</v>
      </c>
      <c r="F853" s="8">
        <v>145940</v>
      </c>
      <c r="G853" s="8">
        <v>172181</v>
      </c>
      <c r="H853" s="8">
        <v>4209588.01</v>
      </c>
      <c r="I853" s="8">
        <v>10387231.35</v>
      </c>
      <c r="J853" s="13">
        <v>0.45875625941072701</v>
      </c>
      <c r="K853" s="13">
        <v>0.28839077241276501</v>
      </c>
      <c r="L853" s="7">
        <v>-1</v>
      </c>
      <c r="M853" s="13">
        <v>0.39147743814157099</v>
      </c>
      <c r="N853" s="13">
        <v>6.7278821269156097</v>
      </c>
      <c r="O853" s="7">
        <v>1</v>
      </c>
      <c r="P853" s="7" t="s">
        <v>160</v>
      </c>
      <c r="Q853" s="7" t="str">
        <f t="shared" si="13"/>
        <v>Yes</v>
      </c>
    </row>
    <row r="854" spans="1:17" ht="15" customHeight="1" x14ac:dyDescent="0.2">
      <c r="A854" s="7">
        <v>2022</v>
      </c>
      <c r="B854" s="7" t="s">
        <v>376</v>
      </c>
      <c r="C854" s="7">
        <v>3</v>
      </c>
      <c r="D854" s="7" t="s">
        <v>381</v>
      </c>
      <c r="E854" s="7" t="s">
        <v>1499</v>
      </c>
      <c r="F854" s="8">
        <v>154117</v>
      </c>
      <c r="G854" s="8">
        <v>156262</v>
      </c>
      <c r="H854" s="8">
        <v>9229053.4100000001</v>
      </c>
      <c r="I854" s="8">
        <v>8668914.1300000008</v>
      </c>
      <c r="J854" s="13">
        <v>0.49654454715041901</v>
      </c>
      <c r="K854" s="13">
        <v>0.51564812537368099</v>
      </c>
      <c r="L854" s="7">
        <v>1</v>
      </c>
      <c r="M854" s="13">
        <v>0.54571951380072603</v>
      </c>
      <c r="N854" s="13">
        <v>-4.91749666503065</v>
      </c>
      <c r="O854" s="7">
        <v>0</v>
      </c>
      <c r="P854" s="7" t="s">
        <v>160</v>
      </c>
      <c r="Q854" s="7" t="str">
        <f t="shared" si="13"/>
        <v>Yes</v>
      </c>
    </row>
    <row r="855" spans="1:17" ht="15" customHeight="1" x14ac:dyDescent="0.2">
      <c r="A855" s="7">
        <v>2022</v>
      </c>
      <c r="B855" s="7" t="s">
        <v>376</v>
      </c>
      <c r="C855" s="7">
        <v>4</v>
      </c>
      <c r="D855" s="7" t="s">
        <v>1500</v>
      </c>
      <c r="E855" s="7" t="s">
        <v>1068</v>
      </c>
      <c r="F855" s="8">
        <v>84230</v>
      </c>
      <c r="G855" s="8">
        <v>186467</v>
      </c>
      <c r="H855" s="8">
        <v>48935.07</v>
      </c>
      <c r="I855" s="8">
        <v>1935723.87</v>
      </c>
      <c r="J855" s="13">
        <v>0.31115970993398501</v>
      </c>
      <c r="K855" s="13">
        <v>2.4656664686175299E-2</v>
      </c>
      <c r="L855" s="7">
        <v>-1</v>
      </c>
      <c r="M855" s="13">
        <v>0.30441574202197003</v>
      </c>
      <c r="N855" s="13">
        <v>0.67439679120152596</v>
      </c>
      <c r="O855" s="7">
        <v>1</v>
      </c>
      <c r="P855" s="7" t="s">
        <v>160</v>
      </c>
      <c r="Q855" s="7" t="str">
        <f t="shared" si="13"/>
        <v>Yes</v>
      </c>
    </row>
    <row r="856" spans="1:17" ht="15" customHeight="1" x14ac:dyDescent="0.2">
      <c r="A856" s="7">
        <v>2022</v>
      </c>
      <c r="B856" s="7" t="s">
        <v>385</v>
      </c>
      <c r="C856" s="7">
        <v>1</v>
      </c>
      <c r="D856" s="7" t="s">
        <v>1501</v>
      </c>
      <c r="E856" s="7" t="s">
        <v>387</v>
      </c>
      <c r="F856" s="8">
        <v>82261</v>
      </c>
      <c r="G856" s="8">
        <v>222901</v>
      </c>
      <c r="H856" s="8">
        <v>67139.539999999994</v>
      </c>
      <c r="I856" s="8">
        <v>471060.85</v>
      </c>
      <c r="J856" s="13">
        <v>0.269565017924905</v>
      </c>
      <c r="K856" s="13">
        <v>0.124748218781484</v>
      </c>
      <c r="L856" s="7">
        <v>-1</v>
      </c>
      <c r="M856" s="13">
        <v>0.33745712806756301</v>
      </c>
      <c r="N856" s="13">
        <v>-6.7892110142658</v>
      </c>
      <c r="O856" s="7">
        <v>1</v>
      </c>
      <c r="P856" s="7" t="s">
        <v>160</v>
      </c>
      <c r="Q856" s="7" t="str">
        <f t="shared" si="13"/>
        <v>Yes</v>
      </c>
    </row>
    <row r="857" spans="1:17" ht="15" customHeight="1" x14ac:dyDescent="0.2">
      <c r="A857" s="7">
        <v>2022</v>
      </c>
      <c r="B857" s="7" t="s">
        <v>385</v>
      </c>
      <c r="C857" s="7">
        <v>2</v>
      </c>
      <c r="D857" s="7" t="s">
        <v>1502</v>
      </c>
      <c r="E857" s="7" t="s">
        <v>389</v>
      </c>
      <c r="F857" s="8">
        <v>98736</v>
      </c>
      <c r="G857" s="8">
        <v>172450</v>
      </c>
      <c r="H857" s="8">
        <v>443991.57</v>
      </c>
      <c r="I857" s="8">
        <v>3233652.52</v>
      </c>
      <c r="J857" s="13">
        <v>0.36408959164558602</v>
      </c>
      <c r="K857" s="13">
        <v>0.12072717183461899</v>
      </c>
      <c r="L857" s="7">
        <v>-1</v>
      </c>
      <c r="M857" s="13">
        <v>0.33612973370667398</v>
      </c>
      <c r="N857" s="13">
        <v>2.79598579389129</v>
      </c>
      <c r="O857" s="7">
        <v>1</v>
      </c>
      <c r="P857" s="7" t="s">
        <v>160</v>
      </c>
      <c r="Q857" s="7" t="str">
        <f t="shared" si="13"/>
        <v>Yes</v>
      </c>
    </row>
    <row r="858" spans="1:17" ht="15" customHeight="1" x14ac:dyDescent="0.2">
      <c r="A858" s="7">
        <v>2022</v>
      </c>
      <c r="B858" s="7" t="s">
        <v>390</v>
      </c>
      <c r="C858" s="7">
        <v>1</v>
      </c>
      <c r="D858" s="7" t="s">
        <v>1503</v>
      </c>
      <c r="E858" s="7" t="s">
        <v>1504</v>
      </c>
      <c r="F858" s="8">
        <v>159142</v>
      </c>
      <c r="G858" s="8">
        <v>78258</v>
      </c>
      <c r="H858" s="8">
        <v>2091441.01</v>
      </c>
      <c r="I858" s="8">
        <v>5250.33</v>
      </c>
      <c r="J858" s="13">
        <v>0.67035383319292297</v>
      </c>
      <c r="K858" s="13">
        <v>0.997495897512507</v>
      </c>
      <c r="L858" s="7">
        <v>0</v>
      </c>
      <c r="M858" s="13">
        <v>0.66517217689653896</v>
      </c>
      <c r="N858" s="13">
        <v>0.51816562963840096</v>
      </c>
      <c r="O858" s="7">
        <v>1</v>
      </c>
      <c r="P858" s="7" t="s">
        <v>160</v>
      </c>
      <c r="Q858" s="7" t="str">
        <f t="shared" si="13"/>
        <v>Yes</v>
      </c>
    </row>
    <row r="859" spans="1:17" ht="15" customHeight="1" x14ac:dyDescent="0.2">
      <c r="A859" s="7">
        <v>2022</v>
      </c>
      <c r="B859" s="7" t="s">
        <v>390</v>
      </c>
      <c r="C859" s="7">
        <v>6</v>
      </c>
      <c r="D859" s="7" t="s">
        <v>399</v>
      </c>
      <c r="E859" s="7" t="s">
        <v>1505</v>
      </c>
      <c r="F859" s="8">
        <v>150496</v>
      </c>
      <c r="G859" s="8">
        <v>126351</v>
      </c>
      <c r="H859" s="8">
        <v>6927551.6799999997</v>
      </c>
      <c r="I859" s="8">
        <v>3634564.96</v>
      </c>
      <c r="J859" s="13">
        <v>0.54360711873345202</v>
      </c>
      <c r="K859" s="13">
        <v>0.65588668598531996</v>
      </c>
      <c r="L859" s="7">
        <v>1</v>
      </c>
      <c r="M859" s="13">
        <v>0.59201389359659995</v>
      </c>
      <c r="N859" s="13">
        <v>-4.8406774863148003</v>
      </c>
      <c r="O859" s="7">
        <v>1</v>
      </c>
      <c r="P859" s="7" t="s">
        <v>160</v>
      </c>
      <c r="Q859" s="7" t="str">
        <f t="shared" si="13"/>
        <v>Yes</v>
      </c>
    </row>
    <row r="860" spans="1:17" ht="15" customHeight="1" x14ac:dyDescent="0.2">
      <c r="A860" s="7">
        <v>2022</v>
      </c>
      <c r="B860" s="7" t="s">
        <v>390</v>
      </c>
      <c r="C860" s="7">
        <v>8</v>
      </c>
      <c r="D860" s="7" t="s">
        <v>403</v>
      </c>
      <c r="E860" s="7" t="s">
        <v>1506</v>
      </c>
      <c r="F860" s="8">
        <v>117880</v>
      </c>
      <c r="G860" s="8">
        <v>89335</v>
      </c>
      <c r="H860" s="8">
        <v>5739554.3499999996</v>
      </c>
      <c r="I860" s="8">
        <v>549129.76</v>
      </c>
      <c r="J860" s="13">
        <v>0.56887773568515798</v>
      </c>
      <c r="K860" s="13">
        <v>0.912679703671743</v>
      </c>
      <c r="L860" s="7">
        <v>1</v>
      </c>
      <c r="M860" s="13">
        <v>0.67678425517087104</v>
      </c>
      <c r="N860" s="13">
        <v>-10.7906519485713</v>
      </c>
      <c r="O860" s="7">
        <v>1</v>
      </c>
      <c r="P860" s="7" t="s">
        <v>160</v>
      </c>
      <c r="Q860" s="7" t="str">
        <f t="shared" si="13"/>
        <v>Yes</v>
      </c>
    </row>
    <row r="861" spans="1:17" ht="15" customHeight="1" x14ac:dyDescent="0.2">
      <c r="A861" s="7">
        <v>2022</v>
      </c>
      <c r="B861" s="7" t="s">
        <v>390</v>
      </c>
      <c r="C861" s="7">
        <v>9</v>
      </c>
      <c r="D861" s="7" t="s">
        <v>405</v>
      </c>
      <c r="E861" s="7" t="s">
        <v>1507</v>
      </c>
      <c r="F861" s="8">
        <v>179615</v>
      </c>
      <c r="G861" s="8">
        <v>70915</v>
      </c>
      <c r="H861" s="8">
        <v>1411376.76</v>
      </c>
      <c r="I861" s="8">
        <v>5840</v>
      </c>
      <c r="J861" s="13">
        <v>0.71694008701552703</v>
      </c>
      <c r="K861" s="13">
        <v>0.99587924715200205</v>
      </c>
      <c r="L861" s="7">
        <v>1</v>
      </c>
      <c r="M861" s="13">
        <v>0.70424939206274795</v>
      </c>
      <c r="N861" s="13">
        <v>1.2690694952778601</v>
      </c>
      <c r="O861" s="7">
        <v>1</v>
      </c>
      <c r="P861" s="7" t="s">
        <v>160</v>
      </c>
      <c r="Q861" s="7" t="str">
        <f t="shared" si="13"/>
        <v>Yes</v>
      </c>
    </row>
    <row r="862" spans="1:17" ht="15" customHeight="1" x14ac:dyDescent="0.2">
      <c r="A862" s="7">
        <v>2022</v>
      </c>
      <c r="B862" s="7" t="s">
        <v>390</v>
      </c>
      <c r="C862" s="7">
        <v>10</v>
      </c>
      <c r="D862" s="7" t="s">
        <v>407</v>
      </c>
      <c r="E862" s="7" t="s">
        <v>1508</v>
      </c>
      <c r="F862" s="8">
        <v>152566</v>
      </c>
      <c r="G862" s="8">
        <v>89599</v>
      </c>
      <c r="H862" s="8">
        <v>5561767.9500000002</v>
      </c>
      <c r="I862" s="8">
        <v>78770.02</v>
      </c>
      <c r="J862" s="13">
        <v>0.63000846530258303</v>
      </c>
      <c r="K862" s="13">
        <v>0.98603501644365299</v>
      </c>
      <c r="L862" s="7">
        <v>1</v>
      </c>
      <c r="M862" s="13">
        <v>0.70099969702008103</v>
      </c>
      <c r="N862" s="13">
        <v>-7.0991231717497696</v>
      </c>
      <c r="O862" s="7">
        <v>1</v>
      </c>
      <c r="P862" s="7" t="s">
        <v>160</v>
      </c>
      <c r="Q862" s="7" t="str">
        <f t="shared" si="13"/>
        <v>Yes</v>
      </c>
    </row>
    <row r="863" spans="1:17" ht="15" customHeight="1" x14ac:dyDescent="0.2">
      <c r="A863" s="7">
        <v>2022</v>
      </c>
      <c r="B863" s="7" t="s">
        <v>390</v>
      </c>
      <c r="C863" s="7">
        <v>11</v>
      </c>
      <c r="D863" s="7" t="s">
        <v>409</v>
      </c>
      <c r="E863" s="7" t="s">
        <v>1509</v>
      </c>
      <c r="F863" s="8">
        <v>149172</v>
      </c>
      <c r="G863" s="8">
        <v>115069</v>
      </c>
      <c r="H863" s="8">
        <v>6263349.6699999999</v>
      </c>
      <c r="I863" s="8">
        <v>3597234.6</v>
      </c>
      <c r="J863" s="13">
        <v>0.56453010698566797</v>
      </c>
      <c r="K863" s="13">
        <v>0.63519052203181503</v>
      </c>
      <c r="L863" s="7">
        <v>1</v>
      </c>
      <c r="M863" s="13">
        <v>0.58518184918454597</v>
      </c>
      <c r="N863" s="13">
        <v>-2.0651742198877701</v>
      </c>
      <c r="O863" s="7">
        <v>1</v>
      </c>
      <c r="P863" s="7" t="s">
        <v>160</v>
      </c>
      <c r="Q863" s="7" t="str">
        <f t="shared" si="13"/>
        <v>Yes</v>
      </c>
    </row>
    <row r="864" spans="1:17" ht="15" customHeight="1" x14ac:dyDescent="0.2">
      <c r="A864" s="7">
        <v>2022</v>
      </c>
      <c r="B864" s="7" t="s">
        <v>390</v>
      </c>
      <c r="C864" s="7">
        <v>12</v>
      </c>
      <c r="D864" s="7" t="s">
        <v>1510</v>
      </c>
      <c r="E864" s="7" t="s">
        <v>412</v>
      </c>
      <c r="F864" s="8">
        <v>72791</v>
      </c>
      <c r="G864" s="8">
        <v>218379</v>
      </c>
      <c r="H864" s="8">
        <v>62598.57</v>
      </c>
      <c r="I864" s="8">
        <v>1911092.76</v>
      </c>
      <c r="J864" s="13">
        <v>0.24999484837036801</v>
      </c>
      <c r="K864" s="13">
        <v>3.1716494392261402E-2</v>
      </c>
      <c r="L864" s="7">
        <v>-1</v>
      </c>
      <c r="M864" s="13">
        <v>0.30674627391193199</v>
      </c>
      <c r="N864" s="13">
        <v>-5.6751425541563796</v>
      </c>
      <c r="O864" s="7">
        <v>1</v>
      </c>
      <c r="P864" s="7" t="s">
        <v>160</v>
      </c>
      <c r="Q864" s="7" t="str">
        <f t="shared" si="13"/>
        <v>Yes</v>
      </c>
    </row>
    <row r="865" spans="1:17" ht="15" customHeight="1" x14ac:dyDescent="0.2">
      <c r="A865" s="7">
        <v>2022</v>
      </c>
      <c r="B865" s="7" t="s">
        <v>390</v>
      </c>
      <c r="C865" s="7">
        <v>13</v>
      </c>
      <c r="D865" s="7" t="s">
        <v>1511</v>
      </c>
      <c r="E865" s="7" t="s">
        <v>1512</v>
      </c>
      <c r="F865" s="8">
        <v>141788</v>
      </c>
      <c r="G865" s="8">
        <v>108646</v>
      </c>
      <c r="H865" s="8">
        <v>7631602.54</v>
      </c>
      <c r="I865" s="8">
        <v>2204703.09</v>
      </c>
      <c r="J865" s="13">
        <v>0.566169130389644</v>
      </c>
      <c r="K865" s="13">
        <v>0.77586065613132005</v>
      </c>
      <c r="L865" s="7">
        <v>0</v>
      </c>
      <c r="M865" s="13">
        <v>0.59200780615641801</v>
      </c>
      <c r="N865" s="13">
        <v>-2.5838675766774299</v>
      </c>
      <c r="O865" s="7">
        <v>1</v>
      </c>
      <c r="P865" s="7" t="s">
        <v>160</v>
      </c>
      <c r="Q865" s="7" t="str">
        <f t="shared" si="13"/>
        <v>Yes</v>
      </c>
    </row>
    <row r="866" spans="1:17" ht="15" customHeight="1" x14ac:dyDescent="0.2">
      <c r="A866" s="7">
        <v>2022</v>
      </c>
      <c r="B866" s="7" t="s">
        <v>390</v>
      </c>
      <c r="C866" s="7">
        <v>14</v>
      </c>
      <c r="D866" s="7" t="s">
        <v>415</v>
      </c>
      <c r="E866" s="7" t="s">
        <v>1513</v>
      </c>
      <c r="F866" s="8">
        <v>128141</v>
      </c>
      <c r="G866" s="8">
        <v>108451</v>
      </c>
      <c r="H866" s="8">
        <v>7840770.2300000004</v>
      </c>
      <c r="I866" s="8">
        <v>665866.80000000005</v>
      </c>
      <c r="J866" s="13">
        <v>0.54161171975383804</v>
      </c>
      <c r="K866" s="13">
        <v>0.92172384954809805</v>
      </c>
      <c r="L866" s="7">
        <v>1</v>
      </c>
      <c r="M866" s="13">
        <v>0.67976983290571902</v>
      </c>
      <c r="N866" s="13">
        <v>-13.815811315188199</v>
      </c>
      <c r="O866" s="7">
        <v>1</v>
      </c>
      <c r="P866" s="7" t="s">
        <v>160</v>
      </c>
      <c r="Q866" s="7" t="str">
        <f t="shared" si="13"/>
        <v>Yes</v>
      </c>
    </row>
    <row r="867" spans="1:17" ht="15" customHeight="1" x14ac:dyDescent="0.2">
      <c r="A867" s="7">
        <v>2022</v>
      </c>
      <c r="B867" s="7" t="s">
        <v>390</v>
      </c>
      <c r="C867" s="7">
        <v>15</v>
      </c>
      <c r="D867" s="7" t="s">
        <v>1514</v>
      </c>
      <c r="E867" s="7" t="s">
        <v>1084</v>
      </c>
      <c r="F867" s="8">
        <v>86396</v>
      </c>
      <c r="G867" s="8">
        <v>213007</v>
      </c>
      <c r="H867" s="8">
        <v>3605431.42</v>
      </c>
      <c r="I867" s="8">
        <v>4224200.43</v>
      </c>
      <c r="J867" s="13">
        <v>0.288560902863365</v>
      </c>
      <c r="K867" s="13">
        <v>0.46048543393518598</v>
      </c>
      <c r="L867" s="7">
        <v>-1</v>
      </c>
      <c r="M867" s="13">
        <v>0.44828788732626002</v>
      </c>
      <c r="N867" s="13">
        <v>-15.972698446289501</v>
      </c>
      <c r="O867" s="7">
        <v>1</v>
      </c>
      <c r="P867" s="7" t="s">
        <v>160</v>
      </c>
      <c r="Q867" s="7" t="str">
        <f t="shared" si="13"/>
        <v>Yes</v>
      </c>
    </row>
    <row r="868" spans="1:17" ht="15" customHeight="1" x14ac:dyDescent="0.2">
      <c r="A868" s="7">
        <v>2022</v>
      </c>
      <c r="B868" s="7" t="s">
        <v>390</v>
      </c>
      <c r="C868" s="7">
        <v>16</v>
      </c>
      <c r="D868" s="7" t="s">
        <v>1515</v>
      </c>
      <c r="E868" s="7" t="s">
        <v>424</v>
      </c>
      <c r="F868" s="8">
        <v>100325</v>
      </c>
      <c r="G868" s="8">
        <v>197621</v>
      </c>
      <c r="H868" s="8">
        <v>38117.980000000003</v>
      </c>
      <c r="I868" s="8">
        <v>3058589.9</v>
      </c>
      <c r="J868" s="13">
        <v>0.336722090580172</v>
      </c>
      <c r="K868" s="13">
        <v>1.2309194627683101E-2</v>
      </c>
      <c r="L868" s="7">
        <v>-1</v>
      </c>
      <c r="M868" s="13">
        <v>0.30033969855779802</v>
      </c>
      <c r="N868" s="13">
        <v>3.6382392022374801</v>
      </c>
      <c r="O868" s="7">
        <v>1</v>
      </c>
      <c r="P868" s="7" t="s">
        <v>160</v>
      </c>
      <c r="Q868" s="7" t="str">
        <f t="shared" si="13"/>
        <v>Yes</v>
      </c>
    </row>
    <row r="869" spans="1:17" ht="15" customHeight="1" x14ac:dyDescent="0.2">
      <c r="A869" s="7">
        <v>2022</v>
      </c>
      <c r="B869" s="7" t="s">
        <v>390</v>
      </c>
      <c r="C869" s="7">
        <v>17</v>
      </c>
      <c r="D869" s="7" t="s">
        <v>1516</v>
      </c>
      <c r="E869" s="7" t="s">
        <v>1086</v>
      </c>
      <c r="F869" s="8">
        <v>121186</v>
      </c>
      <c r="G869" s="8">
        <v>111931</v>
      </c>
      <c r="H869" s="8">
        <v>11150972.289999999</v>
      </c>
      <c r="I869" s="8">
        <v>12422307.560000001</v>
      </c>
      <c r="J869" s="13">
        <v>0.51985054715014301</v>
      </c>
      <c r="K869" s="13">
        <v>0.47303440000522501</v>
      </c>
      <c r="L869" s="7">
        <v>0</v>
      </c>
      <c r="M869" s="13">
        <v>0.49204133721862497</v>
      </c>
      <c r="N869" s="13">
        <v>2.7809209931518599</v>
      </c>
      <c r="O869" s="7">
        <v>0</v>
      </c>
      <c r="P869" s="7" t="s">
        <v>160</v>
      </c>
      <c r="Q869" s="7" t="str">
        <f t="shared" si="13"/>
        <v>Yes</v>
      </c>
    </row>
    <row r="870" spans="1:17" ht="15" customHeight="1" x14ac:dyDescent="0.2">
      <c r="A870" s="7">
        <v>2022</v>
      </c>
      <c r="B870" s="7" t="s">
        <v>425</v>
      </c>
      <c r="C870" s="7">
        <v>1</v>
      </c>
      <c r="D870" s="7" t="s">
        <v>1517</v>
      </c>
      <c r="E870" s="7" t="s">
        <v>1518</v>
      </c>
      <c r="F870" s="8">
        <v>112656</v>
      </c>
      <c r="G870" s="8">
        <v>100542</v>
      </c>
      <c r="H870" s="8">
        <v>7868855.2199999997</v>
      </c>
      <c r="I870" s="8">
        <v>12595801.23</v>
      </c>
      <c r="J870" s="13">
        <v>0.52841021022711299</v>
      </c>
      <c r="K870" s="13">
        <v>0.38450951958199098</v>
      </c>
      <c r="L870" s="7">
        <v>1</v>
      </c>
      <c r="M870" s="13">
        <v>0.50242913492102403</v>
      </c>
      <c r="N870" s="13">
        <v>2.5981075306089401</v>
      </c>
      <c r="O870" s="7">
        <v>1</v>
      </c>
      <c r="P870" s="7" t="s">
        <v>160</v>
      </c>
      <c r="Q870" s="7" t="str">
        <f t="shared" si="13"/>
        <v>Yes</v>
      </c>
    </row>
    <row r="871" spans="1:17" ht="15" customHeight="1" x14ac:dyDescent="0.2">
      <c r="A871" s="7">
        <v>2022</v>
      </c>
      <c r="B871" s="7" t="s">
        <v>425</v>
      </c>
      <c r="C871" s="7">
        <v>2</v>
      </c>
      <c r="D871" s="7" t="s">
        <v>1519</v>
      </c>
      <c r="E871" s="7" t="s">
        <v>1520</v>
      </c>
      <c r="F871" s="8">
        <v>62955</v>
      </c>
      <c r="G871" s="8">
        <v>125537</v>
      </c>
      <c r="H871" s="8">
        <v>102340.9</v>
      </c>
      <c r="I871" s="8">
        <v>1063906.43</v>
      </c>
      <c r="J871" s="13">
        <v>0.33399295460815298</v>
      </c>
      <c r="K871" s="13">
        <v>8.7752312367566199E-2</v>
      </c>
      <c r="L871" s="7">
        <v>0</v>
      </c>
      <c r="M871" s="13">
        <v>0.364855239358998</v>
      </c>
      <c r="N871" s="13">
        <v>-3.0862284750844902</v>
      </c>
      <c r="O871" s="7">
        <v>1</v>
      </c>
      <c r="P871" s="7" t="s">
        <v>160</v>
      </c>
      <c r="Q871" s="7" t="str">
        <f t="shared" si="13"/>
        <v>Yes</v>
      </c>
    </row>
    <row r="872" spans="1:17" ht="15" customHeight="1" x14ac:dyDescent="0.2">
      <c r="A872" s="7">
        <v>2022</v>
      </c>
      <c r="B872" s="7" t="s">
        <v>425</v>
      </c>
      <c r="C872" s="7">
        <v>3</v>
      </c>
      <c r="D872" s="7" t="s">
        <v>1521</v>
      </c>
      <c r="E872" s="7" t="s">
        <v>429</v>
      </c>
      <c r="F872" s="8">
        <v>60577</v>
      </c>
      <c r="G872" s="8">
        <v>131579</v>
      </c>
      <c r="H872" s="8">
        <v>74374.789999999994</v>
      </c>
      <c r="I872" s="8">
        <v>1813803.07</v>
      </c>
      <c r="J872" s="13">
        <v>0.31524906846520501</v>
      </c>
      <c r="K872" s="13">
        <v>3.9389716178538398E-2</v>
      </c>
      <c r="L872" s="7">
        <v>-1</v>
      </c>
      <c r="M872" s="13">
        <v>0.30927929366115497</v>
      </c>
      <c r="N872" s="13">
        <v>0.59697748040507503</v>
      </c>
      <c r="O872" s="7">
        <v>1</v>
      </c>
      <c r="P872" s="7" t="s">
        <v>160</v>
      </c>
      <c r="Q872" s="7" t="str">
        <f t="shared" si="13"/>
        <v>Yes</v>
      </c>
    </row>
    <row r="873" spans="1:17" ht="15" customHeight="1" x14ac:dyDescent="0.2">
      <c r="A873" s="7">
        <v>2022</v>
      </c>
      <c r="B873" s="7" t="s">
        <v>425</v>
      </c>
      <c r="C873" s="7">
        <v>5</v>
      </c>
      <c r="D873" s="7" t="s">
        <v>1522</v>
      </c>
      <c r="E873" s="7" t="s">
        <v>1091</v>
      </c>
      <c r="F873" s="8">
        <v>93434</v>
      </c>
      <c r="G873" s="8">
        <v>146575</v>
      </c>
      <c r="H873" s="8">
        <v>42962.63</v>
      </c>
      <c r="I873" s="8">
        <v>2766972.44</v>
      </c>
      <c r="J873" s="13">
        <v>0.389293734818278</v>
      </c>
      <c r="K873" s="13">
        <v>1.52895454627E-2</v>
      </c>
      <c r="L873" s="7">
        <v>-1</v>
      </c>
      <c r="M873" s="13">
        <v>0.30132354702914099</v>
      </c>
      <c r="N873" s="13">
        <v>8.7970187789136407</v>
      </c>
      <c r="O873" s="7">
        <v>1</v>
      </c>
      <c r="P873" s="7" t="s">
        <v>160</v>
      </c>
      <c r="Q873" s="7" t="str">
        <f t="shared" si="13"/>
        <v>Yes</v>
      </c>
    </row>
    <row r="874" spans="1:17" ht="15" customHeight="1" x14ac:dyDescent="0.2">
      <c r="A874" s="7">
        <v>2022</v>
      </c>
      <c r="B874" s="7" t="s">
        <v>425</v>
      </c>
      <c r="C874" s="7">
        <v>6</v>
      </c>
      <c r="D874" s="7" t="s">
        <v>1523</v>
      </c>
      <c r="E874" s="7" t="s">
        <v>1524</v>
      </c>
      <c r="F874" s="8">
        <v>62838</v>
      </c>
      <c r="G874" s="8">
        <v>130686</v>
      </c>
      <c r="H874" s="8">
        <v>38910.21</v>
      </c>
      <c r="I874" s="8">
        <v>6974.01</v>
      </c>
      <c r="J874" s="13">
        <v>0.32470391269299897</v>
      </c>
      <c r="K874" s="13">
        <v>0.84800853103746798</v>
      </c>
      <c r="L874" s="7">
        <v>-1</v>
      </c>
      <c r="M874" s="13">
        <v>0.57621376847251604</v>
      </c>
      <c r="N874" s="13">
        <v>-25.150985577951701</v>
      </c>
      <c r="O874" s="7">
        <v>0</v>
      </c>
      <c r="P874" s="7" t="s">
        <v>160</v>
      </c>
      <c r="Q874" s="7" t="str">
        <f t="shared" si="13"/>
        <v>Yes</v>
      </c>
    </row>
    <row r="875" spans="1:17" ht="15" customHeight="1" x14ac:dyDescent="0.2">
      <c r="A875" s="7">
        <v>2022</v>
      </c>
      <c r="B875" s="7" t="s">
        <v>425</v>
      </c>
      <c r="C875" s="7">
        <v>7</v>
      </c>
      <c r="D875" s="7" t="s">
        <v>434</v>
      </c>
      <c r="E875" s="7" t="s">
        <v>1525</v>
      </c>
      <c r="F875" s="8">
        <v>117309</v>
      </c>
      <c r="G875" s="8">
        <v>53631</v>
      </c>
      <c r="H875" s="8">
        <v>6974.01</v>
      </c>
      <c r="I875" s="8">
        <v>498270.15</v>
      </c>
      <c r="J875" s="13">
        <v>0.68625833625833599</v>
      </c>
      <c r="K875" s="13">
        <v>1.3803247127092E-2</v>
      </c>
      <c r="L875" s="7">
        <v>1</v>
      </c>
      <c r="M875" s="13">
        <v>0.38005468316616398</v>
      </c>
      <c r="N875" s="13">
        <v>30.620365309217298</v>
      </c>
      <c r="O875" s="7">
        <v>0</v>
      </c>
      <c r="P875" s="7" t="s">
        <v>160</v>
      </c>
      <c r="Q875" s="7" t="str">
        <f t="shared" si="13"/>
        <v>Yes</v>
      </c>
    </row>
    <row r="876" spans="1:17" ht="15" customHeight="1" x14ac:dyDescent="0.2">
      <c r="A876" s="7">
        <v>2022</v>
      </c>
      <c r="B876" s="7" t="s">
        <v>425</v>
      </c>
      <c r="C876" s="7">
        <v>8</v>
      </c>
      <c r="D876" s="7" t="s">
        <v>1526</v>
      </c>
      <c r="E876" s="7" t="s">
        <v>1527</v>
      </c>
      <c r="F876" s="8">
        <v>68109</v>
      </c>
      <c r="G876" s="8">
        <v>141995</v>
      </c>
      <c r="H876" s="8">
        <v>137353.26999999999</v>
      </c>
      <c r="I876" s="8">
        <v>1219089.46</v>
      </c>
      <c r="J876" s="13">
        <v>0.32416803107032699</v>
      </c>
      <c r="K876" s="13">
        <v>0.10125991091419</v>
      </c>
      <c r="L876" s="7">
        <v>-1</v>
      </c>
      <c r="M876" s="13">
        <v>0.32970336447766002</v>
      </c>
      <c r="N876" s="13">
        <v>-0.55353334073331995</v>
      </c>
      <c r="O876" s="7">
        <v>1</v>
      </c>
      <c r="P876" s="7" t="s">
        <v>160</v>
      </c>
      <c r="Q876" s="7" t="str">
        <f t="shared" si="13"/>
        <v>Yes</v>
      </c>
    </row>
    <row r="877" spans="1:17" ht="15" customHeight="1" x14ac:dyDescent="0.2">
      <c r="A877" s="7">
        <v>2022</v>
      </c>
      <c r="B877" s="7" t="s">
        <v>425</v>
      </c>
      <c r="C877" s="7">
        <v>9</v>
      </c>
      <c r="D877" s="7" t="s">
        <v>1528</v>
      </c>
      <c r="E877" s="7" t="s">
        <v>1529</v>
      </c>
      <c r="F877" s="8">
        <v>75700</v>
      </c>
      <c r="G877" s="8">
        <v>143166</v>
      </c>
      <c r="H877" s="8">
        <v>159136.72</v>
      </c>
      <c r="I877" s="8">
        <v>2092216.68</v>
      </c>
      <c r="J877" s="13">
        <v>0.34587373095866902</v>
      </c>
      <c r="K877" s="13">
        <v>7.0684913350343007E-2</v>
      </c>
      <c r="L877" s="7">
        <v>0</v>
      </c>
      <c r="M877" s="13">
        <v>0.35922109245400302</v>
      </c>
      <c r="N877" s="13">
        <v>-1.33473614953339</v>
      </c>
      <c r="O877" s="7">
        <v>1</v>
      </c>
      <c r="P877" s="7" t="s">
        <v>160</v>
      </c>
      <c r="Q877" s="7" t="str">
        <f t="shared" si="13"/>
        <v>Yes</v>
      </c>
    </row>
    <row r="878" spans="1:17" ht="15" customHeight="1" x14ac:dyDescent="0.2">
      <c r="A878" s="7">
        <v>2022</v>
      </c>
      <c r="B878" s="7" t="s">
        <v>440</v>
      </c>
      <c r="C878" s="7">
        <v>1</v>
      </c>
      <c r="D878" s="7" t="s">
        <v>1530</v>
      </c>
      <c r="E878" s="7" t="s">
        <v>1097</v>
      </c>
      <c r="F878" s="8">
        <v>77092</v>
      </c>
      <c r="G878" s="8">
        <v>161333</v>
      </c>
      <c r="H878" s="8">
        <v>17313.349999999999</v>
      </c>
      <c r="I878" s="8">
        <v>423693.75</v>
      </c>
      <c r="J878" s="13">
        <v>0.32333857607214</v>
      </c>
      <c r="K878" s="13">
        <v>3.9258664996549897E-2</v>
      </c>
      <c r="L878" s="7">
        <v>-1</v>
      </c>
      <c r="M878" s="13">
        <v>0.30923603214188899</v>
      </c>
      <c r="N878" s="13">
        <v>1.4102543930250999</v>
      </c>
      <c r="O878" s="7">
        <v>1</v>
      </c>
      <c r="P878" s="7" t="s">
        <v>160</v>
      </c>
      <c r="Q878" s="7" t="str">
        <f t="shared" si="13"/>
        <v>Yes</v>
      </c>
    </row>
    <row r="879" spans="1:17" ht="15" customHeight="1" x14ac:dyDescent="0.2">
      <c r="A879" s="7">
        <v>2022</v>
      </c>
      <c r="B879" s="7" t="s">
        <v>440</v>
      </c>
      <c r="C879" s="7">
        <v>2</v>
      </c>
      <c r="D879" s="7" t="s">
        <v>1531</v>
      </c>
      <c r="E879" s="7" t="s">
        <v>1099</v>
      </c>
      <c r="F879" s="8">
        <v>98852</v>
      </c>
      <c r="G879" s="8">
        <v>134506</v>
      </c>
      <c r="H879" s="8">
        <v>1106487.8700000001</v>
      </c>
      <c r="I879" s="8">
        <v>1220018.32</v>
      </c>
      <c r="J879" s="13">
        <v>0.42360664729728598</v>
      </c>
      <c r="K879" s="13">
        <v>0.47560065593464002</v>
      </c>
      <c r="L879" s="7">
        <v>-1</v>
      </c>
      <c r="M879" s="13">
        <v>0.45327759789437899</v>
      </c>
      <c r="N879" s="13">
        <v>-2.9670950597093202</v>
      </c>
      <c r="O879" s="7">
        <v>1</v>
      </c>
      <c r="P879" s="7" t="s">
        <v>160</v>
      </c>
      <c r="Q879" s="7" t="str">
        <f t="shared" si="13"/>
        <v>Yes</v>
      </c>
    </row>
    <row r="880" spans="1:17" ht="15" customHeight="1" x14ac:dyDescent="0.2">
      <c r="A880" s="7">
        <v>2022</v>
      </c>
      <c r="B880" s="7" t="s">
        <v>440</v>
      </c>
      <c r="C880" s="7">
        <v>3</v>
      </c>
      <c r="D880" s="7" t="s">
        <v>445</v>
      </c>
      <c r="E880" s="7" t="s">
        <v>1101</v>
      </c>
      <c r="F880" s="8">
        <v>165527</v>
      </c>
      <c r="G880" s="8">
        <v>128839</v>
      </c>
      <c r="H880" s="8">
        <v>15221579.140000001</v>
      </c>
      <c r="I880" s="8">
        <v>6937241.6900000004</v>
      </c>
      <c r="J880" s="13">
        <v>0.56231697954247395</v>
      </c>
      <c r="K880" s="13">
        <v>0.68693091824597796</v>
      </c>
      <c r="L880" s="7">
        <v>1</v>
      </c>
      <c r="M880" s="13">
        <v>0.60226195570218699</v>
      </c>
      <c r="N880" s="13">
        <v>-3.9944976159713002</v>
      </c>
      <c r="O880" s="7">
        <v>1</v>
      </c>
      <c r="P880" s="7" t="s">
        <v>160</v>
      </c>
      <c r="Q880" s="7" t="str">
        <f t="shared" si="13"/>
        <v>Yes</v>
      </c>
    </row>
    <row r="881" spans="1:17" ht="15" customHeight="1" x14ac:dyDescent="0.2">
      <c r="A881" s="7">
        <v>2022</v>
      </c>
      <c r="B881" s="7" t="s">
        <v>440</v>
      </c>
      <c r="C881" s="7">
        <v>4</v>
      </c>
      <c r="D881" s="7" t="s">
        <v>1532</v>
      </c>
      <c r="E881" s="7" t="s">
        <v>448</v>
      </c>
      <c r="F881" s="8">
        <v>83851</v>
      </c>
      <c r="G881" s="8">
        <v>144889</v>
      </c>
      <c r="H881" s="8">
        <v>36304.68</v>
      </c>
      <c r="I881" s="8">
        <v>1775807.21</v>
      </c>
      <c r="J881" s="13">
        <v>0.366577773891755</v>
      </c>
      <c r="K881" s="13">
        <v>2.0034458247498201E-2</v>
      </c>
      <c r="L881" s="7">
        <v>-1</v>
      </c>
      <c r="M881" s="13">
        <v>0.302889897921504</v>
      </c>
      <c r="N881" s="13">
        <v>6.3687875970250403</v>
      </c>
      <c r="O881" s="7">
        <v>1</v>
      </c>
      <c r="P881" s="7" t="s">
        <v>160</v>
      </c>
      <c r="Q881" s="7" t="str">
        <f t="shared" si="13"/>
        <v>Yes</v>
      </c>
    </row>
    <row r="882" spans="1:17" ht="15" customHeight="1" x14ac:dyDescent="0.2">
      <c r="A882" s="7">
        <v>2022</v>
      </c>
      <c r="B882" s="7" t="s">
        <v>449</v>
      </c>
      <c r="C882" s="7">
        <v>1</v>
      </c>
      <c r="D882" s="7" t="s">
        <v>1533</v>
      </c>
      <c r="E882" s="7" t="s">
        <v>451</v>
      </c>
      <c r="F882" s="8">
        <v>61701</v>
      </c>
      <c r="G882" s="8">
        <v>184157</v>
      </c>
      <c r="H882" s="8">
        <v>7866.73</v>
      </c>
      <c r="I882" s="8">
        <v>974130.55</v>
      </c>
      <c r="J882" s="13">
        <v>0.25096193737848699</v>
      </c>
      <c r="K882" s="13">
        <v>8.0109488694306806E-3</v>
      </c>
      <c r="L882" s="7">
        <v>-1</v>
      </c>
      <c r="M882" s="13">
        <v>0.29892079764551899</v>
      </c>
      <c r="N882" s="13">
        <v>-4.7958860267031804</v>
      </c>
      <c r="O882" s="7">
        <v>1</v>
      </c>
      <c r="P882" s="7" t="s">
        <v>160</v>
      </c>
      <c r="Q882" s="7" t="str">
        <f t="shared" si="13"/>
        <v>Yes</v>
      </c>
    </row>
    <row r="883" spans="1:17" ht="15" customHeight="1" x14ac:dyDescent="0.2">
      <c r="A883" s="7">
        <v>2022</v>
      </c>
      <c r="B883" s="7" t="s">
        <v>449</v>
      </c>
      <c r="C883" s="7">
        <v>2</v>
      </c>
      <c r="D883" s="7" t="s">
        <v>452</v>
      </c>
      <c r="E883" s="7" t="s">
        <v>453</v>
      </c>
      <c r="F883" s="8">
        <v>66769</v>
      </c>
      <c r="G883" s="8">
        <v>170487</v>
      </c>
      <c r="H883" s="8">
        <v>100206.37</v>
      </c>
      <c r="I883" s="8">
        <v>2251947.27</v>
      </c>
      <c r="J883" s="13">
        <v>0.28142175540344599</v>
      </c>
      <c r="K883" s="13">
        <v>4.2601966255911797E-2</v>
      </c>
      <c r="L883" s="7">
        <v>-1</v>
      </c>
      <c r="M883" s="13">
        <v>0.31033969476932799</v>
      </c>
      <c r="N883" s="13">
        <v>-2.8917939365882099</v>
      </c>
      <c r="O883" s="7">
        <v>1</v>
      </c>
      <c r="P883" s="7" t="s">
        <v>160</v>
      </c>
      <c r="Q883" s="7" t="str">
        <f t="shared" si="13"/>
        <v>Yes</v>
      </c>
    </row>
    <row r="884" spans="1:17" ht="15" customHeight="1" x14ac:dyDescent="0.2">
      <c r="A884" s="7">
        <v>2022</v>
      </c>
      <c r="B884" s="7" t="s">
        <v>449</v>
      </c>
      <c r="C884" s="7">
        <v>3</v>
      </c>
      <c r="D884" s="7" t="s">
        <v>1534</v>
      </c>
      <c r="E884" s="7" t="s">
        <v>1535</v>
      </c>
      <c r="F884" s="8">
        <v>160920</v>
      </c>
      <c r="G884" s="8">
        <v>98637</v>
      </c>
      <c r="H884" s="8">
        <v>3891835.2</v>
      </c>
      <c r="I884" s="8">
        <v>621240.64</v>
      </c>
      <c r="J884" s="13">
        <v>0.619979426484356</v>
      </c>
      <c r="K884" s="13">
        <v>0.86234651000236695</v>
      </c>
      <c r="L884" s="7">
        <v>0</v>
      </c>
      <c r="M884" s="13">
        <v>0.62055779232722896</v>
      </c>
      <c r="N884" s="13">
        <v>-5.7836584287274097E-2</v>
      </c>
      <c r="O884" s="7">
        <v>1</v>
      </c>
      <c r="P884" s="7" t="s">
        <v>160</v>
      </c>
      <c r="Q884" s="7" t="str">
        <f t="shared" si="13"/>
        <v>Yes</v>
      </c>
    </row>
    <row r="885" spans="1:17" ht="15" customHeight="1" x14ac:dyDescent="0.2">
      <c r="A885" s="7">
        <v>2022</v>
      </c>
      <c r="B885" s="7" t="s">
        <v>449</v>
      </c>
      <c r="C885" s="7">
        <v>4</v>
      </c>
      <c r="D885" s="7" t="s">
        <v>1536</v>
      </c>
      <c r="E885" s="7" t="s">
        <v>457</v>
      </c>
      <c r="F885" s="8">
        <v>79977</v>
      </c>
      <c r="G885" s="8">
        <v>167541</v>
      </c>
      <c r="H885" s="8">
        <v>300946.84999999998</v>
      </c>
      <c r="I885" s="8">
        <v>1006631.31</v>
      </c>
      <c r="J885" s="13">
        <v>0.323115894601605</v>
      </c>
      <c r="K885" s="13">
        <v>0.23015591664516599</v>
      </c>
      <c r="L885" s="7">
        <v>-1</v>
      </c>
      <c r="M885" s="13">
        <v>0.37225343499646601</v>
      </c>
      <c r="N885" s="13">
        <v>-4.9137540394861299</v>
      </c>
      <c r="O885" s="7">
        <v>1</v>
      </c>
      <c r="P885" s="7" t="s">
        <v>160</v>
      </c>
      <c r="Q885" s="7" t="str">
        <f t="shared" si="13"/>
        <v>Yes</v>
      </c>
    </row>
    <row r="886" spans="1:17" ht="15" customHeight="1" x14ac:dyDescent="0.2">
      <c r="A886" s="7">
        <v>2022</v>
      </c>
      <c r="B886" s="7" t="s">
        <v>449</v>
      </c>
      <c r="C886" s="7">
        <v>5</v>
      </c>
      <c r="D886" s="7" t="s">
        <v>1537</v>
      </c>
      <c r="E886" s="7" t="s">
        <v>459</v>
      </c>
      <c r="F886" s="8">
        <v>38549</v>
      </c>
      <c r="G886" s="8">
        <v>177712</v>
      </c>
      <c r="H886" s="8">
        <v>19102.59</v>
      </c>
      <c r="I886" s="8">
        <v>944442.54</v>
      </c>
      <c r="J886" s="13">
        <v>0.17825220451213999</v>
      </c>
      <c r="K886" s="13">
        <v>1.9825319443003201E-2</v>
      </c>
      <c r="L886" s="7">
        <v>-1</v>
      </c>
      <c r="M886" s="13">
        <v>0.30282085876991099</v>
      </c>
      <c r="N886" s="13">
        <v>-12.456865425777</v>
      </c>
      <c r="O886" s="7">
        <v>1</v>
      </c>
      <c r="P886" s="7" t="s">
        <v>160</v>
      </c>
      <c r="Q886" s="7" t="str">
        <f t="shared" si="13"/>
        <v>Yes</v>
      </c>
    </row>
    <row r="887" spans="1:17" ht="15" customHeight="1" x14ac:dyDescent="0.2">
      <c r="A887" s="7">
        <v>2022</v>
      </c>
      <c r="B887" s="7" t="s">
        <v>449</v>
      </c>
      <c r="C887" s="7">
        <v>6</v>
      </c>
      <c r="D887" s="7" t="s">
        <v>1538</v>
      </c>
      <c r="E887" s="7" t="s">
        <v>461</v>
      </c>
      <c r="F887" s="8">
        <v>83005</v>
      </c>
      <c r="G887" s="8">
        <v>154762</v>
      </c>
      <c r="H887" s="8">
        <v>239130.65</v>
      </c>
      <c r="I887" s="8">
        <v>2172137.98</v>
      </c>
      <c r="J887" s="13">
        <v>0.34910227239272101</v>
      </c>
      <c r="K887" s="13">
        <v>9.91721316425868E-2</v>
      </c>
      <c r="L887" s="7">
        <v>-1</v>
      </c>
      <c r="M887" s="13">
        <v>0.32901416425977498</v>
      </c>
      <c r="N887" s="13">
        <v>2.0088108132946099</v>
      </c>
      <c r="O887" s="7">
        <v>1</v>
      </c>
      <c r="P887" s="7" t="s">
        <v>160</v>
      </c>
      <c r="Q887" s="7" t="str">
        <f t="shared" si="13"/>
        <v>Yes</v>
      </c>
    </row>
    <row r="888" spans="1:17" ht="15" customHeight="1" x14ac:dyDescent="0.2">
      <c r="A888" s="7">
        <v>2022</v>
      </c>
      <c r="B888" s="7" t="s">
        <v>462</v>
      </c>
      <c r="C888" s="7">
        <v>1</v>
      </c>
      <c r="D888" s="7" t="s">
        <v>1539</v>
      </c>
      <c r="E888" s="7" t="s">
        <v>464</v>
      </c>
      <c r="F888" s="8">
        <v>61467</v>
      </c>
      <c r="G888" s="8">
        <v>177670</v>
      </c>
      <c r="H888" s="8">
        <v>198000.99</v>
      </c>
      <c r="I888" s="8">
        <v>20140122.07</v>
      </c>
      <c r="J888" s="13">
        <v>0.25703676135436998</v>
      </c>
      <c r="K888" s="13">
        <v>9.7354603183328406E-3</v>
      </c>
      <c r="L888" s="7">
        <v>-1</v>
      </c>
      <c r="M888" s="13">
        <v>0.29949007893042101</v>
      </c>
      <c r="N888" s="13">
        <v>-4.24533175760505</v>
      </c>
      <c r="O888" s="7">
        <v>1</v>
      </c>
      <c r="P888" s="7" t="s">
        <v>160</v>
      </c>
      <c r="Q888" s="7" t="str">
        <f t="shared" si="13"/>
        <v>Yes</v>
      </c>
    </row>
    <row r="889" spans="1:17" ht="15" customHeight="1" x14ac:dyDescent="0.2">
      <c r="A889" s="7">
        <v>2022</v>
      </c>
      <c r="B889" s="7" t="s">
        <v>462</v>
      </c>
      <c r="C889" s="7">
        <v>2</v>
      </c>
      <c r="D889" s="7" t="s">
        <v>1540</v>
      </c>
      <c r="E889" s="7" t="s">
        <v>1541</v>
      </c>
      <c r="F889" s="8">
        <v>158120</v>
      </c>
      <c r="G889" s="8">
        <v>46927</v>
      </c>
      <c r="H889" s="8">
        <v>3138641.61</v>
      </c>
      <c r="I889" s="8">
        <v>1047796.71</v>
      </c>
      <c r="J889" s="13">
        <v>0.77114027515642802</v>
      </c>
      <c r="K889" s="13">
        <v>0.74971643437469804</v>
      </c>
      <c r="L889" s="7">
        <v>1</v>
      </c>
      <c r="M889" s="13">
        <v>0.622988184755495</v>
      </c>
      <c r="N889" s="13">
        <v>14.815209040093301</v>
      </c>
      <c r="O889" s="7">
        <v>1</v>
      </c>
      <c r="P889" s="7" t="s">
        <v>160</v>
      </c>
      <c r="Q889" s="7" t="str">
        <f t="shared" si="13"/>
        <v>Yes</v>
      </c>
    </row>
    <row r="890" spans="1:17" ht="15" customHeight="1" x14ac:dyDescent="0.2">
      <c r="A890" s="7">
        <v>2022</v>
      </c>
      <c r="B890" s="7" t="s">
        <v>462</v>
      </c>
      <c r="C890" s="7">
        <v>3</v>
      </c>
      <c r="D890" s="7" t="s">
        <v>1542</v>
      </c>
      <c r="E890" s="7" t="s">
        <v>466</v>
      </c>
      <c r="F890" s="8">
        <v>23641</v>
      </c>
      <c r="G890" s="8">
        <v>144423</v>
      </c>
      <c r="H890" s="8">
        <v>56795.23</v>
      </c>
      <c r="I890" s="8">
        <v>1109717.3799999999</v>
      </c>
      <c r="J890" s="13">
        <v>0.14066665079969501</v>
      </c>
      <c r="K890" s="13">
        <v>4.8688054902381199E-2</v>
      </c>
      <c r="L890" s="7">
        <v>-1</v>
      </c>
      <c r="M890" s="13">
        <v>0.31234878341115502</v>
      </c>
      <c r="N890" s="13">
        <v>-17.168213261146001</v>
      </c>
      <c r="O890" s="7">
        <v>1</v>
      </c>
      <c r="P890" s="7" t="s">
        <v>160</v>
      </c>
      <c r="Q890" s="7" t="str">
        <f t="shared" si="13"/>
        <v>Yes</v>
      </c>
    </row>
    <row r="891" spans="1:17" ht="15" customHeight="1" x14ac:dyDescent="0.2">
      <c r="A891" s="7">
        <v>2022</v>
      </c>
      <c r="B891" s="7" t="s">
        <v>462</v>
      </c>
      <c r="C891" s="7">
        <v>5</v>
      </c>
      <c r="D891" s="7" t="s">
        <v>1543</v>
      </c>
      <c r="E891" s="7" t="s">
        <v>1544</v>
      </c>
      <c r="F891" s="8">
        <v>35149</v>
      </c>
      <c r="G891" s="8">
        <v>151080</v>
      </c>
      <c r="H891" s="8">
        <v>0</v>
      </c>
      <c r="I891" s="8">
        <v>2095170.66</v>
      </c>
      <c r="J891" s="13">
        <v>0.18874074392280499</v>
      </c>
      <c r="K891" s="13">
        <v>0</v>
      </c>
      <c r="L891" s="7">
        <v>-1</v>
      </c>
      <c r="M891" s="13">
        <v>0.29627629025846802</v>
      </c>
      <c r="N891" s="13">
        <v>-10.753554633566401</v>
      </c>
      <c r="O891" s="7">
        <v>1</v>
      </c>
      <c r="P891" s="7" t="s">
        <v>160</v>
      </c>
      <c r="Q891" s="7" t="str">
        <f t="shared" si="13"/>
        <v>Yes</v>
      </c>
    </row>
    <row r="892" spans="1:17" ht="15" customHeight="1" x14ac:dyDescent="0.2">
      <c r="A892" s="7">
        <v>2022</v>
      </c>
      <c r="B892" s="7" t="s">
        <v>473</v>
      </c>
      <c r="C892" s="7">
        <v>1</v>
      </c>
      <c r="D892" s="7" t="s">
        <v>1545</v>
      </c>
      <c r="E892" s="7" t="s">
        <v>1546</v>
      </c>
      <c r="F892" s="8">
        <v>157635</v>
      </c>
      <c r="G892" s="8">
        <v>98386</v>
      </c>
      <c r="H892" s="8">
        <v>2393749.98</v>
      </c>
      <c r="I892" s="8">
        <v>19491.64</v>
      </c>
      <c r="J892" s="13">
        <v>0.61571121118970695</v>
      </c>
      <c r="K892" s="13">
        <v>0.99192304664462105</v>
      </c>
      <c r="L892" s="7">
        <v>1</v>
      </c>
      <c r="M892" s="13">
        <v>0.70294340426567903</v>
      </c>
      <c r="N892" s="13">
        <v>-8.7232193075972209</v>
      </c>
      <c r="O892" s="7">
        <v>1</v>
      </c>
      <c r="P892" s="7" t="s">
        <v>160</v>
      </c>
      <c r="Q892" s="7" t="str">
        <f t="shared" si="13"/>
        <v>Yes</v>
      </c>
    </row>
    <row r="893" spans="1:17" ht="15" customHeight="1" x14ac:dyDescent="0.2">
      <c r="A893" s="7">
        <v>2022</v>
      </c>
      <c r="B893" s="7" t="s">
        <v>473</v>
      </c>
      <c r="C893" s="7">
        <v>2</v>
      </c>
      <c r="D893" s="7" t="s">
        <v>474</v>
      </c>
      <c r="E893" s="7" t="s">
        <v>1547</v>
      </c>
      <c r="F893" s="8">
        <v>180639</v>
      </c>
      <c r="G893" s="8">
        <v>91956</v>
      </c>
      <c r="H893" s="8">
        <v>1013790.27</v>
      </c>
      <c r="I893" s="8">
        <v>136673.9</v>
      </c>
      <c r="J893" s="13">
        <v>0.66266439223023199</v>
      </c>
      <c r="K893" s="13">
        <v>0.881201080777683</v>
      </c>
      <c r="L893" s="7">
        <v>1</v>
      </c>
      <c r="M893" s="13">
        <v>0.66639279566534804</v>
      </c>
      <c r="N893" s="13">
        <v>-0.37284034351162698</v>
      </c>
      <c r="O893" s="7">
        <v>1</v>
      </c>
      <c r="P893" s="7" t="s">
        <v>160</v>
      </c>
      <c r="Q893" s="7" t="str">
        <f t="shared" si="13"/>
        <v>Yes</v>
      </c>
    </row>
    <row r="894" spans="1:17" ht="15" customHeight="1" x14ac:dyDescent="0.2">
      <c r="A894" s="7">
        <v>2022</v>
      </c>
      <c r="B894" s="7" t="s">
        <v>473</v>
      </c>
      <c r="C894" s="7">
        <v>3</v>
      </c>
      <c r="D894" s="7" t="s">
        <v>476</v>
      </c>
      <c r="E894" s="7" t="s">
        <v>1548</v>
      </c>
      <c r="F894" s="8">
        <v>154496</v>
      </c>
      <c r="G894" s="8">
        <v>88585</v>
      </c>
      <c r="H894" s="8">
        <v>1386917.34</v>
      </c>
      <c r="I894" s="8">
        <v>158145.09</v>
      </c>
      <c r="J894" s="13">
        <v>0.63557415018039298</v>
      </c>
      <c r="K894" s="13">
        <v>0.89764485438947605</v>
      </c>
      <c r="L894" s="7">
        <v>1</v>
      </c>
      <c r="M894" s="13">
        <v>0.67182107657140899</v>
      </c>
      <c r="N894" s="13">
        <v>-3.6246926391016898</v>
      </c>
      <c r="O894" s="7">
        <v>1</v>
      </c>
      <c r="P894" s="7" t="s">
        <v>160</v>
      </c>
      <c r="Q894" s="7" t="str">
        <f t="shared" si="13"/>
        <v>Yes</v>
      </c>
    </row>
    <row r="895" spans="1:17" ht="15" customHeight="1" x14ac:dyDescent="0.2">
      <c r="A895" s="7">
        <v>2022</v>
      </c>
      <c r="B895" s="7" t="s">
        <v>473</v>
      </c>
      <c r="C895" s="7">
        <v>5</v>
      </c>
      <c r="D895" s="7" t="s">
        <v>478</v>
      </c>
      <c r="E895" s="7" t="s">
        <v>1116</v>
      </c>
      <c r="F895" s="8">
        <v>203994</v>
      </c>
      <c r="G895" s="8">
        <v>71491</v>
      </c>
      <c r="H895" s="8">
        <v>2360367.4500000002</v>
      </c>
      <c r="I895" s="8">
        <v>106347</v>
      </c>
      <c r="J895" s="13">
        <v>0.74049040782619802</v>
      </c>
      <c r="K895" s="13">
        <v>0.95688718651646099</v>
      </c>
      <c r="L895" s="7">
        <v>1</v>
      </c>
      <c r="M895" s="13">
        <v>0.69137765937943596</v>
      </c>
      <c r="N895" s="13">
        <v>4.9112748446761296</v>
      </c>
      <c r="O895" s="7">
        <v>1</v>
      </c>
      <c r="P895" s="7" t="s">
        <v>160</v>
      </c>
      <c r="Q895" s="7" t="str">
        <f t="shared" si="13"/>
        <v>Yes</v>
      </c>
    </row>
    <row r="896" spans="1:17" ht="15" customHeight="1" x14ac:dyDescent="0.2">
      <c r="A896" s="7">
        <v>2022</v>
      </c>
      <c r="B896" s="7" t="s">
        <v>473</v>
      </c>
      <c r="C896" s="7">
        <v>6</v>
      </c>
      <c r="D896" s="7" t="s">
        <v>480</v>
      </c>
      <c r="E896" s="7" t="s">
        <v>1549</v>
      </c>
      <c r="F896" s="8">
        <v>198119</v>
      </c>
      <c r="G896" s="8">
        <v>110770</v>
      </c>
      <c r="H896" s="8">
        <v>1613470.54</v>
      </c>
      <c r="I896" s="8">
        <v>40158.550000000003</v>
      </c>
      <c r="J896" s="13">
        <v>0.641392215326541</v>
      </c>
      <c r="K896" s="13">
        <v>0.97571489867779204</v>
      </c>
      <c r="L896" s="7">
        <v>1</v>
      </c>
      <c r="M896" s="13">
        <v>0.69759290612528602</v>
      </c>
      <c r="N896" s="13">
        <v>-5.6200690798744199</v>
      </c>
      <c r="O896" s="7">
        <v>1</v>
      </c>
      <c r="P896" s="7" t="s">
        <v>160</v>
      </c>
      <c r="Q896" s="7" t="str">
        <f t="shared" si="13"/>
        <v>Yes</v>
      </c>
    </row>
    <row r="897" spans="1:17" ht="15" customHeight="1" x14ac:dyDescent="0.2">
      <c r="A897" s="7">
        <v>2022</v>
      </c>
      <c r="B897" s="7" t="s">
        <v>473</v>
      </c>
      <c r="C897" s="7">
        <v>7</v>
      </c>
      <c r="D897" s="7" t="s">
        <v>1550</v>
      </c>
      <c r="E897" s="7" t="s">
        <v>1551</v>
      </c>
      <c r="F897" s="8">
        <v>151825</v>
      </c>
      <c r="G897" s="8">
        <v>27129</v>
      </c>
      <c r="H897" s="8">
        <v>1651525.85</v>
      </c>
      <c r="I897" s="8">
        <v>127500</v>
      </c>
      <c r="J897" s="13">
        <v>0.84840238273522794</v>
      </c>
      <c r="K897" s="13">
        <v>0.92833156415349505</v>
      </c>
      <c r="L897" s="7">
        <v>1</v>
      </c>
      <c r="M897" s="13">
        <v>0.68195111634296202</v>
      </c>
      <c r="N897" s="13">
        <v>16.6451266392266</v>
      </c>
      <c r="O897" s="7">
        <v>1</v>
      </c>
      <c r="P897" s="7" t="s">
        <v>160</v>
      </c>
      <c r="Q897" s="7" t="str">
        <f t="shared" si="13"/>
        <v>Yes</v>
      </c>
    </row>
    <row r="898" spans="1:17" ht="15" customHeight="1" x14ac:dyDescent="0.2">
      <c r="A898" s="7">
        <v>2022</v>
      </c>
      <c r="B898" s="7" t="s">
        <v>473</v>
      </c>
      <c r="C898" s="7">
        <v>9</v>
      </c>
      <c r="D898" s="7" t="s">
        <v>482</v>
      </c>
      <c r="E898" s="7" t="s">
        <v>1552</v>
      </c>
      <c r="F898" s="8">
        <v>197823</v>
      </c>
      <c r="G898" s="8">
        <v>136347</v>
      </c>
      <c r="H898" s="8">
        <v>1361110.84</v>
      </c>
      <c r="I898" s="8">
        <v>334478.21000000002</v>
      </c>
      <c r="J898" s="13">
        <v>0.59198312236286899</v>
      </c>
      <c r="K898" s="13">
        <v>0.80273627622211896</v>
      </c>
      <c r="L898" s="7">
        <v>1</v>
      </c>
      <c r="M898" s="13">
        <v>0.640490651156294</v>
      </c>
      <c r="N898" s="13">
        <v>-4.8507528793425001</v>
      </c>
      <c r="O898" s="7">
        <v>1</v>
      </c>
      <c r="P898" s="7" t="s">
        <v>160</v>
      </c>
      <c r="Q898" s="7" t="str">
        <f t="shared" si="13"/>
        <v>Yes</v>
      </c>
    </row>
    <row r="899" spans="1:17" ht="15" customHeight="1" x14ac:dyDescent="0.2">
      <c r="A899" s="7">
        <v>2022</v>
      </c>
      <c r="B899" s="7" t="s">
        <v>484</v>
      </c>
      <c r="C899" s="7">
        <v>1</v>
      </c>
      <c r="D899" s="7" t="s">
        <v>1553</v>
      </c>
      <c r="E899" s="7" t="s">
        <v>486</v>
      </c>
      <c r="F899" s="8">
        <v>126511</v>
      </c>
      <c r="G899" s="8">
        <v>159673</v>
      </c>
      <c r="H899" s="8">
        <v>2790516.25</v>
      </c>
      <c r="I899" s="8">
        <v>2152603.86</v>
      </c>
      <c r="J899" s="13">
        <v>0.44206175048220703</v>
      </c>
      <c r="K899" s="13">
        <v>0.56452527713310996</v>
      </c>
      <c r="L899" s="7">
        <v>-1</v>
      </c>
      <c r="M899" s="13">
        <v>0.48263264952220197</v>
      </c>
      <c r="N899" s="13">
        <v>-4.0570899039994597</v>
      </c>
      <c r="O899" s="7">
        <v>1</v>
      </c>
      <c r="P899" s="7" t="s">
        <v>160</v>
      </c>
      <c r="Q899" s="7" t="str">
        <f t="shared" si="13"/>
        <v>Yes</v>
      </c>
    </row>
    <row r="900" spans="1:17" ht="15" customHeight="1" x14ac:dyDescent="0.2">
      <c r="A900" s="7">
        <v>2022</v>
      </c>
      <c r="B900" s="7" t="s">
        <v>484</v>
      </c>
      <c r="C900" s="7">
        <v>2</v>
      </c>
      <c r="D900" s="7" t="s">
        <v>487</v>
      </c>
      <c r="E900" s="7" t="s">
        <v>1554</v>
      </c>
      <c r="F900" s="8">
        <v>158998</v>
      </c>
      <c r="G900" s="8">
        <v>109075</v>
      </c>
      <c r="H900" s="8">
        <v>1390160.13</v>
      </c>
      <c r="I900" s="8">
        <v>500122.32</v>
      </c>
      <c r="J900" s="13">
        <v>0.59311456207823998</v>
      </c>
      <c r="K900" s="13">
        <v>0.73542455520337702</v>
      </c>
      <c r="L900" s="7">
        <v>1</v>
      </c>
      <c r="M900" s="13">
        <v>0.618270269230206</v>
      </c>
      <c r="N900" s="13">
        <v>-2.5155707151965698</v>
      </c>
      <c r="O900" s="7">
        <v>1</v>
      </c>
      <c r="P900" s="7" t="s">
        <v>160</v>
      </c>
      <c r="Q900" s="7" t="str">
        <f t="shared" ref="Q900:Q963" si="14">IF(A900=2024,"No -- held out","Yes")</f>
        <v>Yes</v>
      </c>
    </row>
    <row r="901" spans="1:17" ht="15" customHeight="1" x14ac:dyDescent="0.2">
      <c r="A901" s="7">
        <v>2022</v>
      </c>
      <c r="B901" s="7" t="s">
        <v>484</v>
      </c>
      <c r="C901" s="7">
        <v>3</v>
      </c>
      <c r="D901" s="7" t="s">
        <v>1121</v>
      </c>
      <c r="E901" s="7" t="s">
        <v>1555</v>
      </c>
      <c r="F901" s="8">
        <v>175514</v>
      </c>
      <c r="G901" s="8">
        <v>115801</v>
      </c>
      <c r="H901" s="8">
        <v>740455.43</v>
      </c>
      <c r="I901" s="8">
        <v>500292.9</v>
      </c>
      <c r="J901" s="13">
        <v>0.60248871496490097</v>
      </c>
      <c r="K901" s="13">
        <v>0.59678132309071896</v>
      </c>
      <c r="L901" s="7">
        <v>1</v>
      </c>
      <c r="M901" s="13">
        <v>0.57250252592509998</v>
      </c>
      <c r="N901" s="13">
        <v>2.9986189039800601</v>
      </c>
      <c r="O901" s="7">
        <v>1</v>
      </c>
      <c r="P901" s="7" t="s">
        <v>160</v>
      </c>
      <c r="Q901" s="7" t="str">
        <f t="shared" si="14"/>
        <v>Yes</v>
      </c>
    </row>
    <row r="902" spans="1:17" ht="15" customHeight="1" x14ac:dyDescent="0.2">
      <c r="A902" s="7">
        <v>2022</v>
      </c>
      <c r="B902" s="7" t="s">
        <v>484</v>
      </c>
      <c r="C902" s="7">
        <v>5</v>
      </c>
      <c r="D902" s="7" t="s">
        <v>1556</v>
      </c>
      <c r="E902" s="7" t="s">
        <v>1125</v>
      </c>
      <c r="F902" s="8">
        <v>182478</v>
      </c>
      <c r="G902" s="8">
        <v>94000</v>
      </c>
      <c r="H902" s="8">
        <v>4077029.15</v>
      </c>
      <c r="I902" s="8">
        <v>64701.11</v>
      </c>
      <c r="J902" s="13">
        <v>0.66000911464926704</v>
      </c>
      <c r="K902" s="13">
        <v>0.98437824147437403</v>
      </c>
      <c r="L902" s="7">
        <v>1</v>
      </c>
      <c r="M902" s="13">
        <v>0.70045277633486003</v>
      </c>
      <c r="N902" s="13">
        <v>-4.0443661685592804</v>
      </c>
      <c r="O902" s="7">
        <v>1</v>
      </c>
      <c r="P902" s="7" t="s">
        <v>160</v>
      </c>
      <c r="Q902" s="7" t="str">
        <f t="shared" si="14"/>
        <v>Yes</v>
      </c>
    </row>
    <row r="903" spans="1:17" ht="15" customHeight="1" x14ac:dyDescent="0.2">
      <c r="A903" s="7">
        <v>2022</v>
      </c>
      <c r="B903" s="7" t="s">
        <v>484</v>
      </c>
      <c r="C903" s="7">
        <v>6</v>
      </c>
      <c r="D903" s="7" t="s">
        <v>1126</v>
      </c>
      <c r="E903" s="7" t="s">
        <v>1127</v>
      </c>
      <c r="F903" s="8">
        <v>140295</v>
      </c>
      <c r="G903" s="8">
        <v>115771</v>
      </c>
      <c r="H903" s="8">
        <v>13039703.18</v>
      </c>
      <c r="I903" s="8">
        <v>1204862.7</v>
      </c>
      <c r="J903" s="13">
        <v>0.54788609186694104</v>
      </c>
      <c r="K903" s="13">
        <v>0.91541597615890302</v>
      </c>
      <c r="L903" s="7">
        <v>1</v>
      </c>
      <c r="M903" s="13">
        <v>0.67768753054102004</v>
      </c>
      <c r="N903" s="13">
        <v>-12.9801438674079</v>
      </c>
      <c r="O903" s="7">
        <v>1</v>
      </c>
      <c r="P903" s="7" t="s">
        <v>160</v>
      </c>
      <c r="Q903" s="7" t="str">
        <f t="shared" si="14"/>
        <v>Yes</v>
      </c>
    </row>
    <row r="904" spans="1:17" ht="15" customHeight="1" x14ac:dyDescent="0.2">
      <c r="A904" s="7">
        <v>2022</v>
      </c>
      <c r="B904" s="7" t="s">
        <v>484</v>
      </c>
      <c r="C904" s="7">
        <v>7</v>
      </c>
      <c r="D904" s="7" t="s">
        <v>1557</v>
      </c>
      <c r="E904" s="7" t="s">
        <v>1558</v>
      </c>
      <c r="F904" s="8">
        <v>151640</v>
      </c>
      <c r="G904" s="8">
        <v>32737</v>
      </c>
      <c r="H904" s="8">
        <v>309761.34999999998</v>
      </c>
      <c r="I904" s="8">
        <v>0</v>
      </c>
      <c r="J904" s="13">
        <v>0.82244531584742098</v>
      </c>
      <c r="K904" s="13">
        <v>1</v>
      </c>
      <c r="L904" s="7">
        <v>1</v>
      </c>
      <c r="M904" s="13">
        <v>0.70560970050115601</v>
      </c>
      <c r="N904" s="13">
        <v>11.6835615346265</v>
      </c>
      <c r="O904" s="7">
        <v>1</v>
      </c>
      <c r="P904" s="7" t="s">
        <v>160</v>
      </c>
      <c r="Q904" s="7" t="str">
        <f t="shared" si="14"/>
        <v>Yes</v>
      </c>
    </row>
    <row r="905" spans="1:17" ht="15" customHeight="1" x14ac:dyDescent="0.2">
      <c r="A905" s="7">
        <v>2022</v>
      </c>
      <c r="B905" s="7" t="s">
        <v>484</v>
      </c>
      <c r="C905" s="7">
        <v>8</v>
      </c>
      <c r="D905" s="7" t="s">
        <v>1130</v>
      </c>
      <c r="E905" s="7" t="s">
        <v>1131</v>
      </c>
      <c r="F905" s="8">
        <v>211842</v>
      </c>
      <c r="G905" s="8">
        <v>47965</v>
      </c>
      <c r="H905" s="8">
        <v>2919510.68</v>
      </c>
      <c r="I905" s="8">
        <v>17756.650000000001</v>
      </c>
      <c r="J905" s="13">
        <v>0.81538218754691005</v>
      </c>
      <c r="K905" s="13">
        <v>0.99395470415013298</v>
      </c>
      <c r="L905" s="7">
        <v>1</v>
      </c>
      <c r="M905" s="13">
        <v>0.70361407803589704</v>
      </c>
      <c r="N905" s="13">
        <v>11.176810951101301</v>
      </c>
      <c r="O905" s="7">
        <v>1</v>
      </c>
      <c r="P905" s="7" t="s">
        <v>160</v>
      </c>
      <c r="Q905" s="7" t="str">
        <f t="shared" si="14"/>
        <v>Yes</v>
      </c>
    </row>
    <row r="906" spans="1:17" ht="15" customHeight="1" x14ac:dyDescent="0.2">
      <c r="A906" s="7">
        <v>2022</v>
      </c>
      <c r="B906" s="7" t="s">
        <v>495</v>
      </c>
      <c r="C906" s="7">
        <v>1</v>
      </c>
      <c r="D906" s="7" t="s">
        <v>1132</v>
      </c>
      <c r="E906" s="7" t="s">
        <v>1559</v>
      </c>
      <c r="F906" s="8">
        <v>219753</v>
      </c>
      <c r="G906" s="8">
        <v>129263</v>
      </c>
      <c r="H906" s="8">
        <v>619064.91</v>
      </c>
      <c r="I906" s="8">
        <v>445248.08</v>
      </c>
      <c r="J906" s="13">
        <v>0.62963589061819503</v>
      </c>
      <c r="K906" s="13">
        <v>0.58165682070647295</v>
      </c>
      <c r="L906" s="7">
        <v>1</v>
      </c>
      <c r="M906" s="13">
        <v>0.56750975179403296</v>
      </c>
      <c r="N906" s="13">
        <v>6.2126138824162398</v>
      </c>
      <c r="O906" s="7">
        <v>1</v>
      </c>
      <c r="P906" s="7" t="s">
        <v>160</v>
      </c>
      <c r="Q906" s="7" t="str">
        <f t="shared" si="14"/>
        <v>Yes</v>
      </c>
    </row>
    <row r="907" spans="1:17" ht="15" customHeight="1" x14ac:dyDescent="0.2">
      <c r="A907" s="7">
        <v>2022</v>
      </c>
      <c r="B907" s="7" t="s">
        <v>495</v>
      </c>
      <c r="C907" s="7">
        <v>2</v>
      </c>
      <c r="D907" s="7" t="s">
        <v>1560</v>
      </c>
      <c r="E907" s="7" t="s">
        <v>1561</v>
      </c>
      <c r="F907" s="8">
        <v>153074</v>
      </c>
      <c r="G907" s="8">
        <v>141260</v>
      </c>
      <c r="H907" s="8">
        <v>16526571.1</v>
      </c>
      <c r="I907" s="8">
        <v>14986454.890000001</v>
      </c>
      <c r="J907" s="13">
        <v>0.52006903721622399</v>
      </c>
      <c r="K907" s="13">
        <v>0.524436184111433</v>
      </c>
      <c r="L907" s="7">
        <v>1</v>
      </c>
      <c r="M907" s="13">
        <v>0.54862055419289402</v>
      </c>
      <c r="N907" s="13">
        <v>-2.8551516976670399</v>
      </c>
      <c r="O907" s="7">
        <v>1</v>
      </c>
      <c r="P907" s="7" t="s">
        <v>160</v>
      </c>
      <c r="Q907" s="7" t="str">
        <f t="shared" si="14"/>
        <v>Yes</v>
      </c>
    </row>
    <row r="908" spans="1:17" ht="15" customHeight="1" x14ac:dyDescent="0.2">
      <c r="A908" s="7">
        <v>2022</v>
      </c>
      <c r="B908" s="7" t="s">
        <v>500</v>
      </c>
      <c r="C908" s="7">
        <v>1</v>
      </c>
      <c r="D908" s="7" t="s">
        <v>1562</v>
      </c>
      <c r="E908" s="7" t="s">
        <v>502</v>
      </c>
      <c r="F908" s="8">
        <v>145403</v>
      </c>
      <c r="G908" s="8">
        <v>233094</v>
      </c>
      <c r="H908" s="8">
        <v>578266.86</v>
      </c>
      <c r="I908" s="8">
        <v>1974216.2</v>
      </c>
      <c r="J908" s="13">
        <v>0.38415892332039597</v>
      </c>
      <c r="K908" s="13">
        <v>0.22655071411130201</v>
      </c>
      <c r="L908" s="7">
        <v>-1</v>
      </c>
      <c r="M908" s="13">
        <v>0.37106331571246998</v>
      </c>
      <c r="N908" s="13">
        <v>1.3095607607926401</v>
      </c>
      <c r="O908" s="7">
        <v>1</v>
      </c>
      <c r="P908" s="7" t="s">
        <v>160</v>
      </c>
      <c r="Q908" s="7" t="str">
        <f t="shared" si="14"/>
        <v>Yes</v>
      </c>
    </row>
    <row r="909" spans="1:17" ht="15" customHeight="1" x14ac:dyDescent="0.2">
      <c r="A909" s="7">
        <v>2022</v>
      </c>
      <c r="B909" s="7" t="s">
        <v>500</v>
      </c>
      <c r="C909" s="7">
        <v>2</v>
      </c>
      <c r="D909" s="7" t="s">
        <v>1138</v>
      </c>
      <c r="E909" s="7" t="s">
        <v>1139</v>
      </c>
      <c r="F909" s="8">
        <v>116452</v>
      </c>
      <c r="G909" s="8">
        <v>216222</v>
      </c>
      <c r="H909" s="8">
        <v>31000.880000000001</v>
      </c>
      <c r="I909" s="8">
        <v>2304010.7200000002</v>
      </c>
      <c r="J909" s="13">
        <v>0.35004839572674801</v>
      </c>
      <c r="K909" s="13">
        <v>1.3276542180775499E-2</v>
      </c>
      <c r="L909" s="7">
        <v>-1</v>
      </c>
      <c r="M909" s="13">
        <v>0.30065903123507398</v>
      </c>
      <c r="N909" s="13">
        <v>4.9389364491673904</v>
      </c>
      <c r="O909" s="7">
        <v>1</v>
      </c>
      <c r="P909" s="7" t="s">
        <v>160</v>
      </c>
      <c r="Q909" s="7" t="str">
        <f t="shared" si="14"/>
        <v>Yes</v>
      </c>
    </row>
    <row r="910" spans="1:17" ht="15" customHeight="1" x14ac:dyDescent="0.2">
      <c r="A910" s="7">
        <v>2022</v>
      </c>
      <c r="B910" s="7" t="s">
        <v>500</v>
      </c>
      <c r="C910" s="7">
        <v>3</v>
      </c>
      <c r="D910" s="7" t="s">
        <v>1136</v>
      </c>
      <c r="E910" s="7" t="s">
        <v>1563</v>
      </c>
      <c r="F910" s="8">
        <v>185989</v>
      </c>
      <c r="G910" s="8">
        <v>142229</v>
      </c>
      <c r="H910" s="8">
        <v>9363059.2799999993</v>
      </c>
      <c r="I910" s="8">
        <v>5501262.71</v>
      </c>
      <c r="J910" s="13">
        <v>0.56666301056005497</v>
      </c>
      <c r="K910" s="13">
        <v>0.62990153780973102</v>
      </c>
      <c r="L910" s="7">
        <v>0</v>
      </c>
      <c r="M910" s="13">
        <v>0.54382500373189102</v>
      </c>
      <c r="N910" s="13">
        <v>2.28380068281635</v>
      </c>
      <c r="O910" s="7">
        <v>1</v>
      </c>
      <c r="P910" s="7" t="s">
        <v>160</v>
      </c>
      <c r="Q910" s="7" t="str">
        <f t="shared" si="14"/>
        <v>Yes</v>
      </c>
    </row>
    <row r="911" spans="1:17" ht="15" customHeight="1" x14ac:dyDescent="0.2">
      <c r="A911" s="7">
        <v>2022</v>
      </c>
      <c r="B911" s="7" t="s">
        <v>500</v>
      </c>
      <c r="C911" s="7">
        <v>5</v>
      </c>
      <c r="D911" s="7" t="s">
        <v>1564</v>
      </c>
      <c r="E911" s="7" t="s">
        <v>510</v>
      </c>
      <c r="F911" s="8">
        <v>110946</v>
      </c>
      <c r="G911" s="8">
        <v>198020</v>
      </c>
      <c r="H911" s="8">
        <v>163552.42000000001</v>
      </c>
      <c r="I911" s="8">
        <v>1227610.52</v>
      </c>
      <c r="J911" s="13">
        <v>0.359088054996343</v>
      </c>
      <c r="K911" s="13">
        <v>0.117565250839704</v>
      </c>
      <c r="L911" s="7">
        <v>-1</v>
      </c>
      <c r="M911" s="13">
        <v>0.335085946813934</v>
      </c>
      <c r="N911" s="13">
        <v>2.4002108182409101</v>
      </c>
      <c r="O911" s="7">
        <v>1</v>
      </c>
      <c r="P911" s="7" t="s">
        <v>160</v>
      </c>
      <c r="Q911" s="7" t="str">
        <f t="shared" si="14"/>
        <v>Yes</v>
      </c>
    </row>
    <row r="912" spans="1:17" ht="15" customHeight="1" x14ac:dyDescent="0.2">
      <c r="A912" s="7">
        <v>2022</v>
      </c>
      <c r="B912" s="7" t="s">
        <v>500</v>
      </c>
      <c r="C912" s="7">
        <v>6</v>
      </c>
      <c r="D912" s="7" t="s">
        <v>519</v>
      </c>
      <c r="E912" s="7" t="s">
        <v>1565</v>
      </c>
      <c r="F912" s="8">
        <v>241759</v>
      </c>
      <c r="G912" s="8">
        <v>125167</v>
      </c>
      <c r="H912" s="8">
        <v>1606610.26</v>
      </c>
      <c r="I912" s="8">
        <v>11777.41</v>
      </c>
      <c r="J912" s="13">
        <v>0.658876721736808</v>
      </c>
      <c r="K912" s="13">
        <v>0.99272275103282304</v>
      </c>
      <c r="L912" s="7">
        <v>1</v>
      </c>
      <c r="M912" s="13">
        <v>0.70320739598457904</v>
      </c>
      <c r="N912" s="13">
        <v>-4.4330674247770601</v>
      </c>
      <c r="O912" s="7">
        <v>1</v>
      </c>
      <c r="P912" s="7" t="s">
        <v>160</v>
      </c>
      <c r="Q912" s="7" t="str">
        <f t="shared" si="14"/>
        <v>Yes</v>
      </c>
    </row>
    <row r="913" spans="1:17" ht="15" customHeight="1" x14ac:dyDescent="0.2">
      <c r="A913" s="7">
        <v>2022</v>
      </c>
      <c r="B913" s="7" t="s">
        <v>500</v>
      </c>
      <c r="C913" s="7">
        <v>7</v>
      </c>
      <c r="D913" s="7" t="s">
        <v>511</v>
      </c>
      <c r="E913" s="7" t="s">
        <v>1566</v>
      </c>
      <c r="F913" s="8">
        <v>192809</v>
      </c>
      <c r="G913" s="8">
        <v>172624</v>
      </c>
      <c r="H913" s="8">
        <v>23889171.920000002</v>
      </c>
      <c r="I913" s="8">
        <v>16393889.619999999</v>
      </c>
      <c r="J913" s="13">
        <v>0.52761792175309796</v>
      </c>
      <c r="K913" s="13">
        <v>0.59303267941238003</v>
      </c>
      <c r="L913" s="7">
        <v>1</v>
      </c>
      <c r="M913" s="13">
        <v>0.57126505505113001</v>
      </c>
      <c r="N913" s="13">
        <v>-4.3647133298031404</v>
      </c>
      <c r="O913" s="7">
        <v>1</v>
      </c>
      <c r="P913" s="7" t="s">
        <v>160</v>
      </c>
      <c r="Q913" s="7" t="str">
        <f t="shared" si="14"/>
        <v>Yes</v>
      </c>
    </row>
    <row r="914" spans="1:17" ht="15" customHeight="1" x14ac:dyDescent="0.2">
      <c r="A914" s="7">
        <v>2022</v>
      </c>
      <c r="B914" s="7" t="s">
        <v>500</v>
      </c>
      <c r="C914" s="7">
        <v>8</v>
      </c>
      <c r="D914" s="7" t="s">
        <v>1140</v>
      </c>
      <c r="E914" s="7" t="s">
        <v>1144</v>
      </c>
      <c r="F914" s="8">
        <v>178322</v>
      </c>
      <c r="G914" s="8">
        <v>143850</v>
      </c>
      <c r="H914" s="8">
        <v>12175926.75</v>
      </c>
      <c r="I914" s="8">
        <v>6031947.3399999999</v>
      </c>
      <c r="J914" s="13">
        <v>0.55349937300572405</v>
      </c>
      <c r="K914" s="13">
        <v>0.66871764873896899</v>
      </c>
      <c r="L914" s="7">
        <v>1</v>
      </c>
      <c r="M914" s="13">
        <v>0.59624954362233795</v>
      </c>
      <c r="N914" s="13">
        <v>-4.2750170616614698</v>
      </c>
      <c r="O914" s="7">
        <v>1</v>
      </c>
      <c r="P914" s="7" t="s">
        <v>160</v>
      </c>
      <c r="Q914" s="7" t="str">
        <f t="shared" si="14"/>
        <v>Yes</v>
      </c>
    </row>
    <row r="915" spans="1:17" ht="15" customHeight="1" x14ac:dyDescent="0.2">
      <c r="A915" s="7">
        <v>2022</v>
      </c>
      <c r="B915" s="7" t="s">
        <v>500</v>
      </c>
      <c r="C915" s="7">
        <v>9</v>
      </c>
      <c r="D915" s="7" t="s">
        <v>1567</v>
      </c>
      <c r="E915" s="7" t="s">
        <v>1145</v>
      </c>
      <c r="F915" s="8">
        <v>123702</v>
      </c>
      <c r="G915" s="8">
        <v>238300</v>
      </c>
      <c r="H915" s="8">
        <v>48472.35</v>
      </c>
      <c r="I915" s="8">
        <v>402537.07</v>
      </c>
      <c r="J915" s="13">
        <v>0.34171634410859603</v>
      </c>
      <c r="K915" s="13">
        <v>0.107475249630041</v>
      </c>
      <c r="L915" s="7">
        <v>-1</v>
      </c>
      <c r="M915" s="13">
        <v>0.33175512007053498</v>
      </c>
      <c r="N915" s="13">
        <v>0.99612240380610495</v>
      </c>
      <c r="O915" s="7">
        <v>1</v>
      </c>
      <c r="P915" s="7" t="s">
        <v>160</v>
      </c>
      <c r="Q915" s="7" t="str">
        <f t="shared" si="14"/>
        <v>Yes</v>
      </c>
    </row>
    <row r="916" spans="1:17" ht="15" customHeight="1" x14ac:dyDescent="0.2">
      <c r="A916" s="7">
        <v>2022</v>
      </c>
      <c r="B916" s="7" t="s">
        <v>500</v>
      </c>
      <c r="C916" s="7">
        <v>10</v>
      </c>
      <c r="D916" s="7" t="s">
        <v>1568</v>
      </c>
      <c r="E916" s="7" t="s">
        <v>1569</v>
      </c>
      <c r="F916" s="8">
        <v>157602</v>
      </c>
      <c r="G916" s="8">
        <v>159202</v>
      </c>
      <c r="H916" s="8">
        <v>1056240.3400000001</v>
      </c>
      <c r="I916" s="8">
        <v>7661430.2999999998</v>
      </c>
      <c r="J916" s="13">
        <v>0.49747477935884699</v>
      </c>
      <c r="K916" s="13">
        <v>0.121160844865321</v>
      </c>
      <c r="L916" s="7">
        <v>0</v>
      </c>
      <c r="M916" s="13">
        <v>0.37588378446904702</v>
      </c>
      <c r="N916" s="13">
        <v>12.1590994889799</v>
      </c>
      <c r="O916" s="7">
        <v>1</v>
      </c>
      <c r="P916" s="7" t="s">
        <v>160</v>
      </c>
      <c r="Q916" s="7" t="str">
        <f t="shared" si="14"/>
        <v>Yes</v>
      </c>
    </row>
    <row r="917" spans="1:17" ht="15" customHeight="1" x14ac:dyDescent="0.2">
      <c r="A917" s="7">
        <v>2022</v>
      </c>
      <c r="B917" s="7" t="s">
        <v>500</v>
      </c>
      <c r="C917" s="7">
        <v>11</v>
      </c>
      <c r="D917" s="7" t="s">
        <v>517</v>
      </c>
      <c r="E917" s="7" t="s">
        <v>1570</v>
      </c>
      <c r="F917" s="8">
        <v>224537</v>
      </c>
      <c r="G917" s="8">
        <v>141642</v>
      </c>
      <c r="H917" s="8">
        <v>12453670.92</v>
      </c>
      <c r="I917" s="8">
        <v>1491125.68</v>
      </c>
      <c r="J917" s="13">
        <v>0.61318917797033701</v>
      </c>
      <c r="K917" s="13">
        <v>0.89306938474814301</v>
      </c>
      <c r="L917" s="7">
        <v>1</v>
      </c>
      <c r="M917" s="13">
        <v>0.67031066083128399</v>
      </c>
      <c r="N917" s="13">
        <v>-5.7121482860947204</v>
      </c>
      <c r="O917" s="7">
        <v>1</v>
      </c>
      <c r="P917" s="7" t="s">
        <v>160</v>
      </c>
      <c r="Q917" s="7" t="str">
        <f t="shared" si="14"/>
        <v>Yes</v>
      </c>
    </row>
    <row r="918" spans="1:17" ht="15" customHeight="1" x14ac:dyDescent="0.2">
      <c r="A918" s="7">
        <v>2022</v>
      </c>
      <c r="B918" s="7" t="s">
        <v>500</v>
      </c>
      <c r="C918" s="7">
        <v>12</v>
      </c>
      <c r="D918" s="7" t="s">
        <v>1147</v>
      </c>
      <c r="E918" s="7" t="s">
        <v>1571</v>
      </c>
      <c r="F918" s="8">
        <v>196643</v>
      </c>
      <c r="G918" s="8">
        <v>72888</v>
      </c>
      <c r="H918" s="8">
        <v>3541359.35</v>
      </c>
      <c r="I918" s="8">
        <v>404097.01</v>
      </c>
      <c r="J918" s="13">
        <v>0.72957470569248095</v>
      </c>
      <c r="K918" s="13">
        <v>0.89757914595207899</v>
      </c>
      <c r="L918" s="7">
        <v>1</v>
      </c>
      <c r="M918" s="13">
        <v>0.67179938545205298</v>
      </c>
      <c r="N918" s="13">
        <v>5.7775320240427899</v>
      </c>
      <c r="O918" s="7">
        <v>1</v>
      </c>
      <c r="P918" s="7" t="s">
        <v>160</v>
      </c>
      <c r="Q918" s="7" t="str">
        <f t="shared" si="14"/>
        <v>Yes</v>
      </c>
    </row>
    <row r="919" spans="1:17" ht="15" customHeight="1" x14ac:dyDescent="0.2">
      <c r="A919" s="7">
        <v>2022</v>
      </c>
      <c r="B919" s="7" t="s">
        <v>500</v>
      </c>
      <c r="C919" s="7">
        <v>13</v>
      </c>
      <c r="D919" s="7" t="s">
        <v>1572</v>
      </c>
      <c r="E919" s="7" t="s">
        <v>1573</v>
      </c>
      <c r="F919" s="8">
        <v>166650</v>
      </c>
      <c r="G919" s="8">
        <v>56187</v>
      </c>
      <c r="H919" s="8">
        <v>9204992.9800000004</v>
      </c>
      <c r="I919" s="8">
        <v>2294060.04</v>
      </c>
      <c r="J919" s="13">
        <v>0.74785605622046603</v>
      </c>
      <c r="K919" s="13">
        <v>0.80050009022395097</v>
      </c>
      <c r="L919" s="7">
        <v>0</v>
      </c>
      <c r="M919" s="13">
        <v>0.60014156990060297</v>
      </c>
      <c r="N919" s="13">
        <v>14.771448631986299</v>
      </c>
      <c r="O919" s="7">
        <v>1</v>
      </c>
      <c r="P919" s="7" t="s">
        <v>160</v>
      </c>
      <c r="Q919" s="7" t="str">
        <f t="shared" si="14"/>
        <v>Yes</v>
      </c>
    </row>
    <row r="920" spans="1:17" ht="15" customHeight="1" x14ac:dyDescent="0.2">
      <c r="A920" s="7">
        <v>2022</v>
      </c>
      <c r="B920" s="7" t="s">
        <v>523</v>
      </c>
      <c r="C920" s="7">
        <v>1</v>
      </c>
      <c r="D920" s="7" t="s">
        <v>1574</v>
      </c>
      <c r="E920" s="7" t="s">
        <v>1575</v>
      </c>
      <c r="F920" s="8">
        <v>125457</v>
      </c>
      <c r="G920" s="8">
        <v>159621</v>
      </c>
      <c r="H920" s="8">
        <v>2714925.81</v>
      </c>
      <c r="I920" s="8">
        <v>3816998.99</v>
      </c>
      <c r="J920" s="13">
        <v>0.44007955717382602</v>
      </c>
      <c r="K920" s="13">
        <v>0.41563947735589402</v>
      </c>
      <c r="L920" s="7">
        <v>-1</v>
      </c>
      <c r="M920" s="13">
        <v>0.43348371551262899</v>
      </c>
      <c r="N920" s="13">
        <v>0.65958416611974802</v>
      </c>
      <c r="O920" s="7">
        <v>1</v>
      </c>
      <c r="P920" s="7" t="s">
        <v>160</v>
      </c>
      <c r="Q920" s="7" t="str">
        <f t="shared" si="14"/>
        <v>Yes</v>
      </c>
    </row>
    <row r="921" spans="1:17" ht="15" customHeight="1" x14ac:dyDescent="0.2">
      <c r="A921" s="7">
        <v>2022</v>
      </c>
      <c r="B921" s="7" t="s">
        <v>523</v>
      </c>
      <c r="C921" s="7">
        <v>2</v>
      </c>
      <c r="D921" s="7" t="s">
        <v>526</v>
      </c>
      <c r="E921" s="7" t="s">
        <v>1150</v>
      </c>
      <c r="F921" s="8">
        <v>165583</v>
      </c>
      <c r="G921" s="8">
        <v>148576</v>
      </c>
      <c r="H921" s="8">
        <v>17510489.760000002</v>
      </c>
      <c r="I921" s="8">
        <v>13363135.390000001</v>
      </c>
      <c r="J921" s="13">
        <v>0.52706750403458102</v>
      </c>
      <c r="K921" s="13">
        <v>0.56716662442214105</v>
      </c>
      <c r="L921" s="7">
        <v>1</v>
      </c>
      <c r="M921" s="13">
        <v>0.56272636948336197</v>
      </c>
      <c r="N921" s="13">
        <v>-3.5658865448780701</v>
      </c>
      <c r="O921" s="7">
        <v>1</v>
      </c>
      <c r="P921" s="7" t="s">
        <v>160</v>
      </c>
      <c r="Q921" s="7" t="str">
        <f t="shared" si="14"/>
        <v>Yes</v>
      </c>
    </row>
    <row r="922" spans="1:17" ht="15" customHeight="1" x14ac:dyDescent="0.2">
      <c r="A922" s="7">
        <v>2022</v>
      </c>
      <c r="B922" s="7" t="s">
        <v>523</v>
      </c>
      <c r="C922" s="7">
        <v>3</v>
      </c>
      <c r="D922" s="7" t="s">
        <v>528</v>
      </c>
      <c r="E922" s="7" t="s">
        <v>1576</v>
      </c>
      <c r="F922" s="8">
        <v>198883</v>
      </c>
      <c r="G922" s="8">
        <v>134797</v>
      </c>
      <c r="H922" s="8">
        <v>2343443.5699999998</v>
      </c>
      <c r="I922" s="8">
        <v>688361.87</v>
      </c>
      <c r="J922" s="13">
        <v>0.59602912970510702</v>
      </c>
      <c r="K922" s="13">
        <v>0.77295315163759304</v>
      </c>
      <c r="L922" s="7">
        <v>1</v>
      </c>
      <c r="M922" s="13">
        <v>0.63065889536095199</v>
      </c>
      <c r="N922" s="13">
        <v>-3.4629765655845799</v>
      </c>
      <c r="O922" s="7">
        <v>1</v>
      </c>
      <c r="P922" s="7" t="s">
        <v>160</v>
      </c>
      <c r="Q922" s="7" t="str">
        <f t="shared" si="14"/>
        <v>Yes</v>
      </c>
    </row>
    <row r="923" spans="1:17" ht="15" customHeight="1" x14ac:dyDescent="0.2">
      <c r="A923" s="7">
        <v>2022</v>
      </c>
      <c r="B923" s="7" t="s">
        <v>523</v>
      </c>
      <c r="C923" s="7">
        <v>4</v>
      </c>
      <c r="D923" s="7" t="s">
        <v>530</v>
      </c>
      <c r="E923" s="7" t="s">
        <v>1577</v>
      </c>
      <c r="F923" s="8">
        <v>200055</v>
      </c>
      <c r="G923" s="8">
        <v>95493</v>
      </c>
      <c r="H923" s="8">
        <v>2380102.5099999998</v>
      </c>
      <c r="I923" s="8">
        <v>134623.5</v>
      </c>
      <c r="J923" s="13">
        <v>0.67689512363474003</v>
      </c>
      <c r="K923" s="13">
        <v>0.94646593725731598</v>
      </c>
      <c r="L923" s="7">
        <v>1</v>
      </c>
      <c r="M923" s="13">
        <v>0.68793748380257502</v>
      </c>
      <c r="N923" s="13">
        <v>-1.1042360167835199</v>
      </c>
      <c r="O923" s="7">
        <v>1</v>
      </c>
      <c r="P923" s="7" t="s">
        <v>160</v>
      </c>
      <c r="Q923" s="7" t="str">
        <f t="shared" si="14"/>
        <v>Yes</v>
      </c>
    </row>
    <row r="924" spans="1:17" ht="15" customHeight="1" x14ac:dyDescent="0.2">
      <c r="A924" s="7">
        <v>2022</v>
      </c>
      <c r="B924" s="7" t="s">
        <v>523</v>
      </c>
      <c r="C924" s="7">
        <v>5</v>
      </c>
      <c r="D924" s="7" t="s">
        <v>532</v>
      </c>
      <c r="E924" s="7" t="s">
        <v>1578</v>
      </c>
      <c r="F924" s="8">
        <v>214224</v>
      </c>
      <c r="G924" s="8">
        <v>70702</v>
      </c>
      <c r="H924" s="8">
        <v>3268333</v>
      </c>
      <c r="I924" s="8">
        <v>3321067.83</v>
      </c>
      <c r="J924" s="13">
        <v>0.75185837726286797</v>
      </c>
      <c r="K924" s="13">
        <v>0.49599851099056602</v>
      </c>
      <c r="L924" s="7">
        <v>1</v>
      </c>
      <c r="M924" s="13">
        <v>0.53923294757295703</v>
      </c>
      <c r="N924" s="13">
        <v>21.262542968991202</v>
      </c>
      <c r="O924" s="7">
        <v>1</v>
      </c>
      <c r="P924" s="7" t="s">
        <v>160</v>
      </c>
      <c r="Q924" s="7" t="str">
        <f t="shared" si="14"/>
        <v>Yes</v>
      </c>
    </row>
    <row r="925" spans="1:17" ht="15" customHeight="1" x14ac:dyDescent="0.2">
      <c r="A925" s="7">
        <v>2022</v>
      </c>
      <c r="B925" s="7" t="s">
        <v>523</v>
      </c>
      <c r="C925" s="7">
        <v>6</v>
      </c>
      <c r="D925" s="7" t="s">
        <v>1579</v>
      </c>
      <c r="E925" s="7" t="s">
        <v>535</v>
      </c>
      <c r="F925" s="8">
        <v>120852</v>
      </c>
      <c r="G925" s="8">
        <v>198145</v>
      </c>
      <c r="H925" s="8">
        <v>204917.85</v>
      </c>
      <c r="I925" s="8">
        <v>4236053.99</v>
      </c>
      <c r="J925" s="13">
        <v>0.37884995783659398</v>
      </c>
      <c r="K925" s="13">
        <v>4.6142569100370602E-2</v>
      </c>
      <c r="L925" s="7">
        <v>-1</v>
      </c>
      <c r="M925" s="13">
        <v>0.311508488944574</v>
      </c>
      <c r="N925" s="13">
        <v>6.7341468892020098</v>
      </c>
      <c r="O925" s="7">
        <v>1</v>
      </c>
      <c r="P925" s="7" t="s">
        <v>160</v>
      </c>
      <c r="Q925" s="7" t="str">
        <f t="shared" si="14"/>
        <v>Yes</v>
      </c>
    </row>
    <row r="926" spans="1:17" ht="15" customHeight="1" x14ac:dyDescent="0.2">
      <c r="A926" s="7">
        <v>2022</v>
      </c>
      <c r="B926" s="7" t="s">
        <v>523</v>
      </c>
      <c r="C926" s="7">
        <v>7</v>
      </c>
      <c r="D926" s="7" t="s">
        <v>1580</v>
      </c>
      <c r="E926" s="7" t="s">
        <v>1154</v>
      </c>
      <c r="F926" s="8">
        <v>84455</v>
      </c>
      <c r="G926" s="8">
        <v>204766</v>
      </c>
      <c r="H926" s="8">
        <v>34281.67</v>
      </c>
      <c r="I926" s="8">
        <v>1719030.73</v>
      </c>
      <c r="J926" s="13">
        <v>0.29200853326694798</v>
      </c>
      <c r="K926" s="13">
        <v>1.9552516710655801E-2</v>
      </c>
      <c r="L926" s="7">
        <v>-1</v>
      </c>
      <c r="M926" s="13">
        <v>0.30273080341533798</v>
      </c>
      <c r="N926" s="13">
        <v>-1.0722270148390001</v>
      </c>
      <c r="O926" s="7">
        <v>1</v>
      </c>
      <c r="P926" s="7" t="s">
        <v>160</v>
      </c>
      <c r="Q926" s="7" t="str">
        <f t="shared" si="14"/>
        <v>Yes</v>
      </c>
    </row>
    <row r="927" spans="1:17" ht="15" customHeight="1" x14ac:dyDescent="0.2">
      <c r="A927" s="7">
        <v>2022</v>
      </c>
      <c r="B927" s="7" t="s">
        <v>523</v>
      </c>
      <c r="C927" s="7">
        <v>8</v>
      </c>
      <c r="D927" s="7" t="s">
        <v>1581</v>
      </c>
      <c r="E927" s="7" t="s">
        <v>539</v>
      </c>
      <c r="F927" s="8">
        <v>141009</v>
      </c>
      <c r="G927" s="8">
        <v>188755</v>
      </c>
      <c r="H927" s="8">
        <v>659790.01</v>
      </c>
      <c r="I927" s="8">
        <v>2054939.5</v>
      </c>
      <c r="J927" s="13">
        <v>0.42760580293785899</v>
      </c>
      <c r="K927" s="13">
        <v>0.243040791935105</v>
      </c>
      <c r="L927" s="7">
        <v>-1</v>
      </c>
      <c r="M927" s="13">
        <v>0.37650688217742201</v>
      </c>
      <c r="N927" s="13">
        <v>5.1098920760436597</v>
      </c>
      <c r="O927" s="7">
        <v>1</v>
      </c>
      <c r="P927" s="7" t="s">
        <v>160</v>
      </c>
      <c r="Q927" s="7" t="str">
        <f t="shared" si="14"/>
        <v>Yes</v>
      </c>
    </row>
    <row r="928" spans="1:17" ht="15" customHeight="1" x14ac:dyDescent="0.2">
      <c r="A928" s="7">
        <v>2022</v>
      </c>
      <c r="B928" s="7" t="s">
        <v>540</v>
      </c>
      <c r="C928" s="7">
        <v>1</v>
      </c>
      <c r="D928" s="7" t="s">
        <v>1156</v>
      </c>
      <c r="E928" s="7" t="s">
        <v>1582</v>
      </c>
      <c r="F928" s="8">
        <v>160999</v>
      </c>
      <c r="G928" s="8">
        <v>53767</v>
      </c>
      <c r="H928" s="8">
        <v>2673002.9900000002</v>
      </c>
      <c r="I928" s="8">
        <v>219112.49</v>
      </c>
      <c r="J928" s="13">
        <v>0.74964845459709595</v>
      </c>
      <c r="K928" s="13">
        <v>0.92423798720513095</v>
      </c>
      <c r="L928" s="7">
        <v>1</v>
      </c>
      <c r="M928" s="13">
        <v>0.68059977898507296</v>
      </c>
      <c r="N928" s="13">
        <v>6.90486756120238</v>
      </c>
      <c r="O928" s="7">
        <v>1</v>
      </c>
      <c r="P928" s="7" t="s">
        <v>160</v>
      </c>
      <c r="Q928" s="7" t="str">
        <f t="shared" si="14"/>
        <v>Yes</v>
      </c>
    </row>
    <row r="929" spans="1:17" ht="15" customHeight="1" x14ac:dyDescent="0.2">
      <c r="A929" s="7">
        <v>2022</v>
      </c>
      <c r="B929" s="7" t="s">
        <v>540</v>
      </c>
      <c r="C929" s="7">
        <v>2</v>
      </c>
      <c r="D929" s="7" t="s">
        <v>1583</v>
      </c>
      <c r="E929" s="7" t="s">
        <v>544</v>
      </c>
      <c r="F929" s="8">
        <v>135895</v>
      </c>
      <c r="G929" s="8">
        <v>173277</v>
      </c>
      <c r="H929" s="8">
        <v>908564.56</v>
      </c>
      <c r="I929" s="8">
        <v>3560924.85</v>
      </c>
      <c r="J929" s="13">
        <v>0.43954497819983701</v>
      </c>
      <c r="K929" s="13">
        <v>0.20328151085159399</v>
      </c>
      <c r="L929" s="7">
        <v>-1</v>
      </c>
      <c r="M929" s="13">
        <v>0.36338188110166098</v>
      </c>
      <c r="N929" s="13">
        <v>7.6163097098176298</v>
      </c>
      <c r="O929" s="7">
        <v>1</v>
      </c>
      <c r="P929" s="7" t="s">
        <v>160</v>
      </c>
      <c r="Q929" s="7" t="str">
        <f t="shared" si="14"/>
        <v>Yes</v>
      </c>
    </row>
    <row r="930" spans="1:17" ht="15" customHeight="1" x14ac:dyDescent="0.2">
      <c r="A930" s="7">
        <v>2022</v>
      </c>
      <c r="B930" s="7" t="s">
        <v>540</v>
      </c>
      <c r="C930" s="7">
        <v>3</v>
      </c>
      <c r="D930" s="7" t="s">
        <v>1584</v>
      </c>
      <c r="E930" s="7" t="s">
        <v>546</v>
      </c>
      <c r="F930" s="8">
        <v>96851</v>
      </c>
      <c r="G930" s="8">
        <v>180746</v>
      </c>
      <c r="H930" s="8">
        <v>13176.76</v>
      </c>
      <c r="I930" s="8">
        <v>4074443.64</v>
      </c>
      <c r="J930" s="13">
        <v>0.34889065804025299</v>
      </c>
      <c r="K930" s="13">
        <v>3.2235772186673698E-3</v>
      </c>
      <c r="L930" s="7">
        <v>-1</v>
      </c>
      <c r="M930" s="13">
        <v>0.29734043058771498</v>
      </c>
      <c r="N930" s="13">
        <v>5.1550227452537696</v>
      </c>
      <c r="O930" s="7">
        <v>1</v>
      </c>
      <c r="P930" s="7" t="s">
        <v>160</v>
      </c>
      <c r="Q930" s="7" t="str">
        <f t="shared" si="14"/>
        <v>Yes</v>
      </c>
    </row>
    <row r="931" spans="1:17" ht="15" customHeight="1" x14ac:dyDescent="0.2">
      <c r="A931" s="7">
        <v>2022</v>
      </c>
      <c r="B931" s="7" t="s">
        <v>540</v>
      </c>
      <c r="C931" s="7">
        <v>5</v>
      </c>
      <c r="D931" s="7" t="s">
        <v>549</v>
      </c>
      <c r="E931" s="7" t="s">
        <v>550</v>
      </c>
      <c r="F931" s="8">
        <v>140688</v>
      </c>
      <c r="G931" s="8">
        <v>84008</v>
      </c>
      <c r="H931" s="8">
        <v>1195109.97</v>
      </c>
      <c r="I931" s="8">
        <v>36896.89</v>
      </c>
      <c r="J931" s="13">
        <v>0.62612596574927903</v>
      </c>
      <c r="K931" s="13">
        <v>0.97005139240864302</v>
      </c>
      <c r="L931" s="7">
        <v>1</v>
      </c>
      <c r="M931" s="13">
        <v>0.69572331684073496</v>
      </c>
      <c r="N931" s="13">
        <v>-6.9597351091455799</v>
      </c>
      <c r="O931" s="7">
        <v>1</v>
      </c>
      <c r="P931" s="7" t="s">
        <v>160</v>
      </c>
      <c r="Q931" s="7" t="str">
        <f t="shared" si="14"/>
        <v>Yes</v>
      </c>
    </row>
    <row r="932" spans="1:17" ht="15" customHeight="1" x14ac:dyDescent="0.2">
      <c r="A932" s="7">
        <v>2022</v>
      </c>
      <c r="B932" s="7" t="s">
        <v>540</v>
      </c>
      <c r="C932" s="7">
        <v>6</v>
      </c>
      <c r="D932" s="7" t="s">
        <v>1585</v>
      </c>
      <c r="E932" s="7" t="s">
        <v>552</v>
      </c>
      <c r="F932" s="8">
        <v>72253</v>
      </c>
      <c r="G932" s="8">
        <v>184865</v>
      </c>
      <c r="H932" s="8">
        <v>135956.04999999999</v>
      </c>
      <c r="I932" s="8">
        <v>1857131.7</v>
      </c>
      <c r="J932" s="13">
        <v>0.28101105329070702</v>
      </c>
      <c r="K932" s="13">
        <v>6.8213780351617695E-2</v>
      </c>
      <c r="L932" s="7">
        <v>-1</v>
      </c>
      <c r="M932" s="13">
        <v>0.31879445246105498</v>
      </c>
      <c r="N932" s="13">
        <v>-3.7783399170348</v>
      </c>
      <c r="O932" s="7">
        <v>1</v>
      </c>
      <c r="P932" s="7" t="s">
        <v>160</v>
      </c>
      <c r="Q932" s="7" t="str">
        <f t="shared" si="14"/>
        <v>Yes</v>
      </c>
    </row>
    <row r="933" spans="1:17" ht="15" customHeight="1" x14ac:dyDescent="0.2">
      <c r="A933" s="7">
        <v>2022</v>
      </c>
      <c r="B933" s="7" t="s">
        <v>540</v>
      </c>
      <c r="C933" s="7">
        <v>7</v>
      </c>
      <c r="D933" s="7" t="s">
        <v>1586</v>
      </c>
      <c r="E933" s="7" t="s">
        <v>1587</v>
      </c>
      <c r="F933" s="8">
        <v>67485</v>
      </c>
      <c r="G933" s="8">
        <v>178592</v>
      </c>
      <c r="H933" s="8">
        <v>681294.43</v>
      </c>
      <c r="I933" s="8">
        <v>1609780.72</v>
      </c>
      <c r="J933" s="13">
        <v>0.274243427870138</v>
      </c>
      <c r="K933" s="13">
        <v>0.29736887068064999</v>
      </c>
      <c r="L933" s="7">
        <v>0</v>
      </c>
      <c r="M933" s="13">
        <v>0.43405210304418201</v>
      </c>
      <c r="N933" s="13">
        <v>-15.980867517404301</v>
      </c>
      <c r="O933" s="7">
        <v>1</v>
      </c>
      <c r="P933" s="7" t="s">
        <v>160</v>
      </c>
      <c r="Q933" s="7" t="str">
        <f t="shared" si="14"/>
        <v>Yes</v>
      </c>
    </row>
    <row r="934" spans="1:17" ht="15" customHeight="1" x14ac:dyDescent="0.2">
      <c r="A934" s="7">
        <v>2022</v>
      </c>
      <c r="B934" s="7" t="s">
        <v>540</v>
      </c>
      <c r="C934" s="7">
        <v>8</v>
      </c>
      <c r="D934" s="7" t="s">
        <v>1588</v>
      </c>
      <c r="E934" s="7" t="s">
        <v>556</v>
      </c>
      <c r="F934" s="8">
        <v>53738</v>
      </c>
      <c r="G934" s="8">
        <v>186472</v>
      </c>
      <c r="H934" s="8">
        <v>40439.57</v>
      </c>
      <c r="I934" s="8">
        <v>4243577.32</v>
      </c>
      <c r="J934" s="13">
        <v>0.22371258482161399</v>
      </c>
      <c r="K934" s="13">
        <v>9.4396383203802E-3</v>
      </c>
      <c r="L934" s="7">
        <v>-1</v>
      </c>
      <c r="M934" s="13">
        <v>0.29939242464856403</v>
      </c>
      <c r="N934" s="13">
        <v>-7.56798398269492</v>
      </c>
      <c r="O934" s="7">
        <v>1</v>
      </c>
      <c r="P934" s="7" t="s">
        <v>160</v>
      </c>
      <c r="Q934" s="7" t="str">
        <f t="shared" si="14"/>
        <v>Yes</v>
      </c>
    </row>
    <row r="935" spans="1:17" ht="15" customHeight="1" x14ac:dyDescent="0.2">
      <c r="A935" s="7">
        <v>2022</v>
      </c>
      <c r="B935" s="7" t="s">
        <v>557</v>
      </c>
      <c r="C935" s="7">
        <v>1</v>
      </c>
      <c r="D935" s="7" t="s">
        <v>1589</v>
      </c>
      <c r="E935" s="7" t="s">
        <v>559</v>
      </c>
      <c r="F935" s="8">
        <v>45238</v>
      </c>
      <c r="G935" s="8">
        <v>122151</v>
      </c>
      <c r="H935" s="8">
        <v>28877.77</v>
      </c>
      <c r="I935" s="8">
        <v>1016762.19</v>
      </c>
      <c r="J935" s="13">
        <v>0.27025670742999802</v>
      </c>
      <c r="K935" s="13">
        <v>2.7617316767427302E-2</v>
      </c>
      <c r="L935" s="7">
        <v>-1</v>
      </c>
      <c r="M935" s="13">
        <v>0.30539308770560503</v>
      </c>
      <c r="N935" s="13">
        <v>-3.5136380275606198</v>
      </c>
      <c r="O935" s="7">
        <v>1</v>
      </c>
      <c r="P935" s="7" t="s">
        <v>160</v>
      </c>
      <c r="Q935" s="7" t="str">
        <f t="shared" si="14"/>
        <v>Yes</v>
      </c>
    </row>
    <row r="936" spans="1:17" ht="15" customHeight="1" x14ac:dyDescent="0.2">
      <c r="A936" s="7">
        <v>2022</v>
      </c>
      <c r="B936" s="7" t="s">
        <v>557</v>
      </c>
      <c r="C936" s="7">
        <v>2</v>
      </c>
      <c r="D936" s="7" t="s">
        <v>1163</v>
      </c>
      <c r="E936" s="7" t="s">
        <v>1164</v>
      </c>
      <c r="F936" s="8">
        <v>108285</v>
      </c>
      <c r="G936" s="8">
        <v>71884</v>
      </c>
      <c r="H936" s="8">
        <v>1308322.22</v>
      </c>
      <c r="I936" s="8">
        <v>49973.120000000003</v>
      </c>
      <c r="J936" s="13">
        <v>0.60101904323163302</v>
      </c>
      <c r="K936" s="13">
        <v>0.96320894393998302</v>
      </c>
      <c r="L936" s="7">
        <v>1</v>
      </c>
      <c r="M936" s="13">
        <v>0.69346454502533506</v>
      </c>
      <c r="N936" s="13">
        <v>-9.2445501793702203</v>
      </c>
      <c r="O936" s="7">
        <v>1</v>
      </c>
      <c r="P936" s="7" t="s">
        <v>160</v>
      </c>
      <c r="Q936" s="7" t="str">
        <f t="shared" si="14"/>
        <v>Yes</v>
      </c>
    </row>
    <row r="937" spans="1:17" ht="15" customHeight="1" x14ac:dyDescent="0.2">
      <c r="A937" s="7">
        <v>2022</v>
      </c>
      <c r="B937" s="7" t="s">
        <v>557</v>
      </c>
      <c r="C937" s="7">
        <v>3</v>
      </c>
      <c r="D937" s="7" t="s">
        <v>1590</v>
      </c>
      <c r="E937" s="7" t="s">
        <v>1591</v>
      </c>
      <c r="F937" s="8">
        <v>54803</v>
      </c>
      <c r="G937" s="8">
        <v>132481</v>
      </c>
      <c r="H937" s="8">
        <v>76889.38</v>
      </c>
      <c r="I937" s="8">
        <v>1623965.17</v>
      </c>
      <c r="J937" s="13">
        <v>0.29261976463552702</v>
      </c>
      <c r="K937" s="13">
        <v>4.52063229039779E-2</v>
      </c>
      <c r="L937" s="7">
        <v>-1</v>
      </c>
      <c r="M937" s="13">
        <v>0.31119942318684501</v>
      </c>
      <c r="N937" s="13">
        <v>-1.8579658551318201</v>
      </c>
      <c r="O937" s="7">
        <v>1</v>
      </c>
      <c r="P937" s="7" t="s">
        <v>160</v>
      </c>
      <c r="Q937" s="7" t="str">
        <f t="shared" si="14"/>
        <v>Yes</v>
      </c>
    </row>
    <row r="938" spans="1:17" ht="15" customHeight="1" x14ac:dyDescent="0.2">
      <c r="A938" s="7">
        <v>2022</v>
      </c>
      <c r="B938" s="7" t="s">
        <v>557</v>
      </c>
      <c r="C938" s="7">
        <v>4</v>
      </c>
      <c r="D938" s="7" t="s">
        <v>1592</v>
      </c>
      <c r="E938" s="7" t="s">
        <v>1593</v>
      </c>
      <c r="F938" s="8">
        <v>42876</v>
      </c>
      <c r="G938" s="8">
        <v>127813</v>
      </c>
      <c r="H938" s="8">
        <v>184771.6</v>
      </c>
      <c r="I938" s="8">
        <v>1110437.8700000001</v>
      </c>
      <c r="J938" s="13">
        <v>0.251193691450533</v>
      </c>
      <c r="K938" s="13">
        <v>0.142657696905196</v>
      </c>
      <c r="L938" s="7">
        <v>0</v>
      </c>
      <c r="M938" s="13">
        <v>0.38298014533020702</v>
      </c>
      <c r="N938" s="13">
        <v>-13.1786453879674</v>
      </c>
      <c r="O938" s="7">
        <v>1</v>
      </c>
      <c r="P938" s="7" t="s">
        <v>160</v>
      </c>
      <c r="Q938" s="7" t="str">
        <f t="shared" si="14"/>
        <v>Yes</v>
      </c>
    </row>
    <row r="939" spans="1:17" ht="15" customHeight="1" x14ac:dyDescent="0.2">
      <c r="A939" s="7">
        <v>2022</v>
      </c>
      <c r="B939" s="7" t="s">
        <v>562</v>
      </c>
      <c r="C939" s="7">
        <v>1</v>
      </c>
      <c r="D939" s="7" t="s">
        <v>1594</v>
      </c>
      <c r="E939" s="7" t="s">
        <v>1595</v>
      </c>
      <c r="F939" s="8">
        <v>115265</v>
      </c>
      <c r="G939" s="8">
        <v>123102</v>
      </c>
      <c r="H939" s="8">
        <v>4231403.38</v>
      </c>
      <c r="I939" s="8">
        <v>7605019.0800000001</v>
      </c>
      <c r="J939" s="13">
        <v>0.48356106340223298</v>
      </c>
      <c r="K939" s="13">
        <v>0.35749006038772302</v>
      </c>
      <c r="L939" s="7">
        <v>0</v>
      </c>
      <c r="M939" s="13">
        <v>0.45389880696028001</v>
      </c>
      <c r="N939" s="13">
        <v>2.9662256441952399</v>
      </c>
      <c r="O939" s="7">
        <v>1</v>
      </c>
      <c r="P939" s="7" t="s">
        <v>160</v>
      </c>
      <c r="Q939" s="7" t="str">
        <f t="shared" si="14"/>
        <v>Yes</v>
      </c>
    </row>
    <row r="940" spans="1:17" ht="15" customHeight="1" x14ac:dyDescent="0.2">
      <c r="A940" s="7">
        <v>2022</v>
      </c>
      <c r="B940" s="7" t="s">
        <v>562</v>
      </c>
      <c r="C940" s="7">
        <v>2</v>
      </c>
      <c r="D940" s="7" t="s">
        <v>1596</v>
      </c>
      <c r="E940" s="7" t="s">
        <v>1165</v>
      </c>
      <c r="F940" s="8">
        <v>43480</v>
      </c>
      <c r="G940" s="8">
        <v>121979</v>
      </c>
      <c r="H940" s="8">
        <v>175472.35</v>
      </c>
      <c r="I940" s="8">
        <v>1331824.31</v>
      </c>
      <c r="J940" s="13">
        <v>0.26278413383375898</v>
      </c>
      <c r="K940" s="13">
        <v>0.116415271563064</v>
      </c>
      <c r="L940" s="7">
        <v>-1</v>
      </c>
      <c r="M940" s="13">
        <v>0.334706325280755</v>
      </c>
      <c r="N940" s="13">
        <v>-7.1922191446995702</v>
      </c>
      <c r="O940" s="7">
        <v>1</v>
      </c>
      <c r="P940" s="7" t="s">
        <v>160</v>
      </c>
      <c r="Q940" s="7" t="str">
        <f t="shared" si="14"/>
        <v>Yes</v>
      </c>
    </row>
    <row r="941" spans="1:17" ht="15" customHeight="1" x14ac:dyDescent="0.2">
      <c r="A941" s="7">
        <v>2022</v>
      </c>
      <c r="B941" s="7" t="s">
        <v>565</v>
      </c>
      <c r="C941" s="7">
        <v>1</v>
      </c>
      <c r="D941" s="7" t="s">
        <v>1597</v>
      </c>
      <c r="E941" s="7" t="s">
        <v>1167</v>
      </c>
      <c r="F941" s="8">
        <v>134996</v>
      </c>
      <c r="G941" s="8">
        <v>122780</v>
      </c>
      <c r="H941" s="8">
        <v>9737380.6999999993</v>
      </c>
      <c r="I941" s="8">
        <v>2240699.38</v>
      </c>
      <c r="J941" s="13">
        <v>0.52369499099993799</v>
      </c>
      <c r="K941" s="13">
        <v>0.812933344489712</v>
      </c>
      <c r="L941" s="7">
        <v>0</v>
      </c>
      <c r="M941" s="13">
        <v>0.60424593172924301</v>
      </c>
      <c r="N941" s="13">
        <v>-8.0550940729305101</v>
      </c>
      <c r="O941" s="7">
        <v>1</v>
      </c>
      <c r="P941" s="7" t="s">
        <v>160</v>
      </c>
      <c r="Q941" s="7" t="str">
        <f t="shared" si="14"/>
        <v>Yes</v>
      </c>
    </row>
    <row r="942" spans="1:17" ht="15" customHeight="1" x14ac:dyDescent="0.2">
      <c r="A942" s="7">
        <v>2022</v>
      </c>
      <c r="B942" s="7" t="s">
        <v>565</v>
      </c>
      <c r="C942" s="7">
        <v>2</v>
      </c>
      <c r="D942" s="7" t="s">
        <v>1168</v>
      </c>
      <c r="E942" s="7" t="s">
        <v>1598</v>
      </c>
      <c r="F942" s="8">
        <v>190714</v>
      </c>
      <c r="G942" s="8">
        <v>104155</v>
      </c>
      <c r="H942" s="8">
        <v>2113278.1</v>
      </c>
      <c r="I942" s="8">
        <v>138312.38</v>
      </c>
      <c r="J942" s="13">
        <v>0.64677534769677403</v>
      </c>
      <c r="K942" s="13">
        <v>0.93857125386317997</v>
      </c>
      <c r="L942" s="7">
        <v>1</v>
      </c>
      <c r="M942" s="13">
        <v>0.68533135700105696</v>
      </c>
      <c r="N942" s="13">
        <v>-3.8556009304283099</v>
      </c>
      <c r="O942" s="7">
        <v>1</v>
      </c>
      <c r="P942" s="7" t="s">
        <v>160</v>
      </c>
      <c r="Q942" s="7" t="str">
        <f t="shared" si="14"/>
        <v>Yes</v>
      </c>
    </row>
    <row r="943" spans="1:17" ht="15" customHeight="1" x14ac:dyDescent="0.2">
      <c r="A943" s="7">
        <v>2022</v>
      </c>
      <c r="B943" s="7" t="s">
        <v>565</v>
      </c>
      <c r="C943" s="7">
        <v>3</v>
      </c>
      <c r="D943" s="7" t="s">
        <v>1599</v>
      </c>
      <c r="E943" s="7" t="s">
        <v>1600</v>
      </c>
      <c r="F943" s="8">
        <v>82378</v>
      </c>
      <c r="G943" s="8">
        <v>166520</v>
      </c>
      <c r="H943" s="8">
        <v>94963.02</v>
      </c>
      <c r="I943" s="8">
        <v>1447453.58</v>
      </c>
      <c r="J943" s="13">
        <v>0.33097091981454302</v>
      </c>
      <c r="K943" s="13">
        <v>6.1567685410024803E-2</v>
      </c>
      <c r="L943" s="7">
        <v>-1</v>
      </c>
      <c r="M943" s="13">
        <v>0.31660049922847999</v>
      </c>
      <c r="N943" s="13">
        <v>1.43704205860624</v>
      </c>
      <c r="O943" s="7">
        <v>1</v>
      </c>
      <c r="P943" s="7" t="s">
        <v>160</v>
      </c>
      <c r="Q943" s="7" t="str">
        <f t="shared" si="14"/>
        <v>Yes</v>
      </c>
    </row>
    <row r="944" spans="1:17" ht="15" customHeight="1" x14ac:dyDescent="0.2">
      <c r="A944" s="7">
        <v>2022</v>
      </c>
      <c r="B944" s="7" t="s">
        <v>565</v>
      </c>
      <c r="C944" s="7">
        <v>4</v>
      </c>
      <c r="D944" s="7" t="s">
        <v>1601</v>
      </c>
      <c r="E944" s="7" t="s">
        <v>1602</v>
      </c>
      <c r="F944" s="8">
        <v>194983</v>
      </c>
      <c r="G944" s="8">
        <v>96442</v>
      </c>
      <c r="H944" s="8">
        <v>4583785.5599999996</v>
      </c>
      <c r="I944" s="8">
        <v>445981.2</v>
      </c>
      <c r="J944" s="13">
        <v>0.66906751308226797</v>
      </c>
      <c r="K944" s="13">
        <v>0.911331633994098</v>
      </c>
      <c r="L944" s="7">
        <v>0</v>
      </c>
      <c r="M944" s="13">
        <v>0.63672835144114603</v>
      </c>
      <c r="N944" s="13">
        <v>3.2339161641122098</v>
      </c>
      <c r="O944" s="7">
        <v>1</v>
      </c>
      <c r="P944" s="7" t="s">
        <v>160</v>
      </c>
      <c r="Q944" s="7" t="str">
        <f t="shared" si="14"/>
        <v>Yes</v>
      </c>
    </row>
    <row r="945" spans="1:17" ht="15" customHeight="1" x14ac:dyDescent="0.2">
      <c r="A945" s="7">
        <v>2022</v>
      </c>
      <c r="B945" s="7" t="s">
        <v>565</v>
      </c>
      <c r="C945" s="7">
        <v>5</v>
      </c>
      <c r="D945" s="7" t="s">
        <v>1603</v>
      </c>
      <c r="E945" s="7" t="s">
        <v>573</v>
      </c>
      <c r="F945" s="8">
        <v>102269</v>
      </c>
      <c r="G945" s="8">
        <v>175279</v>
      </c>
      <c r="H945" s="8">
        <v>115583.16</v>
      </c>
      <c r="I945" s="8">
        <v>2042224.54</v>
      </c>
      <c r="J945" s="13">
        <v>0.36847320103189402</v>
      </c>
      <c r="K945" s="13">
        <v>5.3565088306988598E-2</v>
      </c>
      <c r="L945" s="7">
        <v>-1</v>
      </c>
      <c r="M945" s="13">
        <v>0.31395874885664599</v>
      </c>
      <c r="N945" s="13">
        <v>5.4514452175247898</v>
      </c>
      <c r="O945" s="7">
        <v>1</v>
      </c>
      <c r="P945" s="7" t="s">
        <v>160</v>
      </c>
      <c r="Q945" s="7" t="str">
        <f t="shared" si="14"/>
        <v>Yes</v>
      </c>
    </row>
    <row r="946" spans="1:17" ht="15" customHeight="1" x14ac:dyDescent="0.2">
      <c r="A946" s="7">
        <v>2022</v>
      </c>
      <c r="B946" s="7" t="s">
        <v>565</v>
      </c>
      <c r="C946" s="7">
        <v>6</v>
      </c>
      <c r="D946" s="7" t="s">
        <v>586</v>
      </c>
      <c r="E946" s="7" t="s">
        <v>1604</v>
      </c>
      <c r="F946" s="8">
        <v>139553</v>
      </c>
      <c r="G946" s="8">
        <v>116635</v>
      </c>
      <c r="H946" s="8">
        <v>3175852.42</v>
      </c>
      <c r="I946" s="8">
        <v>975872.3</v>
      </c>
      <c r="J946" s="13">
        <v>0.54472887098537004</v>
      </c>
      <c r="K946" s="13">
        <v>0.76494773478141398</v>
      </c>
      <c r="L946" s="7">
        <v>1</v>
      </c>
      <c r="M946" s="13">
        <v>0.62801621415581299</v>
      </c>
      <c r="N946" s="13">
        <v>-8.3287343170442405</v>
      </c>
      <c r="O946" s="7">
        <v>1</v>
      </c>
      <c r="P946" s="7" t="s">
        <v>160</v>
      </c>
      <c r="Q946" s="7" t="str">
        <f t="shared" si="14"/>
        <v>Yes</v>
      </c>
    </row>
    <row r="947" spans="1:17" ht="15" customHeight="1" x14ac:dyDescent="0.2">
      <c r="A947" s="7">
        <v>2022</v>
      </c>
      <c r="B947" s="7" t="s">
        <v>565</v>
      </c>
      <c r="C947" s="7">
        <v>7</v>
      </c>
      <c r="D947" s="7" t="s">
        <v>1605</v>
      </c>
      <c r="E947" s="7" t="s">
        <v>577</v>
      </c>
      <c r="F947" s="8">
        <v>120222</v>
      </c>
      <c r="G947" s="8">
        <v>164047</v>
      </c>
      <c r="H947" s="8">
        <v>239741.24</v>
      </c>
      <c r="I947" s="8">
        <v>1308427.75</v>
      </c>
      <c r="J947" s="13">
        <v>0.42291632221592901</v>
      </c>
      <c r="K947" s="13">
        <v>0.15485469709608399</v>
      </c>
      <c r="L947" s="7">
        <v>-1</v>
      </c>
      <c r="M947" s="13">
        <v>0.34739562668972301</v>
      </c>
      <c r="N947" s="13">
        <v>7.5520695526206802</v>
      </c>
      <c r="O947" s="7">
        <v>1</v>
      </c>
      <c r="P947" s="7" t="s">
        <v>160</v>
      </c>
      <c r="Q947" s="7" t="str">
        <f t="shared" si="14"/>
        <v>Yes</v>
      </c>
    </row>
    <row r="948" spans="1:17" ht="15" customHeight="1" x14ac:dyDescent="0.2">
      <c r="A948" s="7">
        <v>2022</v>
      </c>
      <c r="B948" s="7" t="s">
        <v>565</v>
      </c>
      <c r="C948" s="7">
        <v>8</v>
      </c>
      <c r="D948" s="7" t="s">
        <v>1178</v>
      </c>
      <c r="E948" s="7" t="s">
        <v>1174</v>
      </c>
      <c r="F948" s="8">
        <v>79192</v>
      </c>
      <c r="G948" s="8">
        <v>183998</v>
      </c>
      <c r="H948" s="8">
        <v>101464.89</v>
      </c>
      <c r="I948" s="8">
        <v>707942.21</v>
      </c>
      <c r="J948" s="13">
        <v>0.30089289106729</v>
      </c>
      <c r="K948" s="13">
        <v>0.12535705456500201</v>
      </c>
      <c r="L948" s="7">
        <v>-1</v>
      </c>
      <c r="M948" s="13">
        <v>0.33765811184030498</v>
      </c>
      <c r="N948" s="13">
        <v>-3.6765220773014802</v>
      </c>
      <c r="O948" s="7">
        <v>1</v>
      </c>
      <c r="P948" s="7" t="s">
        <v>160</v>
      </c>
      <c r="Q948" s="7" t="str">
        <f t="shared" si="14"/>
        <v>Yes</v>
      </c>
    </row>
    <row r="949" spans="1:17" ht="15" customHeight="1" x14ac:dyDescent="0.2">
      <c r="A949" s="7">
        <v>2022</v>
      </c>
      <c r="B949" s="7" t="s">
        <v>565</v>
      </c>
      <c r="C949" s="7">
        <v>9</v>
      </c>
      <c r="D949" s="7" t="s">
        <v>1606</v>
      </c>
      <c r="E949" s="7" t="s">
        <v>579</v>
      </c>
      <c r="F949" s="8">
        <v>101202</v>
      </c>
      <c r="G949" s="8">
        <v>131453</v>
      </c>
      <c r="H949" s="8">
        <v>171569.23</v>
      </c>
      <c r="I949" s="8">
        <v>1932291.71</v>
      </c>
      <c r="J949" s="13">
        <v>0.43498742773634802</v>
      </c>
      <c r="K949" s="13">
        <v>8.1549700713584194E-2</v>
      </c>
      <c r="L949" s="7">
        <v>-1</v>
      </c>
      <c r="M949" s="13">
        <v>0.32319679486582398</v>
      </c>
      <c r="N949" s="13">
        <v>11.179063287052401</v>
      </c>
      <c r="O949" s="7">
        <v>1</v>
      </c>
      <c r="P949" s="7" t="s">
        <v>160</v>
      </c>
      <c r="Q949" s="7" t="str">
        <f t="shared" si="14"/>
        <v>Yes</v>
      </c>
    </row>
    <row r="950" spans="1:17" ht="15" customHeight="1" x14ac:dyDescent="0.2">
      <c r="A950" s="7">
        <v>2022</v>
      </c>
      <c r="B950" s="7" t="s">
        <v>565</v>
      </c>
      <c r="C950" s="7">
        <v>10</v>
      </c>
      <c r="D950" s="7" t="s">
        <v>1607</v>
      </c>
      <c r="E950" s="7" t="s">
        <v>583</v>
      </c>
      <c r="F950" s="8">
        <v>73174</v>
      </c>
      <c r="G950" s="8">
        <v>194681</v>
      </c>
      <c r="H950" s="8">
        <v>186204.91</v>
      </c>
      <c r="I950" s="8">
        <v>3664241.56</v>
      </c>
      <c r="J950" s="13">
        <v>0.27318511881428398</v>
      </c>
      <c r="K950" s="13">
        <v>4.8359303642000799E-2</v>
      </c>
      <c r="L950" s="7">
        <v>-1</v>
      </c>
      <c r="M950" s="13">
        <v>0.312240258796812</v>
      </c>
      <c r="N950" s="13">
        <v>-3.9055139982528102</v>
      </c>
      <c r="O950" s="7">
        <v>1</v>
      </c>
      <c r="P950" s="7" t="s">
        <v>160</v>
      </c>
      <c r="Q950" s="7" t="str">
        <f t="shared" si="14"/>
        <v>Yes</v>
      </c>
    </row>
    <row r="951" spans="1:17" ht="15" customHeight="1" x14ac:dyDescent="0.2">
      <c r="A951" s="7">
        <v>2022</v>
      </c>
      <c r="B951" s="7" t="s">
        <v>565</v>
      </c>
      <c r="C951" s="7">
        <v>11</v>
      </c>
      <c r="D951" s="7" t="s">
        <v>1608</v>
      </c>
      <c r="E951" s="7" t="s">
        <v>1609</v>
      </c>
      <c r="F951" s="8">
        <v>144165</v>
      </c>
      <c r="G951" s="8">
        <v>174232</v>
      </c>
      <c r="H951" s="8">
        <v>2326331.84</v>
      </c>
      <c r="I951" s="8">
        <v>1804832.79</v>
      </c>
      <c r="J951" s="13">
        <v>0.45278378879198</v>
      </c>
      <c r="K951" s="13">
        <v>0.56311767948110103</v>
      </c>
      <c r="L951" s="7">
        <v>0</v>
      </c>
      <c r="M951" s="13">
        <v>0.52177887541871404</v>
      </c>
      <c r="N951" s="13">
        <v>-6.8995086626733997</v>
      </c>
      <c r="O951" s="7">
        <v>0</v>
      </c>
      <c r="P951" s="7" t="s">
        <v>160</v>
      </c>
      <c r="Q951" s="7" t="str">
        <f t="shared" si="14"/>
        <v>Yes</v>
      </c>
    </row>
    <row r="952" spans="1:17" ht="15" customHeight="1" x14ac:dyDescent="0.2">
      <c r="A952" s="7">
        <v>2022</v>
      </c>
      <c r="B952" s="7" t="s">
        <v>565</v>
      </c>
      <c r="C952" s="7">
        <v>12</v>
      </c>
      <c r="D952" s="7" t="s">
        <v>1610</v>
      </c>
      <c r="E952" s="7" t="s">
        <v>1611</v>
      </c>
      <c r="F952" s="8">
        <v>140494</v>
      </c>
      <c r="G952" s="8">
        <v>83414</v>
      </c>
      <c r="H952" s="8">
        <v>767784.87</v>
      </c>
      <c r="I952" s="8">
        <v>260528.26</v>
      </c>
      <c r="J952" s="13">
        <v>0.62746306518748796</v>
      </c>
      <c r="K952" s="13">
        <v>0.74664501269180505</v>
      </c>
      <c r="L952" s="7">
        <v>1</v>
      </c>
      <c r="M952" s="13">
        <v>0.62197427273813699</v>
      </c>
      <c r="N952" s="13">
        <v>0.548879244935085</v>
      </c>
      <c r="O952" s="7">
        <v>1</v>
      </c>
      <c r="P952" s="7" t="s">
        <v>160</v>
      </c>
      <c r="Q952" s="7" t="str">
        <f t="shared" si="14"/>
        <v>Yes</v>
      </c>
    </row>
    <row r="953" spans="1:17" ht="15" customHeight="1" x14ac:dyDescent="0.2">
      <c r="A953" s="7">
        <v>2022</v>
      </c>
      <c r="B953" s="7" t="s">
        <v>565</v>
      </c>
      <c r="C953" s="7">
        <v>13</v>
      </c>
      <c r="D953" s="7" t="s">
        <v>1612</v>
      </c>
      <c r="E953" s="7" t="s">
        <v>1613</v>
      </c>
      <c r="F953" s="8">
        <v>143090</v>
      </c>
      <c r="G953" s="8">
        <v>134256</v>
      </c>
      <c r="H953" s="8">
        <v>9094139.8900000006</v>
      </c>
      <c r="I953" s="8">
        <v>11990652.17</v>
      </c>
      <c r="J953" s="13">
        <v>0.51592595530492602</v>
      </c>
      <c r="K953" s="13">
        <v>0.431312761544967</v>
      </c>
      <c r="L953" s="7">
        <v>0</v>
      </c>
      <c r="M953" s="13">
        <v>0.47826853915109402</v>
      </c>
      <c r="N953" s="13">
        <v>3.7657416153832202</v>
      </c>
      <c r="O953" s="7">
        <v>0</v>
      </c>
      <c r="P953" s="7" t="s">
        <v>160</v>
      </c>
      <c r="Q953" s="7" t="str">
        <f t="shared" si="14"/>
        <v>Yes</v>
      </c>
    </row>
    <row r="954" spans="1:17" ht="15" customHeight="1" x14ac:dyDescent="0.2">
      <c r="A954" s="7">
        <v>2022</v>
      </c>
      <c r="B954" s="7" t="s">
        <v>565</v>
      </c>
      <c r="C954" s="7">
        <v>14</v>
      </c>
      <c r="D954" s="7" t="s">
        <v>1614</v>
      </c>
      <c r="E954" s="7" t="s">
        <v>1615</v>
      </c>
      <c r="F954" s="8">
        <v>148738</v>
      </c>
      <c r="G954" s="8">
        <v>109014</v>
      </c>
      <c r="H954" s="8">
        <v>5712406.0300000003</v>
      </c>
      <c r="I954" s="8">
        <v>850402.5</v>
      </c>
      <c r="J954" s="13">
        <v>0.57705856792575805</v>
      </c>
      <c r="K954" s="13">
        <v>0.87042094918469304</v>
      </c>
      <c r="L954" s="7">
        <v>0</v>
      </c>
      <c r="M954" s="13">
        <v>0.62322325860494199</v>
      </c>
      <c r="N954" s="13">
        <v>-4.6164690679183504</v>
      </c>
      <c r="O954" s="7">
        <v>1</v>
      </c>
      <c r="P954" s="7" t="s">
        <v>160</v>
      </c>
      <c r="Q954" s="7" t="str">
        <f t="shared" si="14"/>
        <v>Yes</v>
      </c>
    </row>
    <row r="955" spans="1:17" ht="15" customHeight="1" x14ac:dyDescent="0.2">
      <c r="A955" s="7">
        <v>2022</v>
      </c>
      <c r="B955" s="7" t="s">
        <v>591</v>
      </c>
      <c r="C955" s="7">
        <v>1</v>
      </c>
      <c r="D955" s="7" t="s">
        <v>1616</v>
      </c>
      <c r="E955" s="7" t="s">
        <v>1617</v>
      </c>
      <c r="F955" s="8">
        <v>93929</v>
      </c>
      <c r="G955" s="8">
        <v>129236</v>
      </c>
      <c r="H955" s="8">
        <v>1910135.54</v>
      </c>
      <c r="I955" s="8">
        <v>2297733.9900000002</v>
      </c>
      <c r="J955" s="13">
        <v>0.42089485358367101</v>
      </c>
      <c r="K955" s="13">
        <v>0.453943623104683</v>
      </c>
      <c r="L955" s="7">
        <v>-1</v>
      </c>
      <c r="M955" s="13">
        <v>0.44612835949155299</v>
      </c>
      <c r="N955" s="13">
        <v>-2.5233505907881799</v>
      </c>
      <c r="O955" s="7">
        <v>1</v>
      </c>
      <c r="P955" s="7" t="s">
        <v>160</v>
      </c>
      <c r="Q955" s="7" t="str">
        <f t="shared" si="14"/>
        <v>Yes</v>
      </c>
    </row>
    <row r="956" spans="1:17" ht="15" customHeight="1" x14ac:dyDescent="0.2">
      <c r="A956" s="7">
        <v>2022</v>
      </c>
      <c r="B956" s="7" t="s">
        <v>591</v>
      </c>
      <c r="C956" s="7">
        <v>2</v>
      </c>
      <c r="D956" s="7" t="s">
        <v>1618</v>
      </c>
      <c r="E956" s="7" t="s">
        <v>595</v>
      </c>
      <c r="F956" s="8">
        <v>106807</v>
      </c>
      <c r="G956" s="8">
        <v>112663</v>
      </c>
      <c r="H956" s="8">
        <v>6973478.0800000001</v>
      </c>
      <c r="I956" s="8">
        <v>10661027.82</v>
      </c>
      <c r="J956" s="13">
        <v>0.48665876885223502</v>
      </c>
      <c r="K956" s="13">
        <v>0.39544505071729902</v>
      </c>
      <c r="L956" s="7">
        <v>-1</v>
      </c>
      <c r="M956" s="13">
        <v>0.42681730042330102</v>
      </c>
      <c r="N956" s="13">
        <v>5.9841468428934004</v>
      </c>
      <c r="O956" s="7">
        <v>1</v>
      </c>
      <c r="P956" s="7" t="s">
        <v>160</v>
      </c>
      <c r="Q956" s="7" t="str">
        <f t="shared" si="14"/>
        <v>Yes</v>
      </c>
    </row>
    <row r="957" spans="1:17" ht="15" customHeight="1" x14ac:dyDescent="0.2">
      <c r="A957" s="7">
        <v>2022</v>
      </c>
      <c r="B957" s="7" t="s">
        <v>591</v>
      </c>
      <c r="C957" s="7">
        <v>3</v>
      </c>
      <c r="D957" s="7" t="s">
        <v>1619</v>
      </c>
      <c r="E957" s="7" t="s">
        <v>597</v>
      </c>
      <c r="F957" s="8">
        <v>34836</v>
      </c>
      <c r="G957" s="8">
        <v>172700</v>
      </c>
      <c r="H957" s="8">
        <v>0</v>
      </c>
      <c r="I957" s="8">
        <v>1940797.87</v>
      </c>
      <c r="J957" s="13">
        <v>0.16785521548068799</v>
      </c>
      <c r="K957" s="13">
        <v>0</v>
      </c>
      <c r="L957" s="7">
        <v>-1</v>
      </c>
      <c r="M957" s="13">
        <v>0.29627629025846802</v>
      </c>
      <c r="N957" s="13">
        <v>-12.8421074777781</v>
      </c>
      <c r="O957" s="7">
        <v>1</v>
      </c>
      <c r="P957" s="7" t="s">
        <v>160</v>
      </c>
      <c r="Q957" s="7" t="str">
        <f t="shared" si="14"/>
        <v>Yes</v>
      </c>
    </row>
    <row r="958" spans="1:17" ht="15" customHeight="1" x14ac:dyDescent="0.2">
      <c r="A958" s="7">
        <v>2022</v>
      </c>
      <c r="B958" s="7" t="s">
        <v>598</v>
      </c>
      <c r="C958" s="7">
        <v>1</v>
      </c>
      <c r="D958" s="7" t="s">
        <v>599</v>
      </c>
      <c r="E958" s="7" t="s">
        <v>1620</v>
      </c>
      <c r="F958" s="8">
        <v>167391</v>
      </c>
      <c r="G958" s="8">
        <v>142229</v>
      </c>
      <c r="H958" s="8">
        <v>14678370.779999999</v>
      </c>
      <c r="I958" s="8">
        <v>13707851.109999999</v>
      </c>
      <c r="J958" s="13">
        <v>0.54063367999483203</v>
      </c>
      <c r="K958" s="13">
        <v>0.51709490741249198</v>
      </c>
      <c r="L958" s="7">
        <v>1</v>
      </c>
      <c r="M958" s="13">
        <v>0.54619711337743604</v>
      </c>
      <c r="N958" s="13">
        <v>-0.55634333826035698</v>
      </c>
      <c r="O958" s="7">
        <v>1</v>
      </c>
      <c r="P958" s="7" t="s">
        <v>160</v>
      </c>
      <c r="Q958" s="7" t="str">
        <f t="shared" si="14"/>
        <v>Yes</v>
      </c>
    </row>
    <row r="959" spans="1:17" ht="15" customHeight="1" x14ac:dyDescent="0.2">
      <c r="A959" s="7">
        <v>2022</v>
      </c>
      <c r="B959" s="7" t="s">
        <v>598</v>
      </c>
      <c r="C959" s="7">
        <v>2</v>
      </c>
      <c r="D959" s="7" t="s">
        <v>601</v>
      </c>
      <c r="E959" s="7" t="s">
        <v>1621</v>
      </c>
      <c r="F959" s="8">
        <v>171636</v>
      </c>
      <c r="G959" s="8">
        <v>135579</v>
      </c>
      <c r="H959" s="8">
        <v>5723289.5599999996</v>
      </c>
      <c r="I959" s="8">
        <v>449327.75</v>
      </c>
      <c r="J959" s="13">
        <v>0.55868365802451103</v>
      </c>
      <c r="K959" s="13">
        <v>0.927206284233422</v>
      </c>
      <c r="L959" s="7">
        <v>1</v>
      </c>
      <c r="M959" s="13">
        <v>0.68157964835463403</v>
      </c>
      <c r="N959" s="13">
        <v>-12.2895990330123</v>
      </c>
      <c r="O959" s="7">
        <v>1</v>
      </c>
      <c r="P959" s="7" t="s">
        <v>160</v>
      </c>
      <c r="Q959" s="7" t="str">
        <f t="shared" si="14"/>
        <v>Yes</v>
      </c>
    </row>
    <row r="960" spans="1:17" ht="15" customHeight="1" x14ac:dyDescent="0.2">
      <c r="A960" s="7">
        <v>2022</v>
      </c>
      <c r="B960" s="7" t="s">
        <v>603</v>
      </c>
      <c r="C960" s="7">
        <v>1</v>
      </c>
      <c r="D960" s="7" t="s">
        <v>1622</v>
      </c>
      <c r="E960" s="7" t="s">
        <v>1623</v>
      </c>
      <c r="F960" s="8">
        <v>139559</v>
      </c>
      <c r="G960" s="8">
        <v>78794</v>
      </c>
      <c r="H960" s="8">
        <v>3536166.48</v>
      </c>
      <c r="I960" s="8">
        <v>16302.44</v>
      </c>
      <c r="J960" s="13">
        <v>0.63914395497199505</v>
      </c>
      <c r="K960" s="13">
        <v>0.99541095492539899</v>
      </c>
      <c r="L960" s="7">
        <v>1</v>
      </c>
      <c r="M960" s="13">
        <v>0.70409480335262997</v>
      </c>
      <c r="N960" s="13">
        <v>-6.49508483806349</v>
      </c>
      <c r="O960" s="7">
        <v>1</v>
      </c>
      <c r="P960" s="7" t="s">
        <v>160</v>
      </c>
      <c r="Q960" s="7" t="str">
        <f t="shared" si="14"/>
        <v>Yes</v>
      </c>
    </row>
    <row r="961" spans="1:17" ht="15" customHeight="1" x14ac:dyDescent="0.2">
      <c r="A961" s="7">
        <v>2022</v>
      </c>
      <c r="B961" s="7" t="s">
        <v>603</v>
      </c>
      <c r="C961" s="7">
        <v>2</v>
      </c>
      <c r="D961" s="7" t="s">
        <v>1624</v>
      </c>
      <c r="E961" s="7" t="s">
        <v>606</v>
      </c>
      <c r="F961" s="8">
        <v>94522</v>
      </c>
      <c r="G961" s="8">
        <v>139217</v>
      </c>
      <c r="H961" s="8">
        <v>491264.54</v>
      </c>
      <c r="I961" s="8">
        <v>2833245.31</v>
      </c>
      <c r="J961" s="13">
        <v>0.40439122268855399</v>
      </c>
      <c r="K961" s="13">
        <v>0.147770517208725</v>
      </c>
      <c r="L961" s="7">
        <v>-1</v>
      </c>
      <c r="M961" s="13">
        <v>0.34505705652173602</v>
      </c>
      <c r="N961" s="13">
        <v>5.9334166166818001</v>
      </c>
      <c r="O961" s="7">
        <v>1</v>
      </c>
      <c r="P961" s="7" t="s">
        <v>160</v>
      </c>
      <c r="Q961" s="7" t="str">
        <f t="shared" si="14"/>
        <v>Yes</v>
      </c>
    </row>
    <row r="962" spans="1:17" ht="15" customHeight="1" x14ac:dyDescent="0.2">
      <c r="A962" s="7">
        <v>2022</v>
      </c>
      <c r="B962" s="7" t="s">
        <v>603</v>
      </c>
      <c r="C962" s="7">
        <v>3</v>
      </c>
      <c r="D962" s="7" t="s">
        <v>608</v>
      </c>
      <c r="E962" s="7" t="s">
        <v>1625</v>
      </c>
      <c r="F962" s="8">
        <v>150498</v>
      </c>
      <c r="G962" s="8">
        <v>118415</v>
      </c>
      <c r="H962" s="8">
        <v>7739483.4100000001</v>
      </c>
      <c r="I962" s="8">
        <v>6845521.2199999997</v>
      </c>
      <c r="J962" s="13">
        <v>0.55965312201343898</v>
      </c>
      <c r="K962" s="13">
        <v>0.53064662002784702</v>
      </c>
      <c r="L962" s="7">
        <v>1</v>
      </c>
      <c r="M962" s="13">
        <v>0.55067069131465596</v>
      </c>
      <c r="N962" s="13">
        <v>0.89824306987829095</v>
      </c>
      <c r="O962" s="7">
        <v>1</v>
      </c>
      <c r="P962" s="7" t="s">
        <v>160</v>
      </c>
      <c r="Q962" s="7" t="str">
        <f t="shared" si="14"/>
        <v>Yes</v>
      </c>
    </row>
    <row r="963" spans="1:17" ht="15" customHeight="1" x14ac:dyDescent="0.2">
      <c r="A963" s="7">
        <v>2022</v>
      </c>
      <c r="B963" s="7" t="s">
        <v>603</v>
      </c>
      <c r="C963" s="7">
        <v>4</v>
      </c>
      <c r="D963" s="7" t="s">
        <v>1626</v>
      </c>
      <c r="E963" s="7" t="s">
        <v>611</v>
      </c>
      <c r="F963" s="8">
        <v>81233</v>
      </c>
      <c r="G963" s="8">
        <v>173288</v>
      </c>
      <c r="H963" s="8">
        <v>55492.02</v>
      </c>
      <c r="I963" s="8">
        <v>1549993.86</v>
      </c>
      <c r="J963" s="13">
        <v>0.319160305043592</v>
      </c>
      <c r="K963" s="13">
        <v>3.45640037643931E-2</v>
      </c>
      <c r="L963" s="7">
        <v>-1</v>
      </c>
      <c r="M963" s="13">
        <v>0.30768626987146502</v>
      </c>
      <c r="N963" s="13">
        <v>1.14740351721263</v>
      </c>
      <c r="O963" s="7">
        <v>1</v>
      </c>
      <c r="P963" s="7" t="s">
        <v>160</v>
      </c>
      <c r="Q963" s="7" t="str">
        <f t="shared" si="14"/>
        <v>Yes</v>
      </c>
    </row>
    <row r="964" spans="1:17" ht="15" customHeight="1" x14ac:dyDescent="0.2">
      <c r="A964" s="7">
        <v>2022</v>
      </c>
      <c r="B964" s="7" t="s">
        <v>603</v>
      </c>
      <c r="C964" s="7">
        <v>5</v>
      </c>
      <c r="D964" s="7" t="s">
        <v>612</v>
      </c>
      <c r="E964" s="7" t="s">
        <v>1627</v>
      </c>
      <c r="F964" s="8">
        <v>145559</v>
      </c>
      <c r="G964" s="8">
        <v>117873</v>
      </c>
      <c r="H964" s="8">
        <v>8383768.6399999997</v>
      </c>
      <c r="I964" s="8">
        <v>1038836.91</v>
      </c>
      <c r="J964" s="13">
        <v>0.55254866531021296</v>
      </c>
      <c r="K964" s="13">
        <v>0.88975056798382102</v>
      </c>
      <c r="L964" s="7">
        <v>1</v>
      </c>
      <c r="M964" s="13">
        <v>0.66921508082040604</v>
      </c>
      <c r="N964" s="13">
        <v>-11.6666415510193</v>
      </c>
      <c r="O964" s="7">
        <v>1</v>
      </c>
      <c r="P964" s="7" t="s">
        <v>160</v>
      </c>
      <c r="Q964" s="7" t="str">
        <f t="shared" ref="Q964:Q1027" si="15">IF(A964=2024,"No -- held out","Yes")</f>
        <v>Yes</v>
      </c>
    </row>
    <row r="965" spans="1:17" ht="15" customHeight="1" x14ac:dyDescent="0.2">
      <c r="A965" s="7">
        <v>2022</v>
      </c>
      <c r="B965" s="7" t="s">
        <v>603</v>
      </c>
      <c r="C965" s="7">
        <v>6</v>
      </c>
      <c r="D965" s="7" t="s">
        <v>614</v>
      </c>
      <c r="E965" s="7" t="s">
        <v>1628</v>
      </c>
      <c r="F965" s="8">
        <v>106238</v>
      </c>
      <c r="G965" s="8">
        <v>75839</v>
      </c>
      <c r="H965" s="8">
        <v>3795639.85</v>
      </c>
      <c r="I965" s="8">
        <v>400235.5</v>
      </c>
      <c r="J965" s="13">
        <v>0.58347841847130599</v>
      </c>
      <c r="K965" s="13">
        <v>0.90461215679345697</v>
      </c>
      <c r="L965" s="7">
        <v>1</v>
      </c>
      <c r="M965" s="13">
        <v>0.67412106412287798</v>
      </c>
      <c r="N965" s="13">
        <v>-9.0642645651571598</v>
      </c>
      <c r="O965" s="7">
        <v>1</v>
      </c>
      <c r="P965" s="7" t="s">
        <v>160</v>
      </c>
      <c r="Q965" s="7" t="str">
        <f t="shared" si="15"/>
        <v>Yes</v>
      </c>
    </row>
    <row r="966" spans="1:17" ht="15" customHeight="1" x14ac:dyDescent="0.2">
      <c r="A966" s="7">
        <v>2022</v>
      </c>
      <c r="B966" s="7" t="s">
        <v>603</v>
      </c>
      <c r="C966" s="7">
        <v>7</v>
      </c>
      <c r="D966" s="7" t="s">
        <v>616</v>
      </c>
      <c r="E966" s="7" t="s">
        <v>1190</v>
      </c>
      <c r="F966" s="8">
        <v>150701</v>
      </c>
      <c r="G966" s="8">
        <v>159392</v>
      </c>
      <c r="H966" s="8">
        <v>9627011.0600000005</v>
      </c>
      <c r="I966" s="8">
        <v>10613651.300000001</v>
      </c>
      <c r="J966" s="13">
        <v>0.48598646212587798</v>
      </c>
      <c r="K966" s="13">
        <v>0.47562727388927201</v>
      </c>
      <c r="L966" s="7">
        <v>1</v>
      </c>
      <c r="M966" s="13">
        <v>0.53250816529363199</v>
      </c>
      <c r="N966" s="13">
        <v>-4.6521703167753996</v>
      </c>
      <c r="O966" s="7">
        <v>0</v>
      </c>
      <c r="P966" s="7" t="s">
        <v>160</v>
      </c>
      <c r="Q966" s="7" t="str">
        <f t="shared" si="15"/>
        <v>Yes</v>
      </c>
    </row>
    <row r="967" spans="1:17" ht="15" customHeight="1" x14ac:dyDescent="0.2">
      <c r="A967" s="7">
        <v>2022</v>
      </c>
      <c r="B967" s="7" t="s">
        <v>603</v>
      </c>
      <c r="C967" s="7">
        <v>8</v>
      </c>
      <c r="D967" s="7" t="s">
        <v>1629</v>
      </c>
      <c r="E967" s="7" t="s">
        <v>1630</v>
      </c>
      <c r="F967" s="8">
        <v>78382</v>
      </c>
      <c r="G967" s="8">
        <v>24957</v>
      </c>
      <c r="H967" s="8">
        <v>1662900.3</v>
      </c>
      <c r="I967" s="8">
        <v>0</v>
      </c>
      <c r="J967" s="13">
        <v>0.75849388904479398</v>
      </c>
      <c r="K967" s="13">
        <v>1</v>
      </c>
      <c r="L967" s="7">
        <v>0</v>
      </c>
      <c r="M967" s="13">
        <v>0.66599881024972096</v>
      </c>
      <c r="N967" s="13">
        <v>9.2495078795073091</v>
      </c>
      <c r="O967" s="7">
        <v>1</v>
      </c>
      <c r="P967" s="7" t="s">
        <v>160</v>
      </c>
      <c r="Q967" s="7" t="str">
        <f t="shared" si="15"/>
        <v>Yes</v>
      </c>
    </row>
    <row r="968" spans="1:17" ht="15" customHeight="1" x14ac:dyDescent="0.2">
      <c r="A968" s="7">
        <v>2022</v>
      </c>
      <c r="B968" s="7" t="s">
        <v>603</v>
      </c>
      <c r="C968" s="7">
        <v>9</v>
      </c>
      <c r="D968" s="7" t="s">
        <v>1192</v>
      </c>
      <c r="E968" s="7" t="s">
        <v>1193</v>
      </c>
      <c r="F968" s="8">
        <v>82457</v>
      </c>
      <c r="G968" s="8">
        <v>65365</v>
      </c>
      <c r="H968" s="8">
        <v>1620585.78</v>
      </c>
      <c r="I968" s="8">
        <v>293781.64</v>
      </c>
      <c r="J968" s="13">
        <v>0.557812774823775</v>
      </c>
      <c r="K968" s="13">
        <v>0.84653852916071903</v>
      </c>
      <c r="L968" s="7">
        <v>1</v>
      </c>
      <c r="M968" s="13">
        <v>0.65495028426013102</v>
      </c>
      <c r="N968" s="13">
        <v>-9.7137509436356702</v>
      </c>
      <c r="O968" s="7">
        <v>1</v>
      </c>
      <c r="P968" s="7" t="s">
        <v>160</v>
      </c>
      <c r="Q968" s="7" t="str">
        <f t="shared" si="15"/>
        <v>Yes</v>
      </c>
    </row>
    <row r="969" spans="1:17" ht="15" customHeight="1" x14ac:dyDescent="0.2">
      <c r="A969" s="7">
        <v>2022</v>
      </c>
      <c r="B969" s="7" t="s">
        <v>603</v>
      </c>
      <c r="C969" s="7">
        <v>10</v>
      </c>
      <c r="D969" s="7" t="s">
        <v>620</v>
      </c>
      <c r="E969" s="7" t="s">
        <v>1631</v>
      </c>
      <c r="F969" s="8">
        <v>100710</v>
      </c>
      <c r="G969" s="8">
        <v>25993</v>
      </c>
      <c r="H969" s="8">
        <v>1578740.21</v>
      </c>
      <c r="I969" s="8">
        <v>0</v>
      </c>
      <c r="J969" s="13">
        <v>0.79485095064836697</v>
      </c>
      <c r="K969" s="13">
        <v>1</v>
      </c>
      <c r="L969" s="7">
        <v>1</v>
      </c>
      <c r="M969" s="13">
        <v>0.70560970050115601</v>
      </c>
      <c r="N969" s="13">
        <v>8.9241250147210707</v>
      </c>
      <c r="O969" s="7">
        <v>1</v>
      </c>
      <c r="P969" s="7" t="s">
        <v>160</v>
      </c>
      <c r="Q969" s="7" t="str">
        <f t="shared" si="15"/>
        <v>Yes</v>
      </c>
    </row>
    <row r="970" spans="1:17" ht="15" customHeight="1" x14ac:dyDescent="0.2">
      <c r="A970" s="7">
        <v>2022</v>
      </c>
      <c r="B970" s="7" t="s">
        <v>603</v>
      </c>
      <c r="C970" s="7">
        <v>11</v>
      </c>
      <c r="D970" s="7" t="s">
        <v>1632</v>
      </c>
      <c r="E970" s="7" t="s">
        <v>1633</v>
      </c>
      <c r="F970" s="8">
        <v>161436</v>
      </c>
      <c r="G970" s="8">
        <v>109952</v>
      </c>
      <c r="H970" s="8">
        <v>13915875.41</v>
      </c>
      <c r="I970" s="8">
        <v>680132.7</v>
      </c>
      <c r="J970" s="13">
        <v>0.59485312541453605</v>
      </c>
      <c r="K970" s="13">
        <v>0.95340282802843701</v>
      </c>
      <c r="L970" s="7">
        <v>1</v>
      </c>
      <c r="M970" s="13">
        <v>0.69022743212035698</v>
      </c>
      <c r="N970" s="13">
        <v>-9.5374306705821201</v>
      </c>
      <c r="O970" s="7">
        <v>1</v>
      </c>
      <c r="P970" s="7" t="s">
        <v>160</v>
      </c>
      <c r="Q970" s="7" t="str">
        <f t="shared" si="15"/>
        <v>Yes</v>
      </c>
    </row>
    <row r="971" spans="1:17" ht="15" customHeight="1" x14ac:dyDescent="0.2">
      <c r="A971" s="7">
        <v>2022</v>
      </c>
      <c r="B971" s="7" t="s">
        <v>603</v>
      </c>
      <c r="C971" s="7">
        <v>12</v>
      </c>
      <c r="D971" s="7" t="s">
        <v>624</v>
      </c>
      <c r="E971" s="7" t="s">
        <v>1634</v>
      </c>
      <c r="F971" s="8">
        <v>125127</v>
      </c>
      <c r="G971" s="8">
        <v>71175</v>
      </c>
      <c r="H971" s="8">
        <v>968994.12</v>
      </c>
      <c r="I971" s="8">
        <v>260890.43</v>
      </c>
      <c r="J971" s="13">
        <v>0.63742091267536805</v>
      </c>
      <c r="K971" s="13">
        <v>0.78787404882840395</v>
      </c>
      <c r="L971" s="7">
        <v>1</v>
      </c>
      <c r="M971" s="13">
        <v>0.63558445704979105</v>
      </c>
      <c r="N971" s="13">
        <v>0.18364556255762199</v>
      </c>
      <c r="O971" s="7">
        <v>1</v>
      </c>
      <c r="P971" s="7" t="s">
        <v>160</v>
      </c>
      <c r="Q971" s="7" t="str">
        <f t="shared" si="15"/>
        <v>Yes</v>
      </c>
    </row>
    <row r="972" spans="1:17" ht="15" customHeight="1" x14ac:dyDescent="0.2">
      <c r="A972" s="7">
        <v>2022</v>
      </c>
      <c r="B972" s="7" t="s">
        <v>626</v>
      </c>
      <c r="C972" s="7">
        <v>1</v>
      </c>
      <c r="D972" s="7" t="s">
        <v>1635</v>
      </c>
      <c r="E972" s="7" t="s">
        <v>1199</v>
      </c>
      <c r="F972" s="8">
        <v>156462</v>
      </c>
      <c r="G972" s="8">
        <v>124151</v>
      </c>
      <c r="H972" s="8">
        <v>3659333.98</v>
      </c>
      <c r="I972" s="8">
        <v>499379.84</v>
      </c>
      <c r="J972" s="13">
        <v>0.55757217235124501</v>
      </c>
      <c r="K972" s="13">
        <v>0.87991964304002102</v>
      </c>
      <c r="L972" s="7">
        <v>1</v>
      </c>
      <c r="M972" s="13">
        <v>0.66596977816535796</v>
      </c>
      <c r="N972" s="13">
        <v>-10.8397605814113</v>
      </c>
      <c r="O972" s="7">
        <v>1</v>
      </c>
      <c r="P972" s="7" t="s">
        <v>160</v>
      </c>
      <c r="Q972" s="7" t="str">
        <f t="shared" si="15"/>
        <v>Yes</v>
      </c>
    </row>
    <row r="973" spans="1:17" ht="15" customHeight="1" x14ac:dyDescent="0.2">
      <c r="A973" s="7">
        <v>2022</v>
      </c>
      <c r="B973" s="7" t="s">
        <v>626</v>
      </c>
      <c r="C973" s="7">
        <v>2</v>
      </c>
      <c r="D973" s="7" t="s">
        <v>1636</v>
      </c>
      <c r="E973" s="7" t="s">
        <v>630</v>
      </c>
      <c r="F973" s="8">
        <v>96986</v>
      </c>
      <c r="G973" s="8">
        <v>95636</v>
      </c>
      <c r="H973" s="8">
        <v>9417292.2300000004</v>
      </c>
      <c r="I973" s="8">
        <v>12197874.689999999</v>
      </c>
      <c r="J973" s="13">
        <v>0.50350427261683495</v>
      </c>
      <c r="K973" s="13">
        <v>0.435679829115102</v>
      </c>
      <c r="L973" s="7">
        <v>-1</v>
      </c>
      <c r="M973" s="13">
        <v>0.44009926869242</v>
      </c>
      <c r="N973" s="13">
        <v>6.3405003924415002</v>
      </c>
      <c r="O973" s="7">
        <v>0</v>
      </c>
      <c r="P973" s="7" t="s">
        <v>160</v>
      </c>
      <c r="Q973" s="7" t="str">
        <f t="shared" si="15"/>
        <v>Yes</v>
      </c>
    </row>
    <row r="974" spans="1:17" ht="15" customHeight="1" x14ac:dyDescent="0.2">
      <c r="A974" s="7">
        <v>2022</v>
      </c>
      <c r="B974" s="7" t="s">
        <v>626</v>
      </c>
      <c r="C974" s="7">
        <v>3</v>
      </c>
      <c r="D974" s="7" t="s">
        <v>1200</v>
      </c>
      <c r="E974" s="7" t="s">
        <v>1637</v>
      </c>
      <c r="F974" s="8">
        <v>134217</v>
      </c>
      <c r="G974" s="8">
        <v>96565</v>
      </c>
      <c r="H974" s="8">
        <v>3780537.51</v>
      </c>
      <c r="I974" s="8">
        <v>310284.09999999998</v>
      </c>
      <c r="J974" s="13">
        <v>0.58157481952665302</v>
      </c>
      <c r="K974" s="13">
        <v>0.92415115358696898</v>
      </c>
      <c r="L974" s="7">
        <v>1</v>
      </c>
      <c r="M974" s="13">
        <v>0.68057111419786498</v>
      </c>
      <c r="N974" s="13">
        <v>-9.8996294671212102</v>
      </c>
      <c r="O974" s="7">
        <v>1</v>
      </c>
      <c r="P974" s="7" t="s">
        <v>160</v>
      </c>
      <c r="Q974" s="7" t="str">
        <f t="shared" si="15"/>
        <v>Yes</v>
      </c>
    </row>
    <row r="975" spans="1:17" ht="15" customHeight="1" x14ac:dyDescent="0.2">
      <c r="A975" s="7">
        <v>2022</v>
      </c>
      <c r="B975" s="7" t="s">
        <v>631</v>
      </c>
      <c r="C975" s="7">
        <v>1</v>
      </c>
      <c r="D975" s="7" t="s">
        <v>1638</v>
      </c>
      <c r="E975" s="7" t="s">
        <v>1639</v>
      </c>
      <c r="F975" s="8">
        <v>115700</v>
      </c>
      <c r="G975" s="8">
        <v>103115</v>
      </c>
      <c r="H975" s="8">
        <v>11298120.93</v>
      </c>
      <c r="I975" s="8">
        <v>10331428.6</v>
      </c>
      <c r="J975" s="13">
        <v>0.52875716929826599</v>
      </c>
      <c r="K975" s="13">
        <v>0.52234656641043797</v>
      </c>
      <c r="L975" s="7">
        <v>1</v>
      </c>
      <c r="M975" s="13">
        <v>0.54793074708808598</v>
      </c>
      <c r="N975" s="13">
        <v>-1.917357778982</v>
      </c>
      <c r="O975" s="7">
        <v>1</v>
      </c>
      <c r="P975" s="7" t="s">
        <v>160</v>
      </c>
      <c r="Q975" s="7" t="str">
        <f t="shared" si="15"/>
        <v>Yes</v>
      </c>
    </row>
    <row r="976" spans="1:17" ht="15" customHeight="1" x14ac:dyDescent="0.2">
      <c r="A976" s="7">
        <v>2022</v>
      </c>
      <c r="B976" s="7" t="s">
        <v>631</v>
      </c>
      <c r="C976" s="7">
        <v>2</v>
      </c>
      <c r="D976" s="7" t="s">
        <v>1640</v>
      </c>
      <c r="E976" s="7" t="s">
        <v>633</v>
      </c>
      <c r="F976" s="8">
        <v>117371</v>
      </c>
      <c r="G976" s="8">
        <v>185467</v>
      </c>
      <c r="H976" s="8">
        <v>172928.59</v>
      </c>
      <c r="I976" s="8">
        <v>1778906.96</v>
      </c>
      <c r="J976" s="13">
        <v>0.38757025208197099</v>
      </c>
      <c r="K976" s="13">
        <v>8.8597930291822002E-2</v>
      </c>
      <c r="L976" s="7">
        <v>-1</v>
      </c>
      <c r="M976" s="13">
        <v>0.32552349741867698</v>
      </c>
      <c r="N976" s="13">
        <v>6.2046754663294603</v>
      </c>
      <c r="O976" s="7">
        <v>1</v>
      </c>
      <c r="P976" s="7" t="s">
        <v>160</v>
      </c>
      <c r="Q976" s="7" t="str">
        <f t="shared" si="15"/>
        <v>Yes</v>
      </c>
    </row>
    <row r="977" spans="1:17" ht="15" customHeight="1" x14ac:dyDescent="0.2">
      <c r="A977" s="7">
        <v>2022</v>
      </c>
      <c r="B977" s="7" t="s">
        <v>631</v>
      </c>
      <c r="C977" s="7">
        <v>3</v>
      </c>
      <c r="D977" s="7" t="s">
        <v>634</v>
      </c>
      <c r="E977" s="7" t="s">
        <v>1641</v>
      </c>
      <c r="F977" s="8">
        <v>131086</v>
      </c>
      <c r="G977" s="8">
        <v>121083</v>
      </c>
      <c r="H977" s="8">
        <v>14499512.34</v>
      </c>
      <c r="I977" s="8">
        <v>14432543.85</v>
      </c>
      <c r="J977" s="13">
        <v>0.519833920902252</v>
      </c>
      <c r="K977" s="13">
        <v>0.50115734065979001</v>
      </c>
      <c r="L977" s="7">
        <v>1</v>
      </c>
      <c r="M977" s="13">
        <v>0.54093593724261402</v>
      </c>
      <c r="N977" s="13">
        <v>-2.1102016340362</v>
      </c>
      <c r="O977" s="7">
        <v>1</v>
      </c>
      <c r="P977" s="7" t="s">
        <v>160</v>
      </c>
      <c r="Q977" s="7" t="str">
        <f t="shared" si="15"/>
        <v>Yes</v>
      </c>
    </row>
    <row r="978" spans="1:17" ht="15" customHeight="1" x14ac:dyDescent="0.2">
      <c r="A978" s="7">
        <v>2022</v>
      </c>
      <c r="B978" s="7" t="s">
        <v>631</v>
      </c>
      <c r="C978" s="7">
        <v>4</v>
      </c>
      <c r="D978" s="7" t="s">
        <v>636</v>
      </c>
      <c r="E978" s="7" t="s">
        <v>1642</v>
      </c>
      <c r="F978" s="8">
        <v>116617</v>
      </c>
      <c r="G978" s="8">
        <v>105870</v>
      </c>
      <c r="H978" s="8">
        <v>11168931.59</v>
      </c>
      <c r="I978" s="8">
        <v>4249506.8600000003</v>
      </c>
      <c r="J978" s="13">
        <v>0.52415197292426097</v>
      </c>
      <c r="K978" s="13">
        <v>0.72438798690408202</v>
      </c>
      <c r="L978" s="7">
        <v>1</v>
      </c>
      <c r="M978" s="13">
        <v>0.61462696968218999</v>
      </c>
      <c r="N978" s="13">
        <v>-9.0474996757929702</v>
      </c>
      <c r="O978" s="7">
        <v>1</v>
      </c>
      <c r="P978" s="7" t="s">
        <v>160</v>
      </c>
      <c r="Q978" s="7" t="str">
        <f t="shared" si="15"/>
        <v>Yes</v>
      </c>
    </row>
    <row r="979" spans="1:17" ht="15" customHeight="1" x14ac:dyDescent="0.2">
      <c r="A979" s="7">
        <v>2022</v>
      </c>
      <c r="B979" s="7" t="s">
        <v>638</v>
      </c>
      <c r="C979" s="7">
        <v>1</v>
      </c>
      <c r="D979" s="7" t="s">
        <v>1643</v>
      </c>
      <c r="E979" s="7" t="s">
        <v>1644</v>
      </c>
      <c r="F979" s="8">
        <v>141907</v>
      </c>
      <c r="G979" s="8">
        <v>177040</v>
      </c>
      <c r="H979" s="8">
        <v>3867987.4</v>
      </c>
      <c r="I979" s="8">
        <v>1709530.57</v>
      </c>
      <c r="J979" s="13">
        <v>0.44492345123170901</v>
      </c>
      <c r="K979" s="13">
        <v>0.69349617891056303</v>
      </c>
      <c r="L979" s="7">
        <v>0</v>
      </c>
      <c r="M979" s="13">
        <v>0.564818334348406</v>
      </c>
      <c r="N979" s="13">
        <v>-11.9894883116696</v>
      </c>
      <c r="O979" s="7">
        <v>0</v>
      </c>
      <c r="P979" s="7" t="s">
        <v>160</v>
      </c>
      <c r="Q979" s="7" t="str">
        <f t="shared" si="15"/>
        <v>Yes</v>
      </c>
    </row>
    <row r="980" spans="1:17" ht="15" customHeight="1" x14ac:dyDescent="0.2">
      <c r="A980" s="7">
        <v>2022</v>
      </c>
      <c r="B980" s="7" t="s">
        <v>638</v>
      </c>
      <c r="C980" s="7">
        <v>2</v>
      </c>
      <c r="D980" s="7" t="s">
        <v>1207</v>
      </c>
      <c r="E980" s="7" t="s">
        <v>1208</v>
      </c>
      <c r="F980" s="8">
        <v>97774</v>
      </c>
      <c r="G980" s="8">
        <v>151178</v>
      </c>
      <c r="H980" s="8">
        <v>2173855.4</v>
      </c>
      <c r="I980" s="8">
        <v>3688117.09</v>
      </c>
      <c r="J980" s="13">
        <v>0.392742376040361</v>
      </c>
      <c r="K980" s="13">
        <v>0.37084025960688199</v>
      </c>
      <c r="L980" s="7">
        <v>-1</v>
      </c>
      <c r="M980" s="13">
        <v>0.41869497273043299</v>
      </c>
      <c r="N980" s="13">
        <v>-2.5952596690072198</v>
      </c>
      <c r="O980" s="7">
        <v>1</v>
      </c>
      <c r="P980" s="7" t="s">
        <v>160</v>
      </c>
      <c r="Q980" s="7" t="str">
        <f t="shared" si="15"/>
        <v>Yes</v>
      </c>
    </row>
    <row r="981" spans="1:17" ht="15" customHeight="1" x14ac:dyDescent="0.2">
      <c r="A981" s="7">
        <v>2022</v>
      </c>
      <c r="B981" s="7" t="s">
        <v>638</v>
      </c>
      <c r="C981" s="7">
        <v>3</v>
      </c>
      <c r="D981" s="7" t="s">
        <v>1645</v>
      </c>
      <c r="E981" s="7" t="s">
        <v>1209</v>
      </c>
      <c r="F981" s="8">
        <v>125404</v>
      </c>
      <c r="G981" s="8">
        <v>145824</v>
      </c>
      <c r="H981" s="8">
        <v>6370024.0099999998</v>
      </c>
      <c r="I981" s="8">
        <v>3097423.95</v>
      </c>
      <c r="J981" s="13">
        <v>0.46235639388263799</v>
      </c>
      <c r="K981" s="13">
        <v>0.67283433053061104</v>
      </c>
      <c r="L981" s="7">
        <v>0</v>
      </c>
      <c r="M981" s="13">
        <v>0.55799761790626301</v>
      </c>
      <c r="N981" s="13">
        <v>-9.5641224023625107</v>
      </c>
      <c r="O981" s="7">
        <v>0</v>
      </c>
      <c r="P981" s="7" t="s">
        <v>160</v>
      </c>
      <c r="Q981" s="7" t="str">
        <f t="shared" si="15"/>
        <v>Yes</v>
      </c>
    </row>
    <row r="982" spans="1:17" ht="15" customHeight="1" x14ac:dyDescent="0.2">
      <c r="A982" s="7">
        <v>2022</v>
      </c>
      <c r="B982" s="7" t="s">
        <v>638</v>
      </c>
      <c r="C982" s="7">
        <v>4</v>
      </c>
      <c r="D982" s="7" t="s">
        <v>1646</v>
      </c>
      <c r="E982" s="7" t="s">
        <v>1647</v>
      </c>
      <c r="F982" s="8">
        <v>130871</v>
      </c>
      <c r="G982" s="8">
        <v>140622</v>
      </c>
      <c r="H982" s="8">
        <v>1886023.48</v>
      </c>
      <c r="I982" s="8">
        <v>1303519.5900000001</v>
      </c>
      <c r="J982" s="13">
        <v>0.48204189426615102</v>
      </c>
      <c r="K982" s="13">
        <v>0.59131462990402595</v>
      </c>
      <c r="L982" s="7">
        <v>0</v>
      </c>
      <c r="M982" s="13">
        <v>0.53108701667651903</v>
      </c>
      <c r="N982" s="13">
        <v>-4.9045122410367998</v>
      </c>
      <c r="O982" s="7">
        <v>0</v>
      </c>
      <c r="P982" s="7" t="s">
        <v>160</v>
      </c>
      <c r="Q982" s="7" t="str">
        <f t="shared" si="15"/>
        <v>Yes</v>
      </c>
    </row>
    <row r="983" spans="1:17" ht="15" customHeight="1" x14ac:dyDescent="0.2">
      <c r="A983" s="7">
        <v>2022</v>
      </c>
      <c r="B983" s="7" t="s">
        <v>638</v>
      </c>
      <c r="C983" s="7">
        <v>5</v>
      </c>
      <c r="D983" s="7" t="s">
        <v>1648</v>
      </c>
      <c r="E983" s="7" t="s">
        <v>1649</v>
      </c>
      <c r="F983" s="8">
        <v>104396</v>
      </c>
      <c r="G983" s="8">
        <v>34407</v>
      </c>
      <c r="H983" s="8">
        <v>1762506.43</v>
      </c>
      <c r="I983" s="8">
        <v>125624.41</v>
      </c>
      <c r="J983" s="13">
        <v>0.75211630872531599</v>
      </c>
      <c r="K983" s="13">
        <v>0.93346625809046202</v>
      </c>
      <c r="L983" s="7">
        <v>1</v>
      </c>
      <c r="M983" s="13">
        <v>0.68364613852670997</v>
      </c>
      <c r="N983" s="13">
        <v>6.8470170198605897</v>
      </c>
      <c r="O983" s="7">
        <v>1</v>
      </c>
      <c r="P983" s="7" t="s">
        <v>160</v>
      </c>
      <c r="Q983" s="7" t="str">
        <f t="shared" si="15"/>
        <v>Yes</v>
      </c>
    </row>
    <row r="984" spans="1:17" ht="15" customHeight="1" x14ac:dyDescent="0.2">
      <c r="A984" s="7">
        <v>2022</v>
      </c>
      <c r="B984" s="7" t="s">
        <v>638</v>
      </c>
      <c r="C984" s="7">
        <v>6</v>
      </c>
      <c r="D984" s="7" t="s">
        <v>1211</v>
      </c>
      <c r="E984" s="7" t="s">
        <v>1212</v>
      </c>
      <c r="F984" s="8">
        <v>85049</v>
      </c>
      <c r="G984" s="8">
        <v>47935</v>
      </c>
      <c r="H984" s="8">
        <v>1312564.24</v>
      </c>
      <c r="I984" s="8">
        <v>4102.0200000000004</v>
      </c>
      <c r="J984" s="13">
        <v>0.63954310292967598</v>
      </c>
      <c r="K984" s="13">
        <v>0.99688454080990896</v>
      </c>
      <c r="L984" s="7">
        <v>1</v>
      </c>
      <c r="M984" s="13">
        <v>0.70458125119052695</v>
      </c>
      <c r="N984" s="13">
        <v>-6.5038148260851303</v>
      </c>
      <c r="O984" s="7">
        <v>1</v>
      </c>
      <c r="P984" s="7" t="s">
        <v>160</v>
      </c>
      <c r="Q984" s="7" t="str">
        <f t="shared" si="15"/>
        <v>Yes</v>
      </c>
    </row>
    <row r="985" spans="1:17" ht="15" customHeight="1" x14ac:dyDescent="0.2">
      <c r="A985" s="7">
        <v>2022</v>
      </c>
      <c r="B985" s="7" t="s">
        <v>638</v>
      </c>
      <c r="C985" s="7">
        <v>7</v>
      </c>
      <c r="D985" s="7" t="s">
        <v>1213</v>
      </c>
      <c r="E985" s="7" t="s">
        <v>1650</v>
      </c>
      <c r="F985" s="8">
        <v>119473</v>
      </c>
      <c r="G985" s="8">
        <v>28597</v>
      </c>
      <c r="H985" s="8">
        <v>610504.43000000005</v>
      </c>
      <c r="I985" s="8">
        <v>0</v>
      </c>
      <c r="J985" s="13">
        <v>0.80686837306679304</v>
      </c>
      <c r="K985" s="13">
        <v>1</v>
      </c>
      <c r="L985" s="7">
        <v>1</v>
      </c>
      <c r="M985" s="13">
        <v>0.70560970050115601</v>
      </c>
      <c r="N985" s="13">
        <v>10.1258672565637</v>
      </c>
      <c r="O985" s="7">
        <v>1</v>
      </c>
      <c r="P985" s="7" t="s">
        <v>160</v>
      </c>
      <c r="Q985" s="7" t="str">
        <f t="shared" si="15"/>
        <v>Yes</v>
      </c>
    </row>
    <row r="986" spans="1:17" ht="15" customHeight="1" x14ac:dyDescent="0.2">
      <c r="A986" s="7">
        <v>2022</v>
      </c>
      <c r="B986" s="7" t="s">
        <v>638</v>
      </c>
      <c r="C986" s="7">
        <v>8</v>
      </c>
      <c r="D986" s="7" t="s">
        <v>1215</v>
      </c>
      <c r="E986" s="7" t="s">
        <v>1651</v>
      </c>
      <c r="F986" s="8">
        <v>99079</v>
      </c>
      <c r="G986" s="8">
        <v>39060</v>
      </c>
      <c r="H986" s="8">
        <v>5966587.5099999998</v>
      </c>
      <c r="I986" s="8">
        <v>4962.3500000000004</v>
      </c>
      <c r="J986" s="13">
        <v>0.71724132938561902</v>
      </c>
      <c r="K986" s="13">
        <v>0.999169001328576</v>
      </c>
      <c r="L986" s="7">
        <v>1</v>
      </c>
      <c r="M986" s="13">
        <v>0.70533537817542102</v>
      </c>
      <c r="N986" s="13">
        <v>1.19059512101981</v>
      </c>
      <c r="O986" s="7">
        <v>1</v>
      </c>
      <c r="P986" s="7" t="s">
        <v>160</v>
      </c>
      <c r="Q986" s="7" t="str">
        <f t="shared" si="15"/>
        <v>Yes</v>
      </c>
    </row>
    <row r="987" spans="1:17" ht="15" customHeight="1" x14ac:dyDescent="0.2">
      <c r="A987" s="7">
        <v>2022</v>
      </c>
      <c r="B987" s="7" t="s">
        <v>638</v>
      </c>
      <c r="C987" s="7">
        <v>10</v>
      </c>
      <c r="D987" s="7" t="s">
        <v>1652</v>
      </c>
      <c r="E987" s="7" t="s">
        <v>1653</v>
      </c>
      <c r="F987" s="8">
        <v>160582</v>
      </c>
      <c r="G987" s="8">
        <v>29058</v>
      </c>
      <c r="H987" s="8">
        <v>7233213.3899999997</v>
      </c>
      <c r="I987" s="8">
        <v>24982.86</v>
      </c>
      <c r="J987" s="13">
        <v>0.84677283273571002</v>
      </c>
      <c r="K987" s="13">
        <v>0.996557979539338</v>
      </c>
      <c r="L987" s="7">
        <v>0</v>
      </c>
      <c r="M987" s="13">
        <v>0.66486255926585403</v>
      </c>
      <c r="N987" s="13">
        <v>18.1910273469855</v>
      </c>
      <c r="O987" s="7">
        <v>1</v>
      </c>
      <c r="P987" s="7" t="s">
        <v>160</v>
      </c>
      <c r="Q987" s="7" t="str">
        <f t="shared" si="15"/>
        <v>Yes</v>
      </c>
    </row>
    <row r="988" spans="1:17" ht="15" customHeight="1" x14ac:dyDescent="0.2">
      <c r="A988" s="7">
        <v>2022</v>
      </c>
      <c r="B988" s="7" t="s">
        <v>638</v>
      </c>
      <c r="C988" s="7">
        <v>11</v>
      </c>
      <c r="D988" s="7" t="s">
        <v>649</v>
      </c>
      <c r="E988" s="7" t="s">
        <v>1219</v>
      </c>
      <c r="F988" s="8">
        <v>71801</v>
      </c>
      <c r="G988" s="8">
        <v>115992</v>
      </c>
      <c r="H988" s="8">
        <v>4100526.82</v>
      </c>
      <c r="I988" s="8">
        <v>4617375.47</v>
      </c>
      <c r="J988" s="13">
        <v>0.38234119482621798</v>
      </c>
      <c r="K988" s="13">
        <v>0.47035705191414801</v>
      </c>
      <c r="L988" s="7">
        <v>-1</v>
      </c>
      <c r="M988" s="13">
        <v>0.45154662322546402</v>
      </c>
      <c r="N988" s="13">
        <v>-6.9205428399245799</v>
      </c>
      <c r="O988" s="7">
        <v>1</v>
      </c>
      <c r="P988" s="7" t="s">
        <v>160</v>
      </c>
      <c r="Q988" s="7" t="str">
        <f t="shared" si="15"/>
        <v>Yes</v>
      </c>
    </row>
    <row r="989" spans="1:17" ht="15" customHeight="1" x14ac:dyDescent="0.2">
      <c r="A989" s="7">
        <v>2022</v>
      </c>
      <c r="B989" s="7" t="s">
        <v>638</v>
      </c>
      <c r="C989" s="7">
        <v>12</v>
      </c>
      <c r="D989" s="7" t="s">
        <v>647</v>
      </c>
      <c r="E989" s="7" t="s">
        <v>1654</v>
      </c>
      <c r="F989" s="8">
        <v>200890</v>
      </c>
      <c r="G989" s="8">
        <v>44173</v>
      </c>
      <c r="H989" s="8">
        <v>2889814.24</v>
      </c>
      <c r="I989" s="8">
        <v>16055.95</v>
      </c>
      <c r="J989" s="13">
        <v>0.81974839123000998</v>
      </c>
      <c r="K989" s="13">
        <v>0.99447464994986601</v>
      </c>
      <c r="L989" s="7">
        <v>1</v>
      </c>
      <c r="M989" s="13">
        <v>0.70378571819122304</v>
      </c>
      <c r="N989" s="13">
        <v>11.596267303878699</v>
      </c>
      <c r="O989" s="7">
        <v>1</v>
      </c>
      <c r="P989" s="7" t="s">
        <v>160</v>
      </c>
      <c r="Q989" s="7" t="str">
        <f t="shared" si="15"/>
        <v>Yes</v>
      </c>
    </row>
    <row r="990" spans="1:17" ht="15" customHeight="1" x14ac:dyDescent="0.2">
      <c r="A990" s="7">
        <v>2022</v>
      </c>
      <c r="B990" s="7" t="s">
        <v>638</v>
      </c>
      <c r="C990" s="7">
        <v>14</v>
      </c>
      <c r="D990" s="7" t="s">
        <v>655</v>
      </c>
      <c r="E990" s="7" t="s">
        <v>1655</v>
      </c>
      <c r="F990" s="8">
        <v>82453</v>
      </c>
      <c r="G990" s="8">
        <v>31935</v>
      </c>
      <c r="H990" s="8">
        <v>11347419.85</v>
      </c>
      <c r="I990" s="8">
        <v>1676725.69</v>
      </c>
      <c r="J990" s="13">
        <v>0.72081861733748298</v>
      </c>
      <c r="K990" s="13">
        <v>0.87126021550892496</v>
      </c>
      <c r="L990" s="7">
        <v>1</v>
      </c>
      <c r="M990" s="13">
        <v>0.66311120043045402</v>
      </c>
      <c r="N990" s="13">
        <v>5.7707416907028897</v>
      </c>
      <c r="O990" s="7">
        <v>1</v>
      </c>
      <c r="P990" s="7" t="s">
        <v>160</v>
      </c>
      <c r="Q990" s="7" t="str">
        <f t="shared" si="15"/>
        <v>Yes</v>
      </c>
    </row>
    <row r="991" spans="1:17" ht="15" customHeight="1" x14ac:dyDescent="0.2">
      <c r="A991" s="7">
        <v>2022</v>
      </c>
      <c r="B991" s="7" t="s">
        <v>638</v>
      </c>
      <c r="C991" s="7">
        <v>15</v>
      </c>
      <c r="D991" s="7" t="s">
        <v>1223</v>
      </c>
      <c r="E991" s="7" t="s">
        <v>1656</v>
      </c>
      <c r="F991" s="8">
        <v>76406</v>
      </c>
      <c r="G991" s="8">
        <v>15882</v>
      </c>
      <c r="H991" s="8">
        <v>948916.82</v>
      </c>
      <c r="I991" s="8">
        <v>0</v>
      </c>
      <c r="J991" s="13">
        <v>0.82790828710124797</v>
      </c>
      <c r="K991" s="13">
        <v>1</v>
      </c>
      <c r="L991" s="7">
        <v>1</v>
      </c>
      <c r="M991" s="13">
        <v>0.70560970050115601</v>
      </c>
      <c r="N991" s="13">
        <v>12.229858660009199</v>
      </c>
      <c r="O991" s="7">
        <v>1</v>
      </c>
      <c r="P991" s="7" t="s">
        <v>160</v>
      </c>
      <c r="Q991" s="7" t="str">
        <f t="shared" si="15"/>
        <v>Yes</v>
      </c>
    </row>
    <row r="992" spans="1:17" ht="15" customHeight="1" x14ac:dyDescent="0.2">
      <c r="A992" s="7">
        <v>2022</v>
      </c>
      <c r="B992" s="7" t="s">
        <v>638</v>
      </c>
      <c r="C992" s="7">
        <v>17</v>
      </c>
      <c r="D992" s="7" t="s">
        <v>659</v>
      </c>
      <c r="E992" s="7" t="s">
        <v>1657</v>
      </c>
      <c r="F992" s="8">
        <v>141730</v>
      </c>
      <c r="G992" s="8">
        <v>143550</v>
      </c>
      <c r="H992" s="8">
        <v>9174997.5399999991</v>
      </c>
      <c r="I992" s="8">
        <v>1796033.94</v>
      </c>
      <c r="J992" s="13">
        <v>0.49681015143017399</v>
      </c>
      <c r="K992" s="13">
        <v>0.83629306476112697</v>
      </c>
      <c r="L992" s="7">
        <v>1</v>
      </c>
      <c r="M992" s="13">
        <v>0.65156813730974095</v>
      </c>
      <c r="N992" s="13">
        <v>-15.475798587956699</v>
      </c>
      <c r="O992" s="7">
        <v>0</v>
      </c>
      <c r="P992" s="7" t="s">
        <v>160</v>
      </c>
      <c r="Q992" s="7" t="str">
        <f t="shared" si="15"/>
        <v>Yes</v>
      </c>
    </row>
    <row r="993" spans="1:17" ht="15" customHeight="1" x14ac:dyDescent="0.2">
      <c r="A993" s="7">
        <v>2022</v>
      </c>
      <c r="B993" s="7" t="s">
        <v>638</v>
      </c>
      <c r="C993" s="7">
        <v>18</v>
      </c>
      <c r="D993" s="7" t="s">
        <v>1658</v>
      </c>
      <c r="E993" s="7" t="s">
        <v>1659</v>
      </c>
      <c r="F993" s="8">
        <v>135245</v>
      </c>
      <c r="G993" s="8">
        <v>131653</v>
      </c>
      <c r="H993" s="8">
        <v>11514749.199999999</v>
      </c>
      <c r="I993" s="8">
        <v>8058251.4000000004</v>
      </c>
      <c r="J993" s="13">
        <v>0.50672916245157296</v>
      </c>
      <c r="K993" s="13">
        <v>0.58829759602623199</v>
      </c>
      <c r="L993" s="7">
        <v>1</v>
      </c>
      <c r="M993" s="13">
        <v>0.56970194895757498</v>
      </c>
      <c r="N993" s="13">
        <v>-6.2972786506001199</v>
      </c>
      <c r="O993" s="7">
        <v>1</v>
      </c>
      <c r="P993" s="7" t="s">
        <v>160</v>
      </c>
      <c r="Q993" s="7" t="str">
        <f t="shared" si="15"/>
        <v>Yes</v>
      </c>
    </row>
    <row r="994" spans="1:17" ht="15" customHeight="1" x14ac:dyDescent="0.2">
      <c r="A994" s="7">
        <v>2022</v>
      </c>
      <c r="B994" s="7" t="s">
        <v>638</v>
      </c>
      <c r="C994" s="7">
        <v>19</v>
      </c>
      <c r="D994" s="7" t="s">
        <v>1660</v>
      </c>
      <c r="E994" s="7" t="s">
        <v>1661</v>
      </c>
      <c r="F994" s="8">
        <v>141509</v>
      </c>
      <c r="G994" s="8">
        <v>146004</v>
      </c>
      <c r="H994" s="8">
        <v>9983653.4499999993</v>
      </c>
      <c r="I994" s="8">
        <v>9602409.5700000003</v>
      </c>
      <c r="J994" s="13">
        <v>0.49218296216171098</v>
      </c>
      <c r="K994" s="13">
        <v>0.50973252969753802</v>
      </c>
      <c r="L994" s="7">
        <v>0</v>
      </c>
      <c r="M994" s="13">
        <v>0.50415581661975795</v>
      </c>
      <c r="N994" s="13">
        <v>-1.19728544580467</v>
      </c>
      <c r="O994" s="7">
        <v>0</v>
      </c>
      <c r="P994" s="7" t="s">
        <v>160</v>
      </c>
      <c r="Q994" s="7" t="str">
        <f t="shared" si="15"/>
        <v>Yes</v>
      </c>
    </row>
    <row r="995" spans="1:17" ht="15" customHeight="1" x14ac:dyDescent="0.2">
      <c r="A995" s="7">
        <v>2022</v>
      </c>
      <c r="B995" s="7" t="s">
        <v>638</v>
      </c>
      <c r="C995" s="7">
        <v>20</v>
      </c>
      <c r="D995" s="7" t="s">
        <v>1229</v>
      </c>
      <c r="E995" s="7" t="s">
        <v>1230</v>
      </c>
      <c r="F995" s="8">
        <v>160420</v>
      </c>
      <c r="G995" s="8">
        <v>130869</v>
      </c>
      <c r="H995" s="8">
        <v>1863511.93</v>
      </c>
      <c r="I995" s="8">
        <v>1180184.3700000001</v>
      </c>
      <c r="J995" s="13">
        <v>0.55072453817342903</v>
      </c>
      <c r="K995" s="13">
        <v>0.61225291432657103</v>
      </c>
      <c r="L995" s="7">
        <v>1</v>
      </c>
      <c r="M995" s="13">
        <v>0.57760987812263498</v>
      </c>
      <c r="N995" s="13">
        <v>-2.6885339949206202</v>
      </c>
      <c r="O995" s="7">
        <v>1</v>
      </c>
      <c r="P995" s="7" t="s">
        <v>160</v>
      </c>
      <c r="Q995" s="7" t="str">
        <f t="shared" si="15"/>
        <v>Yes</v>
      </c>
    </row>
    <row r="996" spans="1:17" ht="15" customHeight="1" x14ac:dyDescent="0.2">
      <c r="A996" s="7">
        <v>2022</v>
      </c>
      <c r="B996" s="7" t="s">
        <v>638</v>
      </c>
      <c r="C996" s="7">
        <v>21</v>
      </c>
      <c r="D996" s="7" t="s">
        <v>1662</v>
      </c>
      <c r="E996" s="7" t="s">
        <v>664</v>
      </c>
      <c r="F996" s="8">
        <v>116421</v>
      </c>
      <c r="G996" s="8">
        <v>168579</v>
      </c>
      <c r="H996" s="8">
        <v>2591142.5699999998</v>
      </c>
      <c r="I996" s="8">
        <v>10649117.779999999</v>
      </c>
      <c r="J996" s="13">
        <v>0.40849473684210502</v>
      </c>
      <c r="K996" s="13">
        <v>0.19570178391545001</v>
      </c>
      <c r="L996" s="7">
        <v>-1</v>
      </c>
      <c r="M996" s="13">
        <v>0.360879725089787</v>
      </c>
      <c r="N996" s="13">
        <v>4.76150117523179</v>
      </c>
      <c r="O996" s="7">
        <v>1</v>
      </c>
      <c r="P996" s="7" t="s">
        <v>160</v>
      </c>
      <c r="Q996" s="7" t="str">
        <f t="shared" si="15"/>
        <v>Yes</v>
      </c>
    </row>
    <row r="997" spans="1:17" ht="15" customHeight="1" x14ac:dyDescent="0.2">
      <c r="A997" s="7">
        <v>2022</v>
      </c>
      <c r="B997" s="7" t="s">
        <v>638</v>
      </c>
      <c r="C997" s="7">
        <v>22</v>
      </c>
      <c r="D997" s="7" t="s">
        <v>1663</v>
      </c>
      <c r="E997" s="7" t="s">
        <v>1664</v>
      </c>
      <c r="F997" s="8">
        <v>132913</v>
      </c>
      <c r="G997" s="8">
        <v>135544</v>
      </c>
      <c r="H997" s="8">
        <v>4010704.95</v>
      </c>
      <c r="I997" s="8">
        <v>5662035.79</v>
      </c>
      <c r="J997" s="13">
        <v>0.49509977389302601</v>
      </c>
      <c r="K997" s="13">
        <v>0.41463997204167802</v>
      </c>
      <c r="L997" s="7">
        <v>0</v>
      </c>
      <c r="M997" s="13">
        <v>0.472764657435854</v>
      </c>
      <c r="N997" s="13">
        <v>2.2335116457171602</v>
      </c>
      <c r="O997" s="7">
        <v>1</v>
      </c>
      <c r="P997" s="7" t="s">
        <v>160</v>
      </c>
      <c r="Q997" s="7" t="str">
        <f t="shared" si="15"/>
        <v>Yes</v>
      </c>
    </row>
    <row r="998" spans="1:17" ht="15" customHeight="1" x14ac:dyDescent="0.2">
      <c r="A998" s="7">
        <v>2022</v>
      </c>
      <c r="B998" s="7" t="s">
        <v>638</v>
      </c>
      <c r="C998" s="7">
        <v>23</v>
      </c>
      <c r="D998" s="7" t="s">
        <v>1665</v>
      </c>
      <c r="E998" s="7" t="s">
        <v>1666</v>
      </c>
      <c r="F998" s="8">
        <v>104114</v>
      </c>
      <c r="G998" s="8">
        <v>192694</v>
      </c>
      <c r="H998" s="8">
        <v>314199.51</v>
      </c>
      <c r="I998" s="8">
        <v>766107.86</v>
      </c>
      <c r="J998" s="13">
        <v>0.35077895474515502</v>
      </c>
      <c r="K998" s="13">
        <v>0.29084269785181599</v>
      </c>
      <c r="L998" s="7">
        <v>0</v>
      </c>
      <c r="M998" s="13">
        <v>0.43189773749569199</v>
      </c>
      <c r="N998" s="13">
        <v>-8.11187827505365</v>
      </c>
      <c r="O998" s="7">
        <v>1</v>
      </c>
      <c r="P998" s="7" t="s">
        <v>160</v>
      </c>
      <c r="Q998" s="7" t="str">
        <f t="shared" si="15"/>
        <v>Yes</v>
      </c>
    </row>
    <row r="999" spans="1:17" ht="15" customHeight="1" x14ac:dyDescent="0.2">
      <c r="A999" s="7">
        <v>2022</v>
      </c>
      <c r="B999" s="7" t="s">
        <v>638</v>
      </c>
      <c r="C999" s="7">
        <v>24</v>
      </c>
      <c r="D999" s="7" t="s">
        <v>1667</v>
      </c>
      <c r="E999" s="7" t="s">
        <v>666</v>
      </c>
      <c r="F999" s="8">
        <v>95028</v>
      </c>
      <c r="G999" s="8">
        <v>182054</v>
      </c>
      <c r="H999" s="8">
        <v>149951.01999999999</v>
      </c>
      <c r="I999" s="8">
        <v>3701269.29</v>
      </c>
      <c r="J999" s="13">
        <v>0.34295984582181499</v>
      </c>
      <c r="K999" s="13">
        <v>3.8935975594706997E-2</v>
      </c>
      <c r="L999" s="7">
        <v>-1</v>
      </c>
      <c r="M999" s="13">
        <v>0.30912950861754701</v>
      </c>
      <c r="N999" s="13">
        <v>3.38303372042675</v>
      </c>
      <c r="O999" s="7">
        <v>1</v>
      </c>
      <c r="P999" s="7" t="s">
        <v>160</v>
      </c>
      <c r="Q999" s="7" t="str">
        <f t="shared" si="15"/>
        <v>Yes</v>
      </c>
    </row>
    <row r="1000" spans="1:17" ht="15" customHeight="1" x14ac:dyDescent="0.2">
      <c r="A1000" s="7">
        <v>2022</v>
      </c>
      <c r="B1000" s="7" t="s">
        <v>638</v>
      </c>
      <c r="C1000" s="7">
        <v>25</v>
      </c>
      <c r="D1000" s="7" t="s">
        <v>671</v>
      </c>
      <c r="E1000" s="7" t="s">
        <v>1668</v>
      </c>
      <c r="F1000" s="8">
        <v>152022</v>
      </c>
      <c r="G1000" s="8">
        <v>130190</v>
      </c>
      <c r="H1000" s="8">
        <v>2638332.39</v>
      </c>
      <c r="I1000" s="8">
        <v>775256.57</v>
      </c>
      <c r="J1000" s="13">
        <v>0.53868014117046803</v>
      </c>
      <c r="K1000" s="13">
        <v>0.77289106008826602</v>
      </c>
      <c r="L1000" s="7">
        <v>1</v>
      </c>
      <c r="M1000" s="13">
        <v>0.63063839821841094</v>
      </c>
      <c r="N1000" s="13">
        <v>-9.1958257047943395</v>
      </c>
      <c r="O1000" s="7">
        <v>1</v>
      </c>
      <c r="P1000" s="7" t="s">
        <v>160</v>
      </c>
      <c r="Q1000" s="7" t="str">
        <f t="shared" si="15"/>
        <v>Yes</v>
      </c>
    </row>
    <row r="1001" spans="1:17" ht="15" customHeight="1" x14ac:dyDescent="0.2">
      <c r="A1001" s="7">
        <v>2022</v>
      </c>
      <c r="B1001" s="7" t="s">
        <v>638</v>
      </c>
      <c r="C1001" s="7">
        <v>26</v>
      </c>
      <c r="D1001" s="7" t="s">
        <v>1669</v>
      </c>
      <c r="E1001" s="7" t="s">
        <v>1670</v>
      </c>
      <c r="F1001" s="8">
        <v>156883</v>
      </c>
      <c r="G1001" s="8">
        <v>88339</v>
      </c>
      <c r="H1001" s="8">
        <v>1864473.49</v>
      </c>
      <c r="I1001" s="8">
        <v>36659.11</v>
      </c>
      <c r="J1001" s="13">
        <v>0.63975907544999999</v>
      </c>
      <c r="K1001" s="13">
        <v>0.98071722614193202</v>
      </c>
      <c r="L1001" s="7">
        <v>1</v>
      </c>
      <c r="M1001" s="13">
        <v>0.699244232596965</v>
      </c>
      <c r="N1001" s="13">
        <v>-5.94851571469645</v>
      </c>
      <c r="O1001" s="7">
        <v>1</v>
      </c>
      <c r="P1001" s="7" t="s">
        <v>160</v>
      </c>
      <c r="Q1001" s="7" t="str">
        <f t="shared" si="15"/>
        <v>Yes</v>
      </c>
    </row>
    <row r="1002" spans="1:17" ht="15" customHeight="1" x14ac:dyDescent="0.2">
      <c r="A1002" s="7">
        <v>2022</v>
      </c>
      <c r="B1002" s="7" t="s">
        <v>675</v>
      </c>
      <c r="C1002" s="7">
        <v>1</v>
      </c>
      <c r="D1002" s="7" t="s">
        <v>1671</v>
      </c>
      <c r="E1002" s="7" t="s">
        <v>677</v>
      </c>
      <c r="F1002" s="8">
        <v>156416</v>
      </c>
      <c r="G1002" s="8">
        <v>140058</v>
      </c>
      <c r="H1002" s="8">
        <v>7099295.6500000004</v>
      </c>
      <c r="I1002" s="8">
        <v>7238657.1399999997</v>
      </c>
      <c r="J1002" s="13">
        <v>0.52758757934928502</v>
      </c>
      <c r="K1002" s="13">
        <v>0.49514011895417898</v>
      </c>
      <c r="L1002" s="7">
        <v>-1</v>
      </c>
      <c r="M1002" s="13">
        <v>0.45972780187599999</v>
      </c>
      <c r="N1002" s="13">
        <v>6.7859777473285403</v>
      </c>
      <c r="O1002" s="7">
        <v>0</v>
      </c>
      <c r="P1002" s="7" t="s">
        <v>160</v>
      </c>
      <c r="Q1002" s="7" t="str">
        <f t="shared" si="15"/>
        <v>Yes</v>
      </c>
    </row>
    <row r="1003" spans="1:17" ht="15" customHeight="1" x14ac:dyDescent="0.2">
      <c r="A1003" s="7">
        <v>2022</v>
      </c>
      <c r="B1003" s="7" t="s">
        <v>675</v>
      </c>
      <c r="C1003" s="7">
        <v>2</v>
      </c>
      <c r="D1003" s="7" t="s">
        <v>1672</v>
      </c>
      <c r="E1003" s="7" t="s">
        <v>679</v>
      </c>
      <c r="F1003" s="8">
        <v>65745</v>
      </c>
      <c r="G1003" s="8">
        <v>192117</v>
      </c>
      <c r="H1003" s="8">
        <v>28330.05</v>
      </c>
      <c r="I1003" s="8">
        <v>1673449.83</v>
      </c>
      <c r="J1003" s="13">
        <v>0.25496195639528102</v>
      </c>
      <c r="K1003" s="13">
        <v>1.66473057608367E-2</v>
      </c>
      <c r="L1003" s="7">
        <v>-1</v>
      </c>
      <c r="M1003" s="13">
        <v>0.30177175949395502</v>
      </c>
      <c r="N1003" s="13">
        <v>-4.6809803098674099</v>
      </c>
      <c r="O1003" s="7">
        <v>1</v>
      </c>
      <c r="P1003" s="7" t="s">
        <v>160</v>
      </c>
      <c r="Q1003" s="7" t="str">
        <f t="shared" si="15"/>
        <v>Yes</v>
      </c>
    </row>
    <row r="1004" spans="1:17" ht="15" customHeight="1" x14ac:dyDescent="0.2">
      <c r="A1004" s="7">
        <v>2022</v>
      </c>
      <c r="B1004" s="7" t="s">
        <v>675</v>
      </c>
      <c r="C1004" s="7">
        <v>4</v>
      </c>
      <c r="D1004" s="7" t="s">
        <v>1673</v>
      </c>
      <c r="E1004" s="7" t="s">
        <v>681</v>
      </c>
      <c r="F1004" s="8">
        <v>89383</v>
      </c>
      <c r="G1004" s="8">
        <v>200773</v>
      </c>
      <c r="H1004" s="8">
        <v>210982.36</v>
      </c>
      <c r="I1004" s="8">
        <v>12728586.33</v>
      </c>
      <c r="J1004" s="13">
        <v>0.30805153090061899</v>
      </c>
      <c r="K1004" s="13">
        <v>1.63052080834079E-2</v>
      </c>
      <c r="L1004" s="7">
        <v>-1</v>
      </c>
      <c r="M1004" s="13">
        <v>0.30165882907212899</v>
      </c>
      <c r="N1004" s="13">
        <v>0.63927018284899395</v>
      </c>
      <c r="O1004" s="7">
        <v>1</v>
      </c>
      <c r="P1004" s="7" t="s">
        <v>160</v>
      </c>
      <c r="Q1004" s="7" t="str">
        <f t="shared" si="15"/>
        <v>Yes</v>
      </c>
    </row>
    <row r="1005" spans="1:17" ht="15" customHeight="1" x14ac:dyDescent="0.2">
      <c r="A1005" s="7">
        <v>2022</v>
      </c>
      <c r="B1005" s="7" t="s">
        <v>675</v>
      </c>
      <c r="C1005" s="7">
        <v>5</v>
      </c>
      <c r="D1005" s="7" t="s">
        <v>1674</v>
      </c>
      <c r="E1005" s="7" t="s">
        <v>683</v>
      </c>
      <c r="F1005" s="8">
        <v>92634</v>
      </c>
      <c r="G1005" s="8">
        <v>187303</v>
      </c>
      <c r="H1005" s="8">
        <v>54767.15</v>
      </c>
      <c r="I1005" s="8">
        <v>1357285.78</v>
      </c>
      <c r="J1005" s="13">
        <v>0.33091016907375598</v>
      </c>
      <c r="K1005" s="13">
        <v>3.8785479521649402E-2</v>
      </c>
      <c r="L1005" s="7">
        <v>-1</v>
      </c>
      <c r="M1005" s="13">
        <v>0.30907982811360002</v>
      </c>
      <c r="N1005" s="13">
        <v>2.1830340960155499</v>
      </c>
      <c r="O1005" s="7">
        <v>1</v>
      </c>
      <c r="P1005" s="7" t="s">
        <v>160</v>
      </c>
      <c r="Q1005" s="7" t="str">
        <f t="shared" si="15"/>
        <v>Yes</v>
      </c>
    </row>
    <row r="1006" spans="1:17" ht="15" customHeight="1" x14ac:dyDescent="0.2">
      <c r="A1006" s="7">
        <v>2022</v>
      </c>
      <c r="B1006" s="7" t="s">
        <v>675</v>
      </c>
      <c r="C1006" s="7">
        <v>6</v>
      </c>
      <c r="D1006" s="7" t="s">
        <v>1675</v>
      </c>
      <c r="E1006" s="7" t="s">
        <v>685</v>
      </c>
      <c r="F1006" s="8">
        <v>90500</v>
      </c>
      <c r="G1006" s="8">
        <v>189883</v>
      </c>
      <c r="H1006" s="8">
        <v>132597.38</v>
      </c>
      <c r="I1006" s="8">
        <v>1582081.26</v>
      </c>
      <c r="J1006" s="13">
        <v>0.32277277866347098</v>
      </c>
      <c r="K1006" s="13">
        <v>7.7330746943928802E-2</v>
      </c>
      <c r="L1006" s="7">
        <v>-1</v>
      </c>
      <c r="M1006" s="13">
        <v>0.32180406916112603</v>
      </c>
      <c r="N1006" s="13">
        <v>9.6870950234484401E-2</v>
      </c>
      <c r="O1006" s="7">
        <v>1</v>
      </c>
      <c r="P1006" s="7" t="s">
        <v>160</v>
      </c>
      <c r="Q1006" s="7" t="str">
        <f t="shared" si="15"/>
        <v>Yes</v>
      </c>
    </row>
    <row r="1007" spans="1:17" ht="15" customHeight="1" x14ac:dyDescent="0.2">
      <c r="A1007" s="7">
        <v>2022</v>
      </c>
      <c r="B1007" s="7" t="s">
        <v>675</v>
      </c>
      <c r="C1007" s="7">
        <v>7</v>
      </c>
      <c r="D1007" s="7" t="s">
        <v>1676</v>
      </c>
      <c r="E1007" s="7" t="s">
        <v>1677</v>
      </c>
      <c r="F1007" s="8">
        <v>135485</v>
      </c>
      <c r="G1007" s="8">
        <v>168002</v>
      </c>
      <c r="H1007" s="8">
        <v>287677.84000000003</v>
      </c>
      <c r="I1007" s="8">
        <v>3329260.95</v>
      </c>
      <c r="J1007" s="13">
        <v>0.44642768883016398</v>
      </c>
      <c r="K1007" s="13">
        <v>7.9536275481178406E-2</v>
      </c>
      <c r="L1007" s="7">
        <v>0</v>
      </c>
      <c r="M1007" s="13">
        <v>0.36214303003242998</v>
      </c>
      <c r="N1007" s="13">
        <v>8.4284658797734</v>
      </c>
      <c r="O1007" s="7">
        <v>1</v>
      </c>
      <c r="P1007" s="7" t="s">
        <v>160</v>
      </c>
      <c r="Q1007" s="7" t="str">
        <f t="shared" si="15"/>
        <v>Yes</v>
      </c>
    </row>
    <row r="1008" spans="1:17" ht="15" customHeight="1" x14ac:dyDescent="0.2">
      <c r="A1008" s="7">
        <v>2022</v>
      </c>
      <c r="B1008" s="7" t="s">
        <v>675</v>
      </c>
      <c r="C1008" s="7">
        <v>9</v>
      </c>
      <c r="D1008" s="7" t="s">
        <v>690</v>
      </c>
      <c r="E1008" s="7" t="s">
        <v>1678</v>
      </c>
      <c r="F1008" s="8">
        <v>150655</v>
      </c>
      <c r="G1008" s="8">
        <v>115362</v>
      </c>
      <c r="H1008" s="8">
        <v>6136140.5099999998</v>
      </c>
      <c r="I1008" s="8">
        <v>2190961.94</v>
      </c>
      <c r="J1008" s="13">
        <v>0.56633598604600499</v>
      </c>
      <c r="K1008" s="13">
        <v>0.73688783665679503</v>
      </c>
      <c r="L1008" s="7">
        <v>1</v>
      </c>
      <c r="M1008" s="13">
        <v>0.618753315455561</v>
      </c>
      <c r="N1008" s="13">
        <v>-5.2417329409556901</v>
      </c>
      <c r="O1008" s="7">
        <v>1</v>
      </c>
      <c r="P1008" s="7" t="s">
        <v>160</v>
      </c>
      <c r="Q1008" s="7" t="str">
        <f t="shared" si="15"/>
        <v>Yes</v>
      </c>
    </row>
    <row r="1009" spans="1:17" ht="15" customHeight="1" x14ac:dyDescent="0.2">
      <c r="A1009" s="7">
        <v>2022</v>
      </c>
      <c r="B1009" s="7" t="s">
        <v>675</v>
      </c>
      <c r="C1009" s="7">
        <v>10</v>
      </c>
      <c r="D1009" s="7" t="s">
        <v>1679</v>
      </c>
      <c r="E1009" s="7" t="s">
        <v>693</v>
      </c>
      <c r="F1009" s="8">
        <v>104634</v>
      </c>
      <c r="G1009" s="8">
        <v>168327</v>
      </c>
      <c r="H1009" s="8">
        <v>45689.75</v>
      </c>
      <c r="I1009" s="8">
        <v>1029189.47</v>
      </c>
      <c r="J1009" s="13">
        <v>0.38332948662995803</v>
      </c>
      <c r="K1009" s="13">
        <v>4.25068688182473E-2</v>
      </c>
      <c r="L1009" s="7">
        <v>-1</v>
      </c>
      <c r="M1009" s="13">
        <v>0.31030830199919701</v>
      </c>
      <c r="N1009" s="13">
        <v>7.30211846307615</v>
      </c>
      <c r="O1009" s="7">
        <v>1</v>
      </c>
      <c r="P1009" s="7" t="s">
        <v>160</v>
      </c>
      <c r="Q1009" s="7" t="str">
        <f t="shared" si="15"/>
        <v>Yes</v>
      </c>
    </row>
    <row r="1010" spans="1:17" ht="15" customHeight="1" x14ac:dyDescent="0.2">
      <c r="A1010" s="7">
        <v>2022</v>
      </c>
      <c r="B1010" s="7" t="s">
        <v>675</v>
      </c>
      <c r="C1010" s="7">
        <v>11</v>
      </c>
      <c r="D1010" s="7" t="s">
        <v>1680</v>
      </c>
      <c r="E1010" s="7" t="s">
        <v>1681</v>
      </c>
      <c r="F1010" s="8">
        <v>167722</v>
      </c>
      <c r="G1010" s="8">
        <v>47988</v>
      </c>
      <c r="H1010" s="8">
        <v>7307675.1799999997</v>
      </c>
      <c r="I1010" s="8">
        <v>355498</v>
      </c>
      <c r="J1010" s="13">
        <v>0.77753465300635105</v>
      </c>
      <c r="K1010" s="13">
        <v>0.95360955681808102</v>
      </c>
      <c r="L1010" s="7">
        <v>1</v>
      </c>
      <c r="M1010" s="13">
        <v>0.69029567569801997</v>
      </c>
      <c r="N1010" s="13">
        <v>8.7238977308331105</v>
      </c>
      <c r="O1010" s="7">
        <v>1</v>
      </c>
      <c r="P1010" s="7" t="s">
        <v>160</v>
      </c>
      <c r="Q1010" s="7" t="str">
        <f t="shared" si="15"/>
        <v>Yes</v>
      </c>
    </row>
    <row r="1011" spans="1:17" ht="15" customHeight="1" x14ac:dyDescent="0.2">
      <c r="A1011" s="7">
        <v>2022</v>
      </c>
      <c r="B1011" s="7" t="s">
        <v>675</v>
      </c>
      <c r="C1011" s="7">
        <v>13</v>
      </c>
      <c r="D1011" s="7" t="s">
        <v>1682</v>
      </c>
      <c r="E1011" s="7" t="s">
        <v>1683</v>
      </c>
      <c r="F1011" s="8">
        <v>149816</v>
      </c>
      <c r="G1011" s="8">
        <v>134593</v>
      </c>
      <c r="H1011" s="8">
        <v>9735613.7300000004</v>
      </c>
      <c r="I1011" s="8">
        <v>10895645.869999999</v>
      </c>
      <c r="J1011" s="13">
        <v>0.52676251454771095</v>
      </c>
      <c r="K1011" s="13">
        <v>0.47188654104279698</v>
      </c>
      <c r="L1011" s="7">
        <v>0</v>
      </c>
      <c r="M1011" s="13">
        <v>0.49166241562582602</v>
      </c>
      <c r="N1011" s="13">
        <v>3.5100098921884801</v>
      </c>
      <c r="O1011" s="7">
        <v>0</v>
      </c>
      <c r="P1011" s="7" t="s">
        <v>160</v>
      </c>
      <c r="Q1011" s="7" t="str">
        <f t="shared" si="15"/>
        <v>Yes</v>
      </c>
    </row>
    <row r="1012" spans="1:17" ht="15" customHeight="1" x14ac:dyDescent="0.2">
      <c r="A1012" s="7">
        <v>2022</v>
      </c>
      <c r="B1012" s="7" t="s">
        <v>675</v>
      </c>
      <c r="C1012" s="7">
        <v>14</v>
      </c>
      <c r="D1012" s="7" t="s">
        <v>1684</v>
      </c>
      <c r="E1012" s="7" t="s">
        <v>701</v>
      </c>
      <c r="F1012" s="8">
        <v>113639</v>
      </c>
      <c r="G1012" s="8">
        <v>183389</v>
      </c>
      <c r="H1012" s="8">
        <v>91260.99</v>
      </c>
      <c r="I1012" s="8">
        <v>1442817.28</v>
      </c>
      <c r="J1012" s="13">
        <v>0.38258682683114098</v>
      </c>
      <c r="K1012" s="13">
        <v>5.9489135453303803E-2</v>
      </c>
      <c r="L1012" s="7">
        <v>-1</v>
      </c>
      <c r="M1012" s="13">
        <v>0.31591434571477101</v>
      </c>
      <c r="N1012" s="13">
        <v>6.6672481116369102</v>
      </c>
      <c r="O1012" s="7">
        <v>1</v>
      </c>
      <c r="P1012" s="7" t="s">
        <v>160</v>
      </c>
      <c r="Q1012" s="7" t="str">
        <f t="shared" si="15"/>
        <v>Yes</v>
      </c>
    </row>
    <row r="1013" spans="1:17" ht="15" customHeight="1" x14ac:dyDescent="0.2">
      <c r="A1013" s="7">
        <v>2022</v>
      </c>
      <c r="B1013" s="7" t="s">
        <v>675</v>
      </c>
      <c r="C1013" s="7">
        <v>15</v>
      </c>
      <c r="D1013" s="7" t="s">
        <v>1685</v>
      </c>
      <c r="E1013" s="7" t="s">
        <v>1686</v>
      </c>
      <c r="F1013" s="8">
        <v>108139</v>
      </c>
      <c r="G1013" s="8">
        <v>143112</v>
      </c>
      <c r="H1013" s="8">
        <v>374594.54</v>
      </c>
      <c r="I1013" s="8">
        <v>2793987.04</v>
      </c>
      <c r="J1013" s="13">
        <v>0.43040226705565399</v>
      </c>
      <c r="K1013" s="13">
        <v>0.118221522956654</v>
      </c>
      <c r="L1013" s="7">
        <v>-1</v>
      </c>
      <c r="M1013" s="13">
        <v>0.335302589872013</v>
      </c>
      <c r="N1013" s="13">
        <v>9.5099677183640807</v>
      </c>
      <c r="O1013" s="7">
        <v>1</v>
      </c>
      <c r="P1013" s="7" t="s">
        <v>160</v>
      </c>
      <c r="Q1013" s="7" t="str">
        <f t="shared" si="15"/>
        <v>Yes</v>
      </c>
    </row>
    <row r="1014" spans="1:17" ht="15" customHeight="1" x14ac:dyDescent="0.2">
      <c r="A1014" s="7">
        <v>2022</v>
      </c>
      <c r="B1014" s="7" t="s">
        <v>706</v>
      </c>
      <c r="C1014" s="7">
        <v>1</v>
      </c>
      <c r="D1014" s="7" t="s">
        <v>1687</v>
      </c>
      <c r="E1014" s="7" t="s">
        <v>708</v>
      </c>
      <c r="F1014" s="8">
        <v>80974</v>
      </c>
      <c r="G1014" s="8">
        <v>142800</v>
      </c>
      <c r="H1014" s="8">
        <v>32748.959999999999</v>
      </c>
      <c r="I1014" s="8">
        <v>1307138.94</v>
      </c>
      <c r="J1014" s="13">
        <v>0.361856158445575</v>
      </c>
      <c r="K1014" s="13">
        <v>2.4441567089306501E-2</v>
      </c>
      <c r="L1014" s="7">
        <v>-1</v>
      </c>
      <c r="M1014" s="13">
        <v>0.30434473580371502</v>
      </c>
      <c r="N1014" s="13">
        <v>5.7511422641860097</v>
      </c>
      <c r="O1014" s="7">
        <v>1</v>
      </c>
      <c r="P1014" s="7" t="s">
        <v>160</v>
      </c>
      <c r="Q1014" s="7" t="str">
        <f t="shared" si="15"/>
        <v>Yes</v>
      </c>
    </row>
    <row r="1015" spans="1:17" ht="15" customHeight="1" x14ac:dyDescent="0.2">
      <c r="A1015" s="7">
        <v>2022</v>
      </c>
      <c r="B1015" s="7" t="s">
        <v>706</v>
      </c>
      <c r="C1015" s="7">
        <v>2</v>
      </c>
      <c r="D1015" s="7" t="s">
        <v>1688</v>
      </c>
      <c r="E1015" s="7" t="s">
        <v>1689</v>
      </c>
      <c r="F1015" s="8">
        <v>54194</v>
      </c>
      <c r="G1015" s="8">
        <v>167843</v>
      </c>
      <c r="H1015" s="8">
        <v>2131757.98</v>
      </c>
      <c r="I1015" s="8">
        <v>2579028.5299999998</v>
      </c>
      <c r="J1015" s="13">
        <v>0.24407643771083201</v>
      </c>
      <c r="K1015" s="13">
        <v>0.45252697728388502</v>
      </c>
      <c r="L1015" s="7">
        <v>0</v>
      </c>
      <c r="M1015" s="13">
        <v>0.48527159848231999</v>
      </c>
      <c r="N1015" s="13">
        <v>-24.119516077148798</v>
      </c>
      <c r="O1015" s="7">
        <v>1</v>
      </c>
      <c r="P1015" s="7" t="s">
        <v>160</v>
      </c>
      <c r="Q1015" s="7" t="str">
        <f t="shared" si="15"/>
        <v>Yes</v>
      </c>
    </row>
    <row r="1016" spans="1:17" ht="15" customHeight="1" x14ac:dyDescent="0.2">
      <c r="A1016" s="7">
        <v>2022</v>
      </c>
      <c r="B1016" s="7" t="s">
        <v>706</v>
      </c>
      <c r="C1016" s="7">
        <v>4</v>
      </c>
      <c r="D1016" s="7" t="s">
        <v>711</v>
      </c>
      <c r="E1016" s="7" t="s">
        <v>712</v>
      </c>
      <c r="F1016" s="8">
        <v>74667</v>
      </c>
      <c r="G1016" s="8">
        <v>149879</v>
      </c>
      <c r="H1016" s="8">
        <v>0</v>
      </c>
      <c r="I1016" s="8">
        <v>2397460.91</v>
      </c>
      <c r="J1016" s="13">
        <v>0.33252429346325502</v>
      </c>
      <c r="K1016" s="13">
        <v>0</v>
      </c>
      <c r="L1016" s="7">
        <v>-1</v>
      </c>
      <c r="M1016" s="13">
        <v>0.29627629025846802</v>
      </c>
      <c r="N1016" s="13">
        <v>3.6248003204786299</v>
      </c>
      <c r="O1016" s="7">
        <v>1</v>
      </c>
      <c r="P1016" s="7" t="s">
        <v>160</v>
      </c>
      <c r="Q1016" s="7" t="str">
        <f t="shared" si="15"/>
        <v>Yes</v>
      </c>
    </row>
    <row r="1017" spans="1:17" ht="15" customHeight="1" x14ac:dyDescent="0.2">
      <c r="A1017" s="7">
        <v>2022</v>
      </c>
      <c r="B1017" s="7" t="s">
        <v>706</v>
      </c>
      <c r="C1017" s="7">
        <v>5</v>
      </c>
      <c r="D1017" s="7" t="s">
        <v>1690</v>
      </c>
      <c r="E1017" s="7" t="s">
        <v>1251</v>
      </c>
      <c r="F1017" s="8">
        <v>96799</v>
      </c>
      <c r="G1017" s="8">
        <v>152699</v>
      </c>
      <c r="H1017" s="8">
        <v>68425.649999999994</v>
      </c>
      <c r="I1017" s="8">
        <v>2132509.67</v>
      </c>
      <c r="J1017" s="13">
        <v>0.38797505390824799</v>
      </c>
      <c r="K1017" s="13">
        <v>3.1089350685689399E-2</v>
      </c>
      <c r="L1017" s="7">
        <v>-1</v>
      </c>
      <c r="M1017" s="13">
        <v>0.30653924648087399</v>
      </c>
      <c r="N1017" s="13">
        <v>8.1435807427373703</v>
      </c>
      <c r="O1017" s="7">
        <v>1</v>
      </c>
      <c r="P1017" s="7" t="s">
        <v>160</v>
      </c>
      <c r="Q1017" s="7" t="str">
        <f t="shared" si="15"/>
        <v>Yes</v>
      </c>
    </row>
    <row r="1018" spans="1:17" ht="15" customHeight="1" x14ac:dyDescent="0.2">
      <c r="A1018" s="7">
        <v>2022</v>
      </c>
      <c r="B1018" s="7" t="s">
        <v>1252</v>
      </c>
      <c r="C1018" s="7">
        <v>2</v>
      </c>
      <c r="D1018" s="7" t="s">
        <v>1691</v>
      </c>
      <c r="E1018" s="7" t="s">
        <v>1692</v>
      </c>
      <c r="F1018" s="8">
        <v>99882</v>
      </c>
      <c r="G1018" s="8">
        <v>208369</v>
      </c>
      <c r="H1018" s="8">
        <v>100291.79</v>
      </c>
      <c r="I1018" s="8">
        <v>606489.99</v>
      </c>
      <c r="J1018" s="13">
        <v>0.32402814589409301</v>
      </c>
      <c r="K1018" s="13">
        <v>0.14189922949060699</v>
      </c>
      <c r="L1018" s="7">
        <v>-1</v>
      </c>
      <c r="M1018" s="13">
        <v>0.34311887616443698</v>
      </c>
      <c r="N1018" s="13">
        <v>-1.90907302703445</v>
      </c>
      <c r="O1018" s="7">
        <v>1</v>
      </c>
      <c r="P1018" s="7" t="s">
        <v>160</v>
      </c>
      <c r="Q1018" s="7" t="str">
        <f t="shared" si="15"/>
        <v>Yes</v>
      </c>
    </row>
    <row r="1019" spans="1:17" ht="15" customHeight="1" x14ac:dyDescent="0.2">
      <c r="A1019" s="7">
        <v>2022</v>
      </c>
      <c r="B1019" s="7" t="s">
        <v>1252</v>
      </c>
      <c r="C1019" s="7">
        <v>3</v>
      </c>
      <c r="D1019" s="7" t="s">
        <v>1693</v>
      </c>
      <c r="E1019" s="7" t="s">
        <v>1694</v>
      </c>
      <c r="F1019" s="8">
        <v>212119</v>
      </c>
      <c r="G1019" s="8">
        <v>79766</v>
      </c>
      <c r="H1019" s="8">
        <v>1357706.94</v>
      </c>
      <c r="I1019" s="8">
        <v>12603.45</v>
      </c>
      <c r="J1019" s="13">
        <v>0.72672114017506895</v>
      </c>
      <c r="K1019" s="13">
        <v>0.99080248526758996</v>
      </c>
      <c r="L1019" s="7">
        <v>1</v>
      </c>
      <c r="M1019" s="13">
        <v>0.70257349392328405</v>
      </c>
      <c r="N1019" s="13">
        <v>2.4147646251785</v>
      </c>
      <c r="O1019" s="7">
        <v>1</v>
      </c>
      <c r="P1019" s="7" t="s">
        <v>160</v>
      </c>
      <c r="Q1019" s="7" t="str">
        <f t="shared" si="15"/>
        <v>Yes</v>
      </c>
    </row>
    <row r="1020" spans="1:17" ht="15" customHeight="1" x14ac:dyDescent="0.2">
      <c r="A1020" s="7">
        <v>2022</v>
      </c>
      <c r="B1020" s="7" t="s">
        <v>715</v>
      </c>
      <c r="C1020" s="7">
        <v>1</v>
      </c>
      <c r="D1020" s="7" t="s">
        <v>1695</v>
      </c>
      <c r="E1020" s="7" t="s">
        <v>717</v>
      </c>
      <c r="F1020" s="8">
        <v>165809</v>
      </c>
      <c r="G1020" s="8">
        <v>201571</v>
      </c>
      <c r="H1020" s="8">
        <v>1239696.43</v>
      </c>
      <c r="I1020" s="8">
        <v>3709838.88</v>
      </c>
      <c r="J1020" s="13">
        <v>0.45132832489520402</v>
      </c>
      <c r="K1020" s="13">
        <v>0.25046723628687501</v>
      </c>
      <c r="L1020" s="7">
        <v>-1</v>
      </c>
      <c r="M1020" s="13">
        <v>0.37895843782555699</v>
      </c>
      <c r="N1020" s="13">
        <v>7.2369887069647101</v>
      </c>
      <c r="O1020" s="7">
        <v>1</v>
      </c>
      <c r="P1020" s="7" t="s">
        <v>160</v>
      </c>
      <c r="Q1020" s="7" t="str">
        <f t="shared" si="15"/>
        <v>Yes</v>
      </c>
    </row>
    <row r="1021" spans="1:17" ht="15" customHeight="1" x14ac:dyDescent="0.2">
      <c r="A1021" s="7">
        <v>2022</v>
      </c>
      <c r="B1021" s="7" t="s">
        <v>715</v>
      </c>
      <c r="C1021" s="7">
        <v>2</v>
      </c>
      <c r="D1021" s="7" t="s">
        <v>718</v>
      </c>
      <c r="E1021" s="7" t="s">
        <v>1696</v>
      </c>
      <c r="F1021" s="8">
        <v>141229</v>
      </c>
      <c r="G1021" s="8">
        <v>45454</v>
      </c>
      <c r="H1021" s="8">
        <v>837566.22</v>
      </c>
      <c r="I1021" s="8">
        <v>246.22</v>
      </c>
      <c r="J1021" s="13">
        <v>0.75651773326976801</v>
      </c>
      <c r="K1021" s="13">
        <v>0.99970611560745004</v>
      </c>
      <c r="L1021" s="7">
        <v>1</v>
      </c>
      <c r="M1021" s="13">
        <v>0.70551268584537596</v>
      </c>
      <c r="N1021" s="13">
        <v>5.1005047424391297</v>
      </c>
      <c r="O1021" s="7">
        <v>1</v>
      </c>
      <c r="P1021" s="7" t="s">
        <v>160</v>
      </c>
      <c r="Q1021" s="7" t="str">
        <f t="shared" si="15"/>
        <v>Yes</v>
      </c>
    </row>
    <row r="1022" spans="1:17" ht="15" customHeight="1" x14ac:dyDescent="0.2">
      <c r="A1022" s="7">
        <v>2022</v>
      </c>
      <c r="B1022" s="7" t="s">
        <v>715</v>
      </c>
      <c r="C1022" s="7">
        <v>4</v>
      </c>
      <c r="D1022" s="7" t="s">
        <v>722</v>
      </c>
      <c r="E1022" s="7" t="s">
        <v>1697</v>
      </c>
      <c r="F1022" s="8">
        <v>224799</v>
      </c>
      <c r="G1022" s="8">
        <v>141986</v>
      </c>
      <c r="H1022" s="8">
        <v>1944520.94</v>
      </c>
      <c r="I1022" s="8">
        <v>238452.98</v>
      </c>
      <c r="J1022" s="13">
        <v>0.61289038537562901</v>
      </c>
      <c r="K1022" s="13">
        <v>0.89076691305592903</v>
      </c>
      <c r="L1022" s="7">
        <v>1</v>
      </c>
      <c r="M1022" s="13">
        <v>0.66955058814853696</v>
      </c>
      <c r="N1022" s="13">
        <v>-5.6660202772908503</v>
      </c>
      <c r="O1022" s="7">
        <v>1</v>
      </c>
      <c r="P1022" s="7" t="s">
        <v>160</v>
      </c>
      <c r="Q1022" s="7" t="str">
        <f t="shared" si="15"/>
        <v>Yes</v>
      </c>
    </row>
    <row r="1023" spans="1:17" ht="15" customHeight="1" x14ac:dyDescent="0.2">
      <c r="A1023" s="7">
        <v>2022</v>
      </c>
      <c r="B1023" s="7" t="s">
        <v>715</v>
      </c>
      <c r="C1023" s="7">
        <v>5</v>
      </c>
      <c r="D1023" s="7" t="s">
        <v>724</v>
      </c>
      <c r="E1023" s="7" t="s">
        <v>1698</v>
      </c>
      <c r="F1023" s="8">
        <v>205128</v>
      </c>
      <c r="G1023" s="8">
        <v>110058</v>
      </c>
      <c r="H1023" s="8">
        <v>1517639.73</v>
      </c>
      <c r="I1023" s="8">
        <v>735025.36</v>
      </c>
      <c r="J1023" s="13">
        <v>0.65081570881955397</v>
      </c>
      <c r="K1023" s="13">
        <v>0.67370854936984903</v>
      </c>
      <c r="L1023" s="7">
        <v>1</v>
      </c>
      <c r="M1023" s="13">
        <v>0.59789709796346702</v>
      </c>
      <c r="N1023" s="13">
        <v>5.2918610856086898</v>
      </c>
      <c r="O1023" s="7">
        <v>1</v>
      </c>
      <c r="P1023" s="7" t="s">
        <v>160</v>
      </c>
      <c r="Q1023" s="7" t="str">
        <f t="shared" si="15"/>
        <v>Yes</v>
      </c>
    </row>
    <row r="1024" spans="1:17" ht="15" customHeight="1" x14ac:dyDescent="0.2">
      <c r="A1024" s="7">
        <v>2022</v>
      </c>
      <c r="B1024" s="7" t="s">
        <v>715</v>
      </c>
      <c r="C1024" s="7">
        <v>6</v>
      </c>
      <c r="D1024" s="7" t="s">
        <v>726</v>
      </c>
      <c r="E1024" s="7" t="s">
        <v>1699</v>
      </c>
      <c r="F1024" s="8">
        <v>190386</v>
      </c>
      <c r="G1024" s="8">
        <v>136097</v>
      </c>
      <c r="H1024" s="8">
        <v>5730858.4699999997</v>
      </c>
      <c r="I1024" s="8">
        <v>1074516.6299999999</v>
      </c>
      <c r="J1024" s="13">
        <v>0.58314215441539097</v>
      </c>
      <c r="K1024" s="13">
        <v>0.84210765546193</v>
      </c>
      <c r="L1024" s="7">
        <v>1</v>
      </c>
      <c r="M1024" s="13">
        <v>0.65348760132225303</v>
      </c>
      <c r="N1024" s="13">
        <v>-7.0345446906862197</v>
      </c>
      <c r="O1024" s="7">
        <v>1</v>
      </c>
      <c r="P1024" s="7" t="s">
        <v>160</v>
      </c>
      <c r="Q1024" s="7" t="str">
        <f t="shared" si="15"/>
        <v>Yes</v>
      </c>
    </row>
    <row r="1025" spans="1:17" ht="15" customHeight="1" x14ac:dyDescent="0.2">
      <c r="A1025" s="7">
        <v>2022</v>
      </c>
      <c r="B1025" s="7" t="s">
        <v>715</v>
      </c>
      <c r="C1025" s="7">
        <v>7</v>
      </c>
      <c r="D1025" s="7" t="s">
        <v>728</v>
      </c>
      <c r="E1025" s="7" t="s">
        <v>1262</v>
      </c>
      <c r="F1025" s="8">
        <v>151364</v>
      </c>
      <c r="G1025" s="8">
        <v>145527</v>
      </c>
      <c r="H1025" s="8">
        <v>16446012.9</v>
      </c>
      <c r="I1025" s="8">
        <v>17309715.82</v>
      </c>
      <c r="J1025" s="13">
        <v>0.50983020704568305</v>
      </c>
      <c r="K1025" s="13">
        <v>0.48720657273963303</v>
      </c>
      <c r="L1025" s="7">
        <v>1</v>
      </c>
      <c r="M1025" s="13">
        <v>0.53633062650836905</v>
      </c>
      <c r="N1025" s="13">
        <v>-2.6500419462685998</v>
      </c>
      <c r="O1025" s="7">
        <v>1</v>
      </c>
      <c r="P1025" s="7" t="s">
        <v>160</v>
      </c>
      <c r="Q1025" s="7" t="str">
        <f t="shared" si="15"/>
        <v>Yes</v>
      </c>
    </row>
    <row r="1026" spans="1:17" ht="15" customHeight="1" x14ac:dyDescent="0.2">
      <c r="A1026" s="7">
        <v>2022</v>
      </c>
      <c r="B1026" s="7" t="s">
        <v>715</v>
      </c>
      <c r="C1026" s="7">
        <v>8</v>
      </c>
      <c r="D1026" s="7" t="s">
        <v>730</v>
      </c>
      <c r="E1026" s="7" t="s">
        <v>1264</v>
      </c>
      <c r="F1026" s="8">
        <v>146956</v>
      </c>
      <c r="G1026" s="8">
        <v>139930</v>
      </c>
      <c r="H1026" s="8">
        <v>11505590.57</v>
      </c>
      <c r="I1026" s="8">
        <v>10118676.859999999</v>
      </c>
      <c r="J1026" s="13">
        <v>0.51224528209811604</v>
      </c>
      <c r="K1026" s="13">
        <v>0.53206845537056002</v>
      </c>
      <c r="L1026" s="7">
        <v>1</v>
      </c>
      <c r="M1026" s="13">
        <v>0.55114005569686098</v>
      </c>
      <c r="N1026" s="13">
        <v>-3.8894773598745398</v>
      </c>
      <c r="O1026" s="7">
        <v>1</v>
      </c>
      <c r="P1026" s="7" t="s">
        <v>160</v>
      </c>
      <c r="Q1026" s="7" t="str">
        <f t="shared" si="15"/>
        <v>Yes</v>
      </c>
    </row>
    <row r="1027" spans="1:17" ht="15" customHeight="1" x14ac:dyDescent="0.2">
      <c r="A1027" s="7">
        <v>2022</v>
      </c>
      <c r="B1027" s="7" t="s">
        <v>715</v>
      </c>
      <c r="C1027" s="7">
        <v>9</v>
      </c>
      <c r="D1027" s="7" t="s">
        <v>1700</v>
      </c>
      <c r="E1027" s="7" t="s">
        <v>733</v>
      </c>
      <c r="F1027" s="8">
        <v>92622</v>
      </c>
      <c r="G1027" s="8">
        <v>209185</v>
      </c>
      <c r="H1027" s="8">
        <v>34620.18</v>
      </c>
      <c r="I1027" s="8">
        <v>1141301.1599999999</v>
      </c>
      <c r="J1027" s="13">
        <v>0.30689149025701901</v>
      </c>
      <c r="K1027" s="13">
        <v>2.94408978069911E-2</v>
      </c>
      <c r="L1027" s="7">
        <v>-1</v>
      </c>
      <c r="M1027" s="13">
        <v>0.30599507301453799</v>
      </c>
      <c r="N1027" s="13">
        <v>8.9641724248090707E-2</v>
      </c>
      <c r="O1027" s="7">
        <v>1</v>
      </c>
      <c r="P1027" s="7" t="s">
        <v>160</v>
      </c>
      <c r="Q1027" s="7" t="str">
        <f t="shared" si="15"/>
        <v>Yes</v>
      </c>
    </row>
    <row r="1028" spans="1:17" ht="15" customHeight="1" x14ac:dyDescent="0.2">
      <c r="A1028" s="7">
        <v>2022</v>
      </c>
      <c r="B1028" s="7" t="s">
        <v>715</v>
      </c>
      <c r="C1028" s="7">
        <v>10</v>
      </c>
      <c r="D1028" s="7" t="s">
        <v>1701</v>
      </c>
      <c r="E1028" s="7" t="s">
        <v>735</v>
      </c>
      <c r="F1028" s="8">
        <v>145215</v>
      </c>
      <c r="G1028" s="8">
        <v>169331</v>
      </c>
      <c r="H1028" s="8">
        <v>452259.44</v>
      </c>
      <c r="I1028" s="8">
        <v>3897211.51</v>
      </c>
      <c r="J1028" s="13">
        <v>0.46166538439528698</v>
      </c>
      <c r="K1028" s="13">
        <v>0.103980333516195</v>
      </c>
      <c r="L1028" s="7">
        <v>-1</v>
      </c>
      <c r="M1028" s="13">
        <v>0.33060140761638901</v>
      </c>
      <c r="N1028" s="13">
        <v>13.106397677889801</v>
      </c>
      <c r="O1028" s="7">
        <v>1</v>
      </c>
      <c r="P1028" s="7" t="s">
        <v>160</v>
      </c>
      <c r="Q1028" s="7" t="str">
        <f t="shared" ref="Q1028:Q1091" si="16">IF(A1028=2024,"No -- held out","Yes")</f>
        <v>Yes</v>
      </c>
    </row>
    <row r="1029" spans="1:17" ht="15" customHeight="1" x14ac:dyDescent="0.2">
      <c r="A1029" s="7">
        <v>2022</v>
      </c>
      <c r="B1029" s="7" t="s">
        <v>715</v>
      </c>
      <c r="C1029" s="7">
        <v>11</v>
      </c>
      <c r="D1029" s="7" t="s">
        <v>1702</v>
      </c>
      <c r="E1029" s="7" t="s">
        <v>737</v>
      </c>
      <c r="F1029" s="8">
        <v>121835</v>
      </c>
      <c r="G1029" s="8">
        <v>194991</v>
      </c>
      <c r="H1029" s="8">
        <v>321104.99</v>
      </c>
      <c r="I1029" s="8">
        <v>1380231.27</v>
      </c>
      <c r="J1029" s="13">
        <v>0.38454861659081002</v>
      </c>
      <c r="K1029" s="13">
        <v>0.18873693434359701</v>
      </c>
      <c r="L1029" s="7">
        <v>-1</v>
      </c>
      <c r="M1029" s="13">
        <v>0.35858054724673</v>
      </c>
      <c r="N1029" s="13">
        <v>2.5968069344079998</v>
      </c>
      <c r="O1029" s="7">
        <v>1</v>
      </c>
      <c r="P1029" s="7" t="s">
        <v>160</v>
      </c>
      <c r="Q1029" s="7" t="str">
        <f t="shared" si="16"/>
        <v>Yes</v>
      </c>
    </row>
    <row r="1030" spans="1:17" ht="15" customHeight="1" x14ac:dyDescent="0.2">
      <c r="A1030" s="7">
        <v>2022</v>
      </c>
      <c r="B1030" s="7" t="s">
        <v>715</v>
      </c>
      <c r="C1030" s="7">
        <v>12</v>
      </c>
      <c r="D1030" s="7" t="s">
        <v>1703</v>
      </c>
      <c r="E1030" s="7" t="s">
        <v>1274</v>
      </c>
      <c r="F1030" s="8">
        <v>184674</v>
      </c>
      <c r="G1030" s="8">
        <v>143946</v>
      </c>
      <c r="H1030" s="8">
        <v>4111885.54</v>
      </c>
      <c r="I1030" s="8">
        <v>3724482.08</v>
      </c>
      <c r="J1030" s="13">
        <v>0.56196823078327596</v>
      </c>
      <c r="K1030" s="13">
        <v>0.52471830564784105</v>
      </c>
      <c r="L1030" s="7">
        <v>-1</v>
      </c>
      <c r="M1030" s="13">
        <v>0.46949190529019302</v>
      </c>
      <c r="N1030" s="13">
        <v>9.2476325493082498</v>
      </c>
      <c r="O1030" s="7">
        <v>0</v>
      </c>
      <c r="P1030" s="7" t="s">
        <v>160</v>
      </c>
      <c r="Q1030" s="7" t="str">
        <f t="shared" si="16"/>
        <v>Yes</v>
      </c>
    </row>
    <row r="1031" spans="1:17" ht="15" customHeight="1" x14ac:dyDescent="0.2">
      <c r="A1031" s="7">
        <v>2022</v>
      </c>
      <c r="B1031" s="7" t="s">
        <v>715</v>
      </c>
      <c r="C1031" s="7">
        <v>16</v>
      </c>
      <c r="D1031" s="7" t="s">
        <v>1704</v>
      </c>
      <c r="E1031" s="7" t="s">
        <v>747</v>
      </c>
      <c r="F1031" s="8">
        <v>130443</v>
      </c>
      <c r="G1031" s="8">
        <v>190546</v>
      </c>
      <c r="H1031" s="8">
        <v>871619.6</v>
      </c>
      <c r="I1031" s="8">
        <v>1382924</v>
      </c>
      <c r="J1031" s="13">
        <v>0.40637841172127398</v>
      </c>
      <c r="K1031" s="13">
        <v>0.386605785756372</v>
      </c>
      <c r="L1031" s="7">
        <v>-1</v>
      </c>
      <c r="M1031" s="13">
        <v>0.423899356261347</v>
      </c>
      <c r="N1031" s="13">
        <v>-1.75209445400734</v>
      </c>
      <c r="O1031" s="7">
        <v>1</v>
      </c>
      <c r="P1031" s="7" t="s">
        <v>160</v>
      </c>
      <c r="Q1031" s="7" t="str">
        <f t="shared" si="16"/>
        <v>Yes</v>
      </c>
    </row>
    <row r="1032" spans="1:17" ht="15" customHeight="1" x14ac:dyDescent="0.2">
      <c r="A1032" s="7">
        <v>2022</v>
      </c>
      <c r="B1032" s="7" t="s">
        <v>715</v>
      </c>
      <c r="C1032" s="7">
        <v>17</v>
      </c>
      <c r="D1032" s="7" t="s">
        <v>1705</v>
      </c>
      <c r="E1032" s="7" t="s">
        <v>1706</v>
      </c>
      <c r="F1032" s="8">
        <v>193615</v>
      </c>
      <c r="G1032" s="8">
        <v>169013</v>
      </c>
      <c r="H1032" s="8">
        <v>12067811.84</v>
      </c>
      <c r="I1032" s="8">
        <v>12032761.66</v>
      </c>
      <c r="J1032" s="13">
        <v>0.53392181519353199</v>
      </c>
      <c r="K1032" s="13">
        <v>0.50072716485356705</v>
      </c>
      <c r="L1032" s="7">
        <v>0</v>
      </c>
      <c r="M1032" s="13">
        <v>0.501183040954713</v>
      </c>
      <c r="N1032" s="13">
        <v>3.2738774238819102</v>
      </c>
      <c r="O1032" s="7">
        <v>1</v>
      </c>
      <c r="P1032" s="7" t="s">
        <v>160</v>
      </c>
      <c r="Q1032" s="7" t="str">
        <f t="shared" si="16"/>
        <v>Yes</v>
      </c>
    </row>
    <row r="1033" spans="1:17" ht="15" customHeight="1" x14ac:dyDescent="0.2">
      <c r="A1033" s="7">
        <v>2022</v>
      </c>
      <c r="B1033" s="7" t="s">
        <v>750</v>
      </c>
      <c r="C1033" s="7">
        <v>1</v>
      </c>
      <c r="D1033" s="7" t="s">
        <v>1707</v>
      </c>
      <c r="E1033" s="7" t="s">
        <v>1708</v>
      </c>
      <c r="F1033" s="8">
        <v>100318</v>
      </c>
      <c r="G1033" s="8">
        <v>56055</v>
      </c>
      <c r="H1033" s="8">
        <v>1660147.4</v>
      </c>
      <c r="I1033" s="8">
        <v>46963.26</v>
      </c>
      <c r="J1033" s="13">
        <v>0.64153018743644996</v>
      </c>
      <c r="K1033" s="13">
        <v>0.97248962173313402</v>
      </c>
      <c r="L1033" s="7">
        <v>1</v>
      </c>
      <c r="M1033" s="13">
        <v>0.69652820469672205</v>
      </c>
      <c r="N1033" s="13">
        <v>-5.4998017260271803</v>
      </c>
      <c r="O1033" s="7">
        <v>1</v>
      </c>
      <c r="P1033" s="7" t="s">
        <v>160</v>
      </c>
      <c r="Q1033" s="7" t="str">
        <f t="shared" si="16"/>
        <v>Yes</v>
      </c>
    </row>
    <row r="1034" spans="1:17" ht="15" customHeight="1" x14ac:dyDescent="0.2">
      <c r="A1034" s="7">
        <v>2022</v>
      </c>
      <c r="B1034" s="7" t="s">
        <v>750</v>
      </c>
      <c r="C1034" s="7">
        <v>2</v>
      </c>
      <c r="D1034" s="7" t="s">
        <v>1709</v>
      </c>
      <c r="E1034" s="7" t="s">
        <v>1710</v>
      </c>
      <c r="F1034" s="8">
        <v>101432</v>
      </c>
      <c r="G1034" s="8">
        <v>93969</v>
      </c>
      <c r="H1034" s="8">
        <v>7589177.8099999996</v>
      </c>
      <c r="I1034" s="8">
        <v>7323146.0599999996</v>
      </c>
      <c r="J1034" s="13">
        <v>0.51909662693640302</v>
      </c>
      <c r="K1034" s="13">
        <v>0.50891986226691299</v>
      </c>
      <c r="L1034" s="7">
        <v>0</v>
      </c>
      <c r="M1034" s="13">
        <v>0.50388754564979799</v>
      </c>
      <c r="N1034" s="13">
        <v>1.5209081286605</v>
      </c>
      <c r="O1034" s="7">
        <v>1</v>
      </c>
      <c r="P1034" s="7" t="s">
        <v>160</v>
      </c>
      <c r="Q1034" s="7" t="str">
        <f t="shared" si="16"/>
        <v>Yes</v>
      </c>
    </row>
    <row r="1035" spans="1:17" ht="15" customHeight="1" x14ac:dyDescent="0.2">
      <c r="A1035" s="7">
        <v>2022</v>
      </c>
      <c r="B1035" s="7" t="s">
        <v>753</v>
      </c>
      <c r="C1035" s="7">
        <v>1</v>
      </c>
      <c r="D1035" s="7" t="s">
        <v>1711</v>
      </c>
      <c r="E1035" s="7" t="s">
        <v>1277</v>
      </c>
      <c r="F1035" s="8">
        <v>115796</v>
      </c>
      <c r="G1035" s="8">
        <v>153757</v>
      </c>
      <c r="H1035" s="8">
        <v>2434768.0099999998</v>
      </c>
      <c r="I1035" s="8">
        <v>6332641.9100000001</v>
      </c>
      <c r="J1035" s="13">
        <v>0.42958527636494498</v>
      </c>
      <c r="K1035" s="13">
        <v>0.27770664679951501</v>
      </c>
      <c r="L1035" s="7">
        <v>-1</v>
      </c>
      <c r="M1035" s="13">
        <v>0.387950484023036</v>
      </c>
      <c r="N1035" s="13">
        <v>4.16347923419087</v>
      </c>
      <c r="O1035" s="7">
        <v>1</v>
      </c>
      <c r="P1035" s="7" t="s">
        <v>160</v>
      </c>
      <c r="Q1035" s="7" t="str">
        <f t="shared" si="16"/>
        <v>Yes</v>
      </c>
    </row>
    <row r="1036" spans="1:17" ht="15" customHeight="1" x14ac:dyDescent="0.2">
      <c r="A1036" s="7">
        <v>2022</v>
      </c>
      <c r="B1036" s="7" t="s">
        <v>753</v>
      </c>
      <c r="C1036" s="7">
        <v>2</v>
      </c>
      <c r="D1036" s="7" t="s">
        <v>1712</v>
      </c>
      <c r="E1036" s="7" t="s">
        <v>757</v>
      </c>
      <c r="F1036" s="8">
        <v>98081</v>
      </c>
      <c r="G1036" s="8">
        <v>147699</v>
      </c>
      <c r="H1036" s="8">
        <v>94871.75</v>
      </c>
      <c r="I1036" s="8">
        <v>830198.74</v>
      </c>
      <c r="J1036" s="13">
        <v>0.39906013508015298</v>
      </c>
      <c r="K1036" s="13">
        <v>0.102556238714306</v>
      </c>
      <c r="L1036" s="7">
        <v>-1</v>
      </c>
      <c r="M1036" s="13">
        <v>0.33013129736043401</v>
      </c>
      <c r="N1036" s="13">
        <v>6.8928837719719196</v>
      </c>
      <c r="O1036" s="7">
        <v>1</v>
      </c>
      <c r="P1036" s="7" t="s">
        <v>160</v>
      </c>
      <c r="Q1036" s="7" t="str">
        <f t="shared" si="16"/>
        <v>Yes</v>
      </c>
    </row>
    <row r="1037" spans="1:17" ht="15" customHeight="1" x14ac:dyDescent="0.2">
      <c r="A1037" s="7">
        <v>2022</v>
      </c>
      <c r="B1037" s="7" t="s">
        <v>753</v>
      </c>
      <c r="C1037" s="7">
        <v>5</v>
      </c>
      <c r="D1037" s="7" t="s">
        <v>1713</v>
      </c>
      <c r="E1037" s="7" t="s">
        <v>1282</v>
      </c>
      <c r="F1037" s="8">
        <v>83299</v>
      </c>
      <c r="G1037" s="8">
        <v>154725</v>
      </c>
      <c r="H1037" s="8">
        <v>16709.560000000001</v>
      </c>
      <c r="I1037" s="8">
        <v>1087726.49</v>
      </c>
      <c r="J1037" s="13">
        <v>0.349960508184049</v>
      </c>
      <c r="K1037" s="13">
        <v>1.51294952749867E-2</v>
      </c>
      <c r="L1037" s="7">
        <v>-1</v>
      </c>
      <c r="M1037" s="13">
        <v>0.30127071260083499</v>
      </c>
      <c r="N1037" s="13">
        <v>4.8689795583213504</v>
      </c>
      <c r="O1037" s="7">
        <v>1</v>
      </c>
      <c r="P1037" s="7" t="s">
        <v>160</v>
      </c>
      <c r="Q1037" s="7" t="str">
        <f t="shared" si="16"/>
        <v>Yes</v>
      </c>
    </row>
    <row r="1038" spans="1:17" ht="15" customHeight="1" x14ac:dyDescent="0.2">
      <c r="A1038" s="7">
        <v>2022</v>
      </c>
      <c r="B1038" s="7" t="s">
        <v>753</v>
      </c>
      <c r="C1038" s="7">
        <v>6</v>
      </c>
      <c r="D1038" s="7" t="s">
        <v>764</v>
      </c>
      <c r="E1038" s="7" t="s">
        <v>1714</v>
      </c>
      <c r="F1038" s="8">
        <v>130923</v>
      </c>
      <c r="G1038" s="8">
        <v>79879</v>
      </c>
      <c r="H1038" s="8">
        <v>3278355.51</v>
      </c>
      <c r="I1038" s="8">
        <v>204554.58</v>
      </c>
      <c r="J1038" s="13">
        <v>0.62107095758104802</v>
      </c>
      <c r="K1038" s="13">
        <v>0.94126906101098895</v>
      </c>
      <c r="L1038" s="7">
        <v>1</v>
      </c>
      <c r="M1038" s="13">
        <v>0.68622193451534397</v>
      </c>
      <c r="N1038" s="13">
        <v>-6.5150976934296203</v>
      </c>
      <c r="O1038" s="7">
        <v>1</v>
      </c>
      <c r="P1038" s="7" t="s">
        <v>160</v>
      </c>
      <c r="Q1038" s="7" t="str">
        <f t="shared" si="16"/>
        <v>Yes</v>
      </c>
    </row>
    <row r="1039" spans="1:17" ht="15" customHeight="1" x14ac:dyDescent="0.2">
      <c r="A1039" s="7">
        <v>2022</v>
      </c>
      <c r="B1039" s="7" t="s">
        <v>771</v>
      </c>
      <c r="C1039" s="7">
        <v>1</v>
      </c>
      <c r="D1039" s="7" t="s">
        <v>1715</v>
      </c>
      <c r="E1039" s="7" t="s">
        <v>1716</v>
      </c>
      <c r="F1039" s="8">
        <v>37049</v>
      </c>
      <c r="G1039" s="8">
        <v>147241</v>
      </c>
      <c r="H1039" s="8">
        <v>0</v>
      </c>
      <c r="I1039" s="8">
        <v>1323357.17</v>
      </c>
      <c r="J1039" s="13">
        <v>0.201036410005969</v>
      </c>
      <c r="K1039" s="13">
        <v>0</v>
      </c>
      <c r="L1039" s="7">
        <v>-1</v>
      </c>
      <c r="M1039" s="13">
        <v>0.29627629025846802</v>
      </c>
      <c r="N1039" s="13">
        <v>-9.5239880252499507</v>
      </c>
      <c r="O1039" s="7">
        <v>1</v>
      </c>
      <c r="P1039" s="7" t="s">
        <v>160</v>
      </c>
      <c r="Q1039" s="7" t="str">
        <f t="shared" si="16"/>
        <v>Yes</v>
      </c>
    </row>
    <row r="1040" spans="1:17" ht="15" customHeight="1" x14ac:dyDescent="0.2">
      <c r="A1040" s="7">
        <v>2022</v>
      </c>
      <c r="B1040" s="7" t="s">
        <v>771</v>
      </c>
      <c r="C1040" s="7">
        <v>2</v>
      </c>
      <c r="D1040" s="7" t="s">
        <v>1717</v>
      </c>
      <c r="E1040" s="7" t="s">
        <v>775</v>
      </c>
      <c r="F1040" s="8">
        <v>66673</v>
      </c>
      <c r="G1040" s="8">
        <v>141089</v>
      </c>
      <c r="H1040" s="8">
        <v>148418.47</v>
      </c>
      <c r="I1040" s="8">
        <v>1194820.6399999999</v>
      </c>
      <c r="J1040" s="13">
        <v>0.32091046485882901</v>
      </c>
      <c r="K1040" s="13">
        <v>0.110492963534988</v>
      </c>
      <c r="L1040" s="7">
        <v>-1</v>
      </c>
      <c r="M1040" s="13">
        <v>0.332751302525786</v>
      </c>
      <c r="N1040" s="13">
        <v>-1.1840837666956801</v>
      </c>
      <c r="O1040" s="7">
        <v>1</v>
      </c>
      <c r="P1040" s="7" t="s">
        <v>160</v>
      </c>
      <c r="Q1040" s="7" t="str">
        <f t="shared" si="16"/>
        <v>Yes</v>
      </c>
    </row>
    <row r="1041" spans="1:17" ht="15" customHeight="1" x14ac:dyDescent="0.2">
      <c r="A1041" s="7">
        <v>2022</v>
      </c>
      <c r="B1041" s="7" t="s">
        <v>771</v>
      </c>
      <c r="C1041" s="7">
        <v>3</v>
      </c>
      <c r="D1041" s="7" t="s">
        <v>1286</v>
      </c>
      <c r="E1041" s="7" t="s">
        <v>777</v>
      </c>
      <c r="F1041" s="8">
        <v>60334</v>
      </c>
      <c r="G1041" s="8">
        <v>136639</v>
      </c>
      <c r="H1041" s="8">
        <v>68549.710000000006</v>
      </c>
      <c r="I1041" s="8">
        <v>924871.13</v>
      </c>
      <c r="J1041" s="13">
        <v>0.30630594040807602</v>
      </c>
      <c r="K1041" s="13">
        <v>6.9003696358936897E-2</v>
      </c>
      <c r="L1041" s="7">
        <v>-1</v>
      </c>
      <c r="M1041" s="13">
        <v>0.319055212921589</v>
      </c>
      <c r="N1041" s="13">
        <v>-1.27492725135124</v>
      </c>
      <c r="O1041" s="7">
        <v>1</v>
      </c>
      <c r="P1041" s="7" t="s">
        <v>160</v>
      </c>
      <c r="Q1041" s="7" t="str">
        <f t="shared" si="16"/>
        <v>Yes</v>
      </c>
    </row>
    <row r="1042" spans="1:17" ht="15" customHeight="1" x14ac:dyDescent="0.2">
      <c r="A1042" s="7">
        <v>2022</v>
      </c>
      <c r="B1042" s="7" t="s">
        <v>771</v>
      </c>
      <c r="C1042" s="7">
        <v>4</v>
      </c>
      <c r="D1042" s="7" t="s">
        <v>1718</v>
      </c>
      <c r="E1042" s="7" t="s">
        <v>779</v>
      </c>
      <c r="F1042" s="8">
        <v>44648</v>
      </c>
      <c r="G1042" s="8">
        <v>122401</v>
      </c>
      <c r="H1042" s="8">
        <v>11231.07</v>
      </c>
      <c r="I1042" s="8">
        <v>162233.04999999999</v>
      </c>
      <c r="J1042" s="13">
        <v>0.26727487144490503</v>
      </c>
      <c r="K1042" s="13">
        <v>6.4745781433070998E-2</v>
      </c>
      <c r="L1042" s="7">
        <v>-1</v>
      </c>
      <c r="M1042" s="13">
        <v>0.31764962568611799</v>
      </c>
      <c r="N1042" s="13">
        <v>-5.0374754241212196</v>
      </c>
      <c r="O1042" s="7">
        <v>1</v>
      </c>
      <c r="P1042" s="7" t="s">
        <v>160</v>
      </c>
      <c r="Q1042" s="7" t="str">
        <f t="shared" si="16"/>
        <v>Yes</v>
      </c>
    </row>
    <row r="1043" spans="1:17" ht="15" customHeight="1" x14ac:dyDescent="0.2">
      <c r="A1043" s="7">
        <v>2022</v>
      </c>
      <c r="B1043" s="7" t="s">
        <v>771</v>
      </c>
      <c r="C1043" s="7">
        <v>5</v>
      </c>
      <c r="D1043" s="7" t="s">
        <v>1719</v>
      </c>
      <c r="E1043" s="7" t="s">
        <v>1720</v>
      </c>
      <c r="F1043" s="8">
        <v>93648</v>
      </c>
      <c r="G1043" s="8">
        <v>123558</v>
      </c>
      <c r="H1043" s="8">
        <v>2006927.85</v>
      </c>
      <c r="I1043" s="8">
        <v>2256685.7599999998</v>
      </c>
      <c r="J1043" s="13">
        <v>0.43114831082014299</v>
      </c>
      <c r="K1043" s="13">
        <v>0.47071053654883199</v>
      </c>
      <c r="L1043" s="7">
        <v>0</v>
      </c>
      <c r="M1043" s="13">
        <v>0.49127420286574203</v>
      </c>
      <c r="N1043" s="13">
        <v>-6.0125892045598999</v>
      </c>
      <c r="O1043" s="7">
        <v>1</v>
      </c>
      <c r="P1043" s="7" t="s">
        <v>160</v>
      </c>
      <c r="Q1043" s="7" t="str">
        <f t="shared" si="16"/>
        <v>Yes</v>
      </c>
    </row>
    <row r="1044" spans="1:17" ht="15" customHeight="1" x14ac:dyDescent="0.2">
      <c r="A1044" s="7">
        <v>2022</v>
      </c>
      <c r="B1044" s="7" t="s">
        <v>771</v>
      </c>
      <c r="C1044" s="7">
        <v>6</v>
      </c>
      <c r="D1044" s="7" t="s">
        <v>1721</v>
      </c>
      <c r="E1044" s="7" t="s">
        <v>781</v>
      </c>
      <c r="F1044" s="8">
        <v>65675</v>
      </c>
      <c r="G1044" s="8">
        <v>129388</v>
      </c>
      <c r="H1044" s="8">
        <v>4392.33</v>
      </c>
      <c r="I1044" s="8">
        <v>1677493.23</v>
      </c>
      <c r="J1044" s="13">
        <v>0.33668609628684099</v>
      </c>
      <c r="K1044" s="13">
        <v>2.6115510498823701E-3</v>
      </c>
      <c r="L1044" s="7">
        <v>-1</v>
      </c>
      <c r="M1044" s="13">
        <v>0.29713839363169398</v>
      </c>
      <c r="N1044" s="13">
        <v>3.9547702655146799</v>
      </c>
      <c r="O1044" s="7">
        <v>1</v>
      </c>
      <c r="P1044" s="7" t="s">
        <v>160</v>
      </c>
      <c r="Q1044" s="7" t="str">
        <f t="shared" si="16"/>
        <v>Yes</v>
      </c>
    </row>
    <row r="1045" spans="1:17" ht="15" customHeight="1" x14ac:dyDescent="0.2">
      <c r="A1045" s="7">
        <v>2022</v>
      </c>
      <c r="B1045" s="7" t="s">
        <v>771</v>
      </c>
      <c r="C1045" s="7">
        <v>8</v>
      </c>
      <c r="D1045" s="7" t="s">
        <v>1722</v>
      </c>
      <c r="E1045" s="7" t="s">
        <v>785</v>
      </c>
      <c r="F1045" s="8">
        <v>51102</v>
      </c>
      <c r="G1045" s="8">
        <v>155602</v>
      </c>
      <c r="H1045" s="8">
        <v>775</v>
      </c>
      <c r="I1045" s="8">
        <v>1467247.52</v>
      </c>
      <c r="J1045" s="13">
        <v>0.24722308228191001</v>
      </c>
      <c r="K1045" s="13">
        <v>5.2792105668787704E-4</v>
      </c>
      <c r="L1045" s="7">
        <v>-1</v>
      </c>
      <c r="M1045" s="13">
        <v>0.29645056313886597</v>
      </c>
      <c r="N1045" s="13">
        <v>-4.9227480856955204</v>
      </c>
      <c r="O1045" s="7">
        <v>1</v>
      </c>
      <c r="P1045" s="7" t="s">
        <v>160</v>
      </c>
      <c r="Q1045" s="7" t="str">
        <f t="shared" si="16"/>
        <v>Yes</v>
      </c>
    </row>
    <row r="1046" spans="1:17" ht="15" customHeight="1" x14ac:dyDescent="0.2">
      <c r="A1046" s="7">
        <v>2022</v>
      </c>
      <c r="B1046" s="7" t="s">
        <v>771</v>
      </c>
      <c r="C1046" s="7">
        <v>9</v>
      </c>
      <c r="D1046" s="7" t="s">
        <v>786</v>
      </c>
      <c r="E1046" s="7" t="s">
        <v>787</v>
      </c>
      <c r="F1046" s="8">
        <v>93800</v>
      </c>
      <c r="G1046" s="8">
        <v>35123</v>
      </c>
      <c r="H1046" s="8">
        <v>313800.06</v>
      </c>
      <c r="I1046" s="8">
        <v>48231.83</v>
      </c>
      <c r="J1046" s="13">
        <v>0.72756606656686595</v>
      </c>
      <c r="K1046" s="13">
        <v>0.86677463689731904</v>
      </c>
      <c r="L1046" s="7">
        <v>1</v>
      </c>
      <c r="M1046" s="13">
        <v>0.66163045876465099</v>
      </c>
      <c r="N1046" s="13">
        <v>6.5935607802214804</v>
      </c>
      <c r="O1046" s="7">
        <v>1</v>
      </c>
      <c r="P1046" s="7" t="s">
        <v>160</v>
      </c>
      <c r="Q1046" s="7" t="str">
        <f t="shared" si="16"/>
        <v>Yes</v>
      </c>
    </row>
    <row r="1047" spans="1:17" ht="15" customHeight="1" x14ac:dyDescent="0.2">
      <c r="A1047" s="7">
        <v>2022</v>
      </c>
      <c r="B1047" s="7" t="s">
        <v>788</v>
      </c>
      <c r="C1047" s="7">
        <v>1</v>
      </c>
      <c r="D1047" s="7" t="s">
        <v>1723</v>
      </c>
      <c r="E1047" s="7" t="s">
        <v>1724</v>
      </c>
      <c r="F1047" s="8">
        <v>51438</v>
      </c>
      <c r="G1047" s="8">
        <v>183224</v>
      </c>
      <c r="H1047" s="8">
        <v>93130.6</v>
      </c>
      <c r="I1047" s="8">
        <v>932323.16</v>
      </c>
      <c r="J1047" s="13">
        <v>0.219200381825775</v>
      </c>
      <c r="K1047" s="13">
        <v>9.0818917081156303E-2</v>
      </c>
      <c r="L1047" s="7">
        <v>0</v>
      </c>
      <c r="M1047" s="13">
        <v>0.36586756123876901</v>
      </c>
      <c r="N1047" s="13">
        <v>-14.6667179412994</v>
      </c>
      <c r="O1047" s="7">
        <v>1</v>
      </c>
      <c r="P1047" s="7" t="s">
        <v>160</v>
      </c>
      <c r="Q1047" s="7" t="str">
        <f t="shared" si="16"/>
        <v>Yes</v>
      </c>
    </row>
    <row r="1048" spans="1:17" ht="15" customHeight="1" x14ac:dyDescent="0.2">
      <c r="A1048" s="7">
        <v>2022</v>
      </c>
      <c r="B1048" s="7" t="s">
        <v>788</v>
      </c>
      <c r="C1048" s="7">
        <v>2</v>
      </c>
      <c r="D1048" s="7" t="s">
        <v>1725</v>
      </c>
      <c r="E1048" s="7" t="s">
        <v>792</v>
      </c>
      <c r="F1048" s="8">
        <v>78496</v>
      </c>
      <c r="G1048" s="8">
        <v>151791</v>
      </c>
      <c r="H1048" s="8">
        <v>210871.93</v>
      </c>
      <c r="I1048" s="8">
        <v>16683609.390000001</v>
      </c>
      <c r="J1048" s="13">
        <v>0.34086162049963697</v>
      </c>
      <c r="K1048" s="13">
        <v>1.24817048837342E-2</v>
      </c>
      <c r="L1048" s="7">
        <v>-1</v>
      </c>
      <c r="M1048" s="13">
        <v>0.30039664619956902</v>
      </c>
      <c r="N1048" s="13">
        <v>4.0464974300068102</v>
      </c>
      <c r="O1048" s="7">
        <v>1</v>
      </c>
      <c r="P1048" s="7" t="s">
        <v>160</v>
      </c>
      <c r="Q1048" s="7" t="str">
        <f t="shared" si="16"/>
        <v>Yes</v>
      </c>
    </row>
    <row r="1049" spans="1:17" ht="15" customHeight="1" x14ac:dyDescent="0.2">
      <c r="A1049" s="7">
        <v>2022</v>
      </c>
      <c r="B1049" s="7" t="s">
        <v>788</v>
      </c>
      <c r="C1049" s="7">
        <v>4</v>
      </c>
      <c r="D1049" s="7" t="s">
        <v>1726</v>
      </c>
      <c r="E1049" s="7" t="s">
        <v>1727</v>
      </c>
      <c r="F1049" s="8">
        <v>79179</v>
      </c>
      <c r="G1049" s="8">
        <v>170781</v>
      </c>
      <c r="H1049" s="8">
        <v>44585.22</v>
      </c>
      <c r="I1049" s="8">
        <v>915114.48</v>
      </c>
      <c r="J1049" s="13">
        <v>0.31676668266922697</v>
      </c>
      <c r="K1049" s="13">
        <v>4.6457469977327297E-2</v>
      </c>
      <c r="L1049" s="7">
        <v>-1</v>
      </c>
      <c r="M1049" s="13">
        <v>0.31161244138627298</v>
      </c>
      <c r="N1049" s="13">
        <v>0.51542412829545003</v>
      </c>
      <c r="O1049" s="7">
        <v>1</v>
      </c>
      <c r="P1049" s="7" t="s">
        <v>160</v>
      </c>
      <c r="Q1049" s="7" t="str">
        <f t="shared" si="16"/>
        <v>Yes</v>
      </c>
    </row>
    <row r="1050" spans="1:17" ht="15" customHeight="1" x14ac:dyDescent="0.2">
      <c r="A1050" s="7">
        <v>2022</v>
      </c>
      <c r="B1050" s="7" t="s">
        <v>788</v>
      </c>
      <c r="C1050" s="7">
        <v>5</v>
      </c>
      <c r="D1050" s="7" t="s">
        <v>1728</v>
      </c>
      <c r="E1050" s="7" t="s">
        <v>798</v>
      </c>
      <c r="F1050" s="8">
        <v>71930</v>
      </c>
      <c r="G1050" s="8">
        <v>135595</v>
      </c>
      <c r="H1050" s="8">
        <v>15319.52</v>
      </c>
      <c r="I1050" s="8">
        <v>1021383.54</v>
      </c>
      <c r="J1050" s="13">
        <v>0.34660884230815597</v>
      </c>
      <c r="K1050" s="13">
        <v>1.4777153257365699E-2</v>
      </c>
      <c r="L1050" s="7">
        <v>-1</v>
      </c>
      <c r="M1050" s="13">
        <v>0.30115440040317298</v>
      </c>
      <c r="N1050" s="13">
        <v>4.54544419049832</v>
      </c>
      <c r="O1050" s="7">
        <v>1</v>
      </c>
      <c r="P1050" s="7" t="s">
        <v>160</v>
      </c>
      <c r="Q1050" s="7" t="str">
        <f t="shared" si="16"/>
        <v>Yes</v>
      </c>
    </row>
    <row r="1051" spans="1:17" ht="15" customHeight="1" x14ac:dyDescent="0.2">
      <c r="A1051" s="7">
        <v>2022</v>
      </c>
      <c r="B1051" s="7" t="s">
        <v>788</v>
      </c>
      <c r="C1051" s="7">
        <v>7</v>
      </c>
      <c r="D1051" s="7" t="s">
        <v>1296</v>
      </c>
      <c r="E1051" s="7" t="s">
        <v>1300</v>
      </c>
      <c r="F1051" s="8">
        <v>115994</v>
      </c>
      <c r="G1051" s="8">
        <v>65835</v>
      </c>
      <c r="H1051" s="8">
        <v>2436698.0299999998</v>
      </c>
      <c r="I1051" s="8">
        <v>200549.75</v>
      </c>
      <c r="J1051" s="13">
        <v>0.637929043221928</v>
      </c>
      <c r="K1051" s="13">
        <v>0.92395490802157398</v>
      </c>
      <c r="L1051" s="7">
        <v>1</v>
      </c>
      <c r="M1051" s="13">
        <v>0.68050633125444304</v>
      </c>
      <c r="N1051" s="13">
        <v>-4.2577288032514904</v>
      </c>
      <c r="O1051" s="7">
        <v>1</v>
      </c>
      <c r="P1051" s="7" t="s">
        <v>160</v>
      </c>
      <c r="Q1051" s="7" t="str">
        <f t="shared" si="16"/>
        <v>Yes</v>
      </c>
    </row>
    <row r="1052" spans="1:17" ht="15" customHeight="1" x14ac:dyDescent="0.2">
      <c r="A1052" s="7">
        <v>2022</v>
      </c>
      <c r="B1052" s="7" t="s">
        <v>788</v>
      </c>
      <c r="C1052" s="7">
        <v>8</v>
      </c>
      <c r="D1052" s="7" t="s">
        <v>1729</v>
      </c>
      <c r="E1052" s="7" t="s">
        <v>1730</v>
      </c>
      <c r="F1052" s="8">
        <v>68715</v>
      </c>
      <c r="G1052" s="8">
        <v>153127</v>
      </c>
      <c r="H1052" s="8">
        <v>121180.07</v>
      </c>
      <c r="I1052" s="8">
        <v>5498561.5899999999</v>
      </c>
      <c r="J1052" s="13">
        <v>0.309747477934746</v>
      </c>
      <c r="K1052" s="13">
        <v>2.1563281255886101E-2</v>
      </c>
      <c r="L1052" s="7">
        <v>0</v>
      </c>
      <c r="M1052" s="13">
        <v>0.34300547042782198</v>
      </c>
      <c r="N1052" s="13">
        <v>-3.3257992493075399</v>
      </c>
      <c r="O1052" s="7">
        <v>1</v>
      </c>
      <c r="P1052" s="7" t="s">
        <v>160</v>
      </c>
      <c r="Q1052" s="7" t="str">
        <f t="shared" si="16"/>
        <v>Yes</v>
      </c>
    </row>
    <row r="1053" spans="1:17" ht="15" customHeight="1" x14ac:dyDescent="0.2">
      <c r="A1053" s="7">
        <v>2022</v>
      </c>
      <c r="B1053" s="7" t="s">
        <v>788</v>
      </c>
      <c r="C1053" s="7">
        <v>9</v>
      </c>
      <c r="D1053" s="7" t="s">
        <v>1299</v>
      </c>
      <c r="E1053" s="7" t="s">
        <v>1731</v>
      </c>
      <c r="F1053" s="8">
        <v>125446</v>
      </c>
      <c r="G1053" s="8">
        <v>38161</v>
      </c>
      <c r="H1053" s="8">
        <v>386139.31</v>
      </c>
      <c r="I1053" s="8">
        <v>5374.58</v>
      </c>
      <c r="J1053" s="13">
        <v>0.76675203383718304</v>
      </c>
      <c r="K1053" s="13">
        <v>0.98627231335266297</v>
      </c>
      <c r="L1053" s="7">
        <v>1</v>
      </c>
      <c r="M1053" s="13">
        <v>0.70107803148944603</v>
      </c>
      <c r="N1053" s="13">
        <v>6.5674002347737002</v>
      </c>
      <c r="O1053" s="7">
        <v>1</v>
      </c>
      <c r="P1053" s="7" t="s">
        <v>160</v>
      </c>
      <c r="Q1053" s="7" t="str">
        <f t="shared" si="16"/>
        <v>Yes</v>
      </c>
    </row>
    <row r="1054" spans="1:17" ht="15" customHeight="1" x14ac:dyDescent="0.2">
      <c r="A1054" s="7">
        <v>2022</v>
      </c>
      <c r="B1054" s="7" t="s">
        <v>788</v>
      </c>
      <c r="C1054" s="7">
        <v>12</v>
      </c>
      <c r="D1054" s="7" t="s">
        <v>1732</v>
      </c>
      <c r="E1054" s="7" t="s">
        <v>810</v>
      </c>
      <c r="F1054" s="8">
        <v>85026</v>
      </c>
      <c r="G1054" s="8">
        <v>152953</v>
      </c>
      <c r="H1054" s="8">
        <v>50981.440000000002</v>
      </c>
      <c r="I1054" s="8">
        <v>2035031.68</v>
      </c>
      <c r="J1054" s="13">
        <v>0.35728362586614798</v>
      </c>
      <c r="K1054" s="13">
        <v>2.4439654531031901E-2</v>
      </c>
      <c r="L1054" s="7">
        <v>-1</v>
      </c>
      <c r="M1054" s="13">
        <v>0.30434410444598597</v>
      </c>
      <c r="N1054" s="13">
        <v>5.2939521420162396</v>
      </c>
      <c r="O1054" s="7">
        <v>1</v>
      </c>
      <c r="P1054" s="7" t="s">
        <v>160</v>
      </c>
      <c r="Q1054" s="7" t="str">
        <f t="shared" si="16"/>
        <v>Yes</v>
      </c>
    </row>
    <row r="1055" spans="1:17" ht="15" customHeight="1" x14ac:dyDescent="0.2">
      <c r="A1055" s="7">
        <v>2022</v>
      </c>
      <c r="B1055" s="7" t="s">
        <v>788</v>
      </c>
      <c r="C1055" s="7">
        <v>13</v>
      </c>
      <c r="D1055" s="7" t="s">
        <v>1733</v>
      </c>
      <c r="E1055" s="7" t="s">
        <v>1306</v>
      </c>
      <c r="F1055" s="8">
        <v>52910</v>
      </c>
      <c r="G1055" s="8">
        <v>161767</v>
      </c>
      <c r="H1055" s="8">
        <v>180973.38</v>
      </c>
      <c r="I1055" s="8">
        <v>4818462.7699999996</v>
      </c>
      <c r="J1055" s="13">
        <v>0.246463291363304</v>
      </c>
      <c r="K1055" s="13">
        <v>3.6198758133954803E-2</v>
      </c>
      <c r="L1055" s="7">
        <v>-1</v>
      </c>
      <c r="M1055" s="13">
        <v>0.30822592130062598</v>
      </c>
      <c r="N1055" s="13">
        <v>-6.1762629937321796</v>
      </c>
      <c r="O1055" s="7">
        <v>1</v>
      </c>
      <c r="P1055" s="7" t="s">
        <v>160</v>
      </c>
      <c r="Q1055" s="7" t="str">
        <f t="shared" si="16"/>
        <v>Yes</v>
      </c>
    </row>
    <row r="1056" spans="1:17" ht="15" customHeight="1" x14ac:dyDescent="0.2">
      <c r="A1056" s="7">
        <v>2022</v>
      </c>
      <c r="B1056" s="7" t="s">
        <v>788</v>
      </c>
      <c r="C1056" s="7">
        <v>14</v>
      </c>
      <c r="D1056" s="7" t="s">
        <v>1734</v>
      </c>
      <c r="E1056" s="7" t="s">
        <v>814</v>
      </c>
      <c r="F1056" s="8">
        <v>63606</v>
      </c>
      <c r="G1056" s="8">
        <v>149543</v>
      </c>
      <c r="H1056" s="8">
        <v>56467.59</v>
      </c>
      <c r="I1056" s="8">
        <v>1067323.47</v>
      </c>
      <c r="J1056" s="13">
        <v>0.29841097072939599</v>
      </c>
      <c r="K1056" s="13">
        <v>5.0247409869944998E-2</v>
      </c>
      <c r="L1056" s="7">
        <v>-1</v>
      </c>
      <c r="M1056" s="13">
        <v>0.31286354462084098</v>
      </c>
      <c r="N1056" s="13">
        <v>-1.44525738914447</v>
      </c>
      <c r="O1056" s="7">
        <v>1</v>
      </c>
      <c r="P1056" s="7" t="s">
        <v>160</v>
      </c>
      <c r="Q1056" s="7" t="str">
        <f t="shared" si="16"/>
        <v>Yes</v>
      </c>
    </row>
    <row r="1057" spans="1:17" ht="15" customHeight="1" x14ac:dyDescent="0.2">
      <c r="A1057" s="7">
        <v>2022</v>
      </c>
      <c r="B1057" s="7" t="s">
        <v>788</v>
      </c>
      <c r="C1057" s="7">
        <v>15</v>
      </c>
      <c r="D1057" s="7" t="s">
        <v>1735</v>
      </c>
      <c r="E1057" s="7" t="s">
        <v>1736</v>
      </c>
      <c r="F1057" s="8">
        <v>68097</v>
      </c>
      <c r="G1057" s="8">
        <v>80978</v>
      </c>
      <c r="H1057" s="8">
        <v>3029714.33</v>
      </c>
      <c r="I1057" s="8">
        <v>8179564.6900000004</v>
      </c>
      <c r="J1057" s="13">
        <v>0.45679691430488001</v>
      </c>
      <c r="K1057" s="13">
        <v>0.27028628019645801</v>
      </c>
      <c r="L1057" s="7">
        <v>0</v>
      </c>
      <c r="M1057" s="13">
        <v>0.425111824961869</v>
      </c>
      <c r="N1057" s="13">
        <v>3.1685089343011099</v>
      </c>
      <c r="O1057" s="7">
        <v>1</v>
      </c>
      <c r="P1057" s="7" t="s">
        <v>160</v>
      </c>
      <c r="Q1057" s="7" t="str">
        <f t="shared" si="16"/>
        <v>Yes</v>
      </c>
    </row>
    <row r="1058" spans="1:17" ht="15" customHeight="1" x14ac:dyDescent="0.2">
      <c r="A1058" s="7">
        <v>2022</v>
      </c>
      <c r="B1058" s="7" t="s">
        <v>788</v>
      </c>
      <c r="C1058" s="7">
        <v>16</v>
      </c>
      <c r="D1058" s="7" t="s">
        <v>817</v>
      </c>
      <c r="E1058" s="7" t="s">
        <v>1737</v>
      </c>
      <c r="F1058" s="8">
        <v>95510</v>
      </c>
      <c r="G1058" s="8">
        <v>54986</v>
      </c>
      <c r="H1058" s="8">
        <v>1333808.95</v>
      </c>
      <c r="I1058" s="8">
        <v>397563.9</v>
      </c>
      <c r="J1058" s="13">
        <v>0.63463480756963597</v>
      </c>
      <c r="K1058" s="13">
        <v>0.77037649631620397</v>
      </c>
      <c r="L1058" s="7">
        <v>1</v>
      </c>
      <c r="M1058" s="13">
        <v>0.629808311473531</v>
      </c>
      <c r="N1058" s="13">
        <v>0.48264960961056402</v>
      </c>
      <c r="O1058" s="7">
        <v>1</v>
      </c>
      <c r="P1058" s="7" t="s">
        <v>160</v>
      </c>
      <c r="Q1058" s="7" t="str">
        <f t="shared" si="16"/>
        <v>Yes</v>
      </c>
    </row>
    <row r="1059" spans="1:17" ht="15" customHeight="1" x14ac:dyDescent="0.2">
      <c r="A1059" s="7">
        <v>2022</v>
      </c>
      <c r="B1059" s="7" t="s">
        <v>788</v>
      </c>
      <c r="C1059" s="7">
        <v>18</v>
      </c>
      <c r="D1059" s="7" t="s">
        <v>1738</v>
      </c>
      <c r="E1059" s="7" t="s">
        <v>1739</v>
      </c>
      <c r="F1059" s="8">
        <v>110511</v>
      </c>
      <c r="G1059" s="8">
        <v>40941</v>
      </c>
      <c r="H1059" s="8">
        <v>905518.67</v>
      </c>
      <c r="I1059" s="8">
        <v>122788.35</v>
      </c>
      <c r="J1059" s="13">
        <v>0.729676729260756</v>
      </c>
      <c r="K1059" s="13">
        <v>0.88059174194881995</v>
      </c>
      <c r="L1059" s="7">
        <v>1</v>
      </c>
      <c r="M1059" s="13">
        <v>0.66619164583148804</v>
      </c>
      <c r="N1059" s="13">
        <v>6.3485083429267704</v>
      </c>
      <c r="O1059" s="7">
        <v>1</v>
      </c>
      <c r="P1059" s="7" t="s">
        <v>160</v>
      </c>
      <c r="Q1059" s="7" t="str">
        <f t="shared" si="16"/>
        <v>Yes</v>
      </c>
    </row>
    <row r="1060" spans="1:17" ht="15" customHeight="1" x14ac:dyDescent="0.2">
      <c r="A1060" s="7">
        <v>2022</v>
      </c>
      <c r="B1060" s="7" t="s">
        <v>788</v>
      </c>
      <c r="C1060" s="7">
        <v>20</v>
      </c>
      <c r="D1060" s="7" t="s">
        <v>1312</v>
      </c>
      <c r="E1060" s="7" t="s">
        <v>1740</v>
      </c>
      <c r="F1060" s="8">
        <v>115352</v>
      </c>
      <c r="G1060" s="8">
        <v>53226</v>
      </c>
      <c r="H1060" s="8">
        <v>635124.61</v>
      </c>
      <c r="I1060" s="8">
        <v>295636.71000000002</v>
      </c>
      <c r="J1060" s="13">
        <v>0.68426485069226095</v>
      </c>
      <c r="K1060" s="13">
        <v>0.68237108306133698</v>
      </c>
      <c r="L1060" s="7">
        <v>1</v>
      </c>
      <c r="M1060" s="13">
        <v>0.60075670107804102</v>
      </c>
      <c r="N1060" s="13">
        <v>8.3508149614220493</v>
      </c>
      <c r="O1060" s="7">
        <v>1</v>
      </c>
      <c r="P1060" s="7" t="s">
        <v>160</v>
      </c>
      <c r="Q1060" s="7" t="str">
        <f t="shared" si="16"/>
        <v>Yes</v>
      </c>
    </row>
    <row r="1061" spans="1:17" ht="15" customHeight="1" x14ac:dyDescent="0.2">
      <c r="A1061" s="7">
        <v>2022</v>
      </c>
      <c r="B1061" s="7" t="s">
        <v>788</v>
      </c>
      <c r="C1061" s="7">
        <v>21</v>
      </c>
      <c r="D1061" s="7" t="s">
        <v>1741</v>
      </c>
      <c r="E1061" s="7" t="s">
        <v>826</v>
      </c>
      <c r="F1061" s="8">
        <v>122655</v>
      </c>
      <c r="G1061" s="8">
        <v>207426</v>
      </c>
      <c r="H1061" s="8">
        <v>102396.47</v>
      </c>
      <c r="I1061" s="8">
        <v>1646383.12</v>
      </c>
      <c r="J1061" s="13">
        <v>0.371590609577649</v>
      </c>
      <c r="K1061" s="13">
        <v>5.8553102166522902E-2</v>
      </c>
      <c r="L1061" s="7">
        <v>-1</v>
      </c>
      <c r="M1061" s="13">
        <v>0.31560535024098102</v>
      </c>
      <c r="N1061" s="13">
        <v>5.5985259336667799</v>
      </c>
      <c r="O1061" s="7">
        <v>1</v>
      </c>
      <c r="P1061" s="7" t="s">
        <v>160</v>
      </c>
      <c r="Q1061" s="7" t="str">
        <f t="shared" si="16"/>
        <v>Yes</v>
      </c>
    </row>
    <row r="1062" spans="1:17" ht="15" customHeight="1" x14ac:dyDescent="0.2">
      <c r="A1062" s="7">
        <v>2022</v>
      </c>
      <c r="B1062" s="7" t="s">
        <v>788</v>
      </c>
      <c r="C1062" s="7">
        <v>23</v>
      </c>
      <c r="D1062" s="7" t="s">
        <v>1742</v>
      </c>
      <c r="E1062" s="7" t="s">
        <v>1743</v>
      </c>
      <c r="F1062" s="8">
        <v>80947</v>
      </c>
      <c r="G1062" s="8">
        <v>116649</v>
      </c>
      <c r="H1062" s="8">
        <v>674883.38</v>
      </c>
      <c r="I1062" s="8">
        <v>4789974.2300000004</v>
      </c>
      <c r="J1062" s="13">
        <v>0.40965910241098002</v>
      </c>
      <c r="K1062" s="13">
        <v>0.123495144459949</v>
      </c>
      <c r="L1062" s="7">
        <v>-1</v>
      </c>
      <c r="M1062" s="13">
        <v>0.33704347366109599</v>
      </c>
      <c r="N1062" s="13">
        <v>7.2615628749883596</v>
      </c>
      <c r="O1062" s="7">
        <v>1</v>
      </c>
      <c r="P1062" s="7" t="s">
        <v>160</v>
      </c>
      <c r="Q1062" s="7" t="str">
        <f t="shared" si="16"/>
        <v>Yes</v>
      </c>
    </row>
    <row r="1063" spans="1:17" ht="15" customHeight="1" x14ac:dyDescent="0.2">
      <c r="A1063" s="7">
        <v>2022</v>
      </c>
      <c r="B1063" s="7" t="s">
        <v>788</v>
      </c>
      <c r="C1063" s="7">
        <v>24</v>
      </c>
      <c r="D1063" s="7" t="s">
        <v>831</v>
      </c>
      <c r="E1063" s="7" t="s">
        <v>1318</v>
      </c>
      <c r="F1063" s="8">
        <v>119878</v>
      </c>
      <c r="G1063" s="8">
        <v>177947</v>
      </c>
      <c r="H1063" s="8">
        <v>133453.5</v>
      </c>
      <c r="I1063" s="8">
        <v>2751428.32</v>
      </c>
      <c r="J1063" s="13">
        <v>0.40251154201292699</v>
      </c>
      <c r="K1063" s="13">
        <v>4.6259607265298701E-2</v>
      </c>
      <c r="L1063" s="7">
        <v>-1</v>
      </c>
      <c r="M1063" s="13">
        <v>0.31154712460394002</v>
      </c>
      <c r="N1063" s="13">
        <v>9.0964417408986993</v>
      </c>
      <c r="O1063" s="7">
        <v>1</v>
      </c>
      <c r="P1063" s="7" t="s">
        <v>160</v>
      </c>
      <c r="Q1063" s="7" t="str">
        <f t="shared" si="16"/>
        <v>Yes</v>
      </c>
    </row>
    <row r="1064" spans="1:17" ht="15" customHeight="1" x14ac:dyDescent="0.2">
      <c r="A1064" s="7">
        <v>2022</v>
      </c>
      <c r="B1064" s="7" t="s">
        <v>788</v>
      </c>
      <c r="C1064" s="7">
        <v>27</v>
      </c>
      <c r="D1064" s="7" t="s">
        <v>1744</v>
      </c>
      <c r="E1064" s="7" t="s">
        <v>838</v>
      </c>
      <c r="F1064" s="8">
        <v>73611</v>
      </c>
      <c r="G1064" s="8">
        <v>133416</v>
      </c>
      <c r="H1064" s="8">
        <v>4082.97</v>
      </c>
      <c r="I1064" s="8">
        <v>1038677.52</v>
      </c>
      <c r="J1064" s="13">
        <v>0.355562317958527</v>
      </c>
      <c r="K1064" s="13">
        <v>3.9155396077578701E-3</v>
      </c>
      <c r="L1064" s="7">
        <v>-1</v>
      </c>
      <c r="M1064" s="13">
        <v>0.29756885541969602</v>
      </c>
      <c r="N1064" s="13">
        <v>5.7993462538831002</v>
      </c>
      <c r="O1064" s="7">
        <v>1</v>
      </c>
      <c r="P1064" s="7" t="s">
        <v>160</v>
      </c>
      <c r="Q1064" s="7" t="str">
        <f t="shared" si="16"/>
        <v>Yes</v>
      </c>
    </row>
    <row r="1065" spans="1:17" ht="15" customHeight="1" x14ac:dyDescent="0.2">
      <c r="A1065" s="7">
        <v>2022</v>
      </c>
      <c r="B1065" s="7" t="s">
        <v>788</v>
      </c>
      <c r="C1065" s="7">
        <v>28</v>
      </c>
      <c r="D1065" s="7" t="s">
        <v>1321</v>
      </c>
      <c r="E1065" s="7" t="s">
        <v>1745</v>
      </c>
      <c r="F1065" s="8">
        <v>93803</v>
      </c>
      <c r="G1065" s="8">
        <v>71778</v>
      </c>
      <c r="H1065" s="8">
        <v>17079202.300000001</v>
      </c>
      <c r="I1065" s="8">
        <v>13244491.880000001</v>
      </c>
      <c r="J1065" s="13">
        <v>0.56650823464044797</v>
      </c>
      <c r="K1065" s="13">
        <v>0.56322960516019804</v>
      </c>
      <c r="L1065" s="7">
        <v>1</v>
      </c>
      <c r="M1065" s="13">
        <v>0.56142671363848495</v>
      </c>
      <c r="N1065" s="13">
        <v>0.508152100196269</v>
      </c>
      <c r="O1065" s="7">
        <v>1</v>
      </c>
      <c r="P1065" s="7" t="s">
        <v>160</v>
      </c>
      <c r="Q1065" s="7" t="str">
        <f t="shared" si="16"/>
        <v>Yes</v>
      </c>
    </row>
    <row r="1066" spans="1:17" ht="15" customHeight="1" x14ac:dyDescent="0.2">
      <c r="A1066" s="7">
        <v>2022</v>
      </c>
      <c r="B1066" s="7" t="s">
        <v>788</v>
      </c>
      <c r="C1066" s="7">
        <v>30</v>
      </c>
      <c r="D1066" s="7" t="s">
        <v>1746</v>
      </c>
      <c r="E1066" s="7" t="s">
        <v>1747</v>
      </c>
      <c r="F1066" s="8">
        <v>134876</v>
      </c>
      <c r="G1066" s="8">
        <v>39209</v>
      </c>
      <c r="H1066" s="8">
        <v>3688498.4</v>
      </c>
      <c r="I1066" s="8">
        <v>90022.98</v>
      </c>
      <c r="J1066" s="13">
        <v>0.77477094522790602</v>
      </c>
      <c r="K1066" s="13">
        <v>0.97617507724675101</v>
      </c>
      <c r="L1066" s="7">
        <v>0</v>
      </c>
      <c r="M1066" s="13">
        <v>0.65813392617122102</v>
      </c>
      <c r="N1066" s="13">
        <v>11.6637019056685</v>
      </c>
      <c r="O1066" s="7">
        <v>1</v>
      </c>
      <c r="P1066" s="7" t="s">
        <v>160</v>
      </c>
      <c r="Q1066" s="7" t="str">
        <f t="shared" si="16"/>
        <v>Yes</v>
      </c>
    </row>
    <row r="1067" spans="1:17" ht="15" customHeight="1" x14ac:dyDescent="0.2">
      <c r="A1067" s="7">
        <v>2022</v>
      </c>
      <c r="B1067" s="7" t="s">
        <v>788</v>
      </c>
      <c r="C1067" s="7">
        <v>32</v>
      </c>
      <c r="D1067" s="7" t="s">
        <v>843</v>
      </c>
      <c r="E1067" s="7" t="s">
        <v>1748</v>
      </c>
      <c r="F1067" s="8">
        <v>116005</v>
      </c>
      <c r="G1067" s="8">
        <v>61494</v>
      </c>
      <c r="H1067" s="8">
        <v>1647260.02</v>
      </c>
      <c r="I1067" s="8">
        <v>2386424.9700000002</v>
      </c>
      <c r="J1067" s="13">
        <v>0.65355297776325505</v>
      </c>
      <c r="K1067" s="13">
        <v>0.40837596988454999</v>
      </c>
      <c r="L1067" s="7">
        <v>1</v>
      </c>
      <c r="M1067" s="13">
        <v>0.51030772772650601</v>
      </c>
      <c r="N1067" s="13">
        <v>14.324525003674999</v>
      </c>
      <c r="O1067" s="7">
        <v>1</v>
      </c>
      <c r="P1067" s="7" t="s">
        <v>160</v>
      </c>
      <c r="Q1067" s="7" t="str">
        <f t="shared" si="16"/>
        <v>Yes</v>
      </c>
    </row>
    <row r="1068" spans="1:17" ht="15" customHeight="1" x14ac:dyDescent="0.2">
      <c r="A1068" s="7">
        <v>2022</v>
      </c>
      <c r="B1068" s="7" t="s">
        <v>788</v>
      </c>
      <c r="C1068" s="7">
        <v>34</v>
      </c>
      <c r="D1068" s="7" t="s">
        <v>815</v>
      </c>
      <c r="E1068" s="7" t="s">
        <v>1749</v>
      </c>
      <c r="F1068" s="8">
        <v>70896</v>
      </c>
      <c r="G1068" s="8">
        <v>59464</v>
      </c>
      <c r="H1068" s="8">
        <v>9956703.4399999995</v>
      </c>
      <c r="I1068" s="8">
        <v>11901444.779999999</v>
      </c>
      <c r="J1068" s="13">
        <v>0.543847806075483</v>
      </c>
      <c r="K1068" s="13">
        <v>0.45551449920582499</v>
      </c>
      <c r="L1068" s="7">
        <v>0</v>
      </c>
      <c r="M1068" s="13">
        <v>0.48625781421285502</v>
      </c>
      <c r="N1068" s="13">
        <v>5.7589991862628098</v>
      </c>
      <c r="O1068" s="7">
        <v>0</v>
      </c>
      <c r="P1068" s="7" t="s">
        <v>160</v>
      </c>
      <c r="Q1068" s="7" t="str">
        <f t="shared" si="16"/>
        <v>Yes</v>
      </c>
    </row>
    <row r="1069" spans="1:17" ht="15" customHeight="1" x14ac:dyDescent="0.2">
      <c r="A1069" s="7">
        <v>2022</v>
      </c>
      <c r="B1069" s="7" t="s">
        <v>788</v>
      </c>
      <c r="C1069" s="7">
        <v>36</v>
      </c>
      <c r="D1069" s="7" t="s">
        <v>1750</v>
      </c>
      <c r="E1069" s="7" t="s">
        <v>852</v>
      </c>
      <c r="F1069" s="8">
        <v>64016</v>
      </c>
      <c r="G1069" s="8">
        <v>145599</v>
      </c>
      <c r="H1069" s="8">
        <v>78119.44</v>
      </c>
      <c r="I1069" s="8">
        <v>915820.07</v>
      </c>
      <c r="J1069" s="13">
        <v>0.30539799155594799</v>
      </c>
      <c r="K1069" s="13">
        <v>7.8595768871286803E-2</v>
      </c>
      <c r="L1069" s="7">
        <v>-1</v>
      </c>
      <c r="M1069" s="13">
        <v>0.32222166761122301</v>
      </c>
      <c r="N1069" s="13">
        <v>-1.6823676055275101</v>
      </c>
      <c r="O1069" s="7">
        <v>1</v>
      </c>
      <c r="P1069" s="7" t="s">
        <v>160</v>
      </c>
      <c r="Q1069" s="7" t="str">
        <f t="shared" si="16"/>
        <v>Yes</v>
      </c>
    </row>
    <row r="1070" spans="1:17" ht="15" customHeight="1" x14ac:dyDescent="0.2">
      <c r="A1070" s="7">
        <v>2022</v>
      </c>
      <c r="B1070" s="7" t="s">
        <v>788</v>
      </c>
      <c r="C1070" s="7">
        <v>37</v>
      </c>
      <c r="D1070" s="7" t="s">
        <v>849</v>
      </c>
      <c r="E1070" s="7" t="s">
        <v>1330</v>
      </c>
      <c r="F1070" s="8">
        <v>219358</v>
      </c>
      <c r="G1070" s="8">
        <v>59923</v>
      </c>
      <c r="H1070" s="8">
        <v>1293805.46</v>
      </c>
      <c r="I1070" s="8">
        <v>12737.54</v>
      </c>
      <c r="J1070" s="13">
        <v>0.78543832197678998</v>
      </c>
      <c r="K1070" s="13">
        <v>0.99025095997605905</v>
      </c>
      <c r="L1070" s="7">
        <v>1</v>
      </c>
      <c r="M1070" s="13">
        <v>0.70239142901045404</v>
      </c>
      <c r="N1070" s="13">
        <v>8.3046892966336401</v>
      </c>
      <c r="O1070" s="7">
        <v>1</v>
      </c>
      <c r="P1070" s="7" t="s">
        <v>160</v>
      </c>
      <c r="Q1070" s="7" t="str">
        <f t="shared" si="16"/>
        <v>Yes</v>
      </c>
    </row>
    <row r="1071" spans="1:17" ht="15" customHeight="1" x14ac:dyDescent="0.2">
      <c r="A1071" s="7">
        <v>2022</v>
      </c>
      <c r="B1071" s="7" t="s">
        <v>788</v>
      </c>
      <c r="C1071" s="7">
        <v>38</v>
      </c>
      <c r="D1071" s="7" t="s">
        <v>1751</v>
      </c>
      <c r="E1071" s="7" t="s">
        <v>1297</v>
      </c>
      <c r="F1071" s="8">
        <v>92302</v>
      </c>
      <c r="G1071" s="8">
        <v>163597</v>
      </c>
      <c r="H1071" s="8">
        <v>279116.25</v>
      </c>
      <c r="I1071" s="8">
        <v>5247881.2</v>
      </c>
      <c r="J1071" s="13">
        <v>0.36069699373580999</v>
      </c>
      <c r="K1071" s="13">
        <v>5.0500520856943801E-2</v>
      </c>
      <c r="L1071" s="7">
        <v>0</v>
      </c>
      <c r="M1071" s="13">
        <v>0.35255798975269897</v>
      </c>
      <c r="N1071" s="13">
        <v>0.81390039831112904</v>
      </c>
      <c r="O1071" s="7">
        <v>1</v>
      </c>
      <c r="P1071" s="7" t="s">
        <v>160</v>
      </c>
      <c r="Q1071" s="7" t="str">
        <f t="shared" si="16"/>
        <v>Yes</v>
      </c>
    </row>
    <row r="1072" spans="1:17" ht="15" customHeight="1" x14ac:dyDescent="0.2">
      <c r="A1072" s="7">
        <v>2022</v>
      </c>
      <c r="B1072" s="7" t="s">
        <v>853</v>
      </c>
      <c r="C1072" s="7">
        <v>3</v>
      </c>
      <c r="D1072" s="7" t="s">
        <v>1752</v>
      </c>
      <c r="E1072" s="7" t="s">
        <v>859</v>
      </c>
      <c r="F1072" s="8">
        <v>83687</v>
      </c>
      <c r="G1072" s="8">
        <v>182497</v>
      </c>
      <c r="H1072" s="8">
        <v>18660.189999999999</v>
      </c>
      <c r="I1072" s="8">
        <v>2315411.4700000002</v>
      </c>
      <c r="J1072" s="13">
        <v>0.31439530550296002</v>
      </c>
      <c r="K1072" s="13">
        <v>7.9946945587780292E-3</v>
      </c>
      <c r="L1072" s="7">
        <v>-1</v>
      </c>
      <c r="M1072" s="13">
        <v>0.29891543190853898</v>
      </c>
      <c r="N1072" s="13">
        <v>1.54798735944217</v>
      </c>
      <c r="O1072" s="7">
        <v>1</v>
      </c>
      <c r="P1072" s="7" t="s">
        <v>160</v>
      </c>
      <c r="Q1072" s="7" t="str">
        <f t="shared" si="16"/>
        <v>Yes</v>
      </c>
    </row>
    <row r="1073" spans="1:17" ht="15" customHeight="1" x14ac:dyDescent="0.2">
      <c r="A1073" s="7">
        <v>2022</v>
      </c>
      <c r="B1073" s="7" t="s">
        <v>862</v>
      </c>
      <c r="C1073" s="7">
        <v>1</v>
      </c>
      <c r="D1073" s="7" t="s">
        <v>1753</v>
      </c>
      <c r="E1073" s="7" t="s">
        <v>1754</v>
      </c>
      <c r="F1073" s="8">
        <v>147229</v>
      </c>
      <c r="G1073" s="8">
        <v>191828</v>
      </c>
      <c r="H1073" s="8">
        <v>67692.63</v>
      </c>
      <c r="I1073" s="8">
        <v>1842347.47</v>
      </c>
      <c r="J1073" s="13">
        <v>0.43423082254606199</v>
      </c>
      <c r="K1073" s="13">
        <v>3.5440423475925999E-2</v>
      </c>
      <c r="L1073" s="7">
        <v>-1</v>
      </c>
      <c r="M1073" s="13">
        <v>0.30797558621077598</v>
      </c>
      <c r="N1073" s="13">
        <v>12.6255236335286</v>
      </c>
      <c r="O1073" s="7">
        <v>1</v>
      </c>
      <c r="P1073" s="7" t="s">
        <v>160</v>
      </c>
      <c r="Q1073" s="7" t="str">
        <f t="shared" si="16"/>
        <v>Yes</v>
      </c>
    </row>
    <row r="1074" spans="1:17" ht="15" customHeight="1" x14ac:dyDescent="0.2">
      <c r="A1074" s="7">
        <v>2022</v>
      </c>
      <c r="B1074" s="7" t="s">
        <v>862</v>
      </c>
      <c r="C1074" s="7">
        <v>2</v>
      </c>
      <c r="D1074" s="7" t="s">
        <v>865</v>
      </c>
      <c r="E1074" s="7" t="s">
        <v>1755</v>
      </c>
      <c r="F1074" s="8">
        <v>143219</v>
      </c>
      <c r="G1074" s="8">
        <v>153328</v>
      </c>
      <c r="H1074" s="8">
        <v>15864250.560000001</v>
      </c>
      <c r="I1074" s="8">
        <v>11877577.539999999</v>
      </c>
      <c r="J1074" s="13">
        <v>0.482955484290854</v>
      </c>
      <c r="K1074" s="13">
        <v>0.57185310581605098</v>
      </c>
      <c r="L1074" s="7">
        <v>1</v>
      </c>
      <c r="M1074" s="13">
        <v>0.56427343149405096</v>
      </c>
      <c r="N1074" s="13">
        <v>-8.1317947203196805</v>
      </c>
      <c r="O1074" s="7">
        <v>0</v>
      </c>
      <c r="P1074" s="7" t="s">
        <v>160</v>
      </c>
      <c r="Q1074" s="7" t="str">
        <f t="shared" si="16"/>
        <v>Yes</v>
      </c>
    </row>
    <row r="1075" spans="1:17" ht="15" customHeight="1" x14ac:dyDescent="0.2">
      <c r="A1075" s="7">
        <v>2022</v>
      </c>
      <c r="B1075" s="7" t="s">
        <v>862</v>
      </c>
      <c r="C1075" s="7">
        <v>3</v>
      </c>
      <c r="D1075" s="7" t="s">
        <v>1339</v>
      </c>
      <c r="E1075" s="7" t="s">
        <v>1756</v>
      </c>
      <c r="F1075" s="8">
        <v>139659</v>
      </c>
      <c r="G1075" s="8">
        <v>67668</v>
      </c>
      <c r="H1075" s="8">
        <v>856048.57</v>
      </c>
      <c r="I1075" s="8">
        <v>182447.35999999999</v>
      </c>
      <c r="J1075" s="13">
        <v>0.67361703974880305</v>
      </c>
      <c r="K1075" s="13">
        <v>0.82431576790098704</v>
      </c>
      <c r="L1075" s="7">
        <v>1</v>
      </c>
      <c r="M1075" s="13">
        <v>0.64761429232336198</v>
      </c>
      <c r="N1075" s="13">
        <v>2.6002747425440198</v>
      </c>
      <c r="O1075" s="7">
        <v>1</v>
      </c>
      <c r="P1075" s="7" t="s">
        <v>160</v>
      </c>
      <c r="Q1075" s="7" t="str">
        <f t="shared" si="16"/>
        <v>Yes</v>
      </c>
    </row>
    <row r="1076" spans="1:17" ht="15" customHeight="1" x14ac:dyDescent="0.2">
      <c r="A1076" s="7">
        <v>2022</v>
      </c>
      <c r="B1076" s="7" t="s">
        <v>862</v>
      </c>
      <c r="C1076" s="7">
        <v>4</v>
      </c>
      <c r="D1076" s="7" t="s">
        <v>867</v>
      </c>
      <c r="E1076" s="7" t="s">
        <v>1341</v>
      </c>
      <c r="F1076" s="8">
        <v>159044</v>
      </c>
      <c r="G1076" s="8">
        <v>85503</v>
      </c>
      <c r="H1076" s="8">
        <v>1041307.76</v>
      </c>
      <c r="I1076" s="8">
        <v>410688.15</v>
      </c>
      <c r="J1076" s="13">
        <v>0.65036168916404602</v>
      </c>
      <c r="K1076" s="13">
        <v>0.71715612477172896</v>
      </c>
      <c r="L1076" s="7">
        <v>1</v>
      </c>
      <c r="M1076" s="13">
        <v>0.61223964788762597</v>
      </c>
      <c r="N1076" s="13">
        <v>3.8122041276420502</v>
      </c>
      <c r="O1076" s="7">
        <v>1</v>
      </c>
      <c r="P1076" s="7" t="s">
        <v>160</v>
      </c>
      <c r="Q1076" s="7" t="str">
        <f t="shared" si="16"/>
        <v>Yes</v>
      </c>
    </row>
    <row r="1077" spans="1:17" ht="15" customHeight="1" x14ac:dyDescent="0.2">
      <c r="A1077" s="7">
        <v>2022</v>
      </c>
      <c r="B1077" s="7" t="s">
        <v>862</v>
      </c>
      <c r="C1077" s="7">
        <v>5</v>
      </c>
      <c r="D1077" s="7" t="s">
        <v>1757</v>
      </c>
      <c r="E1077" s="7" t="s">
        <v>1343</v>
      </c>
      <c r="F1077" s="8">
        <v>129996</v>
      </c>
      <c r="G1077" s="8">
        <v>177191</v>
      </c>
      <c r="H1077" s="8">
        <v>868705.82</v>
      </c>
      <c r="I1077" s="8">
        <v>1240624.8799999999</v>
      </c>
      <c r="J1077" s="13">
        <v>0.42318197059120299</v>
      </c>
      <c r="K1077" s="13">
        <v>0.41183955650007897</v>
      </c>
      <c r="L1077" s="7">
        <v>-1</v>
      </c>
      <c r="M1077" s="13">
        <v>0.43222931744603299</v>
      </c>
      <c r="N1077" s="13">
        <v>-0.90473468548298297</v>
      </c>
      <c r="O1077" s="7">
        <v>1</v>
      </c>
      <c r="P1077" s="7" t="s">
        <v>160</v>
      </c>
      <c r="Q1077" s="7" t="str">
        <f t="shared" si="16"/>
        <v>Yes</v>
      </c>
    </row>
    <row r="1078" spans="1:17" ht="15" customHeight="1" x14ac:dyDescent="0.2">
      <c r="A1078" s="7">
        <v>2022</v>
      </c>
      <c r="B1078" s="7" t="s">
        <v>862</v>
      </c>
      <c r="C1078" s="7">
        <v>6</v>
      </c>
      <c r="D1078" s="7" t="s">
        <v>871</v>
      </c>
      <c r="E1078" s="7" t="s">
        <v>872</v>
      </c>
      <c r="F1078" s="8">
        <v>95410</v>
      </c>
      <c r="G1078" s="8">
        <v>173352</v>
      </c>
      <c r="H1078" s="8">
        <v>159590.01999999999</v>
      </c>
      <c r="I1078" s="8">
        <v>965472.54</v>
      </c>
      <c r="J1078" s="13">
        <v>0.35499810241031099</v>
      </c>
      <c r="K1078" s="13">
        <v>0.14184990743981399</v>
      </c>
      <c r="L1078" s="7">
        <v>-1</v>
      </c>
      <c r="M1078" s="13">
        <v>0.34310259438186802</v>
      </c>
      <c r="N1078" s="13">
        <v>1.18955080284433</v>
      </c>
      <c r="O1078" s="7">
        <v>1</v>
      </c>
      <c r="P1078" s="7" t="s">
        <v>160</v>
      </c>
      <c r="Q1078" s="7" t="str">
        <f t="shared" si="16"/>
        <v>Yes</v>
      </c>
    </row>
    <row r="1079" spans="1:17" ht="15" customHeight="1" x14ac:dyDescent="0.2">
      <c r="A1079" s="7">
        <v>2022</v>
      </c>
      <c r="B1079" s="7" t="s">
        <v>862</v>
      </c>
      <c r="C1079" s="7">
        <v>7</v>
      </c>
      <c r="D1079" s="7" t="s">
        <v>873</v>
      </c>
      <c r="E1079" s="7" t="s">
        <v>1758</v>
      </c>
      <c r="F1079" s="8">
        <v>143357</v>
      </c>
      <c r="G1079" s="8">
        <v>130586</v>
      </c>
      <c r="H1079" s="8">
        <v>21531698.879999999</v>
      </c>
      <c r="I1079" s="8">
        <v>15140370.880000001</v>
      </c>
      <c r="J1079" s="13">
        <v>0.52330959360158902</v>
      </c>
      <c r="K1079" s="13">
        <v>0.58714163178991496</v>
      </c>
      <c r="L1079" s="7">
        <v>1</v>
      </c>
      <c r="M1079" s="13">
        <v>0.56932035171960305</v>
      </c>
      <c r="N1079" s="13">
        <v>-4.6010758118014303</v>
      </c>
      <c r="O1079" s="7">
        <v>1</v>
      </c>
      <c r="P1079" s="7" t="s">
        <v>160</v>
      </c>
      <c r="Q1079" s="7" t="str">
        <f t="shared" si="16"/>
        <v>Yes</v>
      </c>
    </row>
    <row r="1080" spans="1:17" ht="15" customHeight="1" x14ac:dyDescent="0.2">
      <c r="A1080" s="7">
        <v>2022</v>
      </c>
      <c r="B1080" s="7" t="s">
        <v>862</v>
      </c>
      <c r="C1080" s="7">
        <v>8</v>
      </c>
      <c r="D1080" s="7" t="s">
        <v>875</v>
      </c>
      <c r="E1080" s="7" t="s">
        <v>1759</v>
      </c>
      <c r="F1080" s="8">
        <v>197760</v>
      </c>
      <c r="G1080" s="8">
        <v>66589</v>
      </c>
      <c r="H1080" s="8">
        <v>2165100.0699999998</v>
      </c>
      <c r="I1080" s="8">
        <v>284041.8</v>
      </c>
      <c r="J1080" s="13">
        <v>0.74810194099466998</v>
      </c>
      <c r="K1080" s="13">
        <v>0.88402394998865497</v>
      </c>
      <c r="L1080" s="7">
        <v>1</v>
      </c>
      <c r="M1080" s="13">
        <v>0.66732465762112403</v>
      </c>
      <c r="N1080" s="13">
        <v>8.0777283373545998</v>
      </c>
      <c r="O1080" s="7">
        <v>1</v>
      </c>
      <c r="P1080" s="7" t="s">
        <v>160</v>
      </c>
      <c r="Q1080" s="7" t="str">
        <f t="shared" si="16"/>
        <v>Yes</v>
      </c>
    </row>
    <row r="1081" spans="1:17" ht="15" customHeight="1" x14ac:dyDescent="0.2">
      <c r="A1081" s="7">
        <v>2022</v>
      </c>
      <c r="B1081" s="7" t="s">
        <v>862</v>
      </c>
      <c r="C1081" s="7">
        <v>9</v>
      </c>
      <c r="D1081" s="7" t="s">
        <v>1760</v>
      </c>
      <c r="E1081" s="7" t="s">
        <v>878</v>
      </c>
      <c r="F1081" s="8">
        <v>66027</v>
      </c>
      <c r="G1081" s="8">
        <v>182207</v>
      </c>
      <c r="H1081" s="8">
        <v>56161.45</v>
      </c>
      <c r="I1081" s="8">
        <v>646083.73</v>
      </c>
      <c r="J1081" s="13">
        <v>0.26598693168542598</v>
      </c>
      <c r="K1081" s="13">
        <v>7.9974133820327503E-2</v>
      </c>
      <c r="L1081" s="7">
        <v>-1</v>
      </c>
      <c r="M1081" s="13">
        <v>0.32267668191092702</v>
      </c>
      <c r="N1081" s="13">
        <v>-5.6689750225501196</v>
      </c>
      <c r="O1081" s="7">
        <v>1</v>
      </c>
      <c r="P1081" s="7" t="s">
        <v>160</v>
      </c>
      <c r="Q1081" s="7" t="str">
        <f t="shared" si="16"/>
        <v>Yes</v>
      </c>
    </row>
    <row r="1082" spans="1:17" ht="15" customHeight="1" x14ac:dyDescent="0.2">
      <c r="A1082" s="7">
        <v>2022</v>
      </c>
      <c r="B1082" s="7" t="s">
        <v>862</v>
      </c>
      <c r="C1082" s="7">
        <v>10</v>
      </c>
      <c r="D1082" s="7" t="s">
        <v>879</v>
      </c>
      <c r="E1082" s="7" t="s">
        <v>1761</v>
      </c>
      <c r="F1082" s="8">
        <v>157405</v>
      </c>
      <c r="G1082" s="8">
        <v>138163</v>
      </c>
      <c r="H1082" s="8">
        <v>5844013.6500000004</v>
      </c>
      <c r="I1082" s="8">
        <v>3391128.16</v>
      </c>
      <c r="J1082" s="13">
        <v>0.53255088507551596</v>
      </c>
      <c r="K1082" s="13">
        <v>0.63280172305226401</v>
      </c>
      <c r="L1082" s="7">
        <v>1</v>
      </c>
      <c r="M1082" s="13">
        <v>0.58439327886028603</v>
      </c>
      <c r="N1082" s="13">
        <v>-5.1842393784769998</v>
      </c>
      <c r="O1082" s="7">
        <v>1</v>
      </c>
      <c r="P1082" s="7" t="s">
        <v>160</v>
      </c>
      <c r="Q1082" s="7" t="str">
        <f t="shared" si="16"/>
        <v>Yes</v>
      </c>
    </row>
    <row r="1083" spans="1:17" ht="15" customHeight="1" x14ac:dyDescent="0.2">
      <c r="A1083" s="7">
        <v>2022</v>
      </c>
      <c r="B1083" s="7" t="s">
        <v>862</v>
      </c>
      <c r="C1083" s="7">
        <v>11</v>
      </c>
      <c r="D1083" s="7" t="s">
        <v>1348</v>
      </c>
      <c r="E1083" s="7" t="s">
        <v>1762</v>
      </c>
      <c r="F1083" s="8">
        <v>193190</v>
      </c>
      <c r="G1083" s="8">
        <v>95634</v>
      </c>
      <c r="H1083" s="8">
        <v>1911841.6</v>
      </c>
      <c r="I1083" s="8">
        <v>235273.48</v>
      </c>
      <c r="J1083" s="13">
        <v>0.66888485721408197</v>
      </c>
      <c r="K1083" s="13">
        <v>0.89042344204484802</v>
      </c>
      <c r="L1083" s="7">
        <v>1</v>
      </c>
      <c r="M1083" s="13">
        <v>0.66943720437330101</v>
      </c>
      <c r="N1083" s="13">
        <v>-5.5234715921925803E-2</v>
      </c>
      <c r="O1083" s="7">
        <v>1</v>
      </c>
      <c r="P1083" s="7" t="s">
        <v>160</v>
      </c>
      <c r="Q1083" s="7" t="str">
        <f t="shared" si="16"/>
        <v>Yes</v>
      </c>
    </row>
    <row r="1084" spans="1:17" ht="15" customHeight="1" x14ac:dyDescent="0.2">
      <c r="A1084" s="7">
        <v>2022</v>
      </c>
      <c r="B1084" s="7" t="s">
        <v>883</v>
      </c>
      <c r="C1084" s="7">
        <v>0</v>
      </c>
      <c r="D1084" s="7" t="s">
        <v>1763</v>
      </c>
      <c r="E1084" s="7" t="s">
        <v>1764</v>
      </c>
      <c r="F1084" s="8">
        <v>176494</v>
      </c>
      <c r="G1084" s="8">
        <v>78397</v>
      </c>
      <c r="H1084" s="8">
        <v>3251585.9</v>
      </c>
      <c r="I1084" s="8">
        <v>42114.66</v>
      </c>
      <c r="J1084" s="13">
        <v>0.69242931292199394</v>
      </c>
      <c r="K1084" s="13">
        <v>0.98721357353747996</v>
      </c>
      <c r="L1084" s="7">
        <v>0</v>
      </c>
      <c r="M1084" s="13">
        <v>0.66177786217163104</v>
      </c>
      <c r="N1084" s="13">
        <v>3.0651450750363498</v>
      </c>
      <c r="O1084" s="7">
        <v>1</v>
      </c>
      <c r="P1084" s="7" t="s">
        <v>160</v>
      </c>
      <c r="Q1084" s="7" t="str">
        <f t="shared" si="16"/>
        <v>Yes</v>
      </c>
    </row>
    <row r="1085" spans="1:17" ht="15" customHeight="1" x14ac:dyDescent="0.2">
      <c r="A1085" s="7">
        <v>2022</v>
      </c>
      <c r="B1085" s="7" t="s">
        <v>886</v>
      </c>
      <c r="C1085" s="7">
        <v>1</v>
      </c>
      <c r="D1085" s="7" t="s">
        <v>887</v>
      </c>
      <c r="E1085" s="7" t="s">
        <v>1765</v>
      </c>
      <c r="F1085" s="8">
        <v>181992</v>
      </c>
      <c r="G1085" s="8">
        <v>104329</v>
      </c>
      <c r="H1085" s="8">
        <v>3163341.21</v>
      </c>
      <c r="I1085" s="8">
        <v>179497.73</v>
      </c>
      <c r="J1085" s="13">
        <v>0.63562225613908896</v>
      </c>
      <c r="K1085" s="13">
        <v>0.94630380547140602</v>
      </c>
      <c r="L1085" s="7">
        <v>1</v>
      </c>
      <c r="M1085" s="13">
        <v>0.68788396221449499</v>
      </c>
      <c r="N1085" s="13">
        <v>-5.2261706075406797</v>
      </c>
      <c r="O1085" s="7">
        <v>1</v>
      </c>
      <c r="P1085" s="7" t="s">
        <v>160</v>
      </c>
      <c r="Q1085" s="7" t="str">
        <f t="shared" si="16"/>
        <v>Yes</v>
      </c>
    </row>
    <row r="1086" spans="1:17" ht="15" customHeight="1" x14ac:dyDescent="0.2">
      <c r="A1086" s="7">
        <v>2022</v>
      </c>
      <c r="B1086" s="7" t="s">
        <v>886</v>
      </c>
      <c r="C1086" s="7">
        <v>2</v>
      </c>
      <c r="D1086" s="7" t="s">
        <v>1351</v>
      </c>
      <c r="E1086" s="7" t="s">
        <v>1766</v>
      </c>
      <c r="F1086" s="8">
        <v>202980</v>
      </c>
      <c r="G1086" s="8">
        <v>134335</v>
      </c>
      <c r="H1086" s="8">
        <v>1766686.91</v>
      </c>
      <c r="I1086" s="8">
        <v>145529.16</v>
      </c>
      <c r="J1086" s="13">
        <v>0.60175207150586296</v>
      </c>
      <c r="K1086" s="13">
        <v>0.923895023013796</v>
      </c>
      <c r="L1086" s="7">
        <v>1</v>
      </c>
      <c r="M1086" s="13">
        <v>0.68048656251692896</v>
      </c>
      <c r="N1086" s="13">
        <v>-7.8734491011066199</v>
      </c>
      <c r="O1086" s="7">
        <v>1</v>
      </c>
      <c r="P1086" s="7" t="s">
        <v>160</v>
      </c>
      <c r="Q1086" s="7" t="str">
        <f t="shared" si="16"/>
        <v>Yes</v>
      </c>
    </row>
    <row r="1087" spans="1:17" ht="15" customHeight="1" x14ac:dyDescent="0.2">
      <c r="A1087" s="7">
        <v>2022</v>
      </c>
      <c r="B1087" s="7" t="s">
        <v>886</v>
      </c>
      <c r="C1087" s="7">
        <v>3</v>
      </c>
      <c r="D1087" s="7" t="s">
        <v>1767</v>
      </c>
      <c r="E1087" s="7" t="s">
        <v>1768</v>
      </c>
      <c r="F1087" s="8">
        <v>160323</v>
      </c>
      <c r="G1087" s="8">
        <v>157690</v>
      </c>
      <c r="H1087" s="8">
        <v>7435593.6299999999</v>
      </c>
      <c r="I1087" s="8">
        <v>4016397.41</v>
      </c>
      <c r="J1087" s="13">
        <v>0.50413976787112502</v>
      </c>
      <c r="K1087" s="13">
        <v>0.64928391962835497</v>
      </c>
      <c r="L1087" s="7">
        <v>0</v>
      </c>
      <c r="M1087" s="13">
        <v>0.55022335338227701</v>
      </c>
      <c r="N1087" s="13">
        <v>-4.6083585511151703</v>
      </c>
      <c r="O1087" s="7">
        <v>1</v>
      </c>
      <c r="P1087" s="7" t="s">
        <v>160</v>
      </c>
      <c r="Q1087" s="7" t="str">
        <f t="shared" si="16"/>
        <v>Yes</v>
      </c>
    </row>
    <row r="1088" spans="1:17" ht="15" customHeight="1" x14ac:dyDescent="0.2">
      <c r="A1088" s="7">
        <v>2022</v>
      </c>
      <c r="B1088" s="7" t="s">
        <v>886</v>
      </c>
      <c r="C1088" s="7">
        <v>4</v>
      </c>
      <c r="D1088" s="7" t="s">
        <v>1769</v>
      </c>
      <c r="E1088" s="7" t="s">
        <v>892</v>
      </c>
      <c r="F1088" s="8">
        <v>70710</v>
      </c>
      <c r="G1088" s="8">
        <v>150619</v>
      </c>
      <c r="H1088" s="8">
        <v>752778.95</v>
      </c>
      <c r="I1088" s="8">
        <v>3509108.16</v>
      </c>
      <c r="J1088" s="13">
        <v>0.31947914642907199</v>
      </c>
      <c r="K1088" s="13">
        <v>0.17663042933110401</v>
      </c>
      <c r="L1088" s="7">
        <v>-1</v>
      </c>
      <c r="M1088" s="13">
        <v>0.35458404914660302</v>
      </c>
      <c r="N1088" s="13">
        <v>-3.5104902717531399</v>
      </c>
      <c r="O1088" s="7">
        <v>1</v>
      </c>
      <c r="P1088" s="7" t="s">
        <v>160</v>
      </c>
      <c r="Q1088" s="7" t="str">
        <f t="shared" si="16"/>
        <v>Yes</v>
      </c>
    </row>
    <row r="1089" spans="1:17" ht="15" customHeight="1" x14ac:dyDescent="0.2">
      <c r="A1089" s="7">
        <v>2022</v>
      </c>
      <c r="B1089" s="7" t="s">
        <v>886</v>
      </c>
      <c r="C1089" s="7">
        <v>5</v>
      </c>
      <c r="D1089" s="7" t="s">
        <v>1770</v>
      </c>
      <c r="E1089" s="7" t="s">
        <v>1771</v>
      </c>
      <c r="F1089" s="8">
        <v>127585</v>
      </c>
      <c r="G1089" s="8">
        <v>188648</v>
      </c>
      <c r="H1089" s="8">
        <v>378926.92</v>
      </c>
      <c r="I1089" s="8">
        <v>6488600.6500000004</v>
      </c>
      <c r="J1089" s="13">
        <v>0.40345251760569001</v>
      </c>
      <c r="K1089" s="13">
        <v>5.5176614310992897E-2</v>
      </c>
      <c r="L1089" s="7">
        <v>-1</v>
      </c>
      <c r="M1089" s="13">
        <v>0.31449073233219599</v>
      </c>
      <c r="N1089" s="13">
        <v>8.8961785273493792</v>
      </c>
      <c r="O1089" s="7">
        <v>1</v>
      </c>
      <c r="P1089" s="7" t="s">
        <v>160</v>
      </c>
      <c r="Q1089" s="7" t="str">
        <f t="shared" si="16"/>
        <v>Yes</v>
      </c>
    </row>
    <row r="1090" spans="1:17" ht="15" customHeight="1" x14ac:dyDescent="0.2">
      <c r="A1090" s="7">
        <v>2022</v>
      </c>
      <c r="B1090" s="7" t="s">
        <v>886</v>
      </c>
      <c r="C1090" s="7">
        <v>6</v>
      </c>
      <c r="D1090" s="7" t="s">
        <v>895</v>
      </c>
      <c r="E1090" s="7" t="s">
        <v>1356</v>
      </c>
      <c r="F1090" s="8">
        <v>208710</v>
      </c>
      <c r="G1090" s="8">
        <v>138754</v>
      </c>
      <c r="H1090" s="8">
        <v>4477058.38</v>
      </c>
      <c r="I1090" s="8">
        <v>430681.47</v>
      </c>
      <c r="J1090" s="13">
        <v>0.600666543872171</v>
      </c>
      <c r="K1090" s="13">
        <v>0.91224443773237096</v>
      </c>
      <c r="L1090" s="7">
        <v>1</v>
      </c>
      <c r="M1090" s="13">
        <v>0.67664056882225498</v>
      </c>
      <c r="N1090" s="13">
        <v>-7.5974024950083896</v>
      </c>
      <c r="O1090" s="7">
        <v>1</v>
      </c>
      <c r="P1090" s="7" t="s">
        <v>160</v>
      </c>
      <c r="Q1090" s="7" t="str">
        <f t="shared" si="16"/>
        <v>Yes</v>
      </c>
    </row>
    <row r="1091" spans="1:17" ht="15" customHeight="1" x14ac:dyDescent="0.2">
      <c r="A1091" s="7">
        <v>2022</v>
      </c>
      <c r="B1091" s="7" t="s">
        <v>886</v>
      </c>
      <c r="C1091" s="7">
        <v>7</v>
      </c>
      <c r="D1091" s="7" t="s">
        <v>897</v>
      </c>
      <c r="E1091" s="7" t="s">
        <v>1772</v>
      </c>
      <c r="F1091" s="8">
        <v>295998</v>
      </c>
      <c r="G1091" s="8">
        <v>49207</v>
      </c>
      <c r="H1091" s="8">
        <v>2189272.96</v>
      </c>
      <c r="I1091" s="8">
        <v>21118.12</v>
      </c>
      <c r="J1091" s="13">
        <v>0.85745571472023896</v>
      </c>
      <c r="K1091" s="13">
        <v>0.99044598026517605</v>
      </c>
      <c r="L1091" s="7">
        <v>1</v>
      </c>
      <c r="M1091" s="13">
        <v>0.70245580747592695</v>
      </c>
      <c r="N1091" s="13">
        <v>15.4999907244312</v>
      </c>
      <c r="O1091" s="7">
        <v>1</v>
      </c>
      <c r="P1091" s="7" t="s">
        <v>160</v>
      </c>
      <c r="Q1091" s="7" t="str">
        <f t="shared" si="16"/>
        <v>Yes</v>
      </c>
    </row>
    <row r="1092" spans="1:17" ht="15" customHeight="1" x14ac:dyDescent="0.2">
      <c r="A1092" s="7">
        <v>2022</v>
      </c>
      <c r="B1092" s="7" t="s">
        <v>886</v>
      </c>
      <c r="C1092" s="7">
        <v>8</v>
      </c>
      <c r="D1092" s="7" t="s">
        <v>1357</v>
      </c>
      <c r="E1092" s="7" t="s">
        <v>1773</v>
      </c>
      <c r="F1092" s="8">
        <v>179003</v>
      </c>
      <c r="G1092" s="8">
        <v>155976</v>
      </c>
      <c r="H1092" s="8">
        <v>19523733.18</v>
      </c>
      <c r="I1092" s="8">
        <v>11386865.029999999</v>
      </c>
      <c r="J1092" s="13">
        <v>0.53437081130458897</v>
      </c>
      <c r="K1092" s="13">
        <v>0.63161938980798504</v>
      </c>
      <c r="L1092" s="7">
        <v>1</v>
      </c>
      <c r="M1092" s="13">
        <v>0.58400297690612102</v>
      </c>
      <c r="N1092" s="13">
        <v>-4.9632165601532101</v>
      </c>
      <c r="O1092" s="7">
        <v>1</v>
      </c>
      <c r="P1092" s="7" t="s">
        <v>160</v>
      </c>
      <c r="Q1092" s="7" t="str">
        <f t="shared" ref="Q1092:Q1117" si="17">IF(A1092=2024,"No -- held out","Yes")</f>
        <v>Yes</v>
      </c>
    </row>
    <row r="1093" spans="1:17" ht="15" customHeight="1" x14ac:dyDescent="0.2">
      <c r="A1093" s="7">
        <v>2022</v>
      </c>
      <c r="B1093" s="7" t="s">
        <v>886</v>
      </c>
      <c r="C1093" s="7">
        <v>9</v>
      </c>
      <c r="D1093" s="7" t="s">
        <v>1359</v>
      </c>
      <c r="E1093" s="7" t="s">
        <v>1360</v>
      </c>
      <c r="F1093" s="8">
        <v>171746</v>
      </c>
      <c r="G1093" s="8">
        <v>67631</v>
      </c>
      <c r="H1093" s="8">
        <v>1379157.93</v>
      </c>
      <c r="I1093" s="8">
        <v>138208.97</v>
      </c>
      <c r="J1093" s="13">
        <v>0.71747076786825803</v>
      </c>
      <c r="K1093" s="13">
        <v>0.90891525971734299</v>
      </c>
      <c r="L1093" s="7">
        <v>1</v>
      </c>
      <c r="M1093" s="13">
        <v>0.67554156844201996</v>
      </c>
      <c r="N1093" s="13">
        <v>4.1929199426238002</v>
      </c>
      <c r="O1093" s="7">
        <v>1</v>
      </c>
      <c r="P1093" s="7" t="s">
        <v>160</v>
      </c>
      <c r="Q1093" s="7" t="str">
        <f t="shared" si="17"/>
        <v>Yes</v>
      </c>
    </row>
    <row r="1094" spans="1:17" ht="15" customHeight="1" x14ac:dyDescent="0.2">
      <c r="A1094" s="7">
        <v>2022</v>
      </c>
      <c r="B1094" s="7" t="s">
        <v>886</v>
      </c>
      <c r="C1094" s="7">
        <v>10</v>
      </c>
      <c r="D1094" s="7" t="s">
        <v>1774</v>
      </c>
      <c r="E1094" s="7" t="s">
        <v>1775</v>
      </c>
      <c r="F1094" s="8">
        <v>152544</v>
      </c>
      <c r="G1094" s="8">
        <v>114777</v>
      </c>
      <c r="H1094" s="8">
        <v>1485343.24</v>
      </c>
      <c r="I1094" s="8">
        <v>186835.18</v>
      </c>
      <c r="J1094" s="13">
        <v>0.57063979260888598</v>
      </c>
      <c r="K1094" s="13">
        <v>0.888268394230324</v>
      </c>
      <c r="L1094" s="7">
        <v>1</v>
      </c>
      <c r="M1094" s="13">
        <v>0.66872579802708099</v>
      </c>
      <c r="N1094" s="13">
        <v>-9.8086005418195299</v>
      </c>
      <c r="O1094" s="7">
        <v>1</v>
      </c>
      <c r="P1094" s="7" t="s">
        <v>160</v>
      </c>
      <c r="Q1094" s="7" t="str">
        <f t="shared" si="17"/>
        <v>Yes</v>
      </c>
    </row>
    <row r="1095" spans="1:17" ht="15" customHeight="1" x14ac:dyDescent="0.2">
      <c r="A1095" s="7">
        <v>2022</v>
      </c>
      <c r="B1095" s="7" t="s">
        <v>901</v>
      </c>
      <c r="C1095" s="7">
        <v>1</v>
      </c>
      <c r="D1095" s="7" t="s">
        <v>1776</v>
      </c>
      <c r="E1095" s="7" t="s">
        <v>903</v>
      </c>
      <c r="F1095" s="8">
        <v>135825</v>
      </c>
      <c r="G1095" s="8">
        <v>162610</v>
      </c>
      <c r="H1095" s="8">
        <v>814276.45</v>
      </c>
      <c r="I1095" s="8">
        <v>2495191.9</v>
      </c>
      <c r="J1095" s="13">
        <v>0.45512423140717401</v>
      </c>
      <c r="K1095" s="13">
        <v>0.24604448929085601</v>
      </c>
      <c r="L1095" s="7">
        <v>-1</v>
      </c>
      <c r="M1095" s="13">
        <v>0.37749843760677398</v>
      </c>
      <c r="N1095" s="13">
        <v>7.7625793800400196</v>
      </c>
      <c r="O1095" s="7">
        <v>1</v>
      </c>
      <c r="P1095" s="7" t="s">
        <v>160</v>
      </c>
      <c r="Q1095" s="7" t="str">
        <f t="shared" si="17"/>
        <v>Yes</v>
      </c>
    </row>
    <row r="1096" spans="1:17" ht="15" customHeight="1" x14ac:dyDescent="0.2">
      <c r="A1096" s="7">
        <v>2022</v>
      </c>
      <c r="B1096" s="7" t="s">
        <v>901</v>
      </c>
      <c r="C1096" s="7">
        <v>2</v>
      </c>
      <c r="D1096" s="7" t="s">
        <v>1362</v>
      </c>
      <c r="E1096" s="7" t="s">
        <v>1777</v>
      </c>
      <c r="F1096" s="8">
        <v>268740</v>
      </c>
      <c r="G1096" s="8">
        <v>101890</v>
      </c>
      <c r="H1096" s="8">
        <v>1002231.09</v>
      </c>
      <c r="I1096" s="8">
        <v>87588.21</v>
      </c>
      <c r="J1096" s="13">
        <v>0.72508971211180995</v>
      </c>
      <c r="K1096" s="13">
        <v>0.91963052039911597</v>
      </c>
      <c r="L1096" s="7">
        <v>1</v>
      </c>
      <c r="M1096" s="13">
        <v>0.67907880060876702</v>
      </c>
      <c r="N1096" s="13">
        <v>4.6010911503042697</v>
      </c>
      <c r="O1096" s="7">
        <v>1</v>
      </c>
      <c r="P1096" s="7" t="s">
        <v>160</v>
      </c>
      <c r="Q1096" s="7" t="str">
        <f t="shared" si="17"/>
        <v>Yes</v>
      </c>
    </row>
    <row r="1097" spans="1:17" ht="15" customHeight="1" x14ac:dyDescent="0.2">
      <c r="A1097" s="7">
        <v>2022</v>
      </c>
      <c r="B1097" s="7" t="s">
        <v>901</v>
      </c>
      <c r="C1097" s="7">
        <v>3</v>
      </c>
      <c r="D1097" s="7" t="s">
        <v>1778</v>
      </c>
      <c r="E1097" s="7" t="s">
        <v>1779</v>
      </c>
      <c r="F1097" s="8">
        <v>152977</v>
      </c>
      <c r="G1097" s="8">
        <v>164743</v>
      </c>
      <c r="H1097" s="8">
        <v>2513137.73</v>
      </c>
      <c r="I1097" s="8">
        <v>7713777.8200000003</v>
      </c>
      <c r="J1097" s="13">
        <v>0.48148369633639698</v>
      </c>
      <c r="K1097" s="13">
        <v>0.24573760462899299</v>
      </c>
      <c r="L1097" s="7">
        <v>0</v>
      </c>
      <c r="M1097" s="13">
        <v>0.41700802166233902</v>
      </c>
      <c r="N1097" s="13">
        <v>6.4475674674057704</v>
      </c>
      <c r="O1097" s="7">
        <v>1</v>
      </c>
      <c r="P1097" s="7" t="s">
        <v>160</v>
      </c>
      <c r="Q1097" s="7" t="str">
        <f t="shared" si="17"/>
        <v>Yes</v>
      </c>
    </row>
    <row r="1098" spans="1:17" ht="15" customHeight="1" x14ac:dyDescent="0.2">
      <c r="A1098" s="7">
        <v>2022</v>
      </c>
      <c r="B1098" s="7" t="s">
        <v>901</v>
      </c>
      <c r="C1098" s="7">
        <v>4</v>
      </c>
      <c r="D1098" s="7" t="s">
        <v>1780</v>
      </c>
      <c r="E1098" s="7" t="s">
        <v>907</v>
      </c>
      <c r="F1098" s="8">
        <v>191955</v>
      </c>
      <c r="G1098" s="8">
        <v>57660</v>
      </c>
      <c r="H1098" s="8">
        <v>1232150.6200000001</v>
      </c>
      <c r="I1098" s="8">
        <v>0</v>
      </c>
      <c r="J1098" s="13">
        <v>0.76900426657051901</v>
      </c>
      <c r="K1098" s="13">
        <v>1</v>
      </c>
      <c r="L1098" s="7">
        <v>1</v>
      </c>
      <c r="M1098" s="13">
        <v>0.70560970050115601</v>
      </c>
      <c r="N1098" s="13">
        <v>6.3394566069362703</v>
      </c>
      <c r="O1098" s="7">
        <v>1</v>
      </c>
      <c r="P1098" s="7" t="s">
        <v>160</v>
      </c>
      <c r="Q1098" s="7" t="str">
        <f t="shared" si="17"/>
        <v>Yes</v>
      </c>
    </row>
    <row r="1099" spans="1:17" ht="15" customHeight="1" x14ac:dyDescent="0.2">
      <c r="A1099" s="7">
        <v>2022</v>
      </c>
      <c r="B1099" s="7" t="s">
        <v>901</v>
      </c>
      <c r="C1099" s="7">
        <v>5</v>
      </c>
      <c r="D1099" s="7" t="s">
        <v>1781</v>
      </c>
      <c r="E1099" s="7" t="s">
        <v>1365</v>
      </c>
      <c r="F1099" s="8">
        <v>134581</v>
      </c>
      <c r="G1099" s="8">
        <v>243741</v>
      </c>
      <c r="H1099" s="8">
        <v>105057.2</v>
      </c>
      <c r="I1099" s="8">
        <v>926680.42</v>
      </c>
      <c r="J1099" s="13">
        <v>0.355731361115663</v>
      </c>
      <c r="K1099" s="13">
        <v>0.10182550094470701</v>
      </c>
      <c r="L1099" s="7">
        <v>-1</v>
      </c>
      <c r="M1099" s="13">
        <v>0.32989007232439899</v>
      </c>
      <c r="N1099" s="13">
        <v>2.5841288791264301</v>
      </c>
      <c r="O1099" s="7">
        <v>1</v>
      </c>
      <c r="P1099" s="7" t="s">
        <v>160</v>
      </c>
      <c r="Q1099" s="7" t="str">
        <f t="shared" si="17"/>
        <v>Yes</v>
      </c>
    </row>
    <row r="1100" spans="1:17" ht="15" customHeight="1" x14ac:dyDescent="0.2">
      <c r="A1100" s="7">
        <v>2022</v>
      </c>
      <c r="B1100" s="7" t="s">
        <v>901</v>
      </c>
      <c r="C1100" s="7">
        <v>7</v>
      </c>
      <c r="D1100" s="7" t="s">
        <v>1782</v>
      </c>
      <c r="E1100" s="7" t="s">
        <v>1368</v>
      </c>
      <c r="F1100" s="8">
        <v>128877</v>
      </c>
      <c r="G1100" s="8">
        <v>209224</v>
      </c>
      <c r="H1100" s="8">
        <v>95612.26</v>
      </c>
      <c r="I1100" s="8">
        <v>966117.71</v>
      </c>
      <c r="J1100" s="13">
        <v>0.38117899680864598</v>
      </c>
      <c r="K1100" s="13">
        <v>9.0053274091904903E-2</v>
      </c>
      <c r="L1100" s="7">
        <v>-1</v>
      </c>
      <c r="M1100" s="13">
        <v>0.32600392333235401</v>
      </c>
      <c r="N1100" s="13">
        <v>5.5175073476292296</v>
      </c>
      <c r="O1100" s="7">
        <v>1</v>
      </c>
      <c r="P1100" s="7" t="s">
        <v>160</v>
      </c>
      <c r="Q1100" s="7" t="str">
        <f t="shared" si="17"/>
        <v>Yes</v>
      </c>
    </row>
    <row r="1101" spans="1:17" ht="15" customHeight="1" x14ac:dyDescent="0.2">
      <c r="A1101" s="7">
        <v>2022</v>
      </c>
      <c r="B1101" s="7" t="s">
        <v>916</v>
      </c>
      <c r="C1101" s="7">
        <v>2</v>
      </c>
      <c r="D1101" s="7" t="s">
        <v>1783</v>
      </c>
      <c r="E1101" s="7" t="s">
        <v>1784</v>
      </c>
      <c r="F1101" s="8">
        <v>84278</v>
      </c>
      <c r="G1101" s="8">
        <v>160493</v>
      </c>
      <c r="H1101" s="8">
        <v>633900.14</v>
      </c>
      <c r="I1101" s="8">
        <v>7611736.5499999998</v>
      </c>
      <c r="J1101" s="13">
        <v>0.34431366460896101</v>
      </c>
      <c r="K1101" s="13">
        <v>7.6877039800791899E-2</v>
      </c>
      <c r="L1101" s="7">
        <v>-1</v>
      </c>
      <c r="M1101" s="13">
        <v>0.32165429515668098</v>
      </c>
      <c r="N1101" s="13">
        <v>2.26593694522803</v>
      </c>
      <c r="O1101" s="7">
        <v>1</v>
      </c>
      <c r="P1101" s="7" t="s">
        <v>160</v>
      </c>
      <c r="Q1101" s="7" t="str">
        <f t="shared" si="17"/>
        <v>Yes</v>
      </c>
    </row>
    <row r="1102" spans="1:17" ht="15" customHeight="1" x14ac:dyDescent="0.2">
      <c r="A1102" s="7">
        <v>2022</v>
      </c>
      <c r="B1102" s="7" t="s">
        <v>923</v>
      </c>
      <c r="C1102" s="7">
        <v>0</v>
      </c>
      <c r="D1102" s="7" t="s">
        <v>1785</v>
      </c>
      <c r="E1102" s="7" t="s">
        <v>1786</v>
      </c>
      <c r="F1102" s="8">
        <v>47250</v>
      </c>
      <c r="G1102" s="8">
        <v>132206</v>
      </c>
      <c r="H1102" s="8">
        <v>541656.78</v>
      </c>
      <c r="I1102" s="8">
        <v>7020090.46</v>
      </c>
      <c r="J1102" s="13">
        <v>0.26329573823109798</v>
      </c>
      <c r="K1102" s="13">
        <v>7.1631167084606207E-2</v>
      </c>
      <c r="L1102" s="7">
        <v>0</v>
      </c>
      <c r="M1102" s="13">
        <v>0.35953346181636803</v>
      </c>
      <c r="N1102" s="13">
        <v>-9.6237723585269297</v>
      </c>
      <c r="O1102" s="7">
        <v>1</v>
      </c>
      <c r="P1102" s="7" t="s">
        <v>160</v>
      </c>
      <c r="Q1102" s="7" t="str">
        <f t="shared" si="17"/>
        <v>Yes</v>
      </c>
    </row>
    <row r="1103" spans="1:17" ht="15" customHeight="1" x14ac:dyDescent="0.2">
      <c r="A1103" s="7">
        <v>2024</v>
      </c>
      <c r="B1103" s="7" t="s">
        <v>715</v>
      </c>
      <c r="C1103" s="7">
        <v>1</v>
      </c>
      <c r="D1103" s="7" t="s">
        <v>1695</v>
      </c>
      <c r="E1103" s="7" t="s">
        <v>717</v>
      </c>
      <c r="F1103" s="8">
        <v>202042</v>
      </c>
      <c r="G1103" s="8">
        <v>261390</v>
      </c>
      <c r="H1103" s="8">
        <v>4088753.79</v>
      </c>
      <c r="I1103" s="8">
        <v>4412884.99</v>
      </c>
      <c r="J1103" s="13">
        <v>0.43596903105525697</v>
      </c>
      <c r="K1103" s="13">
        <v>0.48093713409922101</v>
      </c>
      <c r="L1103" s="7">
        <v>-1</v>
      </c>
      <c r="M1103" s="13">
        <v>0.45503923139836</v>
      </c>
      <c r="N1103" s="13">
        <v>-1.9070200343102499</v>
      </c>
      <c r="O1103" s="7">
        <v>1</v>
      </c>
      <c r="P1103" s="7" t="s">
        <v>1787</v>
      </c>
      <c r="Q1103" s="7" t="str">
        <f t="shared" si="17"/>
        <v>No -- held out</v>
      </c>
    </row>
    <row r="1104" spans="1:17" ht="15" customHeight="1" x14ac:dyDescent="0.2">
      <c r="A1104" s="7">
        <v>2024</v>
      </c>
      <c r="B1104" s="7" t="s">
        <v>715</v>
      </c>
      <c r="C1104" s="7">
        <v>2</v>
      </c>
      <c r="D1104" s="7" t="s">
        <v>1788</v>
      </c>
      <c r="E1104" s="7" t="s">
        <v>1789</v>
      </c>
      <c r="F1104" s="8">
        <v>193191</v>
      </c>
      <c r="G1104" s="8">
        <v>77234</v>
      </c>
      <c r="H1104" s="8">
        <v>847339.55</v>
      </c>
      <c r="I1104" s="8">
        <v>24118.22</v>
      </c>
      <c r="J1104" s="13">
        <v>0.71439770731256402</v>
      </c>
      <c r="K1104" s="13">
        <v>0.97232428141641303</v>
      </c>
      <c r="L1104" s="7">
        <v>1</v>
      </c>
      <c r="M1104" s="13">
        <v>0.69647362393530798</v>
      </c>
      <c r="N1104" s="13">
        <v>1.7924083377255999</v>
      </c>
      <c r="O1104" s="7">
        <v>1</v>
      </c>
      <c r="P1104" s="7" t="s">
        <v>1787</v>
      </c>
      <c r="Q1104" s="7" t="str">
        <f t="shared" si="17"/>
        <v>No -- held out</v>
      </c>
    </row>
    <row r="1105" spans="1:17" ht="15" customHeight="1" x14ac:dyDescent="0.2">
      <c r="A1105" s="7">
        <v>2024</v>
      </c>
      <c r="B1105" s="7" t="s">
        <v>715</v>
      </c>
      <c r="C1105" s="7">
        <v>5</v>
      </c>
      <c r="D1105" s="7" t="s">
        <v>724</v>
      </c>
      <c r="E1105" s="7" t="s">
        <v>1790</v>
      </c>
      <c r="F1105" s="8">
        <v>267739</v>
      </c>
      <c r="G1105" s="8">
        <v>142355</v>
      </c>
      <c r="H1105" s="8">
        <v>1518883.51</v>
      </c>
      <c r="I1105" s="8">
        <v>15489.49</v>
      </c>
      <c r="J1105" s="13">
        <v>0.65287226830921696</v>
      </c>
      <c r="K1105" s="13">
        <v>0.98990500354216404</v>
      </c>
      <c r="L1105" s="7">
        <v>1</v>
      </c>
      <c r="M1105" s="13">
        <v>0.70227722476824195</v>
      </c>
      <c r="N1105" s="13">
        <v>-4.94049564590249</v>
      </c>
      <c r="O1105" s="7">
        <v>1</v>
      </c>
      <c r="P1105" s="7" t="s">
        <v>1787</v>
      </c>
      <c r="Q1105" s="7" t="str">
        <f t="shared" si="17"/>
        <v>No -- held out</v>
      </c>
    </row>
    <row r="1106" spans="1:17" ht="15" customHeight="1" x14ac:dyDescent="0.2">
      <c r="A1106" s="7">
        <v>2024</v>
      </c>
      <c r="B1106" s="7" t="s">
        <v>715</v>
      </c>
      <c r="C1106" s="7">
        <v>6</v>
      </c>
      <c r="D1106" s="7" t="s">
        <v>1791</v>
      </c>
      <c r="E1106" s="7" t="s">
        <v>1792</v>
      </c>
      <c r="F1106" s="8">
        <v>235625</v>
      </c>
      <c r="G1106" s="8">
        <v>183638</v>
      </c>
      <c r="H1106" s="8">
        <v>2101952.65</v>
      </c>
      <c r="I1106" s="8">
        <v>41464.92</v>
      </c>
      <c r="J1106" s="13">
        <v>0.56199807757899001</v>
      </c>
      <c r="K1106" s="13">
        <v>0.98065476341131197</v>
      </c>
      <c r="L1106" s="7">
        <v>1</v>
      </c>
      <c r="M1106" s="13">
        <v>0.69922361292316204</v>
      </c>
      <c r="N1106" s="13">
        <v>-13.7225535344172</v>
      </c>
      <c r="O1106" s="7">
        <v>1</v>
      </c>
      <c r="P1106" s="7" t="s">
        <v>1787</v>
      </c>
      <c r="Q1106" s="7" t="str">
        <f t="shared" si="17"/>
        <v>No -- held out</v>
      </c>
    </row>
    <row r="1107" spans="1:17" ht="15" customHeight="1" x14ac:dyDescent="0.2">
      <c r="A1107" s="7">
        <v>2024</v>
      </c>
      <c r="B1107" s="7" t="s">
        <v>715</v>
      </c>
      <c r="C1107" s="7">
        <v>7</v>
      </c>
      <c r="D1107" s="7" t="s">
        <v>728</v>
      </c>
      <c r="E1107" s="7" t="s">
        <v>1793</v>
      </c>
      <c r="F1107" s="8">
        <v>199626</v>
      </c>
      <c r="G1107" s="8">
        <v>203688</v>
      </c>
      <c r="H1107" s="8">
        <v>23477452.91</v>
      </c>
      <c r="I1107" s="8">
        <v>13473092.210000001</v>
      </c>
      <c r="J1107" s="13">
        <v>0.49496422142549001</v>
      </c>
      <c r="K1107" s="13">
        <v>0.63537500823749704</v>
      </c>
      <c r="L1107" s="7">
        <v>1</v>
      </c>
      <c r="M1107" s="13">
        <v>0.58524275022656802</v>
      </c>
      <c r="N1107" s="13">
        <v>-9.0278528801078508</v>
      </c>
      <c r="O1107" s="7">
        <v>0</v>
      </c>
      <c r="P1107" s="7" t="s">
        <v>1787</v>
      </c>
      <c r="Q1107" s="7" t="str">
        <f t="shared" si="17"/>
        <v>No -- held out</v>
      </c>
    </row>
    <row r="1108" spans="1:17" ht="15" customHeight="1" x14ac:dyDescent="0.2">
      <c r="A1108" s="7">
        <v>2024</v>
      </c>
      <c r="B1108" s="7" t="s">
        <v>715</v>
      </c>
      <c r="C1108" s="7">
        <v>8</v>
      </c>
      <c r="D1108" s="7" t="s">
        <v>1794</v>
      </c>
      <c r="E1108" s="7" t="s">
        <v>1795</v>
      </c>
      <c r="F1108" s="8">
        <v>189411</v>
      </c>
      <c r="G1108" s="8">
        <v>195663</v>
      </c>
      <c r="H1108" s="8">
        <v>19122516.489999998</v>
      </c>
      <c r="I1108" s="8">
        <v>13270237.67</v>
      </c>
      <c r="J1108" s="13">
        <v>0.491882079808037</v>
      </c>
      <c r="K1108" s="13">
        <v>0.59033314659033598</v>
      </c>
      <c r="L1108" s="7">
        <v>1</v>
      </c>
      <c r="M1108" s="13">
        <v>0.57037390787170905</v>
      </c>
      <c r="N1108" s="13">
        <v>-7.8491828063671703</v>
      </c>
      <c r="O1108" s="7">
        <v>0</v>
      </c>
      <c r="P1108" s="7" t="s">
        <v>1787</v>
      </c>
      <c r="Q1108" s="7" t="str">
        <f t="shared" si="17"/>
        <v>No -- held out</v>
      </c>
    </row>
    <row r="1109" spans="1:17" ht="15" customHeight="1" x14ac:dyDescent="0.2">
      <c r="A1109" s="7">
        <v>2024</v>
      </c>
      <c r="B1109" s="7" t="s">
        <v>715</v>
      </c>
      <c r="C1109" s="7">
        <v>9</v>
      </c>
      <c r="D1109" s="7" t="s">
        <v>1796</v>
      </c>
      <c r="E1109" s="7" t="s">
        <v>1797</v>
      </c>
      <c r="F1109" s="8">
        <v>115523</v>
      </c>
      <c r="G1109" s="8">
        <v>276212</v>
      </c>
      <c r="H1109" s="8">
        <v>12813.59</v>
      </c>
      <c r="I1109" s="8">
        <v>1889732.17</v>
      </c>
      <c r="J1109" s="13">
        <v>0.29490088963202199</v>
      </c>
      <c r="K1109" s="13">
        <v>6.7349707268013403E-3</v>
      </c>
      <c r="L1109" s="7">
        <v>-1</v>
      </c>
      <c r="M1109" s="13">
        <v>0.298499582421343</v>
      </c>
      <c r="N1109" s="13">
        <v>-0.35986927893211201</v>
      </c>
      <c r="O1109" s="7">
        <v>1</v>
      </c>
      <c r="P1109" s="7" t="s">
        <v>1787</v>
      </c>
      <c r="Q1109" s="7" t="str">
        <f t="shared" si="17"/>
        <v>No -- held out</v>
      </c>
    </row>
    <row r="1110" spans="1:17" ht="15" customHeight="1" x14ac:dyDescent="0.2">
      <c r="A1110" s="7">
        <v>2024</v>
      </c>
      <c r="B1110" s="7" t="s">
        <v>715</v>
      </c>
      <c r="C1110" s="7">
        <v>10</v>
      </c>
      <c r="D1110" s="7" t="s">
        <v>1798</v>
      </c>
      <c r="E1110" s="7" t="s">
        <v>735</v>
      </c>
      <c r="F1110" s="8">
        <v>200434</v>
      </c>
      <c r="G1110" s="8">
        <v>205567</v>
      </c>
      <c r="H1110" s="8">
        <v>13049209.609999999</v>
      </c>
      <c r="I1110" s="8">
        <v>11953317.52</v>
      </c>
      <c r="J1110" s="13">
        <v>0.49367858699855399</v>
      </c>
      <c r="K1110" s="13">
        <v>0.52191562645451695</v>
      </c>
      <c r="L1110" s="7">
        <v>-1</v>
      </c>
      <c r="M1110" s="13">
        <v>0.46856670829404701</v>
      </c>
      <c r="N1110" s="13">
        <v>2.51118787045072</v>
      </c>
      <c r="O1110" s="7">
        <v>1</v>
      </c>
      <c r="P1110" s="7" t="s">
        <v>1787</v>
      </c>
      <c r="Q1110" s="7" t="str">
        <f t="shared" si="17"/>
        <v>No -- held out</v>
      </c>
    </row>
    <row r="1111" spans="1:17" ht="15" customHeight="1" x14ac:dyDescent="0.2">
      <c r="A1111" s="7">
        <v>2024</v>
      </c>
      <c r="B1111" s="7" t="s">
        <v>715</v>
      </c>
      <c r="C1111" s="7">
        <v>11</v>
      </c>
      <c r="D1111" s="7" t="s">
        <v>1799</v>
      </c>
      <c r="E1111" s="7" t="s">
        <v>1800</v>
      </c>
      <c r="F1111" s="8">
        <v>149641</v>
      </c>
      <c r="G1111" s="8">
        <v>253672</v>
      </c>
      <c r="H1111" s="8">
        <v>19616.2</v>
      </c>
      <c r="I1111" s="8">
        <v>1805700.94</v>
      </c>
      <c r="J1111" s="13">
        <v>0.37102944859203701</v>
      </c>
      <c r="K1111" s="13">
        <v>1.07467352221324E-2</v>
      </c>
      <c r="L1111" s="7">
        <v>-1</v>
      </c>
      <c r="M1111" s="13">
        <v>0.299823912537029</v>
      </c>
      <c r="N1111" s="13">
        <v>7.1205536055007599</v>
      </c>
      <c r="O1111" s="7">
        <v>1</v>
      </c>
      <c r="P1111" s="7" t="s">
        <v>1787</v>
      </c>
      <c r="Q1111" s="7" t="str">
        <f t="shared" si="17"/>
        <v>No -- held out</v>
      </c>
    </row>
    <row r="1112" spans="1:17" ht="15" customHeight="1" x14ac:dyDescent="0.2">
      <c r="A1112" s="7">
        <v>2024</v>
      </c>
      <c r="B1112" s="7" t="s">
        <v>715</v>
      </c>
      <c r="C1112" s="7">
        <v>12</v>
      </c>
      <c r="D1112" s="7" t="s">
        <v>1703</v>
      </c>
      <c r="E1112" s="7" t="s">
        <v>1801</v>
      </c>
      <c r="F1112" s="8">
        <v>234802</v>
      </c>
      <c r="G1112" s="8">
        <v>181426</v>
      </c>
      <c r="H1112" s="8">
        <v>2708087.83</v>
      </c>
      <c r="I1112" s="8">
        <v>135769.42000000001</v>
      </c>
      <c r="J1112" s="13">
        <v>0.56411870417175203</v>
      </c>
      <c r="K1112" s="13">
        <v>0.95225870778148203</v>
      </c>
      <c r="L1112" s="7">
        <v>1</v>
      </c>
      <c r="M1112" s="13">
        <v>0.68984974472101601</v>
      </c>
      <c r="N1112" s="13">
        <v>-12.5731040549264</v>
      </c>
      <c r="O1112" s="7">
        <v>1</v>
      </c>
      <c r="P1112" s="7" t="s">
        <v>1787</v>
      </c>
      <c r="Q1112" s="7" t="str">
        <f t="shared" si="17"/>
        <v>No -- held out</v>
      </c>
    </row>
    <row r="1113" spans="1:17" ht="15" customHeight="1" x14ac:dyDescent="0.2">
      <c r="A1113" s="7">
        <v>2024</v>
      </c>
      <c r="B1113" s="7" t="s">
        <v>715</v>
      </c>
      <c r="C1113" s="7">
        <v>13</v>
      </c>
      <c r="D1113" s="7" t="s">
        <v>1802</v>
      </c>
      <c r="E1113" s="7" t="s">
        <v>741</v>
      </c>
      <c r="F1113" s="8">
        <v>104823</v>
      </c>
      <c r="G1113" s="8">
        <v>301460</v>
      </c>
      <c r="H1113" s="8">
        <v>64950.58</v>
      </c>
      <c r="I1113" s="8">
        <v>1478516.51</v>
      </c>
      <c r="J1113" s="13">
        <v>0.25800488821831102</v>
      </c>
      <c r="K1113" s="13">
        <v>4.2080962024269697E-2</v>
      </c>
      <c r="L1113" s="7">
        <v>-1</v>
      </c>
      <c r="M1113" s="13">
        <v>0.31016770521331999</v>
      </c>
      <c r="N1113" s="13">
        <v>-5.2162816995008603</v>
      </c>
      <c r="O1113" s="7">
        <v>1</v>
      </c>
      <c r="P1113" s="7" t="s">
        <v>1787</v>
      </c>
      <c r="Q1113" s="7" t="str">
        <f t="shared" si="17"/>
        <v>No -- held out</v>
      </c>
    </row>
    <row r="1114" spans="1:17" ht="15" customHeight="1" x14ac:dyDescent="0.2">
      <c r="A1114" s="7">
        <v>2024</v>
      </c>
      <c r="B1114" s="7" t="s">
        <v>715</v>
      </c>
      <c r="C1114" s="7">
        <v>14</v>
      </c>
      <c r="D1114" s="7" t="s">
        <v>1803</v>
      </c>
      <c r="E1114" s="7" t="s">
        <v>743</v>
      </c>
      <c r="F1114" s="8">
        <v>134755</v>
      </c>
      <c r="G1114" s="8">
        <v>268380</v>
      </c>
      <c r="H1114" s="8">
        <v>286842.40999999997</v>
      </c>
      <c r="I1114" s="8">
        <v>4315307.6399999997</v>
      </c>
      <c r="J1114" s="13">
        <v>0.33426767708087901</v>
      </c>
      <c r="K1114" s="13">
        <v>6.2327913449931903E-2</v>
      </c>
      <c r="L1114" s="7">
        <v>-1</v>
      </c>
      <c r="M1114" s="13">
        <v>0.31685145934570802</v>
      </c>
      <c r="N1114" s="13">
        <v>1.74162177351708</v>
      </c>
      <c r="O1114" s="7">
        <v>1</v>
      </c>
      <c r="P1114" s="7" t="s">
        <v>1787</v>
      </c>
      <c r="Q1114" s="7" t="str">
        <f t="shared" si="17"/>
        <v>No -- held out</v>
      </c>
    </row>
    <row r="1115" spans="1:17" ht="15" customHeight="1" x14ac:dyDescent="0.2">
      <c r="A1115" s="7">
        <v>2024</v>
      </c>
      <c r="B1115" s="7" t="s">
        <v>715</v>
      </c>
      <c r="C1115" s="7">
        <v>15</v>
      </c>
      <c r="D1115" s="7" t="s">
        <v>1804</v>
      </c>
      <c r="E1115" s="7" t="s">
        <v>1805</v>
      </c>
      <c r="F1115" s="8">
        <v>111408</v>
      </c>
      <c r="G1115" s="8">
        <v>279027</v>
      </c>
      <c r="H1115" s="8">
        <v>133652.79999999999</v>
      </c>
      <c r="I1115" s="8">
        <v>2422808.0099999998</v>
      </c>
      <c r="J1115" s="13">
        <v>0.28534327096699802</v>
      </c>
      <c r="K1115" s="13">
        <v>5.2280402452169798E-2</v>
      </c>
      <c r="L1115" s="7">
        <v>-1</v>
      </c>
      <c r="M1115" s="13">
        <v>0.31353465911540801</v>
      </c>
      <c r="N1115" s="13">
        <v>-2.8191388148409402</v>
      </c>
      <c r="O1115" s="7">
        <v>1</v>
      </c>
      <c r="P1115" s="7" t="s">
        <v>1787</v>
      </c>
      <c r="Q1115" s="7" t="str">
        <f t="shared" si="17"/>
        <v>No -- held out</v>
      </c>
    </row>
    <row r="1116" spans="1:17" ht="15" customHeight="1" x14ac:dyDescent="0.2">
      <c r="A1116" s="7">
        <v>2024</v>
      </c>
      <c r="B1116" s="7" t="s">
        <v>715</v>
      </c>
      <c r="C1116" s="7">
        <v>16</v>
      </c>
      <c r="D1116" s="7" t="s">
        <v>1806</v>
      </c>
      <c r="E1116" s="7" t="s">
        <v>1807</v>
      </c>
      <c r="F1116" s="8">
        <v>146709</v>
      </c>
      <c r="G1116" s="8">
        <v>256923</v>
      </c>
      <c r="H1116" s="8">
        <v>772773.57</v>
      </c>
      <c r="I1116" s="8">
        <v>1529769.42</v>
      </c>
      <c r="J1116" s="13">
        <v>0.36347217267213699</v>
      </c>
      <c r="K1116" s="13">
        <v>0.33561743400934302</v>
      </c>
      <c r="L1116" s="7">
        <v>-1</v>
      </c>
      <c r="M1116" s="13">
        <v>0.40706750836838901</v>
      </c>
      <c r="N1116" s="13">
        <v>-4.3595335696251496</v>
      </c>
      <c r="O1116" s="7">
        <v>1</v>
      </c>
      <c r="P1116" s="7" t="s">
        <v>1787</v>
      </c>
      <c r="Q1116" s="7" t="str">
        <f t="shared" si="17"/>
        <v>No -- held out</v>
      </c>
    </row>
    <row r="1117" spans="1:17" ht="15" customHeight="1" x14ac:dyDescent="0.2">
      <c r="A1117" s="7">
        <v>2024</v>
      </c>
      <c r="B1117" s="7" t="s">
        <v>715</v>
      </c>
      <c r="C1117" s="7">
        <v>17</v>
      </c>
      <c r="D1117" s="7" t="s">
        <v>1808</v>
      </c>
      <c r="E1117" s="7" t="s">
        <v>1809</v>
      </c>
      <c r="F1117" s="8">
        <v>242838</v>
      </c>
      <c r="G1117" s="8">
        <v>207900</v>
      </c>
      <c r="H1117" s="8">
        <v>5493682.0700000003</v>
      </c>
      <c r="I1117" s="8">
        <v>2160748.04</v>
      </c>
      <c r="J1117" s="13">
        <v>0.53875643943931995</v>
      </c>
      <c r="K1117" s="13">
        <v>0.71771274818002095</v>
      </c>
      <c r="L1117" s="7">
        <v>1</v>
      </c>
      <c r="M1117" s="13">
        <v>0.61242339574808802</v>
      </c>
      <c r="N1117" s="13">
        <v>-7.3666956308768698</v>
      </c>
      <c r="O1117" s="7">
        <v>1</v>
      </c>
      <c r="P1117" s="7" t="s">
        <v>1787</v>
      </c>
      <c r="Q1117" s="7" t="str">
        <f t="shared" si="17"/>
        <v>No -- held out</v>
      </c>
    </row>
  </sheetData>
  <mergeCells count="1">
    <mergeCell ref="A1:Q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Beta Coefficient</vt:lpstr>
      <vt:lpstr>Municipal Master Data</vt:lpstr>
      <vt:lpstr>District Rollup</vt:lpstr>
      <vt:lpstr>Registration &amp; Turnout</vt:lpstr>
      <vt:lpstr>National Races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Charles Weinstein</cp:lastModifiedBy>
  <cp:revision>8</cp:revision>
  <dcterms:created xsi:type="dcterms:W3CDTF">2026-09-21T17:58:02Z</dcterms:created>
  <dcterms:modified xsi:type="dcterms:W3CDTF">2026-09-21T21:11:34Z</dcterms:modified>
  <dc:language>en-US</dc:language>
</cp:coreProperties>
</file>