
<file path=[Content_Types].xml><?xml version="1.0" encoding="utf-8"?>
<Types xmlns="http://schemas.openxmlformats.org/package/2006/content-types">
  <Default Extension="rels" ContentType="application/vnd.openxmlformats-package.relationships+xml"/>
  <Default Extension="vml" ContentType="application/vnd.openxmlformats-officedocument.vmlDrawing"/>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30"/>
  <workbookPr/>
  <mc:AlternateContent xmlns:mc="http://schemas.openxmlformats.org/markup-compatibility/2006">
    <mc:Choice Requires="x15">
      <x15ac:absPath xmlns:x15ac="http://schemas.microsoft.com/office/spreadsheetml/2010/11/ac" url="/Users/charlieweinstein/Desktop/"/>
    </mc:Choice>
  </mc:AlternateContent>
  <xr:revisionPtr revIDLastSave="0" documentId="8_{51C14533-434D-5744-B67F-69D1AED8AB05}" xr6:coauthVersionLast="47" xr6:coauthVersionMax="47" xr10:uidLastSave="{00000000-0000-0000-0000-000000000000}"/>
  <bookViews>
    <workbookView xWindow="400" yWindow="900" windowWidth="33800" windowHeight="19780" xr2:uid="{00000000-000D-0000-FFFF-FFFF00000000}"/>
  </bookViews>
  <sheets>
    <sheet name="Summary" sheetId="1" r:id="rId1"/>
    <sheet name="Charts" sheetId="2" r:id="rId2"/>
    <sheet name="Money Sources" sheetId="3" r:id="rId3"/>
    <sheet name="Candidate Totals" sheetId="4" r:id="rId4"/>
    <sheet name="Outside Money" sheetId="5" r:id="rId5"/>
    <sheet name="History — Finance &amp; Results" sheetId="6" r:id="rId6"/>
    <sheet name="History Charts" sheetId="7" r:id="rId7"/>
    <sheet name="Money vs Results" sheetId="8" r:id="rId8"/>
    <sheet name="Notes &amp; Sources" sheetId="9" r:id="rId9"/>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29" i="8" l="1"/>
  <c r="A28" i="8"/>
  <c r="A27" i="8"/>
  <c r="A26" i="8"/>
  <c r="F9" i="8"/>
  <c r="T7" i="7" s="1"/>
  <c r="E9" i="8"/>
  <c r="G9" i="8" s="1"/>
  <c r="C9" i="8"/>
  <c r="B9" i="8"/>
  <c r="S14" i="7" s="1"/>
  <c r="E8" i="8"/>
  <c r="D8" i="8"/>
  <c r="C8" i="8"/>
  <c r="B8" i="8"/>
  <c r="C7" i="8"/>
  <c r="S40" i="7" s="1"/>
  <c r="B7" i="8"/>
  <c r="F6" i="8"/>
  <c r="T4" i="7" s="1"/>
  <c r="C6" i="8"/>
  <c r="T11" i="7" s="1"/>
  <c r="B6" i="8"/>
  <c r="D6" i="8" s="1"/>
  <c r="S50" i="7"/>
  <c r="S46" i="7"/>
  <c r="S41" i="7"/>
  <c r="S39" i="7"/>
  <c r="S27" i="7"/>
  <c r="T14" i="7"/>
  <c r="T13" i="7"/>
  <c r="S13" i="7"/>
  <c r="S12" i="7"/>
  <c r="S6" i="7"/>
  <c r="R20" i="6"/>
  <c r="Q20" i="6"/>
  <c r="R19" i="6"/>
  <c r="Q19" i="6"/>
  <c r="R18" i="6"/>
  <c r="Q18" i="6"/>
  <c r="R17" i="6"/>
  <c r="R21" i="6" s="1"/>
  <c r="Q17" i="6"/>
  <c r="R13" i="6"/>
  <c r="S53" i="7" s="1"/>
  <c r="P13" i="6"/>
  <c r="N13" i="6"/>
  <c r="S13" i="6" s="1"/>
  <c r="S12" i="6"/>
  <c r="R12" i="6"/>
  <c r="S52" i="7" s="1"/>
  <c r="P12" i="6"/>
  <c r="H9" i="8" s="1"/>
  <c r="N12" i="6"/>
  <c r="R11" i="6"/>
  <c r="S51" i="7" s="1"/>
  <c r="P11" i="6"/>
  <c r="N11" i="6"/>
  <c r="F8" i="8" s="1"/>
  <c r="T6" i="7" s="1"/>
  <c r="S10" i="6"/>
  <c r="R10" i="6"/>
  <c r="P10" i="6"/>
  <c r="H8" i="8" s="1"/>
  <c r="N10" i="6"/>
  <c r="R9" i="6"/>
  <c r="S49" i="7" s="1"/>
  <c r="P9" i="6"/>
  <c r="N9" i="6"/>
  <c r="F7" i="8" s="1"/>
  <c r="T5" i="7" s="1"/>
  <c r="S8" i="6"/>
  <c r="R8" i="6"/>
  <c r="S48" i="7" s="1"/>
  <c r="P8" i="6"/>
  <c r="H7" i="8" s="1"/>
  <c r="N8" i="6"/>
  <c r="E7" i="8" s="1"/>
  <c r="R7" i="6"/>
  <c r="S47" i="7" s="1"/>
  <c r="P7" i="6"/>
  <c r="N7" i="6"/>
  <c r="S7" i="6" s="1"/>
  <c r="S6" i="6"/>
  <c r="R6" i="6"/>
  <c r="P6" i="6"/>
  <c r="H6" i="8" s="1"/>
  <c r="N6" i="6"/>
  <c r="E6" i="8" s="1"/>
  <c r="D43" i="5"/>
  <c r="F43" i="5" s="1"/>
  <c r="E42" i="5"/>
  <c r="D42" i="5"/>
  <c r="F42" i="5" s="1"/>
  <c r="F41" i="5"/>
  <c r="E41" i="5"/>
  <c r="D41" i="5"/>
  <c r="F40" i="5"/>
  <c r="E40" i="5"/>
  <c r="E43" i="5" s="1"/>
  <c r="D21" i="1" s="1"/>
  <c r="D40" i="5"/>
  <c r="E39" i="5"/>
  <c r="D39" i="5"/>
  <c r="F39" i="5" s="1"/>
  <c r="D35" i="5"/>
  <c r="F34" i="5"/>
  <c r="F33" i="5"/>
  <c r="F32" i="5"/>
  <c r="F31" i="5"/>
  <c r="F30" i="5"/>
  <c r="F29" i="5"/>
  <c r="F28" i="5"/>
  <c r="F27" i="5"/>
  <c r="F26" i="5"/>
  <c r="F25" i="5"/>
  <c r="F24" i="5"/>
  <c r="F23" i="5"/>
  <c r="F22" i="5"/>
  <c r="F21" i="5"/>
  <c r="F20" i="5"/>
  <c r="F19" i="5"/>
  <c r="F18" i="5"/>
  <c r="F17" i="5"/>
  <c r="F16" i="5"/>
  <c r="F15" i="5"/>
  <c r="F14" i="5"/>
  <c r="F13" i="5"/>
  <c r="F12" i="5"/>
  <c r="F11" i="5"/>
  <c r="F10" i="5"/>
  <c r="F9" i="5"/>
  <c r="F8" i="5"/>
  <c r="F7" i="5"/>
  <c r="F6" i="5"/>
  <c r="F35" i="5" s="1"/>
  <c r="O12" i="4"/>
  <c r="N12" i="4"/>
  <c r="M12" i="4"/>
  <c r="L12" i="4"/>
  <c r="K12" i="4"/>
  <c r="J12" i="4"/>
  <c r="I12" i="4"/>
  <c r="H12" i="4"/>
  <c r="G12" i="4"/>
  <c r="F12" i="4"/>
  <c r="P7" i="4"/>
  <c r="P6" i="4"/>
  <c r="P12" i="4" s="1"/>
  <c r="C35" i="3"/>
  <c r="D35" i="3" s="1"/>
  <c r="B35" i="3"/>
  <c r="C34" i="3"/>
  <c r="C15" i="1" s="1"/>
  <c r="B34" i="3"/>
  <c r="B37" i="3" s="1"/>
  <c r="C33" i="3"/>
  <c r="C36" i="3" s="1"/>
  <c r="B33" i="3"/>
  <c r="B36" i="3" s="1"/>
  <c r="B17" i="1" s="1"/>
  <c r="C32" i="3"/>
  <c r="T4" i="2" s="1"/>
  <c r="B32" i="3"/>
  <c r="C28" i="3"/>
  <c r="B27" i="3"/>
  <c r="B36" i="1" s="1"/>
  <c r="C26" i="3"/>
  <c r="C27" i="3" s="1"/>
  <c r="B37" i="1" s="1"/>
  <c r="B26" i="3"/>
  <c r="B28" i="3" s="1"/>
  <c r="C20" i="3"/>
  <c r="C12" i="1" s="1"/>
  <c r="B20" i="3"/>
  <c r="B12" i="1" s="1"/>
  <c r="C19" i="3"/>
  <c r="D19" i="3" s="1"/>
  <c r="B19" i="3"/>
  <c r="B21" i="3" s="1"/>
  <c r="C12" i="3"/>
  <c r="B12" i="3"/>
  <c r="D12" i="3" s="1"/>
  <c r="C11" i="3"/>
  <c r="B11" i="3"/>
  <c r="C10" i="3"/>
  <c r="B10" i="3"/>
  <c r="C9" i="3"/>
  <c r="V11" i="2" s="1"/>
  <c r="B9" i="3"/>
  <c r="C8" i="3"/>
  <c r="B8" i="3"/>
  <c r="U10" i="2" s="1"/>
  <c r="C7" i="3"/>
  <c r="C13" i="3" s="1"/>
  <c r="B7" i="3"/>
  <c r="C6" i="3"/>
  <c r="B6" i="3"/>
  <c r="B13" i="3" s="1"/>
  <c r="S46" i="2"/>
  <c r="S45" i="2"/>
  <c r="S44" i="2"/>
  <c r="S43" i="2"/>
  <c r="S42" i="2"/>
  <c r="S41" i="2"/>
  <c r="S40" i="2"/>
  <c r="S36" i="2"/>
  <c r="S35" i="2"/>
  <c r="S34" i="2"/>
  <c r="S33" i="2"/>
  <c r="S29" i="2"/>
  <c r="S28" i="2"/>
  <c r="S27" i="2"/>
  <c r="S26" i="2"/>
  <c r="S25" i="2"/>
  <c r="S24" i="2"/>
  <c r="S23" i="2"/>
  <c r="S22" i="2"/>
  <c r="S21" i="2"/>
  <c r="S20" i="2"/>
  <c r="T15" i="2"/>
  <c r="S15" i="2"/>
  <c r="Y11" i="2"/>
  <c r="X11" i="2"/>
  <c r="W11" i="2"/>
  <c r="U11" i="2"/>
  <c r="S11" i="2"/>
  <c r="Y10" i="2"/>
  <c r="X10" i="2"/>
  <c r="W10" i="2"/>
  <c r="V10" i="2"/>
  <c r="T10" i="2"/>
  <c r="T6" i="2"/>
  <c r="S6" i="2"/>
  <c r="S5" i="2"/>
  <c r="S4" i="2"/>
  <c r="D47" i="1"/>
  <c r="B35" i="1"/>
  <c r="B34" i="1"/>
  <c r="B33" i="1"/>
  <c r="D25" i="1"/>
  <c r="B25" i="1"/>
  <c r="C25" i="1" s="1"/>
  <c r="D24" i="1"/>
  <c r="C24" i="1"/>
  <c r="B24" i="1"/>
  <c r="D23" i="1"/>
  <c r="C23" i="1"/>
  <c r="B23" i="1"/>
  <c r="D22" i="1"/>
  <c r="B22" i="1"/>
  <c r="C22" i="1" s="1"/>
  <c r="C21" i="1"/>
  <c r="B21" i="1"/>
  <c r="C16" i="1"/>
  <c r="D16" i="1" s="1"/>
  <c r="B16" i="1"/>
  <c r="B15" i="1"/>
  <c r="B14" i="1"/>
  <c r="C11" i="1"/>
  <c r="B30" i="1" s="1"/>
  <c r="B11" i="1"/>
  <c r="D15" i="1" l="1"/>
  <c r="B29" i="1"/>
  <c r="T39" i="7"/>
  <c r="G6" i="8"/>
  <c r="S4" i="7"/>
  <c r="C49" i="1"/>
  <c r="T26" i="7"/>
  <c r="T19" i="7"/>
  <c r="B27" i="8"/>
  <c r="S33" i="7"/>
  <c r="T40" i="7"/>
  <c r="S5" i="7"/>
  <c r="G7" i="8"/>
  <c r="C16" i="8" s="1"/>
  <c r="B26" i="8"/>
  <c r="B49" i="1"/>
  <c r="C17" i="8"/>
  <c r="C13" i="8"/>
  <c r="C21" i="8" s="1"/>
  <c r="T25" i="7"/>
  <c r="T18" i="7"/>
  <c r="B13" i="8"/>
  <c r="B21" i="8" s="1"/>
  <c r="S32" i="7"/>
  <c r="E12" i="3"/>
  <c r="C15" i="3"/>
  <c r="E11" i="3"/>
  <c r="B13" i="1"/>
  <c r="S16" i="2"/>
  <c r="D11" i="3"/>
  <c r="D9" i="3"/>
  <c r="D7" i="3"/>
  <c r="B15" i="3"/>
  <c r="D10" i="3"/>
  <c r="B28" i="8"/>
  <c r="T27" i="7"/>
  <c r="T20" i="7"/>
  <c r="D49" i="1"/>
  <c r="S34" i="7"/>
  <c r="E29" i="8"/>
  <c r="S21" i="7"/>
  <c r="E48" i="1"/>
  <c r="E8" i="3"/>
  <c r="E6" i="3"/>
  <c r="E10" i="3"/>
  <c r="D12" i="1"/>
  <c r="C17" i="1"/>
  <c r="D17" i="1" s="1"/>
  <c r="D36" i="3"/>
  <c r="T28" i="7"/>
  <c r="T21" i="7"/>
  <c r="B29" i="8"/>
  <c r="E49" i="1"/>
  <c r="S35" i="7"/>
  <c r="B47" i="1"/>
  <c r="S25" i="7"/>
  <c r="G8" i="8"/>
  <c r="E7" i="3"/>
  <c r="E9" i="3"/>
  <c r="D20" i="3"/>
  <c r="S11" i="7"/>
  <c r="T41" i="7"/>
  <c r="D11" i="1"/>
  <c r="C14" i="1"/>
  <c r="D14" i="1" s="1"/>
  <c r="S10" i="2"/>
  <c r="T11" i="2"/>
  <c r="C21" i="3"/>
  <c r="D34" i="3"/>
  <c r="C37" i="3"/>
  <c r="D37" i="3" s="1"/>
  <c r="S42" i="7"/>
  <c r="B32" i="1"/>
  <c r="T12" i="7"/>
  <c r="T42" i="7"/>
  <c r="D9" i="8"/>
  <c r="T5" i="2"/>
  <c r="D8" i="3"/>
  <c r="D32" i="3"/>
  <c r="D6" i="3"/>
  <c r="D13" i="3" s="1"/>
  <c r="D7" i="8"/>
  <c r="B15" i="8" s="1"/>
  <c r="S9" i="6"/>
  <c r="S11" i="6"/>
  <c r="S7" i="7"/>
  <c r="D33" i="3"/>
  <c r="B17" i="8" l="1"/>
  <c r="E13" i="3"/>
  <c r="B16" i="8"/>
  <c r="C26" i="8"/>
  <c r="D26" i="8" s="1"/>
  <c r="C29" i="8"/>
  <c r="D29" i="8" s="1"/>
  <c r="S20" i="7"/>
  <c r="E28" i="8"/>
  <c r="C28" i="8" s="1"/>
  <c r="D28" i="8" s="1"/>
  <c r="D48" i="1"/>
  <c r="B18" i="8"/>
  <c r="E27" i="8"/>
  <c r="C27" i="8" s="1"/>
  <c r="D27" i="8" s="1"/>
  <c r="C48" i="1"/>
  <c r="S19" i="7"/>
  <c r="C18" i="8"/>
  <c r="C19" i="8" s="1"/>
  <c r="C20" i="8" s="1"/>
  <c r="B48" i="1"/>
  <c r="C14" i="8"/>
  <c r="B53" i="1" s="1"/>
  <c r="E26" i="8"/>
  <c r="S18" i="7"/>
  <c r="B14" i="8"/>
  <c r="B52" i="1" s="1"/>
  <c r="D21" i="3"/>
  <c r="T16" i="2"/>
  <c r="C13" i="1"/>
  <c r="S28" i="7"/>
  <c r="E47" i="1"/>
  <c r="C47" i="1"/>
  <c r="S26" i="7"/>
  <c r="C15" i="8"/>
  <c r="C53" i="1" l="1"/>
  <c r="C22" i="8"/>
  <c r="B19" i="8"/>
  <c r="B20" i="8" s="1"/>
  <c r="B31" i="1"/>
  <c r="D13" i="1"/>
  <c r="B22" i="8" l="1"/>
  <c r="C52"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PA-07 tracker</author>
  </authors>
  <commentList>
    <comment ref="K5" authorId="0" shapeId="0" xr:uid="{00000000-0006-0000-0300-000001000000}">
      <text>
        <r>
          <rPr>
            <sz val="11"/>
            <color theme="1"/>
            <rFont val="Calibri"/>
            <family val="2"/>
            <scheme val="minor"/>
          </rPr>
          <t>Unitemized = individual contributions of $200 or less, aggregated. This is a SUBSET of 'Individual — total' in the previous column, not an additional source of funds.</t>
        </r>
      </text>
    </comment>
    <comment ref="M5" authorId="0" shapeId="0" xr:uid="{00000000-0006-0000-0300-000002000000}">
      <text>
        <r>
          <rPr>
            <sz val="11"/>
            <color theme="1"/>
            <rFont val="Calibri"/>
            <family val="2"/>
            <scheme val="minor"/>
          </rPr>
          <t>Party-committee contributions ($5,000 for each nominee) are stated in the candidate notes field of sources/fec.json; the FEC fixed schema used by this project has no dedicated field for them.</t>
        </r>
      </text>
    </comment>
    <comment ref="N5" authorId="0" shapeId="0" xr:uid="{00000000-0006-0000-0300-000003000000}">
      <text>
        <r>
          <rPr>
            <sz val="11"/>
            <color theme="1"/>
            <rFont val="Calibri"/>
            <family val="2"/>
            <scheme val="minor"/>
          </rPr>
          <t>Transfers from another authorized committee, from the candidate notes field: Brooks $26,085.00; Mackenzie $1,779,199.14 (consistent with the wind-down of the joint committee MACKENZIE FOR CONGRESS-GTM NF PA07, C00858357).</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PA-07 tracker</author>
  </authors>
  <commentList>
    <comment ref="L5" authorId="0" shapeId="0" xr:uid="{00000000-0006-0000-0500-000001000000}">
      <text>
        <r>
          <rPr>
            <sz val="11"/>
            <color theme="1"/>
            <rFont val="Calibri"/>
            <family val="2"/>
            <scheme val="minor"/>
          </rPr>
          <t>Independent expenditures SUPPORTING this candidate, summed across all committees from OpenFEC /schedules/schedule_e/by_candidate/ with election_full=true (deduplicated aggregates, not raw itemized Schedule E lines).</t>
        </r>
      </text>
    </comment>
    <comment ref="N5" authorId="0" shapeId="0" xr:uid="{00000000-0006-0000-0500-000002000000}">
      <text>
        <r>
          <rPr>
            <sz val="11"/>
            <color theme="1"/>
            <rFont val="Calibri"/>
            <family val="2"/>
            <scheme val="minor"/>
          </rPr>
          <t>Total pro-candidate resources = own receipts + outside money supporting this candidate + outside money OPPOSING the opponent. Money spent attacking the opponent works in this candidate's favour, so it belongs on this side of the ledger.</t>
        </r>
      </text>
    </comment>
    <comment ref="P5" authorId="0" shapeId="0" xr:uid="{00000000-0006-0000-0500-000003000000}">
      <text>
        <r>
          <rPr>
            <sz val="11"/>
            <color theme="1"/>
            <rFont val="Calibri"/>
            <family val="2"/>
            <scheme val="minor"/>
          </rPr>
          <t>Two-party vote share = this candidate's votes / (Democratic + Republican votes). Third party and write-in votes are excluded so the four cycles stay comparable; 2018 had a Libertarian who took 3.0% of the total vote, the other three were effectively two-way.</t>
        </r>
      </text>
    </comment>
  </commentList>
</comments>
</file>

<file path=xl/sharedStrings.xml><?xml version="1.0" encoding="utf-8"?>
<sst xmlns="http://schemas.openxmlformats.org/spreadsheetml/2006/main" count="614" uniqueCount="388">
  <si>
    <t>PA-07 Campaign Finance — Where the Money Is</t>
  </si>
  <si>
    <t>Pennsylvania's 7th congressional district · Bob Brooks (D) vs Rep. Ryan Mackenzie (R) · general election 3 November 2026. Source: FEC / OpenFEC API.</t>
  </si>
  <si>
    <t>DATA VINTAGE — READ THIS FIRST</t>
  </si>
  <si>
    <t>Candidate committee totals current through</t>
  </si>
  <si>
    <t>2026-06-30</t>
  </si>
  <si>
    <t>FEC Form 3, July Quarterly, filed 2026-07-15</t>
  </si>
  <si>
    <t>Independent expenditures current through</t>
  </si>
  <si>
    <t>2026-08-19</t>
  </si>
  <si>
    <t>Reported continuously — fresher than the candidate totals</t>
  </si>
  <si>
    <t>Data retrieved</t>
  </si>
  <si>
    <t>2026-08-30T16:22:43Z</t>
  </si>
  <si>
    <t>Next candidate refresh: October Quarterly, ~2026-10-15</t>
  </si>
  <si>
    <t>MONEY AT A GLANCE</t>
  </si>
  <si>
    <t>Bob Brooks (D)</t>
  </si>
  <si>
    <t>Ryan Mackenzie (R)</t>
  </si>
  <si>
    <t>Mackenzie − Brooks</t>
  </si>
  <si>
    <t>Total receipts</t>
  </si>
  <si>
    <t xml:space="preserve">  less: transfers from another committee</t>
  </si>
  <si>
    <t>Receipts excluding transfers</t>
  </si>
  <si>
    <t>Disbursements</t>
  </si>
  <si>
    <t>Cash on hand</t>
  </si>
  <si>
    <t>Debts owed</t>
  </si>
  <si>
    <t>Burn rate (disbursed ÷ raised)</t>
  </si>
  <si>
    <t>OUTSIDE MONEY (INDEPENDENT EXPENDITURES)</t>
  </si>
  <si>
    <t>Amount</t>
  </si>
  <si>
    <t>Share of all outside money</t>
  </si>
  <si>
    <t>Committees</t>
  </si>
  <si>
    <t>Total independent expenditures, all committees</t>
  </si>
  <si>
    <t>Supporting Bob Brooks (D)</t>
  </si>
  <si>
    <t>Opposing Bob Brooks (D)</t>
  </si>
  <si>
    <t>Supporting Ryan Mackenzie (R)</t>
  </si>
  <si>
    <t>Opposing Ryan Mackenzie (R)</t>
  </si>
  <si>
    <t>WHAT THE NUMBERS SAY</t>
  </si>
  <si>
    <t>Finding</t>
  </si>
  <si>
    <t>Figure</t>
  </si>
  <si>
    <t>Mackenzie's cash-on-hand advantage over Brooks</t>
  </si>
  <si>
    <t>Headline receipts gap (Mackenzie − Brooks)</t>
  </si>
  <si>
    <t>…but the gap in money actually raised this cycle, once the wound-down joint committee's transfer is set aside</t>
  </si>
  <si>
    <t>Share of Mackenzie's receipts that is that single transfer</t>
  </si>
  <si>
    <t>Total outside money in the race</t>
  </si>
  <si>
    <t>…of which the single largest committee (STRONGER TOGETHER PA) accounts for</t>
  </si>
  <si>
    <t>Independent expenditure SUPPORTING Ryan Mackenzie — a reported absence, not missing data</t>
  </si>
  <si>
    <t>Brooks's small-dollar (≤$200) contributions as a share of his receipts</t>
  </si>
  <si>
    <t>Mackenzie's small-dollar (≤$200) contributions as a share of his receipts</t>
  </si>
  <si>
    <t>TWO FACTS THE MONEY MUST BE READ WITH</t>
  </si>
  <si>
    <t>1. THE TWO HALVES ARE NOT AS-OF THE SAME DATE. Candidate totals come from the July Quarterly and stop at 2026-06-30 — already about two months stale when retrieved, and widening until the October Quarterly (~15 Oct, covering through 30 Sep). Independent expenditures report continuously and are fresher. Do not compare a candidate figure and an outside-money figure as though they were measured on the same day.</t>
  </si>
  <si>
    <t>2. MOST OF THIS MONEY WAS NOT SPENT ON THIS FIGHT. Of the ~$2.78M in outside spending, the two largest committees spent between 6 and 18 May 2026, inside the contested five-way DEMOCRATIC PRIMARY — not against Mackenzie. And ~$1.78M of Mackenzie's receipts is a transfer from a wound-down joint fundraising committee, not fresh donor money. The naive reading — 'Mackenzie raised $4.36M to Brooks's $2.39M' — is wrong in a way that changes the conclusion.</t>
  </si>
  <si>
    <t>Green figures are links to other sheets in this workbook; navy figures are computed here. Nothing on this sheet is typed in by hand — every number traces back to sources/fec.json through the Candidate Totals and Outside Money sheets.</t>
  </si>
  <si>
    <t>THE LAST FOUR ELECTIONS — DOES MONEY PREDICT THE RESULT?</t>
  </si>
  <si>
    <t>2018</t>
  </si>
  <si>
    <t>2020</t>
  </si>
  <si>
    <t>2022</t>
  </si>
  <si>
    <t>2024</t>
  </si>
  <si>
    <t>Democratic share of candidate receipts</t>
  </si>
  <si>
    <t>Democratic share of total resources (incl. outside)</t>
  </si>
  <si>
    <t>Democratic two-party vote share</t>
  </si>
  <si>
    <t>Democratic result</t>
  </si>
  <si>
    <t>WON</t>
  </si>
  <si>
    <t>LOST</t>
  </si>
  <si>
    <t>Correlation r — candidate receipts share vs vote share (Model A)</t>
  </si>
  <si>
    <t>Correlation r — total resources share vs vote share (Model B)</t>
  </si>
  <si>
    <t>MONEY HAS NOT PREDICTED THIS SEAT. Across the last four elections the Democratic share of candidate fundraising is essentially uncorrelated with the Democratic share of the vote. 2024 settles it on its own: Susan Wild raised 83% of all candidate money in the race and lost. Counting outside money as well (Model B) produces a positive relationship, but at n = 4 it is not statistically distinguishable from chance, and it is driven by 2018 — a Democratic wave year against a barely funded Republican.</t>
  </si>
  <si>
    <t>WHAT DID MOVE WITH THE RESULT was the national environment and the district's rightward drift: the Democratic two-party vote share fell in every one of the four cycles, from 55.2% to 49.5%, while Democratic money rose. See the History Charts and Money vs Results sheets.</t>
  </si>
  <si>
    <t>Where the Money Is — charts</t>
  </si>
  <si>
    <t>Every series below is linked to the data sheets. Chart source data sits in columns R–Z of this sheet.</t>
  </si>
  <si>
    <t>CHART 1 SOURCE — war chest</t>
  </si>
  <si>
    <t>Metric</t>
  </si>
  <si>
    <t>Receipts</t>
  </si>
  <si>
    <t>CHART 2 SOURCE — receipts composition</t>
  </si>
  <si>
    <t>Candidate</t>
  </si>
  <si>
    <t>Individual — itemized</t>
  </si>
  <si>
    <t>Individual — unitemized (≤$200)</t>
  </si>
  <si>
    <t>PAC / other pol. cmte</t>
  </si>
  <si>
    <t>Party committee</t>
  </si>
  <si>
    <t>Transfer from other cmte</t>
  </si>
  <si>
    <t>Self-funding</t>
  </si>
  <si>
    <t>Other / unclassified</t>
  </si>
  <si>
    <t>CHART 3 SOURCE — headline gap vs money actually raised</t>
  </si>
  <si>
    <t>Measure</t>
  </si>
  <si>
    <t>Receipts as reported</t>
  </si>
  <si>
    <t>CHART 4 SOURCE — ten largest outside spenders</t>
  </si>
  <si>
    <t>Committee</t>
  </si>
  <si>
    <t>Independent expenditure</t>
  </si>
  <si>
    <t>Stronger Together PA (supporting Brooks)</t>
  </si>
  <si>
    <t>Lead Left PAC (opposing Brooks)</t>
  </si>
  <si>
    <t>Jobs and Democracy PAC (supporting Brooks)</t>
  </si>
  <si>
    <t>Congressional Progressive Caucus PAC (supporting Brooks)</t>
  </si>
  <si>
    <t>Medicare for All (supporting Brooks)</t>
  </si>
  <si>
    <t>DLP PAC (supporting Brooks)</t>
  </si>
  <si>
    <t>Make the Road Action Political Committee (supporting Brooks)</t>
  </si>
  <si>
    <t>Blue Majority Project (supporting Brooks)</t>
  </si>
  <si>
    <t>Seniors Empowering an Effective Democracy (SEED-PAC) (supporting Brooks)</t>
  </si>
  <si>
    <t>Blue Battleground Project (supporting Brooks)</t>
  </si>
  <si>
    <t>CHART 5 SOURCE — outside money by target and stance</t>
  </si>
  <si>
    <t>Bucket</t>
  </si>
  <si>
    <t>Supporting Brooks (D)</t>
  </si>
  <si>
    <t>Opposing Brooks (D)</t>
  </si>
  <si>
    <t>Supporting Mackenzie (R)</t>
  </si>
  <si>
    <t>Opposing Mackenzie (R)</t>
  </si>
  <si>
    <t>CHART 6 SOURCE — concentration of outside money</t>
  </si>
  <si>
    <t>Outside spending</t>
  </si>
  <si>
    <t>Stronger Together PA</t>
  </si>
  <si>
    <t>Lead Left PAC</t>
  </si>
  <si>
    <t>Jobs and Democracy PAC</t>
  </si>
  <si>
    <t>Congressional Progressive Caucus PAC</t>
  </si>
  <si>
    <t>Medicare for All</t>
  </si>
  <si>
    <t>DLP PAC</t>
  </si>
  <si>
    <t>All other (23 committees)</t>
  </si>
  <si>
    <t>Chart 2: the orange band is the transfer from the wound-down joint fundraising committee — money moved between committees, not raised from donors this cycle.</t>
  </si>
  <si>
    <t>Chart 4: red bars are spending AGAINST a candidate. The largest of them opposed Brooks during the Democratic primary, when his opponents were other Democrats — it is not Republican outside support.</t>
  </si>
  <si>
    <t>Chart 5: the $0 supporting Mackenzie is a reported absence in FEC records as of retrieval, not a gap in this data.</t>
  </si>
  <si>
    <t>Charts 4–6 mix spending from the primary and general-election periods; see the timing caveat on the Summary sheet.</t>
  </si>
  <si>
    <t>Where the Money Came From</t>
  </si>
  <si>
    <t>Composition of each nominee's receipts, and what changes when the committee transfer is set aside.</t>
  </si>
  <si>
    <t>SOURCE OF FUNDS</t>
  </si>
  <si>
    <t>Source of funds</t>
  </si>
  <si>
    <t>Brooks — share of receipts</t>
  </si>
  <si>
    <t>Mackenzie — share of receipts</t>
  </si>
  <si>
    <t>Individual — itemized (over $200)</t>
  </si>
  <si>
    <t>Individual — unitemized ($200 or less)</t>
  </si>
  <si>
    <t>PAC / other political committee</t>
  </si>
  <si>
    <t>Transfers from another authorized committee</t>
  </si>
  <si>
    <t>Candidate self-funding</t>
  </si>
  <si>
    <t>TOTAL RECEIPTS</t>
  </si>
  <si>
    <t>Reconciliation check: TOTAL RECEIPTS above is built from the components and must equal the receipts the FEC reports. The check row below recomputes the difference independently.</t>
  </si>
  <si>
    <t>Check: components − reported receipts (must be $0)</t>
  </si>
  <si>
    <t>THE HEADLINE GAP, AND WHAT IS ACTUALLY IN IT</t>
  </si>
  <si>
    <t>Headline receipts (as reported)</t>
  </si>
  <si>
    <t>less: transfers from another authorized committee</t>
  </si>
  <si>
    <t>Receipts excluding committee transfers</t>
  </si>
  <si>
    <t>Mackenzie's reported receipts lead Brooks by the amount in D19. Once the transfer from the wound-down joint fundraising committee is set aside, the gap in genuinely new money raised this cycle is the figure in D21 — a different race entirely.</t>
  </si>
  <si>
    <t>SMALL-DOLLAR RELIANCE</t>
  </si>
  <si>
    <t>Unitemized contributions ($200 or less)</t>
  </si>
  <si>
    <t>as % of total receipts</t>
  </si>
  <si>
    <t>as % of individual contributions</t>
  </si>
  <si>
    <t>SPENDING PACE AND WAR CHEST</t>
  </si>
  <si>
    <t>Cash on hand ÷ receipts</t>
  </si>
  <si>
    <t>Green figures are links to the Candidate Totals sheet. Black figures are computed here.</t>
  </si>
  <si>
    <t>Debts are amounts the committee owes; they are not netted out of cash on hand.</t>
  </si>
  <si>
    <t>Candidate Committee Totals — PA-07, 2026 cycle</t>
  </si>
  <si>
    <t>FEC Form 3 'JULY QUARTERLY 2026' (filed 2026-07-15), cycle-to-date. Coverage through 2026-06-30. Retrieved 2026-08-30T16:22:43Z.</t>
  </si>
  <si>
    <t>CANDIDATE TOTALS — 2026 CYCLE</t>
  </si>
  <si>
    <t>Party</t>
  </si>
  <si>
    <t>Incumbent</t>
  </si>
  <si>
    <t>Filed?</t>
  </si>
  <si>
    <t>Coverage through</t>
  </si>
  <si>
    <t>Debts</t>
  </si>
  <si>
    <t>Individual — total</t>
  </si>
  <si>
    <t xml:space="preserve">  of which: unitemized (≤$200)</t>
  </si>
  <si>
    <t>Transfers from other auth. cmte</t>
  </si>
  <si>
    <t>Other / unclassified (derived)</t>
  </si>
  <si>
    <t>Bob Brooks</t>
  </si>
  <si>
    <t>DEM</t>
  </si>
  <si>
    <t>no</t>
  </si>
  <si>
    <t>yes</t>
  </si>
  <si>
    <t>Ryan Mackenzie</t>
  </si>
  <si>
    <t>REP</t>
  </si>
  <si>
    <t>Frank Golden</t>
  </si>
  <si>
    <t>UN</t>
  </si>
  <si>
    <t>never filed</t>
  </si>
  <si>
    <t>—</t>
  </si>
  <si>
    <t>Aiden Alexander Gonzalez</t>
  </si>
  <si>
    <t>Michael Ramon Granados Jr.</t>
  </si>
  <si>
    <t>IND</t>
  </si>
  <si>
    <t>Lewis Shupe</t>
  </si>
  <si>
    <t>TOTAL</t>
  </si>
  <si>
    <t>HOW TO READ THIS TABLE</t>
  </si>
  <si>
    <t>• Four of the six declared candidates have never filed a periodic financial report. Their cells are BLANK, not $0 — the FEC reports no data, which is not the same as a confirmed zero. SUM() ignores blanks, so the TOTAL row is the two nominees only.</t>
  </si>
  <si>
    <t>• 'of which: unitemized' is a subset of 'Individual — total'. Do not add it to the other source columns; doing so double-counts.</t>
  </si>
  <si>
    <t>• 'Other / unclassified' is the residual: Receipts − (Individual + PAC + Party committee + Transfers + Self-funding). It is a formula, not a reported FEC field.</t>
  </si>
  <si>
    <t>• Mackenzie's $0 self-funding is a reported zero (rendered '—'); the blank rows above are absent data. The 'Filed?' column tells the two apart.</t>
  </si>
  <si>
    <t>• Blue figures are values taken directly from the FEC extraction. Black figures are computed by formula.</t>
  </si>
  <si>
    <t>Outside Money — independent expenditures, PA-07 2026</t>
  </si>
  <si>
    <t>OpenFEC schedules/schedule_e/by_candidate deduplicated aggregate (cycle 2026), plus one manually added 24-hour notice. Sorted largest first.</t>
  </si>
  <si>
    <t>INDEPENDENT EXPENDITURES</t>
  </si>
  <si>
    <t>Target candidate</t>
  </si>
  <si>
    <t>Stance</t>
  </si>
  <si>
    <t>As of</t>
  </si>
  <si>
    <t>STRONGER TOGETHER PA</t>
  </si>
  <si>
    <t>Support</t>
  </si>
  <si>
    <t>LEAD LEFT PAC</t>
  </si>
  <si>
    <t>Oppose</t>
  </si>
  <si>
    <t>JOBS AND DEMOCRACY PAC</t>
  </si>
  <si>
    <t>CONGRESSIONAL PROGRESSIVE CAUCUS PAC</t>
  </si>
  <si>
    <t>MEDICARE FOR ALL</t>
  </si>
  <si>
    <t>MAKE THE ROAD ACTION POLITICAL COMMITTEE</t>
  </si>
  <si>
    <t>BLUE MAJORITY PROJECT</t>
  </si>
  <si>
    <t>SENIORS EMPOWERING AN EFFECTIVE DEMOCRACY (SEED-PAC)</t>
  </si>
  <si>
    <t>BLUE BATTLEGROUND PROJECT</t>
  </si>
  <si>
    <t>KITCHEN TABLE VALUES PAC</t>
  </si>
  <si>
    <t>YOUTH SAVE DEMOCRACY PAC</t>
  </si>
  <si>
    <t>MAJORITY BLUE PAC</t>
  </si>
  <si>
    <t>BLUE SHIFT PAC</t>
  </si>
  <si>
    <t>FF PAC</t>
  </si>
  <si>
    <t>WORKING FAMILIES PARTY PAC</t>
  </si>
  <si>
    <t>DEMOCRATIC FUTURE PAC</t>
  </si>
  <si>
    <t>INDIGO PAC</t>
  </si>
  <si>
    <t>ACTIVATE AMERICA</t>
  </si>
  <si>
    <t>RURAL FREEDOM NETWORK</t>
  </si>
  <si>
    <t>FIELD TEAM 6, INC.</t>
  </si>
  <si>
    <t>BLUE DEMOCRACY NETWORK</t>
  </si>
  <si>
    <t>BLUE MAJORITY MAKERS PAC</t>
  </si>
  <si>
    <t>SURJ PAC</t>
  </si>
  <si>
    <t>PLANNED PARENTHOOD VOTES</t>
  </si>
  <si>
    <t>THE PEOPLE UNITED PAC</t>
  </si>
  <si>
    <t>GIVEGREEN UNITED ACTION</t>
  </si>
  <si>
    <t>BY TARGET AND STANCE</t>
  </si>
  <si>
    <t>Target</t>
  </si>
  <si>
    <t>Share</t>
  </si>
  <si>
    <t>HOW TO READ OUTSIDE MONEY</t>
  </si>
  <si>
    <t>• TIMING. Independent expenditures report continuously, so this table is FRESHER than the candidate totals, which stop at 2026-06-30. The two halves of this workbook are not as-of the same date.</t>
  </si>
  <si>
    <t>• WHAT THE MONEY WAS FOR. Spot-checks of the itemized Schedule E records for the largest committees (STRONGER TOGETHER PA, LEAD LEFT PAC) show expenditure dates clustered 2026-05-06 to 2026-05-18 — immediately before Pennsylvania's mid-May primary. Most of the money on this sheet was therefore spent inside the contested five-way DEMOCRATIC PRIMARY, not against Mackenzie in the general election.</t>
  </si>
  <si>
    <t>• 'Opposing Bob Brooks' is NOT the same as 'helping Ryan Mackenzie'. The largest opposing-Brooks committee (LEAD LEFT PAC, $312,371.76) spent during the Democratic primary, when Brooks's opponents were other Democrats. Do not read this bucket as Republican outside support.</t>
  </si>
  <si>
    <t>• Not one dollar of independent expenditure SUPPORTING Ryan Mackenzie appears in FEC records as of retrieval. The $0 in that bucket is a real, reported absence, not missing data.</t>
  </si>
  <si>
    <t>• DEDUPLICATION. These are OpenFEC's by_candidate aggregates, which reconcile amendments and superseding filings. A naive sum of raw itemized Schedule E line items totals roughly $5.9M — materially higher, and wrong.</t>
  </si>
  <si>
    <t>• The $11,000 SEED-PAC row (as of 2026-08-19) was added by hand from an itemized 24-hour notice that the aggregate endpoint had not yet absorbed. Re-check it on the next extraction to avoid double-counting.</t>
  </si>
  <si>
    <t>PA-07 General Elections, 2018–2024 — Finance and Results</t>
  </si>
  <si>
    <t>Final full-cycle FEC committee totals and official certified vote totals. Retrieved 2026-09-07T17:37:40Z. One row per candidate per election.</t>
  </si>
  <si>
    <t>GENERAL-ELECTION NOMINEES — FINANCE AND RESULTS</t>
  </si>
  <si>
    <t>Cycle</t>
  </si>
  <si>
    <t>Election date</t>
  </si>
  <si>
    <t>District map era</t>
  </si>
  <si>
    <t>Incumbent?</t>
  </si>
  <si>
    <t>Cash on hand (end of cycle)</t>
  </si>
  <si>
    <t>Individual contributions</t>
  </si>
  <si>
    <t>PAC contributions</t>
  </si>
  <si>
    <t>Outside $ SUPPORTING</t>
  </si>
  <si>
    <t>Outside $ OPPOSING</t>
  </si>
  <si>
    <t>Total pro-candidate resources</t>
  </si>
  <si>
    <t>General votes</t>
  </si>
  <si>
    <t>Two-party vote share</t>
  </si>
  <si>
    <t>Winner</t>
  </si>
  <si>
    <t>Receipts per vote</t>
  </si>
  <si>
    <t>Total resources per vote</t>
  </si>
  <si>
    <t>2018-11-06</t>
  </si>
  <si>
    <t>2018 PA Supreme Court remap (Lehigh Valley: Lehigh, Northampton, s. Monroe)</t>
  </si>
  <si>
    <t>Susan Wild</t>
  </si>
  <si>
    <t>Marty Nothstein</t>
  </si>
  <si>
    <t>lost</t>
  </si>
  <si>
    <t>2020-11-03</t>
  </si>
  <si>
    <t>Lisa Scheller</t>
  </si>
  <si>
    <t>2022-11-08</t>
  </si>
  <si>
    <t>2022 post-census remap (Lehigh, Northampton, Carbon, part of Monroe)</t>
  </si>
  <si>
    <t>2024-11-05</t>
  </si>
  <si>
    <t>TOTAL VOTES CAST, AND WHAT IS EXCLUDED FROM TWO-PARTY SHARE</t>
  </si>
  <si>
    <t>Total votes cast</t>
  </si>
  <si>
    <t>Third-party / scattered</t>
  </si>
  <si>
    <t>Third-party share</t>
  </si>
  <si>
    <t>Vote reconciliation</t>
  </si>
  <si>
    <t>All candidates on the ballot</t>
  </si>
  <si>
    <t>Check: two-party votes + third-party = total votes cast, for every cycle that reports one</t>
  </si>
  <si>
    <t>HOW TO READ THIS SHEET</t>
  </si>
  <si>
    <t>• Unlike the 2026 figures elsewhere in this workbook, these are FINAL full-cycle totals (through 31 December of each election year). They are not mid-cycle snapshots and will not change.</t>
  </si>
  <si>
    <t>• DISTRICT BOUNDARIES CHANGED INSIDE THIS WINDOW. 2018 and 2020 ran on the 2018 PA Supreme Court remap; 2022 and 2024 on the post-2020-census remap, which added Carbon County and altered the Monroe County portion. The seat is Lehigh Valley-based throughout, so the cycles are broadly comparable — but they are not the identical electorate, and this is the main reason to treat the trend line as indicative rather than exact.</t>
  </si>
  <si>
    <t>• 2018 IS THE WEAKEST DATA POINT. Susan Wild contested two races that day: the full term in the NEW PA-07 and the unexpired-term special election in the OLD PA-15. One committee financed both, so her 2018 receipts cannot be cleanly attributed to the PA-07 general. The vote figures used are the full-term (new PA-07) race.</t>
  </si>
  <si>
    <t>• Wild's 2018 FEC candidate record is filed under district 15, not 07. Querying the FEC for district=07, cycle=2018 returns the Republican but silently OMITS the Democratic winner. Her totals here were pulled directly by candidate ID.</t>
  </si>
  <si>
    <t>• 2024 THIRD-PARTY VOTES ARE UNKNOWN, NOT ZERO. The Clerk of the House summary lists only the two major-party nominees and reports no all-candidate district total, so those cells are blank and shaded. The 2018-2022 rows come from FEC files that do report an all-candidate total. Two-party vote share — what the analysis actually uses — is unaffected.</t>
  </si>
  <si>
    <t>• Blue figures are values from the FEC API or the official results files. Black figures are computed by formula from them.</t>
  </si>
  <si>
    <t>Money and Results, 2018–2024</t>
  </si>
  <si>
    <t>Every series links to the History and Money vs Results sheets. Chart source data sits in columns R–V.</t>
  </si>
  <si>
    <t>CHART SOURCE — total money in the race</t>
  </si>
  <si>
    <t>Pro-Democratic money</t>
  </si>
  <si>
    <t>Pro-Republican money</t>
  </si>
  <si>
    <t>CHART SOURCE — candidate committee receipts</t>
  </si>
  <si>
    <t>Democratic nominee</t>
  </si>
  <si>
    <t>Republican nominee</t>
  </si>
  <si>
    <t>CHART SOURCE — resource share vs vote share (Model B)</t>
  </si>
  <si>
    <t>D share of total resources</t>
  </si>
  <si>
    <t>D two-party vote share</t>
  </si>
  <si>
    <t>CHART SOURCE — receipts share vs vote share (Model A)</t>
  </si>
  <si>
    <t>D share of candidate receipts</t>
  </si>
  <si>
    <t>CHART SOURCE — Democratic two-party vote share</t>
  </si>
  <si>
    <t>50% (win threshold)</t>
  </si>
  <si>
    <t>CHART SOURCE — candidate money vs outside money</t>
  </si>
  <si>
    <t>Candidate committee money</t>
  </si>
  <si>
    <t>Outside money (independent expenditures)</t>
  </si>
  <si>
    <t>CHART SOURCE — receipts per vote received</t>
  </si>
  <si>
    <t>2018 Wild (D)</t>
  </si>
  <si>
    <t>2018 Nothstein (R)</t>
  </si>
  <si>
    <t>2020 Wild (D)</t>
  </si>
  <si>
    <t>2020 Scheller (R)</t>
  </si>
  <si>
    <t>2022 Wild (D)</t>
  </si>
  <si>
    <t>2022 Scheller (R)</t>
  </si>
  <si>
    <t>2024 Wild (D)</t>
  </si>
  <si>
    <t>2024 Mackenzie (R)</t>
  </si>
  <si>
    <t>Chart 1: total money in this seat grew from $6.9M in 2018 to $37.1M in 2024 — a 5.3-fold increase in six years.</t>
  </si>
  <si>
    <t>Charts 3 and 4: each point is one election. The fitted line and R² are drawn by Excel from the same four points; with n=4 they describe the sample and cannot support an inference. Point-to-year mapping is in the source table at R17 and R24.</t>
  </si>
  <si>
    <t>Chart 4 is the important one: the Democratic share of candidate fundraising carries essentially no information about the result. In 2024 Wild raised 83% of all candidate money and lost the seat.</t>
  </si>
  <si>
    <t>Chart 6: independent expenditures were a minority of the money in 2018 and 2020, and the clear majority by 2022–2024. Reading candidate receipts alone now misses most of the spending.</t>
  </si>
  <si>
    <t>Chart 7: in 2024 Wild's committee spent $44.89 per vote she received; Mackenzie's spent $8.93 — and Mackenzie won.</t>
  </si>
  <si>
    <t>Does Money Predict the Result in PA-07?</t>
  </si>
  <si>
    <t>Four elections, 2018–2024. Democratic share of money against Democratic share of the two-party vote. All figures link to the History sheet.</t>
  </si>
  <si>
    <t>CYCLE-LEVEL SUMMARY</t>
  </si>
  <si>
    <t>Election cycle</t>
  </si>
  <si>
    <t>D candidate receipts</t>
  </si>
  <si>
    <t>R candidate receipts</t>
  </si>
  <si>
    <t>Total pro-D resources</t>
  </si>
  <si>
    <t>Total pro-R resources</t>
  </si>
  <si>
    <t>CORRELATION AND LINEAR REGRESSION</t>
  </si>
  <si>
    <t>Statistic</t>
  </si>
  <si>
    <t>Model A — candidate receipts only</t>
  </si>
  <si>
    <t>Model B — total resources (candidate + outside)</t>
  </si>
  <si>
    <t>Observations (n)</t>
  </si>
  <si>
    <t>Pearson correlation r</t>
  </si>
  <si>
    <t>R² (variance explained)</t>
  </si>
  <si>
    <t>Slope (Δ vote share per 1.0 of money share)</t>
  </si>
  <si>
    <t>Intercept</t>
  </si>
  <si>
    <t>Standard error of the slope</t>
  </si>
  <si>
    <t>t-statistic for the slope</t>
  </si>
  <si>
    <t>p-value (two-tailed)</t>
  </si>
  <si>
    <t>Degrees of freedom</t>
  </si>
  <si>
    <t>Statistically significant at p &lt; 0.05?</t>
  </si>
  <si>
    <t>MODEL B — FITTED VALUES AND RESIDUALS</t>
  </si>
  <si>
    <t>Actual D two-party vote share</t>
  </si>
  <si>
    <t>Predicted by Model B</t>
  </si>
  <si>
    <t>Residual (actual − predicted)</t>
  </si>
  <si>
    <t>WHAT THIS DOES AND DOES NOT ESTABLISH</t>
  </si>
  <si>
    <t>n = 4. THIS CANNOT SUPPORT A STATISTICAL CLAIM. With four elections and two fitted parameters there are two degrees of freedom, and the confidence interval on the slope is wider than any effect it could detect. The regression is reported because it was asked for and because it disciplines the description — not because it licenses an inference. Treat every figure above as descriptive.</t>
  </si>
  <si>
    <t>MODEL A IS THE ONE THAT MATTERS, AND IT FINDS NOTHING. The Democratic share of CANDIDATE fundraising has essentially no relationship to the Democratic share of the vote in this district (r² near zero). 2024 is decisive on its own: Susan Wild raised 83% of all candidate money in the race and lost it.</t>
  </si>
  <si>
    <t>MODEL B DOES BETTER BECAUSE IT COUNTS THE OUTSIDE MONEY. Once independent expenditures are added — including money spent attacking the opponent — the relationship turns positive and explains a meaningful share of the variance. But it is still not significant at n = 4, and the ordering is dominated by 2018, a Democratic wave year in which the Republican was barely funded.</t>
  </si>
  <si>
    <t>THE CAUSATION RUNS BOTH WAYS, AND MOSTLY BACKWARDS. Money flows toward races that are already expected to be close, and toward candidates already expected to win. A positive correlation between money and votes would be as consistent with 'donors can spot a winner' as with 'spending buys votes'. Nothing in this design separates the two.</t>
  </si>
  <si>
    <t>THE OMITTED VARIABLE IS THE NATIONAL ENVIRONMENT. 2018 was a Democratic wave; 2024 was a Republican-leaning presidential year in a district trending right. Those two facts explain the vote-share series far better than money does, and they are not in the model.</t>
  </si>
  <si>
    <t>Notes, Sources and Known Limitations</t>
  </si>
  <si>
    <t>Reproduced from sources/fec.json. Nothing here is editorial: it is the extraction's own record of what it does and does not establish.</t>
  </si>
  <si>
    <t>SOURCE</t>
  </si>
  <si>
    <t>Source: FEC / OpenFEC API</t>
  </si>
  <si>
    <t>URL: https://www.fec.gov/data/elections/house/PA/07/2026/</t>
  </si>
  <si>
    <t>Cycle: 2026</t>
  </si>
  <si>
    <t>Coverage through: 2026-06-30</t>
  </si>
  <si>
    <t>Retrieved (UTC): 2026-08-30T16:22:43Z</t>
  </si>
  <si>
    <t>Endpoints used: /v1/candidates/search/ · /v1/candidate/{id}/totals/ · /v1/candidate/{id}/committees/ · /v1/schedules/schedule_e/</t>
  </si>
  <si>
    <t>EXTRACTION NOTES</t>
  </si>
  <si>
    <t>• Coverage_through (2026-06-30) reflects the most recent PERIODIC financial report (FEC Form 3, 'JULY QUARTERLY 2026', filed 2026-07-15) for both major-party nominees' principal committees. As of retrieval (2026-08-30), that is roughly 2 months stale; the next scheduled disclosure is the OCTOBER QUARTERLY report (due on/around 2026-10-15, covering through 2026-09-30).</t>
  </si>
  <si>
    <t>• Both candidates have filed newer non-financial-summary documents since June 30, 2026 (e.g. Brooks filed a Statement of Organization amendment on 2026-08-20; both campaigns have filed periodic 48-Hour Notices of Contributions/Loans around the primary), but these do not update the aggregate receipts/disbursements/cash-on-hand totals shown here.</t>
  </si>
  <si>
    <t>• Bob Brooks (D) won a contested 5-candidate Democratic primary; the other Democratic primary candidates (Ryan Crosswell, Lamont McClure, Carol Obando-Derstine, Mark Pinsley) are not included as candidate entries above because they are not on the 2026 general-election ballot, but their FEC candidate IDs are C00907667/H6PA07162, C00898544/H6PA07147, C00903963/H6PA07154, and C00913947/H6PA07170 respectively, for reference.</t>
  </si>
  <si>
    <t>• Ryan Mackenzie (R) is the incumbent, having defeated then-Rep. Susan Wild (D) in 2024; Wild is not a 2026 candidate (FEC candidate_status = prior-cycle candidate, H8PA15229).</t>
  </si>
  <si>
    <t>• Independent-expenditure totals in 'independent_expenditures' come from OpenFEC's schedules/schedule_e/by_candidate aggregate (deduplicated, i.e. amendments/superseding filings already reconciled), queried for cycle=2026. A naive sum of raw itemized schedule_e line items for these two candidates totals roughly $5.9M, materially higher than the ~$2.76M deduplicated aggregate, because raw itemized records include amended/superseded filings; the deduplicated by_candidate totals are the ones used here.</t>
  </si>
  <si>
    <t>• Spot-checking the underlying itemized Schedule E records for the largest committees (e.g. STRONGER TOGETHER PA supporting Brooks, LEAD LEFT PAC opposing Brooks) shows expenditure dates clustered between 2026-05-06 and 2026-05-18 -- i.e. immediately before Pennsylvania's 2026 primary (inferred to be mid-May 2026 based on FEC 'PRE-PRIMARY 2026' reports covering periods ending 2026-04-29). This strongly suggests the great majority of the ~$2.76M in outside spending found here was primary-season spending (aimed at the multi-candidate Democratic primary), not general-election spending in the Brooks-vs-Mackenzie race. Post-primary (after 2026-05-19) itemized IE activity located for these two candidates was comparatively minor: a handful of small-dollar entries in June 2026 (e.g. Field Team 6 $638.30 and GiveGreen United Action $36.54 supporting Brooks; Planned Parenthood Votes $85.38 opposing Mackenzie) plus one larger, more recent item: an $11,000 pro-Brooks independent expenditure by Seniors Empowering an Effective Democracy (SEED-PAC), reported via a 24-hour notice filed 2026-08-19 (not yet reflected in the by_candidate aggregate; listed separately in independent_expenditures).</t>
  </si>
  <si>
    <t>• No independent expenditures supporting Ryan Mackenzie were found in FEC records as of retrieval; all $12,352.62 in IE activity referencing him was in opposition (mostly small-dollar and primary-period).</t>
  </si>
  <si>
    <t>• No independent expenditure activity was found for the four no-fundraising minor/independent candidates (Golden, Gonzalez, Granados, Shupe).</t>
  </si>
  <si>
    <t>• 'Self-funding' = FEC 'candidate_contribution' (candidate's own money loaned/contributed to their committee this cycle), not candidate personal wealth.</t>
  </si>
  <si>
    <t>• 'pac_contributions' = FEC 'other_political_committee_contributions' (traditional multicandidate/PAC money); this excludes party-committee contributions and inter-committee transfers, which are called out separately in each candidate's notes field since the fixed schema has no dedicated field for them.</t>
  </si>
  <si>
    <t>KNOWN LIMITATIONS / EXTRACTION PROBLEMS</t>
  </si>
  <si>
    <t>! Precise dollar split of independent-expenditure spending between the primary period and the general-election period could not be computed exhaustively (would require reconciling all itemized Schedule E records, including amendments, against exact PA primary election-day boundaries); the primary-vs-general characterization above is based on spot-checking the top committees' itemized records, not a full reconciliation.</t>
  </si>
  <si>
    <t>! OpenFEC's schedules/schedule_e/by_candidate aggregate had not yet incorporated the 2026-08-19 SEED-PAC $11,000 pro-Brooks 24-hour notice at the time of retrieval; it was added to independent_expenditures manually from the itemized schedule_e record rather than the aggregate endpoint.</t>
  </si>
  <si>
    <t>! No FEC financial totals exist for declared candidates Frank Golden, Aiden Alexander Gonzalez, Michael Ramon Granados Jr., and Lewis Shupe (empty results from /candidate/{id}/totals/); their financial fields are null rather than 0, since 'no report filed' is not the same as a confirmed zero.</t>
  </si>
  <si>
    <t>PER-CANDIDATE NOTES</t>
  </si>
  <si>
    <t>Bob Brooks (DEM) — committee C00917096</t>
  </si>
  <si>
    <t>Democratic nominee; won a contested 5-way primary (also ran Ryan Crosswell, Lamont McClure, Carol Obando-Derstine, Mark Pinsley). Figures are cycle-to-date (coverage_start 2025-07-01) per FEC JULY QUARTERLY 2026 report, filed 2026-07-15. Also received $5,000 from party committees and $26,085.00 in transfers from another authorized committee (not broken out in the fixed schema). Individual unitemized (small-dollar, &lt;=$200 aggregated) contributions were $599,386.78, i.e. 25.1% of total receipts / 30.9% of individual contributions. 21 total FEC filings on record for committee C00917096. Self-funding of $3,500 is minimal.</t>
  </si>
  <si>
    <t>Ryan Mackenzie (REP) — committee C00846501</t>
  </si>
  <si>
    <t>Incumbent (first elected 2024, defeating Susan Wild); ran unopposed in the Republican primary. Figures are cycle-to-date (coverage_start 2025-01-01) per FEC JULY QUARTERLY 2026 report, filed 2026-07-15. Includes an unusually large $1,779,199.14 in transfers from another authorized committee (not broken out in the fixed schema) -- consistent with the wind-down of a former joint committee, 'MACKENZIE FOR CONGRESS-GTM NF PA07' (C00858357), which stopped filing in early 2025. Also received $5,000 from party committees. Individual unitemized (small-dollar, &lt;=$200 aggregated) contributions were $554,133.97, i.e. 12.7% of total receipts / 37.1% of individual contributions. No candidate self-funding reported. 55 total FEC filings on record for committee C00846501 (committee active since the 2024 cycle).</t>
  </si>
  <si>
    <t>Frank Golden (UN) — committee C00935189</t>
  </si>
  <si>
    <t>Declared candidate (Unaffiliated), committee registered but has never filed a periodic financial report; FEC lists no fundraising activity (has_raised_funds=false) as of retrieval.</t>
  </si>
  <si>
    <t>Aiden Alexander Gonzalez (DEM) — committee C00932301</t>
  </si>
  <si>
    <t>Declared Democratic candidate, committee registered but has never filed a periodic financial report; FEC lists no fundraising activity (has_raised_funds=false) as of retrieval. Did not appear to contest the Democratic primary that Brooks won.</t>
  </si>
  <si>
    <t>Michael Ramon Granados Jr. (IND) — committee none on file</t>
  </si>
  <si>
    <t>Declared candidate (Independent); no principal committee on file and no fundraising activity reported (has_raised_funds=false) as of retrieval.</t>
  </si>
  <si>
    <t>Lewis Shupe (IND) — committee C00857995</t>
  </si>
  <si>
    <t>Declared candidate (Independent), committee registered but has never filed a periodic financial report; FEC lists no fundraising activity (has_raised_funds=false) as of retrieval.</t>
  </si>
  <si>
    <t>METHOD USED IN THIS WORKBOOK</t>
  </si>
  <si>
    <t>• Candidate lookups on the Summary and Money Sources sheets use INDEX/MATCH keyed to the candidate NAME, never to a row position — the FEC API returns candidates in no guaranteed order, and a position-based lookup would produce a correct-looking figure with the wrong sign the day that order changed.</t>
  </si>
  <si>
    <t>• Candidates who have never filed are left BLANK rather than set to $0. Rendering $0 would assert they raised nothing, which the FEC does not report. SUM() ignores blanks, so totals cover the two nominees only.</t>
  </si>
  <si>
    <t>• Arithmetic that could read a blank cell as zero is guarded with IF(AND(ISNUMBER(x),ISNUMBER(y)),…) or IF(INDEX(...)=0,"",…), because a blank cell evaluates to 0 in Excel and would otherwise produce a confident, wrong number.</t>
  </si>
  <si>
    <t>• Party-committee contributions and inter-committee transfers are not fields in the extraction's fixed schema; they are stated in each candidate's notes and are entered here as documented inputs (see the cell comments on the Candidate Totals sheet).</t>
  </si>
  <si>
    <t>• 'Other / unclassified' on Candidate Totals is a residual formula, not a reported FEC field. The reconciliation row on Money Sources proves the components sum exactly to reported receipts.</t>
  </si>
  <si>
    <t>• Independent expenditures are OpenFEC's DEDUPLICATED by_candidate aggregates. Summing raw itemized Schedule E lines instead would give roughly $5.9M and would be wrong, because raw records include amended and superseded filings.</t>
  </si>
  <si>
    <t>• This workbook is a point-in-time reading of sources/fec.json. It does not refresh itself and is not part of the scheduled pipeline that maintains PA-07_House_Election_Tracker.xlsx.</t>
  </si>
  <si>
    <t>HISTORICAL DATA (2018–2024) — SOURCES</t>
  </si>
  <si>
    <t>Finance: OpenFEC API (finance) + FEC official election results &amp; Clerk of the House (votes)</t>
  </si>
  <si>
    <t>Retrieved: 2026-09-07T17:37:40Z</t>
  </si>
  <si>
    <t>2018 results: FEC, Federal Elections 2018, '2018 US House Results by State', district '07 - FULL TERM' — https://www.fec.gov/documents/2706/federalelections2018.xlsx</t>
  </si>
  <si>
    <t>2020 results: FEC, Federal Elections 2020, '13. US House Results by State', district '07' — https://www.fec.gov/documents/4228/federalelections2020.xlsx</t>
  </si>
  <si>
    <t>2022 results: FEC, Federal Elections 2022, '8. US House Results by State', district '07' — https://www.fec.gov/documents/5676/federalelections2022.xlsx</t>
  </si>
  <si>
    <t>2024 results: Clerk of the U.S. House, Statistics of the Congressional Election of November 5, 2024, p.61 (Pennsylvania, district 7) — https://clerk.house.gov/member_info/electionInfo/2024/statistics2024.pdf</t>
  </si>
  <si>
    <t>HISTORICAL DATA — NOTES</t>
  </si>
  <si>
    <t>• Finance figures are FULL-CYCLE candidate committee totals from OpenFEC /candidate/{id}/totals/ with full_election=true, i.e. the complete two-year cycle through 31 December of the election year. They are FINAL, unlike the 2026 figures elsewhere in this project, which are mid-cycle.</t>
  </si>
  <si>
    <t>• DISTRICT BOUNDARIES CHANGED INSIDE THIS WINDOW. 2018 and 2020 were run on the 2018 PA Supreme Court remap; 2022 and 2024 on the post-2020-census remap, which added Carbon County and changed the Monroe County portion. The seat is Lehigh Valley-based throughout, so the four elections are broadly comparable, but they are not the identical electorate.</t>
  </si>
  <si>
    <t>• Susan Wild's FEC candidate record is filed under district 15 for cycle 2018 (candidate_id H8PA15195-era numbering, H8PA15229), because she first filed in the pre-remap PA-15. A query of /elections/?district=07&amp;cycle=2018 therefore OMITS her entirely. Her totals here were pulled directly by candidate_id.</t>
  </si>
  <si>
    <t>• In 2018 Wild simultaneously contested the FULL TERM in the new PA-07 and the UNEXPIRED TERM special election in the old PA-15 (both on 2018-11-06). Her single committee funded both, so her 2018 receipts are not a clean 'PA-07 general election' figure. The vote total used here is the FULL TERM (new PA-07) race.</t>
  </si>
  <si>
    <t>• Independent expenditures are OpenFEC /schedules/schedule_e/by_candidate/ aggregates with election_full=true, summed across committees by support/oppose indicator. These are deduplicated aggregates, not raw itemized Schedule E lines.</t>
  </si>
  <si>
    <t>• 'Other votes' are third-party and scattered write-in votes reported in the official results. 2018 included a Libertarian (Tim Silfies) who took 3.0% of the vote; the other three cycles were effectively two-candidate races.</t>
  </si>
  <si>
    <t>• Two-party vote share (used for the correlation and regression) is a candidate's votes divided by the sum of the Democratic and Republican votes only. This is the standard comparable measure when third-party presence varies across years, as it does here.</t>
  </si>
  <si>
    <t>HISTORICAL DATA — KNOWN LIMITATIONS</t>
  </si>
  <si>
    <t>! The FEC has published no compiled 2024 congressional election results file (only presidential). 2024 vote totals therefore come from the Clerk of the U.S. House's official Statistics of the Congressional Election, which is the authoritative source of record for House results, rather than from FEC.gov.</t>
  </si>
  <si>
    <t>! 2018 finance is not strictly comparable to the other three cycles: Wild's committee financed two concurrent races (the PA-07 full term and the PA-15 unexpired term), and Nothstein likewise appeared on both ballots. No clean split of spending between the two contests exists in FEC data.</t>
  </si>
  <si>
    <t>! Candidate committee receipts understate total resources, sometimes severely. In 2024 Mackenzie's committee raised $1.8M against Wild's $9.0M, yet $9.4M of outside money was spent opposing Wild. Any finance-vs-results comparison that uses candidate receipts alone will mis-rank 2024.</t>
  </si>
  <si>
    <t>! The Clerk of the House summary for 2024 lists only the two major-party nominees and reports no all-candidate district total. Third-party and write-in votes for 2024 are therefore UNKNOWN and recorded as null, not zero — the 2018-2022 rows, which come from the FEC files, do report an all-candidate total. Two-party vote share, which is what the analysis uses, is unaffected.</t>
  </si>
  <si>
    <t>! n = 4 elections. This is far too small a sample for inferential statistics; regression output in this workbook is descriptive only and is labelled as such.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</si>
</sst>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164" formatCode="\$#,##0;\(\$#,##0\);&quot;—&quot;"/>
    <numFmt numFmtId="165" formatCode="\$#,##0.00;\(\$#,##0.00\);&quot;—&quot;"/>
    <numFmt numFmtId="166" formatCode="0.0%;\(0.0%\);&quot;—&quot;"/>
    <numFmt numFmtId="167" formatCode="0.0&quot;pp&quot;;\(0.0&quot;pp&quot;\);&quot;—&quot;"/>
    <numFmt numFmtId="168" formatCode="#,##0;\(#,##0\);&quot;—&quot;"/>
    <numFmt numFmtId="169" formatCode="0.00%;\(0.00%\);&quot;—&quot;"/>
    <numFmt numFmtId="170" formatCode="0&quot; mismatched&quot;"/>
    <numFmt numFmtId="171" formatCode="\+0.0000;\-0.0000;0.0000"/>
    <numFmt numFmtId="172" formatCode="0.0000"/>
    <numFmt numFmtId="173" formatCode="0.00000"/>
    <numFmt numFmtId="174" formatCode="0.000"/>
    <numFmt numFmtId="175" formatCode="\+0.00&quot;pp&quot;;\-0.00&quot;pp&quot;;0.00&quot;pp&quot;"/>
    <numFmt numFmtId="176" formatCode="\+0.0000;\-0.0000"/>
    <numFmt numFmtId="177" formatCode="&quot;p = &quot;0.000"/>
  </numFmts>
  <fonts count="20" x14ac:knownFonts="1">
    <font>
      <sz val="11"/>
      <color theme="1"/>
      <name val="Calibri"/>
      <family val="2"/>
      <scheme val="minor"/>
    </font>
    <font>
      <b/>
      <sz val="15"/>
      <color rgb="FF1F3864"/>
      <name val="Arial"/>
      <family val="2"/>
    </font>
    <font>
      <i/>
      <sz val="9"/>
      <color rgb="FF595959"/>
      <name val="Arial"/>
      <family val="2"/>
    </font>
    <font>
      <b/>
      <sz val="11"/>
      <color rgb="FFFFFFFF"/>
      <name val="Arial"/>
      <family val="2"/>
    </font>
    <font>
      <b/>
      <sz val="9"/>
      <color rgb="FFFFFFFF"/>
      <name val="Arial"/>
      <family val="2"/>
    </font>
    <font>
      <sz val="10"/>
      <name val="Arial"/>
      <family val="2"/>
    </font>
    <font>
      <sz val="10"/>
      <color rgb="FF0000FF"/>
      <name val="Arial"/>
      <family val="2"/>
    </font>
    <font>
      <i/>
      <sz val="10"/>
      <color rgb="FFC00000"/>
      <name val="Arial"/>
      <family val="2"/>
    </font>
    <font>
      <b/>
      <sz val="10"/>
      <name val="Arial"/>
      <family val="2"/>
    </font>
    <font>
      <b/>
      <sz val="10"/>
      <color rgb="FF1F3864"/>
      <name val="Arial"/>
      <family val="2"/>
    </font>
    <font>
      <sz val="9"/>
      <color rgb="FF595959"/>
      <name val="Arial"/>
      <family val="2"/>
    </font>
    <font>
      <sz val="10"/>
      <color rgb="FF0F7B3E"/>
      <name val="Arial"/>
      <family val="2"/>
    </font>
    <font>
      <sz val="10"/>
      <color rgb="FFC00000"/>
      <name val="Arial"/>
      <family val="2"/>
    </font>
    <font>
      <sz val="10"/>
      <color rgb="FF008000"/>
      <name val="Arial"/>
      <family val="2"/>
    </font>
    <font>
      <i/>
      <sz val="10"/>
      <name val="Arial"/>
      <family val="2"/>
    </font>
    <font>
      <b/>
      <sz val="10"/>
      <color rgb="FFC00000"/>
      <name val="Arial"/>
      <family val="2"/>
    </font>
    <font>
      <b/>
      <sz val="10"/>
      <color rgb="FF2E75B6"/>
      <name val="Arial"/>
      <family val="2"/>
    </font>
    <font>
      <b/>
      <sz val="10"/>
      <color rgb="FF0F7B3E"/>
      <name val="Arial"/>
      <family val="2"/>
    </font>
    <font>
      <b/>
      <sz val="10"/>
      <color rgb="FFC0392B"/>
      <name val="Arial"/>
      <family val="2"/>
    </font>
    <font>
      <sz val="10"/>
      <color rgb="FF595959"/>
      <name val="Arial"/>
      <family val="2"/>
    </font>
  </fonts>
  <fills count="8">
    <fill>
      <patternFill patternType="none"/>
    </fill>
    <fill>
      <patternFill patternType="gray125"/>
    </fill>
    <fill>
      <patternFill patternType="solid">
        <fgColor rgb="FF1F3864"/>
      </patternFill>
    </fill>
    <fill>
      <patternFill patternType="solid">
        <fgColor rgb="FF4472C4"/>
      </patternFill>
    </fill>
    <fill>
      <patternFill patternType="solid">
        <fgColor rgb="FFF2F2F2"/>
      </patternFill>
    </fill>
    <fill>
      <patternFill patternType="solid">
        <fgColor rgb="FFD9E2F3"/>
      </patternFill>
    </fill>
    <fill>
      <patternFill patternType="solid">
        <fgColor rgb="FFFFF2CC"/>
      </patternFill>
    </fill>
    <fill>
      <patternFill patternType="solid">
        <fgColor rgb="FFEAF3EA"/>
      </patternFill>
    </fill>
  </fills>
  <borders count="2">
    <border>
      <left/>
      <right/>
      <top/>
      <bottom/>
      <diagonal/>
    </border>
    <border>
      <left style="thin">
        <color rgb="FFBFBFBF"/>
      </left>
      <right style="thin">
        <color rgb="FFBFBFBF"/>
      </right>
      <top style="thin">
        <color rgb="FFBFBFBF"/>
      </top>
      <bottom style="thin">
        <color rgb="FFBFBFBF"/>
      </bottom>
      <diagonal/>
    </border>
  </borders>
  <cellStyleXfs count="1">
    <xf numFmtId="0" fontId="0" fillId="0" borderId="0"/>
  </cellStyleXfs>
  <cellXfs count="91">
    <xf numFmtId="0" fontId="0" fillId="0" borderId="0" xfId="0"/>
    <xf numFmtId="0" fontId="1" fillId="0" borderId="0" xfId="0" applyFont="1"/>
    <xf numFmtId="0" fontId="2" fillId="0" borderId="0" xfId="0" applyFont="1"/>
    <xf numFmtId="0" fontId="3" fillId="2" borderId="0" xfId="0" applyFont="1" applyFill="1"/>
    <xf numFmtId="0" fontId="0" fillId="2" borderId="0" xfId="0" applyFill="1"/>
    <xf numFmtId="0" fontId="4" fillId="3" borderId="1" xfId="0" applyFont="1" applyFill="1" applyBorder="1" applyAlignment="1">
      <alignment horizontal="center" vertical="center" wrapText="1"/>
    </xf>
    <xf numFmtId="0" fontId="5" fillId="0" borderId="1" xfId="0" applyFont="1" applyBorder="1"/>
    <xf numFmtId="164" fontId="6" fillId="0" borderId="1" xfId="0" applyNumberFormat="1" applyFont="1" applyBorder="1"/>
    <xf numFmtId="164" fontId="5" fillId="0" borderId="1" xfId="0" applyNumberFormat="1" applyFont="1" applyBorder="1"/>
    <xf numFmtId="0" fontId="7" fillId="0" borderId="1" xfId="0" applyFont="1" applyBorder="1"/>
    <xf numFmtId="0" fontId="0" fillId="4" borderId="1" xfId="0" applyFill="1" applyBorder="1"/>
    <xf numFmtId="0" fontId="8" fillId="5" borderId="1" xfId="0" applyFont="1" applyFill="1" applyBorder="1"/>
    <xf numFmtId="0" fontId="0" fillId="5" borderId="1" xfId="0" applyFill="1" applyBorder="1"/>
    <xf numFmtId="164" fontId="8" fillId="5" borderId="1" xfId="0" applyNumberFormat="1" applyFont="1" applyFill="1" applyBorder="1"/>
    <xf numFmtId="0" fontId="11" fillId="0" borderId="1" xfId="0" applyFont="1" applyBorder="1" applyAlignment="1">
      <alignment horizontal="center"/>
    </xf>
    <xf numFmtId="165" fontId="6" fillId="0" borderId="1" xfId="0" applyNumberFormat="1" applyFont="1" applyBorder="1"/>
    <xf numFmtId="166" fontId="5" fillId="0" borderId="1" xfId="0" applyNumberFormat="1" applyFont="1" applyBorder="1"/>
    <xf numFmtId="0" fontId="12" fillId="0" borderId="1" xfId="0" applyFont="1" applyBorder="1" applyAlignment="1">
      <alignment horizontal="center"/>
    </xf>
    <xf numFmtId="165" fontId="8" fillId="5" borderId="1" xfId="0" applyNumberFormat="1" applyFont="1" applyFill="1" applyBorder="1"/>
    <xf numFmtId="166" fontId="8" fillId="5" borderId="1" xfId="0" applyNumberFormat="1" applyFont="1" applyFill="1" applyBorder="1"/>
    <xf numFmtId="164" fontId="13" fillId="0" borderId="1" xfId="0" applyNumberFormat="1" applyFont="1" applyBorder="1"/>
    <xf numFmtId="0" fontId="14" fillId="0" borderId="0" xfId="0" applyFont="1"/>
    <xf numFmtId="165" fontId="14" fillId="0" borderId="0" xfId="0" applyNumberFormat="1" applyFont="1"/>
    <xf numFmtId="0" fontId="8" fillId="0" borderId="1" xfId="0" applyFont="1" applyBorder="1"/>
    <xf numFmtId="164" fontId="8" fillId="0" borderId="1" xfId="0" applyNumberFormat="1" applyFont="1" applyBorder="1"/>
    <xf numFmtId="167" fontId="5" fillId="0" borderId="1" xfId="0" applyNumberFormat="1" applyFont="1" applyBorder="1"/>
    <xf numFmtId="0" fontId="5" fillId="0" borderId="0" xfId="0" applyFont="1"/>
    <xf numFmtId="0" fontId="15" fillId="0" borderId="0" xfId="0" applyFont="1" applyAlignment="1">
      <alignment horizontal="left"/>
    </xf>
    <xf numFmtId="0" fontId="10" fillId="0" borderId="0" xfId="0" applyFont="1"/>
    <xf numFmtId="0" fontId="8" fillId="0" borderId="0" xfId="0" applyFont="1" applyAlignment="1">
      <alignment horizontal="left"/>
    </xf>
    <xf numFmtId="0" fontId="5" fillId="0" borderId="0" xfId="0" applyFont="1" applyAlignment="1">
      <alignment horizontal="left"/>
    </xf>
    <xf numFmtId="164" fontId="13" fillId="5" borderId="1" xfId="0" applyNumberFormat="1" applyFont="1" applyFill="1" applyBorder="1"/>
    <xf numFmtId="166" fontId="13" fillId="0" borderId="1" xfId="0" applyNumberFormat="1" applyFont="1" applyBorder="1"/>
    <xf numFmtId="167" fontId="8" fillId="0" borderId="1" xfId="0" applyNumberFormat="1" applyFont="1" applyBorder="1"/>
    <xf numFmtId="166" fontId="5" fillId="5" borderId="1" xfId="0" applyNumberFormat="1" applyFont="1" applyFill="1" applyBorder="1"/>
    <xf numFmtId="0" fontId="13" fillId="5" borderId="1" xfId="0" applyFont="1" applyFill="1" applyBorder="1"/>
    <xf numFmtId="0" fontId="13" fillId="0" borderId="1" xfId="0" applyFont="1" applyBorder="1"/>
    <xf numFmtId="0" fontId="5" fillId="0" borderId="1" xfId="0" applyFont="1" applyBorder="1" applyAlignment="1">
      <alignment vertical="top" wrapText="1"/>
    </xf>
    <xf numFmtId="164" fontId="9" fillId="0" borderId="1" xfId="0" applyNumberFormat="1" applyFont="1" applyBorder="1"/>
    <xf numFmtId="166" fontId="9" fillId="0" borderId="1" xfId="0" applyNumberFormat="1" applyFont="1" applyBorder="1"/>
    <xf numFmtId="0" fontId="9" fillId="0" borderId="0" xfId="0" applyFont="1"/>
    <xf numFmtId="0" fontId="4" fillId="0" borderId="0" xfId="0" applyFont="1"/>
    <xf numFmtId="164" fontId="13" fillId="0" borderId="0" xfId="0" applyNumberFormat="1" applyFont="1"/>
    <xf numFmtId="0" fontId="12" fillId="0" borderId="0" xfId="0" applyFont="1" applyAlignment="1">
      <alignment vertical="top" wrapText="1"/>
    </xf>
    <xf numFmtId="0" fontId="8" fillId="0" borderId="0" xfId="0" applyFont="1"/>
    <xf numFmtId="0" fontId="6" fillId="7" borderId="1" xfId="0" applyFont="1" applyFill="1" applyBorder="1"/>
    <xf numFmtId="0" fontId="6" fillId="7" borderId="1" xfId="0" applyFont="1" applyFill="1" applyBorder="1" applyAlignment="1">
      <alignment vertical="top" wrapText="1"/>
    </xf>
    <xf numFmtId="0" fontId="16" fillId="7" borderId="1" xfId="0" applyFont="1" applyFill="1" applyBorder="1" applyAlignment="1">
      <alignment horizontal="center"/>
    </xf>
    <xf numFmtId="0" fontId="5" fillId="7" borderId="1" xfId="0" applyFont="1" applyFill="1" applyBorder="1"/>
    <xf numFmtId="164" fontId="6" fillId="7" borderId="1" xfId="0" applyNumberFormat="1" applyFont="1" applyFill="1" applyBorder="1"/>
    <xf numFmtId="164" fontId="5" fillId="7" borderId="1" xfId="0" applyNumberFormat="1" applyFont="1" applyFill="1" applyBorder="1"/>
    <xf numFmtId="168" fontId="6" fillId="7" borderId="1" xfId="0" applyNumberFormat="1" applyFont="1" applyFill="1" applyBorder="1"/>
    <xf numFmtId="169" fontId="5" fillId="7" borderId="1" xfId="0" applyNumberFormat="1" applyFont="1" applyFill="1" applyBorder="1"/>
    <xf numFmtId="0" fontId="17" fillId="7" borderId="1" xfId="0" applyFont="1" applyFill="1" applyBorder="1" applyAlignment="1">
      <alignment horizontal="center"/>
    </xf>
    <xf numFmtId="165" fontId="5" fillId="7" borderId="1" xfId="0" applyNumberFormat="1" applyFont="1" applyFill="1" applyBorder="1"/>
    <xf numFmtId="0" fontId="6" fillId="0" borderId="1" xfId="0" applyFont="1" applyBorder="1"/>
    <xf numFmtId="0" fontId="6" fillId="0" borderId="1" xfId="0" applyFont="1" applyBorder="1" applyAlignment="1">
      <alignment vertical="top" wrapText="1"/>
    </xf>
    <xf numFmtId="0" fontId="18" fillId="0" borderId="1" xfId="0" applyFont="1" applyBorder="1" applyAlignment="1">
      <alignment horizontal="center"/>
    </xf>
    <xf numFmtId="168" fontId="6" fillId="0" borderId="1" xfId="0" applyNumberFormat="1" applyFont="1" applyBorder="1"/>
    <xf numFmtId="169" fontId="5" fillId="0" borderId="1" xfId="0" applyNumberFormat="1" applyFont="1" applyBorder="1"/>
    <xf numFmtId="0" fontId="19" fillId="0" borderId="1" xfId="0" applyFont="1" applyBorder="1" applyAlignment="1">
      <alignment horizontal="center"/>
    </xf>
    <xf numFmtId="165" fontId="5" fillId="0" borderId="1" xfId="0" applyNumberFormat="1" applyFont="1" applyBorder="1"/>
    <xf numFmtId="0" fontId="16" fillId="0" borderId="1" xfId="0" applyFont="1" applyBorder="1" applyAlignment="1">
      <alignment horizontal="center"/>
    </xf>
    <xf numFmtId="0" fontId="18" fillId="7" borderId="1" xfId="0" applyFont="1" applyFill="1" applyBorder="1" applyAlignment="1">
      <alignment horizontal="center"/>
    </xf>
    <xf numFmtId="0" fontId="0" fillId="0" borderId="1" xfId="0" applyBorder="1"/>
    <xf numFmtId="0" fontId="5" fillId="0" borderId="1" xfId="0" applyFont="1" applyBorder="1" applyAlignment="1">
      <alignment horizontal="center"/>
    </xf>
    <xf numFmtId="168" fontId="6" fillId="4" borderId="1" xfId="0" applyNumberFormat="1" applyFont="1" applyFill="1" applyBorder="1"/>
    <xf numFmtId="169" fontId="5" fillId="4" borderId="1" xfId="0" applyNumberFormat="1" applyFont="1" applyFill="1" applyBorder="1"/>
    <xf numFmtId="170" fontId="14" fillId="0" borderId="0" xfId="0" applyNumberFormat="1" applyFont="1" applyAlignment="1">
      <alignment horizontal="center"/>
    </xf>
    <xf numFmtId="169" fontId="13" fillId="0" borderId="1" xfId="0" applyNumberFormat="1" applyFont="1" applyBorder="1"/>
    <xf numFmtId="1" fontId="5" fillId="0" borderId="1" xfId="0" applyNumberFormat="1" applyFont="1" applyBorder="1"/>
    <xf numFmtId="171" fontId="5" fillId="0" borderId="1" xfId="0" applyNumberFormat="1" applyFont="1" applyBorder="1"/>
    <xf numFmtId="172" fontId="5" fillId="0" borderId="1" xfId="0" applyNumberFormat="1" applyFont="1" applyBorder="1"/>
    <xf numFmtId="173" fontId="5" fillId="0" borderId="1" xfId="0" applyNumberFormat="1" applyFont="1" applyBorder="1"/>
    <xf numFmtId="174" fontId="5" fillId="0" borderId="1" xfId="0" applyNumberFormat="1" applyFont="1" applyBorder="1"/>
    <xf numFmtId="0" fontId="15" fillId="0" borderId="1" xfId="0" applyFont="1" applyBorder="1"/>
    <xf numFmtId="175" fontId="5" fillId="0" borderId="1" xfId="0" applyNumberFormat="1" applyFont="1" applyBorder="1"/>
    <xf numFmtId="0" fontId="4" fillId="3" borderId="1" xfId="0" applyFont="1" applyFill="1" applyBorder="1" applyAlignment="1">
      <alignment horizontal="center"/>
    </xf>
    <xf numFmtId="0" fontId="17" fillId="0" borderId="1" xfId="0" applyFont="1" applyBorder="1" applyAlignment="1">
      <alignment horizontal="center"/>
    </xf>
    <xf numFmtId="0" fontId="15" fillId="0" borderId="1" xfId="0" applyFont="1" applyBorder="1" applyAlignment="1">
      <alignment horizontal="center"/>
    </xf>
    <xf numFmtId="176" fontId="9" fillId="0" borderId="1" xfId="0" applyNumberFormat="1" applyFont="1" applyBorder="1"/>
    <xf numFmtId="177" fontId="5" fillId="0" borderId="1" xfId="0" applyNumberFormat="1" applyFont="1" applyBorder="1"/>
    <xf numFmtId="169" fontId="13" fillId="0" borderId="0" xfId="0" applyNumberFormat="1" applyFont="1"/>
    <xf numFmtId="169" fontId="5" fillId="0" borderId="0" xfId="0" applyNumberFormat="1" applyFont="1"/>
    <xf numFmtId="165" fontId="13" fillId="0" borderId="0" xfId="0" applyNumberFormat="1" applyFont="1"/>
    <xf numFmtId="0" fontId="5" fillId="6" borderId="0" xfId="0" applyFont="1" applyFill="1" applyAlignment="1">
      <alignment vertical="top" wrapText="1"/>
    </xf>
    <xf numFmtId="0" fontId="0" fillId="6" borderId="0" xfId="0" applyFill="1"/>
    <xf numFmtId="0" fontId="10" fillId="0" borderId="0" xfId="0" applyFont="1" applyAlignment="1">
      <alignment vertical="top" wrapText="1"/>
    </xf>
    <xf numFmtId="0" fontId="0" fillId="0" borderId="0" xfId="0"/>
    <xf numFmtId="0" fontId="9" fillId="0" borderId="0" xfId="0" applyFont="1" applyAlignment="1">
      <alignment vertical="top" wrapText="1"/>
    </xf>
    <xf numFmtId="0" fontId="5" fillId="0" borderId="0" xfId="0" applyFont="1" applyAlignment="1">
      <alignment vertical="top" wrapText="1"/>
    </xf>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a:defRPr/>
            </a:pPr>
            <a:r>
              <a:rPr lang="en-US"/>
              <a:t>1 · Receipts, spending and cash on hand</a:t>
            </a:r>
          </a:p>
        </c:rich>
      </c:tx>
      <c:overlay val="1"/>
    </c:title>
    <c:autoTitleDeleted val="0"/>
    <c:plotArea>
      <c:layout>
        <c:manualLayout>
          <c:layoutTarget val="inner"/>
          <c:xMode val="edge"/>
          <c:yMode val="edge"/>
          <c:x val="0.10112032828282828"/>
          <c:y val="3.5606565656565656E-2"/>
          <c:w val="0.88124078282828278"/>
          <c:h val="0.88405101010101006"/>
        </c:manualLayout>
      </c:layout>
      <c:barChart>
        <c:barDir val="col"/>
        <c:grouping val="clustered"/>
        <c:varyColors val="1"/>
        <c:ser>
          <c:idx val="0"/>
          <c:order val="0"/>
          <c:tx>
            <c:strRef>
              <c:f>Charts!$S$3</c:f>
              <c:strCache>
                <c:ptCount val="1"/>
                <c:pt idx="0">
                  <c:v>Bob Brooks (D)</c:v>
                </c:pt>
              </c:strCache>
            </c:strRef>
          </c:tx>
          <c:spPr>
            <a:solidFill>
              <a:srgbClr val="2E75B6"/>
            </a:solidFill>
            <a:ln>
              <a:solidFill>
                <a:srgbClr val="2E75B6"/>
              </a:solidFill>
              <a:prstDash val="solid"/>
            </a:ln>
          </c:spPr>
          <c:invertIfNegative val="1"/>
          <c:cat>
            <c:strRef>
              <c:f>Charts!$R$4:$R$6</c:f>
              <c:strCache>
                <c:ptCount val="3"/>
                <c:pt idx="0">
                  <c:v>Receipts</c:v>
                </c:pt>
                <c:pt idx="1">
                  <c:v>Disbursements</c:v>
                </c:pt>
                <c:pt idx="2">
                  <c:v>Cash on hand</c:v>
                </c:pt>
              </c:strCache>
            </c:strRef>
          </c:cat>
          <c:val>
            <c:numRef>
              <c:f>Charts!$S$4:$S$6</c:f>
              <c:numCache>
                <c:formatCode>\$#,##0;\(\$#,##0\);"—"</c:formatCode>
                <c:ptCount val="3"/>
                <c:pt idx="0">
                  <c:v>2392215.23</c:v>
                </c:pt>
                <c:pt idx="1">
                  <c:v>1373792.39</c:v>
                </c:pt>
                <c:pt idx="2">
                  <c:v>1018422.84</c:v>
                </c:pt>
              </c:numCache>
            </c:numRef>
          </c:val>
          <c:extLst>
            <c:ext xmlns:c14="http://schemas.microsoft.com/office/drawing/2007/8/2/chart" uri="{6F2FDCE9-48DA-4B69-8628-5D25D57E5C99}">
              <c14:invertSolidFillFmt>
                <c14:spPr xmlns:c14="http://schemas.microsoft.com/office/drawing/2007/8/2/chart">
                  <a:solidFill>
                    <a:srgbClr val="FFFFFF"/>
                  </a:solidFill>
                  <a:ln>
                    <a:solidFill>
                      <a:srgbClr val="2E75B6"/>
                    </a:solidFill>
                    <a:prstDash val="solid"/>
                  </a:ln>
                </c14:spPr>
              </c14:invertSolidFillFmt>
            </c:ext>
            <c:ext xmlns:c16="http://schemas.microsoft.com/office/drawing/2014/chart" uri="{C3380CC4-5D6E-409C-BE32-E72D297353CC}">
              <c16:uniqueId val="{00000000-C5F8-EF40-9B18-AB73692CF294}"/>
            </c:ext>
          </c:extLst>
        </c:ser>
        <c:ser>
          <c:idx val="1"/>
          <c:order val="1"/>
          <c:tx>
            <c:strRef>
              <c:f>Charts!$T$3</c:f>
              <c:strCache>
                <c:ptCount val="1"/>
                <c:pt idx="0">
                  <c:v>Ryan Mackenzie (R)</c:v>
                </c:pt>
              </c:strCache>
            </c:strRef>
          </c:tx>
          <c:spPr>
            <a:solidFill>
              <a:srgbClr val="C0392B"/>
            </a:solidFill>
            <a:ln>
              <a:solidFill>
                <a:srgbClr val="C0392B"/>
              </a:solidFill>
              <a:prstDash val="solid"/>
            </a:ln>
          </c:spPr>
          <c:invertIfNegative val="1"/>
          <c:cat>
            <c:strRef>
              <c:f>Charts!$R$4:$R$6</c:f>
              <c:strCache>
                <c:ptCount val="3"/>
                <c:pt idx="0">
                  <c:v>Receipts</c:v>
                </c:pt>
                <c:pt idx="1">
                  <c:v>Disbursements</c:v>
                </c:pt>
                <c:pt idx="2">
                  <c:v>Cash on hand</c:v>
                </c:pt>
              </c:strCache>
            </c:strRef>
          </c:cat>
          <c:val>
            <c:numRef>
              <c:f>Charts!$T$4:$T$6</c:f>
              <c:numCache>
                <c:formatCode>\$#,##0;\(\$#,##0\);"—"</c:formatCode>
                <c:ptCount val="3"/>
                <c:pt idx="0">
                  <c:v>4357405.1100000003</c:v>
                </c:pt>
                <c:pt idx="1">
                  <c:v>1521927.85</c:v>
                </c:pt>
                <c:pt idx="2">
                  <c:v>2938717.17</c:v>
                </c:pt>
              </c:numCache>
            </c:numRef>
          </c:val>
          <c:extLst>
            <c:ext xmlns:c14="http://schemas.microsoft.com/office/drawing/2007/8/2/chart" uri="{6F2FDCE9-48DA-4B69-8628-5D25D57E5C99}">
              <c14:invertSolidFillFmt>
                <c14:spPr xmlns:c14="http://schemas.microsoft.com/office/drawing/2007/8/2/chart">
                  <a:solidFill>
                    <a:srgbClr val="FFFFFF"/>
                  </a:solidFill>
                  <a:ln>
                    <a:solidFill>
                      <a:srgbClr val="C0392B"/>
                    </a:solidFill>
                    <a:prstDash val="solid"/>
                  </a:ln>
                </c14:spPr>
              </c14:invertSolidFillFmt>
            </c:ext>
            <c:ext xmlns:c16="http://schemas.microsoft.com/office/drawing/2014/chart" uri="{C3380CC4-5D6E-409C-BE32-E72D297353CC}">
              <c16:uniqueId val="{00000001-C5F8-EF40-9B18-AB73692CF294}"/>
            </c:ext>
          </c:extLst>
        </c:ser>
        <c:dLbls>
          <c:showLegendKey val="0"/>
          <c:showVal val="0"/>
          <c:showCatName val="0"/>
          <c:showSerName val="0"/>
          <c:showPercent val="0"/>
          <c:showBubbleSize val="0"/>
        </c:dLbls>
        <c:gapWidth val="150"/>
        <c:axId val="10"/>
        <c:axId val="100"/>
      </c:barChart>
      <c:catAx>
        <c:axId val="10"/>
        <c:scaling>
          <c:orientation val="minMax"/>
        </c:scaling>
        <c:delete val="0"/>
        <c:axPos val="b"/>
        <c:numFmt formatCode="General" sourceLinked="1"/>
        <c:majorTickMark val="none"/>
        <c:minorTickMark val="none"/>
        <c:tickLblPos val="nextTo"/>
        <c:crossAx val="100"/>
        <c:crosses val="autoZero"/>
        <c:auto val="1"/>
        <c:lblAlgn val="ctr"/>
        <c:lblOffset val="100"/>
        <c:noMultiLvlLbl val="1"/>
      </c:catAx>
      <c:valAx>
        <c:axId val="100"/>
        <c:scaling>
          <c:orientation val="minMax"/>
        </c:scaling>
        <c:delete val="0"/>
        <c:axPos val="l"/>
        <c:title>
          <c:tx>
            <c:rich>
              <a:bodyPr/>
              <a:lstStyle/>
              <a:p>
                <a:pPr>
                  <a:defRPr/>
                </a:pPr>
                <a:r>
                  <a:rPr lang="en-US"/>
                  <a:t>US dollars</a:t>
                </a:r>
              </a:p>
            </c:rich>
          </c:tx>
          <c:overlay val="1"/>
        </c:title>
        <c:numFmt formatCode="\$#,##0.0,,&quot;M&quot;" sourceLinked="0"/>
        <c:majorTickMark val="none"/>
        <c:minorTickMark val="none"/>
        <c:tickLblPos val="nextTo"/>
        <c:crossAx val="10"/>
        <c:crosses val="autoZero"/>
        <c:crossBetween val="between"/>
      </c:valAx>
    </c:plotArea>
    <c:legend>
      <c:legendPos val="r"/>
      <c:layout>
        <c:manualLayout>
          <c:xMode val="edge"/>
          <c:yMode val="edge"/>
          <c:x val="0.77460744949494953"/>
          <c:y val="8.9229040404040394E-2"/>
          <c:w val="0.15483699494949496"/>
          <c:h val="0.11598636363636364"/>
        </c:manualLayout>
      </c:layout>
      <c:overlay val="1"/>
    </c:legend>
    <c:plotVisOnly val="1"/>
    <c:dispBlanksAs val="gap"/>
    <c:showDLblsOverMax val="1"/>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a:defRPr/>
            </a:pPr>
            <a:r>
              <a:rPr lang="en-US"/>
              <a:t>2 · Where each campaign's receipts came from</a:t>
            </a:r>
          </a:p>
        </c:rich>
      </c:tx>
      <c:overlay val="1"/>
    </c:title>
    <c:autoTitleDeleted val="0"/>
    <c:plotArea>
      <c:layout>
        <c:manualLayout>
          <c:layoutTarget val="inner"/>
          <c:xMode val="edge"/>
          <c:yMode val="edge"/>
          <c:x val="9.3102651515151499E-2"/>
          <c:y val="3.5606565656565656E-2"/>
          <c:w val="0.88925845959595962"/>
          <c:h val="0.88405101010101006"/>
        </c:manualLayout>
      </c:layout>
      <c:barChart>
        <c:barDir val="col"/>
        <c:grouping val="stacked"/>
        <c:varyColors val="1"/>
        <c:ser>
          <c:idx val="0"/>
          <c:order val="0"/>
          <c:tx>
            <c:strRef>
              <c:f>Charts!$S$9</c:f>
              <c:strCache>
                <c:ptCount val="1"/>
                <c:pt idx="0">
                  <c:v>Individual — itemized</c:v>
                </c:pt>
              </c:strCache>
            </c:strRef>
          </c:tx>
          <c:spPr>
            <a:solidFill>
              <a:srgbClr val="1F4E79"/>
            </a:solidFill>
            <a:ln>
              <a:solidFill>
                <a:srgbClr val="1F4E79"/>
              </a:solidFill>
              <a:prstDash val="solid"/>
            </a:ln>
          </c:spPr>
          <c:invertIfNegative val="1"/>
          <c:cat>
            <c:strRef>
              <c:f>Charts!$R$10:$R$11</c:f>
              <c:strCache>
                <c:ptCount val="2"/>
                <c:pt idx="0">
                  <c:v>Bob Brooks (D)</c:v>
                </c:pt>
                <c:pt idx="1">
                  <c:v>Ryan Mackenzie (R)</c:v>
                </c:pt>
              </c:strCache>
            </c:strRef>
          </c:cat>
          <c:val>
            <c:numRef>
              <c:f>Charts!$S$10:$S$11</c:f>
              <c:numCache>
                <c:formatCode>\$#,##0;\(\$#,##0\);"—"</c:formatCode>
                <c:ptCount val="2"/>
                <c:pt idx="0">
                  <c:v>1342778.75</c:v>
                </c:pt>
                <c:pt idx="1">
                  <c:v>939107.04</c:v>
                </c:pt>
              </c:numCache>
            </c:numRef>
          </c:val>
          <c:extLst>
            <c:ext xmlns:c14="http://schemas.microsoft.com/office/drawing/2007/8/2/chart" uri="{6F2FDCE9-48DA-4B69-8628-5D25D57E5C99}">
              <c14:invertSolidFillFmt>
                <c14:spPr xmlns:c14="http://schemas.microsoft.com/office/drawing/2007/8/2/chart">
                  <a:solidFill>
                    <a:srgbClr val="FFFFFF"/>
                  </a:solidFill>
                  <a:ln>
                    <a:solidFill>
                      <a:srgbClr val="1F4E79"/>
                    </a:solidFill>
                    <a:prstDash val="solid"/>
                  </a:ln>
                </c14:spPr>
              </c14:invertSolidFillFmt>
            </c:ext>
            <c:ext xmlns:c16="http://schemas.microsoft.com/office/drawing/2014/chart" uri="{C3380CC4-5D6E-409C-BE32-E72D297353CC}">
              <c16:uniqueId val="{00000000-E953-EC4B-943F-1F47941CFC9E}"/>
            </c:ext>
          </c:extLst>
        </c:ser>
        <c:ser>
          <c:idx val="1"/>
          <c:order val="1"/>
          <c:tx>
            <c:strRef>
              <c:f>Charts!$T$9</c:f>
              <c:strCache>
                <c:ptCount val="1"/>
                <c:pt idx="0">
                  <c:v>Individual — unitemized (≤$200)</c:v>
                </c:pt>
              </c:strCache>
            </c:strRef>
          </c:tx>
          <c:spPr>
            <a:solidFill>
              <a:srgbClr val="2E75B6"/>
            </a:solidFill>
            <a:ln>
              <a:solidFill>
                <a:srgbClr val="2E75B6"/>
              </a:solidFill>
              <a:prstDash val="solid"/>
            </a:ln>
          </c:spPr>
          <c:invertIfNegative val="1"/>
          <c:cat>
            <c:strRef>
              <c:f>Charts!$R$10:$R$11</c:f>
              <c:strCache>
                <c:ptCount val="2"/>
                <c:pt idx="0">
                  <c:v>Bob Brooks (D)</c:v>
                </c:pt>
                <c:pt idx="1">
                  <c:v>Ryan Mackenzie (R)</c:v>
                </c:pt>
              </c:strCache>
            </c:strRef>
          </c:cat>
          <c:val>
            <c:numRef>
              <c:f>Charts!$T$10:$T$11</c:f>
              <c:numCache>
                <c:formatCode>\$#,##0;\(\$#,##0\);"—"</c:formatCode>
                <c:ptCount val="2"/>
                <c:pt idx="0">
                  <c:v>599386.78</c:v>
                </c:pt>
                <c:pt idx="1">
                  <c:v>554133.97</c:v>
                </c:pt>
              </c:numCache>
            </c:numRef>
          </c:val>
          <c:extLst>
            <c:ext xmlns:c14="http://schemas.microsoft.com/office/drawing/2007/8/2/chart" uri="{6F2FDCE9-48DA-4B69-8628-5D25D57E5C99}">
              <c14:invertSolidFillFmt>
                <c14:spPr xmlns:c14="http://schemas.microsoft.com/office/drawing/2007/8/2/chart">
                  <a:solidFill>
                    <a:srgbClr val="FFFFFF"/>
                  </a:solidFill>
                  <a:ln>
                    <a:solidFill>
                      <a:srgbClr val="2E75B6"/>
                    </a:solidFill>
                    <a:prstDash val="solid"/>
                  </a:ln>
                </c14:spPr>
              </c14:invertSolidFillFmt>
            </c:ext>
            <c:ext xmlns:c16="http://schemas.microsoft.com/office/drawing/2014/chart" uri="{C3380CC4-5D6E-409C-BE32-E72D297353CC}">
              <c16:uniqueId val="{00000001-E953-EC4B-943F-1F47941CFC9E}"/>
            </c:ext>
          </c:extLst>
        </c:ser>
        <c:ser>
          <c:idx val="2"/>
          <c:order val="2"/>
          <c:tx>
            <c:strRef>
              <c:f>Charts!$U$9</c:f>
              <c:strCache>
                <c:ptCount val="1"/>
                <c:pt idx="0">
                  <c:v>PAC / other pol. cmte</c:v>
                </c:pt>
              </c:strCache>
            </c:strRef>
          </c:tx>
          <c:spPr>
            <a:solidFill>
              <a:srgbClr val="7EA6D9"/>
            </a:solidFill>
            <a:ln>
              <a:solidFill>
                <a:srgbClr val="7EA6D9"/>
              </a:solidFill>
              <a:prstDash val="solid"/>
            </a:ln>
          </c:spPr>
          <c:invertIfNegative val="1"/>
          <c:cat>
            <c:strRef>
              <c:f>Charts!$R$10:$R$11</c:f>
              <c:strCache>
                <c:ptCount val="2"/>
                <c:pt idx="0">
                  <c:v>Bob Brooks (D)</c:v>
                </c:pt>
                <c:pt idx="1">
                  <c:v>Ryan Mackenzie (R)</c:v>
                </c:pt>
              </c:strCache>
            </c:strRef>
          </c:cat>
          <c:val>
            <c:numRef>
              <c:f>Charts!$U$10:$U$11</c:f>
              <c:numCache>
                <c:formatCode>\$#,##0;\(\$#,##0\);"—"</c:formatCode>
                <c:ptCount val="2"/>
                <c:pt idx="0">
                  <c:v>403000.03</c:v>
                </c:pt>
                <c:pt idx="1">
                  <c:v>1042912.78</c:v>
                </c:pt>
              </c:numCache>
            </c:numRef>
          </c:val>
          <c:extLst>
            <c:ext xmlns:c14="http://schemas.microsoft.com/office/drawing/2007/8/2/chart" uri="{6F2FDCE9-48DA-4B69-8628-5D25D57E5C99}">
              <c14:invertSolidFillFmt>
                <c14:spPr xmlns:c14="http://schemas.microsoft.com/office/drawing/2007/8/2/chart">
                  <a:solidFill>
                    <a:srgbClr val="FFFFFF"/>
                  </a:solidFill>
                  <a:ln>
                    <a:solidFill>
                      <a:srgbClr val="7EA6D9"/>
                    </a:solidFill>
                    <a:prstDash val="solid"/>
                  </a:ln>
                </c14:spPr>
              </c14:invertSolidFillFmt>
            </c:ext>
            <c:ext xmlns:c16="http://schemas.microsoft.com/office/drawing/2014/chart" uri="{C3380CC4-5D6E-409C-BE32-E72D297353CC}">
              <c16:uniqueId val="{00000002-E953-EC4B-943F-1F47941CFC9E}"/>
            </c:ext>
          </c:extLst>
        </c:ser>
        <c:ser>
          <c:idx val="3"/>
          <c:order val="3"/>
          <c:tx>
            <c:strRef>
              <c:f>Charts!$V$9</c:f>
              <c:strCache>
                <c:ptCount val="1"/>
                <c:pt idx="0">
                  <c:v>Party committee</c:v>
                </c:pt>
              </c:strCache>
            </c:strRef>
          </c:tx>
          <c:spPr>
            <a:solidFill>
              <a:srgbClr val="A9C6E8"/>
            </a:solidFill>
            <a:ln>
              <a:solidFill>
                <a:srgbClr val="A9C6E8"/>
              </a:solidFill>
              <a:prstDash val="solid"/>
            </a:ln>
          </c:spPr>
          <c:invertIfNegative val="1"/>
          <c:cat>
            <c:strRef>
              <c:f>Charts!$R$10:$R$11</c:f>
              <c:strCache>
                <c:ptCount val="2"/>
                <c:pt idx="0">
                  <c:v>Bob Brooks (D)</c:v>
                </c:pt>
                <c:pt idx="1">
                  <c:v>Ryan Mackenzie (R)</c:v>
                </c:pt>
              </c:strCache>
            </c:strRef>
          </c:cat>
          <c:val>
            <c:numRef>
              <c:f>Charts!$V$10:$V$11</c:f>
              <c:numCache>
                <c:formatCode>\$#,##0;\(\$#,##0\);"—"</c:formatCode>
                <c:ptCount val="2"/>
                <c:pt idx="0">
                  <c:v>5000</c:v>
                </c:pt>
                <c:pt idx="1">
                  <c:v>5000</c:v>
                </c:pt>
              </c:numCache>
            </c:numRef>
          </c:val>
          <c:extLst>
            <c:ext xmlns:c14="http://schemas.microsoft.com/office/drawing/2007/8/2/chart" uri="{6F2FDCE9-48DA-4B69-8628-5D25D57E5C99}">
              <c14:invertSolidFillFmt>
                <c14:spPr xmlns:c14="http://schemas.microsoft.com/office/drawing/2007/8/2/chart">
                  <a:solidFill>
                    <a:srgbClr val="FFFFFF"/>
                  </a:solidFill>
                  <a:ln>
                    <a:solidFill>
                      <a:srgbClr val="A9C6E8"/>
                    </a:solidFill>
                    <a:prstDash val="solid"/>
                  </a:ln>
                </c14:spPr>
              </c14:invertSolidFillFmt>
            </c:ext>
            <c:ext xmlns:c16="http://schemas.microsoft.com/office/drawing/2014/chart" uri="{C3380CC4-5D6E-409C-BE32-E72D297353CC}">
              <c16:uniqueId val="{00000003-E953-EC4B-943F-1F47941CFC9E}"/>
            </c:ext>
          </c:extLst>
        </c:ser>
        <c:ser>
          <c:idx val="4"/>
          <c:order val="4"/>
          <c:tx>
            <c:strRef>
              <c:f>Charts!$W$9</c:f>
              <c:strCache>
                <c:ptCount val="1"/>
                <c:pt idx="0">
                  <c:v>Transfer from other cmte</c:v>
                </c:pt>
              </c:strCache>
            </c:strRef>
          </c:tx>
          <c:spPr>
            <a:solidFill>
              <a:srgbClr val="E8A33D"/>
            </a:solidFill>
            <a:ln>
              <a:solidFill>
                <a:srgbClr val="E8A33D"/>
              </a:solidFill>
              <a:prstDash val="solid"/>
            </a:ln>
          </c:spPr>
          <c:invertIfNegative val="1"/>
          <c:cat>
            <c:strRef>
              <c:f>Charts!$R$10:$R$11</c:f>
              <c:strCache>
                <c:ptCount val="2"/>
                <c:pt idx="0">
                  <c:v>Bob Brooks (D)</c:v>
                </c:pt>
                <c:pt idx="1">
                  <c:v>Ryan Mackenzie (R)</c:v>
                </c:pt>
              </c:strCache>
            </c:strRef>
          </c:cat>
          <c:val>
            <c:numRef>
              <c:f>Charts!$W$10:$W$11</c:f>
              <c:numCache>
                <c:formatCode>\$#,##0;\(\$#,##0\);"—"</c:formatCode>
                <c:ptCount val="2"/>
                <c:pt idx="0">
                  <c:v>26085</c:v>
                </c:pt>
                <c:pt idx="1">
                  <c:v>1779199.14</c:v>
                </c:pt>
              </c:numCache>
            </c:numRef>
          </c:val>
          <c:extLst>
            <c:ext xmlns:c14="http://schemas.microsoft.com/office/drawing/2007/8/2/chart" uri="{6F2FDCE9-48DA-4B69-8628-5D25D57E5C99}">
              <c14:invertSolidFillFmt>
                <c14:spPr xmlns:c14="http://schemas.microsoft.com/office/drawing/2007/8/2/chart">
                  <a:solidFill>
                    <a:srgbClr val="FFFFFF"/>
                  </a:solidFill>
                  <a:ln>
                    <a:solidFill>
                      <a:srgbClr val="E8A33D"/>
                    </a:solidFill>
                    <a:prstDash val="solid"/>
                  </a:ln>
                </c14:spPr>
              </c14:invertSolidFillFmt>
            </c:ext>
            <c:ext xmlns:c16="http://schemas.microsoft.com/office/drawing/2014/chart" uri="{C3380CC4-5D6E-409C-BE32-E72D297353CC}">
              <c16:uniqueId val="{00000004-E953-EC4B-943F-1F47941CFC9E}"/>
            </c:ext>
          </c:extLst>
        </c:ser>
        <c:ser>
          <c:idx val="5"/>
          <c:order val="5"/>
          <c:tx>
            <c:strRef>
              <c:f>Charts!$X$9</c:f>
              <c:strCache>
                <c:ptCount val="1"/>
                <c:pt idx="0">
                  <c:v>Self-funding</c:v>
                </c:pt>
              </c:strCache>
            </c:strRef>
          </c:tx>
          <c:spPr>
            <a:solidFill>
              <a:srgbClr val="7F7F7F"/>
            </a:solidFill>
            <a:ln>
              <a:solidFill>
                <a:srgbClr val="7F7F7F"/>
              </a:solidFill>
              <a:prstDash val="solid"/>
            </a:ln>
          </c:spPr>
          <c:invertIfNegative val="1"/>
          <c:cat>
            <c:strRef>
              <c:f>Charts!$R$10:$R$11</c:f>
              <c:strCache>
                <c:ptCount val="2"/>
                <c:pt idx="0">
                  <c:v>Bob Brooks (D)</c:v>
                </c:pt>
                <c:pt idx="1">
                  <c:v>Ryan Mackenzie (R)</c:v>
                </c:pt>
              </c:strCache>
            </c:strRef>
          </c:cat>
          <c:val>
            <c:numRef>
              <c:f>Charts!$X$10:$X$11</c:f>
              <c:numCache>
                <c:formatCode>\$#,##0;\(\$#,##0\);"—"</c:formatCode>
                <c:ptCount val="2"/>
                <c:pt idx="0">
                  <c:v>3500</c:v>
                </c:pt>
                <c:pt idx="1">
                  <c:v>0</c:v>
                </c:pt>
              </c:numCache>
            </c:numRef>
          </c:val>
          <c:extLst>
            <c:ext xmlns:c14="http://schemas.microsoft.com/office/drawing/2007/8/2/chart" uri="{6F2FDCE9-48DA-4B69-8628-5D25D57E5C99}">
              <c14:invertSolidFillFmt>
                <c14:spPr xmlns:c14="http://schemas.microsoft.com/office/drawing/2007/8/2/chart">
                  <a:solidFill>
                    <a:srgbClr val="FFFFFF"/>
                  </a:solidFill>
                  <a:ln>
                    <a:solidFill>
                      <a:srgbClr val="7F7F7F"/>
                    </a:solidFill>
                    <a:prstDash val="solid"/>
                  </a:ln>
                </c14:spPr>
              </c14:invertSolidFillFmt>
            </c:ext>
            <c:ext xmlns:c16="http://schemas.microsoft.com/office/drawing/2014/chart" uri="{C3380CC4-5D6E-409C-BE32-E72D297353CC}">
              <c16:uniqueId val="{00000005-E953-EC4B-943F-1F47941CFC9E}"/>
            </c:ext>
          </c:extLst>
        </c:ser>
        <c:ser>
          <c:idx val="6"/>
          <c:order val="6"/>
          <c:tx>
            <c:strRef>
              <c:f>Charts!$Y$9</c:f>
              <c:strCache>
                <c:ptCount val="1"/>
                <c:pt idx="0">
                  <c:v>Other / unclassified</c:v>
                </c:pt>
              </c:strCache>
            </c:strRef>
          </c:tx>
          <c:spPr>
            <a:solidFill>
              <a:srgbClr val="D9D9D9"/>
            </a:solidFill>
            <a:ln>
              <a:solidFill>
                <a:srgbClr val="D9D9D9"/>
              </a:solidFill>
              <a:prstDash val="solid"/>
            </a:ln>
          </c:spPr>
          <c:invertIfNegative val="1"/>
          <c:cat>
            <c:strRef>
              <c:f>Charts!$R$10:$R$11</c:f>
              <c:strCache>
                <c:ptCount val="2"/>
                <c:pt idx="0">
                  <c:v>Bob Brooks (D)</c:v>
                </c:pt>
                <c:pt idx="1">
                  <c:v>Ryan Mackenzie (R)</c:v>
                </c:pt>
              </c:strCache>
            </c:strRef>
          </c:cat>
          <c:val>
            <c:numRef>
              <c:f>Charts!$Y$10:$Y$11</c:f>
              <c:numCache>
                <c:formatCode>\$#,##0;\(\$#,##0\);"—"</c:formatCode>
                <c:ptCount val="2"/>
                <c:pt idx="0">
                  <c:v>12464.669999999925</c:v>
                </c:pt>
                <c:pt idx="1">
                  <c:v>37052.180000000633</c:v>
                </c:pt>
              </c:numCache>
            </c:numRef>
          </c:val>
          <c:extLst>
            <c:ext xmlns:c14="http://schemas.microsoft.com/office/drawing/2007/8/2/chart" uri="{6F2FDCE9-48DA-4B69-8628-5D25D57E5C99}">
              <c14:invertSolidFillFmt>
                <c14:spPr xmlns:c14="http://schemas.microsoft.com/office/drawing/2007/8/2/chart">
                  <a:solidFill>
                    <a:srgbClr val="FFFFFF"/>
                  </a:solidFill>
                  <a:ln>
                    <a:solidFill>
                      <a:srgbClr val="D9D9D9"/>
                    </a:solidFill>
                    <a:prstDash val="solid"/>
                  </a:ln>
                </c14:spPr>
              </c14:invertSolidFillFmt>
            </c:ext>
            <c:ext xmlns:c16="http://schemas.microsoft.com/office/drawing/2014/chart" uri="{C3380CC4-5D6E-409C-BE32-E72D297353CC}">
              <c16:uniqueId val="{00000006-E953-EC4B-943F-1F47941CFC9E}"/>
            </c:ext>
          </c:extLst>
        </c:ser>
        <c:dLbls>
          <c:showLegendKey val="0"/>
          <c:showVal val="0"/>
          <c:showCatName val="0"/>
          <c:showSerName val="0"/>
          <c:showPercent val="0"/>
          <c:showBubbleSize val="0"/>
        </c:dLbls>
        <c:gapWidth val="150"/>
        <c:overlap val="100"/>
        <c:axId val="10"/>
        <c:axId val="100"/>
      </c:barChart>
      <c:catAx>
        <c:axId val="10"/>
        <c:scaling>
          <c:orientation val="minMax"/>
        </c:scaling>
        <c:delete val="0"/>
        <c:axPos val="b"/>
        <c:numFmt formatCode="General" sourceLinked="1"/>
        <c:majorTickMark val="none"/>
        <c:minorTickMark val="none"/>
        <c:tickLblPos val="nextTo"/>
        <c:crossAx val="100"/>
        <c:crosses val="autoZero"/>
        <c:auto val="1"/>
        <c:lblAlgn val="ctr"/>
        <c:lblOffset val="100"/>
        <c:noMultiLvlLbl val="1"/>
      </c:catAx>
      <c:valAx>
        <c:axId val="100"/>
        <c:scaling>
          <c:orientation val="minMax"/>
        </c:scaling>
        <c:delete val="0"/>
        <c:axPos val="l"/>
        <c:title>
          <c:tx>
            <c:rich>
              <a:bodyPr/>
              <a:lstStyle/>
              <a:p>
                <a:pPr>
                  <a:defRPr/>
                </a:pPr>
                <a:r>
                  <a:rPr lang="en-US"/>
                  <a:t>US dollars</a:t>
                </a:r>
              </a:p>
            </c:rich>
          </c:tx>
          <c:overlay val="1"/>
        </c:title>
        <c:numFmt formatCode="\$#,##0.0,,&quot;M&quot;" sourceLinked="0"/>
        <c:majorTickMark val="none"/>
        <c:minorTickMark val="none"/>
        <c:tickLblPos val="nextTo"/>
        <c:crossAx val="10"/>
        <c:crosses val="autoZero"/>
        <c:crossBetween val="between"/>
      </c:valAx>
    </c:plotArea>
    <c:legend>
      <c:legendPos val="r"/>
      <c:layout>
        <c:manualLayout>
          <c:xMode val="edge"/>
          <c:yMode val="edge"/>
          <c:x val="0.10768952020202019"/>
          <c:y val="4.6872222222222218E-2"/>
          <c:w val="0.2396715909090909"/>
          <c:h val="0.40595227272727274"/>
        </c:manualLayout>
      </c:layout>
      <c:overlay val="1"/>
    </c:legend>
    <c:plotVisOnly val="1"/>
    <c:dispBlanksAs val="gap"/>
    <c:showDLblsOverMax val="1"/>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a:defRPr/>
            </a:pPr>
            <a:r>
              <a:rPr lang="en-US"/>
              <a:t>3 · The headline gap is mostly one committee transfer</a:t>
            </a:r>
          </a:p>
        </c:rich>
      </c:tx>
      <c:overlay val="1"/>
    </c:title>
    <c:autoTitleDeleted val="0"/>
    <c:plotArea>
      <c:layout>
        <c:manualLayout>
          <c:layoutTarget val="inner"/>
          <c:xMode val="edge"/>
          <c:yMode val="edge"/>
          <c:x val="9.6309722222222227E-2"/>
          <c:y val="3.5606565656565656E-2"/>
          <c:w val="0.8860513888888889"/>
          <c:h val="0.88405101010101006"/>
        </c:manualLayout>
      </c:layout>
      <c:barChart>
        <c:barDir val="col"/>
        <c:grouping val="clustered"/>
        <c:varyColors val="1"/>
        <c:ser>
          <c:idx val="0"/>
          <c:order val="0"/>
          <c:tx>
            <c:strRef>
              <c:f>Charts!$S$14</c:f>
              <c:strCache>
                <c:ptCount val="1"/>
                <c:pt idx="0">
                  <c:v>Bob Brooks (D)</c:v>
                </c:pt>
              </c:strCache>
            </c:strRef>
          </c:tx>
          <c:spPr>
            <a:solidFill>
              <a:srgbClr val="2E75B6"/>
            </a:solidFill>
            <a:ln>
              <a:solidFill>
                <a:srgbClr val="2E75B6"/>
              </a:solidFill>
              <a:prstDash val="solid"/>
            </a:ln>
          </c:spPr>
          <c:invertIfNegative val="1"/>
          <c:cat>
            <c:strRef>
              <c:f>Charts!$R$15:$R$16</c:f>
              <c:strCache>
                <c:ptCount val="2"/>
                <c:pt idx="0">
                  <c:v>Receipts as reported</c:v>
                </c:pt>
                <c:pt idx="1">
                  <c:v>Receipts excluding transfers</c:v>
                </c:pt>
              </c:strCache>
            </c:strRef>
          </c:cat>
          <c:val>
            <c:numRef>
              <c:f>Charts!$S$15:$S$16</c:f>
              <c:numCache>
                <c:formatCode>\$#,##0;\(\$#,##0\);"—"</c:formatCode>
                <c:ptCount val="2"/>
                <c:pt idx="0">
                  <c:v>2392215.23</c:v>
                </c:pt>
                <c:pt idx="1">
                  <c:v>2366130.23</c:v>
                </c:pt>
              </c:numCache>
            </c:numRef>
          </c:val>
          <c:extLst>
            <c:ext xmlns:c14="http://schemas.microsoft.com/office/drawing/2007/8/2/chart" uri="{6F2FDCE9-48DA-4B69-8628-5D25D57E5C99}">
              <c14:invertSolidFillFmt>
                <c14:spPr xmlns:c14="http://schemas.microsoft.com/office/drawing/2007/8/2/chart">
                  <a:solidFill>
                    <a:srgbClr val="FFFFFF"/>
                  </a:solidFill>
                  <a:ln>
                    <a:solidFill>
                      <a:srgbClr val="2E75B6"/>
                    </a:solidFill>
                    <a:prstDash val="solid"/>
                  </a:ln>
                </c14:spPr>
              </c14:invertSolidFillFmt>
            </c:ext>
            <c:ext xmlns:c16="http://schemas.microsoft.com/office/drawing/2014/chart" uri="{C3380CC4-5D6E-409C-BE32-E72D297353CC}">
              <c16:uniqueId val="{00000000-422F-2F47-A236-7183A67E9E08}"/>
            </c:ext>
          </c:extLst>
        </c:ser>
        <c:ser>
          <c:idx val="1"/>
          <c:order val="1"/>
          <c:tx>
            <c:strRef>
              <c:f>Charts!$T$14</c:f>
              <c:strCache>
                <c:ptCount val="1"/>
                <c:pt idx="0">
                  <c:v>Ryan Mackenzie (R)</c:v>
                </c:pt>
              </c:strCache>
            </c:strRef>
          </c:tx>
          <c:spPr>
            <a:solidFill>
              <a:srgbClr val="C0392B"/>
            </a:solidFill>
            <a:ln>
              <a:solidFill>
                <a:srgbClr val="C0392B"/>
              </a:solidFill>
              <a:prstDash val="solid"/>
            </a:ln>
          </c:spPr>
          <c:invertIfNegative val="1"/>
          <c:cat>
            <c:strRef>
              <c:f>Charts!$R$15:$R$16</c:f>
              <c:strCache>
                <c:ptCount val="2"/>
                <c:pt idx="0">
                  <c:v>Receipts as reported</c:v>
                </c:pt>
                <c:pt idx="1">
                  <c:v>Receipts excluding transfers</c:v>
                </c:pt>
              </c:strCache>
            </c:strRef>
          </c:cat>
          <c:val>
            <c:numRef>
              <c:f>Charts!$T$15:$T$16</c:f>
              <c:numCache>
                <c:formatCode>\$#,##0;\(\$#,##0\);"—"</c:formatCode>
                <c:ptCount val="2"/>
                <c:pt idx="0">
                  <c:v>4357405.1100000003</c:v>
                </c:pt>
                <c:pt idx="1">
                  <c:v>2578205.9700000007</c:v>
                </c:pt>
              </c:numCache>
            </c:numRef>
          </c:val>
          <c:extLst>
            <c:ext xmlns:c14="http://schemas.microsoft.com/office/drawing/2007/8/2/chart" uri="{6F2FDCE9-48DA-4B69-8628-5D25D57E5C99}">
              <c14:invertSolidFillFmt>
                <c14:spPr xmlns:c14="http://schemas.microsoft.com/office/drawing/2007/8/2/chart">
                  <a:solidFill>
                    <a:srgbClr val="FFFFFF"/>
                  </a:solidFill>
                  <a:ln>
                    <a:solidFill>
                      <a:srgbClr val="C0392B"/>
                    </a:solidFill>
                    <a:prstDash val="solid"/>
                  </a:ln>
                </c14:spPr>
              </c14:invertSolidFillFmt>
            </c:ext>
            <c:ext xmlns:c16="http://schemas.microsoft.com/office/drawing/2014/chart" uri="{C3380CC4-5D6E-409C-BE32-E72D297353CC}">
              <c16:uniqueId val="{00000001-422F-2F47-A236-7183A67E9E08}"/>
            </c:ext>
          </c:extLst>
        </c:ser>
        <c:dLbls>
          <c:showLegendKey val="0"/>
          <c:showVal val="0"/>
          <c:showCatName val="0"/>
          <c:showSerName val="0"/>
          <c:showPercent val="0"/>
          <c:showBubbleSize val="0"/>
        </c:dLbls>
        <c:gapWidth val="150"/>
        <c:axId val="10"/>
        <c:axId val="100"/>
      </c:barChart>
      <c:catAx>
        <c:axId val="10"/>
        <c:scaling>
          <c:orientation val="minMax"/>
        </c:scaling>
        <c:delete val="0"/>
        <c:axPos val="b"/>
        <c:numFmt formatCode="General" sourceLinked="1"/>
        <c:majorTickMark val="none"/>
        <c:minorTickMark val="none"/>
        <c:tickLblPos val="nextTo"/>
        <c:crossAx val="100"/>
        <c:crosses val="autoZero"/>
        <c:auto val="1"/>
        <c:lblAlgn val="ctr"/>
        <c:lblOffset val="100"/>
        <c:noMultiLvlLbl val="1"/>
      </c:catAx>
      <c:valAx>
        <c:axId val="100"/>
        <c:scaling>
          <c:orientation val="minMax"/>
        </c:scaling>
        <c:delete val="0"/>
        <c:axPos val="l"/>
        <c:title>
          <c:tx>
            <c:rich>
              <a:bodyPr/>
              <a:lstStyle/>
              <a:p>
                <a:pPr>
                  <a:defRPr/>
                </a:pPr>
                <a:r>
                  <a:rPr lang="en-US"/>
                  <a:t>US dollars</a:t>
                </a:r>
              </a:p>
            </c:rich>
          </c:tx>
          <c:overlay val="1"/>
        </c:title>
        <c:numFmt formatCode="\$#,##0.0,,&quot;M&quot;" sourceLinked="0"/>
        <c:majorTickMark val="none"/>
        <c:minorTickMark val="none"/>
        <c:tickLblPos val="nextTo"/>
        <c:crossAx val="10"/>
        <c:crosses val="autoZero"/>
        <c:crossBetween val="between"/>
      </c:valAx>
    </c:plotArea>
    <c:legend>
      <c:legendPos val="r"/>
      <c:layout>
        <c:manualLayout>
          <c:xMode val="edge"/>
          <c:yMode val="edge"/>
          <c:x val="0.80026401515151513"/>
          <c:y val="0.14054217171717168"/>
          <c:w val="0.15483699494949496"/>
          <c:h val="0.11598636363636364"/>
        </c:manualLayout>
      </c:layout>
      <c:overlay val="1"/>
    </c:legend>
    <c:plotVisOnly val="1"/>
    <c:dispBlanksAs val="gap"/>
    <c:showDLblsOverMax val="1"/>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a:defRPr/>
            </a:pPr>
            <a:r>
              <a:rPr lang="en-US"/>
              <a:t>4 · The ten largest outside spenders</a:t>
            </a:r>
          </a:p>
        </c:rich>
      </c:tx>
      <c:overlay val="1"/>
    </c:title>
    <c:autoTitleDeleted val="0"/>
    <c:plotArea>
      <c:layout/>
      <c:barChart>
        <c:barDir val="bar"/>
        <c:grouping val="clustered"/>
        <c:varyColors val="1"/>
        <c:ser>
          <c:idx val="0"/>
          <c:order val="0"/>
          <c:tx>
            <c:strRef>
              <c:f>Charts!$S$19</c:f>
              <c:strCache>
                <c:ptCount val="1"/>
                <c:pt idx="0">
                  <c:v>Independent expenditure</c:v>
                </c:pt>
              </c:strCache>
            </c:strRef>
          </c:tx>
          <c:spPr>
            <a:solidFill>
              <a:srgbClr val="1F4E79"/>
            </a:solidFill>
            <a:ln>
              <a:solidFill>
                <a:srgbClr val="1F4E79"/>
              </a:solidFill>
              <a:prstDash val="solid"/>
            </a:ln>
          </c:spPr>
          <c:invertIfNegative val="1"/>
          <c:dPt>
            <c:idx val="0"/>
            <c:invertIfNegative val="1"/>
            <c:bubble3D val="0"/>
            <c:spPr>
              <a:solidFill>
                <a:srgbClr val="1F4E79"/>
              </a:solidFill>
              <a:ln>
                <a:prstDash val="solid"/>
              </a:ln>
            </c:spPr>
            <c:extLst>
              <c:ext xmlns:c16="http://schemas.microsoft.com/office/drawing/2014/chart" uri="{C3380CC4-5D6E-409C-BE32-E72D297353CC}">
                <c16:uniqueId val="{00000001-E57D-7445-BAFD-15DD50BA3B57}"/>
              </c:ext>
            </c:extLst>
          </c:dPt>
          <c:dPt>
            <c:idx val="1"/>
            <c:invertIfNegative val="1"/>
            <c:bubble3D val="0"/>
            <c:spPr>
              <a:solidFill>
                <a:srgbClr val="C0392B"/>
              </a:solidFill>
              <a:ln>
                <a:prstDash val="solid"/>
              </a:ln>
            </c:spPr>
            <c:extLst>
              <c:ext xmlns:c16="http://schemas.microsoft.com/office/drawing/2014/chart" uri="{C3380CC4-5D6E-409C-BE32-E72D297353CC}">
                <c16:uniqueId val="{00000003-E57D-7445-BAFD-15DD50BA3B57}"/>
              </c:ext>
            </c:extLst>
          </c:dPt>
          <c:dPt>
            <c:idx val="2"/>
            <c:invertIfNegative val="1"/>
            <c:bubble3D val="0"/>
            <c:spPr>
              <a:solidFill>
                <a:srgbClr val="1F4E79"/>
              </a:solidFill>
              <a:ln>
                <a:prstDash val="solid"/>
              </a:ln>
            </c:spPr>
            <c:extLst>
              <c:ext xmlns:c16="http://schemas.microsoft.com/office/drawing/2014/chart" uri="{C3380CC4-5D6E-409C-BE32-E72D297353CC}">
                <c16:uniqueId val="{00000005-E57D-7445-BAFD-15DD50BA3B57}"/>
              </c:ext>
            </c:extLst>
          </c:dPt>
          <c:dPt>
            <c:idx val="3"/>
            <c:invertIfNegative val="1"/>
            <c:bubble3D val="0"/>
            <c:spPr>
              <a:solidFill>
                <a:srgbClr val="1F4E79"/>
              </a:solidFill>
              <a:ln>
                <a:prstDash val="solid"/>
              </a:ln>
            </c:spPr>
            <c:extLst>
              <c:ext xmlns:c16="http://schemas.microsoft.com/office/drawing/2014/chart" uri="{C3380CC4-5D6E-409C-BE32-E72D297353CC}">
                <c16:uniqueId val="{00000007-E57D-7445-BAFD-15DD50BA3B57}"/>
              </c:ext>
            </c:extLst>
          </c:dPt>
          <c:dPt>
            <c:idx val="4"/>
            <c:invertIfNegative val="1"/>
            <c:bubble3D val="0"/>
            <c:spPr>
              <a:solidFill>
                <a:srgbClr val="1F4E79"/>
              </a:solidFill>
              <a:ln>
                <a:prstDash val="solid"/>
              </a:ln>
            </c:spPr>
            <c:extLst>
              <c:ext xmlns:c16="http://schemas.microsoft.com/office/drawing/2014/chart" uri="{C3380CC4-5D6E-409C-BE32-E72D297353CC}">
                <c16:uniqueId val="{00000009-E57D-7445-BAFD-15DD50BA3B57}"/>
              </c:ext>
            </c:extLst>
          </c:dPt>
          <c:dPt>
            <c:idx val="5"/>
            <c:invertIfNegative val="1"/>
            <c:bubble3D val="0"/>
            <c:spPr>
              <a:solidFill>
                <a:srgbClr val="1F4E79"/>
              </a:solidFill>
              <a:ln>
                <a:prstDash val="solid"/>
              </a:ln>
            </c:spPr>
            <c:extLst>
              <c:ext xmlns:c16="http://schemas.microsoft.com/office/drawing/2014/chart" uri="{C3380CC4-5D6E-409C-BE32-E72D297353CC}">
                <c16:uniqueId val="{0000000B-E57D-7445-BAFD-15DD50BA3B57}"/>
              </c:ext>
            </c:extLst>
          </c:dPt>
          <c:dPt>
            <c:idx val="6"/>
            <c:invertIfNegative val="1"/>
            <c:bubble3D val="0"/>
            <c:spPr>
              <a:solidFill>
                <a:srgbClr val="1F4E79"/>
              </a:solidFill>
              <a:ln>
                <a:prstDash val="solid"/>
              </a:ln>
            </c:spPr>
            <c:extLst>
              <c:ext xmlns:c16="http://schemas.microsoft.com/office/drawing/2014/chart" uri="{C3380CC4-5D6E-409C-BE32-E72D297353CC}">
                <c16:uniqueId val="{0000000D-E57D-7445-BAFD-15DD50BA3B57}"/>
              </c:ext>
            </c:extLst>
          </c:dPt>
          <c:dPt>
            <c:idx val="7"/>
            <c:invertIfNegative val="1"/>
            <c:bubble3D val="0"/>
            <c:spPr>
              <a:solidFill>
                <a:srgbClr val="1F4E79"/>
              </a:solidFill>
              <a:ln>
                <a:prstDash val="solid"/>
              </a:ln>
            </c:spPr>
            <c:extLst>
              <c:ext xmlns:c16="http://schemas.microsoft.com/office/drawing/2014/chart" uri="{C3380CC4-5D6E-409C-BE32-E72D297353CC}">
                <c16:uniqueId val="{0000000F-E57D-7445-BAFD-15DD50BA3B57}"/>
              </c:ext>
            </c:extLst>
          </c:dPt>
          <c:dPt>
            <c:idx val="8"/>
            <c:invertIfNegative val="1"/>
            <c:bubble3D val="0"/>
            <c:spPr>
              <a:solidFill>
                <a:srgbClr val="1F4E79"/>
              </a:solidFill>
              <a:ln>
                <a:prstDash val="solid"/>
              </a:ln>
            </c:spPr>
            <c:extLst>
              <c:ext xmlns:c16="http://schemas.microsoft.com/office/drawing/2014/chart" uri="{C3380CC4-5D6E-409C-BE32-E72D297353CC}">
                <c16:uniqueId val="{00000011-E57D-7445-BAFD-15DD50BA3B57}"/>
              </c:ext>
            </c:extLst>
          </c:dPt>
          <c:dPt>
            <c:idx val="9"/>
            <c:invertIfNegative val="1"/>
            <c:bubble3D val="0"/>
            <c:spPr>
              <a:solidFill>
                <a:srgbClr val="1F4E79"/>
              </a:solidFill>
              <a:ln>
                <a:prstDash val="solid"/>
              </a:ln>
            </c:spPr>
            <c:extLst>
              <c:ext xmlns:c16="http://schemas.microsoft.com/office/drawing/2014/chart" uri="{C3380CC4-5D6E-409C-BE32-E72D297353CC}">
                <c16:uniqueId val="{00000013-E57D-7445-BAFD-15DD50BA3B57}"/>
              </c:ext>
            </c:extLst>
          </c:dPt>
          <c:cat>
            <c:strRef>
              <c:f>Charts!$R$20:$R$29</c:f>
              <c:strCache>
                <c:ptCount val="10"/>
                <c:pt idx="0">
                  <c:v>Stronger Together PA (supporting Brooks)</c:v>
                </c:pt>
                <c:pt idx="1">
                  <c:v>Lead Left PAC (opposing Brooks)</c:v>
                </c:pt>
                <c:pt idx="2">
                  <c:v>Jobs and Democracy PAC (supporting Brooks)</c:v>
                </c:pt>
                <c:pt idx="3">
                  <c:v>Congressional Progressive Caucus PAC (supporting Brooks)</c:v>
                </c:pt>
                <c:pt idx="4">
                  <c:v>Medicare for All (supporting Brooks)</c:v>
                </c:pt>
                <c:pt idx="5">
                  <c:v>DLP PAC (supporting Brooks)</c:v>
                </c:pt>
                <c:pt idx="6">
                  <c:v>Make the Road Action Political Committee (supporting Brooks)</c:v>
                </c:pt>
                <c:pt idx="7">
                  <c:v>Blue Majority Project (supporting Brooks)</c:v>
                </c:pt>
                <c:pt idx="8">
                  <c:v>Seniors Empowering an Effective Democracy (SEED-PAC) (supporting Brooks)</c:v>
                </c:pt>
                <c:pt idx="9">
                  <c:v>Blue Battleground Project (supporting Brooks)</c:v>
                </c:pt>
              </c:strCache>
            </c:strRef>
          </c:cat>
          <c:val>
            <c:numRef>
              <c:f>Charts!$S$20:$S$29</c:f>
              <c:numCache>
                <c:formatCode>\$#,##0;\(\$#,##0\);"—"</c:formatCode>
                <c:ptCount val="10"/>
                <c:pt idx="0">
                  <c:v>1781524</c:v>
                </c:pt>
                <c:pt idx="1">
                  <c:v>312371.76</c:v>
                </c:pt>
                <c:pt idx="2">
                  <c:v>249750</c:v>
                </c:pt>
                <c:pt idx="3">
                  <c:v>140300</c:v>
                </c:pt>
                <c:pt idx="4">
                  <c:v>99625</c:v>
                </c:pt>
                <c:pt idx="5">
                  <c:v>88321.5</c:v>
                </c:pt>
                <c:pt idx="6">
                  <c:v>30559.95</c:v>
                </c:pt>
                <c:pt idx="7">
                  <c:v>16643.34</c:v>
                </c:pt>
                <c:pt idx="8">
                  <c:v>11000</c:v>
                </c:pt>
                <c:pt idx="9">
                  <c:v>9116.67</c:v>
                </c:pt>
              </c:numCache>
            </c:numRef>
          </c:val>
          <c:extLst>
            <c:ext xmlns:c14="http://schemas.microsoft.com/office/drawing/2007/8/2/chart" uri="{6F2FDCE9-48DA-4B69-8628-5D25D57E5C99}">
              <c14:invertSolidFillFmt>
                <c14:spPr xmlns:c14="http://schemas.microsoft.com/office/drawing/2007/8/2/chart">
                  <a:solidFill>
                    <a:srgbClr val="FFFFFF"/>
                  </a:solidFill>
                  <a:ln>
                    <a:solidFill>
                      <a:srgbClr val="1F4E79"/>
                    </a:solidFill>
                    <a:prstDash val="solid"/>
                  </a:ln>
                </c14:spPr>
              </c14:invertSolidFillFmt>
            </c:ext>
            <c:ext xmlns:c16="http://schemas.microsoft.com/office/drawing/2014/chart" uri="{C3380CC4-5D6E-409C-BE32-E72D297353CC}">
              <c16:uniqueId val="{00000014-E57D-7445-BAFD-15DD50BA3B57}"/>
            </c:ext>
          </c:extLst>
        </c:ser>
        <c:dLbls>
          <c:showLegendKey val="0"/>
          <c:showVal val="0"/>
          <c:showCatName val="0"/>
          <c:showSerName val="0"/>
          <c:showPercent val="0"/>
          <c:showBubbleSize val="0"/>
        </c:dLbls>
        <c:gapWidth val="150"/>
        <c:axId val="10"/>
        <c:axId val="100"/>
      </c:barChart>
      <c:catAx>
        <c:axId val="10"/>
        <c:scaling>
          <c:orientation val="minMax"/>
        </c:scaling>
        <c:delete val="0"/>
        <c:axPos val="l"/>
        <c:title>
          <c:tx>
            <c:rich>
              <a:bodyPr/>
              <a:lstStyle/>
              <a:p>
                <a:pPr>
                  <a:defRPr/>
                </a:pPr>
                <a:r>
                  <a:rPr lang="en-US"/>
                  <a:t>US dollars</a:t>
                </a:r>
              </a:p>
            </c:rich>
          </c:tx>
          <c:overlay val="1"/>
        </c:title>
        <c:numFmt formatCode="\$#,##0,&quot;K&quot;" sourceLinked="0"/>
        <c:majorTickMark val="none"/>
        <c:minorTickMark val="none"/>
        <c:tickLblPos val="nextTo"/>
        <c:crossAx val="100"/>
        <c:crosses val="autoZero"/>
        <c:auto val="1"/>
        <c:lblAlgn val="ctr"/>
        <c:lblOffset val="100"/>
        <c:noMultiLvlLbl val="1"/>
      </c:catAx>
      <c:valAx>
        <c:axId val="100"/>
        <c:scaling>
          <c:orientation val="minMax"/>
        </c:scaling>
        <c:delete val="0"/>
        <c:axPos val="b"/>
        <c:numFmt formatCode="\$#,##0;\(\$#,##0\);&quot;—&quot;" sourceLinked="1"/>
        <c:majorTickMark val="none"/>
        <c:minorTickMark val="none"/>
        <c:tickLblPos val="nextTo"/>
        <c:crossAx val="10"/>
        <c:crosses val="autoZero"/>
        <c:crossBetween val="between"/>
      </c:valAx>
    </c:plotArea>
    <c:plotVisOnly val="1"/>
    <c:dispBlanksAs val="gap"/>
    <c:showDLblsOverMax val="1"/>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a:defRPr/>
            </a:pPr>
            <a:r>
              <a:rPr lang="en-US"/>
              <a:t>5 · Outside money by target and stance</a:t>
            </a:r>
          </a:p>
        </c:rich>
      </c:tx>
      <c:overlay val="1"/>
    </c:title>
    <c:autoTitleDeleted val="0"/>
    <c:plotArea>
      <c:layout>
        <c:manualLayout>
          <c:layoutTarget val="inner"/>
          <c:xMode val="edge"/>
          <c:yMode val="edge"/>
          <c:x val="0.10753446969696968"/>
          <c:y val="3.5606565656565656E-2"/>
          <c:w val="0.87482664141414146"/>
          <c:h val="0.88405101010101006"/>
        </c:manualLayout>
      </c:layout>
      <c:barChart>
        <c:barDir val="col"/>
        <c:grouping val="clustered"/>
        <c:varyColors val="1"/>
        <c:ser>
          <c:idx val="0"/>
          <c:order val="0"/>
          <c:tx>
            <c:strRef>
              <c:f>Charts!$S$32</c:f>
              <c:strCache>
                <c:ptCount val="1"/>
                <c:pt idx="0">
                  <c:v>Amount</c:v>
                </c:pt>
              </c:strCache>
            </c:strRef>
          </c:tx>
          <c:spPr>
            <a:solidFill>
              <a:srgbClr val="1F4E79"/>
            </a:solidFill>
            <a:ln>
              <a:solidFill>
                <a:srgbClr val="1F4E79"/>
              </a:solidFill>
              <a:prstDash val="solid"/>
            </a:ln>
          </c:spPr>
          <c:invertIfNegative val="1"/>
          <c:dPt>
            <c:idx val="0"/>
            <c:invertIfNegative val="1"/>
            <c:bubble3D val="0"/>
            <c:spPr>
              <a:solidFill>
                <a:srgbClr val="2E75B6"/>
              </a:solidFill>
              <a:ln>
                <a:prstDash val="solid"/>
              </a:ln>
            </c:spPr>
            <c:extLst>
              <c:ext xmlns:c16="http://schemas.microsoft.com/office/drawing/2014/chart" uri="{C3380CC4-5D6E-409C-BE32-E72D297353CC}">
                <c16:uniqueId val="{00000001-52A2-A747-A11E-32F62DD72F50}"/>
              </c:ext>
            </c:extLst>
          </c:dPt>
          <c:dPt>
            <c:idx val="1"/>
            <c:invertIfNegative val="1"/>
            <c:bubble3D val="0"/>
            <c:spPr>
              <a:solidFill>
                <a:srgbClr val="C0392B"/>
              </a:solidFill>
              <a:ln>
                <a:prstDash val="solid"/>
              </a:ln>
            </c:spPr>
            <c:extLst>
              <c:ext xmlns:c16="http://schemas.microsoft.com/office/drawing/2014/chart" uri="{C3380CC4-5D6E-409C-BE32-E72D297353CC}">
                <c16:uniqueId val="{00000003-52A2-A747-A11E-32F62DD72F50}"/>
              </c:ext>
            </c:extLst>
          </c:dPt>
          <c:dPt>
            <c:idx val="2"/>
            <c:invertIfNegative val="1"/>
            <c:bubble3D val="0"/>
            <c:spPr>
              <a:solidFill>
                <a:srgbClr val="E8A33D"/>
              </a:solidFill>
              <a:ln>
                <a:prstDash val="solid"/>
              </a:ln>
            </c:spPr>
            <c:extLst>
              <c:ext xmlns:c16="http://schemas.microsoft.com/office/drawing/2014/chart" uri="{C3380CC4-5D6E-409C-BE32-E72D297353CC}">
                <c16:uniqueId val="{00000005-52A2-A747-A11E-32F62DD72F50}"/>
              </c:ext>
            </c:extLst>
          </c:dPt>
          <c:dPt>
            <c:idx val="3"/>
            <c:invertIfNegative val="1"/>
            <c:bubble3D val="0"/>
            <c:spPr>
              <a:solidFill>
                <a:srgbClr val="7EA6D9"/>
              </a:solidFill>
              <a:ln>
                <a:prstDash val="solid"/>
              </a:ln>
            </c:spPr>
            <c:extLst>
              <c:ext xmlns:c16="http://schemas.microsoft.com/office/drawing/2014/chart" uri="{C3380CC4-5D6E-409C-BE32-E72D297353CC}">
                <c16:uniqueId val="{00000007-52A2-A747-A11E-32F62DD72F50}"/>
              </c:ext>
            </c:extLst>
          </c:dPt>
          <c:cat>
            <c:strRef>
              <c:f>Charts!$R$33:$R$36</c:f>
              <c:strCache>
                <c:ptCount val="4"/>
                <c:pt idx="0">
                  <c:v>Supporting Brooks (D)</c:v>
                </c:pt>
                <c:pt idx="1">
                  <c:v>Opposing Brooks (D)</c:v>
                </c:pt>
                <c:pt idx="2">
                  <c:v>Supporting Mackenzie (R)</c:v>
                </c:pt>
                <c:pt idx="3">
                  <c:v>Opposing Mackenzie (R)</c:v>
                </c:pt>
              </c:strCache>
            </c:strRef>
          </c:cat>
          <c:val>
            <c:numRef>
              <c:f>Charts!$S$33:$S$36</c:f>
              <c:numCache>
                <c:formatCode>\$#,##0;\(\$#,##0\);"—"</c:formatCode>
                <c:ptCount val="4"/>
                <c:pt idx="0">
                  <c:v>2450057.7199999997</c:v>
                </c:pt>
                <c:pt idx="1">
                  <c:v>321211.76</c:v>
                </c:pt>
                <c:pt idx="2">
                  <c:v>0</c:v>
                </c:pt>
                <c:pt idx="3">
                  <c:v>12352.62</c:v>
                </c:pt>
              </c:numCache>
            </c:numRef>
          </c:val>
          <c:extLst>
            <c:ext xmlns:c14="http://schemas.microsoft.com/office/drawing/2007/8/2/chart" uri="{6F2FDCE9-48DA-4B69-8628-5D25D57E5C99}">
              <c14:invertSolidFillFmt>
                <c14:spPr xmlns:c14="http://schemas.microsoft.com/office/drawing/2007/8/2/chart">
                  <a:solidFill>
                    <a:srgbClr val="FFFFFF"/>
                  </a:solidFill>
                  <a:ln>
                    <a:solidFill>
                      <a:srgbClr val="1F4E79"/>
                    </a:solidFill>
                    <a:prstDash val="solid"/>
                  </a:ln>
                </c14:spPr>
              </c14:invertSolidFillFmt>
            </c:ext>
            <c:ext xmlns:c16="http://schemas.microsoft.com/office/drawing/2014/chart" uri="{C3380CC4-5D6E-409C-BE32-E72D297353CC}">
              <c16:uniqueId val="{00000008-52A2-A747-A11E-32F62DD72F50}"/>
            </c:ext>
          </c:extLst>
        </c:ser>
        <c:dLbls>
          <c:showLegendKey val="0"/>
          <c:showVal val="0"/>
          <c:showCatName val="0"/>
          <c:showSerName val="0"/>
          <c:showPercent val="0"/>
          <c:showBubbleSize val="0"/>
        </c:dLbls>
        <c:gapWidth val="150"/>
        <c:axId val="10"/>
        <c:axId val="100"/>
      </c:barChart>
      <c:catAx>
        <c:axId val="10"/>
        <c:scaling>
          <c:orientation val="minMax"/>
        </c:scaling>
        <c:delete val="0"/>
        <c:axPos val="b"/>
        <c:numFmt formatCode="General" sourceLinked="1"/>
        <c:majorTickMark val="none"/>
        <c:minorTickMark val="none"/>
        <c:tickLblPos val="nextTo"/>
        <c:crossAx val="100"/>
        <c:crosses val="autoZero"/>
        <c:auto val="1"/>
        <c:lblAlgn val="ctr"/>
        <c:lblOffset val="100"/>
        <c:noMultiLvlLbl val="1"/>
      </c:catAx>
      <c:valAx>
        <c:axId val="100"/>
        <c:scaling>
          <c:orientation val="minMax"/>
        </c:scaling>
        <c:delete val="0"/>
        <c:axPos val="l"/>
        <c:title>
          <c:tx>
            <c:rich>
              <a:bodyPr/>
              <a:lstStyle/>
              <a:p>
                <a:pPr>
                  <a:defRPr/>
                </a:pPr>
                <a:r>
                  <a:rPr lang="en-US"/>
                  <a:t>US dollars</a:t>
                </a:r>
              </a:p>
            </c:rich>
          </c:tx>
          <c:overlay val="1"/>
        </c:title>
        <c:numFmt formatCode="\$#,##0.0,,&quot;M&quot;" sourceLinked="0"/>
        <c:majorTickMark val="none"/>
        <c:minorTickMark val="none"/>
        <c:tickLblPos val="nextTo"/>
        <c:crossAx val="10"/>
        <c:crosses val="autoZero"/>
        <c:crossBetween val="between"/>
      </c:valAx>
    </c:plotArea>
    <c:plotVisOnly val="1"/>
    <c:dispBlanksAs val="gap"/>
    <c:showDLblsOverMax val="1"/>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a:defRPr/>
            </a:pPr>
            <a:r>
              <a:rPr lang="en-US"/>
              <a:t>6 · Outside money is highly concentrated</a:t>
            </a:r>
          </a:p>
        </c:rich>
      </c:tx>
      <c:overlay val="1"/>
    </c:title>
    <c:autoTitleDeleted val="0"/>
    <c:plotArea>
      <c:layout>
        <c:manualLayout>
          <c:layoutTarget val="inner"/>
          <c:xMode val="edge"/>
          <c:yMode val="edge"/>
          <c:x val="0.27708006279434849"/>
          <c:y val="7.2289156626506021E-2"/>
          <c:w val="0.46624803767660911"/>
          <c:h val="0.89457831325301207"/>
        </c:manualLayout>
      </c:layout>
      <c:pieChart>
        <c:varyColors val="1"/>
        <c:ser>
          <c:idx val="0"/>
          <c:order val="0"/>
          <c:tx>
            <c:strRef>
              <c:f>Charts!$S$39</c:f>
              <c:strCache>
                <c:ptCount val="1"/>
                <c:pt idx="0">
                  <c:v>Outside spending</c:v>
                </c:pt>
              </c:strCache>
            </c:strRef>
          </c:tx>
          <c:spPr>
            <a:ln>
              <a:prstDash val="solid"/>
            </a:ln>
          </c:spPr>
          <c:dPt>
            <c:idx val="0"/>
            <c:bubble3D val="0"/>
            <c:spPr>
              <a:solidFill>
                <a:srgbClr val="1F4E79"/>
              </a:solidFill>
              <a:ln>
                <a:prstDash val="solid"/>
              </a:ln>
            </c:spPr>
            <c:extLst>
              <c:ext xmlns:c16="http://schemas.microsoft.com/office/drawing/2014/chart" uri="{C3380CC4-5D6E-409C-BE32-E72D297353CC}">
                <c16:uniqueId val="{00000001-594C-DE46-92AB-5B91B5917898}"/>
              </c:ext>
            </c:extLst>
          </c:dPt>
          <c:dPt>
            <c:idx val="1"/>
            <c:bubble3D val="0"/>
            <c:spPr>
              <a:solidFill>
                <a:srgbClr val="C0392B"/>
              </a:solidFill>
              <a:ln>
                <a:prstDash val="solid"/>
              </a:ln>
            </c:spPr>
            <c:extLst>
              <c:ext xmlns:c16="http://schemas.microsoft.com/office/drawing/2014/chart" uri="{C3380CC4-5D6E-409C-BE32-E72D297353CC}">
                <c16:uniqueId val="{00000003-594C-DE46-92AB-5B91B5917898}"/>
              </c:ext>
            </c:extLst>
          </c:dPt>
          <c:dPt>
            <c:idx val="2"/>
            <c:bubble3D val="0"/>
            <c:spPr>
              <a:solidFill>
                <a:srgbClr val="2E75B6"/>
              </a:solidFill>
              <a:ln>
                <a:prstDash val="solid"/>
              </a:ln>
            </c:spPr>
            <c:extLst>
              <c:ext xmlns:c16="http://schemas.microsoft.com/office/drawing/2014/chart" uri="{C3380CC4-5D6E-409C-BE32-E72D297353CC}">
                <c16:uniqueId val="{00000005-594C-DE46-92AB-5B91B5917898}"/>
              </c:ext>
            </c:extLst>
          </c:dPt>
          <c:dPt>
            <c:idx val="3"/>
            <c:bubble3D val="0"/>
            <c:spPr>
              <a:solidFill>
                <a:srgbClr val="7EA6D9"/>
              </a:solidFill>
              <a:ln>
                <a:prstDash val="solid"/>
              </a:ln>
            </c:spPr>
            <c:extLst>
              <c:ext xmlns:c16="http://schemas.microsoft.com/office/drawing/2014/chart" uri="{C3380CC4-5D6E-409C-BE32-E72D297353CC}">
                <c16:uniqueId val="{00000007-594C-DE46-92AB-5B91B5917898}"/>
              </c:ext>
            </c:extLst>
          </c:dPt>
          <c:dPt>
            <c:idx val="4"/>
            <c:bubble3D val="0"/>
            <c:spPr>
              <a:solidFill>
                <a:srgbClr val="5B9BD5"/>
              </a:solidFill>
              <a:ln>
                <a:prstDash val="solid"/>
              </a:ln>
            </c:spPr>
            <c:extLst>
              <c:ext xmlns:c16="http://schemas.microsoft.com/office/drawing/2014/chart" uri="{C3380CC4-5D6E-409C-BE32-E72D297353CC}">
                <c16:uniqueId val="{00000009-594C-DE46-92AB-5B91B5917898}"/>
              </c:ext>
            </c:extLst>
          </c:dPt>
          <c:dPt>
            <c:idx val="5"/>
            <c:bubble3D val="0"/>
            <c:spPr>
              <a:solidFill>
                <a:srgbClr val="A9C6E8"/>
              </a:solidFill>
              <a:ln>
                <a:prstDash val="solid"/>
              </a:ln>
            </c:spPr>
            <c:extLst>
              <c:ext xmlns:c16="http://schemas.microsoft.com/office/drawing/2014/chart" uri="{C3380CC4-5D6E-409C-BE32-E72D297353CC}">
                <c16:uniqueId val="{0000000B-594C-DE46-92AB-5B91B5917898}"/>
              </c:ext>
            </c:extLst>
          </c:dPt>
          <c:dPt>
            <c:idx val="6"/>
            <c:bubble3D val="0"/>
            <c:spPr>
              <a:solidFill>
                <a:srgbClr val="D9D9D9"/>
              </a:solidFill>
              <a:ln>
                <a:prstDash val="solid"/>
              </a:ln>
            </c:spPr>
            <c:extLst>
              <c:ext xmlns:c16="http://schemas.microsoft.com/office/drawing/2014/chart" uri="{C3380CC4-5D6E-409C-BE32-E72D297353CC}">
                <c16:uniqueId val="{0000000D-594C-DE46-92AB-5B91B5917898}"/>
              </c:ext>
            </c:extLst>
          </c:dPt>
          <c:dLbls>
            <c:delete val="1"/>
          </c:dLbls>
          <c:cat>
            <c:strRef>
              <c:f>Charts!$R$40:$R$46</c:f>
              <c:strCache>
                <c:ptCount val="7"/>
                <c:pt idx="0">
                  <c:v>Stronger Together PA</c:v>
                </c:pt>
                <c:pt idx="1">
                  <c:v>Lead Left PAC</c:v>
                </c:pt>
                <c:pt idx="2">
                  <c:v>Jobs and Democracy PAC</c:v>
                </c:pt>
                <c:pt idx="3">
                  <c:v>Congressional Progressive Caucus PAC</c:v>
                </c:pt>
                <c:pt idx="4">
                  <c:v>Medicare for All</c:v>
                </c:pt>
                <c:pt idx="5">
                  <c:v>DLP PAC</c:v>
                </c:pt>
                <c:pt idx="6">
                  <c:v>All other (23 committees)</c:v>
                </c:pt>
              </c:strCache>
            </c:strRef>
          </c:cat>
          <c:val>
            <c:numRef>
              <c:f>Charts!$S$40:$S$46</c:f>
              <c:numCache>
                <c:formatCode>\$#,##0;\(\$#,##0\);"—"</c:formatCode>
                <c:ptCount val="7"/>
                <c:pt idx="0">
                  <c:v>1781524</c:v>
                </c:pt>
                <c:pt idx="1">
                  <c:v>312371.76</c:v>
                </c:pt>
                <c:pt idx="2">
                  <c:v>249750</c:v>
                </c:pt>
                <c:pt idx="3">
                  <c:v>140300</c:v>
                </c:pt>
                <c:pt idx="4">
                  <c:v>99625</c:v>
                </c:pt>
                <c:pt idx="5">
                  <c:v>88321.5</c:v>
                </c:pt>
                <c:pt idx="6">
                  <c:v>111729.83999999985</c:v>
                </c:pt>
              </c:numCache>
            </c:numRef>
          </c:val>
          <c:extLst>
            <c:ext xmlns:c16="http://schemas.microsoft.com/office/drawing/2014/chart" uri="{C3380CC4-5D6E-409C-BE32-E72D297353CC}">
              <c16:uniqueId val="{0000000E-594C-DE46-92AB-5B91B5917898}"/>
            </c:ext>
          </c:extLst>
        </c:ser>
        <c:dLbls>
          <c:showLegendKey val="1"/>
          <c:showVal val="1"/>
          <c:showCatName val="1"/>
          <c:showSerName val="1"/>
          <c:showPercent val="1"/>
          <c:showBubbleSize val="1"/>
          <c:showLeaderLines val="1"/>
        </c:dLbls>
        <c:firstSliceAng val="0"/>
      </c:pieChart>
    </c:plotArea>
    <c:legend>
      <c:legendPos val="r"/>
      <c:layout>
        <c:manualLayout>
          <c:xMode val="edge"/>
          <c:yMode val="edge"/>
          <c:x val="0.72380202474690669"/>
          <c:y val="2.7593918983018689E-2"/>
          <c:w val="0.27474538170766932"/>
          <c:h val="0.36921093824115359"/>
        </c:manualLayout>
      </c:layout>
      <c:overlay val="1"/>
    </c:legend>
    <c:plotVisOnly val="1"/>
    <c:dispBlanksAs val="gap"/>
    <c:showDLblsOverMax val="1"/>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a:defRPr/>
            </a:pPr>
            <a:r>
              <a:rPr lang="en-US"/>
              <a:t>1 · Total money in the PA-07 race, by cycle</a:t>
            </a:r>
          </a:p>
        </c:rich>
      </c:tx>
      <c:overlay val="1"/>
    </c:title>
    <c:autoTitleDeleted val="0"/>
    <c:plotArea>
      <c:layout>
        <c:manualLayout>
          <c:layoutTarget val="inner"/>
          <c:xMode val="edge"/>
          <c:yMode val="edge"/>
          <c:x val="0.10188194444444444"/>
          <c:y val="3.5606565656565656E-2"/>
          <c:w val="0.88047916666666659"/>
          <c:h val="0.88405101010101006"/>
        </c:manualLayout>
      </c:layout>
      <c:barChart>
        <c:barDir val="col"/>
        <c:grouping val="stacked"/>
        <c:varyColors val="1"/>
        <c:ser>
          <c:idx val="0"/>
          <c:order val="0"/>
          <c:tx>
            <c:strRef>
              <c:f>'History Charts'!$S$3</c:f>
              <c:strCache>
                <c:ptCount val="1"/>
                <c:pt idx="0">
                  <c:v>Pro-Democratic money</c:v>
                </c:pt>
              </c:strCache>
            </c:strRef>
          </c:tx>
          <c:spPr>
            <a:solidFill>
              <a:srgbClr val="2E75B6"/>
            </a:solidFill>
            <a:ln>
              <a:solidFill>
                <a:srgbClr val="2E75B6"/>
              </a:solidFill>
              <a:prstDash val="solid"/>
            </a:ln>
          </c:spPr>
          <c:invertIfNegative val="1"/>
          <c:cat>
            <c:numRef>
              <c:f>'History Charts'!$R$4:$R$7</c:f>
              <c:numCache>
                <c:formatCode>General</c:formatCode>
                <c:ptCount val="4"/>
                <c:pt idx="0">
                  <c:v>2018</c:v>
                </c:pt>
                <c:pt idx="1">
                  <c:v>2020</c:v>
                </c:pt>
                <c:pt idx="2">
                  <c:v>2022</c:v>
                </c:pt>
                <c:pt idx="3">
                  <c:v>2024</c:v>
                </c:pt>
              </c:numCache>
            </c:numRef>
          </c:cat>
          <c:val>
            <c:numRef>
              <c:f>'History Charts'!$S$4:$S$7</c:f>
              <c:numCache>
                <c:formatCode>\$#,##0;\(\$#,##0\);"—"</c:formatCode>
                <c:ptCount val="4"/>
                <c:pt idx="0">
                  <c:v>5601035.0899999999</c:v>
                </c:pt>
                <c:pt idx="1">
                  <c:v>4695589.28</c:v>
                </c:pt>
                <c:pt idx="2">
                  <c:v>16421277.890000001</c:v>
                </c:pt>
                <c:pt idx="3">
                  <c:v>23492150.560000002</c:v>
                </c:pt>
              </c:numCache>
            </c:numRef>
          </c:val>
          <c:extLst>
            <c:ext xmlns:c14="http://schemas.microsoft.com/office/drawing/2007/8/2/chart" uri="{6F2FDCE9-48DA-4B69-8628-5D25D57E5C99}">
              <c14:invertSolidFillFmt>
                <c14:spPr xmlns:c14="http://schemas.microsoft.com/office/drawing/2007/8/2/chart">
                  <a:solidFill>
                    <a:srgbClr val="FFFFFF"/>
                  </a:solidFill>
                  <a:ln>
                    <a:solidFill>
                      <a:srgbClr val="2E75B6"/>
                    </a:solidFill>
                    <a:prstDash val="solid"/>
                  </a:ln>
                </c14:spPr>
              </c14:invertSolidFillFmt>
            </c:ext>
            <c:ext xmlns:c16="http://schemas.microsoft.com/office/drawing/2014/chart" uri="{C3380CC4-5D6E-409C-BE32-E72D297353CC}">
              <c16:uniqueId val="{00000000-4242-E04A-A3D3-1F3892744A3A}"/>
            </c:ext>
          </c:extLst>
        </c:ser>
        <c:ser>
          <c:idx val="1"/>
          <c:order val="1"/>
          <c:tx>
            <c:strRef>
              <c:f>'History Charts'!$T$3</c:f>
              <c:strCache>
                <c:ptCount val="1"/>
                <c:pt idx="0">
                  <c:v>Pro-Republican money</c:v>
                </c:pt>
              </c:strCache>
            </c:strRef>
          </c:tx>
          <c:spPr>
            <a:solidFill>
              <a:srgbClr val="C0392B"/>
            </a:solidFill>
            <a:ln>
              <a:solidFill>
                <a:srgbClr val="C0392B"/>
              </a:solidFill>
              <a:prstDash val="solid"/>
            </a:ln>
          </c:spPr>
          <c:invertIfNegative val="1"/>
          <c:cat>
            <c:numRef>
              <c:f>'History Charts'!$R$4:$R$7</c:f>
              <c:numCache>
                <c:formatCode>General</c:formatCode>
                <c:ptCount val="4"/>
                <c:pt idx="0">
                  <c:v>2018</c:v>
                </c:pt>
                <c:pt idx="1">
                  <c:v>2020</c:v>
                </c:pt>
                <c:pt idx="2">
                  <c:v>2022</c:v>
                </c:pt>
                <c:pt idx="3">
                  <c:v>2024</c:v>
                </c:pt>
              </c:numCache>
            </c:numRef>
          </c:cat>
          <c:val>
            <c:numRef>
              <c:f>'History Charts'!$T$4:$T$7</c:f>
              <c:numCache>
                <c:formatCode>\$#,##0;\(\$#,##0\);"—"</c:formatCode>
                <c:ptCount val="4"/>
                <c:pt idx="0">
                  <c:v>1339191.3399999999</c:v>
                </c:pt>
                <c:pt idx="1">
                  <c:v>4468520.3199999994</c:v>
                </c:pt>
                <c:pt idx="2">
                  <c:v>17231500.060000002</c:v>
                </c:pt>
                <c:pt idx="3">
                  <c:v>13576332.120000001</c:v>
                </c:pt>
              </c:numCache>
            </c:numRef>
          </c:val>
          <c:extLst>
            <c:ext xmlns:c14="http://schemas.microsoft.com/office/drawing/2007/8/2/chart" uri="{6F2FDCE9-48DA-4B69-8628-5D25D57E5C99}">
              <c14:invertSolidFillFmt>
                <c14:spPr xmlns:c14="http://schemas.microsoft.com/office/drawing/2007/8/2/chart">
                  <a:solidFill>
                    <a:srgbClr val="FFFFFF"/>
                  </a:solidFill>
                  <a:ln>
                    <a:solidFill>
                      <a:srgbClr val="C0392B"/>
                    </a:solidFill>
                    <a:prstDash val="solid"/>
                  </a:ln>
                </c14:spPr>
              </c14:invertSolidFillFmt>
            </c:ext>
            <c:ext xmlns:c16="http://schemas.microsoft.com/office/drawing/2014/chart" uri="{C3380CC4-5D6E-409C-BE32-E72D297353CC}">
              <c16:uniqueId val="{00000001-4242-E04A-A3D3-1F3892744A3A}"/>
            </c:ext>
          </c:extLst>
        </c:ser>
        <c:dLbls>
          <c:showLegendKey val="0"/>
          <c:showVal val="0"/>
          <c:showCatName val="0"/>
          <c:showSerName val="0"/>
          <c:showPercent val="0"/>
          <c:showBubbleSize val="0"/>
        </c:dLbls>
        <c:gapWidth val="150"/>
        <c:overlap val="100"/>
        <c:axId val="10"/>
        <c:axId val="100"/>
      </c:barChart>
      <c:catAx>
        <c:axId val="10"/>
        <c:scaling>
          <c:orientation val="minMax"/>
        </c:scaling>
        <c:delete val="0"/>
        <c:axPos val="b"/>
        <c:title>
          <c:tx>
            <c:rich>
              <a:bodyPr/>
              <a:lstStyle/>
              <a:p>
                <a:pPr>
                  <a:defRPr/>
                </a:pPr>
                <a:r>
                  <a:rPr lang="en-US"/>
                  <a:t>Election cycle</a:t>
                </a:r>
              </a:p>
            </c:rich>
          </c:tx>
          <c:overlay val="1"/>
        </c:title>
        <c:numFmt formatCode="General" sourceLinked="1"/>
        <c:majorTickMark val="none"/>
        <c:minorTickMark val="none"/>
        <c:tickLblPos val="nextTo"/>
        <c:crossAx val="100"/>
        <c:crosses val="autoZero"/>
        <c:auto val="1"/>
        <c:lblAlgn val="ctr"/>
        <c:lblOffset val="100"/>
        <c:noMultiLvlLbl val="1"/>
      </c:catAx>
      <c:valAx>
        <c:axId val="100"/>
        <c:scaling>
          <c:orientation val="minMax"/>
        </c:scaling>
        <c:delete val="0"/>
        <c:axPos val="l"/>
        <c:title>
          <c:tx>
            <c:rich>
              <a:bodyPr/>
              <a:lstStyle/>
              <a:p>
                <a:pPr>
                  <a:defRPr/>
                </a:pPr>
                <a:r>
                  <a:rPr lang="en-US"/>
                  <a:t>US dollars</a:t>
                </a:r>
              </a:p>
            </c:rich>
          </c:tx>
          <c:overlay val="1"/>
        </c:title>
        <c:numFmt formatCode="\$#,##0,,&quot;M&quot;" sourceLinked="0"/>
        <c:majorTickMark val="none"/>
        <c:minorTickMark val="none"/>
        <c:tickLblPos val="nextTo"/>
        <c:crossAx val="10"/>
        <c:crosses val="autoZero"/>
        <c:crossBetween val="between"/>
      </c:valAx>
    </c:plotArea>
    <c:legend>
      <c:legendPos val="r"/>
      <c:layout>
        <c:manualLayout>
          <c:xMode val="edge"/>
          <c:yMode val="edge"/>
          <c:x val="0.13405896464646466"/>
          <c:y val="0.10205732323232321"/>
          <c:w val="0.17802436868686869"/>
          <c:h val="0.11598636363636364"/>
        </c:manualLayout>
      </c:layout>
      <c:overlay val="1"/>
    </c:legend>
    <c:plotVisOnly val="1"/>
    <c:dispBlanksAs val="gap"/>
    <c:showDLblsOverMax val="1"/>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a:defRPr/>
            </a:pPr>
            <a:r>
              <a:rPr lang="en-US"/>
              <a:t>2 · Candidate committee receipts, by cycle</a:t>
            </a:r>
          </a:p>
        </c:rich>
      </c:tx>
      <c:overlay val="1"/>
    </c:title>
    <c:autoTitleDeleted val="0"/>
    <c:plotArea>
      <c:layout>
        <c:manualLayout>
          <c:layoutTarget val="inner"/>
          <c:xMode val="edge"/>
          <c:yMode val="edge"/>
          <c:x val="9.3864267676767671E-2"/>
          <c:y val="3.5606565656565656E-2"/>
          <c:w val="0.88849684343434343"/>
          <c:h val="0.88405101010101006"/>
        </c:manualLayout>
      </c:layout>
      <c:barChart>
        <c:barDir val="col"/>
        <c:grouping val="clustered"/>
        <c:varyColors val="1"/>
        <c:ser>
          <c:idx val="0"/>
          <c:order val="0"/>
          <c:tx>
            <c:strRef>
              <c:f>'History Charts'!$S$10</c:f>
              <c:strCache>
                <c:ptCount val="1"/>
                <c:pt idx="0">
                  <c:v>Democratic nominee</c:v>
                </c:pt>
              </c:strCache>
            </c:strRef>
          </c:tx>
          <c:spPr>
            <a:solidFill>
              <a:srgbClr val="2E75B6"/>
            </a:solidFill>
            <a:ln>
              <a:solidFill>
                <a:srgbClr val="2E75B6"/>
              </a:solidFill>
              <a:prstDash val="solid"/>
            </a:ln>
          </c:spPr>
          <c:invertIfNegative val="1"/>
          <c:cat>
            <c:numRef>
              <c:f>'History Charts'!$R$11:$R$14</c:f>
              <c:numCache>
                <c:formatCode>General</c:formatCode>
                <c:ptCount val="4"/>
                <c:pt idx="0">
                  <c:v>2018</c:v>
                </c:pt>
                <c:pt idx="1">
                  <c:v>2020</c:v>
                </c:pt>
                <c:pt idx="2">
                  <c:v>2022</c:v>
                </c:pt>
                <c:pt idx="3">
                  <c:v>2024</c:v>
                </c:pt>
              </c:numCache>
            </c:numRef>
          </c:cat>
          <c:val>
            <c:numRef>
              <c:f>'History Charts'!$S$11:$S$14</c:f>
              <c:numCache>
                <c:formatCode>\$#,##0;\(\$#,##0\);"—"</c:formatCode>
                <c:ptCount val="4"/>
                <c:pt idx="0">
                  <c:v>3320188.01</c:v>
                </c:pt>
                <c:pt idx="1">
                  <c:v>4644289.9000000004</c:v>
                </c:pt>
                <c:pt idx="2">
                  <c:v>7002291.1900000004</c:v>
                </c:pt>
                <c:pt idx="3">
                  <c:v>8960927.6500000004</c:v>
                </c:pt>
              </c:numCache>
            </c:numRef>
          </c:val>
          <c:extLst>
            <c:ext xmlns:c14="http://schemas.microsoft.com/office/drawing/2007/8/2/chart" uri="{6F2FDCE9-48DA-4B69-8628-5D25D57E5C99}">
              <c14:invertSolidFillFmt>
                <c14:spPr xmlns:c14="http://schemas.microsoft.com/office/drawing/2007/8/2/chart">
                  <a:solidFill>
                    <a:srgbClr val="FFFFFF"/>
                  </a:solidFill>
                  <a:ln>
                    <a:solidFill>
                      <a:srgbClr val="2E75B6"/>
                    </a:solidFill>
                    <a:prstDash val="solid"/>
                  </a:ln>
                </c14:spPr>
              </c14:invertSolidFillFmt>
            </c:ext>
            <c:ext xmlns:c16="http://schemas.microsoft.com/office/drawing/2014/chart" uri="{C3380CC4-5D6E-409C-BE32-E72D297353CC}">
              <c16:uniqueId val="{00000000-F13C-FA49-AE74-EBD165FB60D9}"/>
            </c:ext>
          </c:extLst>
        </c:ser>
        <c:ser>
          <c:idx val="1"/>
          <c:order val="1"/>
          <c:tx>
            <c:strRef>
              <c:f>'History Charts'!$T$10</c:f>
              <c:strCache>
                <c:ptCount val="1"/>
                <c:pt idx="0">
                  <c:v>Republican nominee</c:v>
                </c:pt>
              </c:strCache>
            </c:strRef>
          </c:tx>
          <c:spPr>
            <a:solidFill>
              <a:srgbClr val="C0392B"/>
            </a:solidFill>
            <a:ln>
              <a:solidFill>
                <a:srgbClr val="C0392B"/>
              </a:solidFill>
              <a:prstDash val="solid"/>
            </a:ln>
          </c:spPr>
          <c:invertIfNegative val="1"/>
          <c:cat>
            <c:numRef>
              <c:f>'History Charts'!$R$11:$R$14</c:f>
              <c:numCache>
                <c:formatCode>General</c:formatCode>
                <c:ptCount val="4"/>
                <c:pt idx="0">
                  <c:v>2018</c:v>
                </c:pt>
                <c:pt idx="1">
                  <c:v>2020</c:v>
                </c:pt>
                <c:pt idx="2">
                  <c:v>2022</c:v>
                </c:pt>
                <c:pt idx="3">
                  <c:v>2024</c:v>
                </c:pt>
              </c:numCache>
            </c:numRef>
          </c:cat>
          <c:val>
            <c:numRef>
              <c:f>'History Charts'!$T$11:$T$14</c:f>
              <c:numCache>
                <c:formatCode>\$#,##0;\(\$#,##0\);"—"</c:formatCode>
                <c:ptCount val="4"/>
                <c:pt idx="0">
                  <c:v>985643.72</c:v>
                </c:pt>
                <c:pt idx="1">
                  <c:v>3740779.05</c:v>
                </c:pt>
                <c:pt idx="2">
                  <c:v>6354578.6900000004</c:v>
                </c:pt>
                <c:pt idx="3">
                  <c:v>1818407.11</c:v>
                </c:pt>
              </c:numCache>
            </c:numRef>
          </c:val>
          <c:extLst>
            <c:ext xmlns:c14="http://schemas.microsoft.com/office/drawing/2007/8/2/chart" uri="{6F2FDCE9-48DA-4B69-8628-5D25D57E5C99}">
              <c14:invertSolidFillFmt>
                <c14:spPr xmlns:c14="http://schemas.microsoft.com/office/drawing/2007/8/2/chart">
                  <a:solidFill>
                    <a:srgbClr val="FFFFFF"/>
                  </a:solidFill>
                  <a:ln>
                    <a:solidFill>
                      <a:srgbClr val="C0392B"/>
                    </a:solidFill>
                    <a:prstDash val="solid"/>
                  </a:ln>
                </c14:spPr>
              </c14:invertSolidFillFmt>
            </c:ext>
            <c:ext xmlns:c16="http://schemas.microsoft.com/office/drawing/2014/chart" uri="{C3380CC4-5D6E-409C-BE32-E72D297353CC}">
              <c16:uniqueId val="{00000001-F13C-FA49-AE74-EBD165FB60D9}"/>
            </c:ext>
          </c:extLst>
        </c:ser>
        <c:dLbls>
          <c:showLegendKey val="0"/>
          <c:showVal val="0"/>
          <c:showCatName val="0"/>
          <c:showSerName val="0"/>
          <c:showPercent val="0"/>
          <c:showBubbleSize val="0"/>
        </c:dLbls>
        <c:gapWidth val="150"/>
        <c:axId val="10"/>
        <c:axId val="100"/>
      </c:barChart>
      <c:catAx>
        <c:axId val="10"/>
        <c:scaling>
          <c:orientation val="minMax"/>
        </c:scaling>
        <c:delete val="0"/>
        <c:axPos val="b"/>
        <c:title>
          <c:tx>
            <c:rich>
              <a:bodyPr/>
              <a:lstStyle/>
              <a:p>
                <a:pPr>
                  <a:defRPr/>
                </a:pPr>
                <a:r>
                  <a:rPr lang="en-US"/>
                  <a:t>Election cycle</a:t>
                </a:r>
              </a:p>
            </c:rich>
          </c:tx>
          <c:overlay val="1"/>
        </c:title>
        <c:numFmt formatCode="General" sourceLinked="1"/>
        <c:majorTickMark val="none"/>
        <c:minorTickMark val="none"/>
        <c:tickLblPos val="nextTo"/>
        <c:crossAx val="100"/>
        <c:crosses val="autoZero"/>
        <c:auto val="1"/>
        <c:lblAlgn val="ctr"/>
        <c:lblOffset val="100"/>
        <c:noMultiLvlLbl val="1"/>
      </c:catAx>
      <c:valAx>
        <c:axId val="100"/>
        <c:scaling>
          <c:orientation val="minMax"/>
        </c:scaling>
        <c:delete val="0"/>
        <c:axPos val="l"/>
        <c:title>
          <c:tx>
            <c:rich>
              <a:bodyPr/>
              <a:lstStyle/>
              <a:p>
                <a:pPr>
                  <a:defRPr/>
                </a:pPr>
                <a:r>
                  <a:rPr lang="en-US"/>
                  <a:t>US dollars</a:t>
                </a:r>
              </a:p>
            </c:rich>
          </c:tx>
          <c:overlay val="1"/>
        </c:title>
        <c:numFmt formatCode="\$#,##0,,&quot;M&quot;" sourceLinked="0"/>
        <c:majorTickMark val="none"/>
        <c:minorTickMark val="none"/>
        <c:tickLblPos val="nextTo"/>
        <c:crossAx val="10"/>
        <c:crosses val="autoZero"/>
        <c:crossBetween val="between"/>
      </c:valAx>
    </c:plotArea>
    <c:legend>
      <c:legendPos val="r"/>
      <c:layout>
        <c:manualLayout>
          <c:xMode val="edge"/>
          <c:yMode val="edge"/>
          <c:x val="0.16129507575757582"/>
          <c:y val="0.1533704545454545"/>
          <c:w val="0.16361654040404042"/>
          <c:h val="0.11598636363636364"/>
        </c:manualLayout>
      </c:layout>
      <c:overlay val="1"/>
    </c:legend>
    <c:plotVisOnly val="1"/>
    <c:dispBlanksAs val="gap"/>
    <c:showDLblsOverMax val="1"/>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a:defRPr/>
            </a:pPr>
            <a:r>
              <a:rPr lang="en-US"/>
              <a:t>3 · Total resources vs result (Model B): positive, but n=4</a:t>
            </a:r>
          </a:p>
        </c:rich>
      </c:tx>
      <c:overlay val="1"/>
    </c:title>
    <c:autoTitleDeleted val="0"/>
    <c:plotArea>
      <c:layout>
        <c:manualLayout>
          <c:layoutTarget val="inner"/>
          <c:xMode val="edge"/>
          <c:yMode val="edge"/>
          <c:x val="7.7075252525252519E-2"/>
          <c:y val="3.263935185185185E-2"/>
          <c:w val="0.89142335858585875"/>
          <c:h val="0.89371342592592595"/>
        </c:manualLayout>
      </c:layout>
      <c:scatterChart>
        <c:scatterStyle val="lineMarker"/>
        <c:varyColors val="1"/>
        <c:ser>
          <c:idx val="0"/>
          <c:order val="0"/>
          <c:tx>
            <c:v>Elections 2018–2024</c:v>
          </c:tx>
          <c:spPr>
            <a:ln>
              <a:noFill/>
              <a:prstDash val="solid"/>
            </a:ln>
          </c:spPr>
          <c:marker>
            <c:symbol val="circle"/>
            <c:size val="9"/>
            <c:spPr>
              <a:ln>
                <a:prstDash val="solid"/>
              </a:ln>
            </c:spPr>
          </c:marker>
          <c:trendline>
            <c:trendlineType val="linear"/>
            <c:dispRSqr val="1"/>
            <c:dispEq val="1"/>
            <c:trendlineLbl>
              <c:numFmt formatCode="General" sourceLinked="0"/>
            </c:trendlineLbl>
          </c:trendline>
          <c:xVal>
            <c:numRef>
              <c:f>'History Charts'!$S$18:$S$21</c:f>
              <c:numCache>
                <c:formatCode>0.00%;\(0.00%\);"—"</c:formatCode>
                <c:ptCount val="4"/>
                <c:pt idx="0">
                  <c:v>0.80703924381902337</c:v>
                </c:pt>
                <c:pt idx="1">
                  <c:v>0.51238903559163029</c:v>
                </c:pt>
                <c:pt idx="2">
                  <c:v>0.48796203137815547</c:v>
                </c:pt>
                <c:pt idx="3">
                  <c:v>0.63374999086960193</c:v>
                </c:pt>
              </c:numCache>
            </c:numRef>
          </c:xVal>
          <c:yVal>
            <c:numRef>
              <c:f>'History Charts'!$T$18:$T$21</c:f>
              <c:numCache>
                <c:formatCode>0.00%;\(0.00%\);"—"</c:formatCode>
                <c:ptCount val="4"/>
                <c:pt idx="0">
                  <c:v>0.55166699314397649</c:v>
                </c:pt>
                <c:pt idx="1">
                  <c:v>0.51866366661183072</c:v>
                </c:pt>
                <c:pt idx="2">
                  <c:v>0.50983020704568338</c:v>
                </c:pt>
                <c:pt idx="3">
                  <c:v>0.49496422142548979</c:v>
                </c:pt>
              </c:numCache>
            </c:numRef>
          </c:yVal>
          <c:smooth val="1"/>
          <c:extLst>
            <c:ext xmlns:c16="http://schemas.microsoft.com/office/drawing/2014/chart" uri="{C3380CC4-5D6E-409C-BE32-E72D297353CC}">
              <c16:uniqueId val="{00000001-91E1-114E-B0C4-9B9A291FCC55}"/>
            </c:ext>
          </c:extLst>
        </c:ser>
        <c:dLbls>
          <c:showLegendKey val="0"/>
          <c:showVal val="0"/>
          <c:showCatName val="0"/>
          <c:showSerName val="0"/>
          <c:showPercent val="0"/>
          <c:showBubbleSize val="0"/>
        </c:dLbls>
        <c:axId val="10"/>
        <c:axId val="20"/>
      </c:scatterChart>
      <c:valAx>
        <c:axId val="10"/>
        <c:scaling>
          <c:orientation val="minMax"/>
        </c:scaling>
        <c:delete val="0"/>
        <c:axPos val="b"/>
        <c:majorGridlines>
          <c:spPr>
            <a:ln>
              <a:solidFill>
                <a:schemeClr val="bg1">
                  <a:lumMod val="85000"/>
                </a:schemeClr>
              </a:solidFill>
            </a:ln>
          </c:spPr>
        </c:majorGridlines>
        <c:title>
          <c:tx>
            <c:rich>
              <a:bodyPr/>
              <a:lstStyle/>
              <a:p>
                <a:pPr>
                  <a:defRPr/>
                </a:pPr>
                <a:r>
                  <a:rPr lang="en-US"/>
                  <a:t>Democratic share of TOTAL resources</a:t>
                </a:r>
              </a:p>
            </c:rich>
          </c:tx>
          <c:overlay val="1"/>
        </c:title>
        <c:numFmt formatCode="0%" sourceLinked="0"/>
        <c:majorTickMark val="none"/>
        <c:minorTickMark val="none"/>
        <c:tickLblPos val="nextTo"/>
        <c:crossAx val="20"/>
        <c:crosses val="autoZero"/>
        <c:crossBetween val="midCat"/>
      </c:valAx>
      <c:valAx>
        <c:axId val="20"/>
        <c:scaling>
          <c:orientation val="minMax"/>
        </c:scaling>
        <c:delete val="0"/>
        <c:axPos val="l"/>
        <c:majorGridlines>
          <c:spPr>
            <a:ln>
              <a:solidFill>
                <a:schemeClr val="bg1">
                  <a:lumMod val="85000"/>
                </a:schemeClr>
              </a:solidFill>
            </a:ln>
          </c:spPr>
        </c:majorGridlines>
        <c:title>
          <c:tx>
            <c:rich>
              <a:bodyPr/>
              <a:lstStyle/>
              <a:p>
                <a:pPr>
                  <a:defRPr/>
                </a:pPr>
                <a:r>
                  <a:rPr lang="en-US"/>
                  <a:t>Democratic two-party vote share</a:t>
                </a:r>
              </a:p>
            </c:rich>
          </c:tx>
          <c:overlay val="1"/>
        </c:title>
        <c:numFmt formatCode="0%" sourceLinked="0"/>
        <c:majorTickMark val="none"/>
        <c:minorTickMark val="none"/>
        <c:tickLblPos val="nextTo"/>
        <c:crossAx val="10"/>
        <c:crosses val="autoZero"/>
        <c:crossBetween val="midCat"/>
      </c:valAx>
    </c:plotArea>
    <c:legend>
      <c:legendPos val="r"/>
      <c:layout>
        <c:manualLayout>
          <c:xMode val="edge"/>
          <c:yMode val="edge"/>
          <c:x val="0.12511906565656564"/>
          <c:y val="0.17343680555555557"/>
          <c:w val="0.23667386363636364"/>
          <c:h val="0.10632083333333334"/>
        </c:manualLayout>
      </c:layout>
      <c:overlay val="1"/>
    </c:legend>
    <c:plotVisOnly val="1"/>
    <c:dispBlanksAs val="gap"/>
    <c:showDLblsOverMax val="1"/>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a:defRPr/>
            </a:pPr>
            <a:r>
              <a:rPr lang="en-US"/>
              <a:t>4 · Candidate fundraising vs result (Model A): no relationship</a:t>
            </a:r>
          </a:p>
        </c:rich>
      </c:tx>
      <c:overlay val="1"/>
    </c:title>
    <c:autoTitleDeleted val="0"/>
    <c:plotArea>
      <c:layout>
        <c:manualLayout>
          <c:layoutTarget val="inner"/>
          <c:xMode val="edge"/>
          <c:yMode val="edge"/>
          <c:x val="8.188585858585859E-2"/>
          <c:y val="3.263935185185185E-2"/>
          <c:w val="0.88661275252525251"/>
          <c:h val="0.89371342592592595"/>
        </c:manualLayout>
      </c:layout>
      <c:scatterChart>
        <c:scatterStyle val="lineMarker"/>
        <c:varyColors val="1"/>
        <c:ser>
          <c:idx val="0"/>
          <c:order val="0"/>
          <c:tx>
            <c:v>Elections 2018–2024</c:v>
          </c:tx>
          <c:spPr>
            <a:ln>
              <a:noFill/>
              <a:prstDash val="solid"/>
            </a:ln>
          </c:spPr>
          <c:marker>
            <c:symbol val="circle"/>
            <c:size val="9"/>
            <c:spPr>
              <a:ln>
                <a:prstDash val="solid"/>
              </a:ln>
            </c:spPr>
          </c:marker>
          <c:trendline>
            <c:trendlineType val="linear"/>
            <c:dispRSqr val="1"/>
            <c:dispEq val="1"/>
            <c:trendlineLbl>
              <c:layout>
                <c:manualLayout>
                  <c:x val="-3.4801767676767678E-3"/>
                  <c:y val="-6.9106018518518525E-2"/>
                </c:manualLayout>
              </c:layout>
              <c:numFmt formatCode="General" sourceLinked="0"/>
            </c:trendlineLbl>
          </c:trendline>
          <c:xVal>
            <c:numRef>
              <c:f>'History Charts'!$S$25:$S$28</c:f>
              <c:numCache>
                <c:formatCode>0.00%;\(0.00%\);"—"</c:formatCode>
                <c:ptCount val="4"/>
                <c:pt idx="0">
                  <c:v>0.77109098037140433</c:v>
                </c:pt>
                <c:pt idx="1">
                  <c:v>0.55387617295621649</c:v>
                </c:pt>
                <c:pt idx="2">
                  <c:v>0.5242464179788805</c:v>
                </c:pt>
                <c:pt idx="3">
                  <c:v>0.83130618442728466</c:v>
                </c:pt>
              </c:numCache>
            </c:numRef>
          </c:xVal>
          <c:yVal>
            <c:numRef>
              <c:f>'History Charts'!$T$25:$T$28</c:f>
              <c:numCache>
                <c:formatCode>0.00%;\(0.00%\);"—"</c:formatCode>
                <c:ptCount val="4"/>
                <c:pt idx="0">
                  <c:v>0.55166699314397649</c:v>
                </c:pt>
                <c:pt idx="1">
                  <c:v>0.51866366661183072</c:v>
                </c:pt>
                <c:pt idx="2">
                  <c:v>0.50983020704568338</c:v>
                </c:pt>
                <c:pt idx="3">
                  <c:v>0.49496422142548979</c:v>
                </c:pt>
              </c:numCache>
            </c:numRef>
          </c:yVal>
          <c:smooth val="1"/>
          <c:extLst>
            <c:ext xmlns:c16="http://schemas.microsoft.com/office/drawing/2014/chart" uri="{C3380CC4-5D6E-409C-BE32-E72D297353CC}">
              <c16:uniqueId val="{00000001-99A3-F94D-9C34-E7BE718A14AE}"/>
            </c:ext>
          </c:extLst>
        </c:ser>
        <c:dLbls>
          <c:showLegendKey val="0"/>
          <c:showVal val="0"/>
          <c:showCatName val="0"/>
          <c:showSerName val="0"/>
          <c:showPercent val="0"/>
          <c:showBubbleSize val="0"/>
        </c:dLbls>
        <c:axId val="10"/>
        <c:axId val="20"/>
      </c:scatterChart>
      <c:valAx>
        <c:axId val="10"/>
        <c:scaling>
          <c:orientation val="minMax"/>
        </c:scaling>
        <c:delete val="0"/>
        <c:axPos val="b"/>
        <c:majorGridlines>
          <c:spPr>
            <a:ln>
              <a:solidFill>
                <a:schemeClr val="bg1">
                  <a:lumMod val="85000"/>
                </a:schemeClr>
              </a:solidFill>
            </a:ln>
          </c:spPr>
        </c:majorGridlines>
        <c:title>
          <c:tx>
            <c:rich>
              <a:bodyPr/>
              <a:lstStyle/>
              <a:p>
                <a:pPr>
                  <a:defRPr/>
                </a:pPr>
                <a:r>
                  <a:rPr lang="en-US"/>
                  <a:t>Democratic share of CANDIDATE receipts</a:t>
                </a:r>
              </a:p>
            </c:rich>
          </c:tx>
          <c:overlay val="1"/>
        </c:title>
        <c:numFmt formatCode="0%" sourceLinked="0"/>
        <c:majorTickMark val="none"/>
        <c:minorTickMark val="none"/>
        <c:tickLblPos val="nextTo"/>
        <c:crossAx val="20"/>
        <c:crosses val="autoZero"/>
        <c:crossBetween val="midCat"/>
      </c:valAx>
      <c:valAx>
        <c:axId val="20"/>
        <c:scaling>
          <c:orientation val="minMax"/>
        </c:scaling>
        <c:delete val="0"/>
        <c:axPos val="l"/>
        <c:majorGridlines>
          <c:spPr>
            <a:ln>
              <a:solidFill>
                <a:schemeClr val="bg1">
                  <a:lumMod val="85000"/>
                </a:schemeClr>
              </a:solidFill>
            </a:ln>
          </c:spPr>
        </c:majorGridlines>
        <c:title>
          <c:tx>
            <c:rich>
              <a:bodyPr/>
              <a:lstStyle/>
              <a:p>
                <a:pPr>
                  <a:defRPr/>
                </a:pPr>
                <a:r>
                  <a:rPr lang="en-US"/>
                  <a:t>Democratic two-party vote share</a:t>
                </a:r>
              </a:p>
            </c:rich>
          </c:tx>
          <c:overlay val="1"/>
        </c:title>
        <c:numFmt formatCode="0%" sourceLinked="0"/>
        <c:majorTickMark val="none"/>
        <c:minorTickMark val="none"/>
        <c:tickLblPos val="nextTo"/>
        <c:crossAx val="10"/>
        <c:crosses val="autoZero"/>
        <c:crossBetween val="midCat"/>
      </c:valAx>
      <c:spPr>
        <a:ln>
          <a:solidFill>
            <a:schemeClr val="bg1">
              <a:lumMod val="85000"/>
            </a:schemeClr>
          </a:solidFill>
        </a:ln>
      </c:spPr>
    </c:plotArea>
    <c:legend>
      <c:legendPos val="r"/>
      <c:layout>
        <c:manualLayout>
          <c:xMode val="edge"/>
          <c:yMode val="edge"/>
          <c:x val="0.13794734848484849"/>
          <c:y val="0.17343680555555552"/>
          <c:w val="0.23667386363636364"/>
          <c:h val="0.10632083333333334"/>
        </c:manualLayout>
      </c:layout>
      <c:overlay val="1"/>
    </c:legend>
    <c:plotVisOnly val="1"/>
    <c:dispBlanksAs val="gap"/>
    <c:showDLblsOverMax val="1"/>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a:defRPr/>
            </a:pPr>
            <a:r>
              <a:rPr lang="en-US"/>
              <a:t>5 · Democratic two-party vote share has fallen every cycle</a:t>
            </a:r>
          </a:p>
        </c:rich>
      </c:tx>
      <c:overlay val="1"/>
    </c:title>
    <c:autoTitleDeleted val="0"/>
    <c:plotArea>
      <c:layout>
        <c:manualLayout>
          <c:layoutTarget val="inner"/>
          <c:xMode val="edge"/>
          <c:yMode val="edge"/>
          <c:x val="7.7075252525252519E-2"/>
          <c:y val="3.5606565656565656E-2"/>
          <c:w val="0.90528585858585864"/>
          <c:h val="0.88405101010101006"/>
        </c:manualLayout>
      </c:layout>
      <c:lineChart>
        <c:grouping val="standard"/>
        <c:varyColors val="1"/>
        <c:ser>
          <c:idx val="0"/>
          <c:order val="0"/>
          <c:tx>
            <c:strRef>
              <c:f>'History Charts'!$S$31</c:f>
              <c:strCache>
                <c:ptCount val="1"/>
                <c:pt idx="0">
                  <c:v>D two-party vote share</c:v>
                </c:pt>
              </c:strCache>
            </c:strRef>
          </c:tx>
          <c:spPr>
            <a:ln w="28000">
              <a:solidFill>
                <a:srgbClr val="2E75B6"/>
              </a:solidFill>
              <a:prstDash val="solid"/>
            </a:ln>
          </c:spPr>
          <c:marker>
            <c:symbol val="circle"/>
            <c:size val="8"/>
            <c:spPr>
              <a:ln>
                <a:prstDash val="solid"/>
              </a:ln>
            </c:spPr>
          </c:marker>
          <c:cat>
            <c:numRef>
              <c:f>'History Charts'!$R$32:$R$35</c:f>
              <c:numCache>
                <c:formatCode>General</c:formatCode>
                <c:ptCount val="4"/>
                <c:pt idx="0">
                  <c:v>2018</c:v>
                </c:pt>
                <c:pt idx="1">
                  <c:v>2020</c:v>
                </c:pt>
                <c:pt idx="2">
                  <c:v>2022</c:v>
                </c:pt>
                <c:pt idx="3">
                  <c:v>2024</c:v>
                </c:pt>
              </c:numCache>
            </c:numRef>
          </c:cat>
          <c:val>
            <c:numRef>
              <c:f>'History Charts'!$S$32:$S$35</c:f>
              <c:numCache>
                <c:formatCode>0.00%;\(0.00%\);"—"</c:formatCode>
                <c:ptCount val="4"/>
                <c:pt idx="0">
                  <c:v>0.55166699314397649</c:v>
                </c:pt>
                <c:pt idx="1">
                  <c:v>0.51866366661183072</c:v>
                </c:pt>
                <c:pt idx="2">
                  <c:v>0.50983020704568338</c:v>
                </c:pt>
                <c:pt idx="3">
                  <c:v>0.49496422142548979</c:v>
                </c:pt>
              </c:numCache>
            </c:numRef>
          </c:val>
          <c:smooth val="1"/>
          <c:extLst>
            <c:ext xmlns:c16="http://schemas.microsoft.com/office/drawing/2014/chart" uri="{C3380CC4-5D6E-409C-BE32-E72D297353CC}">
              <c16:uniqueId val="{00000000-C5F0-D44A-BA75-D62408FB7400}"/>
            </c:ext>
          </c:extLst>
        </c:ser>
        <c:ser>
          <c:idx val="1"/>
          <c:order val="1"/>
          <c:tx>
            <c:strRef>
              <c:f>'History Charts'!$T$31</c:f>
              <c:strCache>
                <c:ptCount val="1"/>
                <c:pt idx="0">
                  <c:v>50% (win threshold)</c:v>
                </c:pt>
              </c:strCache>
            </c:strRef>
          </c:tx>
          <c:spPr>
            <a:ln>
              <a:solidFill>
                <a:srgbClr val="808080"/>
              </a:solidFill>
              <a:prstDash val="dash"/>
            </a:ln>
          </c:spPr>
          <c:marker>
            <c:symbol val="none"/>
          </c:marker>
          <c:cat>
            <c:numRef>
              <c:f>'History Charts'!$R$32:$R$35</c:f>
              <c:numCache>
                <c:formatCode>General</c:formatCode>
                <c:ptCount val="4"/>
                <c:pt idx="0">
                  <c:v>2018</c:v>
                </c:pt>
                <c:pt idx="1">
                  <c:v>2020</c:v>
                </c:pt>
                <c:pt idx="2">
                  <c:v>2022</c:v>
                </c:pt>
                <c:pt idx="3">
                  <c:v>2024</c:v>
                </c:pt>
              </c:numCache>
            </c:numRef>
          </c:cat>
          <c:val>
            <c:numRef>
              <c:f>'History Charts'!$T$32:$T$35</c:f>
              <c:numCache>
                <c:formatCode>0.00%;\(0.00%\);"—"</c:formatCode>
                <c:ptCount val="4"/>
                <c:pt idx="0">
                  <c:v>0.5</c:v>
                </c:pt>
                <c:pt idx="1">
                  <c:v>0.5</c:v>
                </c:pt>
                <c:pt idx="2">
                  <c:v>0.5</c:v>
                </c:pt>
                <c:pt idx="3">
                  <c:v>0.5</c:v>
                </c:pt>
              </c:numCache>
            </c:numRef>
          </c:val>
          <c:smooth val="1"/>
          <c:extLst>
            <c:ext xmlns:c16="http://schemas.microsoft.com/office/drawing/2014/chart" uri="{C3380CC4-5D6E-409C-BE32-E72D297353CC}">
              <c16:uniqueId val="{00000001-C5F0-D44A-BA75-D62408FB7400}"/>
            </c:ext>
          </c:extLst>
        </c:ser>
        <c:dLbls>
          <c:showLegendKey val="0"/>
          <c:showVal val="0"/>
          <c:showCatName val="0"/>
          <c:showSerName val="0"/>
          <c:showPercent val="0"/>
          <c:showBubbleSize val="0"/>
        </c:dLbls>
        <c:marker val="1"/>
        <c:smooth val="0"/>
        <c:axId val="10"/>
        <c:axId val="100"/>
      </c:lineChart>
      <c:catAx>
        <c:axId val="10"/>
        <c:scaling>
          <c:orientation val="minMax"/>
        </c:scaling>
        <c:delete val="0"/>
        <c:axPos val="b"/>
        <c:title>
          <c:tx>
            <c:rich>
              <a:bodyPr/>
              <a:lstStyle/>
              <a:p>
                <a:pPr>
                  <a:defRPr/>
                </a:pPr>
                <a:r>
                  <a:rPr lang="en-US"/>
                  <a:t>Election cycle</a:t>
                </a:r>
              </a:p>
            </c:rich>
          </c:tx>
          <c:overlay val="1"/>
        </c:title>
        <c:numFmt formatCode="General" sourceLinked="1"/>
        <c:majorTickMark val="none"/>
        <c:minorTickMark val="none"/>
        <c:tickLblPos val="nextTo"/>
        <c:crossAx val="100"/>
        <c:crosses val="autoZero"/>
        <c:auto val="1"/>
        <c:lblAlgn val="ctr"/>
        <c:lblOffset val="100"/>
        <c:noMultiLvlLbl val="1"/>
      </c:catAx>
      <c:valAx>
        <c:axId val="100"/>
        <c:scaling>
          <c:orientation val="minMax"/>
        </c:scaling>
        <c:delete val="0"/>
        <c:axPos val="l"/>
        <c:title>
          <c:tx>
            <c:rich>
              <a:bodyPr/>
              <a:lstStyle/>
              <a:p>
                <a:pPr>
                  <a:defRPr/>
                </a:pPr>
                <a:r>
                  <a:rPr lang="en-US"/>
                  <a:t>Two-party vote share</a:t>
                </a:r>
              </a:p>
            </c:rich>
          </c:tx>
          <c:overlay val="1"/>
        </c:title>
        <c:numFmt formatCode="0%" sourceLinked="0"/>
        <c:majorTickMark val="none"/>
        <c:minorTickMark val="none"/>
        <c:tickLblPos val="nextTo"/>
        <c:crossAx val="10"/>
        <c:crosses val="autoZero"/>
        <c:crossBetween val="between"/>
      </c:valAx>
    </c:plotArea>
    <c:legend>
      <c:legendPos val="r"/>
      <c:layout>
        <c:manualLayout>
          <c:xMode val="edge"/>
          <c:yMode val="edge"/>
          <c:x val="0.76235542929292932"/>
          <c:y val="8.602196969696968E-2"/>
          <c:w val="0.21038446969696969"/>
          <c:h val="0.11598636363636364"/>
        </c:manualLayout>
      </c:layout>
      <c:overlay val="1"/>
    </c:legend>
    <c:plotVisOnly val="1"/>
    <c:dispBlanksAs val="gap"/>
    <c:showDLblsOverMax val="1"/>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a:defRPr/>
            </a:pPr>
            <a:r>
              <a:rPr lang="en-US"/>
              <a:t>6 · Outside money now dwarfs the candidates' own</a:t>
            </a:r>
          </a:p>
        </c:rich>
      </c:tx>
      <c:overlay val="1"/>
    </c:title>
    <c:autoTitleDeleted val="0"/>
    <c:plotArea>
      <c:layout>
        <c:manualLayout>
          <c:layoutTarget val="inner"/>
          <c:xMode val="edge"/>
          <c:yMode val="edge"/>
          <c:x val="9.8674873737373756E-2"/>
          <c:y val="3.5606565656565656E-2"/>
          <c:w val="0.8836862373737373"/>
          <c:h val="0.88405101010101006"/>
        </c:manualLayout>
      </c:layout>
      <c:barChart>
        <c:barDir val="col"/>
        <c:grouping val="stacked"/>
        <c:varyColors val="1"/>
        <c:ser>
          <c:idx val="0"/>
          <c:order val="0"/>
          <c:tx>
            <c:strRef>
              <c:f>'History Charts'!$S$38</c:f>
              <c:strCache>
                <c:ptCount val="1"/>
                <c:pt idx="0">
                  <c:v>Candidate committee money</c:v>
                </c:pt>
              </c:strCache>
            </c:strRef>
          </c:tx>
          <c:spPr>
            <a:solidFill>
              <a:srgbClr val="1F4E79"/>
            </a:solidFill>
            <a:ln>
              <a:solidFill>
                <a:srgbClr val="1F4E79"/>
              </a:solidFill>
              <a:prstDash val="solid"/>
            </a:ln>
          </c:spPr>
          <c:invertIfNegative val="1"/>
          <c:cat>
            <c:numRef>
              <c:f>'History Charts'!$R$39:$R$42</c:f>
              <c:numCache>
                <c:formatCode>General</c:formatCode>
                <c:ptCount val="4"/>
                <c:pt idx="0">
                  <c:v>2018</c:v>
                </c:pt>
                <c:pt idx="1">
                  <c:v>2020</c:v>
                </c:pt>
                <c:pt idx="2">
                  <c:v>2022</c:v>
                </c:pt>
                <c:pt idx="3">
                  <c:v>2024</c:v>
                </c:pt>
              </c:numCache>
            </c:numRef>
          </c:cat>
          <c:val>
            <c:numRef>
              <c:f>'History Charts'!$S$39:$S$42</c:f>
              <c:numCache>
                <c:formatCode>\$#,##0;\(\$#,##0\);"—"</c:formatCode>
                <c:ptCount val="4"/>
                <c:pt idx="0">
                  <c:v>4305831.7299999995</c:v>
                </c:pt>
                <c:pt idx="1">
                  <c:v>8385068.9500000002</c:v>
                </c:pt>
                <c:pt idx="2">
                  <c:v>13356869.880000001</c:v>
                </c:pt>
                <c:pt idx="3">
                  <c:v>10779334.76</c:v>
                </c:pt>
              </c:numCache>
            </c:numRef>
          </c:val>
          <c:extLst>
            <c:ext xmlns:c14="http://schemas.microsoft.com/office/drawing/2007/8/2/chart" uri="{6F2FDCE9-48DA-4B69-8628-5D25D57E5C99}">
              <c14:invertSolidFillFmt>
                <c14:spPr xmlns:c14="http://schemas.microsoft.com/office/drawing/2007/8/2/chart">
                  <a:solidFill>
                    <a:srgbClr val="FFFFFF"/>
                  </a:solidFill>
                  <a:ln>
                    <a:solidFill>
                      <a:srgbClr val="1F4E79"/>
                    </a:solidFill>
                    <a:prstDash val="solid"/>
                  </a:ln>
                </c14:spPr>
              </c14:invertSolidFillFmt>
            </c:ext>
            <c:ext xmlns:c16="http://schemas.microsoft.com/office/drawing/2014/chart" uri="{C3380CC4-5D6E-409C-BE32-E72D297353CC}">
              <c16:uniqueId val="{00000000-FC50-0E46-B98A-1EC57E019B57}"/>
            </c:ext>
          </c:extLst>
        </c:ser>
        <c:ser>
          <c:idx val="1"/>
          <c:order val="1"/>
          <c:tx>
            <c:strRef>
              <c:f>'History Charts'!$T$38</c:f>
              <c:strCache>
                <c:ptCount val="1"/>
                <c:pt idx="0">
                  <c:v>Outside money (independent expenditures)</c:v>
                </c:pt>
              </c:strCache>
            </c:strRef>
          </c:tx>
          <c:spPr>
            <a:solidFill>
              <a:srgbClr val="E8A33D"/>
            </a:solidFill>
            <a:ln>
              <a:solidFill>
                <a:srgbClr val="E8A33D"/>
              </a:solidFill>
              <a:prstDash val="solid"/>
            </a:ln>
          </c:spPr>
          <c:invertIfNegative val="1"/>
          <c:cat>
            <c:numRef>
              <c:f>'History Charts'!$R$39:$R$42</c:f>
              <c:numCache>
                <c:formatCode>General</c:formatCode>
                <c:ptCount val="4"/>
                <c:pt idx="0">
                  <c:v>2018</c:v>
                </c:pt>
                <c:pt idx="1">
                  <c:v>2020</c:v>
                </c:pt>
                <c:pt idx="2">
                  <c:v>2022</c:v>
                </c:pt>
                <c:pt idx="3">
                  <c:v>2024</c:v>
                </c:pt>
              </c:numCache>
            </c:numRef>
          </c:cat>
          <c:val>
            <c:numRef>
              <c:f>'History Charts'!$T$39:$T$42</c:f>
              <c:numCache>
                <c:formatCode>\$#,##0;\(\$#,##0\);"—"</c:formatCode>
                <c:ptCount val="4"/>
                <c:pt idx="0">
                  <c:v>2634394.7000000002</c:v>
                </c:pt>
                <c:pt idx="1">
                  <c:v>779040.64999999944</c:v>
                </c:pt>
                <c:pt idx="2">
                  <c:v>20295908.07</c:v>
                </c:pt>
                <c:pt idx="3">
                  <c:v>26289147.920000009</c:v>
                </c:pt>
              </c:numCache>
            </c:numRef>
          </c:val>
          <c:extLst>
            <c:ext xmlns:c14="http://schemas.microsoft.com/office/drawing/2007/8/2/chart" uri="{6F2FDCE9-48DA-4B69-8628-5D25D57E5C99}">
              <c14:invertSolidFillFmt>
                <c14:spPr xmlns:c14="http://schemas.microsoft.com/office/drawing/2007/8/2/chart">
                  <a:solidFill>
                    <a:srgbClr val="FFFFFF"/>
                  </a:solidFill>
                  <a:ln>
                    <a:solidFill>
                      <a:srgbClr val="E8A33D"/>
                    </a:solidFill>
                    <a:prstDash val="solid"/>
                  </a:ln>
                </c14:spPr>
              </c14:invertSolidFillFmt>
            </c:ext>
            <c:ext xmlns:c16="http://schemas.microsoft.com/office/drawing/2014/chart" uri="{C3380CC4-5D6E-409C-BE32-E72D297353CC}">
              <c16:uniqueId val="{00000001-FC50-0E46-B98A-1EC57E019B57}"/>
            </c:ext>
          </c:extLst>
        </c:ser>
        <c:dLbls>
          <c:showLegendKey val="0"/>
          <c:showVal val="0"/>
          <c:showCatName val="0"/>
          <c:showSerName val="0"/>
          <c:showPercent val="0"/>
          <c:showBubbleSize val="0"/>
        </c:dLbls>
        <c:gapWidth val="150"/>
        <c:overlap val="100"/>
        <c:axId val="10"/>
        <c:axId val="100"/>
      </c:barChart>
      <c:catAx>
        <c:axId val="10"/>
        <c:scaling>
          <c:orientation val="minMax"/>
        </c:scaling>
        <c:delete val="0"/>
        <c:axPos val="b"/>
        <c:title>
          <c:tx>
            <c:rich>
              <a:bodyPr/>
              <a:lstStyle/>
              <a:p>
                <a:pPr>
                  <a:defRPr/>
                </a:pPr>
                <a:r>
                  <a:rPr lang="en-US"/>
                  <a:t>Election cycle</a:t>
                </a:r>
              </a:p>
            </c:rich>
          </c:tx>
          <c:overlay val="1"/>
        </c:title>
        <c:numFmt formatCode="General" sourceLinked="1"/>
        <c:majorTickMark val="none"/>
        <c:minorTickMark val="none"/>
        <c:tickLblPos val="nextTo"/>
        <c:crossAx val="100"/>
        <c:crosses val="autoZero"/>
        <c:auto val="1"/>
        <c:lblAlgn val="ctr"/>
        <c:lblOffset val="100"/>
        <c:noMultiLvlLbl val="1"/>
      </c:catAx>
      <c:valAx>
        <c:axId val="100"/>
        <c:scaling>
          <c:orientation val="minMax"/>
        </c:scaling>
        <c:delete val="0"/>
        <c:axPos val="l"/>
        <c:title>
          <c:tx>
            <c:rich>
              <a:bodyPr/>
              <a:lstStyle/>
              <a:p>
                <a:pPr>
                  <a:defRPr/>
                </a:pPr>
                <a:r>
                  <a:rPr lang="en-US"/>
                  <a:t>US dollars</a:t>
                </a:r>
              </a:p>
            </c:rich>
          </c:tx>
          <c:overlay val="1"/>
        </c:title>
        <c:numFmt formatCode="\$#,##0,,&quot;M&quot;" sourceLinked="0"/>
        <c:majorTickMark val="none"/>
        <c:minorTickMark val="none"/>
        <c:tickLblPos val="nextTo"/>
        <c:crossAx val="10"/>
        <c:crosses val="autoZero"/>
        <c:crossBetween val="between"/>
      </c:valAx>
    </c:plotArea>
    <c:legend>
      <c:legendPos val="r"/>
      <c:layout>
        <c:manualLayout>
          <c:xMode val="edge"/>
          <c:yMode val="edge"/>
          <c:x val="0.10054406565656566"/>
          <c:y val="0.14374924242424239"/>
          <c:w val="0.31256199494949494"/>
          <c:h val="0.11598636363636364"/>
        </c:manualLayout>
      </c:layout>
      <c:overlay val="1"/>
    </c:legend>
    <c:plotVisOnly val="1"/>
    <c:dispBlanksAs val="gap"/>
    <c:showDLblsOverMax val="1"/>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a:defRPr/>
            </a:pPr>
            <a:r>
              <a:rPr lang="en-US"/>
              <a:t>7 · Receipts per vote received</a:t>
            </a:r>
          </a:p>
        </c:rich>
      </c:tx>
      <c:overlay val="1"/>
    </c:title>
    <c:autoTitleDeleted val="0"/>
    <c:plotArea>
      <c:layout>
        <c:manualLayout>
          <c:layoutTarget val="inner"/>
          <c:xMode val="edge"/>
          <c:yMode val="edge"/>
          <c:x val="0.17740075757575755"/>
          <c:y val="2.9850427350427349E-2"/>
          <c:w val="0.78261111111111115"/>
          <c:h val="0.90216752136752132"/>
        </c:manualLayout>
      </c:layout>
      <c:barChart>
        <c:barDir val="bar"/>
        <c:grouping val="clustered"/>
        <c:varyColors val="1"/>
        <c:ser>
          <c:idx val="0"/>
          <c:order val="0"/>
          <c:tx>
            <c:strRef>
              <c:f>'History Charts'!$S$45</c:f>
              <c:strCache>
                <c:ptCount val="1"/>
                <c:pt idx="0">
                  <c:v>Receipts per vote</c:v>
                </c:pt>
              </c:strCache>
            </c:strRef>
          </c:tx>
          <c:spPr>
            <a:solidFill>
              <a:srgbClr val="1F4E79"/>
            </a:solidFill>
            <a:ln>
              <a:solidFill>
                <a:srgbClr val="1F4E79"/>
              </a:solidFill>
              <a:prstDash val="solid"/>
            </a:ln>
          </c:spPr>
          <c:invertIfNegative val="1"/>
          <c:dPt>
            <c:idx val="0"/>
            <c:invertIfNegative val="1"/>
            <c:bubble3D val="0"/>
            <c:spPr>
              <a:solidFill>
                <a:srgbClr val="2E75B6"/>
              </a:solidFill>
              <a:ln>
                <a:prstDash val="solid"/>
              </a:ln>
            </c:spPr>
            <c:extLst>
              <c:ext xmlns:c16="http://schemas.microsoft.com/office/drawing/2014/chart" uri="{C3380CC4-5D6E-409C-BE32-E72D297353CC}">
                <c16:uniqueId val="{00000001-C7A4-E643-BC36-D1C0215CCCC2}"/>
              </c:ext>
            </c:extLst>
          </c:dPt>
          <c:dPt>
            <c:idx val="1"/>
            <c:invertIfNegative val="1"/>
            <c:bubble3D val="0"/>
            <c:spPr>
              <a:solidFill>
                <a:srgbClr val="C0392B"/>
              </a:solidFill>
              <a:ln>
                <a:prstDash val="solid"/>
              </a:ln>
            </c:spPr>
            <c:extLst>
              <c:ext xmlns:c16="http://schemas.microsoft.com/office/drawing/2014/chart" uri="{C3380CC4-5D6E-409C-BE32-E72D297353CC}">
                <c16:uniqueId val="{00000003-C7A4-E643-BC36-D1C0215CCCC2}"/>
              </c:ext>
            </c:extLst>
          </c:dPt>
          <c:dPt>
            <c:idx val="2"/>
            <c:invertIfNegative val="1"/>
            <c:bubble3D val="0"/>
            <c:spPr>
              <a:solidFill>
                <a:srgbClr val="2E75B6"/>
              </a:solidFill>
              <a:ln>
                <a:prstDash val="solid"/>
              </a:ln>
            </c:spPr>
            <c:extLst>
              <c:ext xmlns:c16="http://schemas.microsoft.com/office/drawing/2014/chart" uri="{C3380CC4-5D6E-409C-BE32-E72D297353CC}">
                <c16:uniqueId val="{00000005-C7A4-E643-BC36-D1C0215CCCC2}"/>
              </c:ext>
            </c:extLst>
          </c:dPt>
          <c:dPt>
            <c:idx val="3"/>
            <c:invertIfNegative val="1"/>
            <c:bubble3D val="0"/>
            <c:spPr>
              <a:solidFill>
                <a:srgbClr val="C0392B"/>
              </a:solidFill>
              <a:ln>
                <a:prstDash val="solid"/>
              </a:ln>
            </c:spPr>
            <c:extLst>
              <c:ext xmlns:c16="http://schemas.microsoft.com/office/drawing/2014/chart" uri="{C3380CC4-5D6E-409C-BE32-E72D297353CC}">
                <c16:uniqueId val="{00000007-C7A4-E643-BC36-D1C0215CCCC2}"/>
              </c:ext>
            </c:extLst>
          </c:dPt>
          <c:dPt>
            <c:idx val="4"/>
            <c:invertIfNegative val="1"/>
            <c:bubble3D val="0"/>
            <c:spPr>
              <a:solidFill>
                <a:srgbClr val="2E75B6"/>
              </a:solidFill>
              <a:ln>
                <a:prstDash val="solid"/>
              </a:ln>
            </c:spPr>
            <c:extLst>
              <c:ext xmlns:c16="http://schemas.microsoft.com/office/drawing/2014/chart" uri="{C3380CC4-5D6E-409C-BE32-E72D297353CC}">
                <c16:uniqueId val="{00000009-C7A4-E643-BC36-D1C0215CCCC2}"/>
              </c:ext>
            </c:extLst>
          </c:dPt>
          <c:dPt>
            <c:idx val="5"/>
            <c:invertIfNegative val="1"/>
            <c:bubble3D val="0"/>
            <c:spPr>
              <a:solidFill>
                <a:srgbClr val="C0392B"/>
              </a:solidFill>
              <a:ln>
                <a:prstDash val="solid"/>
              </a:ln>
            </c:spPr>
            <c:extLst>
              <c:ext xmlns:c16="http://schemas.microsoft.com/office/drawing/2014/chart" uri="{C3380CC4-5D6E-409C-BE32-E72D297353CC}">
                <c16:uniqueId val="{0000000B-C7A4-E643-BC36-D1C0215CCCC2}"/>
              </c:ext>
            </c:extLst>
          </c:dPt>
          <c:dPt>
            <c:idx val="6"/>
            <c:invertIfNegative val="1"/>
            <c:bubble3D val="0"/>
            <c:spPr>
              <a:solidFill>
                <a:srgbClr val="2E75B6"/>
              </a:solidFill>
              <a:ln>
                <a:prstDash val="solid"/>
              </a:ln>
            </c:spPr>
            <c:extLst>
              <c:ext xmlns:c16="http://schemas.microsoft.com/office/drawing/2014/chart" uri="{C3380CC4-5D6E-409C-BE32-E72D297353CC}">
                <c16:uniqueId val="{0000000D-C7A4-E643-BC36-D1C0215CCCC2}"/>
              </c:ext>
            </c:extLst>
          </c:dPt>
          <c:dPt>
            <c:idx val="7"/>
            <c:invertIfNegative val="1"/>
            <c:bubble3D val="0"/>
            <c:spPr>
              <a:solidFill>
                <a:srgbClr val="C0392B"/>
              </a:solidFill>
              <a:ln>
                <a:prstDash val="solid"/>
              </a:ln>
            </c:spPr>
            <c:extLst>
              <c:ext xmlns:c16="http://schemas.microsoft.com/office/drawing/2014/chart" uri="{C3380CC4-5D6E-409C-BE32-E72D297353CC}">
                <c16:uniqueId val="{0000000F-C7A4-E643-BC36-D1C0215CCCC2}"/>
              </c:ext>
            </c:extLst>
          </c:dPt>
          <c:cat>
            <c:strRef>
              <c:f>'History Charts'!$R$46:$R$53</c:f>
              <c:strCache>
                <c:ptCount val="8"/>
                <c:pt idx="0">
                  <c:v>2018 Wild (D)</c:v>
                </c:pt>
                <c:pt idx="1">
                  <c:v>2018 Nothstein (R)</c:v>
                </c:pt>
                <c:pt idx="2">
                  <c:v>2020 Wild (D)</c:v>
                </c:pt>
                <c:pt idx="3">
                  <c:v>2020 Scheller (R)</c:v>
                </c:pt>
                <c:pt idx="4">
                  <c:v>2022 Wild (D)</c:v>
                </c:pt>
                <c:pt idx="5">
                  <c:v>2022 Scheller (R)</c:v>
                </c:pt>
                <c:pt idx="6">
                  <c:v>2024 Wild (D)</c:v>
                </c:pt>
                <c:pt idx="7">
                  <c:v>2024 Mackenzie (R)</c:v>
                </c:pt>
              </c:strCache>
            </c:strRef>
          </c:cat>
          <c:val>
            <c:numRef>
              <c:f>'History Charts'!$S$46:$S$53</c:f>
              <c:numCache>
                <c:formatCode>\$#,##0.00;\(\$#,##0.00\);"—"</c:formatCode>
                <c:ptCount val="8"/>
                <c:pt idx="0">
                  <c:v>23.578703741842016</c:v>
                </c:pt>
                <c:pt idx="1">
                  <c:v>8.6129811162473668</c:v>
                </c:pt>
                <c:pt idx="2">
                  <c:v>23.758996802660189</c:v>
                </c:pt>
                <c:pt idx="3">
                  <c:v>20.620918983280689</c:v>
                </c:pt>
                <c:pt idx="4">
                  <c:v>46.26127209904601</c:v>
                </c:pt>
                <c:pt idx="5">
                  <c:v>43.665977378768204</c:v>
                </c:pt>
                <c:pt idx="6">
                  <c:v>44.888579894402532</c:v>
                </c:pt>
                <c:pt idx="7">
                  <c:v>8.9274140351910773</c:v>
                </c:pt>
              </c:numCache>
            </c:numRef>
          </c:val>
          <c:extLst>
            <c:ext xmlns:c14="http://schemas.microsoft.com/office/drawing/2007/8/2/chart" uri="{6F2FDCE9-48DA-4B69-8628-5D25D57E5C99}">
              <c14:invertSolidFillFmt>
                <c14:spPr xmlns:c14="http://schemas.microsoft.com/office/drawing/2007/8/2/chart">
                  <a:solidFill>
                    <a:srgbClr val="FFFFFF"/>
                  </a:solidFill>
                  <a:ln>
                    <a:solidFill>
                      <a:srgbClr val="1F4E79"/>
                    </a:solidFill>
                    <a:prstDash val="solid"/>
                  </a:ln>
                </c14:spPr>
              </c14:invertSolidFillFmt>
            </c:ext>
            <c:ext xmlns:c16="http://schemas.microsoft.com/office/drawing/2014/chart" uri="{C3380CC4-5D6E-409C-BE32-E72D297353CC}">
              <c16:uniqueId val="{00000010-C7A4-E643-BC36-D1C0215CCCC2}"/>
            </c:ext>
          </c:extLst>
        </c:ser>
        <c:dLbls>
          <c:showLegendKey val="0"/>
          <c:showVal val="0"/>
          <c:showCatName val="0"/>
          <c:showSerName val="0"/>
          <c:showPercent val="0"/>
          <c:showBubbleSize val="0"/>
        </c:dLbls>
        <c:gapWidth val="150"/>
        <c:axId val="10"/>
        <c:axId val="100"/>
      </c:barChart>
      <c:catAx>
        <c:axId val="10"/>
        <c:scaling>
          <c:orientation val="minMax"/>
        </c:scaling>
        <c:delete val="0"/>
        <c:axPos val="l"/>
        <c:title>
          <c:tx>
            <c:rich>
              <a:bodyPr/>
              <a:lstStyle/>
              <a:p>
                <a:pPr>
                  <a:defRPr/>
                </a:pPr>
                <a:r>
                  <a:rPr lang="en-US"/>
                  <a:t>US dollars per vote</a:t>
                </a:r>
              </a:p>
            </c:rich>
          </c:tx>
          <c:overlay val="1"/>
        </c:title>
        <c:numFmt formatCode="\$#,##0" sourceLinked="0"/>
        <c:majorTickMark val="none"/>
        <c:minorTickMark val="none"/>
        <c:tickLblPos val="nextTo"/>
        <c:crossAx val="100"/>
        <c:crosses val="autoZero"/>
        <c:auto val="1"/>
        <c:lblAlgn val="ctr"/>
        <c:lblOffset val="100"/>
        <c:noMultiLvlLbl val="1"/>
      </c:catAx>
      <c:valAx>
        <c:axId val="100"/>
        <c:scaling>
          <c:orientation val="minMax"/>
        </c:scaling>
        <c:delete val="0"/>
        <c:axPos val="b"/>
        <c:numFmt formatCode="\$#,##0.00;\(\$#,##0.00\);&quot;—&quot;" sourceLinked="1"/>
        <c:majorTickMark val="none"/>
        <c:minorTickMark val="none"/>
        <c:tickLblPos val="nextTo"/>
        <c:crossAx val="10"/>
        <c:crosses val="autoZero"/>
        <c:crossBetween val="between"/>
      </c:valAx>
      <c:spPr>
        <a:noFill/>
        <a:ln w="25400">
          <a:noFill/>
        </a:ln>
      </c:spPr>
    </c:plotArea>
    <c:plotVisOnly val="1"/>
    <c:dispBlanksAs val="gap"/>
    <c:showDLblsOverMax val="1"/>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9.xml"/><Relationship Id="rId7" Type="http://schemas.openxmlformats.org/officeDocument/2006/relationships/chart" Target="../charts/chart13.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xdr:oneCellAnchor>
    <xdr:from>
      <xdr:col>0</xdr:col>
      <xdr:colOff>0</xdr:colOff>
      <xdr:row>3</xdr:row>
      <xdr:rowOff>0</xdr:rowOff>
    </xdr:from>
    <xdr:ext cx="7920000" cy="3960000"/>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xdr:oneCellAnchor>
    <xdr:from>
      <xdr:col>0</xdr:col>
      <xdr:colOff>0</xdr:colOff>
      <xdr:row>26</xdr:row>
      <xdr:rowOff>0</xdr:rowOff>
    </xdr:from>
    <xdr:ext cx="7920000" cy="3960000"/>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oneCellAnchor>
  <xdr:oneCellAnchor>
    <xdr:from>
      <xdr:col>0</xdr:col>
      <xdr:colOff>0</xdr:colOff>
      <xdr:row>49</xdr:row>
      <xdr:rowOff>0</xdr:rowOff>
    </xdr:from>
    <xdr:ext cx="7920000" cy="3960000"/>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oneCellAnchor>
  <xdr:oneCellAnchor>
    <xdr:from>
      <xdr:col>0</xdr:col>
      <xdr:colOff>0</xdr:colOff>
      <xdr:row>72</xdr:row>
      <xdr:rowOff>0</xdr:rowOff>
    </xdr:from>
    <xdr:ext cx="8640000" cy="4680000"/>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oneCellAnchor>
  <xdr:oneCellAnchor>
    <xdr:from>
      <xdr:col>0</xdr:col>
      <xdr:colOff>0</xdr:colOff>
      <xdr:row>98</xdr:row>
      <xdr:rowOff>0</xdr:rowOff>
    </xdr:from>
    <xdr:ext cx="7920000" cy="3960000"/>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oneCellAnchor>
  <xdr:oneCellAnchor>
    <xdr:from>
      <xdr:col>0</xdr:col>
      <xdr:colOff>0</xdr:colOff>
      <xdr:row>121</xdr:row>
      <xdr:rowOff>0</xdr:rowOff>
    </xdr:from>
    <xdr:ext cx="8089900" cy="4216400"/>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oneCellAnchor>
</xdr:wsDr>
</file>

<file path=xl/drawings/drawing2.xml><?xml version="1.0" encoding="utf-8"?>
<xdr:wsDr xmlns:xdr="http://schemas.openxmlformats.org/drawingml/2006/spreadsheetDrawing" xmlns:a="http://schemas.openxmlformats.org/drawingml/2006/main">
  <xdr:oneCellAnchor>
    <xdr:from>
      <xdr:col>0</xdr:col>
      <xdr:colOff>0</xdr:colOff>
      <xdr:row>3</xdr:row>
      <xdr:rowOff>0</xdr:rowOff>
    </xdr:from>
    <xdr:ext cx="7920000" cy="3960000"/>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xdr:oneCellAnchor>
    <xdr:from>
      <xdr:col>0</xdr:col>
      <xdr:colOff>0</xdr:colOff>
      <xdr:row>26</xdr:row>
      <xdr:rowOff>0</xdr:rowOff>
    </xdr:from>
    <xdr:ext cx="7920000" cy="3960000"/>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oneCellAnchor>
  <xdr:oneCellAnchor>
    <xdr:from>
      <xdr:col>0</xdr:col>
      <xdr:colOff>0</xdr:colOff>
      <xdr:row>49</xdr:row>
      <xdr:rowOff>0</xdr:rowOff>
    </xdr:from>
    <xdr:ext cx="7920000" cy="4320000"/>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oneCellAnchor>
  <xdr:oneCellAnchor>
    <xdr:from>
      <xdr:col>0</xdr:col>
      <xdr:colOff>0</xdr:colOff>
      <xdr:row>74</xdr:row>
      <xdr:rowOff>0</xdr:rowOff>
    </xdr:from>
    <xdr:ext cx="7920000" cy="4320000"/>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oneCellAnchor>
  <xdr:oneCellAnchor>
    <xdr:from>
      <xdr:col>0</xdr:col>
      <xdr:colOff>0</xdr:colOff>
      <xdr:row>99</xdr:row>
      <xdr:rowOff>0</xdr:rowOff>
    </xdr:from>
    <xdr:ext cx="7920000" cy="3960000"/>
    <xdr:graphicFrame macro="">
      <xdr:nvGraphicFramePr>
        <xdr:cNvPr id="6" name="Chart 5">
          <a:extLst>
            <a:ext uri="{FF2B5EF4-FFF2-40B4-BE49-F238E27FC236}">
              <a16:creationId xmlns:a16="http://schemas.microsoft.com/office/drawing/2014/main" id="{00000000-0008-0000-06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oneCellAnchor>
  <xdr:oneCellAnchor>
    <xdr:from>
      <xdr:col>0</xdr:col>
      <xdr:colOff>0</xdr:colOff>
      <xdr:row>122</xdr:row>
      <xdr:rowOff>0</xdr:rowOff>
    </xdr:from>
    <xdr:ext cx="7920000" cy="3960000"/>
    <xdr:graphicFrame macro="">
      <xdr:nvGraphicFramePr>
        <xdr:cNvPr id="7" name="Chart 6">
          <a:extLst>
            <a:ext uri="{FF2B5EF4-FFF2-40B4-BE49-F238E27FC236}">
              <a16:creationId xmlns:a16="http://schemas.microsoft.com/office/drawing/2014/main" id="{00000000-0008-0000-06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oneCellAnchor>
  <xdr:oneCellAnchor>
    <xdr:from>
      <xdr:col>0</xdr:col>
      <xdr:colOff>0</xdr:colOff>
      <xdr:row>145</xdr:row>
      <xdr:rowOff>0</xdr:rowOff>
    </xdr:from>
    <xdr:ext cx="7920000" cy="4680000"/>
    <xdr:graphicFrame macro="">
      <xdr:nvGraphicFramePr>
        <xdr:cNvPr id="8" name="Chart 7">
          <a:extLst>
            <a:ext uri="{FF2B5EF4-FFF2-40B4-BE49-F238E27FC236}">
              <a16:creationId xmlns:a16="http://schemas.microsoft.com/office/drawing/2014/main" id="{00000000-0008-0000-06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6.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1F3864"/>
  </sheetPr>
  <dimension ref="A1:H56"/>
  <sheetViews>
    <sheetView tabSelected="1" workbookViewId="0"/>
  </sheetViews>
  <sheetFormatPr baseColWidth="10" defaultColWidth="8.83203125" defaultRowHeight="15" x14ac:dyDescent="0.2"/>
  <cols>
    <col min="1" max="1" width="52" customWidth="1"/>
    <col min="2" max="4" width="17" customWidth="1"/>
    <col min="5" max="8" width="14" customWidth="1"/>
  </cols>
  <sheetData>
    <row r="1" spans="1:8" ht="19" x14ac:dyDescent="0.2">
      <c r="A1" s="1" t="s">
        <v>0</v>
      </c>
    </row>
    <row r="2" spans="1:8" x14ac:dyDescent="0.2">
      <c r="A2" s="2" t="s">
        <v>1</v>
      </c>
    </row>
    <row r="4" spans="1:8" ht="18" customHeight="1" x14ac:dyDescent="0.2">
      <c r="A4" s="3" t="s">
        <v>2</v>
      </c>
      <c r="B4" s="4"/>
      <c r="C4" s="4"/>
      <c r="D4" s="4"/>
      <c r="E4" s="4"/>
      <c r="F4" s="4"/>
      <c r="G4" s="4"/>
      <c r="H4" s="4"/>
    </row>
    <row r="5" spans="1:8" x14ac:dyDescent="0.2">
      <c r="A5" s="26" t="s">
        <v>3</v>
      </c>
      <c r="B5" s="27" t="s">
        <v>4</v>
      </c>
      <c r="C5" s="28" t="s">
        <v>5</v>
      </c>
    </row>
    <row r="6" spans="1:8" x14ac:dyDescent="0.2">
      <c r="A6" s="26" t="s">
        <v>6</v>
      </c>
      <c r="B6" s="29" t="s">
        <v>7</v>
      </c>
      <c r="C6" s="28" t="s">
        <v>8</v>
      </c>
    </row>
    <row r="7" spans="1:8" x14ac:dyDescent="0.2">
      <c r="A7" s="26" t="s">
        <v>9</v>
      </c>
      <c r="B7" s="30" t="s">
        <v>10</v>
      </c>
      <c r="C7" s="28" t="s">
        <v>11</v>
      </c>
    </row>
    <row r="9" spans="1:8" ht="18" customHeight="1" x14ac:dyDescent="0.2">
      <c r="A9" s="3" t="s">
        <v>12</v>
      </c>
      <c r="B9" s="4"/>
      <c r="C9" s="4"/>
      <c r="D9" s="4"/>
      <c r="E9" s="4"/>
      <c r="F9" s="4"/>
      <c r="G9" s="4"/>
      <c r="H9" s="4"/>
    </row>
    <row r="10" spans="1:8" ht="28" customHeight="1" x14ac:dyDescent="0.2">
      <c r="A10" s="5"/>
      <c r="B10" s="5" t="s">
        <v>13</v>
      </c>
      <c r="C10" s="5" t="s">
        <v>14</v>
      </c>
      <c r="D10" s="5" t="s">
        <v>15</v>
      </c>
      <c r="E10" s="5"/>
      <c r="F10" s="5"/>
      <c r="G10" s="5"/>
      <c r="H10" s="5"/>
    </row>
    <row r="11" spans="1:8" x14ac:dyDescent="0.2">
      <c r="A11" s="23" t="s">
        <v>16</v>
      </c>
      <c r="B11" s="20">
        <f>'Money Sources'!B19</f>
        <v>2392215.23</v>
      </c>
      <c r="C11" s="20">
        <f>'Money Sources'!C19</f>
        <v>4357405.1100000003</v>
      </c>
      <c r="D11" s="24">
        <f t="shared" ref="D11:D17" si="0">IF(AND(ISNUMBER(C11),ISNUMBER(B11)),C11-B11,"")</f>
        <v>1965189.8800000004</v>
      </c>
    </row>
    <row r="12" spans="1:8" x14ac:dyDescent="0.2">
      <c r="A12" s="6" t="s">
        <v>17</v>
      </c>
      <c r="B12" s="20">
        <f>'Money Sources'!B20</f>
        <v>26085</v>
      </c>
      <c r="C12" s="20">
        <f>'Money Sources'!C20</f>
        <v>1779199.14</v>
      </c>
      <c r="D12" s="24">
        <f t="shared" si="0"/>
        <v>1753114.14</v>
      </c>
    </row>
    <row r="13" spans="1:8" x14ac:dyDescent="0.2">
      <c r="A13" s="11" t="s">
        <v>18</v>
      </c>
      <c r="B13" s="31">
        <f>'Money Sources'!B21</f>
        <v>2366130.23</v>
      </c>
      <c r="C13" s="31">
        <f>'Money Sources'!C21</f>
        <v>2578205.9700000007</v>
      </c>
      <c r="D13" s="13">
        <f t="shared" si="0"/>
        <v>212075.74000000069</v>
      </c>
    </row>
    <row r="14" spans="1:8" x14ac:dyDescent="0.2">
      <c r="A14" s="23" t="s">
        <v>19</v>
      </c>
      <c r="B14" s="20">
        <f>'Money Sources'!B33</f>
        <v>1373792.39</v>
      </c>
      <c r="C14" s="20">
        <f>'Money Sources'!C33</f>
        <v>1521927.85</v>
      </c>
      <c r="D14" s="24">
        <f t="shared" si="0"/>
        <v>148135.4600000002</v>
      </c>
    </row>
    <row r="15" spans="1:8" x14ac:dyDescent="0.2">
      <c r="A15" s="11" t="s">
        <v>20</v>
      </c>
      <c r="B15" s="31">
        <f>'Money Sources'!B34</f>
        <v>1018422.84</v>
      </c>
      <c r="C15" s="31">
        <f>'Money Sources'!C34</f>
        <v>2938717.17</v>
      </c>
      <c r="D15" s="13">
        <f t="shared" si="0"/>
        <v>1920294.33</v>
      </c>
    </row>
    <row r="16" spans="1:8" x14ac:dyDescent="0.2">
      <c r="A16" s="23" t="s">
        <v>21</v>
      </c>
      <c r="B16" s="20">
        <f>'Money Sources'!B35</f>
        <v>15000</v>
      </c>
      <c r="C16" s="20">
        <f>'Money Sources'!C35</f>
        <v>22583.23</v>
      </c>
      <c r="D16" s="24">
        <f t="shared" si="0"/>
        <v>7583.23</v>
      </c>
    </row>
    <row r="17" spans="1:8" x14ac:dyDescent="0.2">
      <c r="A17" s="23" t="s">
        <v>22</v>
      </c>
      <c r="B17" s="32">
        <f>'Money Sources'!B36</f>
        <v>0.57427624938246047</v>
      </c>
      <c r="C17" s="32">
        <f>'Money Sources'!C36</f>
        <v>0.34927389388405983</v>
      </c>
      <c r="D17" s="33">
        <f t="shared" si="0"/>
        <v>-0.22500235549840064</v>
      </c>
    </row>
    <row r="19" spans="1:8" ht="18" customHeight="1" x14ac:dyDescent="0.2">
      <c r="A19" s="3" t="s">
        <v>23</v>
      </c>
      <c r="B19" s="4"/>
      <c r="C19" s="4"/>
      <c r="D19" s="4"/>
      <c r="E19" s="4"/>
      <c r="F19" s="4"/>
      <c r="G19" s="4"/>
      <c r="H19" s="4"/>
    </row>
    <row r="20" spans="1:8" ht="28" customHeight="1" x14ac:dyDescent="0.2">
      <c r="A20" s="5"/>
      <c r="B20" s="5" t="s">
        <v>24</v>
      </c>
      <c r="C20" s="5" t="s">
        <v>25</v>
      </c>
      <c r="D20" s="5" t="s">
        <v>26</v>
      </c>
      <c r="E20" s="5"/>
      <c r="F20" s="5"/>
      <c r="G20" s="5"/>
      <c r="H20" s="5"/>
    </row>
    <row r="21" spans="1:8" x14ac:dyDescent="0.2">
      <c r="A21" s="11" t="s">
        <v>27</v>
      </c>
      <c r="B21" s="31">
        <f>'Outside Money'!D35</f>
        <v>2783622.0999999996</v>
      </c>
      <c r="C21" s="34">
        <f>IFERROR(B21/$B$21,"")</f>
        <v>1</v>
      </c>
      <c r="D21" s="35">
        <f>'Outside Money'!E43</f>
        <v>29</v>
      </c>
    </row>
    <row r="22" spans="1:8" x14ac:dyDescent="0.2">
      <c r="A22" s="6" t="s">
        <v>28</v>
      </c>
      <c r="B22" s="20">
        <f>'Outside Money'!D39</f>
        <v>2450057.7199999997</v>
      </c>
      <c r="C22" s="16">
        <f>IFERROR(B22/$B$21,"")</f>
        <v>0.88016894247247146</v>
      </c>
      <c r="D22" s="36">
        <f>'Outside Money'!E39</f>
        <v>21</v>
      </c>
    </row>
    <row r="23" spans="1:8" x14ac:dyDescent="0.2">
      <c r="A23" s="6" t="s">
        <v>29</v>
      </c>
      <c r="B23" s="20">
        <f>'Outside Money'!D40</f>
        <v>321211.76</v>
      </c>
      <c r="C23" s="16">
        <f>IFERROR(B23/$B$21,"")</f>
        <v>0.11539345085670934</v>
      </c>
      <c r="D23" s="36">
        <f>'Outside Money'!E40</f>
        <v>2</v>
      </c>
    </row>
    <row r="24" spans="1:8" x14ac:dyDescent="0.2">
      <c r="A24" s="6" t="s">
        <v>30</v>
      </c>
      <c r="B24" s="20">
        <f>'Outside Money'!D41</f>
        <v>0</v>
      </c>
      <c r="C24" s="16">
        <f>IFERROR(B24/$B$21,"")</f>
        <v>0</v>
      </c>
      <c r="D24" s="36">
        <f>'Outside Money'!E41</f>
        <v>0</v>
      </c>
    </row>
    <row r="25" spans="1:8" x14ac:dyDescent="0.2">
      <c r="A25" s="6" t="s">
        <v>31</v>
      </c>
      <c r="B25" s="20">
        <f>'Outside Money'!D42</f>
        <v>12352.62</v>
      </c>
      <c r="C25" s="16">
        <f>IFERROR(B25/$B$21,"")</f>
        <v>4.4376066708192909E-3</v>
      </c>
      <c r="D25" s="36">
        <f>'Outside Money'!E42</f>
        <v>6</v>
      </c>
    </row>
    <row r="27" spans="1:8" ht="18" customHeight="1" x14ac:dyDescent="0.2">
      <c r="A27" s="3" t="s">
        <v>32</v>
      </c>
      <c r="B27" s="4"/>
      <c r="C27" s="4"/>
      <c r="D27" s="4"/>
      <c r="E27" s="4"/>
      <c r="F27" s="4"/>
      <c r="G27" s="4"/>
      <c r="H27" s="4"/>
    </row>
    <row r="28" spans="1:8" ht="28" customHeight="1" x14ac:dyDescent="0.2">
      <c r="A28" s="5" t="s">
        <v>33</v>
      </c>
      <c r="B28" s="5" t="s">
        <v>34</v>
      </c>
      <c r="C28" s="5"/>
      <c r="D28" s="5"/>
      <c r="E28" s="5"/>
      <c r="F28" s="5"/>
      <c r="G28" s="5"/>
      <c r="H28" s="5"/>
    </row>
    <row r="29" spans="1:8" ht="26" customHeight="1" x14ac:dyDescent="0.2">
      <c r="A29" s="37" t="s">
        <v>35</v>
      </c>
      <c r="B29" s="38">
        <f>IF(AND(ISNUMBER(C15),ISNUMBER(B15)),C15-B15,"")</f>
        <v>1920294.33</v>
      </c>
    </row>
    <row r="30" spans="1:8" ht="26" customHeight="1" x14ac:dyDescent="0.2">
      <c r="A30" s="37" t="s">
        <v>36</v>
      </c>
      <c r="B30" s="38">
        <f>IF(AND(ISNUMBER(C11),ISNUMBER(B11)),C11-B11,"")</f>
        <v>1965189.8800000004</v>
      </c>
    </row>
    <row r="31" spans="1:8" ht="26" customHeight="1" x14ac:dyDescent="0.2">
      <c r="A31" s="37" t="s">
        <v>37</v>
      </c>
      <c r="B31" s="38">
        <f>IF(AND(ISNUMBER(C13),ISNUMBER(B13)),C13-B13,"")</f>
        <v>212075.74000000069</v>
      </c>
    </row>
    <row r="32" spans="1:8" ht="26" customHeight="1" x14ac:dyDescent="0.2">
      <c r="A32" s="37" t="s">
        <v>38</v>
      </c>
      <c r="B32" s="39">
        <f>IFERROR('Money Sources'!C20/'Money Sources'!C19,"")</f>
        <v>0.40831621001151297</v>
      </c>
    </row>
    <row r="33" spans="1:8" ht="26" customHeight="1" x14ac:dyDescent="0.2">
      <c r="A33" s="37" t="s">
        <v>39</v>
      </c>
      <c r="B33" s="38">
        <f>'Outside Money'!D35</f>
        <v>2783622.0999999996</v>
      </c>
    </row>
    <row r="34" spans="1:8" ht="26" customHeight="1" x14ac:dyDescent="0.2">
      <c r="A34" s="37" t="s">
        <v>40</v>
      </c>
      <c r="B34" s="39">
        <f>IFERROR('Outside Money'!D6/'Outside Money'!D35,"")</f>
        <v>0.6400021037338367</v>
      </c>
    </row>
    <row r="35" spans="1:8" ht="26" customHeight="1" x14ac:dyDescent="0.2">
      <c r="A35" s="37" t="s">
        <v>41</v>
      </c>
      <c r="B35" s="38">
        <f>'Outside Money'!D41</f>
        <v>0</v>
      </c>
    </row>
    <row r="36" spans="1:8" ht="26" customHeight="1" x14ac:dyDescent="0.2">
      <c r="A36" s="37" t="s">
        <v>42</v>
      </c>
      <c r="B36" s="39">
        <f>'Money Sources'!B27</f>
        <v>0.25055721261334835</v>
      </c>
    </row>
    <row r="37" spans="1:8" ht="26" customHeight="1" x14ac:dyDescent="0.2">
      <c r="A37" s="37" t="s">
        <v>43</v>
      </c>
      <c r="B37" s="39">
        <f>'Money Sources'!C27</f>
        <v>0.12717063390050504</v>
      </c>
    </row>
    <row r="39" spans="1:8" ht="18" customHeight="1" x14ac:dyDescent="0.2">
      <c r="A39" s="3" t="s">
        <v>44</v>
      </c>
      <c r="B39" s="4"/>
      <c r="C39" s="4"/>
      <c r="D39" s="4"/>
      <c r="E39" s="4"/>
      <c r="F39" s="4"/>
      <c r="G39" s="4"/>
      <c r="H39" s="4"/>
    </row>
    <row r="40" spans="1:8" ht="58" customHeight="1" x14ac:dyDescent="0.2">
      <c r="A40" s="85" t="s">
        <v>45</v>
      </c>
      <c r="B40" s="88"/>
      <c r="C40" s="88"/>
      <c r="D40" s="88"/>
      <c r="E40" s="88"/>
      <c r="F40" s="88"/>
      <c r="G40" s="88"/>
      <c r="H40" s="88"/>
    </row>
    <row r="41" spans="1:8" ht="58" customHeight="1" x14ac:dyDescent="0.2">
      <c r="A41" s="85" t="s">
        <v>46</v>
      </c>
      <c r="B41" s="88"/>
      <c r="C41" s="88"/>
      <c r="D41" s="88"/>
      <c r="E41" s="88"/>
      <c r="F41" s="88"/>
      <c r="G41" s="88"/>
      <c r="H41" s="88"/>
    </row>
    <row r="43" spans="1:8" ht="36" customHeight="1" x14ac:dyDescent="0.2">
      <c r="A43" s="87" t="s">
        <v>47</v>
      </c>
      <c r="B43" s="88"/>
      <c r="C43" s="88"/>
      <c r="D43" s="88"/>
      <c r="E43" s="88"/>
      <c r="F43" s="88"/>
      <c r="G43" s="88"/>
      <c r="H43" s="88"/>
    </row>
    <row r="45" spans="1:8" ht="18" customHeight="1" x14ac:dyDescent="0.2">
      <c r="A45" s="3" t="s">
        <v>48</v>
      </c>
      <c r="B45" s="4"/>
      <c r="C45" s="4"/>
      <c r="D45" s="4"/>
      <c r="E45" s="4"/>
      <c r="F45" s="4"/>
      <c r="G45" s="4"/>
      <c r="H45" s="4"/>
    </row>
    <row r="46" spans="1:8" x14ac:dyDescent="0.2">
      <c r="A46" s="77"/>
      <c r="B46" s="77" t="s">
        <v>49</v>
      </c>
      <c r="C46" s="77" t="s">
        <v>50</v>
      </c>
      <c r="D46" s="77" t="s">
        <v>51</v>
      </c>
      <c r="E46" s="77" t="s">
        <v>52</v>
      </c>
    </row>
    <row r="47" spans="1:8" x14ac:dyDescent="0.2">
      <c r="A47" s="6" t="s">
        <v>53</v>
      </c>
      <c r="B47" s="69">
        <f>'Money vs Results'!D6</f>
        <v>0.77109098037140433</v>
      </c>
      <c r="C47" s="69">
        <f>'Money vs Results'!D7</f>
        <v>0.55387617295621649</v>
      </c>
      <c r="D47" s="69">
        <f>'Money vs Results'!D8</f>
        <v>0.5242464179788805</v>
      </c>
      <c r="E47" s="69">
        <f>'Money vs Results'!D9</f>
        <v>0.83130618442728466</v>
      </c>
    </row>
    <row r="48" spans="1:8" x14ac:dyDescent="0.2">
      <c r="A48" s="6" t="s">
        <v>54</v>
      </c>
      <c r="B48" s="69">
        <f>'Money vs Results'!G6</f>
        <v>0.80703924381902337</v>
      </c>
      <c r="C48" s="69">
        <f>'Money vs Results'!G7</f>
        <v>0.51238903559163029</v>
      </c>
      <c r="D48" s="69">
        <f>'Money vs Results'!G8</f>
        <v>0.48796203137815547</v>
      </c>
      <c r="E48" s="69">
        <f>'Money vs Results'!G9</f>
        <v>0.63374999086960193</v>
      </c>
    </row>
    <row r="49" spans="1:8" x14ac:dyDescent="0.2">
      <c r="A49" s="6" t="s">
        <v>55</v>
      </c>
      <c r="B49" s="69">
        <f>'Money vs Results'!H6</f>
        <v>0.55166699314397649</v>
      </c>
      <c r="C49" s="69">
        <f>'Money vs Results'!H7</f>
        <v>0.51866366661183072</v>
      </c>
      <c r="D49" s="69">
        <f>'Money vs Results'!H8</f>
        <v>0.50983020704568338</v>
      </c>
      <c r="E49" s="69">
        <f>'Money vs Results'!H9</f>
        <v>0.49496422142548979</v>
      </c>
    </row>
    <row r="50" spans="1:8" x14ac:dyDescent="0.2">
      <c r="A50" s="23" t="s">
        <v>56</v>
      </c>
      <c r="B50" s="78" t="s">
        <v>57</v>
      </c>
      <c r="C50" s="78" t="s">
        <v>57</v>
      </c>
      <c r="D50" s="78" t="s">
        <v>57</v>
      </c>
      <c r="E50" s="79" t="s">
        <v>58</v>
      </c>
    </row>
    <row r="52" spans="1:8" x14ac:dyDescent="0.2">
      <c r="A52" s="6" t="s">
        <v>59</v>
      </c>
      <c r="B52" s="80">
        <f>'Money vs Results'!B14</f>
        <v>7.2306609889138687E-2</v>
      </c>
      <c r="C52" s="81">
        <f>'Money vs Results'!B20</f>
        <v>0.92769339011086194</v>
      </c>
    </row>
    <row r="53" spans="1:8" x14ac:dyDescent="0.2">
      <c r="A53" s="6" t="s">
        <v>60</v>
      </c>
      <c r="B53" s="80">
        <f>'Money vs Results'!C14</f>
        <v>0.66817431020726636</v>
      </c>
      <c r="C53" s="81">
        <f>'Money vs Results'!C20</f>
        <v>0.33182568979273375</v>
      </c>
    </row>
    <row r="55" spans="1:8" ht="64" customHeight="1" x14ac:dyDescent="0.2">
      <c r="A55" s="85" t="s">
        <v>61</v>
      </c>
      <c r="B55" s="86"/>
      <c r="C55" s="86"/>
      <c r="D55" s="86"/>
      <c r="E55" s="86"/>
      <c r="F55" s="86"/>
      <c r="G55" s="86"/>
      <c r="H55" s="86"/>
    </row>
    <row r="56" spans="1:8" ht="64" customHeight="1" x14ac:dyDescent="0.2">
      <c r="A56" s="85" t="s">
        <v>62</v>
      </c>
      <c r="B56" s="86"/>
      <c r="C56" s="86"/>
      <c r="D56" s="86"/>
      <c r="E56" s="86"/>
      <c r="F56" s="86"/>
      <c r="G56" s="86"/>
      <c r="H56" s="86"/>
    </row>
  </sheetData>
  <mergeCells count="5">
    <mergeCell ref="A56:H56"/>
    <mergeCell ref="A55:H55"/>
    <mergeCell ref="A43:H43"/>
    <mergeCell ref="A41:H41"/>
    <mergeCell ref="A40:H40"/>
  </mergeCells>
  <pageMargins left="0.75" right="0.75" top="1" bottom="1" header="0.5" footer="0.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1F3864"/>
  </sheetPr>
  <dimension ref="A1:Y148"/>
  <sheetViews>
    <sheetView showGridLines="0" workbookViewId="0">
      <selection activeCell="O125" sqref="O125"/>
    </sheetView>
  </sheetViews>
  <sheetFormatPr baseColWidth="10" defaultColWidth="8.83203125" defaultRowHeight="15" x14ac:dyDescent="0.2"/>
  <cols>
    <col min="1" max="1" width="3" customWidth="1"/>
    <col min="18" max="26" width="21" customWidth="1"/>
  </cols>
  <sheetData>
    <row r="1" spans="1:25" ht="19" x14ac:dyDescent="0.2">
      <c r="A1" s="1" t="s">
        <v>63</v>
      </c>
    </row>
    <row r="2" spans="1:25" x14ac:dyDescent="0.2">
      <c r="A2" s="2" t="s">
        <v>64</v>
      </c>
      <c r="R2" s="40" t="s">
        <v>65</v>
      </c>
    </row>
    <row r="3" spans="1:25" x14ac:dyDescent="0.2">
      <c r="R3" s="41" t="s">
        <v>66</v>
      </c>
      <c r="S3" s="41" t="s">
        <v>13</v>
      </c>
      <c r="T3" s="41" t="s">
        <v>14</v>
      </c>
    </row>
    <row r="4" spans="1:25" x14ac:dyDescent="0.2">
      <c r="R4" s="26" t="s">
        <v>67</v>
      </c>
      <c r="S4" s="42">
        <f>'Money Sources'!B32</f>
        <v>2392215.23</v>
      </c>
      <c r="T4" s="42">
        <f>'Money Sources'!C32</f>
        <v>4357405.1100000003</v>
      </c>
    </row>
    <row r="5" spans="1:25" x14ac:dyDescent="0.2">
      <c r="R5" s="26" t="s">
        <v>19</v>
      </c>
      <c r="S5" s="42">
        <f>'Money Sources'!B33</f>
        <v>1373792.39</v>
      </c>
      <c r="T5" s="42">
        <f>'Money Sources'!C33</f>
        <v>1521927.85</v>
      </c>
    </row>
    <row r="6" spans="1:25" x14ac:dyDescent="0.2">
      <c r="R6" s="26" t="s">
        <v>20</v>
      </c>
      <c r="S6" s="42">
        <f>'Money Sources'!B34</f>
        <v>1018422.84</v>
      </c>
      <c r="T6" s="42">
        <f>'Money Sources'!C34</f>
        <v>2938717.17</v>
      </c>
    </row>
    <row r="8" spans="1:25" x14ac:dyDescent="0.2">
      <c r="R8" s="40" t="s">
        <v>68</v>
      </c>
    </row>
    <row r="9" spans="1:25" x14ac:dyDescent="0.2">
      <c r="R9" s="41" t="s">
        <v>69</v>
      </c>
      <c r="S9" s="41" t="s">
        <v>70</v>
      </c>
      <c r="T9" s="41" t="s">
        <v>71</v>
      </c>
      <c r="U9" s="41" t="s">
        <v>72</v>
      </c>
      <c r="V9" s="41" t="s">
        <v>73</v>
      </c>
      <c r="W9" s="41" t="s">
        <v>74</v>
      </c>
      <c r="X9" s="41" t="s">
        <v>75</v>
      </c>
      <c r="Y9" s="41" t="s">
        <v>76</v>
      </c>
    </row>
    <row r="10" spans="1:25" x14ac:dyDescent="0.2">
      <c r="R10" s="26" t="s">
        <v>13</v>
      </c>
      <c r="S10" s="42">
        <f>'Money Sources'!B6</f>
        <v>1342778.75</v>
      </c>
      <c r="T10" s="42">
        <f>'Money Sources'!B7</f>
        <v>599386.78</v>
      </c>
      <c r="U10" s="42">
        <f>'Money Sources'!B8</f>
        <v>403000.03</v>
      </c>
      <c r="V10" s="42">
        <f>'Money Sources'!B9</f>
        <v>5000</v>
      </c>
      <c r="W10" s="42">
        <f>'Money Sources'!B10</f>
        <v>26085</v>
      </c>
      <c r="X10" s="42">
        <f>'Money Sources'!B11</f>
        <v>3500</v>
      </c>
      <c r="Y10" s="42">
        <f>'Money Sources'!B12</f>
        <v>12464.669999999925</v>
      </c>
    </row>
    <row r="11" spans="1:25" x14ac:dyDescent="0.2">
      <c r="R11" s="26" t="s">
        <v>14</v>
      </c>
      <c r="S11" s="42">
        <f>'Money Sources'!C6</f>
        <v>939107.04</v>
      </c>
      <c r="T11" s="42">
        <f>'Money Sources'!C7</f>
        <v>554133.97</v>
      </c>
      <c r="U11" s="42">
        <f>'Money Sources'!C8</f>
        <v>1042912.78</v>
      </c>
      <c r="V11" s="42">
        <f>'Money Sources'!C9</f>
        <v>5000</v>
      </c>
      <c r="W11" s="42">
        <f>'Money Sources'!C10</f>
        <v>1779199.14</v>
      </c>
      <c r="X11" s="42">
        <f>'Money Sources'!C11</f>
        <v>0</v>
      </c>
      <c r="Y11" s="42">
        <f>'Money Sources'!C12</f>
        <v>37052.180000000633</v>
      </c>
    </row>
    <row r="13" spans="1:25" x14ac:dyDescent="0.2">
      <c r="R13" s="40" t="s">
        <v>77</v>
      </c>
    </row>
    <row r="14" spans="1:25" x14ac:dyDescent="0.2">
      <c r="R14" s="41" t="s">
        <v>78</v>
      </c>
      <c r="S14" s="41" t="s">
        <v>13</v>
      </c>
      <c r="T14" s="41" t="s">
        <v>14</v>
      </c>
    </row>
    <row r="15" spans="1:25" x14ac:dyDescent="0.2">
      <c r="R15" s="26" t="s">
        <v>79</v>
      </c>
      <c r="S15" s="42">
        <f>'Money Sources'!B19</f>
        <v>2392215.23</v>
      </c>
      <c r="T15" s="42">
        <f>'Money Sources'!C19</f>
        <v>4357405.1100000003</v>
      </c>
    </row>
    <row r="16" spans="1:25" x14ac:dyDescent="0.2">
      <c r="R16" s="26" t="s">
        <v>18</v>
      </c>
      <c r="S16" s="42">
        <f>'Money Sources'!B21</f>
        <v>2366130.23</v>
      </c>
      <c r="T16" s="42">
        <f>'Money Sources'!C21</f>
        <v>2578205.9700000007</v>
      </c>
    </row>
    <row r="18" spans="18:19" x14ac:dyDescent="0.2">
      <c r="R18" s="40" t="s">
        <v>80</v>
      </c>
    </row>
    <row r="19" spans="18:19" x14ac:dyDescent="0.2">
      <c r="R19" s="41" t="s">
        <v>81</v>
      </c>
      <c r="S19" s="41" t="s">
        <v>82</v>
      </c>
    </row>
    <row r="20" spans="18:19" x14ac:dyDescent="0.2">
      <c r="R20" s="26" t="s">
        <v>83</v>
      </c>
      <c r="S20" s="42">
        <f>'Outside Money'!D6</f>
        <v>1781524</v>
      </c>
    </row>
    <row r="21" spans="18:19" x14ac:dyDescent="0.2">
      <c r="R21" s="26" t="s">
        <v>84</v>
      </c>
      <c r="S21" s="42">
        <f>'Outside Money'!D7</f>
        <v>312371.76</v>
      </c>
    </row>
    <row r="22" spans="18:19" x14ac:dyDescent="0.2">
      <c r="R22" s="26" t="s">
        <v>85</v>
      </c>
      <c r="S22" s="42">
        <f>'Outside Money'!D8</f>
        <v>249750</v>
      </c>
    </row>
    <row r="23" spans="18:19" x14ac:dyDescent="0.2">
      <c r="R23" s="26" t="s">
        <v>86</v>
      </c>
      <c r="S23" s="42">
        <f>'Outside Money'!D9</f>
        <v>140300</v>
      </c>
    </row>
    <row r="24" spans="18:19" x14ac:dyDescent="0.2">
      <c r="R24" s="26" t="s">
        <v>87</v>
      </c>
      <c r="S24" s="42">
        <f>'Outside Money'!D10</f>
        <v>99625</v>
      </c>
    </row>
    <row r="25" spans="18:19" x14ac:dyDescent="0.2">
      <c r="R25" s="26" t="s">
        <v>88</v>
      </c>
      <c r="S25" s="42">
        <f>'Outside Money'!D11</f>
        <v>88321.5</v>
      </c>
    </row>
    <row r="26" spans="18:19" x14ac:dyDescent="0.2">
      <c r="R26" s="26" t="s">
        <v>89</v>
      </c>
      <c r="S26" s="42">
        <f>'Outside Money'!D12</f>
        <v>30559.95</v>
      </c>
    </row>
    <row r="27" spans="18:19" x14ac:dyDescent="0.2">
      <c r="R27" s="26" t="s">
        <v>90</v>
      </c>
      <c r="S27" s="42">
        <f>'Outside Money'!D13</f>
        <v>16643.34</v>
      </c>
    </row>
    <row r="28" spans="18:19" x14ac:dyDescent="0.2">
      <c r="R28" s="26" t="s">
        <v>91</v>
      </c>
      <c r="S28" s="42">
        <f>'Outside Money'!D14</f>
        <v>11000</v>
      </c>
    </row>
    <row r="29" spans="18:19" x14ac:dyDescent="0.2">
      <c r="R29" s="26" t="s">
        <v>92</v>
      </c>
      <c r="S29" s="42">
        <f>'Outside Money'!D15</f>
        <v>9116.67</v>
      </c>
    </row>
    <row r="31" spans="18:19" x14ac:dyDescent="0.2">
      <c r="R31" s="40" t="s">
        <v>93</v>
      </c>
    </row>
    <row r="32" spans="18:19" x14ac:dyDescent="0.2">
      <c r="R32" s="41" t="s">
        <v>94</v>
      </c>
      <c r="S32" s="41" t="s">
        <v>24</v>
      </c>
    </row>
    <row r="33" spans="18:19" x14ac:dyDescent="0.2">
      <c r="R33" s="26" t="s">
        <v>95</v>
      </c>
      <c r="S33" s="42">
        <f>'Outside Money'!D39</f>
        <v>2450057.7199999997</v>
      </c>
    </row>
    <row r="34" spans="18:19" x14ac:dyDescent="0.2">
      <c r="R34" s="26" t="s">
        <v>96</v>
      </c>
      <c r="S34" s="42">
        <f>'Outside Money'!D40</f>
        <v>321211.76</v>
      </c>
    </row>
    <row r="35" spans="18:19" x14ac:dyDescent="0.2">
      <c r="R35" s="26" t="s">
        <v>97</v>
      </c>
      <c r="S35" s="42">
        <f>'Outside Money'!D41</f>
        <v>0</v>
      </c>
    </row>
    <row r="36" spans="18:19" x14ac:dyDescent="0.2">
      <c r="R36" s="26" t="s">
        <v>98</v>
      </c>
      <c r="S36" s="42">
        <f>'Outside Money'!D42</f>
        <v>12352.62</v>
      </c>
    </row>
    <row r="38" spans="18:19" x14ac:dyDescent="0.2">
      <c r="R38" s="40" t="s">
        <v>99</v>
      </c>
    </row>
    <row r="39" spans="18:19" x14ac:dyDescent="0.2">
      <c r="R39" s="41" t="s">
        <v>81</v>
      </c>
      <c r="S39" s="41" t="s">
        <v>100</v>
      </c>
    </row>
    <row r="40" spans="18:19" x14ac:dyDescent="0.2">
      <c r="R40" s="26" t="s">
        <v>101</v>
      </c>
      <c r="S40" s="42">
        <f>'Outside Money'!D6</f>
        <v>1781524</v>
      </c>
    </row>
    <row r="41" spans="18:19" x14ac:dyDescent="0.2">
      <c r="R41" s="26" t="s">
        <v>102</v>
      </c>
      <c r="S41" s="42">
        <f>'Outside Money'!D7</f>
        <v>312371.76</v>
      </c>
    </row>
    <row r="42" spans="18:19" x14ac:dyDescent="0.2">
      <c r="R42" s="26" t="s">
        <v>103</v>
      </c>
      <c r="S42" s="42">
        <f>'Outside Money'!D8</f>
        <v>249750</v>
      </c>
    </row>
    <row r="43" spans="18:19" x14ac:dyDescent="0.2">
      <c r="R43" s="26" t="s">
        <v>104</v>
      </c>
      <c r="S43" s="42">
        <f>'Outside Money'!D9</f>
        <v>140300</v>
      </c>
    </row>
    <row r="44" spans="18:19" x14ac:dyDescent="0.2">
      <c r="R44" s="26" t="s">
        <v>105</v>
      </c>
      <c r="S44" s="42">
        <f>'Outside Money'!D10</f>
        <v>99625</v>
      </c>
    </row>
    <row r="45" spans="18:19" x14ac:dyDescent="0.2">
      <c r="R45" s="26" t="s">
        <v>106</v>
      </c>
      <c r="S45" s="42">
        <f>'Outside Money'!D11</f>
        <v>88321.5</v>
      </c>
    </row>
    <row r="46" spans="18:19" x14ac:dyDescent="0.2">
      <c r="R46" s="26" t="s">
        <v>107</v>
      </c>
      <c r="S46" s="42">
        <f>'Outside Money'!D35-SUM('Outside Money'!D6:D11)</f>
        <v>111729.83999999985</v>
      </c>
    </row>
    <row r="145" spans="1:14" x14ac:dyDescent="0.2">
      <c r="A145" s="87" t="s">
        <v>108</v>
      </c>
      <c r="B145" s="88"/>
      <c r="C145" s="88"/>
      <c r="D145" s="88"/>
      <c r="E145" s="88"/>
      <c r="F145" s="88"/>
      <c r="G145" s="88"/>
      <c r="H145" s="88"/>
      <c r="I145" s="88"/>
      <c r="J145" s="88"/>
      <c r="K145" s="88"/>
      <c r="L145" s="88"/>
      <c r="M145" s="88"/>
      <c r="N145" s="88"/>
    </row>
    <row r="146" spans="1:14" x14ac:dyDescent="0.2">
      <c r="A146" s="87" t="s">
        <v>109</v>
      </c>
      <c r="B146" s="88"/>
      <c r="C146" s="88"/>
      <c r="D146" s="88"/>
      <c r="E146" s="88"/>
      <c r="F146" s="88"/>
      <c r="G146" s="88"/>
      <c r="H146" s="88"/>
      <c r="I146" s="88"/>
      <c r="J146" s="88"/>
      <c r="K146" s="88"/>
      <c r="L146" s="88"/>
      <c r="M146" s="88"/>
      <c r="N146" s="88"/>
    </row>
    <row r="147" spans="1:14" x14ac:dyDescent="0.2">
      <c r="A147" s="87" t="s">
        <v>110</v>
      </c>
      <c r="B147" s="88"/>
      <c r="C147" s="88"/>
      <c r="D147" s="88"/>
      <c r="E147" s="88"/>
      <c r="F147" s="88"/>
      <c r="G147" s="88"/>
      <c r="H147" s="88"/>
      <c r="I147" s="88"/>
      <c r="J147" s="88"/>
      <c r="K147" s="88"/>
      <c r="L147" s="88"/>
      <c r="M147" s="88"/>
      <c r="N147" s="88"/>
    </row>
    <row r="148" spans="1:14" x14ac:dyDescent="0.2">
      <c r="A148" s="87" t="s">
        <v>111</v>
      </c>
      <c r="B148" s="88"/>
      <c r="C148" s="88"/>
      <c r="D148" s="88"/>
      <c r="E148" s="88"/>
      <c r="F148" s="88"/>
      <c r="G148" s="88"/>
      <c r="H148" s="88"/>
      <c r="I148" s="88"/>
      <c r="J148" s="88"/>
      <c r="K148" s="88"/>
      <c r="L148" s="88"/>
      <c r="M148" s="88"/>
      <c r="N148" s="88"/>
    </row>
  </sheetData>
  <mergeCells count="4">
    <mergeCell ref="A145:N145"/>
    <mergeCell ref="A146:N146"/>
    <mergeCell ref="A147:N147"/>
    <mergeCell ref="A148:N148"/>
  </mergeCells>
  <pageMargins left="0.75" right="0.75" top="1" bottom="1" header="0.5" footer="0.5"/>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1F3864"/>
  </sheetPr>
  <dimension ref="A1:E40"/>
  <sheetViews>
    <sheetView workbookViewId="0"/>
  </sheetViews>
  <sheetFormatPr baseColWidth="10" defaultColWidth="8.83203125" defaultRowHeight="15" x14ac:dyDescent="0.2"/>
  <cols>
    <col min="1" max="1" width="42" customWidth="1"/>
    <col min="2" max="3" width="16" customWidth="1"/>
    <col min="4" max="5" width="15" customWidth="1"/>
  </cols>
  <sheetData>
    <row r="1" spans="1:5" ht="19" x14ac:dyDescent="0.2">
      <c r="A1" s="1" t="s">
        <v>112</v>
      </c>
    </row>
    <row r="2" spans="1:5" x14ac:dyDescent="0.2">
      <c r="A2" s="2" t="s">
        <v>113</v>
      </c>
    </row>
    <row r="4" spans="1:5" ht="18" customHeight="1" x14ac:dyDescent="0.2">
      <c r="A4" s="3" t="s">
        <v>114</v>
      </c>
      <c r="B4" s="4"/>
      <c r="C4" s="4"/>
      <c r="D4" s="4"/>
      <c r="E4" s="4"/>
    </row>
    <row r="5" spans="1:5" ht="30" customHeight="1" x14ac:dyDescent="0.2">
      <c r="A5" s="5" t="s">
        <v>115</v>
      </c>
      <c r="B5" s="5" t="s">
        <v>13</v>
      </c>
      <c r="C5" s="5" t="s">
        <v>14</v>
      </c>
      <c r="D5" s="5" t="s">
        <v>116</v>
      </c>
      <c r="E5" s="5" t="s">
        <v>117</v>
      </c>
    </row>
    <row r="6" spans="1:5" x14ac:dyDescent="0.2">
      <c r="A6" s="6" t="s">
        <v>118</v>
      </c>
      <c r="B6" s="20">
        <f>IFERROR(IF(INDEX('Candidate Totals'!$J$6:$J$11,MATCH("Bob Brooks",'Candidate Totals'!$A$6:$A$11,0))=0,"",INDEX('Candidate Totals'!$J$6:$J$11,MATCH("Bob Brooks",'Candidate Totals'!$A$6:$A$11,0))-INDEX('Candidate Totals'!$K$6:$K$11,MATCH("Bob Brooks",'Candidate Totals'!$A$6:$A$11,0))),"")</f>
        <v>1342778.75</v>
      </c>
      <c r="C6" s="20">
        <f>IFERROR(IF(INDEX('Candidate Totals'!$J$6:$J$11,MATCH("Ryan Mackenzie",'Candidate Totals'!$A$6:$A$11,0))=0,"",INDEX('Candidate Totals'!$J$6:$J$11,MATCH("Ryan Mackenzie",'Candidate Totals'!$A$6:$A$11,0))-INDEX('Candidate Totals'!$K$6:$K$11,MATCH("Ryan Mackenzie",'Candidate Totals'!$A$6:$A$11,0))),"")</f>
        <v>939107.04</v>
      </c>
      <c r="D6" s="16">
        <f>IF(AND(ISNUMBER(B6),ISNUMBER(B13)),B6/B13,"")</f>
        <v>0.56131184734577588</v>
      </c>
      <c r="E6" s="16">
        <f>IF(AND(ISNUMBER(C6),ISNUMBER(C13)),C6/C13,"")</f>
        <v>0.21551979131910459</v>
      </c>
    </row>
    <row r="7" spans="1:5" x14ac:dyDescent="0.2">
      <c r="A7" s="6" t="s">
        <v>119</v>
      </c>
      <c r="B7" s="20">
        <f>IFERROR(IF(INDEX('Candidate Totals'!$K$6:$K$11,MATCH("Bob Brooks",'Candidate Totals'!$A$6:$A$11,0))=0,"",INDEX('Candidate Totals'!$K$6:$K$11,MATCH("Bob Brooks",'Candidate Totals'!$A$6:$A$11,0))),"")</f>
        <v>599386.78</v>
      </c>
      <c r="C7" s="20">
        <f>IFERROR(IF(INDEX('Candidate Totals'!$K$6:$K$11,MATCH("Ryan Mackenzie",'Candidate Totals'!$A$6:$A$11,0))=0,"",INDEX('Candidate Totals'!$K$6:$K$11,MATCH("Ryan Mackenzie",'Candidate Totals'!$A$6:$A$11,0))),"")</f>
        <v>554133.97</v>
      </c>
      <c r="D7" s="16">
        <f>IF(AND(ISNUMBER(B7),ISNUMBER(B13)),B7/B13,"")</f>
        <v>0.25055721261334835</v>
      </c>
      <c r="E7" s="16">
        <f>IF(AND(ISNUMBER(C7),ISNUMBER(C13)),C7/C13,"")</f>
        <v>0.12717063390050504</v>
      </c>
    </row>
    <row r="8" spans="1:5" x14ac:dyDescent="0.2">
      <c r="A8" s="6" t="s">
        <v>120</v>
      </c>
      <c r="B8" s="20">
        <f>IFERROR(IF(INDEX('Candidate Totals'!$L$6:$L$11,MATCH("Bob Brooks",'Candidate Totals'!$A$6:$A$11,0))=0,"",INDEX('Candidate Totals'!$L$6:$L$11,MATCH("Bob Brooks",'Candidate Totals'!$A$6:$A$11,0))),"")</f>
        <v>403000.03</v>
      </c>
      <c r="C8" s="20">
        <f>IFERROR(IF(INDEX('Candidate Totals'!$L$6:$L$11,MATCH("Ryan Mackenzie",'Candidate Totals'!$A$6:$A$11,0))=0,"",INDEX('Candidate Totals'!$L$6:$L$11,MATCH("Ryan Mackenzie",'Candidate Totals'!$A$6:$A$11,0))),"")</f>
        <v>1042912.78</v>
      </c>
      <c r="D8" s="16">
        <f>IF(AND(ISNUMBER(B8),ISNUMBER(B13)),B8/B13,"")</f>
        <v>0.16846311525238472</v>
      </c>
      <c r="E8" s="16">
        <f>IF(AND(ISNUMBER(C8),ISNUMBER(C13)),C8/C13,"")</f>
        <v>0.23934262563895509</v>
      </c>
    </row>
    <row r="9" spans="1:5" x14ac:dyDescent="0.2">
      <c r="A9" s="6" t="s">
        <v>73</v>
      </c>
      <c r="B9" s="20">
        <f>IFERROR(IF(INDEX('Candidate Totals'!$M$6:$M$11,MATCH("Bob Brooks",'Candidate Totals'!$A$6:$A$11,0))=0,"",INDEX('Candidate Totals'!$M$6:$M$11,MATCH("Bob Brooks",'Candidate Totals'!$A$6:$A$11,0))),"")</f>
        <v>5000</v>
      </c>
      <c r="C9" s="20">
        <f>IFERROR(IF(INDEX('Candidate Totals'!$M$6:$M$11,MATCH("Ryan Mackenzie",'Candidate Totals'!$A$6:$A$11,0))=0,"",INDEX('Candidate Totals'!$M$6:$M$11,MATCH("Ryan Mackenzie",'Candidate Totals'!$A$6:$A$11,0))),"")</f>
        <v>5000</v>
      </c>
      <c r="D9" s="16">
        <f>IF(AND(ISNUMBER(B9),ISNUMBER(B13)),B9/B13,"")</f>
        <v>2.0901129368698151E-3</v>
      </c>
      <c r="E9" s="16">
        <f>IF(AND(ISNUMBER(C9),ISNUMBER(C13)),C9/C13,"")</f>
        <v>1.1474719182123509E-3</v>
      </c>
    </row>
    <row r="10" spans="1:5" x14ac:dyDescent="0.2">
      <c r="A10" s="6" t="s">
        <v>121</v>
      </c>
      <c r="B10" s="20">
        <f>IFERROR(IF(INDEX('Candidate Totals'!$N$6:$N$11,MATCH("Bob Brooks",'Candidate Totals'!$A$6:$A$11,0))=0,"",INDEX('Candidate Totals'!$N$6:$N$11,MATCH("Bob Brooks",'Candidate Totals'!$A$6:$A$11,0))),"")</f>
        <v>26085</v>
      </c>
      <c r="C10" s="20">
        <f>IFERROR(IF(INDEX('Candidate Totals'!$N$6:$N$11,MATCH("Ryan Mackenzie",'Candidate Totals'!$A$6:$A$11,0))=0,"",INDEX('Candidate Totals'!$N$6:$N$11,MATCH("Ryan Mackenzie",'Candidate Totals'!$A$6:$A$11,0))),"")</f>
        <v>1779199.14</v>
      </c>
      <c r="D10" s="16">
        <f>IF(AND(ISNUMBER(B10),ISNUMBER(B13)),B10/B13,"")</f>
        <v>1.0904119191649825E-2</v>
      </c>
      <c r="E10" s="16">
        <f>IF(AND(ISNUMBER(C10),ISNUMBER(C13)),C10/C13,"")</f>
        <v>0.40831621001151297</v>
      </c>
    </row>
    <row r="11" spans="1:5" x14ac:dyDescent="0.2">
      <c r="A11" s="6" t="s">
        <v>122</v>
      </c>
      <c r="B11" s="20">
        <f>IFERROR(INDEX('Candidate Totals'!$O$6:$O$11,MATCH("Bob Brooks",'Candidate Totals'!$A$6:$A$11,0)),"")</f>
        <v>3500</v>
      </c>
      <c r="C11" s="20">
        <f>IFERROR(INDEX('Candidate Totals'!$O$6:$O$11,MATCH("Ryan Mackenzie",'Candidate Totals'!$A$6:$A$11,0)),"")</f>
        <v>0</v>
      </c>
      <c r="D11" s="16">
        <f>IF(AND(ISNUMBER(B11),ISNUMBER(B13)),B11/B13,"")</f>
        <v>1.4630790558088705E-3</v>
      </c>
      <c r="E11" s="16">
        <f>IF(AND(ISNUMBER(C11),ISNUMBER(C13)),C11/C13,"")</f>
        <v>0</v>
      </c>
    </row>
    <row r="12" spans="1:5" x14ac:dyDescent="0.2">
      <c r="A12" s="6" t="s">
        <v>76</v>
      </c>
      <c r="B12" s="20">
        <f>IFERROR(IF(INDEX('Candidate Totals'!$P$6:$P$11,MATCH("Bob Brooks",'Candidate Totals'!$A$6:$A$11,0))=0,"",INDEX('Candidate Totals'!$P$6:$P$11,MATCH("Bob Brooks",'Candidate Totals'!$A$6:$A$11,0))),"")</f>
        <v>12464.669999999925</v>
      </c>
      <c r="C12" s="20">
        <f>IFERROR(IF(INDEX('Candidate Totals'!$P$6:$P$11,MATCH("Ryan Mackenzie",'Candidate Totals'!$A$6:$A$11,0))=0,"",INDEX('Candidate Totals'!$P$6:$P$11,MATCH("Ryan Mackenzie",'Candidate Totals'!$A$6:$A$11,0))),"")</f>
        <v>37052.180000000633</v>
      </c>
      <c r="D12" s="16">
        <f>IF(AND(ISNUMBER(B12),ISNUMBER(B13)),B12/B13,"")</f>
        <v>5.2105136041625845E-3</v>
      </c>
      <c r="E12" s="16">
        <f>IF(AND(ISNUMBER(C12),ISNUMBER(C13)),C12/C13,"")</f>
        <v>8.5032672117100055E-3</v>
      </c>
    </row>
    <row r="13" spans="1:5" x14ac:dyDescent="0.2">
      <c r="A13" s="11" t="s">
        <v>123</v>
      </c>
      <c r="B13" s="13">
        <f>SUM(B6:B12)</f>
        <v>2392215.23</v>
      </c>
      <c r="C13" s="13">
        <f>SUM(C6:C12)</f>
        <v>4357405.1100000003</v>
      </c>
      <c r="D13" s="19">
        <f>IFERROR(SUM(D6:D12),"")</f>
        <v>1.0000000000000002</v>
      </c>
      <c r="E13" s="19">
        <f>IFERROR(SUM(E6:E12),"")</f>
        <v>1</v>
      </c>
    </row>
    <row r="14" spans="1:5" ht="39" customHeight="1" x14ac:dyDescent="0.2">
      <c r="A14" s="87" t="s">
        <v>124</v>
      </c>
      <c r="B14" s="88"/>
      <c r="C14" s="88"/>
      <c r="D14" s="88"/>
      <c r="E14" s="88"/>
    </row>
    <row r="15" spans="1:5" x14ac:dyDescent="0.2">
      <c r="A15" s="21" t="s">
        <v>125</v>
      </c>
      <c r="B15" s="22">
        <f>IFERROR(B13-INDEX('Candidate Totals'!$F$6:$F$11,MATCH("Bob Brooks",'Candidate Totals'!$A$6:$A$11,0)),"")</f>
        <v>0</v>
      </c>
      <c r="C15" s="22">
        <f>IFERROR(C13-INDEX('Candidate Totals'!$F$6:$F$11,MATCH("Ryan Mackenzie",'Candidate Totals'!$A$6:$A$11,0)),"")</f>
        <v>0</v>
      </c>
    </row>
    <row r="17" spans="1:5" ht="18" customHeight="1" x14ac:dyDescent="0.2">
      <c r="A17" s="3" t="s">
        <v>126</v>
      </c>
      <c r="B17" s="4"/>
      <c r="C17" s="4"/>
      <c r="D17" s="4"/>
      <c r="E17" s="4"/>
    </row>
    <row r="18" spans="1:5" ht="30" customHeight="1" x14ac:dyDescent="0.2">
      <c r="A18" s="5" t="s">
        <v>78</v>
      </c>
      <c r="B18" s="5" t="s">
        <v>13</v>
      </c>
      <c r="C18" s="5" t="s">
        <v>14</v>
      </c>
      <c r="D18" s="5" t="s">
        <v>15</v>
      </c>
      <c r="E18" s="5"/>
    </row>
    <row r="19" spans="1:5" x14ac:dyDescent="0.2">
      <c r="A19" s="6" t="s">
        <v>127</v>
      </c>
      <c r="B19" s="20">
        <f>IFERROR(IF(INDEX('Candidate Totals'!$F$6:$F$11,MATCH("Bob Brooks",'Candidate Totals'!$A$6:$A$11,0))=0,"",INDEX('Candidate Totals'!$F$6:$F$11,MATCH("Bob Brooks",'Candidate Totals'!$A$6:$A$11,0))),"")</f>
        <v>2392215.23</v>
      </c>
      <c r="C19" s="20">
        <f>IFERROR(IF(INDEX('Candidate Totals'!$F$6:$F$11,MATCH("Ryan Mackenzie",'Candidate Totals'!$A$6:$A$11,0))=0,"",INDEX('Candidate Totals'!$F$6:$F$11,MATCH("Ryan Mackenzie",'Candidate Totals'!$A$6:$A$11,0))),"")</f>
        <v>4357405.1100000003</v>
      </c>
      <c r="D19" s="8">
        <f>IF(AND(ISNUMBER(C19),ISNUMBER(B19)),C19-B19,"")</f>
        <v>1965189.8800000004</v>
      </c>
    </row>
    <row r="20" spans="1:5" x14ac:dyDescent="0.2">
      <c r="A20" s="6" t="s">
        <v>128</v>
      </c>
      <c r="B20" s="20">
        <f>IFERROR(IF(INDEX('Candidate Totals'!$N$6:$N$11,MATCH("Bob Brooks",'Candidate Totals'!$A$6:$A$11,0))=0,"",INDEX('Candidate Totals'!$N$6:$N$11,MATCH("Bob Brooks",'Candidate Totals'!$A$6:$A$11,0))),"")</f>
        <v>26085</v>
      </c>
      <c r="C20" s="20">
        <f>IFERROR(IF(INDEX('Candidate Totals'!$N$6:$N$11,MATCH("Ryan Mackenzie",'Candidate Totals'!$A$6:$A$11,0))=0,"",INDEX('Candidate Totals'!$N$6:$N$11,MATCH("Ryan Mackenzie",'Candidate Totals'!$A$6:$A$11,0))),"")</f>
        <v>1779199.14</v>
      </c>
      <c r="D20" s="8">
        <f>IF(AND(ISNUMBER(C20),ISNUMBER(B20)),C20-B20,"")</f>
        <v>1753114.14</v>
      </c>
    </row>
    <row r="21" spans="1:5" x14ac:dyDescent="0.2">
      <c r="A21" s="23" t="s">
        <v>129</v>
      </c>
      <c r="B21" s="13">
        <f>IF(AND(ISNUMBER(B19),ISNUMBER(B20)),B19-B20,"")</f>
        <v>2366130.23</v>
      </c>
      <c r="C21" s="13">
        <f>IF(AND(ISNUMBER(C19),ISNUMBER(C20)),C19-C20,"")</f>
        <v>2578205.9700000007</v>
      </c>
      <c r="D21" s="24">
        <f>IF(AND(ISNUMBER(C21),ISNUMBER(B21)),C21-B21,"")</f>
        <v>212075.74000000069</v>
      </c>
    </row>
    <row r="22" spans="1:5" ht="52" customHeight="1" x14ac:dyDescent="0.2">
      <c r="A22" s="87" t="s">
        <v>130</v>
      </c>
      <c r="B22" s="88"/>
      <c r="C22" s="88"/>
      <c r="D22" s="88"/>
      <c r="E22" s="88"/>
    </row>
    <row r="24" spans="1:5" ht="18" customHeight="1" x14ac:dyDescent="0.2">
      <c r="A24" s="3" t="s">
        <v>131</v>
      </c>
      <c r="B24" s="4"/>
      <c r="C24" s="4"/>
      <c r="D24" s="4"/>
      <c r="E24" s="4"/>
    </row>
    <row r="25" spans="1:5" ht="30" customHeight="1" x14ac:dyDescent="0.2">
      <c r="A25" s="5" t="s">
        <v>78</v>
      </c>
      <c r="B25" s="5" t="s">
        <v>13</v>
      </c>
      <c r="C25" s="5" t="s">
        <v>14</v>
      </c>
      <c r="D25" s="5"/>
      <c r="E25" s="5"/>
    </row>
    <row r="26" spans="1:5" x14ac:dyDescent="0.2">
      <c r="A26" s="6" t="s">
        <v>132</v>
      </c>
      <c r="B26" s="20">
        <f>IFERROR(IF(INDEX('Candidate Totals'!$K$6:$K$11,MATCH("Bob Brooks",'Candidate Totals'!$A$6:$A$11,0))=0,"",INDEX('Candidate Totals'!$K$6:$K$11,MATCH("Bob Brooks",'Candidate Totals'!$A$6:$A$11,0))),"")</f>
        <v>599386.78</v>
      </c>
      <c r="C26" s="20">
        <f>IFERROR(IF(INDEX('Candidate Totals'!$K$6:$K$11,MATCH("Ryan Mackenzie",'Candidate Totals'!$A$6:$A$11,0))=0,"",INDEX('Candidate Totals'!$K$6:$K$11,MATCH("Ryan Mackenzie",'Candidate Totals'!$A$6:$A$11,0))),"")</f>
        <v>554133.97</v>
      </c>
    </row>
    <row r="27" spans="1:5" x14ac:dyDescent="0.2">
      <c r="A27" s="6" t="s">
        <v>133</v>
      </c>
      <c r="B27" s="16">
        <f>IFERROR(B26/(IFERROR(IF(INDEX('Candidate Totals'!$F$6:$F$11,MATCH("Bob Brooks",'Candidate Totals'!$A$6:$A$11,0))=0,"",INDEX('Candidate Totals'!$F$6:$F$11,MATCH("Bob Brooks",'Candidate Totals'!$A$6:$A$11,0))),"")),"")</f>
        <v>0.25055721261334835</v>
      </c>
      <c r="C27" s="16">
        <f>IFERROR(C26/(IFERROR(IF(INDEX('Candidate Totals'!$F$6:$F$11,MATCH("Ryan Mackenzie",'Candidate Totals'!$A$6:$A$11,0))=0,"",INDEX('Candidate Totals'!$F$6:$F$11,MATCH("Ryan Mackenzie",'Candidate Totals'!$A$6:$A$11,0))),"")),"")</f>
        <v>0.12717063390050504</v>
      </c>
    </row>
    <row r="28" spans="1:5" x14ac:dyDescent="0.2">
      <c r="A28" s="6" t="s">
        <v>134</v>
      </c>
      <c r="B28" s="16">
        <f>IFERROR(B26/(IFERROR(IF(INDEX('Candidate Totals'!$J$6:$J$11,MATCH("Bob Brooks",'Candidate Totals'!$A$6:$A$11,0))=0,"",INDEX('Candidate Totals'!$J$6:$J$11,MATCH("Bob Brooks",'Candidate Totals'!$A$6:$A$11,0))),"")),"")</f>
        <v>0.30861776235931859</v>
      </c>
      <c r="C28" s="16">
        <f>IFERROR(C26/(IFERROR(IF(INDEX('Candidate Totals'!$J$6:$J$11,MATCH("Ryan Mackenzie",'Candidate Totals'!$A$6:$A$11,0))=0,"",INDEX('Candidate Totals'!$J$6:$J$11,MATCH("Ryan Mackenzie",'Candidate Totals'!$A$6:$A$11,0))),"")),"")</f>
        <v>0.37109479734955841</v>
      </c>
    </row>
    <row r="30" spans="1:5" ht="18" customHeight="1" x14ac:dyDescent="0.2">
      <c r="A30" s="3" t="s">
        <v>135</v>
      </c>
      <c r="B30" s="4"/>
      <c r="C30" s="4"/>
      <c r="D30" s="4"/>
      <c r="E30" s="4"/>
    </row>
    <row r="31" spans="1:5" ht="30" customHeight="1" x14ac:dyDescent="0.2">
      <c r="A31" s="5" t="s">
        <v>78</v>
      </c>
      <c r="B31" s="5" t="s">
        <v>13</v>
      </c>
      <c r="C31" s="5" t="s">
        <v>14</v>
      </c>
      <c r="D31" s="5" t="s">
        <v>15</v>
      </c>
      <c r="E31" s="5"/>
    </row>
    <row r="32" spans="1:5" x14ac:dyDescent="0.2">
      <c r="A32" s="6" t="s">
        <v>67</v>
      </c>
      <c r="B32" s="20">
        <f>IFERROR(IF(INDEX('Candidate Totals'!$F$6:$F$11,MATCH("Bob Brooks",'Candidate Totals'!$A$6:$A$11,0))=0,"",INDEX('Candidate Totals'!$F$6:$F$11,MATCH("Bob Brooks",'Candidate Totals'!$A$6:$A$11,0))),"")</f>
        <v>2392215.23</v>
      </c>
      <c r="C32" s="20">
        <f>IFERROR(IF(INDEX('Candidate Totals'!$F$6:$F$11,MATCH("Ryan Mackenzie",'Candidate Totals'!$A$6:$A$11,0))=0,"",INDEX('Candidate Totals'!$F$6:$F$11,MATCH("Ryan Mackenzie",'Candidate Totals'!$A$6:$A$11,0))),"")</f>
        <v>4357405.1100000003</v>
      </c>
      <c r="D32" s="8">
        <f t="shared" ref="D32:D37" si="0">IF(AND(ISNUMBER(C32),ISNUMBER(B32)),C32-B32,"")</f>
        <v>1965189.8800000004</v>
      </c>
    </row>
    <row r="33" spans="1:5" x14ac:dyDescent="0.2">
      <c r="A33" s="6" t="s">
        <v>19</v>
      </c>
      <c r="B33" s="20">
        <f>IFERROR(IF(INDEX('Candidate Totals'!$G$6:$G$11,MATCH("Bob Brooks",'Candidate Totals'!$A$6:$A$11,0))=0,"",INDEX('Candidate Totals'!$G$6:$G$11,MATCH("Bob Brooks",'Candidate Totals'!$A$6:$A$11,0))),"")</f>
        <v>1373792.39</v>
      </c>
      <c r="C33" s="20">
        <f>IFERROR(IF(INDEX('Candidate Totals'!$G$6:$G$11,MATCH("Ryan Mackenzie",'Candidate Totals'!$A$6:$A$11,0))=0,"",INDEX('Candidate Totals'!$G$6:$G$11,MATCH("Ryan Mackenzie",'Candidate Totals'!$A$6:$A$11,0))),"")</f>
        <v>1521927.85</v>
      </c>
      <c r="D33" s="8">
        <f t="shared" si="0"/>
        <v>148135.4600000002</v>
      </c>
    </row>
    <row r="34" spans="1:5" x14ac:dyDescent="0.2">
      <c r="A34" s="6" t="s">
        <v>20</v>
      </c>
      <c r="B34" s="20">
        <f>IFERROR(IF(INDEX('Candidate Totals'!$H$6:$H$11,MATCH("Bob Brooks",'Candidate Totals'!$A$6:$A$11,0))=0,"",INDEX('Candidate Totals'!$H$6:$H$11,MATCH("Bob Brooks",'Candidate Totals'!$A$6:$A$11,0))),"")</f>
        <v>1018422.84</v>
      </c>
      <c r="C34" s="20">
        <f>IFERROR(IF(INDEX('Candidate Totals'!$H$6:$H$11,MATCH("Ryan Mackenzie",'Candidate Totals'!$A$6:$A$11,0))=0,"",INDEX('Candidate Totals'!$H$6:$H$11,MATCH("Ryan Mackenzie",'Candidate Totals'!$A$6:$A$11,0))),"")</f>
        <v>2938717.17</v>
      </c>
      <c r="D34" s="8">
        <f t="shared" si="0"/>
        <v>1920294.33</v>
      </c>
    </row>
    <row r="35" spans="1:5" x14ac:dyDescent="0.2">
      <c r="A35" s="6" t="s">
        <v>21</v>
      </c>
      <c r="B35" s="20">
        <f>IFERROR(IF(INDEX('Candidate Totals'!$I$6:$I$11,MATCH("Bob Brooks",'Candidate Totals'!$A$6:$A$11,0))=0,"",INDEX('Candidate Totals'!$I$6:$I$11,MATCH("Bob Brooks",'Candidate Totals'!$A$6:$A$11,0))),"")</f>
        <v>15000</v>
      </c>
      <c r="C35" s="20">
        <f>IFERROR(IF(INDEX('Candidate Totals'!$I$6:$I$11,MATCH("Ryan Mackenzie",'Candidate Totals'!$A$6:$A$11,0))=0,"",INDEX('Candidate Totals'!$I$6:$I$11,MATCH("Ryan Mackenzie",'Candidate Totals'!$A$6:$A$11,0))),"")</f>
        <v>22583.23</v>
      </c>
      <c r="D35" s="8">
        <f t="shared" si="0"/>
        <v>7583.23</v>
      </c>
    </row>
    <row r="36" spans="1:5" x14ac:dyDescent="0.2">
      <c r="A36" s="6" t="s">
        <v>22</v>
      </c>
      <c r="B36" s="16">
        <f>IF(AND(ISNUMBER(B33),ISNUMBER(B32)),B33/B32,"")</f>
        <v>0.57427624938246047</v>
      </c>
      <c r="C36" s="16">
        <f>IF(AND(ISNUMBER(C33),ISNUMBER(C32)),C33/C32,"")</f>
        <v>0.34927389388405983</v>
      </c>
      <c r="D36" s="25">
        <f t="shared" si="0"/>
        <v>-0.22500235549840064</v>
      </c>
    </row>
    <row r="37" spans="1:5" x14ac:dyDescent="0.2">
      <c r="A37" s="6" t="s">
        <v>136</v>
      </c>
      <c r="B37" s="16">
        <f>IF(AND(ISNUMBER(B34),ISNUMBER(B32)),B34/B32,"")</f>
        <v>0.42572375061753953</v>
      </c>
      <c r="C37" s="16">
        <f>IF(AND(ISNUMBER(C34),ISNUMBER(C32)),C34/C32,"")</f>
        <v>0.67441908562869424</v>
      </c>
      <c r="D37" s="25">
        <f t="shared" si="0"/>
        <v>0.24869533501115471</v>
      </c>
    </row>
    <row r="39" spans="1:5" ht="26" customHeight="1" x14ac:dyDescent="0.2">
      <c r="A39" s="87" t="s">
        <v>137</v>
      </c>
      <c r="B39" s="88"/>
      <c r="C39" s="88"/>
      <c r="D39" s="88"/>
      <c r="E39" s="88"/>
    </row>
    <row r="40" spans="1:5" ht="26" customHeight="1" x14ac:dyDescent="0.2">
      <c r="A40" s="87" t="s">
        <v>138</v>
      </c>
      <c r="B40" s="88"/>
      <c r="C40" s="88"/>
      <c r="D40" s="88"/>
      <c r="E40" s="88"/>
    </row>
  </sheetData>
  <mergeCells count="4">
    <mergeCell ref="A39:E39"/>
    <mergeCell ref="A22:E22"/>
    <mergeCell ref="A40:E40"/>
    <mergeCell ref="A14:E14"/>
  </mergeCells>
  <pageMargins left="0.75" right="0.75" top="1" bottom="1" header="0.5" footer="0.5"/>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1F3864"/>
  </sheetPr>
  <dimension ref="A1:P19"/>
  <sheetViews>
    <sheetView workbookViewId="0">
      <pane xSplit="1" ySplit="5" topLeftCell="B6" activePane="bottomRight" state="frozen"/>
      <selection pane="topRight"/>
      <selection pane="bottomLeft"/>
      <selection pane="bottomRight"/>
    </sheetView>
  </sheetViews>
  <sheetFormatPr baseColWidth="10" defaultColWidth="8.83203125" defaultRowHeight="15" x14ac:dyDescent="0.2"/>
  <cols>
    <col min="1" max="1" width="26" customWidth="1"/>
    <col min="2" max="2" width="7" customWidth="1"/>
    <col min="3" max="3" width="10" customWidth="1"/>
    <col min="4" max="4" width="12" customWidth="1"/>
    <col min="5" max="5" width="13" customWidth="1"/>
    <col min="6" max="8" width="14" customWidth="1"/>
    <col min="9" max="9" width="11" customWidth="1"/>
    <col min="10" max="10" width="15" customWidth="1"/>
    <col min="11" max="11" width="16" customWidth="1"/>
    <col min="12" max="12" width="15" customWidth="1"/>
    <col min="13" max="13" width="13" customWidth="1"/>
    <col min="14" max="14" width="16" customWidth="1"/>
    <col min="15" max="15" width="15" customWidth="1"/>
    <col min="16" max="16" width="16" customWidth="1"/>
  </cols>
  <sheetData>
    <row r="1" spans="1:16" ht="19" x14ac:dyDescent="0.2">
      <c r="A1" s="1" t="s">
        <v>139</v>
      </c>
    </row>
    <row r="2" spans="1:16" x14ac:dyDescent="0.2">
      <c r="A2" s="2" t="s">
        <v>140</v>
      </c>
    </row>
    <row r="4" spans="1:16" ht="18" customHeight="1" x14ac:dyDescent="0.2">
      <c r="A4" s="3" t="s">
        <v>141</v>
      </c>
      <c r="B4" s="4"/>
      <c r="C4" s="4"/>
      <c r="D4" s="4"/>
      <c r="E4" s="4"/>
      <c r="F4" s="4"/>
      <c r="G4" s="4"/>
      <c r="H4" s="4"/>
      <c r="I4" s="4"/>
      <c r="J4" s="4"/>
      <c r="K4" s="4"/>
      <c r="L4" s="4"/>
      <c r="M4" s="4"/>
      <c r="N4" s="4"/>
      <c r="O4" s="4"/>
      <c r="P4" s="4"/>
    </row>
    <row r="5" spans="1:16" ht="30" customHeight="1" x14ac:dyDescent="0.2">
      <c r="A5" s="5" t="s">
        <v>69</v>
      </c>
      <c r="B5" s="5" t="s">
        <v>142</v>
      </c>
      <c r="C5" s="5" t="s">
        <v>143</v>
      </c>
      <c r="D5" s="5" t="s">
        <v>144</v>
      </c>
      <c r="E5" s="5" t="s">
        <v>145</v>
      </c>
      <c r="F5" s="5" t="s">
        <v>67</v>
      </c>
      <c r="G5" s="5" t="s">
        <v>19</v>
      </c>
      <c r="H5" s="5" t="s">
        <v>20</v>
      </c>
      <c r="I5" s="5" t="s">
        <v>146</v>
      </c>
      <c r="J5" s="5" t="s">
        <v>147</v>
      </c>
      <c r="K5" s="5" t="s">
        <v>148</v>
      </c>
      <c r="L5" s="5" t="s">
        <v>72</v>
      </c>
      <c r="M5" s="5" t="s">
        <v>73</v>
      </c>
      <c r="N5" s="5" t="s">
        <v>149</v>
      </c>
      <c r="O5" s="5" t="s">
        <v>122</v>
      </c>
      <c r="P5" s="5" t="s">
        <v>150</v>
      </c>
    </row>
    <row r="6" spans="1:16" x14ac:dyDescent="0.2">
      <c r="A6" s="6" t="s">
        <v>151</v>
      </c>
      <c r="B6" s="6" t="s">
        <v>152</v>
      </c>
      <c r="C6" s="6" t="s">
        <v>153</v>
      </c>
      <c r="D6" s="6" t="s">
        <v>154</v>
      </c>
      <c r="E6" s="6" t="s">
        <v>4</v>
      </c>
      <c r="F6" s="7">
        <v>2392215.23</v>
      </c>
      <c r="G6" s="7">
        <v>1373792.39</v>
      </c>
      <c r="H6" s="7">
        <v>1018422.84</v>
      </c>
      <c r="I6" s="7">
        <v>15000</v>
      </c>
      <c r="J6" s="7">
        <v>1942165.53</v>
      </c>
      <c r="K6" s="7">
        <v>599386.78</v>
      </c>
      <c r="L6" s="7">
        <v>403000.03</v>
      </c>
      <c r="M6" s="7">
        <v>5000</v>
      </c>
      <c r="N6" s="7">
        <v>26085</v>
      </c>
      <c r="O6" s="7">
        <v>3500</v>
      </c>
      <c r="P6" s="8">
        <f>IF(ISNUMBER(F6),F6-(J6+L6+M6+N6+O6),"")</f>
        <v>12464.669999999925</v>
      </c>
    </row>
    <row r="7" spans="1:16" x14ac:dyDescent="0.2">
      <c r="A7" s="6" t="s">
        <v>155</v>
      </c>
      <c r="B7" s="6" t="s">
        <v>156</v>
      </c>
      <c r="C7" s="6" t="s">
        <v>154</v>
      </c>
      <c r="D7" s="6" t="s">
        <v>154</v>
      </c>
      <c r="E7" s="6" t="s">
        <v>4</v>
      </c>
      <c r="F7" s="7">
        <v>4357405.1100000003</v>
      </c>
      <c r="G7" s="7">
        <v>1521927.85</v>
      </c>
      <c r="H7" s="7">
        <v>2938717.17</v>
      </c>
      <c r="I7" s="7">
        <v>22583.23</v>
      </c>
      <c r="J7" s="7">
        <v>1493241.01</v>
      </c>
      <c r="K7" s="7">
        <v>554133.97</v>
      </c>
      <c r="L7" s="7">
        <v>1042912.78</v>
      </c>
      <c r="M7" s="7">
        <v>5000</v>
      </c>
      <c r="N7" s="7">
        <v>1779199.14</v>
      </c>
      <c r="O7" s="7">
        <v>0</v>
      </c>
      <c r="P7" s="8">
        <f>IF(ISNUMBER(F7),F7-(J7+L7+M7+N7+O7),"")</f>
        <v>37052.180000000633</v>
      </c>
    </row>
    <row r="8" spans="1:16" x14ac:dyDescent="0.2">
      <c r="A8" s="6" t="s">
        <v>157</v>
      </c>
      <c r="B8" s="6" t="s">
        <v>158</v>
      </c>
      <c r="C8" s="6" t="s">
        <v>153</v>
      </c>
      <c r="D8" s="9" t="s">
        <v>159</v>
      </c>
      <c r="E8" s="6" t="s">
        <v>160</v>
      </c>
      <c r="F8" s="10"/>
      <c r="G8" s="10"/>
      <c r="H8" s="10"/>
      <c r="I8" s="10"/>
      <c r="J8" s="10"/>
      <c r="K8" s="10"/>
      <c r="L8" s="10"/>
      <c r="M8" s="10"/>
      <c r="N8" s="10"/>
      <c r="O8" s="10"/>
      <c r="P8" s="10"/>
    </row>
    <row r="9" spans="1:16" x14ac:dyDescent="0.2">
      <c r="A9" s="6" t="s">
        <v>161</v>
      </c>
      <c r="B9" s="6" t="s">
        <v>152</v>
      </c>
      <c r="C9" s="6" t="s">
        <v>153</v>
      </c>
      <c r="D9" s="9" t="s">
        <v>159</v>
      </c>
      <c r="E9" s="6" t="s">
        <v>160</v>
      </c>
      <c r="F9" s="10"/>
      <c r="G9" s="10"/>
      <c r="H9" s="10"/>
      <c r="I9" s="10"/>
      <c r="J9" s="10"/>
      <c r="K9" s="10"/>
      <c r="L9" s="10"/>
      <c r="M9" s="10"/>
      <c r="N9" s="10"/>
      <c r="O9" s="10"/>
      <c r="P9" s="10"/>
    </row>
    <row r="10" spans="1:16" x14ac:dyDescent="0.2">
      <c r="A10" s="6" t="s">
        <v>162</v>
      </c>
      <c r="B10" s="6" t="s">
        <v>163</v>
      </c>
      <c r="C10" s="6" t="s">
        <v>153</v>
      </c>
      <c r="D10" s="9" t="s">
        <v>159</v>
      </c>
      <c r="E10" s="6" t="s">
        <v>160</v>
      </c>
      <c r="F10" s="10"/>
      <c r="G10" s="10"/>
      <c r="H10" s="10"/>
      <c r="I10" s="10"/>
      <c r="J10" s="10"/>
      <c r="K10" s="10"/>
      <c r="L10" s="10"/>
      <c r="M10" s="10"/>
      <c r="N10" s="10"/>
      <c r="O10" s="10"/>
      <c r="P10" s="10"/>
    </row>
    <row r="11" spans="1:16" x14ac:dyDescent="0.2">
      <c r="A11" s="6" t="s">
        <v>164</v>
      </c>
      <c r="B11" s="6" t="s">
        <v>163</v>
      </c>
      <c r="C11" s="6" t="s">
        <v>153</v>
      </c>
      <c r="D11" s="9" t="s">
        <v>159</v>
      </c>
      <c r="E11" s="6" t="s">
        <v>160</v>
      </c>
      <c r="F11" s="10"/>
      <c r="G11" s="10"/>
      <c r="H11" s="10"/>
      <c r="I11" s="10"/>
      <c r="J11" s="10"/>
      <c r="K11" s="10"/>
      <c r="L11" s="10"/>
      <c r="M11" s="10"/>
      <c r="N11" s="10"/>
      <c r="O11" s="10"/>
      <c r="P11" s="10"/>
    </row>
    <row r="12" spans="1:16" x14ac:dyDescent="0.2">
      <c r="A12" s="11" t="s">
        <v>165</v>
      </c>
      <c r="B12" s="12"/>
      <c r="C12" s="12"/>
      <c r="D12" s="12"/>
      <c r="E12" s="12"/>
      <c r="F12" s="13">
        <f t="shared" ref="F12:P12" si="0">SUM(F6:F11)</f>
        <v>6749620.3399999999</v>
      </c>
      <c r="G12" s="13">
        <f t="shared" si="0"/>
        <v>2895720.24</v>
      </c>
      <c r="H12" s="13">
        <f t="shared" si="0"/>
        <v>3957140.01</v>
      </c>
      <c r="I12" s="13">
        <f t="shared" si="0"/>
        <v>37583.229999999996</v>
      </c>
      <c r="J12" s="13">
        <f t="shared" si="0"/>
        <v>3435406.54</v>
      </c>
      <c r="K12" s="13">
        <f t="shared" si="0"/>
        <v>1153520.75</v>
      </c>
      <c r="L12" s="13">
        <f t="shared" si="0"/>
        <v>1445912.81</v>
      </c>
      <c r="M12" s="13">
        <f t="shared" si="0"/>
        <v>10000</v>
      </c>
      <c r="N12" s="13">
        <f t="shared" si="0"/>
        <v>1805284.14</v>
      </c>
      <c r="O12" s="13">
        <f t="shared" si="0"/>
        <v>3500</v>
      </c>
      <c r="P12" s="13">
        <f t="shared" si="0"/>
        <v>49516.850000000559</v>
      </c>
    </row>
    <row r="14" spans="1:16" ht="13" customHeight="1" x14ac:dyDescent="0.2">
      <c r="A14" s="89" t="s">
        <v>166</v>
      </c>
      <c r="B14" s="88"/>
      <c r="C14" s="88"/>
      <c r="D14" s="88"/>
      <c r="E14" s="88"/>
      <c r="F14" s="88"/>
      <c r="G14" s="88"/>
      <c r="H14" s="88"/>
      <c r="I14" s="88"/>
      <c r="J14" s="88"/>
      <c r="K14" s="88"/>
      <c r="L14" s="88"/>
      <c r="M14" s="88"/>
      <c r="N14" s="88"/>
      <c r="O14" s="88"/>
      <c r="P14" s="88"/>
    </row>
    <row r="15" spans="1:16" ht="26" customHeight="1" x14ac:dyDescent="0.2">
      <c r="A15" s="87" t="s">
        <v>167</v>
      </c>
      <c r="B15" s="88"/>
      <c r="C15" s="88"/>
      <c r="D15" s="88"/>
      <c r="E15" s="88"/>
      <c r="F15" s="88"/>
      <c r="G15" s="88"/>
      <c r="H15" s="88"/>
      <c r="I15" s="88"/>
      <c r="J15" s="88"/>
      <c r="K15" s="88"/>
      <c r="L15" s="88"/>
      <c r="M15" s="88"/>
      <c r="N15" s="88"/>
      <c r="O15" s="88"/>
      <c r="P15" s="88"/>
    </row>
    <row r="16" spans="1:16" ht="13" customHeight="1" x14ac:dyDescent="0.2">
      <c r="A16" s="87" t="s">
        <v>168</v>
      </c>
      <c r="B16" s="88"/>
      <c r="C16" s="88"/>
      <c r="D16" s="88"/>
      <c r="E16" s="88"/>
      <c r="F16" s="88"/>
      <c r="G16" s="88"/>
      <c r="H16" s="88"/>
      <c r="I16" s="88"/>
      <c r="J16" s="88"/>
      <c r="K16" s="88"/>
      <c r="L16" s="88"/>
      <c r="M16" s="88"/>
      <c r="N16" s="88"/>
      <c r="O16" s="88"/>
      <c r="P16" s="88"/>
    </row>
    <row r="17" spans="1:16" ht="13" customHeight="1" x14ac:dyDescent="0.2">
      <c r="A17" s="87" t="s">
        <v>169</v>
      </c>
      <c r="B17" s="88"/>
      <c r="C17" s="88"/>
      <c r="D17" s="88"/>
      <c r="E17" s="88"/>
      <c r="F17" s="88"/>
      <c r="G17" s="88"/>
      <c r="H17" s="88"/>
      <c r="I17" s="88"/>
      <c r="J17" s="88"/>
      <c r="K17" s="88"/>
      <c r="L17" s="88"/>
      <c r="M17" s="88"/>
      <c r="N17" s="88"/>
      <c r="O17" s="88"/>
      <c r="P17" s="88"/>
    </row>
    <row r="18" spans="1:16" ht="13" customHeight="1" x14ac:dyDescent="0.2">
      <c r="A18" s="87" t="s">
        <v>170</v>
      </c>
      <c r="B18" s="88"/>
      <c r="C18" s="88"/>
      <c r="D18" s="88"/>
      <c r="E18" s="88"/>
      <c r="F18" s="88"/>
      <c r="G18" s="88"/>
      <c r="H18" s="88"/>
      <c r="I18" s="88"/>
      <c r="J18" s="88"/>
      <c r="K18" s="88"/>
      <c r="L18" s="88"/>
      <c r="M18" s="88"/>
      <c r="N18" s="88"/>
      <c r="O18" s="88"/>
      <c r="P18" s="88"/>
    </row>
    <row r="19" spans="1:16" ht="13" customHeight="1" x14ac:dyDescent="0.2">
      <c r="A19" s="87" t="s">
        <v>171</v>
      </c>
      <c r="B19" s="88"/>
      <c r="C19" s="88"/>
      <c r="D19" s="88"/>
      <c r="E19" s="88"/>
      <c r="F19" s="88"/>
      <c r="G19" s="88"/>
      <c r="H19" s="88"/>
      <c r="I19" s="88"/>
      <c r="J19" s="88"/>
      <c r="K19" s="88"/>
      <c r="L19" s="88"/>
      <c r="M19" s="88"/>
      <c r="N19" s="88"/>
      <c r="O19" s="88"/>
      <c r="P19" s="88"/>
    </row>
  </sheetData>
  <mergeCells count="6">
    <mergeCell ref="A19:P19"/>
    <mergeCell ref="A14:P14"/>
    <mergeCell ref="A17:P17"/>
    <mergeCell ref="A18:P18"/>
    <mergeCell ref="A16:P16"/>
    <mergeCell ref="A15:P15"/>
  </mergeCells>
  <pageMargins left="0.75" right="0.75" top="1" bottom="1" header="0.5" footer="0.5"/>
  <legacy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1F3864"/>
  </sheetPr>
  <dimension ref="A1:F51"/>
  <sheetViews>
    <sheetView workbookViewId="0">
      <pane ySplit="5" topLeftCell="A6" activePane="bottomLeft" state="frozen"/>
      <selection pane="bottomLeft"/>
    </sheetView>
  </sheetViews>
  <sheetFormatPr baseColWidth="10" defaultColWidth="8.83203125" defaultRowHeight="15" x14ac:dyDescent="0.2"/>
  <cols>
    <col min="1" max="1" width="46" customWidth="1"/>
    <col min="2" max="2" width="18" customWidth="1"/>
    <col min="3" max="3" width="10" customWidth="1"/>
    <col min="4" max="4" width="15" customWidth="1"/>
    <col min="5" max="5" width="12" customWidth="1"/>
    <col min="6" max="6" width="14" customWidth="1"/>
  </cols>
  <sheetData>
    <row r="1" spans="1:6" ht="19" x14ac:dyDescent="0.2">
      <c r="A1" s="1" t="s">
        <v>172</v>
      </c>
    </row>
    <row r="2" spans="1:6" x14ac:dyDescent="0.2">
      <c r="A2" s="2" t="s">
        <v>173</v>
      </c>
    </row>
    <row r="4" spans="1:6" ht="18" customHeight="1" x14ac:dyDescent="0.2">
      <c r="A4" s="3" t="s">
        <v>174</v>
      </c>
      <c r="B4" s="4"/>
      <c r="C4" s="4"/>
      <c r="D4" s="4"/>
      <c r="E4" s="4"/>
      <c r="F4" s="4"/>
    </row>
    <row r="5" spans="1:6" ht="30" customHeight="1" x14ac:dyDescent="0.2">
      <c r="A5" s="5" t="s">
        <v>81</v>
      </c>
      <c r="B5" s="5" t="s">
        <v>175</v>
      </c>
      <c r="C5" s="5" t="s">
        <v>176</v>
      </c>
      <c r="D5" s="5" t="s">
        <v>24</v>
      </c>
      <c r="E5" s="5" t="s">
        <v>177</v>
      </c>
      <c r="F5" s="5" t="s">
        <v>25</v>
      </c>
    </row>
    <row r="6" spans="1:6" x14ac:dyDescent="0.2">
      <c r="A6" s="6" t="s">
        <v>178</v>
      </c>
      <c r="B6" s="6" t="s">
        <v>151</v>
      </c>
      <c r="C6" s="14" t="s">
        <v>179</v>
      </c>
      <c r="D6" s="15">
        <v>1781524</v>
      </c>
      <c r="E6" s="6" t="s">
        <v>4</v>
      </c>
      <c r="F6" s="16">
        <f t="shared" ref="F6:F34" si="0">IFERROR(D6/$D$35,"")</f>
        <v>0.6400021037338367</v>
      </c>
    </row>
    <row r="7" spans="1:6" x14ac:dyDescent="0.2">
      <c r="A7" s="6" t="s">
        <v>180</v>
      </c>
      <c r="B7" s="6" t="s">
        <v>151</v>
      </c>
      <c r="C7" s="17" t="s">
        <v>181</v>
      </c>
      <c r="D7" s="15">
        <v>312371.76</v>
      </c>
      <c r="E7" s="6" t="s">
        <v>4</v>
      </c>
      <c r="F7" s="16">
        <f t="shared" si="0"/>
        <v>0.11221773242855057</v>
      </c>
    </row>
    <row r="8" spans="1:6" x14ac:dyDescent="0.2">
      <c r="A8" s="6" t="s">
        <v>182</v>
      </c>
      <c r="B8" s="6" t="s">
        <v>151</v>
      </c>
      <c r="C8" s="14" t="s">
        <v>179</v>
      </c>
      <c r="D8" s="15">
        <v>249750</v>
      </c>
      <c r="E8" s="6" t="s">
        <v>4</v>
      </c>
      <c r="F8" s="16">
        <f t="shared" si="0"/>
        <v>8.9721230478806743E-2</v>
      </c>
    </row>
    <row r="9" spans="1:6" x14ac:dyDescent="0.2">
      <c r="A9" s="6" t="s">
        <v>183</v>
      </c>
      <c r="B9" s="6" t="s">
        <v>151</v>
      </c>
      <c r="C9" s="14" t="s">
        <v>179</v>
      </c>
      <c r="D9" s="15">
        <v>140300</v>
      </c>
      <c r="E9" s="6" t="s">
        <v>4</v>
      </c>
      <c r="F9" s="16">
        <f t="shared" si="0"/>
        <v>5.0401956501207552E-2</v>
      </c>
    </row>
    <row r="10" spans="1:6" x14ac:dyDescent="0.2">
      <c r="A10" s="6" t="s">
        <v>184</v>
      </c>
      <c r="B10" s="6" t="s">
        <v>151</v>
      </c>
      <c r="C10" s="14" t="s">
        <v>179</v>
      </c>
      <c r="D10" s="15">
        <v>99625</v>
      </c>
      <c r="E10" s="6" t="s">
        <v>4</v>
      </c>
      <c r="F10" s="16">
        <f t="shared" si="0"/>
        <v>3.5789700045850338E-2</v>
      </c>
    </row>
    <row r="11" spans="1:6" x14ac:dyDescent="0.2">
      <c r="A11" s="6" t="s">
        <v>106</v>
      </c>
      <c r="B11" s="6" t="s">
        <v>151</v>
      </c>
      <c r="C11" s="14" t="s">
        <v>179</v>
      </c>
      <c r="D11" s="15">
        <v>88321.5</v>
      </c>
      <c r="E11" s="6" t="s">
        <v>4</v>
      </c>
      <c r="F11" s="16">
        <f t="shared" si="0"/>
        <v>3.1728983614550267E-2</v>
      </c>
    </row>
    <row r="12" spans="1:6" x14ac:dyDescent="0.2">
      <c r="A12" s="6" t="s">
        <v>185</v>
      </c>
      <c r="B12" s="6" t="s">
        <v>151</v>
      </c>
      <c r="C12" s="14" t="s">
        <v>179</v>
      </c>
      <c r="D12" s="15">
        <v>30559.95</v>
      </c>
      <c r="E12" s="6" t="s">
        <v>4</v>
      </c>
      <c r="F12" s="16">
        <f t="shared" si="0"/>
        <v>1.0978483753236477E-2</v>
      </c>
    </row>
    <row r="13" spans="1:6" x14ac:dyDescent="0.2">
      <c r="A13" s="6" t="s">
        <v>186</v>
      </c>
      <c r="B13" s="6" t="s">
        <v>151</v>
      </c>
      <c r="C13" s="14" t="s">
        <v>179</v>
      </c>
      <c r="D13" s="15">
        <v>16643.34</v>
      </c>
      <c r="E13" s="6" t="s">
        <v>4</v>
      </c>
      <c r="F13" s="16">
        <f t="shared" si="0"/>
        <v>5.9790227991076816E-3</v>
      </c>
    </row>
    <row r="14" spans="1:6" x14ac:dyDescent="0.2">
      <c r="A14" s="6" t="s">
        <v>187</v>
      </c>
      <c r="B14" s="6" t="s">
        <v>151</v>
      </c>
      <c r="C14" s="14" t="s">
        <v>179</v>
      </c>
      <c r="D14" s="15">
        <v>11000</v>
      </c>
      <c r="E14" s="6" t="s">
        <v>7</v>
      </c>
      <c r="F14" s="16">
        <f t="shared" si="0"/>
        <v>3.9516858268943914E-3</v>
      </c>
    </row>
    <row r="15" spans="1:6" x14ac:dyDescent="0.2">
      <c r="A15" s="6" t="s">
        <v>188</v>
      </c>
      <c r="B15" s="6" t="s">
        <v>151</v>
      </c>
      <c r="C15" s="14" t="s">
        <v>179</v>
      </c>
      <c r="D15" s="15">
        <v>9116.67</v>
      </c>
      <c r="E15" s="6" t="s">
        <v>4</v>
      </c>
      <c r="F15" s="16">
        <f t="shared" si="0"/>
        <v>3.2751105115884807E-3</v>
      </c>
    </row>
    <row r="16" spans="1:6" x14ac:dyDescent="0.2">
      <c r="A16" s="6" t="s">
        <v>189</v>
      </c>
      <c r="B16" s="6" t="s">
        <v>151</v>
      </c>
      <c r="C16" s="17" t="s">
        <v>181</v>
      </c>
      <c r="D16" s="15">
        <v>8840</v>
      </c>
      <c r="E16" s="6" t="s">
        <v>4</v>
      </c>
      <c r="F16" s="16">
        <f t="shared" si="0"/>
        <v>3.1757184281587651E-3</v>
      </c>
    </row>
    <row r="17" spans="1:6" x14ac:dyDescent="0.2">
      <c r="A17" s="6" t="s">
        <v>190</v>
      </c>
      <c r="B17" s="6" t="s">
        <v>155</v>
      </c>
      <c r="C17" s="17" t="s">
        <v>181</v>
      </c>
      <c r="D17" s="15">
        <v>6044</v>
      </c>
      <c r="E17" s="6" t="s">
        <v>4</v>
      </c>
      <c r="F17" s="16">
        <f t="shared" si="0"/>
        <v>2.1712717397954274E-3</v>
      </c>
    </row>
    <row r="18" spans="1:6" x14ac:dyDescent="0.2">
      <c r="A18" s="6" t="s">
        <v>191</v>
      </c>
      <c r="B18" s="6" t="s">
        <v>151</v>
      </c>
      <c r="C18" s="14" t="s">
        <v>179</v>
      </c>
      <c r="D18" s="15">
        <v>4941.66</v>
      </c>
      <c r="E18" s="6" t="s">
        <v>4</v>
      </c>
      <c r="F18" s="16">
        <f t="shared" si="0"/>
        <v>1.7752625257573579E-3</v>
      </c>
    </row>
    <row r="19" spans="1:6" x14ac:dyDescent="0.2">
      <c r="A19" s="6" t="s">
        <v>192</v>
      </c>
      <c r="B19" s="6" t="s">
        <v>151</v>
      </c>
      <c r="C19" s="14" t="s">
        <v>179</v>
      </c>
      <c r="D19" s="15">
        <v>4708.33</v>
      </c>
      <c r="E19" s="6" t="s">
        <v>4</v>
      </c>
      <c r="F19" s="16">
        <f t="shared" si="0"/>
        <v>1.6914400844856062E-3</v>
      </c>
    </row>
    <row r="20" spans="1:6" x14ac:dyDescent="0.2">
      <c r="A20" s="6" t="s">
        <v>193</v>
      </c>
      <c r="B20" s="6" t="s">
        <v>151</v>
      </c>
      <c r="C20" s="14" t="s">
        <v>179</v>
      </c>
      <c r="D20" s="15">
        <v>4500</v>
      </c>
      <c r="E20" s="6" t="s">
        <v>4</v>
      </c>
      <c r="F20" s="16">
        <f t="shared" si="0"/>
        <v>1.6165987473658872E-3</v>
      </c>
    </row>
    <row r="21" spans="1:6" x14ac:dyDescent="0.2">
      <c r="A21" s="6" t="s">
        <v>194</v>
      </c>
      <c r="B21" s="6" t="s">
        <v>151</v>
      </c>
      <c r="C21" s="14" t="s">
        <v>179</v>
      </c>
      <c r="D21" s="15">
        <v>3556.19</v>
      </c>
      <c r="E21" s="6" t="s">
        <v>4</v>
      </c>
      <c r="F21" s="16">
        <f t="shared" si="0"/>
        <v>1.2775405109766878E-3</v>
      </c>
    </row>
    <row r="22" spans="1:6" x14ac:dyDescent="0.2">
      <c r="A22" s="6" t="s">
        <v>195</v>
      </c>
      <c r="B22" s="6" t="s">
        <v>151</v>
      </c>
      <c r="C22" s="14" t="s">
        <v>179</v>
      </c>
      <c r="D22" s="15">
        <v>2600</v>
      </c>
      <c r="E22" s="6" t="s">
        <v>4</v>
      </c>
      <c r="F22" s="16">
        <f t="shared" si="0"/>
        <v>9.3403483181140159E-4</v>
      </c>
    </row>
    <row r="23" spans="1:6" x14ac:dyDescent="0.2">
      <c r="A23" s="6" t="s">
        <v>196</v>
      </c>
      <c r="B23" s="6" t="s">
        <v>155</v>
      </c>
      <c r="C23" s="17" t="s">
        <v>181</v>
      </c>
      <c r="D23" s="15">
        <v>1835.77</v>
      </c>
      <c r="E23" s="6" t="s">
        <v>4</v>
      </c>
      <c r="F23" s="16">
        <f t="shared" si="0"/>
        <v>6.5948966276708327E-4</v>
      </c>
    </row>
    <row r="24" spans="1:6" x14ac:dyDescent="0.2">
      <c r="A24" s="6" t="s">
        <v>197</v>
      </c>
      <c r="B24" s="6" t="s">
        <v>155</v>
      </c>
      <c r="C24" s="17" t="s">
        <v>181</v>
      </c>
      <c r="D24" s="15">
        <v>1702.29</v>
      </c>
      <c r="E24" s="6" t="s">
        <v>4</v>
      </c>
      <c r="F24" s="16">
        <f t="shared" si="0"/>
        <v>6.1153775147855028E-4</v>
      </c>
    </row>
    <row r="25" spans="1:6" x14ac:dyDescent="0.2">
      <c r="A25" s="6" t="s">
        <v>198</v>
      </c>
      <c r="B25" s="6" t="s">
        <v>155</v>
      </c>
      <c r="C25" s="17" t="s">
        <v>181</v>
      </c>
      <c r="D25" s="15">
        <v>1517.06</v>
      </c>
      <c r="E25" s="6" t="s">
        <v>4</v>
      </c>
      <c r="F25" s="16">
        <f t="shared" si="0"/>
        <v>5.4499495459530952E-4</v>
      </c>
    </row>
    <row r="26" spans="1:6" x14ac:dyDescent="0.2">
      <c r="A26" s="6" t="s">
        <v>199</v>
      </c>
      <c r="B26" s="6" t="s">
        <v>155</v>
      </c>
      <c r="C26" s="17" t="s">
        <v>181</v>
      </c>
      <c r="D26" s="15">
        <v>1096.69</v>
      </c>
      <c r="E26" s="6" t="s">
        <v>4</v>
      </c>
      <c r="F26" s="16">
        <f t="shared" si="0"/>
        <v>3.9397948449971002E-4</v>
      </c>
    </row>
    <row r="27" spans="1:6" x14ac:dyDescent="0.2">
      <c r="A27" s="6" t="s">
        <v>200</v>
      </c>
      <c r="B27" s="6" t="s">
        <v>151</v>
      </c>
      <c r="C27" s="14" t="s">
        <v>179</v>
      </c>
      <c r="D27" s="15">
        <v>1075</v>
      </c>
      <c r="E27" s="6" t="s">
        <v>4</v>
      </c>
      <c r="F27" s="16">
        <f t="shared" si="0"/>
        <v>3.8618747853740639E-4</v>
      </c>
    </row>
    <row r="28" spans="1:6" x14ac:dyDescent="0.2">
      <c r="A28" s="6" t="s">
        <v>201</v>
      </c>
      <c r="B28" s="6" t="s">
        <v>151</v>
      </c>
      <c r="C28" s="14" t="s">
        <v>179</v>
      </c>
      <c r="D28" s="15">
        <v>766.66</v>
      </c>
      <c r="E28" s="6" t="s">
        <v>4</v>
      </c>
      <c r="F28" s="16">
        <f t="shared" si="0"/>
        <v>2.7541813236789582E-4</v>
      </c>
    </row>
    <row r="29" spans="1:6" x14ac:dyDescent="0.2">
      <c r="A29" s="6" t="s">
        <v>199</v>
      </c>
      <c r="B29" s="6" t="s">
        <v>151</v>
      </c>
      <c r="C29" s="14" t="s">
        <v>179</v>
      </c>
      <c r="D29" s="15">
        <v>638.29999999999995</v>
      </c>
      <c r="E29" s="6" t="s">
        <v>4</v>
      </c>
      <c r="F29" s="16">
        <f t="shared" si="0"/>
        <v>2.2930555120969907E-4</v>
      </c>
    </row>
    <row r="30" spans="1:6" x14ac:dyDescent="0.2">
      <c r="A30" s="6" t="s">
        <v>202</v>
      </c>
      <c r="B30" s="6" t="s">
        <v>151</v>
      </c>
      <c r="C30" s="14" t="s">
        <v>179</v>
      </c>
      <c r="D30" s="15">
        <v>187.51</v>
      </c>
      <c r="E30" s="6" t="s">
        <v>4</v>
      </c>
      <c r="F30" s="16">
        <f t="shared" si="0"/>
        <v>6.7361873581906108E-5</v>
      </c>
    </row>
    <row r="31" spans="1:6" x14ac:dyDescent="0.2">
      <c r="A31" s="6" t="s">
        <v>198</v>
      </c>
      <c r="B31" s="6" t="s">
        <v>151</v>
      </c>
      <c r="C31" s="14" t="s">
        <v>179</v>
      </c>
      <c r="D31" s="15">
        <v>157.07</v>
      </c>
      <c r="E31" s="6" t="s">
        <v>4</v>
      </c>
      <c r="F31" s="16">
        <f t="shared" si="0"/>
        <v>5.6426481166391092E-5</v>
      </c>
    </row>
    <row r="32" spans="1:6" x14ac:dyDescent="0.2">
      <c r="A32" s="6" t="s">
        <v>203</v>
      </c>
      <c r="B32" s="6" t="s">
        <v>155</v>
      </c>
      <c r="C32" s="17" t="s">
        <v>181</v>
      </c>
      <c r="D32" s="15">
        <v>156.81</v>
      </c>
      <c r="E32" s="6" t="s">
        <v>4</v>
      </c>
      <c r="F32" s="16">
        <f t="shared" si="0"/>
        <v>5.6333077683209953E-5</v>
      </c>
    </row>
    <row r="33" spans="1:6" x14ac:dyDescent="0.2">
      <c r="A33" s="6" t="s">
        <v>204</v>
      </c>
      <c r="B33" s="6" t="s">
        <v>151</v>
      </c>
      <c r="C33" s="14" t="s">
        <v>179</v>
      </c>
      <c r="D33" s="15">
        <v>50</v>
      </c>
      <c r="E33" s="6" t="s">
        <v>4</v>
      </c>
      <c r="F33" s="16">
        <f t="shared" si="0"/>
        <v>1.7962208304065415E-5</v>
      </c>
    </row>
    <row r="34" spans="1:6" x14ac:dyDescent="0.2">
      <c r="A34" s="6" t="s">
        <v>205</v>
      </c>
      <c r="B34" s="6" t="s">
        <v>151</v>
      </c>
      <c r="C34" s="14" t="s">
        <v>179</v>
      </c>
      <c r="D34" s="15">
        <v>36.54</v>
      </c>
      <c r="E34" s="6" t="s">
        <v>4</v>
      </c>
      <c r="F34" s="16">
        <f t="shared" si="0"/>
        <v>1.3126781828611005E-5</v>
      </c>
    </row>
    <row r="35" spans="1:6" x14ac:dyDescent="0.2">
      <c r="A35" s="11" t="s">
        <v>165</v>
      </c>
      <c r="B35" s="12"/>
      <c r="C35" s="12"/>
      <c r="D35" s="18">
        <f>SUM(D6:D34)</f>
        <v>2783622.0999999996</v>
      </c>
      <c r="E35" s="12"/>
      <c r="F35" s="19">
        <f>IFERROR(SUM(F6:F34),"")</f>
        <v>1.0000000000000002</v>
      </c>
    </row>
    <row r="37" spans="1:6" ht="18" customHeight="1" x14ac:dyDescent="0.2">
      <c r="A37" s="3" t="s">
        <v>206</v>
      </c>
      <c r="B37" s="4"/>
      <c r="C37" s="4"/>
      <c r="D37" s="4"/>
      <c r="E37" s="4"/>
      <c r="F37" s="4"/>
    </row>
    <row r="38" spans="1:6" ht="30" customHeight="1" x14ac:dyDescent="0.2">
      <c r="A38" s="5" t="s">
        <v>94</v>
      </c>
      <c r="B38" s="5" t="s">
        <v>207</v>
      </c>
      <c r="C38" s="5" t="s">
        <v>176</v>
      </c>
      <c r="D38" s="5" t="s">
        <v>24</v>
      </c>
      <c r="E38" s="5" t="s">
        <v>26</v>
      </c>
      <c r="F38" s="5" t="s">
        <v>208</v>
      </c>
    </row>
    <row r="39" spans="1:6" x14ac:dyDescent="0.2">
      <c r="A39" s="6" t="s">
        <v>28</v>
      </c>
      <c r="B39" s="6" t="s">
        <v>151</v>
      </c>
      <c r="C39" s="6" t="s">
        <v>179</v>
      </c>
      <c r="D39" s="8">
        <f>SUMIFS($D$6:$D$34,$B$6:$B$34,B39,$C$6:$C$34,C39)</f>
        <v>2450057.7199999997</v>
      </c>
      <c r="E39" s="6">
        <f>COUNTIFS($B$6:$B$34,B39,$C$6:$C$34,C39)</f>
        <v>21</v>
      </c>
      <c r="F39" s="16">
        <f>IFERROR(D39/$D$35,"")</f>
        <v>0.88016894247247146</v>
      </c>
    </row>
    <row r="40" spans="1:6" x14ac:dyDescent="0.2">
      <c r="A40" s="6" t="s">
        <v>29</v>
      </c>
      <c r="B40" s="6" t="s">
        <v>151</v>
      </c>
      <c r="C40" s="6" t="s">
        <v>181</v>
      </c>
      <c r="D40" s="8">
        <f>SUMIFS($D$6:$D$34,$B$6:$B$34,B40,$C$6:$C$34,C40)</f>
        <v>321211.76</v>
      </c>
      <c r="E40" s="6">
        <f>COUNTIFS($B$6:$B$34,B40,$C$6:$C$34,C40)</f>
        <v>2</v>
      </c>
      <c r="F40" s="16">
        <f>IFERROR(D40/$D$35,"")</f>
        <v>0.11539345085670934</v>
      </c>
    </row>
    <row r="41" spans="1:6" x14ac:dyDescent="0.2">
      <c r="A41" s="6" t="s">
        <v>30</v>
      </c>
      <c r="B41" s="6" t="s">
        <v>155</v>
      </c>
      <c r="C41" s="6" t="s">
        <v>179</v>
      </c>
      <c r="D41" s="8">
        <f>SUMIFS($D$6:$D$34,$B$6:$B$34,B41,$C$6:$C$34,C41)</f>
        <v>0</v>
      </c>
      <c r="E41" s="6">
        <f>COUNTIFS($B$6:$B$34,B41,$C$6:$C$34,C41)</f>
        <v>0</v>
      </c>
      <c r="F41" s="16">
        <f>IFERROR(D41/$D$35,"")</f>
        <v>0</v>
      </c>
    </row>
    <row r="42" spans="1:6" x14ac:dyDescent="0.2">
      <c r="A42" s="6" t="s">
        <v>31</v>
      </c>
      <c r="B42" s="6" t="s">
        <v>155</v>
      </c>
      <c r="C42" s="6" t="s">
        <v>181</v>
      </c>
      <c r="D42" s="8">
        <f>SUMIFS($D$6:$D$34,$B$6:$B$34,B42,$C$6:$C$34,C42)</f>
        <v>12352.62</v>
      </c>
      <c r="E42" s="6">
        <f>COUNTIFS($B$6:$B$34,B42,$C$6:$C$34,C42)</f>
        <v>6</v>
      </c>
      <c r="F42" s="16">
        <f>IFERROR(D42/$D$35,"")</f>
        <v>4.4376066708192909E-3</v>
      </c>
    </row>
    <row r="43" spans="1:6" x14ac:dyDescent="0.2">
      <c r="A43" s="11" t="s">
        <v>165</v>
      </c>
      <c r="B43" s="12"/>
      <c r="C43" s="12"/>
      <c r="D43" s="13">
        <f>SUM(D39:D42)</f>
        <v>2783622.0999999996</v>
      </c>
      <c r="E43" s="11">
        <f>SUM(E39:E42)</f>
        <v>29</v>
      </c>
      <c r="F43" s="19">
        <f>IFERROR(D43/$D$35,"")</f>
        <v>1</v>
      </c>
    </row>
    <row r="45" spans="1:6" ht="13" customHeight="1" x14ac:dyDescent="0.2">
      <c r="A45" s="89" t="s">
        <v>209</v>
      </c>
      <c r="B45" s="88"/>
      <c r="C45" s="88"/>
      <c r="D45" s="88"/>
      <c r="E45" s="88"/>
      <c r="F45" s="88"/>
    </row>
    <row r="46" spans="1:6" ht="39" customHeight="1" x14ac:dyDescent="0.2">
      <c r="A46" s="87" t="s">
        <v>210</v>
      </c>
      <c r="B46" s="88"/>
      <c r="C46" s="88"/>
      <c r="D46" s="88"/>
      <c r="E46" s="88"/>
      <c r="F46" s="88"/>
    </row>
    <row r="47" spans="1:6" ht="65" customHeight="1" x14ac:dyDescent="0.2">
      <c r="A47" s="87" t="s">
        <v>211</v>
      </c>
      <c r="B47" s="88"/>
      <c r="C47" s="88"/>
      <c r="D47" s="88"/>
      <c r="E47" s="88"/>
      <c r="F47" s="88"/>
    </row>
    <row r="48" spans="1:6" ht="52" customHeight="1" x14ac:dyDescent="0.2">
      <c r="A48" s="87" t="s">
        <v>212</v>
      </c>
      <c r="B48" s="88"/>
      <c r="C48" s="88"/>
      <c r="D48" s="88"/>
      <c r="E48" s="88"/>
      <c r="F48" s="88"/>
    </row>
    <row r="49" spans="1:6" ht="39" customHeight="1" x14ac:dyDescent="0.2">
      <c r="A49" s="87" t="s">
        <v>213</v>
      </c>
      <c r="B49" s="88"/>
      <c r="C49" s="88"/>
      <c r="D49" s="88"/>
      <c r="E49" s="88"/>
      <c r="F49" s="88"/>
    </row>
    <row r="50" spans="1:6" ht="39" customHeight="1" x14ac:dyDescent="0.2">
      <c r="A50" s="87" t="s">
        <v>214</v>
      </c>
      <c r="B50" s="88"/>
      <c r="C50" s="88"/>
      <c r="D50" s="88"/>
      <c r="E50" s="88"/>
      <c r="F50" s="88"/>
    </row>
    <row r="51" spans="1:6" ht="39" customHeight="1" x14ac:dyDescent="0.2">
      <c r="A51" s="87" t="s">
        <v>215</v>
      </c>
      <c r="B51" s="88"/>
      <c r="C51" s="88"/>
      <c r="D51" s="88"/>
      <c r="E51" s="88"/>
      <c r="F51" s="88"/>
    </row>
  </sheetData>
  <mergeCells count="7">
    <mergeCell ref="A49:F49"/>
    <mergeCell ref="A51:F51"/>
    <mergeCell ref="A47:F47"/>
    <mergeCell ref="A46:F46"/>
    <mergeCell ref="A45:F45"/>
    <mergeCell ref="A50:F50"/>
    <mergeCell ref="A48:F48"/>
  </mergeCells>
  <pageMargins left="0.75" right="0.75" top="1" bottom="1" header="0.5" footer="0.5"/>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1F3864"/>
  </sheetPr>
  <dimension ref="A1:S29"/>
  <sheetViews>
    <sheetView workbookViewId="0">
      <pane xSplit="3" ySplit="5" topLeftCell="D6" activePane="bottomRight" state="frozen"/>
      <selection pane="topRight"/>
      <selection pane="bottomLeft"/>
      <selection pane="bottomRight"/>
    </sheetView>
  </sheetViews>
  <sheetFormatPr baseColWidth="10" defaultColWidth="8.83203125" defaultRowHeight="15" x14ac:dyDescent="0.2"/>
  <cols>
    <col min="1" max="1" width="7" customWidth="1"/>
    <col min="2" max="2" width="12" customWidth="1"/>
    <col min="3" max="3" width="30" customWidth="1"/>
    <col min="4" max="4" width="17" customWidth="1"/>
    <col min="5" max="5" width="7" customWidth="1"/>
    <col min="6" max="6" width="10" customWidth="1"/>
    <col min="7" max="13" width="14" customWidth="1"/>
    <col min="14" max="14" width="15" customWidth="1"/>
    <col min="15" max="15" width="12" customWidth="1"/>
    <col min="16" max="16" width="11" customWidth="1"/>
    <col min="17" max="17" width="9" customWidth="1"/>
    <col min="18" max="18" width="11" customWidth="1"/>
    <col min="19" max="19" width="12" customWidth="1"/>
  </cols>
  <sheetData>
    <row r="1" spans="1:19" ht="19" x14ac:dyDescent="0.2">
      <c r="A1" s="1" t="s">
        <v>216</v>
      </c>
    </row>
    <row r="2" spans="1:19" x14ac:dyDescent="0.2">
      <c r="A2" s="2" t="s">
        <v>217</v>
      </c>
    </row>
    <row r="4" spans="1:19" ht="18" customHeight="1" x14ac:dyDescent="0.2">
      <c r="A4" s="3" t="s">
        <v>218</v>
      </c>
      <c r="B4" s="4"/>
      <c r="C4" s="4"/>
      <c r="D4" s="4"/>
      <c r="E4" s="4"/>
      <c r="F4" s="4"/>
      <c r="G4" s="4"/>
      <c r="H4" s="4"/>
      <c r="I4" s="4"/>
      <c r="J4" s="4"/>
      <c r="K4" s="4"/>
      <c r="L4" s="4"/>
      <c r="M4" s="4"/>
      <c r="N4" s="4"/>
      <c r="O4" s="4"/>
      <c r="P4" s="4"/>
      <c r="Q4" s="4"/>
      <c r="R4" s="4"/>
      <c r="S4" s="4"/>
    </row>
    <row r="5" spans="1:19" ht="34" customHeight="1" x14ac:dyDescent="0.2">
      <c r="A5" s="5" t="s">
        <v>219</v>
      </c>
      <c r="B5" s="5" t="s">
        <v>220</v>
      </c>
      <c r="C5" s="5" t="s">
        <v>221</v>
      </c>
      <c r="D5" s="5" t="s">
        <v>69</v>
      </c>
      <c r="E5" s="5" t="s">
        <v>142</v>
      </c>
      <c r="F5" s="5" t="s">
        <v>222</v>
      </c>
      <c r="G5" s="5" t="s">
        <v>67</v>
      </c>
      <c r="H5" s="5" t="s">
        <v>19</v>
      </c>
      <c r="I5" s="5" t="s">
        <v>223</v>
      </c>
      <c r="J5" s="5" t="s">
        <v>224</v>
      </c>
      <c r="K5" s="5" t="s">
        <v>225</v>
      </c>
      <c r="L5" s="5" t="s">
        <v>226</v>
      </c>
      <c r="M5" s="5" t="s">
        <v>227</v>
      </c>
      <c r="N5" s="5" t="s">
        <v>228</v>
      </c>
      <c r="O5" s="5" t="s">
        <v>229</v>
      </c>
      <c r="P5" s="5" t="s">
        <v>230</v>
      </c>
      <c r="Q5" s="5" t="s">
        <v>231</v>
      </c>
      <c r="R5" s="5" t="s">
        <v>232</v>
      </c>
      <c r="S5" s="5" t="s">
        <v>233</v>
      </c>
    </row>
    <row r="6" spans="1:19" ht="42" x14ac:dyDescent="0.2">
      <c r="A6" s="45">
        <v>2018</v>
      </c>
      <c r="B6" s="45" t="s">
        <v>234</v>
      </c>
      <c r="C6" s="46" t="s">
        <v>235</v>
      </c>
      <c r="D6" s="45" t="s">
        <v>236</v>
      </c>
      <c r="E6" s="47" t="s">
        <v>152</v>
      </c>
      <c r="F6" s="48" t="s">
        <v>153</v>
      </c>
      <c r="G6" s="49">
        <v>3320188.01</v>
      </c>
      <c r="H6" s="49">
        <v>3294280.32</v>
      </c>
      <c r="I6" s="49">
        <v>25907.69</v>
      </c>
      <c r="J6" s="49">
        <v>2216364.61</v>
      </c>
      <c r="K6" s="49">
        <v>535757.81999999995</v>
      </c>
      <c r="L6" s="49">
        <v>558727.21</v>
      </c>
      <c r="M6" s="49">
        <v>221405.25</v>
      </c>
      <c r="N6" s="50">
        <f t="shared" ref="N6:N13" si="0">IF(ISNUMBER(G6),G6+L6+SUMIFS($M$6:$M$13,$A$6:$A$13,$A6,$E$6:$E$13,"&lt;&gt;"&amp;$E6),"")</f>
        <v>5601035.0899999999</v>
      </c>
      <c r="O6" s="51">
        <v>140813</v>
      </c>
      <c r="P6" s="52">
        <f t="shared" ref="P6:P13" si="1">IF(AND(ISNUMBER(O6),SUMIFS($O$6:$O$13,$A$6:$A$13,$A6)&lt;&gt;0),O6/SUMIFS($O$6:$O$13,$A$6:$A$13,$A6),"")</f>
        <v>0.55166699314397649</v>
      </c>
      <c r="Q6" s="53" t="s">
        <v>57</v>
      </c>
      <c r="R6" s="54">
        <f t="shared" ref="R6:R13" si="2">IF(AND(ISNUMBER(G6),ISNUMBER(O6),O6&lt;&gt;0),G6/O6,"")</f>
        <v>23.578703741842016</v>
      </c>
      <c r="S6" s="54">
        <f t="shared" ref="S6:S13" si="3">IF(AND(ISNUMBER(N6),ISNUMBER(O6),O6&lt;&gt;0),N6/O6,"")</f>
        <v>39.776406226697816</v>
      </c>
    </row>
    <row r="7" spans="1:19" ht="42" x14ac:dyDescent="0.2">
      <c r="A7" s="55">
        <v>2018</v>
      </c>
      <c r="B7" s="55" t="s">
        <v>234</v>
      </c>
      <c r="C7" s="56" t="s">
        <v>235</v>
      </c>
      <c r="D7" s="55" t="s">
        <v>237</v>
      </c>
      <c r="E7" s="57" t="s">
        <v>156</v>
      </c>
      <c r="F7" s="6" t="s">
        <v>153</v>
      </c>
      <c r="G7" s="7">
        <v>985643.72</v>
      </c>
      <c r="H7" s="7">
        <v>958873.74</v>
      </c>
      <c r="I7" s="7">
        <v>26769.98</v>
      </c>
      <c r="J7" s="7">
        <v>611185.92000000004</v>
      </c>
      <c r="K7" s="7">
        <v>223856.6</v>
      </c>
      <c r="L7" s="7">
        <v>132142.37</v>
      </c>
      <c r="M7" s="7">
        <v>1722119.87</v>
      </c>
      <c r="N7" s="8">
        <f t="shared" si="0"/>
        <v>1339191.3399999999</v>
      </c>
      <c r="O7" s="58">
        <v>114437</v>
      </c>
      <c r="P7" s="59">
        <f t="shared" si="1"/>
        <v>0.44833300685602351</v>
      </c>
      <c r="Q7" s="60" t="s">
        <v>238</v>
      </c>
      <c r="R7" s="61">
        <f t="shared" si="2"/>
        <v>8.6129811162473668</v>
      </c>
      <c r="S7" s="61">
        <f t="shared" si="3"/>
        <v>11.702433129145293</v>
      </c>
    </row>
    <row r="8" spans="1:19" ht="42" x14ac:dyDescent="0.2">
      <c r="A8" s="45">
        <v>2020</v>
      </c>
      <c r="B8" s="45" t="s">
        <v>239</v>
      </c>
      <c r="C8" s="46" t="s">
        <v>235</v>
      </c>
      <c r="D8" s="45" t="s">
        <v>236</v>
      </c>
      <c r="E8" s="47" t="s">
        <v>152</v>
      </c>
      <c r="F8" s="48" t="s">
        <v>154</v>
      </c>
      <c r="G8" s="49">
        <v>4644289.9000000004</v>
      </c>
      <c r="H8" s="49">
        <v>4591501.2300000004</v>
      </c>
      <c r="I8" s="49">
        <v>78696.36</v>
      </c>
      <c r="J8" s="49">
        <v>3417373.86</v>
      </c>
      <c r="K8" s="49">
        <v>1027681.99</v>
      </c>
      <c r="L8" s="49">
        <v>50133.760000000002</v>
      </c>
      <c r="M8" s="49">
        <v>127595.71</v>
      </c>
      <c r="N8" s="50">
        <f t="shared" si="0"/>
        <v>4695589.28</v>
      </c>
      <c r="O8" s="51">
        <v>195475</v>
      </c>
      <c r="P8" s="52">
        <f t="shared" si="1"/>
        <v>0.51866366661183072</v>
      </c>
      <c r="Q8" s="53" t="s">
        <v>57</v>
      </c>
      <c r="R8" s="54">
        <f t="shared" si="2"/>
        <v>23.758996802660189</v>
      </c>
      <c r="S8" s="54">
        <f t="shared" si="3"/>
        <v>24.021431282772735</v>
      </c>
    </row>
    <row r="9" spans="1:19" ht="42" x14ac:dyDescent="0.2">
      <c r="A9" s="55">
        <v>2020</v>
      </c>
      <c r="B9" s="55" t="s">
        <v>239</v>
      </c>
      <c r="C9" s="56" t="s">
        <v>235</v>
      </c>
      <c r="D9" s="55" t="s">
        <v>240</v>
      </c>
      <c r="E9" s="57" t="s">
        <v>156</v>
      </c>
      <c r="F9" s="6" t="s">
        <v>153</v>
      </c>
      <c r="G9" s="7">
        <v>3740779.05</v>
      </c>
      <c r="H9" s="7">
        <v>3661738.3</v>
      </c>
      <c r="I9" s="7">
        <v>79040.75</v>
      </c>
      <c r="J9" s="7">
        <v>998798.19</v>
      </c>
      <c r="K9" s="7">
        <v>231174.7</v>
      </c>
      <c r="L9" s="7">
        <v>600145.56000000006</v>
      </c>
      <c r="M9" s="7">
        <v>1165.6199999999999</v>
      </c>
      <c r="N9" s="8">
        <f t="shared" si="0"/>
        <v>4468520.3199999994</v>
      </c>
      <c r="O9" s="58">
        <v>181407</v>
      </c>
      <c r="P9" s="59">
        <f t="shared" si="1"/>
        <v>0.48133633338816922</v>
      </c>
      <c r="Q9" s="60" t="s">
        <v>238</v>
      </c>
      <c r="R9" s="61">
        <f t="shared" si="2"/>
        <v>20.620918983280689</v>
      </c>
      <c r="S9" s="61">
        <f t="shared" si="3"/>
        <v>24.632568313240391</v>
      </c>
    </row>
    <row r="10" spans="1:19" ht="42" x14ac:dyDescent="0.2">
      <c r="A10" s="45">
        <v>2022</v>
      </c>
      <c r="B10" s="45" t="s">
        <v>241</v>
      </c>
      <c r="C10" s="46" t="s">
        <v>242</v>
      </c>
      <c r="D10" s="45" t="s">
        <v>236</v>
      </c>
      <c r="E10" s="47" t="s">
        <v>152</v>
      </c>
      <c r="F10" s="48" t="s">
        <v>154</v>
      </c>
      <c r="G10" s="49">
        <v>7002291.1900000004</v>
      </c>
      <c r="H10" s="49">
        <v>7027026.2000000002</v>
      </c>
      <c r="I10" s="49">
        <v>53961.35</v>
      </c>
      <c r="J10" s="49">
        <v>5366116.25</v>
      </c>
      <c r="K10" s="49">
        <v>1279735.82</v>
      </c>
      <c r="L10" s="49">
        <v>654900.94999999995</v>
      </c>
      <c r="M10" s="49">
        <v>10853652.49</v>
      </c>
      <c r="N10" s="50">
        <f t="shared" si="0"/>
        <v>16421277.890000001</v>
      </c>
      <c r="O10" s="51">
        <v>151364</v>
      </c>
      <c r="P10" s="52">
        <f t="shared" si="1"/>
        <v>0.50983020704568338</v>
      </c>
      <c r="Q10" s="53" t="s">
        <v>57</v>
      </c>
      <c r="R10" s="54">
        <f t="shared" si="2"/>
        <v>46.26127209904601</v>
      </c>
      <c r="S10" s="54">
        <f t="shared" si="3"/>
        <v>108.48866236357391</v>
      </c>
    </row>
    <row r="11" spans="1:19" ht="42" x14ac:dyDescent="0.2">
      <c r="A11" s="55">
        <v>2022</v>
      </c>
      <c r="B11" s="55" t="s">
        <v>241</v>
      </c>
      <c r="C11" s="56" t="s">
        <v>242</v>
      </c>
      <c r="D11" s="55" t="s">
        <v>240</v>
      </c>
      <c r="E11" s="57" t="s">
        <v>156</v>
      </c>
      <c r="F11" s="6" t="s">
        <v>153</v>
      </c>
      <c r="G11" s="7">
        <v>6354578.6900000004</v>
      </c>
      <c r="H11" s="7">
        <v>6432421.5599999996</v>
      </c>
      <c r="I11" s="7">
        <v>2737.49</v>
      </c>
      <c r="J11" s="7">
        <v>2381481.34</v>
      </c>
      <c r="K11" s="7">
        <v>514762</v>
      </c>
      <c r="L11" s="7">
        <v>23268.880000000001</v>
      </c>
      <c r="M11" s="7">
        <v>8764085.75</v>
      </c>
      <c r="N11" s="8">
        <f t="shared" si="0"/>
        <v>17231500.060000002</v>
      </c>
      <c r="O11" s="58">
        <v>145527</v>
      </c>
      <c r="P11" s="59">
        <f t="shared" si="1"/>
        <v>0.49016979295431656</v>
      </c>
      <c r="Q11" s="60" t="s">
        <v>238</v>
      </c>
      <c r="R11" s="61">
        <f t="shared" si="2"/>
        <v>43.665977378768204</v>
      </c>
      <c r="S11" s="61">
        <f t="shared" si="3"/>
        <v>118.40758113614658</v>
      </c>
    </row>
    <row r="12" spans="1:19" ht="42" x14ac:dyDescent="0.2">
      <c r="A12" s="55">
        <v>2024</v>
      </c>
      <c r="B12" s="55" t="s">
        <v>243</v>
      </c>
      <c r="C12" s="56" t="s">
        <v>242</v>
      </c>
      <c r="D12" s="55" t="s">
        <v>236</v>
      </c>
      <c r="E12" s="62" t="s">
        <v>152</v>
      </c>
      <c r="F12" s="6" t="s">
        <v>154</v>
      </c>
      <c r="G12" s="7">
        <v>8960927.6500000004</v>
      </c>
      <c r="H12" s="7">
        <v>8946230</v>
      </c>
      <c r="I12" s="7">
        <v>68659</v>
      </c>
      <c r="J12" s="7">
        <v>6604896.4199999999</v>
      </c>
      <c r="K12" s="7">
        <v>1393265.46</v>
      </c>
      <c r="L12" s="7">
        <v>4568368.78</v>
      </c>
      <c r="M12" s="7">
        <v>10424863.220000001</v>
      </c>
      <c r="N12" s="8">
        <f t="shared" si="0"/>
        <v>23492150.560000002</v>
      </c>
      <c r="O12" s="58">
        <v>199626</v>
      </c>
      <c r="P12" s="59">
        <f t="shared" si="1"/>
        <v>0.49496422142548979</v>
      </c>
      <c r="Q12" s="60" t="s">
        <v>238</v>
      </c>
      <c r="R12" s="61">
        <f t="shared" si="2"/>
        <v>44.888579894402532</v>
      </c>
      <c r="S12" s="61">
        <f t="shared" si="3"/>
        <v>117.68081592578122</v>
      </c>
    </row>
    <row r="13" spans="1:19" ht="42" x14ac:dyDescent="0.2">
      <c r="A13" s="45">
        <v>2024</v>
      </c>
      <c r="B13" s="45" t="s">
        <v>243</v>
      </c>
      <c r="C13" s="46" t="s">
        <v>242</v>
      </c>
      <c r="D13" s="45" t="s">
        <v>155</v>
      </c>
      <c r="E13" s="63" t="s">
        <v>156</v>
      </c>
      <c r="F13" s="48" t="s">
        <v>153</v>
      </c>
      <c r="G13" s="49">
        <v>1818407.11</v>
      </c>
      <c r="H13" s="49">
        <v>1715167.2</v>
      </c>
      <c r="I13" s="49">
        <v>103239.91</v>
      </c>
      <c r="J13" s="49">
        <v>886645.14</v>
      </c>
      <c r="K13" s="49">
        <v>419249.05</v>
      </c>
      <c r="L13" s="49">
        <v>1333061.79</v>
      </c>
      <c r="M13" s="49">
        <v>9962854.1300000008</v>
      </c>
      <c r="N13" s="50">
        <f t="shared" si="0"/>
        <v>13576332.120000001</v>
      </c>
      <c r="O13" s="51">
        <v>203688</v>
      </c>
      <c r="P13" s="52">
        <f t="shared" si="1"/>
        <v>0.50503577857451021</v>
      </c>
      <c r="Q13" s="53" t="s">
        <v>57</v>
      </c>
      <c r="R13" s="54">
        <f t="shared" si="2"/>
        <v>8.9274140351910773</v>
      </c>
      <c r="S13" s="54">
        <f t="shared" si="3"/>
        <v>66.652586897608117</v>
      </c>
    </row>
    <row r="15" spans="1:19" ht="13" customHeight="1" x14ac:dyDescent="0.2">
      <c r="A15" s="89" t="s">
        <v>244</v>
      </c>
      <c r="B15" s="88"/>
      <c r="C15" s="88"/>
      <c r="D15" s="88"/>
      <c r="E15" s="88"/>
      <c r="F15" s="88"/>
      <c r="G15" s="88"/>
      <c r="H15" s="88"/>
      <c r="I15" s="88"/>
      <c r="J15" s="88"/>
      <c r="K15" s="88"/>
      <c r="L15" s="88"/>
      <c r="M15" s="88"/>
      <c r="N15" s="88"/>
      <c r="O15" s="88"/>
      <c r="P15" s="88"/>
      <c r="Q15" s="88"/>
      <c r="R15" s="88"/>
      <c r="S15" s="88"/>
    </row>
    <row r="16" spans="1:19" ht="34" customHeight="1" x14ac:dyDescent="0.2">
      <c r="A16" s="5" t="s">
        <v>219</v>
      </c>
      <c r="B16" s="5"/>
      <c r="C16" s="5"/>
      <c r="D16" s="5"/>
      <c r="E16" s="5"/>
      <c r="F16" s="5"/>
      <c r="G16" s="5"/>
      <c r="H16" s="5"/>
      <c r="I16" s="5"/>
      <c r="J16" s="5"/>
      <c r="K16" s="5"/>
      <c r="L16" s="5"/>
      <c r="M16" s="5"/>
      <c r="N16" s="5"/>
      <c r="O16" s="5" t="s">
        <v>245</v>
      </c>
      <c r="P16" s="5" t="s">
        <v>246</v>
      </c>
      <c r="Q16" s="5" t="s">
        <v>247</v>
      </c>
      <c r="R16" s="5" t="s">
        <v>248</v>
      </c>
      <c r="S16" s="5"/>
    </row>
    <row r="17" spans="1:19" x14ac:dyDescent="0.2">
      <c r="A17" s="55">
        <v>2018</v>
      </c>
      <c r="B17" s="64"/>
      <c r="C17" s="64"/>
      <c r="D17" s="6" t="s">
        <v>249</v>
      </c>
      <c r="E17" s="64"/>
      <c r="F17" s="64"/>
      <c r="G17" s="64"/>
      <c r="H17" s="64"/>
      <c r="I17" s="64"/>
      <c r="J17" s="64"/>
      <c r="K17" s="64"/>
      <c r="L17" s="64"/>
      <c r="M17" s="64"/>
      <c r="N17" s="64"/>
      <c r="O17" s="58">
        <v>263360</v>
      </c>
      <c r="P17" s="58">
        <v>8110</v>
      </c>
      <c r="Q17" s="59">
        <f>IF(AND(ISNUMBER(O17),ISNUMBER(P17),O17&lt;&gt;0),P17/O17,"")</f>
        <v>3.0794349939246658E-2</v>
      </c>
      <c r="R17" s="65" t="str">
        <f>IF(NOT(ISNUMBER(O17)),"not reported",IF(ABS(SUMIF($A$6:$A$13,$A17,$O$6:$O$13)+IF(ISNUMBER(P17),P17,0)-O17)&lt;0.5,"ok","MISMATCH"))</f>
        <v>ok</v>
      </c>
    </row>
    <row r="18" spans="1:19" x14ac:dyDescent="0.2">
      <c r="A18" s="55">
        <v>2020</v>
      </c>
      <c r="B18" s="64"/>
      <c r="C18" s="64"/>
      <c r="D18" s="6" t="s">
        <v>249</v>
      </c>
      <c r="E18" s="64"/>
      <c r="F18" s="64"/>
      <c r="G18" s="64"/>
      <c r="H18" s="64"/>
      <c r="I18" s="64"/>
      <c r="J18" s="64"/>
      <c r="K18" s="64"/>
      <c r="L18" s="64"/>
      <c r="M18" s="64"/>
      <c r="N18" s="64"/>
      <c r="O18" s="58">
        <v>377404</v>
      </c>
      <c r="P18" s="58">
        <v>522</v>
      </c>
      <c r="Q18" s="59">
        <f>IF(AND(ISNUMBER(O18),ISNUMBER(P18),O18&lt;&gt;0),P18/O18,"")</f>
        <v>1.3831331941367871E-3</v>
      </c>
      <c r="R18" s="65" t="str">
        <f>IF(NOT(ISNUMBER(O18)),"not reported",IF(ABS(SUMIF($A$6:$A$13,$A18,$O$6:$O$13)+IF(ISNUMBER(P18),P18,0)-O18)&lt;0.5,"ok","MISMATCH"))</f>
        <v>ok</v>
      </c>
    </row>
    <row r="19" spans="1:19" x14ac:dyDescent="0.2">
      <c r="A19" s="55">
        <v>2022</v>
      </c>
      <c r="B19" s="64"/>
      <c r="C19" s="64"/>
      <c r="D19" s="6" t="s">
        <v>249</v>
      </c>
      <c r="E19" s="64"/>
      <c r="F19" s="64"/>
      <c r="G19" s="64"/>
      <c r="H19" s="64"/>
      <c r="I19" s="64"/>
      <c r="J19" s="64"/>
      <c r="K19" s="64"/>
      <c r="L19" s="64"/>
      <c r="M19" s="64"/>
      <c r="N19" s="64"/>
      <c r="O19" s="58">
        <v>297395</v>
      </c>
      <c r="P19" s="58">
        <v>504</v>
      </c>
      <c r="Q19" s="59">
        <f>IF(AND(ISNUMBER(O19),ISNUMBER(P19),O19&lt;&gt;0),P19/O19,"")</f>
        <v>1.6947157820407202E-3</v>
      </c>
      <c r="R19" s="65" t="str">
        <f>IF(NOT(ISNUMBER(O19)),"not reported",IF(ABS(SUMIF($A$6:$A$13,$A19,$O$6:$O$13)+IF(ISNUMBER(P19),P19,0)-O19)&lt;0.5,"ok","MISMATCH"))</f>
        <v>ok</v>
      </c>
    </row>
    <row r="20" spans="1:19" x14ac:dyDescent="0.2">
      <c r="A20" s="55">
        <v>2024</v>
      </c>
      <c r="B20" s="64"/>
      <c r="C20" s="64"/>
      <c r="D20" s="6" t="s">
        <v>249</v>
      </c>
      <c r="E20" s="64"/>
      <c r="F20" s="64"/>
      <c r="G20" s="64"/>
      <c r="H20" s="64"/>
      <c r="I20" s="64"/>
      <c r="J20" s="64"/>
      <c r="K20" s="64"/>
      <c r="L20" s="64"/>
      <c r="M20" s="64"/>
      <c r="N20" s="64"/>
      <c r="O20" s="66"/>
      <c r="P20" s="66"/>
      <c r="Q20" s="67" t="str">
        <f>IF(AND(ISNUMBER(O20),ISNUMBER(P20),O20&lt;&gt;0),P20/O20,"")</f>
        <v/>
      </c>
      <c r="R20" s="65" t="str">
        <f>IF(NOT(ISNUMBER(O20)),"not reported",IF(ABS(SUMIF($A$6:$A$13,$A20,$O$6:$O$13)+IF(ISNUMBER(P20),P20,0)-O20)&lt;0.5,"ok","MISMATCH"))</f>
        <v>not reported</v>
      </c>
    </row>
    <row r="21" spans="1:19" x14ac:dyDescent="0.2">
      <c r="D21" s="21" t="s">
        <v>250</v>
      </c>
      <c r="R21" s="68">
        <f>COUNTIF(R17:R20,"MISMATCH")</f>
        <v>0</v>
      </c>
    </row>
    <row r="23" spans="1:19" ht="13" customHeight="1" x14ac:dyDescent="0.2">
      <c r="A23" s="89" t="s">
        <v>251</v>
      </c>
      <c r="B23" s="88"/>
      <c r="C23" s="88"/>
      <c r="D23" s="88"/>
      <c r="E23" s="88"/>
      <c r="F23" s="88"/>
      <c r="G23" s="88"/>
      <c r="H23" s="88"/>
      <c r="I23" s="88"/>
      <c r="J23" s="88"/>
      <c r="K23" s="88"/>
      <c r="L23" s="88"/>
      <c r="M23" s="88"/>
      <c r="N23" s="88"/>
      <c r="O23" s="88"/>
      <c r="P23" s="88"/>
      <c r="Q23" s="88"/>
      <c r="R23" s="88"/>
      <c r="S23" s="88"/>
    </row>
    <row r="24" spans="1:19" ht="13" customHeight="1" x14ac:dyDescent="0.2">
      <c r="A24" s="87" t="s">
        <v>252</v>
      </c>
      <c r="B24" s="88"/>
      <c r="C24" s="88"/>
      <c r="D24" s="88"/>
      <c r="E24" s="88"/>
      <c r="F24" s="88"/>
      <c r="G24" s="88"/>
      <c r="H24" s="88"/>
      <c r="I24" s="88"/>
      <c r="J24" s="88"/>
      <c r="K24" s="88"/>
      <c r="L24" s="88"/>
      <c r="M24" s="88"/>
      <c r="N24" s="88"/>
      <c r="O24" s="88"/>
      <c r="P24" s="88"/>
      <c r="Q24" s="88"/>
      <c r="R24" s="88"/>
      <c r="S24" s="88"/>
    </row>
    <row r="25" spans="1:19" ht="24" customHeight="1" x14ac:dyDescent="0.2">
      <c r="A25" s="87" t="s">
        <v>253</v>
      </c>
      <c r="B25" s="88"/>
      <c r="C25" s="88"/>
      <c r="D25" s="88"/>
      <c r="E25" s="88"/>
      <c r="F25" s="88"/>
      <c r="G25" s="88"/>
      <c r="H25" s="88"/>
      <c r="I25" s="88"/>
      <c r="J25" s="88"/>
      <c r="K25" s="88"/>
      <c r="L25" s="88"/>
      <c r="M25" s="88"/>
      <c r="N25" s="88"/>
      <c r="O25" s="88"/>
      <c r="P25" s="88"/>
      <c r="Q25" s="88"/>
      <c r="R25" s="88"/>
      <c r="S25" s="88"/>
    </row>
    <row r="26" spans="1:19" ht="24" customHeight="1" x14ac:dyDescent="0.2">
      <c r="A26" s="87" t="s">
        <v>254</v>
      </c>
      <c r="B26" s="88"/>
      <c r="C26" s="88"/>
      <c r="D26" s="88"/>
      <c r="E26" s="88"/>
      <c r="F26" s="88"/>
      <c r="G26" s="88"/>
      <c r="H26" s="88"/>
      <c r="I26" s="88"/>
      <c r="J26" s="88"/>
      <c r="K26" s="88"/>
      <c r="L26" s="88"/>
      <c r="M26" s="88"/>
      <c r="N26" s="88"/>
      <c r="O26" s="88"/>
      <c r="P26" s="88"/>
      <c r="Q26" s="88"/>
      <c r="R26" s="88"/>
      <c r="S26" s="88"/>
    </row>
    <row r="27" spans="1:19" ht="13" customHeight="1" x14ac:dyDescent="0.2">
      <c r="A27" s="87" t="s">
        <v>255</v>
      </c>
      <c r="B27" s="88"/>
      <c r="C27" s="88"/>
      <c r="D27" s="88"/>
      <c r="E27" s="88"/>
      <c r="F27" s="88"/>
      <c r="G27" s="88"/>
      <c r="H27" s="88"/>
      <c r="I27" s="88"/>
      <c r="J27" s="88"/>
      <c r="K27" s="88"/>
      <c r="L27" s="88"/>
      <c r="M27" s="88"/>
      <c r="N27" s="88"/>
      <c r="O27" s="88"/>
      <c r="P27" s="88"/>
      <c r="Q27" s="88"/>
      <c r="R27" s="88"/>
      <c r="S27" s="88"/>
    </row>
    <row r="28" spans="1:19" ht="24" customHeight="1" x14ac:dyDescent="0.2">
      <c r="A28" s="87" t="s">
        <v>256</v>
      </c>
      <c r="B28" s="88"/>
      <c r="C28" s="88"/>
      <c r="D28" s="88"/>
      <c r="E28" s="88"/>
      <c r="F28" s="88"/>
      <c r="G28" s="88"/>
      <c r="H28" s="88"/>
      <c r="I28" s="88"/>
      <c r="J28" s="88"/>
      <c r="K28" s="88"/>
      <c r="L28" s="88"/>
      <c r="M28" s="88"/>
      <c r="N28" s="88"/>
      <c r="O28" s="88"/>
      <c r="P28" s="88"/>
      <c r="Q28" s="88"/>
      <c r="R28" s="88"/>
      <c r="S28" s="88"/>
    </row>
    <row r="29" spans="1:19" ht="13" customHeight="1" x14ac:dyDescent="0.2">
      <c r="A29" s="87" t="s">
        <v>257</v>
      </c>
      <c r="B29" s="88"/>
      <c r="C29" s="88"/>
      <c r="D29" s="88"/>
      <c r="E29" s="88"/>
      <c r="F29" s="88"/>
      <c r="G29" s="88"/>
      <c r="H29" s="88"/>
      <c r="I29" s="88"/>
      <c r="J29" s="88"/>
      <c r="K29" s="88"/>
      <c r="L29" s="88"/>
      <c r="M29" s="88"/>
      <c r="N29" s="88"/>
      <c r="O29" s="88"/>
      <c r="P29" s="88"/>
      <c r="Q29" s="88"/>
      <c r="R29" s="88"/>
      <c r="S29" s="88"/>
    </row>
  </sheetData>
  <mergeCells count="8">
    <mergeCell ref="A15:S15"/>
    <mergeCell ref="A25:S25"/>
    <mergeCell ref="A28:S28"/>
    <mergeCell ref="A23:S23"/>
    <mergeCell ref="A29:S29"/>
    <mergeCell ref="A27:S27"/>
    <mergeCell ref="A26:S26"/>
    <mergeCell ref="A24:S24"/>
  </mergeCells>
  <pageMargins left="0.75" right="0.75" top="1" bottom="1" header="0.5" footer="0.5"/>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rgb="FF1F3864"/>
  </sheetPr>
  <dimension ref="A1:T174"/>
  <sheetViews>
    <sheetView showGridLines="0" topLeftCell="B1" workbookViewId="0">
      <selection activeCell="N153" sqref="N153"/>
    </sheetView>
  </sheetViews>
  <sheetFormatPr baseColWidth="10" defaultColWidth="8.83203125" defaultRowHeight="15" x14ac:dyDescent="0.2"/>
  <cols>
    <col min="1" max="1" width="3" customWidth="1"/>
    <col min="18" max="23" width="24" customWidth="1"/>
  </cols>
  <sheetData>
    <row r="1" spans="1:20" ht="19" x14ac:dyDescent="0.2">
      <c r="A1" s="1" t="s">
        <v>258</v>
      </c>
    </row>
    <row r="2" spans="1:20" x14ac:dyDescent="0.2">
      <c r="A2" s="2" t="s">
        <v>259</v>
      </c>
      <c r="R2" s="40" t="s">
        <v>260</v>
      </c>
    </row>
    <row r="3" spans="1:20" x14ac:dyDescent="0.2">
      <c r="R3" s="41" t="s">
        <v>219</v>
      </c>
      <c r="S3" s="41" t="s">
        <v>261</v>
      </c>
      <c r="T3" s="41" t="s">
        <v>262</v>
      </c>
    </row>
    <row r="4" spans="1:20" x14ac:dyDescent="0.2">
      <c r="R4" s="26">
        <v>2018</v>
      </c>
      <c r="S4" s="42">
        <f>'Money vs Results'!E6</f>
        <v>5601035.0899999999</v>
      </c>
      <c r="T4" s="42">
        <f>'Money vs Results'!F6</f>
        <v>1339191.3399999999</v>
      </c>
    </row>
    <row r="5" spans="1:20" x14ac:dyDescent="0.2">
      <c r="R5" s="26">
        <v>2020</v>
      </c>
      <c r="S5" s="42">
        <f>'Money vs Results'!E7</f>
        <v>4695589.28</v>
      </c>
      <c r="T5" s="42">
        <f>'Money vs Results'!F7</f>
        <v>4468520.3199999994</v>
      </c>
    </row>
    <row r="6" spans="1:20" x14ac:dyDescent="0.2">
      <c r="R6" s="26">
        <v>2022</v>
      </c>
      <c r="S6" s="42">
        <f>'Money vs Results'!E8</f>
        <v>16421277.890000001</v>
      </c>
      <c r="T6" s="42">
        <f>'Money vs Results'!F8</f>
        <v>17231500.060000002</v>
      </c>
    </row>
    <row r="7" spans="1:20" x14ac:dyDescent="0.2">
      <c r="R7" s="26">
        <v>2024</v>
      </c>
      <c r="S7" s="42">
        <f>'Money vs Results'!E9</f>
        <v>23492150.560000002</v>
      </c>
      <c r="T7" s="42">
        <f>'Money vs Results'!F9</f>
        <v>13576332.120000001</v>
      </c>
    </row>
    <row r="9" spans="1:20" x14ac:dyDescent="0.2">
      <c r="R9" s="40" t="s">
        <v>263</v>
      </c>
    </row>
    <row r="10" spans="1:20" x14ac:dyDescent="0.2">
      <c r="R10" s="41" t="s">
        <v>219</v>
      </c>
      <c r="S10" s="41" t="s">
        <v>264</v>
      </c>
      <c r="T10" s="41" t="s">
        <v>265</v>
      </c>
    </row>
    <row r="11" spans="1:20" x14ac:dyDescent="0.2">
      <c r="R11" s="26">
        <v>2018</v>
      </c>
      <c r="S11" s="42">
        <f>'Money vs Results'!B6</f>
        <v>3320188.01</v>
      </c>
      <c r="T11" s="42">
        <f>'Money vs Results'!C6</f>
        <v>985643.72</v>
      </c>
    </row>
    <row r="12" spans="1:20" x14ac:dyDescent="0.2">
      <c r="R12" s="26">
        <v>2020</v>
      </c>
      <c r="S12" s="42">
        <f>'Money vs Results'!B7</f>
        <v>4644289.9000000004</v>
      </c>
      <c r="T12" s="42">
        <f>'Money vs Results'!C7</f>
        <v>3740779.05</v>
      </c>
    </row>
    <row r="13" spans="1:20" x14ac:dyDescent="0.2">
      <c r="R13" s="26">
        <v>2022</v>
      </c>
      <c r="S13" s="42">
        <f>'Money vs Results'!B8</f>
        <v>7002291.1900000004</v>
      </c>
      <c r="T13" s="42">
        <f>'Money vs Results'!C8</f>
        <v>6354578.6900000004</v>
      </c>
    </row>
    <row r="14" spans="1:20" x14ac:dyDescent="0.2">
      <c r="R14" s="26">
        <v>2024</v>
      </c>
      <c r="S14" s="42">
        <f>'Money vs Results'!B9</f>
        <v>8960927.6500000004</v>
      </c>
      <c r="T14" s="42">
        <f>'Money vs Results'!C9</f>
        <v>1818407.11</v>
      </c>
    </row>
    <row r="16" spans="1:20" x14ac:dyDescent="0.2">
      <c r="R16" s="40" t="s">
        <v>266</v>
      </c>
    </row>
    <row r="17" spans="18:20" x14ac:dyDescent="0.2">
      <c r="R17" s="41" t="s">
        <v>219</v>
      </c>
      <c r="S17" s="41" t="s">
        <v>267</v>
      </c>
      <c r="T17" s="41" t="s">
        <v>268</v>
      </c>
    </row>
    <row r="18" spans="18:20" x14ac:dyDescent="0.2">
      <c r="R18" s="26">
        <v>2018</v>
      </c>
      <c r="S18" s="82">
        <f>'Money vs Results'!G6</f>
        <v>0.80703924381902337</v>
      </c>
      <c r="T18" s="82">
        <f>'Money vs Results'!H6</f>
        <v>0.55166699314397649</v>
      </c>
    </row>
    <row r="19" spans="18:20" x14ac:dyDescent="0.2">
      <c r="R19" s="26">
        <v>2020</v>
      </c>
      <c r="S19" s="82">
        <f>'Money vs Results'!G7</f>
        <v>0.51238903559163029</v>
      </c>
      <c r="T19" s="82">
        <f>'Money vs Results'!H7</f>
        <v>0.51866366661183072</v>
      </c>
    </row>
    <row r="20" spans="18:20" x14ac:dyDescent="0.2">
      <c r="R20" s="26">
        <v>2022</v>
      </c>
      <c r="S20" s="82">
        <f>'Money vs Results'!G8</f>
        <v>0.48796203137815547</v>
      </c>
      <c r="T20" s="82">
        <f>'Money vs Results'!H8</f>
        <v>0.50983020704568338</v>
      </c>
    </row>
    <row r="21" spans="18:20" x14ac:dyDescent="0.2">
      <c r="R21" s="26">
        <v>2024</v>
      </c>
      <c r="S21" s="82">
        <f>'Money vs Results'!G9</f>
        <v>0.63374999086960193</v>
      </c>
      <c r="T21" s="82">
        <f>'Money vs Results'!H9</f>
        <v>0.49496422142548979</v>
      </c>
    </row>
    <row r="23" spans="18:20" x14ac:dyDescent="0.2">
      <c r="R23" s="40" t="s">
        <v>269</v>
      </c>
    </row>
    <row r="24" spans="18:20" x14ac:dyDescent="0.2">
      <c r="R24" s="41" t="s">
        <v>219</v>
      </c>
      <c r="S24" s="41" t="s">
        <v>270</v>
      </c>
      <c r="T24" s="41" t="s">
        <v>268</v>
      </c>
    </row>
    <row r="25" spans="18:20" x14ac:dyDescent="0.2">
      <c r="R25" s="26">
        <v>2018</v>
      </c>
      <c r="S25" s="82">
        <f>'Money vs Results'!D6</f>
        <v>0.77109098037140433</v>
      </c>
      <c r="T25" s="82">
        <f>'Money vs Results'!H6</f>
        <v>0.55166699314397649</v>
      </c>
    </row>
    <row r="26" spans="18:20" x14ac:dyDescent="0.2">
      <c r="R26" s="26">
        <v>2020</v>
      </c>
      <c r="S26" s="82">
        <f>'Money vs Results'!D7</f>
        <v>0.55387617295621649</v>
      </c>
      <c r="T26" s="82">
        <f>'Money vs Results'!H7</f>
        <v>0.51866366661183072</v>
      </c>
    </row>
    <row r="27" spans="18:20" x14ac:dyDescent="0.2">
      <c r="R27" s="26">
        <v>2022</v>
      </c>
      <c r="S27" s="82">
        <f>'Money vs Results'!D8</f>
        <v>0.5242464179788805</v>
      </c>
      <c r="T27" s="82">
        <f>'Money vs Results'!H8</f>
        <v>0.50983020704568338</v>
      </c>
    </row>
    <row r="28" spans="18:20" x14ac:dyDescent="0.2">
      <c r="R28" s="26">
        <v>2024</v>
      </c>
      <c r="S28" s="82">
        <f>'Money vs Results'!D9</f>
        <v>0.83130618442728466</v>
      </c>
      <c r="T28" s="82">
        <f>'Money vs Results'!H9</f>
        <v>0.49496422142548979</v>
      </c>
    </row>
    <row r="30" spans="18:20" x14ac:dyDescent="0.2">
      <c r="R30" s="40" t="s">
        <v>271</v>
      </c>
    </row>
    <row r="31" spans="18:20" x14ac:dyDescent="0.2">
      <c r="R31" s="41" t="s">
        <v>219</v>
      </c>
      <c r="S31" s="41" t="s">
        <v>268</v>
      </c>
      <c r="T31" s="41" t="s">
        <v>272</v>
      </c>
    </row>
    <row r="32" spans="18:20" x14ac:dyDescent="0.2">
      <c r="R32" s="26">
        <v>2018</v>
      </c>
      <c r="S32" s="82">
        <f>'Money vs Results'!H6</f>
        <v>0.55166699314397649</v>
      </c>
      <c r="T32" s="83">
        <v>0.5</v>
      </c>
    </row>
    <row r="33" spans="18:20" x14ac:dyDescent="0.2">
      <c r="R33" s="26">
        <v>2020</v>
      </c>
      <c r="S33" s="82">
        <f>'Money vs Results'!H7</f>
        <v>0.51866366661183072</v>
      </c>
      <c r="T33" s="83">
        <v>0.5</v>
      </c>
    </row>
    <row r="34" spans="18:20" x14ac:dyDescent="0.2">
      <c r="R34" s="26">
        <v>2022</v>
      </c>
      <c r="S34" s="82">
        <f>'Money vs Results'!H8</f>
        <v>0.50983020704568338</v>
      </c>
      <c r="T34" s="83">
        <v>0.5</v>
      </c>
    </row>
    <row r="35" spans="18:20" x14ac:dyDescent="0.2">
      <c r="R35" s="26">
        <v>2024</v>
      </c>
      <c r="S35" s="82">
        <f>'Money vs Results'!H9</f>
        <v>0.49496422142548979</v>
      </c>
      <c r="T35" s="83">
        <v>0.5</v>
      </c>
    </row>
    <row r="37" spans="18:20" x14ac:dyDescent="0.2">
      <c r="R37" s="40" t="s">
        <v>273</v>
      </c>
    </row>
    <row r="38" spans="18:20" x14ac:dyDescent="0.2">
      <c r="R38" s="41" t="s">
        <v>219</v>
      </c>
      <c r="S38" s="41" t="s">
        <v>274</v>
      </c>
      <c r="T38" s="41" t="s">
        <v>275</v>
      </c>
    </row>
    <row r="39" spans="18:20" x14ac:dyDescent="0.2">
      <c r="R39" s="26">
        <v>2018</v>
      </c>
      <c r="S39" s="42">
        <f>'Money vs Results'!B6+'Money vs Results'!C6</f>
        <v>4305831.7299999995</v>
      </c>
      <c r="T39" s="42">
        <f>('Money vs Results'!E6+'Money vs Results'!F6)-('Money vs Results'!B6+'Money vs Results'!C6)</f>
        <v>2634394.7000000002</v>
      </c>
    </row>
    <row r="40" spans="18:20" x14ac:dyDescent="0.2">
      <c r="R40" s="26">
        <v>2020</v>
      </c>
      <c r="S40" s="42">
        <f>'Money vs Results'!B7+'Money vs Results'!C7</f>
        <v>8385068.9500000002</v>
      </c>
      <c r="T40" s="42">
        <f>('Money vs Results'!E7+'Money vs Results'!F7)-('Money vs Results'!B7+'Money vs Results'!C7)</f>
        <v>779040.64999999944</v>
      </c>
    </row>
    <row r="41" spans="18:20" x14ac:dyDescent="0.2">
      <c r="R41" s="26">
        <v>2022</v>
      </c>
      <c r="S41" s="42">
        <f>'Money vs Results'!B8+'Money vs Results'!C8</f>
        <v>13356869.880000001</v>
      </c>
      <c r="T41" s="42">
        <f>('Money vs Results'!E8+'Money vs Results'!F8)-('Money vs Results'!B8+'Money vs Results'!C8)</f>
        <v>20295908.07</v>
      </c>
    </row>
    <row r="42" spans="18:20" x14ac:dyDescent="0.2">
      <c r="R42" s="26">
        <v>2024</v>
      </c>
      <c r="S42" s="42">
        <f>'Money vs Results'!B9+'Money vs Results'!C9</f>
        <v>10779334.76</v>
      </c>
      <c r="T42" s="42">
        <f>('Money vs Results'!E9+'Money vs Results'!F9)-('Money vs Results'!B9+'Money vs Results'!C9)</f>
        <v>26289147.920000009</v>
      </c>
    </row>
    <row r="44" spans="18:20" x14ac:dyDescent="0.2">
      <c r="R44" s="40" t="s">
        <v>276</v>
      </c>
    </row>
    <row r="45" spans="18:20" x14ac:dyDescent="0.2">
      <c r="R45" s="41" t="s">
        <v>69</v>
      </c>
      <c r="S45" s="41" t="s">
        <v>232</v>
      </c>
    </row>
    <row r="46" spans="18:20" x14ac:dyDescent="0.2">
      <c r="R46" s="26" t="s">
        <v>277</v>
      </c>
      <c r="S46" s="84">
        <f>'History — Finance &amp; Results'!R6</f>
        <v>23.578703741842016</v>
      </c>
    </row>
    <row r="47" spans="18:20" x14ac:dyDescent="0.2">
      <c r="R47" s="26" t="s">
        <v>278</v>
      </c>
      <c r="S47" s="84">
        <f>'History — Finance &amp; Results'!R7</f>
        <v>8.6129811162473668</v>
      </c>
    </row>
    <row r="48" spans="18:20" x14ac:dyDescent="0.2">
      <c r="R48" s="26" t="s">
        <v>279</v>
      </c>
      <c r="S48" s="84">
        <f>'History — Finance &amp; Results'!R8</f>
        <v>23.758996802660189</v>
      </c>
    </row>
    <row r="49" spans="18:19" x14ac:dyDescent="0.2">
      <c r="R49" s="26" t="s">
        <v>280</v>
      </c>
      <c r="S49" s="84">
        <f>'History — Finance &amp; Results'!R9</f>
        <v>20.620918983280689</v>
      </c>
    </row>
    <row r="50" spans="18:19" x14ac:dyDescent="0.2">
      <c r="R50" s="26" t="s">
        <v>281</v>
      </c>
      <c r="S50" s="84">
        <f>'History — Finance &amp; Results'!R10</f>
        <v>46.26127209904601</v>
      </c>
    </row>
    <row r="51" spans="18:19" x14ac:dyDescent="0.2">
      <c r="R51" s="26" t="s">
        <v>282</v>
      </c>
      <c r="S51" s="84">
        <f>'History — Finance &amp; Results'!R11</f>
        <v>43.665977378768204</v>
      </c>
    </row>
    <row r="52" spans="18:19" x14ac:dyDescent="0.2">
      <c r="R52" s="26" t="s">
        <v>283</v>
      </c>
      <c r="S52" s="84">
        <f>'History — Finance &amp; Results'!R12</f>
        <v>44.888579894402532</v>
      </c>
    </row>
    <row r="53" spans="18:19" x14ac:dyDescent="0.2">
      <c r="R53" s="26" t="s">
        <v>284</v>
      </c>
      <c r="S53" s="84">
        <f>'History — Finance &amp; Results'!R13</f>
        <v>8.9274140351910773</v>
      </c>
    </row>
    <row r="170" spans="1:14" x14ac:dyDescent="0.2">
      <c r="A170" s="87" t="s">
        <v>285</v>
      </c>
      <c r="B170" s="88"/>
      <c r="C170" s="88"/>
      <c r="D170" s="88"/>
      <c r="E170" s="88"/>
      <c r="F170" s="88"/>
      <c r="G170" s="88"/>
      <c r="H170" s="88"/>
      <c r="I170" s="88"/>
      <c r="J170" s="88"/>
      <c r="K170" s="88"/>
      <c r="L170" s="88"/>
      <c r="M170" s="88"/>
      <c r="N170" s="88"/>
    </row>
    <row r="171" spans="1:14" x14ac:dyDescent="0.2">
      <c r="A171" s="87" t="s">
        <v>286</v>
      </c>
      <c r="B171" s="88"/>
      <c r="C171" s="88"/>
      <c r="D171" s="88"/>
      <c r="E171" s="88"/>
      <c r="F171" s="88"/>
      <c r="G171" s="88"/>
      <c r="H171" s="88"/>
      <c r="I171" s="88"/>
      <c r="J171" s="88"/>
      <c r="K171" s="88"/>
      <c r="L171" s="88"/>
      <c r="M171" s="88"/>
      <c r="N171" s="88"/>
    </row>
    <row r="172" spans="1:14" x14ac:dyDescent="0.2">
      <c r="A172" s="87" t="s">
        <v>287</v>
      </c>
      <c r="B172" s="88"/>
      <c r="C172" s="88"/>
      <c r="D172" s="88"/>
      <c r="E172" s="88"/>
      <c r="F172" s="88"/>
      <c r="G172" s="88"/>
      <c r="H172" s="88"/>
      <c r="I172" s="88"/>
      <c r="J172" s="88"/>
      <c r="K172" s="88"/>
      <c r="L172" s="88"/>
      <c r="M172" s="88"/>
      <c r="N172" s="88"/>
    </row>
    <row r="173" spans="1:14" x14ac:dyDescent="0.2">
      <c r="A173" s="87" t="s">
        <v>288</v>
      </c>
      <c r="B173" s="88"/>
      <c r="C173" s="88"/>
      <c r="D173" s="88"/>
      <c r="E173" s="88"/>
      <c r="F173" s="88"/>
      <c r="G173" s="88"/>
      <c r="H173" s="88"/>
      <c r="I173" s="88"/>
      <c r="J173" s="88"/>
      <c r="K173" s="88"/>
      <c r="L173" s="88"/>
      <c r="M173" s="88"/>
      <c r="N173" s="88"/>
    </row>
    <row r="174" spans="1:14" x14ac:dyDescent="0.2">
      <c r="A174" s="87" t="s">
        <v>289</v>
      </c>
      <c r="B174" s="88"/>
      <c r="C174" s="88"/>
      <c r="D174" s="88"/>
      <c r="E174" s="88"/>
      <c r="F174" s="88"/>
      <c r="G174" s="88"/>
      <c r="H174" s="88"/>
      <c r="I174" s="88"/>
      <c r="J174" s="88"/>
      <c r="K174" s="88"/>
      <c r="L174" s="88"/>
      <c r="M174" s="88"/>
      <c r="N174" s="88"/>
    </row>
  </sheetData>
  <mergeCells count="5">
    <mergeCell ref="A173:N173"/>
    <mergeCell ref="A171:N171"/>
    <mergeCell ref="A172:N172"/>
    <mergeCell ref="A174:N174"/>
    <mergeCell ref="A170:N170"/>
  </mergeCells>
  <pageMargins left="0.75" right="0.75" top="1" bottom="1" header="0.5" footer="0.5"/>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abColor rgb="FF1F3864"/>
  </sheetPr>
  <dimension ref="A1:H36"/>
  <sheetViews>
    <sheetView workbookViewId="0"/>
  </sheetViews>
  <sheetFormatPr baseColWidth="10" defaultColWidth="8.83203125" defaultRowHeight="15" x14ac:dyDescent="0.2"/>
  <cols>
    <col min="1" max="1" width="46" customWidth="1"/>
    <col min="2" max="6" width="16" customWidth="1"/>
    <col min="7" max="8" width="15" customWidth="1"/>
  </cols>
  <sheetData>
    <row r="1" spans="1:8" ht="19" x14ac:dyDescent="0.2">
      <c r="A1" s="1" t="s">
        <v>290</v>
      </c>
    </row>
    <row r="2" spans="1:8" x14ac:dyDescent="0.2">
      <c r="A2" s="2" t="s">
        <v>291</v>
      </c>
    </row>
    <row r="4" spans="1:8" ht="18" customHeight="1" x14ac:dyDescent="0.2">
      <c r="A4" s="3" t="s">
        <v>292</v>
      </c>
      <c r="B4" s="4"/>
      <c r="C4" s="4"/>
      <c r="D4" s="4"/>
      <c r="E4" s="4"/>
      <c r="F4" s="4"/>
      <c r="G4" s="4"/>
      <c r="H4" s="4"/>
    </row>
    <row r="5" spans="1:8" ht="34" customHeight="1" x14ac:dyDescent="0.2">
      <c r="A5" s="5" t="s">
        <v>293</v>
      </c>
      <c r="B5" s="5" t="s">
        <v>294</v>
      </c>
      <c r="C5" s="5" t="s">
        <v>295</v>
      </c>
      <c r="D5" s="5" t="s">
        <v>270</v>
      </c>
      <c r="E5" s="5" t="s">
        <v>296</v>
      </c>
      <c r="F5" s="5" t="s">
        <v>297</v>
      </c>
      <c r="G5" s="5" t="s">
        <v>267</v>
      </c>
      <c r="H5" s="5" t="s">
        <v>268</v>
      </c>
    </row>
    <row r="6" spans="1:8" x14ac:dyDescent="0.2">
      <c r="A6" s="23">
        <v>2018</v>
      </c>
      <c r="B6" s="20">
        <f>SUMIFS('History — Finance &amp; Results'!$G$6:$G$13,'History — Finance &amp; Results'!$A$6:$A$13,$A6,'History — Finance &amp; Results'!$E$6:$E$13,"DEM")</f>
        <v>3320188.01</v>
      </c>
      <c r="C6" s="20">
        <f>SUMIFS('History — Finance &amp; Results'!$G$6:$G$13,'History — Finance &amp; Results'!$A$6:$A$13,$A6,'History — Finance &amp; Results'!$E$6:$E$13,"REP")</f>
        <v>985643.72</v>
      </c>
      <c r="D6" s="59">
        <f>IF(B6+C6=0,"",B6/(B6+C6))</f>
        <v>0.77109098037140433</v>
      </c>
      <c r="E6" s="20">
        <f>SUMIFS('History — Finance &amp; Results'!$N$6:$N$13,'History — Finance &amp; Results'!$A$6:$A$13,$A6,'History — Finance &amp; Results'!$E$6:$E$13,"DEM")</f>
        <v>5601035.0899999999</v>
      </c>
      <c r="F6" s="20">
        <f>SUMIFS('History — Finance &amp; Results'!$N$6:$N$13,'History — Finance &amp; Results'!$A$6:$A$13,$A6,'History — Finance &amp; Results'!$E$6:$E$13,"REP")</f>
        <v>1339191.3399999999</v>
      </c>
      <c r="G6" s="59">
        <f>IF(E6+F6=0,"",E6/(E6+F6))</f>
        <v>0.80703924381902337</v>
      </c>
      <c r="H6" s="69">
        <f>SUMIFS('History — Finance &amp; Results'!$P$6:$P$13,'History — Finance &amp; Results'!$A$6:$A$13,$A6,'History — Finance &amp; Results'!$E$6:$E$13,"DEM")</f>
        <v>0.55166699314397649</v>
      </c>
    </row>
    <row r="7" spans="1:8" x14ac:dyDescent="0.2">
      <c r="A7" s="23">
        <v>2020</v>
      </c>
      <c r="B7" s="20">
        <f>SUMIFS('History — Finance &amp; Results'!$G$6:$G$13,'History — Finance &amp; Results'!$A$6:$A$13,$A7,'History — Finance &amp; Results'!$E$6:$E$13,"DEM")</f>
        <v>4644289.9000000004</v>
      </c>
      <c r="C7" s="20">
        <f>SUMIFS('History — Finance &amp; Results'!$G$6:$G$13,'History — Finance &amp; Results'!$A$6:$A$13,$A7,'History — Finance &amp; Results'!$E$6:$E$13,"REP")</f>
        <v>3740779.05</v>
      </c>
      <c r="D7" s="59">
        <f>IF(B7+C7=0,"",B7/(B7+C7))</f>
        <v>0.55387617295621649</v>
      </c>
      <c r="E7" s="20">
        <f>SUMIFS('History — Finance &amp; Results'!$N$6:$N$13,'History — Finance &amp; Results'!$A$6:$A$13,$A7,'History — Finance &amp; Results'!$E$6:$E$13,"DEM")</f>
        <v>4695589.28</v>
      </c>
      <c r="F7" s="20">
        <f>SUMIFS('History — Finance &amp; Results'!$N$6:$N$13,'History — Finance &amp; Results'!$A$6:$A$13,$A7,'History — Finance &amp; Results'!$E$6:$E$13,"REP")</f>
        <v>4468520.3199999994</v>
      </c>
      <c r="G7" s="59">
        <f>IF(E7+F7=0,"",E7/(E7+F7))</f>
        <v>0.51238903559163029</v>
      </c>
      <c r="H7" s="69">
        <f>SUMIFS('History — Finance &amp; Results'!$P$6:$P$13,'History — Finance &amp; Results'!$A$6:$A$13,$A7,'History — Finance &amp; Results'!$E$6:$E$13,"DEM")</f>
        <v>0.51866366661183072</v>
      </c>
    </row>
    <row r="8" spans="1:8" x14ac:dyDescent="0.2">
      <c r="A8" s="23">
        <v>2022</v>
      </c>
      <c r="B8" s="20">
        <f>SUMIFS('History — Finance &amp; Results'!$G$6:$G$13,'History — Finance &amp; Results'!$A$6:$A$13,$A8,'History — Finance &amp; Results'!$E$6:$E$13,"DEM")</f>
        <v>7002291.1900000004</v>
      </c>
      <c r="C8" s="20">
        <f>SUMIFS('History — Finance &amp; Results'!$G$6:$G$13,'History — Finance &amp; Results'!$A$6:$A$13,$A8,'History — Finance &amp; Results'!$E$6:$E$13,"REP")</f>
        <v>6354578.6900000004</v>
      </c>
      <c r="D8" s="59">
        <f>IF(B8+C8=0,"",B8/(B8+C8))</f>
        <v>0.5242464179788805</v>
      </c>
      <c r="E8" s="20">
        <f>SUMIFS('History — Finance &amp; Results'!$N$6:$N$13,'History — Finance &amp; Results'!$A$6:$A$13,$A8,'History — Finance &amp; Results'!$E$6:$E$13,"DEM")</f>
        <v>16421277.890000001</v>
      </c>
      <c r="F8" s="20">
        <f>SUMIFS('History — Finance &amp; Results'!$N$6:$N$13,'History — Finance &amp; Results'!$A$6:$A$13,$A8,'History — Finance &amp; Results'!$E$6:$E$13,"REP")</f>
        <v>17231500.060000002</v>
      </c>
      <c r="G8" s="59">
        <f>IF(E8+F8=0,"",E8/(E8+F8))</f>
        <v>0.48796203137815547</v>
      </c>
      <c r="H8" s="69">
        <f>SUMIFS('History — Finance &amp; Results'!$P$6:$P$13,'History — Finance &amp; Results'!$A$6:$A$13,$A8,'History — Finance &amp; Results'!$E$6:$E$13,"DEM")</f>
        <v>0.50983020704568338</v>
      </c>
    </row>
    <row r="9" spans="1:8" x14ac:dyDescent="0.2">
      <c r="A9" s="23">
        <v>2024</v>
      </c>
      <c r="B9" s="20">
        <f>SUMIFS('History — Finance &amp; Results'!$G$6:$G$13,'History — Finance &amp; Results'!$A$6:$A$13,$A9,'History — Finance &amp; Results'!$E$6:$E$13,"DEM")</f>
        <v>8960927.6500000004</v>
      </c>
      <c r="C9" s="20">
        <f>SUMIFS('History — Finance &amp; Results'!$G$6:$G$13,'History — Finance &amp; Results'!$A$6:$A$13,$A9,'History — Finance &amp; Results'!$E$6:$E$13,"REP")</f>
        <v>1818407.11</v>
      </c>
      <c r="D9" s="59">
        <f>IF(B9+C9=0,"",B9/(B9+C9))</f>
        <v>0.83130618442728466</v>
      </c>
      <c r="E9" s="20">
        <f>SUMIFS('History — Finance &amp; Results'!$N$6:$N$13,'History — Finance &amp; Results'!$A$6:$A$13,$A9,'History — Finance &amp; Results'!$E$6:$E$13,"DEM")</f>
        <v>23492150.560000002</v>
      </c>
      <c r="F9" s="20">
        <f>SUMIFS('History — Finance &amp; Results'!$N$6:$N$13,'History — Finance &amp; Results'!$A$6:$A$13,$A9,'History — Finance &amp; Results'!$E$6:$E$13,"REP")</f>
        <v>13576332.120000001</v>
      </c>
      <c r="G9" s="59">
        <f>IF(E9+F9=0,"",E9/(E9+F9))</f>
        <v>0.63374999086960193</v>
      </c>
      <c r="H9" s="69">
        <f>SUMIFS('History — Finance &amp; Results'!$P$6:$P$13,'History — Finance &amp; Results'!$A$6:$A$13,$A9,'History — Finance &amp; Results'!$E$6:$E$13,"DEM")</f>
        <v>0.49496422142548979</v>
      </c>
    </row>
    <row r="11" spans="1:8" ht="18" customHeight="1" x14ac:dyDescent="0.2">
      <c r="A11" s="3" t="s">
        <v>298</v>
      </c>
      <c r="B11" s="4"/>
      <c r="C11" s="4"/>
      <c r="D11" s="4"/>
      <c r="E11" s="4"/>
      <c r="F11" s="4"/>
      <c r="G11" s="4"/>
      <c r="H11" s="4"/>
    </row>
    <row r="12" spans="1:8" ht="34" customHeight="1" x14ac:dyDescent="0.2">
      <c r="A12" s="5" t="s">
        <v>299</v>
      </c>
      <c r="B12" s="5" t="s">
        <v>300</v>
      </c>
      <c r="C12" s="5" t="s">
        <v>301</v>
      </c>
      <c r="D12" s="5"/>
      <c r="E12" s="5"/>
      <c r="F12" s="5"/>
      <c r="G12" s="5"/>
      <c r="H12" s="5"/>
    </row>
    <row r="13" spans="1:8" x14ac:dyDescent="0.2">
      <c r="A13" s="6" t="s">
        <v>302</v>
      </c>
      <c r="B13" s="70">
        <f>COUNT(H6:H9)</f>
        <v>4</v>
      </c>
      <c r="C13" s="70">
        <f>COUNT(H6:H9)</f>
        <v>4</v>
      </c>
    </row>
    <row r="14" spans="1:8" x14ac:dyDescent="0.2">
      <c r="A14" s="6" t="s">
        <v>303</v>
      </c>
      <c r="B14" s="71">
        <f>IFERROR(CORREL(D6:D9,H6:H9),"")</f>
        <v>7.2306609889138687E-2</v>
      </c>
      <c r="C14" s="71">
        <f>IFERROR(CORREL(G6:G9,H6:H9),"")</f>
        <v>0.66817431020726636</v>
      </c>
    </row>
    <row r="15" spans="1:8" x14ac:dyDescent="0.2">
      <c r="A15" s="6" t="s">
        <v>304</v>
      </c>
      <c r="B15" s="72">
        <f>IFERROR(RSQ(H6:H9,D6:D9),"")</f>
        <v>5.2282458336600909E-3</v>
      </c>
      <c r="C15" s="72">
        <f>IFERROR(RSQ(H6:H9,G6:G9),"")</f>
        <v>0.44645690882095623</v>
      </c>
    </row>
    <row r="16" spans="1:8" x14ac:dyDescent="0.2">
      <c r="A16" s="6" t="s">
        <v>305</v>
      </c>
      <c r="B16" s="71">
        <f>IFERROR(SLOPE(H6:H9,D6:D9),"")</f>
        <v>1.1285656295504241E-2</v>
      </c>
      <c r="C16" s="71">
        <f>IFERROR(SLOPE(H6:H9,G6:G9),"")</f>
        <v>0.10998341793600958</v>
      </c>
    </row>
    <row r="17" spans="1:8" x14ac:dyDescent="0.2">
      <c r="A17" s="6" t="s">
        <v>306</v>
      </c>
      <c r="B17" s="72">
        <f>IFERROR(INTERCEPT(H6:H9,D6:D9),"")</f>
        <v>0.51121841589261496</v>
      </c>
      <c r="C17" s="72">
        <f>IFERROR(INTERCEPT(H6:H9,G6:G9),"")</f>
        <v>0.45166003354731171</v>
      </c>
    </row>
    <row r="18" spans="1:8" x14ac:dyDescent="0.2">
      <c r="A18" s="6" t="s">
        <v>307</v>
      </c>
      <c r="B18" s="73">
        <f>IFERROR(STEYX(H6:H9,D6:D9)/SQRT(DEVSQ(D6:D9)),"")</f>
        <v>0.11007673628674396</v>
      </c>
      <c r="C18" s="73">
        <f>IFERROR(STEYX(H6:H9,G6:G9)/SQRT(DEVSQ(G6:G9)),"")</f>
        <v>8.6596064964749739E-2</v>
      </c>
    </row>
    <row r="19" spans="1:8" x14ac:dyDescent="0.2">
      <c r="A19" s="6" t="s">
        <v>308</v>
      </c>
      <c r="B19" s="71">
        <f>IF(AND(ISNUMBER(B16),ISNUMBER(B18),B18&lt;&gt;0),B16/B18,"")</f>
        <v>0.10252535345984201</v>
      </c>
      <c r="C19" s="71">
        <f>IF(AND(ISNUMBER(C16),ISNUMBER(C18),C18&lt;&gt;0),C16/C18,"")</f>
        <v>1.2700740845531493</v>
      </c>
    </row>
    <row r="20" spans="1:8" x14ac:dyDescent="0.2">
      <c r="A20" s="6" t="s">
        <v>309</v>
      </c>
      <c r="B20" s="74">
        <f>IF(AND(ISNUMBER(B19),B21&gt;0),IFERROR(TDIST(ABS(B19),B21,2),""),"")</f>
        <v>0.92769339011086194</v>
      </c>
      <c r="C20" s="74">
        <f>IF(AND(ISNUMBER(C19),C21&gt;0),IFERROR(TDIST(ABS(C19),C21,2),""),"")</f>
        <v>0.33182568979273375</v>
      </c>
    </row>
    <row r="21" spans="1:8" x14ac:dyDescent="0.2">
      <c r="A21" s="6" t="s">
        <v>310</v>
      </c>
      <c r="B21" s="70">
        <f>IF(ISNUMBER(B13),B13-2,"")</f>
        <v>2</v>
      </c>
      <c r="C21" s="70">
        <f>IF(ISNUMBER(C13),C13-2,"")</f>
        <v>2</v>
      </c>
    </row>
    <row r="22" spans="1:8" x14ac:dyDescent="0.2">
      <c r="A22" s="23" t="s">
        <v>311</v>
      </c>
      <c r="B22" s="75" t="str">
        <f>IF(ISNUMBER(B20),IF(B20&lt;0.05,"YES","NO — cannot reject the null"),"")</f>
        <v>NO — cannot reject the null</v>
      </c>
      <c r="C22" s="75" t="str">
        <f>IF(ISNUMBER(C20),IF(C20&lt;0.05,"YES","NO — cannot reject the null"),"")</f>
        <v>NO — cannot reject the null</v>
      </c>
    </row>
    <row r="24" spans="1:8" ht="18" customHeight="1" x14ac:dyDescent="0.2">
      <c r="A24" s="3" t="s">
        <v>312</v>
      </c>
      <c r="B24" s="4"/>
      <c r="C24" s="4"/>
      <c r="D24" s="4"/>
      <c r="E24" s="4"/>
      <c r="F24" s="4"/>
      <c r="G24" s="4"/>
      <c r="H24" s="4"/>
    </row>
    <row r="25" spans="1:8" ht="34" customHeight="1" x14ac:dyDescent="0.2">
      <c r="A25" s="5" t="s">
        <v>293</v>
      </c>
      <c r="B25" s="5" t="s">
        <v>313</v>
      </c>
      <c r="C25" s="5" t="s">
        <v>314</v>
      </c>
      <c r="D25" s="5" t="s">
        <v>315</v>
      </c>
      <c r="E25" s="5" t="s">
        <v>267</v>
      </c>
      <c r="F25" s="5"/>
      <c r="G25" s="5"/>
      <c r="H25" s="5"/>
    </row>
    <row r="26" spans="1:8" x14ac:dyDescent="0.2">
      <c r="A26" s="36">
        <f>A6</f>
        <v>2018</v>
      </c>
      <c r="B26" s="69">
        <f>H6</f>
        <v>0.55166699314397649</v>
      </c>
      <c r="C26" s="59">
        <f>IF(AND(ISNUMBER($C$17),ISNUMBER($C$16),ISNUMBER(E26)),$C$17+$C$16*E26,"")</f>
        <v>0.54042096799102046</v>
      </c>
      <c r="D26" s="76">
        <f>IF(AND(ISNUMBER(B26),ISNUMBER(C26)),B26-C26,"")</f>
        <v>1.124602515295603E-2</v>
      </c>
      <c r="E26" s="69">
        <f>G6</f>
        <v>0.80703924381902337</v>
      </c>
    </row>
    <row r="27" spans="1:8" x14ac:dyDescent="0.2">
      <c r="A27" s="36">
        <f>A7</f>
        <v>2020</v>
      </c>
      <c r="B27" s="69">
        <f>H7</f>
        <v>0.51866366661183072</v>
      </c>
      <c r="C27" s="59">
        <f>IF(AND(ISNUMBER($C$17),ISNUMBER($C$16),ISNUMBER(E27)),$C$17+$C$16*E27,"")</f>
        <v>0.5080143309946149</v>
      </c>
      <c r="D27" s="76">
        <f>IF(AND(ISNUMBER(B27),ISNUMBER(C27)),B27-C27,"")</f>
        <v>1.0649335617215816E-2</v>
      </c>
      <c r="E27" s="69">
        <f>G7</f>
        <v>0.51238903559163029</v>
      </c>
    </row>
    <row r="28" spans="1:8" x14ac:dyDescent="0.2">
      <c r="A28" s="36">
        <f>A8</f>
        <v>2022</v>
      </c>
      <c r="B28" s="69">
        <f>H8</f>
        <v>0.50983020704568338</v>
      </c>
      <c r="C28" s="59">
        <f>IF(AND(ISNUMBER($C$17),ISNUMBER($C$16),ISNUMBER(E28)),$C$17+$C$16*E28,"")</f>
        <v>0.50532776558127956</v>
      </c>
      <c r="D28" s="76">
        <f>IF(AND(ISNUMBER(B28),ISNUMBER(C28)),B28-C28,"")</f>
        <v>4.5024414644038169E-3</v>
      </c>
      <c r="E28" s="69">
        <f>G8</f>
        <v>0.48796203137815547</v>
      </c>
    </row>
    <row r="29" spans="1:8" x14ac:dyDescent="0.2">
      <c r="A29" s="36">
        <f>A9</f>
        <v>2024</v>
      </c>
      <c r="B29" s="69">
        <f>H9</f>
        <v>0.49496422142548979</v>
      </c>
      <c r="C29" s="59">
        <f>IF(AND(ISNUMBER($C$17),ISNUMBER($C$16),ISNUMBER(E29)),$C$17+$C$16*E29,"")</f>
        <v>0.52136202366006534</v>
      </c>
      <c r="D29" s="76">
        <f>IF(AND(ISNUMBER(B29),ISNUMBER(C29)),B29-C29,"")</f>
        <v>-2.6397802234575551E-2</v>
      </c>
      <c r="E29" s="69">
        <f>G9</f>
        <v>0.63374999086960193</v>
      </c>
    </row>
    <row r="31" spans="1:8" ht="18" customHeight="1" x14ac:dyDescent="0.2">
      <c r="A31" s="3" t="s">
        <v>316</v>
      </c>
      <c r="B31" s="4"/>
      <c r="C31" s="4"/>
      <c r="D31" s="4"/>
      <c r="E31" s="4"/>
      <c r="F31" s="4"/>
      <c r="G31" s="4"/>
      <c r="H31" s="4"/>
    </row>
    <row r="32" spans="1:8" ht="56" customHeight="1" x14ac:dyDescent="0.2">
      <c r="A32" s="85" t="s">
        <v>317</v>
      </c>
      <c r="B32" s="88"/>
      <c r="C32" s="88"/>
      <c r="D32" s="88"/>
      <c r="E32" s="88"/>
      <c r="F32" s="88"/>
      <c r="G32" s="88"/>
      <c r="H32" s="88"/>
    </row>
    <row r="33" spans="1:8" ht="56" customHeight="1" x14ac:dyDescent="0.2">
      <c r="A33" s="85" t="s">
        <v>318</v>
      </c>
      <c r="B33" s="88"/>
      <c r="C33" s="88"/>
      <c r="D33" s="88"/>
      <c r="E33" s="88"/>
      <c r="F33" s="88"/>
      <c r="G33" s="88"/>
      <c r="H33" s="88"/>
    </row>
    <row r="34" spans="1:8" ht="56" customHeight="1" x14ac:dyDescent="0.2">
      <c r="A34" s="85" t="s">
        <v>319</v>
      </c>
      <c r="B34" s="88"/>
      <c r="C34" s="88"/>
      <c r="D34" s="88"/>
      <c r="E34" s="88"/>
      <c r="F34" s="88"/>
      <c r="G34" s="88"/>
      <c r="H34" s="88"/>
    </row>
    <row r="35" spans="1:8" ht="56" customHeight="1" x14ac:dyDescent="0.2">
      <c r="A35" s="85" t="s">
        <v>320</v>
      </c>
      <c r="B35" s="88"/>
      <c r="C35" s="88"/>
      <c r="D35" s="88"/>
      <c r="E35" s="88"/>
      <c r="F35" s="88"/>
      <c r="G35" s="88"/>
      <c r="H35" s="88"/>
    </row>
    <row r="36" spans="1:8" ht="56" customHeight="1" x14ac:dyDescent="0.2">
      <c r="A36" s="85" t="s">
        <v>321</v>
      </c>
      <c r="B36" s="88"/>
      <c r="C36" s="88"/>
      <c r="D36" s="88"/>
      <c r="E36" s="88"/>
      <c r="F36" s="88"/>
      <c r="G36" s="88"/>
      <c r="H36" s="88"/>
    </row>
  </sheetData>
  <mergeCells count="5">
    <mergeCell ref="A35:H35"/>
    <mergeCell ref="A33:H33"/>
    <mergeCell ref="A36:H36"/>
    <mergeCell ref="A32:H32"/>
    <mergeCell ref="A34:H34"/>
  </mergeCells>
  <pageMargins left="0.75" right="0.75" top="1" bottom="1" header="0.5" footer="0.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tabColor rgb="FF1F3864"/>
  </sheetPr>
  <dimension ref="A1:A74"/>
  <sheetViews>
    <sheetView workbookViewId="0"/>
  </sheetViews>
  <sheetFormatPr baseColWidth="10" defaultColWidth="8.83203125" defaultRowHeight="15" x14ac:dyDescent="0.2"/>
  <cols>
    <col min="1" max="1" width="150" customWidth="1"/>
  </cols>
  <sheetData>
    <row r="1" spans="1:1" ht="19" x14ac:dyDescent="0.2">
      <c r="A1" s="1" t="s">
        <v>322</v>
      </c>
    </row>
    <row r="2" spans="1:1" x14ac:dyDescent="0.2">
      <c r="A2" s="2" t="s">
        <v>323</v>
      </c>
    </row>
    <row r="4" spans="1:1" ht="18" customHeight="1" x14ac:dyDescent="0.2">
      <c r="A4" s="3" t="s">
        <v>324</v>
      </c>
    </row>
    <row r="5" spans="1:1" ht="24" customHeight="1" x14ac:dyDescent="0.2">
      <c r="A5" s="90" t="s">
        <v>325</v>
      </c>
    </row>
    <row r="6" spans="1:1" ht="60" customHeight="1" x14ac:dyDescent="0.2">
      <c r="A6" s="90" t="s">
        <v>326</v>
      </c>
    </row>
    <row r="7" spans="1:1" ht="13" customHeight="1" x14ac:dyDescent="0.2">
      <c r="A7" s="90" t="s">
        <v>327</v>
      </c>
    </row>
    <row r="8" spans="1:1" ht="36" customHeight="1" x14ac:dyDescent="0.2">
      <c r="A8" s="90" t="s">
        <v>328</v>
      </c>
    </row>
    <row r="9" spans="1:1" ht="36" customHeight="1" x14ac:dyDescent="0.2">
      <c r="A9" s="90" t="s">
        <v>329</v>
      </c>
    </row>
    <row r="10" spans="1:1" ht="120" customHeight="1" x14ac:dyDescent="0.2">
      <c r="A10" s="90" t="s">
        <v>330</v>
      </c>
    </row>
    <row r="12" spans="1:1" ht="18" customHeight="1" x14ac:dyDescent="0.2">
      <c r="A12" s="3" t="s">
        <v>331</v>
      </c>
    </row>
    <row r="13" spans="1:1" ht="348" customHeight="1" x14ac:dyDescent="0.2">
      <c r="A13" s="87" t="s">
        <v>332</v>
      </c>
    </row>
    <row r="14" spans="1:1" ht="324" customHeight="1" x14ac:dyDescent="0.2">
      <c r="A14" s="87" t="s">
        <v>333</v>
      </c>
    </row>
    <row r="15" spans="1:1" ht="396" customHeight="1" x14ac:dyDescent="0.2">
      <c r="A15" s="87" t="s">
        <v>334</v>
      </c>
    </row>
    <row r="16" spans="1:1" ht="168" customHeight="1" x14ac:dyDescent="0.2">
      <c r="A16" s="87" t="s">
        <v>335</v>
      </c>
    </row>
    <row r="17" spans="1:1" ht="409.5" customHeight="1" x14ac:dyDescent="0.2">
      <c r="A17" s="87" t="s">
        <v>336</v>
      </c>
    </row>
    <row r="18" spans="1:1" ht="409.5" customHeight="1" x14ac:dyDescent="0.2">
      <c r="A18" s="87" t="s">
        <v>337</v>
      </c>
    </row>
    <row r="19" spans="1:1" ht="192" customHeight="1" x14ac:dyDescent="0.2">
      <c r="A19" s="87" t="s">
        <v>338</v>
      </c>
    </row>
    <row r="20" spans="1:1" ht="132" customHeight="1" x14ac:dyDescent="0.2">
      <c r="A20" s="87" t="s">
        <v>339</v>
      </c>
    </row>
    <row r="21" spans="1:1" ht="144" customHeight="1" x14ac:dyDescent="0.2">
      <c r="A21" s="87" t="s">
        <v>340</v>
      </c>
    </row>
    <row r="22" spans="1:1" ht="288" customHeight="1" x14ac:dyDescent="0.2">
      <c r="A22" s="87" t="s">
        <v>341</v>
      </c>
    </row>
    <row r="24" spans="1:1" ht="18" customHeight="1" x14ac:dyDescent="0.2">
      <c r="A24" s="3" t="s">
        <v>342</v>
      </c>
    </row>
    <row r="25" spans="1:1" ht="48" customHeight="1" x14ac:dyDescent="0.2">
      <c r="A25" s="43" t="s">
        <v>343</v>
      </c>
    </row>
    <row r="26" spans="1:1" ht="36" customHeight="1" x14ac:dyDescent="0.2">
      <c r="A26" s="43" t="s">
        <v>344</v>
      </c>
    </row>
    <row r="27" spans="1:1" ht="36" customHeight="1" x14ac:dyDescent="0.2">
      <c r="A27" s="43" t="s">
        <v>345</v>
      </c>
    </row>
    <row r="29" spans="1:1" ht="18" customHeight="1" x14ac:dyDescent="0.2">
      <c r="A29" s="3" t="s">
        <v>346</v>
      </c>
    </row>
    <row r="30" spans="1:1" x14ac:dyDescent="0.2">
      <c r="A30" s="44" t="s">
        <v>347</v>
      </c>
    </row>
    <row r="31" spans="1:1" ht="409.5" customHeight="1" x14ac:dyDescent="0.2">
      <c r="A31" s="87" t="s">
        <v>348</v>
      </c>
    </row>
    <row r="32" spans="1:1" x14ac:dyDescent="0.2">
      <c r="A32" s="44" t="s">
        <v>349</v>
      </c>
    </row>
    <row r="33" spans="1:1" ht="409.5" customHeight="1" x14ac:dyDescent="0.2">
      <c r="A33" s="87" t="s">
        <v>350</v>
      </c>
    </row>
    <row r="34" spans="1:1" x14ac:dyDescent="0.2">
      <c r="A34" s="44" t="s">
        <v>351</v>
      </c>
    </row>
    <row r="35" spans="1:1" ht="168" customHeight="1" x14ac:dyDescent="0.2">
      <c r="A35" s="87" t="s">
        <v>352</v>
      </c>
    </row>
    <row r="36" spans="1:1" x14ac:dyDescent="0.2">
      <c r="A36" s="44" t="s">
        <v>353</v>
      </c>
    </row>
    <row r="37" spans="1:1" ht="228" customHeight="1" x14ac:dyDescent="0.2">
      <c r="A37" s="87" t="s">
        <v>354</v>
      </c>
    </row>
    <row r="38" spans="1:1" x14ac:dyDescent="0.2">
      <c r="A38" s="44" t="s">
        <v>355</v>
      </c>
    </row>
    <row r="39" spans="1:1" ht="144" customHeight="1" x14ac:dyDescent="0.2">
      <c r="A39" s="87" t="s">
        <v>356</v>
      </c>
    </row>
    <row r="40" spans="1:1" x14ac:dyDescent="0.2">
      <c r="A40" s="44" t="s">
        <v>357</v>
      </c>
    </row>
    <row r="41" spans="1:1" ht="168" customHeight="1" x14ac:dyDescent="0.2">
      <c r="A41" s="87" t="s">
        <v>358</v>
      </c>
    </row>
    <row r="43" spans="1:1" ht="18" customHeight="1" x14ac:dyDescent="0.2">
      <c r="A43" s="3" t="s">
        <v>359</v>
      </c>
    </row>
    <row r="44" spans="1:1" ht="288" customHeight="1" x14ac:dyDescent="0.2">
      <c r="A44" s="87" t="s">
        <v>360</v>
      </c>
    </row>
    <row r="45" spans="1:1" ht="204" customHeight="1" x14ac:dyDescent="0.2">
      <c r="A45" s="87" t="s">
        <v>361</v>
      </c>
    </row>
    <row r="46" spans="1:1" ht="216" customHeight="1" x14ac:dyDescent="0.2">
      <c r="A46" s="87" t="s">
        <v>362</v>
      </c>
    </row>
    <row r="47" spans="1:1" ht="240" customHeight="1" x14ac:dyDescent="0.2">
      <c r="A47" s="87" t="s">
        <v>363</v>
      </c>
    </row>
    <row r="48" spans="1:1" ht="180" customHeight="1" x14ac:dyDescent="0.2">
      <c r="A48" s="87" t="s">
        <v>364</v>
      </c>
    </row>
    <row r="49" spans="1:1" ht="216" customHeight="1" x14ac:dyDescent="0.2">
      <c r="A49" s="87" t="s">
        <v>365</v>
      </c>
    </row>
    <row r="50" spans="1:1" ht="180" customHeight="1" x14ac:dyDescent="0.2">
      <c r="A50" s="87" t="s">
        <v>366</v>
      </c>
    </row>
    <row r="52" spans="1:1" ht="18" customHeight="1" x14ac:dyDescent="0.2">
      <c r="A52" s="3" t="s">
        <v>367</v>
      </c>
    </row>
    <row r="53" spans="1:1" ht="96" customHeight="1" x14ac:dyDescent="0.2">
      <c r="A53" s="90" t="s">
        <v>368</v>
      </c>
    </row>
    <row r="54" spans="1:1" ht="36" customHeight="1" x14ac:dyDescent="0.2">
      <c r="A54" s="90" t="s">
        <v>369</v>
      </c>
    </row>
    <row r="55" spans="1:1" ht="156" customHeight="1" x14ac:dyDescent="0.2">
      <c r="A55" s="90" t="s">
        <v>370</v>
      </c>
    </row>
    <row r="56" spans="1:1" ht="144" customHeight="1" x14ac:dyDescent="0.2">
      <c r="A56" s="90" t="s">
        <v>371</v>
      </c>
    </row>
    <row r="57" spans="1:1" ht="144" customHeight="1" x14ac:dyDescent="0.2">
      <c r="A57" s="90" t="s">
        <v>372</v>
      </c>
    </row>
    <row r="58" spans="1:1" ht="192" customHeight="1" x14ac:dyDescent="0.2">
      <c r="A58" s="90" t="s">
        <v>373</v>
      </c>
    </row>
    <row r="60" spans="1:1" ht="18" customHeight="1" x14ac:dyDescent="0.2">
      <c r="A60" s="3" t="s">
        <v>374</v>
      </c>
    </row>
    <row r="61" spans="1:1" ht="264" customHeight="1" x14ac:dyDescent="0.2">
      <c r="A61" s="87" t="s">
        <v>375</v>
      </c>
    </row>
    <row r="62" spans="1:1" ht="336" customHeight="1" x14ac:dyDescent="0.2">
      <c r="A62" s="87" t="s">
        <v>376</v>
      </c>
    </row>
    <row r="63" spans="1:1" ht="288" customHeight="1" x14ac:dyDescent="0.2">
      <c r="A63" s="87" t="s">
        <v>377</v>
      </c>
    </row>
    <row r="64" spans="1:1" ht="300" customHeight="1" x14ac:dyDescent="0.2">
      <c r="A64" s="87" t="s">
        <v>378</v>
      </c>
    </row>
    <row r="65" spans="1:1" ht="228" customHeight="1" x14ac:dyDescent="0.2">
      <c r="A65" s="87" t="s">
        <v>379</v>
      </c>
    </row>
    <row r="66" spans="1:1" ht="216" customHeight="1" x14ac:dyDescent="0.2">
      <c r="A66" s="87" t="s">
        <v>380</v>
      </c>
    </row>
    <row r="67" spans="1:1" ht="240" customHeight="1" x14ac:dyDescent="0.2">
      <c r="A67" s="87" t="s">
        <v>381</v>
      </c>
    </row>
    <row r="69" spans="1:1" ht="18" customHeight="1" x14ac:dyDescent="0.2">
      <c r="A69" s="3" t="s">
        <v>382</v>
      </c>
    </row>
    <row r="70" spans="1:1" ht="36" customHeight="1" x14ac:dyDescent="0.2">
      <c r="A70" s="43" t="s">
        <v>383</v>
      </c>
    </row>
    <row r="71" spans="1:1" ht="36" customHeight="1" x14ac:dyDescent="0.2">
      <c r="A71" s="43" t="s">
        <v>384</v>
      </c>
    </row>
    <row r="72" spans="1:1" ht="36" customHeight="1" x14ac:dyDescent="0.2">
      <c r="A72" s="43" t="s">
        <v>385</v>
      </c>
    </row>
    <row r="73" spans="1:1" ht="36" customHeight="1" x14ac:dyDescent="0.2">
      <c r="A73" s="43" t="s">
        <v>386</v>
      </c>
    </row>
    <row r="74" spans="1:1" ht="24" customHeight="1" x14ac:dyDescent="0.2">
      <c r="A74" s="43" t="s">
        <v>387</v>
      </c>
    </row>
  </sheetData>
  <mergeCells count="42">
    <mergeCell ref="A62"/>
    <mergeCell ref="A53"/>
    <mergeCell ref="A20"/>
    <mergeCell ref="A13"/>
    <mergeCell ref="A19"/>
    <mergeCell ref="A44"/>
    <mergeCell ref="A8"/>
    <mergeCell ref="A22"/>
    <mergeCell ref="A17"/>
    <mergeCell ref="A35"/>
    <mergeCell ref="A14"/>
    <mergeCell ref="A67"/>
    <mergeCell ref="A31"/>
    <mergeCell ref="A58"/>
    <mergeCell ref="A9"/>
    <mergeCell ref="A48"/>
    <mergeCell ref="A39"/>
    <mergeCell ref="A15"/>
    <mergeCell ref="A64"/>
    <mergeCell ref="A49"/>
    <mergeCell ref="A45"/>
    <mergeCell ref="A61"/>
    <mergeCell ref="A66"/>
    <mergeCell ref="A47"/>
    <mergeCell ref="A63"/>
    <mergeCell ref="A10"/>
    <mergeCell ref="A5"/>
    <mergeCell ref="A6"/>
    <mergeCell ref="A7"/>
    <mergeCell ref="A65"/>
    <mergeCell ref="A16"/>
    <mergeCell ref="A54"/>
    <mergeCell ref="A41"/>
    <mergeCell ref="A37"/>
    <mergeCell ref="A46"/>
    <mergeCell ref="A18"/>
    <mergeCell ref="A50"/>
    <mergeCell ref="A56"/>
    <mergeCell ref="A21"/>
    <mergeCell ref="A55"/>
    <mergeCell ref="A57"/>
    <mergeCell ref="A33"/>
  </mergeCells>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9</vt:i4>
      </vt:variant>
    </vt:vector>
  </HeadingPairs>
  <TitlesOfParts>
    <vt:vector size="9" baseType="lpstr">
      <vt:lpstr>Summary</vt:lpstr>
      <vt:lpstr>Charts</vt:lpstr>
      <vt:lpstr>Money Sources</vt:lpstr>
      <vt:lpstr>Candidate Totals</vt:lpstr>
      <vt:lpstr>Outside Money</vt:lpstr>
      <vt:lpstr>History — Finance &amp; Results</vt:lpstr>
      <vt:lpstr>History Charts</vt:lpstr>
      <vt:lpstr>Money vs Results</vt:lpstr>
      <vt:lpstr>Notes &amp; Sources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Charles Weinstein</cp:lastModifiedBy>
  <dcterms:created xsi:type="dcterms:W3CDTF">2026-09-07T17:38:35Z</dcterms:created>
  <dcterms:modified xsi:type="dcterms:W3CDTF">2026-09-13T23:38:12Z</dcterms:modified>
</cp:coreProperties>
</file>